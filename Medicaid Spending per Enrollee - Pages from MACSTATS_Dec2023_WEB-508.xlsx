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C:\Users\Owner\Documents\Just Saying That\Consulting\GCO\Program Sources\Medicaid and CHIP\"/>
    </mc:Choice>
  </mc:AlternateContent>
  <xr:revisionPtr revIDLastSave="0" documentId="13_ncr:1_{2C3623A8-73B5-4AAB-9924-7D64F60AE244}" xr6:coauthVersionLast="47" xr6:coauthVersionMax="47" xr10:uidLastSave="{00000000-0000-0000-0000-000000000000}"/>
  <bookViews>
    <workbookView minimized="1" xWindow="1000" yWindow="270" windowWidth="15580" windowHeight="10060" xr2:uid="{00000000-000D-0000-FFFF-FFFF00000000}"/>
  </bookViews>
  <sheets>
    <sheet name="Table 1" sheetId="1" r:id="rId1"/>
  </sheet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0" i="1" l="1"/>
  <c r="C60" i="1"/>
  <c r="D60" i="1"/>
  <c r="E60" i="1"/>
  <c r="F60" i="1"/>
  <c r="G60" i="1"/>
  <c r="H60" i="1"/>
  <c r="I60" i="1"/>
  <c r="J60" i="1"/>
  <c r="L60" i="1"/>
  <c r="M60" i="1"/>
  <c r="N60" i="1"/>
  <c r="B60" i="1"/>
</calcChain>
</file>

<file path=xl/sharedStrings.xml><?xml version="1.0" encoding="utf-8"?>
<sst xmlns="http://schemas.openxmlformats.org/spreadsheetml/2006/main" count="137" uniqueCount="83">
  <si>
    <r>
      <rPr>
        <b/>
        <sz val="10"/>
        <color rgb="FF003461"/>
        <rFont val="Arial"/>
        <family val="2"/>
      </rPr>
      <t xml:space="preserve">EXHIBIT 22. </t>
    </r>
    <r>
      <rPr>
        <sz val="10"/>
        <color rgb="FF003461"/>
        <rFont val="Arial"/>
        <family val="2"/>
      </rPr>
      <t>Medicaid Benefit Spending Per Full-Year Equivalent Enrollee (FYE) by State and Eligibility Group, FY 2021</t>
    </r>
  </si>
  <si>
    <r>
      <rPr>
        <b/>
        <sz val="10"/>
        <color rgb="FFFFFFFF"/>
        <rFont val="Arial"/>
        <family val="2"/>
      </rPr>
      <t>Total</t>
    </r>
  </si>
  <si>
    <r>
      <rPr>
        <b/>
        <sz val="10"/>
        <color rgb="FFFFFFFF"/>
        <rFont val="Arial"/>
        <family val="2"/>
      </rPr>
      <t>Child</t>
    </r>
  </si>
  <si>
    <r>
      <rPr>
        <b/>
        <sz val="10"/>
        <color rgb="FFFFFFFF"/>
        <rFont val="Arial"/>
        <family val="2"/>
      </rPr>
      <t>New adult group</t>
    </r>
    <r>
      <rPr>
        <b/>
        <vertAlign val="superscript"/>
        <sz val="6"/>
        <color rgb="FFFFFFFF"/>
        <rFont val="Arial"/>
        <family val="2"/>
      </rPr>
      <t>1</t>
    </r>
  </si>
  <si>
    <r>
      <rPr>
        <b/>
        <sz val="10"/>
        <color rgb="FFFFFFFF"/>
        <rFont val="Arial"/>
        <family val="2"/>
      </rPr>
      <t>Other adult</t>
    </r>
    <r>
      <rPr>
        <b/>
        <vertAlign val="superscript"/>
        <sz val="6"/>
        <color rgb="FFFFFFFF"/>
        <rFont val="Arial"/>
        <family val="2"/>
      </rPr>
      <t>2</t>
    </r>
  </si>
  <si>
    <r>
      <rPr>
        <b/>
        <sz val="10"/>
        <color rgb="FFFFFFFF"/>
        <rFont val="Arial"/>
        <family val="2"/>
      </rPr>
      <t>Disabled</t>
    </r>
  </si>
  <si>
    <r>
      <rPr>
        <b/>
        <sz val="10"/>
        <color rgb="FFFFFFFF"/>
        <rFont val="Arial"/>
        <family val="2"/>
      </rPr>
      <t>Aged</t>
    </r>
  </si>
  <si>
    <r>
      <rPr>
        <b/>
        <sz val="10"/>
        <color rgb="FFFFFFFF"/>
        <rFont val="Arial"/>
        <family val="2"/>
      </rPr>
      <t>State</t>
    </r>
  </si>
  <si>
    <r>
      <rPr>
        <b/>
        <sz val="10"/>
        <color rgb="FFFFFFFF"/>
        <rFont val="Arial"/>
        <family val="2"/>
      </rPr>
      <t>All enrollees</t>
    </r>
  </si>
  <si>
    <r>
      <rPr>
        <b/>
        <sz val="10"/>
        <color rgb="FFFFFFFF"/>
        <rFont val="Arial"/>
        <family val="2"/>
      </rPr>
      <t>Full- benefit enrollees</t>
    </r>
    <r>
      <rPr>
        <b/>
        <vertAlign val="superscript"/>
        <sz val="6"/>
        <color rgb="FFFFFFFF"/>
        <rFont val="Arial"/>
        <family val="2"/>
      </rPr>
      <t>3</t>
    </r>
  </si>
  <si>
    <r>
      <rPr>
        <b/>
        <sz val="10"/>
        <color rgb="FF003461"/>
        <rFont val="Arial"/>
        <family val="2"/>
      </rPr>
      <t>Total</t>
    </r>
  </si>
  <si>
    <r>
      <rPr>
        <sz val="10"/>
        <color rgb="FF003461"/>
        <rFont val="Arial"/>
        <family val="2"/>
      </rPr>
      <t>Alabama</t>
    </r>
  </si>
  <si>
    <r>
      <rPr>
        <sz val="10"/>
        <rFont val="Arial"/>
        <family val="2"/>
      </rPr>
      <t>–</t>
    </r>
  </si>
  <si>
    <r>
      <rPr>
        <sz val="10"/>
        <color rgb="FF003461"/>
        <rFont val="Arial"/>
        <family val="2"/>
      </rPr>
      <t>Alaska</t>
    </r>
  </si>
  <si>
    <r>
      <rPr>
        <sz val="6"/>
        <color rgb="FF003461"/>
        <rFont val="Arial"/>
        <family val="2"/>
      </rPr>
      <t xml:space="preserve">4
</t>
    </r>
    <r>
      <rPr>
        <sz val="10"/>
        <color rgb="FF003461"/>
        <rFont val="Arial"/>
        <family val="2"/>
      </rPr>
      <t>Arizona</t>
    </r>
  </si>
  <si>
    <r>
      <rPr>
        <sz val="10"/>
        <color rgb="FF003461"/>
        <rFont val="Arial"/>
        <family val="2"/>
      </rPr>
      <t>Arkansas</t>
    </r>
  </si>
  <si>
    <r>
      <rPr>
        <sz val="6"/>
        <color rgb="FF003461"/>
        <rFont val="Arial"/>
        <family val="2"/>
      </rPr>
      <t xml:space="preserve">5
</t>
    </r>
    <r>
      <rPr>
        <sz val="10"/>
        <color rgb="FF003461"/>
        <rFont val="Arial"/>
        <family val="2"/>
      </rPr>
      <t>California</t>
    </r>
  </si>
  <si>
    <r>
      <rPr>
        <sz val="6"/>
        <color rgb="FF003461"/>
        <rFont val="Arial"/>
        <family val="2"/>
      </rPr>
      <t xml:space="preserve">6
</t>
    </r>
    <r>
      <rPr>
        <sz val="10"/>
        <color rgb="FF003461"/>
        <rFont val="Arial"/>
        <family val="2"/>
      </rPr>
      <t>Colorado</t>
    </r>
  </si>
  <si>
    <r>
      <rPr>
        <sz val="10"/>
        <color rgb="FF003461"/>
        <rFont val="Arial"/>
        <family val="2"/>
      </rPr>
      <t>Connecticut</t>
    </r>
  </si>
  <si>
    <r>
      <rPr>
        <sz val="10"/>
        <color rgb="FF003461"/>
        <rFont val="Arial"/>
        <family val="2"/>
      </rPr>
      <t>Delaware</t>
    </r>
  </si>
  <si>
    <r>
      <rPr>
        <sz val="6"/>
        <color rgb="FF003461"/>
        <rFont val="Arial"/>
        <family val="2"/>
      </rPr>
      <t xml:space="preserve">7
</t>
    </r>
    <r>
      <rPr>
        <sz val="10"/>
        <color rgb="FF003461"/>
        <rFont val="Arial"/>
        <family val="2"/>
      </rPr>
      <t>District of Columbia</t>
    </r>
  </si>
  <si>
    <r>
      <rPr>
        <sz val="10"/>
        <color rgb="FF003461"/>
        <rFont val="Arial"/>
        <family val="2"/>
      </rPr>
      <t>Florida</t>
    </r>
  </si>
  <si>
    <r>
      <rPr>
        <sz val="10"/>
        <color rgb="FF003461"/>
        <rFont val="Arial"/>
        <family val="2"/>
      </rPr>
      <t>Georgia</t>
    </r>
  </si>
  <si>
    <r>
      <rPr>
        <sz val="6"/>
        <color rgb="FF003461"/>
        <rFont val="Arial"/>
        <family val="2"/>
      </rPr>
      <t xml:space="preserve">8
</t>
    </r>
    <r>
      <rPr>
        <sz val="10"/>
        <color rgb="FF003461"/>
        <rFont val="Arial"/>
        <family val="2"/>
      </rPr>
      <t>Hawaii</t>
    </r>
  </si>
  <si>
    <r>
      <rPr>
        <sz val="10"/>
        <color rgb="FF003461"/>
        <rFont val="Arial"/>
        <family val="2"/>
      </rPr>
      <t>Idaho</t>
    </r>
  </si>
  <si>
    <r>
      <rPr>
        <sz val="6"/>
        <color rgb="FF003461"/>
        <rFont val="Arial"/>
        <family val="2"/>
      </rPr>
      <t xml:space="preserve">7
</t>
    </r>
    <r>
      <rPr>
        <sz val="10"/>
        <color rgb="FF003461"/>
        <rFont val="Arial"/>
        <family val="2"/>
      </rPr>
      <t>Illinois</t>
    </r>
  </si>
  <si>
    <r>
      <rPr>
        <sz val="10"/>
        <color rgb="FF003461"/>
        <rFont val="Arial"/>
        <family val="2"/>
      </rPr>
      <t>Indiana</t>
    </r>
    <r>
      <rPr>
        <vertAlign val="superscript"/>
        <sz val="6"/>
        <color rgb="FF003461"/>
        <rFont val="Arial"/>
        <family val="2"/>
      </rPr>
      <t>6</t>
    </r>
  </si>
  <si>
    <r>
      <rPr>
        <sz val="10"/>
        <color rgb="FF003461"/>
        <rFont val="Arial"/>
        <family val="2"/>
      </rPr>
      <t>Iowa</t>
    </r>
  </si>
  <si>
    <r>
      <rPr>
        <sz val="10"/>
        <color rgb="FF003461"/>
        <rFont val="Arial"/>
        <family val="2"/>
      </rPr>
      <t>Kansas</t>
    </r>
  </si>
  <si>
    <r>
      <rPr>
        <sz val="6"/>
        <color rgb="FF003461"/>
        <rFont val="Arial"/>
        <family val="2"/>
      </rPr>
      <t xml:space="preserve">4
</t>
    </r>
    <r>
      <rPr>
        <sz val="10"/>
        <color rgb="FF003461"/>
        <rFont val="Arial"/>
        <family val="2"/>
      </rPr>
      <t>Kentucky</t>
    </r>
  </si>
  <si>
    <r>
      <rPr>
        <sz val="6"/>
        <color rgb="FF003461"/>
        <rFont val="Arial"/>
        <family val="2"/>
      </rPr>
      <t xml:space="preserve">6
</t>
    </r>
    <r>
      <rPr>
        <sz val="10"/>
        <color rgb="FF003461"/>
        <rFont val="Arial"/>
        <family val="2"/>
      </rPr>
      <t>Louisiana</t>
    </r>
  </si>
  <si>
    <r>
      <rPr>
        <sz val="10"/>
        <color rgb="FF003461"/>
        <rFont val="Arial"/>
        <family val="2"/>
      </rPr>
      <t>Maine</t>
    </r>
  </si>
  <si>
    <r>
      <rPr>
        <sz val="10"/>
        <color rgb="FF003461"/>
        <rFont val="Arial"/>
        <family val="2"/>
      </rPr>
      <t>Maryland</t>
    </r>
  </si>
  <si>
    <r>
      <rPr>
        <sz val="10"/>
        <color rgb="FF003461"/>
        <rFont val="Arial"/>
        <family val="2"/>
      </rPr>
      <t>Massachusetts</t>
    </r>
  </si>
  <si>
    <r>
      <rPr>
        <sz val="10"/>
        <color rgb="FF003461"/>
        <rFont val="Arial"/>
        <family val="2"/>
      </rPr>
      <t>Michigan</t>
    </r>
  </si>
  <si>
    <r>
      <rPr>
        <sz val="10"/>
        <color rgb="FF003461"/>
        <rFont val="Arial"/>
        <family val="2"/>
      </rPr>
      <t>Minnesota</t>
    </r>
  </si>
  <si>
    <r>
      <rPr>
        <sz val="10"/>
        <color rgb="FF003461"/>
        <rFont val="Arial"/>
        <family val="2"/>
      </rPr>
      <t>Mississippi</t>
    </r>
  </si>
  <si>
    <r>
      <rPr>
        <sz val="10"/>
        <color rgb="FF003461"/>
        <rFont val="Arial"/>
        <family val="2"/>
      </rPr>
      <t>Missouri</t>
    </r>
  </si>
  <si>
    <r>
      <rPr>
        <sz val="10"/>
        <color rgb="FF003461"/>
        <rFont val="Arial"/>
        <family val="2"/>
      </rPr>
      <t>Montana</t>
    </r>
  </si>
  <si>
    <r>
      <rPr>
        <sz val="6"/>
        <color rgb="FF003461"/>
        <rFont val="Arial"/>
        <family val="2"/>
      </rPr>
      <t xml:space="preserve">4
</t>
    </r>
    <r>
      <rPr>
        <sz val="10"/>
        <color rgb="FF003461"/>
        <rFont val="Arial"/>
        <family val="2"/>
      </rPr>
      <t>Nebraska</t>
    </r>
  </si>
  <si>
    <r>
      <rPr>
        <b/>
        <sz val="13"/>
        <rFont val="Arial"/>
        <family val="2"/>
      </rPr>
      <t>MACStats</t>
    </r>
  </si>
  <si>
    <r>
      <rPr>
        <b/>
        <sz val="12"/>
        <rFont val="Arial"/>
        <family val="2"/>
      </rPr>
      <t>Section 3</t>
    </r>
  </si>
  <si>
    <r>
      <rPr>
        <b/>
        <sz val="10"/>
        <color rgb="FF003461"/>
        <rFont val="Arial"/>
        <family val="2"/>
      </rPr>
      <t xml:space="preserve">EXHIBIT 22. </t>
    </r>
    <r>
      <rPr>
        <sz val="10"/>
        <color rgb="FF003461"/>
        <rFont val="Arial"/>
        <family val="2"/>
      </rPr>
      <t>(continued)</t>
    </r>
  </si>
  <si>
    <r>
      <rPr>
        <b/>
        <sz val="9"/>
        <color rgb="FF65666C"/>
        <rFont val="Arial"/>
        <family val="2"/>
      </rPr>
      <t xml:space="preserve">Notes: </t>
    </r>
    <r>
      <rPr>
        <sz val="9"/>
        <color rgb="FF65666C"/>
        <rFont val="Arial"/>
        <family val="2"/>
      </rPr>
      <t>FY is fiscal year. Full-year equivalent (FYE) may also be referred to as average monthly enrollment. Includes federal and state funds. Excludes spending</t>
    </r>
  </si>
  <si>
    <r>
      <rPr>
        <sz val="9"/>
        <color rgb="FF65666C"/>
        <rFont val="Arial"/>
        <family val="2"/>
      </rPr>
      <t xml:space="preserve">for administration, the territories, and Medicaid-expansion CHIP enrollees. Children and adults under age 65 who qualify for Medicaid on the basis of disability  are included in the disabled category. Individuals age 65 and older eligible through an aged, blind, or disabled pathway are included in the aged category. Benefit spending from Transformed Medicaid Statistical Information System (T-MSIS) data has been adjusted to reflect CMS-64 totals. With regard to methods, spending totals exclude disproportionate share hospital (DSH) and certain incentive and uncompensated care pool payments made under waiver expenditure authority of Section 1115 of the Social Security Act (the Act), which were previously included before the December 2015 data book. See </t>
    </r>
    <r>
      <rPr>
        <u/>
        <sz val="9"/>
        <color rgb="FF175676"/>
        <rFont val="Arial"/>
        <family val="2"/>
      </rPr>
      <t>https://www.macpac.gov/macstats/</t>
    </r>
  </si>
  <si>
    <r>
      <rPr>
        <u/>
        <sz val="9"/>
        <color rgb="FF175676"/>
        <rFont val="Arial"/>
        <family val="2"/>
      </rPr>
      <t>data-sources-and-methods/ </t>
    </r>
    <r>
      <rPr>
        <sz val="9"/>
        <color rgb="FF65666C"/>
        <rFont val="Arial"/>
        <family val="2"/>
      </rPr>
      <t>for additional information. Additionally, figures shown here may not be directly comparable to prior years due to differences in reporting between T-MSIS and the Medicaid Statistical Information System (MSIS).</t>
    </r>
  </si>
  <si>
    <r>
      <rPr>
        <sz val="10"/>
        <color rgb="FF003461"/>
        <rFont val="Arial"/>
        <family val="2"/>
      </rPr>
      <t>Nevada</t>
    </r>
  </si>
  <si>
    <r>
      <rPr>
        <sz val="10"/>
        <color rgb="FF003461"/>
        <rFont val="Arial"/>
        <family val="2"/>
      </rPr>
      <t>New Hampshire</t>
    </r>
  </si>
  <si>
    <r>
      <rPr>
        <sz val="10"/>
        <color rgb="FF003461"/>
        <rFont val="Arial"/>
        <family val="2"/>
      </rPr>
      <t>New Jersey</t>
    </r>
  </si>
  <si>
    <r>
      <rPr>
        <sz val="10"/>
        <color rgb="FF003461"/>
        <rFont val="Arial"/>
        <family val="2"/>
      </rPr>
      <t>New Mexico</t>
    </r>
  </si>
  <si>
    <r>
      <rPr>
        <sz val="10"/>
        <color rgb="FF003461"/>
        <rFont val="Arial"/>
        <family val="2"/>
      </rPr>
      <t>New York</t>
    </r>
  </si>
  <si>
    <r>
      <rPr>
        <sz val="10"/>
        <color rgb="FF003461"/>
        <rFont val="Arial"/>
        <family val="2"/>
      </rPr>
      <t>North Carolina</t>
    </r>
  </si>
  <si>
    <r>
      <rPr>
        <sz val="6"/>
        <color rgb="FF003461"/>
        <rFont val="Arial"/>
        <family val="2"/>
      </rPr>
      <t xml:space="preserve">5
</t>
    </r>
    <r>
      <rPr>
        <sz val="10"/>
        <color rgb="FF003461"/>
        <rFont val="Arial"/>
        <family val="2"/>
      </rPr>
      <t>North Dakota</t>
    </r>
  </si>
  <si>
    <r>
      <rPr>
        <sz val="10"/>
        <color rgb="FF003461"/>
        <rFont val="Arial"/>
        <family val="2"/>
      </rPr>
      <t>Ohio</t>
    </r>
  </si>
  <si>
    <r>
      <rPr>
        <sz val="10"/>
        <color rgb="FF003461"/>
        <rFont val="Arial"/>
        <family val="2"/>
      </rPr>
      <t>Oklahoma</t>
    </r>
  </si>
  <si>
    <r>
      <rPr>
        <sz val="6"/>
        <color rgb="FF003461"/>
        <rFont val="Arial"/>
        <family val="2"/>
      </rPr>
      <t xml:space="preserve">6
</t>
    </r>
    <r>
      <rPr>
        <sz val="10"/>
        <color rgb="FF003461"/>
        <rFont val="Arial"/>
        <family val="2"/>
      </rPr>
      <t>Oregon</t>
    </r>
  </si>
  <si>
    <r>
      <rPr>
        <sz val="10"/>
        <color rgb="FF003461"/>
        <rFont val="Arial"/>
        <family val="2"/>
      </rPr>
      <t>Pennsylvania</t>
    </r>
  </si>
  <si>
    <r>
      <rPr>
        <sz val="10"/>
        <color rgb="FF003461"/>
        <rFont val="Arial"/>
        <family val="2"/>
      </rPr>
      <t>Rhode Island</t>
    </r>
  </si>
  <si>
    <r>
      <rPr>
        <sz val="10"/>
        <color rgb="FF003461"/>
        <rFont val="Arial"/>
        <family val="2"/>
      </rPr>
      <t>South Carolina</t>
    </r>
  </si>
  <si>
    <r>
      <rPr>
        <sz val="10"/>
        <color rgb="FF003461"/>
        <rFont val="Arial"/>
        <family val="2"/>
      </rPr>
      <t>South Dakota</t>
    </r>
  </si>
  <si>
    <r>
      <rPr>
        <sz val="10"/>
        <color rgb="FF003461"/>
        <rFont val="Arial"/>
        <family val="2"/>
      </rPr>
      <t>Tennessee</t>
    </r>
  </si>
  <si>
    <r>
      <rPr>
        <sz val="6"/>
        <color rgb="FF003461"/>
        <rFont val="Arial"/>
        <family val="2"/>
      </rPr>
      <t xml:space="preserve">9
</t>
    </r>
    <r>
      <rPr>
        <sz val="10"/>
        <color rgb="FF003461"/>
        <rFont val="Arial"/>
        <family val="2"/>
      </rPr>
      <t>Texas</t>
    </r>
  </si>
  <si>
    <r>
      <rPr>
        <sz val="6"/>
        <color rgb="FF003461"/>
        <rFont val="Arial"/>
        <family val="2"/>
      </rPr>
      <t xml:space="preserve">5
</t>
    </r>
    <r>
      <rPr>
        <sz val="10"/>
        <color rgb="FF003461"/>
        <rFont val="Arial"/>
        <family val="2"/>
      </rPr>
      <t>Utah</t>
    </r>
  </si>
  <si>
    <r>
      <rPr>
        <sz val="10"/>
        <color rgb="FF003461"/>
        <rFont val="Arial"/>
        <family val="2"/>
      </rPr>
      <t>Vermont</t>
    </r>
  </si>
  <si>
    <r>
      <rPr>
        <sz val="10"/>
        <color rgb="FF003461"/>
        <rFont val="Arial"/>
        <family val="2"/>
      </rPr>
      <t>Virginia</t>
    </r>
  </si>
  <si>
    <r>
      <rPr>
        <sz val="10"/>
        <color rgb="FF003461"/>
        <rFont val="Arial"/>
        <family val="2"/>
      </rPr>
      <t>Washington</t>
    </r>
  </si>
  <si>
    <r>
      <rPr>
        <sz val="10"/>
        <color rgb="FF003461"/>
        <rFont val="Arial"/>
        <family val="2"/>
      </rPr>
      <t>West Virginia</t>
    </r>
  </si>
  <si>
    <r>
      <rPr>
        <sz val="10"/>
        <color rgb="FF003461"/>
        <rFont val="Arial"/>
        <family val="2"/>
      </rPr>
      <t>Wisconsin</t>
    </r>
  </si>
  <si>
    <r>
      <rPr>
        <sz val="10"/>
        <color rgb="FF003461"/>
        <rFont val="Arial"/>
        <family val="2"/>
      </rPr>
      <t>Wyoming</t>
    </r>
  </si>
  <si>
    <r>
      <rPr>
        <sz val="9"/>
        <color rgb="FF65666C"/>
        <rFont val="Arial"/>
        <family val="2"/>
      </rPr>
      <t>– Dash indicates zero.</t>
    </r>
  </si>
  <si>
    <r>
      <rPr>
        <vertAlign val="superscript"/>
        <sz val="5"/>
        <color rgb="FF65666C"/>
        <rFont val="Arial"/>
        <family val="2"/>
      </rPr>
      <t xml:space="preserve">1 </t>
    </r>
    <r>
      <rPr>
        <sz val="9"/>
        <color rgb="FF65666C"/>
        <rFont val="Arial"/>
        <family val="2"/>
      </rPr>
      <t>Includes both newly eligible and not newly eligible adults who are eligible under Section 1902(a)(10)(A)(i)(VIII) of the Act. Newly eligible adults include those who are not eligible for Medicaid under the rules that a state had in place on December 1, 2009. Not newly eligible adults include those who would have previously been eligible for Medicaid under the rules that a state had in place on December 1, 2009; this includes states that had already expanded to adults with incomes greater than 100 percent of the federal poverty level as of March 23, 2010, and receive the expansion state transitional matching rate.</t>
    </r>
  </si>
  <si>
    <r>
      <rPr>
        <vertAlign val="superscript"/>
        <sz val="5"/>
        <color rgb="FF65666C"/>
        <rFont val="Arial"/>
        <family val="2"/>
      </rPr>
      <t xml:space="preserve">2 </t>
    </r>
    <r>
      <rPr>
        <sz val="9"/>
        <color rgb="FF65666C"/>
        <rFont val="Arial"/>
        <family val="2"/>
      </rPr>
      <t>Includes adults under age 65 who qualify through a pathway other than disability or Section 1902(a)(10)(A)(i)(VIII) of the Act (e.g., parents and caretakers, pregnancy).</t>
    </r>
  </si>
  <si>
    <r>
      <rPr>
        <vertAlign val="superscript"/>
        <sz val="5"/>
        <color rgb="FF65666C"/>
        <rFont val="Arial"/>
        <family val="2"/>
      </rPr>
      <t xml:space="preserve">3  </t>
    </r>
    <r>
      <rPr>
        <sz val="9"/>
        <color rgb="FF65666C"/>
        <rFont val="Arial"/>
        <family val="2"/>
      </rPr>
      <t>In this table, full-benefit enrollees excludes those reported by states in T-MSIS as receiving coverage of only family planning services, assistance with Medicare premiums and cost sharing, emergency services, or COVID-19 diagnostic products or testing-related services.</t>
    </r>
  </si>
  <si>
    <r>
      <rPr>
        <vertAlign val="superscript"/>
        <sz val="5"/>
        <color rgb="FF65666C"/>
        <rFont val="Arial"/>
        <family val="2"/>
      </rPr>
      <t xml:space="preserve">4 </t>
    </r>
    <r>
      <rPr>
        <sz val="9"/>
        <color rgb="FF65666C"/>
        <rFont val="Arial"/>
        <family val="2"/>
      </rPr>
      <t>State reported CMS-64 spending that shows a difference greater than 20 percent when compared to the prior year. Arizona's spending on the CMS-64 was 23.0 percent higher compared with 2020. Kentucky's spending on the CMS-64 was 21.4 percent higher compared with 2020. Nebraska's spending on the CMS-64 was</t>
    </r>
  </si>
  <si>
    <r>
      <rPr>
        <sz val="9"/>
        <color rgb="FF65666C"/>
        <rFont val="Arial"/>
        <family val="2"/>
      </rPr>
      <t>33.9 percent higher compared with 2020.</t>
    </r>
  </si>
  <si>
    <r>
      <rPr>
        <vertAlign val="superscript"/>
        <sz val="5"/>
        <color rgb="FF65666C"/>
        <rFont val="Arial"/>
        <family val="2"/>
      </rPr>
      <t xml:space="preserve">5 </t>
    </r>
    <r>
      <rPr>
        <sz val="9"/>
        <color rgb="FF65666C"/>
        <rFont val="Arial"/>
        <family val="2"/>
      </rPr>
      <t>State has a state plan amendment (SPA) that allows the state to receive the enhanced federal medical assistance percentage (FMAP) for Medicaid children who would have, before January 1, 2014, been enrolled in CHIP if not for the elimination of the Medicaid asset test. These children cannot be separately identified in theT-MSIS data. Because the state claims the spending for these children as Medicaid-expansion CHIP, we reduced child enrollment and spending in these states based on the proportion reported in their SPA. Correspondingly, we reduced California's child FYE enrollment by approximately 229,000 and spending by $681.9 million, North Dakota's child FYE enrollment by approximately 2,600 and spending by $9.3 million, and Utah's child FYE enrollment by approximately 10,900 and spending by $33.5 million.</t>
    </r>
  </si>
  <si>
    <r>
      <rPr>
        <vertAlign val="superscript"/>
        <sz val="5"/>
        <color rgb="FF65666C"/>
        <rFont val="Arial"/>
        <family val="2"/>
      </rPr>
      <t xml:space="preserve">6 </t>
    </r>
    <r>
      <rPr>
        <sz val="9"/>
        <color rgb="FF65666C"/>
        <rFont val="Arial"/>
        <family val="2"/>
      </rPr>
      <t>State reported a large shift of enrollees between eligibility groups. Colorado reported a 54 percent increase in the new adult group and a 41 percent decrease for the other adult group. Indiana reported a 1.2 percent increase for the new adult group and an 80 percent increase for the other adult group. Louisiana reported a 28 percent increase in the new adult group and a 0.5 percent increase in the other adult group. Oregon reported a 45 percent increase in the new adult group, a 67 percent decrease in the other adult group, a 76 percent increase in the disabled group, and a 32 percent increase in the aged group.</t>
    </r>
  </si>
  <si>
    <r>
      <rPr>
        <vertAlign val="superscript"/>
        <sz val="5"/>
        <color rgb="FF65666C"/>
        <rFont val="Arial"/>
        <family val="2"/>
      </rPr>
      <t xml:space="preserve">7 </t>
    </r>
    <r>
      <rPr>
        <sz val="9"/>
        <color rgb="FF65666C"/>
        <rFont val="Arial"/>
        <family val="2"/>
      </rPr>
      <t>State reported enrollment for the new adult group that shows a difference of greater than 20 percent when compared to the CMS-64 enrollment report. The District of Columbia's average monthly enrollment was 36 percent less than the benchmark, and Illinois's average monthly enrollment was 113 percent more than the benchmark.</t>
    </r>
  </si>
  <si>
    <r>
      <rPr>
        <vertAlign val="superscript"/>
        <sz val="5"/>
        <color rgb="FF65666C"/>
        <rFont val="Arial"/>
        <family val="2"/>
      </rPr>
      <t xml:space="preserve">8 </t>
    </r>
    <r>
      <rPr>
        <sz val="9"/>
        <color rgb="FF65666C"/>
        <rFont val="Arial"/>
        <family val="2"/>
      </rPr>
      <t>Spending total excludes a small amount of fee-for-service (FFS) drug spending reported on the CMS-64 because there were no FFS drug claims reported in T-MSIS.</t>
    </r>
  </si>
  <si>
    <r>
      <rPr>
        <vertAlign val="superscript"/>
        <sz val="5"/>
        <color rgb="FF65666C"/>
        <rFont val="Arial"/>
        <family val="2"/>
      </rPr>
      <t xml:space="preserve">9 </t>
    </r>
    <r>
      <rPr>
        <sz val="9"/>
        <color rgb="FF65666C"/>
        <rFont val="Arial"/>
        <family val="2"/>
      </rPr>
      <t>State reported enrollment for the new adult group even though it had not expanded coverage in FY 2021.</t>
    </r>
  </si>
  <si>
    <r>
      <rPr>
        <vertAlign val="superscript"/>
        <sz val="5"/>
        <color rgb="FF65666C"/>
        <rFont val="Arial"/>
        <family val="2"/>
      </rPr>
      <t xml:space="preserve">10  </t>
    </r>
    <r>
      <rPr>
        <sz val="9"/>
        <color rgb="FF65666C"/>
        <rFont val="Arial"/>
        <family val="2"/>
      </rPr>
      <t>Due to large differences in the way spending is reported by Vermont in CMS-64 and T-MSIS data, MACPAC’s adjustment methodology is applied only to total Medicaid spending.</t>
    </r>
  </si>
  <si>
    <r>
      <rPr>
        <b/>
        <sz val="9"/>
        <color rgb="FF65666C"/>
        <rFont val="Arial"/>
        <family val="2"/>
      </rPr>
      <t xml:space="preserve">Sources: </t>
    </r>
    <r>
      <rPr>
        <sz val="9"/>
        <color rgb="FF65666C"/>
        <rFont val="Arial"/>
        <family val="2"/>
      </rPr>
      <t>MACPAC, 2023, analysis of T-MSIS data as of February 2023 and analysis of CMS-64 financial management report net expenditure data as of June 2022.</t>
    </r>
  </si>
  <si>
    <r>
      <rPr>
        <b/>
        <vertAlign val="subscript"/>
        <sz val="12"/>
        <rFont val="Arial"/>
        <family val="2"/>
      </rPr>
      <t>S</t>
    </r>
    <r>
      <rPr>
        <b/>
        <sz val="12"/>
        <rFont val="Arial"/>
        <family val="2"/>
      </rPr>
      <t>S</t>
    </r>
    <r>
      <rPr>
        <b/>
        <vertAlign val="subscript"/>
        <sz val="12"/>
        <rFont val="Arial"/>
        <family val="2"/>
      </rPr>
      <t>e</t>
    </r>
    <r>
      <rPr>
        <b/>
        <sz val="12"/>
        <rFont val="Arial"/>
        <family val="2"/>
      </rPr>
      <t>e</t>
    </r>
    <r>
      <rPr>
        <b/>
        <vertAlign val="subscript"/>
        <sz val="12"/>
        <rFont val="Arial"/>
        <family val="2"/>
      </rPr>
      <t>c</t>
    </r>
    <r>
      <rPr>
        <b/>
        <sz val="12"/>
        <rFont val="Arial"/>
        <family val="2"/>
      </rPr>
      <t>c</t>
    </r>
    <r>
      <rPr>
        <b/>
        <vertAlign val="subscript"/>
        <sz val="12"/>
        <rFont val="Arial"/>
        <family val="2"/>
      </rPr>
      <t>t</t>
    </r>
    <r>
      <rPr>
        <b/>
        <sz val="12"/>
        <rFont val="Arial"/>
        <family val="2"/>
      </rPr>
      <t>t</t>
    </r>
    <r>
      <rPr>
        <b/>
        <vertAlign val="subscript"/>
        <sz val="12"/>
        <rFont val="Arial"/>
        <family val="2"/>
      </rPr>
      <t>i</t>
    </r>
    <r>
      <rPr>
        <b/>
        <sz val="12"/>
        <rFont val="Arial"/>
        <family val="2"/>
      </rPr>
      <t>i</t>
    </r>
    <r>
      <rPr>
        <b/>
        <vertAlign val="subscript"/>
        <sz val="12"/>
        <rFont val="Arial"/>
        <family val="2"/>
      </rPr>
      <t>o</t>
    </r>
    <r>
      <rPr>
        <b/>
        <sz val="12"/>
        <rFont val="Arial"/>
        <family val="2"/>
      </rPr>
      <t>o</t>
    </r>
    <r>
      <rPr>
        <b/>
        <vertAlign val="subscript"/>
        <sz val="12"/>
        <rFont val="Arial"/>
        <family val="2"/>
      </rPr>
      <t>n</t>
    </r>
    <r>
      <rPr>
        <b/>
        <sz val="12"/>
        <rFont val="Arial"/>
        <family val="2"/>
      </rPr>
      <t xml:space="preserve">n </t>
    </r>
    <r>
      <rPr>
        <b/>
        <vertAlign val="subscript"/>
        <sz val="12"/>
        <rFont val="Arial"/>
        <family val="2"/>
      </rPr>
      <t>3</t>
    </r>
    <r>
      <rPr>
        <b/>
        <sz val="12"/>
        <rFont val="Arial"/>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</si>
</sst>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1" x14ac:knownFonts="1">
    <font>
      <sz val="10"/>
      <color rgb="FF000000"/>
      <name val="Times New Roman"/>
      <charset val="204"/>
    </font>
    <font>
      <b/>
      <sz val="10"/>
      <name val="Arial"/>
      <family val="2"/>
    </font>
    <font>
      <b/>
      <sz val="10"/>
      <color rgb="FF000000"/>
      <name val="Arial"/>
      <family val="2"/>
    </font>
    <font>
      <sz val="10"/>
      <name val="Arial"/>
      <family val="2"/>
    </font>
    <font>
      <sz val="10"/>
      <color rgb="FF000000"/>
      <name val="Arial"/>
      <family val="2"/>
    </font>
    <font>
      <b/>
      <sz val="13"/>
      <name val="Arial"/>
      <family val="2"/>
    </font>
    <font>
      <b/>
      <sz val="12"/>
      <name val="Arial"/>
      <family val="2"/>
    </font>
    <font>
      <sz val="9"/>
      <name val="Arial"/>
      <family val="2"/>
    </font>
    <font>
      <b/>
      <sz val="6"/>
      <color rgb="FF000000"/>
      <name val="Arial"/>
      <family val="2"/>
    </font>
    <font>
      <sz val="6"/>
      <color rgb="FF000000"/>
      <name val="Arial"/>
      <family val="2"/>
    </font>
    <font>
      <b/>
      <sz val="10"/>
      <color rgb="FF003461"/>
      <name val="Arial"/>
      <family val="2"/>
    </font>
    <font>
      <sz val="10"/>
      <color rgb="FF003461"/>
      <name val="Arial"/>
      <family val="2"/>
    </font>
    <font>
      <b/>
      <sz val="10"/>
      <color rgb="FFFFFFFF"/>
      <name val="Arial"/>
      <family val="2"/>
    </font>
    <font>
      <b/>
      <vertAlign val="superscript"/>
      <sz val="6"/>
      <color rgb="FFFFFFFF"/>
      <name val="Arial"/>
      <family val="2"/>
    </font>
    <font>
      <sz val="6"/>
      <color rgb="FF003461"/>
      <name val="Arial"/>
      <family val="2"/>
    </font>
    <font>
      <vertAlign val="superscript"/>
      <sz val="6"/>
      <color rgb="FF003461"/>
      <name val="Arial"/>
      <family val="2"/>
    </font>
    <font>
      <b/>
      <sz val="9"/>
      <color rgb="FF65666C"/>
      <name val="Arial"/>
      <family val="2"/>
    </font>
    <font>
      <sz val="9"/>
      <color rgb="FF65666C"/>
      <name val="Arial"/>
      <family val="2"/>
    </font>
    <font>
      <u/>
      <sz val="9"/>
      <color rgb="FF175676"/>
      <name val="Arial"/>
      <family val="2"/>
    </font>
    <font>
      <vertAlign val="superscript"/>
      <sz val="5"/>
      <color rgb="FF65666C"/>
      <name val="Arial"/>
      <family val="2"/>
    </font>
    <font>
      <b/>
      <vertAlign val="subscript"/>
      <sz val="12"/>
      <name val="Arial"/>
      <family val="2"/>
    </font>
  </fonts>
  <fills count="5">
    <fill>
      <patternFill patternType="none"/>
    </fill>
    <fill>
      <patternFill patternType="gray125"/>
    </fill>
    <fill>
      <patternFill patternType="solid">
        <fgColor rgb="FF40434B"/>
      </patternFill>
    </fill>
    <fill>
      <patternFill patternType="solid">
        <fgColor rgb="FF008170"/>
      </patternFill>
    </fill>
    <fill>
      <patternFill patternType="solid">
        <fgColor rgb="FFE6E7E8"/>
      </patternFill>
    </fill>
  </fills>
  <borders count="10">
    <border>
      <left/>
      <right/>
      <top/>
      <bottom/>
      <diagonal/>
    </border>
    <border>
      <left style="thin">
        <color rgb="FFC7C8CA"/>
      </left>
      <right style="thin">
        <color rgb="FFC7C8CA"/>
      </right>
      <top style="thin">
        <color rgb="FFC7C8CA"/>
      </top>
      <bottom/>
      <diagonal/>
    </border>
    <border>
      <left style="thin">
        <color rgb="FFC7C8CA"/>
      </left>
      <right style="thin">
        <color rgb="FFC7C8CA"/>
      </right>
      <top style="thin">
        <color rgb="FFC7C8CA"/>
      </top>
      <bottom style="thin">
        <color rgb="FFC7C8CA"/>
      </bottom>
      <diagonal/>
    </border>
    <border>
      <left style="thin">
        <color rgb="FFC7C8CA"/>
      </left>
      <right/>
      <top style="thin">
        <color rgb="FFC7C8CA"/>
      </top>
      <bottom style="thin">
        <color rgb="FFC7C8CA"/>
      </bottom>
      <diagonal/>
    </border>
    <border>
      <left/>
      <right style="thin">
        <color rgb="FFC7C8CA"/>
      </right>
      <top style="thin">
        <color rgb="FFC7C8CA"/>
      </top>
      <bottom style="thin">
        <color rgb="FFC7C8CA"/>
      </bottom>
      <diagonal/>
    </border>
    <border>
      <left/>
      <right/>
      <top style="thin">
        <color rgb="FFC7C8CA"/>
      </top>
      <bottom style="thin">
        <color rgb="FFC7C8CA"/>
      </bottom>
      <diagonal/>
    </border>
    <border>
      <left style="thin">
        <color rgb="FFC7C8CA"/>
      </left>
      <right style="thin">
        <color rgb="FFC7C8CA"/>
      </right>
      <top/>
      <bottom style="thin">
        <color rgb="FFC7C8CA"/>
      </bottom>
      <diagonal/>
    </border>
    <border>
      <left style="thin">
        <color rgb="FFC7C8CA"/>
      </left>
      <right style="thin">
        <color rgb="FFC7C8CA"/>
      </right>
      <top style="thin">
        <color rgb="FFE6E7E8"/>
      </top>
      <bottom style="thin">
        <color rgb="FFC7C8CA"/>
      </bottom>
      <diagonal/>
    </border>
    <border>
      <left style="thin">
        <color rgb="FFC7C8CA"/>
      </left>
      <right/>
      <top style="thin">
        <color rgb="FFE6E7E8"/>
      </top>
      <bottom style="thin">
        <color rgb="FFC7C8CA"/>
      </bottom>
      <diagonal/>
    </border>
    <border>
      <left/>
      <right style="thin">
        <color rgb="FFC7C8CA"/>
      </right>
      <top style="thin">
        <color rgb="FFE6E7E8"/>
      </top>
      <bottom style="thin">
        <color rgb="FFC7C8CA"/>
      </bottom>
      <diagonal/>
    </border>
  </borders>
  <cellStyleXfs count="1">
    <xf numFmtId="0" fontId="0" fillId="0" borderId="0"/>
  </cellStyleXfs>
  <cellXfs count="66">
    <xf numFmtId="0" fontId="0" fillId="0" borderId="0" xfId="0" applyAlignment="1">
      <alignment horizontal="left" vertical="top"/>
    </xf>
    <xf numFmtId="0" fontId="0" fillId="2" borderId="1" xfId="0" applyFill="1" applyBorder="1" applyAlignment="1">
      <alignment horizontal="left" vertical="top" wrapText="1"/>
    </xf>
    <xf numFmtId="0" fontId="1" fillId="2" borderId="6" xfId="0" applyFont="1" applyFill="1" applyBorder="1" applyAlignment="1">
      <alignment horizontal="left" vertical="center" wrapText="1"/>
    </xf>
    <xf numFmtId="0" fontId="1" fillId="3" borderId="2" xfId="0" applyFont="1" applyFill="1" applyBorder="1" applyAlignment="1">
      <alignment horizontal="left" vertical="top" wrapText="1"/>
    </xf>
    <xf numFmtId="0" fontId="0" fillId="3" borderId="2" xfId="0" applyFill="1" applyBorder="1" applyAlignment="1">
      <alignment horizontal="center" vertical="top" wrapText="1"/>
    </xf>
    <xf numFmtId="0" fontId="1" fillId="0" borderId="2" xfId="0" applyFont="1" applyBorder="1" applyAlignment="1">
      <alignment horizontal="left" vertical="top" wrapText="1"/>
    </xf>
    <xf numFmtId="164" fontId="2" fillId="0" borderId="2" xfId="0" applyNumberFormat="1" applyFont="1" applyBorder="1" applyAlignment="1">
      <alignment horizontal="right" vertical="top" wrapText="1" indent="1"/>
    </xf>
    <xf numFmtId="164" fontId="2" fillId="0" borderId="2" xfId="0" applyNumberFormat="1" applyFont="1" applyBorder="1" applyAlignment="1">
      <alignment horizontal="center" vertical="top" wrapText="1"/>
    </xf>
    <xf numFmtId="0" fontId="3" fillId="4" borderId="2" xfId="0" applyFont="1" applyFill="1" applyBorder="1" applyAlignment="1">
      <alignment horizontal="left" vertical="top" wrapText="1"/>
    </xf>
    <xf numFmtId="3" fontId="2" fillId="4" borderId="2" xfId="0" applyNumberFormat="1" applyFont="1" applyFill="1" applyBorder="1" applyAlignment="1">
      <alignment horizontal="right" vertical="top" wrapText="1" indent="1"/>
    </xf>
    <xf numFmtId="3" fontId="4" fillId="4" borderId="2" xfId="0" applyNumberFormat="1" applyFont="1" applyFill="1" applyBorder="1" applyAlignment="1">
      <alignment horizontal="right" vertical="top" wrapText="1" indent="1"/>
    </xf>
    <xf numFmtId="0" fontId="3" fillId="4" borderId="2" xfId="0" applyFont="1" applyFill="1" applyBorder="1" applyAlignment="1">
      <alignment horizontal="right" vertical="top" wrapText="1" indent="1"/>
    </xf>
    <xf numFmtId="3" fontId="4" fillId="4" borderId="2" xfId="0" applyNumberFormat="1" applyFont="1" applyFill="1" applyBorder="1" applyAlignment="1">
      <alignment horizontal="center" vertical="top" wrapText="1"/>
    </xf>
    <xf numFmtId="0" fontId="3" fillId="0" borderId="2" xfId="0" applyFont="1" applyBorder="1" applyAlignment="1">
      <alignment horizontal="left" vertical="top" wrapText="1"/>
    </xf>
    <xf numFmtId="3" fontId="2" fillId="0" borderId="2" xfId="0" applyNumberFormat="1" applyFont="1" applyBorder="1" applyAlignment="1">
      <alignment horizontal="right" vertical="top" wrapText="1" indent="1"/>
    </xf>
    <xf numFmtId="3" fontId="4" fillId="0" borderId="2" xfId="0" applyNumberFormat="1" applyFont="1" applyBorder="1" applyAlignment="1">
      <alignment horizontal="right" vertical="top" wrapText="1" indent="1"/>
    </xf>
    <xf numFmtId="3" fontId="4" fillId="0" borderId="2" xfId="0" applyNumberFormat="1" applyFont="1" applyBorder="1" applyAlignment="1">
      <alignment horizontal="center" vertical="top" wrapText="1"/>
    </xf>
    <xf numFmtId="0" fontId="0" fillId="4" borderId="2" xfId="0" applyFill="1" applyBorder="1" applyAlignment="1">
      <alignment horizontal="left" vertical="top" wrapText="1"/>
    </xf>
    <xf numFmtId="0" fontId="0" fillId="0" borderId="2" xfId="0" applyBorder="1" applyAlignment="1">
      <alignment horizontal="left" vertical="top" wrapText="1"/>
    </xf>
    <xf numFmtId="0" fontId="0" fillId="4" borderId="2" xfId="0" applyFill="1" applyBorder="1" applyAlignment="1">
      <alignment horizontal="right" vertical="top" wrapText="1"/>
    </xf>
    <xf numFmtId="0" fontId="3" fillId="0" borderId="7" xfId="0" applyFont="1" applyBorder="1" applyAlignment="1">
      <alignment horizontal="left" vertical="top" wrapText="1"/>
    </xf>
    <xf numFmtId="3" fontId="2" fillId="0" borderId="7" xfId="0" applyNumberFormat="1" applyFont="1" applyBorder="1" applyAlignment="1">
      <alignment horizontal="right" vertical="top" wrapText="1" indent="1"/>
    </xf>
    <xf numFmtId="3" fontId="4" fillId="0" borderId="7" xfId="0" applyNumberFormat="1" applyFont="1" applyBorder="1" applyAlignment="1">
      <alignment horizontal="right" vertical="top" wrapText="1" indent="1"/>
    </xf>
    <xf numFmtId="0" fontId="3" fillId="0" borderId="7" xfId="0" applyFont="1" applyBorder="1" applyAlignment="1">
      <alignment horizontal="right" vertical="top" wrapText="1" indent="1"/>
    </xf>
    <xf numFmtId="3" fontId="4" fillId="0" borderId="7" xfId="0" applyNumberFormat="1" applyFont="1" applyBorder="1" applyAlignment="1">
      <alignment horizontal="center" vertical="top" wrapText="1"/>
    </xf>
    <xf numFmtId="0" fontId="6" fillId="0" borderId="0" xfId="0" applyFont="1" applyAlignment="1">
      <alignment horizontal="left" vertical="top"/>
    </xf>
    <xf numFmtId="0" fontId="7" fillId="0" borderId="0" xfId="0" applyFont="1" applyAlignment="1">
      <alignment horizontal="left" vertical="top"/>
    </xf>
    <xf numFmtId="164" fontId="2" fillId="4" borderId="2" xfId="0" applyNumberFormat="1" applyFont="1" applyFill="1" applyBorder="1" applyAlignment="1">
      <alignment horizontal="center" vertical="top" wrapText="1"/>
    </xf>
    <xf numFmtId="164" fontId="2" fillId="4" borderId="2" xfId="0" applyNumberFormat="1" applyFont="1" applyFill="1" applyBorder="1" applyAlignment="1">
      <alignment horizontal="right" vertical="top" wrapText="1" indent="1"/>
    </xf>
    <xf numFmtId="164" fontId="4" fillId="4" borderId="2" xfId="0" applyNumberFormat="1" applyFont="1" applyFill="1" applyBorder="1" applyAlignment="1">
      <alignment horizontal="right" vertical="top" wrapText="1" indent="1"/>
    </xf>
    <xf numFmtId="3" fontId="2" fillId="0" borderId="2" xfId="0" applyNumberFormat="1" applyFont="1" applyBorder="1" applyAlignment="1">
      <alignment horizontal="center" vertical="top" wrapText="1"/>
    </xf>
    <xf numFmtId="3" fontId="2" fillId="4" borderId="2" xfId="0" applyNumberFormat="1" applyFont="1" applyFill="1" applyBorder="1" applyAlignment="1">
      <alignment horizontal="center" vertical="top" wrapText="1"/>
    </xf>
    <xf numFmtId="0" fontId="3" fillId="0" borderId="2" xfId="0" applyFont="1" applyBorder="1" applyAlignment="1">
      <alignment horizontal="right" vertical="top" wrapText="1" indent="1"/>
    </xf>
    <xf numFmtId="3" fontId="2" fillId="0" borderId="7" xfId="0" applyNumberFormat="1" applyFont="1" applyBorder="1" applyAlignment="1">
      <alignment horizontal="center" vertical="top" wrapText="1"/>
    </xf>
    <xf numFmtId="1" fontId="8" fillId="0" borderId="2" xfId="0" applyNumberFormat="1" applyFont="1" applyBorder="1" applyAlignment="1">
      <alignment horizontal="right" vertical="top" wrapText="1" indent="1"/>
    </xf>
    <xf numFmtId="1" fontId="9" fillId="0" borderId="2" xfId="0" applyNumberFormat="1" applyFont="1" applyBorder="1" applyAlignment="1">
      <alignment horizontal="right" vertical="top" wrapText="1" inden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0" fillId="2" borderId="3" xfId="0" applyFill="1" applyBorder="1" applyAlignment="1">
      <alignment horizontal="left" vertical="top" wrapText="1" indent="1"/>
    </xf>
    <xf numFmtId="0" fontId="0" fillId="2" borderId="4" xfId="0" applyFill="1" applyBorder="1" applyAlignment="1">
      <alignment horizontal="left" vertical="top" wrapText="1" indent="1"/>
    </xf>
    <xf numFmtId="0" fontId="0" fillId="2" borderId="3" xfId="0" applyFill="1" applyBorder="1" applyAlignment="1">
      <alignment horizontal="left" vertical="top" wrapText="1" indent="2"/>
    </xf>
    <xf numFmtId="0" fontId="0" fillId="2" borderId="4" xfId="0" applyFill="1" applyBorder="1" applyAlignment="1">
      <alignment horizontal="left" vertical="top" wrapText="1" indent="2"/>
    </xf>
    <xf numFmtId="0" fontId="1" fillId="2" borderId="3" xfId="0" applyFont="1" applyFill="1" applyBorder="1" applyAlignment="1">
      <alignment horizontal="left" vertical="top" wrapText="1" indent="3"/>
    </xf>
    <xf numFmtId="0" fontId="1" fillId="2" borderId="5" xfId="0" applyFont="1" applyFill="1" applyBorder="1" applyAlignment="1">
      <alignment horizontal="left" vertical="top" wrapText="1" indent="3"/>
    </xf>
    <xf numFmtId="0" fontId="1" fillId="2" borderId="4" xfId="0" applyFont="1" applyFill="1" applyBorder="1" applyAlignment="1">
      <alignment horizontal="left" vertical="top" wrapText="1" indent="3"/>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xf numFmtId="164" fontId="2" fillId="0" borderId="3" xfId="0" applyNumberFormat="1" applyFont="1" applyBorder="1" applyAlignment="1">
      <alignment horizontal="center" vertical="top" wrapText="1"/>
    </xf>
    <xf numFmtId="164" fontId="2" fillId="0" borderId="4" xfId="0" applyNumberFormat="1" applyFont="1" applyBorder="1" applyAlignment="1">
      <alignment horizontal="center" vertical="top" wrapText="1"/>
    </xf>
    <xf numFmtId="3" fontId="4" fillId="4" borderId="3" xfId="0" applyNumberFormat="1" applyFont="1" applyFill="1" applyBorder="1" applyAlignment="1">
      <alignment horizontal="center" vertical="top" wrapText="1"/>
    </xf>
    <xf numFmtId="3" fontId="4" fillId="4" borderId="4" xfId="0" applyNumberFormat="1" applyFont="1" applyFill="1" applyBorder="1" applyAlignment="1">
      <alignment horizontal="center" vertical="top" wrapText="1"/>
    </xf>
    <xf numFmtId="3" fontId="4" fillId="0" borderId="3" xfId="0" applyNumberFormat="1" applyFont="1" applyBorder="1" applyAlignment="1">
      <alignment horizontal="center" vertical="top" wrapText="1"/>
    </xf>
    <xf numFmtId="3" fontId="4" fillId="0" borderId="4" xfId="0" applyNumberFormat="1" applyFont="1" applyBorder="1" applyAlignment="1">
      <alignment horizontal="center" vertical="top" wrapText="1"/>
    </xf>
    <xf numFmtId="3" fontId="4" fillId="0" borderId="8" xfId="0" applyNumberFormat="1" applyFont="1" applyBorder="1" applyAlignment="1">
      <alignment horizontal="center" vertical="top" wrapText="1"/>
    </xf>
    <xf numFmtId="3" fontId="4" fillId="0" borderId="9" xfId="0" applyNumberFormat="1" applyFont="1" applyBorder="1" applyAlignment="1">
      <alignment horizontal="center" vertical="top" wrapText="1"/>
    </xf>
    <xf numFmtId="0" fontId="5" fillId="4" borderId="0" xfId="0" applyFont="1" applyFill="1" applyAlignment="1">
      <alignment horizontal="left" vertical="top" wrapText="1" indent="7"/>
    </xf>
    <xf numFmtId="164" fontId="4" fillId="4" borderId="3" xfId="0" applyNumberFormat="1" applyFont="1" applyFill="1" applyBorder="1" applyAlignment="1">
      <alignment horizontal="right" vertical="top" wrapText="1" indent="1"/>
    </xf>
    <xf numFmtId="164" fontId="4" fillId="4" borderId="4" xfId="0" applyNumberFormat="1" applyFont="1" applyFill="1" applyBorder="1" applyAlignment="1">
      <alignment horizontal="right" vertical="top" wrapText="1" indent="1"/>
    </xf>
    <xf numFmtId="3" fontId="4" fillId="0" borderId="3" xfId="0" applyNumberFormat="1" applyFont="1" applyBorder="1" applyAlignment="1">
      <alignment horizontal="right" vertical="top" wrapText="1" indent="1"/>
    </xf>
    <xf numFmtId="3" fontId="4" fillId="0" borderId="4" xfId="0" applyNumberFormat="1" applyFont="1" applyBorder="1" applyAlignment="1">
      <alignment horizontal="right" vertical="top" wrapText="1" indent="1"/>
    </xf>
    <xf numFmtId="3" fontId="4" fillId="4" borderId="3" xfId="0" applyNumberFormat="1" applyFont="1" applyFill="1" applyBorder="1" applyAlignment="1">
      <alignment horizontal="right" vertical="top" wrapText="1" indent="1"/>
    </xf>
    <xf numFmtId="3" fontId="4" fillId="4" borderId="4" xfId="0" applyNumberFormat="1" applyFont="1" applyFill="1" applyBorder="1" applyAlignment="1">
      <alignment horizontal="right" vertical="top" wrapText="1" indent="1"/>
    </xf>
    <xf numFmtId="3" fontId="4" fillId="0" borderId="8" xfId="0" applyNumberFormat="1" applyFont="1" applyBorder="1" applyAlignment="1">
      <alignment horizontal="right" vertical="top" wrapText="1" indent="1"/>
    </xf>
    <xf numFmtId="3" fontId="4" fillId="0" borderId="9" xfId="0" applyNumberFormat="1" applyFont="1" applyBorder="1" applyAlignment="1">
      <alignment horizontal="right" vertical="top" wrapText="1" indent="1"/>
    </xf>
    <xf numFmtId="1" fontId="9" fillId="0" borderId="3" xfId="0" applyNumberFormat="1" applyFont="1" applyBorder="1" applyAlignment="1">
      <alignment horizontal="right" vertical="top" wrapText="1" indent="1"/>
    </xf>
    <xf numFmtId="1" fontId="9" fillId="0" borderId="4" xfId="0" applyNumberFormat="1" applyFont="1" applyBorder="1" applyAlignment="1">
      <alignment horizontal="righ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2"/>
  <sheetViews>
    <sheetView tabSelected="1" workbookViewId="0">
      <pane ySplit="3" topLeftCell="A59" activePane="bottomLeft" state="frozen"/>
      <selection pane="bottomLeft" activeCell="A4" sqref="A4"/>
    </sheetView>
  </sheetViews>
  <sheetFormatPr defaultRowHeight="13" x14ac:dyDescent="0.3"/>
  <cols>
    <col min="1" max="1" width="22" customWidth="1"/>
    <col min="2" max="2" width="10.3984375" customWidth="1"/>
    <col min="3" max="3" width="11.59765625" customWidth="1"/>
    <col min="4" max="8" width="10.3984375" customWidth="1"/>
    <col min="9" max="9" width="11.59765625" customWidth="1"/>
    <col min="10" max="10" width="2.19921875" customWidth="1"/>
    <col min="11" max="11" width="8" customWidth="1"/>
    <col min="12" max="14" width="10.3984375" customWidth="1"/>
  </cols>
  <sheetData>
    <row r="1" spans="1:14" ht="14" customHeight="1" x14ac:dyDescent="0.3">
      <c r="A1" t="s">
        <v>0</v>
      </c>
    </row>
    <row r="2" spans="1:14" ht="11" customHeight="1" x14ac:dyDescent="0.3">
      <c r="A2" s="1"/>
      <c r="B2" s="36" t="s">
        <v>1</v>
      </c>
      <c r="C2" s="37"/>
      <c r="D2" s="36" t="s">
        <v>2</v>
      </c>
      <c r="E2" s="37"/>
      <c r="F2" s="38" t="s">
        <v>3</v>
      </c>
      <c r="G2" s="39"/>
      <c r="H2" s="40" t="s">
        <v>4</v>
      </c>
      <c r="I2" s="41"/>
      <c r="J2" s="42" t="s">
        <v>5</v>
      </c>
      <c r="K2" s="43"/>
      <c r="L2" s="44"/>
      <c r="M2" s="36" t="s">
        <v>6</v>
      </c>
      <c r="N2" s="37"/>
    </row>
    <row r="3" spans="1:14" ht="32" customHeight="1" x14ac:dyDescent="0.3">
      <c r="A3" s="2" t="s">
        <v>7</v>
      </c>
      <c r="B3" s="3" t="s">
        <v>8</v>
      </c>
      <c r="C3" s="4" t="s">
        <v>9</v>
      </c>
      <c r="D3" s="3" t="s">
        <v>8</v>
      </c>
      <c r="E3" s="4" t="s">
        <v>9</v>
      </c>
      <c r="F3" s="3" t="s">
        <v>8</v>
      </c>
      <c r="G3" s="4" t="s">
        <v>9</v>
      </c>
      <c r="H3" s="3" t="s">
        <v>8</v>
      </c>
      <c r="I3" s="4" t="s">
        <v>9</v>
      </c>
      <c r="J3" s="45" t="s">
        <v>8</v>
      </c>
      <c r="K3" s="46"/>
      <c r="L3" s="4" t="s">
        <v>9</v>
      </c>
      <c r="M3" s="3" t="s">
        <v>8</v>
      </c>
      <c r="N3" s="4" t="s">
        <v>9</v>
      </c>
    </row>
    <row r="4" spans="1:14" ht="15" customHeight="1" x14ac:dyDescent="0.3">
      <c r="A4" s="5" t="s">
        <v>10</v>
      </c>
      <c r="B4" s="6">
        <v>8651</v>
      </c>
      <c r="C4" s="6">
        <v>9175</v>
      </c>
      <c r="D4" s="6">
        <v>3584</v>
      </c>
      <c r="E4" s="6">
        <v>3591</v>
      </c>
      <c r="F4" s="6">
        <v>7486</v>
      </c>
      <c r="G4" s="6">
        <v>7508</v>
      </c>
      <c r="H4" s="6">
        <v>5462</v>
      </c>
      <c r="I4" s="7">
        <v>6388</v>
      </c>
      <c r="J4" s="47">
        <v>23935</v>
      </c>
      <c r="K4" s="48"/>
      <c r="L4" s="7">
        <v>26762</v>
      </c>
      <c r="M4" s="6">
        <v>18514</v>
      </c>
      <c r="N4" s="6">
        <v>24247</v>
      </c>
    </row>
    <row r="5" spans="1:14" ht="15" customHeight="1" x14ac:dyDescent="0.3">
      <c r="A5" s="8" t="s">
        <v>11</v>
      </c>
      <c r="B5" s="9">
        <v>5835</v>
      </c>
      <c r="C5" s="9">
        <v>6848</v>
      </c>
      <c r="D5" s="10">
        <v>2641</v>
      </c>
      <c r="E5" s="10">
        <v>2641</v>
      </c>
      <c r="F5" s="11" t="s">
        <v>12</v>
      </c>
      <c r="G5" s="11" t="s">
        <v>12</v>
      </c>
      <c r="H5" s="10">
        <v>3474</v>
      </c>
      <c r="I5" s="12">
        <v>5032</v>
      </c>
      <c r="J5" s="49">
        <v>13451</v>
      </c>
      <c r="K5" s="50"/>
      <c r="L5" s="12">
        <v>17454</v>
      </c>
      <c r="M5" s="10">
        <v>10497</v>
      </c>
      <c r="N5" s="10">
        <v>24247</v>
      </c>
    </row>
    <row r="6" spans="1:14" ht="13" customHeight="1" x14ac:dyDescent="0.3">
      <c r="A6" s="13" t="s">
        <v>13</v>
      </c>
      <c r="B6" s="14">
        <v>9050</v>
      </c>
      <c r="C6" s="14">
        <v>9083</v>
      </c>
      <c r="D6" s="15">
        <v>5110</v>
      </c>
      <c r="E6" s="15">
        <v>5110</v>
      </c>
      <c r="F6" s="15">
        <v>8205</v>
      </c>
      <c r="G6" s="15">
        <v>8205</v>
      </c>
      <c r="H6" s="15">
        <v>7093</v>
      </c>
      <c r="I6" s="16">
        <v>7093</v>
      </c>
      <c r="J6" s="51">
        <v>32182</v>
      </c>
      <c r="K6" s="52"/>
      <c r="L6" s="16">
        <v>32698</v>
      </c>
      <c r="M6" s="15">
        <v>21447</v>
      </c>
      <c r="N6" s="15">
        <v>22789</v>
      </c>
    </row>
    <row r="7" spans="1:14" ht="15" customHeight="1" x14ac:dyDescent="0.3">
      <c r="A7" s="17" t="s">
        <v>14</v>
      </c>
      <c r="B7" s="9">
        <v>8305</v>
      </c>
      <c r="C7" s="9">
        <v>8921</v>
      </c>
      <c r="D7" s="10">
        <v>3543</v>
      </c>
      <c r="E7" s="10">
        <v>3584</v>
      </c>
      <c r="F7" s="10">
        <v>9163</v>
      </c>
      <c r="G7" s="10">
        <v>9613</v>
      </c>
      <c r="H7" s="10">
        <v>5916</v>
      </c>
      <c r="I7" s="12">
        <v>6930</v>
      </c>
      <c r="J7" s="49">
        <v>29098</v>
      </c>
      <c r="K7" s="50"/>
      <c r="L7" s="12">
        <v>31658</v>
      </c>
      <c r="M7" s="10">
        <v>9955</v>
      </c>
      <c r="N7" s="10">
        <v>12484</v>
      </c>
    </row>
    <row r="8" spans="1:14" ht="15" customHeight="1" x14ac:dyDescent="0.3">
      <c r="A8" s="13" t="s">
        <v>15</v>
      </c>
      <c r="B8" s="14">
        <v>7490</v>
      </c>
      <c r="C8" s="14">
        <v>7850</v>
      </c>
      <c r="D8" s="15">
        <v>4062</v>
      </c>
      <c r="E8" s="15">
        <v>4061</v>
      </c>
      <c r="F8" s="15">
        <v>7191</v>
      </c>
      <c r="G8" s="15">
        <v>7190</v>
      </c>
      <c r="H8" s="15">
        <v>5957</v>
      </c>
      <c r="I8" s="16">
        <v>5957</v>
      </c>
      <c r="J8" s="51">
        <v>15013</v>
      </c>
      <c r="K8" s="52"/>
      <c r="L8" s="16">
        <v>18711</v>
      </c>
      <c r="M8" s="15">
        <v>13456</v>
      </c>
      <c r="N8" s="15">
        <v>21862</v>
      </c>
    </row>
    <row r="9" spans="1:14" ht="15" customHeight="1" x14ac:dyDescent="0.3">
      <c r="A9" s="17" t="s">
        <v>16</v>
      </c>
      <c r="B9" s="9">
        <v>8336</v>
      </c>
      <c r="C9" s="9">
        <v>8811</v>
      </c>
      <c r="D9" s="10">
        <v>3667</v>
      </c>
      <c r="E9" s="10">
        <v>3674</v>
      </c>
      <c r="F9" s="10">
        <v>6367</v>
      </c>
      <c r="G9" s="10">
        <v>6222</v>
      </c>
      <c r="H9" s="10">
        <v>5283</v>
      </c>
      <c r="I9" s="12">
        <v>6562</v>
      </c>
      <c r="J9" s="49">
        <v>31553</v>
      </c>
      <c r="K9" s="50"/>
      <c r="L9" s="12">
        <v>31649</v>
      </c>
      <c r="M9" s="10">
        <v>17137</v>
      </c>
      <c r="N9" s="10">
        <v>17311</v>
      </c>
    </row>
    <row r="10" spans="1:14" ht="15" customHeight="1" x14ac:dyDescent="0.3">
      <c r="A10" s="18" t="s">
        <v>17</v>
      </c>
      <c r="B10" s="14">
        <v>7460</v>
      </c>
      <c r="C10" s="14">
        <v>7629</v>
      </c>
      <c r="D10" s="15">
        <v>3095</v>
      </c>
      <c r="E10" s="15">
        <v>3095</v>
      </c>
      <c r="F10" s="15">
        <v>5743</v>
      </c>
      <c r="G10" s="15">
        <v>5743</v>
      </c>
      <c r="H10" s="15">
        <v>5689</v>
      </c>
      <c r="I10" s="16">
        <v>5732</v>
      </c>
      <c r="J10" s="51">
        <v>29966</v>
      </c>
      <c r="K10" s="52"/>
      <c r="L10" s="16">
        <v>33521</v>
      </c>
      <c r="M10" s="15">
        <v>20403</v>
      </c>
      <c r="N10" s="15">
        <v>30725</v>
      </c>
    </row>
    <row r="11" spans="1:14" ht="15" customHeight="1" x14ac:dyDescent="0.3">
      <c r="A11" s="8" t="s">
        <v>18</v>
      </c>
      <c r="B11" s="9">
        <v>8444</v>
      </c>
      <c r="C11" s="9">
        <v>9249</v>
      </c>
      <c r="D11" s="10">
        <v>3565</v>
      </c>
      <c r="E11" s="10">
        <v>3567</v>
      </c>
      <c r="F11" s="10">
        <v>7421</v>
      </c>
      <c r="G11" s="10">
        <v>7325</v>
      </c>
      <c r="H11" s="10">
        <v>5431</v>
      </c>
      <c r="I11" s="12">
        <v>5790</v>
      </c>
      <c r="J11" s="49">
        <v>33499</v>
      </c>
      <c r="K11" s="50"/>
      <c r="L11" s="12">
        <v>55991</v>
      </c>
      <c r="M11" s="10">
        <v>15772</v>
      </c>
      <c r="N11" s="10">
        <v>43581</v>
      </c>
    </row>
    <row r="12" spans="1:14" ht="15" customHeight="1" x14ac:dyDescent="0.3">
      <c r="A12" s="13" t="s">
        <v>19</v>
      </c>
      <c r="B12" s="14">
        <v>9031</v>
      </c>
      <c r="C12" s="14">
        <v>9877</v>
      </c>
      <c r="D12" s="15">
        <v>4506</v>
      </c>
      <c r="E12" s="15">
        <v>4546</v>
      </c>
      <c r="F12" s="15">
        <v>8029</v>
      </c>
      <c r="G12" s="15">
        <v>8031</v>
      </c>
      <c r="H12" s="15">
        <v>7840</v>
      </c>
      <c r="I12" s="16">
        <v>9313</v>
      </c>
      <c r="J12" s="51">
        <v>25866</v>
      </c>
      <c r="K12" s="52"/>
      <c r="L12" s="16">
        <v>34100</v>
      </c>
      <c r="M12" s="15">
        <v>17814</v>
      </c>
      <c r="N12" s="15">
        <v>38115</v>
      </c>
    </row>
    <row r="13" spans="1:14" ht="14" customHeight="1" x14ac:dyDescent="0.3">
      <c r="A13" s="19" t="s">
        <v>20</v>
      </c>
      <c r="B13" s="9">
        <v>12434</v>
      </c>
      <c r="C13" s="9">
        <v>12871</v>
      </c>
      <c r="D13" s="10">
        <v>4698</v>
      </c>
      <c r="E13" s="10">
        <v>4698</v>
      </c>
      <c r="F13" s="10">
        <v>7205</v>
      </c>
      <c r="G13" s="10">
        <v>7205</v>
      </c>
      <c r="H13" s="10">
        <v>7070</v>
      </c>
      <c r="I13" s="12">
        <v>7049</v>
      </c>
      <c r="J13" s="49">
        <v>39815</v>
      </c>
      <c r="K13" s="50"/>
      <c r="L13" s="12">
        <v>42989</v>
      </c>
      <c r="M13" s="10">
        <v>26788</v>
      </c>
      <c r="N13" s="10">
        <v>38954</v>
      </c>
    </row>
    <row r="14" spans="1:14" ht="16" customHeight="1" x14ac:dyDescent="0.3">
      <c r="A14" s="20" t="s">
        <v>21</v>
      </c>
      <c r="B14" s="21">
        <v>5750</v>
      </c>
      <c r="C14" s="21">
        <v>6124</v>
      </c>
      <c r="D14" s="22">
        <v>2507</v>
      </c>
      <c r="E14" s="22">
        <v>2508</v>
      </c>
      <c r="F14" s="23" t="s">
        <v>12</v>
      </c>
      <c r="G14" s="23" t="s">
        <v>12</v>
      </c>
      <c r="H14" s="22">
        <v>3587</v>
      </c>
      <c r="I14" s="24">
        <v>3814</v>
      </c>
      <c r="J14" s="53">
        <v>15344</v>
      </c>
      <c r="K14" s="54"/>
      <c r="L14" s="24">
        <v>18059</v>
      </c>
      <c r="M14" s="22">
        <v>11182</v>
      </c>
      <c r="N14" s="22">
        <v>17444</v>
      </c>
    </row>
    <row r="15" spans="1:14" ht="15" customHeight="1" x14ac:dyDescent="0.3">
      <c r="A15" s="8" t="s">
        <v>22</v>
      </c>
      <c r="B15" s="9">
        <v>5315</v>
      </c>
      <c r="C15" s="9">
        <v>5830</v>
      </c>
      <c r="D15" s="10">
        <v>2474</v>
      </c>
      <c r="E15" s="10">
        <v>2470</v>
      </c>
      <c r="F15" s="11" t="s">
        <v>12</v>
      </c>
      <c r="G15" s="11" t="s">
        <v>12</v>
      </c>
      <c r="H15" s="10">
        <v>4204</v>
      </c>
      <c r="I15" s="12">
        <v>4894</v>
      </c>
      <c r="J15" s="49">
        <v>13416</v>
      </c>
      <c r="K15" s="50"/>
      <c r="L15" s="12">
        <v>16442</v>
      </c>
      <c r="M15" s="10">
        <v>10029</v>
      </c>
      <c r="N15" s="10">
        <v>20822</v>
      </c>
    </row>
    <row r="16" spans="1:14" ht="15" customHeight="1" x14ac:dyDescent="0.3">
      <c r="A16" s="18" t="s">
        <v>23</v>
      </c>
      <c r="B16" s="14">
        <v>7185</v>
      </c>
      <c r="C16" s="14">
        <v>7247</v>
      </c>
      <c r="D16" s="15">
        <v>3644</v>
      </c>
      <c r="E16" s="15">
        <v>3644</v>
      </c>
      <c r="F16" s="15">
        <v>6252</v>
      </c>
      <c r="G16" s="15">
        <v>6178</v>
      </c>
      <c r="H16" s="15">
        <v>5485</v>
      </c>
      <c r="I16" s="16">
        <v>5461</v>
      </c>
      <c r="J16" s="51">
        <v>25720</v>
      </c>
      <c r="K16" s="52"/>
      <c r="L16" s="16">
        <v>27420</v>
      </c>
      <c r="M16" s="15">
        <v>14502</v>
      </c>
      <c r="N16" s="15">
        <v>16311</v>
      </c>
    </row>
    <row r="17" spans="1:14" ht="15" customHeight="1" x14ac:dyDescent="0.3">
      <c r="A17" s="8" t="s">
        <v>24</v>
      </c>
      <c r="B17" s="9">
        <v>7529</v>
      </c>
      <c r="C17" s="9">
        <v>7827</v>
      </c>
      <c r="D17" s="10">
        <v>3142</v>
      </c>
      <c r="E17" s="10">
        <v>3142</v>
      </c>
      <c r="F17" s="10">
        <v>6113</v>
      </c>
      <c r="G17" s="10">
        <v>6113</v>
      </c>
      <c r="H17" s="10">
        <v>6364</v>
      </c>
      <c r="I17" s="12">
        <v>6365</v>
      </c>
      <c r="J17" s="49">
        <v>22037</v>
      </c>
      <c r="K17" s="50"/>
      <c r="L17" s="12">
        <v>26007</v>
      </c>
      <c r="M17" s="10">
        <v>12858</v>
      </c>
      <c r="N17" s="10">
        <v>20993</v>
      </c>
    </row>
    <row r="18" spans="1:14" ht="15" customHeight="1" x14ac:dyDescent="0.3">
      <c r="A18" s="18" t="s">
        <v>25</v>
      </c>
      <c r="B18" s="14">
        <v>8629</v>
      </c>
      <c r="C18" s="14">
        <v>8731</v>
      </c>
      <c r="D18" s="15">
        <v>4130</v>
      </c>
      <c r="E18" s="15">
        <v>4133</v>
      </c>
      <c r="F18" s="15">
        <v>7831</v>
      </c>
      <c r="G18" s="15">
        <v>7822</v>
      </c>
      <c r="H18" s="15">
        <v>6217</v>
      </c>
      <c r="I18" s="16">
        <v>6051</v>
      </c>
      <c r="J18" s="51">
        <v>16289</v>
      </c>
      <c r="K18" s="52"/>
      <c r="L18" s="16">
        <v>17332</v>
      </c>
      <c r="M18" s="15">
        <v>19816</v>
      </c>
      <c r="N18" s="15">
        <v>21946</v>
      </c>
    </row>
    <row r="19" spans="1:14" ht="15" customHeight="1" x14ac:dyDescent="0.3">
      <c r="A19" s="17" t="s">
        <v>26</v>
      </c>
      <c r="B19" s="9">
        <v>8852</v>
      </c>
      <c r="C19" s="9">
        <v>9390</v>
      </c>
      <c r="D19" s="10">
        <v>2883</v>
      </c>
      <c r="E19" s="10">
        <v>2921</v>
      </c>
      <c r="F19" s="10">
        <v>9020</v>
      </c>
      <c r="G19" s="10">
        <v>9112</v>
      </c>
      <c r="H19" s="10">
        <v>9424</v>
      </c>
      <c r="I19" s="12">
        <v>10642</v>
      </c>
      <c r="J19" s="49">
        <v>19590</v>
      </c>
      <c r="K19" s="50"/>
      <c r="L19" s="12">
        <v>22634</v>
      </c>
      <c r="M19" s="10">
        <v>23217</v>
      </c>
      <c r="N19" s="10">
        <v>33463</v>
      </c>
    </row>
    <row r="20" spans="1:14" ht="15" customHeight="1" x14ac:dyDescent="0.3">
      <c r="A20" s="13" t="s">
        <v>27</v>
      </c>
      <c r="B20" s="14">
        <v>8307</v>
      </c>
      <c r="C20" s="14">
        <v>8490</v>
      </c>
      <c r="D20" s="15">
        <v>3094</v>
      </c>
      <c r="E20" s="15">
        <v>3094</v>
      </c>
      <c r="F20" s="15">
        <v>6572</v>
      </c>
      <c r="G20" s="15">
        <v>6548</v>
      </c>
      <c r="H20" s="15">
        <v>6238</v>
      </c>
      <c r="I20" s="16">
        <v>6296</v>
      </c>
      <c r="J20" s="51">
        <v>25040</v>
      </c>
      <c r="K20" s="52"/>
      <c r="L20" s="16">
        <v>27011</v>
      </c>
      <c r="M20" s="15">
        <v>21614</v>
      </c>
      <c r="N20" s="15">
        <v>30537</v>
      </c>
    </row>
    <row r="21" spans="1:14" ht="15" customHeight="1" x14ac:dyDescent="0.3">
      <c r="A21" s="8" t="s">
        <v>28</v>
      </c>
      <c r="B21" s="9">
        <v>9653</v>
      </c>
      <c r="C21" s="9">
        <v>10096</v>
      </c>
      <c r="D21" s="10">
        <v>3634</v>
      </c>
      <c r="E21" s="10">
        <v>3634</v>
      </c>
      <c r="F21" s="11" t="s">
        <v>12</v>
      </c>
      <c r="G21" s="11" t="s">
        <v>12</v>
      </c>
      <c r="H21" s="10">
        <v>6813</v>
      </c>
      <c r="I21" s="12">
        <v>6488</v>
      </c>
      <c r="J21" s="49">
        <v>23988</v>
      </c>
      <c r="K21" s="50"/>
      <c r="L21" s="12">
        <v>28112</v>
      </c>
      <c r="M21" s="10">
        <v>21861</v>
      </c>
      <c r="N21" s="10">
        <v>32651</v>
      </c>
    </row>
    <row r="22" spans="1:14" ht="15" customHeight="1" x14ac:dyDescent="0.3">
      <c r="A22" s="18" t="s">
        <v>29</v>
      </c>
      <c r="B22" s="14">
        <v>8949</v>
      </c>
      <c r="C22" s="14">
        <v>9342</v>
      </c>
      <c r="D22" s="15">
        <v>4578</v>
      </c>
      <c r="E22" s="15">
        <v>4574</v>
      </c>
      <c r="F22" s="15">
        <v>8034</v>
      </c>
      <c r="G22" s="15">
        <v>8016</v>
      </c>
      <c r="H22" s="15">
        <v>8172</v>
      </c>
      <c r="I22" s="16">
        <v>8175</v>
      </c>
      <c r="J22" s="51">
        <v>19000</v>
      </c>
      <c r="K22" s="52"/>
      <c r="L22" s="16">
        <v>23496</v>
      </c>
      <c r="M22" s="15">
        <v>14132</v>
      </c>
      <c r="N22" s="15">
        <v>23608</v>
      </c>
    </row>
    <row r="23" spans="1:14" ht="15" customHeight="1" x14ac:dyDescent="0.3">
      <c r="A23" s="17" t="s">
        <v>30</v>
      </c>
      <c r="B23" s="9">
        <v>7315</v>
      </c>
      <c r="C23" s="9">
        <v>7657</v>
      </c>
      <c r="D23" s="10">
        <v>3212</v>
      </c>
      <c r="E23" s="10">
        <v>3210</v>
      </c>
      <c r="F23" s="10">
        <v>7121</v>
      </c>
      <c r="G23" s="10">
        <v>7123</v>
      </c>
      <c r="H23" s="10">
        <v>6617</v>
      </c>
      <c r="I23" s="12">
        <v>6711</v>
      </c>
      <c r="J23" s="49">
        <v>15969</v>
      </c>
      <c r="K23" s="50"/>
      <c r="L23" s="12">
        <v>19166</v>
      </c>
      <c r="M23" s="10">
        <v>10885</v>
      </c>
      <c r="N23" s="10">
        <v>18475</v>
      </c>
    </row>
    <row r="24" spans="1:14" ht="15" customHeight="1" x14ac:dyDescent="0.3">
      <c r="A24" s="13" t="s">
        <v>31</v>
      </c>
      <c r="B24" s="14">
        <v>8938</v>
      </c>
      <c r="C24" s="14">
        <v>10772</v>
      </c>
      <c r="D24" s="15">
        <v>4723</v>
      </c>
      <c r="E24" s="15">
        <v>4894</v>
      </c>
      <c r="F24" s="15">
        <v>6477</v>
      </c>
      <c r="G24" s="15">
        <v>6573</v>
      </c>
      <c r="H24" s="15">
        <v>3596</v>
      </c>
      <c r="I24" s="16">
        <v>5670</v>
      </c>
      <c r="J24" s="51">
        <v>22640</v>
      </c>
      <c r="K24" s="52"/>
      <c r="L24" s="16">
        <v>26318</v>
      </c>
      <c r="M24" s="15">
        <v>12500</v>
      </c>
      <c r="N24" s="15">
        <v>24564</v>
      </c>
    </row>
    <row r="25" spans="1:14" ht="15" customHeight="1" x14ac:dyDescent="0.3">
      <c r="A25" s="8" t="s">
        <v>32</v>
      </c>
      <c r="B25" s="9">
        <v>9220</v>
      </c>
      <c r="C25" s="9">
        <v>9555</v>
      </c>
      <c r="D25" s="10">
        <v>3574</v>
      </c>
      <c r="E25" s="10">
        <v>3560</v>
      </c>
      <c r="F25" s="10">
        <v>8721</v>
      </c>
      <c r="G25" s="10">
        <v>8724</v>
      </c>
      <c r="H25" s="10">
        <v>6444</v>
      </c>
      <c r="I25" s="12">
        <v>6449</v>
      </c>
      <c r="J25" s="49">
        <v>29182</v>
      </c>
      <c r="K25" s="50"/>
      <c r="L25" s="12">
        <v>34388</v>
      </c>
      <c r="M25" s="10">
        <v>21509</v>
      </c>
      <c r="N25" s="10">
        <v>36207</v>
      </c>
    </row>
    <row r="26" spans="1:14" ht="15" customHeight="1" x14ac:dyDescent="0.3">
      <c r="A26" s="13" t="s">
        <v>33</v>
      </c>
      <c r="B26" s="14">
        <v>10466</v>
      </c>
      <c r="C26" s="14">
        <v>11879</v>
      </c>
      <c r="D26" s="15">
        <v>4203</v>
      </c>
      <c r="E26" s="15">
        <v>4494</v>
      </c>
      <c r="F26" s="15">
        <v>7656</v>
      </c>
      <c r="G26" s="15">
        <v>8019</v>
      </c>
      <c r="H26" s="15">
        <v>4624</v>
      </c>
      <c r="I26" s="16">
        <v>6082</v>
      </c>
      <c r="J26" s="51">
        <v>21626</v>
      </c>
      <c r="K26" s="52"/>
      <c r="L26" s="16">
        <v>21747</v>
      </c>
      <c r="M26" s="15">
        <v>22355</v>
      </c>
      <c r="N26" s="15">
        <v>27633</v>
      </c>
    </row>
    <row r="27" spans="1:14" ht="15" customHeight="1" x14ac:dyDescent="0.3">
      <c r="A27" s="8" t="s">
        <v>34</v>
      </c>
      <c r="B27" s="9">
        <v>7416</v>
      </c>
      <c r="C27" s="9">
        <v>7558</v>
      </c>
      <c r="D27" s="10">
        <v>2756</v>
      </c>
      <c r="E27" s="10">
        <v>2764</v>
      </c>
      <c r="F27" s="10">
        <v>6439</v>
      </c>
      <c r="G27" s="10">
        <v>6488</v>
      </c>
      <c r="H27" s="10">
        <v>5167</v>
      </c>
      <c r="I27" s="12">
        <v>5272</v>
      </c>
      <c r="J27" s="49">
        <v>18696</v>
      </c>
      <c r="K27" s="50"/>
      <c r="L27" s="12">
        <v>19657</v>
      </c>
      <c r="M27" s="10">
        <v>20283</v>
      </c>
      <c r="N27" s="10">
        <v>23295</v>
      </c>
    </row>
    <row r="28" spans="1:14" ht="15" customHeight="1" x14ac:dyDescent="0.3">
      <c r="A28" s="13" t="s">
        <v>35</v>
      </c>
      <c r="B28" s="14">
        <v>12150</v>
      </c>
      <c r="C28" s="14">
        <v>12367</v>
      </c>
      <c r="D28" s="15">
        <v>3956</v>
      </c>
      <c r="E28" s="15">
        <v>3961</v>
      </c>
      <c r="F28" s="15">
        <v>10584</v>
      </c>
      <c r="G28" s="15">
        <v>10572</v>
      </c>
      <c r="H28" s="15">
        <v>6933</v>
      </c>
      <c r="I28" s="16">
        <v>7210</v>
      </c>
      <c r="J28" s="51">
        <v>48296</v>
      </c>
      <c r="K28" s="52"/>
      <c r="L28" s="16">
        <v>50230</v>
      </c>
      <c r="M28" s="15">
        <v>34844</v>
      </c>
      <c r="N28" s="15">
        <v>38879</v>
      </c>
    </row>
    <row r="29" spans="1:14" ht="15" customHeight="1" x14ac:dyDescent="0.3">
      <c r="A29" s="8" t="s">
        <v>36</v>
      </c>
      <c r="B29" s="9">
        <v>7171</v>
      </c>
      <c r="C29" s="9">
        <v>8044</v>
      </c>
      <c r="D29" s="10">
        <v>3339</v>
      </c>
      <c r="E29" s="10">
        <v>3340</v>
      </c>
      <c r="F29" s="11" t="s">
        <v>12</v>
      </c>
      <c r="G29" s="11" t="s">
        <v>12</v>
      </c>
      <c r="H29" s="10">
        <v>5217</v>
      </c>
      <c r="I29" s="12">
        <v>6557</v>
      </c>
      <c r="J29" s="49">
        <v>15134</v>
      </c>
      <c r="K29" s="50"/>
      <c r="L29" s="12">
        <v>18947</v>
      </c>
      <c r="M29" s="10">
        <v>12497</v>
      </c>
      <c r="N29" s="10">
        <v>23750</v>
      </c>
    </row>
    <row r="30" spans="1:14" ht="15" customHeight="1" x14ac:dyDescent="0.3">
      <c r="A30" s="13" t="s">
        <v>37</v>
      </c>
      <c r="B30" s="14">
        <v>9634</v>
      </c>
      <c r="C30" s="14">
        <v>9889</v>
      </c>
      <c r="D30" s="15">
        <v>4309</v>
      </c>
      <c r="E30" s="15">
        <v>4309</v>
      </c>
      <c r="F30" s="15">
        <v>6043</v>
      </c>
      <c r="G30" s="15">
        <v>6034</v>
      </c>
      <c r="H30" s="15">
        <v>6202</v>
      </c>
      <c r="I30" s="16">
        <v>6202</v>
      </c>
      <c r="J30" s="51">
        <v>25841</v>
      </c>
      <c r="K30" s="52"/>
      <c r="L30" s="16">
        <v>27939</v>
      </c>
      <c r="M30" s="15">
        <v>18457</v>
      </c>
      <c r="N30" s="15">
        <v>22470</v>
      </c>
    </row>
    <row r="31" spans="1:14" ht="15" customHeight="1" x14ac:dyDescent="0.3">
      <c r="A31" s="8" t="s">
        <v>38</v>
      </c>
      <c r="B31" s="9">
        <v>8219</v>
      </c>
      <c r="C31" s="9">
        <v>8432</v>
      </c>
      <c r="D31" s="10">
        <v>4241</v>
      </c>
      <c r="E31" s="10">
        <v>4241</v>
      </c>
      <c r="F31" s="10">
        <v>8015</v>
      </c>
      <c r="G31" s="10">
        <v>8013</v>
      </c>
      <c r="H31" s="10">
        <v>7279</v>
      </c>
      <c r="I31" s="12">
        <v>7664</v>
      </c>
      <c r="J31" s="49">
        <v>20520</v>
      </c>
      <c r="K31" s="50"/>
      <c r="L31" s="12">
        <v>23228</v>
      </c>
      <c r="M31" s="10">
        <v>17686</v>
      </c>
      <c r="N31" s="10">
        <v>24912</v>
      </c>
    </row>
    <row r="32" spans="1:14" ht="15" customHeight="1" x14ac:dyDescent="0.3">
      <c r="A32" s="18" t="s">
        <v>39</v>
      </c>
      <c r="B32" s="14">
        <v>10509</v>
      </c>
      <c r="C32" s="14">
        <v>10654</v>
      </c>
      <c r="D32" s="15">
        <v>3651</v>
      </c>
      <c r="E32" s="15">
        <v>3649</v>
      </c>
      <c r="F32" s="15">
        <v>9765</v>
      </c>
      <c r="G32" s="15">
        <v>9749</v>
      </c>
      <c r="H32" s="15">
        <v>8028</v>
      </c>
      <c r="I32" s="16">
        <v>8019</v>
      </c>
      <c r="J32" s="51">
        <v>28948</v>
      </c>
      <c r="K32" s="52"/>
      <c r="L32" s="16">
        <v>30430</v>
      </c>
      <c r="M32" s="15">
        <v>27701</v>
      </c>
      <c r="N32" s="15">
        <v>31744</v>
      </c>
    </row>
    <row r="33" spans="1:14" ht="40" customHeight="1" x14ac:dyDescent="0.3">
      <c r="A33" s="55" t="s">
        <v>40</v>
      </c>
      <c r="B33" s="55"/>
      <c r="C33" s="55"/>
      <c r="D33" s="55"/>
      <c r="E33" s="55"/>
      <c r="F33" s="55"/>
      <c r="G33" s="55"/>
      <c r="H33" s="55"/>
      <c r="I33" s="55"/>
      <c r="J33" s="55"/>
    </row>
    <row r="34" spans="1:14" ht="17" customHeight="1" x14ac:dyDescent="0.3">
      <c r="A34" s="25" t="s">
        <v>41</v>
      </c>
    </row>
    <row r="35" spans="1:14" ht="40" customHeight="1" x14ac:dyDescent="0.3">
      <c r="A35" s="55" t="s">
        <v>40</v>
      </c>
      <c r="B35" s="55"/>
      <c r="C35" s="55"/>
      <c r="D35" s="55"/>
      <c r="E35" s="55"/>
      <c r="F35" s="55"/>
      <c r="G35" s="55"/>
      <c r="H35" s="55"/>
      <c r="I35" s="55"/>
      <c r="J35" s="55"/>
    </row>
    <row r="36" spans="1:14" ht="17" customHeight="1" x14ac:dyDescent="0.3">
      <c r="A36" s="25" t="s">
        <v>41</v>
      </c>
    </row>
    <row r="37" spans="1:14" ht="14" customHeight="1" x14ac:dyDescent="0.3">
      <c r="A37" t="s">
        <v>42</v>
      </c>
    </row>
    <row r="38" spans="1:14" ht="12" customHeight="1" x14ac:dyDescent="0.3">
      <c r="A38" t="s">
        <v>43</v>
      </c>
    </row>
    <row r="39" spans="1:14" ht="12" customHeight="1" x14ac:dyDescent="0.3">
      <c r="A39" s="26" t="s">
        <v>44</v>
      </c>
    </row>
    <row r="40" spans="1:14" ht="12" customHeight="1" x14ac:dyDescent="0.3">
      <c r="A40" t="s">
        <v>45</v>
      </c>
    </row>
    <row r="41" spans="1:14" ht="11" customHeight="1" x14ac:dyDescent="0.3">
      <c r="A41" s="1"/>
      <c r="B41" s="36" t="s">
        <v>1</v>
      </c>
      <c r="C41" s="37"/>
      <c r="D41" s="36" t="s">
        <v>2</v>
      </c>
      <c r="E41" s="37"/>
      <c r="F41" s="38" t="s">
        <v>3</v>
      </c>
      <c r="G41" s="39"/>
      <c r="H41" s="40" t="s">
        <v>4</v>
      </c>
      <c r="I41" s="41"/>
      <c r="J41" s="42" t="s">
        <v>5</v>
      </c>
      <c r="K41" s="43"/>
      <c r="L41" s="44"/>
      <c r="M41" s="36" t="s">
        <v>6</v>
      </c>
      <c r="N41" s="37"/>
    </row>
    <row r="42" spans="1:14" ht="32" customHeight="1" x14ac:dyDescent="0.3">
      <c r="A42" s="2" t="s">
        <v>7</v>
      </c>
      <c r="B42" s="3" t="s">
        <v>8</v>
      </c>
      <c r="C42" s="4" t="s">
        <v>9</v>
      </c>
      <c r="D42" s="3" t="s">
        <v>8</v>
      </c>
      <c r="E42" s="4" t="s">
        <v>9</v>
      </c>
      <c r="F42" s="3" t="s">
        <v>8</v>
      </c>
      <c r="G42" s="4" t="s">
        <v>9</v>
      </c>
      <c r="H42" s="3" t="s">
        <v>8</v>
      </c>
      <c r="I42" s="4" t="s">
        <v>9</v>
      </c>
      <c r="J42" s="45" t="s">
        <v>8</v>
      </c>
      <c r="K42" s="46"/>
      <c r="L42" s="4" t="s">
        <v>9</v>
      </c>
      <c r="M42" s="3" t="s">
        <v>8</v>
      </c>
      <c r="N42" s="4" t="s">
        <v>9</v>
      </c>
    </row>
    <row r="43" spans="1:14" ht="15" customHeight="1" x14ac:dyDescent="0.3">
      <c r="A43" s="8" t="s">
        <v>46</v>
      </c>
      <c r="B43" s="27">
        <v>5943</v>
      </c>
      <c r="C43" s="28">
        <v>6141</v>
      </c>
      <c r="D43" s="29">
        <v>2522</v>
      </c>
      <c r="E43" s="29">
        <v>2522</v>
      </c>
      <c r="F43" s="29">
        <v>6451</v>
      </c>
      <c r="G43" s="29">
        <v>6446</v>
      </c>
      <c r="H43" s="29">
        <v>5222</v>
      </c>
      <c r="I43" s="29">
        <v>5045</v>
      </c>
      <c r="J43" s="56">
        <v>17430</v>
      </c>
      <c r="K43" s="57"/>
      <c r="L43" s="29">
        <v>23038</v>
      </c>
      <c r="M43" s="29">
        <v>9865</v>
      </c>
      <c r="N43" s="29">
        <v>21031</v>
      </c>
    </row>
    <row r="44" spans="1:14" ht="15" customHeight="1" x14ac:dyDescent="0.3">
      <c r="A44" s="13" t="s">
        <v>47</v>
      </c>
      <c r="B44" s="30">
        <v>9563</v>
      </c>
      <c r="C44" s="14">
        <v>10383</v>
      </c>
      <c r="D44" s="15">
        <v>4494</v>
      </c>
      <c r="E44" s="15">
        <v>4522</v>
      </c>
      <c r="F44" s="15">
        <v>7182</v>
      </c>
      <c r="G44" s="15">
        <v>7185</v>
      </c>
      <c r="H44" s="15">
        <v>4659</v>
      </c>
      <c r="I44" s="15">
        <v>6704</v>
      </c>
      <c r="J44" s="58">
        <v>24151</v>
      </c>
      <c r="K44" s="59"/>
      <c r="L44" s="15">
        <v>31498</v>
      </c>
      <c r="M44" s="15">
        <v>29170</v>
      </c>
      <c r="N44" s="15">
        <v>44119</v>
      </c>
    </row>
    <row r="45" spans="1:14" ht="15" customHeight="1" x14ac:dyDescent="0.3">
      <c r="A45" s="8" t="s">
        <v>48</v>
      </c>
      <c r="B45" s="31">
        <v>10278</v>
      </c>
      <c r="C45" s="9">
        <v>10201</v>
      </c>
      <c r="D45" s="10">
        <v>3594</v>
      </c>
      <c r="E45" s="10">
        <v>3585</v>
      </c>
      <c r="F45" s="10">
        <v>7263</v>
      </c>
      <c r="G45" s="10">
        <v>7166</v>
      </c>
      <c r="H45" s="10">
        <v>7672</v>
      </c>
      <c r="I45" s="10">
        <v>7374</v>
      </c>
      <c r="J45" s="60">
        <v>35749</v>
      </c>
      <c r="K45" s="61"/>
      <c r="L45" s="10">
        <v>35725</v>
      </c>
      <c r="M45" s="10">
        <v>25462</v>
      </c>
      <c r="N45" s="10">
        <v>25340</v>
      </c>
    </row>
    <row r="46" spans="1:14" ht="15" customHeight="1" x14ac:dyDescent="0.3">
      <c r="A46" s="13" t="s">
        <v>49</v>
      </c>
      <c r="B46" s="30">
        <v>7716</v>
      </c>
      <c r="C46" s="14">
        <v>8332</v>
      </c>
      <c r="D46" s="15">
        <v>4284</v>
      </c>
      <c r="E46" s="15">
        <v>4287</v>
      </c>
      <c r="F46" s="15">
        <v>7301</v>
      </c>
      <c r="G46" s="15">
        <v>7360</v>
      </c>
      <c r="H46" s="15">
        <v>5968</v>
      </c>
      <c r="I46" s="15">
        <v>7231</v>
      </c>
      <c r="J46" s="58">
        <v>23305</v>
      </c>
      <c r="K46" s="59"/>
      <c r="L46" s="15">
        <v>29934</v>
      </c>
      <c r="M46" s="15">
        <v>13246</v>
      </c>
      <c r="N46" s="15">
        <v>27521</v>
      </c>
    </row>
    <row r="47" spans="1:14" ht="15" customHeight="1" x14ac:dyDescent="0.3">
      <c r="A47" s="8" t="s">
        <v>50</v>
      </c>
      <c r="B47" s="31">
        <v>10670</v>
      </c>
      <c r="C47" s="9">
        <v>10884</v>
      </c>
      <c r="D47" s="10">
        <v>3325</v>
      </c>
      <c r="E47" s="10">
        <v>3326</v>
      </c>
      <c r="F47" s="10">
        <v>6968</v>
      </c>
      <c r="G47" s="10">
        <v>6969</v>
      </c>
      <c r="H47" s="10">
        <v>5950</v>
      </c>
      <c r="I47" s="10">
        <v>5972</v>
      </c>
      <c r="J47" s="60">
        <v>33555</v>
      </c>
      <c r="K47" s="61"/>
      <c r="L47" s="10">
        <v>35689</v>
      </c>
      <c r="M47" s="10">
        <v>27920</v>
      </c>
      <c r="N47" s="10">
        <v>32830</v>
      </c>
    </row>
    <row r="48" spans="1:14" ht="15" customHeight="1" x14ac:dyDescent="0.3">
      <c r="A48" s="13" t="s">
        <v>51</v>
      </c>
      <c r="B48" s="30">
        <v>7223</v>
      </c>
      <c r="C48" s="14">
        <v>8881</v>
      </c>
      <c r="D48" s="15">
        <v>3437</v>
      </c>
      <c r="E48" s="15">
        <v>3450</v>
      </c>
      <c r="F48" s="32" t="s">
        <v>12</v>
      </c>
      <c r="G48" s="32" t="s">
        <v>12</v>
      </c>
      <c r="H48" s="15">
        <v>3542</v>
      </c>
      <c r="I48" s="15">
        <v>6541</v>
      </c>
      <c r="J48" s="58">
        <v>21011</v>
      </c>
      <c r="K48" s="59"/>
      <c r="L48" s="15">
        <v>22626</v>
      </c>
      <c r="M48" s="15">
        <v>15996</v>
      </c>
      <c r="N48" s="15">
        <v>20859</v>
      </c>
    </row>
    <row r="49" spans="1:14" ht="15" customHeight="1" x14ac:dyDescent="0.3">
      <c r="A49" s="17" t="s">
        <v>52</v>
      </c>
      <c r="B49" s="31">
        <v>12921</v>
      </c>
      <c r="C49" s="9">
        <v>12535</v>
      </c>
      <c r="D49" s="10">
        <v>4221</v>
      </c>
      <c r="E49" s="10">
        <v>4221</v>
      </c>
      <c r="F49" s="10">
        <v>1417</v>
      </c>
      <c r="G49" s="10">
        <v>1389</v>
      </c>
      <c r="H49" s="10">
        <v>5591</v>
      </c>
      <c r="I49" s="10">
        <v>5590</v>
      </c>
      <c r="J49" s="60">
        <v>46190</v>
      </c>
      <c r="K49" s="61"/>
      <c r="L49" s="10">
        <v>47806</v>
      </c>
      <c r="M49" s="10">
        <v>56783</v>
      </c>
      <c r="N49" s="10">
        <v>62878</v>
      </c>
    </row>
    <row r="50" spans="1:14" ht="15" customHeight="1" x14ac:dyDescent="0.3">
      <c r="A50" s="13" t="s">
        <v>53</v>
      </c>
      <c r="B50" s="30">
        <v>9202</v>
      </c>
      <c r="C50" s="14">
        <v>9508</v>
      </c>
      <c r="D50" s="15">
        <v>3560</v>
      </c>
      <c r="E50" s="15">
        <v>3557</v>
      </c>
      <c r="F50" s="15">
        <v>7980</v>
      </c>
      <c r="G50" s="15">
        <v>7964</v>
      </c>
      <c r="H50" s="15">
        <v>6163</v>
      </c>
      <c r="I50" s="15">
        <v>6142</v>
      </c>
      <c r="J50" s="58">
        <v>23281</v>
      </c>
      <c r="K50" s="59"/>
      <c r="L50" s="15">
        <v>27105</v>
      </c>
      <c r="M50" s="15">
        <v>21753</v>
      </c>
      <c r="N50" s="15">
        <v>30555</v>
      </c>
    </row>
    <row r="51" spans="1:14" ht="15" customHeight="1" x14ac:dyDescent="0.3">
      <c r="A51" s="8" t="s">
        <v>54</v>
      </c>
      <c r="B51" s="31">
        <v>6553</v>
      </c>
      <c r="C51" s="9">
        <v>6986</v>
      </c>
      <c r="D51" s="10">
        <v>3865</v>
      </c>
      <c r="E51" s="10">
        <v>3865</v>
      </c>
      <c r="F51" s="10">
        <v>4588</v>
      </c>
      <c r="G51" s="10">
        <v>5445</v>
      </c>
      <c r="H51" s="10">
        <v>4706</v>
      </c>
      <c r="I51" s="10">
        <v>5260</v>
      </c>
      <c r="J51" s="60">
        <v>17174</v>
      </c>
      <c r="K51" s="61"/>
      <c r="L51" s="10">
        <v>18886</v>
      </c>
      <c r="M51" s="10">
        <v>14010</v>
      </c>
      <c r="N51" s="10">
        <v>17039</v>
      </c>
    </row>
    <row r="52" spans="1:14" ht="15" customHeight="1" x14ac:dyDescent="0.3">
      <c r="A52" s="18" t="s">
        <v>55</v>
      </c>
      <c r="B52" s="30">
        <v>10154</v>
      </c>
      <c r="C52" s="14">
        <v>10969</v>
      </c>
      <c r="D52" s="15">
        <v>4222</v>
      </c>
      <c r="E52" s="15">
        <v>4236</v>
      </c>
      <c r="F52" s="15">
        <v>7737</v>
      </c>
      <c r="G52" s="15">
        <v>8046</v>
      </c>
      <c r="H52" s="15">
        <v>4327</v>
      </c>
      <c r="I52" s="15">
        <v>10692</v>
      </c>
      <c r="J52" s="58">
        <v>25846</v>
      </c>
      <c r="K52" s="59"/>
      <c r="L52" s="15">
        <v>30570</v>
      </c>
      <c r="M52" s="15">
        <v>33065</v>
      </c>
      <c r="N52" s="15">
        <v>51801</v>
      </c>
    </row>
    <row r="53" spans="1:14" ht="15" customHeight="1" x14ac:dyDescent="0.3">
      <c r="A53" s="8" t="s">
        <v>56</v>
      </c>
      <c r="B53" s="31">
        <v>11726</v>
      </c>
      <c r="C53" s="9">
        <v>12102</v>
      </c>
      <c r="D53" s="10">
        <v>4312</v>
      </c>
      <c r="E53" s="10">
        <v>4334</v>
      </c>
      <c r="F53" s="10">
        <v>7544</v>
      </c>
      <c r="G53" s="10">
        <v>7556</v>
      </c>
      <c r="H53" s="10">
        <v>6611</v>
      </c>
      <c r="I53" s="10">
        <v>6902</v>
      </c>
      <c r="J53" s="60">
        <v>25483</v>
      </c>
      <c r="K53" s="61"/>
      <c r="L53" s="10">
        <v>27066</v>
      </c>
      <c r="M53" s="10">
        <v>28234</v>
      </c>
      <c r="N53" s="10">
        <v>34349</v>
      </c>
    </row>
    <row r="54" spans="1:14" ht="15" customHeight="1" x14ac:dyDescent="0.3">
      <c r="A54" s="13" t="s">
        <v>57</v>
      </c>
      <c r="B54" s="30">
        <v>9062</v>
      </c>
      <c r="C54" s="14">
        <v>9264</v>
      </c>
      <c r="D54" s="15">
        <v>6899</v>
      </c>
      <c r="E54" s="15">
        <v>6900</v>
      </c>
      <c r="F54" s="15">
        <v>7431</v>
      </c>
      <c r="G54" s="15">
        <v>7430</v>
      </c>
      <c r="H54" s="15">
        <v>5176</v>
      </c>
      <c r="I54" s="15">
        <v>5250</v>
      </c>
      <c r="J54" s="58">
        <v>22542</v>
      </c>
      <c r="K54" s="59"/>
      <c r="L54" s="15">
        <v>23984</v>
      </c>
      <c r="M54" s="15">
        <v>11162</v>
      </c>
      <c r="N54" s="15">
        <v>13303</v>
      </c>
    </row>
    <row r="55" spans="1:14" ht="14" customHeight="1" x14ac:dyDescent="0.3">
      <c r="A55" s="8" t="s">
        <v>58</v>
      </c>
      <c r="B55" s="31">
        <v>5191</v>
      </c>
      <c r="C55" s="9">
        <v>6150</v>
      </c>
      <c r="D55" s="10">
        <v>2562</v>
      </c>
      <c r="E55" s="10">
        <v>2572</v>
      </c>
      <c r="F55" s="11" t="s">
        <v>12</v>
      </c>
      <c r="G55" s="11" t="s">
        <v>12</v>
      </c>
      <c r="H55" s="10">
        <v>2609</v>
      </c>
      <c r="I55" s="10">
        <v>4668</v>
      </c>
      <c r="J55" s="60">
        <v>16681</v>
      </c>
      <c r="K55" s="61"/>
      <c r="L55" s="10">
        <v>16947</v>
      </c>
      <c r="M55" s="10">
        <v>12829</v>
      </c>
      <c r="N55" s="10">
        <v>13834</v>
      </c>
    </row>
    <row r="56" spans="1:14" ht="16" customHeight="1" x14ac:dyDescent="0.3">
      <c r="A56" s="20" t="s">
        <v>59</v>
      </c>
      <c r="B56" s="33">
        <v>8439</v>
      </c>
      <c r="C56" s="21">
        <v>8824</v>
      </c>
      <c r="D56" s="22">
        <v>2896</v>
      </c>
      <c r="E56" s="22">
        <v>2896</v>
      </c>
      <c r="F56" s="23" t="s">
        <v>12</v>
      </c>
      <c r="G56" s="23" t="s">
        <v>12</v>
      </c>
      <c r="H56" s="22">
        <v>6179</v>
      </c>
      <c r="I56" s="22">
        <v>6179</v>
      </c>
      <c r="J56" s="62">
        <v>24254</v>
      </c>
      <c r="K56" s="63"/>
      <c r="L56" s="22">
        <v>28979</v>
      </c>
      <c r="M56" s="22">
        <v>18523</v>
      </c>
      <c r="N56" s="22">
        <v>28012</v>
      </c>
    </row>
    <row r="57" spans="1:14" ht="15" customHeight="1" x14ac:dyDescent="0.3">
      <c r="A57" s="8" t="s">
        <v>60</v>
      </c>
      <c r="B57" s="31">
        <v>6567</v>
      </c>
      <c r="C57" s="9">
        <v>6933</v>
      </c>
      <c r="D57" s="10">
        <v>3669</v>
      </c>
      <c r="E57" s="10">
        <v>3669</v>
      </c>
      <c r="F57" s="11" t="s">
        <v>12</v>
      </c>
      <c r="G57" s="11" t="s">
        <v>12</v>
      </c>
      <c r="H57" s="10">
        <v>5152</v>
      </c>
      <c r="I57" s="10">
        <v>5152</v>
      </c>
      <c r="J57" s="60">
        <v>14165</v>
      </c>
      <c r="K57" s="61"/>
      <c r="L57" s="10">
        <v>16802</v>
      </c>
      <c r="M57" s="10">
        <v>13099</v>
      </c>
      <c r="N57" s="10">
        <v>24356</v>
      </c>
    </row>
    <row r="58" spans="1:14" ht="15" customHeight="1" x14ac:dyDescent="0.3">
      <c r="A58" s="18" t="s">
        <v>61</v>
      </c>
      <c r="B58" s="30">
        <v>7592</v>
      </c>
      <c r="C58" s="14">
        <v>8379</v>
      </c>
      <c r="D58" s="15">
        <v>3709</v>
      </c>
      <c r="E58" s="15">
        <v>3700</v>
      </c>
      <c r="F58" s="15">
        <v>2817</v>
      </c>
      <c r="G58" s="15">
        <v>2817</v>
      </c>
      <c r="H58" s="15">
        <v>5052</v>
      </c>
      <c r="I58" s="15">
        <v>8381</v>
      </c>
      <c r="J58" s="58">
        <v>22814</v>
      </c>
      <c r="K58" s="59"/>
      <c r="L58" s="15">
        <v>26417</v>
      </c>
      <c r="M58" s="15">
        <v>15404</v>
      </c>
      <c r="N58" s="15">
        <v>25052</v>
      </c>
    </row>
    <row r="59" spans="1:14" ht="18" customHeight="1" x14ac:dyDescent="0.3">
      <c r="A59" s="17" t="s">
        <v>62</v>
      </c>
      <c r="B59" s="31">
        <v>8989</v>
      </c>
      <c r="C59" s="9">
        <v>9063</v>
      </c>
      <c r="D59" s="10">
        <v>3634</v>
      </c>
      <c r="E59" s="10">
        <v>3663</v>
      </c>
      <c r="F59" s="10">
        <v>8335</v>
      </c>
      <c r="G59" s="10">
        <v>8343</v>
      </c>
      <c r="H59" s="10">
        <v>6837</v>
      </c>
      <c r="I59" s="10">
        <v>7578</v>
      </c>
      <c r="J59" s="60">
        <v>28481</v>
      </c>
      <c r="K59" s="61"/>
      <c r="L59" s="10">
        <v>28703</v>
      </c>
      <c r="M59" s="10">
        <v>21669</v>
      </c>
      <c r="N59" s="10">
        <v>22326</v>
      </c>
    </row>
    <row r="60" spans="1:14" ht="18" customHeight="1" x14ac:dyDescent="0.3">
      <c r="A60" s="17"/>
      <c r="B60" s="31">
        <f>ROUND(B59/12,2)</f>
        <v>749.08</v>
      </c>
      <c r="C60" s="31">
        <f t="shared" ref="C60:N60" si="0">ROUND(C59/12,2)</f>
        <v>755.25</v>
      </c>
      <c r="D60" s="31">
        <f t="shared" si="0"/>
        <v>302.83</v>
      </c>
      <c r="E60" s="31">
        <f t="shared" si="0"/>
        <v>305.25</v>
      </c>
      <c r="F60" s="31">
        <f t="shared" si="0"/>
        <v>694.58</v>
      </c>
      <c r="G60" s="31">
        <f t="shared" si="0"/>
        <v>695.25</v>
      </c>
      <c r="H60" s="31">
        <f t="shared" si="0"/>
        <v>569.75</v>
      </c>
      <c r="I60" s="31">
        <f t="shared" si="0"/>
        <v>631.5</v>
      </c>
      <c r="J60" s="31">
        <f t="shared" si="0"/>
        <v>2373.42</v>
      </c>
      <c r="K60" s="31">
        <f>ROUND(J59/12,2)</f>
        <v>2373.42</v>
      </c>
      <c r="L60" s="31">
        <f t="shared" si="0"/>
        <v>2391.92</v>
      </c>
      <c r="M60" s="31">
        <f t="shared" si="0"/>
        <v>1805.75</v>
      </c>
      <c r="N60" s="31">
        <f t="shared" si="0"/>
        <v>1860.5</v>
      </c>
    </row>
    <row r="61" spans="1:14" ht="15" customHeight="1" x14ac:dyDescent="0.3">
      <c r="A61" s="13" t="s">
        <v>63</v>
      </c>
      <c r="B61" s="30">
        <v>8313</v>
      </c>
      <c r="C61" s="34">
        <v>10</v>
      </c>
      <c r="D61" s="35">
        <v>10</v>
      </c>
      <c r="E61" s="35">
        <v>10</v>
      </c>
      <c r="F61" s="35">
        <v>10</v>
      </c>
      <c r="G61" s="35">
        <v>10</v>
      </c>
      <c r="H61" s="35">
        <v>10</v>
      </c>
      <c r="I61" s="35">
        <v>10</v>
      </c>
      <c r="J61" s="64">
        <v>10</v>
      </c>
      <c r="K61" s="65"/>
      <c r="L61" s="35">
        <v>10</v>
      </c>
      <c r="M61" s="35">
        <v>10</v>
      </c>
      <c r="N61" s="35">
        <v>10</v>
      </c>
    </row>
    <row r="62" spans="1:14" ht="15" customHeight="1" x14ac:dyDescent="0.3">
      <c r="A62" s="8" t="s">
        <v>64</v>
      </c>
      <c r="B62" s="31">
        <v>9603</v>
      </c>
      <c r="C62" s="9">
        <v>10164</v>
      </c>
      <c r="D62" s="10">
        <v>3789</v>
      </c>
      <c r="E62" s="10">
        <v>3789</v>
      </c>
      <c r="F62" s="10">
        <v>8410</v>
      </c>
      <c r="G62" s="10">
        <v>8388</v>
      </c>
      <c r="H62" s="10">
        <v>4689</v>
      </c>
      <c r="I62" s="10">
        <v>5667</v>
      </c>
      <c r="J62" s="60">
        <v>30747</v>
      </c>
      <c r="K62" s="61"/>
      <c r="L62" s="10">
        <v>36146</v>
      </c>
      <c r="M62" s="10">
        <v>20085</v>
      </c>
      <c r="N62" s="10">
        <v>26790</v>
      </c>
    </row>
    <row r="63" spans="1:14" ht="15" customHeight="1" x14ac:dyDescent="0.3">
      <c r="A63" s="13" t="s">
        <v>65</v>
      </c>
      <c r="B63" s="30">
        <v>11064</v>
      </c>
      <c r="C63" s="14">
        <v>11272</v>
      </c>
      <c r="D63" s="15">
        <v>4227</v>
      </c>
      <c r="E63" s="15">
        <v>4229</v>
      </c>
      <c r="F63" s="15">
        <v>10887</v>
      </c>
      <c r="G63" s="15">
        <v>10885</v>
      </c>
      <c r="H63" s="15">
        <v>11014</v>
      </c>
      <c r="I63" s="15">
        <v>10278</v>
      </c>
      <c r="J63" s="58">
        <v>32223</v>
      </c>
      <c r="K63" s="59"/>
      <c r="L63" s="15">
        <v>37329</v>
      </c>
      <c r="M63" s="15">
        <v>23961</v>
      </c>
      <c r="N63" s="15">
        <v>31820</v>
      </c>
    </row>
    <row r="64" spans="1:14" ht="15" customHeight="1" x14ac:dyDescent="0.3">
      <c r="A64" s="8" t="s">
        <v>66</v>
      </c>
      <c r="B64" s="31">
        <v>7845</v>
      </c>
      <c r="C64" s="9">
        <v>8247</v>
      </c>
      <c r="D64" s="10">
        <v>3501</v>
      </c>
      <c r="E64" s="10">
        <v>3501</v>
      </c>
      <c r="F64" s="10">
        <v>6529</v>
      </c>
      <c r="G64" s="10">
        <v>6465</v>
      </c>
      <c r="H64" s="10">
        <v>6790</v>
      </c>
      <c r="I64" s="10">
        <v>6870</v>
      </c>
      <c r="J64" s="60">
        <v>14011</v>
      </c>
      <c r="K64" s="61"/>
      <c r="L64" s="10">
        <v>17199</v>
      </c>
      <c r="M64" s="10">
        <v>20019</v>
      </c>
      <c r="N64" s="10">
        <v>33795</v>
      </c>
    </row>
    <row r="65" spans="1:14" ht="15" customHeight="1" x14ac:dyDescent="0.3">
      <c r="A65" s="13" t="s">
        <v>67</v>
      </c>
      <c r="B65" s="30">
        <v>7868</v>
      </c>
      <c r="C65" s="14">
        <v>8179</v>
      </c>
      <c r="D65" s="15">
        <v>3066</v>
      </c>
      <c r="E65" s="15">
        <v>3072</v>
      </c>
      <c r="F65" s="32" t="s">
        <v>12</v>
      </c>
      <c r="G65" s="32" t="s">
        <v>12</v>
      </c>
      <c r="H65" s="15">
        <v>4934</v>
      </c>
      <c r="I65" s="15">
        <v>5286</v>
      </c>
      <c r="J65" s="58">
        <v>22343</v>
      </c>
      <c r="K65" s="59"/>
      <c r="L65" s="15">
        <v>22740</v>
      </c>
      <c r="M65" s="15">
        <v>15407</v>
      </c>
      <c r="N65" s="15">
        <v>16508</v>
      </c>
    </row>
    <row r="66" spans="1:14" ht="15" customHeight="1" x14ac:dyDescent="0.3">
      <c r="A66" s="8" t="s">
        <v>68</v>
      </c>
      <c r="B66" s="31">
        <v>8544</v>
      </c>
      <c r="C66" s="9">
        <v>8996</v>
      </c>
      <c r="D66" s="10">
        <v>3257</v>
      </c>
      <c r="E66" s="10">
        <v>3258</v>
      </c>
      <c r="F66" s="11" t="s">
        <v>12</v>
      </c>
      <c r="G66" s="11" t="s">
        <v>12</v>
      </c>
      <c r="H66" s="10">
        <v>6207</v>
      </c>
      <c r="I66" s="10">
        <v>6201</v>
      </c>
      <c r="J66" s="60">
        <v>22285</v>
      </c>
      <c r="K66" s="61"/>
      <c r="L66" s="10">
        <v>26549</v>
      </c>
      <c r="M66" s="10">
        <v>21787</v>
      </c>
      <c r="N66" s="10">
        <v>34656</v>
      </c>
    </row>
    <row r="67" spans="1:14" ht="14" customHeight="1" x14ac:dyDescent="0.3">
      <c r="A67" t="s">
        <v>42</v>
      </c>
    </row>
    <row r="68" spans="1:14" ht="12" customHeight="1" x14ac:dyDescent="0.3">
      <c r="A68" s="26" t="s">
        <v>69</v>
      </c>
    </row>
    <row r="69" spans="1:14" ht="12" customHeight="1" x14ac:dyDescent="0.3">
      <c r="A69" t="s">
        <v>70</v>
      </c>
    </row>
    <row r="70" spans="1:14" ht="12" customHeight="1" x14ac:dyDescent="0.3">
      <c r="A70" t="s">
        <v>71</v>
      </c>
    </row>
    <row r="71" spans="1:14" ht="12" customHeight="1" x14ac:dyDescent="0.3">
      <c r="A71" t="s">
        <v>72</v>
      </c>
    </row>
    <row r="72" spans="1:14" ht="12" customHeight="1" x14ac:dyDescent="0.3">
      <c r="A72" t="s">
        <v>73</v>
      </c>
    </row>
    <row r="73" spans="1:14" ht="12" customHeight="1" x14ac:dyDescent="0.3">
      <c r="A73" s="26" t="s">
        <v>74</v>
      </c>
    </row>
    <row r="74" spans="1:14" ht="12" customHeight="1" x14ac:dyDescent="0.3">
      <c r="A74" t="s">
        <v>75</v>
      </c>
    </row>
    <row r="75" spans="1:14" ht="12" customHeight="1" x14ac:dyDescent="0.3">
      <c r="A75" t="s">
        <v>76</v>
      </c>
    </row>
    <row r="76" spans="1:14" ht="12" customHeight="1" x14ac:dyDescent="0.3">
      <c r="A76" t="s">
        <v>77</v>
      </c>
    </row>
    <row r="77" spans="1:14" ht="12" customHeight="1" x14ac:dyDescent="0.3">
      <c r="A77" t="s">
        <v>78</v>
      </c>
    </row>
    <row r="78" spans="1:14" ht="12" customHeight="1" x14ac:dyDescent="0.3">
      <c r="A78" t="s">
        <v>79</v>
      </c>
    </row>
    <row r="79" spans="1:14" ht="12" customHeight="1" x14ac:dyDescent="0.3">
      <c r="A79" t="s">
        <v>80</v>
      </c>
    </row>
    <row r="80" spans="1:14" ht="12" customHeight="1" x14ac:dyDescent="0.3">
      <c r="A80" t="s">
        <v>81</v>
      </c>
    </row>
    <row r="81" spans="1:10" ht="40" customHeight="1" x14ac:dyDescent="0.3">
      <c r="A81" s="55" t="s">
        <v>40</v>
      </c>
      <c r="B81" s="55"/>
      <c r="C81" s="55"/>
      <c r="D81" s="55"/>
      <c r="E81" s="55"/>
      <c r="F81" s="55"/>
      <c r="G81" s="55"/>
      <c r="H81" s="55"/>
      <c r="I81" s="55"/>
      <c r="J81" s="55"/>
    </row>
    <row r="82" spans="1:10" ht="20" customHeight="1" x14ac:dyDescent="0.3">
      <c r="A82" t="s">
        <v>82</v>
      </c>
    </row>
  </sheetData>
  <mergeCells count="69">
    <mergeCell ref="A81:J81"/>
    <mergeCell ref="J62:K62"/>
    <mergeCell ref="J63:K63"/>
    <mergeCell ref="J64:K64"/>
    <mergeCell ref="J65:K65"/>
    <mergeCell ref="J66:K66"/>
    <mergeCell ref="J56:K56"/>
    <mergeCell ref="J57:K57"/>
    <mergeCell ref="J58:K58"/>
    <mergeCell ref="J59:K59"/>
    <mergeCell ref="J61:K61"/>
    <mergeCell ref="J51:K51"/>
    <mergeCell ref="J52:K52"/>
    <mergeCell ref="J53:K53"/>
    <mergeCell ref="J54:K54"/>
    <mergeCell ref="J55:K55"/>
    <mergeCell ref="J46:K46"/>
    <mergeCell ref="J47:K47"/>
    <mergeCell ref="J48:K48"/>
    <mergeCell ref="J49:K49"/>
    <mergeCell ref="J50:K50"/>
    <mergeCell ref="M41:N41"/>
    <mergeCell ref="J42:K42"/>
    <mergeCell ref="J43:K43"/>
    <mergeCell ref="J44:K44"/>
    <mergeCell ref="J45:K45"/>
    <mergeCell ref="J32:K32"/>
    <mergeCell ref="A33:J33"/>
    <mergeCell ref="A35:J35"/>
    <mergeCell ref="B41:C41"/>
    <mergeCell ref="D41:E41"/>
    <mergeCell ref="F41:G41"/>
    <mergeCell ref="H41:I41"/>
    <mergeCell ref="J41:L41"/>
    <mergeCell ref="J27:K27"/>
    <mergeCell ref="J28:K28"/>
    <mergeCell ref="J29:K29"/>
    <mergeCell ref="J30:K30"/>
    <mergeCell ref="J31:K31"/>
    <mergeCell ref="J22:K22"/>
    <mergeCell ref="J23:K23"/>
    <mergeCell ref="J24:K24"/>
    <mergeCell ref="J25:K25"/>
    <mergeCell ref="J26:K26"/>
    <mergeCell ref="J17:K17"/>
    <mergeCell ref="J18:K18"/>
    <mergeCell ref="J19:K19"/>
    <mergeCell ref="J20:K20"/>
    <mergeCell ref="J21:K21"/>
    <mergeCell ref="J12:K12"/>
    <mergeCell ref="J13:K13"/>
    <mergeCell ref="J14:K14"/>
    <mergeCell ref="J15:K15"/>
    <mergeCell ref="J16:K16"/>
    <mergeCell ref="J7:K7"/>
    <mergeCell ref="J8:K8"/>
    <mergeCell ref="J9:K9"/>
    <mergeCell ref="J10:K10"/>
    <mergeCell ref="J11:K11"/>
    <mergeCell ref="M2:N2"/>
    <mergeCell ref="J3:K3"/>
    <mergeCell ref="J4:K4"/>
    <mergeCell ref="J5:K5"/>
    <mergeCell ref="J6:K6"/>
    <mergeCell ref="B2:C2"/>
    <mergeCell ref="D2:E2"/>
    <mergeCell ref="F2:G2"/>
    <mergeCell ref="H2:I2"/>
    <mergeCell ref="J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MACStats: Medicaid and CHIP Data Book 2023</dc:title>
  <cp:lastModifiedBy>Raymond Packer</cp:lastModifiedBy>
  <dcterms:created xsi:type="dcterms:W3CDTF">2024-08-05T12:18:05Z</dcterms:created>
  <dcterms:modified xsi:type="dcterms:W3CDTF">2024-08-07T21:35:25Z</dcterms:modified>
</cp:coreProperties>
</file>