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queryTables/queryTable1.xml" ContentType="application/vnd.openxmlformats-officedocument.spreadsheetml.queryTable+xml"/>
  <Override PartName="/xl/tables/table15.xml" ContentType="application/vnd.openxmlformats-officedocument.spreadsheetml.table+xml"/>
  <Override PartName="/xl/queryTables/queryTable2.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queryTables/queryTable3.xml" ContentType="application/vnd.openxmlformats-officedocument.spreadsheetml.query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C:\Users\Owner\Documents\Just Saying That\Consulting\GCO\Program Sources\State Tax\"/>
    </mc:Choice>
  </mc:AlternateContent>
  <xr:revisionPtr revIDLastSave="0" documentId="13_ncr:1_{DFA430DC-9141-4FE0-A8F2-742DC07458DB}" xr6:coauthVersionLast="47" xr6:coauthVersionMax="47" xr10:uidLastSave="{00000000-0000-0000-0000-000000000000}"/>
  <bookViews>
    <workbookView xWindow="380" yWindow="380" windowWidth="16970" windowHeight="9810" xr2:uid="{6C0A3B3E-2168-421A-AB95-7F3AE64B8662}"/>
  </bookViews>
  <sheets>
    <sheet name="sTax" sheetId="1" r:id="rId1"/>
  </sheets>
  <externalReferences>
    <externalReference r:id="rId2"/>
    <externalReference r:id="rId3"/>
    <externalReference r:id="rId4"/>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[1]Calc1!$C$366:$G$373</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[1]Calc1!$N$560:$HF$560</definedName>
    <definedName name="CompareAlabamaOutputCHIP">[1]Calc1!$N$401:$HF$401</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[1]Calc1!$N$444:$HF$444</definedName>
    <definedName name="CompareAlabamaOutputInterval">[1]Calc1!$N$2:$HF$2</definedName>
    <definedName name="CompareAlabamaOutputLIHEAP">[1]Calc1!$N$653:$HF$653</definedName>
    <definedName name="CompareAlabamaOutputMedicaid">[1]Calc1!$N$357:$HF$357</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[1]Calc1!$N$632:$HF$632</definedName>
    <definedName name="CompareAlabamaOutputSec8Extended">[1]Calc1!$N$637:$HF$637</definedName>
    <definedName name="CompareAlabamaOutputSec8Final">[1]Calc1!$N$635:$HF$635</definedName>
    <definedName name="CompareAlabamaOutputSNAP">[1]Calc1!$N$295:$HF$295</definedName>
    <definedName name="CompareAlabamaOutputSSI">[1]Calc1!$N$262:$HF$262</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[1]Calc1!$N$203:$HF$203</definedName>
    <definedName name="CompareAlabamaOutputStateTax">[1]Calc1!$N$198:$HF$198</definedName>
    <definedName name="CompareAlabamaOutputSubsidizedSchoolMeals">[1]Calc1!$N$328:$HF$328</definedName>
    <definedName name="CompareAlabamaOutputTANF">[1]Calc1!$N$249:$HF$249</definedName>
    <definedName name="CompareAlabamaOutputWIC">[1]Calc1!$N$317:$HF$317</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[1]Calc1!$N$560:$HF$560</definedName>
    <definedName name="CompareFloridaOutputCHIP">[1]Calc1!$N$401:$HF$401</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[1]Calc1!$N$444:$HF$444</definedName>
    <definedName name="CompareFloridaOutputInterval">[1]Calc1!$N$2:$HF$2</definedName>
    <definedName name="CompareFloridaOutputLIHEAP">[1]Calc1!$N$653:$HF$653</definedName>
    <definedName name="CompareFloridaOutputMedicaid">[1]Calc1!$N$357:$HF$357</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[1]Calc1!$N$632:$HF$632</definedName>
    <definedName name="CompareFloridaOutputSec8Extended">[1]Calc1!$N$637:$HF$637</definedName>
    <definedName name="CompareFloridaOutputSec8Final">[1]Calc1!$N$635:$HF$635</definedName>
    <definedName name="CompareFloridaOutputSNAP">[1]Calc1!$N$295:$HF$295</definedName>
    <definedName name="CompareFloridaOutputSSI">[1]Calc1!$N$262:$HF$262</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[1]Calc1!$N$203:$HF$203</definedName>
    <definedName name="CompareFloridaOutputStateTax">[1]Calc1!$N$198:$HF$198</definedName>
    <definedName name="CompareFloridaOutputSubsidizedSchoolMeals">[1]Calc1!$N$328:$HF$328</definedName>
    <definedName name="CompareFloridaOutputTANF">[1]Calc1!$N$249:$HF$249</definedName>
    <definedName name="CompareFloridaOutputWIC">[1]Calc1!$N$317:$HF$317</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[1]Calc1!$N$560:$HF$560</definedName>
    <definedName name="CompareGeorgiaOutputCHIP">[1]Calc1!$N$401:$HF$401</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[1]Calc1!$N$444:$HF$444</definedName>
    <definedName name="CompareGeorgiaOutputInterval">[1]Calc1!$N$2:$HF$2</definedName>
    <definedName name="CompareGeorgiaOutputLIHEAP">[1]Calc1!$N$653:$HF$653</definedName>
    <definedName name="CompareGeorgiaOutputMedicaid">[1]Calc1!$N$357:$HF$357</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[1]Calc1!$N$632:$HF$632</definedName>
    <definedName name="CompareGeorgiaOutputSec8Extended">[1]Calc1!$N$637:$HF$637</definedName>
    <definedName name="CompareGeorgiaOutputSec8Final">[1]Calc1!$N$635:$HF$635</definedName>
    <definedName name="CompareGeorgiaOutputSNAP">[1]Calc1!$N$295:$HF$295</definedName>
    <definedName name="CompareGeorgiaOutputSSI">[1]Calc1!$N$262:$HF$262</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[1]Calc1!$N$203:$HF$203</definedName>
    <definedName name="CompareGeorgiaOutputStateTax">[1]Calc1!$N$198:$HF$198</definedName>
    <definedName name="CompareGeorgiaOutputSubsidizedSchoolMeals">[1]Calc1!$N$328:$HF$328</definedName>
    <definedName name="CompareGeorgiaOutputTANF">[1]Calc1!$N$249:$HF$249</definedName>
    <definedName name="CompareGeorgiaOutputWIC">[1]Calc1!$N$317:$HF$317</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[1]Calc1!$N$560:$HF$560</definedName>
    <definedName name="CompareLouisianaOutputCHIP">[1]Calc1!$N$401:$HF$401</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[1]Calc1!$N$444:$HF$444</definedName>
    <definedName name="CompareLouisianaOutputInterval">[1]Calc1!$N$2:$HF$2</definedName>
    <definedName name="CompareLouisianaOutputLIHEAP">[1]Calc1!$N$653:$HF$653</definedName>
    <definedName name="CompareLouisianaOutputMedicaid">[1]Calc1!$N$357:$HF$357</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[1]Calc1!$N$632:$HF$632</definedName>
    <definedName name="CompareLouisianaOutputSec8Extended">[1]Calc1!$N$637:$HF$637</definedName>
    <definedName name="CompareLouisianaOutputSec8Final">[1]Calc1!$N$635:$HF$635</definedName>
    <definedName name="CompareLouisianaOutputSNAP">[1]Calc1!$N$295:$HF$295</definedName>
    <definedName name="CompareLouisianaOutputSSI">[1]Calc1!$N$262:$HF$262</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[1]Calc1!$N$203:$HF$203</definedName>
    <definedName name="CompareLouisianaOutputStateTax">[1]Calc1!$N$198:$HF$198</definedName>
    <definedName name="CompareLouisianaOutputSubsidizedSchoolMeals">[1]Calc1!$N$328:$HF$328</definedName>
    <definedName name="CompareLouisianaOutputTANF">[1]Calc1!$N$249:$HF$249</definedName>
    <definedName name="CompareLouisianaOutputWIC">[1]Calc1!$N$317:$HF$317</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[1]Calc1!$N$560:$HF$560</definedName>
    <definedName name="CompareMississippiOutputCHIP">[1]Calc1!$N$401:$HF$401</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[1]Calc1!$N$444:$HF$444</definedName>
    <definedName name="CompareMississippiOutputInterval">[1]Calc1!$N$2:$HF$2</definedName>
    <definedName name="CompareMississippiOutputLIHEAP">[1]Calc1!$N$653:$HF$653</definedName>
    <definedName name="CompareMississippiOutputMedicaid">[1]Calc1!$N$357:$HF$357</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[1]Calc1!$N$632:$HF$632</definedName>
    <definedName name="CompareMississippiOutputSec8Extended">[1]Calc1!$N$637:$HF$637</definedName>
    <definedName name="CompareMississippiOutputSec8Final">[1]Calc1!$N$635:$HF$635</definedName>
    <definedName name="CompareMississippiOutputSNAP">[1]Calc1!$N$295:$HF$295</definedName>
    <definedName name="CompareMississippiOutputSSI">[1]Calc1!$N$262:$HF$262</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[1]Calc1!$N$203:$HF$203</definedName>
    <definedName name="CompareMississippiOutputStateTax">[1]Calc1!$N$198:$HF$198</definedName>
    <definedName name="CompareMississippiOutputSubsidizedSchoolMeals">[1]Calc1!$N$328:$HF$328</definedName>
    <definedName name="CompareMississippiOutputTANF">[1]Calc1!$N$249:$HF$249</definedName>
    <definedName name="CompareMississippiOutputWIC">[1]Calc1!$N$317:$HF$317</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[1]Calc1!$N$560:$HF$560</definedName>
    <definedName name="CompareNorthCarolinaOutputCHIP">[1]Calc1!$N$401:$HF$401</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[1]Calc1!$N$444:$HF$444</definedName>
    <definedName name="CompareNorthCarolinaOutputInterval">[1]Calc1!$N$2:$HF$2</definedName>
    <definedName name="CompareNorthCarolinaOutputLIHEAP">[1]Calc1!$N$653:$HF$653</definedName>
    <definedName name="CompareNorthCarolinaOutputMedicaid">[1]Calc1!$N$357:$HF$357</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[1]Calc1!$N$632:$HF$632</definedName>
    <definedName name="CompareNorthCarolinaOutputSec8Extended">[1]Calc1!$N$637:$HF$637</definedName>
    <definedName name="CompareNorthCarolinaOutputSec8Final">[1]Calc1!$N$635:$HF$635</definedName>
    <definedName name="CompareNorthCarolinaOutputSNAP">[1]Calc1!$N$295:$HF$295</definedName>
    <definedName name="CompareNorthCarolinaOutputSSI">[1]Calc1!$N$262:$HF$262</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[1]Calc1!$N$203:$HF$203</definedName>
    <definedName name="CompareNorthCarolinaOutputStateTax">[1]Calc1!$N$198:$HF$198</definedName>
    <definedName name="CompareNorthCarolinaOutputSubsidizedSchoolMeals">[1]Calc1!$N$328:$HF$328</definedName>
    <definedName name="CompareNorthCarolinaOutputTANF">[1]Calc1!$N$249:$HF$249</definedName>
    <definedName name="CompareNorthCarolinaOutputWIC">[1]Calc1!$N$317:$HF$317</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[1]Calc1!$N$560:$HF$560</definedName>
    <definedName name="CompareOriginalIncomeOutputCHIP">[1]Calc1!$N$401:$HF$401</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[1]Calc1!$N$444:$HF$444</definedName>
    <definedName name="CompareOriginalIncomeOutputInterval">[1]Calc1!$N$2:$HF$2</definedName>
    <definedName name="CompareOriginalIncomeOutputLIHEAP">[1]Calc1!$N$653:$HF$653</definedName>
    <definedName name="CompareOriginalIncomeOutputMedicaid">[1]Calc1!$N$357:$HF$357</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[1]Calc1!$N$632:$HF$632</definedName>
    <definedName name="CompareOriginalIncomeOutputSec8Extended">[1]Calc1!$N$637:$HF$637</definedName>
    <definedName name="CompareOriginalIncomeOutputSec8Final">[1]Calc1!$N$635:$HF$635</definedName>
    <definedName name="CompareOriginalIncomeOutputSNAP">[1]Calc1!$N$295:$HF$295</definedName>
    <definedName name="CompareOriginalIncomeOutputSSI">[1]Calc1!$N$262:$HF$262</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[1]Calc1!$N$203:$HF$203</definedName>
    <definedName name="CompareOriginalIncomeOutputStateTax">[1]Calc1!$N$198:$HF$198</definedName>
    <definedName name="CompareOriginalIncomeOutputSubsidizedSchoolMeals">[1]Calc1!$N$328:$HF$328</definedName>
    <definedName name="CompareOriginalIncomeOutputTANF">[1]Calc1!$N$249:$HF$249</definedName>
    <definedName name="CompareOriginalIncomeOutputWIC">[1]Calc1!$N$317:$HF$317</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[1]Calc1!$N$560:$HF$560</definedName>
    <definedName name="CompareProspectiveIncomeOutputCHIP">[1]Calc1!$N$401:$HF$401</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[1]Calc1!$N$444:$HF$444</definedName>
    <definedName name="CompareProspectiveIncomeOutputInterval">[1]Calc1!$N$2:$HF$2</definedName>
    <definedName name="CompareProspectiveIncomeOutputLIHEAP">[1]Calc1!$N$653:$HF$653</definedName>
    <definedName name="CompareProspectiveIncomeOutputMedicaid">[1]Calc1!$N$357:$HF$357</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[1]Calc1!$N$632:$HF$632</definedName>
    <definedName name="CompareProspectiveIncomeOutputSec8Extended">[1]Calc1!$N$637:$HF$637</definedName>
    <definedName name="CompareProspectiveIncomeOutputSec8Final">[1]Calc1!$N$635:$HF$635</definedName>
    <definedName name="CompareProspectiveIncomeOutputSNAP">[1]Calc1!$N$295:$HF$295</definedName>
    <definedName name="CompareProspectiveIncomeOutputSSI">[1]Calc1!$N$262:$HF$262</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[1]Calc1!$N$203:$HF$203</definedName>
    <definedName name="CompareProspectiveIncomeOutputStateTax">[1]Calc1!$N$198:$HF$198</definedName>
    <definedName name="CompareProspectiveIncomeOutputSubsidizedSchoolMeals">[1]Calc1!$N$328:$HF$328</definedName>
    <definedName name="CompareProspectiveIncomeOutputTANF">[1]Calc1!$N$249:$HF$249</definedName>
    <definedName name="CompareProspectiveIncomeOutputWIC">[1]Calc1!$N$317:$HF$317</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[1]Calc1!$N$560:$HF$560</definedName>
    <definedName name="CompareSouthCarolinaOutputCHIP">[1]Calc1!$N$401:$HF$401</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[1]Calc1!$N$444:$HF$444</definedName>
    <definedName name="CompareSouthCarolinaOutputInterval">[1]Calc1!$N$2:$HF$2</definedName>
    <definedName name="CompareSouthCarolinaOutputLIHEAP">[1]Calc1!$N$653:$HF$653</definedName>
    <definedName name="CompareSouthCarolinaOutputMedicaid">[1]Calc1!$N$357:$HF$357</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[1]Calc1!$N$632:$HF$632</definedName>
    <definedName name="CompareSouthCarolinaOutputSec8Extended">[1]Calc1!$N$637:$HF$637</definedName>
    <definedName name="CompareSouthCarolinaOutputSec8Final">[1]Calc1!$N$635:$HF$635</definedName>
    <definedName name="CompareSouthCarolinaOutputSNAP">[1]Calc1!$N$295:$HF$295</definedName>
    <definedName name="CompareSouthCarolinaOutputSSI">[1]Calc1!$N$262:$HF$262</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[1]Calc1!$N$203:$HF$203</definedName>
    <definedName name="CompareSouthCarolinaOutputStateTax">[1]Calc1!$N$198:$HF$198</definedName>
    <definedName name="CompareSouthCarolinaOutputSubsidizedSchoolMeals">[1]Calc1!$N$328:$HF$328</definedName>
    <definedName name="CompareSouthCarolinaOutputTANF">[1]Calc1!$N$249:$HF$249</definedName>
    <definedName name="CompareSouthCarolinaOutputWIC">[1]Calc1!$N$317:$HF$317</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[1]Calc1!$N$560:$HF$560</definedName>
    <definedName name="CompareTennesseeOutputCHIP">[1]Calc1!$N$401:$HF$401</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[1]Calc1!$N$444:$HF$444</definedName>
    <definedName name="CompareTennesseeOutputInterval">[1]Calc1!$N$2:$HF$2</definedName>
    <definedName name="CompareTennesseeOutputLIHEAP">[1]Calc1!$N$653:$HF$653</definedName>
    <definedName name="CompareTennesseeOutputMedicaid">[1]Calc1!$N$357:$HF$357</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[1]Calc1!$N$632:$HF$632</definedName>
    <definedName name="CompareTennesseeOutputSec8Extended">[1]Calc1!$N$637:$HF$637</definedName>
    <definedName name="CompareTennesseeOutputSec8Final">[1]Calc1!$N$635:$HF$635</definedName>
    <definedName name="CompareTennesseeOutputSNAP">[1]Calc1!$N$295:$HF$295</definedName>
    <definedName name="CompareTennesseeOutputSSI">[1]Calc1!$N$262:$HF$262</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[1]Calc1!$N$203:$HF$203</definedName>
    <definedName name="CompareTennesseeOutputStateTax">[1]Calc1!$N$198:$HF$198</definedName>
    <definedName name="CompareTennesseeOutputSubsidizedSchoolMeals">[1]Calc1!$N$328:$HF$328</definedName>
    <definedName name="CompareTennesseeOutputTANF">[1]Calc1!$N$249:$HF$249</definedName>
    <definedName name="CompareTennesseeOutputWIC">[1]Calc1!$N$317:$HF$317</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[1]Calc1!$N$560:$HF$560</definedName>
    <definedName name="CompareTexasOutputCHIP">[1]Calc1!$N$401:$HF$401</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[1]Calc1!$N$444:$HF$444</definedName>
    <definedName name="CompareTexasOutputInterval">[1]Calc1!$N$2:$HF$2</definedName>
    <definedName name="CompareTexasOutputLIHEAP">[1]Calc1!$N$653:$HF$653</definedName>
    <definedName name="CompareTexasOutputMedicaid">[1]Calc1!$N$357:$HF$357</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[1]Calc1!$N$632:$HF$632</definedName>
    <definedName name="CompareTexasOutputSec8Extended">[1]Calc1!$N$637:$HF$637</definedName>
    <definedName name="CompareTexasOutputSec8Final">[1]Calc1!$N$635:$HF$635</definedName>
    <definedName name="CompareTexasOutputSNAP">[1]Calc1!$N$295:$HF$295</definedName>
    <definedName name="CompareTexasOutputSSI">[1]Calc1!$N$262:$HF$262</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[1]Calc1!$N$203:$HF$203</definedName>
    <definedName name="CompareTexasOutputStateTax">[1]Calc1!$N$198:$HF$198</definedName>
    <definedName name="CompareTexasOutputSubsidizedSchoolMeals">[1]Calc1!$N$328:$HF$328</definedName>
    <definedName name="CompareTexasOutputTANF">[1]Calc1!$N$249:$HF$249</definedName>
    <definedName name="CompareTexasOutputWIC">[1]Calc1!$N$317:$HF$317</definedName>
    <definedName name="ExternalData_2" localSheetId="0" hidden="1">sTax!#REF!</definedName>
    <definedName name="ExternalData_3" localSheetId="0" hidden="1">sTax!#REF!</definedName>
    <definedName name="ExternalData_4" localSheetId="0" hidden="1">sTax!$C$437:$G$442</definedName>
    <definedName name="ExternalData_5" localSheetId="0" hidden="1">sTax!$C$446:$G$450</definedName>
    <definedName name="ExternalData_6" localSheetId="0" hidden="1">sTax!$C$455:$H$461</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[1]Calc1!$N$560:$HF$560</definedName>
    <definedName name="OutputCHIP">[1]Calc1!$N$401:$HF$401</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[1]Calc1!$N$444:$HF$444</definedName>
    <definedName name="OutputInterval">[1]Calc1!$N$2:$HF$2</definedName>
    <definedName name="OutputLIHEAP">[1]Calc1!$N$653:$HF$653</definedName>
    <definedName name="OutputMedicaid">[1]Calc1!$N$357:$HF$357</definedName>
    <definedName name="OutputMedicaidAndCHIP">OutputMedicaid + OutputCHIP</definedName>
    <definedName name="OutputMomHourlyWage">[1]Calc1!$N$10:$HF$10</definedName>
    <definedName name="OutputMomWeeklyHours">[1]Calc1!$N$5:$HF$5</definedName>
    <definedName name="OutputSec8Entry">[1]Calc1!$N$632:$HF$632</definedName>
    <definedName name="OutputSec8Extended">[1]Calc1!$N$637:$HF$637</definedName>
    <definedName name="OutputSec8Final">[1]Calc1!$N$635:$HF$635</definedName>
    <definedName name="OutputSNAP">[1]Calc1!$N$295:$HF$295</definedName>
    <definedName name="OutputSSI">[1]Calc1!$N$262:$HF$262</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[1]Calc1!$N$203:$HF$203</definedName>
    <definedName name="OutputStateTax">[1]Calc1!$N$198:$HF$198</definedName>
    <definedName name="OutputSubsidizedSchoolMeals">[1]Calc1!$N$328:$HF$328</definedName>
    <definedName name="OutputTANF">[1]Calc1!$N$249:$HF$249</definedName>
    <definedName name="OutputWIC">[1]Calc1!$N$317:$HF$317</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926" i="1" l="1"/>
  <c r="E3927" i="1" s="1"/>
  <c r="E3928" i="1" s="1"/>
  <c r="E3929" i="1" s="1"/>
  <c r="E3930" i="1" s="1"/>
  <c r="E3931" i="1" s="1"/>
  <c r="E3932" i="1" s="1"/>
  <c r="E3933" i="1" s="1"/>
  <c r="E3934" i="1" s="1"/>
  <c r="E3935" i="1" s="1"/>
  <c r="E3915" i="1"/>
  <c r="E3916" i="1" s="1"/>
  <c r="E3917" i="1" s="1"/>
  <c r="E3918" i="1" s="1"/>
  <c r="E3919" i="1" s="1"/>
  <c r="E3920" i="1" s="1"/>
  <c r="E3921" i="1" s="1"/>
  <c r="E3922" i="1" s="1"/>
  <c r="E3923" i="1" s="1"/>
  <c r="E3924" i="1" s="1"/>
  <c r="E3904" i="1"/>
  <c r="E3905" i="1" s="1"/>
  <c r="E3906" i="1" s="1"/>
  <c r="E3907" i="1" s="1"/>
  <c r="E3908" i="1" s="1"/>
  <c r="E3909" i="1" s="1"/>
  <c r="E3910" i="1" s="1"/>
  <c r="E3911" i="1" s="1"/>
  <c r="E3912" i="1" s="1"/>
  <c r="E3913" i="1" s="1"/>
  <c r="E3893" i="1"/>
  <c r="E3894" i="1" s="1"/>
  <c r="E3895" i="1" s="1"/>
  <c r="E3896" i="1" s="1"/>
  <c r="E3897" i="1" s="1"/>
  <c r="E3898" i="1" s="1"/>
  <c r="E3899" i="1" s="1"/>
  <c r="E3900" i="1" s="1"/>
  <c r="E3901" i="1" s="1"/>
  <c r="E3902" i="1" s="1"/>
  <c r="E3882" i="1"/>
  <c r="E3883" i="1" s="1"/>
  <c r="E3884" i="1" s="1"/>
  <c r="E3885" i="1" s="1"/>
  <c r="E3886" i="1" s="1"/>
  <c r="E3887" i="1" s="1"/>
  <c r="E3888" i="1" s="1"/>
  <c r="E3889" i="1" s="1"/>
  <c r="E3890" i="1" s="1"/>
  <c r="E3891" i="1" s="1"/>
  <c r="E3871" i="1"/>
  <c r="E3872" i="1" s="1"/>
  <c r="E3873" i="1" s="1"/>
  <c r="E3874" i="1" s="1"/>
  <c r="E3875" i="1" s="1"/>
  <c r="E3876" i="1" s="1"/>
  <c r="E3877" i="1" s="1"/>
  <c r="E3878" i="1" s="1"/>
  <c r="E3879" i="1" s="1"/>
  <c r="E3880" i="1" s="1"/>
  <c r="E3860" i="1"/>
  <c r="E3861" i="1" s="1"/>
  <c r="E3862" i="1" s="1"/>
  <c r="E3863" i="1" s="1"/>
  <c r="E3864" i="1" s="1"/>
  <c r="E3865" i="1" s="1"/>
  <c r="E3866" i="1" s="1"/>
  <c r="E3867" i="1" s="1"/>
  <c r="E3868" i="1" s="1"/>
  <c r="E3869" i="1" s="1"/>
  <c r="E3849" i="1"/>
  <c r="E3850" i="1" s="1"/>
  <c r="E3851" i="1" s="1"/>
  <c r="E3852" i="1" s="1"/>
  <c r="E3853" i="1" s="1"/>
  <c r="E3854" i="1" s="1"/>
  <c r="E3855" i="1" s="1"/>
  <c r="E3856" i="1" s="1"/>
  <c r="E3857" i="1" s="1"/>
  <c r="E3858" i="1" s="1"/>
  <c r="E3838" i="1"/>
  <c r="E3839" i="1" s="1"/>
  <c r="E3840" i="1" s="1"/>
  <c r="E3841" i="1" s="1"/>
  <c r="E3842" i="1" s="1"/>
  <c r="E3843" i="1" s="1"/>
  <c r="E3844" i="1" s="1"/>
  <c r="E3845" i="1" s="1"/>
  <c r="E3846" i="1" s="1"/>
  <c r="E3847" i="1" s="1"/>
  <c r="E3783" i="1"/>
  <c r="E3784" i="1" s="1"/>
  <c r="E3785" i="1" s="1"/>
  <c r="E3786" i="1" s="1"/>
  <c r="E3787" i="1" s="1"/>
  <c r="E3788" i="1" s="1"/>
  <c r="E3789" i="1" s="1"/>
  <c r="E3790" i="1" s="1"/>
  <c r="E3791" i="1" s="1"/>
  <c r="E3792" i="1" s="1"/>
  <c r="E3793" i="1" s="1"/>
  <c r="E3794" i="1" s="1"/>
  <c r="E3795" i="1" s="1"/>
  <c r="E3796" i="1" s="1"/>
  <c r="E3797" i="1" s="1"/>
  <c r="E3798" i="1" s="1"/>
  <c r="E3799" i="1" s="1"/>
  <c r="E3800" i="1" s="1"/>
  <c r="E3801" i="1" s="1"/>
  <c r="E3802" i="1" s="1"/>
  <c r="E3803" i="1" s="1"/>
  <c r="E3804" i="1" s="1"/>
  <c r="E3805" i="1" s="1"/>
  <c r="E3806" i="1" s="1"/>
  <c r="E3807" i="1" s="1"/>
  <c r="E3808" i="1" s="1"/>
  <c r="E3809" i="1" s="1"/>
  <c r="E3810" i="1" s="1"/>
  <c r="E3811" i="1" s="1"/>
  <c r="E3812" i="1" s="1"/>
  <c r="E3813" i="1" s="1"/>
  <c r="E3814" i="1" s="1"/>
  <c r="E3815" i="1" s="1"/>
  <c r="E3816" i="1" s="1"/>
  <c r="E3817" i="1" s="1"/>
  <c r="E3818" i="1" s="1"/>
  <c r="E3819" i="1" s="1"/>
  <c r="E3820" i="1" s="1"/>
  <c r="E3821" i="1" s="1"/>
  <c r="E3822" i="1" s="1"/>
  <c r="E3823" i="1" s="1"/>
  <c r="E3824" i="1" s="1"/>
  <c r="E3825" i="1" s="1"/>
  <c r="E3739" i="1"/>
  <c r="E3740" i="1" s="1"/>
  <c r="E3741" i="1" s="1"/>
  <c r="E3742" i="1" s="1"/>
  <c r="E3743" i="1" s="1"/>
  <c r="E3744" i="1" s="1"/>
  <c r="E3745" i="1" s="1"/>
  <c r="E3746" i="1" s="1"/>
  <c r="E3747" i="1" s="1"/>
  <c r="E3748" i="1" s="1"/>
  <c r="E3749" i="1" s="1"/>
  <c r="E3750" i="1" s="1"/>
  <c r="E3751" i="1" s="1"/>
  <c r="E3752" i="1" s="1"/>
  <c r="E3753" i="1" s="1"/>
  <c r="E3754" i="1" s="1"/>
  <c r="E3755" i="1" s="1"/>
  <c r="E3756" i="1" s="1"/>
  <c r="E3757" i="1" s="1"/>
  <c r="E3758" i="1" s="1"/>
  <c r="E3759" i="1" s="1"/>
  <c r="E3760" i="1" s="1"/>
  <c r="E3761" i="1" s="1"/>
  <c r="E3762" i="1" s="1"/>
  <c r="E3763" i="1" s="1"/>
  <c r="E3764" i="1" s="1"/>
  <c r="E3765" i="1" s="1"/>
  <c r="E3766" i="1" s="1"/>
  <c r="E3767" i="1" s="1"/>
  <c r="E3768" i="1" s="1"/>
  <c r="E3769" i="1" s="1"/>
  <c r="E3770" i="1" s="1"/>
  <c r="E3771" i="1" s="1"/>
  <c r="E3772" i="1" s="1"/>
  <c r="E3773" i="1" s="1"/>
  <c r="E3774" i="1" s="1"/>
  <c r="E3775" i="1" s="1"/>
  <c r="E3776" i="1" s="1"/>
  <c r="E3777" i="1" s="1"/>
  <c r="E3778" i="1" s="1"/>
  <c r="E3779" i="1" s="1"/>
  <c r="E3780" i="1" s="1"/>
  <c r="E3781" i="1" s="1"/>
  <c r="E3695" i="1"/>
  <c r="E3696" i="1" s="1"/>
  <c r="E3697" i="1" s="1"/>
  <c r="E3698" i="1" s="1"/>
  <c r="E3699" i="1" s="1"/>
  <c r="E3700" i="1" s="1"/>
  <c r="E3701" i="1" s="1"/>
  <c r="E3702" i="1" s="1"/>
  <c r="E3703" i="1" s="1"/>
  <c r="E3704" i="1" s="1"/>
  <c r="E3705" i="1" s="1"/>
  <c r="E3706" i="1" s="1"/>
  <c r="E3707" i="1" s="1"/>
  <c r="E3708" i="1" s="1"/>
  <c r="E3709" i="1" s="1"/>
  <c r="E3710" i="1" s="1"/>
  <c r="E3711" i="1" s="1"/>
  <c r="E3712" i="1" s="1"/>
  <c r="E3713" i="1" s="1"/>
  <c r="E3714" i="1" s="1"/>
  <c r="E3715" i="1" s="1"/>
  <c r="E3716" i="1" s="1"/>
  <c r="E3717" i="1" s="1"/>
  <c r="E3718" i="1" s="1"/>
  <c r="E3719" i="1" s="1"/>
  <c r="E3720" i="1" s="1"/>
  <c r="E3721" i="1" s="1"/>
  <c r="E3722" i="1" s="1"/>
  <c r="E3723" i="1" s="1"/>
  <c r="E3724" i="1" s="1"/>
  <c r="E3725" i="1" s="1"/>
  <c r="E3726" i="1" s="1"/>
  <c r="E3727" i="1" s="1"/>
  <c r="E3728" i="1" s="1"/>
  <c r="E3729" i="1" s="1"/>
  <c r="E3730" i="1" s="1"/>
  <c r="E3731" i="1" s="1"/>
  <c r="E3732" i="1" s="1"/>
  <c r="E3733" i="1" s="1"/>
  <c r="E3734" i="1" s="1"/>
  <c r="E3735" i="1" s="1"/>
  <c r="E3736" i="1" s="1"/>
  <c r="E3737" i="1" s="1"/>
  <c r="E3651" i="1"/>
  <c r="E3652" i="1" s="1"/>
  <c r="E3653" i="1" s="1"/>
  <c r="E3654" i="1" s="1"/>
  <c r="E3655" i="1" s="1"/>
  <c r="E3656" i="1" s="1"/>
  <c r="E3657" i="1" s="1"/>
  <c r="E3658" i="1" s="1"/>
  <c r="E3659" i="1" s="1"/>
  <c r="E3660" i="1" s="1"/>
  <c r="E3661" i="1" s="1"/>
  <c r="E3662" i="1" s="1"/>
  <c r="E3663" i="1" s="1"/>
  <c r="E3664" i="1" s="1"/>
  <c r="E3665" i="1" s="1"/>
  <c r="E3666" i="1" s="1"/>
  <c r="E3667" i="1" s="1"/>
  <c r="E3668" i="1" s="1"/>
  <c r="E3669" i="1" s="1"/>
  <c r="E3670" i="1" s="1"/>
  <c r="E3671" i="1" s="1"/>
  <c r="E3672" i="1" s="1"/>
  <c r="E3673" i="1" s="1"/>
  <c r="E3674" i="1" s="1"/>
  <c r="E3675" i="1" s="1"/>
  <c r="E3676" i="1" s="1"/>
  <c r="E3677" i="1" s="1"/>
  <c r="E3678" i="1" s="1"/>
  <c r="E3679" i="1" s="1"/>
  <c r="E3680" i="1" s="1"/>
  <c r="E3681" i="1" s="1"/>
  <c r="E3682" i="1" s="1"/>
  <c r="E3683" i="1" s="1"/>
  <c r="E3684" i="1" s="1"/>
  <c r="E3685" i="1" s="1"/>
  <c r="E3686" i="1" s="1"/>
  <c r="E3687" i="1" s="1"/>
  <c r="E3688" i="1" s="1"/>
  <c r="E3689" i="1" s="1"/>
  <c r="E3690" i="1" s="1"/>
  <c r="E3691" i="1" s="1"/>
  <c r="E3692" i="1" s="1"/>
  <c r="E3693" i="1" s="1"/>
  <c r="E3607" i="1"/>
  <c r="E3608" i="1" s="1"/>
  <c r="E3609" i="1" s="1"/>
  <c r="E3610" i="1" s="1"/>
  <c r="E3611" i="1" s="1"/>
  <c r="E3612" i="1" s="1"/>
  <c r="E3613" i="1" s="1"/>
  <c r="E3614" i="1" s="1"/>
  <c r="E3615" i="1" s="1"/>
  <c r="E3616" i="1" s="1"/>
  <c r="E3617" i="1" s="1"/>
  <c r="E3618" i="1" s="1"/>
  <c r="E3619" i="1" s="1"/>
  <c r="E3620" i="1" s="1"/>
  <c r="E3621" i="1" s="1"/>
  <c r="E3622" i="1" s="1"/>
  <c r="E3623" i="1" s="1"/>
  <c r="E3624" i="1" s="1"/>
  <c r="E3625" i="1" s="1"/>
  <c r="E3626" i="1" s="1"/>
  <c r="E3627" i="1" s="1"/>
  <c r="E3628" i="1" s="1"/>
  <c r="E3629" i="1" s="1"/>
  <c r="E3630" i="1" s="1"/>
  <c r="E3631" i="1" s="1"/>
  <c r="E3632" i="1" s="1"/>
  <c r="E3633" i="1" s="1"/>
  <c r="E3634" i="1" s="1"/>
  <c r="E3635" i="1" s="1"/>
  <c r="E3636" i="1" s="1"/>
  <c r="E3637" i="1" s="1"/>
  <c r="E3638" i="1" s="1"/>
  <c r="E3639" i="1" s="1"/>
  <c r="E3640" i="1" s="1"/>
  <c r="E3641" i="1" s="1"/>
  <c r="E3642" i="1" s="1"/>
  <c r="E3643" i="1" s="1"/>
  <c r="E3644" i="1" s="1"/>
  <c r="E3645" i="1" s="1"/>
  <c r="E3646" i="1" s="1"/>
  <c r="E3647" i="1" s="1"/>
  <c r="E3648" i="1" s="1"/>
  <c r="E3649" i="1" s="1"/>
  <c r="E3563" i="1"/>
  <c r="E3564" i="1" s="1"/>
  <c r="E3565" i="1" s="1"/>
  <c r="E3566" i="1" s="1"/>
  <c r="E3567" i="1" s="1"/>
  <c r="E3568" i="1" s="1"/>
  <c r="E3569" i="1" s="1"/>
  <c r="E3570" i="1" s="1"/>
  <c r="E3571" i="1" s="1"/>
  <c r="E3572" i="1" s="1"/>
  <c r="E3573" i="1" s="1"/>
  <c r="E3574" i="1" s="1"/>
  <c r="E3575" i="1" s="1"/>
  <c r="E3576" i="1" s="1"/>
  <c r="E3577" i="1" s="1"/>
  <c r="E3578" i="1" s="1"/>
  <c r="E3579" i="1" s="1"/>
  <c r="E3580" i="1" s="1"/>
  <c r="E3581" i="1" s="1"/>
  <c r="E3582" i="1" s="1"/>
  <c r="E3583" i="1" s="1"/>
  <c r="E3584" i="1" s="1"/>
  <c r="E3585" i="1" s="1"/>
  <c r="E3586" i="1" s="1"/>
  <c r="E3587" i="1" s="1"/>
  <c r="E3588" i="1" s="1"/>
  <c r="E3589" i="1" s="1"/>
  <c r="E3590" i="1" s="1"/>
  <c r="E3591" i="1" s="1"/>
  <c r="E3592" i="1" s="1"/>
  <c r="E3593" i="1" s="1"/>
  <c r="E3594" i="1" s="1"/>
  <c r="E3595" i="1" s="1"/>
  <c r="E3596" i="1" s="1"/>
  <c r="E3597" i="1" s="1"/>
  <c r="E3598" i="1" s="1"/>
  <c r="E3599" i="1" s="1"/>
  <c r="E3600" i="1" s="1"/>
  <c r="E3601" i="1" s="1"/>
  <c r="E3602" i="1" s="1"/>
  <c r="E3603" i="1" s="1"/>
  <c r="E3604" i="1" s="1"/>
  <c r="E3605" i="1" s="1"/>
  <c r="E3519" i="1"/>
  <c r="E3520" i="1" s="1"/>
  <c r="E3521" i="1" s="1"/>
  <c r="E3522" i="1" s="1"/>
  <c r="E3523" i="1" s="1"/>
  <c r="E3524" i="1" s="1"/>
  <c r="E3525" i="1" s="1"/>
  <c r="E3526" i="1" s="1"/>
  <c r="E3527" i="1" s="1"/>
  <c r="E3528" i="1" s="1"/>
  <c r="E3529" i="1" s="1"/>
  <c r="E3530" i="1" s="1"/>
  <c r="E3531" i="1" s="1"/>
  <c r="E3532" i="1" s="1"/>
  <c r="E3533" i="1" s="1"/>
  <c r="E3534" i="1" s="1"/>
  <c r="E3535" i="1" s="1"/>
  <c r="E3536" i="1" s="1"/>
  <c r="E3537" i="1" s="1"/>
  <c r="E3538" i="1" s="1"/>
  <c r="E3539" i="1" s="1"/>
  <c r="E3540" i="1" s="1"/>
  <c r="E3541" i="1" s="1"/>
  <c r="E3542" i="1" s="1"/>
  <c r="E3543" i="1" s="1"/>
  <c r="E3544" i="1" s="1"/>
  <c r="E3545" i="1" s="1"/>
  <c r="E3546" i="1" s="1"/>
  <c r="E3547" i="1" s="1"/>
  <c r="E3548" i="1" s="1"/>
  <c r="E3549" i="1" s="1"/>
  <c r="E3550" i="1" s="1"/>
  <c r="E3551" i="1" s="1"/>
  <c r="E3552" i="1" s="1"/>
  <c r="E3553" i="1" s="1"/>
  <c r="E3554" i="1" s="1"/>
  <c r="E3555" i="1" s="1"/>
  <c r="E3556" i="1" s="1"/>
  <c r="E3557" i="1" s="1"/>
  <c r="E3558" i="1" s="1"/>
  <c r="E3559" i="1" s="1"/>
  <c r="E3560" i="1" s="1"/>
  <c r="E3561" i="1" s="1"/>
  <c r="E3475" i="1"/>
  <c r="E3476" i="1" s="1"/>
  <c r="E3477" i="1" s="1"/>
  <c r="E3478" i="1" s="1"/>
  <c r="E3479" i="1" s="1"/>
  <c r="E3480" i="1" s="1"/>
  <c r="E3481" i="1" s="1"/>
  <c r="E3482" i="1" s="1"/>
  <c r="E3483" i="1" s="1"/>
  <c r="E3484" i="1" s="1"/>
  <c r="E3485" i="1" s="1"/>
  <c r="E3486" i="1" s="1"/>
  <c r="E3487" i="1" s="1"/>
  <c r="E3488" i="1" s="1"/>
  <c r="E3489" i="1" s="1"/>
  <c r="E3490" i="1" s="1"/>
  <c r="E3491" i="1" s="1"/>
  <c r="E3492" i="1" s="1"/>
  <c r="E3493" i="1" s="1"/>
  <c r="E3494" i="1" s="1"/>
  <c r="E3495" i="1" s="1"/>
  <c r="E3496" i="1" s="1"/>
  <c r="E3497" i="1" s="1"/>
  <c r="E3498" i="1" s="1"/>
  <c r="E3499" i="1" s="1"/>
  <c r="E3500" i="1" s="1"/>
  <c r="E3501" i="1" s="1"/>
  <c r="E3502" i="1" s="1"/>
  <c r="E3503" i="1" s="1"/>
  <c r="E3504" i="1" s="1"/>
  <c r="E3505" i="1" s="1"/>
  <c r="E3506" i="1" s="1"/>
  <c r="E3507" i="1" s="1"/>
  <c r="E3508" i="1" s="1"/>
  <c r="E3509" i="1" s="1"/>
  <c r="E3510" i="1" s="1"/>
  <c r="E3511" i="1" s="1"/>
  <c r="E3512" i="1" s="1"/>
  <c r="E3513" i="1" s="1"/>
  <c r="E3514" i="1" s="1"/>
  <c r="E3515" i="1" s="1"/>
  <c r="E3516" i="1" s="1"/>
  <c r="E3517" i="1" s="1"/>
  <c r="E3431" i="1"/>
  <c r="E3432" i="1" s="1"/>
  <c r="E3433" i="1" s="1"/>
  <c r="E3434" i="1" s="1"/>
  <c r="E3435" i="1" s="1"/>
  <c r="E3436" i="1" s="1"/>
  <c r="E3437" i="1" s="1"/>
  <c r="E3438" i="1" s="1"/>
  <c r="E3439" i="1" s="1"/>
  <c r="E3440" i="1" s="1"/>
  <c r="E3441" i="1" s="1"/>
  <c r="E3442" i="1" s="1"/>
  <c r="E3443" i="1" s="1"/>
  <c r="E3444" i="1" s="1"/>
  <c r="E3445" i="1" s="1"/>
  <c r="E3446" i="1" s="1"/>
  <c r="E3447" i="1" s="1"/>
  <c r="E3448" i="1" s="1"/>
  <c r="E3449" i="1" s="1"/>
  <c r="E3450" i="1" s="1"/>
  <c r="E3451" i="1" s="1"/>
  <c r="E3452" i="1" s="1"/>
  <c r="E3453" i="1" s="1"/>
  <c r="E3454" i="1" s="1"/>
  <c r="E3455" i="1" s="1"/>
  <c r="E3456" i="1" s="1"/>
  <c r="E3457" i="1" s="1"/>
  <c r="E3458" i="1" s="1"/>
  <c r="E3459" i="1" s="1"/>
  <c r="E3460" i="1" s="1"/>
  <c r="E3461" i="1" s="1"/>
  <c r="E3462" i="1" s="1"/>
  <c r="E3463" i="1" s="1"/>
  <c r="E3464" i="1" s="1"/>
  <c r="E3465" i="1" s="1"/>
  <c r="E3466" i="1" s="1"/>
  <c r="E3467" i="1" s="1"/>
  <c r="E3468" i="1" s="1"/>
  <c r="E3469" i="1" s="1"/>
  <c r="E3470" i="1" s="1"/>
  <c r="E3471" i="1" s="1"/>
  <c r="E3472" i="1" s="1"/>
  <c r="E3473" i="1" s="1"/>
  <c r="E3376" i="1"/>
  <c r="E3377" i="1" s="1"/>
  <c r="E3378" i="1" s="1"/>
  <c r="E3379" i="1" s="1"/>
  <c r="E3380" i="1" s="1"/>
  <c r="E3381" i="1" s="1"/>
  <c r="E3382" i="1" s="1"/>
  <c r="E3383" i="1" s="1"/>
  <c r="E3384" i="1" s="1"/>
  <c r="E3385" i="1" s="1"/>
  <c r="E3365" i="1"/>
  <c r="E3366" i="1" s="1"/>
  <c r="E3367" i="1" s="1"/>
  <c r="E3368" i="1" s="1"/>
  <c r="E3369" i="1" s="1"/>
  <c r="E3370" i="1" s="1"/>
  <c r="E3371" i="1" s="1"/>
  <c r="E3372" i="1" s="1"/>
  <c r="E3373" i="1" s="1"/>
  <c r="E3374" i="1" s="1"/>
  <c r="H3364" i="1"/>
  <c r="G3365" i="1" s="1"/>
  <c r="H3354" i="1"/>
  <c r="G3355" i="1" s="1"/>
  <c r="G3354" i="1"/>
  <c r="E3354" i="1"/>
  <c r="E3355" i="1" s="1"/>
  <c r="E3356" i="1" s="1"/>
  <c r="E3357" i="1" s="1"/>
  <c r="E3358" i="1" s="1"/>
  <c r="E3359" i="1" s="1"/>
  <c r="E3360" i="1" s="1"/>
  <c r="E3361" i="1" s="1"/>
  <c r="E3362" i="1" s="1"/>
  <c r="E3363" i="1" s="1"/>
  <c r="H3343" i="1"/>
  <c r="G3344" i="1" s="1"/>
  <c r="G3343" i="1"/>
  <c r="E3343" i="1"/>
  <c r="E3344" i="1" s="1"/>
  <c r="E3345" i="1" s="1"/>
  <c r="E3346" i="1" s="1"/>
  <c r="E3347" i="1" s="1"/>
  <c r="E3348" i="1" s="1"/>
  <c r="E3349" i="1" s="1"/>
  <c r="E3350" i="1" s="1"/>
  <c r="E3351" i="1" s="1"/>
  <c r="E3352" i="1" s="1"/>
  <c r="H3332" i="1"/>
  <c r="G3333" i="1" s="1"/>
  <c r="G3332" i="1"/>
  <c r="E3332" i="1"/>
  <c r="E3333" i="1" s="1"/>
  <c r="E3334" i="1" s="1"/>
  <c r="E3335" i="1" s="1"/>
  <c r="E3336" i="1" s="1"/>
  <c r="E3337" i="1" s="1"/>
  <c r="E3338" i="1" s="1"/>
  <c r="E3339" i="1" s="1"/>
  <c r="E3340" i="1" s="1"/>
  <c r="E3341" i="1" s="1"/>
  <c r="H3321" i="1"/>
  <c r="G3321" i="1"/>
  <c r="E3321" i="1"/>
  <c r="E3322" i="1" s="1"/>
  <c r="E3323" i="1" s="1"/>
  <c r="E3324" i="1" s="1"/>
  <c r="E3325" i="1" s="1"/>
  <c r="E3326" i="1" s="1"/>
  <c r="E3327" i="1" s="1"/>
  <c r="E3328" i="1" s="1"/>
  <c r="E3329" i="1" s="1"/>
  <c r="E3330" i="1" s="1"/>
  <c r="H3310" i="1"/>
  <c r="H3311" i="1" s="1"/>
  <c r="G3310" i="1"/>
  <c r="E3310" i="1"/>
  <c r="E3311" i="1" s="1"/>
  <c r="E3312" i="1" s="1"/>
  <c r="E3313" i="1" s="1"/>
  <c r="E3314" i="1" s="1"/>
  <c r="E3315" i="1" s="1"/>
  <c r="E3316" i="1" s="1"/>
  <c r="E3317" i="1" s="1"/>
  <c r="E3318" i="1" s="1"/>
  <c r="E3319" i="1" s="1"/>
  <c r="H3299" i="1"/>
  <c r="G3300" i="1" s="1"/>
  <c r="G3299" i="1"/>
  <c r="E3299" i="1"/>
  <c r="E3300" i="1" s="1"/>
  <c r="E3301" i="1" s="1"/>
  <c r="E3302" i="1" s="1"/>
  <c r="E3303" i="1" s="1"/>
  <c r="E3304" i="1" s="1"/>
  <c r="E3305" i="1" s="1"/>
  <c r="E3306" i="1" s="1"/>
  <c r="E3307" i="1" s="1"/>
  <c r="E3308" i="1" s="1"/>
  <c r="H3288" i="1"/>
  <c r="G3289" i="1" s="1"/>
  <c r="G3288" i="1"/>
  <c r="E3288" i="1"/>
  <c r="E3289" i="1" s="1"/>
  <c r="E3290" i="1" s="1"/>
  <c r="E3291" i="1" s="1"/>
  <c r="E3292" i="1" s="1"/>
  <c r="E3293" i="1" s="1"/>
  <c r="E3294" i="1" s="1"/>
  <c r="E3295" i="1" s="1"/>
  <c r="E3296" i="1" s="1"/>
  <c r="E3297" i="1" s="1"/>
  <c r="H3277" i="1"/>
  <c r="H3278" i="1" s="1"/>
  <c r="G3279" i="1" s="1"/>
  <c r="G3277" i="1"/>
  <c r="E3233" i="1"/>
  <c r="E3234" i="1" s="1"/>
  <c r="E3235" i="1" s="1"/>
  <c r="E3236" i="1" s="1"/>
  <c r="E3237" i="1" s="1"/>
  <c r="E3238" i="1" s="1"/>
  <c r="E3239" i="1" s="1"/>
  <c r="E3240" i="1" s="1"/>
  <c r="E3241" i="1" s="1"/>
  <c r="E3242" i="1" s="1"/>
  <c r="E3243" i="1" s="1"/>
  <c r="E3244" i="1" s="1"/>
  <c r="E3245" i="1" s="1"/>
  <c r="E3246" i="1" s="1"/>
  <c r="E3247" i="1" s="1"/>
  <c r="E3248" i="1" s="1"/>
  <c r="E3249" i="1" s="1"/>
  <c r="E3250" i="1" s="1"/>
  <c r="E3251" i="1" s="1"/>
  <c r="E3252" i="1" s="1"/>
  <c r="E3253" i="1" s="1"/>
  <c r="E3254" i="1" s="1"/>
  <c r="E3255" i="1" s="1"/>
  <c r="E3256" i="1" s="1"/>
  <c r="E3257" i="1" s="1"/>
  <c r="E3258" i="1" s="1"/>
  <c r="E3259" i="1" s="1"/>
  <c r="E3260" i="1" s="1"/>
  <c r="E3261" i="1" s="1"/>
  <c r="E3262" i="1" s="1"/>
  <c r="E3263" i="1" s="1"/>
  <c r="E3264" i="1" s="1"/>
  <c r="E3265" i="1" s="1"/>
  <c r="E3266" i="1" s="1"/>
  <c r="E3267" i="1" s="1"/>
  <c r="E3268" i="1" s="1"/>
  <c r="E3269" i="1" s="1"/>
  <c r="E3270" i="1" s="1"/>
  <c r="E3271" i="1" s="1"/>
  <c r="E3272" i="1" s="1"/>
  <c r="E3273" i="1" s="1"/>
  <c r="E3274" i="1" s="1"/>
  <c r="E3275" i="1" s="1"/>
  <c r="E3189" i="1"/>
  <c r="E3190" i="1" s="1"/>
  <c r="E3191" i="1" s="1"/>
  <c r="E3192" i="1" s="1"/>
  <c r="E3193" i="1" s="1"/>
  <c r="E3194" i="1" s="1"/>
  <c r="E3195" i="1" s="1"/>
  <c r="E3196" i="1" s="1"/>
  <c r="E3197" i="1" s="1"/>
  <c r="E3198" i="1" s="1"/>
  <c r="E3199" i="1" s="1"/>
  <c r="E3200" i="1" s="1"/>
  <c r="E3201" i="1" s="1"/>
  <c r="E3202" i="1" s="1"/>
  <c r="E3203" i="1" s="1"/>
  <c r="E3204" i="1" s="1"/>
  <c r="E3205" i="1" s="1"/>
  <c r="E3206" i="1" s="1"/>
  <c r="E3207" i="1" s="1"/>
  <c r="E3208" i="1" s="1"/>
  <c r="E3209" i="1" s="1"/>
  <c r="E3210" i="1" s="1"/>
  <c r="E3211" i="1" s="1"/>
  <c r="E3212" i="1" s="1"/>
  <c r="E3213" i="1" s="1"/>
  <c r="E3214" i="1" s="1"/>
  <c r="E3215" i="1" s="1"/>
  <c r="E3216" i="1" s="1"/>
  <c r="E3217" i="1" s="1"/>
  <c r="E3218" i="1" s="1"/>
  <c r="E3219" i="1" s="1"/>
  <c r="E3220" i="1" s="1"/>
  <c r="E3221" i="1" s="1"/>
  <c r="E3222" i="1" s="1"/>
  <c r="E3223" i="1" s="1"/>
  <c r="E3224" i="1" s="1"/>
  <c r="E3225" i="1" s="1"/>
  <c r="E3226" i="1" s="1"/>
  <c r="E3227" i="1" s="1"/>
  <c r="E3228" i="1" s="1"/>
  <c r="E3229" i="1" s="1"/>
  <c r="E3230" i="1" s="1"/>
  <c r="E3231" i="1" s="1"/>
  <c r="H3155" i="1"/>
  <c r="H3156" i="1" s="1"/>
  <c r="G3157" i="1" s="1"/>
  <c r="H3145" i="1"/>
  <c r="G3146" i="1" s="1"/>
  <c r="G3145" i="1"/>
  <c r="E3145" i="1"/>
  <c r="E3146" i="1" s="1"/>
  <c r="E3147" i="1" s="1"/>
  <c r="E3148" i="1" s="1"/>
  <c r="E3149" i="1" s="1"/>
  <c r="E3150" i="1" s="1"/>
  <c r="E3151" i="1" s="1"/>
  <c r="E3152" i="1" s="1"/>
  <c r="E3153" i="1" s="1"/>
  <c r="E3154" i="1" s="1"/>
  <c r="E3155" i="1" s="1"/>
  <c r="E3156" i="1" s="1"/>
  <c r="E3157" i="1" s="1"/>
  <c r="E3158" i="1" s="1"/>
  <c r="E3159" i="1" s="1"/>
  <c r="E3160" i="1" s="1"/>
  <c r="E3161" i="1" s="1"/>
  <c r="E3162" i="1" s="1"/>
  <c r="E3163" i="1" s="1"/>
  <c r="E3164" i="1" s="1"/>
  <c r="E3165" i="1" s="1"/>
  <c r="E3166" i="1" s="1"/>
  <c r="E3167" i="1" s="1"/>
  <c r="E3168" i="1" s="1"/>
  <c r="E3169" i="1" s="1"/>
  <c r="E3170" i="1" s="1"/>
  <c r="E3171" i="1" s="1"/>
  <c r="E3172" i="1" s="1"/>
  <c r="E3173" i="1" s="1"/>
  <c r="E3174" i="1" s="1"/>
  <c r="E3175" i="1" s="1"/>
  <c r="E3176" i="1" s="1"/>
  <c r="E3177" i="1" s="1"/>
  <c r="E3178" i="1" s="1"/>
  <c r="E3179" i="1" s="1"/>
  <c r="E3180" i="1" s="1"/>
  <c r="E3181" i="1" s="1"/>
  <c r="E3182" i="1" s="1"/>
  <c r="E3183" i="1" s="1"/>
  <c r="E3184" i="1" s="1"/>
  <c r="E3185" i="1" s="1"/>
  <c r="E3186" i="1" s="1"/>
  <c r="E3187" i="1" s="1"/>
  <c r="H3111" i="1"/>
  <c r="H3101" i="1"/>
  <c r="H3102" i="1" s="1"/>
  <c r="G3101" i="1"/>
  <c r="E3101" i="1"/>
  <c r="E3102" i="1" s="1"/>
  <c r="E3103" i="1" s="1"/>
  <c r="E3104" i="1" s="1"/>
  <c r="E3105" i="1" s="1"/>
  <c r="E3106" i="1" s="1"/>
  <c r="E3107" i="1" s="1"/>
  <c r="E3108" i="1" s="1"/>
  <c r="E3109" i="1" s="1"/>
  <c r="E3110" i="1" s="1"/>
  <c r="E3111" i="1" s="1"/>
  <c r="E3112" i="1" s="1"/>
  <c r="E3113" i="1" s="1"/>
  <c r="E3114" i="1" s="1"/>
  <c r="E3115" i="1" s="1"/>
  <c r="E3116" i="1" s="1"/>
  <c r="E3117" i="1" s="1"/>
  <c r="E3118" i="1" s="1"/>
  <c r="E3119" i="1" s="1"/>
  <c r="E3120" i="1" s="1"/>
  <c r="E3121" i="1" s="1"/>
  <c r="E3122" i="1" s="1"/>
  <c r="E3123" i="1" s="1"/>
  <c r="E3124" i="1" s="1"/>
  <c r="E3125" i="1" s="1"/>
  <c r="E3126" i="1" s="1"/>
  <c r="E3127" i="1" s="1"/>
  <c r="E3128" i="1" s="1"/>
  <c r="E3129" i="1" s="1"/>
  <c r="E3130" i="1" s="1"/>
  <c r="E3131" i="1" s="1"/>
  <c r="E3132" i="1" s="1"/>
  <c r="E3133" i="1" s="1"/>
  <c r="E3134" i="1" s="1"/>
  <c r="E3135" i="1" s="1"/>
  <c r="E3136" i="1" s="1"/>
  <c r="E3137" i="1" s="1"/>
  <c r="E3138" i="1" s="1"/>
  <c r="E3139" i="1" s="1"/>
  <c r="E3140" i="1" s="1"/>
  <c r="E3141" i="1" s="1"/>
  <c r="E3142" i="1" s="1"/>
  <c r="E3143" i="1" s="1"/>
  <c r="H3067" i="1"/>
  <c r="H3068" i="1" s="1"/>
  <c r="G3069" i="1" s="1"/>
  <c r="H3057" i="1"/>
  <c r="G3058" i="1" s="1"/>
  <c r="G3057" i="1"/>
  <c r="E3057" i="1"/>
  <c r="E3058" i="1" s="1"/>
  <c r="E3059" i="1" s="1"/>
  <c r="E3060" i="1" s="1"/>
  <c r="E3061" i="1" s="1"/>
  <c r="E3062" i="1" s="1"/>
  <c r="E3063" i="1" s="1"/>
  <c r="E3064" i="1" s="1"/>
  <c r="E3065" i="1" s="1"/>
  <c r="E3066" i="1" s="1"/>
  <c r="E3067" i="1" s="1"/>
  <c r="E3068" i="1" s="1"/>
  <c r="E3069" i="1" s="1"/>
  <c r="E3070" i="1" s="1"/>
  <c r="E3071" i="1" s="1"/>
  <c r="E3072" i="1" s="1"/>
  <c r="E3073" i="1" s="1"/>
  <c r="E3074" i="1" s="1"/>
  <c r="E3075" i="1" s="1"/>
  <c r="E3076" i="1" s="1"/>
  <c r="E3077" i="1" s="1"/>
  <c r="E3078" i="1" s="1"/>
  <c r="E3079" i="1" s="1"/>
  <c r="E3080" i="1" s="1"/>
  <c r="E3081" i="1" s="1"/>
  <c r="E3082" i="1" s="1"/>
  <c r="E3083" i="1" s="1"/>
  <c r="E3084" i="1" s="1"/>
  <c r="E3085" i="1" s="1"/>
  <c r="E3086" i="1" s="1"/>
  <c r="E3087" i="1" s="1"/>
  <c r="E3088" i="1" s="1"/>
  <c r="E3089" i="1" s="1"/>
  <c r="E3090" i="1" s="1"/>
  <c r="E3091" i="1" s="1"/>
  <c r="E3092" i="1" s="1"/>
  <c r="E3093" i="1" s="1"/>
  <c r="E3094" i="1" s="1"/>
  <c r="E3095" i="1" s="1"/>
  <c r="E3096" i="1" s="1"/>
  <c r="E3097" i="1" s="1"/>
  <c r="E3098" i="1" s="1"/>
  <c r="E3099" i="1" s="1"/>
  <c r="H3023" i="1"/>
  <c r="H3024" i="1" s="1"/>
  <c r="H3013" i="1"/>
  <c r="G3013" i="1"/>
  <c r="E3013" i="1"/>
  <c r="E3014" i="1" s="1"/>
  <c r="E3015" i="1" s="1"/>
  <c r="E3016" i="1" s="1"/>
  <c r="E3017" i="1" s="1"/>
  <c r="E3018" i="1" s="1"/>
  <c r="E3019" i="1" s="1"/>
  <c r="E3020" i="1" s="1"/>
  <c r="E3021" i="1" s="1"/>
  <c r="E3022" i="1" s="1"/>
  <c r="E3023" i="1" s="1"/>
  <c r="E3024" i="1" s="1"/>
  <c r="E3025" i="1" s="1"/>
  <c r="E3026" i="1" s="1"/>
  <c r="E3027" i="1" s="1"/>
  <c r="E3028" i="1" s="1"/>
  <c r="E3029" i="1" s="1"/>
  <c r="E3030" i="1" s="1"/>
  <c r="E3031" i="1" s="1"/>
  <c r="E3032" i="1" s="1"/>
  <c r="E3033" i="1" s="1"/>
  <c r="E3034" i="1" s="1"/>
  <c r="E3035" i="1" s="1"/>
  <c r="E3036" i="1" s="1"/>
  <c r="E3037" i="1" s="1"/>
  <c r="E3038" i="1" s="1"/>
  <c r="E3039" i="1" s="1"/>
  <c r="E3040" i="1" s="1"/>
  <c r="E3041" i="1" s="1"/>
  <c r="E3042" i="1" s="1"/>
  <c r="E3043" i="1" s="1"/>
  <c r="E3044" i="1" s="1"/>
  <c r="E3045" i="1" s="1"/>
  <c r="E3046" i="1" s="1"/>
  <c r="E3047" i="1" s="1"/>
  <c r="E3048" i="1" s="1"/>
  <c r="E3049" i="1" s="1"/>
  <c r="E3050" i="1" s="1"/>
  <c r="E3051" i="1" s="1"/>
  <c r="E3052" i="1" s="1"/>
  <c r="E3053" i="1" s="1"/>
  <c r="E3054" i="1" s="1"/>
  <c r="E3055" i="1" s="1"/>
  <c r="H2979" i="1"/>
  <c r="H2980" i="1" s="1"/>
  <c r="H2969" i="1"/>
  <c r="H2970" i="1" s="1"/>
  <c r="G2971" i="1" s="1"/>
  <c r="G2969" i="1"/>
  <c r="E2969" i="1"/>
  <c r="E2970" i="1" s="1"/>
  <c r="E2971" i="1" s="1"/>
  <c r="E2972" i="1" s="1"/>
  <c r="E2973" i="1" s="1"/>
  <c r="E2974" i="1" s="1"/>
  <c r="E2975" i="1" s="1"/>
  <c r="E2976" i="1" s="1"/>
  <c r="E2977" i="1" s="1"/>
  <c r="E2978" i="1" s="1"/>
  <c r="E2979" i="1" s="1"/>
  <c r="E2980" i="1" s="1"/>
  <c r="E2981" i="1" s="1"/>
  <c r="E2982" i="1" s="1"/>
  <c r="E2983" i="1" s="1"/>
  <c r="E2984" i="1" s="1"/>
  <c r="E2985" i="1" s="1"/>
  <c r="E2986" i="1" s="1"/>
  <c r="E2987" i="1" s="1"/>
  <c r="E2988" i="1" s="1"/>
  <c r="E2989" i="1" s="1"/>
  <c r="E2990" i="1" s="1"/>
  <c r="E2991" i="1" s="1"/>
  <c r="E2992" i="1" s="1"/>
  <c r="E2993" i="1" s="1"/>
  <c r="E2994" i="1" s="1"/>
  <c r="E2995" i="1" s="1"/>
  <c r="E2996" i="1" s="1"/>
  <c r="E2997" i="1" s="1"/>
  <c r="E2998" i="1" s="1"/>
  <c r="E2999" i="1" s="1"/>
  <c r="E3000" i="1" s="1"/>
  <c r="E3001" i="1" s="1"/>
  <c r="E3002" i="1" s="1"/>
  <c r="E3003" i="1" s="1"/>
  <c r="E3004" i="1" s="1"/>
  <c r="E3005" i="1" s="1"/>
  <c r="E3006" i="1" s="1"/>
  <c r="E3007" i="1" s="1"/>
  <c r="E3008" i="1" s="1"/>
  <c r="E3009" i="1" s="1"/>
  <c r="E3010" i="1" s="1"/>
  <c r="E3011" i="1" s="1"/>
  <c r="H2935" i="1"/>
  <c r="H2936" i="1" s="1"/>
  <c r="H2937" i="1" s="1"/>
  <c r="G2938" i="1" s="1"/>
  <c r="H2925" i="1"/>
  <c r="H2926" i="1" s="1"/>
  <c r="G2925" i="1"/>
  <c r="E2925" i="1"/>
  <c r="E2926" i="1" s="1"/>
  <c r="E2927" i="1" s="1"/>
  <c r="E2928" i="1" s="1"/>
  <c r="E2929" i="1" s="1"/>
  <c r="E2930" i="1" s="1"/>
  <c r="E2931" i="1" s="1"/>
  <c r="E2932" i="1" s="1"/>
  <c r="E2933" i="1" s="1"/>
  <c r="E2934" i="1" s="1"/>
  <c r="E2935" i="1" s="1"/>
  <c r="E2936" i="1" s="1"/>
  <c r="E2937" i="1" s="1"/>
  <c r="E2938" i="1" s="1"/>
  <c r="E2939" i="1" s="1"/>
  <c r="E2940" i="1" s="1"/>
  <c r="E2941" i="1" s="1"/>
  <c r="E2942" i="1" s="1"/>
  <c r="E2943" i="1" s="1"/>
  <c r="E2944" i="1" s="1"/>
  <c r="E2945" i="1" s="1"/>
  <c r="E2946" i="1" s="1"/>
  <c r="E2947" i="1" s="1"/>
  <c r="E2948" i="1" s="1"/>
  <c r="E2949" i="1" s="1"/>
  <c r="E2950" i="1" s="1"/>
  <c r="E2951" i="1" s="1"/>
  <c r="E2952" i="1" s="1"/>
  <c r="E2953" i="1" s="1"/>
  <c r="E2954" i="1" s="1"/>
  <c r="E2955" i="1" s="1"/>
  <c r="E2956" i="1" s="1"/>
  <c r="E2957" i="1" s="1"/>
  <c r="E2958" i="1" s="1"/>
  <c r="E2959" i="1" s="1"/>
  <c r="E2960" i="1" s="1"/>
  <c r="E2961" i="1" s="1"/>
  <c r="E2962" i="1" s="1"/>
  <c r="E2963" i="1" s="1"/>
  <c r="E2964" i="1" s="1"/>
  <c r="E2965" i="1" s="1"/>
  <c r="E2966" i="1" s="1"/>
  <c r="E2967" i="1" s="1"/>
  <c r="H2891" i="1"/>
  <c r="G2892" i="1" s="1"/>
  <c r="H2881" i="1"/>
  <c r="H2882" i="1" s="1"/>
  <c r="H2883" i="1" s="1"/>
  <c r="H2884" i="1" s="1"/>
  <c r="G2881" i="1"/>
  <c r="E2881" i="1"/>
  <c r="E2882" i="1" s="1"/>
  <c r="E2883" i="1" s="1"/>
  <c r="E2884" i="1" s="1"/>
  <c r="E2885" i="1" s="1"/>
  <c r="E2886" i="1" s="1"/>
  <c r="E2887" i="1" s="1"/>
  <c r="E2888" i="1" s="1"/>
  <c r="E2889" i="1" s="1"/>
  <c r="E2890" i="1" s="1"/>
  <c r="E2891" i="1" s="1"/>
  <c r="E2892" i="1" s="1"/>
  <c r="E2893" i="1" s="1"/>
  <c r="E2894" i="1" s="1"/>
  <c r="E2895" i="1" s="1"/>
  <c r="E2896" i="1" s="1"/>
  <c r="E2897" i="1" s="1"/>
  <c r="E2898" i="1" s="1"/>
  <c r="E2899" i="1" s="1"/>
  <c r="E2900" i="1" s="1"/>
  <c r="E2901" i="1" s="1"/>
  <c r="E2902" i="1" s="1"/>
  <c r="E2903" i="1" s="1"/>
  <c r="E2904" i="1" s="1"/>
  <c r="E2905" i="1" s="1"/>
  <c r="E2906" i="1" s="1"/>
  <c r="E2907" i="1" s="1"/>
  <c r="E2908" i="1" s="1"/>
  <c r="E2909" i="1" s="1"/>
  <c r="E2910" i="1" s="1"/>
  <c r="E2911" i="1" s="1"/>
  <c r="E2912" i="1" s="1"/>
  <c r="E2913" i="1" s="1"/>
  <c r="E2914" i="1" s="1"/>
  <c r="E2915" i="1" s="1"/>
  <c r="E2916" i="1" s="1"/>
  <c r="E2917" i="1" s="1"/>
  <c r="E2918" i="1" s="1"/>
  <c r="E2919" i="1" s="1"/>
  <c r="E2920" i="1" s="1"/>
  <c r="E2921" i="1" s="1"/>
  <c r="E2922" i="1" s="1"/>
  <c r="E2923" i="1" s="1"/>
  <c r="H2847" i="1"/>
  <c r="H2837" i="1"/>
  <c r="H2838" i="1" s="1"/>
  <c r="G2839" i="1" s="1"/>
  <c r="G2837" i="1"/>
  <c r="G430" i="1"/>
  <c r="H430" i="1" s="1"/>
  <c r="G431" i="1"/>
  <c r="H431" i="1" s="1"/>
  <c r="G432" i="1"/>
  <c r="H432" i="1" s="1"/>
  <c r="G433" i="1"/>
  <c r="H433" i="1" s="1"/>
  <c r="G434" i="1"/>
  <c r="H434" i="1" s="1"/>
  <c r="G5161" i="1"/>
  <c r="G5160" i="1"/>
  <c r="G5159" i="1"/>
  <c r="G5158" i="1"/>
  <c r="G5157" i="1"/>
  <c r="G5156" i="1"/>
  <c r="G5155" i="1"/>
  <c r="J5156" i="1" s="1"/>
  <c r="G5153" i="1"/>
  <c r="G5152" i="1"/>
  <c r="G5151" i="1"/>
  <c r="G5150" i="1"/>
  <c r="G5149" i="1"/>
  <c r="G5148" i="1"/>
  <c r="G5147" i="1"/>
  <c r="J5148" i="1" s="1"/>
  <c r="G5145" i="1"/>
  <c r="G5144" i="1"/>
  <c r="G5143" i="1"/>
  <c r="G5142" i="1"/>
  <c r="G5141" i="1"/>
  <c r="G5140" i="1"/>
  <c r="G5139" i="1"/>
  <c r="J5140" i="1" s="1"/>
  <c r="G5137" i="1"/>
  <c r="G5136" i="1"/>
  <c r="G5135" i="1"/>
  <c r="G5134" i="1"/>
  <c r="G5133" i="1"/>
  <c r="G5132" i="1"/>
  <c r="G5131" i="1"/>
  <c r="J5132" i="1" s="1"/>
  <c r="H3166" i="1" l="1"/>
  <c r="H3279" i="1"/>
  <c r="G3280" i="1" s="1"/>
  <c r="H3344" i="1"/>
  <c r="H3345" i="1" s="1"/>
  <c r="J5133" i="1"/>
  <c r="J5134" i="1" s="1"/>
  <c r="J5135" i="1" s="1"/>
  <c r="J5136" i="1" s="1"/>
  <c r="J5137" i="1" s="1"/>
  <c r="H3146" i="1"/>
  <c r="G3147" i="1" s="1"/>
  <c r="H3058" i="1"/>
  <c r="G3059" i="1" s="1"/>
  <c r="H2981" i="1"/>
  <c r="H2982" i="1" s="1"/>
  <c r="G2981" i="1"/>
  <c r="G2927" i="1"/>
  <c r="H2927" i="1"/>
  <c r="G2928" i="1" s="1"/>
  <c r="G2838" i="1"/>
  <c r="H2902" i="1"/>
  <c r="H2938" i="1"/>
  <c r="H2990" i="1"/>
  <c r="G2991" i="1" s="1"/>
  <c r="H3300" i="1"/>
  <c r="H2946" i="1"/>
  <c r="H2957" i="1" s="1"/>
  <c r="H2892" i="1"/>
  <c r="G2926" i="1"/>
  <c r="G2980" i="1"/>
  <c r="G3102" i="1"/>
  <c r="G3156" i="1"/>
  <c r="G3278" i="1"/>
  <c r="H3157" i="1"/>
  <c r="G3158" i="1" s="1"/>
  <c r="G2937" i="1"/>
  <c r="H2885" i="1"/>
  <c r="G2885" i="1"/>
  <c r="G2883" i="1"/>
  <c r="H2839" i="1"/>
  <c r="H3312" i="1"/>
  <c r="G3312" i="1"/>
  <c r="G2884" i="1"/>
  <c r="G3103" i="1"/>
  <c r="H3103" i="1"/>
  <c r="H3167" i="1"/>
  <c r="H3177" i="1"/>
  <c r="G3167" i="1"/>
  <c r="H2858" i="1"/>
  <c r="H2848" i="1"/>
  <c r="H3069" i="1"/>
  <c r="G2848" i="1"/>
  <c r="H3025" i="1"/>
  <c r="G3025" i="1"/>
  <c r="G2970" i="1"/>
  <c r="H3333" i="1"/>
  <c r="H2971" i="1"/>
  <c r="H3112" i="1"/>
  <c r="H3122" i="1"/>
  <c r="G3112" i="1"/>
  <c r="H3322" i="1"/>
  <c r="G3322" i="1"/>
  <c r="H3014" i="1"/>
  <c r="G3014" i="1"/>
  <c r="H3365" i="1"/>
  <c r="H3375" i="1"/>
  <c r="G2882" i="1"/>
  <c r="H3034" i="1"/>
  <c r="G3024" i="1"/>
  <c r="G2936" i="1"/>
  <c r="H3289" i="1"/>
  <c r="H3078" i="1"/>
  <c r="G3068" i="1"/>
  <c r="G3311" i="1"/>
  <c r="H3355" i="1"/>
  <c r="J5149" i="1"/>
  <c r="J5150" i="1" s="1"/>
  <c r="J5151" i="1" s="1"/>
  <c r="J5152" i="1" s="1"/>
  <c r="J5153" i="1" s="1"/>
  <c r="J5141" i="1"/>
  <c r="J5142" i="1" s="1"/>
  <c r="J5143" i="1" s="1"/>
  <c r="J5144" i="1" s="1"/>
  <c r="J5145" i="1" s="1"/>
  <c r="J5157" i="1"/>
  <c r="J5158" i="1" s="1"/>
  <c r="J5159" i="1" s="1"/>
  <c r="J5160" i="1" s="1"/>
  <c r="J5161" i="1" s="1"/>
  <c r="H3280" i="1" l="1"/>
  <c r="G3281" i="1" s="1"/>
  <c r="H3001" i="1"/>
  <c r="H3002" i="1" s="1"/>
  <c r="H3158" i="1"/>
  <c r="H2991" i="1"/>
  <c r="G2992" i="1" s="1"/>
  <c r="G2982" i="1"/>
  <c r="G3345" i="1"/>
  <c r="H3147" i="1"/>
  <c r="H3059" i="1"/>
  <c r="H2913" i="1"/>
  <c r="H2903" i="1"/>
  <c r="G2903" i="1"/>
  <c r="G2947" i="1"/>
  <c r="H2893" i="1"/>
  <c r="G2893" i="1"/>
  <c r="H3301" i="1"/>
  <c r="G3301" i="1"/>
  <c r="H2947" i="1"/>
  <c r="H2948" i="1" s="1"/>
  <c r="H2928" i="1"/>
  <c r="G2929" i="1" s="1"/>
  <c r="H2939" i="1"/>
  <c r="G2939" i="1"/>
  <c r="H3159" i="1"/>
  <c r="G3159" i="1"/>
  <c r="H3334" i="1"/>
  <c r="G3334" i="1"/>
  <c r="G3323" i="1"/>
  <c r="H3323" i="1"/>
  <c r="H2859" i="1"/>
  <c r="G2859" i="1"/>
  <c r="H2869" i="1"/>
  <c r="H3346" i="1"/>
  <c r="G3346" i="1"/>
  <c r="G3123" i="1"/>
  <c r="H3133" i="1"/>
  <c r="H3123" i="1"/>
  <c r="H2983" i="1"/>
  <c r="G2983" i="1"/>
  <c r="H3113" i="1"/>
  <c r="G3113" i="1"/>
  <c r="H2958" i="1"/>
  <c r="G2958" i="1"/>
  <c r="H3026" i="1"/>
  <c r="G3026" i="1"/>
  <c r="H3178" i="1"/>
  <c r="G3178" i="1"/>
  <c r="H3188" i="1"/>
  <c r="H2840" i="1"/>
  <c r="G2840" i="1"/>
  <c r="H3376" i="1"/>
  <c r="G3376" i="1"/>
  <c r="H3366" i="1"/>
  <c r="G3366" i="1"/>
  <c r="G2972" i="1"/>
  <c r="H2972" i="1"/>
  <c r="H3168" i="1"/>
  <c r="G3168" i="1"/>
  <c r="G3079" i="1"/>
  <c r="H3089" i="1"/>
  <c r="H3079" i="1"/>
  <c r="H3035" i="1"/>
  <c r="G3035" i="1"/>
  <c r="H3045" i="1"/>
  <c r="H3070" i="1"/>
  <c r="G3070" i="1"/>
  <c r="H3104" i="1"/>
  <c r="G3104" i="1"/>
  <c r="G2886" i="1"/>
  <c r="H2886" i="1"/>
  <c r="G3313" i="1"/>
  <c r="H3313" i="1"/>
  <c r="H3290" i="1"/>
  <c r="G3290" i="1"/>
  <c r="H3015" i="1"/>
  <c r="G3015" i="1"/>
  <c r="H3356" i="1"/>
  <c r="G3356" i="1"/>
  <c r="H2849" i="1"/>
  <c r="G2849" i="1"/>
  <c r="H1461" i="1"/>
  <c r="H1462" i="1" s="1"/>
  <c r="H2011" i="1"/>
  <c r="H2022" i="1" s="1"/>
  <c r="H2264" i="1"/>
  <c r="H2265" i="1" s="1"/>
  <c r="H2266" i="1" s="1"/>
  <c r="H2254" i="1"/>
  <c r="H2255" i="1" s="1"/>
  <c r="H2256" i="1" s="1"/>
  <c r="H2257" i="1" s="1"/>
  <c r="H2258" i="1" s="1"/>
  <c r="H2259" i="1" s="1"/>
  <c r="H2260" i="1" s="1"/>
  <c r="H2261" i="1" s="1"/>
  <c r="H2262" i="1" s="1"/>
  <c r="H2243" i="1"/>
  <c r="H2244" i="1" s="1"/>
  <c r="H2245" i="1" s="1"/>
  <c r="H2246" i="1" s="1"/>
  <c r="H2247" i="1" s="1"/>
  <c r="H2248" i="1" s="1"/>
  <c r="H2249" i="1" s="1"/>
  <c r="H2250" i="1" s="1"/>
  <c r="H2251" i="1" s="1"/>
  <c r="H2232" i="1"/>
  <c r="G2233" i="1" s="1"/>
  <c r="H2221" i="1"/>
  <c r="H2222" i="1" s="1"/>
  <c r="H2223" i="1" s="1"/>
  <c r="H2224" i="1" s="1"/>
  <c r="H2225" i="1" s="1"/>
  <c r="H2226" i="1" s="1"/>
  <c r="H2227" i="1" s="1"/>
  <c r="H2228" i="1" s="1"/>
  <c r="H2229" i="1" s="1"/>
  <c r="H2210" i="1"/>
  <c r="H2211" i="1" s="1"/>
  <c r="H2212" i="1" s="1"/>
  <c r="H2213" i="1" s="1"/>
  <c r="H2214" i="1" s="1"/>
  <c r="H2215" i="1" s="1"/>
  <c r="H2216" i="1" s="1"/>
  <c r="H2217" i="1" s="1"/>
  <c r="H2218" i="1" s="1"/>
  <c r="H2199" i="1"/>
  <c r="H2200" i="1" s="1"/>
  <c r="H2188" i="1"/>
  <c r="H2189" i="1" s="1"/>
  <c r="H2190" i="1" s="1"/>
  <c r="H2191" i="1" s="1"/>
  <c r="H2192" i="1" s="1"/>
  <c r="H2193" i="1" s="1"/>
  <c r="H2194" i="1" s="1"/>
  <c r="H2195" i="1" s="1"/>
  <c r="H2196" i="1" s="1"/>
  <c r="H2177" i="1"/>
  <c r="H2178" i="1" s="1"/>
  <c r="H2055" i="1"/>
  <c r="H2056" i="1" s="1"/>
  <c r="H2045" i="1"/>
  <c r="H2046" i="1" s="1"/>
  <c r="H2047" i="1" s="1"/>
  <c r="H2001" i="1"/>
  <c r="H2002" i="1" s="1"/>
  <c r="H2003" i="1" s="1"/>
  <c r="H2004" i="1" s="1"/>
  <c r="H2005" i="1" s="1"/>
  <c r="H2006" i="1" s="1"/>
  <c r="H2007" i="1" s="1"/>
  <c r="H2008" i="1" s="1"/>
  <c r="H2009" i="1" s="1"/>
  <c r="H1967" i="1"/>
  <c r="H1968" i="1" s="1"/>
  <c r="H1957" i="1"/>
  <c r="H1958" i="1" s="1"/>
  <c r="H1923" i="1"/>
  <c r="H1924" i="1" s="1"/>
  <c r="H1913" i="1"/>
  <c r="H1914" i="1" s="1"/>
  <c r="H1879" i="1"/>
  <c r="H1890" i="1" s="1"/>
  <c r="H1869" i="1"/>
  <c r="H1870" i="1" s="1"/>
  <c r="H1871" i="1" s="1"/>
  <c r="H1872" i="1" s="1"/>
  <c r="H1873" i="1" s="1"/>
  <c r="H1874" i="1" s="1"/>
  <c r="H1875" i="1" s="1"/>
  <c r="H1876" i="1" s="1"/>
  <c r="H1877" i="1" s="1"/>
  <c r="H1835" i="1"/>
  <c r="H1846" i="1" s="1"/>
  <c r="H1825" i="1"/>
  <c r="H1826" i="1" s="1"/>
  <c r="H1827" i="1" s="1"/>
  <c r="H1828" i="1" s="1"/>
  <c r="H1829" i="1" s="1"/>
  <c r="H1830" i="1" s="1"/>
  <c r="H1831" i="1" s="1"/>
  <c r="H1832" i="1" s="1"/>
  <c r="H1833" i="1" s="1"/>
  <c r="H1791" i="1"/>
  <c r="H1792" i="1" s="1"/>
  <c r="H1781" i="1"/>
  <c r="G1782" i="1" s="1"/>
  <c r="H1747" i="1"/>
  <c r="H1748" i="1" s="1"/>
  <c r="H1749" i="1" s="1"/>
  <c r="H1750" i="1" s="1"/>
  <c r="H1751" i="1" s="1"/>
  <c r="H1752" i="1" s="1"/>
  <c r="H1753" i="1" s="1"/>
  <c r="H1754" i="1" s="1"/>
  <c r="H1755" i="1" s="1"/>
  <c r="H1756" i="1" s="1"/>
  <c r="H1737" i="1"/>
  <c r="H1738" i="1" s="1"/>
  <c r="H1739" i="1" s="1"/>
  <c r="H1740" i="1" s="1"/>
  <c r="H1741" i="1" s="1"/>
  <c r="H1742" i="1" s="1"/>
  <c r="H1743" i="1" s="1"/>
  <c r="H1744" i="1" s="1"/>
  <c r="H1745" i="1" s="1"/>
  <c r="H1714" i="1"/>
  <c r="H1715" i="1" s="1"/>
  <c r="H1716" i="1" s="1"/>
  <c r="H1505" i="1"/>
  <c r="H1506" i="1" s="1"/>
  <c r="H1417" i="1"/>
  <c r="H1418" i="1" s="1"/>
  <c r="H1373" i="1"/>
  <c r="H1374" i="1" s="1"/>
  <c r="H1375" i="1" s="1"/>
  <c r="G1376" i="1" s="1"/>
  <c r="H1329" i="1"/>
  <c r="H1340" i="1" s="1"/>
  <c r="H1285" i="1"/>
  <c r="H1286" i="1" s="1"/>
  <c r="H1241" i="1"/>
  <c r="H1252" i="1" s="1"/>
  <c r="H1197" i="1"/>
  <c r="H1198" i="1" s="1"/>
  <c r="H1164" i="1"/>
  <c r="H1175" i="1" s="1"/>
  <c r="H955" i="1"/>
  <c r="H956" i="1" s="1"/>
  <c r="H957" i="1" s="1"/>
  <c r="H958" i="1" s="1"/>
  <c r="H911" i="1"/>
  <c r="H912" i="1" s="1"/>
  <c r="H913" i="1" s="1"/>
  <c r="H867" i="1"/>
  <c r="H868" i="1" s="1"/>
  <c r="H823" i="1"/>
  <c r="H834" i="1" s="1"/>
  <c r="H835" i="1" s="1"/>
  <c r="H836" i="1" s="1"/>
  <c r="H837" i="1" s="1"/>
  <c r="H779" i="1"/>
  <c r="H780" i="1" s="1"/>
  <c r="H735" i="1"/>
  <c r="G736" i="1" s="1"/>
  <c r="H691" i="1"/>
  <c r="H702" i="1" s="1"/>
  <c r="H647" i="1"/>
  <c r="G648" i="1" s="1"/>
  <c r="H2814" i="1"/>
  <c r="H2815" i="1" s="1"/>
  <c r="H2605" i="1"/>
  <c r="H2606" i="1" s="1"/>
  <c r="H2561" i="1"/>
  <c r="G2562" i="1" s="1"/>
  <c r="H2517" i="1"/>
  <c r="H2518" i="1" s="1"/>
  <c r="H2473" i="1"/>
  <c r="H2474" i="1" s="1"/>
  <c r="H2475" i="1" s="1"/>
  <c r="G2476" i="1" s="1"/>
  <c r="H2429" i="1"/>
  <c r="H2440" i="1" s="1"/>
  <c r="H2441" i="1" s="1"/>
  <c r="H2385" i="1"/>
  <c r="H2386" i="1" s="1"/>
  <c r="H2387" i="1" s="1"/>
  <c r="H2341" i="1"/>
  <c r="H2352" i="1" s="1"/>
  <c r="H2353" i="1" s="1"/>
  <c r="H2297" i="1"/>
  <c r="G2298" i="1" s="1"/>
  <c r="E2826" i="1"/>
  <c r="E2827" i="1" s="1"/>
  <c r="E2828" i="1" s="1"/>
  <c r="E2829" i="1" s="1"/>
  <c r="E2830" i="1" s="1"/>
  <c r="E2831" i="1" s="1"/>
  <c r="E2832" i="1" s="1"/>
  <c r="E2833" i="1" s="1"/>
  <c r="E2834" i="1" s="1"/>
  <c r="E2835" i="1" s="1"/>
  <c r="E2815" i="1"/>
  <c r="E2816" i="1" s="1"/>
  <c r="E2817" i="1" s="1"/>
  <c r="E2818" i="1" s="1"/>
  <c r="E2819" i="1" s="1"/>
  <c r="E2820" i="1" s="1"/>
  <c r="E2821" i="1" s="1"/>
  <c r="E2822" i="1" s="1"/>
  <c r="E2823" i="1" s="1"/>
  <c r="E2824" i="1" s="1"/>
  <c r="H2804" i="1"/>
  <c r="G2804" i="1"/>
  <c r="E2804" i="1"/>
  <c r="E2805" i="1" s="1"/>
  <c r="E2806" i="1" s="1"/>
  <c r="E2807" i="1" s="1"/>
  <c r="E2808" i="1" s="1"/>
  <c r="E2809" i="1" s="1"/>
  <c r="E2810" i="1" s="1"/>
  <c r="E2811" i="1" s="1"/>
  <c r="E2812" i="1" s="1"/>
  <c r="E2813" i="1" s="1"/>
  <c r="H2793" i="1"/>
  <c r="H2794" i="1" s="1"/>
  <c r="G2795" i="1" s="1"/>
  <c r="G2793" i="1"/>
  <c r="E2793" i="1"/>
  <c r="E2794" i="1" s="1"/>
  <c r="E2795" i="1" s="1"/>
  <c r="E2796" i="1" s="1"/>
  <c r="E2797" i="1" s="1"/>
  <c r="E2798" i="1" s="1"/>
  <c r="E2799" i="1" s="1"/>
  <c r="E2800" i="1" s="1"/>
  <c r="E2801" i="1" s="1"/>
  <c r="E2802" i="1" s="1"/>
  <c r="H2782" i="1"/>
  <c r="G2783" i="1" s="1"/>
  <c r="G2782" i="1"/>
  <c r="E2782" i="1"/>
  <c r="E2783" i="1" s="1"/>
  <c r="E2784" i="1" s="1"/>
  <c r="E2785" i="1" s="1"/>
  <c r="E2786" i="1" s="1"/>
  <c r="E2787" i="1" s="1"/>
  <c r="E2788" i="1" s="1"/>
  <c r="E2789" i="1" s="1"/>
  <c r="E2790" i="1" s="1"/>
  <c r="E2791" i="1" s="1"/>
  <c r="H2771" i="1"/>
  <c r="H2772" i="1" s="1"/>
  <c r="G2771" i="1"/>
  <c r="E2771" i="1"/>
  <c r="E2772" i="1" s="1"/>
  <c r="E2773" i="1" s="1"/>
  <c r="E2774" i="1" s="1"/>
  <c r="E2775" i="1" s="1"/>
  <c r="E2776" i="1" s="1"/>
  <c r="E2777" i="1" s="1"/>
  <c r="E2778" i="1" s="1"/>
  <c r="E2779" i="1" s="1"/>
  <c r="E2780" i="1" s="1"/>
  <c r="H2760" i="1"/>
  <c r="H2761" i="1" s="1"/>
  <c r="H2762" i="1" s="1"/>
  <c r="G2760" i="1"/>
  <c r="E2760" i="1"/>
  <c r="E2761" i="1" s="1"/>
  <c r="E2762" i="1" s="1"/>
  <c r="E2763" i="1" s="1"/>
  <c r="E2764" i="1" s="1"/>
  <c r="E2765" i="1" s="1"/>
  <c r="E2766" i="1" s="1"/>
  <c r="E2767" i="1" s="1"/>
  <c r="E2768" i="1" s="1"/>
  <c r="E2769" i="1" s="1"/>
  <c r="H2749" i="1"/>
  <c r="H2750" i="1" s="1"/>
  <c r="G2751" i="1" s="1"/>
  <c r="G2749" i="1"/>
  <c r="E2749" i="1"/>
  <c r="E2750" i="1" s="1"/>
  <c r="E2751" i="1" s="1"/>
  <c r="E2752" i="1" s="1"/>
  <c r="E2753" i="1" s="1"/>
  <c r="E2754" i="1" s="1"/>
  <c r="E2755" i="1" s="1"/>
  <c r="E2756" i="1" s="1"/>
  <c r="E2757" i="1" s="1"/>
  <c r="E2758" i="1" s="1"/>
  <c r="H2738" i="1"/>
  <c r="G2739" i="1" s="1"/>
  <c r="G2738" i="1"/>
  <c r="E2738" i="1"/>
  <c r="E2739" i="1" s="1"/>
  <c r="E2740" i="1" s="1"/>
  <c r="E2741" i="1" s="1"/>
  <c r="E2742" i="1" s="1"/>
  <c r="E2743" i="1" s="1"/>
  <c r="E2744" i="1" s="1"/>
  <c r="E2745" i="1" s="1"/>
  <c r="E2746" i="1" s="1"/>
  <c r="E2747" i="1" s="1"/>
  <c r="H2727" i="1"/>
  <c r="H2728" i="1" s="1"/>
  <c r="H2729" i="1" s="1"/>
  <c r="G2727" i="1"/>
  <c r="E2683" i="1"/>
  <c r="E2684" i="1" s="1"/>
  <c r="E2685" i="1" s="1"/>
  <c r="E2686" i="1" s="1"/>
  <c r="E2687" i="1" s="1"/>
  <c r="E2688" i="1" s="1"/>
  <c r="E2689" i="1" s="1"/>
  <c r="E2690" i="1" s="1"/>
  <c r="E2691" i="1" s="1"/>
  <c r="E2692" i="1" s="1"/>
  <c r="E2693" i="1" s="1"/>
  <c r="E2694" i="1" s="1"/>
  <c r="E2695" i="1" s="1"/>
  <c r="E2696" i="1" s="1"/>
  <c r="E2697" i="1" s="1"/>
  <c r="E2698" i="1" s="1"/>
  <c r="E2699" i="1" s="1"/>
  <c r="E2700" i="1" s="1"/>
  <c r="E2701" i="1" s="1"/>
  <c r="E2702" i="1" s="1"/>
  <c r="E2703" i="1" s="1"/>
  <c r="E2704" i="1" s="1"/>
  <c r="E2705" i="1" s="1"/>
  <c r="E2706" i="1" s="1"/>
  <c r="E2707" i="1" s="1"/>
  <c r="E2708" i="1" s="1"/>
  <c r="E2709" i="1" s="1"/>
  <c r="E2710" i="1" s="1"/>
  <c r="E2711" i="1" s="1"/>
  <c r="E2712" i="1" s="1"/>
  <c r="E2713" i="1" s="1"/>
  <c r="E2714" i="1" s="1"/>
  <c r="E2715" i="1" s="1"/>
  <c r="E2716" i="1" s="1"/>
  <c r="E2717" i="1" s="1"/>
  <c r="E2718" i="1" s="1"/>
  <c r="E2719" i="1" s="1"/>
  <c r="E2720" i="1" s="1"/>
  <c r="E2721" i="1" s="1"/>
  <c r="E2722" i="1" s="1"/>
  <c r="E2723" i="1" s="1"/>
  <c r="E2724" i="1" s="1"/>
  <c r="E2725" i="1" s="1"/>
  <c r="E2639" i="1"/>
  <c r="E2640" i="1" s="1"/>
  <c r="E2641" i="1" s="1"/>
  <c r="E2642" i="1" s="1"/>
  <c r="E2643" i="1" s="1"/>
  <c r="E2644" i="1" s="1"/>
  <c r="E2645" i="1" s="1"/>
  <c r="E2646" i="1" s="1"/>
  <c r="E2647" i="1" s="1"/>
  <c r="E2648" i="1" s="1"/>
  <c r="E2649" i="1" s="1"/>
  <c r="E2650" i="1" s="1"/>
  <c r="E2651" i="1" s="1"/>
  <c r="E2652" i="1" s="1"/>
  <c r="E2653" i="1" s="1"/>
  <c r="E2654" i="1" s="1"/>
  <c r="E2655" i="1" s="1"/>
  <c r="E2656" i="1" s="1"/>
  <c r="E2657" i="1" s="1"/>
  <c r="E2658" i="1" s="1"/>
  <c r="E2659" i="1" s="1"/>
  <c r="E2660" i="1" s="1"/>
  <c r="E2661" i="1" s="1"/>
  <c r="E2662" i="1" s="1"/>
  <c r="E2663" i="1" s="1"/>
  <c r="E2664" i="1" s="1"/>
  <c r="E2665" i="1" s="1"/>
  <c r="E2666" i="1" s="1"/>
  <c r="E2667" i="1" s="1"/>
  <c r="E2668" i="1" s="1"/>
  <c r="E2669" i="1" s="1"/>
  <c r="E2670" i="1" s="1"/>
  <c r="E2671" i="1" s="1"/>
  <c r="E2672" i="1" s="1"/>
  <c r="E2673" i="1" s="1"/>
  <c r="E2674" i="1" s="1"/>
  <c r="E2675" i="1" s="1"/>
  <c r="E2676" i="1" s="1"/>
  <c r="E2677" i="1" s="1"/>
  <c r="E2678" i="1" s="1"/>
  <c r="E2679" i="1" s="1"/>
  <c r="E2680" i="1" s="1"/>
  <c r="E2681" i="1" s="1"/>
  <c r="H2595" i="1"/>
  <c r="G2596" i="1" s="1"/>
  <c r="G2595" i="1"/>
  <c r="E2595" i="1"/>
  <c r="E2596" i="1" s="1"/>
  <c r="E2597" i="1" s="1"/>
  <c r="E2598" i="1" s="1"/>
  <c r="E2599" i="1" s="1"/>
  <c r="E2600" i="1" s="1"/>
  <c r="E2601" i="1" s="1"/>
  <c r="E2602" i="1" s="1"/>
  <c r="E2603" i="1" s="1"/>
  <c r="E2604" i="1" s="1"/>
  <c r="E2605" i="1" s="1"/>
  <c r="E2606" i="1" s="1"/>
  <c r="E2607" i="1" s="1"/>
  <c r="E2608" i="1" s="1"/>
  <c r="E2609" i="1" s="1"/>
  <c r="E2610" i="1" s="1"/>
  <c r="E2611" i="1" s="1"/>
  <c r="E2612" i="1" s="1"/>
  <c r="E2613" i="1" s="1"/>
  <c r="E2614" i="1" s="1"/>
  <c r="E2615" i="1" s="1"/>
  <c r="E2616" i="1" s="1"/>
  <c r="E2617" i="1" s="1"/>
  <c r="E2618" i="1" s="1"/>
  <c r="E2619" i="1" s="1"/>
  <c r="E2620" i="1" s="1"/>
  <c r="E2621" i="1" s="1"/>
  <c r="E2622" i="1" s="1"/>
  <c r="E2623" i="1" s="1"/>
  <c r="E2624" i="1" s="1"/>
  <c r="E2625" i="1" s="1"/>
  <c r="E2626" i="1" s="1"/>
  <c r="E2627" i="1" s="1"/>
  <c r="E2628" i="1" s="1"/>
  <c r="E2629" i="1" s="1"/>
  <c r="E2630" i="1" s="1"/>
  <c r="E2631" i="1" s="1"/>
  <c r="E2632" i="1" s="1"/>
  <c r="E2633" i="1" s="1"/>
  <c r="E2634" i="1" s="1"/>
  <c r="E2635" i="1" s="1"/>
  <c r="E2636" i="1" s="1"/>
  <c r="E2637" i="1" s="1"/>
  <c r="H2551" i="1"/>
  <c r="H2552" i="1" s="1"/>
  <c r="G2551" i="1"/>
  <c r="E2551" i="1"/>
  <c r="E2552" i="1" s="1"/>
  <c r="E2553" i="1" s="1"/>
  <c r="E2554" i="1" s="1"/>
  <c r="E2555" i="1" s="1"/>
  <c r="E2556" i="1" s="1"/>
  <c r="E2557" i="1" s="1"/>
  <c r="E2558" i="1" s="1"/>
  <c r="E2559" i="1" s="1"/>
  <c r="E2560" i="1" s="1"/>
  <c r="E2561" i="1" s="1"/>
  <c r="E2562" i="1" s="1"/>
  <c r="E2563" i="1" s="1"/>
  <c r="E2564" i="1" s="1"/>
  <c r="E2565" i="1" s="1"/>
  <c r="E2566" i="1" s="1"/>
  <c r="E2567" i="1" s="1"/>
  <c r="E2568" i="1" s="1"/>
  <c r="E2569" i="1" s="1"/>
  <c r="E2570" i="1" s="1"/>
  <c r="E2571" i="1" s="1"/>
  <c r="E2572" i="1" s="1"/>
  <c r="E2573" i="1" s="1"/>
  <c r="E2574" i="1" s="1"/>
  <c r="E2575" i="1" s="1"/>
  <c r="E2576" i="1" s="1"/>
  <c r="E2577" i="1" s="1"/>
  <c r="E2578" i="1" s="1"/>
  <c r="E2579" i="1" s="1"/>
  <c r="E2580" i="1" s="1"/>
  <c r="E2581" i="1" s="1"/>
  <c r="E2582" i="1" s="1"/>
  <c r="E2583" i="1" s="1"/>
  <c r="E2584" i="1" s="1"/>
  <c r="E2585" i="1" s="1"/>
  <c r="E2586" i="1" s="1"/>
  <c r="E2587" i="1" s="1"/>
  <c r="E2588" i="1" s="1"/>
  <c r="E2589" i="1" s="1"/>
  <c r="E2590" i="1" s="1"/>
  <c r="E2591" i="1" s="1"/>
  <c r="E2592" i="1" s="1"/>
  <c r="E2593" i="1" s="1"/>
  <c r="H2507" i="1"/>
  <c r="H2508" i="1" s="1"/>
  <c r="G2507" i="1"/>
  <c r="E2507" i="1"/>
  <c r="E2508" i="1" s="1"/>
  <c r="E2509" i="1" s="1"/>
  <c r="E2510" i="1" s="1"/>
  <c r="E2511" i="1" s="1"/>
  <c r="E2512" i="1" s="1"/>
  <c r="E2513" i="1" s="1"/>
  <c r="E2514" i="1" s="1"/>
  <c r="E2515" i="1" s="1"/>
  <c r="E2516" i="1" s="1"/>
  <c r="E2517" i="1" s="1"/>
  <c r="E2518" i="1" s="1"/>
  <c r="E2519" i="1" s="1"/>
  <c r="E2520" i="1" s="1"/>
  <c r="E2521" i="1" s="1"/>
  <c r="E2522" i="1" s="1"/>
  <c r="E2523" i="1" s="1"/>
  <c r="E2524" i="1" s="1"/>
  <c r="E2525" i="1" s="1"/>
  <c r="E2526" i="1" s="1"/>
  <c r="E2527" i="1" s="1"/>
  <c r="E2528" i="1" s="1"/>
  <c r="E2529" i="1" s="1"/>
  <c r="E2530" i="1" s="1"/>
  <c r="E2531" i="1" s="1"/>
  <c r="E2532" i="1" s="1"/>
  <c r="E2533" i="1" s="1"/>
  <c r="E2534" i="1" s="1"/>
  <c r="E2535" i="1" s="1"/>
  <c r="E2536" i="1" s="1"/>
  <c r="E2537" i="1" s="1"/>
  <c r="E2538" i="1" s="1"/>
  <c r="E2539" i="1" s="1"/>
  <c r="E2540" i="1" s="1"/>
  <c r="E2541" i="1" s="1"/>
  <c r="E2542" i="1" s="1"/>
  <c r="E2543" i="1" s="1"/>
  <c r="E2544" i="1" s="1"/>
  <c r="E2545" i="1" s="1"/>
  <c r="E2546" i="1" s="1"/>
  <c r="E2547" i="1" s="1"/>
  <c r="E2548" i="1" s="1"/>
  <c r="E2549" i="1" s="1"/>
  <c r="H2463" i="1"/>
  <c r="H2464" i="1" s="1"/>
  <c r="H2465" i="1" s="1"/>
  <c r="H2466" i="1" s="1"/>
  <c r="G2467" i="1" s="1"/>
  <c r="G2463" i="1"/>
  <c r="E2463" i="1"/>
  <c r="E2464" i="1" s="1"/>
  <c r="E2465" i="1" s="1"/>
  <c r="E2466" i="1" s="1"/>
  <c r="E2467" i="1" s="1"/>
  <c r="E2468" i="1" s="1"/>
  <c r="E2469" i="1" s="1"/>
  <c r="E2470" i="1" s="1"/>
  <c r="E2471" i="1" s="1"/>
  <c r="E2472" i="1" s="1"/>
  <c r="E2473" i="1" s="1"/>
  <c r="E2474" i="1" s="1"/>
  <c r="E2475" i="1" s="1"/>
  <c r="E2476" i="1" s="1"/>
  <c r="E2477" i="1" s="1"/>
  <c r="E2478" i="1" s="1"/>
  <c r="E2479" i="1" s="1"/>
  <c r="E2480" i="1" s="1"/>
  <c r="E2481" i="1" s="1"/>
  <c r="E2482" i="1" s="1"/>
  <c r="E2483" i="1" s="1"/>
  <c r="E2484" i="1" s="1"/>
  <c r="E2485" i="1" s="1"/>
  <c r="E2486" i="1" s="1"/>
  <c r="E2487" i="1" s="1"/>
  <c r="E2488" i="1" s="1"/>
  <c r="E2489" i="1" s="1"/>
  <c r="E2490" i="1" s="1"/>
  <c r="E2491" i="1" s="1"/>
  <c r="E2492" i="1" s="1"/>
  <c r="E2493" i="1" s="1"/>
  <c r="E2494" i="1" s="1"/>
  <c r="E2495" i="1" s="1"/>
  <c r="E2496" i="1" s="1"/>
  <c r="E2497" i="1" s="1"/>
  <c r="E2498" i="1" s="1"/>
  <c r="E2499" i="1" s="1"/>
  <c r="E2500" i="1" s="1"/>
  <c r="E2501" i="1" s="1"/>
  <c r="E2502" i="1" s="1"/>
  <c r="E2503" i="1" s="1"/>
  <c r="E2504" i="1" s="1"/>
  <c r="E2505" i="1" s="1"/>
  <c r="H2419" i="1"/>
  <c r="H2420" i="1" s="1"/>
  <c r="G2419" i="1"/>
  <c r="E2419" i="1"/>
  <c r="E2420" i="1" s="1"/>
  <c r="E2421" i="1" s="1"/>
  <c r="E2422" i="1" s="1"/>
  <c r="E2423" i="1" s="1"/>
  <c r="E2424" i="1" s="1"/>
  <c r="E2425" i="1" s="1"/>
  <c r="E2426" i="1" s="1"/>
  <c r="E2427" i="1" s="1"/>
  <c r="E2428" i="1" s="1"/>
  <c r="E2429" i="1" s="1"/>
  <c r="E2430" i="1" s="1"/>
  <c r="E2431" i="1" s="1"/>
  <c r="E2432" i="1" s="1"/>
  <c r="E2433" i="1" s="1"/>
  <c r="E2434" i="1" s="1"/>
  <c r="E2435" i="1" s="1"/>
  <c r="E2436" i="1" s="1"/>
  <c r="E2437" i="1" s="1"/>
  <c r="E2438" i="1" s="1"/>
  <c r="E2439" i="1" s="1"/>
  <c r="E2440" i="1" s="1"/>
  <c r="E2441" i="1" s="1"/>
  <c r="E2442" i="1" s="1"/>
  <c r="E2443" i="1" s="1"/>
  <c r="E2444" i="1" s="1"/>
  <c r="E2445" i="1" s="1"/>
  <c r="E2446" i="1" s="1"/>
  <c r="E2447" i="1" s="1"/>
  <c r="E2448" i="1" s="1"/>
  <c r="E2449" i="1" s="1"/>
  <c r="E2450" i="1" s="1"/>
  <c r="E2451" i="1" s="1"/>
  <c r="E2452" i="1" s="1"/>
  <c r="E2453" i="1" s="1"/>
  <c r="E2454" i="1" s="1"/>
  <c r="E2455" i="1" s="1"/>
  <c r="E2456" i="1" s="1"/>
  <c r="E2457" i="1" s="1"/>
  <c r="E2458" i="1" s="1"/>
  <c r="E2459" i="1" s="1"/>
  <c r="E2460" i="1" s="1"/>
  <c r="E2461" i="1" s="1"/>
  <c r="H2375" i="1"/>
  <c r="G2376" i="1" s="1"/>
  <c r="G2375" i="1"/>
  <c r="E2375" i="1"/>
  <c r="E2376" i="1" s="1"/>
  <c r="E2377" i="1" s="1"/>
  <c r="E2378" i="1" s="1"/>
  <c r="E2379" i="1" s="1"/>
  <c r="E2380" i="1" s="1"/>
  <c r="E2381" i="1" s="1"/>
  <c r="E2382" i="1" s="1"/>
  <c r="E2383" i="1" s="1"/>
  <c r="E2384" i="1" s="1"/>
  <c r="E2385" i="1" s="1"/>
  <c r="E2386" i="1" s="1"/>
  <c r="E2387" i="1" s="1"/>
  <c r="E2388" i="1" s="1"/>
  <c r="E2389" i="1" s="1"/>
  <c r="E2390" i="1" s="1"/>
  <c r="E2391" i="1" s="1"/>
  <c r="E2392" i="1" s="1"/>
  <c r="E2393" i="1" s="1"/>
  <c r="E2394" i="1" s="1"/>
  <c r="E2395" i="1" s="1"/>
  <c r="E2396" i="1" s="1"/>
  <c r="E2397" i="1" s="1"/>
  <c r="E2398" i="1" s="1"/>
  <c r="E2399" i="1" s="1"/>
  <c r="E2400" i="1" s="1"/>
  <c r="E2401" i="1" s="1"/>
  <c r="E2402" i="1" s="1"/>
  <c r="E2403" i="1" s="1"/>
  <c r="E2404" i="1" s="1"/>
  <c r="E2405" i="1" s="1"/>
  <c r="E2406" i="1" s="1"/>
  <c r="E2407" i="1" s="1"/>
  <c r="E2408" i="1" s="1"/>
  <c r="E2409" i="1" s="1"/>
  <c r="E2410" i="1" s="1"/>
  <c r="E2411" i="1" s="1"/>
  <c r="E2412" i="1" s="1"/>
  <c r="E2413" i="1" s="1"/>
  <c r="E2414" i="1" s="1"/>
  <c r="E2415" i="1" s="1"/>
  <c r="E2416" i="1" s="1"/>
  <c r="E2417" i="1" s="1"/>
  <c r="H2331" i="1"/>
  <c r="H2332" i="1" s="1"/>
  <c r="G2331" i="1"/>
  <c r="E2331" i="1"/>
  <c r="E2332" i="1" s="1"/>
  <c r="E2333" i="1" s="1"/>
  <c r="E2334" i="1" s="1"/>
  <c r="E2335" i="1" s="1"/>
  <c r="E2336" i="1" s="1"/>
  <c r="E2337" i="1" s="1"/>
  <c r="E2338" i="1" s="1"/>
  <c r="E2339" i="1" s="1"/>
  <c r="E2340" i="1" s="1"/>
  <c r="E2341" i="1" s="1"/>
  <c r="E2342" i="1" s="1"/>
  <c r="E2343" i="1" s="1"/>
  <c r="E2344" i="1" s="1"/>
  <c r="E2345" i="1" s="1"/>
  <c r="E2346" i="1" s="1"/>
  <c r="E2347" i="1" s="1"/>
  <c r="E2348" i="1" s="1"/>
  <c r="E2349" i="1" s="1"/>
  <c r="E2350" i="1" s="1"/>
  <c r="E2351" i="1" s="1"/>
  <c r="E2352" i="1" s="1"/>
  <c r="E2353" i="1" s="1"/>
  <c r="E2354" i="1" s="1"/>
  <c r="E2355" i="1" s="1"/>
  <c r="E2356" i="1" s="1"/>
  <c r="E2357" i="1" s="1"/>
  <c r="E2358" i="1" s="1"/>
  <c r="E2359" i="1" s="1"/>
  <c r="E2360" i="1" s="1"/>
  <c r="E2361" i="1" s="1"/>
  <c r="E2362" i="1" s="1"/>
  <c r="E2363" i="1" s="1"/>
  <c r="E2364" i="1" s="1"/>
  <c r="E2365" i="1" s="1"/>
  <c r="E2366" i="1" s="1"/>
  <c r="E2367" i="1" s="1"/>
  <c r="E2368" i="1" s="1"/>
  <c r="E2369" i="1" s="1"/>
  <c r="E2370" i="1" s="1"/>
  <c r="E2371" i="1" s="1"/>
  <c r="E2372" i="1" s="1"/>
  <c r="E2373" i="1" s="1"/>
  <c r="H2287" i="1"/>
  <c r="H2288" i="1" s="1"/>
  <c r="G2287" i="1"/>
  <c r="E2276" i="1"/>
  <c r="E2277" i="1" s="1"/>
  <c r="E2278" i="1" s="1"/>
  <c r="E2279" i="1" s="1"/>
  <c r="E2280" i="1" s="1"/>
  <c r="E2281" i="1" s="1"/>
  <c r="E2282" i="1" s="1"/>
  <c r="E2283" i="1" s="1"/>
  <c r="E2284" i="1" s="1"/>
  <c r="E2285" i="1" s="1"/>
  <c r="E2265" i="1"/>
  <c r="E2266" i="1" s="1"/>
  <c r="E2267" i="1" s="1"/>
  <c r="E2268" i="1" s="1"/>
  <c r="E2269" i="1" s="1"/>
  <c r="E2270" i="1" s="1"/>
  <c r="E2271" i="1" s="1"/>
  <c r="E2272" i="1" s="1"/>
  <c r="E2273" i="1" s="1"/>
  <c r="E2274" i="1" s="1"/>
  <c r="G2254" i="1"/>
  <c r="E2254" i="1"/>
  <c r="E2255" i="1" s="1"/>
  <c r="E2256" i="1" s="1"/>
  <c r="E2257" i="1" s="1"/>
  <c r="E2258" i="1" s="1"/>
  <c r="E2259" i="1" s="1"/>
  <c r="E2260" i="1" s="1"/>
  <c r="E2261" i="1" s="1"/>
  <c r="E2262" i="1" s="1"/>
  <c r="E2263" i="1" s="1"/>
  <c r="G2243" i="1"/>
  <c r="E2243" i="1"/>
  <c r="E2244" i="1" s="1"/>
  <c r="E2245" i="1" s="1"/>
  <c r="E2246" i="1" s="1"/>
  <c r="E2247" i="1" s="1"/>
  <c r="E2248" i="1" s="1"/>
  <c r="E2249" i="1" s="1"/>
  <c r="E2250" i="1" s="1"/>
  <c r="E2251" i="1" s="1"/>
  <c r="E2252" i="1" s="1"/>
  <c r="G2232" i="1"/>
  <c r="E2232" i="1"/>
  <c r="E2233" i="1" s="1"/>
  <c r="E2234" i="1" s="1"/>
  <c r="E2235" i="1" s="1"/>
  <c r="E2236" i="1" s="1"/>
  <c r="E2237" i="1" s="1"/>
  <c r="E2238" i="1" s="1"/>
  <c r="E2239" i="1" s="1"/>
  <c r="E2240" i="1" s="1"/>
  <c r="E2241" i="1" s="1"/>
  <c r="G2221" i="1"/>
  <c r="E2221" i="1"/>
  <c r="E2222" i="1" s="1"/>
  <c r="E2223" i="1" s="1"/>
  <c r="E2224" i="1" s="1"/>
  <c r="E2225" i="1" s="1"/>
  <c r="E2226" i="1" s="1"/>
  <c r="E2227" i="1" s="1"/>
  <c r="E2228" i="1" s="1"/>
  <c r="E2229" i="1" s="1"/>
  <c r="E2230" i="1" s="1"/>
  <c r="G2210" i="1"/>
  <c r="E2210" i="1"/>
  <c r="E2211" i="1" s="1"/>
  <c r="E2212" i="1" s="1"/>
  <c r="E2213" i="1" s="1"/>
  <c r="E2214" i="1" s="1"/>
  <c r="E2215" i="1" s="1"/>
  <c r="E2216" i="1" s="1"/>
  <c r="E2217" i="1" s="1"/>
  <c r="E2218" i="1" s="1"/>
  <c r="E2219" i="1" s="1"/>
  <c r="G2199" i="1"/>
  <c r="E2199" i="1"/>
  <c r="E2200" i="1" s="1"/>
  <c r="E2201" i="1" s="1"/>
  <c r="E2202" i="1" s="1"/>
  <c r="E2203" i="1" s="1"/>
  <c r="E2204" i="1" s="1"/>
  <c r="E2205" i="1" s="1"/>
  <c r="E2206" i="1" s="1"/>
  <c r="E2207" i="1" s="1"/>
  <c r="E2208" i="1" s="1"/>
  <c r="G2188" i="1"/>
  <c r="E2188" i="1"/>
  <c r="E2189" i="1" s="1"/>
  <c r="E2190" i="1" s="1"/>
  <c r="E2191" i="1" s="1"/>
  <c r="E2192" i="1" s="1"/>
  <c r="E2193" i="1" s="1"/>
  <c r="E2194" i="1" s="1"/>
  <c r="E2195" i="1" s="1"/>
  <c r="E2196" i="1" s="1"/>
  <c r="E2197" i="1" s="1"/>
  <c r="G2177" i="1"/>
  <c r="E2133" i="1"/>
  <c r="E2134" i="1" s="1"/>
  <c r="E2135" i="1" s="1"/>
  <c r="E2136" i="1" s="1"/>
  <c r="E2137" i="1" s="1"/>
  <c r="E2138" i="1" s="1"/>
  <c r="E2139" i="1" s="1"/>
  <c r="E2140" i="1" s="1"/>
  <c r="E2141" i="1" s="1"/>
  <c r="E2142" i="1" s="1"/>
  <c r="E2143" i="1" s="1"/>
  <c r="E2144" i="1" s="1"/>
  <c r="E2145" i="1" s="1"/>
  <c r="E2146" i="1" s="1"/>
  <c r="E2147" i="1" s="1"/>
  <c r="E2148" i="1" s="1"/>
  <c r="E2149" i="1" s="1"/>
  <c r="E2150" i="1" s="1"/>
  <c r="E2151" i="1" s="1"/>
  <c r="E2152" i="1" s="1"/>
  <c r="E2153" i="1" s="1"/>
  <c r="E2154" i="1" s="1"/>
  <c r="E2155" i="1" s="1"/>
  <c r="E2156" i="1" s="1"/>
  <c r="E2157" i="1" s="1"/>
  <c r="E2158" i="1" s="1"/>
  <c r="E2159" i="1" s="1"/>
  <c r="E2160" i="1" s="1"/>
  <c r="E2161" i="1" s="1"/>
  <c r="E2162" i="1" s="1"/>
  <c r="E2163" i="1" s="1"/>
  <c r="E2164" i="1" s="1"/>
  <c r="E2165" i="1" s="1"/>
  <c r="E2166" i="1" s="1"/>
  <c r="E2167" i="1" s="1"/>
  <c r="E2168" i="1" s="1"/>
  <c r="E2169" i="1" s="1"/>
  <c r="E2170" i="1" s="1"/>
  <c r="E2171" i="1" s="1"/>
  <c r="E2172" i="1" s="1"/>
  <c r="E2173" i="1" s="1"/>
  <c r="E2174" i="1" s="1"/>
  <c r="E2175" i="1" s="1"/>
  <c r="E2089" i="1"/>
  <c r="E2090" i="1" s="1"/>
  <c r="E2091" i="1" s="1"/>
  <c r="E2092" i="1" s="1"/>
  <c r="E2093" i="1" s="1"/>
  <c r="E2094" i="1" s="1"/>
  <c r="E2095" i="1" s="1"/>
  <c r="E2096" i="1" s="1"/>
  <c r="E2097" i="1" s="1"/>
  <c r="E2098" i="1" s="1"/>
  <c r="E2099" i="1" s="1"/>
  <c r="E2100" i="1" s="1"/>
  <c r="E2101" i="1" s="1"/>
  <c r="E2102" i="1" s="1"/>
  <c r="E2103" i="1" s="1"/>
  <c r="E2104" i="1" s="1"/>
  <c r="E2105" i="1" s="1"/>
  <c r="E2106" i="1" s="1"/>
  <c r="E2107" i="1" s="1"/>
  <c r="E2108" i="1" s="1"/>
  <c r="E2109" i="1" s="1"/>
  <c r="E2110" i="1" s="1"/>
  <c r="E2111" i="1" s="1"/>
  <c r="E2112" i="1" s="1"/>
  <c r="E2113" i="1" s="1"/>
  <c r="E2114" i="1" s="1"/>
  <c r="E2115" i="1" s="1"/>
  <c r="E2116" i="1" s="1"/>
  <c r="E2117" i="1" s="1"/>
  <c r="E2118" i="1" s="1"/>
  <c r="E2119" i="1" s="1"/>
  <c r="E2120" i="1" s="1"/>
  <c r="E2121" i="1" s="1"/>
  <c r="E2122" i="1" s="1"/>
  <c r="E2123" i="1" s="1"/>
  <c r="E2124" i="1" s="1"/>
  <c r="E2125" i="1" s="1"/>
  <c r="E2126" i="1" s="1"/>
  <c r="E2127" i="1" s="1"/>
  <c r="E2128" i="1" s="1"/>
  <c r="E2129" i="1" s="1"/>
  <c r="E2130" i="1" s="1"/>
  <c r="E2131" i="1" s="1"/>
  <c r="G2045" i="1"/>
  <c r="E2045" i="1"/>
  <c r="E2046" i="1" s="1"/>
  <c r="E2047" i="1" s="1"/>
  <c r="E2048" i="1" s="1"/>
  <c r="E2049" i="1" s="1"/>
  <c r="E2050" i="1" s="1"/>
  <c r="E2051" i="1" s="1"/>
  <c r="E2052" i="1" s="1"/>
  <c r="E2053" i="1" s="1"/>
  <c r="E2054" i="1" s="1"/>
  <c r="E2055" i="1" s="1"/>
  <c r="E2056" i="1" s="1"/>
  <c r="E2057" i="1" s="1"/>
  <c r="E2058" i="1" s="1"/>
  <c r="E2059" i="1" s="1"/>
  <c r="E2060" i="1" s="1"/>
  <c r="E2061" i="1" s="1"/>
  <c r="E2062" i="1" s="1"/>
  <c r="E2063" i="1" s="1"/>
  <c r="E2064" i="1" s="1"/>
  <c r="E2065" i="1" s="1"/>
  <c r="E2066" i="1" s="1"/>
  <c r="E2067" i="1" s="1"/>
  <c r="E2068" i="1" s="1"/>
  <c r="E2069" i="1" s="1"/>
  <c r="E2070" i="1" s="1"/>
  <c r="E2071" i="1" s="1"/>
  <c r="E2072" i="1" s="1"/>
  <c r="E2073" i="1" s="1"/>
  <c r="E2074" i="1" s="1"/>
  <c r="E2075" i="1" s="1"/>
  <c r="E2076" i="1" s="1"/>
  <c r="E2077" i="1" s="1"/>
  <c r="E2078" i="1" s="1"/>
  <c r="E2079" i="1" s="1"/>
  <c r="E2080" i="1" s="1"/>
  <c r="E2081" i="1" s="1"/>
  <c r="E2082" i="1" s="1"/>
  <c r="E2083" i="1" s="1"/>
  <c r="E2084" i="1" s="1"/>
  <c r="E2085" i="1" s="1"/>
  <c r="E2086" i="1" s="1"/>
  <c r="E2087" i="1" s="1"/>
  <c r="G2001" i="1"/>
  <c r="E2001" i="1"/>
  <c r="E2002" i="1" s="1"/>
  <c r="E2003" i="1" s="1"/>
  <c r="E2004" i="1" s="1"/>
  <c r="E2005" i="1" s="1"/>
  <c r="E2006" i="1" s="1"/>
  <c r="E2007" i="1" s="1"/>
  <c r="E2008" i="1" s="1"/>
  <c r="E2009" i="1" s="1"/>
  <c r="E2010" i="1" s="1"/>
  <c r="E2011" i="1" s="1"/>
  <c r="E2012" i="1" s="1"/>
  <c r="E2013" i="1" s="1"/>
  <c r="E2014" i="1" s="1"/>
  <c r="E2015" i="1" s="1"/>
  <c r="E2016" i="1" s="1"/>
  <c r="E2017" i="1" s="1"/>
  <c r="E2018" i="1" s="1"/>
  <c r="E2019" i="1" s="1"/>
  <c r="E2020" i="1" s="1"/>
  <c r="E2021" i="1" s="1"/>
  <c r="E2022" i="1" s="1"/>
  <c r="E2023" i="1" s="1"/>
  <c r="E2024" i="1" s="1"/>
  <c r="E2025" i="1" s="1"/>
  <c r="E2026" i="1" s="1"/>
  <c r="E2027" i="1" s="1"/>
  <c r="E2028" i="1" s="1"/>
  <c r="E2029" i="1" s="1"/>
  <c r="E2030" i="1" s="1"/>
  <c r="E2031" i="1" s="1"/>
  <c r="E2032" i="1" s="1"/>
  <c r="E2033" i="1" s="1"/>
  <c r="E2034" i="1" s="1"/>
  <c r="E2035" i="1" s="1"/>
  <c r="E2036" i="1" s="1"/>
  <c r="E2037" i="1" s="1"/>
  <c r="E2038" i="1" s="1"/>
  <c r="E2039" i="1" s="1"/>
  <c r="E2040" i="1" s="1"/>
  <c r="E2041" i="1" s="1"/>
  <c r="E2042" i="1" s="1"/>
  <c r="E2043" i="1" s="1"/>
  <c r="G1957" i="1"/>
  <c r="E1957" i="1"/>
  <c r="E1958" i="1" s="1"/>
  <c r="E1959" i="1" s="1"/>
  <c r="E1960" i="1" s="1"/>
  <c r="E1961" i="1" s="1"/>
  <c r="E1962" i="1" s="1"/>
  <c r="E1963" i="1" s="1"/>
  <c r="E1964" i="1" s="1"/>
  <c r="E1965" i="1" s="1"/>
  <c r="E1966" i="1" s="1"/>
  <c r="E1967" i="1" s="1"/>
  <c r="E1968" i="1" s="1"/>
  <c r="E1969" i="1" s="1"/>
  <c r="E1970" i="1" s="1"/>
  <c r="E1971" i="1" s="1"/>
  <c r="E1972" i="1" s="1"/>
  <c r="E1973" i="1" s="1"/>
  <c r="E1974" i="1" s="1"/>
  <c r="E1975" i="1" s="1"/>
  <c r="E1976" i="1" s="1"/>
  <c r="E1977" i="1" s="1"/>
  <c r="E1978" i="1" s="1"/>
  <c r="E1979" i="1" s="1"/>
  <c r="E1980" i="1" s="1"/>
  <c r="E1981" i="1" s="1"/>
  <c r="E1982" i="1" s="1"/>
  <c r="E1983" i="1" s="1"/>
  <c r="E1984" i="1" s="1"/>
  <c r="E1985" i="1" s="1"/>
  <c r="E1986" i="1" s="1"/>
  <c r="E1987" i="1" s="1"/>
  <c r="E1988" i="1" s="1"/>
  <c r="E1989" i="1" s="1"/>
  <c r="E1990" i="1" s="1"/>
  <c r="E1991" i="1" s="1"/>
  <c r="E1992" i="1" s="1"/>
  <c r="E1993" i="1" s="1"/>
  <c r="E1994" i="1" s="1"/>
  <c r="E1995" i="1" s="1"/>
  <c r="E1996" i="1" s="1"/>
  <c r="E1997" i="1" s="1"/>
  <c r="E1998" i="1" s="1"/>
  <c r="E1999" i="1" s="1"/>
  <c r="G1913" i="1"/>
  <c r="E1913" i="1"/>
  <c r="E1914" i="1" s="1"/>
  <c r="E1915" i="1" s="1"/>
  <c r="E1916" i="1" s="1"/>
  <c r="E1917" i="1" s="1"/>
  <c r="E1918" i="1" s="1"/>
  <c r="E1919" i="1" s="1"/>
  <c r="E1920" i="1" s="1"/>
  <c r="E1921" i="1" s="1"/>
  <c r="E1922" i="1" s="1"/>
  <c r="E1923" i="1" s="1"/>
  <c r="E1924" i="1" s="1"/>
  <c r="E1925" i="1" s="1"/>
  <c r="E1926" i="1" s="1"/>
  <c r="E1927" i="1" s="1"/>
  <c r="E1928" i="1" s="1"/>
  <c r="E1929" i="1" s="1"/>
  <c r="E1930" i="1" s="1"/>
  <c r="E1931" i="1" s="1"/>
  <c r="E1932" i="1" s="1"/>
  <c r="E1933" i="1" s="1"/>
  <c r="E1934" i="1" s="1"/>
  <c r="E1935" i="1" s="1"/>
  <c r="E1936" i="1" s="1"/>
  <c r="E1937" i="1" s="1"/>
  <c r="E1938" i="1" s="1"/>
  <c r="E1939" i="1" s="1"/>
  <c r="E1940" i="1" s="1"/>
  <c r="E1941" i="1" s="1"/>
  <c r="E1942" i="1" s="1"/>
  <c r="E1943" i="1" s="1"/>
  <c r="E1944" i="1" s="1"/>
  <c r="E1945" i="1" s="1"/>
  <c r="E1946" i="1" s="1"/>
  <c r="E1947" i="1" s="1"/>
  <c r="E1948" i="1" s="1"/>
  <c r="E1949" i="1" s="1"/>
  <c r="E1950" i="1" s="1"/>
  <c r="E1951" i="1" s="1"/>
  <c r="E1952" i="1" s="1"/>
  <c r="E1953" i="1" s="1"/>
  <c r="E1954" i="1" s="1"/>
  <c r="E1955" i="1" s="1"/>
  <c r="G1869" i="1"/>
  <c r="E1869" i="1"/>
  <c r="E1870" i="1" s="1"/>
  <c r="E1871" i="1" s="1"/>
  <c r="E1872" i="1" s="1"/>
  <c r="E1873" i="1" s="1"/>
  <c r="E1874" i="1" s="1"/>
  <c r="E1875" i="1" s="1"/>
  <c r="E1876" i="1" s="1"/>
  <c r="E1877" i="1" s="1"/>
  <c r="E1878" i="1" s="1"/>
  <c r="E1879" i="1" s="1"/>
  <c r="E1880" i="1" s="1"/>
  <c r="E1881" i="1" s="1"/>
  <c r="E1882" i="1" s="1"/>
  <c r="E1883" i="1" s="1"/>
  <c r="E1884" i="1" s="1"/>
  <c r="E1885" i="1" s="1"/>
  <c r="E1886" i="1" s="1"/>
  <c r="E1887" i="1" s="1"/>
  <c r="E1888" i="1" s="1"/>
  <c r="E1889" i="1" s="1"/>
  <c r="E1890" i="1" s="1"/>
  <c r="E1891" i="1" s="1"/>
  <c r="E1892" i="1" s="1"/>
  <c r="E1893" i="1" s="1"/>
  <c r="E1894" i="1" s="1"/>
  <c r="E1895" i="1" s="1"/>
  <c r="E1896" i="1" s="1"/>
  <c r="E1897" i="1" s="1"/>
  <c r="E1898" i="1" s="1"/>
  <c r="E1899" i="1" s="1"/>
  <c r="E1900" i="1" s="1"/>
  <c r="E1901" i="1" s="1"/>
  <c r="E1902" i="1" s="1"/>
  <c r="E1903" i="1" s="1"/>
  <c r="E1904" i="1" s="1"/>
  <c r="E1905" i="1" s="1"/>
  <c r="E1906" i="1" s="1"/>
  <c r="E1907" i="1" s="1"/>
  <c r="E1908" i="1" s="1"/>
  <c r="E1909" i="1" s="1"/>
  <c r="E1910" i="1" s="1"/>
  <c r="E1911" i="1" s="1"/>
  <c r="G1825" i="1"/>
  <c r="E1825" i="1"/>
  <c r="E1826" i="1" s="1"/>
  <c r="E1827" i="1" s="1"/>
  <c r="E1828" i="1" s="1"/>
  <c r="E1829" i="1" s="1"/>
  <c r="E1830" i="1" s="1"/>
  <c r="E1831" i="1" s="1"/>
  <c r="E1832" i="1" s="1"/>
  <c r="E1833" i="1" s="1"/>
  <c r="E1834" i="1" s="1"/>
  <c r="E1835" i="1" s="1"/>
  <c r="E1836" i="1" s="1"/>
  <c r="E1837" i="1" s="1"/>
  <c r="E1838" i="1" s="1"/>
  <c r="E1839" i="1" s="1"/>
  <c r="E1840" i="1" s="1"/>
  <c r="E1841" i="1" s="1"/>
  <c r="E1842" i="1" s="1"/>
  <c r="E1843" i="1" s="1"/>
  <c r="E1844" i="1" s="1"/>
  <c r="E1845" i="1" s="1"/>
  <c r="E1846" i="1" s="1"/>
  <c r="E1847" i="1" s="1"/>
  <c r="E1848" i="1" s="1"/>
  <c r="E1849" i="1" s="1"/>
  <c r="E1850" i="1" s="1"/>
  <c r="E1851" i="1" s="1"/>
  <c r="E1852" i="1" s="1"/>
  <c r="E1853" i="1" s="1"/>
  <c r="E1854" i="1" s="1"/>
  <c r="E1855" i="1" s="1"/>
  <c r="E1856" i="1" s="1"/>
  <c r="E1857" i="1" s="1"/>
  <c r="E1858" i="1" s="1"/>
  <c r="E1859" i="1" s="1"/>
  <c r="E1860" i="1" s="1"/>
  <c r="E1861" i="1" s="1"/>
  <c r="E1862" i="1" s="1"/>
  <c r="E1863" i="1" s="1"/>
  <c r="E1864" i="1" s="1"/>
  <c r="E1865" i="1" s="1"/>
  <c r="E1866" i="1" s="1"/>
  <c r="E1867" i="1" s="1"/>
  <c r="G1781" i="1"/>
  <c r="E1781" i="1"/>
  <c r="E1782" i="1" s="1"/>
  <c r="E1783" i="1" s="1"/>
  <c r="E1784" i="1" s="1"/>
  <c r="E1785" i="1" s="1"/>
  <c r="E1786" i="1" s="1"/>
  <c r="E1787" i="1" s="1"/>
  <c r="E1788" i="1" s="1"/>
  <c r="E1789" i="1" s="1"/>
  <c r="E1790" i="1" s="1"/>
  <c r="E1791" i="1" s="1"/>
  <c r="E1792" i="1" s="1"/>
  <c r="E1793" i="1" s="1"/>
  <c r="E1794" i="1" s="1"/>
  <c r="E1795" i="1" s="1"/>
  <c r="E1796" i="1" s="1"/>
  <c r="E1797" i="1" s="1"/>
  <c r="E1798" i="1" s="1"/>
  <c r="E1799" i="1" s="1"/>
  <c r="E1800" i="1" s="1"/>
  <c r="E1801" i="1" s="1"/>
  <c r="E1802" i="1" s="1"/>
  <c r="E1803" i="1" s="1"/>
  <c r="E1804" i="1" s="1"/>
  <c r="E1805" i="1" s="1"/>
  <c r="E1806" i="1" s="1"/>
  <c r="E1807" i="1" s="1"/>
  <c r="E1808" i="1" s="1"/>
  <c r="E1809" i="1" s="1"/>
  <c r="E1810" i="1" s="1"/>
  <c r="E1811" i="1" s="1"/>
  <c r="E1812" i="1" s="1"/>
  <c r="E1813" i="1" s="1"/>
  <c r="E1814" i="1" s="1"/>
  <c r="E1815" i="1" s="1"/>
  <c r="E1816" i="1" s="1"/>
  <c r="E1817" i="1" s="1"/>
  <c r="E1818" i="1" s="1"/>
  <c r="E1819" i="1" s="1"/>
  <c r="E1820" i="1" s="1"/>
  <c r="E1821" i="1" s="1"/>
  <c r="E1822" i="1" s="1"/>
  <c r="E1823" i="1" s="1"/>
  <c r="G1737" i="1"/>
  <c r="E1726" i="1"/>
  <c r="E1727" i="1" s="1"/>
  <c r="E1728" i="1" s="1"/>
  <c r="E1729" i="1" s="1"/>
  <c r="E1730" i="1" s="1"/>
  <c r="E1731" i="1" s="1"/>
  <c r="E1732" i="1" s="1"/>
  <c r="E1733" i="1" s="1"/>
  <c r="E1734" i="1" s="1"/>
  <c r="E1735" i="1" s="1"/>
  <c r="E1715" i="1"/>
  <c r="E1716" i="1" s="1"/>
  <c r="E1717" i="1" s="1"/>
  <c r="E1718" i="1" s="1"/>
  <c r="E1719" i="1" s="1"/>
  <c r="E1720" i="1" s="1"/>
  <c r="E1721" i="1" s="1"/>
  <c r="E1722" i="1" s="1"/>
  <c r="E1723" i="1" s="1"/>
  <c r="E1724" i="1" s="1"/>
  <c r="H1704" i="1"/>
  <c r="G1704" i="1"/>
  <c r="E1704" i="1"/>
  <c r="E1705" i="1" s="1"/>
  <c r="E1706" i="1" s="1"/>
  <c r="E1707" i="1" s="1"/>
  <c r="E1708" i="1" s="1"/>
  <c r="E1709" i="1" s="1"/>
  <c r="E1710" i="1" s="1"/>
  <c r="E1711" i="1" s="1"/>
  <c r="E1712" i="1" s="1"/>
  <c r="E1713" i="1" s="1"/>
  <c r="H1693" i="1"/>
  <c r="H1694" i="1" s="1"/>
  <c r="H1695" i="1" s="1"/>
  <c r="G1693" i="1"/>
  <c r="E1693" i="1"/>
  <c r="E1694" i="1" s="1"/>
  <c r="E1695" i="1" s="1"/>
  <c r="E1696" i="1" s="1"/>
  <c r="E1697" i="1" s="1"/>
  <c r="E1698" i="1" s="1"/>
  <c r="E1699" i="1" s="1"/>
  <c r="E1700" i="1" s="1"/>
  <c r="E1701" i="1" s="1"/>
  <c r="E1702" i="1" s="1"/>
  <c r="H1682" i="1"/>
  <c r="G1683" i="1" s="1"/>
  <c r="G1682" i="1"/>
  <c r="E1682" i="1"/>
  <c r="E1683" i="1" s="1"/>
  <c r="E1684" i="1" s="1"/>
  <c r="E1685" i="1" s="1"/>
  <c r="E1686" i="1" s="1"/>
  <c r="E1687" i="1" s="1"/>
  <c r="E1688" i="1" s="1"/>
  <c r="E1689" i="1" s="1"/>
  <c r="E1690" i="1" s="1"/>
  <c r="E1691" i="1" s="1"/>
  <c r="H1671" i="1"/>
  <c r="G1672" i="1" s="1"/>
  <c r="G1671" i="1"/>
  <c r="E1671" i="1"/>
  <c r="E1672" i="1" s="1"/>
  <c r="E1673" i="1" s="1"/>
  <c r="E1674" i="1" s="1"/>
  <c r="E1675" i="1" s="1"/>
  <c r="E1676" i="1" s="1"/>
  <c r="E1677" i="1" s="1"/>
  <c r="E1678" i="1" s="1"/>
  <c r="E1679" i="1" s="1"/>
  <c r="E1680" i="1" s="1"/>
  <c r="H1660" i="1"/>
  <c r="H1661" i="1" s="1"/>
  <c r="H1662" i="1" s="1"/>
  <c r="G1660" i="1"/>
  <c r="E1660" i="1"/>
  <c r="E1661" i="1" s="1"/>
  <c r="E1662" i="1" s="1"/>
  <c r="E1663" i="1" s="1"/>
  <c r="E1664" i="1" s="1"/>
  <c r="E1665" i="1" s="1"/>
  <c r="E1666" i="1" s="1"/>
  <c r="E1667" i="1" s="1"/>
  <c r="E1668" i="1" s="1"/>
  <c r="E1669" i="1" s="1"/>
  <c r="H1649" i="1"/>
  <c r="H1650" i="1" s="1"/>
  <c r="G1651" i="1" s="1"/>
  <c r="G1649" i="1"/>
  <c r="E1649" i="1"/>
  <c r="E1650" i="1" s="1"/>
  <c r="E1651" i="1" s="1"/>
  <c r="E1652" i="1" s="1"/>
  <c r="E1653" i="1" s="1"/>
  <c r="E1654" i="1" s="1"/>
  <c r="E1655" i="1" s="1"/>
  <c r="E1656" i="1" s="1"/>
  <c r="E1657" i="1" s="1"/>
  <c r="E1658" i="1" s="1"/>
  <c r="H1638" i="1"/>
  <c r="G1639" i="1" s="1"/>
  <c r="G1638" i="1"/>
  <c r="E1638" i="1"/>
  <c r="E1639" i="1" s="1"/>
  <c r="E1640" i="1" s="1"/>
  <c r="E1641" i="1" s="1"/>
  <c r="E1642" i="1" s="1"/>
  <c r="E1643" i="1" s="1"/>
  <c r="E1644" i="1" s="1"/>
  <c r="E1645" i="1" s="1"/>
  <c r="E1646" i="1" s="1"/>
  <c r="E1647" i="1" s="1"/>
  <c r="H1627" i="1"/>
  <c r="G1628" i="1" s="1"/>
  <c r="G1627" i="1"/>
  <c r="E1583" i="1"/>
  <c r="E1584" i="1" s="1"/>
  <c r="E1585" i="1" s="1"/>
  <c r="E1586" i="1" s="1"/>
  <c r="E1587" i="1" s="1"/>
  <c r="E1588" i="1" s="1"/>
  <c r="E1589" i="1" s="1"/>
  <c r="E1590" i="1" s="1"/>
  <c r="E1591" i="1" s="1"/>
  <c r="E1592" i="1" s="1"/>
  <c r="E1593" i="1" s="1"/>
  <c r="E1594" i="1" s="1"/>
  <c r="E1595" i="1" s="1"/>
  <c r="E1596" i="1" s="1"/>
  <c r="E1597" i="1" s="1"/>
  <c r="E1598" i="1" s="1"/>
  <c r="E1599" i="1" s="1"/>
  <c r="E1600" i="1" s="1"/>
  <c r="E1601" i="1" s="1"/>
  <c r="E1602" i="1" s="1"/>
  <c r="E1603" i="1" s="1"/>
  <c r="E1604" i="1" s="1"/>
  <c r="E1605" i="1" s="1"/>
  <c r="E1606" i="1" s="1"/>
  <c r="E1607" i="1" s="1"/>
  <c r="E1608" i="1" s="1"/>
  <c r="E1609" i="1" s="1"/>
  <c r="E1610" i="1" s="1"/>
  <c r="E1611" i="1" s="1"/>
  <c r="E1612" i="1" s="1"/>
  <c r="E1613" i="1" s="1"/>
  <c r="E1614" i="1" s="1"/>
  <c r="E1615" i="1" s="1"/>
  <c r="E1616" i="1" s="1"/>
  <c r="E1617" i="1" s="1"/>
  <c r="E1618" i="1" s="1"/>
  <c r="E1619" i="1" s="1"/>
  <c r="E1620" i="1" s="1"/>
  <c r="E1621" i="1" s="1"/>
  <c r="E1622" i="1" s="1"/>
  <c r="E1623" i="1" s="1"/>
  <c r="E1624" i="1" s="1"/>
  <c r="E1625" i="1" s="1"/>
  <c r="E1539" i="1"/>
  <c r="E1540" i="1" s="1"/>
  <c r="E1541" i="1" s="1"/>
  <c r="E1542" i="1" s="1"/>
  <c r="E1543" i="1" s="1"/>
  <c r="E1544" i="1" s="1"/>
  <c r="E1545" i="1" s="1"/>
  <c r="E1546" i="1" s="1"/>
  <c r="E1547" i="1" s="1"/>
  <c r="E1548" i="1" s="1"/>
  <c r="E1549" i="1" s="1"/>
  <c r="E1550" i="1" s="1"/>
  <c r="E1551" i="1" s="1"/>
  <c r="E1552" i="1" s="1"/>
  <c r="E1553" i="1" s="1"/>
  <c r="E1554" i="1" s="1"/>
  <c r="E1555" i="1" s="1"/>
  <c r="E1556" i="1" s="1"/>
  <c r="E1557" i="1" s="1"/>
  <c r="E1558" i="1" s="1"/>
  <c r="E1559" i="1" s="1"/>
  <c r="E1560" i="1" s="1"/>
  <c r="E1561" i="1" s="1"/>
  <c r="E1562" i="1" s="1"/>
  <c r="E1563" i="1" s="1"/>
  <c r="E1564" i="1" s="1"/>
  <c r="E1565" i="1" s="1"/>
  <c r="E1566" i="1" s="1"/>
  <c r="E1567" i="1" s="1"/>
  <c r="E1568" i="1" s="1"/>
  <c r="E1569" i="1" s="1"/>
  <c r="E1570" i="1" s="1"/>
  <c r="E1571" i="1" s="1"/>
  <c r="E1572" i="1" s="1"/>
  <c r="E1573" i="1" s="1"/>
  <c r="E1574" i="1" s="1"/>
  <c r="E1575" i="1" s="1"/>
  <c r="E1576" i="1" s="1"/>
  <c r="E1577" i="1" s="1"/>
  <c r="E1578" i="1" s="1"/>
  <c r="E1579" i="1" s="1"/>
  <c r="E1580" i="1" s="1"/>
  <c r="E1581" i="1" s="1"/>
  <c r="H1495" i="1"/>
  <c r="G1496" i="1" s="1"/>
  <c r="G1495" i="1"/>
  <c r="E1495" i="1"/>
  <c r="E1496" i="1" s="1"/>
  <c r="E1497" i="1" s="1"/>
  <c r="E1498" i="1" s="1"/>
  <c r="E1499" i="1" s="1"/>
  <c r="E1500" i="1" s="1"/>
  <c r="E1501" i="1" s="1"/>
  <c r="E1502" i="1" s="1"/>
  <c r="E1503" i="1" s="1"/>
  <c r="E1504" i="1" s="1"/>
  <c r="E1505" i="1" s="1"/>
  <c r="E1506" i="1" s="1"/>
  <c r="E1507" i="1" s="1"/>
  <c r="E1508" i="1" s="1"/>
  <c r="E1509" i="1" s="1"/>
  <c r="E1510" i="1" s="1"/>
  <c r="E1511" i="1" s="1"/>
  <c r="E1512" i="1" s="1"/>
  <c r="E1513" i="1" s="1"/>
  <c r="E1514" i="1" s="1"/>
  <c r="E1515" i="1" s="1"/>
  <c r="E1516" i="1" s="1"/>
  <c r="E1517" i="1" s="1"/>
  <c r="E1518" i="1" s="1"/>
  <c r="E1519" i="1" s="1"/>
  <c r="E1520" i="1" s="1"/>
  <c r="E1521" i="1" s="1"/>
  <c r="E1522" i="1" s="1"/>
  <c r="E1523" i="1" s="1"/>
  <c r="E1524" i="1" s="1"/>
  <c r="E1525" i="1" s="1"/>
  <c r="E1526" i="1" s="1"/>
  <c r="E1527" i="1" s="1"/>
  <c r="E1528" i="1" s="1"/>
  <c r="E1529" i="1" s="1"/>
  <c r="E1530" i="1" s="1"/>
  <c r="E1531" i="1" s="1"/>
  <c r="E1532" i="1" s="1"/>
  <c r="E1533" i="1" s="1"/>
  <c r="E1534" i="1" s="1"/>
  <c r="E1535" i="1" s="1"/>
  <c r="E1536" i="1" s="1"/>
  <c r="E1537" i="1" s="1"/>
  <c r="H1451" i="1"/>
  <c r="H1452" i="1" s="1"/>
  <c r="G1451" i="1"/>
  <c r="E1451" i="1"/>
  <c r="E1452" i="1" s="1"/>
  <c r="E1453" i="1" s="1"/>
  <c r="E1454" i="1" s="1"/>
  <c r="E1455" i="1" s="1"/>
  <c r="E1456" i="1" s="1"/>
  <c r="E1457" i="1" s="1"/>
  <c r="E1458" i="1" s="1"/>
  <c r="E1459" i="1" s="1"/>
  <c r="E1460" i="1" s="1"/>
  <c r="E1461" i="1" s="1"/>
  <c r="E1462" i="1" s="1"/>
  <c r="E1463" i="1" s="1"/>
  <c r="E1464" i="1" s="1"/>
  <c r="E1465" i="1" s="1"/>
  <c r="E1466" i="1" s="1"/>
  <c r="E1467" i="1" s="1"/>
  <c r="E1468" i="1" s="1"/>
  <c r="E1469" i="1" s="1"/>
  <c r="E1470" i="1" s="1"/>
  <c r="E1471" i="1" s="1"/>
  <c r="E1472" i="1" s="1"/>
  <c r="E1473" i="1" s="1"/>
  <c r="E1474" i="1" s="1"/>
  <c r="E1475" i="1" s="1"/>
  <c r="E1476" i="1" s="1"/>
  <c r="E1477" i="1" s="1"/>
  <c r="E1478" i="1" s="1"/>
  <c r="E1479" i="1" s="1"/>
  <c r="E1480" i="1" s="1"/>
  <c r="E1481" i="1" s="1"/>
  <c r="E1482" i="1" s="1"/>
  <c r="E1483" i="1" s="1"/>
  <c r="E1484" i="1" s="1"/>
  <c r="E1485" i="1" s="1"/>
  <c r="E1486" i="1" s="1"/>
  <c r="E1487" i="1" s="1"/>
  <c r="E1488" i="1" s="1"/>
  <c r="E1489" i="1" s="1"/>
  <c r="E1490" i="1" s="1"/>
  <c r="E1491" i="1" s="1"/>
  <c r="E1492" i="1" s="1"/>
  <c r="E1493" i="1" s="1"/>
  <c r="H1407" i="1"/>
  <c r="H1408" i="1" s="1"/>
  <c r="G1407" i="1"/>
  <c r="E1407" i="1"/>
  <c r="E1408" i="1" s="1"/>
  <c r="E1409" i="1" s="1"/>
  <c r="E1410" i="1" s="1"/>
  <c r="E1411" i="1" s="1"/>
  <c r="E1412" i="1" s="1"/>
  <c r="E1413" i="1" s="1"/>
  <c r="E1414" i="1" s="1"/>
  <c r="E1415" i="1" s="1"/>
  <c r="E1416" i="1" s="1"/>
  <c r="E1417" i="1" s="1"/>
  <c r="E1418" i="1" s="1"/>
  <c r="E1419" i="1" s="1"/>
  <c r="E1420" i="1" s="1"/>
  <c r="E1421" i="1" s="1"/>
  <c r="E1422" i="1" s="1"/>
  <c r="E1423" i="1" s="1"/>
  <c r="E1424" i="1" s="1"/>
  <c r="E1425" i="1" s="1"/>
  <c r="E1426" i="1" s="1"/>
  <c r="E1427" i="1" s="1"/>
  <c r="E1428" i="1" s="1"/>
  <c r="E1429" i="1" s="1"/>
  <c r="E1430" i="1" s="1"/>
  <c r="E1431" i="1" s="1"/>
  <c r="E1432" i="1" s="1"/>
  <c r="E1433" i="1" s="1"/>
  <c r="E1434" i="1" s="1"/>
  <c r="E1435" i="1" s="1"/>
  <c r="E1436" i="1" s="1"/>
  <c r="E1437" i="1" s="1"/>
  <c r="E1438" i="1" s="1"/>
  <c r="E1439" i="1" s="1"/>
  <c r="E1440" i="1" s="1"/>
  <c r="E1441" i="1" s="1"/>
  <c r="E1442" i="1" s="1"/>
  <c r="E1443" i="1" s="1"/>
  <c r="E1444" i="1" s="1"/>
  <c r="E1445" i="1" s="1"/>
  <c r="E1446" i="1" s="1"/>
  <c r="E1447" i="1" s="1"/>
  <c r="E1448" i="1" s="1"/>
  <c r="E1449" i="1" s="1"/>
  <c r="H1363" i="1"/>
  <c r="H1364" i="1" s="1"/>
  <c r="H1365" i="1" s="1"/>
  <c r="H1366" i="1" s="1"/>
  <c r="G1367" i="1" s="1"/>
  <c r="G1363" i="1"/>
  <c r="E1363" i="1"/>
  <c r="E1364" i="1" s="1"/>
  <c r="E1365" i="1" s="1"/>
  <c r="E1366" i="1" s="1"/>
  <c r="E1367" i="1" s="1"/>
  <c r="E1368" i="1" s="1"/>
  <c r="E1369" i="1" s="1"/>
  <c r="E1370" i="1" s="1"/>
  <c r="E1371" i="1" s="1"/>
  <c r="E1372" i="1" s="1"/>
  <c r="E1373" i="1" s="1"/>
  <c r="E1374" i="1" s="1"/>
  <c r="E1375" i="1" s="1"/>
  <c r="E1376" i="1" s="1"/>
  <c r="E1377" i="1" s="1"/>
  <c r="E1378" i="1" s="1"/>
  <c r="E1379" i="1" s="1"/>
  <c r="E1380" i="1" s="1"/>
  <c r="E1381" i="1" s="1"/>
  <c r="E1382" i="1" s="1"/>
  <c r="E1383" i="1" s="1"/>
  <c r="E1384" i="1" s="1"/>
  <c r="E1385" i="1" s="1"/>
  <c r="E1386" i="1" s="1"/>
  <c r="E1387" i="1" s="1"/>
  <c r="E1388" i="1" s="1"/>
  <c r="E1389" i="1" s="1"/>
  <c r="E1390" i="1" s="1"/>
  <c r="E1391" i="1" s="1"/>
  <c r="E1392" i="1" s="1"/>
  <c r="E1393" i="1" s="1"/>
  <c r="E1394" i="1" s="1"/>
  <c r="E1395" i="1" s="1"/>
  <c r="E1396" i="1" s="1"/>
  <c r="E1397" i="1" s="1"/>
  <c r="E1398" i="1" s="1"/>
  <c r="E1399" i="1" s="1"/>
  <c r="E1400" i="1" s="1"/>
  <c r="E1401" i="1" s="1"/>
  <c r="E1402" i="1" s="1"/>
  <c r="E1403" i="1" s="1"/>
  <c r="E1404" i="1" s="1"/>
  <c r="E1405" i="1" s="1"/>
  <c r="H1330" i="1"/>
  <c r="H1319" i="1"/>
  <c r="H1320" i="1" s="1"/>
  <c r="G1319" i="1"/>
  <c r="E1319" i="1"/>
  <c r="E1320" i="1" s="1"/>
  <c r="E1321" i="1" s="1"/>
  <c r="E1322" i="1" s="1"/>
  <c r="E1323" i="1" s="1"/>
  <c r="E1324" i="1" s="1"/>
  <c r="E1325" i="1" s="1"/>
  <c r="E1326" i="1" s="1"/>
  <c r="E1327" i="1" s="1"/>
  <c r="E1328" i="1" s="1"/>
  <c r="E1329" i="1" s="1"/>
  <c r="E1330" i="1" s="1"/>
  <c r="E1331" i="1" s="1"/>
  <c r="E1332" i="1" s="1"/>
  <c r="E1333" i="1" s="1"/>
  <c r="E1334" i="1" s="1"/>
  <c r="E1335" i="1" s="1"/>
  <c r="E1336" i="1" s="1"/>
  <c r="E1337" i="1" s="1"/>
  <c r="E1338" i="1" s="1"/>
  <c r="E1339" i="1" s="1"/>
  <c r="E1340" i="1" s="1"/>
  <c r="E1341" i="1" s="1"/>
  <c r="E1342" i="1" s="1"/>
  <c r="E1343" i="1" s="1"/>
  <c r="E1344" i="1" s="1"/>
  <c r="E1345" i="1" s="1"/>
  <c r="E1346" i="1" s="1"/>
  <c r="E1347" i="1" s="1"/>
  <c r="E1348" i="1" s="1"/>
  <c r="E1349" i="1" s="1"/>
  <c r="E1350" i="1" s="1"/>
  <c r="E1351" i="1" s="1"/>
  <c r="E1352" i="1" s="1"/>
  <c r="E1353" i="1" s="1"/>
  <c r="E1354" i="1" s="1"/>
  <c r="E1355" i="1" s="1"/>
  <c r="E1356" i="1" s="1"/>
  <c r="E1357" i="1" s="1"/>
  <c r="E1358" i="1" s="1"/>
  <c r="E1359" i="1" s="1"/>
  <c r="E1360" i="1" s="1"/>
  <c r="E1361" i="1" s="1"/>
  <c r="H1275" i="1"/>
  <c r="G1276" i="1" s="1"/>
  <c r="G1275" i="1"/>
  <c r="E1275" i="1"/>
  <c r="E1276" i="1" s="1"/>
  <c r="E1277" i="1" s="1"/>
  <c r="E1278" i="1" s="1"/>
  <c r="E1279" i="1" s="1"/>
  <c r="E1280" i="1" s="1"/>
  <c r="E1281" i="1" s="1"/>
  <c r="E1282" i="1" s="1"/>
  <c r="E1283" i="1" s="1"/>
  <c r="E1284" i="1" s="1"/>
  <c r="E1285" i="1" s="1"/>
  <c r="E1286" i="1" s="1"/>
  <c r="E1287" i="1" s="1"/>
  <c r="E1288" i="1" s="1"/>
  <c r="E1289" i="1" s="1"/>
  <c r="E1290" i="1" s="1"/>
  <c r="E1291" i="1" s="1"/>
  <c r="E1292" i="1" s="1"/>
  <c r="E1293" i="1" s="1"/>
  <c r="E1294" i="1" s="1"/>
  <c r="E1295" i="1" s="1"/>
  <c r="E1296" i="1" s="1"/>
  <c r="E1297" i="1" s="1"/>
  <c r="E1298" i="1" s="1"/>
  <c r="E1299" i="1" s="1"/>
  <c r="E1300" i="1" s="1"/>
  <c r="E1301" i="1" s="1"/>
  <c r="E1302" i="1" s="1"/>
  <c r="E1303" i="1" s="1"/>
  <c r="E1304" i="1" s="1"/>
  <c r="E1305" i="1" s="1"/>
  <c r="E1306" i="1" s="1"/>
  <c r="E1307" i="1" s="1"/>
  <c r="E1308" i="1" s="1"/>
  <c r="E1309" i="1" s="1"/>
  <c r="E1310" i="1" s="1"/>
  <c r="E1311" i="1" s="1"/>
  <c r="E1312" i="1" s="1"/>
  <c r="E1313" i="1" s="1"/>
  <c r="E1314" i="1" s="1"/>
  <c r="E1315" i="1" s="1"/>
  <c r="E1316" i="1" s="1"/>
  <c r="E1317" i="1" s="1"/>
  <c r="H1231" i="1"/>
  <c r="G1232" i="1" s="1"/>
  <c r="G1231" i="1"/>
  <c r="E1231" i="1"/>
  <c r="E1232" i="1" s="1"/>
  <c r="E1233" i="1" s="1"/>
  <c r="E1234" i="1" s="1"/>
  <c r="E1235" i="1" s="1"/>
  <c r="E1236" i="1" s="1"/>
  <c r="E1237" i="1" s="1"/>
  <c r="E1238" i="1" s="1"/>
  <c r="E1239" i="1" s="1"/>
  <c r="E1240" i="1" s="1"/>
  <c r="E1241" i="1" s="1"/>
  <c r="E1242" i="1" s="1"/>
  <c r="E1243" i="1" s="1"/>
  <c r="E1244" i="1" s="1"/>
  <c r="E1245" i="1" s="1"/>
  <c r="E1246" i="1" s="1"/>
  <c r="E1247" i="1" s="1"/>
  <c r="E1248" i="1" s="1"/>
  <c r="E1249" i="1" s="1"/>
  <c r="E1250" i="1" s="1"/>
  <c r="E1251" i="1" s="1"/>
  <c r="E1252" i="1" s="1"/>
  <c r="E1253" i="1" s="1"/>
  <c r="E1254" i="1" s="1"/>
  <c r="E1255" i="1" s="1"/>
  <c r="E1256" i="1" s="1"/>
  <c r="E1257" i="1" s="1"/>
  <c r="E1258" i="1" s="1"/>
  <c r="E1259" i="1" s="1"/>
  <c r="E1260" i="1" s="1"/>
  <c r="E1261" i="1" s="1"/>
  <c r="E1262" i="1" s="1"/>
  <c r="E1263" i="1" s="1"/>
  <c r="E1264" i="1" s="1"/>
  <c r="E1265" i="1" s="1"/>
  <c r="E1266" i="1" s="1"/>
  <c r="E1267" i="1" s="1"/>
  <c r="E1268" i="1" s="1"/>
  <c r="E1269" i="1" s="1"/>
  <c r="E1270" i="1" s="1"/>
  <c r="E1271" i="1" s="1"/>
  <c r="E1272" i="1" s="1"/>
  <c r="E1273" i="1" s="1"/>
  <c r="H1187" i="1"/>
  <c r="H1188" i="1" s="1"/>
  <c r="G1187" i="1"/>
  <c r="E1176" i="1"/>
  <c r="E1177" i="1" s="1"/>
  <c r="E1178" i="1" s="1"/>
  <c r="E1179" i="1" s="1"/>
  <c r="E1180" i="1" s="1"/>
  <c r="E1181" i="1" s="1"/>
  <c r="E1182" i="1" s="1"/>
  <c r="E1183" i="1" s="1"/>
  <c r="E1184" i="1" s="1"/>
  <c r="E1185" i="1" s="1"/>
  <c r="E1165" i="1"/>
  <c r="E1166" i="1" s="1"/>
  <c r="E1167" i="1" s="1"/>
  <c r="E1168" i="1" s="1"/>
  <c r="E1169" i="1" s="1"/>
  <c r="E1170" i="1" s="1"/>
  <c r="E1171" i="1" s="1"/>
  <c r="E1172" i="1" s="1"/>
  <c r="E1173" i="1" s="1"/>
  <c r="E1174" i="1" s="1"/>
  <c r="H1154" i="1"/>
  <c r="G1155" i="1" s="1"/>
  <c r="G1154" i="1"/>
  <c r="E1154" i="1"/>
  <c r="E1155" i="1" s="1"/>
  <c r="E1156" i="1" s="1"/>
  <c r="E1157" i="1" s="1"/>
  <c r="E1158" i="1" s="1"/>
  <c r="E1159" i="1" s="1"/>
  <c r="E1160" i="1" s="1"/>
  <c r="E1161" i="1" s="1"/>
  <c r="E1162" i="1" s="1"/>
  <c r="E1163" i="1" s="1"/>
  <c r="H1143" i="1"/>
  <c r="H1144" i="1" s="1"/>
  <c r="G1145" i="1" s="1"/>
  <c r="G1143" i="1"/>
  <c r="E1143" i="1"/>
  <c r="E1144" i="1" s="1"/>
  <c r="E1145" i="1" s="1"/>
  <c r="E1146" i="1" s="1"/>
  <c r="E1147" i="1" s="1"/>
  <c r="E1148" i="1" s="1"/>
  <c r="E1149" i="1" s="1"/>
  <c r="E1150" i="1" s="1"/>
  <c r="E1151" i="1" s="1"/>
  <c r="E1152" i="1" s="1"/>
  <c r="H1132" i="1"/>
  <c r="G1132" i="1"/>
  <c r="E1132" i="1"/>
  <c r="E1133" i="1" s="1"/>
  <c r="E1134" i="1" s="1"/>
  <c r="E1135" i="1" s="1"/>
  <c r="E1136" i="1" s="1"/>
  <c r="E1137" i="1" s="1"/>
  <c r="E1138" i="1" s="1"/>
  <c r="E1139" i="1" s="1"/>
  <c r="E1140" i="1" s="1"/>
  <c r="E1141" i="1" s="1"/>
  <c r="H1121" i="1"/>
  <c r="H1122" i="1" s="1"/>
  <c r="H1123" i="1" s="1"/>
  <c r="G1124" i="1" s="1"/>
  <c r="G1121" i="1"/>
  <c r="E1121" i="1"/>
  <c r="E1122" i="1" s="1"/>
  <c r="E1123" i="1" s="1"/>
  <c r="E1124" i="1" s="1"/>
  <c r="E1125" i="1" s="1"/>
  <c r="E1126" i="1" s="1"/>
  <c r="E1127" i="1" s="1"/>
  <c r="E1128" i="1" s="1"/>
  <c r="E1129" i="1" s="1"/>
  <c r="E1130" i="1" s="1"/>
  <c r="H1110" i="1"/>
  <c r="H1111" i="1" s="1"/>
  <c r="H1112" i="1" s="1"/>
  <c r="G1110" i="1"/>
  <c r="E1110" i="1"/>
  <c r="E1111" i="1" s="1"/>
  <c r="E1112" i="1" s="1"/>
  <c r="E1113" i="1" s="1"/>
  <c r="E1114" i="1" s="1"/>
  <c r="E1115" i="1" s="1"/>
  <c r="E1116" i="1" s="1"/>
  <c r="E1117" i="1" s="1"/>
  <c r="E1118" i="1" s="1"/>
  <c r="E1119" i="1" s="1"/>
  <c r="H1099" i="1"/>
  <c r="G1100" i="1" s="1"/>
  <c r="G1099" i="1"/>
  <c r="E1099" i="1"/>
  <c r="E1100" i="1" s="1"/>
  <c r="E1101" i="1" s="1"/>
  <c r="E1102" i="1" s="1"/>
  <c r="E1103" i="1" s="1"/>
  <c r="E1104" i="1" s="1"/>
  <c r="E1105" i="1" s="1"/>
  <c r="E1106" i="1" s="1"/>
  <c r="E1107" i="1" s="1"/>
  <c r="E1108" i="1" s="1"/>
  <c r="H1088" i="1"/>
  <c r="G1089" i="1" s="1"/>
  <c r="G1088" i="1"/>
  <c r="E1088" i="1"/>
  <c r="E1089" i="1" s="1"/>
  <c r="E1090" i="1" s="1"/>
  <c r="E1091" i="1" s="1"/>
  <c r="E1092" i="1" s="1"/>
  <c r="E1093" i="1" s="1"/>
  <c r="E1094" i="1" s="1"/>
  <c r="E1095" i="1" s="1"/>
  <c r="E1096" i="1" s="1"/>
  <c r="E1097" i="1" s="1"/>
  <c r="H1077" i="1"/>
  <c r="H1078" i="1" s="1"/>
  <c r="H1079" i="1" s="1"/>
  <c r="G1077" i="1"/>
  <c r="E1033" i="1"/>
  <c r="E1034" i="1" s="1"/>
  <c r="E1035" i="1" s="1"/>
  <c r="E1036" i="1" s="1"/>
  <c r="E1037" i="1" s="1"/>
  <c r="E1038" i="1" s="1"/>
  <c r="E1039" i="1" s="1"/>
  <c r="E1040" i="1" s="1"/>
  <c r="E1041" i="1" s="1"/>
  <c r="E1042" i="1" s="1"/>
  <c r="E1043" i="1" s="1"/>
  <c r="E1044" i="1" s="1"/>
  <c r="E1045" i="1" s="1"/>
  <c r="E1046" i="1" s="1"/>
  <c r="E1047" i="1" s="1"/>
  <c r="E1048" i="1" s="1"/>
  <c r="E1049" i="1" s="1"/>
  <c r="E1050" i="1" s="1"/>
  <c r="E1051" i="1" s="1"/>
  <c r="E1052" i="1" s="1"/>
  <c r="E1053" i="1" s="1"/>
  <c r="E1054" i="1" s="1"/>
  <c r="E1055" i="1" s="1"/>
  <c r="E1056" i="1" s="1"/>
  <c r="E1057" i="1" s="1"/>
  <c r="E1058" i="1" s="1"/>
  <c r="E1059" i="1" s="1"/>
  <c r="E1060" i="1" s="1"/>
  <c r="E1061" i="1" s="1"/>
  <c r="E1062" i="1" s="1"/>
  <c r="E1063" i="1" s="1"/>
  <c r="E1064" i="1" s="1"/>
  <c r="E1065" i="1" s="1"/>
  <c r="E1066" i="1" s="1"/>
  <c r="E1067" i="1" s="1"/>
  <c r="E1068" i="1" s="1"/>
  <c r="E1069" i="1" s="1"/>
  <c r="E1070" i="1" s="1"/>
  <c r="E1071" i="1" s="1"/>
  <c r="E1072" i="1" s="1"/>
  <c r="E1073" i="1" s="1"/>
  <c r="E1074" i="1" s="1"/>
  <c r="E1075" i="1" s="1"/>
  <c r="E989" i="1"/>
  <c r="E990" i="1" s="1"/>
  <c r="E991" i="1" s="1"/>
  <c r="E992" i="1" s="1"/>
  <c r="E993" i="1" s="1"/>
  <c r="E994" i="1" s="1"/>
  <c r="E995" i="1" s="1"/>
  <c r="E996" i="1" s="1"/>
  <c r="E997" i="1" s="1"/>
  <c r="E998" i="1" s="1"/>
  <c r="E999" i="1" s="1"/>
  <c r="E1000" i="1" s="1"/>
  <c r="E1001" i="1" s="1"/>
  <c r="E1002" i="1" s="1"/>
  <c r="E1003" i="1" s="1"/>
  <c r="E1004" i="1" s="1"/>
  <c r="E1005" i="1" s="1"/>
  <c r="E1006" i="1" s="1"/>
  <c r="E1007" i="1" s="1"/>
  <c r="E1008" i="1" s="1"/>
  <c r="E1009" i="1" s="1"/>
  <c r="E1010" i="1" s="1"/>
  <c r="E1011" i="1" s="1"/>
  <c r="E1012" i="1" s="1"/>
  <c r="E1013" i="1" s="1"/>
  <c r="E1014" i="1" s="1"/>
  <c r="E1015" i="1" s="1"/>
  <c r="E1016" i="1" s="1"/>
  <c r="E1017" i="1" s="1"/>
  <c r="E1018" i="1" s="1"/>
  <c r="E1019" i="1" s="1"/>
  <c r="E1020" i="1" s="1"/>
  <c r="E1021" i="1" s="1"/>
  <c r="E1022" i="1" s="1"/>
  <c r="E1023" i="1" s="1"/>
  <c r="E1024" i="1" s="1"/>
  <c r="E1025" i="1" s="1"/>
  <c r="E1026" i="1" s="1"/>
  <c r="E1027" i="1" s="1"/>
  <c r="E1028" i="1" s="1"/>
  <c r="E1029" i="1" s="1"/>
  <c r="E1030" i="1" s="1"/>
  <c r="E1031" i="1" s="1"/>
  <c r="H945" i="1"/>
  <c r="G945" i="1"/>
  <c r="E945" i="1"/>
  <c r="E946" i="1" s="1"/>
  <c r="E947" i="1" s="1"/>
  <c r="E948" i="1" s="1"/>
  <c r="E949" i="1" s="1"/>
  <c r="E950" i="1" s="1"/>
  <c r="E951" i="1" s="1"/>
  <c r="E952" i="1" s="1"/>
  <c r="E953" i="1" s="1"/>
  <c r="E954" i="1" s="1"/>
  <c r="E955" i="1" s="1"/>
  <c r="E956" i="1" s="1"/>
  <c r="E957" i="1" s="1"/>
  <c r="E958" i="1" s="1"/>
  <c r="E959" i="1" s="1"/>
  <c r="E960" i="1" s="1"/>
  <c r="E961" i="1" s="1"/>
  <c r="E962" i="1" s="1"/>
  <c r="E963" i="1" s="1"/>
  <c r="E964" i="1" s="1"/>
  <c r="E965" i="1" s="1"/>
  <c r="E966" i="1" s="1"/>
  <c r="E967" i="1" s="1"/>
  <c r="E968" i="1" s="1"/>
  <c r="E969" i="1" s="1"/>
  <c r="E970" i="1" s="1"/>
  <c r="E971" i="1" s="1"/>
  <c r="E972" i="1" s="1"/>
  <c r="E973" i="1" s="1"/>
  <c r="E974" i="1" s="1"/>
  <c r="E975" i="1" s="1"/>
  <c r="E976" i="1" s="1"/>
  <c r="E977" i="1" s="1"/>
  <c r="E978" i="1" s="1"/>
  <c r="E979" i="1" s="1"/>
  <c r="E980" i="1" s="1"/>
  <c r="E981" i="1" s="1"/>
  <c r="E982" i="1" s="1"/>
  <c r="E983" i="1" s="1"/>
  <c r="E984" i="1" s="1"/>
  <c r="E985" i="1" s="1"/>
  <c r="E986" i="1" s="1"/>
  <c r="E987" i="1" s="1"/>
  <c r="H901" i="1"/>
  <c r="G902" i="1" s="1"/>
  <c r="G901" i="1"/>
  <c r="E901" i="1"/>
  <c r="E902" i="1" s="1"/>
  <c r="E903" i="1" s="1"/>
  <c r="E904" i="1" s="1"/>
  <c r="E905" i="1" s="1"/>
  <c r="E906" i="1" s="1"/>
  <c r="E907" i="1" s="1"/>
  <c r="E908" i="1" s="1"/>
  <c r="E909" i="1" s="1"/>
  <c r="E910" i="1" s="1"/>
  <c r="E911" i="1" s="1"/>
  <c r="E912" i="1" s="1"/>
  <c r="E913" i="1" s="1"/>
  <c r="E914" i="1" s="1"/>
  <c r="E915" i="1" s="1"/>
  <c r="E916" i="1" s="1"/>
  <c r="E917" i="1" s="1"/>
  <c r="E918" i="1" s="1"/>
  <c r="E919" i="1" s="1"/>
  <c r="E920" i="1" s="1"/>
  <c r="E921" i="1" s="1"/>
  <c r="E922" i="1" s="1"/>
  <c r="E923" i="1" s="1"/>
  <c r="E924" i="1" s="1"/>
  <c r="E925" i="1" s="1"/>
  <c r="E926" i="1" s="1"/>
  <c r="E927" i="1" s="1"/>
  <c r="E928" i="1" s="1"/>
  <c r="E929" i="1" s="1"/>
  <c r="E930" i="1" s="1"/>
  <c r="E931" i="1" s="1"/>
  <c r="E932" i="1" s="1"/>
  <c r="E933" i="1" s="1"/>
  <c r="E934" i="1" s="1"/>
  <c r="E935" i="1" s="1"/>
  <c r="E936" i="1" s="1"/>
  <c r="E937" i="1" s="1"/>
  <c r="E938" i="1" s="1"/>
  <c r="E939" i="1" s="1"/>
  <c r="E940" i="1" s="1"/>
  <c r="E941" i="1" s="1"/>
  <c r="E942" i="1" s="1"/>
  <c r="E943" i="1" s="1"/>
  <c r="H857" i="1"/>
  <c r="G858" i="1" s="1"/>
  <c r="G857" i="1"/>
  <c r="E857" i="1"/>
  <c r="E858" i="1" s="1"/>
  <c r="E859" i="1" s="1"/>
  <c r="E860" i="1" s="1"/>
  <c r="E861" i="1" s="1"/>
  <c r="E862" i="1" s="1"/>
  <c r="E863" i="1" s="1"/>
  <c r="E864" i="1" s="1"/>
  <c r="E865" i="1" s="1"/>
  <c r="E866" i="1" s="1"/>
  <c r="E867" i="1" s="1"/>
  <c r="E868" i="1" s="1"/>
  <c r="E869" i="1" s="1"/>
  <c r="E870" i="1" s="1"/>
  <c r="E871" i="1" s="1"/>
  <c r="E872" i="1" s="1"/>
  <c r="E873" i="1" s="1"/>
  <c r="E874" i="1" s="1"/>
  <c r="E875" i="1" s="1"/>
  <c r="E876" i="1" s="1"/>
  <c r="E877" i="1" s="1"/>
  <c r="E878" i="1" s="1"/>
  <c r="E879" i="1" s="1"/>
  <c r="E880" i="1" s="1"/>
  <c r="E881" i="1" s="1"/>
  <c r="E882" i="1" s="1"/>
  <c r="E883" i="1" s="1"/>
  <c r="E884" i="1" s="1"/>
  <c r="E885" i="1" s="1"/>
  <c r="E886" i="1" s="1"/>
  <c r="E887" i="1" s="1"/>
  <c r="E888" i="1" s="1"/>
  <c r="E889" i="1" s="1"/>
  <c r="E890" i="1" s="1"/>
  <c r="E891" i="1" s="1"/>
  <c r="E892" i="1" s="1"/>
  <c r="E893" i="1" s="1"/>
  <c r="E894" i="1" s="1"/>
  <c r="E895" i="1" s="1"/>
  <c r="E896" i="1" s="1"/>
  <c r="E897" i="1" s="1"/>
  <c r="E898" i="1" s="1"/>
  <c r="E899" i="1" s="1"/>
  <c r="H813" i="1"/>
  <c r="H814" i="1" s="1"/>
  <c r="H815" i="1" s="1"/>
  <c r="H816" i="1" s="1"/>
  <c r="G813" i="1"/>
  <c r="E813" i="1"/>
  <c r="E814" i="1" s="1"/>
  <c r="E815" i="1" s="1"/>
  <c r="E816" i="1" s="1"/>
  <c r="E817" i="1" s="1"/>
  <c r="E818" i="1" s="1"/>
  <c r="E819" i="1" s="1"/>
  <c r="E820" i="1" s="1"/>
  <c r="E821" i="1" s="1"/>
  <c r="E822" i="1" s="1"/>
  <c r="E823" i="1" s="1"/>
  <c r="E824" i="1" s="1"/>
  <c r="E825" i="1" s="1"/>
  <c r="E826" i="1" s="1"/>
  <c r="E827" i="1" s="1"/>
  <c r="E828" i="1" s="1"/>
  <c r="E829" i="1" s="1"/>
  <c r="E830" i="1" s="1"/>
  <c r="E831" i="1" s="1"/>
  <c r="E832" i="1" s="1"/>
  <c r="E833" i="1" s="1"/>
  <c r="E834" i="1" s="1"/>
  <c r="E835" i="1" s="1"/>
  <c r="E836" i="1" s="1"/>
  <c r="E837" i="1" s="1"/>
  <c r="E838" i="1" s="1"/>
  <c r="E839" i="1" s="1"/>
  <c r="E840" i="1" s="1"/>
  <c r="E841" i="1" s="1"/>
  <c r="E842" i="1" s="1"/>
  <c r="E843" i="1" s="1"/>
  <c r="E844" i="1" s="1"/>
  <c r="E845" i="1" s="1"/>
  <c r="E846" i="1" s="1"/>
  <c r="E847" i="1" s="1"/>
  <c r="E848" i="1" s="1"/>
  <c r="E849" i="1" s="1"/>
  <c r="E850" i="1" s="1"/>
  <c r="E851" i="1" s="1"/>
  <c r="E852" i="1" s="1"/>
  <c r="E853" i="1" s="1"/>
  <c r="E854" i="1" s="1"/>
  <c r="E855" i="1" s="1"/>
  <c r="H769" i="1"/>
  <c r="H770" i="1" s="1"/>
  <c r="G769" i="1"/>
  <c r="E769" i="1"/>
  <c r="E770" i="1" s="1"/>
  <c r="E771" i="1" s="1"/>
  <c r="E772" i="1" s="1"/>
  <c r="E773" i="1" s="1"/>
  <c r="E774" i="1" s="1"/>
  <c r="E775" i="1" s="1"/>
  <c r="E776" i="1" s="1"/>
  <c r="E777" i="1" s="1"/>
  <c r="E778" i="1" s="1"/>
  <c r="E779" i="1" s="1"/>
  <c r="E780" i="1" s="1"/>
  <c r="E781" i="1" s="1"/>
  <c r="E782" i="1" s="1"/>
  <c r="E783" i="1" s="1"/>
  <c r="E784" i="1" s="1"/>
  <c r="E785" i="1" s="1"/>
  <c r="E786" i="1" s="1"/>
  <c r="E787" i="1" s="1"/>
  <c r="E788" i="1" s="1"/>
  <c r="E789" i="1" s="1"/>
  <c r="E790" i="1" s="1"/>
  <c r="E791" i="1" s="1"/>
  <c r="E792" i="1" s="1"/>
  <c r="E793" i="1" s="1"/>
  <c r="E794" i="1" s="1"/>
  <c r="E795" i="1" s="1"/>
  <c r="E796" i="1" s="1"/>
  <c r="E797" i="1" s="1"/>
  <c r="E798" i="1" s="1"/>
  <c r="E799" i="1" s="1"/>
  <c r="E800" i="1" s="1"/>
  <c r="E801" i="1" s="1"/>
  <c r="E802" i="1" s="1"/>
  <c r="E803" i="1" s="1"/>
  <c r="E804" i="1" s="1"/>
  <c r="E805" i="1" s="1"/>
  <c r="E806" i="1" s="1"/>
  <c r="E807" i="1" s="1"/>
  <c r="E808" i="1" s="1"/>
  <c r="E809" i="1" s="1"/>
  <c r="E810" i="1" s="1"/>
  <c r="E811" i="1" s="1"/>
  <c r="H725" i="1"/>
  <c r="H726" i="1" s="1"/>
  <c r="G725" i="1"/>
  <c r="E725" i="1"/>
  <c r="E726" i="1" s="1"/>
  <c r="E727" i="1" s="1"/>
  <c r="E728" i="1" s="1"/>
  <c r="E729" i="1" s="1"/>
  <c r="E730" i="1" s="1"/>
  <c r="E731" i="1" s="1"/>
  <c r="E732" i="1" s="1"/>
  <c r="E733" i="1" s="1"/>
  <c r="E734" i="1" s="1"/>
  <c r="E735" i="1" s="1"/>
  <c r="E736" i="1" s="1"/>
  <c r="E737" i="1" s="1"/>
  <c r="E738" i="1" s="1"/>
  <c r="E739" i="1" s="1"/>
  <c r="E740" i="1" s="1"/>
  <c r="E741" i="1" s="1"/>
  <c r="E742" i="1" s="1"/>
  <c r="E743" i="1" s="1"/>
  <c r="E744" i="1" s="1"/>
  <c r="E745" i="1" s="1"/>
  <c r="E746" i="1" s="1"/>
  <c r="E747" i="1" s="1"/>
  <c r="E748" i="1" s="1"/>
  <c r="E749" i="1" s="1"/>
  <c r="E750" i="1" s="1"/>
  <c r="E751" i="1" s="1"/>
  <c r="E752" i="1" s="1"/>
  <c r="E753" i="1" s="1"/>
  <c r="E754" i="1" s="1"/>
  <c r="E755" i="1" s="1"/>
  <c r="E756" i="1" s="1"/>
  <c r="E757" i="1" s="1"/>
  <c r="E758" i="1" s="1"/>
  <c r="E759" i="1" s="1"/>
  <c r="E760" i="1" s="1"/>
  <c r="E761" i="1" s="1"/>
  <c r="E762" i="1" s="1"/>
  <c r="E763" i="1" s="1"/>
  <c r="E764" i="1" s="1"/>
  <c r="E765" i="1" s="1"/>
  <c r="E766" i="1" s="1"/>
  <c r="E767" i="1" s="1"/>
  <c r="H681" i="1"/>
  <c r="H682" i="1" s="1"/>
  <c r="G681" i="1"/>
  <c r="E681" i="1"/>
  <c r="E682" i="1" s="1"/>
  <c r="E683" i="1" s="1"/>
  <c r="E684" i="1" s="1"/>
  <c r="E685" i="1" s="1"/>
  <c r="E686" i="1" s="1"/>
  <c r="E687" i="1" s="1"/>
  <c r="E688" i="1" s="1"/>
  <c r="E689" i="1" s="1"/>
  <c r="E690" i="1" s="1"/>
  <c r="E691" i="1" s="1"/>
  <c r="E692" i="1" s="1"/>
  <c r="E693" i="1" s="1"/>
  <c r="E694" i="1" s="1"/>
  <c r="E695" i="1" s="1"/>
  <c r="E696" i="1" s="1"/>
  <c r="E697" i="1" s="1"/>
  <c r="E698" i="1" s="1"/>
  <c r="E699" i="1" s="1"/>
  <c r="E700" i="1" s="1"/>
  <c r="E701" i="1" s="1"/>
  <c r="E702" i="1" s="1"/>
  <c r="E703" i="1" s="1"/>
  <c r="E704" i="1" s="1"/>
  <c r="E705" i="1" s="1"/>
  <c r="E706" i="1" s="1"/>
  <c r="E707" i="1" s="1"/>
  <c r="E708" i="1" s="1"/>
  <c r="E709" i="1" s="1"/>
  <c r="E710" i="1" s="1"/>
  <c r="E711" i="1" s="1"/>
  <c r="E712" i="1" s="1"/>
  <c r="E713" i="1" s="1"/>
  <c r="E714" i="1" s="1"/>
  <c r="E715" i="1" s="1"/>
  <c r="E716" i="1" s="1"/>
  <c r="E717" i="1" s="1"/>
  <c r="E718" i="1" s="1"/>
  <c r="E719" i="1" s="1"/>
  <c r="E720" i="1" s="1"/>
  <c r="E721" i="1" s="1"/>
  <c r="E722" i="1" s="1"/>
  <c r="E723" i="1" s="1"/>
  <c r="H637" i="1"/>
  <c r="H638" i="1" s="1"/>
  <c r="G637" i="1"/>
  <c r="H3281" i="1" l="1"/>
  <c r="H3282" i="1" s="1"/>
  <c r="G1242" i="1"/>
  <c r="G3002" i="1"/>
  <c r="H2992" i="1"/>
  <c r="G2993" i="1" s="1"/>
  <c r="G2948" i="1"/>
  <c r="H2929" i="1"/>
  <c r="H2930" i="1" s="1"/>
  <c r="H3060" i="1"/>
  <c r="G3060" i="1"/>
  <c r="H3148" i="1"/>
  <c r="G3148" i="1"/>
  <c r="G2211" i="1"/>
  <c r="H2940" i="1"/>
  <c r="G2940" i="1"/>
  <c r="H3302" i="1"/>
  <c r="G3302" i="1"/>
  <c r="H2894" i="1"/>
  <c r="G2894" i="1"/>
  <c r="G3282" i="1"/>
  <c r="G2904" i="1"/>
  <c r="H2904" i="1"/>
  <c r="H2914" i="1"/>
  <c r="G2914" i="1"/>
  <c r="H3036" i="1"/>
  <c r="G3036" i="1"/>
  <c r="H3090" i="1"/>
  <c r="G3090" i="1"/>
  <c r="H2973" i="1"/>
  <c r="G2973" i="1"/>
  <c r="H3080" i="1"/>
  <c r="G3080" i="1"/>
  <c r="H3179" i="1"/>
  <c r="G3179" i="1"/>
  <c r="H3291" i="1"/>
  <c r="G3291" i="1"/>
  <c r="G3027" i="1"/>
  <c r="H3027" i="1"/>
  <c r="G3114" i="1"/>
  <c r="H3114" i="1"/>
  <c r="H2887" i="1"/>
  <c r="G2887" i="1"/>
  <c r="H3169" i="1"/>
  <c r="G3169" i="1"/>
  <c r="H3335" i="1"/>
  <c r="G3335" i="1"/>
  <c r="H3003" i="1"/>
  <c r="G3003" i="1"/>
  <c r="G3367" i="1"/>
  <c r="H3367" i="1"/>
  <c r="H2870" i="1"/>
  <c r="G2870" i="1"/>
  <c r="H3314" i="1"/>
  <c r="G3314" i="1"/>
  <c r="H3124" i="1"/>
  <c r="G3124" i="1"/>
  <c r="H3071" i="1"/>
  <c r="G3071" i="1"/>
  <c r="H3134" i="1"/>
  <c r="G3134" i="1"/>
  <c r="G2860" i="1"/>
  <c r="H2860" i="1"/>
  <c r="G3105" i="1"/>
  <c r="H3105" i="1"/>
  <c r="G2949" i="1"/>
  <c r="H2949" i="1"/>
  <c r="H3357" i="1"/>
  <c r="G3357" i="1"/>
  <c r="H2984" i="1"/>
  <c r="G2984" i="1"/>
  <c r="H2850" i="1"/>
  <c r="G2850" i="1"/>
  <c r="H3324" i="1"/>
  <c r="G3324" i="1"/>
  <c r="G3377" i="1"/>
  <c r="H3377" i="1"/>
  <c r="H2993" i="1"/>
  <c r="H3016" i="1"/>
  <c r="G3016" i="1"/>
  <c r="H3046" i="1"/>
  <c r="G3046" i="1"/>
  <c r="H2841" i="1"/>
  <c r="G2841" i="1"/>
  <c r="H3347" i="1"/>
  <c r="G3347" i="1"/>
  <c r="H3199" i="1"/>
  <c r="H3189" i="1"/>
  <c r="G3189" i="1"/>
  <c r="H2959" i="1"/>
  <c r="G2959" i="1"/>
  <c r="H3160" i="1"/>
  <c r="G3160" i="1"/>
  <c r="H648" i="1"/>
  <c r="H649" i="1" s="1"/>
  <c r="G650" i="1" s="1"/>
  <c r="G1330" i="1"/>
  <c r="G1826" i="1"/>
  <c r="H1672" i="1"/>
  <c r="H1673" i="1" s="1"/>
  <c r="H2528" i="1"/>
  <c r="G2529" i="1" s="1"/>
  <c r="G692" i="1"/>
  <c r="H692" i="1"/>
  <c r="H693" i="1" s="1"/>
  <c r="H694" i="1" s="1"/>
  <c r="H2739" i="1"/>
  <c r="H2740" i="1" s="1"/>
  <c r="H2741" i="1" s="1"/>
  <c r="G780" i="1"/>
  <c r="H2825" i="1"/>
  <c r="G2826" i="1" s="1"/>
  <c r="G824" i="1"/>
  <c r="G956" i="1"/>
  <c r="G1144" i="1"/>
  <c r="H966" i="1"/>
  <c r="G967" i="1" s="1"/>
  <c r="H824" i="1"/>
  <c r="H825" i="1" s="1"/>
  <c r="G826" i="1" s="1"/>
  <c r="G1715" i="1"/>
  <c r="H2376" i="1"/>
  <c r="G2377" i="1" s="1"/>
  <c r="G2518" i="1"/>
  <c r="H1428" i="1"/>
  <c r="H1439" i="1" s="1"/>
  <c r="G1440" i="1" s="1"/>
  <c r="H858" i="1"/>
  <c r="G859" i="1" s="1"/>
  <c r="G1122" i="1"/>
  <c r="G2002" i="1"/>
  <c r="G2430" i="1"/>
  <c r="H1155" i="1"/>
  <c r="G1156" i="1" s="1"/>
  <c r="G2012" i="1"/>
  <c r="G1364" i="1"/>
  <c r="G1694" i="1"/>
  <c r="H790" i="1"/>
  <c r="H2616" i="1"/>
  <c r="H2617" i="1" s="1"/>
  <c r="G2618" i="1" s="1"/>
  <c r="G1078" i="1"/>
  <c r="G1365" i="1"/>
  <c r="H2430" i="1"/>
  <c r="G2431" i="1" s="1"/>
  <c r="G2244" i="1"/>
  <c r="G2342" i="1"/>
  <c r="H2562" i="1"/>
  <c r="H2563" i="1" s="1"/>
  <c r="G2564" i="1" s="1"/>
  <c r="G1165" i="1"/>
  <c r="H2342" i="1"/>
  <c r="H2343" i="1" s="1"/>
  <c r="H2344" i="1" s="1"/>
  <c r="H2345" i="1" s="1"/>
  <c r="H1165" i="1"/>
  <c r="H1166" i="1" s="1"/>
  <c r="H1167" i="1" s="1"/>
  <c r="H1168" i="1" s="1"/>
  <c r="H2596" i="1"/>
  <c r="H2597" i="1" s="1"/>
  <c r="H2598" i="1" s="1"/>
  <c r="H2599" i="1" s="1"/>
  <c r="G2600" i="1" s="1"/>
  <c r="H2783" i="1"/>
  <c r="H2784" i="1" s="1"/>
  <c r="H2785" i="1" s="1"/>
  <c r="G2786" i="1" s="1"/>
  <c r="G1079" i="1"/>
  <c r="H736" i="1"/>
  <c r="H737" i="1" s="1"/>
  <c r="G738" i="1" s="1"/>
  <c r="G814" i="1"/>
  <c r="H658" i="1"/>
  <c r="H659" i="1" s="1"/>
  <c r="H660" i="1" s="1"/>
  <c r="G912" i="1"/>
  <c r="G1176" i="1"/>
  <c r="H1176" i="1"/>
  <c r="G1177" i="1" s="1"/>
  <c r="H2033" i="1"/>
  <c r="H2023" i="1"/>
  <c r="H2024" i="1" s="1"/>
  <c r="H703" i="1"/>
  <c r="H704" i="1" s="1"/>
  <c r="H705" i="1" s="1"/>
  <c r="G703" i="1"/>
  <c r="H713" i="1"/>
  <c r="H2484" i="1"/>
  <c r="G2485" i="1" s="1"/>
  <c r="H845" i="1"/>
  <c r="H846" i="1" s="1"/>
  <c r="H847" i="1" s="1"/>
  <c r="H1880" i="1"/>
  <c r="H1881" i="1" s="1"/>
  <c r="G1882" i="1" s="1"/>
  <c r="G815" i="1"/>
  <c r="H1276" i="1"/>
  <c r="H1277" i="1" s="1"/>
  <c r="G1748" i="1"/>
  <c r="H2308" i="1"/>
  <c r="H1639" i="1"/>
  <c r="H1640" i="1" s="1"/>
  <c r="H1641" i="1" s="1"/>
  <c r="H878" i="1"/>
  <c r="H1725" i="1"/>
  <c r="H2298" i="1"/>
  <c r="H2299" i="1" s="1"/>
  <c r="H2300" i="1" s="1"/>
  <c r="G2474" i="1"/>
  <c r="H2363" i="1"/>
  <c r="H2364" i="1" s="1"/>
  <c r="G2365" i="1" s="1"/>
  <c r="G2353" i="1"/>
  <c r="G2728" i="1"/>
  <c r="H746" i="1"/>
  <c r="H922" i="1"/>
  <c r="H1758" i="1"/>
  <c r="H1769" i="1" s="1"/>
  <c r="H1100" i="1"/>
  <c r="H1101" i="1" s="1"/>
  <c r="G835" i="1"/>
  <c r="G1111" i="1"/>
  <c r="G2420" i="1"/>
  <c r="H2396" i="1"/>
  <c r="G2397" i="1" s="1"/>
  <c r="H2572" i="1"/>
  <c r="H2012" i="1"/>
  <c r="G2013" i="1" s="1"/>
  <c r="H902" i="1"/>
  <c r="H1232" i="1"/>
  <c r="H1233" i="1" s="1"/>
  <c r="H1234" i="1" s="1"/>
  <c r="G1235" i="1" s="1"/>
  <c r="G1958" i="1"/>
  <c r="H2451" i="1"/>
  <c r="H2452" i="1" s="1"/>
  <c r="H2453" i="1" s="1"/>
  <c r="H1683" i="1"/>
  <c r="G1661" i="1"/>
  <c r="H1651" i="1"/>
  <c r="H1652" i="1" s="1"/>
  <c r="H1653" i="1" s="1"/>
  <c r="H1654" i="1" s="1"/>
  <c r="H1628" i="1"/>
  <c r="H1629" i="1" s="1"/>
  <c r="H1630" i="1" s="1"/>
  <c r="H1496" i="1"/>
  <c r="H1497" i="1" s="1"/>
  <c r="H1516" i="1"/>
  <c r="H1463" i="1"/>
  <c r="G1464" i="1" s="1"/>
  <c r="G1463" i="1"/>
  <c r="G1462" i="1"/>
  <c r="H1472" i="1"/>
  <c r="G1452" i="1"/>
  <c r="H1419" i="1"/>
  <c r="G1420" i="1" s="1"/>
  <c r="G1419" i="1"/>
  <c r="G1409" i="1"/>
  <c r="H1409" i="1"/>
  <c r="G1418" i="1"/>
  <c r="G1408" i="1"/>
  <c r="H1384" i="1"/>
  <c r="G1385" i="1" s="1"/>
  <c r="H1341" i="1"/>
  <c r="G1342" i="1" s="1"/>
  <c r="H1351" i="1"/>
  <c r="G1287" i="1"/>
  <c r="H1287" i="1"/>
  <c r="H1288" i="1" s="1"/>
  <c r="G1289" i="1" s="1"/>
  <c r="H1296" i="1"/>
  <c r="G1286" i="1"/>
  <c r="G1253" i="1"/>
  <c r="H1263" i="1"/>
  <c r="H1253" i="1"/>
  <c r="H1254" i="1" s="1"/>
  <c r="G1255" i="1" s="1"/>
  <c r="H1242" i="1"/>
  <c r="H1243" i="1" s="1"/>
  <c r="H1244" i="1" s="1"/>
  <c r="G1198" i="1"/>
  <c r="H1208" i="1"/>
  <c r="H2233" i="1"/>
  <c r="H2234" i="1" s="1"/>
  <c r="H2235" i="1" s="1"/>
  <c r="H2236" i="1" s="1"/>
  <c r="H2237" i="1" s="1"/>
  <c r="H2238" i="1" s="1"/>
  <c r="H2239" i="1" s="1"/>
  <c r="H2240" i="1" s="1"/>
  <c r="G2200" i="1"/>
  <c r="G2189" i="1"/>
  <c r="G2046" i="1"/>
  <c r="G2056" i="1"/>
  <c r="H2066" i="1"/>
  <c r="H2077" i="1" s="1"/>
  <c r="H2088" i="1" s="1"/>
  <c r="H1934" i="1"/>
  <c r="G1880" i="1"/>
  <c r="G1792" i="1"/>
  <c r="G1738" i="1"/>
  <c r="H1925" i="1"/>
  <c r="H1926" i="1" s="1"/>
  <c r="H1927" i="1" s="1"/>
  <c r="H1928" i="1" s="1"/>
  <c r="H1929" i="1" s="1"/>
  <c r="H1930" i="1" s="1"/>
  <c r="H1931" i="1" s="1"/>
  <c r="H1932" i="1" s="1"/>
  <c r="G1925" i="1"/>
  <c r="H1959" i="1"/>
  <c r="H1960" i="1" s="1"/>
  <c r="H1961" i="1" s="1"/>
  <c r="H1962" i="1" s="1"/>
  <c r="H1963" i="1" s="1"/>
  <c r="H1964" i="1" s="1"/>
  <c r="H1965" i="1" s="1"/>
  <c r="G1959" i="1"/>
  <c r="G2201" i="1"/>
  <c r="H2201" i="1"/>
  <c r="H2202" i="1" s="1"/>
  <c r="H2203" i="1" s="1"/>
  <c r="H2204" i="1" s="1"/>
  <c r="H2205" i="1" s="1"/>
  <c r="H2206" i="1" s="1"/>
  <c r="H2207" i="1" s="1"/>
  <c r="H1969" i="1"/>
  <c r="H1970" i="1" s="1"/>
  <c r="H1971" i="1" s="1"/>
  <c r="H1972" i="1" s="1"/>
  <c r="H1973" i="1" s="1"/>
  <c r="H1974" i="1" s="1"/>
  <c r="H1975" i="1" s="1"/>
  <c r="H1976" i="1" s="1"/>
  <c r="G1969" i="1"/>
  <c r="H1793" i="1"/>
  <c r="G1793" i="1"/>
  <c r="H1847" i="1"/>
  <c r="H1857" i="1"/>
  <c r="G1847" i="1"/>
  <c r="H2048" i="1"/>
  <c r="H2049" i="1" s="1"/>
  <c r="H2050" i="1" s="1"/>
  <c r="H2051" i="1" s="1"/>
  <c r="H2052" i="1" s="1"/>
  <c r="H2053" i="1" s="1"/>
  <c r="G2048" i="1"/>
  <c r="H1901" i="1"/>
  <c r="G1891" i="1"/>
  <c r="H1891" i="1"/>
  <c r="G2057" i="1"/>
  <c r="H2057" i="1"/>
  <c r="H1915" i="1"/>
  <c r="G1915" i="1"/>
  <c r="H2179" i="1"/>
  <c r="H2180" i="1" s="1"/>
  <c r="H2181" i="1" s="1"/>
  <c r="H2182" i="1" s="1"/>
  <c r="H2183" i="1" s="1"/>
  <c r="H2184" i="1" s="1"/>
  <c r="H2185" i="1" s="1"/>
  <c r="G2179" i="1"/>
  <c r="H2267" i="1"/>
  <c r="G2267" i="1"/>
  <c r="G2003" i="1"/>
  <c r="H1782" i="1"/>
  <c r="H1783" i="1" s="1"/>
  <c r="H1784" i="1" s="1"/>
  <c r="H1785" i="1" s="1"/>
  <c r="H1786" i="1" s="1"/>
  <c r="H1787" i="1" s="1"/>
  <c r="H1788" i="1" s="1"/>
  <c r="H1789" i="1" s="1"/>
  <c r="H1836" i="1"/>
  <c r="H2275" i="1"/>
  <c r="G1924" i="1"/>
  <c r="G1968" i="1"/>
  <c r="G2265" i="1"/>
  <c r="G1836" i="1"/>
  <c r="G2023" i="1"/>
  <c r="H1802" i="1"/>
  <c r="H1978" i="1"/>
  <c r="H1507" i="1"/>
  <c r="G1507" i="1"/>
  <c r="G1506" i="1"/>
  <c r="G1374" i="1"/>
  <c r="G1341" i="1"/>
  <c r="G957" i="1"/>
  <c r="H914" i="1"/>
  <c r="G914" i="1"/>
  <c r="G869" i="1"/>
  <c r="H869" i="1"/>
  <c r="G870" i="1" s="1"/>
  <c r="G868" i="1"/>
  <c r="G836" i="1"/>
  <c r="H781" i="1"/>
  <c r="G782" i="1" s="1"/>
  <c r="G781" i="1"/>
  <c r="H2816" i="1"/>
  <c r="G2816" i="1"/>
  <c r="G2815" i="1"/>
  <c r="G2794" i="1"/>
  <c r="G2772" i="1"/>
  <c r="G2761" i="1"/>
  <c r="G2729" i="1"/>
  <c r="H2607" i="1"/>
  <c r="H2608" i="1" s="1"/>
  <c r="G2609" i="1" s="1"/>
  <c r="G2607" i="1"/>
  <c r="G2606" i="1"/>
  <c r="G2553" i="1"/>
  <c r="H2553" i="1"/>
  <c r="G2552" i="1"/>
  <c r="H2509" i="1"/>
  <c r="G2509" i="1"/>
  <c r="G2508" i="1"/>
  <c r="H2519" i="1"/>
  <c r="H2520" i="1" s="1"/>
  <c r="G2519" i="1"/>
  <c r="G2465" i="1"/>
  <c r="G2464" i="1"/>
  <c r="G2442" i="1"/>
  <c r="H2442" i="1"/>
  <c r="H2443" i="1" s="1"/>
  <c r="H2444" i="1" s="1"/>
  <c r="G2441" i="1"/>
  <c r="H2421" i="1"/>
  <c r="G2422" i="1" s="1"/>
  <c r="G2421" i="1"/>
  <c r="G2386" i="1"/>
  <c r="H2354" i="1"/>
  <c r="G2354" i="1"/>
  <c r="H2333" i="1"/>
  <c r="G2334" i="1" s="1"/>
  <c r="G2333" i="1"/>
  <c r="G2332" i="1"/>
  <c r="G2289" i="1"/>
  <c r="H2289" i="1"/>
  <c r="H2763" i="1"/>
  <c r="G2763" i="1"/>
  <c r="G2388" i="1"/>
  <c r="H2388" i="1"/>
  <c r="H2751" i="1"/>
  <c r="H2795" i="1"/>
  <c r="H2730" i="1"/>
  <c r="G2730" i="1"/>
  <c r="H2805" i="1"/>
  <c r="G2805" i="1"/>
  <c r="G2466" i="1"/>
  <c r="H2773" i="1"/>
  <c r="G2773" i="1"/>
  <c r="H2467" i="1"/>
  <c r="G2387" i="1"/>
  <c r="G2288" i="1"/>
  <c r="G2475" i="1"/>
  <c r="G2762" i="1"/>
  <c r="H2476" i="1"/>
  <c r="G2750" i="1"/>
  <c r="G1750" i="1"/>
  <c r="G1749" i="1"/>
  <c r="G2222" i="1"/>
  <c r="G1872" i="1"/>
  <c r="G1871" i="1"/>
  <c r="G1739" i="1"/>
  <c r="G2191" i="1"/>
  <c r="G2256" i="1"/>
  <c r="G1827" i="1"/>
  <c r="G2255" i="1"/>
  <c r="G2213" i="1"/>
  <c r="G2190" i="1"/>
  <c r="G2246" i="1"/>
  <c r="G2212" i="1"/>
  <c r="G2245" i="1"/>
  <c r="G1870" i="1"/>
  <c r="G2047" i="1"/>
  <c r="G2178" i="1"/>
  <c r="G2266" i="1"/>
  <c r="G1914" i="1"/>
  <c r="H1199" i="1"/>
  <c r="G1199" i="1"/>
  <c r="H1663" i="1"/>
  <c r="G1663" i="1"/>
  <c r="H1321" i="1"/>
  <c r="G1321" i="1"/>
  <c r="H1696" i="1"/>
  <c r="G1696" i="1"/>
  <c r="H1189" i="1"/>
  <c r="G1189" i="1"/>
  <c r="G1453" i="1"/>
  <c r="H1453" i="1"/>
  <c r="G1695" i="1"/>
  <c r="G1188" i="1"/>
  <c r="G1366" i="1"/>
  <c r="H1367" i="1"/>
  <c r="H1705" i="1"/>
  <c r="G1705" i="1"/>
  <c r="H1717" i="1"/>
  <c r="G1717" i="1"/>
  <c r="G1320" i="1"/>
  <c r="G1375" i="1"/>
  <c r="G1662" i="1"/>
  <c r="H1331" i="1"/>
  <c r="G1331" i="1"/>
  <c r="H1376" i="1"/>
  <c r="G1650" i="1"/>
  <c r="G1716" i="1"/>
  <c r="G683" i="1"/>
  <c r="H683" i="1"/>
  <c r="H959" i="1"/>
  <c r="G959" i="1"/>
  <c r="G1113" i="1"/>
  <c r="H1113" i="1"/>
  <c r="H838" i="1"/>
  <c r="G838" i="1"/>
  <c r="H639" i="1"/>
  <c r="G639" i="1"/>
  <c r="H727" i="1"/>
  <c r="G727" i="1"/>
  <c r="H771" i="1"/>
  <c r="G771" i="1"/>
  <c r="H817" i="1"/>
  <c r="G817" i="1"/>
  <c r="G816" i="1"/>
  <c r="G958" i="1"/>
  <c r="G638" i="1"/>
  <c r="G1123" i="1"/>
  <c r="H1124" i="1"/>
  <c r="H1145" i="1"/>
  <c r="G837" i="1"/>
  <c r="H946" i="1"/>
  <c r="G946" i="1"/>
  <c r="H1133" i="1"/>
  <c r="G1133" i="1"/>
  <c r="G770" i="1"/>
  <c r="H1080" i="1"/>
  <c r="G1080" i="1"/>
  <c r="H1089" i="1"/>
  <c r="G726" i="1"/>
  <c r="G1112" i="1"/>
  <c r="G682" i="1"/>
  <c r="G913" i="1"/>
  <c r="G2930" i="1" l="1"/>
  <c r="H3149" i="1"/>
  <c r="G3149" i="1"/>
  <c r="H3061" i="1"/>
  <c r="G3061" i="1"/>
  <c r="G2915" i="1"/>
  <c r="H2915" i="1"/>
  <c r="H2905" i="1"/>
  <c r="G2905" i="1"/>
  <c r="H2895" i="1"/>
  <c r="G2895" i="1"/>
  <c r="H3303" i="1"/>
  <c r="G3303" i="1"/>
  <c r="G3283" i="1"/>
  <c r="H3283" i="1"/>
  <c r="G2941" i="1"/>
  <c r="H2941" i="1"/>
  <c r="G3190" i="1"/>
  <c r="H3190" i="1"/>
  <c r="G2994" i="1"/>
  <c r="H2994" i="1"/>
  <c r="H2842" i="1"/>
  <c r="G2842" i="1"/>
  <c r="G3161" i="1"/>
  <c r="H3161" i="1"/>
  <c r="H3348" i="1"/>
  <c r="G3348" i="1"/>
  <c r="G3017" i="1"/>
  <c r="H3017" i="1"/>
  <c r="G3125" i="1"/>
  <c r="H3125" i="1"/>
  <c r="H2888" i="1"/>
  <c r="G2888" i="1"/>
  <c r="G3200" i="1"/>
  <c r="H3200" i="1"/>
  <c r="H3210" i="1"/>
  <c r="G2861" i="1"/>
  <c r="H2861" i="1"/>
  <c r="H2960" i="1"/>
  <c r="G2960" i="1"/>
  <c r="H2851" i="1"/>
  <c r="G2851" i="1"/>
  <c r="H3081" i="1"/>
  <c r="G3081" i="1"/>
  <c r="H3378" i="1"/>
  <c r="G3378" i="1"/>
  <c r="G3047" i="1"/>
  <c r="H3047" i="1"/>
  <c r="H3028" i="1"/>
  <c r="G3028" i="1"/>
  <c r="G3325" i="1"/>
  <c r="H3325" i="1"/>
  <c r="G3135" i="1"/>
  <c r="H3135" i="1"/>
  <c r="H3315" i="1"/>
  <c r="G3315" i="1"/>
  <c r="H2931" i="1"/>
  <c r="G2931" i="1"/>
  <c r="H3180" i="1"/>
  <c r="G3180" i="1"/>
  <c r="H2974" i="1"/>
  <c r="G2974" i="1"/>
  <c r="H3358" i="1"/>
  <c r="G3358" i="1"/>
  <c r="G3336" i="1"/>
  <c r="H3336" i="1"/>
  <c r="G2950" i="1"/>
  <c r="H2950" i="1"/>
  <c r="H3091" i="1"/>
  <c r="G3091" i="1"/>
  <c r="H2871" i="1"/>
  <c r="G2871" i="1"/>
  <c r="H3170" i="1"/>
  <c r="G3170" i="1"/>
  <c r="H3292" i="1"/>
  <c r="G3292" i="1"/>
  <c r="G2985" i="1"/>
  <c r="H2985" i="1"/>
  <c r="H3072" i="1"/>
  <c r="G3072" i="1"/>
  <c r="H3004" i="1"/>
  <c r="G3004" i="1"/>
  <c r="G3106" i="1"/>
  <c r="H3106" i="1"/>
  <c r="G3368" i="1"/>
  <c r="H3368" i="1"/>
  <c r="H3115" i="1"/>
  <c r="G3115" i="1"/>
  <c r="H3037" i="1"/>
  <c r="G3037" i="1"/>
  <c r="H650" i="1"/>
  <c r="H651" i="1" s="1"/>
  <c r="G649" i="1"/>
  <c r="G693" i="1"/>
  <c r="G1673" i="1"/>
  <c r="H2627" i="1"/>
  <c r="G2628" i="1" s="1"/>
  <c r="G2300" i="1"/>
  <c r="H2826" i="1"/>
  <c r="H2827" i="1" s="1"/>
  <c r="G2828" i="1" s="1"/>
  <c r="H2013" i="1"/>
  <c r="H2014" i="1" s="1"/>
  <c r="H2015" i="1" s="1"/>
  <c r="H2016" i="1" s="1"/>
  <c r="H2017" i="1" s="1"/>
  <c r="H2018" i="1" s="1"/>
  <c r="H2019" i="1" s="1"/>
  <c r="H2020" i="1" s="1"/>
  <c r="H2539" i="1"/>
  <c r="H2540" i="1" s="1"/>
  <c r="G2617" i="1"/>
  <c r="H1420" i="1"/>
  <c r="H1421" i="1" s="1"/>
  <c r="H2564" i="1"/>
  <c r="G2565" i="1" s="1"/>
  <c r="G694" i="1"/>
  <c r="H2618" i="1"/>
  <c r="H2377" i="1"/>
  <c r="H2378" i="1" s="1"/>
  <c r="H669" i="1"/>
  <c r="H670" i="1" s="1"/>
  <c r="H738" i="1"/>
  <c r="H739" i="1" s="1"/>
  <c r="G2299" i="1"/>
  <c r="H2529" i="1"/>
  <c r="H2530" i="1" s="1"/>
  <c r="G2531" i="1" s="1"/>
  <c r="H1429" i="1"/>
  <c r="H1430" i="1" s="1"/>
  <c r="G1431" i="1" s="1"/>
  <c r="G2345" i="1"/>
  <c r="G2740" i="1"/>
  <c r="G1654" i="1"/>
  <c r="H1289" i="1"/>
  <c r="H1290" i="1" s="1"/>
  <c r="H1291" i="1" s="1"/>
  <c r="H1156" i="1"/>
  <c r="G1157" i="1" s="1"/>
  <c r="H977" i="1"/>
  <c r="H978" i="1" s="1"/>
  <c r="H967" i="1"/>
  <c r="H968" i="1" s="1"/>
  <c r="H969" i="1" s="1"/>
  <c r="H826" i="1"/>
  <c r="G827" i="1" s="1"/>
  <c r="G2741" i="1"/>
  <c r="H2365" i="1"/>
  <c r="H2366" i="1" s="1"/>
  <c r="H2367" i="1" s="1"/>
  <c r="H2368" i="1" s="1"/>
  <c r="G1630" i="1"/>
  <c r="G825" i="1"/>
  <c r="G1254" i="1"/>
  <c r="H859" i="1"/>
  <c r="H2786" i="1"/>
  <c r="G2787" i="1" s="1"/>
  <c r="H2431" i="1"/>
  <c r="H2432" i="1" s="1"/>
  <c r="H1440" i="1"/>
  <c r="H1441" i="1" s="1"/>
  <c r="G1442" i="1" s="1"/>
  <c r="G1277" i="1"/>
  <c r="G659" i="1"/>
  <c r="G1429" i="1"/>
  <c r="G737" i="1"/>
  <c r="G2563" i="1"/>
  <c r="G2785" i="1"/>
  <c r="G2784" i="1"/>
  <c r="H2422" i="1"/>
  <c r="G2423" i="1" s="1"/>
  <c r="G660" i="1"/>
  <c r="H791" i="1"/>
  <c r="G791" i="1"/>
  <c r="H801" i="1"/>
  <c r="G1234" i="1"/>
  <c r="G1233" i="1"/>
  <c r="H1235" i="1"/>
  <c r="H1236" i="1" s="1"/>
  <c r="G2599" i="1"/>
  <c r="H1464" i="1"/>
  <c r="H1465" i="1" s="1"/>
  <c r="G2343" i="1"/>
  <c r="G1640" i="1"/>
  <c r="G2344" i="1"/>
  <c r="G2444" i="1"/>
  <c r="G1168" i="1"/>
  <c r="G2597" i="1"/>
  <c r="G1244" i="1"/>
  <c r="G2598" i="1"/>
  <c r="G1167" i="1"/>
  <c r="G1101" i="1"/>
  <c r="G2443" i="1"/>
  <c r="H2600" i="1"/>
  <c r="H2601" i="1" s="1"/>
  <c r="H2602" i="1" s="1"/>
  <c r="H2603" i="1" s="1"/>
  <c r="G2604" i="1" s="1"/>
  <c r="H1882" i="1"/>
  <c r="H1883" i="1" s="1"/>
  <c r="H1884" i="1" s="1"/>
  <c r="H1885" i="1" s="1"/>
  <c r="H1886" i="1" s="1"/>
  <c r="H1887" i="1" s="1"/>
  <c r="H1888" i="1" s="1"/>
  <c r="G1166" i="1"/>
  <c r="G848" i="1"/>
  <c r="H848" i="1"/>
  <c r="H849" i="1" s="1"/>
  <c r="G705" i="1"/>
  <c r="H782" i="1"/>
  <c r="H783" i="1" s="1"/>
  <c r="G1881" i="1"/>
  <c r="G846" i="1"/>
  <c r="H2309" i="1"/>
  <c r="G2309" i="1"/>
  <c r="H2319" i="1"/>
  <c r="G1497" i="1"/>
  <c r="G847" i="1"/>
  <c r="G1641" i="1"/>
  <c r="G1652" i="1"/>
  <c r="G2364" i="1"/>
  <c r="G2452" i="1"/>
  <c r="H2397" i="1"/>
  <c r="H2407" i="1"/>
  <c r="H714" i="1"/>
  <c r="G714" i="1"/>
  <c r="G2608" i="1"/>
  <c r="G879" i="1"/>
  <c r="H879" i="1"/>
  <c r="H889" i="1"/>
  <c r="G2453" i="1"/>
  <c r="G923" i="1"/>
  <c r="H923" i="1"/>
  <c r="H933" i="1"/>
  <c r="G2024" i="1"/>
  <c r="H747" i="1"/>
  <c r="H757" i="1"/>
  <c r="G704" i="1"/>
  <c r="H2573" i="1"/>
  <c r="G2573" i="1"/>
  <c r="H2583" i="1"/>
  <c r="H1177" i="1"/>
  <c r="G1178" i="1" s="1"/>
  <c r="G1629" i="1"/>
  <c r="G747" i="1"/>
  <c r="H2609" i="1"/>
  <c r="G2610" i="1" s="1"/>
  <c r="H1726" i="1"/>
  <c r="G1726" i="1"/>
  <c r="G903" i="1"/>
  <c r="H903" i="1"/>
  <c r="H661" i="1"/>
  <c r="G661" i="1"/>
  <c r="H870" i="1"/>
  <c r="G871" i="1" s="1"/>
  <c r="H1342" i="1"/>
  <c r="H1343" i="1" s="1"/>
  <c r="G1653" i="1"/>
  <c r="H1759" i="1"/>
  <c r="G1759" i="1"/>
  <c r="H2485" i="1"/>
  <c r="H2495" i="1"/>
  <c r="H1684" i="1"/>
  <c r="G1684" i="1"/>
  <c r="H1517" i="1"/>
  <c r="H1527" i="1"/>
  <c r="G1517" i="1"/>
  <c r="H1473" i="1"/>
  <c r="G1473" i="1"/>
  <c r="H1483" i="1"/>
  <c r="G1410" i="1"/>
  <c r="H1410" i="1"/>
  <c r="H1385" i="1"/>
  <c r="H1395" i="1"/>
  <c r="H1352" i="1"/>
  <c r="G1352" i="1"/>
  <c r="H1307" i="1"/>
  <c r="H1297" i="1"/>
  <c r="G1297" i="1"/>
  <c r="G1288" i="1"/>
  <c r="G1243" i="1"/>
  <c r="H1255" i="1"/>
  <c r="H1256" i="1" s="1"/>
  <c r="H1257" i="1" s="1"/>
  <c r="H1258" i="1" s="1"/>
  <c r="H1264" i="1"/>
  <c r="G1264" i="1"/>
  <c r="H1209" i="1"/>
  <c r="H1219" i="1"/>
  <c r="G1209" i="1"/>
  <c r="G2067" i="1"/>
  <c r="H2067" i="1"/>
  <c r="H2068" i="1" s="1"/>
  <c r="H2069" i="1" s="1"/>
  <c r="H2070" i="1" s="1"/>
  <c r="H2071" i="1" s="1"/>
  <c r="H2072" i="1" s="1"/>
  <c r="H2073" i="1" s="1"/>
  <c r="H2074" i="1" s="1"/>
  <c r="H2075" i="1" s="1"/>
  <c r="G2078" i="1"/>
  <c r="H2078" i="1"/>
  <c r="G2079" i="1" s="1"/>
  <c r="G1970" i="1"/>
  <c r="H1935" i="1"/>
  <c r="G1935" i="1"/>
  <c r="H1945" i="1"/>
  <c r="G1946" i="1" s="1"/>
  <c r="G1783" i="1"/>
  <c r="G1770" i="1"/>
  <c r="H1770" i="1"/>
  <c r="H2268" i="1"/>
  <c r="H2269" i="1" s="1"/>
  <c r="H2270" i="1" s="1"/>
  <c r="H2271" i="1" s="1"/>
  <c r="H2272" i="1" s="1"/>
  <c r="H2273" i="1" s="1"/>
  <c r="G2268" i="1"/>
  <c r="G1892" i="1"/>
  <c r="H1892" i="1"/>
  <c r="G2049" i="1"/>
  <c r="G1902" i="1"/>
  <c r="H1902" i="1"/>
  <c r="G2276" i="1"/>
  <c r="H2276" i="1"/>
  <c r="G1916" i="1"/>
  <c r="H1916" i="1"/>
  <c r="H1917" i="1" s="1"/>
  <c r="H1918" i="1" s="1"/>
  <c r="H1919" i="1" s="1"/>
  <c r="H1920" i="1" s="1"/>
  <c r="H1921" i="1" s="1"/>
  <c r="G2025" i="1"/>
  <c r="H2025" i="1"/>
  <c r="G1960" i="1"/>
  <c r="H2034" i="1"/>
  <c r="G2034" i="1"/>
  <c r="H1979" i="1"/>
  <c r="H1989" i="1"/>
  <c r="G1979" i="1"/>
  <c r="G1837" i="1"/>
  <c r="H1837" i="1"/>
  <c r="G1858" i="1"/>
  <c r="H1858" i="1"/>
  <c r="H1803" i="1"/>
  <c r="H1813" i="1"/>
  <c r="G1803" i="1"/>
  <c r="G1848" i="1"/>
  <c r="H1848" i="1"/>
  <c r="G2058" i="1"/>
  <c r="H2058" i="1"/>
  <c r="H2059" i="1" s="1"/>
  <c r="H2060" i="1" s="1"/>
  <c r="H2061" i="1" s="1"/>
  <c r="H2062" i="1" s="1"/>
  <c r="H2063" i="1" s="1"/>
  <c r="H2064" i="1" s="1"/>
  <c r="H2089" i="1"/>
  <c r="H2099" i="1"/>
  <c r="G2089" i="1"/>
  <c r="H1794" i="1"/>
  <c r="G1794" i="1"/>
  <c r="H1508" i="1"/>
  <c r="G1508" i="1"/>
  <c r="G915" i="1"/>
  <c r="H915" i="1"/>
  <c r="H2817" i="1"/>
  <c r="G2817" i="1"/>
  <c r="H2554" i="1"/>
  <c r="G2554" i="1"/>
  <c r="G2520" i="1"/>
  <c r="H2510" i="1"/>
  <c r="G2510" i="1"/>
  <c r="H2355" i="1"/>
  <c r="G2355" i="1"/>
  <c r="H2334" i="1"/>
  <c r="H2335" i="1" s="1"/>
  <c r="H2764" i="1"/>
  <c r="G2764" i="1"/>
  <c r="H2477" i="1"/>
  <c r="G2477" i="1"/>
  <c r="H2752" i="1"/>
  <c r="G2752" i="1"/>
  <c r="H2521" i="1"/>
  <c r="G2521" i="1"/>
  <c r="H2346" i="1"/>
  <c r="G2346" i="1"/>
  <c r="H2389" i="1"/>
  <c r="G2389" i="1"/>
  <c r="H2468" i="1"/>
  <c r="G2468" i="1"/>
  <c r="H2806" i="1"/>
  <c r="G2806" i="1"/>
  <c r="H2290" i="1"/>
  <c r="G2290" i="1"/>
  <c r="H2454" i="1"/>
  <c r="G2454" i="1"/>
  <c r="H2774" i="1"/>
  <c r="G2774" i="1"/>
  <c r="H2301" i="1"/>
  <c r="G2301" i="1"/>
  <c r="H2731" i="1"/>
  <c r="G2731" i="1"/>
  <c r="H2742" i="1"/>
  <c r="G2742" i="1"/>
  <c r="H2445" i="1"/>
  <c r="G2445" i="1"/>
  <c r="H2796" i="1"/>
  <c r="G2796" i="1"/>
  <c r="G1926" i="1"/>
  <c r="G1828" i="1"/>
  <c r="G2214" i="1"/>
  <c r="G1740" i="1"/>
  <c r="G2004" i="1"/>
  <c r="G2257" i="1"/>
  <c r="G2180" i="1"/>
  <c r="G1784" i="1"/>
  <c r="G1971" i="1"/>
  <c r="G2192" i="1"/>
  <c r="G1873" i="1"/>
  <c r="G2234" i="1"/>
  <c r="G2050" i="1"/>
  <c r="G2223" i="1"/>
  <c r="G2202" i="1"/>
  <c r="G1961" i="1"/>
  <c r="G1751" i="1"/>
  <c r="G2247" i="1"/>
  <c r="H1377" i="1"/>
  <c r="G1377" i="1"/>
  <c r="H1718" i="1"/>
  <c r="G1718" i="1"/>
  <c r="H1706" i="1"/>
  <c r="G1706" i="1"/>
  <c r="G1655" i="1"/>
  <c r="H1655" i="1"/>
  <c r="H1332" i="1"/>
  <c r="G1332" i="1"/>
  <c r="H1245" i="1"/>
  <c r="G1245" i="1"/>
  <c r="H1190" i="1"/>
  <c r="G1190" i="1"/>
  <c r="H1368" i="1"/>
  <c r="G1368" i="1"/>
  <c r="H1697" i="1"/>
  <c r="G1697" i="1"/>
  <c r="H1322" i="1"/>
  <c r="G1322" i="1"/>
  <c r="H1631" i="1"/>
  <c r="G1631" i="1"/>
  <c r="H1278" i="1"/>
  <c r="G1278" i="1"/>
  <c r="H1664" i="1"/>
  <c r="G1664" i="1"/>
  <c r="H1642" i="1"/>
  <c r="G1642" i="1"/>
  <c r="H1498" i="1"/>
  <c r="G1498" i="1"/>
  <c r="H1200" i="1"/>
  <c r="G1200" i="1"/>
  <c r="H1674" i="1"/>
  <c r="G1674" i="1"/>
  <c r="H1454" i="1"/>
  <c r="G1454" i="1"/>
  <c r="G1125" i="1"/>
  <c r="H1125" i="1"/>
  <c r="H728" i="1"/>
  <c r="G728" i="1"/>
  <c r="H1090" i="1"/>
  <c r="G1090" i="1"/>
  <c r="G1081" i="1"/>
  <c r="H1081" i="1"/>
  <c r="H640" i="1"/>
  <c r="G640" i="1"/>
  <c r="H839" i="1"/>
  <c r="G839" i="1"/>
  <c r="H960" i="1"/>
  <c r="G960" i="1"/>
  <c r="H818" i="1"/>
  <c r="G818" i="1"/>
  <c r="H695" i="1"/>
  <c r="G695" i="1"/>
  <c r="H1102" i="1"/>
  <c r="G1102" i="1"/>
  <c r="H706" i="1"/>
  <c r="G706" i="1"/>
  <c r="H1114" i="1"/>
  <c r="G1114" i="1"/>
  <c r="H1134" i="1"/>
  <c r="G1134" i="1"/>
  <c r="H947" i="1"/>
  <c r="G947" i="1"/>
  <c r="H772" i="1"/>
  <c r="G772" i="1"/>
  <c r="H684" i="1"/>
  <c r="G684" i="1"/>
  <c r="H1146" i="1"/>
  <c r="G1146" i="1"/>
  <c r="H1169" i="1"/>
  <c r="G1169" i="1"/>
  <c r="G651" i="1" l="1"/>
  <c r="H2828" i="1"/>
  <c r="H2829" i="1" s="1"/>
  <c r="G3062" i="1"/>
  <c r="H3062" i="1"/>
  <c r="H3150" i="1"/>
  <c r="G3150" i="1"/>
  <c r="G2942" i="1"/>
  <c r="H2942" i="1"/>
  <c r="G2896" i="1"/>
  <c r="H2896" i="1"/>
  <c r="H2906" i="1"/>
  <c r="G2906" i="1"/>
  <c r="H3284" i="1"/>
  <c r="G3284" i="1"/>
  <c r="H2916" i="1"/>
  <c r="G2916" i="1"/>
  <c r="G3304" i="1"/>
  <c r="H3304" i="1"/>
  <c r="H2961" i="1"/>
  <c r="G2961" i="1"/>
  <c r="G3293" i="1"/>
  <c r="H3293" i="1"/>
  <c r="H3029" i="1"/>
  <c r="G3029" i="1"/>
  <c r="G2852" i="1"/>
  <c r="H2852" i="1"/>
  <c r="H3126" i="1"/>
  <c r="G3126" i="1"/>
  <c r="H3162" i="1"/>
  <c r="G3162" i="1"/>
  <c r="H3038" i="1"/>
  <c r="G3038" i="1"/>
  <c r="H3107" i="1"/>
  <c r="G3107" i="1"/>
  <c r="G2975" i="1"/>
  <c r="H2975" i="1"/>
  <c r="H3092" i="1"/>
  <c r="G3092" i="1"/>
  <c r="G3181" i="1"/>
  <c r="H3181" i="1"/>
  <c r="H3136" i="1"/>
  <c r="G3136" i="1"/>
  <c r="G2951" i="1"/>
  <c r="H2951" i="1"/>
  <c r="H3326" i="1"/>
  <c r="G3326" i="1"/>
  <c r="H2862" i="1"/>
  <c r="G2862" i="1"/>
  <c r="H3211" i="1"/>
  <c r="H3221" i="1"/>
  <c r="G3211" i="1"/>
  <c r="H2843" i="1"/>
  <c r="G2843" i="1"/>
  <c r="G3359" i="1"/>
  <c r="H3359" i="1"/>
  <c r="G3005" i="1"/>
  <c r="H3005" i="1"/>
  <c r="H2932" i="1"/>
  <c r="G2932" i="1"/>
  <c r="H3201" i="1"/>
  <c r="G3201" i="1"/>
  <c r="H3171" i="1"/>
  <c r="G3171" i="1"/>
  <c r="H3048" i="1"/>
  <c r="G3048" i="1"/>
  <c r="H3116" i="1"/>
  <c r="G3116" i="1"/>
  <c r="G2995" i="1"/>
  <c r="H2995" i="1"/>
  <c r="H3082" i="1"/>
  <c r="G3082" i="1"/>
  <c r="H3369" i="1"/>
  <c r="G3369" i="1"/>
  <c r="H3337" i="1"/>
  <c r="G3337" i="1"/>
  <c r="G3073" i="1"/>
  <c r="H3073" i="1"/>
  <c r="H2872" i="1"/>
  <c r="G2872" i="1"/>
  <c r="H3379" i="1"/>
  <c r="G3379" i="1"/>
  <c r="H3018" i="1"/>
  <c r="G3018" i="1"/>
  <c r="H3191" i="1"/>
  <c r="G3191" i="1"/>
  <c r="H3316" i="1"/>
  <c r="G3316" i="1"/>
  <c r="H2986" i="1"/>
  <c r="G2986" i="1"/>
  <c r="G2889" i="1"/>
  <c r="H2889" i="1"/>
  <c r="G2890" i="1" s="1"/>
  <c r="H3349" i="1"/>
  <c r="G3349" i="1"/>
  <c r="G670" i="1"/>
  <c r="G2827" i="1"/>
  <c r="G2432" i="1"/>
  <c r="G849" i="1"/>
  <c r="H2638" i="1"/>
  <c r="G2639" i="1" s="1"/>
  <c r="H2628" i="1"/>
  <c r="H2629" i="1" s="1"/>
  <c r="H827" i="1"/>
  <c r="G828" i="1" s="1"/>
  <c r="H2565" i="1"/>
  <c r="G2566" i="1" s="1"/>
  <c r="G739" i="1"/>
  <c r="G2015" i="1"/>
  <c r="G2367" i="1"/>
  <c r="G1430" i="1"/>
  <c r="G1884" i="1"/>
  <c r="G2014" i="1"/>
  <c r="G969" i="1"/>
  <c r="G1421" i="1"/>
  <c r="G2540" i="1"/>
  <c r="H2531" i="1"/>
  <c r="G2532" i="1" s="1"/>
  <c r="G2378" i="1"/>
  <c r="H1442" i="1"/>
  <c r="H1443" i="1" s="1"/>
  <c r="H1444" i="1" s="1"/>
  <c r="G968" i="1"/>
  <c r="G1883" i="1"/>
  <c r="H2423" i="1"/>
  <c r="G2424" i="1" s="1"/>
  <c r="H1431" i="1"/>
  <c r="G1432" i="1" s="1"/>
  <c r="G1465" i="1"/>
  <c r="G2530" i="1"/>
  <c r="G2379" i="1"/>
  <c r="H2379" i="1"/>
  <c r="H2619" i="1"/>
  <c r="G2619" i="1"/>
  <c r="G978" i="1"/>
  <c r="H2610" i="1"/>
  <c r="H2611" i="1" s="1"/>
  <c r="G1290" i="1"/>
  <c r="H1157" i="1"/>
  <c r="H1158" i="1" s="1"/>
  <c r="G1159" i="1" s="1"/>
  <c r="G1291" i="1"/>
  <c r="G783" i="1"/>
  <c r="G1441" i="1"/>
  <c r="G2368" i="1"/>
  <c r="G2829" i="1"/>
  <c r="G2366" i="1"/>
  <c r="H988" i="1"/>
  <c r="H989" i="1" s="1"/>
  <c r="H1178" i="1"/>
  <c r="G1179" i="1" s="1"/>
  <c r="G860" i="1"/>
  <c r="H860" i="1"/>
  <c r="G1236" i="1"/>
  <c r="H2787" i="1"/>
  <c r="G792" i="1"/>
  <c r="H792" i="1"/>
  <c r="H802" i="1"/>
  <c r="G802" i="1"/>
  <c r="H871" i="1"/>
  <c r="H872" i="1" s="1"/>
  <c r="G2602" i="1"/>
  <c r="H979" i="1"/>
  <c r="G979" i="1"/>
  <c r="G2068" i="1"/>
  <c r="G2603" i="1"/>
  <c r="G2601" i="1"/>
  <c r="H1946" i="1"/>
  <c r="G1947" i="1" s="1"/>
  <c r="G2069" i="1"/>
  <c r="G924" i="1"/>
  <c r="H924" i="1"/>
  <c r="H758" i="1"/>
  <c r="G758" i="1"/>
  <c r="H715" i="1"/>
  <c r="G715" i="1"/>
  <c r="G2408" i="1"/>
  <c r="H2408" i="1"/>
  <c r="G2335" i="1"/>
  <c r="H1727" i="1"/>
  <c r="G1727" i="1"/>
  <c r="H2398" i="1"/>
  <c r="G2398" i="1"/>
  <c r="H880" i="1"/>
  <c r="G880" i="1"/>
  <c r="H2320" i="1"/>
  <c r="G2320" i="1"/>
  <c r="G671" i="1"/>
  <c r="H671" i="1"/>
  <c r="H2584" i="1"/>
  <c r="G2584" i="1"/>
  <c r="H934" i="1"/>
  <c r="G934" i="1"/>
  <c r="G2310" i="1"/>
  <c r="H2310" i="1"/>
  <c r="H2496" i="1"/>
  <c r="G2496" i="1"/>
  <c r="H2541" i="1"/>
  <c r="G2541" i="1"/>
  <c r="G2574" i="1"/>
  <c r="H2574" i="1"/>
  <c r="H2486" i="1"/>
  <c r="G2486" i="1"/>
  <c r="H890" i="1"/>
  <c r="G890" i="1"/>
  <c r="G1760" i="1"/>
  <c r="H1760" i="1"/>
  <c r="H662" i="1"/>
  <c r="G662" i="1"/>
  <c r="H748" i="1"/>
  <c r="G748" i="1"/>
  <c r="G1343" i="1"/>
  <c r="G1256" i="1"/>
  <c r="H904" i="1"/>
  <c r="G904" i="1"/>
  <c r="H1685" i="1"/>
  <c r="G1685" i="1"/>
  <c r="H1538" i="1"/>
  <c r="H1528" i="1"/>
  <c r="G1528" i="1"/>
  <c r="G1518" i="1"/>
  <c r="H1518" i="1"/>
  <c r="H1484" i="1"/>
  <c r="G1484" i="1"/>
  <c r="H1474" i="1"/>
  <c r="G1474" i="1"/>
  <c r="H1411" i="1"/>
  <c r="G1411" i="1"/>
  <c r="H1396" i="1"/>
  <c r="G1396" i="1"/>
  <c r="H1386" i="1"/>
  <c r="G1386" i="1"/>
  <c r="H1353" i="1"/>
  <c r="G1353" i="1"/>
  <c r="G1298" i="1"/>
  <c r="H1298" i="1"/>
  <c r="H1308" i="1"/>
  <c r="G1308" i="1"/>
  <c r="G1258" i="1"/>
  <c r="G1257" i="1"/>
  <c r="H1265" i="1"/>
  <c r="G1265" i="1"/>
  <c r="H1220" i="1"/>
  <c r="G1220" i="1"/>
  <c r="H1210" i="1"/>
  <c r="G1210" i="1"/>
  <c r="G2269" i="1"/>
  <c r="G2059" i="1"/>
  <c r="H2079" i="1"/>
  <c r="G2080" i="1" s="1"/>
  <c r="H1936" i="1"/>
  <c r="G1936" i="1"/>
  <c r="H2277" i="1"/>
  <c r="G2277" i="1"/>
  <c r="H1814" i="1"/>
  <c r="G1814" i="1"/>
  <c r="H1903" i="1"/>
  <c r="G1903" i="1"/>
  <c r="G1859" i="1"/>
  <c r="H1859" i="1"/>
  <c r="H2035" i="1"/>
  <c r="G2035" i="1"/>
  <c r="G1795" i="1"/>
  <c r="H1795" i="1"/>
  <c r="H1838" i="1"/>
  <c r="G1838" i="1"/>
  <c r="H1893" i="1"/>
  <c r="G1893" i="1"/>
  <c r="H2100" i="1"/>
  <c r="G2100" i="1"/>
  <c r="H2110" i="1"/>
  <c r="G2026" i="1"/>
  <c r="H2026" i="1"/>
  <c r="H1980" i="1"/>
  <c r="G1980" i="1"/>
  <c r="H1771" i="1"/>
  <c r="G1771" i="1"/>
  <c r="H1804" i="1"/>
  <c r="G1804" i="1"/>
  <c r="H2090" i="1"/>
  <c r="G2090" i="1"/>
  <c r="G1990" i="1"/>
  <c r="H1990" i="1"/>
  <c r="G1917" i="1"/>
  <c r="H1849" i="1"/>
  <c r="G1849" i="1"/>
  <c r="G1509" i="1"/>
  <c r="H1509" i="1"/>
  <c r="G916" i="1"/>
  <c r="H916" i="1"/>
  <c r="H2818" i="1"/>
  <c r="G2818" i="1"/>
  <c r="H2555" i="1"/>
  <c r="G2555" i="1"/>
  <c r="G2511" i="1"/>
  <c r="H2511" i="1"/>
  <c r="G2356" i="1"/>
  <c r="H2356" i="1"/>
  <c r="G2743" i="1"/>
  <c r="H2743" i="1"/>
  <c r="G2455" i="1"/>
  <c r="H2455" i="1"/>
  <c r="G2469" i="1"/>
  <c r="H2469" i="1"/>
  <c r="H2753" i="1"/>
  <c r="G2753" i="1"/>
  <c r="H2797" i="1"/>
  <c r="G2797" i="1"/>
  <c r="H2830" i="1"/>
  <c r="G2830" i="1"/>
  <c r="H2291" i="1"/>
  <c r="G2291" i="1"/>
  <c r="H2390" i="1"/>
  <c r="G2390" i="1"/>
  <c r="H2478" i="1"/>
  <c r="G2478" i="1"/>
  <c r="H2732" i="1"/>
  <c r="G2732" i="1"/>
  <c r="G2775" i="1"/>
  <c r="H2775" i="1"/>
  <c r="G2433" i="1"/>
  <c r="H2433" i="1"/>
  <c r="H2347" i="1"/>
  <c r="G2347" i="1"/>
  <c r="H2522" i="1"/>
  <c r="G2522" i="1"/>
  <c r="H2369" i="1"/>
  <c r="G2369" i="1"/>
  <c r="G2446" i="1"/>
  <c r="H2446" i="1"/>
  <c r="H2302" i="1"/>
  <c r="G2302" i="1"/>
  <c r="H2336" i="1"/>
  <c r="G2336" i="1"/>
  <c r="G2807" i="1"/>
  <c r="H2807" i="1"/>
  <c r="H2765" i="1"/>
  <c r="G2765" i="1"/>
  <c r="G1918" i="1"/>
  <c r="G2248" i="1"/>
  <c r="G2060" i="1"/>
  <c r="G2203" i="1"/>
  <c r="G1972" i="1"/>
  <c r="G2005" i="1"/>
  <c r="G2215" i="1"/>
  <c r="G1829" i="1"/>
  <c r="G1752" i="1"/>
  <c r="G1874" i="1"/>
  <c r="G1785" i="1"/>
  <c r="G2224" i="1"/>
  <c r="G1927" i="1"/>
  <c r="G2070" i="1"/>
  <c r="G2051" i="1"/>
  <c r="G2258" i="1"/>
  <c r="G1962" i="1"/>
  <c r="G2193" i="1"/>
  <c r="G2181" i="1"/>
  <c r="G2270" i="1"/>
  <c r="G2016" i="1"/>
  <c r="G2235" i="1"/>
  <c r="G1885" i="1"/>
  <c r="G1741" i="1"/>
  <c r="H1323" i="1"/>
  <c r="G1323" i="1"/>
  <c r="H1259" i="1"/>
  <c r="G1259" i="1"/>
  <c r="H1632" i="1"/>
  <c r="G1632" i="1"/>
  <c r="H1707" i="1"/>
  <c r="G1707" i="1"/>
  <c r="G1369" i="1"/>
  <c r="H1369" i="1"/>
  <c r="H1455" i="1"/>
  <c r="G1455" i="1"/>
  <c r="H1201" i="1"/>
  <c r="G1201" i="1"/>
  <c r="H1656" i="1"/>
  <c r="G1656" i="1"/>
  <c r="G1675" i="1"/>
  <c r="H1675" i="1"/>
  <c r="G1333" i="1"/>
  <c r="H1333" i="1"/>
  <c r="G1643" i="1"/>
  <c r="H1643" i="1"/>
  <c r="H1237" i="1"/>
  <c r="G1237" i="1"/>
  <c r="H1422" i="1"/>
  <c r="G1422" i="1"/>
  <c r="H1344" i="1"/>
  <c r="G1344" i="1"/>
  <c r="G1719" i="1"/>
  <c r="H1719" i="1"/>
  <c r="H1665" i="1"/>
  <c r="G1665" i="1"/>
  <c r="H1191" i="1"/>
  <c r="G1191" i="1"/>
  <c r="H1292" i="1"/>
  <c r="G1292" i="1"/>
  <c r="H1378" i="1"/>
  <c r="G1378" i="1"/>
  <c r="G1466" i="1"/>
  <c r="H1466" i="1"/>
  <c r="H1499" i="1"/>
  <c r="G1499" i="1"/>
  <c r="H1279" i="1"/>
  <c r="G1279" i="1"/>
  <c r="H1698" i="1"/>
  <c r="G1698" i="1"/>
  <c r="H1246" i="1"/>
  <c r="G1246" i="1"/>
  <c r="H1170" i="1"/>
  <c r="G1170" i="1"/>
  <c r="G1115" i="1"/>
  <c r="H1115" i="1"/>
  <c r="H840" i="1"/>
  <c r="G840" i="1"/>
  <c r="H707" i="1"/>
  <c r="G707" i="1"/>
  <c r="H641" i="1"/>
  <c r="G641" i="1"/>
  <c r="H740" i="1"/>
  <c r="G740" i="1"/>
  <c r="H1091" i="1"/>
  <c r="G1091" i="1"/>
  <c r="H1147" i="1"/>
  <c r="G1147" i="1"/>
  <c r="H948" i="1"/>
  <c r="G948" i="1"/>
  <c r="H970" i="1"/>
  <c r="G970" i="1"/>
  <c r="H729" i="1"/>
  <c r="G729" i="1"/>
  <c r="H784" i="1"/>
  <c r="G784" i="1"/>
  <c r="H1126" i="1"/>
  <c r="G1126" i="1"/>
  <c r="H685" i="1"/>
  <c r="G685" i="1"/>
  <c r="H1135" i="1"/>
  <c r="G1135" i="1"/>
  <c r="H1103" i="1"/>
  <c r="G1103" i="1"/>
  <c r="H819" i="1"/>
  <c r="G819" i="1"/>
  <c r="H850" i="1"/>
  <c r="G850" i="1"/>
  <c r="H652" i="1"/>
  <c r="G652" i="1"/>
  <c r="G773" i="1"/>
  <c r="H773" i="1"/>
  <c r="G696" i="1"/>
  <c r="H696" i="1"/>
  <c r="H961" i="1"/>
  <c r="G961" i="1"/>
  <c r="H1082" i="1"/>
  <c r="G1082" i="1"/>
  <c r="G3151" i="1" l="1"/>
  <c r="H3151" i="1"/>
  <c r="H3063" i="1"/>
  <c r="G3063" i="1"/>
  <c r="H2907" i="1"/>
  <c r="G2907" i="1"/>
  <c r="H2897" i="1"/>
  <c r="G2897" i="1"/>
  <c r="G3305" i="1"/>
  <c r="H3305" i="1"/>
  <c r="H2943" i="1"/>
  <c r="G2943" i="1"/>
  <c r="H2917" i="1"/>
  <c r="G2917" i="1"/>
  <c r="G3285" i="1"/>
  <c r="H3285" i="1"/>
  <c r="G3286" i="1" s="1"/>
  <c r="H3192" i="1"/>
  <c r="G3192" i="1"/>
  <c r="G3006" i="1"/>
  <c r="H3006" i="1"/>
  <c r="H3350" i="1"/>
  <c r="G3350" i="1"/>
  <c r="G3019" i="1"/>
  <c r="H3019" i="1"/>
  <c r="G3370" i="1"/>
  <c r="H3370" i="1"/>
  <c r="G3360" i="1"/>
  <c r="H3360" i="1"/>
  <c r="H2853" i="1"/>
  <c r="G2853" i="1"/>
  <c r="H3182" i="1"/>
  <c r="G3182" i="1"/>
  <c r="H3380" i="1"/>
  <c r="G3380" i="1"/>
  <c r="G3083" i="1"/>
  <c r="H3083" i="1"/>
  <c r="H3093" i="1"/>
  <c r="G3093" i="1"/>
  <c r="H3074" i="1"/>
  <c r="G3074" i="1"/>
  <c r="H3108" i="1"/>
  <c r="G3108" i="1"/>
  <c r="H2863" i="1"/>
  <c r="G2863" i="1"/>
  <c r="H2996" i="1"/>
  <c r="G2996" i="1"/>
  <c r="H3202" i="1"/>
  <c r="G3202" i="1"/>
  <c r="H2844" i="1"/>
  <c r="G2844" i="1"/>
  <c r="H3049" i="1"/>
  <c r="G3049" i="1"/>
  <c r="H2987" i="1"/>
  <c r="G2987" i="1"/>
  <c r="H3117" i="1"/>
  <c r="G3117" i="1"/>
  <c r="H3172" i="1"/>
  <c r="G3172" i="1"/>
  <c r="H3030" i="1"/>
  <c r="G3030" i="1"/>
  <c r="H3232" i="1"/>
  <c r="H3222" i="1"/>
  <c r="G3222" i="1"/>
  <c r="H3137" i="1"/>
  <c r="G3137" i="1"/>
  <c r="G2933" i="1"/>
  <c r="H2933" i="1"/>
  <c r="G2934" i="1" s="1"/>
  <c r="H3294" i="1"/>
  <c r="G3294" i="1"/>
  <c r="H3212" i="1"/>
  <c r="G3212" i="1"/>
  <c r="G2873" i="1"/>
  <c r="H2873" i="1"/>
  <c r="H3327" i="1"/>
  <c r="G3327" i="1"/>
  <c r="H3039" i="1"/>
  <c r="G3039" i="1"/>
  <c r="H3163" i="1"/>
  <c r="G3163" i="1"/>
  <c r="H2952" i="1"/>
  <c r="G2952" i="1"/>
  <c r="H2976" i="1"/>
  <c r="G2976" i="1"/>
  <c r="G3127" i="1"/>
  <c r="H3127" i="1"/>
  <c r="G3317" i="1"/>
  <c r="H3317" i="1"/>
  <c r="H3338" i="1"/>
  <c r="G3338" i="1"/>
  <c r="H2962" i="1"/>
  <c r="G2962" i="1"/>
  <c r="H2424" i="1"/>
  <c r="H2425" i="1" s="1"/>
  <c r="G2629" i="1"/>
  <c r="H2649" i="1"/>
  <c r="H2660" i="1" s="1"/>
  <c r="H2639" i="1"/>
  <c r="G2640" i="1" s="1"/>
  <c r="H2566" i="1"/>
  <c r="H2567" i="1" s="1"/>
  <c r="H828" i="1"/>
  <c r="H829" i="1" s="1"/>
  <c r="G2611" i="1"/>
  <c r="H2532" i="1"/>
  <c r="H2533" i="1" s="1"/>
  <c r="H2534" i="1" s="1"/>
  <c r="G2535" i="1" s="1"/>
  <c r="G1444" i="1"/>
  <c r="H1432" i="1"/>
  <c r="H1433" i="1" s="1"/>
  <c r="G1434" i="1" s="1"/>
  <c r="H1159" i="1"/>
  <c r="G1160" i="1" s="1"/>
  <c r="G1443" i="1"/>
  <c r="G989" i="1"/>
  <c r="H2380" i="1"/>
  <c r="G2380" i="1"/>
  <c r="G872" i="1"/>
  <c r="G1158" i="1"/>
  <c r="H2620" i="1"/>
  <c r="G2620" i="1"/>
  <c r="H999" i="1"/>
  <c r="H1010" i="1" s="1"/>
  <c r="H1179" i="1"/>
  <c r="H1180" i="1" s="1"/>
  <c r="G2788" i="1"/>
  <c r="H2788" i="1"/>
  <c r="H861" i="1"/>
  <c r="G861" i="1"/>
  <c r="H1947" i="1"/>
  <c r="G1948" i="1" s="1"/>
  <c r="G803" i="1"/>
  <c r="H803" i="1"/>
  <c r="G793" i="1"/>
  <c r="H793" i="1"/>
  <c r="H990" i="1"/>
  <c r="G990" i="1"/>
  <c r="H980" i="1"/>
  <c r="G980" i="1"/>
  <c r="H2585" i="1"/>
  <c r="G2585" i="1"/>
  <c r="H663" i="1"/>
  <c r="G663" i="1"/>
  <c r="G2575" i="1"/>
  <c r="H2575" i="1"/>
  <c r="H672" i="1"/>
  <c r="G672" i="1"/>
  <c r="H1728" i="1"/>
  <c r="G1728" i="1"/>
  <c r="H905" i="1"/>
  <c r="G905" i="1"/>
  <c r="G2542" i="1"/>
  <c r="H2542" i="1"/>
  <c r="H2321" i="1"/>
  <c r="G2321" i="1"/>
  <c r="H2487" i="1"/>
  <c r="G2487" i="1"/>
  <c r="G925" i="1"/>
  <c r="H925" i="1"/>
  <c r="H1761" i="1"/>
  <c r="G1761" i="1"/>
  <c r="H2409" i="1"/>
  <c r="G2409" i="1"/>
  <c r="G891" i="1"/>
  <c r="H891" i="1"/>
  <c r="H2497" i="1"/>
  <c r="G2497" i="1"/>
  <c r="H881" i="1"/>
  <c r="G881" i="1"/>
  <c r="H2630" i="1"/>
  <c r="G2630" i="1"/>
  <c r="H2311" i="1"/>
  <c r="G2311" i="1"/>
  <c r="H716" i="1"/>
  <c r="G716" i="1"/>
  <c r="H935" i="1"/>
  <c r="G935" i="1"/>
  <c r="H749" i="1"/>
  <c r="G749" i="1"/>
  <c r="G2399" i="1"/>
  <c r="H2399" i="1"/>
  <c r="H759" i="1"/>
  <c r="G759" i="1"/>
  <c r="H1686" i="1"/>
  <c r="G1686" i="1"/>
  <c r="G1539" i="1"/>
  <c r="H1549" i="1"/>
  <c r="H1539" i="1"/>
  <c r="H1519" i="1"/>
  <c r="G1519" i="1"/>
  <c r="H1529" i="1"/>
  <c r="G1529" i="1"/>
  <c r="G1475" i="1"/>
  <c r="H1475" i="1"/>
  <c r="H1485" i="1"/>
  <c r="G1485" i="1"/>
  <c r="G1412" i="1"/>
  <c r="H1412" i="1"/>
  <c r="H1387" i="1"/>
  <c r="G1387" i="1"/>
  <c r="H1397" i="1"/>
  <c r="G1397" i="1"/>
  <c r="H1354" i="1"/>
  <c r="G1354" i="1"/>
  <c r="H1309" i="1"/>
  <c r="G1309" i="1"/>
  <c r="H1299" i="1"/>
  <c r="G1299" i="1"/>
  <c r="H1266" i="1"/>
  <c r="G1266" i="1"/>
  <c r="H1211" i="1"/>
  <c r="G1211" i="1"/>
  <c r="H1221" i="1"/>
  <c r="G1221" i="1"/>
  <c r="H2080" i="1"/>
  <c r="H2081" i="1" s="1"/>
  <c r="H1937" i="1"/>
  <c r="G1937" i="1"/>
  <c r="H1904" i="1"/>
  <c r="G1904" i="1"/>
  <c r="H1981" i="1"/>
  <c r="G1981" i="1"/>
  <c r="H1850" i="1"/>
  <c r="G1850" i="1"/>
  <c r="H2027" i="1"/>
  <c r="G2027" i="1"/>
  <c r="H2036" i="1"/>
  <c r="G2036" i="1"/>
  <c r="H1860" i="1"/>
  <c r="G1860" i="1"/>
  <c r="G1991" i="1"/>
  <c r="H1991" i="1"/>
  <c r="G2111" i="1"/>
  <c r="H2111" i="1"/>
  <c r="H2121" i="1"/>
  <c r="H2091" i="1"/>
  <c r="G2091" i="1"/>
  <c r="H1894" i="1"/>
  <c r="G1894" i="1"/>
  <c r="H1815" i="1"/>
  <c r="G1815" i="1"/>
  <c r="G1839" i="1"/>
  <c r="H1839" i="1"/>
  <c r="H2278" i="1"/>
  <c r="G2278" i="1"/>
  <c r="H1772" i="1"/>
  <c r="G1772" i="1"/>
  <c r="H1796" i="1"/>
  <c r="G1796" i="1"/>
  <c r="H2101" i="1"/>
  <c r="G2101" i="1"/>
  <c r="H1805" i="1"/>
  <c r="G1805" i="1"/>
  <c r="H1510" i="1"/>
  <c r="G1510" i="1"/>
  <c r="G917" i="1"/>
  <c r="H917" i="1"/>
  <c r="G2819" i="1"/>
  <c r="H2819" i="1"/>
  <c r="G2556" i="1"/>
  <c r="H2556" i="1"/>
  <c r="H2512" i="1"/>
  <c r="G2512" i="1"/>
  <c r="G2357" i="1"/>
  <c r="H2357" i="1"/>
  <c r="H2808" i="1"/>
  <c r="G2808" i="1"/>
  <c r="H2733" i="1"/>
  <c r="G2733" i="1"/>
  <c r="H2447" i="1"/>
  <c r="G2447" i="1"/>
  <c r="H2744" i="1"/>
  <c r="G2744" i="1"/>
  <c r="H2798" i="1"/>
  <c r="G2798" i="1"/>
  <c r="H2776" i="1"/>
  <c r="G2776" i="1"/>
  <c r="H2370" i="1"/>
  <c r="G2370" i="1"/>
  <c r="H2612" i="1"/>
  <c r="G2612" i="1"/>
  <c r="H2391" i="1"/>
  <c r="G2391" i="1"/>
  <c r="H2292" i="1"/>
  <c r="G2292" i="1"/>
  <c r="H2337" i="1"/>
  <c r="G2337" i="1"/>
  <c r="H2523" i="1"/>
  <c r="G2523" i="1"/>
  <c r="H2754" i="1"/>
  <c r="G2754" i="1"/>
  <c r="H2470" i="1"/>
  <c r="G2470" i="1"/>
  <c r="H2434" i="1"/>
  <c r="G2434" i="1"/>
  <c r="H2456" i="1"/>
  <c r="G2456" i="1"/>
  <c r="H2348" i="1"/>
  <c r="G2348" i="1"/>
  <c r="H2766" i="1"/>
  <c r="G2766" i="1"/>
  <c r="H2303" i="1"/>
  <c r="G2303" i="1"/>
  <c r="H2479" i="1"/>
  <c r="G2479" i="1"/>
  <c r="H2831" i="1"/>
  <c r="G2831" i="1"/>
  <c r="G2271" i="1"/>
  <c r="G2061" i="1"/>
  <c r="G1886" i="1"/>
  <c r="G1963" i="1"/>
  <c r="G1973" i="1"/>
  <c r="G1875" i="1"/>
  <c r="G2006" i="1"/>
  <c r="G2225" i="1"/>
  <c r="G1753" i="1"/>
  <c r="G2249" i="1"/>
  <c r="G1928" i="1"/>
  <c r="G2236" i="1"/>
  <c r="G2259" i="1"/>
  <c r="G2204" i="1"/>
  <c r="G1919" i="1"/>
  <c r="G2216" i="1"/>
  <c r="G2017" i="1"/>
  <c r="G2052" i="1"/>
  <c r="G2071" i="1"/>
  <c r="G1830" i="1"/>
  <c r="G1742" i="1"/>
  <c r="G2194" i="1"/>
  <c r="G2182" i="1"/>
  <c r="G1786" i="1"/>
  <c r="H1334" i="1"/>
  <c r="G1334" i="1"/>
  <c r="H1467" i="1"/>
  <c r="G1467" i="1"/>
  <c r="G1676" i="1"/>
  <c r="H1676" i="1"/>
  <c r="H1666" i="1"/>
  <c r="G1666" i="1"/>
  <c r="H1633" i="1"/>
  <c r="G1633" i="1"/>
  <c r="H1456" i="1"/>
  <c r="G1456" i="1"/>
  <c r="H1345" i="1"/>
  <c r="G1345" i="1"/>
  <c r="H1202" i="1"/>
  <c r="G1202" i="1"/>
  <c r="H1370" i="1"/>
  <c r="G1370" i="1"/>
  <c r="H1247" i="1"/>
  <c r="G1247" i="1"/>
  <c r="G1657" i="1"/>
  <c r="H1657" i="1"/>
  <c r="G1658" i="1" s="1"/>
  <c r="H1260" i="1"/>
  <c r="G1260" i="1"/>
  <c r="H1644" i="1"/>
  <c r="G1644" i="1"/>
  <c r="G1699" i="1"/>
  <c r="H1699" i="1"/>
  <c r="H1379" i="1"/>
  <c r="G1379" i="1"/>
  <c r="G1708" i="1"/>
  <c r="H1708" i="1"/>
  <c r="G1280" i="1"/>
  <c r="H1280" i="1"/>
  <c r="G1293" i="1"/>
  <c r="H1293" i="1"/>
  <c r="H1423" i="1"/>
  <c r="G1423" i="1"/>
  <c r="H1720" i="1"/>
  <c r="G1720" i="1"/>
  <c r="G1500" i="1"/>
  <c r="H1500" i="1"/>
  <c r="H1192" i="1"/>
  <c r="G1192" i="1"/>
  <c r="H1238" i="1"/>
  <c r="G1238" i="1"/>
  <c r="G1445" i="1"/>
  <c r="H1445" i="1"/>
  <c r="H1324" i="1"/>
  <c r="G1324" i="1"/>
  <c r="H697" i="1"/>
  <c r="G697" i="1"/>
  <c r="G1136" i="1"/>
  <c r="H1136" i="1"/>
  <c r="H730" i="1"/>
  <c r="G730" i="1"/>
  <c r="H1148" i="1"/>
  <c r="G1148" i="1"/>
  <c r="H653" i="1"/>
  <c r="G653" i="1"/>
  <c r="H686" i="1"/>
  <c r="G686" i="1"/>
  <c r="G841" i="1"/>
  <c r="H841" i="1"/>
  <c r="H1127" i="1"/>
  <c r="G1127" i="1"/>
  <c r="H741" i="1"/>
  <c r="G741" i="1"/>
  <c r="H708" i="1"/>
  <c r="G708" i="1"/>
  <c r="H1116" i="1"/>
  <c r="G1116" i="1"/>
  <c r="H962" i="1"/>
  <c r="G962" i="1"/>
  <c r="H851" i="1"/>
  <c r="G851" i="1"/>
  <c r="G873" i="1"/>
  <c r="H873" i="1"/>
  <c r="H820" i="1"/>
  <c r="G820" i="1"/>
  <c r="H785" i="1"/>
  <c r="G785" i="1"/>
  <c r="H971" i="1"/>
  <c r="G971" i="1"/>
  <c r="G1171" i="1"/>
  <c r="H1171" i="1"/>
  <c r="H774" i="1"/>
  <c r="G774" i="1"/>
  <c r="H1083" i="1"/>
  <c r="G1083" i="1"/>
  <c r="H1104" i="1"/>
  <c r="G1104" i="1"/>
  <c r="H949" i="1"/>
  <c r="G949" i="1"/>
  <c r="G1092" i="1"/>
  <c r="H1092" i="1"/>
  <c r="H642" i="1"/>
  <c r="G642" i="1"/>
  <c r="H3064" i="1" l="1"/>
  <c r="G3064" i="1"/>
  <c r="H3152" i="1"/>
  <c r="G3152" i="1"/>
  <c r="H2944" i="1"/>
  <c r="G2945" i="1" s="1"/>
  <c r="G2944" i="1"/>
  <c r="H3306" i="1"/>
  <c r="G3306" i="1"/>
  <c r="G2898" i="1"/>
  <c r="H2898" i="1"/>
  <c r="H2918" i="1"/>
  <c r="G2918" i="1"/>
  <c r="H2908" i="1"/>
  <c r="G2908" i="1"/>
  <c r="H3040" i="1"/>
  <c r="G3040" i="1"/>
  <c r="G3233" i="1"/>
  <c r="H3243" i="1"/>
  <c r="H3233" i="1"/>
  <c r="H3173" i="1"/>
  <c r="G3173" i="1"/>
  <c r="H2845" i="1"/>
  <c r="G2846" i="1" s="1"/>
  <c r="G2845" i="1"/>
  <c r="H3094" i="1"/>
  <c r="G3094" i="1"/>
  <c r="G3381" i="1"/>
  <c r="H3381" i="1"/>
  <c r="G3351" i="1"/>
  <c r="H3351" i="1"/>
  <c r="G3352" i="1" s="1"/>
  <c r="G3031" i="1"/>
  <c r="H3031" i="1"/>
  <c r="H3118" i="1"/>
  <c r="G3118" i="1"/>
  <c r="H3203" i="1"/>
  <c r="G3203" i="1"/>
  <c r="G3109" i="1"/>
  <c r="H3109" i="1"/>
  <c r="G3110" i="1" s="1"/>
  <c r="H3318" i="1"/>
  <c r="G3319" i="1" s="1"/>
  <c r="G3318" i="1"/>
  <c r="H3328" i="1"/>
  <c r="G3328" i="1"/>
  <c r="H3007" i="1"/>
  <c r="G3007" i="1"/>
  <c r="G2953" i="1"/>
  <c r="H2953" i="1"/>
  <c r="H2997" i="1"/>
  <c r="G2997" i="1"/>
  <c r="H3183" i="1"/>
  <c r="G3183" i="1"/>
  <c r="H2874" i="1"/>
  <c r="G2874" i="1"/>
  <c r="H3128" i="1"/>
  <c r="G3128" i="1"/>
  <c r="H3213" i="1"/>
  <c r="G3213" i="1"/>
  <c r="H3361" i="1"/>
  <c r="G3361" i="1"/>
  <c r="H3193" i="1"/>
  <c r="G3193" i="1"/>
  <c r="G3223" i="1"/>
  <c r="H3223" i="1"/>
  <c r="H3138" i="1"/>
  <c r="G3138" i="1"/>
  <c r="H3084" i="1"/>
  <c r="G3084" i="1"/>
  <c r="H3371" i="1"/>
  <c r="G3371" i="1"/>
  <c r="H2988" i="1"/>
  <c r="G2989" i="1" s="1"/>
  <c r="G2988" i="1"/>
  <c r="H2864" i="1"/>
  <c r="G2864" i="1"/>
  <c r="H3075" i="1"/>
  <c r="G3075" i="1"/>
  <c r="H3164" i="1"/>
  <c r="G3165" i="1" s="1"/>
  <c r="G3164" i="1"/>
  <c r="G3295" i="1"/>
  <c r="H3295" i="1"/>
  <c r="H3020" i="1"/>
  <c r="G3020" i="1"/>
  <c r="H2963" i="1"/>
  <c r="G2963" i="1"/>
  <c r="H3339" i="1"/>
  <c r="G3339" i="1"/>
  <c r="G2977" i="1"/>
  <c r="H2977" i="1"/>
  <c r="G2978" i="1" s="1"/>
  <c r="G3050" i="1"/>
  <c r="H3050" i="1"/>
  <c r="G2854" i="1"/>
  <c r="H2854" i="1"/>
  <c r="G2425" i="1"/>
  <c r="H2535" i="1"/>
  <c r="G2536" i="1" s="1"/>
  <c r="G1433" i="1"/>
  <c r="G2534" i="1"/>
  <c r="G2650" i="1"/>
  <c r="H2650" i="1"/>
  <c r="H2651" i="1" s="1"/>
  <c r="G2567" i="1"/>
  <c r="H2640" i="1"/>
  <c r="H2641" i="1" s="1"/>
  <c r="H1160" i="1"/>
  <c r="G1161" i="1" s="1"/>
  <c r="G829" i="1"/>
  <c r="G2533" i="1"/>
  <c r="H1434" i="1"/>
  <c r="G1435" i="1" s="1"/>
  <c r="H1000" i="1"/>
  <c r="G1001" i="1" s="1"/>
  <c r="G1000" i="1"/>
  <c r="H2621" i="1"/>
  <c r="G2621" i="1"/>
  <c r="G2381" i="1"/>
  <c r="H2381" i="1"/>
  <c r="G1180" i="1"/>
  <c r="H862" i="1"/>
  <c r="G862" i="1"/>
  <c r="H1948" i="1"/>
  <c r="H1949" i="1" s="1"/>
  <c r="H2789" i="1"/>
  <c r="G2789" i="1"/>
  <c r="G794" i="1"/>
  <c r="H794" i="1"/>
  <c r="G804" i="1"/>
  <c r="H804" i="1"/>
  <c r="H981" i="1"/>
  <c r="G981" i="1"/>
  <c r="H991" i="1"/>
  <c r="G991" i="1"/>
  <c r="G1011" i="1"/>
  <c r="H1021" i="1"/>
  <c r="H1011" i="1"/>
  <c r="G2631" i="1"/>
  <c r="H2631" i="1"/>
  <c r="G2410" i="1"/>
  <c r="H2410" i="1"/>
  <c r="G906" i="1"/>
  <c r="H906" i="1"/>
  <c r="H664" i="1"/>
  <c r="G664" i="1"/>
  <c r="H2543" i="1"/>
  <c r="G2543" i="1"/>
  <c r="H2312" i="1"/>
  <c r="G2312" i="1"/>
  <c r="H2322" i="1"/>
  <c r="G2322" i="1"/>
  <c r="H936" i="1"/>
  <c r="G936" i="1"/>
  <c r="H892" i="1"/>
  <c r="G892" i="1"/>
  <c r="G2586" i="1"/>
  <c r="H2586" i="1"/>
  <c r="G2081" i="1"/>
  <c r="H1762" i="1"/>
  <c r="G1762" i="1"/>
  <c r="H1729" i="1"/>
  <c r="G1729" i="1"/>
  <c r="H760" i="1"/>
  <c r="G760" i="1"/>
  <c r="H717" i="1"/>
  <c r="G717" i="1"/>
  <c r="H926" i="1"/>
  <c r="G926" i="1"/>
  <c r="H2400" i="1"/>
  <c r="G2400" i="1"/>
  <c r="H2661" i="1"/>
  <c r="H2671" i="1"/>
  <c r="G2661" i="1"/>
  <c r="H882" i="1"/>
  <c r="G882" i="1"/>
  <c r="H673" i="1"/>
  <c r="G673" i="1"/>
  <c r="G2576" i="1"/>
  <c r="H2576" i="1"/>
  <c r="G2498" i="1"/>
  <c r="H2498" i="1"/>
  <c r="H2488" i="1"/>
  <c r="G2488" i="1"/>
  <c r="G750" i="1"/>
  <c r="H750" i="1"/>
  <c r="G1687" i="1"/>
  <c r="H1687" i="1"/>
  <c r="H1540" i="1"/>
  <c r="G1540" i="1"/>
  <c r="H1550" i="1"/>
  <c r="H1560" i="1"/>
  <c r="G1550" i="1"/>
  <c r="H1530" i="1"/>
  <c r="G1530" i="1"/>
  <c r="H1520" i="1"/>
  <c r="G1520" i="1"/>
  <c r="H1486" i="1"/>
  <c r="G1486" i="1"/>
  <c r="G1476" i="1"/>
  <c r="H1476" i="1"/>
  <c r="G1413" i="1"/>
  <c r="H1413" i="1"/>
  <c r="G1398" i="1"/>
  <c r="H1398" i="1"/>
  <c r="H1388" i="1"/>
  <c r="G1388" i="1"/>
  <c r="H1355" i="1"/>
  <c r="G1355" i="1"/>
  <c r="H1300" i="1"/>
  <c r="G1300" i="1"/>
  <c r="H1310" i="1"/>
  <c r="G1310" i="1"/>
  <c r="H1267" i="1"/>
  <c r="G1267" i="1"/>
  <c r="H1222" i="1"/>
  <c r="G1222" i="1"/>
  <c r="H1212" i="1"/>
  <c r="G1212" i="1"/>
  <c r="H1938" i="1"/>
  <c r="G1938" i="1"/>
  <c r="H1806" i="1"/>
  <c r="G1806" i="1"/>
  <c r="G1861" i="1"/>
  <c r="H1861" i="1"/>
  <c r="H2102" i="1"/>
  <c r="G2102" i="1"/>
  <c r="H1816" i="1"/>
  <c r="G1816" i="1"/>
  <c r="H2037" i="1"/>
  <c r="G2037" i="1"/>
  <c r="H1797" i="1"/>
  <c r="G1797" i="1"/>
  <c r="H1895" i="1"/>
  <c r="G1895" i="1"/>
  <c r="H2028" i="1"/>
  <c r="G2028" i="1"/>
  <c r="H1773" i="1"/>
  <c r="G1773" i="1"/>
  <c r="G2122" i="1"/>
  <c r="H2132" i="1"/>
  <c r="H2122" i="1"/>
  <c r="H1851" i="1"/>
  <c r="G1851" i="1"/>
  <c r="H2112" i="1"/>
  <c r="G2112" i="1"/>
  <c r="H1982" i="1"/>
  <c r="G1982" i="1"/>
  <c r="H2082" i="1"/>
  <c r="G2082" i="1"/>
  <c r="H2279" i="1"/>
  <c r="G2279" i="1"/>
  <c r="H1992" i="1"/>
  <c r="G1992" i="1"/>
  <c r="H2092" i="1"/>
  <c r="G2092" i="1"/>
  <c r="H1840" i="1"/>
  <c r="G1840" i="1"/>
  <c r="H1905" i="1"/>
  <c r="G1905" i="1"/>
  <c r="H1511" i="1"/>
  <c r="G1511" i="1"/>
  <c r="G918" i="1"/>
  <c r="H918" i="1"/>
  <c r="H2820" i="1"/>
  <c r="G2820" i="1"/>
  <c r="G2557" i="1"/>
  <c r="H2557" i="1"/>
  <c r="H2513" i="1"/>
  <c r="G2513" i="1"/>
  <c r="H2358" i="1"/>
  <c r="G2358" i="1"/>
  <c r="H2524" i="1"/>
  <c r="G2524" i="1"/>
  <c r="H2777" i="1"/>
  <c r="G2777" i="1"/>
  <c r="H2304" i="1"/>
  <c r="G2304" i="1"/>
  <c r="H2338" i="1"/>
  <c r="G2338" i="1"/>
  <c r="H2293" i="1"/>
  <c r="G2293" i="1"/>
  <c r="G2392" i="1"/>
  <c r="H2392" i="1"/>
  <c r="H2799" i="1"/>
  <c r="G2799" i="1"/>
  <c r="H2809" i="1"/>
  <c r="G2809" i="1"/>
  <c r="H2745" i="1"/>
  <c r="G2745" i="1"/>
  <c r="H2435" i="1"/>
  <c r="G2435" i="1"/>
  <c r="H2767" i="1"/>
  <c r="G2767" i="1"/>
  <c r="G2471" i="1"/>
  <c r="H2471" i="1"/>
  <c r="G2472" i="1" s="1"/>
  <c r="G2613" i="1"/>
  <c r="H2613" i="1"/>
  <c r="H2426" i="1"/>
  <c r="G2426" i="1"/>
  <c r="H2832" i="1"/>
  <c r="G2832" i="1"/>
  <c r="H2349" i="1"/>
  <c r="G2349" i="1"/>
  <c r="G2755" i="1"/>
  <c r="H2755" i="1"/>
  <c r="H2568" i="1"/>
  <c r="G2568" i="1"/>
  <c r="H2371" i="1"/>
  <c r="G2371" i="1"/>
  <c r="H2448" i="1"/>
  <c r="G2448" i="1"/>
  <c r="G2480" i="1"/>
  <c r="H2480" i="1"/>
  <c r="H2457" i="1"/>
  <c r="G2457" i="1"/>
  <c r="H2734" i="1"/>
  <c r="G2734" i="1"/>
  <c r="G2260" i="1"/>
  <c r="G2195" i="1"/>
  <c r="G2072" i="1"/>
  <c r="G2226" i="1"/>
  <c r="G1754" i="1"/>
  <c r="G1920" i="1"/>
  <c r="G1876" i="1"/>
  <c r="G1964" i="1"/>
  <c r="G2205" i="1"/>
  <c r="G2237" i="1"/>
  <c r="G1787" i="1"/>
  <c r="G1743" i="1"/>
  <c r="G2053" i="1"/>
  <c r="G2054" i="1"/>
  <c r="G1974" i="1"/>
  <c r="G1887" i="1"/>
  <c r="G1831" i="1"/>
  <c r="G2018" i="1"/>
  <c r="G1929" i="1"/>
  <c r="G2007" i="1"/>
  <c r="G2062" i="1"/>
  <c r="G2183" i="1"/>
  <c r="G2217" i="1"/>
  <c r="G2250" i="1"/>
  <c r="G2272" i="1"/>
  <c r="G1371" i="1"/>
  <c r="H1371" i="1"/>
  <c r="G1372" i="1" s="1"/>
  <c r="H1294" i="1"/>
  <c r="G1295" i="1" s="1"/>
  <c r="G1294" i="1"/>
  <c r="H1325" i="1"/>
  <c r="G1325" i="1"/>
  <c r="H1261" i="1"/>
  <c r="G1262" i="1" s="1"/>
  <c r="G1261" i="1"/>
  <c r="H1248" i="1"/>
  <c r="G1248" i="1"/>
  <c r="G1457" i="1"/>
  <c r="H1457" i="1"/>
  <c r="H1709" i="1"/>
  <c r="G1709" i="1"/>
  <c r="H1446" i="1"/>
  <c r="G1446" i="1"/>
  <c r="H1281" i="1"/>
  <c r="G1281" i="1"/>
  <c r="H1677" i="1"/>
  <c r="G1677" i="1"/>
  <c r="H1721" i="1"/>
  <c r="G1721" i="1"/>
  <c r="H1203" i="1"/>
  <c r="G1203" i="1"/>
  <c r="H1239" i="1"/>
  <c r="G1240" i="1" s="1"/>
  <c r="G1239" i="1"/>
  <c r="G1346" i="1"/>
  <c r="H1346" i="1"/>
  <c r="H1634" i="1"/>
  <c r="G1634" i="1"/>
  <c r="G1380" i="1"/>
  <c r="H1380" i="1"/>
  <c r="H1700" i="1"/>
  <c r="G1700" i="1"/>
  <c r="H1501" i="1"/>
  <c r="G1501" i="1"/>
  <c r="H1193" i="1"/>
  <c r="G1193" i="1"/>
  <c r="H1645" i="1"/>
  <c r="G1645" i="1"/>
  <c r="H1468" i="1"/>
  <c r="G1468" i="1"/>
  <c r="H1424" i="1"/>
  <c r="G1424" i="1"/>
  <c r="H1667" i="1"/>
  <c r="G1667" i="1"/>
  <c r="H1335" i="1"/>
  <c r="G1335" i="1"/>
  <c r="H842" i="1"/>
  <c r="G842" i="1"/>
  <c r="H775" i="1"/>
  <c r="G775" i="1"/>
  <c r="H1137" i="1"/>
  <c r="G1137" i="1"/>
  <c r="H852" i="1"/>
  <c r="G852" i="1"/>
  <c r="H643" i="1"/>
  <c r="G643" i="1"/>
  <c r="H1084" i="1"/>
  <c r="G1084" i="1"/>
  <c r="G786" i="1"/>
  <c r="H786" i="1"/>
  <c r="G709" i="1"/>
  <c r="H709" i="1"/>
  <c r="G1181" i="1"/>
  <c r="H1181" i="1"/>
  <c r="H654" i="1"/>
  <c r="G654" i="1"/>
  <c r="G1149" i="1"/>
  <c r="H1149" i="1"/>
  <c r="H830" i="1"/>
  <c r="G830" i="1"/>
  <c r="G1093" i="1"/>
  <c r="H1093" i="1"/>
  <c r="H821" i="1"/>
  <c r="G822" i="1" s="1"/>
  <c r="G821" i="1"/>
  <c r="H742" i="1"/>
  <c r="G742" i="1"/>
  <c r="H731" i="1"/>
  <c r="G731" i="1"/>
  <c r="H1172" i="1"/>
  <c r="G1172" i="1"/>
  <c r="H950" i="1"/>
  <c r="G950" i="1"/>
  <c r="H874" i="1"/>
  <c r="G874" i="1"/>
  <c r="H963" i="1"/>
  <c r="G963" i="1"/>
  <c r="H1105" i="1"/>
  <c r="G1105" i="1"/>
  <c r="G1117" i="1"/>
  <c r="H1117" i="1"/>
  <c r="G1128" i="1"/>
  <c r="H1128" i="1"/>
  <c r="H972" i="1"/>
  <c r="G972" i="1"/>
  <c r="G687" i="1"/>
  <c r="H687" i="1"/>
  <c r="H698" i="1"/>
  <c r="G698" i="1"/>
  <c r="H3153" i="1" l="1"/>
  <c r="G3154" i="1" s="1"/>
  <c r="G3153" i="1"/>
  <c r="H3065" i="1"/>
  <c r="G3066" i="1" s="1"/>
  <c r="G3065" i="1"/>
  <c r="H2899" i="1"/>
  <c r="G2899" i="1"/>
  <c r="H2909" i="1"/>
  <c r="G2909" i="1"/>
  <c r="H2919" i="1"/>
  <c r="G2919" i="1"/>
  <c r="H3307" i="1"/>
  <c r="G3308" i="1" s="1"/>
  <c r="G3307" i="1"/>
  <c r="G3296" i="1"/>
  <c r="H3296" i="1"/>
  <c r="G3297" i="1" s="1"/>
  <c r="H3362" i="1"/>
  <c r="G3363" i="1" s="1"/>
  <c r="G3362" i="1"/>
  <c r="G2875" i="1"/>
  <c r="H2875" i="1"/>
  <c r="H3008" i="1"/>
  <c r="G3008" i="1"/>
  <c r="H3340" i="1"/>
  <c r="G3341" i="1" s="1"/>
  <c r="G3340" i="1"/>
  <c r="H2855" i="1"/>
  <c r="G2855" i="1"/>
  <c r="G3204" i="1"/>
  <c r="H3204" i="1"/>
  <c r="H3174" i="1"/>
  <c r="G3174" i="1"/>
  <c r="H2964" i="1"/>
  <c r="G2964" i="1"/>
  <c r="H3234" i="1"/>
  <c r="G3234" i="1"/>
  <c r="H3095" i="1"/>
  <c r="G3095" i="1"/>
  <c r="G3329" i="1"/>
  <c r="H3329" i="1"/>
  <c r="G3330" i="1" s="1"/>
  <c r="H3119" i="1"/>
  <c r="G3119" i="1"/>
  <c r="H3254" i="1"/>
  <c r="H3244" i="1"/>
  <c r="G3244" i="1"/>
  <c r="H3076" i="1"/>
  <c r="G3077" i="1" s="1"/>
  <c r="G3076" i="1"/>
  <c r="G3372" i="1"/>
  <c r="H3372" i="1"/>
  <c r="H3032" i="1"/>
  <c r="G3033" i="1" s="1"/>
  <c r="G3032" i="1"/>
  <c r="G3051" i="1"/>
  <c r="H3051" i="1"/>
  <c r="G3224" i="1"/>
  <c r="H3224" i="1"/>
  <c r="G3214" i="1"/>
  <c r="H3214" i="1"/>
  <c r="G3184" i="1"/>
  <c r="H3184" i="1"/>
  <c r="G3139" i="1"/>
  <c r="H3139" i="1"/>
  <c r="G3021" i="1"/>
  <c r="H3021" i="1"/>
  <c r="G3022" i="1" s="1"/>
  <c r="H2865" i="1"/>
  <c r="G2865" i="1"/>
  <c r="G3085" i="1"/>
  <c r="H3085" i="1"/>
  <c r="H3382" i="1"/>
  <c r="G3382" i="1"/>
  <c r="H2998" i="1"/>
  <c r="G2998" i="1"/>
  <c r="G3129" i="1"/>
  <c r="H3129" i="1"/>
  <c r="G3194" i="1"/>
  <c r="H3194" i="1"/>
  <c r="H2954" i="1"/>
  <c r="G2954" i="1"/>
  <c r="H3041" i="1"/>
  <c r="G3041" i="1"/>
  <c r="H2536" i="1"/>
  <c r="H2537" i="1" s="1"/>
  <c r="G2538" i="1" s="1"/>
  <c r="H1435" i="1"/>
  <c r="H1436" i="1" s="1"/>
  <c r="G2651" i="1"/>
  <c r="G2641" i="1"/>
  <c r="H1161" i="1"/>
  <c r="H1162" i="1" s="1"/>
  <c r="G1163" i="1" s="1"/>
  <c r="H1001" i="1"/>
  <c r="G1002" i="1" s="1"/>
  <c r="G2622" i="1"/>
  <c r="H2622" i="1"/>
  <c r="G2382" i="1"/>
  <c r="H2382" i="1"/>
  <c r="G1949" i="1"/>
  <c r="H2790" i="1"/>
  <c r="G2791" i="1" s="1"/>
  <c r="G2790" i="1"/>
  <c r="H863" i="1"/>
  <c r="G863" i="1"/>
  <c r="G805" i="1"/>
  <c r="H805" i="1"/>
  <c r="H795" i="1"/>
  <c r="G795" i="1"/>
  <c r="H1012" i="1"/>
  <c r="G1012" i="1"/>
  <c r="H1032" i="1"/>
  <c r="G1022" i="1"/>
  <c r="H1022" i="1"/>
  <c r="H992" i="1"/>
  <c r="G992" i="1"/>
  <c r="H982" i="1"/>
  <c r="G982" i="1"/>
  <c r="H2672" i="1"/>
  <c r="H2682" i="1"/>
  <c r="G2672" i="1"/>
  <c r="H927" i="1"/>
  <c r="G927" i="1"/>
  <c r="G718" i="1"/>
  <c r="H718" i="1"/>
  <c r="H751" i="1"/>
  <c r="G751" i="1"/>
  <c r="H761" i="1"/>
  <c r="G761" i="1"/>
  <c r="H2401" i="1"/>
  <c r="G2401" i="1"/>
  <c r="H2652" i="1"/>
  <c r="G2652" i="1"/>
  <c r="H2313" i="1"/>
  <c r="G2313" i="1"/>
  <c r="H2577" i="1"/>
  <c r="G2577" i="1"/>
  <c r="H674" i="1"/>
  <c r="G674" i="1"/>
  <c r="G665" i="1"/>
  <c r="H665" i="1"/>
  <c r="H883" i="1"/>
  <c r="G883" i="1"/>
  <c r="G937" i="1"/>
  <c r="H937" i="1"/>
  <c r="H2632" i="1"/>
  <c r="G2632" i="1"/>
  <c r="H2587" i="1"/>
  <c r="G2587" i="1"/>
  <c r="G893" i="1"/>
  <c r="H893" i="1"/>
  <c r="G1730" i="1"/>
  <c r="H1730" i="1"/>
  <c r="H907" i="1"/>
  <c r="G907" i="1"/>
  <c r="G2489" i="1"/>
  <c r="H2489" i="1"/>
  <c r="H2323" i="1"/>
  <c r="G2323" i="1"/>
  <c r="G2499" i="1"/>
  <c r="H2499" i="1"/>
  <c r="H2662" i="1"/>
  <c r="G2662" i="1"/>
  <c r="H1763" i="1"/>
  <c r="G1763" i="1"/>
  <c r="H2411" i="1"/>
  <c r="G2411" i="1"/>
  <c r="H2544" i="1"/>
  <c r="G2544" i="1"/>
  <c r="H2642" i="1"/>
  <c r="G2642" i="1"/>
  <c r="H1688" i="1"/>
  <c r="G1688" i="1"/>
  <c r="H1521" i="1"/>
  <c r="G1521" i="1"/>
  <c r="G1531" i="1"/>
  <c r="H1531" i="1"/>
  <c r="G1561" i="1"/>
  <c r="H1561" i="1"/>
  <c r="H1571" i="1"/>
  <c r="H1551" i="1"/>
  <c r="G1551" i="1"/>
  <c r="H1541" i="1"/>
  <c r="G1541" i="1"/>
  <c r="G1477" i="1"/>
  <c r="H1477" i="1"/>
  <c r="H1487" i="1"/>
  <c r="G1487" i="1"/>
  <c r="G1414" i="1"/>
  <c r="H1414" i="1"/>
  <c r="G1389" i="1"/>
  <c r="H1389" i="1"/>
  <c r="H1399" i="1"/>
  <c r="G1399" i="1"/>
  <c r="G1356" i="1"/>
  <c r="H1356" i="1"/>
  <c r="G1311" i="1"/>
  <c r="H1311" i="1"/>
  <c r="H1301" i="1"/>
  <c r="G1301" i="1"/>
  <c r="H1268" i="1"/>
  <c r="G1268" i="1"/>
  <c r="H1213" i="1"/>
  <c r="G1213" i="1"/>
  <c r="H1223" i="1"/>
  <c r="G1223" i="1"/>
  <c r="H1939" i="1"/>
  <c r="G1939" i="1"/>
  <c r="H1993" i="1"/>
  <c r="G1993" i="1"/>
  <c r="H2093" i="1"/>
  <c r="G2093" i="1"/>
  <c r="H2113" i="1"/>
  <c r="G2113" i="1"/>
  <c r="H1798" i="1"/>
  <c r="G1798" i="1"/>
  <c r="H2038" i="1"/>
  <c r="G2038" i="1"/>
  <c r="H2280" i="1"/>
  <c r="G2280" i="1"/>
  <c r="H2143" i="1"/>
  <c r="G2133" i="1"/>
  <c r="H2133" i="1"/>
  <c r="G2123" i="1"/>
  <c r="H2123" i="1"/>
  <c r="H1817" i="1"/>
  <c r="G1817" i="1"/>
  <c r="H1852" i="1"/>
  <c r="G1852" i="1"/>
  <c r="H1774" i="1"/>
  <c r="G1774" i="1"/>
  <c r="H2103" i="1"/>
  <c r="G2103" i="1"/>
  <c r="H1906" i="1"/>
  <c r="G1906" i="1"/>
  <c r="H1950" i="1"/>
  <c r="G1950" i="1"/>
  <c r="H1862" i="1"/>
  <c r="G1862" i="1"/>
  <c r="G2029" i="1"/>
  <c r="H2029" i="1"/>
  <c r="H1841" i="1"/>
  <c r="G1841" i="1"/>
  <c r="H1983" i="1"/>
  <c r="G1983" i="1"/>
  <c r="H2083" i="1"/>
  <c r="G2083" i="1"/>
  <c r="H1896" i="1"/>
  <c r="G1896" i="1"/>
  <c r="H1807" i="1"/>
  <c r="G1807" i="1"/>
  <c r="H1512" i="1"/>
  <c r="G1512" i="1"/>
  <c r="G919" i="1"/>
  <c r="H919" i="1"/>
  <c r="G2821" i="1"/>
  <c r="H2821" i="1"/>
  <c r="H2558" i="1"/>
  <c r="G2558" i="1"/>
  <c r="H2514" i="1"/>
  <c r="G2514" i="1"/>
  <c r="G2359" i="1"/>
  <c r="H2359" i="1"/>
  <c r="H2569" i="1"/>
  <c r="G2569" i="1"/>
  <c r="H2393" i="1"/>
  <c r="G2393" i="1"/>
  <c r="H2481" i="1"/>
  <c r="G2481" i="1"/>
  <c r="H2833" i="1"/>
  <c r="G2833" i="1"/>
  <c r="H2372" i="1"/>
  <c r="G2373" i="1" s="1"/>
  <c r="G2372" i="1"/>
  <c r="H2800" i="1"/>
  <c r="G2800" i="1"/>
  <c r="H2614" i="1"/>
  <c r="G2615" i="1" s="1"/>
  <c r="G2614" i="1"/>
  <c r="H2458" i="1"/>
  <c r="G2458" i="1"/>
  <c r="H2778" i="1"/>
  <c r="G2778" i="1"/>
  <c r="H2756" i="1"/>
  <c r="G2756" i="1"/>
  <c r="H2735" i="1"/>
  <c r="G2736" i="1" s="1"/>
  <c r="G2735" i="1"/>
  <c r="H2436" i="1"/>
  <c r="G2436" i="1"/>
  <c r="H2294" i="1"/>
  <c r="G2294" i="1"/>
  <c r="H2350" i="1"/>
  <c r="G2351" i="1" s="1"/>
  <c r="G2350" i="1"/>
  <c r="H2746" i="1"/>
  <c r="G2747" i="1" s="1"/>
  <c r="G2746" i="1"/>
  <c r="H2339" i="1"/>
  <c r="G2340" i="1" s="1"/>
  <c r="G2339" i="1"/>
  <c r="H2525" i="1"/>
  <c r="G2525" i="1"/>
  <c r="H2305" i="1"/>
  <c r="G2305" i="1"/>
  <c r="H2449" i="1"/>
  <c r="G2450" i="1" s="1"/>
  <c r="G2449" i="1"/>
  <c r="H2427" i="1"/>
  <c r="G2428" i="1" s="1"/>
  <c r="G2427" i="1"/>
  <c r="H2768" i="1"/>
  <c r="G2769" i="1" s="1"/>
  <c r="G2768" i="1"/>
  <c r="H2810" i="1"/>
  <c r="G2810" i="1"/>
  <c r="G2206" i="1"/>
  <c r="G1921" i="1"/>
  <c r="G1922" i="1"/>
  <c r="G2063" i="1"/>
  <c r="G1889" i="1"/>
  <c r="G1888" i="1"/>
  <c r="G2238" i="1"/>
  <c r="G2008" i="1"/>
  <c r="G1755" i="1"/>
  <c r="G2273" i="1"/>
  <c r="G2274" i="1"/>
  <c r="G2073" i="1"/>
  <c r="G2197" i="1"/>
  <c r="G2196" i="1"/>
  <c r="G2252" i="1"/>
  <c r="G2251" i="1"/>
  <c r="G1930" i="1"/>
  <c r="G1832" i="1"/>
  <c r="G1966" i="1"/>
  <c r="G1965" i="1"/>
  <c r="G1975" i="1"/>
  <c r="G2219" i="1"/>
  <c r="G2218" i="1"/>
  <c r="G1744" i="1"/>
  <c r="G2261" i="1"/>
  <c r="G1878" i="1"/>
  <c r="G1877" i="1"/>
  <c r="G2184" i="1"/>
  <c r="G2019" i="1"/>
  <c r="G1788" i="1"/>
  <c r="G2227" i="1"/>
  <c r="H1710" i="1"/>
  <c r="G1710" i="1"/>
  <c r="H1282" i="1"/>
  <c r="G1282" i="1"/>
  <c r="H1701" i="1"/>
  <c r="G1702" i="1" s="1"/>
  <c r="G1701" i="1"/>
  <c r="H1425" i="1"/>
  <c r="G1425" i="1"/>
  <c r="H1194" i="1"/>
  <c r="G1194" i="1"/>
  <c r="H1635" i="1"/>
  <c r="G1636" i="1" s="1"/>
  <c r="G1635" i="1"/>
  <c r="H1722" i="1"/>
  <c r="G1722" i="1"/>
  <c r="H1347" i="1"/>
  <c r="G1347" i="1"/>
  <c r="H1336" i="1"/>
  <c r="G1336" i="1"/>
  <c r="H1469" i="1"/>
  <c r="G1469" i="1"/>
  <c r="H1502" i="1"/>
  <c r="G1502" i="1"/>
  <c r="H1678" i="1"/>
  <c r="G1678" i="1"/>
  <c r="H1668" i="1"/>
  <c r="G1669" i="1" s="1"/>
  <c r="G1668" i="1"/>
  <c r="G1204" i="1"/>
  <c r="H1204" i="1"/>
  <c r="H1326" i="1"/>
  <c r="G1326" i="1"/>
  <c r="H1458" i="1"/>
  <c r="G1458" i="1"/>
  <c r="H1381" i="1"/>
  <c r="G1381" i="1"/>
  <c r="H1646" i="1"/>
  <c r="G1647" i="1" s="1"/>
  <c r="G1646" i="1"/>
  <c r="H1447" i="1"/>
  <c r="G1447" i="1"/>
  <c r="H1249" i="1"/>
  <c r="G1249" i="1"/>
  <c r="H1118" i="1"/>
  <c r="G1119" i="1" s="1"/>
  <c r="G1118" i="1"/>
  <c r="H1150" i="1"/>
  <c r="G1150" i="1"/>
  <c r="H655" i="1"/>
  <c r="G655" i="1"/>
  <c r="H688" i="1"/>
  <c r="G688" i="1"/>
  <c r="G1129" i="1"/>
  <c r="H1129" i="1"/>
  <c r="G1130" i="1" s="1"/>
  <c r="H1094" i="1"/>
  <c r="G1094" i="1"/>
  <c r="H964" i="1"/>
  <c r="G965" i="1" s="1"/>
  <c r="G964" i="1"/>
  <c r="H951" i="1"/>
  <c r="G951" i="1"/>
  <c r="G1085" i="1"/>
  <c r="H1085" i="1"/>
  <c r="G1086" i="1" s="1"/>
  <c r="H1138" i="1"/>
  <c r="G1138" i="1"/>
  <c r="H776" i="1"/>
  <c r="G776" i="1"/>
  <c r="H644" i="1"/>
  <c r="G644" i="1"/>
  <c r="H875" i="1"/>
  <c r="G875" i="1"/>
  <c r="H1182" i="1"/>
  <c r="G1182" i="1"/>
  <c r="H973" i="1"/>
  <c r="G973" i="1"/>
  <c r="H743" i="1"/>
  <c r="G743" i="1"/>
  <c r="H831" i="1"/>
  <c r="G831" i="1"/>
  <c r="H710" i="1"/>
  <c r="G710" i="1"/>
  <c r="H1173" i="1"/>
  <c r="G1174" i="1" s="1"/>
  <c r="G1173" i="1"/>
  <c r="G787" i="1"/>
  <c r="H787" i="1"/>
  <c r="H732" i="1"/>
  <c r="G732" i="1"/>
  <c r="H1106" i="1"/>
  <c r="G1106" i="1"/>
  <c r="H699" i="1"/>
  <c r="G699" i="1"/>
  <c r="H853" i="1"/>
  <c r="G853" i="1"/>
  <c r="H843" i="1"/>
  <c r="G844" i="1" s="1"/>
  <c r="G843" i="1"/>
  <c r="H2920" i="1" l="1"/>
  <c r="G2920" i="1"/>
  <c r="H2910" i="1"/>
  <c r="G2910" i="1"/>
  <c r="G2900" i="1"/>
  <c r="H2900" i="1"/>
  <c r="G2901" i="1" s="1"/>
  <c r="G3383" i="1"/>
  <c r="H3383" i="1"/>
  <c r="G3185" i="1"/>
  <c r="H3185" i="1"/>
  <c r="H2955" i="1"/>
  <c r="G2956" i="1" s="1"/>
  <c r="G2955" i="1"/>
  <c r="G3245" i="1"/>
  <c r="H3245" i="1"/>
  <c r="H2876" i="1"/>
  <c r="G2876" i="1"/>
  <c r="H3195" i="1"/>
  <c r="G3195" i="1"/>
  <c r="H3086" i="1"/>
  <c r="G3086" i="1"/>
  <c r="H3215" i="1"/>
  <c r="G3215" i="1"/>
  <c r="H3373" i="1"/>
  <c r="G3374" i="1" s="1"/>
  <c r="G3373" i="1"/>
  <c r="H3255" i="1"/>
  <c r="G3255" i="1"/>
  <c r="H3265" i="1"/>
  <c r="H2965" i="1"/>
  <c r="G2965" i="1"/>
  <c r="H3130" i="1"/>
  <c r="G3130" i="1"/>
  <c r="H3120" i="1"/>
  <c r="G3121" i="1" s="1"/>
  <c r="G3120" i="1"/>
  <c r="H2866" i="1"/>
  <c r="G2866" i="1"/>
  <c r="H3175" i="1"/>
  <c r="G3176" i="1" s="1"/>
  <c r="G3175" i="1"/>
  <c r="H2856" i="1"/>
  <c r="G2857" i="1" s="1"/>
  <c r="G2856" i="1"/>
  <c r="H3225" i="1"/>
  <c r="G3225" i="1"/>
  <c r="G2999" i="1"/>
  <c r="H2999" i="1"/>
  <c r="G3000" i="1" s="1"/>
  <c r="H3096" i="1"/>
  <c r="G3096" i="1"/>
  <c r="G3009" i="1"/>
  <c r="H3009" i="1"/>
  <c r="H3140" i="1"/>
  <c r="G3140" i="1"/>
  <c r="H3052" i="1"/>
  <c r="G3052" i="1"/>
  <c r="H3205" i="1"/>
  <c r="G3205" i="1"/>
  <c r="H3042" i="1"/>
  <c r="G3042" i="1"/>
  <c r="H3235" i="1"/>
  <c r="G3235" i="1"/>
  <c r="G2537" i="1"/>
  <c r="G1436" i="1"/>
  <c r="G1162" i="1"/>
  <c r="H1002" i="1"/>
  <c r="G1003" i="1" s="1"/>
  <c r="H2383" i="1"/>
  <c r="G2384" i="1" s="1"/>
  <c r="G2383" i="1"/>
  <c r="H2623" i="1"/>
  <c r="G2623" i="1"/>
  <c r="H864" i="1"/>
  <c r="G864" i="1"/>
  <c r="H796" i="1"/>
  <c r="G796" i="1"/>
  <c r="G806" i="1"/>
  <c r="H806" i="1"/>
  <c r="H983" i="1"/>
  <c r="G983" i="1"/>
  <c r="G993" i="1"/>
  <c r="H993" i="1"/>
  <c r="G1023" i="1"/>
  <c r="H1023" i="1"/>
  <c r="H1043" i="1"/>
  <c r="G1033" i="1"/>
  <c r="H1033" i="1"/>
  <c r="H1013" i="1"/>
  <c r="G1013" i="1"/>
  <c r="H2643" i="1"/>
  <c r="G2643" i="1"/>
  <c r="G2633" i="1"/>
  <c r="H2633" i="1"/>
  <c r="H2490" i="1"/>
  <c r="G2490" i="1"/>
  <c r="H719" i="1"/>
  <c r="G719" i="1"/>
  <c r="G2588" i="1"/>
  <c r="H2588" i="1"/>
  <c r="G938" i="1"/>
  <c r="H938" i="1"/>
  <c r="H2324" i="1"/>
  <c r="G2324" i="1"/>
  <c r="H908" i="1"/>
  <c r="G908" i="1"/>
  <c r="G2314" i="1"/>
  <c r="H2314" i="1"/>
  <c r="G928" i="1"/>
  <c r="H928" i="1"/>
  <c r="G675" i="1"/>
  <c r="H675" i="1"/>
  <c r="H752" i="1"/>
  <c r="G752" i="1"/>
  <c r="G2578" i="1"/>
  <c r="H2578" i="1"/>
  <c r="H1731" i="1"/>
  <c r="G1731" i="1"/>
  <c r="G2545" i="1"/>
  <c r="H2545" i="1"/>
  <c r="H1764" i="1"/>
  <c r="G1764" i="1"/>
  <c r="G884" i="1"/>
  <c r="H884" i="1"/>
  <c r="G2653" i="1"/>
  <c r="H2653" i="1"/>
  <c r="H2412" i="1"/>
  <c r="G2412" i="1"/>
  <c r="H894" i="1"/>
  <c r="G894" i="1"/>
  <c r="H666" i="1"/>
  <c r="G666" i="1"/>
  <c r="G762" i="1"/>
  <c r="H762" i="1"/>
  <c r="H2663" i="1"/>
  <c r="G2663" i="1"/>
  <c r="H2402" i="1"/>
  <c r="G2402" i="1"/>
  <c r="H2683" i="1"/>
  <c r="G2683" i="1"/>
  <c r="H2693" i="1"/>
  <c r="H2500" i="1"/>
  <c r="G2500" i="1"/>
  <c r="H2673" i="1"/>
  <c r="G2673" i="1"/>
  <c r="H1689" i="1"/>
  <c r="G1689" i="1"/>
  <c r="G1522" i="1"/>
  <c r="H1522" i="1"/>
  <c r="G1542" i="1"/>
  <c r="H1542" i="1"/>
  <c r="H1552" i="1"/>
  <c r="G1552" i="1"/>
  <c r="G1572" i="1"/>
  <c r="H1582" i="1"/>
  <c r="H1572" i="1"/>
  <c r="H1562" i="1"/>
  <c r="G1562" i="1"/>
  <c r="H1532" i="1"/>
  <c r="G1532" i="1"/>
  <c r="G1488" i="1"/>
  <c r="H1488" i="1"/>
  <c r="H1478" i="1"/>
  <c r="G1478" i="1"/>
  <c r="G1415" i="1"/>
  <c r="H1415" i="1"/>
  <c r="G1416" i="1" s="1"/>
  <c r="H1400" i="1"/>
  <c r="G1400" i="1"/>
  <c r="H1390" i="1"/>
  <c r="G1390" i="1"/>
  <c r="H1357" i="1"/>
  <c r="G1357" i="1"/>
  <c r="H1302" i="1"/>
  <c r="G1302" i="1"/>
  <c r="G1312" i="1"/>
  <c r="H1312" i="1"/>
  <c r="H1269" i="1"/>
  <c r="G1269" i="1"/>
  <c r="H1224" i="1"/>
  <c r="G1224" i="1"/>
  <c r="H1214" i="1"/>
  <c r="G1214" i="1"/>
  <c r="H1940" i="1"/>
  <c r="G1940" i="1"/>
  <c r="H2281" i="1"/>
  <c r="G2281" i="1"/>
  <c r="H1842" i="1"/>
  <c r="G1842" i="1"/>
  <c r="H1775" i="1"/>
  <c r="G1775" i="1"/>
  <c r="H2030" i="1"/>
  <c r="G2030" i="1"/>
  <c r="H2039" i="1"/>
  <c r="G2039" i="1"/>
  <c r="H2104" i="1"/>
  <c r="G2104" i="1"/>
  <c r="H1853" i="1"/>
  <c r="G1853" i="1"/>
  <c r="H1799" i="1"/>
  <c r="G1799" i="1"/>
  <c r="H1808" i="1"/>
  <c r="G1808" i="1"/>
  <c r="H1863" i="1"/>
  <c r="G1863" i="1"/>
  <c r="H1818" i="1"/>
  <c r="G1818" i="1"/>
  <c r="H2124" i="1"/>
  <c r="G2124" i="1"/>
  <c r="H2114" i="1"/>
  <c r="G2114" i="1"/>
  <c r="H1897" i="1"/>
  <c r="G1897" i="1"/>
  <c r="H1951" i="1"/>
  <c r="G1951" i="1"/>
  <c r="H2134" i="1"/>
  <c r="G2134" i="1"/>
  <c r="H2094" i="1"/>
  <c r="G2094" i="1"/>
  <c r="H2084" i="1"/>
  <c r="G2084" i="1"/>
  <c r="H1907" i="1"/>
  <c r="G1907" i="1"/>
  <c r="H1984" i="1"/>
  <c r="G1984" i="1"/>
  <c r="H2144" i="1"/>
  <c r="H2154" i="1"/>
  <c r="G2144" i="1"/>
  <c r="H1994" i="1"/>
  <c r="G1994" i="1"/>
  <c r="G1513" i="1"/>
  <c r="H1513" i="1"/>
  <c r="H1437" i="1"/>
  <c r="G1438" i="1" s="1"/>
  <c r="G1437" i="1"/>
  <c r="G920" i="1"/>
  <c r="H920" i="1"/>
  <c r="G921" i="1" s="1"/>
  <c r="H2822" i="1"/>
  <c r="G2822" i="1"/>
  <c r="G2559" i="1"/>
  <c r="H2559" i="1"/>
  <c r="G2560" i="1" s="1"/>
  <c r="H2515" i="1"/>
  <c r="G2516" i="1" s="1"/>
  <c r="G2515" i="1"/>
  <c r="G2360" i="1"/>
  <c r="H2360" i="1"/>
  <c r="G2437" i="1"/>
  <c r="H2437" i="1"/>
  <c r="G2459" i="1"/>
  <c r="H2459" i="1"/>
  <c r="H2394" i="1"/>
  <c r="G2395" i="1" s="1"/>
  <c r="G2394" i="1"/>
  <c r="G2811" i="1"/>
  <c r="H2811" i="1"/>
  <c r="H2306" i="1"/>
  <c r="G2307" i="1" s="1"/>
  <c r="G2306" i="1"/>
  <c r="H2801" i="1"/>
  <c r="G2802" i="1" s="1"/>
  <c r="G2801" i="1"/>
  <c r="H2834" i="1"/>
  <c r="G2835" i="1" s="1"/>
  <c r="G2834" i="1"/>
  <c r="H2526" i="1"/>
  <c r="G2527" i="1" s="1"/>
  <c r="G2526" i="1"/>
  <c r="H2757" i="1"/>
  <c r="G2758" i="1" s="1"/>
  <c r="G2757" i="1"/>
  <c r="G2295" i="1"/>
  <c r="H2295" i="1"/>
  <c r="G2296" i="1" s="1"/>
  <c r="G2779" i="1"/>
  <c r="H2779" i="1"/>
  <c r="G2780" i="1" s="1"/>
  <c r="G2482" i="1"/>
  <c r="H2482" i="1"/>
  <c r="G2483" i="1" s="1"/>
  <c r="G2570" i="1"/>
  <c r="H2570" i="1"/>
  <c r="G2571" i="1" s="1"/>
  <c r="G2074" i="1"/>
  <c r="G2239" i="1"/>
  <c r="G2263" i="1"/>
  <c r="G2262" i="1"/>
  <c r="G1757" i="1"/>
  <c r="G1756" i="1"/>
  <c r="G2020" i="1"/>
  <c r="G2021" i="1"/>
  <c r="G2228" i="1"/>
  <c r="G2185" i="1"/>
  <c r="G2186" i="1"/>
  <c r="G2065" i="1"/>
  <c r="G2064" i="1"/>
  <c r="G1746" i="1"/>
  <c r="G1745" i="1"/>
  <c r="G1834" i="1"/>
  <c r="G1833" i="1"/>
  <c r="G1790" i="1"/>
  <c r="G1789" i="1"/>
  <c r="G1931" i="1"/>
  <c r="G1977" i="1"/>
  <c r="G1976" i="1"/>
  <c r="G2010" i="1"/>
  <c r="G2009" i="1"/>
  <c r="G2208" i="1"/>
  <c r="G2207" i="1"/>
  <c r="G1382" i="1"/>
  <c r="H1382" i="1"/>
  <c r="G1383" i="1" s="1"/>
  <c r="H1448" i="1"/>
  <c r="G1449" i="1" s="1"/>
  <c r="G1448" i="1"/>
  <c r="H1459" i="1"/>
  <c r="G1460" i="1" s="1"/>
  <c r="G1459" i="1"/>
  <c r="H1503" i="1"/>
  <c r="G1504" i="1" s="1"/>
  <c r="G1503" i="1"/>
  <c r="H1283" i="1"/>
  <c r="G1284" i="1" s="1"/>
  <c r="G1283" i="1"/>
  <c r="H1348" i="1"/>
  <c r="G1348" i="1"/>
  <c r="H1426" i="1"/>
  <c r="G1427" i="1" s="1"/>
  <c r="G1426" i="1"/>
  <c r="H1327" i="1"/>
  <c r="G1328" i="1" s="1"/>
  <c r="G1327" i="1"/>
  <c r="G1470" i="1"/>
  <c r="H1470" i="1"/>
  <c r="G1471" i="1" s="1"/>
  <c r="G1723" i="1"/>
  <c r="H1723" i="1"/>
  <c r="G1724" i="1" s="1"/>
  <c r="H1711" i="1"/>
  <c r="G1711" i="1"/>
  <c r="H1205" i="1"/>
  <c r="G1205" i="1"/>
  <c r="G1337" i="1"/>
  <c r="H1337" i="1"/>
  <c r="H1195" i="1"/>
  <c r="G1196" i="1" s="1"/>
  <c r="G1195" i="1"/>
  <c r="H1250" i="1"/>
  <c r="G1251" i="1" s="1"/>
  <c r="G1250" i="1"/>
  <c r="G1679" i="1"/>
  <c r="H1679" i="1"/>
  <c r="G1680" i="1" s="1"/>
  <c r="G1107" i="1"/>
  <c r="H1107" i="1"/>
  <c r="G1108" i="1" s="1"/>
  <c r="H711" i="1"/>
  <c r="G712" i="1" s="1"/>
  <c r="G711" i="1"/>
  <c r="H974" i="1"/>
  <c r="G974" i="1"/>
  <c r="H1095" i="1"/>
  <c r="G1095" i="1"/>
  <c r="H733" i="1"/>
  <c r="G734" i="1" s="1"/>
  <c r="G733" i="1"/>
  <c r="H1139" i="1"/>
  <c r="G1139" i="1"/>
  <c r="H689" i="1"/>
  <c r="G690" i="1" s="1"/>
  <c r="G689" i="1"/>
  <c r="H788" i="1"/>
  <c r="G789" i="1" s="1"/>
  <c r="G788" i="1"/>
  <c r="H854" i="1"/>
  <c r="G855" i="1" s="1"/>
  <c r="G854" i="1"/>
  <c r="H645" i="1"/>
  <c r="G646" i="1" s="1"/>
  <c r="G645" i="1"/>
  <c r="H952" i="1"/>
  <c r="G952" i="1"/>
  <c r="G656" i="1"/>
  <c r="H656" i="1"/>
  <c r="G657" i="1" s="1"/>
  <c r="H832" i="1"/>
  <c r="G833" i="1" s="1"/>
  <c r="G832" i="1"/>
  <c r="G777" i="1"/>
  <c r="H777" i="1"/>
  <c r="G778" i="1" s="1"/>
  <c r="H1151" i="1"/>
  <c r="G1152" i="1" s="1"/>
  <c r="G1151" i="1"/>
  <c r="H1183" i="1"/>
  <c r="G1183" i="1"/>
  <c r="G700" i="1"/>
  <c r="H700" i="1"/>
  <c r="G701" i="1" s="1"/>
  <c r="H744" i="1"/>
  <c r="G745" i="1" s="1"/>
  <c r="G744" i="1"/>
  <c r="H876" i="1"/>
  <c r="G877" i="1" s="1"/>
  <c r="G876" i="1"/>
  <c r="H1003" i="1" l="1"/>
  <c r="H1004" i="1" s="1"/>
  <c r="G2911" i="1"/>
  <c r="H2911" i="1"/>
  <c r="G2912" i="1" s="1"/>
  <c r="H2921" i="1"/>
  <c r="G2921" i="1"/>
  <c r="H3196" i="1"/>
  <c r="G3196" i="1"/>
  <c r="H3186" i="1"/>
  <c r="G3187" i="1" s="1"/>
  <c r="G3186" i="1"/>
  <c r="G3226" i="1"/>
  <c r="H3226" i="1"/>
  <c r="G2966" i="1"/>
  <c r="H2966" i="1"/>
  <c r="G2967" i="1" s="1"/>
  <c r="H3131" i="1"/>
  <c r="G3132" i="1" s="1"/>
  <c r="G3131" i="1"/>
  <c r="G3266" i="1"/>
  <c r="H3266" i="1"/>
  <c r="H2877" i="1"/>
  <c r="G2877" i="1"/>
  <c r="G3236" i="1"/>
  <c r="H3236" i="1"/>
  <c r="G3206" i="1"/>
  <c r="H3206" i="1"/>
  <c r="G3256" i="1"/>
  <c r="H3256" i="1"/>
  <c r="G3053" i="1"/>
  <c r="H3053" i="1"/>
  <c r="G3097" i="1"/>
  <c r="H3097" i="1"/>
  <c r="G2867" i="1"/>
  <c r="H2867" i="1"/>
  <c r="G2868" i="1" s="1"/>
  <c r="H3043" i="1"/>
  <c r="G3044" i="1" s="1"/>
  <c r="G3043" i="1"/>
  <c r="G3141" i="1"/>
  <c r="H3141" i="1"/>
  <c r="H3246" i="1"/>
  <c r="G3246" i="1"/>
  <c r="H3216" i="1"/>
  <c r="G3216" i="1"/>
  <c r="H3384" i="1"/>
  <c r="G3385" i="1" s="1"/>
  <c r="G3384" i="1"/>
  <c r="H3010" i="1"/>
  <c r="G3011" i="1" s="1"/>
  <c r="G3010" i="1"/>
  <c r="G3087" i="1"/>
  <c r="H3087" i="1"/>
  <c r="G3088" i="1" s="1"/>
  <c r="H2624" i="1"/>
  <c r="G2624" i="1"/>
  <c r="H865" i="1"/>
  <c r="G866" i="1" s="1"/>
  <c r="G865" i="1"/>
  <c r="G807" i="1"/>
  <c r="H807" i="1"/>
  <c r="H797" i="1"/>
  <c r="G797" i="1"/>
  <c r="G1034" i="1"/>
  <c r="H1034" i="1"/>
  <c r="H1054" i="1"/>
  <c r="H1044" i="1"/>
  <c r="G1044" i="1"/>
  <c r="G1024" i="1"/>
  <c r="H1024" i="1"/>
  <c r="H1014" i="1"/>
  <c r="G1014" i="1"/>
  <c r="G994" i="1"/>
  <c r="H994" i="1"/>
  <c r="H984" i="1"/>
  <c r="G984" i="1"/>
  <c r="H667" i="1"/>
  <c r="G668" i="1" s="1"/>
  <c r="G667" i="1"/>
  <c r="H2315" i="1"/>
  <c r="G2315" i="1"/>
  <c r="H2684" i="1"/>
  <c r="G2684" i="1"/>
  <c r="G2413" i="1"/>
  <c r="H2413" i="1"/>
  <c r="H1732" i="1"/>
  <c r="G1732" i="1"/>
  <c r="G909" i="1"/>
  <c r="H909" i="1"/>
  <c r="G910" i="1" s="1"/>
  <c r="H720" i="1"/>
  <c r="G720" i="1"/>
  <c r="H2589" i="1"/>
  <c r="G2589" i="1"/>
  <c r="H2403" i="1"/>
  <c r="G2403" i="1"/>
  <c r="H1765" i="1"/>
  <c r="G1765" i="1"/>
  <c r="G2654" i="1"/>
  <c r="H2654" i="1"/>
  <c r="H2664" i="1"/>
  <c r="G2664" i="1"/>
  <c r="H753" i="1"/>
  <c r="G753" i="1"/>
  <c r="H2325" i="1"/>
  <c r="G2325" i="1"/>
  <c r="H2491" i="1"/>
  <c r="G2491" i="1"/>
  <c r="G2644" i="1"/>
  <c r="H2644" i="1"/>
  <c r="H2546" i="1"/>
  <c r="G2546" i="1"/>
  <c r="H763" i="1"/>
  <c r="G763" i="1"/>
  <c r="H885" i="1"/>
  <c r="G885" i="1"/>
  <c r="G676" i="1"/>
  <c r="H676" i="1"/>
  <c r="H2634" i="1"/>
  <c r="G2634" i="1"/>
  <c r="G895" i="1"/>
  <c r="H895" i="1"/>
  <c r="G2579" i="1"/>
  <c r="H2579" i="1"/>
  <c r="H2501" i="1"/>
  <c r="G2501" i="1"/>
  <c r="H2694" i="1"/>
  <c r="H2704" i="1"/>
  <c r="G2694" i="1"/>
  <c r="G2674" i="1"/>
  <c r="H2674" i="1"/>
  <c r="G929" i="1"/>
  <c r="H929" i="1"/>
  <c r="G939" i="1"/>
  <c r="H939" i="1"/>
  <c r="H1690" i="1"/>
  <c r="G1691" i="1" s="1"/>
  <c r="G1690" i="1"/>
  <c r="H1533" i="1"/>
  <c r="G1533" i="1"/>
  <c r="H1563" i="1"/>
  <c r="G1563" i="1"/>
  <c r="H1573" i="1"/>
  <c r="G1573" i="1"/>
  <c r="H1593" i="1"/>
  <c r="H1583" i="1"/>
  <c r="G1583" i="1"/>
  <c r="H1523" i="1"/>
  <c r="G1523" i="1"/>
  <c r="H1553" i="1"/>
  <c r="G1553" i="1"/>
  <c r="H1543" i="1"/>
  <c r="G1543" i="1"/>
  <c r="G1479" i="1"/>
  <c r="H1479" i="1"/>
  <c r="H1489" i="1"/>
  <c r="G1489" i="1"/>
  <c r="H1391" i="1"/>
  <c r="G1391" i="1"/>
  <c r="H1401" i="1"/>
  <c r="G1401" i="1"/>
  <c r="H1358" i="1"/>
  <c r="G1358" i="1"/>
  <c r="H1313" i="1"/>
  <c r="G1313" i="1"/>
  <c r="H1303" i="1"/>
  <c r="G1303" i="1"/>
  <c r="H1270" i="1"/>
  <c r="G1270" i="1"/>
  <c r="G1215" i="1"/>
  <c r="H1215" i="1"/>
  <c r="H1225" i="1"/>
  <c r="G1225" i="1"/>
  <c r="H1941" i="1"/>
  <c r="G1941" i="1"/>
  <c r="H2085" i="1"/>
  <c r="G2085" i="1"/>
  <c r="H2125" i="1"/>
  <c r="G2125" i="1"/>
  <c r="H2105" i="1"/>
  <c r="G2105" i="1"/>
  <c r="H2095" i="1"/>
  <c r="G2095" i="1"/>
  <c r="H1819" i="1"/>
  <c r="G1819" i="1"/>
  <c r="H2040" i="1"/>
  <c r="G2040" i="1"/>
  <c r="H1995" i="1"/>
  <c r="G1995" i="1"/>
  <c r="H2135" i="1"/>
  <c r="G2135" i="1"/>
  <c r="H1864" i="1"/>
  <c r="G1864" i="1"/>
  <c r="H2031" i="1"/>
  <c r="G2032" i="1" s="1"/>
  <c r="G2031" i="1"/>
  <c r="H2155" i="1"/>
  <c r="H2165" i="1"/>
  <c r="G2155" i="1"/>
  <c r="H2145" i="1"/>
  <c r="G2145" i="1"/>
  <c r="H1952" i="1"/>
  <c r="G1952" i="1"/>
  <c r="H1809" i="1"/>
  <c r="G1809" i="1"/>
  <c r="H1776" i="1"/>
  <c r="G1776" i="1"/>
  <c r="H1985" i="1"/>
  <c r="G1985" i="1"/>
  <c r="H1898" i="1"/>
  <c r="G1898" i="1"/>
  <c r="H1800" i="1"/>
  <c r="G1801" i="1" s="1"/>
  <c r="G1800" i="1"/>
  <c r="H1843" i="1"/>
  <c r="G1843" i="1"/>
  <c r="H1908" i="1"/>
  <c r="G1908" i="1"/>
  <c r="H2115" i="1"/>
  <c r="G2115" i="1"/>
  <c r="H1854" i="1"/>
  <c r="G1854" i="1"/>
  <c r="H2282" i="1"/>
  <c r="G2282" i="1"/>
  <c r="G1514" i="1"/>
  <c r="H1514" i="1"/>
  <c r="G1515" i="1" s="1"/>
  <c r="G2823" i="1"/>
  <c r="H2823" i="1"/>
  <c r="G2824" i="1" s="1"/>
  <c r="H2361" i="1"/>
  <c r="G2362" i="1" s="1"/>
  <c r="G2361" i="1"/>
  <c r="H2460" i="1"/>
  <c r="G2461" i="1" s="1"/>
  <c r="G2460" i="1"/>
  <c r="H2812" i="1"/>
  <c r="G2813" i="1" s="1"/>
  <c r="G2812" i="1"/>
  <c r="H2438" i="1"/>
  <c r="G2439" i="1" s="1"/>
  <c r="G2438" i="1"/>
  <c r="G1933" i="1"/>
  <c r="G1932" i="1"/>
  <c r="G2240" i="1"/>
  <c r="G2241" i="1"/>
  <c r="G2075" i="1"/>
  <c r="G2076" i="1"/>
  <c r="G2229" i="1"/>
  <c r="G2230" i="1"/>
  <c r="H1206" i="1"/>
  <c r="G1207" i="1" s="1"/>
  <c r="G1206" i="1"/>
  <c r="H1338" i="1"/>
  <c r="G1339" i="1" s="1"/>
  <c r="G1338" i="1"/>
  <c r="G1712" i="1"/>
  <c r="H1712" i="1"/>
  <c r="G1713" i="1" s="1"/>
  <c r="H1349" i="1"/>
  <c r="G1350" i="1" s="1"/>
  <c r="G1349" i="1"/>
  <c r="G1096" i="1"/>
  <c r="H1096" i="1"/>
  <c r="G1097" i="1" s="1"/>
  <c r="H953" i="1"/>
  <c r="G954" i="1" s="1"/>
  <c r="G953" i="1"/>
  <c r="H1184" i="1"/>
  <c r="G1185" i="1" s="1"/>
  <c r="G1184" i="1"/>
  <c r="H975" i="1"/>
  <c r="G976" i="1" s="1"/>
  <c r="G975" i="1"/>
  <c r="H1140" i="1"/>
  <c r="G1141" i="1" s="1"/>
  <c r="G1140" i="1"/>
  <c r="G1004" i="1" l="1"/>
  <c r="H2922" i="1"/>
  <c r="G2923" i="1" s="1"/>
  <c r="G2922" i="1"/>
  <c r="H3054" i="1"/>
  <c r="G3055" i="1" s="1"/>
  <c r="G3054" i="1"/>
  <c r="H3257" i="1"/>
  <c r="G3257" i="1"/>
  <c r="G3247" i="1"/>
  <c r="H3247" i="1"/>
  <c r="H3207" i="1"/>
  <c r="G3207" i="1"/>
  <c r="H3142" i="1"/>
  <c r="G3143" i="1" s="1"/>
  <c r="G3142" i="1"/>
  <c r="G3237" i="1"/>
  <c r="H3237" i="1"/>
  <c r="H3227" i="1"/>
  <c r="G3227" i="1"/>
  <c r="H2878" i="1"/>
  <c r="G2879" i="1" s="1"/>
  <c r="G2878" i="1"/>
  <c r="H3098" i="1"/>
  <c r="G3099" i="1" s="1"/>
  <c r="G3098" i="1"/>
  <c r="G3267" i="1"/>
  <c r="H3267" i="1"/>
  <c r="G3217" i="1"/>
  <c r="H3217" i="1"/>
  <c r="G3197" i="1"/>
  <c r="H3197" i="1"/>
  <c r="G3198" i="1" s="1"/>
  <c r="H2625" i="1"/>
  <c r="G2626" i="1" s="1"/>
  <c r="G2625" i="1"/>
  <c r="H798" i="1"/>
  <c r="G798" i="1"/>
  <c r="H808" i="1"/>
  <c r="G808" i="1"/>
  <c r="H1005" i="1"/>
  <c r="G1005" i="1"/>
  <c r="H1015" i="1"/>
  <c r="G1015" i="1"/>
  <c r="H1025" i="1"/>
  <c r="G1025" i="1"/>
  <c r="G1045" i="1"/>
  <c r="H1045" i="1"/>
  <c r="H1055" i="1"/>
  <c r="H1065" i="1"/>
  <c r="G1055" i="1"/>
  <c r="H985" i="1"/>
  <c r="G985" i="1"/>
  <c r="G1035" i="1"/>
  <c r="H1035" i="1"/>
  <c r="G995" i="1"/>
  <c r="H995" i="1"/>
  <c r="G2705" i="1"/>
  <c r="H2715" i="1"/>
  <c r="H2705" i="1"/>
  <c r="G677" i="1"/>
  <c r="H677" i="1"/>
  <c r="H2492" i="1"/>
  <c r="G2492" i="1"/>
  <c r="G2695" i="1"/>
  <c r="H2695" i="1"/>
  <c r="G2326" i="1"/>
  <c r="H2326" i="1"/>
  <c r="H1733" i="1"/>
  <c r="G1733" i="1"/>
  <c r="G2414" i="1"/>
  <c r="H2414" i="1"/>
  <c r="H2502" i="1"/>
  <c r="G2502" i="1"/>
  <c r="G886" i="1"/>
  <c r="H886" i="1"/>
  <c r="H754" i="1"/>
  <c r="G754" i="1"/>
  <c r="H2580" i="1"/>
  <c r="G2580" i="1"/>
  <c r="H940" i="1"/>
  <c r="G940" i="1"/>
  <c r="G764" i="1"/>
  <c r="H764" i="1"/>
  <c r="H2665" i="1"/>
  <c r="G2665" i="1"/>
  <c r="H2404" i="1"/>
  <c r="G2404" i="1"/>
  <c r="H2685" i="1"/>
  <c r="G2685" i="1"/>
  <c r="G896" i="1"/>
  <c r="H896" i="1"/>
  <c r="H2655" i="1"/>
  <c r="G2655" i="1"/>
  <c r="H930" i="1"/>
  <c r="G930" i="1"/>
  <c r="H2547" i="1"/>
  <c r="G2547" i="1"/>
  <c r="G2590" i="1"/>
  <c r="H2590" i="1"/>
  <c r="H2316" i="1"/>
  <c r="G2316" i="1"/>
  <c r="G2645" i="1"/>
  <c r="H2645" i="1"/>
  <c r="H2675" i="1"/>
  <c r="G2675" i="1"/>
  <c r="G2635" i="1"/>
  <c r="H2635" i="1"/>
  <c r="H1766" i="1"/>
  <c r="G1766" i="1"/>
  <c r="H721" i="1"/>
  <c r="G721" i="1"/>
  <c r="H1554" i="1"/>
  <c r="G1554" i="1"/>
  <c r="H1524" i="1"/>
  <c r="G1524" i="1"/>
  <c r="G1584" i="1"/>
  <c r="H1584" i="1"/>
  <c r="H1594" i="1"/>
  <c r="G1594" i="1"/>
  <c r="H1604" i="1"/>
  <c r="H1574" i="1"/>
  <c r="G1574" i="1"/>
  <c r="H1564" i="1"/>
  <c r="G1564" i="1"/>
  <c r="H1544" i="1"/>
  <c r="G1544" i="1"/>
  <c r="H1534" i="1"/>
  <c r="G1534" i="1"/>
  <c r="H1490" i="1"/>
  <c r="G1490" i="1"/>
  <c r="H1480" i="1"/>
  <c r="G1480" i="1"/>
  <c r="G1402" i="1"/>
  <c r="H1402" i="1"/>
  <c r="G1392" i="1"/>
  <c r="H1392" i="1"/>
  <c r="G1359" i="1"/>
  <c r="H1359" i="1"/>
  <c r="H1304" i="1"/>
  <c r="G1304" i="1"/>
  <c r="G1314" i="1"/>
  <c r="H1314" i="1"/>
  <c r="H1271" i="1"/>
  <c r="G1271" i="1"/>
  <c r="G1226" i="1"/>
  <c r="H1226" i="1"/>
  <c r="H1216" i="1"/>
  <c r="G1216" i="1"/>
  <c r="H1942" i="1"/>
  <c r="G1942" i="1"/>
  <c r="H2041" i="1"/>
  <c r="G2041" i="1"/>
  <c r="H1820" i="1"/>
  <c r="G1820" i="1"/>
  <c r="H2146" i="1"/>
  <c r="G2146" i="1"/>
  <c r="G2166" i="1"/>
  <c r="H2166" i="1"/>
  <c r="H1855" i="1"/>
  <c r="G1856" i="1" s="1"/>
  <c r="G1855" i="1"/>
  <c r="H2096" i="1"/>
  <c r="G2096" i="1"/>
  <c r="H2126" i="1"/>
  <c r="G2126" i="1"/>
  <c r="H2283" i="1"/>
  <c r="G2283" i="1"/>
  <c r="H2156" i="1"/>
  <c r="G2156" i="1"/>
  <c r="H1986" i="1"/>
  <c r="G1986" i="1"/>
  <c r="H1777" i="1"/>
  <c r="G1777" i="1"/>
  <c r="H1953" i="1"/>
  <c r="G1953" i="1"/>
  <c r="H1899" i="1"/>
  <c r="G1900" i="1" s="1"/>
  <c r="G1899" i="1"/>
  <c r="H2116" i="1"/>
  <c r="G2116" i="1"/>
  <c r="H1865" i="1"/>
  <c r="G1865" i="1"/>
  <c r="H2106" i="1"/>
  <c r="G2106" i="1"/>
  <c r="H1909" i="1"/>
  <c r="G1909" i="1"/>
  <c r="H1810" i="1"/>
  <c r="G1810" i="1"/>
  <c r="H2136" i="1"/>
  <c r="G2136" i="1"/>
  <c r="H1844" i="1"/>
  <c r="G1845" i="1" s="1"/>
  <c r="G1844" i="1"/>
  <c r="H1996" i="1"/>
  <c r="G1996" i="1"/>
  <c r="H2086" i="1"/>
  <c r="G2087" i="1" s="1"/>
  <c r="G2086" i="1"/>
  <c r="G3248" i="1" l="1"/>
  <c r="H3248" i="1"/>
  <c r="H3258" i="1"/>
  <c r="G3258" i="1"/>
  <c r="H3238" i="1"/>
  <c r="G3238" i="1"/>
  <c r="H3218" i="1"/>
  <c r="G3218" i="1"/>
  <c r="H3268" i="1"/>
  <c r="G3268" i="1"/>
  <c r="G3228" i="1"/>
  <c r="H3228" i="1"/>
  <c r="G3208" i="1"/>
  <c r="H3208" i="1"/>
  <c r="G3209" i="1" s="1"/>
  <c r="H809" i="1"/>
  <c r="G809" i="1"/>
  <c r="G799" i="1"/>
  <c r="H799" i="1"/>
  <c r="G800" i="1" s="1"/>
  <c r="G986" i="1"/>
  <c r="H986" i="1"/>
  <c r="G987" i="1" s="1"/>
  <c r="G1066" i="1"/>
  <c r="H1066" i="1"/>
  <c r="H1056" i="1"/>
  <c r="G1056" i="1"/>
  <c r="H1046" i="1"/>
  <c r="G1046" i="1"/>
  <c r="H1026" i="1"/>
  <c r="G1026" i="1"/>
  <c r="G1016" i="1"/>
  <c r="H1016" i="1"/>
  <c r="H996" i="1"/>
  <c r="G996" i="1"/>
  <c r="G1036" i="1"/>
  <c r="H1036" i="1"/>
  <c r="G1006" i="1"/>
  <c r="H1006" i="1"/>
  <c r="H931" i="1"/>
  <c r="G932" i="1" s="1"/>
  <c r="G931" i="1"/>
  <c r="G2405" i="1"/>
  <c r="H2405" i="1"/>
  <c r="G2406" i="1" s="1"/>
  <c r="G755" i="1"/>
  <c r="H755" i="1"/>
  <c r="G756" i="1" s="1"/>
  <c r="H887" i="1"/>
  <c r="G888" i="1" s="1"/>
  <c r="G887" i="1"/>
  <c r="H2676" i="1"/>
  <c r="G2676" i="1"/>
  <c r="H2666" i="1"/>
  <c r="G2666" i="1"/>
  <c r="G2493" i="1"/>
  <c r="H2493" i="1"/>
  <c r="G2494" i="1" s="1"/>
  <c r="G2636" i="1"/>
  <c r="H2636" i="1"/>
  <c r="G2637" i="1" s="1"/>
  <c r="H2646" i="1"/>
  <c r="G2646" i="1"/>
  <c r="H765" i="1"/>
  <c r="G765" i="1"/>
  <c r="H2548" i="1"/>
  <c r="G2549" i="1" s="1"/>
  <c r="G2548" i="1"/>
  <c r="G2656" i="1"/>
  <c r="H2656" i="1"/>
  <c r="G2503" i="1"/>
  <c r="H2503" i="1"/>
  <c r="G897" i="1"/>
  <c r="H897" i="1"/>
  <c r="H2415" i="1"/>
  <c r="G2415" i="1"/>
  <c r="H678" i="1"/>
  <c r="G679" i="1" s="1"/>
  <c r="G678" i="1"/>
  <c r="H1767" i="1"/>
  <c r="G1768" i="1" s="1"/>
  <c r="G1767" i="1"/>
  <c r="H2317" i="1"/>
  <c r="G2318" i="1" s="1"/>
  <c r="G2317" i="1"/>
  <c r="G941" i="1"/>
  <c r="H941" i="1"/>
  <c r="G2686" i="1"/>
  <c r="H2686" i="1"/>
  <c r="H2591" i="1"/>
  <c r="G2591" i="1"/>
  <c r="H2706" i="1"/>
  <c r="G2706" i="1"/>
  <c r="H2696" i="1"/>
  <c r="G2696" i="1"/>
  <c r="H722" i="1"/>
  <c r="G723" i="1" s="1"/>
  <c r="G722" i="1"/>
  <c r="G2581" i="1"/>
  <c r="H2581" i="1"/>
  <c r="G2582" i="1" s="1"/>
  <c r="H1734" i="1"/>
  <c r="G1735" i="1" s="1"/>
  <c r="G1734" i="1"/>
  <c r="H2716" i="1"/>
  <c r="G2716" i="1"/>
  <c r="G2327" i="1"/>
  <c r="H2327" i="1"/>
  <c r="G1595" i="1"/>
  <c r="H1595" i="1"/>
  <c r="H1585" i="1"/>
  <c r="G1585" i="1"/>
  <c r="G1605" i="1"/>
  <c r="H1605" i="1"/>
  <c r="H1615" i="1"/>
  <c r="G1535" i="1"/>
  <c r="H1535" i="1"/>
  <c r="H1525" i="1"/>
  <c r="G1526" i="1" s="1"/>
  <c r="G1525" i="1"/>
  <c r="H1545" i="1"/>
  <c r="G1545" i="1"/>
  <c r="G1565" i="1"/>
  <c r="H1565" i="1"/>
  <c r="G1575" i="1"/>
  <c r="H1575" i="1"/>
  <c r="G1555" i="1"/>
  <c r="H1555" i="1"/>
  <c r="H1481" i="1"/>
  <c r="G1482" i="1" s="1"/>
  <c r="G1481" i="1"/>
  <c r="H1491" i="1"/>
  <c r="G1491" i="1"/>
  <c r="G1393" i="1"/>
  <c r="H1393" i="1"/>
  <c r="G1394" i="1" s="1"/>
  <c r="H1403" i="1"/>
  <c r="G1403" i="1"/>
  <c r="H1360" i="1"/>
  <c r="G1361" i="1" s="1"/>
  <c r="G1360" i="1"/>
  <c r="G1315" i="1"/>
  <c r="H1315" i="1"/>
  <c r="H1305" i="1"/>
  <c r="G1306" i="1" s="1"/>
  <c r="G1305" i="1"/>
  <c r="G1272" i="1"/>
  <c r="H1272" i="1"/>
  <c r="G1273" i="1" s="1"/>
  <c r="H1217" i="1"/>
  <c r="G1218" i="1" s="1"/>
  <c r="G1217" i="1"/>
  <c r="G1227" i="1"/>
  <c r="H1227" i="1"/>
  <c r="H1943" i="1"/>
  <c r="G1944" i="1" s="1"/>
  <c r="G1943" i="1"/>
  <c r="H1954" i="1"/>
  <c r="G1955" i="1" s="1"/>
  <c r="G1954" i="1"/>
  <c r="H1778" i="1"/>
  <c r="G1779" i="1" s="1"/>
  <c r="G1778" i="1"/>
  <c r="H2107" i="1"/>
  <c r="G2107" i="1"/>
  <c r="H1811" i="1"/>
  <c r="G1812" i="1" s="1"/>
  <c r="G1811" i="1"/>
  <c r="H2097" i="1"/>
  <c r="G2098" i="1" s="1"/>
  <c r="G2097" i="1"/>
  <c r="H1910" i="1"/>
  <c r="G1911" i="1" s="1"/>
  <c r="G1910" i="1"/>
  <c r="G2167" i="1"/>
  <c r="H2167" i="1"/>
  <c r="H1987" i="1"/>
  <c r="G1988" i="1" s="1"/>
  <c r="G1987" i="1"/>
  <c r="H1997" i="1"/>
  <c r="G1997" i="1"/>
  <c r="H1866" i="1"/>
  <c r="G1867" i="1" s="1"/>
  <c r="G1866" i="1"/>
  <c r="H2157" i="1"/>
  <c r="G2157" i="1"/>
  <c r="H2147" i="1"/>
  <c r="G2147" i="1"/>
  <c r="H2117" i="1"/>
  <c r="G2117" i="1"/>
  <c r="H2284" i="1"/>
  <c r="G2285" i="1" s="1"/>
  <c r="G2284" i="1"/>
  <c r="H1821" i="1"/>
  <c r="G1821" i="1"/>
  <c r="H2137" i="1"/>
  <c r="G2137" i="1"/>
  <c r="H2127" i="1"/>
  <c r="G2127" i="1"/>
  <c r="H2042" i="1"/>
  <c r="G2043" i="1" s="1"/>
  <c r="G2042" i="1"/>
  <c r="H3219" i="1" l="1"/>
  <c r="G3220" i="1" s="1"/>
  <c r="G3219" i="1"/>
  <c r="H3269" i="1"/>
  <c r="G3269" i="1"/>
  <c r="G3239" i="1"/>
  <c r="H3239" i="1"/>
  <c r="H3229" i="1"/>
  <c r="G3229" i="1"/>
  <c r="H3259" i="1"/>
  <c r="G3259" i="1"/>
  <c r="H3249" i="1"/>
  <c r="G3249" i="1"/>
  <c r="H810" i="1"/>
  <c r="G811" i="1" s="1"/>
  <c r="G810" i="1"/>
  <c r="H1027" i="1"/>
  <c r="G1027" i="1"/>
  <c r="H1017" i="1"/>
  <c r="G1017" i="1"/>
  <c r="H1047" i="1"/>
  <c r="G1047" i="1"/>
  <c r="H1007" i="1"/>
  <c r="G1007" i="1"/>
  <c r="H1057" i="1"/>
  <c r="G1057" i="1"/>
  <c r="H1037" i="1"/>
  <c r="G1037" i="1"/>
  <c r="H1067" i="1"/>
  <c r="G1067" i="1"/>
  <c r="H997" i="1"/>
  <c r="G998" i="1" s="1"/>
  <c r="G997" i="1"/>
  <c r="H2592" i="1"/>
  <c r="G2593" i="1" s="1"/>
  <c r="G2592" i="1"/>
  <c r="H2416" i="1"/>
  <c r="G2417" i="1" s="1"/>
  <c r="G2416" i="1"/>
  <c r="H766" i="1"/>
  <c r="G767" i="1" s="1"/>
  <c r="G766" i="1"/>
  <c r="H2677" i="1"/>
  <c r="G2677" i="1"/>
  <c r="H2687" i="1"/>
  <c r="G2687" i="1"/>
  <c r="H898" i="1"/>
  <c r="G899" i="1" s="1"/>
  <c r="G898" i="1"/>
  <c r="H2647" i="1"/>
  <c r="G2648" i="1" s="1"/>
  <c r="G2647" i="1"/>
  <c r="H942" i="1"/>
  <c r="G943" i="1" s="1"/>
  <c r="G942" i="1"/>
  <c r="G2504" i="1"/>
  <c r="H2504" i="1"/>
  <c r="G2505" i="1" s="1"/>
  <c r="G2707" i="1"/>
  <c r="H2707" i="1"/>
  <c r="H2328" i="1"/>
  <c r="G2329" i="1" s="1"/>
  <c r="G2328" i="1"/>
  <c r="G2657" i="1"/>
  <c r="H2657" i="1"/>
  <c r="G2717" i="1"/>
  <c r="H2717" i="1"/>
  <c r="H2697" i="1"/>
  <c r="G2697" i="1"/>
  <c r="H2667" i="1"/>
  <c r="G2667" i="1"/>
  <c r="H1616" i="1"/>
  <c r="G1616" i="1"/>
  <c r="H1606" i="1"/>
  <c r="G1606" i="1"/>
  <c r="H1536" i="1"/>
  <c r="G1537" i="1" s="1"/>
  <c r="G1536" i="1"/>
  <c r="H1556" i="1"/>
  <c r="G1556" i="1"/>
  <c r="H1576" i="1"/>
  <c r="G1576" i="1"/>
  <c r="H1566" i="1"/>
  <c r="G1566" i="1"/>
  <c r="G1586" i="1"/>
  <c r="H1586" i="1"/>
  <c r="H1596" i="1"/>
  <c r="G1596" i="1"/>
  <c r="H1546" i="1"/>
  <c r="G1546" i="1"/>
  <c r="G1492" i="1"/>
  <c r="H1492" i="1"/>
  <c r="G1493" i="1" s="1"/>
  <c r="H1404" i="1"/>
  <c r="G1405" i="1" s="1"/>
  <c r="G1404" i="1"/>
  <c r="H1316" i="1"/>
  <c r="G1317" i="1" s="1"/>
  <c r="G1316" i="1"/>
  <c r="G1228" i="1"/>
  <c r="H1228" i="1"/>
  <c r="G1229" i="1" s="1"/>
  <c r="G2158" i="1"/>
  <c r="H2158" i="1"/>
  <c r="H1998" i="1"/>
  <c r="G1999" i="1" s="1"/>
  <c r="G1998" i="1"/>
  <c r="H2168" i="1"/>
  <c r="G2168" i="1"/>
  <c r="H2148" i="1"/>
  <c r="G2148" i="1"/>
  <c r="H2128" i="1"/>
  <c r="G2128" i="1"/>
  <c r="H2138" i="1"/>
  <c r="G2138" i="1"/>
  <c r="H1822" i="1"/>
  <c r="G1823" i="1" s="1"/>
  <c r="G1822" i="1"/>
  <c r="H2108" i="1"/>
  <c r="G2109" i="1" s="1"/>
  <c r="G2108" i="1"/>
  <c r="H2118" i="1"/>
  <c r="G2118" i="1"/>
  <c r="H3230" i="1" l="1"/>
  <c r="G3231" i="1" s="1"/>
  <c r="G3230" i="1"/>
  <c r="H3250" i="1"/>
  <c r="G3250" i="1"/>
  <c r="H3240" i="1"/>
  <c r="G3240" i="1"/>
  <c r="H3270" i="1"/>
  <c r="G3270" i="1"/>
  <c r="H3260" i="1"/>
  <c r="G3260" i="1"/>
  <c r="H1058" i="1"/>
  <c r="G1058" i="1"/>
  <c r="G1008" i="1"/>
  <c r="H1008" i="1"/>
  <c r="G1009" i="1" s="1"/>
  <c r="G1018" i="1"/>
  <c r="H1018" i="1"/>
  <c r="G1038" i="1"/>
  <c r="H1038" i="1"/>
  <c r="G1048" i="1"/>
  <c r="H1048" i="1"/>
  <c r="H1068" i="1"/>
  <c r="G1068" i="1"/>
  <c r="G1028" i="1"/>
  <c r="H1028" i="1"/>
  <c r="H2668" i="1"/>
  <c r="G2668" i="1"/>
  <c r="H2688" i="1"/>
  <c r="G2688" i="1"/>
  <c r="H2698" i="1"/>
  <c r="G2698" i="1"/>
  <c r="G2678" i="1"/>
  <c r="H2678" i="1"/>
  <c r="H2708" i="1"/>
  <c r="G2708" i="1"/>
  <c r="H2718" i="1"/>
  <c r="G2718" i="1"/>
  <c r="G2658" i="1"/>
  <c r="H2658" i="1"/>
  <c r="G2659" i="1" s="1"/>
  <c r="G1617" i="1"/>
  <c r="H1617" i="1"/>
  <c r="H1567" i="1"/>
  <c r="G1567" i="1"/>
  <c r="G1577" i="1"/>
  <c r="H1577" i="1"/>
  <c r="H1557" i="1"/>
  <c r="G1557" i="1"/>
  <c r="H1597" i="1"/>
  <c r="G1597" i="1"/>
  <c r="H1607" i="1"/>
  <c r="G1607" i="1"/>
  <c r="H1547" i="1"/>
  <c r="G1548" i="1" s="1"/>
  <c r="G1547" i="1"/>
  <c r="G1587" i="1"/>
  <c r="H1587" i="1"/>
  <c r="H2149" i="1"/>
  <c r="G2149" i="1"/>
  <c r="H2139" i="1"/>
  <c r="G2139" i="1"/>
  <c r="H2129" i="1"/>
  <c r="G2129" i="1"/>
  <c r="H2119" i="1"/>
  <c r="G2120" i="1" s="1"/>
  <c r="G2119" i="1"/>
  <c r="H2169" i="1"/>
  <c r="G2169" i="1"/>
  <c r="H2159" i="1"/>
  <c r="G2159" i="1"/>
  <c r="G3241" i="1" l="1"/>
  <c r="H3241" i="1"/>
  <c r="G3242" i="1" s="1"/>
  <c r="H3261" i="1"/>
  <c r="G3261" i="1"/>
  <c r="G3251" i="1"/>
  <c r="H3251" i="1"/>
  <c r="G3271" i="1"/>
  <c r="H3271" i="1"/>
  <c r="H1039" i="1"/>
  <c r="G1039" i="1"/>
  <c r="H1049" i="1"/>
  <c r="G1049" i="1"/>
  <c r="H1069" i="1"/>
  <c r="G1069" i="1"/>
  <c r="G1019" i="1"/>
  <c r="H1019" i="1"/>
  <c r="G1020" i="1" s="1"/>
  <c r="G1029" i="1"/>
  <c r="H1029" i="1"/>
  <c r="H1059" i="1"/>
  <c r="G1059" i="1"/>
  <c r="H2709" i="1"/>
  <c r="G2709" i="1"/>
  <c r="H2679" i="1"/>
  <c r="G2679" i="1"/>
  <c r="G2689" i="1"/>
  <c r="H2689" i="1"/>
  <c r="G2699" i="1"/>
  <c r="H2699" i="1"/>
  <c r="H2719" i="1"/>
  <c r="G2719" i="1"/>
  <c r="H2669" i="1"/>
  <c r="G2670" i="1" s="1"/>
  <c r="G2669" i="1"/>
  <c r="G1608" i="1"/>
  <c r="H1608" i="1"/>
  <c r="H1568" i="1"/>
  <c r="G1568" i="1"/>
  <c r="G1618" i="1"/>
  <c r="H1618" i="1"/>
  <c r="H1598" i="1"/>
  <c r="G1598" i="1"/>
  <c r="H1558" i="1"/>
  <c r="G1559" i="1" s="1"/>
  <c r="G1558" i="1"/>
  <c r="G1578" i="1"/>
  <c r="H1578" i="1"/>
  <c r="H1588" i="1"/>
  <c r="G1588" i="1"/>
  <c r="H2160" i="1"/>
  <c r="G2160" i="1"/>
  <c r="H2170" i="1"/>
  <c r="G2170" i="1"/>
  <c r="H2130" i="1"/>
  <c r="G2131" i="1" s="1"/>
  <c r="G2130" i="1"/>
  <c r="H2140" i="1"/>
  <c r="G2140" i="1"/>
  <c r="H2150" i="1"/>
  <c r="G2150" i="1"/>
  <c r="H3272" i="1" l="1"/>
  <c r="G3272" i="1"/>
  <c r="H3252" i="1"/>
  <c r="G3253" i="1" s="1"/>
  <c r="G3252" i="1"/>
  <c r="H3262" i="1"/>
  <c r="G3262" i="1"/>
  <c r="H1060" i="1"/>
  <c r="G1060" i="1"/>
  <c r="G1050" i="1"/>
  <c r="H1050" i="1"/>
  <c r="H1030" i="1"/>
  <c r="G1031" i="1" s="1"/>
  <c r="G1030" i="1"/>
  <c r="H1070" i="1"/>
  <c r="G1070" i="1"/>
  <c r="G1040" i="1"/>
  <c r="H1040" i="1"/>
  <c r="G2720" i="1"/>
  <c r="H2720" i="1"/>
  <c r="G2680" i="1"/>
  <c r="H2680" i="1"/>
  <c r="G2681" i="1" s="1"/>
  <c r="H2700" i="1"/>
  <c r="G2700" i="1"/>
  <c r="H2690" i="1"/>
  <c r="G2690" i="1"/>
  <c r="G2710" i="1"/>
  <c r="H2710" i="1"/>
  <c r="H1579" i="1"/>
  <c r="G1579" i="1"/>
  <c r="H1599" i="1"/>
  <c r="G1599" i="1"/>
  <c r="G1619" i="1"/>
  <c r="H1619" i="1"/>
  <c r="G1569" i="1"/>
  <c r="H1569" i="1"/>
  <c r="G1570" i="1" s="1"/>
  <c r="H1609" i="1"/>
  <c r="G1609" i="1"/>
  <c r="H1589" i="1"/>
  <c r="G1589" i="1"/>
  <c r="H2151" i="1"/>
  <c r="G2151" i="1"/>
  <c r="H2171" i="1"/>
  <c r="G2171" i="1"/>
  <c r="H2141" i="1"/>
  <c r="G2142" i="1" s="1"/>
  <c r="G2141" i="1"/>
  <c r="H2161" i="1"/>
  <c r="G2161" i="1"/>
  <c r="H3263" i="1" l="1"/>
  <c r="G3264" i="1" s="1"/>
  <c r="G3263" i="1"/>
  <c r="H3273" i="1"/>
  <c r="G3273" i="1"/>
  <c r="H1041" i="1"/>
  <c r="G1042" i="1" s="1"/>
  <c r="G1041" i="1"/>
  <c r="H1071" i="1"/>
  <c r="G1071" i="1"/>
  <c r="H1051" i="1"/>
  <c r="G1051" i="1"/>
  <c r="G1061" i="1"/>
  <c r="H1061" i="1"/>
  <c r="H2711" i="1"/>
  <c r="G2711" i="1"/>
  <c r="G2701" i="1"/>
  <c r="H2701" i="1"/>
  <c r="H2721" i="1"/>
  <c r="G2721" i="1"/>
  <c r="H2691" i="1"/>
  <c r="G2692" i="1" s="1"/>
  <c r="G2691" i="1"/>
  <c r="G1590" i="1"/>
  <c r="H1590" i="1"/>
  <c r="H1610" i="1"/>
  <c r="G1610" i="1"/>
  <c r="G1620" i="1"/>
  <c r="H1620" i="1"/>
  <c r="G1600" i="1"/>
  <c r="H1600" i="1"/>
  <c r="G1580" i="1"/>
  <c r="H1580" i="1"/>
  <c r="G1581" i="1" s="1"/>
  <c r="H2162" i="1"/>
  <c r="G2162" i="1"/>
  <c r="H2172" i="1"/>
  <c r="G2172" i="1"/>
  <c r="H2152" i="1"/>
  <c r="G2153" i="1" s="1"/>
  <c r="G2152" i="1"/>
  <c r="G3274" i="1" l="1"/>
  <c r="H3274" i="1"/>
  <c r="G3275" i="1" s="1"/>
  <c r="H1062" i="1"/>
  <c r="G1062" i="1"/>
  <c r="H1072" i="1"/>
  <c r="G1072" i="1"/>
  <c r="G1052" i="1"/>
  <c r="H1052" i="1"/>
  <c r="G1053" i="1" s="1"/>
  <c r="G2722" i="1"/>
  <c r="H2722" i="1"/>
  <c r="H2702" i="1"/>
  <c r="G2703" i="1" s="1"/>
  <c r="G2702" i="1"/>
  <c r="G2712" i="1"/>
  <c r="H2712" i="1"/>
  <c r="H1601" i="1"/>
  <c r="G1601" i="1"/>
  <c r="G1621" i="1"/>
  <c r="H1621" i="1"/>
  <c r="H1611" i="1"/>
  <c r="G1611" i="1"/>
  <c r="G1591" i="1"/>
  <c r="H1591" i="1"/>
  <c r="G1592" i="1" s="1"/>
  <c r="H2173" i="1"/>
  <c r="G2173" i="1"/>
  <c r="H2163" i="1"/>
  <c r="G2164" i="1" s="1"/>
  <c r="G2163" i="1"/>
  <c r="G1073" i="1" l="1"/>
  <c r="H1073" i="1"/>
  <c r="G1063" i="1"/>
  <c r="H1063" i="1"/>
  <c r="G1064" i="1" s="1"/>
  <c r="G2713" i="1"/>
  <c r="H2713" i="1"/>
  <c r="G2714" i="1" s="1"/>
  <c r="H2723" i="1"/>
  <c r="G2723" i="1"/>
  <c r="G1612" i="1"/>
  <c r="H1612" i="1"/>
  <c r="H1622" i="1"/>
  <c r="G1622" i="1"/>
  <c r="H1602" i="1"/>
  <c r="G1603" i="1" s="1"/>
  <c r="G1602" i="1"/>
  <c r="H2174" i="1"/>
  <c r="G2175" i="1" s="1"/>
  <c r="G2174" i="1"/>
  <c r="G1074" i="1" l="1"/>
  <c r="H1074" i="1"/>
  <c r="G1075" i="1" s="1"/>
  <c r="H2724" i="1"/>
  <c r="G2725" i="1" s="1"/>
  <c r="G2724" i="1"/>
  <c r="H1623" i="1"/>
  <c r="G1623" i="1"/>
  <c r="G1613" i="1"/>
  <c r="H1613" i="1"/>
  <c r="G1614" i="1" s="1"/>
  <c r="G1624" i="1" l="1"/>
  <c r="H1624" i="1"/>
  <c r="G1625" i="1" s="1"/>
  <c r="J5444" i="1" l="1"/>
  <c r="J5445" i="1" s="1"/>
  <c r="J5446" i="1" s="1"/>
  <c r="J5447" i="1" s="1"/>
  <c r="J5439" i="1"/>
  <c r="J5440" i="1" s="1"/>
  <c r="J5441" i="1" s="1"/>
  <c r="J5442" i="1" s="1"/>
  <c r="J5434" i="1"/>
  <c r="J5435" i="1" s="1"/>
  <c r="J5436" i="1" s="1"/>
  <c r="J5437" i="1" s="1"/>
  <c r="J5429" i="1"/>
  <c r="J5430" i="1" s="1"/>
  <c r="J5431" i="1" s="1"/>
  <c r="J5432" i="1" s="1"/>
  <c r="J5424" i="1"/>
  <c r="J5425" i="1" s="1"/>
  <c r="J5426" i="1" s="1"/>
  <c r="J5427" i="1" s="1"/>
  <c r="J5419" i="1"/>
  <c r="J5420" i="1" s="1"/>
  <c r="J5421" i="1" s="1"/>
  <c r="J5422" i="1" s="1"/>
  <c r="J5414" i="1"/>
  <c r="J5415" i="1" s="1"/>
  <c r="J5416" i="1" s="1"/>
  <c r="J5417" i="1" s="1"/>
  <c r="J5409" i="1"/>
  <c r="J5410" i="1" s="1"/>
  <c r="J5411" i="1" s="1"/>
  <c r="J5412" i="1" s="1"/>
  <c r="J5404" i="1"/>
  <c r="J5405" i="1" s="1"/>
  <c r="J5406" i="1" s="1"/>
  <c r="J5407" i="1" s="1"/>
  <c r="J5399" i="1"/>
  <c r="J5400" i="1" s="1"/>
  <c r="J5401" i="1" s="1"/>
  <c r="J5402" i="1" s="1"/>
  <c r="J5394" i="1"/>
  <c r="J5395" i="1" s="1"/>
  <c r="J5396" i="1" s="1"/>
  <c r="J5397" i="1" s="1"/>
  <c r="J5389" i="1"/>
  <c r="J5390" i="1" s="1"/>
  <c r="J5391" i="1" s="1"/>
  <c r="J5392" i="1" s="1"/>
  <c r="J5384" i="1"/>
  <c r="J5385" i="1" s="1"/>
  <c r="J5386" i="1" s="1"/>
  <c r="J5387" i="1" s="1"/>
  <c r="J5379" i="1"/>
  <c r="J5380" i="1" s="1"/>
  <c r="J5381" i="1" s="1"/>
  <c r="J5382" i="1" s="1"/>
  <c r="J5374" i="1"/>
  <c r="J5375" i="1" s="1"/>
  <c r="J5376" i="1" s="1"/>
  <c r="J5377" i="1" s="1"/>
  <c r="J5369" i="1"/>
  <c r="J5370" i="1" s="1"/>
  <c r="J5371" i="1" s="1"/>
  <c r="J5372" i="1" s="1"/>
  <c r="J5364" i="1"/>
  <c r="J5365" i="1" s="1"/>
  <c r="J5366" i="1" s="1"/>
  <c r="J5367" i="1" s="1"/>
  <c r="J5359" i="1"/>
  <c r="J5360" i="1" s="1"/>
  <c r="J5361" i="1" s="1"/>
  <c r="J5362" i="1" s="1"/>
  <c r="J5354" i="1"/>
  <c r="J5355" i="1" s="1"/>
  <c r="J5356" i="1" s="1"/>
  <c r="J5357" i="1" s="1"/>
  <c r="J5349" i="1"/>
  <c r="J5350" i="1" s="1"/>
  <c r="J5351" i="1" s="1"/>
  <c r="J5352" i="1" s="1"/>
  <c r="E469" i="1"/>
  <c r="E380" i="1" a="1"/>
  <c r="E380" i="1" s="1"/>
  <c r="E373" i="1" a="1"/>
  <c r="E373" i="1" s="1"/>
  <c r="E355" i="1" a="1"/>
  <c r="E355" i="1" s="1"/>
  <c r="M546" i="1" a="1"/>
  <c r="M546" i="1" s="1"/>
  <c r="M544" i="1" a="1"/>
  <c r="M544" i="1" s="1"/>
  <c r="M543" i="1" a="1"/>
  <c r="M543" i="1" s="1"/>
  <c r="M512" i="1" a="1"/>
  <c r="M512" i="1" s="1"/>
  <c r="M510" i="1" a="1"/>
  <c r="M510" i="1" s="1"/>
  <c r="M481" i="1" a="1"/>
  <c r="M481" i="1" s="1"/>
  <c r="M483" i="1" s="1"/>
  <c r="M484" i="1" s="1" a="1"/>
  <c r="M484" i="1" s="1"/>
  <c r="M479" i="1" a="1"/>
  <c r="M479" i="1" s="1"/>
  <c r="M478" i="1" a="1"/>
  <c r="M478" i="1" s="1"/>
  <c r="O449" i="1" a="1"/>
  <c r="O449" i="1" s="1"/>
  <c r="O440" i="1" a="1"/>
  <c r="O440" i="1" s="1"/>
  <c r="G429" i="1"/>
  <c r="H429" i="1" s="1"/>
  <c r="G428" i="1"/>
  <c r="H428" i="1" s="1"/>
  <c r="G427" i="1"/>
  <c r="H427" i="1" s="1"/>
  <c r="G426" i="1"/>
  <c r="H426" i="1" s="1"/>
  <c r="G425" i="1"/>
  <c r="H425" i="1" s="1"/>
  <c r="G424" i="1"/>
  <c r="H424" i="1" s="1"/>
  <c r="G423" i="1"/>
  <c r="H423" i="1" s="1"/>
  <c r="G422" i="1"/>
  <c r="H422" i="1" s="1"/>
  <c r="G421" i="1"/>
  <c r="H421" i="1" s="1"/>
  <c r="G420" i="1"/>
  <c r="H420" i="1" s="1"/>
  <c r="G419" i="1"/>
  <c r="H419" i="1" s="1"/>
  <c r="G418" i="1"/>
  <c r="H418" i="1" s="1"/>
  <c r="G417" i="1"/>
  <c r="H417" i="1" s="1"/>
  <c r="G416" i="1"/>
  <c r="H416" i="1" s="1"/>
  <c r="G415" i="1"/>
  <c r="H415" i="1" s="1"/>
  <c r="H5547" i="1"/>
  <c r="E5543" i="1"/>
  <c r="G5542" i="1"/>
  <c r="E5542" i="1"/>
  <c r="G5541" i="1"/>
  <c r="E5541" i="1"/>
  <c r="E5540" i="1"/>
  <c r="I5537" i="1"/>
  <c r="F5538" i="1" s="1"/>
  <c r="E5536" i="1"/>
  <c r="E5526" i="1" a="1"/>
  <c r="E5526" i="1" s="1"/>
  <c r="E5525" i="1" a="1"/>
  <c r="E5525" i="1" s="1"/>
  <c r="E5524" i="1" a="1"/>
  <c r="E5524" i="1" s="1"/>
  <c r="E5523" i="1" a="1"/>
  <c r="E5523" i="1" s="1"/>
  <c r="E343" i="1"/>
  <c r="E342" i="1"/>
  <c r="E328" i="1" a="1"/>
  <c r="E328" i="1" s="1"/>
  <c r="E327" i="1" a="1"/>
  <c r="E327" i="1" s="1"/>
  <c r="E305" i="1" a="1"/>
  <c r="E305" i="1" s="1"/>
  <c r="E296" i="1" a="1"/>
  <c r="E296" i="1" s="1"/>
  <c r="E210" i="1" a="1"/>
  <c r="E210" i="1" s="1"/>
  <c r="E191" i="1" a="1"/>
  <c r="E191" i="1" s="1"/>
  <c r="E184" i="1" a="1"/>
  <c r="E184" i="1" s="1"/>
  <c r="E131" i="1" a="1"/>
  <c r="E131" i="1" s="1"/>
  <c r="E98" i="1" a="1"/>
  <c r="E98" i="1" s="1"/>
  <c r="E50" i="1"/>
  <c r="H39" i="1"/>
  <c r="H37" i="1"/>
  <c r="H36" i="1"/>
  <c r="E26" i="1" a="1"/>
  <c r="E26" i="1" s="1"/>
  <c r="M480" i="1" l="1" a="1"/>
  <c r="M480" i="1" s="1"/>
  <c r="M485" i="1" s="1"/>
  <c r="M547" i="1"/>
  <c r="M513" i="1"/>
  <c r="E5507" i="1" a="1"/>
  <c r="E5507" i="1" s="1"/>
  <c r="E5544" i="1"/>
  <c r="E5545" i="1" s="1" a="1"/>
  <c r="E5545" i="1" s="1"/>
  <c r="E5549" i="1" s="1" a="1"/>
  <c r="E5549" i="1" s="1"/>
  <c r="E5548" i="1" l="1" a="1"/>
  <c r="E5548" i="1" s="1"/>
  <c r="E5547" i="1" a="1"/>
  <c r="E5547" i="1" s="1"/>
  <c r="E5546" i="1" a="1"/>
  <c r="E5546" i="1" s="1"/>
  <c r="E470" i="1" l="1"/>
  <c r="E5550" i="1"/>
  <c r="E555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25AAD-F776-4F8A-ABCB-5AC787112BED}" keepAlive="1" name="Query - stateTaxTwoWageEarnerIncomeCredit (2)" description="Connection to the 'stateTaxTwoWageEarnerIncomeCredit (2)' query in the workbook." type="5" refreshedVersion="7" background="1" saveData="1">
    <dbPr connection="Provider=Microsoft.Mashup.OleDb.1;Data Source=$Workbook$;Location=&quot;stateTaxTwoWageEarnerIncomeCredit (2)&quot;;Extended Properties=&quot;&quot;" command="SELECT * FROM [stateTaxTwoWageEarnerIncomeCredit (2)]"/>
  </connection>
  <connection id="2" xr16:uid="{B7C189FB-0723-4D1F-ABF1-3EE74443EC8E}" keepAlive="1" name="Query - stateTaxTwoWageEarnerIncomeCredit (22)" description="Connection to the 'stateTaxTwoWageEarnerIncomeCredit (22)' query in the workbook." type="5" refreshedVersion="7" background="1" saveData="1">
    <dbPr connection="Provider=Microsoft.Mashup.OleDb.1;Data Source=$Workbook$;Location=&quot;stateTaxTwoWageEarnerIncomeCredit (22)&quot;;Extended Properties=&quot;&quot;" command="SELECT * FROM [stateTaxTwoWageEarnerIncomeCredit (22)]"/>
  </connection>
  <connection id="3" xr16:uid="{79906DC9-2BDF-4376-BD67-021C0E5C4957}" keepAlive="1" name="Query - stateTaxTwoWageEarnerIncomeCredit (3)" description="Connection to the 'stateTaxTwoWageEarnerIncomeCredit (3)' query in the workbook." type="5" refreshedVersion="7" background="1" saveData="1">
    <dbPr connection="Provider=Microsoft.Mashup.OleDb.1;Data Source=$Workbook$;Location=&quot;stateTaxTwoWageEarnerIncomeCredit (3)&quot;;Extended Properties=&quot;&quot;" command="SELECT * FROM [stateTaxTwoWageEarnerIncomeCredit (3)]"/>
  </connection>
  <connection id="4" xr16:uid="{775C8EA3-C032-43E2-8CE7-B3DF4BBCF80A}" keepAlive="1" name="Query - stateTaxTwoWageEarnerIncomeCredit (5)" description="Connection to the 'stateTaxTwoWageEarnerIncomeCredit (5)' query in the workbook." type="5" refreshedVersion="7" background="1" saveData="1">
    <dbPr connection="Provider=Microsoft.Mashup.OleDb.1;Data Source=$Workbook$;Location=&quot;stateTaxTwoWageEarnerIncomeCredit (5)&quot;;Extended Properties=&quot;&quot;" command="SELECT * FROM [stateTaxTwoWageEarnerIncomeCredit (5)]"/>
  </connection>
  <connection id="5" xr16:uid="{977E23C1-2982-4BA1-9A73-AD1152A86250}" keepAlive="1" name="Query - stateTaxTwoWageEarnerIncomeCredit (7)" description="Connection to the 'stateTaxTwoWageEarnerIncomeCredit (7)' query in the workbook." type="5" refreshedVersion="7" background="1" saveData="1">
    <dbPr connection="Provider=Microsoft.Mashup.OleDb.1;Data Source=$Workbook$;Location=&quot;stateTaxTwoWageEarnerIncomeCredit (7)&quot;;Extended Properties=&quot;&quot;" command="SELECT * FROM [stateTaxTwoWageEarnerIncomeCredit (7)]"/>
  </connection>
</connections>
</file>

<file path=xl/sharedStrings.xml><?xml version="1.0" encoding="utf-8"?>
<sst xmlns="http://schemas.openxmlformats.org/spreadsheetml/2006/main" count="13034" uniqueCount="330">
  <si>
    <t>sTax</t>
  </si>
  <si>
    <t xml:space="preserve">States' Individual Income Taxes. </t>
  </si>
  <si>
    <t>See separate tab (sTax) for source documents</t>
  </si>
  <si>
    <t>State Income Tax?</t>
  </si>
  <si>
    <t>Lookup Tabel: stateTaxIncomeTax?</t>
  </si>
  <si>
    <t>State</t>
  </si>
  <si>
    <t>2018</t>
  </si>
  <si>
    <t>2019</t>
  </si>
  <si>
    <t>2020</t>
  </si>
  <si>
    <t>2021</t>
  </si>
  <si>
    <t>2022</t>
  </si>
  <si>
    <t>Alabama</t>
  </si>
  <si>
    <t>Arkansas</t>
  </si>
  <si>
    <t>Florida</t>
  </si>
  <si>
    <t>Georgia</t>
  </si>
  <si>
    <t>Louisiana</t>
  </si>
  <si>
    <t>Mississippi</t>
  </si>
  <si>
    <t>South Carolina</t>
  </si>
  <si>
    <t>North Carolina</t>
  </si>
  <si>
    <t>Tennessee</t>
  </si>
  <si>
    <t>Texas</t>
  </si>
  <si>
    <t>Utah</t>
  </si>
  <si>
    <t>Formula</t>
  </si>
  <si>
    <t>formula=</t>
  </si>
  <si>
    <t>INDEX(stateTaxIncomeTax?,MATCH(E9,stateTaxIncomeTax?[State],0),MATCH(E20,VALUE(stateTaxIncomeTax?[#Headers]),0))</t>
  </si>
  <si>
    <t>test formula=</t>
  </si>
  <si>
    <t>input state =</t>
  </si>
  <si>
    <t>input year =</t>
  </si>
  <si>
    <t>test result =</t>
  </si>
  <si>
    <t>STATE FILING STATI</t>
  </si>
  <si>
    <t>Converts Filing Status from Federal to State</t>
  </si>
  <si>
    <t>This section converts the federal filing status to that of the state, using the exact terms of the states.</t>
  </si>
  <si>
    <t>Lookup Table: "stateTaxStatus"</t>
  </si>
  <si>
    <t>Single</t>
  </si>
  <si>
    <t>Head of Household</t>
  </si>
  <si>
    <t>Married Filing Jointly</t>
  </si>
  <si>
    <t>Married Filing Separately</t>
  </si>
  <si>
    <t>Qualifying Widower</t>
  </si>
  <si>
    <t>Note on Widower</t>
  </si>
  <si>
    <t>Head of Family</t>
  </si>
  <si>
    <t>Married Filing Joint</t>
  </si>
  <si>
    <t>Married Filing Separate</t>
  </si>
  <si>
    <t>Qualifying Surviving Spouse</t>
  </si>
  <si>
    <t>same as Married Filing Joint</t>
  </si>
  <si>
    <t>Married - Combined or Joint Return</t>
  </si>
  <si>
    <t>Married - Filing Separate Returns</t>
  </si>
  <si>
    <t>Surviving Spouse</t>
  </si>
  <si>
    <t>same as Married Filing Jointly</t>
  </si>
  <si>
    <t>INDEX(stateTaxStatus,MATCH(E16,stateTaxStatus[State],0),MATCH(E17,stateTaxStatus[#Headers],0))</t>
  </si>
  <si>
    <t xml:space="preserve">input: state </t>
  </si>
  <si>
    <t>input: federal status</t>
  </si>
  <si>
    <t>STATE STANDARD DEDUCTIONS</t>
  </si>
  <si>
    <t>Lookup Table: "stateTaxFixedStandardDeduction"</t>
  </si>
  <si>
    <t>Status</t>
  </si>
  <si>
    <t xml:space="preserve">Single </t>
  </si>
  <si>
    <t>INDEX(stateTaxFixedStandardDeduction,MATCH(1,(stateTaxFixedStandardDeduction[State]=$E$36)*(stateTaxFixedStandardDeduction[Status]=$E$37),0),MATCH($E$38,VALUE(stateTaxFixedStandardDeduction[#Headers]),0))</t>
  </si>
  <si>
    <t>input: year</t>
  </si>
  <si>
    <t>Lookup Table: "stateTaxVariableStandardDeduction"</t>
  </si>
  <si>
    <t>Name</t>
  </si>
  <si>
    <t>Note</t>
  </si>
  <si>
    <t>AGI Threshold</t>
  </si>
  <si>
    <t>Add increment to threshold</t>
  </si>
  <si>
    <t>Maximum Deduction</t>
  </si>
  <si>
    <t>AGI Increment</t>
  </si>
  <si>
    <t>Deduction Increment</t>
  </si>
  <si>
    <t>Minimum Deduction</t>
  </si>
  <si>
    <t>INDEX(stateTaxVariableStandardDeduction,MATCH(1,(stateTaxVariableStandardDeduction[State]=$E$63)*(stateTaxVariableStandardDeduction[Status]=$E$64)*(stateTaxVariableStandardDeduction[Name]=$E$65),0),MATCH($E$66,VALUE(stateTaxVariableStandardDeduction[#Headers]),0))</t>
  </si>
  <si>
    <t>input: name</t>
  </si>
  <si>
    <t>STATE EXEMPTIONS</t>
  </si>
  <si>
    <t>Lookup Table: "stateTaxFixedExemptions"</t>
  </si>
  <si>
    <t>Category</t>
  </si>
  <si>
    <t>Filer or Spouse</t>
  </si>
  <si>
    <t>Half of total for couple</t>
  </si>
  <si>
    <t>Dependent</t>
  </si>
  <si>
    <t>2X total for couple</t>
  </si>
  <si>
    <t>Under age 6</t>
  </si>
  <si>
    <t>Formulae</t>
  </si>
  <si>
    <t>Formula 1: for filer or spouse</t>
  </si>
  <si>
    <t>INDEX(stateTaxFixedExemptions,MATCH(1,(stateTaxFixedExemptions[State]=$E$59)*(stateTaxFixedExemptions[Status]=$E$60)*(stateTaxFixedExemptions[Category]=E61),0),MATCH($E$62,VALUE(stateTaxFixedExemptions[#Headers]),0))</t>
  </si>
  <si>
    <t>category</t>
  </si>
  <si>
    <t>Dependents</t>
  </si>
  <si>
    <t>Formula 1: for dependents</t>
  </si>
  <si>
    <t>INDEX(stateFixedTaxExemptions,MATCH(1,(stateFixedTaxExemptions[State]=$E$67)*(stateFixedTaxExemptions[Category]="Dependent"),0),MATCH($E$69,VALUE(stateFixedTaxExemptions[#Headers]),0))</t>
  </si>
  <si>
    <t>Lookup Table: "stateTaxVariableExemptions"</t>
  </si>
  <si>
    <t>Bracket</t>
  </si>
  <si>
    <t>Bracket 1</t>
  </si>
  <si>
    <t>equal to or less</t>
  </si>
  <si>
    <t>Bracket 2</t>
  </si>
  <si>
    <t>Bracket 3</t>
  </si>
  <si>
    <t>Over</t>
  </si>
  <si>
    <t>Exemption</t>
  </si>
  <si>
    <t>formula</t>
  </si>
  <si>
    <t>INDEX(stateTaxVariableExemptions,MATCH(1,(stateTaxVariableExemptions[State]=$E$83)*(stateTaxVariableExemptions[Category]=$E$84)*(stateTaxVariableExemptions[Bracket]=$E$85)*(stateTaxVariableExemptions[Name]=D86),0),MATCH($E$87,VALUE(stateTaxVariableExemptions[#Headers]),0))</t>
  </si>
  <si>
    <t>Finds the factors used to calculate tax before credits based on Filing Status, Tax Bracket, and year.</t>
  </si>
  <si>
    <t>test formula</t>
  </si>
  <si>
    <t>input: state=</t>
  </si>
  <si>
    <t>category=</t>
  </si>
  <si>
    <t>input: bracket=</t>
  </si>
  <si>
    <t>input: Name =</t>
  </si>
  <si>
    <t>input: year=</t>
  </si>
  <si>
    <t>Select a valid year to test</t>
  </si>
  <si>
    <t>test:</t>
  </si>
  <si>
    <t>Lookup Table: "stateTaxVariableChildDeduction": Number of Children under 17</t>
  </si>
  <si>
    <t>Condition</t>
  </si>
  <si>
    <t>Amount</t>
  </si>
  <si>
    <t>Bracket 4</t>
  </si>
  <si>
    <t>Bracket 5</t>
  </si>
  <si>
    <t>Bracket 6</t>
  </si>
  <si>
    <t>Bracket 7</t>
  </si>
  <si>
    <t xml:space="preserve">It wasn't necessary to input "up to", except I used formual. If </t>
  </si>
  <si>
    <t>formula 1: for determining state tax brackets</t>
  </si>
  <si>
    <t>formula =</t>
  </si>
  <si>
    <t>INDEX(stateTaxVariableChildDeduction[Bracket],MATCH(E197-0.01,IF(stateTaxVariableChildDeduction[State]=$E$194,IF(stateTaxVariableChildDeduction[Status]=E195,IF(stateTaxVariableChildDeduction[Condition]="Over",INDEX(stateTaxVariableChildDeduction,,MATCH(E196,VALUE(stateTaxVariableChildDeduction[#Headers]),0))))),1))</t>
  </si>
  <si>
    <t>Finds the bracket based on inputs of Status, taxable income, and year)</t>
  </si>
  <si>
    <t>input:  state=</t>
  </si>
  <si>
    <t>input:  status=</t>
  </si>
  <si>
    <t>input: taxable income=</t>
  </si>
  <si>
    <t>Type in Value to test</t>
  </si>
  <si>
    <t>test result  =</t>
  </si>
  <si>
    <t>formula 2: for determining state tax factors</t>
  </si>
  <si>
    <t>INDEX(stateTaxVariableChildDeduction,MATCH(1,(stateTaxVariableChildDeduction[State]=$E$203)*(stateTaxVariableChildDeduction[Status]=$E$204)*(stateTaxVariableChildDeduction[Bracket]=$E$205)*(stateTaxVariableChildDeduction[Condition]="Amount"),0),MATCH($E$206,VALUE(stateTaxVariableChildDeduction[#Headers]),0))</t>
  </si>
  <si>
    <t>Calculates the amount</t>
  </si>
  <si>
    <t>input: status=</t>
  </si>
  <si>
    <t>result=</t>
  </si>
  <si>
    <t>Lookup Table: "stateTaxDeductFederalTaxes"</t>
  </si>
  <si>
    <t>Before Refundable Credits</t>
  </si>
  <si>
    <t>EITC</t>
  </si>
  <si>
    <t>ACTC</t>
  </si>
  <si>
    <t>* Louisiana Senate Bills 159 and 278 may eliminate deductibility of federal taxes in 2021. Requires a constitutional change.</t>
  </si>
  <si>
    <t>INDEX(stateTaxDeductFederalTaxes,MATCH(1,(stateTaxDeductFederalTaxes[State]=$E$156)*(stateTaxDeductFederalTaxes[Name]=$E$157),0),MATCH($E$158,VALUE(stateTaxDeductFederalTaxes[#Headers]),0))</t>
  </si>
  <si>
    <t>NOTE: make false if not listed.</t>
  </si>
  <si>
    <t>IFNA(INDEX(stateTaxDeductFederalTaxes,MATCH(E126,stateTaxDeductFederalTaxes[State],0),MATCH(E127,VALUE(stateTaxDeductFederalTaxes[#Headers]),0)),"FALSE")</t>
  </si>
  <si>
    <t>Input state =</t>
  </si>
  <si>
    <t>Name=</t>
  </si>
  <si>
    <t>Input year =</t>
  </si>
  <si>
    <t>result =</t>
  </si>
  <si>
    <t>result with IFNA =</t>
  </si>
  <si>
    <t>STATE INCOME BRACKET ADJUSTMENTS</t>
  </si>
  <si>
    <t>Adjusted income from tax rate formulae to match tax tables.</t>
  </si>
  <si>
    <t>Lookup Table: "stateTaxBracketAdjustment"</t>
  </si>
  <si>
    <t>Increment</t>
  </si>
  <si>
    <t>Point</t>
  </si>
  <si>
    <t>Minimum for tax</t>
  </si>
  <si>
    <t>INDEX(stateTaxBracketAdjustment,MATCH(E99,stateTaxBracketAdjustment[State],0),2)</t>
  </si>
  <si>
    <t>input state</t>
  </si>
  <si>
    <t>for increment</t>
  </si>
  <si>
    <t>for point</t>
  </si>
  <si>
    <t>STATE TAX RATE FACTORS</t>
  </si>
  <si>
    <t>Lookup Table: "stateTaxRateTable"</t>
  </si>
  <si>
    <t>Not Over</t>
  </si>
  <si>
    <t>Rate</t>
  </si>
  <si>
    <t>Plus</t>
  </si>
  <si>
    <t>Bracket 8</t>
  </si>
  <si>
    <t>Bracket 9</t>
  </si>
  <si>
    <t>Bracket 10</t>
  </si>
  <si>
    <t>Bracket 11</t>
  </si>
  <si>
    <t>Bracket 12</t>
  </si>
  <si>
    <t>Bracket 13</t>
  </si>
  <si>
    <t>Bracket 14</t>
  </si>
  <si>
    <t>Bracket 15</t>
  </si>
  <si>
    <t>Bracket 16</t>
  </si>
  <si>
    <t>Bracket 17</t>
  </si>
  <si>
    <t>Bracket 18</t>
  </si>
  <si>
    <t>Bracket 19</t>
  </si>
  <si>
    <t>Bracket 20</t>
  </si>
  <si>
    <t>Bracket 21</t>
  </si>
  <si>
    <t>Bracket 22</t>
  </si>
  <si>
    <t>Bracket 23</t>
  </si>
  <si>
    <t>Bracket 24</t>
  </si>
  <si>
    <t>Bracket 25</t>
  </si>
  <si>
    <t>Bracket 26</t>
  </si>
  <si>
    <t>Bracket 27</t>
  </si>
  <si>
    <t>Bracket 28</t>
  </si>
  <si>
    <t>Bracket 29</t>
  </si>
  <si>
    <t>Bracket 30</t>
  </si>
  <si>
    <t>Bracket 31</t>
  </si>
  <si>
    <t>Bracket 32</t>
  </si>
  <si>
    <t>Bracket 33</t>
  </si>
  <si>
    <t>Bracket 34</t>
  </si>
  <si>
    <t>Bracket 35</t>
  </si>
  <si>
    <t>Bracket 36</t>
  </si>
  <si>
    <t>Bracket 37</t>
  </si>
  <si>
    <t>Bracket 38</t>
  </si>
  <si>
    <t>Bracket 39</t>
  </si>
  <si>
    <t>Bracket 40</t>
  </si>
  <si>
    <t>Bracket 41</t>
  </si>
  <si>
    <t>Bracket 42</t>
  </si>
  <si>
    <t>Bracket 43</t>
  </si>
  <si>
    <t>Bracket 44</t>
  </si>
  <si>
    <t>Bracket 45</t>
  </si>
  <si>
    <t>Bracket 46</t>
  </si>
  <si>
    <t>Bracket 47</t>
  </si>
  <si>
    <t>Bracket 48</t>
  </si>
  <si>
    <t>Bracket 49</t>
  </si>
  <si>
    <t>Bracket 50</t>
  </si>
  <si>
    <t>Bracket 51</t>
  </si>
  <si>
    <t>Bracket 52</t>
  </si>
  <si>
    <t>IF(E152=0,"Bracket 1",INDEX(stateTaxRateTable[Bracket],MATCH(E152-0.01,IF(stateTaxRateTable[State]=$E$149,IF(stateTaxRateTable[Status]=E150,IF(stateTaxRateTable[Condition]="Over",INDEX(stateTaxRateTable,,MATCH(E151,VALUE(stateTaxRateTable[#Headers]),0))))),1)))</t>
  </si>
  <si>
    <t>Notes</t>
  </si>
  <si>
    <t>Index(array,row number,column number)</t>
  </si>
  <si>
    <t>Match(look up value,array,1=approximate match, ascending valuesexact match)</t>
  </si>
  <si>
    <t xml:space="preserve">First IF function ensures that bracket 1 is chosen when value is 0. This occurs because it was necessary to subtract .01 from the input value because of the way the match function picks approximate values. The function picks it if it is equal or less. We want it to be over, not eqaul or less. </t>
  </si>
  <si>
    <t xml:space="preserve">The next three IF functions select the only those values in the array by using the criteria  the "state" column = selected state, the "Status" column = the chosen status, and the "Condition" column = "Over". </t>
  </si>
  <si>
    <t>The 2nd index function is embedded in the first one. The 2nd index function chooses the column with the annual data. It matches the year to the value of the header. The value function is necessary because excel makes the headers text fields.</t>
  </si>
  <si>
    <t>The 2nd index function was necessary because Excel does not like choosing Headers[year] where year is a defined number indicating the year. This goes to the fact that excel converts all numbers used for headers into text.</t>
  </si>
  <si>
    <t>INDEX(stateTaxRateTable,MATCH(1,(stateTaxRateTable[State]=$E$165)*(stateTaxRateTable[Status]=$E$166)*(stateTaxRateTable[Bracket]=$E$167)*(stateTaxRateTable[Condition]=D169),0),MATCH($E$168,VALUE(stateTaxRateTable[#Headers]),0))</t>
  </si>
  <si>
    <t>Data Validation List for Selecting Brackets for Test</t>
  </si>
  <si>
    <t>Match(look up value,array,0=exact match)</t>
  </si>
  <si>
    <t>The first Match function gives the row. It uses an array form, which converts match to a true/false statement. The "1" means its looking for true statements.</t>
  </si>
  <si>
    <t>continued… There are three criteria separated by "*" that operates as an AND function. The three criteria test for the inputs to match them to the Status, Bracket, and Condition. The "0" means exact match.</t>
  </si>
  <si>
    <t>The second Match gives the column to pul the data. It matches the year with the value of the header for the year. The Value function is necessary because Excel converts number headers into text.</t>
  </si>
  <si>
    <t>Test Combination of Formalae to state Tax Tables</t>
  </si>
  <si>
    <t>Calc Tax</t>
  </si>
  <si>
    <t>HOH</t>
  </si>
  <si>
    <t>Child 1</t>
  </si>
  <si>
    <t xml:space="preserve">result: state Status: </t>
  </si>
  <si>
    <t>Child 2</t>
  </si>
  <si>
    <t>Lookup on LA table</t>
  </si>
  <si>
    <t>Taxable Income</t>
  </si>
  <si>
    <t>Input LA Exemptions and Deductions=</t>
  </si>
  <si>
    <t>output increment</t>
  </si>
  <si>
    <t>If none, defaults to none</t>
  </si>
  <si>
    <t>output point</t>
  </si>
  <si>
    <t>minimum for tax</t>
  </si>
  <si>
    <t>output: taxable income=</t>
  </si>
  <si>
    <t>calc tax</t>
  </si>
  <si>
    <t>Georgia, if less than $100, then 0, but calc shows $1.</t>
  </si>
  <si>
    <t>round tax</t>
  </si>
  <si>
    <t>Alabama, if less than $50, 0, but calc shows $1</t>
  </si>
  <si>
    <t>MATCH FEDERAL CHILD AND DEPENDENT CARE EXPENSES CREDIT</t>
  </si>
  <si>
    <t>Lookup Table: "stateTaxMatchFedCDCECredit"</t>
  </si>
  <si>
    <t>INDEX(stateTaxMatchFedCDCECredit,MATCH("Georgia",stateTaxMatchFedCDCECredit[State],0),MATCH(E229,VALUE(stateTaxMatchFedCDCECredit[#Headers]),0))</t>
  </si>
  <si>
    <t>input year</t>
  </si>
  <si>
    <t>State LOW INCOME TAX CREDIT</t>
  </si>
  <si>
    <t>Lookup Table: "stateTaxLowIncomeCredit"</t>
  </si>
  <si>
    <t>under Federal AGI</t>
  </si>
  <si>
    <t>Federal AGI</t>
  </si>
  <si>
    <t>Credit</t>
  </si>
  <si>
    <t>Low Income Tax Credit</t>
  </si>
  <si>
    <t>formula 1: determining tax credit bracket</t>
  </si>
  <si>
    <t>INDEX(stateTaxLowIncomeCredit[Bracket],MATCH(E249,IF(stateTaxLowIncomeCredit[State]="Georgia",stateTaxLowIncomeCredit[Federal AGI]),1))</t>
  </si>
  <si>
    <t>input: Federal AGI=</t>
  </si>
  <si>
    <t>formula 2: factors</t>
  </si>
  <si>
    <t>INDEX(stateTaxLowIncomeCredit,MATCH(1,(stateTaxLowIncomeCredit[State]="Georgia")*(stateTaxLowIncomeCredit[Bracket]=$E$256),0),MATCH("Credit",stateTaxLowIncomeCredit[#Headers],0))</t>
  </si>
  <si>
    <t>test formula #2</t>
  </si>
  <si>
    <t>input: state</t>
  </si>
  <si>
    <t>input: bracket</t>
  </si>
  <si>
    <t>credit</t>
  </si>
  <si>
    <t>State Tax TWO WAGE EARNER INCOME TAX CREDIT</t>
  </si>
  <si>
    <t>IF(MATCH(InputStateName,stateTaxTwoWageEarnerIncomeCredit[State],0),INDEX(stateTaxTwoWageEarnerIncomeCredit[Credit],MATCH($E$754,stateTaxTwoWageEarnerIncomeCredit[State],MATCH($E$755,stateTaxTwoWageEarnerIncomeCredit[Year],0))),0)</t>
  </si>
  <si>
    <t>Lookup Table: "stateTaxTwoWageEarnerIncomeCredit"</t>
  </si>
  <si>
    <t>Filing Status</t>
  </si>
  <si>
    <t>Income Limit</t>
  </si>
  <si>
    <t>Year</t>
  </si>
  <si>
    <t>Two Wage Earner Tax Credit</t>
  </si>
  <si>
    <t>INDEX(stateTaxTwoWageEarnerIncomeCredit[Credit],MATCH($E$754,stateTaxTwoWageEarnerIncomeCredit[State],MATCH($E$755,stateTaxTwoWageEarnerIncomeCredit[Year],MATCH($E$756,stateTaxTwoWageEarnerIncomeCredit[Filing Status],0))))*INDEX(stateTaxTwoWageEarnerIncomeCredit[Income Limit],MATCH($E$754,stateTaxTwoWageEarnerIncomeCredit[State],MATCH($E$755,stateTaxTwoWageEarnerIncomeCredit[Year],MATCH($E$756,stateTaxTwoWageEarnerIncomeCredit[Filing Status],0))))</t>
  </si>
  <si>
    <t>input: Year</t>
  </si>
  <si>
    <t>input: Filing Status</t>
  </si>
  <si>
    <t>Input:Credit</t>
  </si>
  <si>
    <t>Missouri</t>
  </si>
  <si>
    <t>Lookup Table: "stateTaxVariableChildExpenseCredit"</t>
  </si>
  <si>
    <t>FedAGI min</t>
  </si>
  <si>
    <t>FedAGI max</t>
  </si>
  <si>
    <t>Max Credit</t>
  </si>
  <si>
    <t>not used</t>
  </si>
  <si>
    <t>Lookup Table: "stateTaxRefundableChildCareCredit"</t>
  </si>
  <si>
    <t>Lookup Table: "stateTaxSchoolReadinessCredit"</t>
  </si>
  <si>
    <t xml:space="preserve"> School Readiness Credit</t>
  </si>
  <si>
    <t>Percent</t>
  </si>
  <si>
    <t># child&lt;6</t>
  </si>
  <si>
    <t>Total</t>
  </si>
  <si>
    <t>Five Star</t>
  </si>
  <si>
    <t>Four Star</t>
  </si>
  <si>
    <t>Three Star</t>
  </si>
  <si>
    <t>Two Star</t>
  </si>
  <si>
    <t>One Star</t>
  </si>
  <si>
    <t>Lookup Table: "statetaxPercentFederalIncomeTaxCredit"</t>
  </si>
  <si>
    <r>
      <t>Formula=</t>
    </r>
    <r>
      <rPr>
        <sz val="11"/>
        <rFont val="Calibri"/>
        <family val="2"/>
        <scheme val="minor"/>
      </rPr>
      <t>INDEX(stateTaxPercentFederalIncomeTaxCreditMO,MATCH(1,(stateTaxPercentFederalIncomeTaxCreditMO[State]=$A$1)*(stateTaxPercentFederalIncomeTaxCreditMO[Minimum Income]&lt;=N411)*(stateTaxPercentFederalIncomeTaxCreditMO[Maximum Income]&gt;=N411),0),MATCH(N410,VALUE(stateTaxPercentFederalIncomeTaxCreditMO[#Headers]),0))</t>
    </r>
  </si>
  <si>
    <t>Minimum Income</t>
  </si>
  <si>
    <t>Maximum Income</t>
  </si>
  <si>
    <t>Federal Income Tax Credit</t>
  </si>
  <si>
    <t>Input:Taxable Income</t>
  </si>
  <si>
    <t>Input:Credit Percent</t>
  </si>
  <si>
    <t>Lookup Table: "statetaxMaximumFederalIncomeTaxCredit"</t>
  </si>
  <si>
    <t>Input:Filing Status</t>
  </si>
  <si>
    <t>Lookup Table: "stateTaxTaypayerCredit"</t>
  </si>
  <si>
    <t>INDEX(stateTaxTaypayerCreditUT[Phase-Out %],MATCH(1,(stateTaxTaypayerCreditUT[State]=M312)*(stateTaxTaypayerCreditUT[Tax Filing Status]=M314)*(stateTaxTaypayerCreditUT[Phase-Out Base]=M319)*(stateTaxTaypayerCreditUT[Year]=M313),0))*M321</t>
  </si>
  <si>
    <t>Tax Filing Status</t>
  </si>
  <si>
    <t>Phase-In %</t>
  </si>
  <si>
    <t>Phase-Out Base</t>
  </si>
  <si>
    <t>Phase-Out %</t>
  </si>
  <si>
    <t>Taypayer Credit</t>
  </si>
  <si>
    <t>Number of Dependent Children</t>
  </si>
  <si>
    <t>Dependent Exemption Credit</t>
  </si>
  <si>
    <t>Standard Deduction</t>
  </si>
  <si>
    <t>Initial Credit Before Phase-Out</t>
  </si>
  <si>
    <t>Income subject to Phase-Out</t>
  </si>
  <si>
    <t>Gross Taxpayer Tax Credit</t>
  </si>
  <si>
    <t>Net Taxpayer Tax Credit test result  =</t>
  </si>
  <si>
    <t>Lookup Table: "RetirementTaxCredit"</t>
  </si>
  <si>
    <t>M344-INDEX(stateTaxRetirementTaxCreditUT[MAGI Deduction],MATCH(M340,stateTaxRetirementTaxCreditUT[State],MATCH(M342,stateTaxRetirementTaxCreditUT[Tax Filing Status],MATCH(M341,stateTaxRetirementTaxCreditUT[Year],0)))))*M343</t>
  </si>
  <si>
    <t>Credit Type</t>
  </si>
  <si>
    <t>MAGI Deduction</t>
  </si>
  <si>
    <t>Credit Percentage</t>
  </si>
  <si>
    <t>Retirement Credit</t>
  </si>
  <si>
    <t>Credit Percent</t>
  </si>
  <si>
    <t>MAGI</t>
  </si>
  <si>
    <t>Retirement Credit test result  =</t>
  </si>
  <si>
    <t>Lookup Table: "stateTaxSocialSecurityBenefitsCredit"</t>
  </si>
  <si>
    <t>E1005-INDEX(stateTaxRetirementTaxCredit[MAGI Deduction],MATCH($E$1001,stateTaxRetirementTaxCredit[State],MATCH(E1003,stateTaxRetirementTaxCredit[Tax Filing Status],MATCH(#REF!,stateTaxRetirementTaxCredit[Credit Type],MATCH($E$1002,stateTaxRetirementTaxCredit[Year],0)))))*E1004</t>
  </si>
  <si>
    <t>SS Income Percent</t>
  </si>
  <si>
    <t>Social Security Benefits Credit</t>
  </si>
  <si>
    <t>West Virginia</t>
  </si>
  <si>
    <t>Widower with dependent children</t>
  </si>
  <si>
    <t>Individual Rate X 2</t>
  </si>
  <si>
    <t>Lookup Table: Earned Income Exclusion</t>
  </si>
  <si>
    <t>Qualifying Criteria</t>
  </si>
  <si>
    <t>Income Exclusion</t>
  </si>
  <si>
    <t>Age 65</t>
  </si>
  <si>
    <t>Disabled</t>
  </si>
  <si>
    <t>Family Size</t>
  </si>
  <si>
    <t>Greater Than</t>
  </si>
  <si>
    <t>Family Credit %</t>
  </si>
  <si>
    <t>Lookup Table: stateTaxFamilyTaxCredit</t>
  </si>
  <si>
    <t>Equal To or
Less Than</t>
  </si>
  <si>
    <t>2023</t>
  </si>
  <si>
    <t>Lookup Table: stateTaxIncomeExclusions</t>
  </si>
  <si>
    <t>Income Exclusion Type</t>
  </si>
  <si>
    <t>Retirement Age 62-64</t>
  </si>
  <si>
    <t>Retirement Age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</si>
</sst>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7" formatCode="&quot;$&quot;#,##0.00_);\(&quot;$&quot;#,##0.00\)"/>
    <numFmt numFmtId="43" formatCode="_(* #,##0.00_);_(* \(#,##0.00\);_(* &quot;-&quot;??_);_(@_)"/>
    <numFmt numFmtId="164" formatCode="&quot;$&quot;#,##0"/>
    <numFmt numFmtId="165" formatCode="0.000"/>
    <numFmt numFmtId="166" formatCode="&quot;$&quot;#,##0.00"/>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1"/>
      <color rgb="FF00B0F0"/>
      <name val="Calibri"/>
      <family val="2"/>
      <scheme val="minor"/>
    </font>
    <font>
      <sz val="11"/>
      <name val="Calibri"/>
      <family val="2"/>
      <scheme val="minor"/>
    </font>
    <font>
      <b/>
      <u/>
      <sz val="11"/>
      <color theme="1"/>
      <name val="Calibri"/>
      <family val="2"/>
      <scheme val="minor"/>
    </font>
    <font>
      <b/>
      <sz val="18"/>
      <color rgb="FF00B050"/>
      <name val="Wingdings 2"/>
      <family val="1"/>
      <charset val="2"/>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style="thin">
        <color indexed="64"/>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bottom/>
      <diagonal/>
    </border>
    <border>
      <left/>
      <right style="thin">
        <color theme="4" tint="0.39997558519241921"/>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3">
    <xf numFmtId="0" fontId="0" fillId="0" borderId="0" xfId="0"/>
    <xf numFmtId="0" fontId="4" fillId="0" borderId="0" xfId="0" applyFont="1"/>
    <xf numFmtId="0" fontId="6" fillId="0" borderId="0" xfId="0" applyFont="1"/>
    <xf numFmtId="0" fontId="0" fillId="0" borderId="0" xfId="0" applyAlignment="1">
      <alignment horizontal="center"/>
    </xf>
    <xf numFmtId="0" fontId="0" fillId="0" borderId="0" xfId="0" applyAlignment="1">
      <alignment horizontal="right"/>
    </xf>
    <xf numFmtId="0" fontId="0" fillId="2" borderId="1" xfId="0" applyFill="1" applyBorder="1"/>
    <xf numFmtId="0" fontId="3" fillId="0" borderId="0" xfId="0" applyFont="1" applyAlignment="1">
      <alignment horizontal="right"/>
    </xf>
    <xf numFmtId="164" fontId="0" fillId="0" borderId="0" xfId="0" applyNumberFormat="1" applyAlignment="1">
      <alignment horizontal="center"/>
    </xf>
    <xf numFmtId="6" fontId="0" fillId="0" borderId="0" xfId="0" applyNumberFormat="1" applyAlignment="1">
      <alignment horizontal="center"/>
    </xf>
    <xf numFmtId="4" fontId="7" fillId="0" borderId="1" xfId="1" applyNumberFormat="1" applyFont="1" applyBorder="1" applyAlignment="1">
      <alignment horizontal="right" vertical="center"/>
    </xf>
    <xf numFmtId="4" fontId="7" fillId="0" borderId="2" xfId="1" applyNumberFormat="1" applyFont="1" applyBorder="1" applyAlignment="1">
      <alignment horizontal="right" vertical="center"/>
    </xf>
    <xf numFmtId="0" fontId="0" fillId="0" borderId="1" xfId="0" applyBorder="1"/>
    <xf numFmtId="4" fontId="7" fillId="0" borderId="0" xfId="1" applyNumberFormat="1" applyFont="1" applyFill="1" applyBorder="1" applyAlignment="1">
      <alignment horizontal="center" vertical="center"/>
    </xf>
    <xf numFmtId="0" fontId="7" fillId="0" borderId="3" xfId="0" applyFont="1" applyBorder="1" applyAlignment="1">
      <alignment horizontal="center"/>
    </xf>
    <xf numFmtId="0" fontId="3" fillId="2" borderId="1" xfId="0" applyFont="1" applyFill="1" applyBorder="1" applyAlignment="1">
      <alignment horizontal="center"/>
    </xf>
    <xf numFmtId="4" fontId="7" fillId="2" borderId="1" xfId="1" applyNumberFormat="1" applyFont="1" applyFill="1" applyBorder="1" applyAlignment="1">
      <alignment horizontal="center" vertical="center"/>
    </xf>
    <xf numFmtId="4" fontId="7" fillId="2" borderId="4" xfId="1" applyNumberFormat="1" applyFont="1" applyFill="1" applyBorder="1" applyAlignment="1">
      <alignment horizontal="center" vertical="center"/>
    </xf>
    <xf numFmtId="4" fontId="7" fillId="0" borderId="1" xfId="1" applyNumberFormat="1" applyFont="1" applyBorder="1" applyAlignment="1">
      <alignment horizontal="center" vertical="center"/>
    </xf>
    <xf numFmtId="4" fontId="7" fillId="0" borderId="1" xfId="1" applyNumberFormat="1" applyFont="1" applyFill="1" applyBorder="1" applyAlignment="1">
      <alignment horizontal="center" vertical="center"/>
    </xf>
    <xf numFmtId="4" fontId="7" fillId="2" borderId="5" xfId="1" applyNumberFormat="1" applyFont="1" applyFill="1" applyBorder="1" applyAlignment="1">
      <alignment horizontal="center" vertical="center"/>
    </xf>
    <xf numFmtId="4" fontId="7" fillId="0" borderId="5" xfId="1" applyNumberFormat="1" applyFont="1" applyFill="1" applyBorder="1" applyAlignment="1">
      <alignment horizontal="center" vertical="center"/>
    </xf>
    <xf numFmtId="4" fontId="7" fillId="0" borderId="0" xfId="1" applyNumberFormat="1" applyFont="1" applyBorder="1" applyAlignment="1">
      <alignment horizontal="center" vertical="center"/>
    </xf>
    <xf numFmtId="4" fontId="7" fillId="0" borderId="3" xfId="1" applyNumberFormat="1" applyFont="1" applyBorder="1" applyAlignment="1">
      <alignment horizontal="center"/>
    </xf>
    <xf numFmtId="0" fontId="0" fillId="0" borderId="0" xfId="0" applyAlignment="1">
      <alignment horizontal="left"/>
    </xf>
    <xf numFmtId="0" fontId="0" fillId="2" borderId="1" xfId="0" applyFill="1" applyBorder="1" applyAlignment="1">
      <alignment horizontal="center"/>
    </xf>
    <xf numFmtId="0" fontId="2" fillId="3" borderId="6" xfId="0" applyFont="1" applyFill="1" applyBorder="1"/>
    <xf numFmtId="0" fontId="2" fillId="3" borderId="0" xfId="0" applyFont="1" applyFill="1" applyAlignment="1">
      <alignment horizontal="center"/>
    </xf>
    <xf numFmtId="0" fontId="2" fillId="3" borderId="7" xfId="0" applyFont="1" applyFill="1" applyBorder="1" applyAlignment="1">
      <alignment horizontal="center"/>
    </xf>
    <xf numFmtId="10" fontId="0" fillId="0" borderId="0" xfId="0" applyNumberFormat="1" applyAlignment="1">
      <alignment horizontal="center" vertical="center"/>
    </xf>
    <xf numFmtId="4" fontId="7" fillId="0" borderId="0" xfId="1" applyNumberFormat="1" applyFont="1" applyFill="1" applyAlignment="1">
      <alignment horizontal="center" vertical="center"/>
    </xf>
    <xf numFmtId="0" fontId="0" fillId="0" borderId="1" xfId="0" applyBorder="1" applyAlignment="1">
      <alignment horizontal="center"/>
    </xf>
    <xf numFmtId="10" fontId="8" fillId="0" borderId="0" xfId="1" applyNumberFormat="1" applyFont="1" applyFill="1" applyAlignment="1">
      <alignment horizontal="center" vertical="center"/>
    </xf>
    <xf numFmtId="4" fontId="7" fillId="0" borderId="3" xfId="1" applyNumberFormat="1" applyFont="1" applyBorder="1"/>
    <xf numFmtId="0" fontId="4" fillId="0" borderId="0" xfId="0" applyFont="1" applyAlignment="1">
      <alignment horizontal="right"/>
    </xf>
    <xf numFmtId="0" fontId="0" fillId="0" borderId="0" xfId="0" quotePrefix="1"/>
    <xf numFmtId="0" fontId="9" fillId="0" borderId="0" xfId="0" applyFont="1"/>
    <xf numFmtId="4" fontId="3" fillId="2" borderId="1" xfId="0" applyNumberFormat="1" applyFont="1" applyFill="1" applyBorder="1" applyAlignment="1">
      <alignment horizontal="center"/>
    </xf>
    <xf numFmtId="0" fontId="3" fillId="0" borderId="1" xfId="0" applyFont="1" applyBorder="1" applyAlignment="1">
      <alignment horizontal="center"/>
    </xf>
    <xf numFmtId="4" fontId="3" fillId="0" borderId="1" xfId="0" applyNumberFormat="1" applyFont="1" applyBorder="1" applyAlignment="1">
      <alignment horizontal="center"/>
    </xf>
    <xf numFmtId="10" fontId="3" fillId="2" borderId="1" xfId="2" applyNumberFormat="1" applyFont="1" applyFill="1" applyBorder="1" applyAlignment="1">
      <alignment horizontal="center"/>
    </xf>
    <xf numFmtId="4" fontId="3" fillId="0" borderId="0" xfId="1" applyNumberFormat="1" applyFont="1" applyBorder="1"/>
    <xf numFmtId="0" fontId="3" fillId="0" borderId="0" xfId="0" applyFont="1"/>
    <xf numFmtId="4" fontId="0" fillId="0" borderId="0" xfId="0" applyNumberFormat="1"/>
    <xf numFmtId="0" fontId="3" fillId="0" borderId="0" xfId="0" applyFont="1" applyAlignment="1">
      <alignment horizontal="center"/>
    </xf>
    <xf numFmtId="6" fontId="0" fillId="0" borderId="0" xfId="0" applyNumberFormat="1"/>
    <xf numFmtId="9" fontId="0" fillId="0" borderId="0" xfId="0" applyNumberFormat="1"/>
    <xf numFmtId="4" fontId="3" fillId="2" borderId="0" xfId="0" applyNumberFormat="1" applyFont="1" applyFill="1" applyAlignment="1">
      <alignment horizontal="center"/>
    </xf>
    <xf numFmtId="4" fontId="0" fillId="0" borderId="0" xfId="0" applyNumberFormat="1" applyAlignment="1">
      <alignment horizontal="center"/>
    </xf>
    <xf numFmtId="9" fontId="0" fillId="0" borderId="0" xfId="0" applyNumberFormat="1" applyAlignment="1">
      <alignment horizontal="center"/>
    </xf>
    <xf numFmtId="9" fontId="0" fillId="0" borderId="0" xfId="2" applyFont="1"/>
    <xf numFmtId="3" fontId="0" fillId="0" borderId="0" xfId="0" applyNumberFormat="1" applyAlignment="1">
      <alignment horizontal="center"/>
    </xf>
    <xf numFmtId="4" fontId="3" fillId="2" borderId="3" xfId="1" applyNumberFormat="1" applyFont="1" applyFill="1" applyBorder="1"/>
    <xf numFmtId="4" fontId="3" fillId="0" borderId="3" xfId="1" applyNumberFormat="1" applyFont="1" applyBorder="1"/>
    <xf numFmtId="9" fontId="3" fillId="2" borderId="1" xfId="0" applyNumberFormat="1" applyFont="1" applyFill="1" applyBorder="1"/>
    <xf numFmtId="165" fontId="0" fillId="0" borderId="3" xfId="0" applyNumberFormat="1" applyBorder="1" applyAlignment="1">
      <alignment horizontal="center"/>
    </xf>
    <xf numFmtId="7" fontId="0" fillId="0" borderId="3" xfId="0" applyNumberFormat="1" applyBorder="1" applyAlignment="1">
      <alignment horizontal="center"/>
    </xf>
    <xf numFmtId="0" fontId="5" fillId="0" borderId="0" xfId="0" applyFont="1" applyAlignment="1">
      <alignment horizontal="center"/>
    </xf>
    <xf numFmtId="0" fontId="2" fillId="0" borderId="0" xfId="0" applyFont="1" applyAlignment="1">
      <alignment horizontal="center"/>
    </xf>
    <xf numFmtId="0" fontId="8" fillId="0" borderId="0" xfId="0" applyFont="1" applyAlignment="1">
      <alignment horizontal="center"/>
    </xf>
    <xf numFmtId="9" fontId="8" fillId="0" borderId="0" xfId="0" applyNumberFormat="1" applyFont="1" applyAlignment="1">
      <alignment horizontal="center"/>
    </xf>
    <xf numFmtId="0" fontId="10" fillId="0" borderId="0" xfId="0" applyFont="1"/>
    <xf numFmtId="3" fontId="0" fillId="0" borderId="0" xfId="0" applyNumberFormat="1" applyAlignment="1">
      <alignment horizontal="right" indent="5"/>
    </xf>
    <xf numFmtId="2" fontId="7" fillId="0" borderId="3" xfId="0" applyNumberFormat="1" applyFont="1" applyBorder="1" applyAlignment="1">
      <alignment horizontal="center"/>
    </xf>
    <xf numFmtId="10" fontId="0" fillId="0" borderId="3" xfId="0" applyNumberFormat="1" applyBorder="1" applyAlignment="1">
      <alignment horizontal="center"/>
    </xf>
    <xf numFmtId="3" fontId="0" fillId="0" borderId="3" xfId="0" applyNumberFormat="1" applyBorder="1" applyAlignment="1">
      <alignment horizontal="center"/>
    </xf>
    <xf numFmtId="10" fontId="0" fillId="0" borderId="0" xfId="0" applyNumberFormat="1" applyAlignment="1">
      <alignment horizontal="center"/>
    </xf>
    <xf numFmtId="166" fontId="0" fillId="0" borderId="3" xfId="0" applyNumberFormat="1" applyBorder="1" applyAlignment="1">
      <alignment horizontal="center" wrapText="1"/>
    </xf>
    <xf numFmtId="165" fontId="7" fillId="0" borderId="3" xfId="0" applyNumberFormat="1" applyFont="1" applyBorder="1" applyAlignment="1">
      <alignment horizontal="center"/>
    </xf>
    <xf numFmtId="10" fontId="7" fillId="0" borderId="3" xfId="0" applyNumberFormat="1" applyFont="1" applyBorder="1" applyAlignment="1">
      <alignment horizontal="center"/>
    </xf>
    <xf numFmtId="3" fontId="7" fillId="0" borderId="3" xfId="0" applyNumberFormat="1" applyFont="1" applyBorder="1" applyAlignment="1">
      <alignment horizontal="center"/>
    </xf>
    <xf numFmtId="166" fontId="0" fillId="0" borderId="3" xfId="0" applyNumberFormat="1" applyBorder="1" applyAlignment="1">
      <alignment horizontal="center"/>
    </xf>
    <xf numFmtId="0" fontId="8" fillId="0" borderId="0" xfId="1" applyNumberFormat="1" applyFont="1" applyFill="1" applyBorder="1" applyAlignment="1">
      <alignment horizontal="center" vertical="center"/>
    </xf>
    <xf numFmtId="10" fontId="8" fillId="0" borderId="0" xfId="1" applyNumberFormat="1" applyFont="1" applyFill="1" applyBorder="1" applyAlignment="1">
      <alignment horizontal="center" vertical="center"/>
    </xf>
    <xf numFmtId="0" fontId="12" fillId="0" borderId="0" xfId="0" applyFont="1" applyAlignment="1">
      <alignment horizontal="center" wrapText="1"/>
    </xf>
    <xf numFmtId="0" fontId="12" fillId="0" borderId="0" xfId="0" applyFont="1" applyAlignment="1">
      <alignment horizontal="left" vertical="top"/>
    </xf>
    <xf numFmtId="164" fontId="12" fillId="0" borderId="0" xfId="0" applyNumberFormat="1" applyFont="1" applyAlignment="1">
      <alignment horizontal="right" wrapText="1"/>
    </xf>
    <xf numFmtId="9" fontId="12" fillId="0" borderId="0" xfId="0" applyNumberFormat="1" applyFont="1" applyAlignment="1">
      <alignment horizontal="right" wrapText="1"/>
    </xf>
    <xf numFmtId="164" fontId="12" fillId="0" borderId="0" xfId="0" applyNumberFormat="1" applyFont="1" applyAlignment="1">
      <alignment horizontal="right" vertical="top"/>
    </xf>
    <xf numFmtId="0" fontId="12" fillId="0" borderId="0" xfId="0" applyFont="1" applyAlignment="1">
      <alignment horizontal="center" vertical="top"/>
    </xf>
    <xf numFmtId="0" fontId="2" fillId="0" borderId="0" xfId="0" applyFont="1" applyAlignment="1">
      <alignment horizontal="center" vertical="center" wrapText="1"/>
    </xf>
    <xf numFmtId="164" fontId="2" fillId="0" borderId="0" xfId="0" applyNumberFormat="1" applyFont="1" applyAlignment="1">
      <alignment horizontal="right" vertical="center" wrapText="1"/>
    </xf>
    <xf numFmtId="4" fontId="7" fillId="0" borderId="4" xfId="1" applyNumberFormat="1" applyFont="1" applyBorder="1" applyAlignment="1">
      <alignment horizontal="right" vertical="center"/>
    </xf>
    <xf numFmtId="3" fontId="0" fillId="0" borderId="0" xfId="0" applyNumberFormat="1" applyAlignment="1">
      <alignment horizontal="left"/>
    </xf>
  </cellXfs>
  <cellStyles count="3">
    <cellStyle name="Comma" xfId="1" builtinId="3"/>
    <cellStyle name="Normal" xfId="0" builtinId="0"/>
    <cellStyle name="Percent" xfId="2" builtinId="5"/>
  </cellStyles>
  <dxfs count="147">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righ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
      <alignment horizontal="righ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top" textRotation="0" wrapText="0" indent="0" justifyLastLine="0" shrinkToFit="0" readingOrder="0"/>
    </dxf>
    <dxf>
      <font>
        <strike val="0"/>
        <outline val="0"/>
        <shadow val="0"/>
        <u val="none"/>
        <vertAlign val="baseline"/>
        <sz val="11"/>
        <name val="Calibri"/>
        <family val="2"/>
        <scheme val="minor"/>
      </font>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center" textRotation="0" wrapText="1" indent="0" justifyLastLine="0" shrinkToFit="0" readingOrder="0"/>
    </dxf>
    <dxf>
      <numFmt numFmtId="164" formatCode="&quot;$&quot;#,##0"/>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left"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right" vertical="bottom" textRotation="0" wrapText="0" indent="5" justifyLastLine="0" shrinkToFit="0" readingOrder="0"/>
    </dxf>
    <dxf>
      <numFmt numFmtId="0" formatCode="General"/>
    </dxf>
    <dxf>
      <numFmt numFmtId="0" formatCode="General"/>
    </dxf>
    <dxf>
      <numFmt numFmtId="0" formatCode="General"/>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3" formatCode="#,##0"/>
      <alignment horizontal="right" vertical="bottom" textRotation="0" wrapText="0" indent="5" justifyLastLine="0" shrinkToFit="0" readingOrder="0"/>
    </dxf>
    <dxf>
      <numFmt numFmtId="3" formatCode="#,##0"/>
      <alignment horizontal="right" vertical="bottom" textRotation="0" wrapText="0" indent="5" justifyLastLine="0" shrinkToFit="0" readingOrder="0"/>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numFmt numFmtId="13" formatCode="0%"/>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1"/>
        <color theme="0"/>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numFmt numFmtId="4" formatCode="#,##0.00"/>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B0F0"/>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color rgb="FF00B0F0"/>
      </font>
      <numFmt numFmtId="4" formatCode="#,##0.00"/>
      <fill>
        <patternFill patternType="none">
          <fgColor indexed="64"/>
          <bgColor indexed="65"/>
        </patternFill>
      </fill>
      <alignment horizontal="center" vertical="center" textRotation="0" wrapText="0" indent="0" justifyLastLine="0" shrinkToFit="0" readingOrder="0"/>
    </dxf>
    <dxf>
      <font>
        <color rgb="FF00B0F0"/>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4"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rgb="FF00B0F0"/>
        <name val="Calibri"/>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t.1.xlsm" TargetMode="External"/><Relationship Id="rId1" Type="http://schemas.openxmlformats.org/officeDocument/2006/relationships/externalLinkPath" Target="/Users/Owner/Documents/Just%20Saying%20That/Consulting/GCO/Cliff%20Development/Cliff%20Model%20Working%20Group-v12.8t.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Production\GCO%20Cliff%20Model%20PROD%20v12.1.xlsm" TargetMode="External"/><Relationship Id="rId1" Type="http://schemas.openxmlformats.org/officeDocument/2006/relationships/externalLinkPath" Target="/Users/Owner/Documents/Just%20Saying%20That/Consulting/GCO/Cliff%20Production/GCO%20Cliff%20Model%20PROD%20v1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Alabama</v>
          </cell>
        </row>
        <row r="7">
          <cell r="C7" t="str">
            <v>Statewide Average</v>
          </cell>
        </row>
        <row r="11">
          <cell r="C11" t="str">
            <v>Yes</v>
          </cell>
          <cell r="D11">
            <v>24</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10.205338809034908</v>
          </cell>
          <cell r="P5">
            <v>10.684462696783024</v>
          </cell>
          <cell r="Q5">
            <v>11.163586584531142</v>
          </cell>
          <cell r="R5">
            <v>11.64271047227926</v>
          </cell>
          <cell r="S5">
            <v>12.121834360027378</v>
          </cell>
          <cell r="T5">
            <v>12.600958247775496</v>
          </cell>
          <cell r="U5">
            <v>13.080082135523613</v>
          </cell>
          <cell r="V5">
            <v>13.559206023271731</v>
          </cell>
          <cell r="W5">
            <v>14.038329911019849</v>
          </cell>
          <cell r="X5">
            <v>14.517453798767967</v>
          </cell>
          <cell r="Y5">
            <v>14.996577686516085</v>
          </cell>
          <cell r="Z5">
            <v>15.475701574264201</v>
          </cell>
          <cell r="AA5">
            <v>15.95482546201232</v>
          </cell>
          <cell r="AB5">
            <v>16.433949349760436</v>
          </cell>
          <cell r="AC5">
            <v>16.913073237508556</v>
          </cell>
          <cell r="AD5">
            <v>17.392197125256672</v>
          </cell>
          <cell r="AE5">
            <v>17.871321013004792</v>
          </cell>
          <cell r="AF5">
            <v>18.350444900752908</v>
          </cell>
          <cell r="AG5">
            <v>18.829568788501025</v>
          </cell>
          <cell r="AH5">
            <v>19.308692676249144</v>
          </cell>
          <cell r="AI5">
            <v>19.787816563997261</v>
          </cell>
          <cell r="AJ5">
            <v>20.266940451745381</v>
          </cell>
          <cell r="AK5">
            <v>20.746064339493497</v>
          </cell>
          <cell r="AL5">
            <v>21.225188227241613</v>
          </cell>
          <cell r="AM5">
            <v>21.704312114989733</v>
          </cell>
          <cell r="AN5">
            <v>22.183436002737849</v>
          </cell>
          <cell r="AO5">
            <v>22.662559890485969</v>
          </cell>
          <cell r="AP5">
            <v>23.141683778234086</v>
          </cell>
          <cell r="AQ5">
            <v>23.620807665982202</v>
          </cell>
          <cell r="AR5">
            <v>24.099931553730322</v>
          </cell>
          <cell r="AS5">
            <v>24.579055441478438</v>
          </cell>
          <cell r="AT5">
            <v>25.058179329226554</v>
          </cell>
          <cell r="AU5">
            <v>25.537303216974674</v>
          </cell>
          <cell r="AV5">
            <v>26.016427104722791</v>
          </cell>
          <cell r="AW5">
            <v>26.495550992470911</v>
          </cell>
          <cell r="AX5">
            <v>26.974674880219027</v>
          </cell>
          <cell r="AY5">
            <v>27.453798767967143</v>
          </cell>
          <cell r="AZ5">
            <v>27.932922655715263</v>
          </cell>
          <cell r="BA5">
            <v>28.412046543463379</v>
          </cell>
          <cell r="BB5">
            <v>28.891170431211499</v>
          </cell>
          <cell r="BC5">
            <v>29.370294318959616</v>
          </cell>
          <cell r="BD5">
            <v>29.849418206707732</v>
          </cell>
          <cell r="BE5">
            <v>30.328542094455852</v>
          </cell>
          <cell r="BF5">
            <v>30.807665982203968</v>
          </cell>
          <cell r="BG5">
            <v>31.286789869952088</v>
          </cell>
          <cell r="BH5">
            <v>31.765913757700204</v>
          </cell>
          <cell r="BI5">
            <v>32.245037645448321</v>
          </cell>
          <cell r="BJ5">
            <v>32.724161533196437</v>
          </cell>
          <cell r="BK5">
            <v>33.20328542094456</v>
          </cell>
          <cell r="BL5">
            <v>33.682409308692677</v>
          </cell>
          <cell r="BM5">
            <v>34.161533196440793</v>
          </cell>
          <cell r="BN5">
            <v>34.640657084188909</v>
          </cell>
          <cell r="BO5">
            <v>35.119780971937026</v>
          </cell>
          <cell r="BP5">
            <v>35.598904859685149</v>
          </cell>
          <cell r="BQ5">
            <v>36.078028747433265</v>
          </cell>
          <cell r="BR5">
            <v>36.557152635181382</v>
          </cell>
          <cell r="BS5">
            <v>37.036276522929498</v>
          </cell>
          <cell r="BT5">
            <v>37.515400410677614</v>
          </cell>
          <cell r="BU5">
            <v>37.994524298425738</v>
          </cell>
          <cell r="BV5">
            <v>38.473648186173854</v>
          </cell>
          <cell r="BW5">
            <v>38.95277207392197</v>
          </cell>
          <cell r="BX5">
            <v>39.431895961670087</v>
          </cell>
          <cell r="BY5">
            <v>39.911019849418203</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866.66666666666663</v>
          </cell>
          <cell r="P6">
            <v>887.5</v>
          </cell>
          <cell r="Q6">
            <v>908.33333333333337</v>
          </cell>
          <cell r="R6">
            <v>929.16666666666674</v>
          </cell>
          <cell r="S6">
            <v>950.00000000000011</v>
          </cell>
          <cell r="T6">
            <v>970.83333333333348</v>
          </cell>
          <cell r="U6">
            <v>991.66666666666686</v>
          </cell>
          <cell r="V6">
            <v>1012.5000000000002</v>
          </cell>
          <cell r="W6">
            <v>1033.3333333333335</v>
          </cell>
          <cell r="X6">
            <v>1054.1666666666667</v>
          </cell>
          <cell r="Y6">
            <v>1075</v>
          </cell>
          <cell r="Z6">
            <v>1095.8333333333333</v>
          </cell>
          <cell r="AA6">
            <v>1116.6666666666665</v>
          </cell>
          <cell r="AB6">
            <v>1137.4999999999998</v>
          </cell>
          <cell r="AC6">
            <v>1158.333333333333</v>
          </cell>
          <cell r="AD6">
            <v>1179.1666666666663</v>
          </cell>
          <cell r="AE6">
            <v>1199.9999999999995</v>
          </cell>
          <cell r="AF6">
            <v>1220.8333333333328</v>
          </cell>
          <cell r="AG6">
            <v>1241.6666666666661</v>
          </cell>
          <cell r="AH6">
            <v>1262.4999999999993</v>
          </cell>
          <cell r="AI6">
            <v>1283.3333333333326</v>
          </cell>
          <cell r="AJ6">
            <v>1304.1666666666658</v>
          </cell>
          <cell r="AK6">
            <v>1324.9999999999991</v>
          </cell>
          <cell r="AL6">
            <v>1345.8333333333323</v>
          </cell>
          <cell r="AM6">
            <v>1366.6666666666656</v>
          </cell>
          <cell r="AN6">
            <v>1387.4999999999989</v>
          </cell>
          <cell r="AO6">
            <v>1408.3333333333321</v>
          </cell>
          <cell r="AP6">
            <v>1429.1666666666654</v>
          </cell>
          <cell r="AQ6">
            <v>1449.9999999999986</v>
          </cell>
          <cell r="AR6">
            <v>1470.8333333333319</v>
          </cell>
          <cell r="AS6">
            <v>1491.6666666666652</v>
          </cell>
          <cell r="AT6">
            <v>1512.4999999999984</v>
          </cell>
          <cell r="AU6">
            <v>1533.3333333333317</v>
          </cell>
          <cell r="AV6">
            <v>1554.1666666666649</v>
          </cell>
          <cell r="AW6">
            <v>1574.9999999999982</v>
          </cell>
          <cell r="AX6">
            <v>1595.8333333333314</v>
          </cell>
          <cell r="AY6">
            <v>1616.6666666666647</v>
          </cell>
          <cell r="AZ6">
            <v>1637.499999999998</v>
          </cell>
          <cell r="BA6">
            <v>1658.3333333333312</v>
          </cell>
          <cell r="BB6">
            <v>1679.1666666666645</v>
          </cell>
          <cell r="BC6">
            <v>1699.9999999999977</v>
          </cell>
          <cell r="BD6">
            <v>1720.833333333331</v>
          </cell>
          <cell r="BE6">
            <v>1741.6666666666642</v>
          </cell>
          <cell r="BF6">
            <v>1762.4999999999975</v>
          </cell>
          <cell r="BG6">
            <v>1783.3333333333308</v>
          </cell>
          <cell r="BH6">
            <v>1804.166666666664</v>
          </cell>
          <cell r="BI6">
            <v>1824.9999999999973</v>
          </cell>
          <cell r="BJ6">
            <v>1845.8333333333305</v>
          </cell>
          <cell r="BK6">
            <v>1866.6666666666638</v>
          </cell>
          <cell r="BL6">
            <v>1887.499999999997</v>
          </cell>
          <cell r="BM6">
            <v>1908.3333333333303</v>
          </cell>
          <cell r="BN6">
            <v>1929.1666666666636</v>
          </cell>
          <cell r="BO6">
            <v>1949.9999999999968</v>
          </cell>
          <cell r="BP6">
            <v>1970.8333333333301</v>
          </cell>
          <cell r="BQ6">
            <v>1991.6666666666633</v>
          </cell>
          <cell r="BR6">
            <v>2012.4999999999966</v>
          </cell>
          <cell r="BS6">
            <v>2033.3333333333298</v>
          </cell>
          <cell r="BT6">
            <v>2054.1666666666633</v>
          </cell>
          <cell r="BU6">
            <v>2074.9999999999968</v>
          </cell>
          <cell r="BV6">
            <v>2095.8333333333303</v>
          </cell>
          <cell r="BW6">
            <v>2116.6666666666638</v>
          </cell>
          <cell r="BX6">
            <v>2137.4999999999973</v>
          </cell>
          <cell r="BY6">
            <v>2158.3333333333308</v>
          </cell>
          <cell r="BZ6">
            <v>2179.1666666666642</v>
          </cell>
          <cell r="CA6">
            <v>2199.9999999999977</v>
          </cell>
          <cell r="CB6">
            <v>2220.8333333333312</v>
          </cell>
          <cell r="CC6">
            <v>2241.6666666666647</v>
          </cell>
          <cell r="CD6">
            <v>2262.4999999999982</v>
          </cell>
          <cell r="CE6">
            <v>2283.3333333333317</v>
          </cell>
          <cell r="CF6">
            <v>2304.1666666666652</v>
          </cell>
          <cell r="CG6">
            <v>2324.9999999999986</v>
          </cell>
          <cell r="CH6">
            <v>2345.8333333333321</v>
          </cell>
          <cell r="CI6">
            <v>2366.6666666666656</v>
          </cell>
          <cell r="CJ6">
            <v>2387.4999999999991</v>
          </cell>
          <cell r="CK6">
            <v>2408.3333333333326</v>
          </cell>
          <cell r="CL6">
            <v>2429.1666666666661</v>
          </cell>
          <cell r="CM6">
            <v>2449.9999999999995</v>
          </cell>
          <cell r="CN6">
            <v>2470.833333333333</v>
          </cell>
          <cell r="CO6">
            <v>2491.6666666666665</v>
          </cell>
          <cell r="CP6">
            <v>2512.5</v>
          </cell>
          <cell r="CQ6">
            <v>2533.3333333333335</v>
          </cell>
          <cell r="CR6">
            <v>2554.166666666667</v>
          </cell>
          <cell r="CS6">
            <v>2575.0000000000005</v>
          </cell>
          <cell r="CT6">
            <v>2595.8333333333339</v>
          </cell>
          <cell r="CU6">
            <v>2616.6666666666674</v>
          </cell>
          <cell r="CV6">
            <v>2637.5000000000009</v>
          </cell>
          <cell r="CW6">
            <v>2658.3333333333344</v>
          </cell>
          <cell r="CX6">
            <v>2679.1666666666679</v>
          </cell>
          <cell r="CY6">
            <v>2700.0000000000014</v>
          </cell>
          <cell r="CZ6">
            <v>2720.8333333333348</v>
          </cell>
          <cell r="DA6">
            <v>2741.6666666666683</v>
          </cell>
          <cell r="DB6">
            <v>2762.5000000000018</v>
          </cell>
          <cell r="DC6">
            <v>2783.3333333333353</v>
          </cell>
          <cell r="DD6">
            <v>2804.1666666666688</v>
          </cell>
          <cell r="DE6">
            <v>2825.0000000000023</v>
          </cell>
          <cell r="DF6">
            <v>2845.8333333333358</v>
          </cell>
          <cell r="DG6">
            <v>2866.6666666666692</v>
          </cell>
          <cell r="DH6">
            <v>2887.5000000000027</v>
          </cell>
          <cell r="DI6">
            <v>2908.3333333333362</v>
          </cell>
          <cell r="DJ6">
            <v>2929.1666666666697</v>
          </cell>
          <cell r="DK6">
            <v>2950.0000000000032</v>
          </cell>
          <cell r="DL6">
            <v>2970.8333333333367</v>
          </cell>
          <cell r="DM6">
            <v>2991.6666666666702</v>
          </cell>
          <cell r="DN6">
            <v>3012.5000000000036</v>
          </cell>
          <cell r="DO6">
            <v>3033.3333333333371</v>
          </cell>
          <cell r="DP6">
            <v>3054.1666666666706</v>
          </cell>
          <cell r="DQ6">
            <v>3075.0000000000041</v>
          </cell>
          <cell r="DR6">
            <v>3095.8333333333376</v>
          </cell>
          <cell r="DS6">
            <v>3116.6666666666711</v>
          </cell>
          <cell r="DT6">
            <v>3137.5000000000045</v>
          </cell>
          <cell r="DU6">
            <v>3158.333333333338</v>
          </cell>
          <cell r="DV6">
            <v>3179.1666666666715</v>
          </cell>
          <cell r="DW6">
            <v>3200.000000000005</v>
          </cell>
          <cell r="DX6">
            <v>3220.8333333333385</v>
          </cell>
          <cell r="DY6">
            <v>3241.666666666672</v>
          </cell>
          <cell r="DZ6">
            <v>3262.5000000000055</v>
          </cell>
          <cell r="EA6">
            <v>3283.3333333333389</v>
          </cell>
          <cell r="EB6">
            <v>3304.1666666666724</v>
          </cell>
          <cell r="EC6">
            <v>3325.0000000000059</v>
          </cell>
          <cell r="ED6">
            <v>3345.8333333333394</v>
          </cell>
          <cell r="EE6">
            <v>3366.6666666666729</v>
          </cell>
          <cell r="EF6">
            <v>3387.5000000000064</v>
          </cell>
          <cell r="EG6">
            <v>3408.3333333333399</v>
          </cell>
          <cell r="EH6">
            <v>3429.1666666666733</v>
          </cell>
          <cell r="EI6">
            <v>3450.0000000000068</v>
          </cell>
          <cell r="EJ6">
            <v>3470.8333333333403</v>
          </cell>
          <cell r="EK6">
            <v>3491.6666666666738</v>
          </cell>
          <cell r="EL6">
            <v>3512.5000000000073</v>
          </cell>
          <cell r="EM6">
            <v>3533.3333333333408</v>
          </cell>
          <cell r="EN6">
            <v>3554.1666666666742</v>
          </cell>
          <cell r="EO6">
            <v>3575.0000000000077</v>
          </cell>
          <cell r="EP6">
            <v>3595.8333333333412</v>
          </cell>
          <cell r="EQ6">
            <v>3616.6666666666747</v>
          </cell>
          <cell r="ER6">
            <v>3637.5000000000082</v>
          </cell>
          <cell r="ES6">
            <v>3658.3333333333417</v>
          </cell>
          <cell r="ET6">
            <v>3679.1666666666752</v>
          </cell>
          <cell r="EU6">
            <v>3700.0000000000086</v>
          </cell>
          <cell r="EV6">
            <v>3720.8333333333421</v>
          </cell>
          <cell r="EW6">
            <v>3741.6666666666756</v>
          </cell>
          <cell r="EX6">
            <v>3762.5000000000091</v>
          </cell>
          <cell r="EY6">
            <v>3783.3333333333426</v>
          </cell>
          <cell r="EZ6">
            <v>3804.1666666666761</v>
          </cell>
          <cell r="FA6">
            <v>3825.0000000000095</v>
          </cell>
          <cell r="FB6">
            <v>3845.833333333343</v>
          </cell>
          <cell r="FC6">
            <v>3866.6666666666765</v>
          </cell>
          <cell r="FD6">
            <v>3887.50000000001</v>
          </cell>
          <cell r="FE6">
            <v>3908.3333333333435</v>
          </cell>
          <cell r="FF6">
            <v>3929.166666666677</v>
          </cell>
          <cell r="FG6">
            <v>3950.0000000000105</v>
          </cell>
          <cell r="FH6">
            <v>3970.8333333333439</v>
          </cell>
          <cell r="FI6">
            <v>3991.6666666666774</v>
          </cell>
          <cell r="FJ6">
            <v>4012.5000000000109</v>
          </cell>
          <cell r="FK6">
            <v>4033.3333333333444</v>
          </cell>
          <cell r="FL6">
            <v>4054.1666666666779</v>
          </cell>
          <cell r="FM6">
            <v>4075.0000000000114</v>
          </cell>
          <cell r="FN6">
            <v>4095.8333333333449</v>
          </cell>
          <cell r="FO6">
            <v>4116.6666666666779</v>
          </cell>
          <cell r="FP6">
            <v>4137.5000000000109</v>
          </cell>
          <cell r="FQ6">
            <v>4158.3333333333439</v>
          </cell>
          <cell r="FR6">
            <v>4179.166666666677</v>
          </cell>
          <cell r="FS6">
            <v>4200.00000000001</v>
          </cell>
          <cell r="FT6">
            <v>4220.833333333343</v>
          </cell>
          <cell r="FU6">
            <v>4241.6666666666761</v>
          </cell>
          <cell r="FV6">
            <v>4262.5000000000091</v>
          </cell>
          <cell r="FW6">
            <v>4283.3333333333421</v>
          </cell>
          <cell r="FX6">
            <v>4304.1666666666752</v>
          </cell>
          <cell r="FY6">
            <v>4325.0000000000082</v>
          </cell>
          <cell r="FZ6">
            <v>4345.8333333333412</v>
          </cell>
          <cell r="GA6">
            <v>4366.6666666666742</v>
          </cell>
          <cell r="GB6">
            <v>4387.5000000000073</v>
          </cell>
          <cell r="GC6">
            <v>4408.3333333333403</v>
          </cell>
          <cell r="GD6">
            <v>4429.1666666666733</v>
          </cell>
          <cell r="GE6">
            <v>4450.0000000000064</v>
          </cell>
          <cell r="GF6">
            <v>4470.8333333333394</v>
          </cell>
          <cell r="GG6">
            <v>4491.6666666666724</v>
          </cell>
          <cell r="GH6">
            <v>4512.5000000000055</v>
          </cell>
          <cell r="GI6">
            <v>4533.3333333333385</v>
          </cell>
          <cell r="GJ6">
            <v>4554.1666666666715</v>
          </cell>
          <cell r="GK6">
            <v>4575.0000000000045</v>
          </cell>
          <cell r="GL6">
            <v>4595.8333333333376</v>
          </cell>
          <cell r="GM6">
            <v>4616.6666666666706</v>
          </cell>
          <cell r="GN6">
            <v>4637.5000000000036</v>
          </cell>
          <cell r="GO6">
            <v>4658.3333333333367</v>
          </cell>
          <cell r="GP6">
            <v>4679.1666666666697</v>
          </cell>
          <cell r="GQ6">
            <v>4700.0000000000027</v>
          </cell>
          <cell r="GR6">
            <v>4720.8333333333358</v>
          </cell>
          <cell r="GS6">
            <v>4741.6666666666688</v>
          </cell>
          <cell r="GT6">
            <v>4762.5000000000018</v>
          </cell>
          <cell r="GU6">
            <v>4783.3333333333348</v>
          </cell>
          <cell r="GV6">
            <v>4804.1666666666679</v>
          </cell>
          <cell r="GW6">
            <v>4825.0000000000009</v>
          </cell>
          <cell r="GX6">
            <v>4845.8333333333339</v>
          </cell>
          <cell r="GY6">
            <v>4866.666666666667</v>
          </cell>
          <cell r="GZ6">
            <v>4887.5</v>
          </cell>
          <cell r="HA6">
            <v>4908.333333333333</v>
          </cell>
          <cell r="HB6">
            <v>4929.1666666666661</v>
          </cell>
          <cell r="HC6">
            <v>4949.9999999999991</v>
          </cell>
          <cell r="HD6">
            <v>4970.8333333333321</v>
          </cell>
          <cell r="HE6">
            <v>4991.6666666666652</v>
          </cell>
          <cell r="HF6">
            <v>5012.4999999999982</v>
          </cell>
        </row>
        <row r="7">
          <cell r="N7">
            <v>0</v>
          </cell>
          <cell r="O7">
            <v>20.833333333333332</v>
          </cell>
          <cell r="P7">
            <v>41.666666666666664</v>
          </cell>
          <cell r="Q7">
            <v>62.5</v>
          </cell>
          <cell r="R7">
            <v>83.333333333333329</v>
          </cell>
          <cell r="S7">
            <v>104.16666666666666</v>
          </cell>
          <cell r="T7">
            <v>124.99999999999999</v>
          </cell>
          <cell r="U7">
            <v>145.83333333333331</v>
          </cell>
          <cell r="V7">
            <v>166.66666666666666</v>
          </cell>
          <cell r="W7">
            <v>187.5</v>
          </cell>
          <cell r="X7">
            <v>208.33333333333334</v>
          </cell>
          <cell r="Y7">
            <v>229.16666666666669</v>
          </cell>
          <cell r="Z7">
            <v>250.00000000000003</v>
          </cell>
          <cell r="AA7">
            <v>270.83333333333337</v>
          </cell>
          <cell r="AB7">
            <v>291.66666666666669</v>
          </cell>
          <cell r="AC7">
            <v>312.5</v>
          </cell>
          <cell r="AD7">
            <v>333.33333333333331</v>
          </cell>
          <cell r="AE7">
            <v>354.16666666666663</v>
          </cell>
          <cell r="AF7">
            <v>374.99999999999994</v>
          </cell>
          <cell r="AG7">
            <v>395.83333333333326</v>
          </cell>
          <cell r="AH7">
            <v>416.66666666666657</v>
          </cell>
          <cell r="AI7">
            <v>437.49999999999989</v>
          </cell>
          <cell r="AJ7">
            <v>458.3333333333332</v>
          </cell>
          <cell r="AK7">
            <v>479.16666666666652</v>
          </cell>
          <cell r="AL7">
            <v>499.99999999999983</v>
          </cell>
          <cell r="AM7">
            <v>520.83333333333314</v>
          </cell>
          <cell r="AN7">
            <v>541.66666666666652</v>
          </cell>
          <cell r="AO7">
            <v>562.49999999999989</v>
          </cell>
          <cell r="AP7">
            <v>583.33333333333326</v>
          </cell>
          <cell r="AQ7">
            <v>604.16666666666663</v>
          </cell>
          <cell r="AR7">
            <v>625</v>
          </cell>
          <cell r="AS7">
            <v>645.83333333333337</v>
          </cell>
          <cell r="AT7">
            <v>666.66666666666674</v>
          </cell>
          <cell r="AU7">
            <v>687.50000000000011</v>
          </cell>
          <cell r="AV7">
            <v>708.33333333333348</v>
          </cell>
          <cell r="AW7">
            <v>729.16666666666686</v>
          </cell>
          <cell r="AX7">
            <v>750.00000000000023</v>
          </cell>
          <cell r="AY7">
            <v>770.8333333333336</v>
          </cell>
          <cell r="AZ7">
            <v>791.66666666666697</v>
          </cell>
          <cell r="BA7">
            <v>812.50000000000034</v>
          </cell>
          <cell r="BB7">
            <v>833.33333333333371</v>
          </cell>
          <cell r="BC7">
            <v>854.16666666666708</v>
          </cell>
          <cell r="BD7">
            <v>875.00000000000045</v>
          </cell>
          <cell r="BE7">
            <v>895.83333333333383</v>
          </cell>
          <cell r="BF7">
            <v>916.6666666666672</v>
          </cell>
          <cell r="BG7">
            <v>937.50000000000057</v>
          </cell>
          <cell r="BH7">
            <v>958.33333333333394</v>
          </cell>
          <cell r="BI7">
            <v>979.16666666666731</v>
          </cell>
          <cell r="BJ7">
            <v>1000.0000000000007</v>
          </cell>
          <cell r="BK7">
            <v>1020.8333333333341</v>
          </cell>
          <cell r="BL7">
            <v>1041.6666666666674</v>
          </cell>
          <cell r="BM7">
            <v>1062.5000000000007</v>
          </cell>
          <cell r="BN7">
            <v>1083.3333333333339</v>
          </cell>
          <cell r="BO7">
            <v>1104.1666666666672</v>
          </cell>
          <cell r="BP7">
            <v>1125.0000000000005</v>
          </cell>
          <cell r="BQ7">
            <v>1145.8333333333337</v>
          </cell>
          <cell r="BR7">
            <v>1166.666666666667</v>
          </cell>
          <cell r="BS7">
            <v>1187.5000000000002</v>
          </cell>
          <cell r="BT7">
            <v>1208.3333333333335</v>
          </cell>
          <cell r="BU7">
            <v>1229.1666666666667</v>
          </cell>
          <cell r="BV7">
            <v>1250</v>
          </cell>
          <cell r="BW7">
            <v>1270.8333333333333</v>
          </cell>
          <cell r="BX7">
            <v>1291.6666666666665</v>
          </cell>
          <cell r="BY7">
            <v>1312.4999999999998</v>
          </cell>
          <cell r="BZ7">
            <v>1333.333333333333</v>
          </cell>
          <cell r="CA7">
            <v>1354.1666666666663</v>
          </cell>
          <cell r="CB7">
            <v>1374.9999999999995</v>
          </cell>
          <cell r="CC7">
            <v>1395.8333333333328</v>
          </cell>
          <cell r="CD7">
            <v>1416.6666666666661</v>
          </cell>
          <cell r="CE7">
            <v>1437.4999999999993</v>
          </cell>
          <cell r="CF7">
            <v>1458.3333333333326</v>
          </cell>
          <cell r="CG7">
            <v>1479.1666666666658</v>
          </cell>
          <cell r="CH7">
            <v>1499.9999999999991</v>
          </cell>
          <cell r="CI7">
            <v>1520.8333333333323</v>
          </cell>
          <cell r="CJ7">
            <v>1541.6666666666656</v>
          </cell>
          <cell r="CK7">
            <v>1562.4999999999989</v>
          </cell>
          <cell r="CL7">
            <v>1583.3333333333321</v>
          </cell>
          <cell r="CM7">
            <v>1604.1666666666654</v>
          </cell>
          <cell r="CN7">
            <v>1624.9999999999986</v>
          </cell>
          <cell r="CO7">
            <v>1645.8333333333319</v>
          </cell>
          <cell r="CP7">
            <v>1666.6666666666652</v>
          </cell>
          <cell r="CQ7">
            <v>1687.4999999999984</v>
          </cell>
          <cell r="CR7">
            <v>1708.3333333333317</v>
          </cell>
          <cell r="CS7">
            <v>1729.1666666666649</v>
          </cell>
          <cell r="CT7">
            <v>1749.9999999999982</v>
          </cell>
          <cell r="CU7">
            <v>1770.8333333333314</v>
          </cell>
          <cell r="CV7">
            <v>1791.6666666666647</v>
          </cell>
          <cell r="CW7">
            <v>1812.499999999998</v>
          </cell>
          <cell r="CX7">
            <v>1833.3333333333312</v>
          </cell>
          <cell r="CY7">
            <v>1854.1666666666645</v>
          </cell>
          <cell r="CZ7">
            <v>1874.9999999999977</v>
          </cell>
          <cell r="DA7">
            <v>1895.833333333331</v>
          </cell>
          <cell r="DB7">
            <v>1916.6666666666642</v>
          </cell>
          <cell r="DC7">
            <v>1937.4999999999975</v>
          </cell>
          <cell r="DD7">
            <v>1958.3333333333308</v>
          </cell>
          <cell r="DE7">
            <v>1979.166666666664</v>
          </cell>
          <cell r="DF7">
            <v>1999.9999999999973</v>
          </cell>
          <cell r="DG7">
            <v>2020.8333333333305</v>
          </cell>
          <cell r="DH7">
            <v>2041.6666666666638</v>
          </cell>
          <cell r="DI7">
            <v>2062.4999999999973</v>
          </cell>
          <cell r="DJ7">
            <v>2083.3333333333308</v>
          </cell>
          <cell r="DK7">
            <v>2104.1666666666642</v>
          </cell>
          <cell r="DL7">
            <v>2124.9999999999977</v>
          </cell>
          <cell r="DM7">
            <v>2145.8333333333312</v>
          </cell>
          <cell r="DN7">
            <v>2166.6666666666647</v>
          </cell>
          <cell r="DO7">
            <v>2187.4999999999982</v>
          </cell>
          <cell r="DP7">
            <v>2208.3333333333317</v>
          </cell>
          <cell r="DQ7">
            <v>2229.1666666666652</v>
          </cell>
          <cell r="DR7">
            <v>2249.9999999999986</v>
          </cell>
          <cell r="DS7">
            <v>2270.8333333333321</v>
          </cell>
          <cell r="DT7">
            <v>2291.6666666666656</v>
          </cell>
          <cell r="DU7">
            <v>2312.4999999999991</v>
          </cell>
          <cell r="DV7">
            <v>2333.3333333333326</v>
          </cell>
          <cell r="DW7">
            <v>2354.1666666666661</v>
          </cell>
          <cell r="DX7">
            <v>2374.9999999999995</v>
          </cell>
          <cell r="DY7">
            <v>2395.833333333333</v>
          </cell>
          <cell r="DZ7">
            <v>2416.6666666666665</v>
          </cell>
          <cell r="EA7">
            <v>2437.5</v>
          </cell>
          <cell r="EB7">
            <v>2458.3333333333335</v>
          </cell>
          <cell r="EC7">
            <v>2479.166666666667</v>
          </cell>
          <cell r="ED7">
            <v>2500.0000000000005</v>
          </cell>
          <cell r="EE7">
            <v>2520.8333333333339</v>
          </cell>
          <cell r="EF7">
            <v>2541.6666666666674</v>
          </cell>
          <cell r="EG7">
            <v>2562.5000000000009</v>
          </cell>
          <cell r="EH7">
            <v>2583.3333333333344</v>
          </cell>
          <cell r="EI7">
            <v>2604.1666666666679</v>
          </cell>
          <cell r="EJ7">
            <v>2625.0000000000014</v>
          </cell>
          <cell r="EK7">
            <v>2645.8333333333348</v>
          </cell>
          <cell r="EL7">
            <v>2666.6666666666683</v>
          </cell>
          <cell r="EM7">
            <v>2687.5000000000018</v>
          </cell>
          <cell r="EN7">
            <v>2708.3333333333353</v>
          </cell>
          <cell r="EO7">
            <v>2729.1666666666688</v>
          </cell>
          <cell r="EP7">
            <v>2750.0000000000023</v>
          </cell>
          <cell r="EQ7">
            <v>2770.8333333333358</v>
          </cell>
          <cell r="ER7">
            <v>2791.6666666666692</v>
          </cell>
          <cell r="ES7">
            <v>2812.5000000000027</v>
          </cell>
          <cell r="ET7">
            <v>2833.3333333333362</v>
          </cell>
          <cell r="EU7">
            <v>2854.1666666666697</v>
          </cell>
          <cell r="EV7">
            <v>2875.0000000000032</v>
          </cell>
          <cell r="EW7">
            <v>2895.8333333333367</v>
          </cell>
          <cell r="EX7">
            <v>2916.6666666666702</v>
          </cell>
          <cell r="EY7">
            <v>2937.5000000000036</v>
          </cell>
          <cell r="EZ7">
            <v>2958.3333333333371</v>
          </cell>
          <cell r="FA7">
            <v>2979.1666666666706</v>
          </cell>
          <cell r="FB7">
            <v>3000.0000000000041</v>
          </cell>
          <cell r="FC7">
            <v>3020.8333333333376</v>
          </cell>
          <cell r="FD7">
            <v>3041.6666666666711</v>
          </cell>
          <cell r="FE7">
            <v>3062.5000000000045</v>
          </cell>
          <cell r="FF7">
            <v>3083.333333333338</v>
          </cell>
          <cell r="FG7">
            <v>3104.1666666666715</v>
          </cell>
          <cell r="FH7">
            <v>3125.000000000005</v>
          </cell>
          <cell r="FI7">
            <v>3145.8333333333385</v>
          </cell>
          <cell r="FJ7">
            <v>3166.666666666672</v>
          </cell>
          <cell r="FK7">
            <v>3187.5000000000055</v>
          </cell>
          <cell r="FL7">
            <v>3208.3333333333389</v>
          </cell>
          <cell r="FM7">
            <v>3229.1666666666724</v>
          </cell>
          <cell r="FN7">
            <v>3250.0000000000059</v>
          </cell>
          <cell r="FO7">
            <v>3270.8333333333394</v>
          </cell>
          <cell r="FP7">
            <v>3291.6666666666729</v>
          </cell>
          <cell r="FQ7">
            <v>3312.5000000000064</v>
          </cell>
          <cell r="FR7">
            <v>3333.3333333333399</v>
          </cell>
          <cell r="FS7">
            <v>3354.1666666666733</v>
          </cell>
          <cell r="FT7">
            <v>3375.0000000000068</v>
          </cell>
          <cell r="FU7">
            <v>3395.8333333333403</v>
          </cell>
          <cell r="FV7">
            <v>3416.6666666666738</v>
          </cell>
          <cell r="FW7">
            <v>3437.5000000000073</v>
          </cell>
          <cell r="FX7">
            <v>3458.3333333333408</v>
          </cell>
          <cell r="FY7">
            <v>3479.1666666666742</v>
          </cell>
          <cell r="FZ7">
            <v>3500.0000000000077</v>
          </cell>
          <cell r="GA7">
            <v>3520.8333333333412</v>
          </cell>
          <cell r="GB7">
            <v>3541.6666666666747</v>
          </cell>
          <cell r="GC7">
            <v>3562.5000000000082</v>
          </cell>
          <cell r="GD7">
            <v>3583.3333333333417</v>
          </cell>
          <cell r="GE7">
            <v>3604.1666666666752</v>
          </cell>
          <cell r="GF7">
            <v>3625.0000000000086</v>
          </cell>
          <cell r="GG7">
            <v>3645.8333333333421</v>
          </cell>
          <cell r="GH7">
            <v>3666.6666666666756</v>
          </cell>
          <cell r="GI7">
            <v>3687.5000000000091</v>
          </cell>
          <cell r="GJ7">
            <v>3708.3333333333426</v>
          </cell>
          <cell r="GK7">
            <v>3729.1666666666761</v>
          </cell>
          <cell r="GL7">
            <v>3750.0000000000095</v>
          </cell>
          <cell r="GM7">
            <v>3770.833333333343</v>
          </cell>
          <cell r="GN7">
            <v>3791.6666666666765</v>
          </cell>
          <cell r="GO7">
            <v>3812.50000000001</v>
          </cell>
          <cell r="GP7">
            <v>3833.3333333333435</v>
          </cell>
          <cell r="GQ7">
            <v>3854.166666666677</v>
          </cell>
          <cell r="GR7">
            <v>3875.0000000000105</v>
          </cell>
          <cell r="GS7">
            <v>3895.8333333333439</v>
          </cell>
          <cell r="GT7">
            <v>3916.6666666666774</v>
          </cell>
          <cell r="GU7">
            <v>3937.5000000000109</v>
          </cell>
          <cell r="GV7">
            <v>3958.3333333333444</v>
          </cell>
          <cell r="GW7">
            <v>3979.1666666666779</v>
          </cell>
          <cell r="GX7">
            <v>4000.0000000000114</v>
          </cell>
          <cell r="GY7">
            <v>4020.8333333333449</v>
          </cell>
          <cell r="GZ7">
            <v>4041.6666666666783</v>
          </cell>
          <cell r="HA7">
            <v>4062.5000000000118</v>
          </cell>
          <cell r="HB7">
            <v>4083.3333333333453</v>
          </cell>
          <cell r="HC7">
            <v>4104.1666666666788</v>
          </cell>
          <cell r="HD7">
            <v>4125.0000000000118</v>
          </cell>
          <cell r="HE7">
            <v>4145.8333333333449</v>
          </cell>
          <cell r="HF7">
            <v>4166.6666666666779</v>
          </cell>
        </row>
        <row r="10">
          <cell r="N10">
            <v>0</v>
          </cell>
          <cell r="O10">
            <v>10</v>
          </cell>
          <cell r="P10">
            <v>10.896860986547086</v>
          </cell>
          <cell r="Q10">
            <v>11.755230085259532</v>
          </cell>
          <cell r="R10">
            <v>12.578275352749245</v>
          </cell>
          <cell r="S10">
            <v>13.36878918674134</v>
          </cell>
          <cell r="T10">
            <v>14.129245460505599</v>
          </cell>
          <cell r="U10">
            <v>14.861846193106331</v>
          </cell>
          <cell r="V10">
            <v>15.568559974025058</v>
          </cell>
          <cell r="W10">
            <v>16.251153830680348</v>
          </cell>
          <cell r="X10">
            <v>16.91121983728101</v>
          </cell>
          <cell r="Y10">
            <v>17.550197473063758</v>
          </cell>
          <cell r="Z10">
            <v>18.169392519503386</v>
          </cell>
          <cell r="AA10">
            <v>18.769993120103987</v>
          </cell>
          <cell r="AB10">
            <v>19.353083499112731</v>
          </cell>
          <cell r="AC10">
            <v>19.919655737073072</v>
          </cell>
          <cell r="AD10">
            <v>20.068681318681314</v>
          </cell>
          <cell r="AE10">
            <v>20.06868131868131</v>
          </cell>
          <cell r="AF10">
            <v>20.068681318681314</v>
          </cell>
          <cell r="AG10">
            <v>20.068681318681314</v>
          </cell>
          <cell r="AH10">
            <v>20.06868131868131</v>
          </cell>
          <cell r="AI10">
            <v>20.068681318681314</v>
          </cell>
          <cell r="AJ10">
            <v>20.06868131868131</v>
          </cell>
          <cell r="AK10">
            <v>20.06868131868131</v>
          </cell>
          <cell r="AL10">
            <v>20.06868131868131</v>
          </cell>
          <cell r="AM10">
            <v>20.068681318681307</v>
          </cell>
          <cell r="AN10">
            <v>20.06868131868131</v>
          </cell>
          <cell r="AO10">
            <v>20.068681318681307</v>
          </cell>
          <cell r="AP10">
            <v>20.068681318681307</v>
          </cell>
          <cell r="AQ10">
            <v>20.068681318681307</v>
          </cell>
          <cell r="AR10">
            <v>20.068681318681307</v>
          </cell>
          <cell r="AS10">
            <v>20.068681318681307</v>
          </cell>
          <cell r="AT10">
            <v>20.068681318681307</v>
          </cell>
          <cell r="AU10">
            <v>20.068681318681307</v>
          </cell>
          <cell r="AV10">
            <v>20.068681318681303</v>
          </cell>
          <cell r="AW10">
            <v>20.068681318681307</v>
          </cell>
          <cell r="AX10">
            <v>20.068681318681307</v>
          </cell>
          <cell r="AY10">
            <v>20.068681318681307</v>
          </cell>
          <cell r="AZ10">
            <v>20.068681318681307</v>
          </cell>
          <cell r="BA10">
            <v>20.06868131868131</v>
          </cell>
          <cell r="BB10">
            <v>20.068681318681307</v>
          </cell>
          <cell r="BC10">
            <v>20.068681318681307</v>
          </cell>
          <cell r="BD10">
            <v>20.068681318681307</v>
          </cell>
          <cell r="BE10">
            <v>20.068681318681307</v>
          </cell>
          <cell r="BF10">
            <v>20.068681318681307</v>
          </cell>
          <cell r="BG10">
            <v>20.068681318681303</v>
          </cell>
          <cell r="BH10">
            <v>20.068681318681307</v>
          </cell>
          <cell r="BI10">
            <v>20.068681318681307</v>
          </cell>
          <cell r="BJ10">
            <v>20.06868131868131</v>
          </cell>
          <cell r="BK10">
            <v>20.068681318681303</v>
          </cell>
          <cell r="BL10">
            <v>20.068681318681303</v>
          </cell>
          <cell r="BM10">
            <v>20.068681318681307</v>
          </cell>
          <cell r="BN10">
            <v>20.068681318681303</v>
          </cell>
          <cell r="BO10">
            <v>20.068681318681307</v>
          </cell>
          <cell r="BP10">
            <v>20.0686813186813</v>
          </cell>
          <cell r="BQ10">
            <v>20.068681318681303</v>
          </cell>
          <cell r="BR10">
            <v>20.0686813186813</v>
          </cell>
          <cell r="BS10">
            <v>20.068681318681303</v>
          </cell>
          <cell r="BT10">
            <v>20.068681318681303</v>
          </cell>
          <cell r="BU10">
            <v>20.0686813186813</v>
          </cell>
          <cell r="BV10">
            <v>20.0686813186813</v>
          </cell>
          <cell r="BW10">
            <v>20.068681318681303</v>
          </cell>
          <cell r="BX10">
            <v>20.068681318681303</v>
          </cell>
          <cell r="BY10">
            <v>20.068681318681303</v>
          </cell>
          <cell r="BZ10">
            <v>20.264423076923062</v>
          </cell>
          <cell r="CA10">
            <v>20.503985020797121</v>
          </cell>
          <cell r="CB10">
            <v>20.743546964671179</v>
          </cell>
          <cell r="CC10">
            <v>20.983108908545237</v>
          </cell>
          <cell r="CD10">
            <v>21.222670852419295</v>
          </cell>
          <cell r="CE10">
            <v>21.462232796293353</v>
          </cell>
          <cell r="CF10">
            <v>21.701794740167411</v>
          </cell>
          <cell r="CG10">
            <v>21.94135668404147</v>
          </cell>
          <cell r="CH10">
            <v>22.180918627915528</v>
          </cell>
          <cell r="CI10">
            <v>22.420480571789586</v>
          </cell>
          <cell r="CJ10">
            <v>22.660042515663644</v>
          </cell>
          <cell r="CK10">
            <v>22.899604459537702</v>
          </cell>
          <cell r="CL10">
            <v>23.13916640341176</v>
          </cell>
          <cell r="CM10">
            <v>23.378728347285819</v>
          </cell>
          <cell r="CN10">
            <v>23.618290291159877</v>
          </cell>
          <cell r="CO10">
            <v>23.857852235033935</v>
          </cell>
          <cell r="CP10">
            <v>24.097414178907993</v>
          </cell>
          <cell r="CQ10">
            <v>24.336976122782051</v>
          </cell>
          <cell r="CR10">
            <v>24.576538066656109</v>
          </cell>
          <cell r="CS10">
            <v>24.816100010530167</v>
          </cell>
          <cell r="CT10">
            <v>25.055661954404226</v>
          </cell>
          <cell r="CU10">
            <v>25.295223898278284</v>
          </cell>
          <cell r="CV10">
            <v>25.534785842152342</v>
          </cell>
          <cell r="CW10">
            <v>25.7743477860264</v>
          </cell>
          <cell r="CX10">
            <v>26.013909729900458</v>
          </cell>
          <cell r="CY10">
            <v>26.253471673774516</v>
          </cell>
          <cell r="CZ10">
            <v>26.493033617648575</v>
          </cell>
          <cell r="DA10">
            <v>26.732595561522633</v>
          </cell>
          <cell r="DB10">
            <v>26.972157505396691</v>
          </cell>
          <cell r="DC10">
            <v>27.211719449270749</v>
          </cell>
          <cell r="DD10">
            <v>27.451281393144807</v>
          </cell>
          <cell r="DE10">
            <v>27.690843337018865</v>
          </cell>
          <cell r="DF10">
            <v>27.930405280892924</v>
          </cell>
          <cell r="DG10">
            <v>28.169967224766982</v>
          </cell>
          <cell r="DH10">
            <v>28.40952916864104</v>
          </cell>
          <cell r="DI10">
            <v>28.649091112515098</v>
          </cell>
          <cell r="DJ10">
            <v>28.888653056389156</v>
          </cell>
          <cell r="DK10">
            <v>29.128215000263214</v>
          </cell>
          <cell r="DL10">
            <v>29.367776944137272</v>
          </cell>
          <cell r="DM10">
            <v>29.607338888011331</v>
          </cell>
          <cell r="DN10">
            <v>29.846900831885389</v>
          </cell>
          <cell r="DO10">
            <v>30.086462775759447</v>
          </cell>
          <cell r="DP10">
            <v>30.326024719633505</v>
          </cell>
          <cell r="DQ10">
            <v>30.565586663507563</v>
          </cell>
          <cell r="DR10">
            <v>30.805148607381621</v>
          </cell>
          <cell r="DS10">
            <v>31.04471055125568</v>
          </cell>
          <cell r="DT10">
            <v>31.284272495129738</v>
          </cell>
          <cell r="DU10">
            <v>31.523834439003796</v>
          </cell>
          <cell r="DV10">
            <v>31.763396382877854</v>
          </cell>
          <cell r="DW10">
            <v>32.002958326751916</v>
          </cell>
          <cell r="DX10">
            <v>32.242520270625974</v>
          </cell>
          <cell r="DY10">
            <v>32.482082214500032</v>
          </cell>
          <cell r="DZ10">
            <v>32.72164415837409</v>
          </cell>
          <cell r="EA10">
            <v>32.961206102248148</v>
          </cell>
          <cell r="EB10">
            <v>33.200768046122207</v>
          </cell>
          <cell r="EC10">
            <v>33.440329989996265</v>
          </cell>
          <cell r="ED10">
            <v>33.679891933870323</v>
          </cell>
          <cell r="EE10">
            <v>33.919453877744381</v>
          </cell>
          <cell r="EF10">
            <v>34.159015821618439</v>
          </cell>
          <cell r="EG10">
            <v>34.398577765492497</v>
          </cell>
          <cell r="EH10">
            <v>34.638139709366556</v>
          </cell>
          <cell r="EI10">
            <v>34.877701653240614</v>
          </cell>
          <cell r="EJ10">
            <v>35.117263597114672</v>
          </cell>
          <cell r="EK10">
            <v>35.35682554098873</v>
          </cell>
          <cell r="EL10">
            <v>35.596387484862788</v>
          </cell>
          <cell r="EM10">
            <v>35.835949428736846</v>
          </cell>
          <cell r="EN10">
            <v>36.075511372610904</v>
          </cell>
          <cell r="EO10">
            <v>36.315073316484963</v>
          </cell>
          <cell r="EP10">
            <v>36.554635260359021</v>
          </cell>
          <cell r="EQ10">
            <v>36.794197204233079</v>
          </cell>
          <cell r="ER10">
            <v>37.033759148107137</v>
          </cell>
          <cell r="ES10">
            <v>37.273321091981195</v>
          </cell>
          <cell r="ET10">
            <v>37.512883035855253</v>
          </cell>
          <cell r="EU10">
            <v>37.752444979729312</v>
          </cell>
          <cell r="EV10">
            <v>37.99200692360337</v>
          </cell>
          <cell r="EW10">
            <v>38.231568867477428</v>
          </cell>
          <cell r="EX10">
            <v>38.471130811351486</v>
          </cell>
          <cell r="EY10">
            <v>38.710692755225544</v>
          </cell>
          <cell r="EZ10">
            <v>38.950254699099602</v>
          </cell>
          <cell r="FA10">
            <v>39.189816642973661</v>
          </cell>
          <cell r="FB10">
            <v>39.429378586847719</v>
          </cell>
          <cell r="FC10">
            <v>39.668940530721777</v>
          </cell>
          <cell r="FD10">
            <v>39.908502474595835</v>
          </cell>
          <cell r="FE10">
            <v>40.148064418469893</v>
          </cell>
          <cell r="FF10">
            <v>40.387626362343951</v>
          </cell>
          <cell r="FG10">
            <v>40.627188306218009</v>
          </cell>
          <cell r="FH10">
            <v>40.866750250092068</v>
          </cell>
          <cell r="FI10">
            <v>41.106312193966126</v>
          </cell>
          <cell r="FJ10">
            <v>41.345874137840184</v>
          </cell>
          <cell r="FK10">
            <v>41.585436081714242</v>
          </cell>
          <cell r="FL10">
            <v>41.8249980255883</v>
          </cell>
          <cell r="FM10">
            <v>42.064559969462358</v>
          </cell>
          <cell r="FN10">
            <v>42.304121913336417</v>
          </cell>
          <cell r="FO10">
            <v>42.543683857210475</v>
          </cell>
          <cell r="FP10">
            <v>42.783245801084533</v>
          </cell>
          <cell r="FQ10">
            <v>43.022807744958591</v>
          </cell>
          <cell r="FR10">
            <v>43.262369688832649</v>
          </cell>
          <cell r="FS10">
            <v>43.501931632706707</v>
          </cell>
          <cell r="FT10">
            <v>43.741493576580766</v>
          </cell>
          <cell r="FU10">
            <v>43.981055520454824</v>
          </cell>
          <cell r="FV10">
            <v>44.220617464328882</v>
          </cell>
          <cell r="FW10">
            <v>44.46017940820294</v>
          </cell>
          <cell r="FX10">
            <v>44.699741352076998</v>
          </cell>
          <cell r="FY10">
            <v>44.939303295951056</v>
          </cell>
          <cell r="FZ10">
            <v>45.178865239825114</v>
          </cell>
          <cell r="GA10">
            <v>45.418427183699173</v>
          </cell>
          <cell r="GB10">
            <v>45.657989127573231</v>
          </cell>
          <cell r="GC10">
            <v>45.897551071447289</v>
          </cell>
          <cell r="GD10">
            <v>46.137113015321347</v>
          </cell>
          <cell r="GE10">
            <v>46.376674959195405</v>
          </cell>
          <cell r="GF10">
            <v>46.616236903069463</v>
          </cell>
          <cell r="GG10">
            <v>46.855798846943522</v>
          </cell>
          <cell r="GH10">
            <v>47.09536079081758</v>
          </cell>
          <cell r="GI10">
            <v>47.334922734691638</v>
          </cell>
          <cell r="GJ10">
            <v>47.574484678565696</v>
          </cell>
          <cell r="GK10">
            <v>47.814046622439754</v>
          </cell>
          <cell r="GL10">
            <v>48.053608566313812</v>
          </cell>
          <cell r="GM10">
            <v>48.293170510187871</v>
          </cell>
          <cell r="GN10">
            <v>48.532732454061929</v>
          </cell>
          <cell r="GO10">
            <v>48.772294397935987</v>
          </cell>
          <cell r="GP10">
            <v>49.011856341810045</v>
          </cell>
          <cell r="GQ10">
            <v>49.251418285684103</v>
          </cell>
          <cell r="GR10">
            <v>49.490980229558161</v>
          </cell>
          <cell r="GS10">
            <v>49.730542173432219</v>
          </cell>
          <cell r="GT10">
            <v>49.970104117306278</v>
          </cell>
          <cell r="GU10">
            <v>50.209666061180336</v>
          </cell>
          <cell r="GV10">
            <v>50.449228005054394</v>
          </cell>
          <cell r="GW10">
            <v>50.688789948928452</v>
          </cell>
          <cell r="GX10">
            <v>50.92835189280251</v>
          </cell>
          <cell r="GY10">
            <v>51.167913836676568</v>
          </cell>
          <cell r="GZ10">
            <v>51.407475780550627</v>
          </cell>
          <cell r="HA10">
            <v>51.647037724424685</v>
          </cell>
          <cell r="HB10">
            <v>51.886599668298743</v>
          </cell>
          <cell r="HC10">
            <v>52.126161612172801</v>
          </cell>
          <cell r="HD10">
            <v>52.365723556046859</v>
          </cell>
          <cell r="HE10">
            <v>52.605285499920917</v>
          </cell>
          <cell r="HF10">
            <v>52.844847443794976</v>
          </cell>
        </row>
        <row r="45">
          <cell r="N45">
            <v>0</v>
          </cell>
          <cell r="O45">
            <v>887.5</v>
          </cell>
          <cell r="P45">
            <v>929.16666666666663</v>
          </cell>
          <cell r="Q45">
            <v>970.83333333333337</v>
          </cell>
          <cell r="R45">
            <v>1012.5000000000001</v>
          </cell>
          <cell r="S45">
            <v>1054.1666666666667</v>
          </cell>
          <cell r="T45">
            <v>1095.8333333333335</v>
          </cell>
          <cell r="U45">
            <v>1137.5000000000002</v>
          </cell>
          <cell r="V45">
            <v>1179.166666666667</v>
          </cell>
          <cell r="W45">
            <v>1220.8333333333335</v>
          </cell>
          <cell r="X45">
            <v>1262.5</v>
          </cell>
          <cell r="Y45">
            <v>1304.1666666666667</v>
          </cell>
          <cell r="Z45">
            <v>1345.8333333333333</v>
          </cell>
          <cell r="AA45">
            <v>1387.5</v>
          </cell>
          <cell r="AB45">
            <v>1429.1666666666665</v>
          </cell>
          <cell r="AC45">
            <v>1470.833333333333</v>
          </cell>
          <cell r="AD45">
            <v>1512.4999999999995</v>
          </cell>
          <cell r="AE45">
            <v>1554.1666666666661</v>
          </cell>
          <cell r="AF45">
            <v>1595.8333333333328</v>
          </cell>
          <cell r="AG45">
            <v>1637.4999999999993</v>
          </cell>
          <cell r="AH45">
            <v>1679.1666666666658</v>
          </cell>
          <cell r="AI45">
            <v>1720.8333333333326</v>
          </cell>
          <cell r="AJ45">
            <v>1762.4999999999991</v>
          </cell>
          <cell r="AK45">
            <v>1804.1666666666656</v>
          </cell>
          <cell r="AL45">
            <v>1845.8333333333321</v>
          </cell>
          <cell r="AM45">
            <v>1887.4999999999986</v>
          </cell>
          <cell r="AN45">
            <v>1929.1666666666654</v>
          </cell>
          <cell r="AO45">
            <v>1970.8333333333321</v>
          </cell>
          <cell r="AP45">
            <v>2012.4999999999986</v>
          </cell>
          <cell r="AQ45">
            <v>2054.1666666666652</v>
          </cell>
          <cell r="AR45">
            <v>2095.8333333333321</v>
          </cell>
          <cell r="AS45">
            <v>2137.4999999999986</v>
          </cell>
          <cell r="AT45">
            <v>2179.1666666666652</v>
          </cell>
          <cell r="AU45">
            <v>2220.8333333333317</v>
          </cell>
          <cell r="AV45">
            <v>2262.4999999999982</v>
          </cell>
          <cell r="AW45">
            <v>2304.1666666666652</v>
          </cell>
          <cell r="AX45">
            <v>2345.8333333333317</v>
          </cell>
          <cell r="AY45">
            <v>2387.4999999999982</v>
          </cell>
          <cell r="AZ45">
            <v>2429.1666666666652</v>
          </cell>
          <cell r="BA45">
            <v>2470.8333333333317</v>
          </cell>
          <cell r="BB45">
            <v>2512.4999999999982</v>
          </cell>
          <cell r="BC45">
            <v>2554.1666666666647</v>
          </cell>
          <cell r="BD45">
            <v>2595.8333333333312</v>
          </cell>
          <cell r="BE45">
            <v>2637.4999999999982</v>
          </cell>
          <cell r="BF45">
            <v>2679.1666666666647</v>
          </cell>
          <cell r="BG45">
            <v>2720.8333333333312</v>
          </cell>
          <cell r="BH45">
            <v>2762.4999999999982</v>
          </cell>
          <cell r="BI45">
            <v>2804.1666666666647</v>
          </cell>
          <cell r="BJ45">
            <v>2845.8333333333312</v>
          </cell>
          <cell r="BK45">
            <v>2887.4999999999977</v>
          </cell>
          <cell r="BL45">
            <v>2929.1666666666642</v>
          </cell>
          <cell r="BM45">
            <v>2970.8333333333312</v>
          </cell>
          <cell r="BN45">
            <v>3012.4999999999973</v>
          </cell>
          <cell r="BO45">
            <v>3054.1666666666642</v>
          </cell>
          <cell r="BP45">
            <v>3095.8333333333303</v>
          </cell>
          <cell r="BQ45">
            <v>3137.4999999999973</v>
          </cell>
          <cell r="BR45">
            <v>3179.1666666666633</v>
          </cell>
          <cell r="BS45">
            <v>3220.8333333333303</v>
          </cell>
          <cell r="BT45">
            <v>3262.4999999999968</v>
          </cell>
          <cell r="BU45">
            <v>3304.1666666666633</v>
          </cell>
          <cell r="BV45">
            <v>3345.8333333333303</v>
          </cell>
          <cell r="BW45">
            <v>3387.4999999999973</v>
          </cell>
          <cell r="BX45">
            <v>3429.1666666666638</v>
          </cell>
          <cell r="BY45">
            <v>3470.8333333333303</v>
          </cell>
          <cell r="BZ45">
            <v>3512.4999999999973</v>
          </cell>
          <cell r="CA45">
            <v>3554.1666666666642</v>
          </cell>
          <cell r="CB45">
            <v>3595.8333333333308</v>
          </cell>
          <cell r="CC45">
            <v>3637.4999999999973</v>
          </cell>
          <cell r="CD45">
            <v>3679.1666666666642</v>
          </cell>
          <cell r="CE45">
            <v>3720.8333333333312</v>
          </cell>
          <cell r="CF45">
            <v>3762.4999999999977</v>
          </cell>
          <cell r="CG45">
            <v>3804.1666666666642</v>
          </cell>
          <cell r="CH45">
            <v>3845.8333333333312</v>
          </cell>
          <cell r="CI45">
            <v>3887.4999999999982</v>
          </cell>
          <cell r="CJ45">
            <v>3929.1666666666647</v>
          </cell>
          <cell r="CK45">
            <v>3970.8333333333312</v>
          </cell>
          <cell r="CL45">
            <v>4012.4999999999982</v>
          </cell>
          <cell r="CM45">
            <v>4054.1666666666652</v>
          </cell>
          <cell r="CN45">
            <v>4095.8333333333317</v>
          </cell>
          <cell r="CO45">
            <v>4137.4999999999982</v>
          </cell>
          <cell r="CP45">
            <v>4179.1666666666652</v>
          </cell>
          <cell r="CQ45">
            <v>4220.8333333333321</v>
          </cell>
          <cell r="CR45">
            <v>4262.4999999999982</v>
          </cell>
          <cell r="CS45">
            <v>4304.1666666666652</v>
          </cell>
          <cell r="CT45">
            <v>4345.8333333333321</v>
          </cell>
          <cell r="CU45">
            <v>4387.4999999999991</v>
          </cell>
          <cell r="CV45">
            <v>4429.1666666666661</v>
          </cell>
          <cell r="CW45">
            <v>4470.8333333333321</v>
          </cell>
          <cell r="CX45">
            <v>4512.4999999999991</v>
          </cell>
          <cell r="CY45">
            <v>4554.1666666666661</v>
          </cell>
          <cell r="CZ45">
            <v>4595.8333333333321</v>
          </cell>
          <cell r="DA45">
            <v>4637.4999999999991</v>
          </cell>
          <cell r="DB45">
            <v>4679.1666666666661</v>
          </cell>
          <cell r="DC45">
            <v>4720.833333333333</v>
          </cell>
          <cell r="DD45">
            <v>4762.5</v>
          </cell>
          <cell r="DE45">
            <v>4804.1666666666661</v>
          </cell>
          <cell r="DF45">
            <v>4845.833333333333</v>
          </cell>
          <cell r="DG45">
            <v>4887.5</v>
          </cell>
          <cell r="DH45">
            <v>4929.1666666666661</v>
          </cell>
          <cell r="DI45">
            <v>4970.8333333333339</v>
          </cell>
          <cell r="DJ45">
            <v>5012.5</v>
          </cell>
          <cell r="DK45">
            <v>5054.1666666666679</v>
          </cell>
          <cell r="DL45">
            <v>5095.8333333333339</v>
          </cell>
          <cell r="DM45">
            <v>5137.5000000000018</v>
          </cell>
          <cell r="DN45">
            <v>5179.1666666666679</v>
          </cell>
          <cell r="DO45">
            <v>5220.8333333333358</v>
          </cell>
          <cell r="DP45">
            <v>5262.5000000000018</v>
          </cell>
          <cell r="DQ45">
            <v>5304.1666666666697</v>
          </cell>
          <cell r="DR45">
            <v>5345.8333333333358</v>
          </cell>
          <cell r="DS45">
            <v>5387.5000000000036</v>
          </cell>
          <cell r="DT45">
            <v>5429.1666666666697</v>
          </cell>
          <cell r="DU45">
            <v>5470.8333333333376</v>
          </cell>
          <cell r="DV45">
            <v>5512.5000000000036</v>
          </cell>
          <cell r="DW45">
            <v>5554.1666666666715</v>
          </cell>
          <cell r="DX45">
            <v>5595.8333333333376</v>
          </cell>
          <cell r="DY45">
            <v>5637.5000000000055</v>
          </cell>
          <cell r="DZ45">
            <v>5679.1666666666715</v>
          </cell>
          <cell r="EA45">
            <v>5720.8333333333394</v>
          </cell>
          <cell r="EB45">
            <v>5762.5000000000055</v>
          </cell>
          <cell r="EC45">
            <v>5804.1666666666733</v>
          </cell>
          <cell r="ED45">
            <v>5845.8333333333394</v>
          </cell>
          <cell r="EE45">
            <v>5887.5000000000073</v>
          </cell>
          <cell r="EF45">
            <v>5929.1666666666733</v>
          </cell>
          <cell r="EG45">
            <v>5970.8333333333412</v>
          </cell>
          <cell r="EH45">
            <v>6012.5000000000073</v>
          </cell>
          <cell r="EI45">
            <v>6054.1666666666752</v>
          </cell>
          <cell r="EJ45">
            <v>6095.8333333333412</v>
          </cell>
          <cell r="EK45">
            <v>6137.5000000000091</v>
          </cell>
          <cell r="EL45">
            <v>6179.1666666666752</v>
          </cell>
          <cell r="EM45">
            <v>6220.833333333343</v>
          </cell>
          <cell r="EN45">
            <v>6262.5000000000091</v>
          </cell>
          <cell r="EO45">
            <v>6304.166666666677</v>
          </cell>
          <cell r="EP45">
            <v>6345.833333333343</v>
          </cell>
          <cell r="EQ45">
            <v>6387.5000000000109</v>
          </cell>
          <cell r="ER45">
            <v>6429.166666666677</v>
          </cell>
          <cell r="ES45">
            <v>6470.8333333333449</v>
          </cell>
          <cell r="ET45">
            <v>6512.5000000000109</v>
          </cell>
          <cell r="EU45">
            <v>6554.1666666666788</v>
          </cell>
          <cell r="EV45">
            <v>6595.8333333333449</v>
          </cell>
          <cell r="EW45">
            <v>6637.5000000000127</v>
          </cell>
          <cell r="EX45">
            <v>6679.1666666666788</v>
          </cell>
          <cell r="EY45">
            <v>6720.8333333333467</v>
          </cell>
          <cell r="EZ45">
            <v>6762.5000000000127</v>
          </cell>
          <cell r="FA45">
            <v>6804.1666666666806</v>
          </cell>
          <cell r="FB45">
            <v>6845.8333333333467</v>
          </cell>
          <cell r="FC45">
            <v>6887.5000000000146</v>
          </cell>
          <cell r="FD45">
            <v>6929.1666666666806</v>
          </cell>
          <cell r="FE45">
            <v>6970.8333333333485</v>
          </cell>
          <cell r="FF45">
            <v>7012.5000000000146</v>
          </cell>
          <cell r="FG45">
            <v>7054.1666666666824</v>
          </cell>
          <cell r="FH45">
            <v>7095.8333333333485</v>
          </cell>
          <cell r="FI45">
            <v>7137.5000000000164</v>
          </cell>
          <cell r="FJ45">
            <v>7179.1666666666824</v>
          </cell>
          <cell r="FK45">
            <v>7220.8333333333503</v>
          </cell>
          <cell r="FL45">
            <v>7262.5000000000164</v>
          </cell>
          <cell r="FM45">
            <v>7304.1666666666843</v>
          </cell>
          <cell r="FN45">
            <v>7345.8333333333503</v>
          </cell>
          <cell r="FO45">
            <v>7387.5000000000173</v>
          </cell>
          <cell r="FP45">
            <v>7429.1666666666843</v>
          </cell>
          <cell r="FQ45">
            <v>7470.8333333333503</v>
          </cell>
          <cell r="FR45">
            <v>7512.5000000000164</v>
          </cell>
          <cell r="FS45">
            <v>7554.1666666666833</v>
          </cell>
          <cell r="FT45">
            <v>7595.8333333333503</v>
          </cell>
          <cell r="FU45">
            <v>7637.5000000000164</v>
          </cell>
          <cell r="FV45">
            <v>7679.1666666666824</v>
          </cell>
          <cell r="FW45">
            <v>7720.8333333333494</v>
          </cell>
          <cell r="FX45">
            <v>7762.5000000000164</v>
          </cell>
          <cell r="FY45">
            <v>7804.1666666666824</v>
          </cell>
          <cell r="FZ45">
            <v>7845.8333333333485</v>
          </cell>
          <cell r="GA45">
            <v>7887.5000000000155</v>
          </cell>
          <cell r="GB45">
            <v>7929.1666666666824</v>
          </cell>
          <cell r="GC45">
            <v>7970.8333333333485</v>
          </cell>
          <cell r="GD45">
            <v>8012.5000000000146</v>
          </cell>
          <cell r="GE45">
            <v>8054.1666666666815</v>
          </cell>
          <cell r="GF45">
            <v>8095.8333333333485</v>
          </cell>
          <cell r="GG45">
            <v>8137.5000000000146</v>
          </cell>
          <cell r="GH45">
            <v>8179.1666666666806</v>
          </cell>
          <cell r="GI45">
            <v>8220.8333333333467</v>
          </cell>
          <cell r="GJ45">
            <v>8262.5000000000146</v>
          </cell>
          <cell r="GK45">
            <v>8304.1666666666806</v>
          </cell>
          <cell r="GL45">
            <v>8345.8333333333467</v>
          </cell>
          <cell r="GM45">
            <v>8387.5000000000146</v>
          </cell>
          <cell r="GN45">
            <v>8429.1666666666806</v>
          </cell>
          <cell r="GO45">
            <v>8470.8333333333467</v>
          </cell>
          <cell r="GP45">
            <v>8512.5000000000127</v>
          </cell>
          <cell r="GQ45">
            <v>8554.1666666666788</v>
          </cell>
          <cell r="GR45">
            <v>8595.8333333333467</v>
          </cell>
          <cell r="GS45">
            <v>8637.5000000000127</v>
          </cell>
          <cell r="GT45">
            <v>8679.1666666666788</v>
          </cell>
          <cell r="GU45">
            <v>8720.8333333333467</v>
          </cell>
          <cell r="GV45">
            <v>8762.5000000000127</v>
          </cell>
          <cell r="GW45">
            <v>8804.1666666666788</v>
          </cell>
          <cell r="GX45">
            <v>8845.8333333333449</v>
          </cell>
          <cell r="GY45">
            <v>8887.5000000000109</v>
          </cell>
          <cell r="GZ45">
            <v>8929.1666666666788</v>
          </cell>
          <cell r="HA45">
            <v>8970.8333333333449</v>
          </cell>
          <cell r="HB45">
            <v>9012.5000000000109</v>
          </cell>
          <cell r="HC45">
            <v>9054.1666666666788</v>
          </cell>
          <cell r="HD45">
            <v>9095.833333333343</v>
          </cell>
          <cell r="HE45">
            <v>9137.5000000000109</v>
          </cell>
          <cell r="HF45">
            <v>9179.1666666666752</v>
          </cell>
        </row>
        <row r="46">
          <cell r="N46">
            <v>0</v>
          </cell>
          <cell r="O46">
            <v>10650</v>
          </cell>
          <cell r="P46">
            <v>11150</v>
          </cell>
          <cell r="Q46">
            <v>11650</v>
          </cell>
          <cell r="R46">
            <v>12150</v>
          </cell>
          <cell r="S46">
            <v>12650</v>
          </cell>
          <cell r="T46">
            <v>13150</v>
          </cell>
          <cell r="U46">
            <v>13650</v>
          </cell>
          <cell r="V46">
            <v>14150</v>
          </cell>
          <cell r="W46">
            <v>14650</v>
          </cell>
          <cell r="X46">
            <v>15150</v>
          </cell>
          <cell r="Y46">
            <v>15650</v>
          </cell>
          <cell r="Z46">
            <v>16150</v>
          </cell>
          <cell r="AA46">
            <v>16650</v>
          </cell>
          <cell r="AB46">
            <v>17150</v>
          </cell>
          <cell r="AC46">
            <v>17650</v>
          </cell>
          <cell r="AD46">
            <v>18150</v>
          </cell>
          <cell r="AE46">
            <v>18650</v>
          </cell>
          <cell r="AF46">
            <v>19150</v>
          </cell>
          <cell r="AG46">
            <v>19650</v>
          </cell>
          <cell r="AH46">
            <v>20150</v>
          </cell>
          <cell r="AI46">
            <v>20650</v>
          </cell>
          <cell r="AJ46">
            <v>21150</v>
          </cell>
          <cell r="AK46">
            <v>21650</v>
          </cell>
          <cell r="AL46">
            <v>22150</v>
          </cell>
          <cell r="AM46">
            <v>22650</v>
          </cell>
          <cell r="AN46">
            <v>23150</v>
          </cell>
          <cell r="AO46">
            <v>23650</v>
          </cell>
          <cell r="AP46">
            <v>24150</v>
          </cell>
          <cell r="AQ46">
            <v>24650</v>
          </cell>
          <cell r="AR46">
            <v>25150</v>
          </cell>
          <cell r="AS46">
            <v>25650</v>
          </cell>
          <cell r="AT46">
            <v>26150</v>
          </cell>
          <cell r="AU46">
            <v>26650</v>
          </cell>
          <cell r="AV46">
            <v>27150</v>
          </cell>
          <cell r="AW46">
            <v>27650</v>
          </cell>
          <cell r="AX46">
            <v>28150</v>
          </cell>
          <cell r="AY46">
            <v>28650</v>
          </cell>
          <cell r="AZ46">
            <v>29150</v>
          </cell>
          <cell r="BA46">
            <v>29650</v>
          </cell>
          <cell r="BB46">
            <v>30150</v>
          </cell>
          <cell r="BC46">
            <v>30650</v>
          </cell>
          <cell r="BD46">
            <v>31150</v>
          </cell>
          <cell r="BE46">
            <v>31650</v>
          </cell>
          <cell r="BF46">
            <v>32150</v>
          </cell>
          <cell r="BG46">
            <v>32650</v>
          </cell>
          <cell r="BH46">
            <v>33150</v>
          </cell>
          <cell r="BI46">
            <v>33650</v>
          </cell>
          <cell r="BJ46">
            <v>34150</v>
          </cell>
          <cell r="BK46">
            <v>34650</v>
          </cell>
          <cell r="BL46">
            <v>35150</v>
          </cell>
          <cell r="BM46">
            <v>35650</v>
          </cell>
          <cell r="BN46">
            <v>36150</v>
          </cell>
          <cell r="BO46">
            <v>36650</v>
          </cell>
          <cell r="BP46">
            <v>37150</v>
          </cell>
          <cell r="BQ46">
            <v>37650</v>
          </cell>
          <cell r="BR46">
            <v>38150</v>
          </cell>
          <cell r="BS46">
            <v>38650</v>
          </cell>
          <cell r="BT46">
            <v>39150</v>
          </cell>
          <cell r="BU46">
            <v>39650</v>
          </cell>
          <cell r="BV46">
            <v>40150</v>
          </cell>
          <cell r="BW46">
            <v>40650</v>
          </cell>
          <cell r="BX46">
            <v>41150</v>
          </cell>
          <cell r="BY46">
            <v>41650</v>
          </cell>
          <cell r="BZ46">
            <v>42150</v>
          </cell>
          <cell r="CA46">
            <v>42650</v>
          </cell>
          <cell r="CB46">
            <v>43150</v>
          </cell>
          <cell r="CC46">
            <v>43650</v>
          </cell>
          <cell r="CD46">
            <v>44150</v>
          </cell>
          <cell r="CE46">
            <v>44650</v>
          </cell>
          <cell r="CF46">
            <v>45150</v>
          </cell>
          <cell r="CG46">
            <v>45650</v>
          </cell>
          <cell r="CH46">
            <v>46150</v>
          </cell>
          <cell r="CI46">
            <v>46650</v>
          </cell>
          <cell r="CJ46">
            <v>47150</v>
          </cell>
          <cell r="CK46">
            <v>47650</v>
          </cell>
          <cell r="CL46">
            <v>48150</v>
          </cell>
          <cell r="CM46">
            <v>48650</v>
          </cell>
          <cell r="CN46">
            <v>49150</v>
          </cell>
          <cell r="CO46">
            <v>49650</v>
          </cell>
          <cell r="CP46">
            <v>50150</v>
          </cell>
          <cell r="CQ46">
            <v>50650</v>
          </cell>
          <cell r="CR46">
            <v>51150</v>
          </cell>
          <cell r="CS46">
            <v>51650</v>
          </cell>
          <cell r="CT46">
            <v>52150</v>
          </cell>
          <cell r="CU46">
            <v>52650</v>
          </cell>
          <cell r="CV46">
            <v>53150</v>
          </cell>
          <cell r="CW46">
            <v>53650</v>
          </cell>
          <cell r="CX46">
            <v>54150</v>
          </cell>
          <cell r="CY46">
            <v>54650</v>
          </cell>
          <cell r="CZ46">
            <v>55150</v>
          </cell>
          <cell r="DA46">
            <v>55650</v>
          </cell>
          <cell r="DB46">
            <v>56150</v>
          </cell>
          <cell r="DC46">
            <v>56650</v>
          </cell>
          <cell r="DD46">
            <v>57150</v>
          </cell>
          <cell r="DE46">
            <v>57650</v>
          </cell>
          <cell r="DF46">
            <v>58150</v>
          </cell>
          <cell r="DG46">
            <v>58650</v>
          </cell>
          <cell r="DH46">
            <v>59150</v>
          </cell>
          <cell r="DI46">
            <v>59650</v>
          </cell>
          <cell r="DJ46">
            <v>60150</v>
          </cell>
          <cell r="DK46">
            <v>60650</v>
          </cell>
          <cell r="DL46">
            <v>61150</v>
          </cell>
          <cell r="DM46">
            <v>61650</v>
          </cell>
          <cell r="DN46">
            <v>62150</v>
          </cell>
          <cell r="DO46">
            <v>62650</v>
          </cell>
          <cell r="DP46">
            <v>63150</v>
          </cell>
          <cell r="DQ46">
            <v>63650</v>
          </cell>
          <cell r="DR46">
            <v>64150</v>
          </cell>
          <cell r="DS46">
            <v>64650</v>
          </cell>
          <cell r="DT46">
            <v>65150</v>
          </cell>
          <cell r="DU46">
            <v>65650</v>
          </cell>
          <cell r="DV46">
            <v>66150</v>
          </cell>
          <cell r="DW46">
            <v>66650</v>
          </cell>
          <cell r="DX46">
            <v>67150</v>
          </cell>
          <cell r="DY46">
            <v>67650</v>
          </cell>
          <cell r="DZ46">
            <v>68150</v>
          </cell>
          <cell r="EA46">
            <v>68650</v>
          </cell>
          <cell r="EB46">
            <v>69150</v>
          </cell>
          <cell r="EC46">
            <v>69650</v>
          </cell>
          <cell r="ED46">
            <v>70150</v>
          </cell>
          <cell r="EE46">
            <v>70650</v>
          </cell>
          <cell r="EF46">
            <v>71150</v>
          </cell>
          <cell r="EG46">
            <v>71650</v>
          </cell>
          <cell r="EH46">
            <v>72150</v>
          </cell>
          <cell r="EI46">
            <v>72650</v>
          </cell>
          <cell r="EJ46">
            <v>73150</v>
          </cell>
          <cell r="EK46">
            <v>73650</v>
          </cell>
          <cell r="EL46">
            <v>74150</v>
          </cell>
          <cell r="EM46">
            <v>74650</v>
          </cell>
          <cell r="EN46">
            <v>75150</v>
          </cell>
          <cell r="EO46">
            <v>75650</v>
          </cell>
          <cell r="EP46">
            <v>76150</v>
          </cell>
          <cell r="EQ46">
            <v>76650</v>
          </cell>
          <cell r="ER46">
            <v>77150</v>
          </cell>
          <cell r="ES46">
            <v>77650</v>
          </cell>
          <cell r="ET46">
            <v>78150</v>
          </cell>
          <cell r="EU46">
            <v>78650</v>
          </cell>
          <cell r="EV46">
            <v>79150</v>
          </cell>
          <cell r="EW46">
            <v>79650</v>
          </cell>
          <cell r="EX46">
            <v>80150</v>
          </cell>
          <cell r="EY46">
            <v>80650</v>
          </cell>
          <cell r="EZ46">
            <v>81150</v>
          </cell>
          <cell r="FA46">
            <v>81650</v>
          </cell>
          <cell r="FB46">
            <v>82150</v>
          </cell>
          <cell r="FC46">
            <v>82650</v>
          </cell>
          <cell r="FD46">
            <v>83150</v>
          </cell>
          <cell r="FE46">
            <v>83650</v>
          </cell>
          <cell r="FF46">
            <v>84150</v>
          </cell>
          <cell r="FG46">
            <v>84650</v>
          </cell>
          <cell r="FH46">
            <v>85150</v>
          </cell>
          <cell r="FI46">
            <v>85650</v>
          </cell>
          <cell r="FJ46">
            <v>86150</v>
          </cell>
          <cell r="FK46">
            <v>86650</v>
          </cell>
          <cell r="FL46">
            <v>87150</v>
          </cell>
          <cell r="FM46">
            <v>87650</v>
          </cell>
          <cell r="FN46">
            <v>88150</v>
          </cell>
          <cell r="FO46">
            <v>88650</v>
          </cell>
          <cell r="FP46">
            <v>89150</v>
          </cell>
          <cell r="FQ46">
            <v>89650</v>
          </cell>
          <cell r="FR46">
            <v>90150</v>
          </cell>
          <cell r="FS46">
            <v>90650</v>
          </cell>
          <cell r="FT46">
            <v>91150</v>
          </cell>
          <cell r="FU46">
            <v>91650</v>
          </cell>
          <cell r="FV46">
            <v>92150</v>
          </cell>
          <cell r="FW46">
            <v>92650</v>
          </cell>
          <cell r="FX46">
            <v>93150</v>
          </cell>
          <cell r="FY46">
            <v>93650</v>
          </cell>
          <cell r="FZ46">
            <v>94150</v>
          </cell>
          <cell r="GA46">
            <v>94650</v>
          </cell>
          <cell r="GB46">
            <v>95150</v>
          </cell>
          <cell r="GC46">
            <v>95650</v>
          </cell>
          <cell r="GD46">
            <v>96150</v>
          </cell>
          <cell r="GE46">
            <v>96650</v>
          </cell>
          <cell r="GF46">
            <v>97150</v>
          </cell>
          <cell r="GG46">
            <v>97650</v>
          </cell>
          <cell r="GH46">
            <v>98150</v>
          </cell>
          <cell r="GI46">
            <v>98650</v>
          </cell>
          <cell r="GJ46">
            <v>99150</v>
          </cell>
          <cell r="GK46">
            <v>99650</v>
          </cell>
          <cell r="GL46">
            <v>100150</v>
          </cell>
          <cell r="GM46">
            <v>100650</v>
          </cell>
          <cell r="GN46">
            <v>101150</v>
          </cell>
          <cell r="GO46">
            <v>101650</v>
          </cell>
          <cell r="GP46">
            <v>102150</v>
          </cell>
          <cell r="GQ46">
            <v>102650</v>
          </cell>
          <cell r="GR46">
            <v>103150</v>
          </cell>
          <cell r="GS46">
            <v>103650</v>
          </cell>
          <cell r="GT46">
            <v>104150</v>
          </cell>
          <cell r="GU46">
            <v>104650</v>
          </cell>
          <cell r="GV46">
            <v>105150</v>
          </cell>
          <cell r="GW46">
            <v>105650</v>
          </cell>
          <cell r="GX46">
            <v>106150</v>
          </cell>
          <cell r="GY46">
            <v>106650</v>
          </cell>
          <cell r="GZ46">
            <v>107150</v>
          </cell>
          <cell r="HA46">
            <v>107650</v>
          </cell>
          <cell r="HB46">
            <v>108150</v>
          </cell>
          <cell r="HC46">
            <v>108650</v>
          </cell>
          <cell r="HD46">
            <v>109150</v>
          </cell>
          <cell r="HE46">
            <v>109650</v>
          </cell>
          <cell r="HF46">
            <v>110150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887.5</v>
          </cell>
          <cell r="P49">
            <v>929.16666666666663</v>
          </cell>
          <cell r="Q49">
            <v>970.83333333333337</v>
          </cell>
          <cell r="R49">
            <v>1012.5000000000001</v>
          </cell>
          <cell r="S49">
            <v>1054.1666666666667</v>
          </cell>
          <cell r="T49">
            <v>1095.8333333333335</v>
          </cell>
          <cell r="U49">
            <v>1137.5000000000002</v>
          </cell>
          <cell r="V49">
            <v>1179.166666666667</v>
          </cell>
          <cell r="W49">
            <v>1220.8333333333335</v>
          </cell>
          <cell r="X49">
            <v>1262.5</v>
          </cell>
          <cell r="Y49">
            <v>1304.1666666666667</v>
          </cell>
          <cell r="Z49">
            <v>1345.8333333333333</v>
          </cell>
          <cell r="AA49">
            <v>1387.5</v>
          </cell>
          <cell r="AB49">
            <v>1429.1666666666665</v>
          </cell>
          <cell r="AC49">
            <v>1470.833333333333</v>
          </cell>
          <cell r="AD49">
            <v>1512.4999999999995</v>
          </cell>
          <cell r="AE49">
            <v>1554.1666666666661</v>
          </cell>
          <cell r="AF49">
            <v>1595.8333333333328</v>
          </cell>
          <cell r="AG49">
            <v>1637.4999999999993</v>
          </cell>
          <cell r="AH49">
            <v>1679.1666666666658</v>
          </cell>
          <cell r="AI49">
            <v>1720.8333333333326</v>
          </cell>
          <cell r="AJ49">
            <v>1762.4999999999991</v>
          </cell>
          <cell r="AK49">
            <v>1804.1666666666656</v>
          </cell>
          <cell r="AL49">
            <v>1845.8333333333321</v>
          </cell>
          <cell r="AM49">
            <v>1887.4999999999986</v>
          </cell>
          <cell r="AN49">
            <v>1929.1666666666654</v>
          </cell>
          <cell r="AO49">
            <v>1970.8333333333321</v>
          </cell>
          <cell r="AP49">
            <v>2012.4999999999986</v>
          </cell>
          <cell r="AQ49">
            <v>2054.1666666666652</v>
          </cell>
          <cell r="AR49">
            <v>2095.8333333333321</v>
          </cell>
          <cell r="AS49">
            <v>2137.4999999999986</v>
          </cell>
          <cell r="AT49">
            <v>2179.1666666666652</v>
          </cell>
          <cell r="AU49">
            <v>2220.8333333333317</v>
          </cell>
          <cell r="AV49">
            <v>2262.4999999999982</v>
          </cell>
          <cell r="AW49">
            <v>2304.1666666666652</v>
          </cell>
          <cell r="AX49">
            <v>2345.8333333333317</v>
          </cell>
          <cell r="AY49">
            <v>2387.4999999999982</v>
          </cell>
          <cell r="AZ49">
            <v>2429.1666666666652</v>
          </cell>
          <cell r="BA49">
            <v>2470.8333333333317</v>
          </cell>
          <cell r="BB49">
            <v>2512.4999999999982</v>
          </cell>
          <cell r="BC49">
            <v>2554.1666666666647</v>
          </cell>
          <cell r="BD49">
            <v>2595.8333333333312</v>
          </cell>
          <cell r="BE49">
            <v>2637.4999999999982</v>
          </cell>
          <cell r="BF49">
            <v>2679.1666666666647</v>
          </cell>
          <cell r="BG49">
            <v>2720.8333333333312</v>
          </cell>
          <cell r="BH49">
            <v>2762.4999999999982</v>
          </cell>
          <cell r="BI49">
            <v>2804.1666666666647</v>
          </cell>
          <cell r="BJ49">
            <v>2845.8333333333312</v>
          </cell>
          <cell r="BK49">
            <v>2887.4999999999977</v>
          </cell>
          <cell r="BL49">
            <v>2929.1666666666642</v>
          </cell>
          <cell r="BM49">
            <v>2970.8333333333312</v>
          </cell>
          <cell r="BN49">
            <v>3012.4999999999973</v>
          </cell>
          <cell r="BO49">
            <v>3054.1666666666642</v>
          </cell>
          <cell r="BP49">
            <v>3095.8333333333303</v>
          </cell>
          <cell r="BQ49">
            <v>3137.4999999999973</v>
          </cell>
          <cell r="BR49">
            <v>3179.1666666666633</v>
          </cell>
          <cell r="BS49">
            <v>3220.8333333333303</v>
          </cell>
          <cell r="BT49">
            <v>3262.4999999999968</v>
          </cell>
          <cell r="BU49">
            <v>3304.1666666666633</v>
          </cell>
          <cell r="BV49">
            <v>3345.8333333333303</v>
          </cell>
          <cell r="BW49">
            <v>3387.4999999999973</v>
          </cell>
          <cell r="BX49">
            <v>3429.1666666666638</v>
          </cell>
          <cell r="BY49">
            <v>3470.8333333333303</v>
          </cell>
          <cell r="BZ49">
            <v>3512.4999999999973</v>
          </cell>
          <cell r="CA49">
            <v>3554.1666666666642</v>
          </cell>
          <cell r="CB49">
            <v>3595.8333333333308</v>
          </cell>
          <cell r="CC49">
            <v>3637.4999999999973</v>
          </cell>
          <cell r="CD49">
            <v>3679.1666666666642</v>
          </cell>
          <cell r="CE49">
            <v>3720.8333333333312</v>
          </cell>
          <cell r="CF49">
            <v>3762.4999999999977</v>
          </cell>
          <cell r="CG49">
            <v>3804.1666666666642</v>
          </cell>
          <cell r="CH49">
            <v>3845.8333333333312</v>
          </cell>
          <cell r="CI49">
            <v>3887.4999999999982</v>
          </cell>
          <cell r="CJ49">
            <v>3929.1666666666647</v>
          </cell>
          <cell r="CK49">
            <v>3970.8333333333312</v>
          </cell>
          <cell r="CL49">
            <v>4012.4999999999982</v>
          </cell>
          <cell r="CM49">
            <v>4054.1666666666652</v>
          </cell>
          <cell r="CN49">
            <v>4095.8333333333317</v>
          </cell>
          <cell r="CO49">
            <v>4137.4999999999982</v>
          </cell>
          <cell r="CP49">
            <v>4179.1666666666652</v>
          </cell>
          <cell r="CQ49">
            <v>4220.8333333333321</v>
          </cell>
          <cell r="CR49">
            <v>4262.4999999999982</v>
          </cell>
          <cell r="CS49">
            <v>4304.1666666666652</v>
          </cell>
          <cell r="CT49">
            <v>4345.8333333333321</v>
          </cell>
          <cell r="CU49">
            <v>4387.4999999999991</v>
          </cell>
          <cell r="CV49">
            <v>4429.1666666666661</v>
          </cell>
          <cell r="CW49">
            <v>4470.8333333333321</v>
          </cell>
          <cell r="CX49">
            <v>4512.4999999999991</v>
          </cell>
          <cell r="CY49">
            <v>4554.1666666666661</v>
          </cell>
          <cell r="CZ49">
            <v>4595.8333333333321</v>
          </cell>
          <cell r="DA49">
            <v>4637.4999999999991</v>
          </cell>
          <cell r="DB49">
            <v>4679.1666666666661</v>
          </cell>
          <cell r="DC49">
            <v>4720.833333333333</v>
          </cell>
          <cell r="DD49">
            <v>4762.5</v>
          </cell>
          <cell r="DE49">
            <v>4804.1666666666661</v>
          </cell>
          <cell r="DF49">
            <v>4845.833333333333</v>
          </cell>
          <cell r="DG49">
            <v>4887.5</v>
          </cell>
          <cell r="DH49">
            <v>4929.1666666666661</v>
          </cell>
          <cell r="DI49">
            <v>4970.8333333333339</v>
          </cell>
          <cell r="DJ49">
            <v>5012.5</v>
          </cell>
          <cell r="DK49">
            <v>5054.1666666666679</v>
          </cell>
          <cell r="DL49">
            <v>5095.8333333333339</v>
          </cell>
          <cell r="DM49">
            <v>5137.5000000000018</v>
          </cell>
          <cell r="DN49">
            <v>5179.1666666666679</v>
          </cell>
          <cell r="DO49">
            <v>5220.8333333333358</v>
          </cell>
          <cell r="DP49">
            <v>5262.5000000000018</v>
          </cell>
          <cell r="DQ49">
            <v>5304.1666666666697</v>
          </cell>
          <cell r="DR49">
            <v>5345.8333333333358</v>
          </cell>
          <cell r="DS49">
            <v>5387.5000000000036</v>
          </cell>
          <cell r="DT49">
            <v>5429.1666666666697</v>
          </cell>
          <cell r="DU49">
            <v>5470.8333333333376</v>
          </cell>
          <cell r="DV49">
            <v>5512.5000000000036</v>
          </cell>
          <cell r="DW49">
            <v>5554.1666666666715</v>
          </cell>
          <cell r="DX49">
            <v>5595.8333333333376</v>
          </cell>
          <cell r="DY49">
            <v>5637.5000000000055</v>
          </cell>
          <cell r="DZ49">
            <v>5679.1666666666715</v>
          </cell>
          <cell r="EA49">
            <v>5720.8333333333394</v>
          </cell>
          <cell r="EB49">
            <v>5762.5000000000055</v>
          </cell>
          <cell r="EC49">
            <v>5804.1666666666733</v>
          </cell>
          <cell r="ED49">
            <v>5845.8333333333394</v>
          </cell>
          <cell r="EE49">
            <v>5887.5000000000073</v>
          </cell>
          <cell r="EF49">
            <v>5929.1666666666733</v>
          </cell>
          <cell r="EG49">
            <v>5970.8333333333412</v>
          </cell>
          <cell r="EH49">
            <v>6012.5000000000073</v>
          </cell>
          <cell r="EI49">
            <v>6054.1666666666752</v>
          </cell>
          <cell r="EJ49">
            <v>6095.8333333333412</v>
          </cell>
          <cell r="EK49">
            <v>6137.5000000000091</v>
          </cell>
          <cell r="EL49">
            <v>6179.1666666666752</v>
          </cell>
          <cell r="EM49">
            <v>6220.833333333343</v>
          </cell>
          <cell r="EN49">
            <v>6262.5000000000091</v>
          </cell>
          <cell r="EO49">
            <v>6304.166666666677</v>
          </cell>
          <cell r="EP49">
            <v>6345.833333333343</v>
          </cell>
          <cell r="EQ49">
            <v>6387.5000000000109</v>
          </cell>
          <cell r="ER49">
            <v>6429.166666666677</v>
          </cell>
          <cell r="ES49">
            <v>6470.8333333333449</v>
          </cell>
          <cell r="ET49">
            <v>6512.5000000000109</v>
          </cell>
          <cell r="EU49">
            <v>6554.1666666666788</v>
          </cell>
          <cell r="EV49">
            <v>6595.8333333333449</v>
          </cell>
          <cell r="EW49">
            <v>6637.5000000000127</v>
          </cell>
          <cell r="EX49">
            <v>6679.1666666666788</v>
          </cell>
          <cell r="EY49">
            <v>6720.8333333333467</v>
          </cell>
          <cell r="EZ49">
            <v>6762.5000000000127</v>
          </cell>
          <cell r="FA49">
            <v>6804.1666666666806</v>
          </cell>
          <cell r="FB49">
            <v>6845.8333333333467</v>
          </cell>
          <cell r="FC49">
            <v>6887.5000000000146</v>
          </cell>
          <cell r="FD49">
            <v>6929.1666666666806</v>
          </cell>
          <cell r="FE49">
            <v>6970.8333333333485</v>
          </cell>
          <cell r="FF49">
            <v>7012.5000000000146</v>
          </cell>
          <cell r="FG49">
            <v>7054.1666666666824</v>
          </cell>
          <cell r="FH49">
            <v>7095.8333333333485</v>
          </cell>
          <cell r="FI49">
            <v>7137.5000000000164</v>
          </cell>
          <cell r="FJ49">
            <v>7179.1666666666824</v>
          </cell>
          <cell r="FK49">
            <v>7220.8333333333503</v>
          </cell>
          <cell r="FL49">
            <v>7262.5000000000164</v>
          </cell>
          <cell r="FM49">
            <v>7304.1666666666843</v>
          </cell>
          <cell r="FN49">
            <v>7345.8333333333503</v>
          </cell>
          <cell r="FO49">
            <v>7387.5000000000173</v>
          </cell>
          <cell r="FP49">
            <v>7429.1666666666843</v>
          </cell>
          <cell r="FQ49">
            <v>7470.8333333333503</v>
          </cell>
          <cell r="FR49">
            <v>7512.5000000000164</v>
          </cell>
          <cell r="FS49">
            <v>7554.1666666666833</v>
          </cell>
          <cell r="FT49">
            <v>7595.8333333333503</v>
          </cell>
          <cell r="FU49">
            <v>7637.5000000000164</v>
          </cell>
          <cell r="FV49">
            <v>7679.1666666666824</v>
          </cell>
          <cell r="FW49">
            <v>7720.8333333333494</v>
          </cell>
          <cell r="FX49">
            <v>7762.5000000000164</v>
          </cell>
          <cell r="FY49">
            <v>7804.1666666666824</v>
          </cell>
          <cell r="FZ49">
            <v>7845.8333333333485</v>
          </cell>
          <cell r="GA49">
            <v>7887.5000000000155</v>
          </cell>
          <cell r="GB49">
            <v>7929.1666666666824</v>
          </cell>
          <cell r="GC49">
            <v>7970.8333333333485</v>
          </cell>
          <cell r="GD49">
            <v>8012.5000000000146</v>
          </cell>
          <cell r="GE49">
            <v>8054.1666666666815</v>
          </cell>
          <cell r="GF49">
            <v>8095.8333333333485</v>
          </cell>
          <cell r="GG49">
            <v>8137.5000000000146</v>
          </cell>
          <cell r="GH49">
            <v>8179.1666666666806</v>
          </cell>
          <cell r="GI49">
            <v>8220.8333333333467</v>
          </cell>
          <cell r="GJ49">
            <v>8262.5000000000146</v>
          </cell>
          <cell r="GK49">
            <v>8304.1666666666806</v>
          </cell>
          <cell r="GL49">
            <v>8345.8333333333467</v>
          </cell>
          <cell r="GM49">
            <v>8387.5000000000146</v>
          </cell>
          <cell r="GN49">
            <v>8429.1666666666806</v>
          </cell>
          <cell r="GO49">
            <v>8470.8333333333467</v>
          </cell>
          <cell r="GP49">
            <v>8512.5000000000127</v>
          </cell>
          <cell r="GQ49">
            <v>8554.1666666666788</v>
          </cell>
          <cell r="GR49">
            <v>8595.8333333333467</v>
          </cell>
          <cell r="GS49">
            <v>8637.5000000000127</v>
          </cell>
          <cell r="GT49">
            <v>8679.1666666666788</v>
          </cell>
          <cell r="GU49">
            <v>8720.8333333333467</v>
          </cell>
          <cell r="GV49">
            <v>8762.5000000000127</v>
          </cell>
          <cell r="GW49">
            <v>8804.1666666666788</v>
          </cell>
          <cell r="GX49">
            <v>8845.8333333333449</v>
          </cell>
          <cell r="GY49">
            <v>8887.5000000000109</v>
          </cell>
          <cell r="GZ49">
            <v>8929.1666666666788</v>
          </cell>
          <cell r="HA49">
            <v>8970.8333333333449</v>
          </cell>
          <cell r="HB49">
            <v>9012.5000000000109</v>
          </cell>
          <cell r="HC49">
            <v>9054.1666666666788</v>
          </cell>
          <cell r="HD49">
            <v>9095.833333333343</v>
          </cell>
          <cell r="HE49">
            <v>9137.5000000000109</v>
          </cell>
          <cell r="HF49">
            <v>9179.1666666666752</v>
          </cell>
        </row>
        <row r="50">
          <cell r="N50">
            <v>0</v>
          </cell>
          <cell r="O50">
            <v>10650</v>
          </cell>
          <cell r="P50">
            <v>11150</v>
          </cell>
          <cell r="Q50">
            <v>11650</v>
          </cell>
          <cell r="R50">
            <v>12150</v>
          </cell>
          <cell r="S50">
            <v>12650</v>
          </cell>
          <cell r="T50">
            <v>13150</v>
          </cell>
          <cell r="U50">
            <v>13650</v>
          </cell>
          <cell r="V50">
            <v>14150</v>
          </cell>
          <cell r="W50">
            <v>14650</v>
          </cell>
          <cell r="X50">
            <v>15150</v>
          </cell>
          <cell r="Y50">
            <v>15650</v>
          </cell>
          <cell r="Z50">
            <v>16150</v>
          </cell>
          <cell r="AA50">
            <v>16650</v>
          </cell>
          <cell r="AB50">
            <v>17150</v>
          </cell>
          <cell r="AC50">
            <v>17650</v>
          </cell>
          <cell r="AD50">
            <v>18150</v>
          </cell>
          <cell r="AE50">
            <v>18650</v>
          </cell>
          <cell r="AF50">
            <v>19150</v>
          </cell>
          <cell r="AG50">
            <v>19650</v>
          </cell>
          <cell r="AH50">
            <v>20150</v>
          </cell>
          <cell r="AI50">
            <v>20650</v>
          </cell>
          <cell r="AJ50">
            <v>21150</v>
          </cell>
          <cell r="AK50">
            <v>21650</v>
          </cell>
          <cell r="AL50">
            <v>22150</v>
          </cell>
          <cell r="AM50">
            <v>22650</v>
          </cell>
          <cell r="AN50">
            <v>23150</v>
          </cell>
          <cell r="AO50">
            <v>23650</v>
          </cell>
          <cell r="AP50">
            <v>24150</v>
          </cell>
          <cell r="AQ50">
            <v>24650</v>
          </cell>
          <cell r="AR50">
            <v>25150</v>
          </cell>
          <cell r="AS50">
            <v>25650</v>
          </cell>
          <cell r="AT50">
            <v>26150</v>
          </cell>
          <cell r="AU50">
            <v>26650</v>
          </cell>
          <cell r="AV50">
            <v>27150</v>
          </cell>
          <cell r="AW50">
            <v>27650</v>
          </cell>
          <cell r="AX50">
            <v>28150</v>
          </cell>
          <cell r="AY50">
            <v>28650</v>
          </cell>
          <cell r="AZ50">
            <v>29150</v>
          </cell>
          <cell r="BA50">
            <v>29650</v>
          </cell>
          <cell r="BB50">
            <v>30150</v>
          </cell>
          <cell r="BC50">
            <v>30650</v>
          </cell>
          <cell r="BD50">
            <v>31150</v>
          </cell>
          <cell r="BE50">
            <v>31650</v>
          </cell>
          <cell r="BF50">
            <v>32150</v>
          </cell>
          <cell r="BG50">
            <v>32650</v>
          </cell>
          <cell r="BH50">
            <v>33150</v>
          </cell>
          <cell r="BI50">
            <v>33650</v>
          </cell>
          <cell r="BJ50">
            <v>34150</v>
          </cell>
          <cell r="BK50">
            <v>34650</v>
          </cell>
          <cell r="BL50">
            <v>35150</v>
          </cell>
          <cell r="BM50">
            <v>35650</v>
          </cell>
          <cell r="BN50">
            <v>36150</v>
          </cell>
          <cell r="BO50">
            <v>36650</v>
          </cell>
          <cell r="BP50">
            <v>37150</v>
          </cell>
          <cell r="BQ50">
            <v>37650</v>
          </cell>
          <cell r="BR50">
            <v>38150</v>
          </cell>
          <cell r="BS50">
            <v>38650</v>
          </cell>
          <cell r="BT50">
            <v>39150</v>
          </cell>
          <cell r="BU50">
            <v>39650</v>
          </cell>
          <cell r="BV50">
            <v>40150</v>
          </cell>
          <cell r="BW50">
            <v>40650</v>
          </cell>
          <cell r="BX50">
            <v>41150</v>
          </cell>
          <cell r="BY50">
            <v>41650</v>
          </cell>
          <cell r="BZ50">
            <v>42150</v>
          </cell>
          <cell r="CA50">
            <v>42650</v>
          </cell>
          <cell r="CB50">
            <v>43150</v>
          </cell>
          <cell r="CC50">
            <v>43650</v>
          </cell>
          <cell r="CD50">
            <v>44150</v>
          </cell>
          <cell r="CE50">
            <v>44650</v>
          </cell>
          <cell r="CF50">
            <v>45150</v>
          </cell>
          <cell r="CG50">
            <v>45650</v>
          </cell>
          <cell r="CH50">
            <v>46150</v>
          </cell>
          <cell r="CI50">
            <v>46650</v>
          </cell>
          <cell r="CJ50">
            <v>47150</v>
          </cell>
          <cell r="CK50">
            <v>47650</v>
          </cell>
          <cell r="CL50">
            <v>48150</v>
          </cell>
          <cell r="CM50">
            <v>48650</v>
          </cell>
          <cell r="CN50">
            <v>49150</v>
          </cell>
          <cell r="CO50">
            <v>49650</v>
          </cell>
          <cell r="CP50">
            <v>50150</v>
          </cell>
          <cell r="CQ50">
            <v>50650</v>
          </cell>
          <cell r="CR50">
            <v>51150</v>
          </cell>
          <cell r="CS50">
            <v>51650</v>
          </cell>
          <cell r="CT50">
            <v>52150</v>
          </cell>
          <cell r="CU50">
            <v>52650</v>
          </cell>
          <cell r="CV50">
            <v>53150</v>
          </cell>
          <cell r="CW50">
            <v>53650</v>
          </cell>
          <cell r="CX50">
            <v>54150</v>
          </cell>
          <cell r="CY50">
            <v>54650</v>
          </cell>
          <cell r="CZ50">
            <v>55150</v>
          </cell>
          <cell r="DA50">
            <v>55650</v>
          </cell>
          <cell r="DB50">
            <v>56150</v>
          </cell>
          <cell r="DC50">
            <v>56650</v>
          </cell>
          <cell r="DD50">
            <v>57150</v>
          </cell>
          <cell r="DE50">
            <v>57650</v>
          </cell>
          <cell r="DF50">
            <v>58150</v>
          </cell>
          <cell r="DG50">
            <v>58650</v>
          </cell>
          <cell r="DH50">
            <v>59150</v>
          </cell>
          <cell r="DI50">
            <v>59650</v>
          </cell>
          <cell r="DJ50">
            <v>60150</v>
          </cell>
          <cell r="DK50">
            <v>60650</v>
          </cell>
          <cell r="DL50">
            <v>61150</v>
          </cell>
          <cell r="DM50">
            <v>61650</v>
          </cell>
          <cell r="DN50">
            <v>62150</v>
          </cell>
          <cell r="DO50">
            <v>62650</v>
          </cell>
          <cell r="DP50">
            <v>63150</v>
          </cell>
          <cell r="DQ50">
            <v>63650</v>
          </cell>
          <cell r="DR50">
            <v>64150</v>
          </cell>
          <cell r="DS50">
            <v>64650</v>
          </cell>
          <cell r="DT50">
            <v>65150</v>
          </cell>
          <cell r="DU50">
            <v>65650</v>
          </cell>
          <cell r="DV50">
            <v>66150</v>
          </cell>
          <cell r="DW50">
            <v>66650</v>
          </cell>
          <cell r="DX50">
            <v>67150</v>
          </cell>
          <cell r="DY50">
            <v>67650</v>
          </cell>
          <cell r="DZ50">
            <v>68150</v>
          </cell>
          <cell r="EA50">
            <v>68650</v>
          </cell>
          <cell r="EB50">
            <v>69150</v>
          </cell>
          <cell r="EC50">
            <v>69650</v>
          </cell>
          <cell r="ED50">
            <v>70150</v>
          </cell>
          <cell r="EE50">
            <v>70650</v>
          </cell>
          <cell r="EF50">
            <v>71150</v>
          </cell>
          <cell r="EG50">
            <v>71650</v>
          </cell>
          <cell r="EH50">
            <v>72150</v>
          </cell>
          <cell r="EI50">
            <v>72650</v>
          </cell>
          <cell r="EJ50">
            <v>73150</v>
          </cell>
          <cell r="EK50">
            <v>73650</v>
          </cell>
          <cell r="EL50">
            <v>74150</v>
          </cell>
          <cell r="EM50">
            <v>74650</v>
          </cell>
          <cell r="EN50">
            <v>75150</v>
          </cell>
          <cell r="EO50">
            <v>75650</v>
          </cell>
          <cell r="EP50">
            <v>76150</v>
          </cell>
          <cell r="EQ50">
            <v>76650</v>
          </cell>
          <cell r="ER50">
            <v>77150</v>
          </cell>
          <cell r="ES50">
            <v>77650</v>
          </cell>
          <cell r="ET50">
            <v>78150</v>
          </cell>
          <cell r="EU50">
            <v>78650</v>
          </cell>
          <cell r="EV50">
            <v>79150</v>
          </cell>
          <cell r="EW50">
            <v>79650</v>
          </cell>
          <cell r="EX50">
            <v>80150</v>
          </cell>
          <cell r="EY50">
            <v>80650</v>
          </cell>
          <cell r="EZ50">
            <v>81150</v>
          </cell>
          <cell r="FA50">
            <v>81650</v>
          </cell>
          <cell r="FB50">
            <v>82150</v>
          </cell>
          <cell r="FC50">
            <v>82650</v>
          </cell>
          <cell r="FD50">
            <v>83150</v>
          </cell>
          <cell r="FE50">
            <v>83650</v>
          </cell>
          <cell r="FF50">
            <v>84150</v>
          </cell>
          <cell r="FG50">
            <v>84650</v>
          </cell>
          <cell r="FH50">
            <v>85150</v>
          </cell>
          <cell r="FI50">
            <v>85650</v>
          </cell>
          <cell r="FJ50">
            <v>86150</v>
          </cell>
          <cell r="FK50">
            <v>86650</v>
          </cell>
          <cell r="FL50">
            <v>87150</v>
          </cell>
          <cell r="FM50">
            <v>87650</v>
          </cell>
          <cell r="FN50">
            <v>88150</v>
          </cell>
          <cell r="FO50">
            <v>88650</v>
          </cell>
          <cell r="FP50">
            <v>89150</v>
          </cell>
          <cell r="FQ50">
            <v>89650</v>
          </cell>
          <cell r="FR50">
            <v>90150</v>
          </cell>
          <cell r="FS50">
            <v>90650</v>
          </cell>
          <cell r="FT50">
            <v>91150</v>
          </cell>
          <cell r="FU50">
            <v>91650</v>
          </cell>
          <cell r="FV50">
            <v>92150</v>
          </cell>
          <cell r="FW50">
            <v>92650</v>
          </cell>
          <cell r="FX50">
            <v>93150</v>
          </cell>
          <cell r="FY50">
            <v>93650</v>
          </cell>
          <cell r="FZ50">
            <v>94150</v>
          </cell>
          <cell r="GA50">
            <v>94650</v>
          </cell>
          <cell r="GB50">
            <v>95150</v>
          </cell>
          <cell r="GC50">
            <v>95650</v>
          </cell>
          <cell r="GD50">
            <v>96150</v>
          </cell>
          <cell r="GE50">
            <v>96650</v>
          </cell>
          <cell r="GF50">
            <v>97150</v>
          </cell>
          <cell r="GG50">
            <v>97650</v>
          </cell>
          <cell r="GH50">
            <v>98150</v>
          </cell>
          <cell r="GI50">
            <v>98650</v>
          </cell>
          <cell r="GJ50">
            <v>99150</v>
          </cell>
          <cell r="GK50">
            <v>99650</v>
          </cell>
          <cell r="GL50">
            <v>100150</v>
          </cell>
          <cell r="GM50">
            <v>100650</v>
          </cell>
          <cell r="GN50">
            <v>101150</v>
          </cell>
          <cell r="GO50">
            <v>101650</v>
          </cell>
          <cell r="GP50">
            <v>102150</v>
          </cell>
          <cell r="GQ50">
            <v>102650</v>
          </cell>
          <cell r="GR50">
            <v>103150</v>
          </cell>
          <cell r="GS50">
            <v>103650</v>
          </cell>
          <cell r="GT50">
            <v>104150</v>
          </cell>
          <cell r="GU50">
            <v>104650</v>
          </cell>
          <cell r="GV50">
            <v>105150</v>
          </cell>
          <cell r="GW50">
            <v>105650</v>
          </cell>
          <cell r="GX50">
            <v>106150</v>
          </cell>
          <cell r="GY50">
            <v>106650</v>
          </cell>
          <cell r="GZ50">
            <v>107150</v>
          </cell>
          <cell r="HA50">
            <v>107650</v>
          </cell>
          <cell r="HB50">
            <v>108150</v>
          </cell>
          <cell r="HC50">
            <v>108650</v>
          </cell>
          <cell r="HD50">
            <v>109150</v>
          </cell>
          <cell r="HE50">
            <v>109650</v>
          </cell>
          <cell r="HF50">
            <v>110150</v>
          </cell>
        </row>
        <row r="54">
          <cell r="N54">
            <v>0</v>
          </cell>
          <cell r="O54">
            <v>815</v>
          </cell>
          <cell r="P54">
            <v>853</v>
          </cell>
          <cell r="Q54">
            <v>891</v>
          </cell>
          <cell r="R54">
            <v>929</v>
          </cell>
          <cell r="S54">
            <v>968</v>
          </cell>
          <cell r="T54">
            <v>1006</v>
          </cell>
          <cell r="U54">
            <v>1044</v>
          </cell>
          <cell r="V54">
            <v>1082</v>
          </cell>
          <cell r="W54">
            <v>1121</v>
          </cell>
          <cell r="X54">
            <v>1159</v>
          </cell>
          <cell r="Y54">
            <v>1197</v>
          </cell>
          <cell r="Z54">
            <v>1235</v>
          </cell>
          <cell r="AA54">
            <v>1274</v>
          </cell>
          <cell r="AB54">
            <v>1312</v>
          </cell>
          <cell r="AC54">
            <v>1350</v>
          </cell>
          <cell r="AD54">
            <v>1388</v>
          </cell>
          <cell r="AE54">
            <v>1427</v>
          </cell>
          <cell r="AF54">
            <v>1465</v>
          </cell>
          <cell r="AG54">
            <v>1503</v>
          </cell>
          <cell r="AH54">
            <v>1541</v>
          </cell>
          <cell r="AI54">
            <v>1580</v>
          </cell>
          <cell r="AJ54">
            <v>1618</v>
          </cell>
          <cell r="AK54">
            <v>1656</v>
          </cell>
          <cell r="AL54">
            <v>1694</v>
          </cell>
          <cell r="AM54">
            <v>1733</v>
          </cell>
          <cell r="AN54">
            <v>1771</v>
          </cell>
          <cell r="AO54">
            <v>1809</v>
          </cell>
          <cell r="AP54">
            <v>1847</v>
          </cell>
          <cell r="AQ54">
            <v>1886</v>
          </cell>
          <cell r="AR54">
            <v>1924</v>
          </cell>
          <cell r="AS54">
            <v>1962</v>
          </cell>
          <cell r="AT54">
            <v>2000</v>
          </cell>
          <cell r="AU54">
            <v>2039</v>
          </cell>
          <cell r="AV54">
            <v>2077</v>
          </cell>
          <cell r="AW54">
            <v>2115</v>
          </cell>
          <cell r="AX54">
            <v>2153</v>
          </cell>
          <cell r="AY54">
            <v>2192</v>
          </cell>
          <cell r="AZ54">
            <v>2230</v>
          </cell>
          <cell r="BA54">
            <v>2268</v>
          </cell>
          <cell r="BB54">
            <v>2306</v>
          </cell>
          <cell r="BC54">
            <v>2345</v>
          </cell>
          <cell r="BD54">
            <v>2383</v>
          </cell>
          <cell r="BE54">
            <v>2421</v>
          </cell>
          <cell r="BF54">
            <v>2459</v>
          </cell>
          <cell r="BG54">
            <v>2498</v>
          </cell>
          <cell r="BH54">
            <v>2536</v>
          </cell>
          <cell r="BI54">
            <v>2574</v>
          </cell>
          <cell r="BJ54">
            <v>2612</v>
          </cell>
          <cell r="BK54">
            <v>2651</v>
          </cell>
          <cell r="BL54">
            <v>2689</v>
          </cell>
          <cell r="BM54">
            <v>2727</v>
          </cell>
          <cell r="BN54">
            <v>2765</v>
          </cell>
          <cell r="BO54">
            <v>2804</v>
          </cell>
          <cell r="BP54">
            <v>2842</v>
          </cell>
          <cell r="BQ54">
            <v>2880</v>
          </cell>
          <cell r="BR54">
            <v>2918</v>
          </cell>
          <cell r="BS54">
            <v>2957</v>
          </cell>
          <cell r="BT54">
            <v>2995</v>
          </cell>
          <cell r="BU54">
            <v>3033</v>
          </cell>
          <cell r="BV54">
            <v>3071</v>
          </cell>
          <cell r="BW54">
            <v>3110</v>
          </cell>
          <cell r="BX54">
            <v>3148</v>
          </cell>
          <cell r="BY54">
            <v>3186</v>
          </cell>
          <cell r="BZ54">
            <v>3224</v>
          </cell>
          <cell r="CA54">
            <v>3263</v>
          </cell>
          <cell r="CB54">
            <v>3301</v>
          </cell>
          <cell r="CC54">
            <v>3339</v>
          </cell>
          <cell r="CD54">
            <v>3377</v>
          </cell>
          <cell r="CE54">
            <v>3416</v>
          </cell>
          <cell r="CF54">
            <v>3454</v>
          </cell>
          <cell r="CG54">
            <v>3492</v>
          </cell>
          <cell r="CH54">
            <v>3530</v>
          </cell>
          <cell r="CI54">
            <v>3569</v>
          </cell>
          <cell r="CJ54">
            <v>3607</v>
          </cell>
          <cell r="CK54">
            <v>3645</v>
          </cell>
          <cell r="CL54">
            <v>3683</v>
          </cell>
          <cell r="CM54">
            <v>3722</v>
          </cell>
          <cell r="CN54">
            <v>3760</v>
          </cell>
          <cell r="CO54">
            <v>3798</v>
          </cell>
          <cell r="CP54">
            <v>3836</v>
          </cell>
          <cell r="CQ54">
            <v>3875</v>
          </cell>
          <cell r="CR54">
            <v>3913</v>
          </cell>
          <cell r="CS54">
            <v>3951</v>
          </cell>
          <cell r="CT54">
            <v>3989</v>
          </cell>
          <cell r="CU54">
            <v>4028</v>
          </cell>
          <cell r="CV54">
            <v>4066</v>
          </cell>
          <cell r="CW54">
            <v>4104</v>
          </cell>
          <cell r="CX54">
            <v>4142</v>
          </cell>
          <cell r="CY54">
            <v>4181</v>
          </cell>
          <cell r="CZ54">
            <v>4219</v>
          </cell>
          <cell r="DA54">
            <v>4257</v>
          </cell>
          <cell r="DB54">
            <v>4295</v>
          </cell>
          <cell r="DC54">
            <v>4334</v>
          </cell>
          <cell r="DD54">
            <v>4372</v>
          </cell>
          <cell r="DE54">
            <v>4410</v>
          </cell>
          <cell r="DF54">
            <v>4448</v>
          </cell>
          <cell r="DG54">
            <v>4487</v>
          </cell>
          <cell r="DH54">
            <v>4525</v>
          </cell>
          <cell r="DI54">
            <v>4563</v>
          </cell>
          <cell r="DJ54">
            <v>4601</v>
          </cell>
          <cell r="DK54">
            <v>4640</v>
          </cell>
          <cell r="DL54">
            <v>4678</v>
          </cell>
          <cell r="DM54">
            <v>4716</v>
          </cell>
          <cell r="DN54">
            <v>4754</v>
          </cell>
          <cell r="DO54">
            <v>4793</v>
          </cell>
          <cell r="DP54">
            <v>4831</v>
          </cell>
          <cell r="DQ54">
            <v>4869</v>
          </cell>
          <cell r="DR54">
            <v>4907</v>
          </cell>
          <cell r="DS54">
            <v>4946</v>
          </cell>
          <cell r="DT54">
            <v>4984</v>
          </cell>
          <cell r="DU54">
            <v>5022</v>
          </cell>
          <cell r="DV54">
            <v>5060</v>
          </cell>
          <cell r="DW54">
            <v>5099</v>
          </cell>
          <cell r="DX54">
            <v>5137</v>
          </cell>
          <cell r="DY54">
            <v>5175</v>
          </cell>
          <cell r="DZ54">
            <v>5213</v>
          </cell>
          <cell r="EA54">
            <v>5252</v>
          </cell>
          <cell r="EB54">
            <v>5290</v>
          </cell>
          <cell r="EC54">
            <v>5328</v>
          </cell>
          <cell r="ED54">
            <v>5366</v>
          </cell>
          <cell r="EE54">
            <v>5405</v>
          </cell>
          <cell r="EF54">
            <v>5443</v>
          </cell>
          <cell r="EG54">
            <v>5481</v>
          </cell>
          <cell r="EH54">
            <v>5519</v>
          </cell>
          <cell r="EI54">
            <v>5558</v>
          </cell>
          <cell r="EJ54">
            <v>5596</v>
          </cell>
          <cell r="EK54">
            <v>5634</v>
          </cell>
          <cell r="EL54">
            <v>5672</v>
          </cell>
          <cell r="EM54">
            <v>5711</v>
          </cell>
          <cell r="EN54">
            <v>5749</v>
          </cell>
          <cell r="EO54">
            <v>5787</v>
          </cell>
          <cell r="EP54">
            <v>5825</v>
          </cell>
          <cell r="EQ54">
            <v>5864</v>
          </cell>
          <cell r="ER54">
            <v>5902</v>
          </cell>
          <cell r="ES54">
            <v>5940</v>
          </cell>
          <cell r="ET54">
            <v>5978</v>
          </cell>
          <cell r="EU54">
            <v>6017</v>
          </cell>
          <cell r="EV54">
            <v>6055</v>
          </cell>
          <cell r="EW54">
            <v>6093</v>
          </cell>
          <cell r="EX54">
            <v>6131</v>
          </cell>
          <cell r="EY54">
            <v>6170</v>
          </cell>
          <cell r="EZ54">
            <v>6208</v>
          </cell>
          <cell r="FA54">
            <v>6246</v>
          </cell>
          <cell r="FB54">
            <v>6284</v>
          </cell>
          <cell r="FC54">
            <v>6323</v>
          </cell>
          <cell r="FD54">
            <v>6361</v>
          </cell>
          <cell r="FE54">
            <v>6399</v>
          </cell>
          <cell r="FF54">
            <v>6437</v>
          </cell>
          <cell r="FG54">
            <v>6476</v>
          </cell>
          <cell r="FH54">
            <v>6514</v>
          </cell>
          <cell r="FI54">
            <v>6552</v>
          </cell>
          <cell r="FJ54">
            <v>6590</v>
          </cell>
          <cell r="FK54">
            <v>6629</v>
          </cell>
          <cell r="FL54">
            <v>6667</v>
          </cell>
          <cell r="FM54">
            <v>6705</v>
          </cell>
          <cell r="FN54">
            <v>6743</v>
          </cell>
          <cell r="FO54">
            <v>6782</v>
          </cell>
          <cell r="FP54">
            <v>6820</v>
          </cell>
          <cell r="FQ54">
            <v>6858</v>
          </cell>
          <cell r="FR54">
            <v>6896</v>
          </cell>
          <cell r="FS54">
            <v>6935</v>
          </cell>
          <cell r="FT54">
            <v>6973</v>
          </cell>
          <cell r="FU54">
            <v>7011</v>
          </cell>
          <cell r="FV54">
            <v>7049</v>
          </cell>
          <cell r="FW54">
            <v>7088</v>
          </cell>
          <cell r="FX54">
            <v>7126</v>
          </cell>
          <cell r="FY54">
            <v>7164</v>
          </cell>
          <cell r="FZ54">
            <v>7202</v>
          </cell>
          <cell r="GA54">
            <v>7241</v>
          </cell>
          <cell r="GB54">
            <v>7279</v>
          </cell>
          <cell r="GC54">
            <v>7317</v>
          </cell>
          <cell r="GD54">
            <v>7355</v>
          </cell>
          <cell r="GE54">
            <v>7394</v>
          </cell>
          <cell r="GF54">
            <v>7432</v>
          </cell>
          <cell r="GG54">
            <v>7470</v>
          </cell>
          <cell r="GH54">
            <v>7508</v>
          </cell>
          <cell r="GI54">
            <v>7547</v>
          </cell>
          <cell r="GJ54">
            <v>7585</v>
          </cell>
          <cell r="GK54">
            <v>7623</v>
          </cell>
          <cell r="GL54">
            <v>7661</v>
          </cell>
          <cell r="GM54">
            <v>7700</v>
          </cell>
          <cell r="GN54">
            <v>7738</v>
          </cell>
          <cell r="GO54">
            <v>7776</v>
          </cell>
          <cell r="GP54">
            <v>7814</v>
          </cell>
          <cell r="GQ54">
            <v>7853</v>
          </cell>
          <cell r="GR54">
            <v>7891</v>
          </cell>
          <cell r="GS54">
            <v>7929</v>
          </cell>
          <cell r="GT54">
            <v>7967</v>
          </cell>
          <cell r="GU54">
            <v>8006</v>
          </cell>
          <cell r="GV54">
            <v>8044</v>
          </cell>
          <cell r="GW54">
            <v>8082</v>
          </cell>
          <cell r="GX54">
            <v>8120</v>
          </cell>
          <cell r="GY54">
            <v>8159</v>
          </cell>
          <cell r="GZ54">
            <v>8197</v>
          </cell>
          <cell r="HA54">
            <v>8235</v>
          </cell>
          <cell r="HB54">
            <v>8273</v>
          </cell>
          <cell r="HC54">
            <v>8312</v>
          </cell>
          <cell r="HD54">
            <v>8350</v>
          </cell>
          <cell r="HE54">
            <v>8388</v>
          </cell>
          <cell r="HF54">
            <v>8426</v>
          </cell>
        </row>
        <row r="66">
          <cell r="N66">
            <v>0</v>
          </cell>
          <cell r="O66">
            <v>10650</v>
          </cell>
          <cell r="P66">
            <v>11150</v>
          </cell>
          <cell r="Q66">
            <v>11650</v>
          </cell>
          <cell r="R66">
            <v>12150</v>
          </cell>
          <cell r="S66">
            <v>12650</v>
          </cell>
          <cell r="T66">
            <v>13150</v>
          </cell>
          <cell r="U66">
            <v>13650</v>
          </cell>
          <cell r="V66">
            <v>14150</v>
          </cell>
          <cell r="W66">
            <v>14650</v>
          </cell>
          <cell r="X66">
            <v>15150</v>
          </cell>
          <cell r="Y66">
            <v>15650</v>
          </cell>
          <cell r="Z66">
            <v>16150</v>
          </cell>
          <cell r="AA66">
            <v>16650</v>
          </cell>
          <cell r="AB66">
            <v>17150</v>
          </cell>
          <cell r="AC66">
            <v>17650</v>
          </cell>
          <cell r="AD66">
            <v>18150</v>
          </cell>
          <cell r="AE66">
            <v>18650</v>
          </cell>
          <cell r="AF66">
            <v>19150</v>
          </cell>
          <cell r="AG66">
            <v>19650</v>
          </cell>
          <cell r="AH66">
            <v>20150</v>
          </cell>
          <cell r="AI66">
            <v>20650</v>
          </cell>
          <cell r="AJ66">
            <v>21150</v>
          </cell>
          <cell r="AK66">
            <v>21650</v>
          </cell>
          <cell r="AL66">
            <v>22150</v>
          </cell>
          <cell r="AM66">
            <v>22650</v>
          </cell>
          <cell r="AN66">
            <v>23150</v>
          </cell>
          <cell r="AO66">
            <v>23650</v>
          </cell>
          <cell r="AP66">
            <v>24150</v>
          </cell>
          <cell r="AQ66">
            <v>24650</v>
          </cell>
          <cell r="AR66">
            <v>25150</v>
          </cell>
          <cell r="AS66">
            <v>25650</v>
          </cell>
          <cell r="AT66">
            <v>26150</v>
          </cell>
          <cell r="AU66">
            <v>26650</v>
          </cell>
          <cell r="AV66">
            <v>27150</v>
          </cell>
          <cell r="AW66">
            <v>27650</v>
          </cell>
          <cell r="AX66">
            <v>28150</v>
          </cell>
          <cell r="AY66">
            <v>28650</v>
          </cell>
          <cell r="AZ66">
            <v>29150</v>
          </cell>
          <cell r="BA66">
            <v>29650</v>
          </cell>
          <cell r="BB66">
            <v>30150</v>
          </cell>
          <cell r="BC66">
            <v>30650</v>
          </cell>
          <cell r="BD66">
            <v>31150</v>
          </cell>
          <cell r="BE66">
            <v>31650</v>
          </cell>
          <cell r="BF66">
            <v>32150</v>
          </cell>
          <cell r="BG66">
            <v>32650</v>
          </cell>
          <cell r="BH66">
            <v>33150</v>
          </cell>
          <cell r="BI66">
            <v>33650</v>
          </cell>
          <cell r="BJ66">
            <v>34150</v>
          </cell>
          <cell r="BK66">
            <v>34650</v>
          </cell>
          <cell r="BL66">
            <v>35150</v>
          </cell>
          <cell r="BM66">
            <v>35650</v>
          </cell>
          <cell r="BN66">
            <v>36150</v>
          </cell>
          <cell r="BO66">
            <v>36650</v>
          </cell>
          <cell r="BP66">
            <v>37150</v>
          </cell>
          <cell r="BQ66">
            <v>37650</v>
          </cell>
          <cell r="BR66">
            <v>38150</v>
          </cell>
          <cell r="BS66">
            <v>38650</v>
          </cell>
          <cell r="BT66">
            <v>39150</v>
          </cell>
          <cell r="BU66">
            <v>39650</v>
          </cell>
          <cell r="BV66">
            <v>40150</v>
          </cell>
          <cell r="BW66">
            <v>40650</v>
          </cell>
          <cell r="BX66">
            <v>41150</v>
          </cell>
          <cell r="BY66">
            <v>41650</v>
          </cell>
          <cell r="BZ66">
            <v>42150</v>
          </cell>
          <cell r="CA66">
            <v>42650</v>
          </cell>
          <cell r="CB66">
            <v>43150</v>
          </cell>
          <cell r="CC66">
            <v>43650</v>
          </cell>
          <cell r="CD66">
            <v>44150</v>
          </cell>
          <cell r="CE66">
            <v>44650</v>
          </cell>
          <cell r="CF66">
            <v>45150</v>
          </cell>
          <cell r="CG66">
            <v>45650</v>
          </cell>
          <cell r="CH66">
            <v>46150</v>
          </cell>
          <cell r="CI66">
            <v>46650</v>
          </cell>
          <cell r="CJ66">
            <v>47150</v>
          </cell>
          <cell r="CK66">
            <v>47650</v>
          </cell>
          <cell r="CL66">
            <v>48150</v>
          </cell>
          <cell r="CM66">
            <v>48650</v>
          </cell>
          <cell r="CN66">
            <v>49150</v>
          </cell>
          <cell r="CO66">
            <v>49650</v>
          </cell>
          <cell r="CP66">
            <v>50150</v>
          </cell>
          <cell r="CQ66">
            <v>50650</v>
          </cell>
          <cell r="CR66">
            <v>51150</v>
          </cell>
          <cell r="CS66">
            <v>51650</v>
          </cell>
          <cell r="CT66">
            <v>52150</v>
          </cell>
          <cell r="CU66">
            <v>52650</v>
          </cell>
          <cell r="CV66">
            <v>53150</v>
          </cell>
          <cell r="CW66">
            <v>53650</v>
          </cell>
          <cell r="CX66">
            <v>54150</v>
          </cell>
          <cell r="CY66">
            <v>54650</v>
          </cell>
          <cell r="CZ66">
            <v>55150</v>
          </cell>
          <cell r="DA66">
            <v>55650</v>
          </cell>
          <cell r="DB66">
            <v>56150</v>
          </cell>
          <cell r="DC66">
            <v>56650</v>
          </cell>
          <cell r="DD66">
            <v>57150</v>
          </cell>
          <cell r="DE66">
            <v>57650</v>
          </cell>
          <cell r="DF66">
            <v>58150</v>
          </cell>
          <cell r="DG66">
            <v>58650</v>
          </cell>
          <cell r="DH66">
            <v>59150</v>
          </cell>
          <cell r="DI66">
            <v>59650</v>
          </cell>
          <cell r="DJ66">
            <v>60150</v>
          </cell>
          <cell r="DK66">
            <v>60650</v>
          </cell>
          <cell r="DL66">
            <v>61150</v>
          </cell>
          <cell r="DM66">
            <v>61650</v>
          </cell>
          <cell r="DN66">
            <v>62150</v>
          </cell>
          <cell r="DO66">
            <v>62650</v>
          </cell>
          <cell r="DP66">
            <v>63150</v>
          </cell>
          <cell r="DQ66">
            <v>63650</v>
          </cell>
          <cell r="DR66">
            <v>64150</v>
          </cell>
          <cell r="DS66">
            <v>64650</v>
          </cell>
          <cell r="DT66">
            <v>65150</v>
          </cell>
          <cell r="DU66">
            <v>65650</v>
          </cell>
          <cell r="DV66">
            <v>66150</v>
          </cell>
          <cell r="DW66">
            <v>66650</v>
          </cell>
          <cell r="DX66">
            <v>67150</v>
          </cell>
          <cell r="DY66">
            <v>67650</v>
          </cell>
          <cell r="DZ66">
            <v>68150</v>
          </cell>
          <cell r="EA66">
            <v>68650</v>
          </cell>
          <cell r="EB66">
            <v>69150</v>
          </cell>
          <cell r="EC66">
            <v>69650</v>
          </cell>
          <cell r="ED66">
            <v>70150</v>
          </cell>
          <cell r="EE66">
            <v>70650</v>
          </cell>
          <cell r="EF66">
            <v>71150</v>
          </cell>
          <cell r="EG66">
            <v>71650</v>
          </cell>
          <cell r="EH66">
            <v>72150</v>
          </cell>
          <cell r="EI66">
            <v>72650</v>
          </cell>
          <cell r="EJ66">
            <v>73150</v>
          </cell>
          <cell r="EK66">
            <v>73650</v>
          </cell>
          <cell r="EL66">
            <v>74150</v>
          </cell>
          <cell r="EM66">
            <v>74650</v>
          </cell>
          <cell r="EN66">
            <v>75150</v>
          </cell>
          <cell r="EO66">
            <v>75650</v>
          </cell>
          <cell r="EP66">
            <v>76150</v>
          </cell>
          <cell r="EQ66">
            <v>76650</v>
          </cell>
          <cell r="ER66">
            <v>77150</v>
          </cell>
          <cell r="ES66">
            <v>77650</v>
          </cell>
          <cell r="ET66">
            <v>78150</v>
          </cell>
          <cell r="EU66">
            <v>78650</v>
          </cell>
          <cell r="EV66">
            <v>79150</v>
          </cell>
          <cell r="EW66">
            <v>79650</v>
          </cell>
          <cell r="EX66">
            <v>80150</v>
          </cell>
          <cell r="EY66">
            <v>80650</v>
          </cell>
          <cell r="EZ66">
            <v>81150</v>
          </cell>
          <cell r="FA66">
            <v>81650</v>
          </cell>
          <cell r="FB66">
            <v>82150</v>
          </cell>
          <cell r="FC66">
            <v>82650</v>
          </cell>
          <cell r="FD66">
            <v>83150</v>
          </cell>
          <cell r="FE66">
            <v>83650</v>
          </cell>
          <cell r="FF66">
            <v>84150</v>
          </cell>
          <cell r="FG66">
            <v>84650</v>
          </cell>
          <cell r="FH66">
            <v>85150</v>
          </cell>
          <cell r="FI66">
            <v>85650</v>
          </cell>
          <cell r="FJ66">
            <v>86150</v>
          </cell>
          <cell r="FK66">
            <v>86650</v>
          </cell>
          <cell r="FL66">
            <v>87150</v>
          </cell>
          <cell r="FM66">
            <v>87650</v>
          </cell>
          <cell r="FN66">
            <v>88150</v>
          </cell>
          <cell r="FO66">
            <v>88650</v>
          </cell>
          <cell r="FP66">
            <v>89150</v>
          </cell>
          <cell r="FQ66">
            <v>89650</v>
          </cell>
          <cell r="FR66">
            <v>90150</v>
          </cell>
          <cell r="FS66">
            <v>90650</v>
          </cell>
          <cell r="FT66">
            <v>91150</v>
          </cell>
          <cell r="FU66">
            <v>91650</v>
          </cell>
          <cell r="FV66">
            <v>92150</v>
          </cell>
          <cell r="FW66">
            <v>92650</v>
          </cell>
          <cell r="FX66">
            <v>93150</v>
          </cell>
          <cell r="FY66">
            <v>93650</v>
          </cell>
          <cell r="FZ66">
            <v>94150</v>
          </cell>
          <cell r="GA66">
            <v>94650</v>
          </cell>
          <cell r="GB66">
            <v>95150</v>
          </cell>
          <cell r="GC66">
            <v>95650</v>
          </cell>
          <cell r="GD66">
            <v>96150</v>
          </cell>
          <cell r="GE66">
            <v>96650</v>
          </cell>
          <cell r="GF66">
            <v>97150</v>
          </cell>
          <cell r="GG66">
            <v>97650</v>
          </cell>
          <cell r="GH66">
            <v>98150</v>
          </cell>
          <cell r="GI66">
            <v>98650</v>
          </cell>
          <cell r="GJ66">
            <v>99150</v>
          </cell>
          <cell r="GK66">
            <v>99650</v>
          </cell>
          <cell r="GL66">
            <v>100150</v>
          </cell>
          <cell r="GM66">
            <v>100650</v>
          </cell>
          <cell r="GN66">
            <v>101150</v>
          </cell>
          <cell r="GO66">
            <v>101650</v>
          </cell>
          <cell r="GP66">
            <v>102150</v>
          </cell>
          <cell r="GQ66">
            <v>102650</v>
          </cell>
          <cell r="GR66">
            <v>103150</v>
          </cell>
          <cell r="GS66">
            <v>103650</v>
          </cell>
          <cell r="GT66">
            <v>104150</v>
          </cell>
          <cell r="GU66">
            <v>104650</v>
          </cell>
          <cell r="GV66">
            <v>105150</v>
          </cell>
          <cell r="GW66">
            <v>105650</v>
          </cell>
          <cell r="GX66">
            <v>106150</v>
          </cell>
          <cell r="GY66">
            <v>106650</v>
          </cell>
          <cell r="GZ66">
            <v>107150</v>
          </cell>
          <cell r="HA66">
            <v>107650</v>
          </cell>
          <cell r="HB66">
            <v>108150</v>
          </cell>
          <cell r="HC66">
            <v>108650</v>
          </cell>
          <cell r="HD66">
            <v>109150</v>
          </cell>
          <cell r="HE66">
            <v>109650</v>
          </cell>
          <cell r="HF66">
            <v>110150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25</v>
          </cell>
          <cell r="AH102">
            <v>75</v>
          </cell>
          <cell r="AI102">
            <v>125</v>
          </cell>
          <cell r="AJ102">
            <v>175</v>
          </cell>
          <cell r="AK102">
            <v>225</v>
          </cell>
          <cell r="AL102">
            <v>275</v>
          </cell>
          <cell r="AM102">
            <v>325</v>
          </cell>
          <cell r="AN102">
            <v>375</v>
          </cell>
          <cell r="AO102">
            <v>425</v>
          </cell>
          <cell r="AP102">
            <v>475</v>
          </cell>
          <cell r="AQ102">
            <v>525</v>
          </cell>
          <cell r="AR102">
            <v>575</v>
          </cell>
          <cell r="AS102">
            <v>625</v>
          </cell>
          <cell r="AT102">
            <v>675</v>
          </cell>
          <cell r="AU102">
            <v>725</v>
          </cell>
          <cell r="AV102">
            <v>775</v>
          </cell>
          <cell r="AW102">
            <v>825</v>
          </cell>
          <cell r="AX102">
            <v>875</v>
          </cell>
          <cell r="AY102">
            <v>925</v>
          </cell>
          <cell r="AZ102">
            <v>975</v>
          </cell>
          <cell r="BA102">
            <v>1025</v>
          </cell>
          <cell r="BB102">
            <v>1075</v>
          </cell>
          <cell r="BC102">
            <v>1125</v>
          </cell>
          <cell r="BD102">
            <v>1175</v>
          </cell>
          <cell r="BE102">
            <v>1225</v>
          </cell>
          <cell r="BF102">
            <v>1275</v>
          </cell>
          <cell r="BG102">
            <v>1325</v>
          </cell>
          <cell r="BH102">
            <v>1375</v>
          </cell>
          <cell r="BI102">
            <v>1425</v>
          </cell>
          <cell r="BJ102">
            <v>1477</v>
          </cell>
          <cell r="BK102">
            <v>1537</v>
          </cell>
          <cell r="BL102">
            <v>1597</v>
          </cell>
          <cell r="BM102">
            <v>1657</v>
          </cell>
          <cell r="BN102">
            <v>1717</v>
          </cell>
          <cell r="BO102">
            <v>1777</v>
          </cell>
          <cell r="BP102">
            <v>1837</v>
          </cell>
          <cell r="BQ102">
            <v>1897</v>
          </cell>
          <cell r="BR102">
            <v>1957</v>
          </cell>
          <cell r="BS102">
            <v>2017</v>
          </cell>
          <cell r="BT102">
            <v>2077</v>
          </cell>
          <cell r="BU102">
            <v>2137</v>
          </cell>
          <cell r="BV102">
            <v>2197</v>
          </cell>
          <cell r="BW102">
            <v>2257</v>
          </cell>
          <cell r="BX102">
            <v>2317</v>
          </cell>
          <cell r="BY102">
            <v>2377</v>
          </cell>
          <cell r="BZ102">
            <v>2437</v>
          </cell>
          <cell r="CA102">
            <v>2497</v>
          </cell>
          <cell r="CB102">
            <v>2557</v>
          </cell>
          <cell r="CC102">
            <v>2617</v>
          </cell>
          <cell r="CD102">
            <v>2677</v>
          </cell>
          <cell r="CE102">
            <v>2737</v>
          </cell>
          <cell r="CF102">
            <v>2797</v>
          </cell>
          <cell r="CG102">
            <v>2857</v>
          </cell>
          <cell r="CH102">
            <v>2917</v>
          </cell>
          <cell r="CI102">
            <v>2977</v>
          </cell>
          <cell r="CJ102">
            <v>3037</v>
          </cell>
          <cell r="CK102">
            <v>3097</v>
          </cell>
          <cell r="CL102">
            <v>3157</v>
          </cell>
          <cell r="CM102">
            <v>3217</v>
          </cell>
          <cell r="CN102">
            <v>3277</v>
          </cell>
          <cell r="CO102">
            <v>3337</v>
          </cell>
          <cell r="CP102">
            <v>3397</v>
          </cell>
          <cell r="CQ102">
            <v>3457</v>
          </cell>
          <cell r="CR102">
            <v>3517</v>
          </cell>
          <cell r="CS102">
            <v>3577</v>
          </cell>
          <cell r="CT102">
            <v>3637</v>
          </cell>
          <cell r="CU102">
            <v>3697</v>
          </cell>
          <cell r="CV102">
            <v>3757</v>
          </cell>
          <cell r="CW102">
            <v>3817</v>
          </cell>
          <cell r="CX102">
            <v>3877</v>
          </cell>
          <cell r="CY102">
            <v>3937</v>
          </cell>
          <cell r="CZ102">
            <v>3997</v>
          </cell>
          <cell r="DA102">
            <v>4057</v>
          </cell>
          <cell r="DB102">
            <v>4117</v>
          </cell>
          <cell r="DC102">
            <v>4177</v>
          </cell>
          <cell r="DD102">
            <v>4237</v>
          </cell>
          <cell r="DE102">
            <v>4297</v>
          </cell>
          <cell r="DF102">
            <v>4357</v>
          </cell>
          <cell r="DG102">
            <v>4417</v>
          </cell>
          <cell r="DH102">
            <v>4477</v>
          </cell>
          <cell r="DI102">
            <v>4537</v>
          </cell>
          <cell r="DJ102">
            <v>4597</v>
          </cell>
          <cell r="DK102">
            <v>4657</v>
          </cell>
          <cell r="DL102">
            <v>4717</v>
          </cell>
          <cell r="DM102">
            <v>4777</v>
          </cell>
          <cell r="DN102">
            <v>4837</v>
          </cell>
          <cell r="DO102">
            <v>4897</v>
          </cell>
          <cell r="DP102">
            <v>4957</v>
          </cell>
          <cell r="DQ102">
            <v>5017</v>
          </cell>
          <cell r="DR102">
            <v>5077</v>
          </cell>
          <cell r="DS102">
            <v>5137</v>
          </cell>
          <cell r="DT102">
            <v>5197</v>
          </cell>
          <cell r="DU102">
            <v>5257</v>
          </cell>
          <cell r="DV102">
            <v>5317</v>
          </cell>
          <cell r="DW102">
            <v>5377</v>
          </cell>
          <cell r="DX102">
            <v>5437</v>
          </cell>
          <cell r="DY102">
            <v>5497</v>
          </cell>
          <cell r="DZ102">
            <v>5557</v>
          </cell>
          <cell r="EA102">
            <v>5617</v>
          </cell>
          <cell r="EB102">
            <v>5677</v>
          </cell>
          <cell r="EC102">
            <v>5737</v>
          </cell>
          <cell r="ED102">
            <v>5797</v>
          </cell>
          <cell r="EE102">
            <v>5857</v>
          </cell>
          <cell r="EF102">
            <v>5917</v>
          </cell>
          <cell r="EG102">
            <v>5977</v>
          </cell>
          <cell r="EH102">
            <v>6037</v>
          </cell>
          <cell r="EI102">
            <v>6097</v>
          </cell>
          <cell r="EJ102">
            <v>6157</v>
          </cell>
          <cell r="EK102">
            <v>6217</v>
          </cell>
          <cell r="EL102">
            <v>6277</v>
          </cell>
          <cell r="EM102">
            <v>6337</v>
          </cell>
          <cell r="EN102">
            <v>6397</v>
          </cell>
          <cell r="EO102">
            <v>6492</v>
          </cell>
          <cell r="EP102">
            <v>6602</v>
          </cell>
          <cell r="EQ102">
            <v>6712</v>
          </cell>
          <cell r="ER102">
            <v>6822</v>
          </cell>
          <cell r="ES102">
            <v>6932</v>
          </cell>
          <cell r="ET102">
            <v>7042</v>
          </cell>
          <cell r="EU102">
            <v>7152</v>
          </cell>
          <cell r="EV102">
            <v>7262</v>
          </cell>
          <cell r="EW102">
            <v>7372</v>
          </cell>
          <cell r="EX102">
            <v>7482</v>
          </cell>
          <cell r="EY102">
            <v>7592</v>
          </cell>
          <cell r="EZ102">
            <v>7702</v>
          </cell>
          <cell r="FA102">
            <v>7812</v>
          </cell>
          <cell r="FB102">
            <v>7922</v>
          </cell>
          <cell r="FC102">
            <v>8032</v>
          </cell>
          <cell r="FD102">
            <v>8142</v>
          </cell>
          <cell r="FE102">
            <v>8252</v>
          </cell>
          <cell r="FF102">
            <v>8362</v>
          </cell>
          <cell r="FG102">
            <v>8472</v>
          </cell>
          <cell r="FH102">
            <v>8582</v>
          </cell>
          <cell r="FI102">
            <v>8692</v>
          </cell>
          <cell r="FJ102">
            <v>8802</v>
          </cell>
          <cell r="FK102">
            <v>8912</v>
          </cell>
          <cell r="FL102">
            <v>9022</v>
          </cell>
          <cell r="FM102">
            <v>9132</v>
          </cell>
          <cell r="FN102">
            <v>9242</v>
          </cell>
          <cell r="FO102">
            <v>9352</v>
          </cell>
          <cell r="FP102">
            <v>9462</v>
          </cell>
          <cell r="FQ102">
            <v>9572</v>
          </cell>
          <cell r="FR102">
            <v>9682</v>
          </cell>
          <cell r="FS102">
            <v>9792</v>
          </cell>
          <cell r="FT102">
            <v>9902</v>
          </cell>
          <cell r="FU102">
            <v>10012</v>
          </cell>
          <cell r="FV102">
            <v>10122</v>
          </cell>
          <cell r="FW102">
            <v>10232</v>
          </cell>
          <cell r="FX102">
            <v>10342</v>
          </cell>
          <cell r="FY102">
            <v>10452</v>
          </cell>
          <cell r="FZ102">
            <v>10562</v>
          </cell>
          <cell r="GA102">
            <v>10672</v>
          </cell>
          <cell r="GB102">
            <v>10782</v>
          </cell>
          <cell r="GC102">
            <v>10892</v>
          </cell>
          <cell r="GD102">
            <v>11002</v>
          </cell>
          <cell r="GE102">
            <v>11112</v>
          </cell>
          <cell r="GF102">
            <v>11222</v>
          </cell>
          <cell r="GG102">
            <v>11332</v>
          </cell>
          <cell r="GH102">
            <v>11442</v>
          </cell>
          <cell r="GI102">
            <v>11552</v>
          </cell>
          <cell r="GJ102">
            <v>11662</v>
          </cell>
          <cell r="GK102">
            <v>11772</v>
          </cell>
          <cell r="GL102">
            <v>11882</v>
          </cell>
          <cell r="GM102">
            <v>11992</v>
          </cell>
          <cell r="GN102">
            <v>12102</v>
          </cell>
          <cell r="GO102">
            <v>12212</v>
          </cell>
          <cell r="GP102">
            <v>12322</v>
          </cell>
          <cell r="GQ102">
            <v>12432</v>
          </cell>
          <cell r="GR102">
            <v>12542</v>
          </cell>
          <cell r="GS102">
            <v>12652</v>
          </cell>
          <cell r="GT102">
            <v>12762</v>
          </cell>
          <cell r="GU102">
            <v>12872</v>
          </cell>
          <cell r="GV102">
            <v>12982</v>
          </cell>
          <cell r="GW102">
            <v>13092</v>
          </cell>
          <cell r="GX102">
            <v>13202</v>
          </cell>
          <cell r="GY102">
            <v>13312</v>
          </cell>
          <cell r="GZ102">
            <v>13422</v>
          </cell>
          <cell r="HA102">
            <v>13532</v>
          </cell>
          <cell r="HB102">
            <v>13642</v>
          </cell>
          <cell r="HC102">
            <v>13756</v>
          </cell>
          <cell r="HD102">
            <v>13876</v>
          </cell>
          <cell r="HE102">
            <v>13996</v>
          </cell>
          <cell r="HF102">
            <v>14116</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4270</v>
          </cell>
          <cell r="P122">
            <v>4470</v>
          </cell>
          <cell r="Q122">
            <v>4670</v>
          </cell>
          <cell r="R122">
            <v>4870</v>
          </cell>
          <cell r="S122">
            <v>5070</v>
          </cell>
          <cell r="T122">
            <v>5270</v>
          </cell>
          <cell r="U122">
            <v>5470</v>
          </cell>
          <cell r="V122">
            <v>5670</v>
          </cell>
          <cell r="W122">
            <v>5870</v>
          </cell>
          <cell r="X122">
            <v>6070</v>
          </cell>
          <cell r="Y122">
            <v>6164</v>
          </cell>
          <cell r="Z122">
            <v>6164</v>
          </cell>
          <cell r="AA122">
            <v>6164</v>
          </cell>
          <cell r="AB122">
            <v>6164</v>
          </cell>
          <cell r="AC122">
            <v>6164</v>
          </cell>
          <cell r="AD122">
            <v>6164</v>
          </cell>
          <cell r="AE122">
            <v>6164</v>
          </cell>
          <cell r="AF122">
            <v>6164</v>
          </cell>
          <cell r="AG122">
            <v>6164</v>
          </cell>
          <cell r="AH122">
            <v>6155</v>
          </cell>
          <cell r="AI122">
            <v>6049</v>
          </cell>
          <cell r="AJ122">
            <v>5944</v>
          </cell>
          <cell r="AK122">
            <v>5839</v>
          </cell>
          <cell r="AL122">
            <v>5733</v>
          </cell>
          <cell r="AM122">
            <v>5628</v>
          </cell>
          <cell r="AN122">
            <v>5523</v>
          </cell>
          <cell r="AO122">
            <v>5417</v>
          </cell>
          <cell r="AP122">
            <v>5312</v>
          </cell>
          <cell r="AQ122">
            <v>5207</v>
          </cell>
          <cell r="AR122">
            <v>5102</v>
          </cell>
          <cell r="AS122">
            <v>4996</v>
          </cell>
          <cell r="AT122">
            <v>4891</v>
          </cell>
          <cell r="AU122">
            <v>4786</v>
          </cell>
          <cell r="AV122">
            <v>4680</v>
          </cell>
          <cell r="AW122">
            <v>4575</v>
          </cell>
          <cell r="AX122">
            <v>4470</v>
          </cell>
          <cell r="AY122">
            <v>4364</v>
          </cell>
          <cell r="AZ122">
            <v>4259</v>
          </cell>
          <cell r="BA122">
            <v>4154</v>
          </cell>
          <cell r="BB122">
            <v>4049</v>
          </cell>
          <cell r="BC122">
            <v>3943</v>
          </cell>
          <cell r="BD122">
            <v>3838</v>
          </cell>
          <cell r="BE122">
            <v>3733</v>
          </cell>
          <cell r="BF122">
            <v>3627</v>
          </cell>
          <cell r="BG122">
            <v>3522</v>
          </cell>
          <cell r="BH122">
            <v>3417</v>
          </cell>
          <cell r="BI122">
            <v>3311</v>
          </cell>
          <cell r="BJ122">
            <v>3206</v>
          </cell>
          <cell r="BK122">
            <v>3101</v>
          </cell>
          <cell r="BL122">
            <v>2996</v>
          </cell>
          <cell r="BM122">
            <v>2890</v>
          </cell>
          <cell r="BN122">
            <v>2785</v>
          </cell>
          <cell r="BO122">
            <v>2680</v>
          </cell>
          <cell r="BP122">
            <v>2574</v>
          </cell>
          <cell r="BQ122">
            <v>2469</v>
          </cell>
          <cell r="BR122">
            <v>2364</v>
          </cell>
          <cell r="BS122">
            <v>2258</v>
          </cell>
          <cell r="BT122">
            <v>2153</v>
          </cell>
          <cell r="BU122">
            <v>2048</v>
          </cell>
          <cell r="BV122">
            <v>1943</v>
          </cell>
          <cell r="BW122">
            <v>1837</v>
          </cell>
          <cell r="BX122">
            <v>1732</v>
          </cell>
          <cell r="BY122">
            <v>1627</v>
          </cell>
          <cell r="BZ122">
            <v>1521</v>
          </cell>
          <cell r="CA122">
            <v>1416</v>
          </cell>
          <cell r="CB122">
            <v>1311</v>
          </cell>
          <cell r="CC122">
            <v>1205</v>
          </cell>
          <cell r="CD122">
            <v>1100</v>
          </cell>
          <cell r="CE122">
            <v>995</v>
          </cell>
          <cell r="CF122">
            <v>890</v>
          </cell>
          <cell r="CG122">
            <v>784</v>
          </cell>
          <cell r="CH122">
            <v>679</v>
          </cell>
          <cell r="CI122">
            <v>574</v>
          </cell>
          <cell r="CJ122">
            <v>468</v>
          </cell>
          <cell r="CK122">
            <v>363</v>
          </cell>
          <cell r="CL122">
            <v>258</v>
          </cell>
          <cell r="CM122">
            <v>152</v>
          </cell>
          <cell r="CN122">
            <v>47</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198">
          <cell r="N198" t="e">
            <v>#REF!</v>
          </cell>
          <cell r="O198" t="e">
            <v>#REF!</v>
          </cell>
          <cell r="P198" t="e">
            <v>#REF!</v>
          </cell>
          <cell r="Q198" t="e">
            <v>#REF!</v>
          </cell>
          <cell r="R198" t="e">
            <v>#REF!</v>
          </cell>
          <cell r="S198" t="e">
            <v>#REF!</v>
          </cell>
          <cell r="T198" t="e">
            <v>#REF!</v>
          </cell>
          <cell r="U198" t="e">
            <v>#REF!</v>
          </cell>
          <cell r="V198" t="e">
            <v>#REF!</v>
          </cell>
          <cell r="W198" t="e">
            <v>#REF!</v>
          </cell>
          <cell r="X198" t="e">
            <v>#REF!</v>
          </cell>
          <cell r="Y198" t="e">
            <v>#REF!</v>
          </cell>
          <cell r="Z198" t="e">
            <v>#REF!</v>
          </cell>
          <cell r="AA198" t="e">
            <v>#REF!</v>
          </cell>
          <cell r="AB198" t="e">
            <v>#REF!</v>
          </cell>
          <cell r="AC198" t="e">
            <v>#REF!</v>
          </cell>
          <cell r="AD198" t="e">
            <v>#REF!</v>
          </cell>
          <cell r="AE198" t="e">
            <v>#REF!</v>
          </cell>
          <cell r="AF198" t="e">
            <v>#REF!</v>
          </cell>
          <cell r="AG198" t="e">
            <v>#REF!</v>
          </cell>
          <cell r="AH198" t="e">
            <v>#REF!</v>
          </cell>
          <cell r="AI198" t="e">
            <v>#REF!</v>
          </cell>
          <cell r="AJ198" t="e">
            <v>#REF!</v>
          </cell>
          <cell r="AK198" t="e">
            <v>#REF!</v>
          </cell>
          <cell r="AL198" t="e">
            <v>#REF!</v>
          </cell>
          <cell r="AM198" t="e">
            <v>#REF!</v>
          </cell>
          <cell r="AN198" t="e">
            <v>#REF!</v>
          </cell>
          <cell r="AO198" t="e">
            <v>#REF!</v>
          </cell>
          <cell r="AP198" t="e">
            <v>#REF!</v>
          </cell>
          <cell r="AQ198" t="e">
            <v>#REF!</v>
          </cell>
          <cell r="AR198" t="e">
            <v>#REF!</v>
          </cell>
          <cell r="AS198" t="e">
            <v>#REF!</v>
          </cell>
          <cell r="AT198" t="e">
            <v>#REF!</v>
          </cell>
          <cell r="AU198" t="e">
            <v>#REF!</v>
          </cell>
          <cell r="AV198" t="e">
            <v>#REF!</v>
          </cell>
          <cell r="AW198" t="e">
            <v>#REF!</v>
          </cell>
          <cell r="AX198" t="e">
            <v>#REF!</v>
          </cell>
          <cell r="AY198" t="e">
            <v>#REF!</v>
          </cell>
          <cell r="AZ198" t="e">
            <v>#REF!</v>
          </cell>
          <cell r="BA198" t="e">
            <v>#REF!</v>
          </cell>
          <cell r="BB198" t="e">
            <v>#REF!</v>
          </cell>
          <cell r="BC198" t="e">
            <v>#REF!</v>
          </cell>
          <cell r="BD198" t="e">
            <v>#REF!</v>
          </cell>
          <cell r="BE198" t="e">
            <v>#REF!</v>
          </cell>
          <cell r="BF198" t="e">
            <v>#REF!</v>
          </cell>
          <cell r="BG198" t="e">
            <v>#REF!</v>
          </cell>
          <cell r="BH198" t="e">
            <v>#REF!</v>
          </cell>
          <cell r="BI198" t="e">
            <v>#REF!</v>
          </cell>
          <cell r="BJ198" t="e">
            <v>#REF!</v>
          </cell>
          <cell r="BK198" t="e">
            <v>#REF!</v>
          </cell>
          <cell r="BL198" t="e">
            <v>#REF!</v>
          </cell>
          <cell r="BM198" t="e">
            <v>#REF!</v>
          </cell>
          <cell r="BN198" t="e">
            <v>#REF!</v>
          </cell>
          <cell r="BO198" t="e">
            <v>#REF!</v>
          </cell>
          <cell r="BP198" t="e">
            <v>#REF!</v>
          </cell>
          <cell r="BQ198" t="e">
            <v>#REF!</v>
          </cell>
          <cell r="BR198" t="e">
            <v>#REF!</v>
          </cell>
          <cell r="BS198" t="e">
            <v>#REF!</v>
          </cell>
          <cell r="BT198" t="e">
            <v>#REF!</v>
          </cell>
          <cell r="BU198" t="e">
            <v>#REF!</v>
          </cell>
          <cell r="BV198" t="e">
            <v>#REF!</v>
          </cell>
          <cell r="BW198" t="e">
            <v>#REF!</v>
          </cell>
          <cell r="BX198" t="e">
            <v>#REF!</v>
          </cell>
          <cell r="BY198" t="e">
            <v>#REF!</v>
          </cell>
          <cell r="BZ198" t="e">
            <v>#REF!</v>
          </cell>
          <cell r="CA198" t="e">
            <v>#REF!</v>
          </cell>
          <cell r="CB198" t="e">
            <v>#REF!</v>
          </cell>
          <cell r="CC198" t="e">
            <v>#REF!</v>
          </cell>
          <cell r="CD198" t="e">
            <v>#REF!</v>
          </cell>
          <cell r="CE198" t="e">
            <v>#REF!</v>
          </cell>
          <cell r="CF198" t="e">
            <v>#REF!</v>
          </cell>
          <cell r="CG198" t="e">
            <v>#REF!</v>
          </cell>
          <cell r="CH198" t="e">
            <v>#REF!</v>
          </cell>
          <cell r="CI198" t="e">
            <v>#REF!</v>
          </cell>
          <cell r="CJ198" t="e">
            <v>#REF!</v>
          </cell>
          <cell r="CK198" t="e">
            <v>#REF!</v>
          </cell>
          <cell r="CL198" t="e">
            <v>#REF!</v>
          </cell>
          <cell r="CM198" t="e">
            <v>#REF!</v>
          </cell>
          <cell r="CN198" t="e">
            <v>#REF!</v>
          </cell>
          <cell r="CO198" t="e">
            <v>#REF!</v>
          </cell>
          <cell r="CP198" t="e">
            <v>#REF!</v>
          </cell>
          <cell r="CQ198" t="e">
            <v>#REF!</v>
          </cell>
          <cell r="CR198" t="e">
            <v>#REF!</v>
          </cell>
          <cell r="CS198" t="e">
            <v>#REF!</v>
          </cell>
          <cell r="CT198" t="e">
            <v>#REF!</v>
          </cell>
          <cell r="CU198" t="e">
            <v>#REF!</v>
          </cell>
          <cell r="CV198" t="e">
            <v>#REF!</v>
          </cell>
          <cell r="CW198" t="e">
            <v>#REF!</v>
          </cell>
          <cell r="CX198" t="e">
            <v>#REF!</v>
          </cell>
          <cell r="CY198" t="e">
            <v>#REF!</v>
          </cell>
          <cell r="CZ198" t="e">
            <v>#REF!</v>
          </cell>
          <cell r="DA198" t="e">
            <v>#REF!</v>
          </cell>
          <cell r="DB198" t="e">
            <v>#REF!</v>
          </cell>
          <cell r="DC198" t="e">
            <v>#REF!</v>
          </cell>
          <cell r="DD198" t="e">
            <v>#REF!</v>
          </cell>
          <cell r="DE198" t="e">
            <v>#REF!</v>
          </cell>
          <cell r="DF198" t="e">
            <v>#REF!</v>
          </cell>
          <cell r="DG198" t="e">
            <v>#REF!</v>
          </cell>
          <cell r="DH198" t="e">
            <v>#REF!</v>
          </cell>
          <cell r="DI198" t="e">
            <v>#REF!</v>
          </cell>
          <cell r="DJ198" t="e">
            <v>#REF!</v>
          </cell>
          <cell r="DK198" t="e">
            <v>#REF!</v>
          </cell>
          <cell r="DL198" t="e">
            <v>#REF!</v>
          </cell>
          <cell r="DM198" t="e">
            <v>#REF!</v>
          </cell>
          <cell r="DN198" t="e">
            <v>#REF!</v>
          </cell>
          <cell r="DO198" t="e">
            <v>#REF!</v>
          </cell>
          <cell r="DP198" t="e">
            <v>#REF!</v>
          </cell>
          <cell r="DQ198" t="e">
            <v>#REF!</v>
          </cell>
          <cell r="DR198" t="e">
            <v>#REF!</v>
          </cell>
          <cell r="DS198" t="e">
            <v>#REF!</v>
          </cell>
          <cell r="DT198" t="e">
            <v>#REF!</v>
          </cell>
          <cell r="DU198" t="e">
            <v>#REF!</v>
          </cell>
          <cell r="DV198" t="e">
            <v>#REF!</v>
          </cell>
          <cell r="DW198" t="e">
            <v>#REF!</v>
          </cell>
          <cell r="DX198" t="e">
            <v>#REF!</v>
          </cell>
          <cell r="DY198" t="e">
            <v>#REF!</v>
          </cell>
          <cell r="DZ198" t="e">
            <v>#REF!</v>
          </cell>
          <cell r="EA198" t="e">
            <v>#REF!</v>
          </cell>
          <cell r="EB198" t="e">
            <v>#REF!</v>
          </cell>
          <cell r="EC198" t="e">
            <v>#REF!</v>
          </cell>
          <cell r="ED198" t="e">
            <v>#REF!</v>
          </cell>
          <cell r="EE198" t="e">
            <v>#REF!</v>
          </cell>
          <cell r="EF198" t="e">
            <v>#REF!</v>
          </cell>
          <cell r="EG198" t="e">
            <v>#REF!</v>
          </cell>
          <cell r="EH198" t="e">
            <v>#REF!</v>
          </cell>
          <cell r="EI198" t="e">
            <v>#REF!</v>
          </cell>
          <cell r="EJ198" t="e">
            <v>#REF!</v>
          </cell>
          <cell r="EK198" t="e">
            <v>#REF!</v>
          </cell>
          <cell r="EL198" t="e">
            <v>#REF!</v>
          </cell>
          <cell r="EM198" t="e">
            <v>#REF!</v>
          </cell>
          <cell r="EN198" t="e">
            <v>#REF!</v>
          </cell>
          <cell r="EO198" t="e">
            <v>#REF!</v>
          </cell>
          <cell r="EP198" t="e">
            <v>#REF!</v>
          </cell>
          <cell r="EQ198" t="e">
            <v>#REF!</v>
          </cell>
          <cell r="ER198" t="e">
            <v>#REF!</v>
          </cell>
          <cell r="ES198" t="e">
            <v>#REF!</v>
          </cell>
          <cell r="ET198" t="e">
            <v>#REF!</v>
          </cell>
          <cell r="EU198" t="e">
            <v>#REF!</v>
          </cell>
          <cell r="EV198" t="e">
            <v>#REF!</v>
          </cell>
          <cell r="EW198" t="e">
            <v>#REF!</v>
          </cell>
          <cell r="EX198" t="e">
            <v>#REF!</v>
          </cell>
          <cell r="EY198" t="e">
            <v>#REF!</v>
          </cell>
          <cell r="EZ198" t="e">
            <v>#REF!</v>
          </cell>
          <cell r="FA198" t="e">
            <v>#REF!</v>
          </cell>
          <cell r="FB198" t="e">
            <v>#REF!</v>
          </cell>
          <cell r="FC198" t="e">
            <v>#REF!</v>
          </cell>
          <cell r="FD198" t="e">
            <v>#REF!</v>
          </cell>
          <cell r="FE198" t="e">
            <v>#REF!</v>
          </cell>
          <cell r="FF198" t="e">
            <v>#REF!</v>
          </cell>
          <cell r="FG198" t="e">
            <v>#REF!</v>
          </cell>
          <cell r="FH198" t="e">
            <v>#REF!</v>
          </cell>
          <cell r="FI198" t="e">
            <v>#REF!</v>
          </cell>
          <cell r="FJ198" t="e">
            <v>#REF!</v>
          </cell>
          <cell r="FK198" t="e">
            <v>#REF!</v>
          </cell>
          <cell r="FL198" t="e">
            <v>#REF!</v>
          </cell>
          <cell r="FM198" t="e">
            <v>#REF!</v>
          </cell>
          <cell r="FN198" t="e">
            <v>#REF!</v>
          </cell>
          <cell r="FO198" t="e">
            <v>#REF!</v>
          </cell>
          <cell r="FP198" t="e">
            <v>#REF!</v>
          </cell>
          <cell r="FQ198" t="e">
            <v>#REF!</v>
          </cell>
          <cell r="FR198" t="e">
            <v>#REF!</v>
          </cell>
          <cell r="FS198" t="e">
            <v>#REF!</v>
          </cell>
          <cell r="FT198" t="e">
            <v>#REF!</v>
          </cell>
          <cell r="FU198" t="e">
            <v>#REF!</v>
          </cell>
          <cell r="FV198" t="e">
            <v>#REF!</v>
          </cell>
          <cell r="FW198" t="e">
            <v>#REF!</v>
          </cell>
          <cell r="FX198" t="e">
            <v>#REF!</v>
          </cell>
          <cell r="FY198" t="e">
            <v>#REF!</v>
          </cell>
          <cell r="FZ198" t="e">
            <v>#REF!</v>
          </cell>
          <cell r="GA198" t="e">
            <v>#REF!</v>
          </cell>
          <cell r="GB198" t="e">
            <v>#REF!</v>
          </cell>
          <cell r="GC198" t="e">
            <v>#REF!</v>
          </cell>
          <cell r="GD198" t="e">
            <v>#REF!</v>
          </cell>
          <cell r="GE198" t="e">
            <v>#REF!</v>
          </cell>
          <cell r="GF198" t="e">
            <v>#REF!</v>
          </cell>
          <cell r="GG198" t="e">
            <v>#REF!</v>
          </cell>
          <cell r="GH198" t="e">
            <v>#REF!</v>
          </cell>
          <cell r="GI198" t="e">
            <v>#REF!</v>
          </cell>
          <cell r="GJ198" t="e">
            <v>#REF!</v>
          </cell>
          <cell r="GK198" t="e">
            <v>#REF!</v>
          </cell>
          <cell r="GL198" t="e">
            <v>#REF!</v>
          </cell>
          <cell r="GM198" t="e">
            <v>#REF!</v>
          </cell>
          <cell r="GN198" t="e">
            <v>#REF!</v>
          </cell>
          <cell r="GO198" t="e">
            <v>#REF!</v>
          </cell>
          <cell r="GP198" t="e">
            <v>#REF!</v>
          </cell>
          <cell r="GQ198" t="e">
            <v>#REF!</v>
          </cell>
          <cell r="GR198" t="e">
            <v>#REF!</v>
          </cell>
          <cell r="GS198" t="e">
            <v>#REF!</v>
          </cell>
          <cell r="GT198" t="e">
            <v>#REF!</v>
          </cell>
          <cell r="GU198" t="e">
            <v>#REF!</v>
          </cell>
          <cell r="GV198" t="e">
            <v>#REF!</v>
          </cell>
          <cell r="GW198" t="e">
            <v>#REF!</v>
          </cell>
          <cell r="GX198" t="e">
            <v>#REF!</v>
          </cell>
          <cell r="GY198" t="e">
            <v>#REF!</v>
          </cell>
          <cell r="GZ198" t="e">
            <v>#REF!</v>
          </cell>
          <cell r="HA198" t="e">
            <v>#REF!</v>
          </cell>
          <cell r="HB198" t="e">
            <v>#REF!</v>
          </cell>
          <cell r="HC198" t="e">
            <v>#REF!</v>
          </cell>
          <cell r="HD198" t="e">
            <v>#REF!</v>
          </cell>
          <cell r="HE198" t="e">
            <v>#REF!</v>
          </cell>
          <cell r="HF198" t="e">
            <v>#REF!</v>
          </cell>
        </row>
        <row r="203">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0</v>
          </cell>
          <cell r="DM203">
            <v>0</v>
          </cell>
          <cell r="DN203">
            <v>0</v>
          </cell>
          <cell r="DO203">
            <v>0</v>
          </cell>
          <cell r="DP203">
            <v>0</v>
          </cell>
          <cell r="DQ203">
            <v>0</v>
          </cell>
          <cell r="DR203">
            <v>0</v>
          </cell>
          <cell r="DS203">
            <v>0</v>
          </cell>
          <cell r="DT203">
            <v>0</v>
          </cell>
          <cell r="DU203">
            <v>0</v>
          </cell>
          <cell r="DV203">
            <v>0</v>
          </cell>
          <cell r="DW203">
            <v>0</v>
          </cell>
          <cell r="DX203">
            <v>0</v>
          </cell>
          <cell r="DY203">
            <v>0</v>
          </cell>
          <cell r="DZ203">
            <v>0</v>
          </cell>
          <cell r="EA203">
            <v>0</v>
          </cell>
          <cell r="EB203">
            <v>0</v>
          </cell>
          <cell r="EC203">
            <v>0</v>
          </cell>
          <cell r="ED203">
            <v>0</v>
          </cell>
          <cell r="EE203">
            <v>0</v>
          </cell>
          <cell r="EF203">
            <v>0</v>
          </cell>
          <cell r="EG203">
            <v>0</v>
          </cell>
          <cell r="EH203">
            <v>0</v>
          </cell>
          <cell r="EI203">
            <v>0</v>
          </cell>
          <cell r="EJ203">
            <v>0</v>
          </cell>
          <cell r="EK203">
            <v>0</v>
          </cell>
          <cell r="EL203">
            <v>0</v>
          </cell>
          <cell r="EM203">
            <v>0</v>
          </cell>
          <cell r="EN203">
            <v>0</v>
          </cell>
          <cell r="EO203">
            <v>0</v>
          </cell>
          <cell r="EP203">
            <v>0</v>
          </cell>
          <cell r="EQ203">
            <v>0</v>
          </cell>
          <cell r="ER203">
            <v>0</v>
          </cell>
          <cell r="ES203">
            <v>0</v>
          </cell>
          <cell r="ET203">
            <v>0</v>
          </cell>
          <cell r="EU203">
            <v>0</v>
          </cell>
          <cell r="EV203">
            <v>0</v>
          </cell>
          <cell r="EW203">
            <v>0</v>
          </cell>
          <cell r="EX203">
            <v>0</v>
          </cell>
          <cell r="EY203">
            <v>0</v>
          </cell>
          <cell r="EZ203">
            <v>0</v>
          </cell>
          <cell r="FA203">
            <v>0</v>
          </cell>
          <cell r="FB203">
            <v>0</v>
          </cell>
          <cell r="FC203">
            <v>0</v>
          </cell>
          <cell r="FD203">
            <v>0</v>
          </cell>
          <cell r="FE203">
            <v>0</v>
          </cell>
          <cell r="FF203">
            <v>0</v>
          </cell>
          <cell r="FG203">
            <v>0</v>
          </cell>
          <cell r="FH203">
            <v>0</v>
          </cell>
          <cell r="FI203">
            <v>0</v>
          </cell>
          <cell r="FJ203">
            <v>0</v>
          </cell>
          <cell r="FK203">
            <v>0</v>
          </cell>
          <cell r="FL203">
            <v>0</v>
          </cell>
          <cell r="FM203">
            <v>0</v>
          </cell>
          <cell r="FN203">
            <v>0</v>
          </cell>
          <cell r="FO203">
            <v>0</v>
          </cell>
          <cell r="FP203">
            <v>0</v>
          </cell>
          <cell r="FQ203">
            <v>0</v>
          </cell>
          <cell r="FR203">
            <v>0</v>
          </cell>
          <cell r="FS203">
            <v>0</v>
          </cell>
          <cell r="FT203">
            <v>0</v>
          </cell>
          <cell r="FU203">
            <v>0</v>
          </cell>
          <cell r="FV203">
            <v>0</v>
          </cell>
          <cell r="FW203">
            <v>0</v>
          </cell>
          <cell r="FX203">
            <v>0</v>
          </cell>
          <cell r="FY203">
            <v>0</v>
          </cell>
          <cell r="FZ203">
            <v>0</v>
          </cell>
          <cell r="GA203">
            <v>0</v>
          </cell>
          <cell r="GB203">
            <v>0</v>
          </cell>
          <cell r="GC203">
            <v>0</v>
          </cell>
          <cell r="GD203">
            <v>0</v>
          </cell>
          <cell r="GE203">
            <v>0</v>
          </cell>
          <cell r="GF203">
            <v>0</v>
          </cell>
          <cell r="GG203">
            <v>0</v>
          </cell>
          <cell r="GH203">
            <v>0</v>
          </cell>
          <cell r="GI203">
            <v>0</v>
          </cell>
          <cell r="GJ203">
            <v>0</v>
          </cell>
          <cell r="GK203">
            <v>0</v>
          </cell>
          <cell r="GL203">
            <v>0</v>
          </cell>
          <cell r="GM203">
            <v>0</v>
          </cell>
          <cell r="GN203">
            <v>0</v>
          </cell>
          <cell r="GO203">
            <v>0</v>
          </cell>
          <cell r="GP203">
            <v>0</v>
          </cell>
          <cell r="GQ203">
            <v>0</v>
          </cell>
          <cell r="GR203">
            <v>0</v>
          </cell>
          <cell r="GS203">
            <v>0</v>
          </cell>
          <cell r="GT203">
            <v>0</v>
          </cell>
          <cell r="GU203">
            <v>0</v>
          </cell>
          <cell r="GV203">
            <v>0</v>
          </cell>
          <cell r="GW203">
            <v>0</v>
          </cell>
          <cell r="GX203">
            <v>0</v>
          </cell>
          <cell r="GY203">
            <v>0</v>
          </cell>
          <cell r="GZ203">
            <v>0</v>
          </cell>
          <cell r="HA203">
            <v>0</v>
          </cell>
          <cell r="HB203">
            <v>0</v>
          </cell>
          <cell r="HC203">
            <v>0</v>
          </cell>
          <cell r="HD203">
            <v>0</v>
          </cell>
          <cell r="HE203">
            <v>0</v>
          </cell>
          <cell r="HF203">
            <v>0</v>
          </cell>
        </row>
        <row r="249">
          <cell r="N249">
            <v>2280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0</v>
          </cell>
          <cell r="DM249">
            <v>0</v>
          </cell>
          <cell r="DN249">
            <v>0</v>
          </cell>
          <cell r="DO249">
            <v>0</v>
          </cell>
          <cell r="DP249">
            <v>0</v>
          </cell>
          <cell r="DQ249">
            <v>0</v>
          </cell>
          <cell r="DR249">
            <v>0</v>
          </cell>
          <cell r="DS249">
            <v>0</v>
          </cell>
          <cell r="DT249">
            <v>0</v>
          </cell>
          <cell r="DU249">
            <v>0</v>
          </cell>
          <cell r="DV249">
            <v>0</v>
          </cell>
          <cell r="DW249">
            <v>0</v>
          </cell>
          <cell r="DX249">
            <v>0</v>
          </cell>
          <cell r="DY249">
            <v>0</v>
          </cell>
          <cell r="DZ249">
            <v>0</v>
          </cell>
          <cell r="EA249">
            <v>0</v>
          </cell>
          <cell r="EB249">
            <v>0</v>
          </cell>
          <cell r="EC249">
            <v>0</v>
          </cell>
          <cell r="ED249">
            <v>0</v>
          </cell>
          <cell r="EE249">
            <v>0</v>
          </cell>
          <cell r="EF249">
            <v>0</v>
          </cell>
          <cell r="EG249">
            <v>0</v>
          </cell>
          <cell r="EH249">
            <v>0</v>
          </cell>
          <cell r="EI249">
            <v>0</v>
          </cell>
          <cell r="EJ249">
            <v>0</v>
          </cell>
          <cell r="EK249">
            <v>0</v>
          </cell>
          <cell r="EL249">
            <v>0</v>
          </cell>
          <cell r="EM249">
            <v>0</v>
          </cell>
          <cell r="EN249">
            <v>0</v>
          </cell>
          <cell r="EO249">
            <v>0</v>
          </cell>
          <cell r="EP249">
            <v>0</v>
          </cell>
          <cell r="EQ249">
            <v>0</v>
          </cell>
          <cell r="ER249">
            <v>0</v>
          </cell>
          <cell r="ES249">
            <v>0</v>
          </cell>
          <cell r="ET249">
            <v>0</v>
          </cell>
          <cell r="EU249">
            <v>0</v>
          </cell>
          <cell r="EV249">
            <v>0</v>
          </cell>
          <cell r="EW249">
            <v>0</v>
          </cell>
          <cell r="EX249">
            <v>0</v>
          </cell>
          <cell r="EY249">
            <v>0</v>
          </cell>
          <cell r="EZ249">
            <v>0</v>
          </cell>
          <cell r="FA249">
            <v>0</v>
          </cell>
          <cell r="FB249">
            <v>0</v>
          </cell>
          <cell r="FC249">
            <v>0</v>
          </cell>
          <cell r="FD249">
            <v>0</v>
          </cell>
          <cell r="FE249">
            <v>0</v>
          </cell>
          <cell r="FF249">
            <v>0</v>
          </cell>
          <cell r="FG249">
            <v>0</v>
          </cell>
          <cell r="FH249">
            <v>0</v>
          </cell>
          <cell r="FI249">
            <v>0</v>
          </cell>
          <cell r="FJ249">
            <v>0</v>
          </cell>
          <cell r="FK249">
            <v>0</v>
          </cell>
          <cell r="FL249">
            <v>0</v>
          </cell>
          <cell r="FM249">
            <v>0</v>
          </cell>
          <cell r="FN249">
            <v>0</v>
          </cell>
          <cell r="FO249">
            <v>0</v>
          </cell>
          <cell r="FP249">
            <v>0</v>
          </cell>
          <cell r="FQ249">
            <v>0</v>
          </cell>
          <cell r="FR249">
            <v>0</v>
          </cell>
          <cell r="FS249">
            <v>0</v>
          </cell>
          <cell r="FT249">
            <v>0</v>
          </cell>
          <cell r="FU249">
            <v>0</v>
          </cell>
          <cell r="FV249">
            <v>0</v>
          </cell>
          <cell r="FW249">
            <v>0</v>
          </cell>
          <cell r="FX249">
            <v>0</v>
          </cell>
          <cell r="FY249">
            <v>0</v>
          </cell>
          <cell r="FZ249">
            <v>0</v>
          </cell>
          <cell r="GA249">
            <v>0</v>
          </cell>
          <cell r="GB249">
            <v>0</v>
          </cell>
          <cell r="GC249">
            <v>0</v>
          </cell>
          <cell r="GD249">
            <v>0</v>
          </cell>
          <cell r="GE249">
            <v>0</v>
          </cell>
          <cell r="GF249">
            <v>0</v>
          </cell>
          <cell r="GG249">
            <v>0</v>
          </cell>
          <cell r="GH249">
            <v>0</v>
          </cell>
          <cell r="GI249">
            <v>0</v>
          </cell>
          <cell r="GJ249">
            <v>0</v>
          </cell>
          <cell r="GK249">
            <v>0</v>
          </cell>
          <cell r="GL249">
            <v>0</v>
          </cell>
          <cell r="GM249">
            <v>0</v>
          </cell>
          <cell r="GN249">
            <v>0</v>
          </cell>
          <cell r="GO249">
            <v>0</v>
          </cell>
          <cell r="GP249">
            <v>0</v>
          </cell>
          <cell r="GQ249">
            <v>0</v>
          </cell>
          <cell r="GR249">
            <v>0</v>
          </cell>
          <cell r="GS249">
            <v>0</v>
          </cell>
          <cell r="GT249">
            <v>0</v>
          </cell>
          <cell r="GU249">
            <v>0</v>
          </cell>
          <cell r="GV249">
            <v>0</v>
          </cell>
          <cell r="GW249">
            <v>0</v>
          </cell>
          <cell r="GX249">
            <v>0</v>
          </cell>
          <cell r="GY249">
            <v>0</v>
          </cell>
          <cell r="GZ249">
            <v>0</v>
          </cell>
          <cell r="HA249">
            <v>0</v>
          </cell>
          <cell r="HB249">
            <v>0</v>
          </cell>
          <cell r="HC249">
            <v>0</v>
          </cell>
          <cell r="HD249">
            <v>0</v>
          </cell>
          <cell r="HE249">
            <v>0</v>
          </cell>
          <cell r="HF249">
            <v>0</v>
          </cell>
        </row>
        <row r="262">
          <cell r="N262">
            <v>10092</v>
          </cell>
          <cell r="O262">
            <v>10092</v>
          </cell>
          <cell r="P262">
            <v>10092</v>
          </cell>
          <cell r="Q262">
            <v>10092</v>
          </cell>
          <cell r="R262">
            <v>10092</v>
          </cell>
          <cell r="S262">
            <v>10092</v>
          </cell>
          <cell r="T262">
            <v>10092</v>
          </cell>
          <cell r="U262">
            <v>10092</v>
          </cell>
          <cell r="V262">
            <v>10092</v>
          </cell>
          <cell r="W262">
            <v>10092</v>
          </cell>
          <cell r="X262">
            <v>10092</v>
          </cell>
          <cell r="Y262">
            <v>10092</v>
          </cell>
          <cell r="Z262">
            <v>10092</v>
          </cell>
          <cell r="AA262">
            <v>10092</v>
          </cell>
          <cell r="AB262">
            <v>10092</v>
          </cell>
          <cell r="AC262">
            <v>10092</v>
          </cell>
          <cell r="AD262">
            <v>10092</v>
          </cell>
          <cell r="AE262">
            <v>10092</v>
          </cell>
          <cell r="AF262">
            <v>10092</v>
          </cell>
          <cell r="AG262">
            <v>10092</v>
          </cell>
          <cell r="AH262">
            <v>10092</v>
          </cell>
          <cell r="AI262">
            <v>10092</v>
          </cell>
          <cell r="AJ262">
            <v>10092</v>
          </cell>
          <cell r="AK262">
            <v>10092</v>
          </cell>
          <cell r="AL262">
            <v>10092</v>
          </cell>
          <cell r="AM262">
            <v>10092</v>
          </cell>
          <cell r="AN262">
            <v>10092</v>
          </cell>
          <cell r="AO262">
            <v>10092</v>
          </cell>
          <cell r="AP262">
            <v>10092</v>
          </cell>
          <cell r="AQ262">
            <v>10092</v>
          </cell>
          <cell r="AR262">
            <v>10092</v>
          </cell>
          <cell r="AS262">
            <v>10092</v>
          </cell>
          <cell r="AT262">
            <v>10092</v>
          </cell>
          <cell r="AU262">
            <v>10092</v>
          </cell>
          <cell r="AV262">
            <v>9885</v>
          </cell>
          <cell r="AW262">
            <v>9635</v>
          </cell>
          <cell r="AX262">
            <v>9385</v>
          </cell>
          <cell r="AY262">
            <v>9135</v>
          </cell>
          <cell r="AZ262">
            <v>8885</v>
          </cell>
          <cell r="BA262">
            <v>8635</v>
          </cell>
          <cell r="BB262">
            <v>8385</v>
          </cell>
          <cell r="BC262">
            <v>8135</v>
          </cell>
          <cell r="BD262">
            <v>7885</v>
          </cell>
          <cell r="BE262">
            <v>7635</v>
          </cell>
          <cell r="BF262">
            <v>7385</v>
          </cell>
          <cell r="BG262">
            <v>7135</v>
          </cell>
          <cell r="BH262">
            <v>6885</v>
          </cell>
          <cell r="BI262">
            <v>6635</v>
          </cell>
          <cell r="BJ262">
            <v>6385</v>
          </cell>
          <cell r="BK262">
            <v>6135</v>
          </cell>
          <cell r="BL262">
            <v>5885</v>
          </cell>
          <cell r="BM262">
            <v>5635</v>
          </cell>
          <cell r="BN262">
            <v>5385</v>
          </cell>
          <cell r="BO262">
            <v>5135</v>
          </cell>
          <cell r="BP262">
            <v>4885</v>
          </cell>
          <cell r="BQ262">
            <v>4635</v>
          </cell>
          <cell r="BR262">
            <v>4385</v>
          </cell>
          <cell r="BS262">
            <v>4135</v>
          </cell>
          <cell r="BT262">
            <v>3885</v>
          </cell>
          <cell r="BU262">
            <v>3635</v>
          </cell>
          <cell r="BV262">
            <v>3385</v>
          </cell>
          <cell r="BW262">
            <v>3135</v>
          </cell>
          <cell r="BX262">
            <v>2885</v>
          </cell>
          <cell r="BY262">
            <v>2635</v>
          </cell>
          <cell r="BZ262">
            <v>2385</v>
          </cell>
          <cell r="CA262">
            <v>2135</v>
          </cell>
          <cell r="CB262">
            <v>1885</v>
          </cell>
          <cell r="CC262">
            <v>1635</v>
          </cell>
          <cell r="CD262">
            <v>1385</v>
          </cell>
          <cell r="CE262">
            <v>1135</v>
          </cell>
          <cell r="CF262">
            <v>885</v>
          </cell>
          <cell r="CG262">
            <v>635</v>
          </cell>
          <cell r="CH262">
            <v>385</v>
          </cell>
          <cell r="CI262">
            <v>135</v>
          </cell>
          <cell r="CJ262">
            <v>0</v>
          </cell>
          <cell r="CK262">
            <v>0</v>
          </cell>
          <cell r="CL262">
            <v>0</v>
          </cell>
          <cell r="CM262">
            <v>0</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0</v>
          </cell>
          <cell r="DM262">
            <v>0</v>
          </cell>
          <cell r="DN262">
            <v>0</v>
          </cell>
          <cell r="DO262">
            <v>0</v>
          </cell>
          <cell r="DP262">
            <v>0</v>
          </cell>
          <cell r="DQ262">
            <v>0</v>
          </cell>
          <cell r="DR262">
            <v>0</v>
          </cell>
          <cell r="DS262">
            <v>0</v>
          </cell>
          <cell r="DT262">
            <v>0</v>
          </cell>
          <cell r="DU262">
            <v>0</v>
          </cell>
          <cell r="DV262">
            <v>0</v>
          </cell>
          <cell r="DW262">
            <v>0</v>
          </cell>
          <cell r="DX262">
            <v>0</v>
          </cell>
          <cell r="DY262">
            <v>0</v>
          </cell>
          <cell r="DZ262">
            <v>0</v>
          </cell>
          <cell r="EA262">
            <v>0</v>
          </cell>
          <cell r="EB262">
            <v>0</v>
          </cell>
          <cell r="EC262">
            <v>0</v>
          </cell>
          <cell r="ED262">
            <v>0</v>
          </cell>
          <cell r="EE262">
            <v>0</v>
          </cell>
          <cell r="EF262">
            <v>0</v>
          </cell>
          <cell r="EG262">
            <v>0</v>
          </cell>
          <cell r="EH262">
            <v>0</v>
          </cell>
          <cell r="EI262">
            <v>0</v>
          </cell>
          <cell r="EJ262">
            <v>0</v>
          </cell>
          <cell r="EK262">
            <v>0</v>
          </cell>
          <cell r="EL262">
            <v>0</v>
          </cell>
          <cell r="EM262">
            <v>0</v>
          </cell>
          <cell r="EN262">
            <v>0</v>
          </cell>
          <cell r="EO262">
            <v>0</v>
          </cell>
          <cell r="EP262">
            <v>0</v>
          </cell>
          <cell r="EQ262">
            <v>0</v>
          </cell>
          <cell r="ER262">
            <v>0</v>
          </cell>
          <cell r="ES262">
            <v>0</v>
          </cell>
          <cell r="ET262">
            <v>0</v>
          </cell>
          <cell r="EU262">
            <v>0</v>
          </cell>
          <cell r="EV262">
            <v>0</v>
          </cell>
          <cell r="EW262">
            <v>0</v>
          </cell>
          <cell r="EX262">
            <v>0</v>
          </cell>
          <cell r="EY262">
            <v>0</v>
          </cell>
          <cell r="EZ262">
            <v>0</v>
          </cell>
          <cell r="FA262">
            <v>0</v>
          </cell>
          <cell r="FB262">
            <v>0</v>
          </cell>
          <cell r="FC262">
            <v>0</v>
          </cell>
          <cell r="FD262">
            <v>0</v>
          </cell>
          <cell r="FE262">
            <v>0</v>
          </cell>
          <cell r="FF262">
            <v>0</v>
          </cell>
          <cell r="FG262">
            <v>0</v>
          </cell>
          <cell r="FH262">
            <v>0</v>
          </cell>
          <cell r="FI262">
            <v>0</v>
          </cell>
          <cell r="FJ262">
            <v>0</v>
          </cell>
          <cell r="FK262">
            <v>0</v>
          </cell>
          <cell r="FL262">
            <v>0</v>
          </cell>
          <cell r="FM262">
            <v>0</v>
          </cell>
          <cell r="FN262">
            <v>0</v>
          </cell>
          <cell r="FO262">
            <v>0</v>
          </cell>
          <cell r="FP262">
            <v>0</v>
          </cell>
          <cell r="FQ262">
            <v>0</v>
          </cell>
          <cell r="FR262">
            <v>0</v>
          </cell>
          <cell r="FS262">
            <v>0</v>
          </cell>
          <cell r="FT262">
            <v>0</v>
          </cell>
          <cell r="FU262">
            <v>0</v>
          </cell>
          <cell r="FV262">
            <v>0</v>
          </cell>
          <cell r="FW262">
            <v>0</v>
          </cell>
          <cell r="FX262">
            <v>0</v>
          </cell>
          <cell r="FY262">
            <v>0</v>
          </cell>
          <cell r="FZ262">
            <v>0</v>
          </cell>
          <cell r="GA262">
            <v>0</v>
          </cell>
          <cell r="GB262">
            <v>0</v>
          </cell>
          <cell r="GC262">
            <v>0</v>
          </cell>
          <cell r="GD262">
            <v>0</v>
          </cell>
          <cell r="GE262">
            <v>0</v>
          </cell>
          <cell r="GF262">
            <v>0</v>
          </cell>
          <cell r="GG262">
            <v>0</v>
          </cell>
          <cell r="GH262">
            <v>0</v>
          </cell>
          <cell r="GI262">
            <v>0</v>
          </cell>
          <cell r="GJ262">
            <v>0</v>
          </cell>
          <cell r="GK262">
            <v>0</v>
          </cell>
          <cell r="GL262">
            <v>0</v>
          </cell>
          <cell r="GM262">
            <v>0</v>
          </cell>
          <cell r="GN262">
            <v>0</v>
          </cell>
          <cell r="GO262">
            <v>0</v>
          </cell>
          <cell r="GP262">
            <v>0</v>
          </cell>
          <cell r="GQ262">
            <v>0</v>
          </cell>
          <cell r="GR262">
            <v>0</v>
          </cell>
          <cell r="GS262">
            <v>0</v>
          </cell>
          <cell r="GT262">
            <v>0</v>
          </cell>
          <cell r="GU262">
            <v>0</v>
          </cell>
          <cell r="GV262">
            <v>0</v>
          </cell>
          <cell r="GW262">
            <v>0</v>
          </cell>
          <cell r="GX262">
            <v>0</v>
          </cell>
          <cell r="GY262">
            <v>0</v>
          </cell>
          <cell r="GZ262">
            <v>0</v>
          </cell>
          <cell r="HA262">
            <v>0</v>
          </cell>
          <cell r="HB262">
            <v>0</v>
          </cell>
          <cell r="HC262">
            <v>0</v>
          </cell>
          <cell r="HD262">
            <v>0</v>
          </cell>
          <cell r="HE262">
            <v>0</v>
          </cell>
          <cell r="HF262">
            <v>0</v>
          </cell>
        </row>
        <row r="295">
          <cell r="N295">
            <v>7896</v>
          </cell>
          <cell r="O295">
            <v>7896</v>
          </cell>
          <cell r="P295">
            <v>7896</v>
          </cell>
          <cell r="Q295">
            <v>7896</v>
          </cell>
          <cell r="R295">
            <v>7896</v>
          </cell>
          <cell r="S295">
            <v>7896</v>
          </cell>
          <cell r="T295">
            <v>7896</v>
          </cell>
          <cell r="U295">
            <v>7896</v>
          </cell>
          <cell r="V295">
            <v>7896</v>
          </cell>
          <cell r="W295">
            <v>7896</v>
          </cell>
          <cell r="X295">
            <v>7896</v>
          </cell>
          <cell r="Y295">
            <v>7896</v>
          </cell>
          <cell r="Z295">
            <v>7896</v>
          </cell>
          <cell r="AA295">
            <v>7896</v>
          </cell>
          <cell r="AB295">
            <v>7896</v>
          </cell>
          <cell r="AC295">
            <v>7896</v>
          </cell>
          <cell r="AD295">
            <v>7896</v>
          </cell>
          <cell r="AE295">
            <v>7896</v>
          </cell>
          <cell r="AF295">
            <v>7896</v>
          </cell>
          <cell r="AG295">
            <v>7896</v>
          </cell>
          <cell r="AH295">
            <v>7896</v>
          </cell>
          <cell r="AI295">
            <v>7896</v>
          </cell>
          <cell r="AJ295">
            <v>7896</v>
          </cell>
          <cell r="AK295">
            <v>7896</v>
          </cell>
          <cell r="AL295">
            <v>7896</v>
          </cell>
          <cell r="AM295">
            <v>7896</v>
          </cell>
          <cell r="AN295">
            <v>7896</v>
          </cell>
          <cell r="AO295">
            <v>7896</v>
          </cell>
          <cell r="AP295">
            <v>7896</v>
          </cell>
          <cell r="AQ295">
            <v>7896</v>
          </cell>
          <cell r="AR295">
            <v>7896</v>
          </cell>
          <cell r="AS295">
            <v>7896</v>
          </cell>
          <cell r="AT295">
            <v>7896</v>
          </cell>
          <cell r="AU295">
            <v>7896</v>
          </cell>
          <cell r="AV295">
            <v>7896</v>
          </cell>
          <cell r="AW295">
            <v>7896</v>
          </cell>
          <cell r="AX295">
            <v>7896</v>
          </cell>
          <cell r="AY295">
            <v>7896</v>
          </cell>
          <cell r="AZ295">
            <v>7896</v>
          </cell>
          <cell r="BA295">
            <v>7896</v>
          </cell>
          <cell r="BB295">
            <v>7896</v>
          </cell>
          <cell r="BC295">
            <v>7896</v>
          </cell>
          <cell r="BD295">
            <v>7896</v>
          </cell>
          <cell r="BE295">
            <v>7896</v>
          </cell>
          <cell r="BF295">
            <v>7896</v>
          </cell>
          <cell r="BG295">
            <v>7896</v>
          </cell>
          <cell r="BH295">
            <v>7896</v>
          </cell>
          <cell r="BI295">
            <v>7896</v>
          </cell>
          <cell r="BJ295">
            <v>7896</v>
          </cell>
          <cell r="BK295">
            <v>7896</v>
          </cell>
          <cell r="BL295">
            <v>7896</v>
          </cell>
          <cell r="BM295">
            <v>7896</v>
          </cell>
          <cell r="BN295">
            <v>7896</v>
          </cell>
          <cell r="BO295">
            <v>7896</v>
          </cell>
          <cell r="BP295">
            <v>7896</v>
          </cell>
          <cell r="BQ295">
            <v>7896</v>
          </cell>
          <cell r="BR295">
            <v>7896</v>
          </cell>
          <cell r="BS295">
            <v>7896</v>
          </cell>
          <cell r="BT295">
            <v>7896</v>
          </cell>
          <cell r="BU295">
            <v>7896</v>
          </cell>
          <cell r="BV295">
            <v>7896</v>
          </cell>
          <cell r="BW295">
            <v>7896</v>
          </cell>
          <cell r="BX295">
            <v>7896</v>
          </cell>
          <cell r="BY295">
            <v>7896</v>
          </cell>
          <cell r="BZ295">
            <v>7896</v>
          </cell>
          <cell r="CA295">
            <v>7896</v>
          </cell>
          <cell r="CB295">
            <v>7896</v>
          </cell>
          <cell r="CC295">
            <v>7896</v>
          </cell>
          <cell r="CD295">
            <v>7896</v>
          </cell>
          <cell r="CE295">
            <v>7896</v>
          </cell>
          <cell r="CF295">
            <v>7896</v>
          </cell>
          <cell r="CG295">
            <v>7896</v>
          </cell>
          <cell r="CH295">
            <v>7896</v>
          </cell>
          <cell r="CI295">
            <v>7896</v>
          </cell>
          <cell r="CJ295">
            <v>7896</v>
          </cell>
          <cell r="CK295">
            <v>7896</v>
          </cell>
          <cell r="CL295">
            <v>7896</v>
          </cell>
          <cell r="CM295">
            <v>7896</v>
          </cell>
          <cell r="CN295">
            <v>7896</v>
          </cell>
          <cell r="CO295">
            <v>7896</v>
          </cell>
          <cell r="CP295">
            <v>7896</v>
          </cell>
          <cell r="CQ295">
            <v>7896</v>
          </cell>
          <cell r="CR295">
            <v>7896</v>
          </cell>
          <cell r="CS295">
            <v>7896</v>
          </cell>
          <cell r="CT295">
            <v>7896</v>
          </cell>
          <cell r="CU295">
            <v>7896</v>
          </cell>
          <cell r="CV295">
            <v>7896</v>
          </cell>
          <cell r="CW295">
            <v>7896</v>
          </cell>
          <cell r="CX295">
            <v>7896</v>
          </cell>
          <cell r="CY295">
            <v>7896</v>
          </cell>
          <cell r="CZ295">
            <v>7896</v>
          </cell>
          <cell r="DA295">
            <v>7896</v>
          </cell>
          <cell r="DB295">
            <v>7896</v>
          </cell>
          <cell r="DC295">
            <v>7896</v>
          </cell>
          <cell r="DD295">
            <v>7896</v>
          </cell>
          <cell r="DE295">
            <v>7896</v>
          </cell>
          <cell r="DF295">
            <v>7896</v>
          </cell>
          <cell r="DG295">
            <v>7896</v>
          </cell>
          <cell r="DH295">
            <v>7896</v>
          </cell>
          <cell r="DI295">
            <v>7896</v>
          </cell>
          <cell r="DJ295">
            <v>7896</v>
          </cell>
          <cell r="DK295">
            <v>7896</v>
          </cell>
          <cell r="DL295">
            <v>7896</v>
          </cell>
          <cell r="DM295">
            <v>7896</v>
          </cell>
          <cell r="DN295">
            <v>7896</v>
          </cell>
          <cell r="DO295">
            <v>7896</v>
          </cell>
          <cell r="DP295">
            <v>7896</v>
          </cell>
          <cell r="DQ295">
            <v>0</v>
          </cell>
          <cell r="DR295">
            <v>0</v>
          </cell>
          <cell r="DS295">
            <v>0</v>
          </cell>
          <cell r="DT295">
            <v>0</v>
          </cell>
          <cell r="DU295">
            <v>0</v>
          </cell>
          <cell r="DV295">
            <v>0</v>
          </cell>
          <cell r="DW295">
            <v>0</v>
          </cell>
          <cell r="DX295">
            <v>0</v>
          </cell>
          <cell r="DY295">
            <v>0</v>
          </cell>
          <cell r="DZ295">
            <v>0</v>
          </cell>
          <cell r="EA295">
            <v>0</v>
          </cell>
          <cell r="EB295">
            <v>0</v>
          </cell>
          <cell r="EC295">
            <v>0</v>
          </cell>
          <cell r="ED295">
            <v>0</v>
          </cell>
          <cell r="EE295">
            <v>0</v>
          </cell>
          <cell r="EF295">
            <v>0</v>
          </cell>
          <cell r="EG295">
            <v>0</v>
          </cell>
          <cell r="EH295">
            <v>0</v>
          </cell>
          <cell r="EI295">
            <v>0</v>
          </cell>
          <cell r="EJ295">
            <v>0</v>
          </cell>
          <cell r="EK295">
            <v>0</v>
          </cell>
          <cell r="EL295">
            <v>0</v>
          </cell>
          <cell r="EM295">
            <v>0</v>
          </cell>
          <cell r="EN295">
            <v>0</v>
          </cell>
          <cell r="EO295">
            <v>0</v>
          </cell>
          <cell r="EP295">
            <v>0</v>
          </cell>
          <cell r="EQ295">
            <v>0</v>
          </cell>
          <cell r="ER295">
            <v>0</v>
          </cell>
          <cell r="ES295">
            <v>0</v>
          </cell>
          <cell r="ET295">
            <v>0</v>
          </cell>
          <cell r="EU295">
            <v>0</v>
          </cell>
          <cell r="EV295">
            <v>0</v>
          </cell>
          <cell r="EW295">
            <v>0</v>
          </cell>
          <cell r="EX295">
            <v>0</v>
          </cell>
          <cell r="EY295">
            <v>0</v>
          </cell>
          <cell r="EZ295">
            <v>0</v>
          </cell>
          <cell r="FA295">
            <v>0</v>
          </cell>
          <cell r="FB295">
            <v>0</v>
          </cell>
          <cell r="FC295">
            <v>0</v>
          </cell>
          <cell r="FD295">
            <v>0</v>
          </cell>
          <cell r="FE295">
            <v>0</v>
          </cell>
          <cell r="FF295">
            <v>0</v>
          </cell>
          <cell r="FG295">
            <v>0</v>
          </cell>
          <cell r="FH295">
            <v>0</v>
          </cell>
          <cell r="FI295">
            <v>0</v>
          </cell>
          <cell r="FJ295">
            <v>0</v>
          </cell>
          <cell r="FK295">
            <v>0</v>
          </cell>
          <cell r="FL295">
            <v>0</v>
          </cell>
          <cell r="FM295">
            <v>0</v>
          </cell>
          <cell r="FN295">
            <v>0</v>
          </cell>
          <cell r="FO295">
            <v>0</v>
          </cell>
          <cell r="FP295">
            <v>0</v>
          </cell>
          <cell r="FQ295">
            <v>0</v>
          </cell>
          <cell r="FR295">
            <v>0</v>
          </cell>
          <cell r="FS295">
            <v>0</v>
          </cell>
          <cell r="FT295">
            <v>0</v>
          </cell>
          <cell r="FU295">
            <v>0</v>
          </cell>
          <cell r="FV295">
            <v>0</v>
          </cell>
          <cell r="FW295">
            <v>0</v>
          </cell>
          <cell r="FX295">
            <v>0</v>
          </cell>
          <cell r="FY295">
            <v>0</v>
          </cell>
          <cell r="FZ295">
            <v>0</v>
          </cell>
          <cell r="GA295">
            <v>0</v>
          </cell>
          <cell r="GB295">
            <v>0</v>
          </cell>
          <cell r="GC295">
            <v>0</v>
          </cell>
          <cell r="GD295">
            <v>0</v>
          </cell>
          <cell r="GE295">
            <v>0</v>
          </cell>
          <cell r="GF295">
            <v>0</v>
          </cell>
          <cell r="GG295">
            <v>0</v>
          </cell>
          <cell r="GH295">
            <v>0</v>
          </cell>
          <cell r="GI295">
            <v>0</v>
          </cell>
          <cell r="GJ295">
            <v>0</v>
          </cell>
          <cell r="GK295">
            <v>0</v>
          </cell>
          <cell r="GL295">
            <v>0</v>
          </cell>
          <cell r="GM295">
            <v>0</v>
          </cell>
          <cell r="GN295">
            <v>0</v>
          </cell>
          <cell r="GO295">
            <v>0</v>
          </cell>
          <cell r="GP295">
            <v>0</v>
          </cell>
          <cell r="GQ295">
            <v>0</v>
          </cell>
          <cell r="GR295">
            <v>0</v>
          </cell>
          <cell r="GS295">
            <v>0</v>
          </cell>
          <cell r="GT295">
            <v>0</v>
          </cell>
          <cell r="GU295">
            <v>0</v>
          </cell>
          <cell r="GV295">
            <v>0</v>
          </cell>
          <cell r="GW295">
            <v>0</v>
          </cell>
          <cell r="GX295">
            <v>0</v>
          </cell>
          <cell r="GY295">
            <v>0</v>
          </cell>
          <cell r="GZ295">
            <v>0</v>
          </cell>
          <cell r="HA295">
            <v>0</v>
          </cell>
          <cell r="HB295">
            <v>0</v>
          </cell>
          <cell r="HC295">
            <v>0</v>
          </cell>
          <cell r="HD295">
            <v>0</v>
          </cell>
          <cell r="HE295">
            <v>0</v>
          </cell>
          <cell r="HF295">
            <v>0</v>
          </cell>
        </row>
        <row r="317">
          <cell r="N317">
            <v>1105</v>
          </cell>
          <cell r="O317">
            <v>1105</v>
          </cell>
          <cell r="P317">
            <v>1105</v>
          </cell>
          <cell r="Q317">
            <v>1105</v>
          </cell>
          <cell r="R317">
            <v>1105</v>
          </cell>
          <cell r="S317">
            <v>1105</v>
          </cell>
          <cell r="T317">
            <v>1105</v>
          </cell>
          <cell r="U317">
            <v>1105</v>
          </cell>
          <cell r="V317">
            <v>1105</v>
          </cell>
          <cell r="W317">
            <v>1105</v>
          </cell>
          <cell r="X317">
            <v>1105</v>
          </cell>
          <cell r="Y317">
            <v>1105</v>
          </cell>
          <cell r="Z317">
            <v>1105</v>
          </cell>
          <cell r="AA317">
            <v>1105</v>
          </cell>
          <cell r="AB317">
            <v>1105</v>
          </cell>
          <cell r="AC317">
            <v>1105</v>
          </cell>
          <cell r="AD317">
            <v>1105</v>
          </cell>
          <cell r="AE317">
            <v>1105</v>
          </cell>
          <cell r="AF317">
            <v>1105</v>
          </cell>
          <cell r="AG317">
            <v>1105</v>
          </cell>
          <cell r="AH317">
            <v>1105</v>
          </cell>
          <cell r="AI317">
            <v>1105</v>
          </cell>
          <cell r="AJ317">
            <v>1105</v>
          </cell>
          <cell r="AK317">
            <v>1105</v>
          </cell>
          <cell r="AL317">
            <v>1105</v>
          </cell>
          <cell r="AM317">
            <v>1105</v>
          </cell>
          <cell r="AN317">
            <v>1105</v>
          </cell>
          <cell r="AO317">
            <v>1105</v>
          </cell>
          <cell r="AP317">
            <v>1105</v>
          </cell>
          <cell r="AQ317">
            <v>1105</v>
          </cell>
          <cell r="AR317">
            <v>1105</v>
          </cell>
          <cell r="AS317">
            <v>1105</v>
          </cell>
          <cell r="AT317">
            <v>1105</v>
          </cell>
          <cell r="AU317">
            <v>1105</v>
          </cell>
          <cell r="AV317">
            <v>1105</v>
          </cell>
          <cell r="AW317">
            <v>1105</v>
          </cell>
          <cell r="AX317">
            <v>1105</v>
          </cell>
          <cell r="AY317">
            <v>1105</v>
          </cell>
          <cell r="AZ317">
            <v>1105</v>
          </cell>
          <cell r="BA317">
            <v>1105</v>
          </cell>
          <cell r="BB317">
            <v>1105</v>
          </cell>
          <cell r="BC317">
            <v>1105</v>
          </cell>
          <cell r="BD317">
            <v>1105</v>
          </cell>
          <cell r="BE317">
            <v>1105</v>
          </cell>
          <cell r="BF317">
            <v>1105</v>
          </cell>
          <cell r="BG317">
            <v>1105</v>
          </cell>
          <cell r="BH317">
            <v>1105</v>
          </cell>
          <cell r="BI317">
            <v>1105</v>
          </cell>
          <cell r="BJ317">
            <v>1105</v>
          </cell>
          <cell r="BK317">
            <v>1105</v>
          </cell>
          <cell r="BL317">
            <v>1105</v>
          </cell>
          <cell r="BM317">
            <v>1105</v>
          </cell>
          <cell r="BN317">
            <v>1105</v>
          </cell>
          <cell r="BO317">
            <v>1105</v>
          </cell>
          <cell r="BP317">
            <v>1105</v>
          </cell>
          <cell r="BQ317">
            <v>1105</v>
          </cell>
          <cell r="BR317">
            <v>1105</v>
          </cell>
          <cell r="BS317">
            <v>1105</v>
          </cell>
          <cell r="BT317">
            <v>1105</v>
          </cell>
          <cell r="BU317">
            <v>1105</v>
          </cell>
          <cell r="BV317">
            <v>1105</v>
          </cell>
          <cell r="BW317">
            <v>1105</v>
          </cell>
          <cell r="BX317">
            <v>1105</v>
          </cell>
          <cell r="BY317">
            <v>1105</v>
          </cell>
          <cell r="BZ317">
            <v>1105</v>
          </cell>
          <cell r="CA317">
            <v>1105</v>
          </cell>
          <cell r="CB317">
            <v>1105</v>
          </cell>
          <cell r="CC317">
            <v>1105</v>
          </cell>
          <cell r="CD317">
            <v>1105</v>
          </cell>
          <cell r="CE317">
            <v>1105</v>
          </cell>
          <cell r="CF317">
            <v>1105</v>
          </cell>
          <cell r="CG317">
            <v>1105</v>
          </cell>
          <cell r="CH317">
            <v>1105</v>
          </cell>
          <cell r="CI317">
            <v>1105</v>
          </cell>
          <cell r="CJ317">
            <v>1105</v>
          </cell>
          <cell r="CK317">
            <v>1105</v>
          </cell>
          <cell r="CL317">
            <v>1105</v>
          </cell>
          <cell r="CM317">
            <v>1105</v>
          </cell>
          <cell r="CN317">
            <v>1105</v>
          </cell>
          <cell r="CO317">
            <v>1105</v>
          </cell>
          <cell r="CP317">
            <v>1105</v>
          </cell>
          <cell r="CQ317">
            <v>1105</v>
          </cell>
          <cell r="CR317">
            <v>1105</v>
          </cell>
          <cell r="CS317">
            <v>1105</v>
          </cell>
          <cell r="CT317">
            <v>1105</v>
          </cell>
          <cell r="CU317">
            <v>1105</v>
          </cell>
          <cell r="CV317">
            <v>1105</v>
          </cell>
          <cell r="CW317">
            <v>1105</v>
          </cell>
          <cell r="CX317">
            <v>1105</v>
          </cell>
          <cell r="CY317">
            <v>1105</v>
          </cell>
          <cell r="CZ317">
            <v>1105</v>
          </cell>
          <cell r="DA317">
            <v>1105</v>
          </cell>
          <cell r="DB317">
            <v>1105</v>
          </cell>
          <cell r="DC317">
            <v>1105</v>
          </cell>
          <cell r="DD317">
            <v>1105</v>
          </cell>
          <cell r="DE317">
            <v>1105</v>
          </cell>
          <cell r="DF317">
            <v>1105</v>
          </cell>
          <cell r="DG317">
            <v>1105</v>
          </cell>
          <cell r="DH317">
            <v>1105</v>
          </cell>
          <cell r="DI317">
            <v>1105</v>
          </cell>
          <cell r="DJ317">
            <v>1105</v>
          </cell>
          <cell r="DK317">
            <v>1105</v>
          </cell>
          <cell r="DL317">
            <v>1105</v>
          </cell>
          <cell r="DM317">
            <v>1105</v>
          </cell>
          <cell r="DN317">
            <v>1105</v>
          </cell>
          <cell r="DO317">
            <v>1105</v>
          </cell>
          <cell r="DP317">
            <v>1105</v>
          </cell>
          <cell r="DQ317">
            <v>1105</v>
          </cell>
          <cell r="DR317">
            <v>1105</v>
          </cell>
          <cell r="DS317">
            <v>1105</v>
          </cell>
          <cell r="DT317">
            <v>1105</v>
          </cell>
          <cell r="DU317">
            <v>1105</v>
          </cell>
          <cell r="DV317">
            <v>1105</v>
          </cell>
          <cell r="DW317">
            <v>1105</v>
          </cell>
          <cell r="DX317">
            <v>1105</v>
          </cell>
          <cell r="DY317">
            <v>1105</v>
          </cell>
          <cell r="DZ317">
            <v>1105</v>
          </cell>
          <cell r="EA317">
            <v>1105</v>
          </cell>
          <cell r="EB317">
            <v>1105</v>
          </cell>
          <cell r="EC317">
            <v>1105</v>
          </cell>
          <cell r="ED317">
            <v>1105</v>
          </cell>
          <cell r="EE317">
            <v>1105</v>
          </cell>
          <cell r="EF317">
            <v>1105</v>
          </cell>
          <cell r="EG317">
            <v>1105</v>
          </cell>
          <cell r="EH317">
            <v>1105</v>
          </cell>
          <cell r="EI317">
            <v>1105</v>
          </cell>
          <cell r="EJ317">
            <v>0</v>
          </cell>
          <cell r="EK317">
            <v>0</v>
          </cell>
          <cell r="EL317">
            <v>0</v>
          </cell>
          <cell r="EM317">
            <v>0</v>
          </cell>
          <cell r="EN317">
            <v>0</v>
          </cell>
          <cell r="EO317">
            <v>0</v>
          </cell>
          <cell r="EP317">
            <v>0</v>
          </cell>
          <cell r="EQ317">
            <v>0</v>
          </cell>
          <cell r="ER317">
            <v>0</v>
          </cell>
          <cell r="ES317">
            <v>0</v>
          </cell>
          <cell r="ET317">
            <v>0</v>
          </cell>
          <cell r="EU317">
            <v>0</v>
          </cell>
          <cell r="EV317">
            <v>0</v>
          </cell>
          <cell r="EW317">
            <v>0</v>
          </cell>
          <cell r="EX317">
            <v>0</v>
          </cell>
          <cell r="EY317">
            <v>0</v>
          </cell>
          <cell r="EZ317">
            <v>0</v>
          </cell>
          <cell r="FA317">
            <v>0</v>
          </cell>
          <cell r="FB317">
            <v>0</v>
          </cell>
          <cell r="FC317">
            <v>0</v>
          </cell>
          <cell r="FD317">
            <v>0</v>
          </cell>
          <cell r="FE317">
            <v>0</v>
          </cell>
          <cell r="FF317">
            <v>0</v>
          </cell>
          <cell r="FG317">
            <v>0</v>
          </cell>
          <cell r="FH317">
            <v>0</v>
          </cell>
          <cell r="FI317">
            <v>0</v>
          </cell>
          <cell r="FJ317">
            <v>0</v>
          </cell>
          <cell r="FK317">
            <v>0</v>
          </cell>
          <cell r="FL317">
            <v>0</v>
          </cell>
          <cell r="FM317">
            <v>0</v>
          </cell>
          <cell r="FN317">
            <v>0</v>
          </cell>
          <cell r="FO317">
            <v>0</v>
          </cell>
          <cell r="FP317">
            <v>0</v>
          </cell>
          <cell r="FQ317">
            <v>0</v>
          </cell>
          <cell r="FR317">
            <v>0</v>
          </cell>
          <cell r="FS317">
            <v>0</v>
          </cell>
          <cell r="FT317">
            <v>0</v>
          </cell>
          <cell r="FU317">
            <v>0</v>
          </cell>
          <cell r="FV317">
            <v>0</v>
          </cell>
          <cell r="FW317">
            <v>0</v>
          </cell>
          <cell r="FX317">
            <v>0</v>
          </cell>
          <cell r="FY317">
            <v>0</v>
          </cell>
          <cell r="FZ317">
            <v>0</v>
          </cell>
          <cell r="GA317">
            <v>0</v>
          </cell>
          <cell r="GB317">
            <v>0</v>
          </cell>
          <cell r="GC317">
            <v>0</v>
          </cell>
          <cell r="GD317">
            <v>0</v>
          </cell>
          <cell r="GE317">
            <v>0</v>
          </cell>
          <cell r="GF317">
            <v>0</v>
          </cell>
          <cell r="GG317">
            <v>0</v>
          </cell>
          <cell r="GH317">
            <v>0</v>
          </cell>
          <cell r="GI317">
            <v>0</v>
          </cell>
          <cell r="GJ317">
            <v>0</v>
          </cell>
          <cell r="GK317">
            <v>0</v>
          </cell>
          <cell r="GL317">
            <v>0</v>
          </cell>
          <cell r="GM317">
            <v>0</v>
          </cell>
          <cell r="GN317">
            <v>0</v>
          </cell>
          <cell r="GO317">
            <v>0</v>
          </cell>
          <cell r="GP317">
            <v>0</v>
          </cell>
          <cell r="GQ317">
            <v>0</v>
          </cell>
          <cell r="GR317">
            <v>0</v>
          </cell>
          <cell r="GS317">
            <v>0</v>
          </cell>
          <cell r="GT317">
            <v>0</v>
          </cell>
          <cell r="GU317">
            <v>0</v>
          </cell>
          <cell r="GV317">
            <v>0</v>
          </cell>
          <cell r="GW317">
            <v>0</v>
          </cell>
          <cell r="GX317">
            <v>0</v>
          </cell>
          <cell r="GY317">
            <v>0</v>
          </cell>
          <cell r="GZ317">
            <v>0</v>
          </cell>
          <cell r="HA317">
            <v>0</v>
          </cell>
          <cell r="HB317">
            <v>0</v>
          </cell>
          <cell r="HC317">
            <v>0</v>
          </cell>
          <cell r="HD317">
            <v>0</v>
          </cell>
          <cell r="HE317">
            <v>0</v>
          </cell>
          <cell r="HF317">
            <v>0</v>
          </cell>
        </row>
        <row r="328">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v>0</v>
          </cell>
          <cell r="DU328">
            <v>0</v>
          </cell>
          <cell r="DV328">
            <v>0</v>
          </cell>
          <cell r="DW328">
            <v>0</v>
          </cell>
          <cell r="DX328">
            <v>0</v>
          </cell>
          <cell r="DY328">
            <v>0</v>
          </cell>
          <cell r="DZ328">
            <v>0</v>
          </cell>
          <cell r="EA328">
            <v>0</v>
          </cell>
          <cell r="EB328">
            <v>0</v>
          </cell>
          <cell r="EC328">
            <v>0</v>
          </cell>
          <cell r="ED328">
            <v>0</v>
          </cell>
          <cell r="EE328">
            <v>0</v>
          </cell>
          <cell r="EF328">
            <v>0</v>
          </cell>
          <cell r="EG328">
            <v>0</v>
          </cell>
          <cell r="EH328">
            <v>0</v>
          </cell>
          <cell r="EI328">
            <v>0</v>
          </cell>
          <cell r="EJ328">
            <v>0</v>
          </cell>
          <cell r="EK328">
            <v>0</v>
          </cell>
          <cell r="EL328">
            <v>0</v>
          </cell>
          <cell r="EM328">
            <v>0</v>
          </cell>
          <cell r="EN328">
            <v>0</v>
          </cell>
          <cell r="EO328">
            <v>0</v>
          </cell>
          <cell r="EP328">
            <v>0</v>
          </cell>
          <cell r="EQ328">
            <v>0</v>
          </cell>
          <cell r="ER328">
            <v>0</v>
          </cell>
          <cell r="ES328">
            <v>0</v>
          </cell>
          <cell r="ET328">
            <v>0</v>
          </cell>
          <cell r="EU328">
            <v>0</v>
          </cell>
          <cell r="EV328">
            <v>0</v>
          </cell>
          <cell r="EW328">
            <v>0</v>
          </cell>
          <cell r="EX328">
            <v>0</v>
          </cell>
          <cell r="EY328">
            <v>0</v>
          </cell>
          <cell r="EZ328">
            <v>0</v>
          </cell>
          <cell r="FA328">
            <v>0</v>
          </cell>
          <cell r="FB328">
            <v>0</v>
          </cell>
          <cell r="FC328">
            <v>0</v>
          </cell>
          <cell r="FD328">
            <v>0</v>
          </cell>
          <cell r="FE328">
            <v>0</v>
          </cell>
          <cell r="FF328">
            <v>0</v>
          </cell>
          <cell r="FG328">
            <v>0</v>
          </cell>
          <cell r="FH328">
            <v>0</v>
          </cell>
          <cell r="FI328">
            <v>0</v>
          </cell>
          <cell r="FJ328">
            <v>0</v>
          </cell>
          <cell r="FK328">
            <v>0</v>
          </cell>
          <cell r="FL328">
            <v>0</v>
          </cell>
          <cell r="FM328">
            <v>0</v>
          </cell>
          <cell r="FN328">
            <v>0</v>
          </cell>
          <cell r="FO328">
            <v>0</v>
          </cell>
          <cell r="FP328">
            <v>0</v>
          </cell>
          <cell r="FQ328">
            <v>0</v>
          </cell>
          <cell r="FR328">
            <v>0</v>
          </cell>
          <cell r="FS328">
            <v>0</v>
          </cell>
          <cell r="FT328">
            <v>0</v>
          </cell>
          <cell r="FU328">
            <v>0</v>
          </cell>
          <cell r="FV328">
            <v>0</v>
          </cell>
          <cell r="FW328">
            <v>0</v>
          </cell>
          <cell r="FX328">
            <v>0</v>
          </cell>
          <cell r="FY328">
            <v>0</v>
          </cell>
          <cell r="FZ328">
            <v>0</v>
          </cell>
          <cell r="GA328">
            <v>0</v>
          </cell>
          <cell r="GB328">
            <v>0</v>
          </cell>
          <cell r="GC328">
            <v>0</v>
          </cell>
          <cell r="GD328">
            <v>0</v>
          </cell>
          <cell r="GE328">
            <v>0</v>
          </cell>
          <cell r="GF328">
            <v>0</v>
          </cell>
          <cell r="GG328">
            <v>0</v>
          </cell>
          <cell r="GH328">
            <v>0</v>
          </cell>
          <cell r="GI328">
            <v>0</v>
          </cell>
          <cell r="GJ328">
            <v>0</v>
          </cell>
          <cell r="GK328">
            <v>0</v>
          </cell>
          <cell r="GL328">
            <v>0</v>
          </cell>
          <cell r="GM328">
            <v>0</v>
          </cell>
          <cell r="GN328">
            <v>0</v>
          </cell>
          <cell r="GO328">
            <v>0</v>
          </cell>
          <cell r="GP328">
            <v>0</v>
          </cell>
          <cell r="GQ328">
            <v>0</v>
          </cell>
          <cell r="GR328">
            <v>0</v>
          </cell>
          <cell r="GS328">
            <v>0</v>
          </cell>
          <cell r="GT328">
            <v>0</v>
          </cell>
          <cell r="GU328">
            <v>0</v>
          </cell>
          <cell r="GV328">
            <v>0</v>
          </cell>
          <cell r="GW328">
            <v>0</v>
          </cell>
          <cell r="GX328">
            <v>0</v>
          </cell>
          <cell r="GY328">
            <v>0</v>
          </cell>
          <cell r="GZ328">
            <v>0</v>
          </cell>
          <cell r="HA328">
            <v>0</v>
          </cell>
          <cell r="HB328">
            <v>0</v>
          </cell>
          <cell r="HC328">
            <v>0</v>
          </cell>
          <cell r="HD328">
            <v>0</v>
          </cell>
          <cell r="HE328">
            <v>0</v>
          </cell>
          <cell r="HF328">
            <v>0</v>
          </cell>
        </row>
        <row r="357">
          <cell r="N357">
            <v>20522</v>
          </cell>
          <cell r="O357">
            <v>15924</v>
          </cell>
          <cell r="P357">
            <v>15924</v>
          </cell>
          <cell r="Q357">
            <v>15924</v>
          </cell>
          <cell r="R357">
            <v>15924</v>
          </cell>
          <cell r="S357">
            <v>15924</v>
          </cell>
          <cell r="T357">
            <v>15924</v>
          </cell>
          <cell r="U357">
            <v>15924</v>
          </cell>
          <cell r="V357">
            <v>15924</v>
          </cell>
          <cell r="W357">
            <v>15924</v>
          </cell>
          <cell r="X357">
            <v>15924</v>
          </cell>
          <cell r="Y357">
            <v>15924</v>
          </cell>
          <cell r="Z357">
            <v>15924</v>
          </cell>
          <cell r="AA357">
            <v>15924</v>
          </cell>
          <cell r="AB357">
            <v>15924</v>
          </cell>
          <cell r="AC357">
            <v>15924</v>
          </cell>
          <cell r="AD357">
            <v>15924</v>
          </cell>
          <cell r="AE357">
            <v>15924</v>
          </cell>
          <cell r="AF357">
            <v>15924</v>
          </cell>
          <cell r="AG357">
            <v>15924</v>
          </cell>
          <cell r="AH357">
            <v>15924</v>
          </cell>
          <cell r="AI357">
            <v>15924</v>
          </cell>
          <cell r="AJ357">
            <v>15924</v>
          </cell>
          <cell r="AK357">
            <v>15924</v>
          </cell>
          <cell r="AL357">
            <v>15924</v>
          </cell>
          <cell r="AM357">
            <v>15924</v>
          </cell>
          <cell r="AN357">
            <v>15924</v>
          </cell>
          <cell r="AO357">
            <v>15924</v>
          </cell>
          <cell r="AP357">
            <v>15924</v>
          </cell>
          <cell r="AQ357">
            <v>15924</v>
          </cell>
          <cell r="AR357">
            <v>15924</v>
          </cell>
          <cell r="AS357">
            <v>15924</v>
          </cell>
          <cell r="AT357">
            <v>15924</v>
          </cell>
          <cell r="AU357">
            <v>15924</v>
          </cell>
          <cell r="AV357">
            <v>15924</v>
          </cell>
          <cell r="AW357">
            <v>15924</v>
          </cell>
          <cell r="AX357">
            <v>15924</v>
          </cell>
          <cell r="AY357">
            <v>15924</v>
          </cell>
          <cell r="AZ357">
            <v>15924</v>
          </cell>
          <cell r="BA357">
            <v>15924</v>
          </cell>
          <cell r="BB357">
            <v>15924</v>
          </cell>
          <cell r="BC357">
            <v>15924</v>
          </cell>
          <cell r="BD357">
            <v>15924</v>
          </cell>
          <cell r="BE357">
            <v>15924</v>
          </cell>
          <cell r="BF357">
            <v>15924</v>
          </cell>
          <cell r="BG357">
            <v>15924</v>
          </cell>
          <cell r="BH357">
            <v>15924</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0</v>
          </cell>
          <cell r="CQ357">
            <v>0</v>
          </cell>
          <cell r="CR357">
            <v>0</v>
          </cell>
          <cell r="CS357">
            <v>0</v>
          </cell>
          <cell r="CT357">
            <v>0</v>
          </cell>
          <cell r="CU357">
            <v>0</v>
          </cell>
          <cell r="CV357">
            <v>0</v>
          </cell>
          <cell r="CW357">
            <v>0</v>
          </cell>
          <cell r="CX357">
            <v>0</v>
          </cell>
          <cell r="CY357">
            <v>0</v>
          </cell>
          <cell r="CZ357">
            <v>0</v>
          </cell>
          <cell r="DA357">
            <v>0</v>
          </cell>
          <cell r="DB357">
            <v>0</v>
          </cell>
          <cell r="DC357">
            <v>0</v>
          </cell>
          <cell r="DD357">
            <v>0</v>
          </cell>
          <cell r="DE357">
            <v>0</v>
          </cell>
          <cell r="DF357">
            <v>0</v>
          </cell>
          <cell r="DG357">
            <v>0</v>
          </cell>
          <cell r="DH357">
            <v>0</v>
          </cell>
          <cell r="DI357">
            <v>0</v>
          </cell>
          <cell r="DJ357">
            <v>0</v>
          </cell>
          <cell r="DK357">
            <v>0</v>
          </cell>
          <cell r="DL357">
            <v>0</v>
          </cell>
          <cell r="DM357">
            <v>0</v>
          </cell>
          <cell r="DN357">
            <v>0</v>
          </cell>
          <cell r="DO357">
            <v>0</v>
          </cell>
          <cell r="DP357">
            <v>0</v>
          </cell>
          <cell r="DQ357">
            <v>0</v>
          </cell>
          <cell r="DR357">
            <v>0</v>
          </cell>
          <cell r="DS357">
            <v>0</v>
          </cell>
          <cell r="DT357">
            <v>0</v>
          </cell>
          <cell r="DU357">
            <v>0</v>
          </cell>
          <cell r="DV357">
            <v>0</v>
          </cell>
          <cell r="DW357">
            <v>0</v>
          </cell>
          <cell r="DX357">
            <v>0</v>
          </cell>
          <cell r="DY357">
            <v>0</v>
          </cell>
          <cell r="DZ357">
            <v>0</v>
          </cell>
          <cell r="EA357">
            <v>0</v>
          </cell>
          <cell r="EB357">
            <v>0</v>
          </cell>
          <cell r="EC357">
            <v>0</v>
          </cell>
          <cell r="ED357">
            <v>0</v>
          </cell>
          <cell r="EE357">
            <v>0</v>
          </cell>
          <cell r="EF357">
            <v>0</v>
          </cell>
          <cell r="EG357">
            <v>0</v>
          </cell>
          <cell r="EH357">
            <v>0</v>
          </cell>
          <cell r="EI357">
            <v>0</v>
          </cell>
          <cell r="EJ357">
            <v>0</v>
          </cell>
          <cell r="EK357">
            <v>0</v>
          </cell>
          <cell r="EL357">
            <v>0</v>
          </cell>
          <cell r="EM357">
            <v>0</v>
          </cell>
          <cell r="EN357">
            <v>0</v>
          </cell>
          <cell r="EO357">
            <v>0</v>
          </cell>
          <cell r="EP357">
            <v>0</v>
          </cell>
          <cell r="EQ357">
            <v>0</v>
          </cell>
          <cell r="ER357">
            <v>0</v>
          </cell>
          <cell r="ES357">
            <v>0</v>
          </cell>
          <cell r="ET357">
            <v>0</v>
          </cell>
          <cell r="EU357">
            <v>0</v>
          </cell>
          <cell r="EV357">
            <v>0</v>
          </cell>
          <cell r="EW357">
            <v>0</v>
          </cell>
          <cell r="EX357">
            <v>0</v>
          </cell>
          <cell r="EY357">
            <v>0</v>
          </cell>
          <cell r="EZ357">
            <v>0</v>
          </cell>
          <cell r="FA357">
            <v>0</v>
          </cell>
          <cell r="FB357">
            <v>0</v>
          </cell>
          <cell r="FC357">
            <v>0</v>
          </cell>
          <cell r="FD357">
            <v>0</v>
          </cell>
          <cell r="FE357">
            <v>0</v>
          </cell>
          <cell r="FF357">
            <v>0</v>
          </cell>
          <cell r="FG357">
            <v>0</v>
          </cell>
          <cell r="FH357">
            <v>0</v>
          </cell>
          <cell r="FI357">
            <v>0</v>
          </cell>
          <cell r="FJ357">
            <v>0</v>
          </cell>
          <cell r="FK357">
            <v>0</v>
          </cell>
          <cell r="FL357">
            <v>0</v>
          </cell>
          <cell r="FM357">
            <v>0</v>
          </cell>
          <cell r="FN357">
            <v>0</v>
          </cell>
          <cell r="FO357">
            <v>0</v>
          </cell>
          <cell r="FP357">
            <v>0</v>
          </cell>
          <cell r="FQ357">
            <v>0</v>
          </cell>
          <cell r="FR357">
            <v>0</v>
          </cell>
          <cell r="FS357">
            <v>0</v>
          </cell>
          <cell r="FT357">
            <v>0</v>
          </cell>
          <cell r="FU357">
            <v>0</v>
          </cell>
          <cell r="FV357">
            <v>0</v>
          </cell>
          <cell r="FW357">
            <v>0</v>
          </cell>
          <cell r="FX357">
            <v>0</v>
          </cell>
          <cell r="FY357">
            <v>0</v>
          </cell>
          <cell r="FZ357">
            <v>0</v>
          </cell>
          <cell r="GA357">
            <v>0</v>
          </cell>
          <cell r="GB357">
            <v>0</v>
          </cell>
          <cell r="GC357">
            <v>0</v>
          </cell>
          <cell r="GD357">
            <v>0</v>
          </cell>
          <cell r="GE357">
            <v>0</v>
          </cell>
          <cell r="GF357">
            <v>0</v>
          </cell>
          <cell r="GG357">
            <v>0</v>
          </cell>
          <cell r="GH357">
            <v>0</v>
          </cell>
          <cell r="GI357">
            <v>0</v>
          </cell>
          <cell r="GJ357">
            <v>0</v>
          </cell>
          <cell r="GK357">
            <v>0</v>
          </cell>
          <cell r="GL357">
            <v>0</v>
          </cell>
          <cell r="GM357">
            <v>0</v>
          </cell>
          <cell r="GN357">
            <v>0</v>
          </cell>
          <cell r="GO357">
            <v>0</v>
          </cell>
          <cell r="GP357">
            <v>0</v>
          </cell>
          <cell r="GQ357">
            <v>0</v>
          </cell>
          <cell r="GR357">
            <v>0</v>
          </cell>
          <cell r="GS357">
            <v>0</v>
          </cell>
          <cell r="GT357">
            <v>0</v>
          </cell>
          <cell r="GU357">
            <v>0</v>
          </cell>
          <cell r="GV357">
            <v>0</v>
          </cell>
          <cell r="GW357">
            <v>0</v>
          </cell>
          <cell r="GX357">
            <v>0</v>
          </cell>
          <cell r="GY357">
            <v>0</v>
          </cell>
          <cell r="GZ357">
            <v>0</v>
          </cell>
          <cell r="HA357">
            <v>0</v>
          </cell>
          <cell r="HB357">
            <v>0</v>
          </cell>
          <cell r="HC357">
            <v>0</v>
          </cell>
          <cell r="HD357">
            <v>0</v>
          </cell>
          <cell r="HE357">
            <v>0</v>
          </cell>
          <cell r="HF357">
            <v>0</v>
          </cell>
        </row>
        <row r="366">
          <cell r="D366" t="str">
            <v>Group 1</v>
          </cell>
          <cell r="G366">
            <v>-1</v>
          </cell>
        </row>
        <row r="367">
          <cell r="C367" t="str">
            <v>Group 1</v>
          </cell>
          <cell r="D367" t="str">
            <v>Group 2</v>
          </cell>
          <cell r="E367">
            <v>1.41</v>
          </cell>
          <cell r="F367">
            <v>1.46</v>
          </cell>
          <cell r="G367">
            <v>33623.799999999996</v>
          </cell>
        </row>
        <row r="368">
          <cell r="C368" t="str">
            <v>Group 2</v>
          </cell>
          <cell r="D368" t="str">
            <v>ineligible</v>
          </cell>
          <cell r="E368">
            <v>3.12</v>
          </cell>
          <cell r="F368">
            <v>3.17</v>
          </cell>
          <cell r="G368">
            <v>73005.099999999991</v>
          </cell>
        </row>
        <row r="369">
          <cell r="C369" t="str">
            <v>Group 3</v>
          </cell>
          <cell r="D369" t="str">
            <v>ineligible</v>
          </cell>
          <cell r="E369" t="e">
            <v>#N/A</v>
          </cell>
          <cell r="F369" t="e">
            <v>#N/A</v>
          </cell>
          <cell r="G369" t="e">
            <v>#N/A</v>
          </cell>
        </row>
        <row r="370">
          <cell r="C370" t="str">
            <v>Group 4</v>
          </cell>
          <cell r="D370" t="str">
            <v>ineligible</v>
          </cell>
          <cell r="E370" t="e">
            <v>#N/A</v>
          </cell>
          <cell r="F370" t="e">
            <v>#N/A</v>
          </cell>
          <cell r="G370" t="e">
            <v>#N/A</v>
          </cell>
        </row>
        <row r="371">
          <cell r="C371" t="str">
            <v>Group 5</v>
          </cell>
          <cell r="D371" t="str">
            <v>ineligible</v>
          </cell>
          <cell r="E371" t="e">
            <v>#N/A</v>
          </cell>
          <cell r="F371" t="e">
            <v>#N/A</v>
          </cell>
          <cell r="G371" t="e">
            <v>#N/A</v>
          </cell>
        </row>
        <row r="372">
          <cell r="C372" t="str">
            <v>Group 6</v>
          </cell>
          <cell r="D372" t="str">
            <v>ineligible</v>
          </cell>
          <cell r="E372" t="e">
            <v>#N/A</v>
          </cell>
          <cell r="F372" t="e">
            <v>#N/A</v>
          </cell>
          <cell r="G372" t="e">
            <v>#N/A</v>
          </cell>
        </row>
        <row r="373">
          <cell r="E373" t="e">
            <v>#N/A</v>
          </cell>
          <cell r="F373" t="e">
            <v>#N/A</v>
          </cell>
          <cell r="G373" t="e">
            <v>#N/A</v>
          </cell>
        </row>
        <row r="401">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15716</v>
          </cell>
          <cell r="BJ401">
            <v>15716</v>
          </cell>
          <cell r="BK401">
            <v>15716</v>
          </cell>
          <cell r="BL401">
            <v>15716</v>
          </cell>
          <cell r="BM401">
            <v>15716</v>
          </cell>
          <cell r="BN401">
            <v>15716</v>
          </cell>
          <cell r="BO401">
            <v>15716</v>
          </cell>
          <cell r="BP401">
            <v>15716</v>
          </cell>
          <cell r="BQ401">
            <v>15716</v>
          </cell>
          <cell r="BR401">
            <v>15716</v>
          </cell>
          <cell r="BS401">
            <v>15716</v>
          </cell>
          <cell r="BT401">
            <v>15716</v>
          </cell>
          <cell r="BU401">
            <v>15716</v>
          </cell>
          <cell r="BV401">
            <v>15716</v>
          </cell>
          <cell r="BW401">
            <v>15716</v>
          </cell>
          <cell r="BX401">
            <v>15716</v>
          </cell>
          <cell r="BY401">
            <v>15716</v>
          </cell>
          <cell r="BZ401">
            <v>15716</v>
          </cell>
          <cell r="CA401">
            <v>15716</v>
          </cell>
          <cell r="CB401">
            <v>15716</v>
          </cell>
          <cell r="CC401">
            <v>15716</v>
          </cell>
          <cell r="CD401">
            <v>15716</v>
          </cell>
          <cell r="CE401">
            <v>15716</v>
          </cell>
          <cell r="CF401">
            <v>15716</v>
          </cell>
          <cell r="CG401">
            <v>15716</v>
          </cell>
          <cell r="CH401">
            <v>15716</v>
          </cell>
          <cell r="CI401">
            <v>15716</v>
          </cell>
          <cell r="CJ401">
            <v>15716</v>
          </cell>
          <cell r="CK401">
            <v>15716</v>
          </cell>
          <cell r="CL401">
            <v>15716</v>
          </cell>
          <cell r="CM401">
            <v>15716</v>
          </cell>
          <cell r="CN401">
            <v>15716</v>
          </cell>
          <cell r="CO401">
            <v>15716</v>
          </cell>
          <cell r="CP401">
            <v>15716</v>
          </cell>
          <cell r="CQ401">
            <v>15716</v>
          </cell>
          <cell r="CR401">
            <v>15716</v>
          </cell>
          <cell r="CS401">
            <v>15716</v>
          </cell>
          <cell r="CT401">
            <v>15716</v>
          </cell>
          <cell r="CU401">
            <v>15716</v>
          </cell>
          <cell r="CV401">
            <v>15716</v>
          </cell>
          <cell r="CW401">
            <v>15716</v>
          </cell>
          <cell r="CX401">
            <v>15716</v>
          </cell>
          <cell r="CY401">
            <v>15716</v>
          </cell>
          <cell r="CZ401">
            <v>15716</v>
          </cell>
          <cell r="DA401">
            <v>15716</v>
          </cell>
          <cell r="DB401">
            <v>15716</v>
          </cell>
          <cell r="DC401">
            <v>15716</v>
          </cell>
          <cell r="DD401">
            <v>15716</v>
          </cell>
          <cell r="DE401">
            <v>15716</v>
          </cell>
          <cell r="DF401">
            <v>15716</v>
          </cell>
          <cell r="DG401">
            <v>15716</v>
          </cell>
          <cell r="DH401">
            <v>15716</v>
          </cell>
          <cell r="DI401">
            <v>15716</v>
          </cell>
          <cell r="DJ401">
            <v>15716</v>
          </cell>
          <cell r="DK401">
            <v>15716</v>
          </cell>
          <cell r="DL401">
            <v>15716</v>
          </cell>
          <cell r="DM401">
            <v>15716</v>
          </cell>
          <cell r="DN401">
            <v>15716</v>
          </cell>
          <cell r="DO401">
            <v>15716</v>
          </cell>
          <cell r="DP401">
            <v>15716</v>
          </cell>
          <cell r="DQ401">
            <v>15716</v>
          </cell>
          <cell r="DR401">
            <v>15716</v>
          </cell>
          <cell r="DS401">
            <v>15716</v>
          </cell>
          <cell r="DT401">
            <v>15716</v>
          </cell>
          <cell r="DU401">
            <v>15716</v>
          </cell>
          <cell r="DV401">
            <v>15716</v>
          </cell>
          <cell r="DW401">
            <v>15716</v>
          </cell>
          <cell r="DX401">
            <v>15716</v>
          </cell>
          <cell r="DY401">
            <v>15716</v>
          </cell>
          <cell r="DZ401">
            <v>15716</v>
          </cell>
          <cell r="EA401">
            <v>15716</v>
          </cell>
          <cell r="EB401">
            <v>15716</v>
          </cell>
          <cell r="EC401">
            <v>15716</v>
          </cell>
          <cell r="ED401">
            <v>15716</v>
          </cell>
          <cell r="EE401">
            <v>15716</v>
          </cell>
          <cell r="EF401">
            <v>15716</v>
          </cell>
          <cell r="EG401">
            <v>15716</v>
          </cell>
          <cell r="EH401">
            <v>15716</v>
          </cell>
          <cell r="EI401">
            <v>15716</v>
          </cell>
          <cell r="EJ401">
            <v>0</v>
          </cell>
          <cell r="EK401">
            <v>0</v>
          </cell>
          <cell r="EL401">
            <v>0</v>
          </cell>
          <cell r="EM401">
            <v>0</v>
          </cell>
          <cell r="EN401">
            <v>0</v>
          </cell>
          <cell r="EO401">
            <v>0</v>
          </cell>
          <cell r="EP401">
            <v>0</v>
          </cell>
          <cell r="EQ401">
            <v>0</v>
          </cell>
          <cell r="ER401">
            <v>0</v>
          </cell>
          <cell r="ES401">
            <v>0</v>
          </cell>
          <cell r="ET401">
            <v>0</v>
          </cell>
          <cell r="EU401">
            <v>0</v>
          </cell>
          <cell r="EV401">
            <v>0</v>
          </cell>
          <cell r="EW401">
            <v>0</v>
          </cell>
          <cell r="EX401">
            <v>0</v>
          </cell>
          <cell r="EY401">
            <v>0</v>
          </cell>
          <cell r="EZ401">
            <v>0</v>
          </cell>
          <cell r="FA401">
            <v>0</v>
          </cell>
          <cell r="FB401">
            <v>0</v>
          </cell>
          <cell r="FC401">
            <v>0</v>
          </cell>
          <cell r="FD401">
            <v>0</v>
          </cell>
          <cell r="FE401">
            <v>0</v>
          </cell>
          <cell r="FF401">
            <v>0</v>
          </cell>
          <cell r="FG401">
            <v>0</v>
          </cell>
          <cell r="FH401">
            <v>0</v>
          </cell>
          <cell r="FI401">
            <v>0</v>
          </cell>
          <cell r="FJ401">
            <v>0</v>
          </cell>
          <cell r="FK401">
            <v>0</v>
          </cell>
          <cell r="FL401">
            <v>0</v>
          </cell>
          <cell r="FM401">
            <v>0</v>
          </cell>
          <cell r="FN401">
            <v>0</v>
          </cell>
          <cell r="FO401">
            <v>0</v>
          </cell>
          <cell r="FP401">
            <v>0</v>
          </cell>
          <cell r="FQ401">
            <v>0</v>
          </cell>
          <cell r="FR401">
            <v>0</v>
          </cell>
          <cell r="FS401">
            <v>0</v>
          </cell>
          <cell r="FT401">
            <v>0</v>
          </cell>
          <cell r="FU401">
            <v>0</v>
          </cell>
          <cell r="FV401">
            <v>0</v>
          </cell>
          <cell r="FW401">
            <v>0</v>
          </cell>
          <cell r="FX401">
            <v>0</v>
          </cell>
          <cell r="FY401">
            <v>0</v>
          </cell>
          <cell r="FZ401">
            <v>0</v>
          </cell>
          <cell r="GA401">
            <v>0</v>
          </cell>
          <cell r="GB401">
            <v>0</v>
          </cell>
          <cell r="GC401">
            <v>0</v>
          </cell>
          <cell r="GD401">
            <v>0</v>
          </cell>
          <cell r="GE401">
            <v>0</v>
          </cell>
          <cell r="GF401">
            <v>0</v>
          </cell>
          <cell r="GG401">
            <v>0</v>
          </cell>
          <cell r="GH401">
            <v>0</v>
          </cell>
          <cell r="GI401">
            <v>0</v>
          </cell>
          <cell r="GJ401">
            <v>0</v>
          </cell>
          <cell r="GK401">
            <v>0</v>
          </cell>
          <cell r="GL401">
            <v>0</v>
          </cell>
          <cell r="GM401">
            <v>0</v>
          </cell>
          <cell r="GN401">
            <v>0</v>
          </cell>
          <cell r="GO401">
            <v>0</v>
          </cell>
          <cell r="GP401">
            <v>0</v>
          </cell>
          <cell r="GQ401">
            <v>0</v>
          </cell>
          <cell r="GR401">
            <v>0</v>
          </cell>
          <cell r="GS401">
            <v>0</v>
          </cell>
          <cell r="GT401">
            <v>0</v>
          </cell>
          <cell r="GU401">
            <v>0</v>
          </cell>
          <cell r="GV401">
            <v>0</v>
          </cell>
          <cell r="GW401">
            <v>0</v>
          </cell>
          <cell r="GX401">
            <v>0</v>
          </cell>
          <cell r="GY401">
            <v>0</v>
          </cell>
          <cell r="GZ401">
            <v>0</v>
          </cell>
          <cell r="HA401">
            <v>0</v>
          </cell>
          <cell r="HB401">
            <v>0</v>
          </cell>
          <cell r="HC401">
            <v>0</v>
          </cell>
          <cell r="HD401">
            <v>0</v>
          </cell>
          <cell r="HE401">
            <v>0</v>
          </cell>
          <cell r="HF401">
            <v>0</v>
          </cell>
        </row>
        <row r="444">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9012</v>
          </cell>
          <cell r="AM444">
            <v>9012</v>
          </cell>
          <cell r="AN444">
            <v>9012</v>
          </cell>
          <cell r="AO444">
            <v>9012</v>
          </cell>
          <cell r="AP444">
            <v>9012</v>
          </cell>
          <cell r="AQ444">
            <v>9012</v>
          </cell>
          <cell r="AR444">
            <v>9012</v>
          </cell>
          <cell r="AS444">
            <v>9012</v>
          </cell>
          <cell r="AT444">
            <v>9012</v>
          </cell>
          <cell r="AU444">
            <v>9012</v>
          </cell>
          <cell r="AV444">
            <v>9012</v>
          </cell>
          <cell r="AW444">
            <v>9012</v>
          </cell>
          <cell r="AX444">
            <v>9012</v>
          </cell>
          <cell r="AY444">
            <v>9012</v>
          </cell>
          <cell r="AZ444">
            <v>9012</v>
          </cell>
          <cell r="BA444">
            <v>9012</v>
          </cell>
          <cell r="BB444">
            <v>9012</v>
          </cell>
          <cell r="BC444">
            <v>9012</v>
          </cell>
          <cell r="BD444">
            <v>9012</v>
          </cell>
          <cell r="BE444">
            <v>9012</v>
          </cell>
          <cell r="BF444">
            <v>9012</v>
          </cell>
          <cell r="BG444">
            <v>9012</v>
          </cell>
          <cell r="BH444">
            <v>8999</v>
          </cell>
          <cell r="BI444">
            <v>8972</v>
          </cell>
          <cell r="BJ444">
            <v>8930</v>
          </cell>
          <cell r="BK444">
            <v>8901</v>
          </cell>
          <cell r="BL444">
            <v>8871</v>
          </cell>
          <cell r="BM444">
            <v>8841</v>
          </cell>
          <cell r="BN444">
            <v>8795</v>
          </cell>
          <cell r="BO444">
            <v>8763</v>
          </cell>
          <cell r="BP444">
            <v>8730</v>
          </cell>
          <cell r="BQ444">
            <v>8696</v>
          </cell>
          <cell r="BR444">
            <v>8646</v>
          </cell>
          <cell r="BS444">
            <v>8610</v>
          </cell>
          <cell r="BT444">
            <v>8574</v>
          </cell>
          <cell r="BU444">
            <v>8520</v>
          </cell>
          <cell r="BV444">
            <v>8482</v>
          </cell>
          <cell r="BW444">
            <v>8443</v>
          </cell>
          <cell r="BX444">
            <v>8403</v>
          </cell>
          <cell r="BY444">
            <v>8346</v>
          </cell>
          <cell r="BZ444">
            <v>8304</v>
          </cell>
          <cell r="CA444">
            <v>8261</v>
          </cell>
          <cell r="CB444">
            <v>8218</v>
          </cell>
          <cell r="CC444">
            <v>8156</v>
          </cell>
          <cell r="CD444">
            <v>8111</v>
          </cell>
          <cell r="CE444">
            <v>8065</v>
          </cell>
          <cell r="CF444">
            <v>8001</v>
          </cell>
          <cell r="CG444">
            <v>7953</v>
          </cell>
          <cell r="CH444">
            <v>7904</v>
          </cell>
          <cell r="CI444">
            <v>7855</v>
          </cell>
          <cell r="CJ444">
            <v>7786</v>
          </cell>
          <cell r="CK444">
            <v>7735</v>
          </cell>
          <cell r="CL444">
            <v>7683</v>
          </cell>
          <cell r="CM444">
            <v>7611</v>
          </cell>
          <cell r="CN444">
            <v>7557</v>
          </cell>
          <cell r="CO444">
            <v>7503</v>
          </cell>
          <cell r="CP444">
            <v>7447</v>
          </cell>
          <cell r="CQ444">
            <v>7371</v>
          </cell>
          <cell r="CR444">
            <v>7314</v>
          </cell>
          <cell r="CS444">
            <v>7256</v>
          </cell>
          <cell r="CT444">
            <v>7197</v>
          </cell>
          <cell r="CU444">
            <v>7117</v>
          </cell>
          <cell r="CV444">
            <v>7056</v>
          </cell>
          <cell r="CW444">
            <v>6995</v>
          </cell>
          <cell r="CX444">
            <v>6911</v>
          </cell>
          <cell r="CY444">
            <v>6848</v>
          </cell>
          <cell r="CZ444">
            <v>6784</v>
          </cell>
          <cell r="DA444">
            <v>6719</v>
          </cell>
          <cell r="DB444">
            <v>6631</v>
          </cell>
          <cell r="DC444">
            <v>6565</v>
          </cell>
          <cell r="DD444">
            <v>6497</v>
          </cell>
          <cell r="DE444">
            <v>6406</v>
          </cell>
          <cell r="DF444">
            <v>6337</v>
          </cell>
          <cell r="DG444">
            <v>6267</v>
          </cell>
          <cell r="DH444">
            <v>6196</v>
          </cell>
          <cell r="DI444">
            <v>6101</v>
          </cell>
          <cell r="DJ444">
            <v>6029</v>
          </cell>
          <cell r="DK444">
            <v>5955</v>
          </cell>
          <cell r="DL444">
            <v>5881</v>
          </cell>
          <cell r="DM444">
            <v>5782</v>
          </cell>
          <cell r="DN444">
            <v>5706</v>
          </cell>
          <cell r="DO444">
            <v>5629</v>
          </cell>
          <cell r="DP444">
            <v>5526</v>
          </cell>
          <cell r="DQ444">
            <v>5448</v>
          </cell>
          <cell r="DR444">
            <v>5368</v>
          </cell>
          <cell r="DS444">
            <v>5288</v>
          </cell>
          <cell r="DT444">
            <v>5181</v>
          </cell>
          <cell r="DU444">
            <v>5099</v>
          </cell>
          <cell r="DV444">
            <v>5023</v>
          </cell>
          <cell r="DW444">
            <v>4946</v>
          </cell>
          <cell r="DX444">
            <v>4882</v>
          </cell>
          <cell r="DY444">
            <v>4818</v>
          </cell>
          <cell r="DZ444">
            <v>4753</v>
          </cell>
          <cell r="EA444">
            <v>4666</v>
          </cell>
          <cell r="EB444">
            <v>4600</v>
          </cell>
          <cell r="EC444">
            <v>4534</v>
          </cell>
          <cell r="ED444">
            <v>4466</v>
          </cell>
          <cell r="EE444">
            <v>4384</v>
          </cell>
          <cell r="EF444">
            <v>4316</v>
          </cell>
          <cell r="EG444">
            <v>4247</v>
          </cell>
          <cell r="EH444">
            <v>4156</v>
          </cell>
          <cell r="EI444">
            <v>4086</v>
          </cell>
          <cell r="EJ444">
            <v>11015</v>
          </cell>
          <cell r="EK444">
            <v>10944</v>
          </cell>
          <cell r="EL444">
            <v>10858</v>
          </cell>
          <cell r="EM444">
            <v>10785</v>
          </cell>
          <cell r="EN444">
            <v>10713</v>
          </cell>
          <cell r="EO444">
            <v>10640</v>
          </cell>
          <cell r="EP444">
            <v>10543</v>
          </cell>
          <cell r="EQ444">
            <v>10469</v>
          </cell>
          <cell r="ER444">
            <v>10394</v>
          </cell>
          <cell r="ES444">
            <v>10304</v>
          </cell>
          <cell r="ET444">
            <v>10228</v>
          </cell>
          <cell r="EU444">
            <v>10152</v>
          </cell>
          <cell r="EV444">
            <v>10075</v>
          </cell>
          <cell r="EW444">
            <v>9974</v>
          </cell>
          <cell r="EX444">
            <v>9896</v>
          </cell>
          <cell r="EY444">
            <v>9817</v>
          </cell>
          <cell r="EZ444">
            <v>9722</v>
          </cell>
          <cell r="FA444">
            <v>9642</v>
          </cell>
          <cell r="FB444">
            <v>9562</v>
          </cell>
          <cell r="FC444">
            <v>9482</v>
          </cell>
          <cell r="FD444">
            <v>9376</v>
          </cell>
          <cell r="FE444">
            <v>9294</v>
          </cell>
          <cell r="FF444">
            <v>9212</v>
          </cell>
          <cell r="FG444">
            <v>9129</v>
          </cell>
          <cell r="FH444">
            <v>9029</v>
          </cell>
          <cell r="FI444">
            <v>8945</v>
          </cell>
          <cell r="FJ444">
            <v>8861</v>
          </cell>
          <cell r="FK444">
            <v>8750</v>
          </cell>
          <cell r="FL444">
            <v>8664</v>
          </cell>
          <cell r="FM444">
            <v>8578</v>
          </cell>
          <cell r="FN444">
            <v>8518</v>
          </cell>
          <cell r="FO444">
            <v>8476</v>
          </cell>
          <cell r="FP444">
            <v>8433</v>
          </cell>
          <cell r="FQ444">
            <v>8391</v>
          </cell>
          <cell r="FR444">
            <v>8348</v>
          </cell>
          <cell r="FS444">
            <v>8306</v>
          </cell>
          <cell r="FT444">
            <v>8263</v>
          </cell>
          <cell r="FU444">
            <v>8221</v>
          </cell>
          <cell r="FV444">
            <v>8178</v>
          </cell>
          <cell r="FW444">
            <v>8136</v>
          </cell>
          <cell r="FX444">
            <v>8093</v>
          </cell>
          <cell r="FY444">
            <v>8051</v>
          </cell>
          <cell r="FZ444">
            <v>8008</v>
          </cell>
          <cell r="GA444">
            <v>7966</v>
          </cell>
          <cell r="GB444">
            <v>7923</v>
          </cell>
          <cell r="GC444">
            <v>7881</v>
          </cell>
          <cell r="GD444">
            <v>7838</v>
          </cell>
          <cell r="GE444">
            <v>7796</v>
          </cell>
          <cell r="GF444">
            <v>7753</v>
          </cell>
          <cell r="GG444">
            <v>7711</v>
          </cell>
          <cell r="GH444">
            <v>7668</v>
          </cell>
          <cell r="GI444">
            <v>7626</v>
          </cell>
          <cell r="GJ444">
            <v>7583</v>
          </cell>
          <cell r="GK444">
            <v>7541</v>
          </cell>
          <cell r="GL444">
            <v>7498</v>
          </cell>
          <cell r="GM444">
            <v>7456</v>
          </cell>
          <cell r="GN444">
            <v>7413</v>
          </cell>
          <cell r="GO444">
            <v>7371</v>
          </cell>
          <cell r="GP444">
            <v>7328</v>
          </cell>
          <cell r="GQ444">
            <v>7286</v>
          </cell>
          <cell r="GR444">
            <v>7243</v>
          </cell>
          <cell r="GS444">
            <v>7201</v>
          </cell>
          <cell r="GT444">
            <v>7158</v>
          </cell>
          <cell r="GU444">
            <v>7116</v>
          </cell>
          <cell r="GV444">
            <v>7073</v>
          </cell>
          <cell r="GW444">
            <v>7031</v>
          </cell>
          <cell r="GX444">
            <v>6988</v>
          </cell>
          <cell r="GY444">
            <v>6946</v>
          </cell>
          <cell r="GZ444">
            <v>6903</v>
          </cell>
          <cell r="HA444">
            <v>6861</v>
          </cell>
          <cell r="HB444">
            <v>6818</v>
          </cell>
          <cell r="HC444">
            <v>6776</v>
          </cell>
          <cell r="HD444">
            <v>6733</v>
          </cell>
          <cell r="HE444">
            <v>6691</v>
          </cell>
          <cell r="HF444">
            <v>6648</v>
          </cell>
        </row>
        <row r="560">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cell r="BY560">
            <v>0</v>
          </cell>
          <cell r="BZ560">
            <v>0</v>
          </cell>
          <cell r="CA560">
            <v>0</v>
          </cell>
          <cell r="CB560">
            <v>0</v>
          </cell>
          <cell r="CC560">
            <v>0</v>
          </cell>
          <cell r="CD560">
            <v>0</v>
          </cell>
          <cell r="CE560">
            <v>0</v>
          </cell>
          <cell r="CF560">
            <v>0</v>
          </cell>
          <cell r="CG560">
            <v>0</v>
          </cell>
          <cell r="CH560">
            <v>0</v>
          </cell>
          <cell r="CI560">
            <v>0</v>
          </cell>
          <cell r="CJ560">
            <v>0</v>
          </cell>
          <cell r="CK560">
            <v>0</v>
          </cell>
          <cell r="CL560">
            <v>0</v>
          </cell>
          <cell r="CM560">
            <v>0</v>
          </cell>
          <cell r="CN560">
            <v>0</v>
          </cell>
          <cell r="CO560">
            <v>0</v>
          </cell>
          <cell r="CP560">
            <v>0</v>
          </cell>
          <cell r="CQ560">
            <v>0</v>
          </cell>
          <cell r="CR560">
            <v>0</v>
          </cell>
          <cell r="CS560">
            <v>0</v>
          </cell>
          <cell r="CT560">
            <v>0</v>
          </cell>
          <cell r="CU560">
            <v>0</v>
          </cell>
          <cell r="CV560">
            <v>0</v>
          </cell>
          <cell r="CW560">
            <v>0</v>
          </cell>
          <cell r="CX560">
            <v>0</v>
          </cell>
          <cell r="CY560">
            <v>0</v>
          </cell>
          <cell r="CZ560">
            <v>0</v>
          </cell>
          <cell r="DA560">
            <v>0</v>
          </cell>
          <cell r="DB560">
            <v>0</v>
          </cell>
          <cell r="DC560">
            <v>0</v>
          </cell>
          <cell r="DD560">
            <v>0</v>
          </cell>
          <cell r="DE560">
            <v>0</v>
          </cell>
          <cell r="DF560">
            <v>0</v>
          </cell>
          <cell r="DG560">
            <v>0</v>
          </cell>
          <cell r="DH560">
            <v>0</v>
          </cell>
          <cell r="DI560">
            <v>0</v>
          </cell>
          <cell r="DJ560">
            <v>0</v>
          </cell>
          <cell r="DK560">
            <v>0</v>
          </cell>
          <cell r="DL560">
            <v>0</v>
          </cell>
          <cell r="DM560">
            <v>0</v>
          </cell>
          <cell r="DN560">
            <v>0</v>
          </cell>
          <cell r="DO560">
            <v>0</v>
          </cell>
          <cell r="DP560">
            <v>0</v>
          </cell>
          <cell r="DQ560">
            <v>0</v>
          </cell>
          <cell r="DR560">
            <v>0</v>
          </cell>
          <cell r="DS560">
            <v>0</v>
          </cell>
          <cell r="DT560">
            <v>0</v>
          </cell>
          <cell r="DU560">
            <v>0</v>
          </cell>
          <cell r="DV560">
            <v>0</v>
          </cell>
          <cell r="DW560">
            <v>0</v>
          </cell>
          <cell r="DX560">
            <v>0</v>
          </cell>
          <cell r="DY560">
            <v>0</v>
          </cell>
          <cell r="DZ560">
            <v>0</v>
          </cell>
          <cell r="EA560">
            <v>0</v>
          </cell>
          <cell r="EB560">
            <v>0</v>
          </cell>
          <cell r="EC560">
            <v>0</v>
          </cell>
          <cell r="ED560">
            <v>0</v>
          </cell>
          <cell r="EE560">
            <v>0</v>
          </cell>
          <cell r="EF560">
            <v>0</v>
          </cell>
          <cell r="EG560">
            <v>0</v>
          </cell>
          <cell r="EH560">
            <v>0</v>
          </cell>
          <cell r="EI560">
            <v>0</v>
          </cell>
          <cell r="EJ560">
            <v>0</v>
          </cell>
          <cell r="EK560">
            <v>0</v>
          </cell>
          <cell r="EL560">
            <v>0</v>
          </cell>
          <cell r="EM560">
            <v>0</v>
          </cell>
          <cell r="EN560">
            <v>0</v>
          </cell>
          <cell r="EO560">
            <v>0</v>
          </cell>
          <cell r="EP560">
            <v>0</v>
          </cell>
          <cell r="EQ560">
            <v>0</v>
          </cell>
          <cell r="ER560">
            <v>0</v>
          </cell>
          <cell r="ES560">
            <v>0</v>
          </cell>
          <cell r="ET560">
            <v>0</v>
          </cell>
          <cell r="EU560">
            <v>0</v>
          </cell>
          <cell r="EV560">
            <v>0</v>
          </cell>
          <cell r="EW560">
            <v>0</v>
          </cell>
          <cell r="EX560">
            <v>0</v>
          </cell>
          <cell r="EY560">
            <v>0</v>
          </cell>
          <cell r="EZ560">
            <v>0</v>
          </cell>
          <cell r="FA560">
            <v>0</v>
          </cell>
          <cell r="FB560">
            <v>0</v>
          </cell>
          <cell r="FC560">
            <v>0</v>
          </cell>
          <cell r="FD560">
            <v>0</v>
          </cell>
          <cell r="FE560">
            <v>0</v>
          </cell>
          <cell r="FF560">
            <v>0</v>
          </cell>
          <cell r="FG560">
            <v>0</v>
          </cell>
          <cell r="FH560">
            <v>0</v>
          </cell>
          <cell r="FI560">
            <v>0</v>
          </cell>
          <cell r="FJ560">
            <v>0</v>
          </cell>
          <cell r="FK560">
            <v>0</v>
          </cell>
          <cell r="FL560">
            <v>0</v>
          </cell>
          <cell r="FM560">
            <v>0</v>
          </cell>
          <cell r="FN560">
            <v>0</v>
          </cell>
          <cell r="FO560">
            <v>0</v>
          </cell>
          <cell r="FP560">
            <v>0</v>
          </cell>
          <cell r="FQ560">
            <v>0</v>
          </cell>
          <cell r="FR560">
            <v>0</v>
          </cell>
          <cell r="FS560">
            <v>0</v>
          </cell>
          <cell r="FT560">
            <v>0</v>
          </cell>
          <cell r="FU560">
            <v>0</v>
          </cell>
          <cell r="FV560">
            <v>0</v>
          </cell>
          <cell r="FW560">
            <v>0</v>
          </cell>
          <cell r="FX560">
            <v>0</v>
          </cell>
          <cell r="FY560">
            <v>0</v>
          </cell>
          <cell r="FZ560">
            <v>0</v>
          </cell>
          <cell r="GA560">
            <v>0</v>
          </cell>
          <cell r="GB560">
            <v>0</v>
          </cell>
          <cell r="GC560">
            <v>0</v>
          </cell>
          <cell r="GD560">
            <v>0</v>
          </cell>
          <cell r="GE560">
            <v>0</v>
          </cell>
          <cell r="GF560">
            <v>0</v>
          </cell>
          <cell r="GG560">
            <v>0</v>
          </cell>
          <cell r="GH560">
            <v>0</v>
          </cell>
          <cell r="GI560">
            <v>0</v>
          </cell>
          <cell r="GJ560">
            <v>0</v>
          </cell>
          <cell r="GK560">
            <v>0</v>
          </cell>
          <cell r="GL560">
            <v>0</v>
          </cell>
          <cell r="GM560">
            <v>0</v>
          </cell>
          <cell r="GN560">
            <v>0</v>
          </cell>
          <cell r="GO560">
            <v>0</v>
          </cell>
          <cell r="GP560">
            <v>0</v>
          </cell>
          <cell r="GQ560">
            <v>0</v>
          </cell>
          <cell r="GR560">
            <v>0</v>
          </cell>
          <cell r="GS560">
            <v>0</v>
          </cell>
          <cell r="GT560">
            <v>0</v>
          </cell>
          <cell r="GU560">
            <v>0</v>
          </cell>
          <cell r="GV560">
            <v>0</v>
          </cell>
          <cell r="GW560">
            <v>0</v>
          </cell>
          <cell r="GX560">
            <v>0</v>
          </cell>
          <cell r="GY560">
            <v>0</v>
          </cell>
          <cell r="GZ560">
            <v>0</v>
          </cell>
          <cell r="HA560">
            <v>0</v>
          </cell>
          <cell r="HB560">
            <v>0</v>
          </cell>
          <cell r="HC560">
            <v>0</v>
          </cell>
          <cell r="HD560">
            <v>0</v>
          </cell>
          <cell r="HE560">
            <v>0</v>
          </cell>
          <cell r="HF560">
            <v>0</v>
          </cell>
        </row>
        <row r="632">
          <cell r="N632">
            <v>6680</v>
          </cell>
          <cell r="O632">
            <v>4169</v>
          </cell>
          <cell r="P632">
            <v>4019</v>
          </cell>
          <cell r="Q632">
            <v>3869</v>
          </cell>
          <cell r="R632">
            <v>3719</v>
          </cell>
          <cell r="S632">
            <v>3569</v>
          </cell>
          <cell r="T632">
            <v>3419</v>
          </cell>
          <cell r="U632">
            <v>3269</v>
          </cell>
          <cell r="V632">
            <v>3119</v>
          </cell>
          <cell r="W632">
            <v>2969</v>
          </cell>
          <cell r="X632">
            <v>2819</v>
          </cell>
          <cell r="Y632">
            <v>2669</v>
          </cell>
          <cell r="Z632">
            <v>2519</v>
          </cell>
          <cell r="AA632">
            <v>2369</v>
          </cell>
          <cell r="AB632">
            <v>2219</v>
          </cell>
          <cell r="AC632">
            <v>2069</v>
          </cell>
          <cell r="AD632">
            <v>1919</v>
          </cell>
          <cell r="AE632">
            <v>1769</v>
          </cell>
          <cell r="AF632">
            <v>1619</v>
          </cell>
          <cell r="AG632">
            <v>1469</v>
          </cell>
          <cell r="AH632">
            <v>1319</v>
          </cell>
          <cell r="AI632">
            <v>1169</v>
          </cell>
          <cell r="AJ632">
            <v>1019</v>
          </cell>
          <cell r="AK632">
            <v>869</v>
          </cell>
          <cell r="AL632">
            <v>719</v>
          </cell>
          <cell r="AM632">
            <v>569</v>
          </cell>
          <cell r="AN632">
            <v>419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cell r="DH632">
            <v>0</v>
          </cell>
          <cell r="DI632">
            <v>0</v>
          </cell>
          <cell r="DJ632">
            <v>0</v>
          </cell>
          <cell r="DK632">
            <v>0</v>
          </cell>
          <cell r="DL632">
            <v>0</v>
          </cell>
          <cell r="DM632">
            <v>0</v>
          </cell>
          <cell r="DN632">
            <v>0</v>
          </cell>
          <cell r="DO632">
            <v>0</v>
          </cell>
          <cell r="DP632">
            <v>0</v>
          </cell>
          <cell r="DQ632">
            <v>0</v>
          </cell>
          <cell r="DR632">
            <v>0</v>
          </cell>
          <cell r="DS632">
            <v>0</v>
          </cell>
          <cell r="DT632">
            <v>0</v>
          </cell>
          <cell r="DU632">
            <v>0</v>
          </cell>
          <cell r="DV632">
            <v>0</v>
          </cell>
          <cell r="DW632">
            <v>0</v>
          </cell>
          <cell r="DX632">
            <v>0</v>
          </cell>
          <cell r="DY632">
            <v>0</v>
          </cell>
          <cell r="DZ632">
            <v>0</v>
          </cell>
          <cell r="EA632">
            <v>0</v>
          </cell>
          <cell r="EB632">
            <v>0</v>
          </cell>
          <cell r="EC632">
            <v>0</v>
          </cell>
          <cell r="ED632">
            <v>0</v>
          </cell>
          <cell r="EE632">
            <v>0</v>
          </cell>
          <cell r="EF632">
            <v>0</v>
          </cell>
          <cell r="EG632">
            <v>0</v>
          </cell>
          <cell r="EH632">
            <v>0</v>
          </cell>
          <cell r="EI632">
            <v>0</v>
          </cell>
          <cell r="EJ632">
            <v>0</v>
          </cell>
          <cell r="EK632">
            <v>0</v>
          </cell>
          <cell r="EL632">
            <v>0</v>
          </cell>
          <cell r="EM632">
            <v>0</v>
          </cell>
          <cell r="EN632">
            <v>0</v>
          </cell>
          <cell r="EO632">
            <v>0</v>
          </cell>
          <cell r="EP632">
            <v>0</v>
          </cell>
          <cell r="EQ632">
            <v>0</v>
          </cell>
          <cell r="ER632">
            <v>0</v>
          </cell>
          <cell r="ES632">
            <v>0</v>
          </cell>
          <cell r="ET632">
            <v>0</v>
          </cell>
          <cell r="EU632">
            <v>0</v>
          </cell>
          <cell r="EV632">
            <v>0</v>
          </cell>
          <cell r="EW632">
            <v>0</v>
          </cell>
          <cell r="EX632">
            <v>0</v>
          </cell>
          <cell r="EY632">
            <v>0</v>
          </cell>
          <cell r="EZ632">
            <v>0</v>
          </cell>
          <cell r="FA632">
            <v>0</v>
          </cell>
          <cell r="FB632">
            <v>0</v>
          </cell>
          <cell r="FC632">
            <v>0</v>
          </cell>
          <cell r="FD632">
            <v>0</v>
          </cell>
          <cell r="FE632">
            <v>0</v>
          </cell>
          <cell r="FF632">
            <v>0</v>
          </cell>
          <cell r="FG632">
            <v>0</v>
          </cell>
          <cell r="FH632">
            <v>0</v>
          </cell>
          <cell r="FI632">
            <v>0</v>
          </cell>
          <cell r="FJ632">
            <v>0</v>
          </cell>
          <cell r="FK632">
            <v>0</v>
          </cell>
          <cell r="FL632">
            <v>0</v>
          </cell>
          <cell r="FM632">
            <v>0</v>
          </cell>
          <cell r="FN632">
            <v>0</v>
          </cell>
          <cell r="FO632">
            <v>0</v>
          </cell>
          <cell r="FP632">
            <v>0</v>
          </cell>
          <cell r="FQ632">
            <v>0</v>
          </cell>
          <cell r="FR632">
            <v>0</v>
          </cell>
          <cell r="FS632">
            <v>0</v>
          </cell>
          <cell r="FT632">
            <v>0</v>
          </cell>
          <cell r="FU632">
            <v>0</v>
          </cell>
          <cell r="FV632">
            <v>0</v>
          </cell>
          <cell r="FW632">
            <v>0</v>
          </cell>
          <cell r="FX632">
            <v>0</v>
          </cell>
          <cell r="FY632">
            <v>0</v>
          </cell>
          <cell r="FZ632">
            <v>0</v>
          </cell>
          <cell r="GA632">
            <v>0</v>
          </cell>
          <cell r="GB632">
            <v>0</v>
          </cell>
          <cell r="GC632">
            <v>0</v>
          </cell>
          <cell r="GD632">
            <v>0</v>
          </cell>
          <cell r="GE632">
            <v>0</v>
          </cell>
          <cell r="GF632">
            <v>0</v>
          </cell>
          <cell r="GG632">
            <v>0</v>
          </cell>
          <cell r="GH632">
            <v>0</v>
          </cell>
          <cell r="GI632">
            <v>0</v>
          </cell>
          <cell r="GJ632">
            <v>0</v>
          </cell>
          <cell r="GK632">
            <v>0</v>
          </cell>
          <cell r="GL632">
            <v>0</v>
          </cell>
          <cell r="GM632">
            <v>0</v>
          </cell>
          <cell r="GN632">
            <v>0</v>
          </cell>
          <cell r="GO632">
            <v>0</v>
          </cell>
          <cell r="GP632">
            <v>0</v>
          </cell>
          <cell r="GQ632">
            <v>0</v>
          </cell>
          <cell r="GR632">
            <v>0</v>
          </cell>
          <cell r="GS632">
            <v>0</v>
          </cell>
          <cell r="GT632">
            <v>0</v>
          </cell>
          <cell r="GU632">
            <v>0</v>
          </cell>
          <cell r="GV632">
            <v>0</v>
          </cell>
          <cell r="GW632">
            <v>0</v>
          </cell>
          <cell r="GX632">
            <v>0</v>
          </cell>
          <cell r="GY632">
            <v>0</v>
          </cell>
          <cell r="GZ632">
            <v>0</v>
          </cell>
          <cell r="HA632">
            <v>0</v>
          </cell>
          <cell r="HB632">
            <v>0</v>
          </cell>
          <cell r="HC632">
            <v>0</v>
          </cell>
          <cell r="HD632">
            <v>0</v>
          </cell>
          <cell r="HE632">
            <v>0</v>
          </cell>
          <cell r="HF632">
            <v>0</v>
          </cell>
        </row>
        <row r="635">
          <cell r="N635">
            <v>6680</v>
          </cell>
          <cell r="O635">
            <v>4169</v>
          </cell>
          <cell r="P635">
            <v>4019</v>
          </cell>
          <cell r="Q635">
            <v>3869</v>
          </cell>
          <cell r="R635">
            <v>3719</v>
          </cell>
          <cell r="S635">
            <v>3569</v>
          </cell>
          <cell r="T635">
            <v>3419</v>
          </cell>
          <cell r="U635">
            <v>3269</v>
          </cell>
          <cell r="V635">
            <v>3119</v>
          </cell>
          <cell r="W635">
            <v>2969</v>
          </cell>
          <cell r="X635">
            <v>2819</v>
          </cell>
          <cell r="Y635">
            <v>2669</v>
          </cell>
          <cell r="Z635">
            <v>2519</v>
          </cell>
          <cell r="AA635">
            <v>2369</v>
          </cell>
          <cell r="AB635">
            <v>2219</v>
          </cell>
          <cell r="AC635">
            <v>2069</v>
          </cell>
          <cell r="AD635">
            <v>1919</v>
          </cell>
          <cell r="AE635">
            <v>1769</v>
          </cell>
          <cell r="AF635">
            <v>1619</v>
          </cell>
          <cell r="AG635">
            <v>1469</v>
          </cell>
          <cell r="AH635">
            <v>1319</v>
          </cell>
          <cell r="AI635">
            <v>1169</v>
          </cell>
          <cell r="AJ635">
            <v>1019</v>
          </cell>
          <cell r="AK635">
            <v>869</v>
          </cell>
          <cell r="AL635">
            <v>719</v>
          </cell>
          <cell r="AM635">
            <v>569</v>
          </cell>
          <cell r="AN635">
            <v>419</v>
          </cell>
          <cell r="AO635">
            <v>269</v>
          </cell>
          <cell r="AP635">
            <v>119</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cell r="DH635">
            <v>0</v>
          </cell>
          <cell r="DI635">
            <v>0</v>
          </cell>
          <cell r="DJ635">
            <v>0</v>
          </cell>
          <cell r="DK635">
            <v>0</v>
          </cell>
          <cell r="DL635">
            <v>0</v>
          </cell>
          <cell r="DM635">
            <v>0</v>
          </cell>
          <cell r="DN635">
            <v>0</v>
          </cell>
          <cell r="DO635">
            <v>0</v>
          </cell>
          <cell r="DP635">
            <v>0</v>
          </cell>
          <cell r="DQ635">
            <v>0</v>
          </cell>
          <cell r="DR635">
            <v>0</v>
          </cell>
          <cell r="DS635">
            <v>0</v>
          </cell>
          <cell r="DT635">
            <v>0</v>
          </cell>
          <cell r="DU635">
            <v>0</v>
          </cell>
          <cell r="DV635">
            <v>0</v>
          </cell>
          <cell r="DW635">
            <v>0</v>
          </cell>
          <cell r="DX635">
            <v>0</v>
          </cell>
          <cell r="DY635">
            <v>0</v>
          </cell>
          <cell r="DZ635">
            <v>0</v>
          </cell>
          <cell r="EA635">
            <v>0</v>
          </cell>
          <cell r="EB635">
            <v>0</v>
          </cell>
          <cell r="EC635">
            <v>0</v>
          </cell>
          <cell r="ED635">
            <v>0</v>
          </cell>
          <cell r="EE635">
            <v>0</v>
          </cell>
          <cell r="EF635">
            <v>0</v>
          </cell>
          <cell r="EG635">
            <v>0</v>
          </cell>
          <cell r="EH635">
            <v>0</v>
          </cell>
          <cell r="EI635">
            <v>0</v>
          </cell>
          <cell r="EJ635">
            <v>0</v>
          </cell>
          <cell r="EK635">
            <v>0</v>
          </cell>
          <cell r="EL635">
            <v>0</v>
          </cell>
          <cell r="EM635">
            <v>0</v>
          </cell>
          <cell r="EN635">
            <v>0</v>
          </cell>
          <cell r="EO635">
            <v>0</v>
          </cell>
          <cell r="EP635">
            <v>0</v>
          </cell>
          <cell r="EQ635">
            <v>0</v>
          </cell>
          <cell r="ER635">
            <v>0</v>
          </cell>
          <cell r="ES635">
            <v>0</v>
          </cell>
          <cell r="ET635">
            <v>0</v>
          </cell>
          <cell r="EU635">
            <v>0</v>
          </cell>
          <cell r="EV635">
            <v>0</v>
          </cell>
          <cell r="EW635">
            <v>0</v>
          </cell>
          <cell r="EX635">
            <v>0</v>
          </cell>
          <cell r="EY635">
            <v>0</v>
          </cell>
          <cell r="EZ635">
            <v>0</v>
          </cell>
          <cell r="FA635">
            <v>0</v>
          </cell>
          <cell r="FB635">
            <v>0</v>
          </cell>
          <cell r="FC635">
            <v>0</v>
          </cell>
          <cell r="FD635">
            <v>0</v>
          </cell>
          <cell r="FE635">
            <v>0</v>
          </cell>
          <cell r="FF635">
            <v>0</v>
          </cell>
          <cell r="FG635">
            <v>0</v>
          </cell>
          <cell r="FH635">
            <v>0</v>
          </cell>
          <cell r="FI635">
            <v>0</v>
          </cell>
          <cell r="FJ635">
            <v>0</v>
          </cell>
          <cell r="FK635">
            <v>0</v>
          </cell>
          <cell r="FL635">
            <v>0</v>
          </cell>
          <cell r="FM635">
            <v>0</v>
          </cell>
          <cell r="FN635">
            <v>0</v>
          </cell>
          <cell r="FO635">
            <v>0</v>
          </cell>
          <cell r="FP635">
            <v>0</v>
          </cell>
          <cell r="FQ635">
            <v>0</v>
          </cell>
          <cell r="FR635">
            <v>0</v>
          </cell>
          <cell r="FS635">
            <v>0</v>
          </cell>
          <cell r="FT635">
            <v>0</v>
          </cell>
          <cell r="FU635">
            <v>0</v>
          </cell>
          <cell r="FV635">
            <v>0</v>
          </cell>
          <cell r="FW635">
            <v>0</v>
          </cell>
          <cell r="FX635">
            <v>0</v>
          </cell>
          <cell r="FY635">
            <v>0</v>
          </cell>
          <cell r="FZ635">
            <v>0</v>
          </cell>
          <cell r="GA635">
            <v>0</v>
          </cell>
          <cell r="GB635">
            <v>0</v>
          </cell>
          <cell r="GC635">
            <v>0</v>
          </cell>
          <cell r="GD635">
            <v>0</v>
          </cell>
          <cell r="GE635">
            <v>0</v>
          </cell>
          <cell r="GF635">
            <v>0</v>
          </cell>
          <cell r="GG635">
            <v>0</v>
          </cell>
          <cell r="GH635">
            <v>0</v>
          </cell>
          <cell r="GI635">
            <v>0</v>
          </cell>
          <cell r="GJ635">
            <v>0</v>
          </cell>
          <cell r="GK635">
            <v>0</v>
          </cell>
          <cell r="GL635">
            <v>0</v>
          </cell>
          <cell r="GM635">
            <v>0</v>
          </cell>
          <cell r="GN635">
            <v>0</v>
          </cell>
          <cell r="GO635">
            <v>0</v>
          </cell>
          <cell r="GP635">
            <v>0</v>
          </cell>
          <cell r="GQ635">
            <v>0</v>
          </cell>
          <cell r="GR635">
            <v>0</v>
          </cell>
          <cell r="GS635">
            <v>0</v>
          </cell>
          <cell r="GT635">
            <v>0</v>
          </cell>
          <cell r="GU635">
            <v>0</v>
          </cell>
          <cell r="GV635">
            <v>0</v>
          </cell>
          <cell r="GW635">
            <v>0</v>
          </cell>
          <cell r="GX635">
            <v>0</v>
          </cell>
          <cell r="GY635">
            <v>0</v>
          </cell>
          <cell r="GZ635">
            <v>0</v>
          </cell>
          <cell r="HA635">
            <v>0</v>
          </cell>
          <cell r="HB635">
            <v>0</v>
          </cell>
          <cell r="HC635">
            <v>0</v>
          </cell>
          <cell r="HD635">
            <v>0</v>
          </cell>
          <cell r="HE635">
            <v>0</v>
          </cell>
          <cell r="HF635">
            <v>0</v>
          </cell>
        </row>
        <row r="637">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269</v>
          </cell>
          <cell r="AP637">
            <v>119</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cell r="DH637">
            <v>0</v>
          </cell>
          <cell r="DI637">
            <v>0</v>
          </cell>
          <cell r="DJ637">
            <v>0</v>
          </cell>
          <cell r="DK637">
            <v>0</v>
          </cell>
          <cell r="DL637">
            <v>0</v>
          </cell>
          <cell r="DM637">
            <v>0</v>
          </cell>
          <cell r="DN637">
            <v>0</v>
          </cell>
          <cell r="DO637">
            <v>0</v>
          </cell>
          <cell r="DP637">
            <v>0</v>
          </cell>
          <cell r="DQ637">
            <v>0</v>
          </cell>
          <cell r="DR637">
            <v>0</v>
          </cell>
          <cell r="DS637">
            <v>0</v>
          </cell>
          <cell r="DT637">
            <v>0</v>
          </cell>
          <cell r="DU637">
            <v>0</v>
          </cell>
          <cell r="DV637">
            <v>0</v>
          </cell>
          <cell r="DW637">
            <v>0</v>
          </cell>
          <cell r="DX637">
            <v>0</v>
          </cell>
          <cell r="DY637">
            <v>0</v>
          </cell>
          <cell r="DZ637">
            <v>0</v>
          </cell>
          <cell r="EA637">
            <v>0</v>
          </cell>
          <cell r="EB637">
            <v>0</v>
          </cell>
          <cell r="EC637">
            <v>0</v>
          </cell>
          <cell r="ED637">
            <v>0</v>
          </cell>
          <cell r="EE637">
            <v>0</v>
          </cell>
          <cell r="EF637">
            <v>0</v>
          </cell>
          <cell r="EG637">
            <v>0</v>
          </cell>
          <cell r="EH637">
            <v>0</v>
          </cell>
          <cell r="EI637">
            <v>0</v>
          </cell>
          <cell r="EJ637">
            <v>0</v>
          </cell>
          <cell r="EK637">
            <v>0</v>
          </cell>
          <cell r="EL637">
            <v>0</v>
          </cell>
          <cell r="EM637">
            <v>0</v>
          </cell>
          <cell r="EN637">
            <v>0</v>
          </cell>
          <cell r="EO637">
            <v>0</v>
          </cell>
          <cell r="EP637">
            <v>0</v>
          </cell>
          <cell r="EQ637">
            <v>0</v>
          </cell>
          <cell r="ER637">
            <v>0</v>
          </cell>
          <cell r="ES637">
            <v>0</v>
          </cell>
          <cell r="ET637">
            <v>0</v>
          </cell>
          <cell r="EU637">
            <v>0</v>
          </cell>
          <cell r="EV637">
            <v>0</v>
          </cell>
          <cell r="EW637">
            <v>0</v>
          </cell>
          <cell r="EX637">
            <v>0</v>
          </cell>
          <cell r="EY637">
            <v>0</v>
          </cell>
          <cell r="EZ637">
            <v>0</v>
          </cell>
          <cell r="FA637">
            <v>0</v>
          </cell>
          <cell r="FB637">
            <v>0</v>
          </cell>
          <cell r="FC637">
            <v>0</v>
          </cell>
          <cell r="FD637">
            <v>0</v>
          </cell>
          <cell r="FE637">
            <v>0</v>
          </cell>
          <cell r="FF637">
            <v>0</v>
          </cell>
          <cell r="FG637">
            <v>0</v>
          </cell>
          <cell r="FH637">
            <v>0</v>
          </cell>
          <cell r="FI637">
            <v>0</v>
          </cell>
          <cell r="FJ637">
            <v>0</v>
          </cell>
          <cell r="FK637">
            <v>0</v>
          </cell>
          <cell r="FL637">
            <v>0</v>
          </cell>
          <cell r="FM637">
            <v>0</v>
          </cell>
          <cell r="FN637">
            <v>0</v>
          </cell>
          <cell r="FO637">
            <v>0</v>
          </cell>
          <cell r="FP637">
            <v>0</v>
          </cell>
          <cell r="FQ637">
            <v>0</v>
          </cell>
          <cell r="FR637">
            <v>0</v>
          </cell>
          <cell r="FS637">
            <v>0</v>
          </cell>
          <cell r="FT637">
            <v>0</v>
          </cell>
          <cell r="FU637">
            <v>0</v>
          </cell>
          <cell r="FV637">
            <v>0</v>
          </cell>
          <cell r="FW637">
            <v>0</v>
          </cell>
          <cell r="FX637">
            <v>0</v>
          </cell>
          <cell r="FY637">
            <v>0</v>
          </cell>
          <cell r="FZ637">
            <v>0</v>
          </cell>
          <cell r="GA637">
            <v>0</v>
          </cell>
          <cell r="GB637">
            <v>0</v>
          </cell>
          <cell r="GC637">
            <v>0</v>
          </cell>
          <cell r="GD637">
            <v>0</v>
          </cell>
          <cell r="GE637">
            <v>0</v>
          </cell>
          <cell r="GF637">
            <v>0</v>
          </cell>
          <cell r="GG637">
            <v>0</v>
          </cell>
          <cell r="GH637">
            <v>0</v>
          </cell>
          <cell r="GI637">
            <v>0</v>
          </cell>
          <cell r="GJ637">
            <v>0</v>
          </cell>
          <cell r="GK637">
            <v>0</v>
          </cell>
          <cell r="GL637">
            <v>0</v>
          </cell>
          <cell r="GM637">
            <v>0</v>
          </cell>
          <cell r="GN637">
            <v>0</v>
          </cell>
          <cell r="GO637">
            <v>0</v>
          </cell>
          <cell r="GP637">
            <v>0</v>
          </cell>
          <cell r="GQ637">
            <v>0</v>
          </cell>
          <cell r="GR637">
            <v>0</v>
          </cell>
          <cell r="GS637">
            <v>0</v>
          </cell>
          <cell r="GT637">
            <v>0</v>
          </cell>
          <cell r="GU637">
            <v>0</v>
          </cell>
          <cell r="GV637">
            <v>0</v>
          </cell>
          <cell r="GW637">
            <v>0</v>
          </cell>
          <cell r="GX637">
            <v>0</v>
          </cell>
          <cell r="GY637">
            <v>0</v>
          </cell>
          <cell r="GZ637">
            <v>0</v>
          </cell>
          <cell r="HA637">
            <v>0</v>
          </cell>
          <cell r="HB637">
            <v>0</v>
          </cell>
          <cell r="HC637">
            <v>0</v>
          </cell>
          <cell r="HD637">
            <v>0</v>
          </cell>
          <cell r="HE637">
            <v>0</v>
          </cell>
          <cell r="HF637">
            <v>0</v>
          </cell>
        </row>
        <row r="653">
          <cell r="N653">
            <v>1080</v>
          </cell>
          <cell r="O653">
            <v>1080</v>
          </cell>
          <cell r="P653">
            <v>1080</v>
          </cell>
          <cell r="Q653">
            <v>1080</v>
          </cell>
          <cell r="R653">
            <v>900</v>
          </cell>
          <cell r="S653">
            <v>900</v>
          </cell>
          <cell r="T653">
            <v>900</v>
          </cell>
          <cell r="U653">
            <v>900</v>
          </cell>
          <cell r="V653">
            <v>900</v>
          </cell>
          <cell r="W653">
            <v>900</v>
          </cell>
          <cell r="X653">
            <v>900</v>
          </cell>
          <cell r="Y653">
            <v>900</v>
          </cell>
          <cell r="Z653">
            <v>900</v>
          </cell>
          <cell r="AA653">
            <v>900</v>
          </cell>
          <cell r="AB653">
            <v>900</v>
          </cell>
          <cell r="AC653">
            <v>900</v>
          </cell>
          <cell r="AD653">
            <v>900</v>
          </cell>
          <cell r="AE653">
            <v>900</v>
          </cell>
          <cell r="AF653">
            <v>900</v>
          </cell>
          <cell r="AG653">
            <v>900</v>
          </cell>
          <cell r="AH653">
            <v>900</v>
          </cell>
          <cell r="AI653">
            <v>900</v>
          </cell>
          <cell r="AJ653">
            <v>900</v>
          </cell>
          <cell r="AK653">
            <v>900</v>
          </cell>
          <cell r="AL653">
            <v>900</v>
          </cell>
          <cell r="AM653">
            <v>900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cell r="DH653">
            <v>0</v>
          </cell>
          <cell r="DI653">
            <v>0</v>
          </cell>
          <cell r="DJ653">
            <v>0</v>
          </cell>
          <cell r="DK653">
            <v>0</v>
          </cell>
          <cell r="DL653">
            <v>0</v>
          </cell>
          <cell r="DM653">
            <v>0</v>
          </cell>
          <cell r="DN653">
            <v>0</v>
          </cell>
          <cell r="DO653">
            <v>0</v>
          </cell>
          <cell r="DP653">
            <v>0</v>
          </cell>
          <cell r="DQ653">
            <v>0</v>
          </cell>
          <cell r="DR653">
            <v>0</v>
          </cell>
          <cell r="DS653">
            <v>0</v>
          </cell>
          <cell r="DT653">
            <v>0</v>
          </cell>
          <cell r="DU653">
            <v>0</v>
          </cell>
          <cell r="DV653">
            <v>0</v>
          </cell>
          <cell r="DW653">
            <v>0</v>
          </cell>
          <cell r="DX653">
            <v>0</v>
          </cell>
          <cell r="DY653">
            <v>0</v>
          </cell>
          <cell r="DZ653">
            <v>0</v>
          </cell>
          <cell r="EA653">
            <v>0</v>
          </cell>
          <cell r="EB653">
            <v>0</v>
          </cell>
          <cell r="EC653">
            <v>0</v>
          </cell>
          <cell r="ED653">
            <v>0</v>
          </cell>
          <cell r="EE653">
            <v>0</v>
          </cell>
          <cell r="EF653">
            <v>0</v>
          </cell>
          <cell r="EG653">
            <v>0</v>
          </cell>
          <cell r="EH653">
            <v>0</v>
          </cell>
          <cell r="EI653">
            <v>0</v>
          </cell>
          <cell r="EJ653">
            <v>0</v>
          </cell>
          <cell r="EK653">
            <v>0</v>
          </cell>
          <cell r="EL653">
            <v>0</v>
          </cell>
          <cell r="EM653">
            <v>0</v>
          </cell>
          <cell r="EN653">
            <v>0</v>
          </cell>
          <cell r="EO653">
            <v>0</v>
          </cell>
          <cell r="EP653">
            <v>0</v>
          </cell>
          <cell r="EQ653">
            <v>0</v>
          </cell>
          <cell r="ER653">
            <v>0</v>
          </cell>
          <cell r="ES653">
            <v>0</v>
          </cell>
          <cell r="ET653">
            <v>0</v>
          </cell>
          <cell r="EU653">
            <v>0</v>
          </cell>
          <cell r="EV653">
            <v>0</v>
          </cell>
          <cell r="EW653">
            <v>0</v>
          </cell>
          <cell r="EX653">
            <v>0</v>
          </cell>
          <cell r="EY653">
            <v>0</v>
          </cell>
          <cell r="EZ653">
            <v>0</v>
          </cell>
          <cell r="FA653">
            <v>0</v>
          </cell>
          <cell r="FB653">
            <v>0</v>
          </cell>
          <cell r="FC653">
            <v>0</v>
          </cell>
          <cell r="FD653">
            <v>0</v>
          </cell>
          <cell r="FE653">
            <v>0</v>
          </cell>
          <cell r="FF653">
            <v>0</v>
          </cell>
          <cell r="FG653">
            <v>0</v>
          </cell>
          <cell r="FH653">
            <v>0</v>
          </cell>
          <cell r="FI653">
            <v>0</v>
          </cell>
          <cell r="FJ653">
            <v>0</v>
          </cell>
          <cell r="FK653">
            <v>0</v>
          </cell>
          <cell r="FL653">
            <v>0</v>
          </cell>
          <cell r="FM653">
            <v>0</v>
          </cell>
          <cell r="FN653">
            <v>0</v>
          </cell>
          <cell r="FO653">
            <v>0</v>
          </cell>
          <cell r="FP653">
            <v>0</v>
          </cell>
          <cell r="FQ653">
            <v>0</v>
          </cell>
          <cell r="FR653">
            <v>0</v>
          </cell>
          <cell r="FS653">
            <v>0</v>
          </cell>
          <cell r="FT653">
            <v>0</v>
          </cell>
          <cell r="FU653">
            <v>0</v>
          </cell>
          <cell r="FV653">
            <v>0</v>
          </cell>
          <cell r="FW653">
            <v>0</v>
          </cell>
          <cell r="FX653">
            <v>0</v>
          </cell>
          <cell r="FY653">
            <v>0</v>
          </cell>
          <cell r="FZ653">
            <v>0</v>
          </cell>
          <cell r="GA653">
            <v>0</v>
          </cell>
          <cell r="GB653">
            <v>0</v>
          </cell>
          <cell r="GC653">
            <v>0</v>
          </cell>
          <cell r="GD653">
            <v>0</v>
          </cell>
          <cell r="GE653">
            <v>0</v>
          </cell>
          <cell r="GF653">
            <v>0</v>
          </cell>
          <cell r="GG653">
            <v>0</v>
          </cell>
          <cell r="GH653">
            <v>0</v>
          </cell>
          <cell r="GI653">
            <v>0</v>
          </cell>
          <cell r="GJ653">
            <v>0</v>
          </cell>
          <cell r="GK653">
            <v>0</v>
          </cell>
          <cell r="GL653">
            <v>0</v>
          </cell>
          <cell r="GM653">
            <v>0</v>
          </cell>
          <cell r="GN653">
            <v>0</v>
          </cell>
          <cell r="GO653">
            <v>0</v>
          </cell>
          <cell r="GP653">
            <v>0</v>
          </cell>
          <cell r="GQ653">
            <v>0</v>
          </cell>
          <cell r="GR653">
            <v>0</v>
          </cell>
          <cell r="GS653">
            <v>0</v>
          </cell>
          <cell r="GT653">
            <v>0</v>
          </cell>
          <cell r="GU653">
            <v>0</v>
          </cell>
          <cell r="GV653">
            <v>0</v>
          </cell>
          <cell r="GW653">
            <v>0</v>
          </cell>
          <cell r="GX653">
            <v>0</v>
          </cell>
          <cell r="GY653">
            <v>0</v>
          </cell>
          <cell r="GZ653">
            <v>0</v>
          </cell>
          <cell r="HA653">
            <v>0</v>
          </cell>
          <cell r="HB653">
            <v>0</v>
          </cell>
          <cell r="HC653">
            <v>0</v>
          </cell>
          <cell r="HD653">
            <v>0</v>
          </cell>
          <cell r="HE653">
            <v>0</v>
          </cell>
          <cell r="HF653">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Output"/>
      <sheetName val="Inputs"/>
      <sheetName val="Calc1"/>
      <sheetName val="AL"/>
      <sheetName val="AR"/>
      <sheetName val="FL"/>
      <sheetName val="GA"/>
      <sheetName val="LA"/>
      <sheetName val="MS"/>
      <sheetName val="MO"/>
      <sheetName val="NC"/>
      <sheetName val="SC"/>
      <sheetName val="TN"/>
      <sheetName val="TX"/>
      <sheetName val="UT"/>
      <sheetName val="FPIG"/>
      <sheetName val="FICA"/>
      <sheetName val="fTax"/>
      <sheetName val="CTC"/>
      <sheetName val="EITC"/>
      <sheetName val="SSI"/>
      <sheetName val="SNAP"/>
      <sheetName val="WIC"/>
      <sheetName val="NSLP"/>
      <sheetName val="Mcaid"/>
      <sheetName val="CHIP"/>
      <sheetName val="HIX"/>
      <sheetName val="States"/>
      <sheetName val="Subdivisions"/>
      <sheetName val="Lists"/>
      <sheetName val="Federal Sources"/>
      <sheetName val="State Sources"/>
      <sheetName val="Tables"/>
      <sheetName val="GCO Cliff Model PROD v12.1"/>
    </sheetNames>
    <sheetDataSet>
      <sheetData sheetId="0"/>
      <sheetData sheetId="1"/>
      <sheetData sheetId="2"/>
      <sheetData sheetId="3"/>
      <sheetData sheetId="4">
        <row r="16">
          <cell r="C16" t="str">
            <v>Yes</v>
          </cell>
          <cell r="D16">
            <v>8</v>
          </cell>
        </row>
        <row r="17">
          <cell r="C17" t="str">
            <v>Yes</v>
          </cell>
          <cell r="D17">
            <v>2</v>
          </cell>
        </row>
        <row r="18">
          <cell r="C18"/>
          <cell r="D18"/>
        </row>
        <row r="19">
          <cell r="C19"/>
          <cell r="D19"/>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B007B6E-4E86-4815-B255-30775870A598}" autoFormatId="16" applyNumberFormats="0" applyBorderFormats="0" applyFontFormats="0" applyPatternFormats="0" applyAlignmentFormats="0" applyWidthHeightFormats="0">
  <queryTableRefresh nextId="14" unboundColumnsRight="4">
    <queryTableFields count="9">
      <queryTableField id="1" name="State" tableColumnId="1"/>
      <queryTableField id="2" name="Name" tableColumnId="2"/>
      <queryTableField id="3" name="Filing Status" tableColumnId="3"/>
      <queryTableField id="4" name="Income Limit" tableColumnId="4"/>
      <queryTableField id="5" name="2020" tableColumnId="5"/>
      <queryTableField id="10" dataBound="0" tableColumnId="10"/>
      <queryTableField id="11" dataBound="0" tableColumnId="11"/>
      <queryTableField id="12" dataBound="0" tableColumnId="12"/>
      <queryTableField id="13" dataBound="0" tableColumnId="6"/>
    </queryTableFields>
    <queryTableDeletedFields count="1">
      <deletedField name="202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E5A67ED8-6B01-4DA3-952C-4369C24B9A66}" autoFormatId="16" applyNumberFormats="0" applyBorderFormats="0" applyFontFormats="0" applyPatternFormats="0" applyAlignmentFormats="0" applyWidthHeightFormats="0">
  <queryTableRefresh nextId="13" unboundColumnsRight="3">
    <queryTableFields count="8">
      <queryTableField id="1" name="State" tableColumnId="1"/>
      <queryTableField id="2" name="Name" tableColumnId="2"/>
      <queryTableField id="9" dataBound="0" tableColumnId="9"/>
      <queryTableField id="4" name="Income Limit" tableColumnId="4"/>
      <queryTableField id="5" name="2020" tableColumnId="5"/>
      <queryTableField id="10" dataBound="0" tableColumnId="10"/>
      <queryTableField id="11" dataBound="0" tableColumnId="11"/>
      <queryTableField id="12" dataBound="0" tableColumnId="3"/>
    </queryTableFields>
    <queryTableDeletedFields count="2">
      <deletedField name="2021"/>
      <deletedField name="Filing Status"/>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3" xr16:uid="{2A448F80-950A-4A0C-A04E-0153A2E2C63E}" autoFormatId="16" applyNumberFormats="0" applyBorderFormats="0" applyFontFormats="0" applyPatternFormats="0" applyAlignmentFormats="0" applyWidthHeightFormats="0">
  <queryTableRefresh nextId="7">
    <queryTableFields count="6">
      <queryTableField id="1" name="State" tableColumnId="1"/>
      <queryTableField id="2" name="Name" tableColumnId="2"/>
      <queryTableField id="3" name="Filing Status" tableColumnId="3"/>
      <queryTableField id="4" name="Income Limit" tableColumnId="4"/>
      <queryTableField id="5" name="2020" tableColumnId="5"/>
      <queryTableField id="6" name="2021" tableColumnId="6"/>
    </queryTableFields>
  </queryTableRefresh>
</queryTable>
</file>

<file path=xl/tables/_rels/table1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974AD-B942-4DE9-97E6-DA47978260C2}" name="stateTaxStatus" displayName="stateTaxStatus" ref="C34:I44" totalsRowShown="0" headerRowDxfId="146" dataDxfId="145">
  <autoFilter ref="C34:I44" xr:uid="{583056CA-173E-4954-BED7-A3318C09BA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49D0B59-7F2E-4FD3-AEED-5F2AF040B3AB}" name="State" dataDxfId="144"/>
    <tableColumn id="2" xr3:uid="{A5B9D9D7-D1C0-4D1E-A6A4-9E24030D99AB}" name="Single" dataDxfId="143"/>
    <tableColumn id="3" xr3:uid="{51787ACC-57CF-4AFC-A18B-E857666B9417}" name="Head of Household" dataDxfId="142"/>
    <tableColumn id="4" xr3:uid="{C242B609-6A7D-4FDD-86B3-DA70AA14F552}" name="Married Filing Jointly" dataDxfId="141"/>
    <tableColumn id="5" xr3:uid="{A18D28BF-D5ED-4F15-8F83-5D02AD149594}" name="Married Filing Separately" dataDxfId="140"/>
    <tableColumn id="6" xr3:uid="{05464707-A043-4740-A8EC-9B7E383E6E2E}" name="Qualifying Widower" dataDxfId="139"/>
    <tableColumn id="7" xr3:uid="{172A2189-E02B-4BF0-B1BD-F3A8894E5204}" name="Note on Widower" dataDxfId="1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F3141-56E4-4F41-9D64-63756FBBFB1B}" name="stateTaxFixedStandardDeduction" displayName="stateTaxFixedStandardDeduction" ref="C56:J91" totalsRowShown="0" dataDxfId="137">
  <autoFilter ref="C56:J91" xr:uid="{D4335D1D-A187-40E7-A811-E7660D953ED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00119BD-FEC9-4142-86C3-D10A24181661}" name="State"/>
    <tableColumn id="2" xr3:uid="{3162B62F-3E95-4A8A-89AD-9A4C40E6013E}" name="Status"/>
    <tableColumn id="3" xr3:uid="{7FBA38DC-6447-481C-AF91-52141B30C49D}" name="2018" dataDxfId="136"/>
    <tableColumn id="4" xr3:uid="{0C7A489C-4272-44E6-8FFE-F1C57AAC1933}" name="2019" dataDxfId="135"/>
    <tableColumn id="5" xr3:uid="{34FBFC99-13ED-453B-BD1A-160E154EE107}" name="2020" dataDxfId="134"/>
    <tableColumn id="6" xr3:uid="{45726A64-EF09-4C1B-88F2-B65C43E46A3B}" name="2021" dataDxfId="133"/>
    <tableColumn id="7" xr3:uid="{A868864A-874D-4007-B241-B5C2063D716D}" name="2022" dataDxfId="132"/>
    <tableColumn id="8" xr3:uid="{F093E744-1A1F-493E-81A0-C24E7A351DA6}" name="2023" dataDxfId="1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727A4E-1D64-4FE7-BF6A-2CA8896DC43B}" name="stateTaxFixedExemptions" displayName="stateTaxFixedExemptions" ref="C137:L174" totalsRowShown="0" dataDxfId="130">
  <autoFilter ref="C137:L174" xr:uid="{7A5D0665-0CC8-4219-8D96-EFCC65C8792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70656BD-C8C3-40DC-9BC5-5C3FF8099850}" name="State"/>
    <tableColumn id="2" xr3:uid="{92091DE4-8C1A-42D2-951F-17F6933D19C2}" name="Category"/>
    <tableColumn id="3" xr3:uid="{ABC64A0F-32C9-43C6-AA55-C949F688399B}" name="Status"/>
    <tableColumn id="7" xr3:uid="{A1CD76C3-DE80-4FF5-BFCA-06335EE707E6}" name="Note"/>
    <tableColumn id="4" xr3:uid="{232BF0F2-1772-48A6-97D6-8E2D30E17979}" name="2018" dataDxfId="129"/>
    <tableColumn id="5" xr3:uid="{207B5B16-9C4D-4810-AFAC-9B43A421BB05}" name="2019" dataDxfId="128"/>
    <tableColumn id="6" xr3:uid="{AD7CF8AA-FD3E-4B8D-B4C5-EF6033009F41}" name="2020" dataDxfId="127"/>
    <tableColumn id="8" xr3:uid="{6415E40D-60B5-4B5D-8FA3-5A2B31A66A24}" name="2021" dataDxfId="126"/>
    <tableColumn id="9" xr3:uid="{2A4BCB9F-7A4A-4F89-A926-DF9FE13C74E5}" name="2022" dataDxfId="125"/>
    <tableColumn id="10" xr3:uid="{CF93B190-0649-4ACC-9FA6-D9A09D1956F7}" name="2023" dataDxfId="1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6D27FA-DB1A-4323-964A-E20AC3369C0A}" name="stateTaxRateTable" displayName="stateTaxRateTable" ref="C3941:J5497" totalsRowShown="0" headerRowDxfId="123" dataDxfId="122" tableBorderDxfId="121" dataCellStyle="Comma">
  <autoFilter ref="C3941:J5497" xr:uid="{B9B5C5DD-DD7A-4F10-BE45-0679B91E291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EB8F5A9-B5B0-4781-8B99-76BF787DC17E}" name="State"/>
    <tableColumn id="2" xr3:uid="{25ABA89E-C749-4601-A48B-1F673108BE49}" name="Status" dataDxfId="120"/>
    <tableColumn id="3" xr3:uid="{D25C9B33-E04A-4AE8-B3BE-C720B32AF621}" name="Bracket" dataDxfId="119"/>
    <tableColumn id="4" xr3:uid="{5515C965-748B-4287-BF83-3D400D5F87B7}" name="Year" dataDxfId="118"/>
    <tableColumn id="5" xr3:uid="{2EFC2A87-169C-42BB-ADDA-69D9BD51DC6F}" name="Over" dataDxfId="117" dataCellStyle="Comma"/>
    <tableColumn id="6" xr3:uid="{46BEC27C-EB2B-42D5-B91B-0825028374A2}" name="Not Over" dataDxfId="116" dataCellStyle="Comma"/>
    <tableColumn id="7" xr3:uid="{9E30AE9A-8D8A-4694-963A-E29C13544F14}" name="Rate" dataDxfId="115" dataCellStyle="Comma"/>
    <tableColumn id="8" xr3:uid="{EF1CA2F5-3308-447B-BC0A-F575509E8706}" name="Plus" dataDxfId="114"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CADF34-042F-467E-BA6B-C14789A59CEB}" name="stateTaxBracketAdjustment" displayName="stateTaxBracketAdjustment" ref="C334:F337" totalsRowShown="0">
  <autoFilter ref="C334:F337" xr:uid="{D9F7EEC6-E09A-4871-AD8A-E1E0D2C0D8E5}">
    <filterColumn colId="0" hiddenButton="1"/>
    <filterColumn colId="1" hiddenButton="1"/>
    <filterColumn colId="2" hiddenButton="1"/>
    <filterColumn colId="3" hiddenButton="1"/>
  </autoFilter>
  <tableColumns count="4">
    <tableColumn id="1" xr3:uid="{5562AD80-4D8A-4445-A99A-27E98F9762C0}" name="State"/>
    <tableColumn id="2" xr3:uid="{CB9A8F1B-EF06-4C96-BCC9-6BBAAA19062A}" name="Increment" dataDxfId="113" dataCellStyle="Comma"/>
    <tableColumn id="3" xr3:uid="{CEF64E47-2124-4A15-AC52-C52ABB2CB74B}" name="Point" dataDxfId="112" dataCellStyle="Comma"/>
    <tableColumn id="4" xr3:uid="{E070D4C3-FD80-4CD5-B3F2-EC7D1FFB7498}" name="Minimum for tax" dataDxfId="111"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94993C-7AEA-4633-A55E-C5C34E83E15A}" name="stateTaxVariableExemptions" displayName="stateTaxVariableExemptions" ref="C194:M200" totalsRowShown="0" dataDxfId="110" dataCellStyle="Comma">
  <autoFilter ref="C194:M200" xr:uid="{7646EC7F-7CC5-4728-9657-2EB836E8EE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9E2E490-F4B1-4E8F-81F3-7A7D55EC1E93}" name="State"/>
    <tableColumn id="2" xr3:uid="{F11AFD69-A83D-49CC-85A4-F8435DA11854}" name="Category"/>
    <tableColumn id="3" xr3:uid="{6DBD9A88-BFCC-4D7B-8431-F214B627B5C7}" name="Bracket"/>
    <tableColumn id="4" xr3:uid="{7C4DBC31-0E0B-4837-BD6E-9A5D4E6E483B}" name="Name"/>
    <tableColumn id="5" xr3:uid="{15AE0F46-2082-4545-A09F-0584385C69D0}" name="Note"/>
    <tableColumn id="6" xr3:uid="{D470912E-3E17-4C98-84BF-42D4C7A26154}" name="2018" dataDxfId="109" dataCellStyle="Comma"/>
    <tableColumn id="7" xr3:uid="{13592B48-49FF-4545-8FF7-2BA68662A44B}" name="2019" dataDxfId="108" dataCellStyle="Comma"/>
    <tableColumn id="8" xr3:uid="{73E689E9-3F4A-407B-B3F4-EE89B8FC89C7}" name="2020" dataDxfId="107" dataCellStyle="Comma"/>
    <tableColumn id="9" xr3:uid="{7D2AD7C8-2588-43A7-A1D9-6D47E3A546BB}" name="2021" dataDxfId="106" dataCellStyle="Comma"/>
    <tableColumn id="10" xr3:uid="{93444354-67BB-48DE-81C5-56C99B4C432A}" name="2022" dataDxfId="105" dataCellStyle="Comma"/>
    <tableColumn id="11" xr3:uid="{6F8E425B-7651-43CF-A346-678D06D9DE52}" name="2023" dataDxfId="104"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5C80C2-0605-4C21-9723-B0E998902ABC}" name="stateTaxVariableStandardDeduction" displayName="stateTaxVariableStandardDeduction" ref="C101:L121" totalsRowShown="0" dataDxfId="103" dataCellStyle="Comma">
  <autoFilter ref="C101:L121" xr:uid="{74B544B0-DC08-4418-B34E-B8CD1720CA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5ADA168-2B96-4ED2-BFA6-ABAF3D179397}" name="State"/>
    <tableColumn id="2" xr3:uid="{932E7D46-1A21-472E-B305-4E318CBB72DD}" name="Status"/>
    <tableColumn id="3" xr3:uid="{035941B8-FCC8-48CF-B8F2-F180A710BA28}" name="Name"/>
    <tableColumn id="4" xr3:uid="{06511BDA-8053-47D5-9E31-D243DE5D44F2}" name="Note"/>
    <tableColumn id="5" xr3:uid="{6C594879-943D-400D-AF28-D52AB132908A}" name="2018" dataDxfId="102" dataCellStyle="Comma"/>
    <tableColumn id="6" xr3:uid="{53894146-230A-4DDD-92C9-75A15ED5C0D9}" name="2019" dataDxfId="101" dataCellStyle="Comma"/>
    <tableColumn id="7" xr3:uid="{3C075643-BFA1-4D84-A3FA-868DE589AE64}" name="2020" dataDxfId="100" dataCellStyle="Comma"/>
    <tableColumn id="8" xr3:uid="{60228EC0-BCA9-402A-808E-B2639BF3094D}" name="2021" dataDxfId="99" dataCellStyle="Comma"/>
    <tableColumn id="9" xr3:uid="{ECCFEF51-6646-4F31-A8A0-E844C3A7356C}" name="2022" dataDxfId="98" dataCellStyle="Comma"/>
    <tableColumn id="10" xr3:uid="{E9646EA0-6724-4055-9EDC-5A86516EA126}" name="2023" dataDxfId="97"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9C02F84-960A-421B-990E-406AC915108B}" name="stateTaxDeductFederalTaxes" displayName="stateTaxDeductFederalTaxes" ref="C308:J317" totalsRowShown="0" dataDxfId="96">
  <autoFilter ref="C308:J317" xr:uid="{ED52CC85-3EEE-4AA6-90B5-655DDF1DFD9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B1476D9-0264-45B8-853F-549DF8B6FA49}" name="State"/>
    <tableColumn id="2" xr3:uid="{ED22ED2B-7D9F-4AE9-A922-5DED33FC0B3A}" name="Name"/>
    <tableColumn id="3" xr3:uid="{76FCD4F6-CD76-4479-A2F1-8979CE4A0717}" name="2018" dataDxfId="95"/>
    <tableColumn id="4" xr3:uid="{A806401E-F74A-4EE0-9034-72CB4252E375}" name="2019" dataDxfId="94"/>
    <tableColumn id="5" xr3:uid="{4777453D-4FBC-4CCE-84CE-C939AA3BBFB0}" name="2020" dataDxfId="93"/>
    <tableColumn id="6" xr3:uid="{AFEE4C64-8105-4E79-86FB-0BD3B4A0DF64}" name="2021" dataDxfId="92"/>
    <tableColumn id="7" xr3:uid="{5412C5FB-D3DB-45E5-969A-B3EC1338DDF4}" name="2022" dataDxfId="91"/>
    <tableColumn id="8" xr3:uid="{C1949CE8-99DD-461B-917F-2E88B5557DB8}" name="2023" dataDxfId="9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168EC2D-1234-42BA-9B15-7FB04A4B0979}" name="stateTaxIncomeTax?" displayName="stateTaxIncomeTax?" ref="C7:I20" totalsRowShown="0" headerRowDxfId="89">
  <autoFilter ref="C7:I20" xr:uid="{0DCDEA0E-3DB8-4C47-BA53-0FDBCD2F5A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2F4B9E-D037-45F2-8D73-8660D6C4CB3F}" name="State"/>
    <tableColumn id="2" xr3:uid="{24317513-1CA5-4049-87DA-1496D15A4B16}" name="2018"/>
    <tableColumn id="3" xr3:uid="{4C34E475-877F-4D6F-861B-51C229CA84AA}" name="2019"/>
    <tableColumn id="4" xr3:uid="{00CE8B4F-9375-4331-B58E-E2CD147CA9D6}" name="2020"/>
    <tableColumn id="5" xr3:uid="{0188695B-FE24-4E6F-B8BC-33B55F72908C}" name="2021"/>
    <tableColumn id="6" xr3:uid="{97A1DD2B-75C2-4CB6-9C24-60D7B49E08EA}" name="2022"/>
    <tableColumn id="7" xr3:uid="{11BA707B-12E5-4CAD-9ED7-9741FB36C032}" name="20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641450-9C11-41B2-9CF6-F196CA7ABDCE}" name="stateTaxVariableChildDeduction" displayName="stateTaxVariableChildDeduction" ref="C228:L284" totalsRowShown="0" dataDxfId="88" dataCellStyle="Comma">
  <autoFilter ref="C228:L284" xr:uid="{83B79F04-0593-4450-A4BA-6EF2D229B5C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D799730-5AD8-4A25-9176-450DA066405E}" name="State"/>
    <tableColumn id="2" xr3:uid="{50D9B402-29FE-4B4A-A3F8-F0FFAEA0234D}" name="Status" dataDxfId="87"/>
    <tableColumn id="3" xr3:uid="{B5DF561A-0A70-4EF2-983A-A97DF7B9EE57}" name="Bracket"/>
    <tableColumn id="4" xr3:uid="{5226CC22-969B-498D-B905-BF1EDA3D40A1}" name="Condition"/>
    <tableColumn id="5" xr3:uid="{3E8CEDA9-D491-4557-BC89-C3C93859B58B}" name="2018" dataDxfId="86" dataCellStyle="Comma"/>
    <tableColumn id="6" xr3:uid="{148F52B0-0BDB-44F9-80BF-B07BE16AA7ED}" name="2019" dataDxfId="85" dataCellStyle="Comma"/>
    <tableColumn id="7" xr3:uid="{A248F141-F20B-47D1-AD87-E9E300F81B54}" name="2020" dataDxfId="84" dataCellStyle="Comma"/>
    <tableColumn id="8" xr3:uid="{2DB0AFD8-0BC7-45F5-86FE-76B9C28A908B}" name="2021" dataDxfId="83" dataCellStyle="Comma"/>
    <tableColumn id="9" xr3:uid="{A2513927-68BE-4281-9DCE-D8007E587C40}" name="2022" dataDxfId="82" dataCellStyle="Comma"/>
    <tableColumn id="10" xr3:uid="{EA5B66F5-CD51-47EE-B265-3EF48893EC40}" name="2023" dataDxfId="81" dataCellStyle="Comm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9051533-1440-457C-9ABA-79D5CDAB5266}" name="stateTaxVariableChildExpenseCreditLA" displayName="stateTaxVariableChildExpenseCreditLA" ref="C392:I404" totalsRowShown="0" headerRowDxfId="80" dataDxfId="79">
  <tableColumns count="7">
    <tableColumn id="1" xr3:uid="{309A7B3D-579D-4344-B164-B6DCE28C06AC}" name="State" dataDxfId="78"/>
    <tableColumn id="7" xr3:uid="{0A70E984-BC40-4555-B2FB-978FA1D429C1}" name="Year" dataDxfId="77"/>
    <tableColumn id="2" xr3:uid="{C853DC3C-048B-40D7-B0D7-03D4940A0D5D}" name="Bracket" dataDxfId="76"/>
    <tableColumn id="3" xr3:uid="{52114380-51D6-4EB6-99F7-310806A1F3DE}" name="FedAGI min" dataDxfId="75"/>
    <tableColumn id="4" xr3:uid="{B9560DF0-F55C-41DB-850D-10E781F444CA}" name="FedAGI max" dataDxfId="74"/>
    <tableColumn id="5" xr3:uid="{2D24DC2F-F84B-4318-90EE-B09E133807D7}" name="Rate" dataDxfId="73"/>
    <tableColumn id="6" xr3:uid="{C0F01CD5-0A7A-45DA-AF93-CE447663B9BA}" name="Max Credit" dataDxfId="7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D02C47-FDD3-4D4D-8E7C-DEA702FA89A7}" name="stateTaxRefundableChildCareCreditLA" displayName="stateTaxRefundableChildCareCreditLA" ref="C407:F411" totalsRowShown="0" headerRowDxfId="71" dataDxfId="70">
  <tableColumns count="4">
    <tableColumn id="1" xr3:uid="{4C157165-DBE6-48D7-9108-37406D605CAD}" name="State" dataDxfId="69"/>
    <tableColumn id="4" xr3:uid="{515D133A-125E-4B9D-BE8C-D997C5067B41}" name="Year" dataDxfId="68"/>
    <tableColumn id="2" xr3:uid="{EFA9C92F-5F29-4E9A-9B38-FFD05D2459FC}" name="FedAGI min" dataDxfId="67"/>
    <tableColumn id="3" xr3:uid="{66C75471-643B-4A47-A03A-C0CD8C3C57BD}" name="Rate" dataDxfId="6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9A626DC-308D-47C2-97BA-C38A615D01AD}" name="stateTaxSchoolReadinessCreditLA" displayName="stateTaxSchoolReadinessCreditLA" ref="C414:H434" totalsRowShown="0" headerRowDxfId="65" dataDxfId="64">
  <tableColumns count="6">
    <tableColumn id="1" xr3:uid="{3EBB39DC-0DBF-4CAF-8B51-F3A29EFD48A2}" name="State" dataDxfId="63"/>
    <tableColumn id="6" xr3:uid="{4A932DD9-8095-4F9F-88DA-70096B1694AA}" name="Year" dataDxfId="62"/>
    <tableColumn id="2" xr3:uid="{0044741B-C9B8-4783-BD25-A8AAB241DC3E}" name=" School Readiness Credit" dataDxfId="61"/>
    <tableColumn id="3" xr3:uid="{E21D496F-72D8-4DCD-9ED7-68B6F09A4D11}" name="Percent" dataDxfId="60"/>
    <tableColumn id="4" xr3:uid="{3381BD09-1064-4860-ABF2-0465655EDD39}" name="# child&lt;6" dataDxfId="59">
      <calculatedColumnFormula>COUNTIFS([3]Inputs!$C$16:$C$19,"Yes",[3]Inputs!$D$16:$D$19,"&lt;6")</calculatedColumnFormula>
    </tableColumn>
    <tableColumn id="5" xr3:uid="{DF649276-2433-4843-8FE2-193C13E9DC7A}" name="Total" dataDxfId="58">
      <calculatedColumnFormula>F415*G415</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E91BC2C-065A-46E9-93DF-09A6EED10B9C}" name="stateTaxPercentFederalIncomeTaxCreditMO" displayName="stateTaxPercentFederalIncomeTaxCreditMO" ref="C437:K442" tableType="queryTable" totalsRowShown="0">
  <autoFilter ref="C437:K442" xr:uid="{9E91BC2C-065A-46E9-93DF-09A6EED10B9C}"/>
  <tableColumns count="9">
    <tableColumn id="1" xr3:uid="{B63ADB71-04AC-4435-AEBE-5DE1543886B5}" uniqueName="1" name="State" queryTableFieldId="1" dataDxfId="57"/>
    <tableColumn id="2" xr3:uid="{DA847E8E-1F98-45EC-B5E2-4E9ADE654FF6}" uniqueName="2" name="Name" queryTableFieldId="2" dataDxfId="56"/>
    <tableColumn id="3" xr3:uid="{8A9DC316-B5EA-4142-A58A-1EC14B1339D8}" uniqueName="3" name="Minimum Income" queryTableFieldId="3" dataDxfId="55"/>
    <tableColumn id="4" xr3:uid="{16761789-D4D2-4832-A9DF-424C90E24E4E}" uniqueName="4" name="Maximum Income" queryTableFieldId="4" dataDxfId="54"/>
    <tableColumn id="5" xr3:uid="{94D7855C-FE50-4F3F-B121-4127E3F030ED}" uniqueName="5" name="2019" queryTableFieldId="5" dataDxfId="53"/>
    <tableColumn id="10" xr3:uid="{FB574625-A9A4-45FA-AA06-98010E5405B6}" uniqueName="10" name="2020" queryTableFieldId="10" dataDxfId="52"/>
    <tableColumn id="11" xr3:uid="{7A377548-1C17-4EA7-BE34-873F30237A03}" uniqueName="11" name="2021" queryTableFieldId="11" dataDxfId="51"/>
    <tableColumn id="12" xr3:uid="{34A24325-CC44-4B4F-9313-75FF73984D20}" uniqueName="12" name="2022" queryTableFieldId="12" dataDxfId="50"/>
    <tableColumn id="6" xr3:uid="{1418F471-82A9-4534-B8C9-82A919F64772}" uniqueName="6" name="2023" queryTableFieldId="13" dataDxfId="4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F7856FA-1821-49EC-AF99-1266A3F1CBE2}" name="stateTaxMaximumFederalIncomeTaxCreditMO" displayName="stateTaxMaximumFederalIncomeTaxCreditMO" ref="C446:J450" tableType="queryTable" totalsRowShown="0">
  <autoFilter ref="C446:J450" xr:uid="{2F7856FA-1821-49EC-AF99-1266A3F1CBE2}"/>
  <tableColumns count="8">
    <tableColumn id="1" xr3:uid="{2511D1D4-A58C-48C2-8AC6-898D5B26A9B7}" uniqueName="1" name="State" queryTableFieldId="1" dataDxfId="48"/>
    <tableColumn id="2" xr3:uid="{B0B63083-993C-4D44-B764-CFFB1C51E06B}" uniqueName="2" name="Name" queryTableFieldId="2" dataDxfId="47"/>
    <tableColumn id="9" xr3:uid="{26D68853-A847-4176-BC31-E82D23B39A6C}" uniqueName="9" name="Filing Status" queryTableFieldId="9" dataDxfId="46"/>
    <tableColumn id="4" xr3:uid="{F6DDFDC5-1E98-4377-9781-AF7D863C9534}" uniqueName="4" name="2019" queryTableFieldId="4" dataDxfId="45"/>
    <tableColumn id="5" xr3:uid="{08329672-1A76-4EA2-A847-B6C93EC25B9A}" uniqueName="5" name="2020" queryTableFieldId="5" dataDxfId="44"/>
    <tableColumn id="10" xr3:uid="{7236E2C4-E5EF-4FA2-BE2E-25D35D36CD7F}" uniqueName="10" name="2021" queryTableFieldId="10" dataDxfId="43"/>
    <tableColumn id="11" xr3:uid="{CFDADC99-5774-4825-BDD0-85976E17B597}" uniqueName="11" name="2022" queryTableFieldId="11" dataDxfId="42"/>
    <tableColumn id="3" xr3:uid="{194FFE56-2D3B-4237-A61A-6641667857CB}" uniqueName="3" name="2023" queryTableFieldId="12" dataDxfId="4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3AF85BD-9B72-43A4-B420-6594717DA088}" name="stateTaxTaypayerCreditUT" displayName="stateTaxTaypayerCreditUT" ref="C473:I503" totalsRowShown="0">
  <autoFilter ref="C473:I503" xr:uid="{53AF85BD-9B72-43A4-B420-6594717DA088}"/>
  <tableColumns count="7">
    <tableColumn id="6" xr3:uid="{43F12FE5-CDD4-402F-A058-C2AE40FEB216}" name="State" dataDxfId="40"/>
    <tableColumn id="1" xr3:uid="{3F880B38-BFE4-42E6-A859-1B73D6470EC0}" name="Tax Filing Status"/>
    <tableColumn id="2" xr3:uid="{A56DE624-0F50-4F98-A451-D06BC7FB926B}" name="Name"/>
    <tableColumn id="3" xr3:uid="{11BF248E-608F-42D2-B369-E0DBA56AA489}" name="Year" dataDxfId="39"/>
    <tableColumn id="4" xr3:uid="{EEF8067D-3D0E-4489-BE56-FB5C7F599019}" name="Phase-In %" dataDxfId="38"/>
    <tableColumn id="5" xr3:uid="{25AABFAD-A90B-4785-A683-5F7A054C32A1}" name="Phase-Out Base" dataDxfId="37"/>
    <tableColumn id="7" xr3:uid="{BCF5DA00-28E6-492F-92B0-B7E432D82EAF}" name="Phase-Out %" dataDxfId="3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5D1423B-8E55-4A51-AAE7-615BC34F2A08}" name="stateTaxRetirementTaxCreditUT" displayName="stateTaxRetirementTaxCreditUT" ref="C506:I536" totalsRowShown="0">
  <autoFilter ref="C506:I536" xr:uid="{A5D1423B-8E55-4A51-AAE7-615BC34F2A08}"/>
  <tableColumns count="7">
    <tableColumn id="6" xr3:uid="{16EE69F8-B632-46FE-B2AA-7A9A92E75B07}" name="State" dataDxfId="35"/>
    <tableColumn id="1" xr3:uid="{37F800E2-CCCD-4EC7-9853-4403A40D2694}" name="Tax Filing Status"/>
    <tableColumn id="2" xr3:uid="{DAF45B03-3DE7-4613-95DC-FED08823AB86}" name="Credit Type"/>
    <tableColumn id="3" xr3:uid="{9D87178A-C956-401D-BB2E-051FB00AFC38}" name="Year" dataDxfId="34"/>
    <tableColumn id="4" xr3:uid="{95726F4D-4676-435C-9DA2-BCB9C5870DAE}" name="MAGI Deduction" dataDxfId="33"/>
    <tableColumn id="7" xr3:uid="{2186176D-2805-4E4E-982C-B900AB7FEBF3}" name="Credit Percentage" dataDxfId="32"/>
    <tableColumn id="8" xr3:uid="{B8B07874-C56B-4A12-8913-B4DA6C282984}" name="Max Credit" dataDxfId="3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631823-C442-41A9-B493-A89EFAAE853F}" name="stateTaxSocialSecurityBenefitsCreditUT" displayName="stateTaxSocialSecurityBenefitsCreditUT" ref="C539:I569" totalsRowShown="0" dataDxfId="30">
  <autoFilter ref="C539:I569" xr:uid="{4B631823-C442-41A9-B493-A89EFAAE853F}"/>
  <tableColumns count="7">
    <tableColumn id="6" xr3:uid="{5086CBC2-5525-4BB2-9789-2C8E8268EFDF}" name="State" dataDxfId="29"/>
    <tableColumn id="1" xr3:uid="{68CD269E-196C-438E-8522-1575332D0940}" name="Tax Filing Status"/>
    <tableColumn id="2" xr3:uid="{C1645FB1-D7E6-45C4-9EA6-78B36AB0E71F}" name="Credit Type"/>
    <tableColumn id="3" xr3:uid="{5728D700-3FC3-48EC-BFD1-9A952B0A3576}" name="Year" dataDxfId="28"/>
    <tableColumn id="4" xr3:uid="{FD2DE851-A998-4F02-978C-8180DD8DAC2C}" name="MAGI Deduction" dataDxfId="27"/>
    <tableColumn id="8" xr3:uid="{7558D379-7872-4AB4-8A49-DBA52AEFFABF}" name="SS Income Percent" dataDxfId="26"/>
    <tableColumn id="7" xr3:uid="{F675AC2B-DCF6-4642-9FBB-EF2B44660FDA}" name="Credit Percentage" dataDxfId="2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0D92AE0-E202-4FDE-92CB-ED6D93B50D17}" name="stateTaxMatchFedCDCECredit121" displayName="stateTaxMatchFedCDCECredit121" ref="C347:I349" totalsRowShown="0">
  <autoFilter ref="C347:I349" xr:uid="{F0D92AE0-E202-4FDE-92CB-ED6D93B50D17}"/>
  <tableColumns count="7">
    <tableColumn id="1" xr3:uid="{6CE39394-813A-474E-888F-382547286287}" name="State"/>
    <tableColumn id="2" xr3:uid="{47A2817B-C672-4F61-9075-2783102E2191}" name="2018" dataDxfId="24"/>
    <tableColumn id="3" xr3:uid="{4610EDE2-C089-4400-997F-AC2F06FE54AD}" name="2019" dataDxfId="23"/>
    <tableColumn id="4" xr3:uid="{15DCC8DF-0764-4C27-B80B-32EFC212937D}" name="2020" dataDxfId="22"/>
    <tableColumn id="5" xr3:uid="{D2CFCD2E-E672-442A-9EE4-2AD0028969F1}" name="2021"/>
    <tableColumn id="6" xr3:uid="{28D1F8B2-663C-484D-A41C-F6B267641F5E}" name="2022"/>
    <tableColumn id="7" xr3:uid="{B83C69F5-255D-4A1A-B22E-4E738F7F8525}" name="2023" dataDxfId="2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CDBB5FC-A6E7-4A60-A0CF-0923D511075E}" name="stateTaxLowIncomeCredit122" displayName="stateTaxLowIncomeCredit122" ref="C359:G365" totalsRowShown="0">
  <autoFilter ref="C359:G365" xr:uid="{FCDBB5FC-A6E7-4A60-A0CF-0923D511075E}"/>
  <tableColumns count="5">
    <tableColumn id="1" xr3:uid="{42F10F20-3FA0-4F91-8B29-3603FC8A4FDF}" name="State"/>
    <tableColumn id="2" xr3:uid="{31D1FEE5-B1AF-4D27-978D-CA04AD43C9EE}" name="Name"/>
    <tableColumn id="3" xr3:uid="{3D5C5683-7912-4503-BC80-A68ACE2A1EAA}" name="Bracket" dataDxfId="20"/>
    <tableColumn id="4" xr3:uid="{D4852682-EE75-489C-A752-1AF7C06EE258}" name="Federal AGI" dataDxfId="19"/>
    <tableColumn id="5" xr3:uid="{1B3E469E-B33D-4674-ADDC-EDDF87DE8E69}" name="Credit" dataDxfId="1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1EA2F1D-D9F4-44DD-B795-3F1048E72525}" name="stateTaxTwoWageEarnerIncomeCredit124" displayName="stateTaxTwoWageEarnerIncomeCredit124" ref="C455:H461" tableType="queryTable" totalsRowShown="0">
  <autoFilter ref="C455:H461" xr:uid="{21EA2F1D-D9F4-44DD-B795-3F1048E72525}"/>
  <tableColumns count="6">
    <tableColumn id="1" xr3:uid="{EC6A6202-6765-4AAD-8739-526B3B9A4899}" uniqueName="1" name="State" queryTableFieldId="1" dataDxfId="17"/>
    <tableColumn id="2" xr3:uid="{852391D5-A1CC-4170-902B-43B16F651BB2}" uniqueName="2" name="Name" queryTableFieldId="2" dataDxfId="16"/>
    <tableColumn id="3" xr3:uid="{605E2909-9BA5-428E-9D09-99C9E60EA99A}" uniqueName="3" name="Filing Status" queryTableFieldId="3" dataDxfId="15"/>
    <tableColumn id="4" xr3:uid="{50DC36E7-7329-4F4D-896F-0EA70CEA3ABC}" uniqueName="4" name="Income Limit" queryTableFieldId="4"/>
    <tableColumn id="5" xr3:uid="{A264B96E-C435-481F-A0B8-DF698F0CA3CC}" uniqueName="5" name="Year" queryTableFieldId="5"/>
    <tableColumn id="6" xr3:uid="{D53ACA98-6C91-4E91-A301-5C89116AB42D}" uniqueName="6" name="Credit" queryTableFieldId="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A6C197-359B-4C0E-96CD-9C60EAC353DE}" name="sTaxEarnedIncomeExclusion" displayName="sTaxEarnedIncomeExclusion" ref="C572:H632" totalsRowShown="0">
  <autoFilter ref="C572:H632" xr:uid="{23A6C197-359B-4C0E-96CD-9C60EAC353DE}"/>
  <tableColumns count="6">
    <tableColumn id="1" xr3:uid="{1D7825D9-F279-4DBD-8F66-1470E909295A}" name="State"/>
    <tableColumn id="2" xr3:uid="{13003021-658E-4826-981F-65D890B03702}" name="Year" dataDxfId="14"/>
    <tableColumn id="3" xr3:uid="{EDB8BD3C-D69D-4D93-B60C-AC91A59E4E5B}" name="Tax Filing Status"/>
    <tableColumn id="4" xr3:uid="{C36371D0-4446-4A15-8161-13988B6985CC}" name="Qualifying Criteria" dataDxfId="13"/>
    <tableColumn id="5" xr3:uid="{935D0850-0DD1-40FD-B1F6-91AF5416390C}" name="Income Limit" dataDxfId="12"/>
    <tableColumn id="6" xr3:uid="{07F5D935-70A2-4798-85FB-3C72042EF24D}" name="Income Exclusion" dataDxfId="1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CFEC08-FE72-4084-A85F-79193871A849}" name="stateTaxFamilyTaxCredit" displayName="stateTaxFamilyTaxCredit" ref="C635:I3935" totalsRowShown="0" headerRowDxfId="10" dataDxfId="9">
  <tableColumns count="7">
    <tableColumn id="6" xr3:uid="{96C96DEB-9248-4BB0-9714-FF72B9EDDC67}" name="State" dataDxfId="8"/>
    <tableColumn id="7" xr3:uid="{10BB0BAB-701F-4049-9FD1-956EC97355F4}" name="Year" dataDxfId="7"/>
    <tableColumn id="1" xr3:uid="{3BAA858B-E9AA-49EE-B70B-A19DA50921DC}" name="Family Size" dataDxfId="6">
      <calculatedColumnFormula>E635</calculatedColumnFormula>
    </tableColumn>
    <tableColumn id="2" xr3:uid="{14217F52-3960-4ABD-87F5-91016D9A2893}" name="Tax Filing Status" dataDxfId="5"/>
    <tableColumn id="3" xr3:uid="{C4BEFC41-E4E5-42C4-A405-79DECD57587B}" name="Greater Than" dataDxfId="4">
      <calculatedColumnFormula>H635</calculatedColumnFormula>
    </tableColumn>
    <tableColumn id="4" xr3:uid="{F457D55D-8E6A-44A3-86BE-4EF933224F96}" name="Equal To or_x000a_Less Than" dataDxfId="3"/>
    <tableColumn id="5" xr3:uid="{F758F4D5-0B49-4F62-9499-F89C9E6501E7}" name="Family Credit %" dataDxfId="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EBAC26A-FE30-4CE6-B93E-F84FA5E1F6A9}" name="stateTaxIncomeExclusions" displayName="stateTaxIncomeExclusions" ref="C213:F225" totalsRowShown="0">
  <autoFilter ref="C213:F225" xr:uid="{7EBAC26A-FE30-4CE6-B93E-F84FA5E1F6A9}"/>
  <tableColumns count="4">
    <tableColumn id="1" xr3:uid="{429EBBEC-41ED-4F7A-9FCF-685107F15F51}" name="State"/>
    <tableColumn id="2" xr3:uid="{E13A14B5-66B3-4B98-8A62-20D3E6C33B83}" name="Year" dataDxfId="1"/>
    <tableColumn id="3" xr3:uid="{7C3FAC8A-669F-463C-AF4A-AFEE80790A35}" name="Income Exclusion Type"/>
    <tableColumn id="4" xr3:uid="{500D63A3-426A-42EC-99CC-F42EC2DFA399}"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8443-E45A-416A-9678-481D62AAA98E}">
  <sheetPr codeName="Sheet14"/>
  <dimension ref="A1:O5551"/>
  <sheetViews>
    <sheetView tabSelected="1" topLeftCell="B1" zoomScale="75" zoomScaleNormal="75" workbookViewId="0">
      <selection activeCell="G3386" sqref="G3386:H3935"/>
    </sheetView>
  </sheetViews>
  <sheetFormatPr defaultRowHeight="14.5" x14ac:dyDescent="0.35"/>
  <cols>
    <col min="2" max="2" width="11" customWidth="1"/>
    <col min="3" max="3" width="17.54296875" customWidth="1"/>
    <col min="4" max="4" width="24.54296875" customWidth="1"/>
    <col min="5" max="5" width="21.81640625" customWidth="1"/>
    <col min="6" max="6" width="19.54296875" customWidth="1"/>
    <col min="7" max="7" width="27.1796875" customWidth="1"/>
    <col min="8" max="8" width="20.54296875" customWidth="1"/>
    <col min="9" max="9" width="27.453125" customWidth="1"/>
    <col min="10" max="10" width="14.1796875" customWidth="1"/>
    <col min="11" max="11" width="15.453125" customWidth="1"/>
    <col min="12" max="12" width="14" customWidth="1"/>
    <col min="13" max="13" width="11.54296875" customWidth="1"/>
  </cols>
  <sheetData>
    <row r="1" spans="1:9" x14ac:dyDescent="0.35">
      <c r="A1" s="1" t="s">
        <v>0</v>
      </c>
      <c r="B1" s="1" t="s">
        <v>1</v>
      </c>
    </row>
    <row r="2" spans="1:9" x14ac:dyDescent="0.35">
      <c r="B2" t="s">
        <v>2</v>
      </c>
    </row>
    <row r="4" spans="1:9" x14ac:dyDescent="0.35">
      <c r="B4" s="2" t="s">
        <v>3</v>
      </c>
    </row>
    <row r="6" spans="1:9" x14ac:dyDescent="0.35">
      <c r="B6" t="s">
        <v>4</v>
      </c>
    </row>
    <row r="7" spans="1:9" x14ac:dyDescent="0.35">
      <c r="C7" t="s">
        <v>5</v>
      </c>
      <c r="D7" s="3" t="s">
        <v>6</v>
      </c>
      <c r="E7" s="3" t="s">
        <v>7</v>
      </c>
      <c r="F7" s="3" t="s">
        <v>8</v>
      </c>
      <c r="G7" s="3" t="s">
        <v>9</v>
      </c>
      <c r="H7" s="3" t="s">
        <v>10</v>
      </c>
      <c r="I7" s="3" t="s">
        <v>325</v>
      </c>
    </row>
    <row r="8" spans="1:9" x14ac:dyDescent="0.35">
      <c r="C8" t="s">
        <v>11</v>
      </c>
      <c r="D8" t="b">
        <v>1</v>
      </c>
      <c r="E8" t="b">
        <v>1</v>
      </c>
      <c r="F8" t="b">
        <v>1</v>
      </c>
      <c r="G8" t="b">
        <v>1</v>
      </c>
      <c r="H8" t="b">
        <v>1</v>
      </c>
      <c r="I8" t="b">
        <v>1</v>
      </c>
    </row>
    <row r="9" spans="1:9" x14ac:dyDescent="0.35">
      <c r="C9" t="s">
        <v>12</v>
      </c>
      <c r="D9" t="b">
        <v>1</v>
      </c>
      <c r="E9" t="b">
        <v>1</v>
      </c>
      <c r="F9" t="b">
        <v>1</v>
      </c>
      <c r="G9" t="b">
        <v>1</v>
      </c>
      <c r="H9" t="b">
        <v>1</v>
      </c>
      <c r="I9" t="b">
        <v>1</v>
      </c>
    </row>
    <row r="10" spans="1:9" x14ac:dyDescent="0.35">
      <c r="C10" t="s">
        <v>13</v>
      </c>
      <c r="D10" t="b">
        <v>0</v>
      </c>
      <c r="E10" t="b">
        <v>0</v>
      </c>
      <c r="F10" t="b">
        <v>0</v>
      </c>
      <c r="G10" t="b">
        <v>0</v>
      </c>
      <c r="H10" t="b">
        <v>0</v>
      </c>
      <c r="I10" t="b">
        <v>0</v>
      </c>
    </row>
    <row r="11" spans="1:9" x14ac:dyDescent="0.35">
      <c r="C11" t="s">
        <v>14</v>
      </c>
      <c r="D11" t="b">
        <v>1</v>
      </c>
      <c r="E11" t="b">
        <v>1</v>
      </c>
      <c r="F11" t="b">
        <v>1</v>
      </c>
      <c r="G11" t="b">
        <v>1</v>
      </c>
      <c r="H11" t="b">
        <v>1</v>
      </c>
      <c r="I11" t="b">
        <v>1</v>
      </c>
    </row>
    <row r="12" spans="1:9" x14ac:dyDescent="0.35">
      <c r="C12" t="s">
        <v>15</v>
      </c>
      <c r="D12" t="b">
        <v>1</v>
      </c>
      <c r="E12" t="b">
        <v>1</v>
      </c>
      <c r="F12" t="b">
        <v>1</v>
      </c>
      <c r="G12" t="b">
        <v>1</v>
      </c>
      <c r="H12" t="b">
        <v>1</v>
      </c>
      <c r="I12" t="b">
        <v>1</v>
      </c>
    </row>
    <row r="13" spans="1:9" x14ac:dyDescent="0.35">
      <c r="C13" t="s">
        <v>16</v>
      </c>
      <c r="D13" t="b">
        <v>1</v>
      </c>
      <c r="E13" t="b">
        <v>1</v>
      </c>
      <c r="F13" t="b">
        <v>1</v>
      </c>
      <c r="G13" t="b">
        <v>1</v>
      </c>
      <c r="H13" t="b">
        <v>1</v>
      </c>
      <c r="I13" t="b">
        <v>1</v>
      </c>
    </row>
    <row r="14" spans="1:9" x14ac:dyDescent="0.35">
      <c r="C14" t="s">
        <v>259</v>
      </c>
      <c r="D14" t="b">
        <v>1</v>
      </c>
      <c r="E14" t="b">
        <v>1</v>
      </c>
      <c r="F14" t="b">
        <v>1</v>
      </c>
      <c r="G14" t="b">
        <v>1</v>
      </c>
      <c r="H14" t="b">
        <v>1</v>
      </c>
      <c r="I14" t="b">
        <v>1</v>
      </c>
    </row>
    <row r="15" spans="1:9" x14ac:dyDescent="0.35">
      <c r="C15" t="s">
        <v>17</v>
      </c>
      <c r="D15" t="b">
        <v>1</v>
      </c>
      <c r="E15" t="b">
        <v>1</v>
      </c>
      <c r="F15" t="b">
        <v>1</v>
      </c>
      <c r="G15" t="b">
        <v>1</v>
      </c>
      <c r="H15" t="b">
        <v>1</v>
      </c>
      <c r="I15" t="b">
        <v>1</v>
      </c>
    </row>
    <row r="16" spans="1:9" x14ac:dyDescent="0.35">
      <c r="C16" t="s">
        <v>18</v>
      </c>
      <c r="D16" t="b">
        <v>1</v>
      </c>
      <c r="E16" t="b">
        <v>1</v>
      </c>
      <c r="F16" t="b">
        <v>1</v>
      </c>
      <c r="G16" t="b">
        <v>1</v>
      </c>
      <c r="H16" t="b">
        <v>1</v>
      </c>
      <c r="I16" t="b">
        <v>1</v>
      </c>
    </row>
    <row r="17" spans="2:9" x14ac:dyDescent="0.35">
      <c r="C17" t="s">
        <v>19</v>
      </c>
      <c r="D17" t="b">
        <v>0</v>
      </c>
      <c r="E17" t="b">
        <v>0</v>
      </c>
      <c r="F17" t="b">
        <v>0</v>
      </c>
      <c r="G17" t="b">
        <v>0</v>
      </c>
      <c r="H17" t="b">
        <v>0</v>
      </c>
      <c r="I17" t="b">
        <v>0</v>
      </c>
    </row>
    <row r="18" spans="2:9" x14ac:dyDescent="0.35">
      <c r="C18" t="s">
        <v>20</v>
      </c>
      <c r="D18" t="b">
        <v>0</v>
      </c>
      <c r="E18" t="b">
        <v>0</v>
      </c>
      <c r="F18" t="b">
        <v>0</v>
      </c>
      <c r="G18" t="b">
        <v>0</v>
      </c>
      <c r="H18" t="b">
        <v>0</v>
      </c>
      <c r="I18" t="b">
        <v>0</v>
      </c>
    </row>
    <row r="19" spans="2:9" x14ac:dyDescent="0.35">
      <c r="C19" t="s">
        <v>21</v>
      </c>
      <c r="D19" t="b">
        <v>1</v>
      </c>
      <c r="E19" t="b">
        <v>1</v>
      </c>
      <c r="F19" t="b">
        <v>1</v>
      </c>
      <c r="G19" t="b">
        <v>1</v>
      </c>
      <c r="H19" t="b">
        <v>1</v>
      </c>
      <c r="I19" t="b">
        <v>1</v>
      </c>
    </row>
    <row r="20" spans="2:9" x14ac:dyDescent="0.35">
      <c r="C20" t="s">
        <v>312</v>
      </c>
      <c r="D20" t="b">
        <v>1</v>
      </c>
      <c r="E20" t="b">
        <v>1</v>
      </c>
      <c r="F20" t="b">
        <v>1</v>
      </c>
      <c r="G20" t="b">
        <v>1</v>
      </c>
      <c r="H20" t="b">
        <v>1</v>
      </c>
      <c r="I20" t="b">
        <v>1</v>
      </c>
    </row>
    <row r="22" spans="2:9" x14ac:dyDescent="0.35">
      <c r="B22" s="2" t="s">
        <v>22</v>
      </c>
    </row>
    <row r="23" spans="2:9" x14ac:dyDescent="0.35">
      <c r="C23" s="4" t="s">
        <v>23</v>
      </c>
      <c r="D23" t="s">
        <v>24</v>
      </c>
    </row>
    <row r="24" spans="2:9" x14ac:dyDescent="0.35">
      <c r="C24" s="4" t="s">
        <v>25</v>
      </c>
      <c r="D24" s="4" t="s">
        <v>26</v>
      </c>
      <c r="E24" t="s">
        <v>19</v>
      </c>
    </row>
    <row r="25" spans="2:9" x14ac:dyDescent="0.35">
      <c r="D25" s="4" t="s">
        <v>27</v>
      </c>
      <c r="E25" s="3">
        <v>2019</v>
      </c>
    </row>
    <row r="26" spans="2:9" x14ac:dyDescent="0.35">
      <c r="D26" s="4" t="s">
        <v>28</v>
      </c>
      <c r="E26" s="5" t="b">
        <f t="array" ref="E26">INDEX(stateTaxIncomeTax?[],MATCH(E24,stateTaxIncomeTax?[State],0),MATCH(E25,VALUE(stateTaxIncomeTax?[#Headers]),0))</f>
        <v>0</v>
      </c>
    </row>
    <row r="28" spans="2:9" x14ac:dyDescent="0.35">
      <c r="B28" s="2" t="s">
        <v>29</v>
      </c>
    </row>
    <row r="29" spans="2:9" x14ac:dyDescent="0.35">
      <c r="B29" s="2" t="s">
        <v>30</v>
      </c>
    </row>
    <row r="30" spans="2:9" x14ac:dyDescent="0.35">
      <c r="B30" t="s">
        <v>31</v>
      </c>
    </row>
    <row r="33" spans="2:9" x14ac:dyDescent="0.35">
      <c r="B33" s="2" t="s">
        <v>32</v>
      </c>
    </row>
    <row r="34" spans="2:9" x14ac:dyDescent="0.35">
      <c r="C34" t="s">
        <v>5</v>
      </c>
      <c r="D34" t="s">
        <v>33</v>
      </c>
      <c r="E34" t="s">
        <v>34</v>
      </c>
      <c r="F34" t="s">
        <v>35</v>
      </c>
      <c r="G34" t="s">
        <v>36</v>
      </c>
      <c r="H34" t="s">
        <v>37</v>
      </c>
      <c r="I34" t="s">
        <v>38</v>
      </c>
    </row>
    <row r="35" spans="2:9" x14ac:dyDescent="0.35">
      <c r="C35" t="s">
        <v>11</v>
      </c>
      <c r="D35" t="s">
        <v>33</v>
      </c>
      <c r="E35" t="s">
        <v>39</v>
      </c>
      <c r="F35" t="s">
        <v>40</v>
      </c>
      <c r="G35" t="s">
        <v>41</v>
      </c>
    </row>
    <row r="36" spans="2:9" x14ac:dyDescent="0.35">
      <c r="C36" t="s">
        <v>12</v>
      </c>
      <c r="D36" t="s">
        <v>33</v>
      </c>
      <c r="E36" t="s">
        <v>34</v>
      </c>
      <c r="F36" t="s">
        <v>40</v>
      </c>
      <c r="G36" t="s">
        <v>41</v>
      </c>
      <c r="H36" t="str">
        <f>E36</f>
        <v>Head of Household</v>
      </c>
    </row>
    <row r="37" spans="2:9" x14ac:dyDescent="0.35">
      <c r="C37" t="s">
        <v>14</v>
      </c>
      <c r="D37" t="s">
        <v>33</v>
      </c>
      <c r="E37" t="s">
        <v>34</v>
      </c>
      <c r="F37" t="s">
        <v>40</v>
      </c>
      <c r="G37" t="s">
        <v>41</v>
      </c>
      <c r="H37" t="str">
        <f>E37</f>
        <v>Head of Household</v>
      </c>
    </row>
    <row r="38" spans="2:9" x14ac:dyDescent="0.35">
      <c r="C38" t="s">
        <v>15</v>
      </c>
      <c r="D38" t="s">
        <v>33</v>
      </c>
      <c r="E38" t="s">
        <v>34</v>
      </c>
      <c r="F38" t="s">
        <v>40</v>
      </c>
      <c r="G38" t="s">
        <v>41</v>
      </c>
      <c r="H38" t="s">
        <v>42</v>
      </c>
      <c r="I38" t="s">
        <v>43</v>
      </c>
    </row>
    <row r="39" spans="2:9" x14ac:dyDescent="0.35">
      <c r="C39" t="s">
        <v>16</v>
      </c>
      <c r="D39" t="s">
        <v>33</v>
      </c>
      <c r="E39" t="s">
        <v>39</v>
      </c>
      <c r="F39" t="s">
        <v>44</v>
      </c>
      <c r="G39" t="s">
        <v>45</v>
      </c>
      <c r="H39" t="str">
        <f>E39</f>
        <v>Head of Family</v>
      </c>
    </row>
    <row r="40" spans="2:9" x14ac:dyDescent="0.35">
      <c r="C40" t="s">
        <v>259</v>
      </c>
      <c r="D40" t="s">
        <v>33</v>
      </c>
      <c r="E40" t="s">
        <v>34</v>
      </c>
      <c r="F40" t="s">
        <v>35</v>
      </c>
      <c r="G40" t="s">
        <v>41</v>
      </c>
    </row>
    <row r="41" spans="2:9" x14ac:dyDescent="0.35">
      <c r="C41" t="s">
        <v>18</v>
      </c>
      <c r="D41" t="s">
        <v>33</v>
      </c>
      <c r="E41" t="s">
        <v>34</v>
      </c>
      <c r="F41" t="s">
        <v>35</v>
      </c>
      <c r="G41" t="s">
        <v>36</v>
      </c>
      <c r="H41" t="s">
        <v>46</v>
      </c>
      <c r="I41" t="s">
        <v>47</v>
      </c>
    </row>
    <row r="42" spans="2:9" x14ac:dyDescent="0.35">
      <c r="C42" t="s">
        <v>17</v>
      </c>
      <c r="D42" t="s">
        <v>33</v>
      </c>
      <c r="E42" t="s">
        <v>34</v>
      </c>
      <c r="F42" t="s">
        <v>35</v>
      </c>
      <c r="G42" t="s">
        <v>36</v>
      </c>
    </row>
    <row r="43" spans="2:9" x14ac:dyDescent="0.35">
      <c r="C43" t="s">
        <v>21</v>
      </c>
      <c r="D43" t="s">
        <v>54</v>
      </c>
      <c r="E43" t="s">
        <v>34</v>
      </c>
      <c r="F43" t="s">
        <v>35</v>
      </c>
      <c r="G43" t="s">
        <v>36</v>
      </c>
      <c r="H43" t="s">
        <v>37</v>
      </c>
      <c r="I43" t="s">
        <v>47</v>
      </c>
    </row>
    <row r="44" spans="2:9" x14ac:dyDescent="0.35">
      <c r="C44" t="s">
        <v>312</v>
      </c>
      <c r="D44" t="s">
        <v>54</v>
      </c>
      <c r="E44" t="s">
        <v>34</v>
      </c>
      <c r="F44" t="s">
        <v>40</v>
      </c>
      <c r="G44" t="s">
        <v>36</v>
      </c>
      <c r="H44" t="s">
        <v>313</v>
      </c>
      <c r="I44" t="s">
        <v>47</v>
      </c>
    </row>
    <row r="46" spans="2:9" x14ac:dyDescent="0.35">
      <c r="B46" s="2" t="s">
        <v>22</v>
      </c>
    </row>
    <row r="47" spans="2:9" x14ac:dyDescent="0.35">
      <c r="C47" s="4" t="s">
        <v>23</v>
      </c>
      <c r="D47" t="s">
        <v>48</v>
      </c>
    </row>
    <row r="48" spans="2:9" x14ac:dyDescent="0.35">
      <c r="C48" s="4" t="s">
        <v>25</v>
      </c>
      <c r="D48" s="4" t="s">
        <v>49</v>
      </c>
      <c r="E48" t="s">
        <v>11</v>
      </c>
    </row>
    <row r="49" spans="2:10" x14ac:dyDescent="0.35">
      <c r="D49" s="4" t="s">
        <v>50</v>
      </c>
      <c r="E49" t="s">
        <v>34</v>
      </c>
    </row>
    <row r="50" spans="2:10" x14ac:dyDescent="0.35">
      <c r="D50" s="6" t="s">
        <v>28</v>
      </c>
      <c r="E50" t="str">
        <f>INDEX(stateTaxStatus[],MATCH(E48,stateTaxStatus[State],0),MATCH(E49,stateTaxStatus[#Headers],0))</f>
        <v>Head of Family</v>
      </c>
    </row>
    <row r="52" spans="2:10" x14ac:dyDescent="0.35">
      <c r="B52" s="2" t="s">
        <v>51</v>
      </c>
    </row>
    <row r="55" spans="2:10" x14ac:dyDescent="0.35">
      <c r="B55" s="2" t="s">
        <v>52</v>
      </c>
    </row>
    <row r="56" spans="2:10" x14ac:dyDescent="0.35">
      <c r="C56" t="s">
        <v>5</v>
      </c>
      <c r="D56" t="s">
        <v>53</v>
      </c>
      <c r="E56" s="3" t="s">
        <v>6</v>
      </c>
      <c r="F56" s="3" t="s">
        <v>7</v>
      </c>
      <c r="G56" s="3" t="s">
        <v>8</v>
      </c>
      <c r="H56" s="3" t="s">
        <v>9</v>
      </c>
      <c r="I56" s="3" t="s">
        <v>10</v>
      </c>
      <c r="J56" s="3" t="s">
        <v>325</v>
      </c>
    </row>
    <row r="57" spans="2:10" x14ac:dyDescent="0.35">
      <c r="C57" t="s">
        <v>12</v>
      </c>
      <c r="D57" t="s">
        <v>33</v>
      </c>
      <c r="E57" s="7">
        <v>2200</v>
      </c>
      <c r="F57" s="7">
        <v>2200</v>
      </c>
      <c r="G57" s="7">
        <v>2200</v>
      </c>
      <c r="H57" s="7">
        <v>2200</v>
      </c>
      <c r="I57" s="7">
        <v>2200</v>
      </c>
      <c r="J57" s="7">
        <v>2270</v>
      </c>
    </row>
    <row r="58" spans="2:10" x14ac:dyDescent="0.35">
      <c r="C58" t="s">
        <v>12</v>
      </c>
      <c r="D58" t="s">
        <v>36</v>
      </c>
      <c r="E58" s="7">
        <v>2200</v>
      </c>
      <c r="F58" s="7">
        <v>2200</v>
      </c>
      <c r="G58" s="7">
        <v>2200</v>
      </c>
      <c r="H58" s="7">
        <v>2200</v>
      </c>
      <c r="I58" s="7">
        <v>2200</v>
      </c>
      <c r="J58" s="7">
        <v>2270</v>
      </c>
    </row>
    <row r="59" spans="2:10" x14ac:dyDescent="0.35">
      <c r="C59" t="s">
        <v>12</v>
      </c>
      <c r="D59" t="s">
        <v>34</v>
      </c>
      <c r="E59" s="7">
        <v>2200</v>
      </c>
      <c r="F59" s="7">
        <v>2200</v>
      </c>
      <c r="G59" s="7">
        <v>2200</v>
      </c>
      <c r="H59" s="7">
        <v>2200</v>
      </c>
      <c r="I59" s="7">
        <v>2200</v>
      </c>
      <c r="J59" s="7">
        <v>2270</v>
      </c>
    </row>
    <row r="60" spans="2:10" x14ac:dyDescent="0.35">
      <c r="C60" t="s">
        <v>12</v>
      </c>
      <c r="D60" t="s">
        <v>40</v>
      </c>
      <c r="E60" s="7">
        <v>4400</v>
      </c>
      <c r="F60" s="7">
        <v>4400</v>
      </c>
      <c r="G60" s="7">
        <v>4400</v>
      </c>
      <c r="H60" s="7">
        <v>4400</v>
      </c>
      <c r="I60" s="7">
        <v>4400</v>
      </c>
      <c r="J60" s="7">
        <v>4540</v>
      </c>
    </row>
    <row r="61" spans="2:10" x14ac:dyDescent="0.35">
      <c r="C61" t="s">
        <v>14</v>
      </c>
      <c r="D61" t="s">
        <v>33</v>
      </c>
      <c r="E61" s="8">
        <v>4600</v>
      </c>
      <c r="F61" s="8">
        <v>4600</v>
      </c>
      <c r="G61" s="8">
        <v>4600</v>
      </c>
      <c r="H61" s="7">
        <v>4600</v>
      </c>
      <c r="I61" s="7">
        <v>5400</v>
      </c>
      <c r="J61" s="7">
        <v>5400</v>
      </c>
    </row>
    <row r="62" spans="2:10" x14ac:dyDescent="0.35">
      <c r="C62" t="s">
        <v>14</v>
      </c>
      <c r="D62" t="s">
        <v>36</v>
      </c>
      <c r="E62" s="7">
        <v>3000</v>
      </c>
      <c r="F62" s="7">
        <v>3000</v>
      </c>
      <c r="G62" s="7">
        <v>3000</v>
      </c>
      <c r="H62" s="7">
        <v>3000</v>
      </c>
      <c r="I62" s="7">
        <v>3550</v>
      </c>
      <c r="J62" s="7">
        <v>3550</v>
      </c>
    </row>
    <row r="63" spans="2:10" x14ac:dyDescent="0.35">
      <c r="C63" t="s">
        <v>14</v>
      </c>
      <c r="D63" t="s">
        <v>34</v>
      </c>
      <c r="E63" s="8">
        <v>4600</v>
      </c>
      <c r="F63" s="8">
        <v>4600</v>
      </c>
      <c r="G63" s="8">
        <v>4600</v>
      </c>
      <c r="H63" s="7">
        <v>4600</v>
      </c>
      <c r="I63" s="7">
        <v>5400</v>
      </c>
      <c r="J63" s="7">
        <v>5400</v>
      </c>
    </row>
    <row r="64" spans="2:10" x14ac:dyDescent="0.35">
      <c r="C64" t="s">
        <v>14</v>
      </c>
      <c r="D64" t="s">
        <v>40</v>
      </c>
      <c r="E64" s="8">
        <v>6000</v>
      </c>
      <c r="F64" s="8">
        <v>6000</v>
      </c>
      <c r="G64" s="8">
        <v>6000</v>
      </c>
      <c r="H64" s="7">
        <v>6000</v>
      </c>
      <c r="I64" s="7">
        <v>7100</v>
      </c>
      <c r="J64" s="7">
        <v>7100</v>
      </c>
    </row>
    <row r="65" spans="3:10" x14ac:dyDescent="0.35">
      <c r="C65" t="s">
        <v>14</v>
      </c>
      <c r="D65" t="s">
        <v>318</v>
      </c>
      <c r="E65" s="7">
        <v>1300</v>
      </c>
      <c r="F65" s="7">
        <v>1300</v>
      </c>
      <c r="G65" s="7">
        <v>1300</v>
      </c>
      <c r="H65" s="7">
        <v>1300</v>
      </c>
      <c r="I65" s="7">
        <v>1300</v>
      </c>
      <c r="J65" s="7">
        <v>1300</v>
      </c>
    </row>
    <row r="66" spans="3:10" x14ac:dyDescent="0.35">
      <c r="C66" t="s">
        <v>16</v>
      </c>
      <c r="D66" t="s">
        <v>33</v>
      </c>
      <c r="E66" s="8">
        <v>2300</v>
      </c>
      <c r="F66" s="8">
        <v>2300</v>
      </c>
      <c r="G66" s="8">
        <v>2300</v>
      </c>
      <c r="H66" s="7">
        <v>2300</v>
      </c>
      <c r="I66" s="7">
        <v>2300</v>
      </c>
      <c r="J66" s="7">
        <v>2300</v>
      </c>
    </row>
    <row r="67" spans="3:10" x14ac:dyDescent="0.35">
      <c r="C67" t="s">
        <v>16</v>
      </c>
      <c r="D67" t="s">
        <v>36</v>
      </c>
      <c r="E67" s="7">
        <v>2300</v>
      </c>
      <c r="F67" s="7">
        <v>2300</v>
      </c>
      <c r="G67" s="7">
        <v>2300</v>
      </c>
      <c r="H67" s="7">
        <v>2300</v>
      </c>
      <c r="I67" s="7">
        <v>2300</v>
      </c>
      <c r="J67" s="7">
        <v>2300</v>
      </c>
    </row>
    <row r="68" spans="3:10" x14ac:dyDescent="0.35">
      <c r="C68" t="s">
        <v>16</v>
      </c>
      <c r="D68" t="s">
        <v>39</v>
      </c>
      <c r="E68" s="8">
        <v>3400</v>
      </c>
      <c r="F68" s="8">
        <v>3400</v>
      </c>
      <c r="G68" s="8">
        <v>3400</v>
      </c>
      <c r="H68" s="7">
        <v>3400</v>
      </c>
      <c r="I68" s="7">
        <v>3400</v>
      </c>
      <c r="J68" s="7">
        <v>3400</v>
      </c>
    </row>
    <row r="69" spans="3:10" x14ac:dyDescent="0.35">
      <c r="C69" t="s">
        <v>16</v>
      </c>
      <c r="D69" t="s">
        <v>44</v>
      </c>
      <c r="E69" s="8">
        <v>4600</v>
      </c>
      <c r="F69" s="8">
        <v>4600</v>
      </c>
      <c r="G69" s="8">
        <v>4600</v>
      </c>
      <c r="H69" s="7">
        <v>4600</v>
      </c>
      <c r="I69" s="7">
        <v>4600</v>
      </c>
      <c r="J69" s="7">
        <v>4600</v>
      </c>
    </row>
    <row r="70" spans="3:10" x14ac:dyDescent="0.35">
      <c r="C70" t="s">
        <v>259</v>
      </c>
      <c r="D70" t="s">
        <v>33</v>
      </c>
      <c r="E70" s="8">
        <v>12000</v>
      </c>
      <c r="F70" s="8">
        <v>12200</v>
      </c>
      <c r="G70" s="7">
        <v>12400</v>
      </c>
      <c r="H70" s="7">
        <v>12550</v>
      </c>
      <c r="I70" s="7">
        <v>12950</v>
      </c>
      <c r="J70" s="8">
        <v>13850</v>
      </c>
    </row>
    <row r="71" spans="3:10" x14ac:dyDescent="0.35">
      <c r="C71" t="s">
        <v>259</v>
      </c>
      <c r="D71" t="s">
        <v>34</v>
      </c>
      <c r="E71" s="8">
        <v>18000</v>
      </c>
      <c r="F71" s="8">
        <v>18350</v>
      </c>
      <c r="G71" s="7">
        <v>18650</v>
      </c>
      <c r="H71" s="7">
        <v>18800</v>
      </c>
      <c r="I71" s="7">
        <v>19400</v>
      </c>
      <c r="J71" s="8">
        <v>20800</v>
      </c>
    </row>
    <row r="72" spans="3:10" x14ac:dyDescent="0.35">
      <c r="C72" t="s">
        <v>259</v>
      </c>
      <c r="D72" t="s">
        <v>35</v>
      </c>
      <c r="E72" s="8">
        <v>24000</v>
      </c>
      <c r="F72" s="8">
        <v>24400</v>
      </c>
      <c r="G72" s="7">
        <v>24800</v>
      </c>
      <c r="H72" s="7">
        <v>25100</v>
      </c>
      <c r="I72" s="7">
        <v>25900</v>
      </c>
      <c r="J72" s="8">
        <v>27700</v>
      </c>
    </row>
    <row r="73" spans="3:10" x14ac:dyDescent="0.35">
      <c r="C73" t="s">
        <v>259</v>
      </c>
      <c r="D73" t="s">
        <v>41</v>
      </c>
      <c r="E73" s="8">
        <v>12000</v>
      </c>
      <c r="F73" s="8">
        <v>12200</v>
      </c>
      <c r="G73" s="7">
        <v>12400</v>
      </c>
      <c r="H73" s="7">
        <v>12550</v>
      </c>
      <c r="I73" s="7">
        <v>12950</v>
      </c>
      <c r="J73" s="8">
        <v>13850</v>
      </c>
    </row>
    <row r="74" spans="3:10" x14ac:dyDescent="0.35">
      <c r="C74" t="s">
        <v>18</v>
      </c>
      <c r="D74" t="s">
        <v>54</v>
      </c>
      <c r="E74" s="8">
        <v>8750</v>
      </c>
      <c r="F74" s="8">
        <v>10000</v>
      </c>
      <c r="G74" s="7">
        <v>10750</v>
      </c>
      <c r="H74" s="7">
        <v>12750</v>
      </c>
      <c r="I74" s="7">
        <v>12750</v>
      </c>
      <c r="J74" s="7">
        <v>12750</v>
      </c>
    </row>
    <row r="75" spans="3:10" x14ac:dyDescent="0.35">
      <c r="C75" t="s">
        <v>18</v>
      </c>
      <c r="D75" t="s">
        <v>36</v>
      </c>
      <c r="E75" s="8">
        <v>8750</v>
      </c>
      <c r="F75" s="8">
        <v>10000</v>
      </c>
      <c r="G75" s="7">
        <v>10750</v>
      </c>
      <c r="H75" s="7">
        <v>12750</v>
      </c>
      <c r="I75" s="7">
        <v>12750</v>
      </c>
      <c r="J75" s="7">
        <v>12750</v>
      </c>
    </row>
    <row r="76" spans="3:10" x14ac:dyDescent="0.35">
      <c r="C76" t="s">
        <v>18</v>
      </c>
      <c r="D76" t="s">
        <v>34</v>
      </c>
      <c r="E76" s="8">
        <v>14000</v>
      </c>
      <c r="F76" s="8">
        <v>15000</v>
      </c>
      <c r="G76" s="7">
        <v>16125</v>
      </c>
      <c r="H76" s="7">
        <v>19125</v>
      </c>
      <c r="I76" s="7">
        <v>19125</v>
      </c>
      <c r="J76" s="7">
        <v>19125</v>
      </c>
    </row>
    <row r="77" spans="3:10" x14ac:dyDescent="0.35">
      <c r="C77" t="s">
        <v>18</v>
      </c>
      <c r="D77" t="s">
        <v>35</v>
      </c>
      <c r="E77" s="8">
        <v>17500</v>
      </c>
      <c r="F77" s="8">
        <v>20000</v>
      </c>
      <c r="G77" s="7">
        <v>21500</v>
      </c>
      <c r="H77" s="7">
        <v>25500</v>
      </c>
      <c r="I77" s="7">
        <v>25500</v>
      </c>
      <c r="J77" s="7">
        <v>25500</v>
      </c>
    </row>
    <row r="78" spans="3:10" x14ac:dyDescent="0.35">
      <c r="C78" t="s">
        <v>17</v>
      </c>
      <c r="D78" t="s">
        <v>54</v>
      </c>
      <c r="E78" s="8"/>
      <c r="F78" s="8"/>
      <c r="G78" s="7"/>
      <c r="H78" s="7"/>
      <c r="I78" s="7"/>
      <c r="J78" s="7"/>
    </row>
    <row r="79" spans="3:10" x14ac:dyDescent="0.35">
      <c r="C79" t="s">
        <v>17</v>
      </c>
      <c r="D79" t="s">
        <v>36</v>
      </c>
      <c r="E79" s="8"/>
      <c r="F79" s="8"/>
      <c r="G79" s="7"/>
      <c r="H79" s="7"/>
      <c r="I79" s="7"/>
      <c r="J79" s="7"/>
    </row>
    <row r="80" spans="3:10" x14ac:dyDescent="0.35">
      <c r="C80" t="s">
        <v>17</v>
      </c>
      <c r="D80" t="s">
        <v>34</v>
      </c>
      <c r="E80" s="8"/>
      <c r="F80" s="8"/>
      <c r="G80" s="7"/>
      <c r="H80" s="7"/>
      <c r="I80" s="7"/>
      <c r="J80" s="7"/>
    </row>
    <row r="81" spans="2:10" x14ac:dyDescent="0.35">
      <c r="C81" t="s">
        <v>17</v>
      </c>
      <c r="D81" t="s">
        <v>35</v>
      </c>
      <c r="E81" s="8"/>
      <c r="F81" s="8"/>
      <c r="G81" s="7"/>
      <c r="H81" s="7"/>
      <c r="I81" s="7"/>
      <c r="J81" s="7"/>
    </row>
    <row r="82" spans="2:10" x14ac:dyDescent="0.35">
      <c r="C82" t="s">
        <v>21</v>
      </c>
      <c r="D82" t="s">
        <v>54</v>
      </c>
      <c r="E82" s="8">
        <v>12000</v>
      </c>
      <c r="F82" s="8">
        <v>12200</v>
      </c>
      <c r="G82" s="7">
        <v>12400</v>
      </c>
      <c r="H82" s="7">
        <v>12550</v>
      </c>
      <c r="I82" s="7">
        <v>12950</v>
      </c>
      <c r="J82" s="7">
        <v>12950</v>
      </c>
    </row>
    <row r="83" spans="2:10" x14ac:dyDescent="0.35">
      <c r="C83" t="s">
        <v>21</v>
      </c>
      <c r="D83" t="s">
        <v>34</v>
      </c>
      <c r="E83" s="8">
        <v>18000</v>
      </c>
      <c r="F83" s="8">
        <v>18350</v>
      </c>
      <c r="G83" s="7">
        <v>18650</v>
      </c>
      <c r="H83" s="7">
        <v>18800</v>
      </c>
      <c r="I83" s="7">
        <v>19400</v>
      </c>
      <c r="J83" s="7">
        <v>19400</v>
      </c>
    </row>
    <row r="84" spans="2:10" x14ac:dyDescent="0.35">
      <c r="C84" t="s">
        <v>21</v>
      </c>
      <c r="D84" t="s">
        <v>35</v>
      </c>
      <c r="E84" s="8">
        <v>24000</v>
      </c>
      <c r="F84" s="8">
        <v>24400</v>
      </c>
      <c r="G84" s="7">
        <v>24800</v>
      </c>
      <c r="H84" s="7">
        <v>25100</v>
      </c>
      <c r="I84" s="7">
        <v>25900</v>
      </c>
      <c r="J84" s="7">
        <v>25900</v>
      </c>
    </row>
    <row r="85" spans="2:10" x14ac:dyDescent="0.35">
      <c r="C85" t="s">
        <v>21</v>
      </c>
      <c r="D85" t="s">
        <v>36</v>
      </c>
      <c r="E85" s="8">
        <v>12000</v>
      </c>
      <c r="F85" s="8">
        <v>12200</v>
      </c>
      <c r="G85" s="7">
        <v>12400</v>
      </c>
      <c r="H85" s="7">
        <v>12550</v>
      </c>
      <c r="I85" s="7">
        <v>12950</v>
      </c>
      <c r="J85" s="7">
        <v>12950</v>
      </c>
    </row>
    <row r="86" spans="2:10" x14ac:dyDescent="0.35">
      <c r="C86" t="s">
        <v>21</v>
      </c>
      <c r="D86" t="s">
        <v>37</v>
      </c>
      <c r="E86" s="8">
        <v>24000</v>
      </c>
      <c r="F86" s="8">
        <v>24400</v>
      </c>
      <c r="G86" s="7">
        <v>24800</v>
      </c>
      <c r="H86" s="7">
        <v>25100</v>
      </c>
      <c r="I86" s="7">
        <v>25900</v>
      </c>
      <c r="J86" s="7">
        <v>25900</v>
      </c>
    </row>
    <row r="87" spans="2:10" x14ac:dyDescent="0.35">
      <c r="C87" t="s">
        <v>312</v>
      </c>
      <c r="D87" t="s">
        <v>54</v>
      </c>
      <c r="E87" s="8"/>
      <c r="F87" s="8"/>
      <c r="G87" s="7"/>
      <c r="H87" s="7"/>
      <c r="I87" s="7"/>
      <c r="J87" s="7"/>
    </row>
    <row r="88" spans="2:10" x14ac:dyDescent="0.35">
      <c r="C88" t="s">
        <v>312</v>
      </c>
      <c r="D88" t="s">
        <v>34</v>
      </c>
      <c r="E88" s="8"/>
      <c r="F88" s="8"/>
      <c r="G88" s="7"/>
      <c r="H88" s="7"/>
      <c r="I88" s="7"/>
      <c r="J88" s="7"/>
    </row>
    <row r="89" spans="2:10" x14ac:dyDescent="0.35">
      <c r="C89" t="s">
        <v>312</v>
      </c>
      <c r="D89" t="s">
        <v>40</v>
      </c>
      <c r="E89" s="8"/>
      <c r="F89" s="8"/>
      <c r="G89" s="7"/>
      <c r="H89" s="7"/>
      <c r="I89" s="7"/>
      <c r="J89" s="7"/>
    </row>
    <row r="90" spans="2:10" x14ac:dyDescent="0.35">
      <c r="C90" t="s">
        <v>312</v>
      </c>
      <c r="D90" t="s">
        <v>36</v>
      </c>
      <c r="E90" s="8"/>
      <c r="F90" s="8"/>
      <c r="G90" s="7"/>
      <c r="H90" s="7"/>
      <c r="I90" s="7"/>
      <c r="J90" s="7"/>
    </row>
    <row r="91" spans="2:10" x14ac:dyDescent="0.35">
      <c r="C91" t="s">
        <v>312</v>
      </c>
      <c r="D91" t="s">
        <v>313</v>
      </c>
      <c r="E91" s="8"/>
      <c r="F91" s="8"/>
      <c r="G91" s="7"/>
      <c r="H91" s="7"/>
      <c r="I91" s="7"/>
      <c r="J91" s="7"/>
    </row>
    <row r="92" spans="2:10" x14ac:dyDescent="0.35">
      <c r="E92" s="8"/>
      <c r="F92" s="8"/>
      <c r="G92" s="7"/>
      <c r="H92" s="7"/>
      <c r="I92" s="7"/>
    </row>
    <row r="93" spans="2:10" x14ac:dyDescent="0.35">
      <c r="B93" s="2" t="s">
        <v>22</v>
      </c>
    </row>
    <row r="94" spans="2:10" x14ac:dyDescent="0.35">
      <c r="C94" s="4" t="s">
        <v>23</v>
      </c>
      <c r="D94" t="s">
        <v>55</v>
      </c>
    </row>
    <row r="95" spans="2:10" x14ac:dyDescent="0.35">
      <c r="C95" s="4" t="s">
        <v>25</v>
      </c>
      <c r="D95" s="4" t="s">
        <v>49</v>
      </c>
      <c r="E95" t="s">
        <v>14</v>
      </c>
    </row>
    <row r="96" spans="2:10" x14ac:dyDescent="0.35">
      <c r="D96" s="4" t="s">
        <v>50</v>
      </c>
      <c r="E96" t="s">
        <v>33</v>
      </c>
    </row>
    <row r="97" spans="2:12" x14ac:dyDescent="0.35">
      <c r="D97" s="4" t="s">
        <v>56</v>
      </c>
      <c r="E97">
        <v>2019</v>
      </c>
    </row>
    <row r="98" spans="2:12" x14ac:dyDescent="0.35">
      <c r="D98" s="6" t="s">
        <v>28</v>
      </c>
      <c r="E98">
        <f t="array" ref="E98">INDEX(stateTaxFixedStandardDeduction[],MATCH(1,(stateTaxFixedStandardDeduction[State]=$E$95)*(stateTaxFixedStandardDeduction[Status]=$E$96),0),MATCH($E$97,VALUE(stateTaxFixedStandardDeduction[#Headers]),0))</f>
        <v>4600</v>
      </c>
    </row>
    <row r="100" spans="2:12" x14ac:dyDescent="0.35">
      <c r="B100" s="2" t="s">
        <v>57</v>
      </c>
    </row>
    <row r="101" spans="2:12" x14ac:dyDescent="0.35">
      <c r="C101" t="s">
        <v>5</v>
      </c>
      <c r="D101" t="s">
        <v>53</v>
      </c>
      <c r="E101" t="s">
        <v>58</v>
      </c>
      <c r="F101" t="s">
        <v>59</v>
      </c>
      <c r="G101" s="3" t="s">
        <v>6</v>
      </c>
      <c r="H101" s="3" t="s">
        <v>7</v>
      </c>
      <c r="I101" s="3" t="s">
        <v>8</v>
      </c>
      <c r="J101" s="3" t="s">
        <v>9</v>
      </c>
      <c r="K101" s="3" t="s">
        <v>10</v>
      </c>
      <c r="L101" s="3" t="s">
        <v>325</v>
      </c>
    </row>
    <row r="102" spans="2:12" x14ac:dyDescent="0.35">
      <c r="C102" t="s">
        <v>11</v>
      </c>
      <c r="D102" t="s">
        <v>40</v>
      </c>
      <c r="E102" t="s">
        <v>60</v>
      </c>
      <c r="F102" t="s">
        <v>61</v>
      </c>
      <c r="G102" s="9">
        <v>20500</v>
      </c>
      <c r="H102" s="9">
        <v>23500</v>
      </c>
      <c r="I102" s="9">
        <v>23500</v>
      </c>
      <c r="J102" s="9">
        <v>23500</v>
      </c>
      <c r="K102" s="9">
        <v>23500</v>
      </c>
      <c r="L102" s="81">
        <v>26000</v>
      </c>
    </row>
    <row r="103" spans="2:12" x14ac:dyDescent="0.35">
      <c r="C103" t="s">
        <v>11</v>
      </c>
      <c r="D103" t="s">
        <v>40</v>
      </c>
      <c r="E103" t="s">
        <v>62</v>
      </c>
      <c r="G103" s="9">
        <v>7500</v>
      </c>
      <c r="H103" s="9">
        <v>7500</v>
      </c>
      <c r="I103" s="9">
        <v>7500</v>
      </c>
      <c r="J103" s="9">
        <v>7500</v>
      </c>
      <c r="K103" s="9">
        <v>7500</v>
      </c>
      <c r="L103" s="9">
        <v>8500</v>
      </c>
    </row>
    <row r="104" spans="2:12" x14ac:dyDescent="0.35">
      <c r="C104" t="s">
        <v>11</v>
      </c>
      <c r="D104" t="s">
        <v>40</v>
      </c>
      <c r="E104" t="s">
        <v>63</v>
      </c>
      <c r="G104" s="9">
        <v>500</v>
      </c>
      <c r="H104" s="9">
        <v>500</v>
      </c>
      <c r="I104" s="9">
        <v>500</v>
      </c>
      <c r="J104" s="9">
        <v>500</v>
      </c>
      <c r="K104" s="9">
        <v>500</v>
      </c>
      <c r="L104" s="9">
        <v>500</v>
      </c>
    </row>
    <row r="105" spans="2:12" x14ac:dyDescent="0.35">
      <c r="C105" t="s">
        <v>11</v>
      </c>
      <c r="D105" t="s">
        <v>40</v>
      </c>
      <c r="E105" t="s">
        <v>64</v>
      </c>
      <c r="G105" s="9">
        <v>-175</v>
      </c>
      <c r="H105" s="9">
        <v>-175</v>
      </c>
      <c r="I105" s="9">
        <v>-175</v>
      </c>
      <c r="J105" s="9">
        <v>-175</v>
      </c>
      <c r="K105" s="9">
        <v>-175</v>
      </c>
      <c r="L105" s="9">
        <v>-175</v>
      </c>
    </row>
    <row r="106" spans="2:12" x14ac:dyDescent="0.35">
      <c r="C106" t="s">
        <v>11</v>
      </c>
      <c r="D106" t="s">
        <v>40</v>
      </c>
      <c r="E106" t="s">
        <v>65</v>
      </c>
      <c r="G106" s="9">
        <v>4000</v>
      </c>
      <c r="H106" s="9">
        <v>4000</v>
      </c>
      <c r="I106" s="9">
        <v>4000</v>
      </c>
      <c r="J106" s="9">
        <v>4000</v>
      </c>
      <c r="K106" s="9">
        <v>4000</v>
      </c>
      <c r="L106" s="9">
        <v>4000</v>
      </c>
    </row>
    <row r="107" spans="2:12" x14ac:dyDescent="0.35">
      <c r="C107" t="s">
        <v>11</v>
      </c>
      <c r="D107" t="s">
        <v>36</v>
      </c>
      <c r="E107" t="s">
        <v>60</v>
      </c>
      <c r="G107" s="9">
        <v>10750</v>
      </c>
      <c r="H107" s="9">
        <v>10750</v>
      </c>
      <c r="I107" s="9">
        <v>10750</v>
      </c>
      <c r="J107" s="9">
        <v>10750</v>
      </c>
      <c r="K107" s="9">
        <v>10750</v>
      </c>
      <c r="L107" s="9">
        <v>13000</v>
      </c>
    </row>
    <row r="108" spans="2:12" x14ac:dyDescent="0.35">
      <c r="C108" t="s">
        <v>11</v>
      </c>
      <c r="D108" t="s">
        <v>36</v>
      </c>
      <c r="E108" t="s">
        <v>62</v>
      </c>
      <c r="G108" s="9">
        <v>3750</v>
      </c>
      <c r="H108" s="9">
        <v>3750</v>
      </c>
      <c r="I108" s="9">
        <v>3750</v>
      </c>
      <c r="J108" s="9">
        <v>3750</v>
      </c>
      <c r="K108" s="9">
        <v>3750</v>
      </c>
      <c r="L108" s="9">
        <v>4250</v>
      </c>
    </row>
    <row r="109" spans="2:12" x14ac:dyDescent="0.35">
      <c r="C109" t="s">
        <v>11</v>
      </c>
      <c r="D109" t="s">
        <v>36</v>
      </c>
      <c r="E109" t="s">
        <v>63</v>
      </c>
      <c r="G109" s="9">
        <v>250</v>
      </c>
      <c r="H109" s="9">
        <v>250</v>
      </c>
      <c r="I109" s="9">
        <v>250</v>
      </c>
      <c r="J109" s="9">
        <v>250</v>
      </c>
      <c r="K109" s="9">
        <v>250</v>
      </c>
      <c r="L109" s="9">
        <v>250</v>
      </c>
    </row>
    <row r="110" spans="2:12" x14ac:dyDescent="0.35">
      <c r="C110" t="s">
        <v>11</v>
      </c>
      <c r="D110" t="s">
        <v>36</v>
      </c>
      <c r="E110" t="s">
        <v>64</v>
      </c>
      <c r="G110" s="9">
        <v>-88</v>
      </c>
      <c r="H110" s="9">
        <v>-88</v>
      </c>
      <c r="I110" s="9">
        <v>-88</v>
      </c>
      <c r="J110" s="9">
        <v>-88</v>
      </c>
      <c r="K110" s="9">
        <v>-88</v>
      </c>
      <c r="L110" s="9">
        <v>-88</v>
      </c>
    </row>
    <row r="111" spans="2:12" x14ac:dyDescent="0.35">
      <c r="C111" t="s">
        <v>11</v>
      </c>
      <c r="D111" t="s">
        <v>36</v>
      </c>
      <c r="E111" t="s">
        <v>65</v>
      </c>
      <c r="G111" s="9">
        <v>2000</v>
      </c>
      <c r="H111" s="9">
        <v>2000</v>
      </c>
      <c r="I111" s="9">
        <v>2000</v>
      </c>
      <c r="J111" s="9">
        <v>2000</v>
      </c>
      <c r="K111" s="9">
        <v>2000</v>
      </c>
      <c r="L111" s="9">
        <v>2000</v>
      </c>
    </row>
    <row r="112" spans="2:12" x14ac:dyDescent="0.35">
      <c r="C112" t="s">
        <v>11</v>
      </c>
      <c r="D112" t="s">
        <v>39</v>
      </c>
      <c r="E112" t="s">
        <v>60</v>
      </c>
      <c r="F112" t="s">
        <v>61</v>
      </c>
      <c r="G112" s="9">
        <v>20500</v>
      </c>
      <c r="H112" s="9">
        <v>23500</v>
      </c>
      <c r="I112" s="9">
        <v>23500</v>
      </c>
      <c r="J112" s="9">
        <v>23500</v>
      </c>
      <c r="K112" s="9">
        <v>23500</v>
      </c>
      <c r="L112" s="9">
        <v>26000</v>
      </c>
    </row>
    <row r="113" spans="2:12" x14ac:dyDescent="0.35">
      <c r="C113" t="s">
        <v>11</v>
      </c>
      <c r="D113" t="s">
        <v>39</v>
      </c>
      <c r="E113" t="s">
        <v>62</v>
      </c>
      <c r="G113" s="9">
        <v>4700</v>
      </c>
      <c r="H113" s="9">
        <v>4700</v>
      </c>
      <c r="I113" s="9">
        <v>4700</v>
      </c>
      <c r="J113" s="9">
        <v>4700</v>
      </c>
      <c r="K113" s="9">
        <v>4700</v>
      </c>
      <c r="L113" s="9">
        <v>5200</v>
      </c>
    </row>
    <row r="114" spans="2:12" x14ac:dyDescent="0.35">
      <c r="C114" t="s">
        <v>11</v>
      </c>
      <c r="D114" t="s">
        <v>39</v>
      </c>
      <c r="E114" t="s">
        <v>63</v>
      </c>
      <c r="G114" s="9">
        <v>500</v>
      </c>
      <c r="H114" s="9">
        <v>500</v>
      </c>
      <c r="I114" s="9">
        <v>500</v>
      </c>
      <c r="J114" s="9">
        <v>500</v>
      </c>
      <c r="K114" s="9">
        <v>500</v>
      </c>
      <c r="L114" s="9">
        <v>500</v>
      </c>
    </row>
    <row r="115" spans="2:12" x14ac:dyDescent="0.35">
      <c r="C115" t="s">
        <v>11</v>
      </c>
      <c r="D115" t="s">
        <v>39</v>
      </c>
      <c r="E115" t="s">
        <v>64</v>
      </c>
      <c r="G115" s="9">
        <v>-135</v>
      </c>
      <c r="H115" s="9">
        <v>-135</v>
      </c>
      <c r="I115" s="9">
        <v>-135</v>
      </c>
      <c r="J115" s="9">
        <v>-135</v>
      </c>
      <c r="K115" s="9">
        <v>-135</v>
      </c>
      <c r="L115" s="9">
        <v>-135</v>
      </c>
    </row>
    <row r="116" spans="2:12" x14ac:dyDescent="0.35">
      <c r="C116" t="s">
        <v>11</v>
      </c>
      <c r="D116" t="s">
        <v>39</v>
      </c>
      <c r="E116" t="s">
        <v>65</v>
      </c>
      <c r="G116" s="9">
        <v>2000</v>
      </c>
      <c r="H116" s="9">
        <v>2000</v>
      </c>
      <c r="I116" s="9">
        <v>2000</v>
      </c>
      <c r="J116" s="9">
        <v>2000</v>
      </c>
      <c r="K116" s="9">
        <v>2000</v>
      </c>
      <c r="L116" s="9">
        <v>2000</v>
      </c>
    </row>
    <row r="117" spans="2:12" x14ac:dyDescent="0.35">
      <c r="C117" t="s">
        <v>11</v>
      </c>
      <c r="D117" t="s">
        <v>33</v>
      </c>
      <c r="E117" t="s">
        <v>60</v>
      </c>
      <c r="F117" t="s">
        <v>61</v>
      </c>
      <c r="G117" s="9">
        <v>20500</v>
      </c>
      <c r="H117" s="9">
        <v>23500</v>
      </c>
      <c r="I117" s="9">
        <v>23500</v>
      </c>
      <c r="J117" s="9">
        <v>23500</v>
      </c>
      <c r="K117" s="9">
        <v>23500</v>
      </c>
      <c r="L117" s="9">
        <v>26000</v>
      </c>
    </row>
    <row r="118" spans="2:12" x14ac:dyDescent="0.35">
      <c r="C118" t="s">
        <v>11</v>
      </c>
      <c r="D118" t="s">
        <v>33</v>
      </c>
      <c r="E118" t="s">
        <v>62</v>
      </c>
      <c r="G118" s="9">
        <v>2500</v>
      </c>
      <c r="H118" s="9">
        <v>2500</v>
      </c>
      <c r="I118" s="9">
        <v>2500</v>
      </c>
      <c r="J118" s="9">
        <v>2500</v>
      </c>
      <c r="K118" s="9">
        <v>2500</v>
      </c>
      <c r="L118" s="9">
        <v>3000</v>
      </c>
    </row>
    <row r="119" spans="2:12" x14ac:dyDescent="0.35">
      <c r="C119" t="s">
        <v>11</v>
      </c>
      <c r="D119" t="s">
        <v>33</v>
      </c>
      <c r="E119" t="s">
        <v>63</v>
      </c>
      <c r="G119" s="9">
        <v>500</v>
      </c>
      <c r="H119" s="9">
        <v>500</v>
      </c>
      <c r="I119" s="9">
        <v>500</v>
      </c>
      <c r="J119" s="9">
        <v>500</v>
      </c>
      <c r="K119" s="9">
        <v>500</v>
      </c>
      <c r="L119" s="9">
        <v>500</v>
      </c>
    </row>
    <row r="120" spans="2:12" x14ac:dyDescent="0.35">
      <c r="C120" t="s">
        <v>11</v>
      </c>
      <c r="D120" t="s">
        <v>33</v>
      </c>
      <c r="E120" t="s">
        <v>64</v>
      </c>
      <c r="G120" s="9">
        <v>-25</v>
      </c>
      <c r="H120" s="9">
        <v>-25</v>
      </c>
      <c r="I120" s="9">
        <v>-25</v>
      </c>
      <c r="J120" s="9">
        <v>-25</v>
      </c>
      <c r="K120" s="9">
        <v>-25</v>
      </c>
      <c r="L120" s="9">
        <v>-25</v>
      </c>
    </row>
    <row r="121" spans="2:12" x14ac:dyDescent="0.35">
      <c r="C121" t="s">
        <v>11</v>
      </c>
      <c r="D121" t="s">
        <v>33</v>
      </c>
      <c r="E121" t="s">
        <v>65</v>
      </c>
      <c r="G121" s="9">
        <v>2000</v>
      </c>
      <c r="H121" s="9">
        <v>2000</v>
      </c>
      <c r="I121" s="9">
        <v>2000</v>
      </c>
      <c r="J121" s="10">
        <v>2000</v>
      </c>
      <c r="K121" s="10">
        <v>2000</v>
      </c>
      <c r="L121" s="10">
        <v>2000</v>
      </c>
    </row>
    <row r="125" spans="2:12" x14ac:dyDescent="0.35">
      <c r="B125" s="2" t="s">
        <v>22</v>
      </c>
    </row>
    <row r="126" spans="2:12" x14ac:dyDescent="0.35">
      <c r="C126" s="4" t="s">
        <v>23</v>
      </c>
      <c r="D126" t="s">
        <v>66</v>
      </c>
    </row>
    <row r="127" spans="2:12" x14ac:dyDescent="0.35">
      <c r="C127" s="4" t="s">
        <v>25</v>
      </c>
      <c r="D127" s="4" t="s">
        <v>49</v>
      </c>
      <c r="E127" t="s">
        <v>11</v>
      </c>
      <c r="G127" s="5" t="s">
        <v>60</v>
      </c>
    </row>
    <row r="128" spans="2:12" x14ac:dyDescent="0.35">
      <c r="D128" s="4" t="s">
        <v>50</v>
      </c>
      <c r="E128" t="s">
        <v>39</v>
      </c>
      <c r="G128" s="11" t="s">
        <v>62</v>
      </c>
    </row>
    <row r="129" spans="2:12" x14ac:dyDescent="0.35">
      <c r="D129" s="4" t="s">
        <v>67</v>
      </c>
      <c r="E129" t="s">
        <v>65</v>
      </c>
      <c r="G129" s="5" t="s">
        <v>63</v>
      </c>
    </row>
    <row r="130" spans="2:12" x14ac:dyDescent="0.35">
      <c r="D130" s="4" t="s">
        <v>56</v>
      </c>
      <c r="E130">
        <v>2019</v>
      </c>
      <c r="G130" s="11" t="s">
        <v>64</v>
      </c>
    </row>
    <row r="131" spans="2:12" x14ac:dyDescent="0.35">
      <c r="D131" s="6" t="s">
        <v>28</v>
      </c>
      <c r="E131" s="9">
        <f t="array" ref="E131">INDEX(stateTaxVariableStandardDeduction[],MATCH(1,(stateTaxVariableStandardDeduction[State]=$E$127)*(stateTaxVariableStandardDeduction[Status]=$E$128)*(stateTaxVariableStandardDeduction[Name]=$E$129),0),MATCH($E$130,VALUE(stateTaxVariableStandardDeduction[#Headers]),0))</f>
        <v>2000</v>
      </c>
      <c r="G131" s="5" t="s">
        <v>65</v>
      </c>
    </row>
    <row r="133" spans="2:12" x14ac:dyDescent="0.35">
      <c r="B133" s="2" t="s">
        <v>68</v>
      </c>
    </row>
    <row r="136" spans="2:12" x14ac:dyDescent="0.35">
      <c r="B136" s="2" t="s">
        <v>69</v>
      </c>
    </row>
    <row r="137" spans="2:12" x14ac:dyDescent="0.35">
      <c r="C137" t="s">
        <v>5</v>
      </c>
      <c r="D137" t="s">
        <v>70</v>
      </c>
      <c r="E137" t="s">
        <v>53</v>
      </c>
      <c r="F137" t="s">
        <v>59</v>
      </c>
      <c r="G137" s="3" t="s">
        <v>6</v>
      </c>
      <c r="H137" s="3" t="s">
        <v>7</v>
      </c>
      <c r="I137" s="3" t="s">
        <v>8</v>
      </c>
      <c r="J137" s="3" t="s">
        <v>9</v>
      </c>
      <c r="K137" s="3" t="s">
        <v>10</v>
      </c>
      <c r="L137" s="3" t="s">
        <v>325</v>
      </c>
    </row>
    <row r="138" spans="2:12" x14ac:dyDescent="0.35">
      <c r="C138" t="s">
        <v>11</v>
      </c>
      <c r="D138" t="s">
        <v>71</v>
      </c>
      <c r="E138" t="s">
        <v>33</v>
      </c>
      <c r="G138" s="8">
        <v>1500</v>
      </c>
      <c r="H138" s="8">
        <v>1500</v>
      </c>
      <c r="I138" s="8">
        <v>1500</v>
      </c>
      <c r="J138" s="8">
        <v>1500</v>
      </c>
      <c r="K138" s="8">
        <v>1500</v>
      </c>
      <c r="L138" s="8">
        <v>1500</v>
      </c>
    </row>
    <row r="139" spans="2:12" x14ac:dyDescent="0.35">
      <c r="C139" t="s">
        <v>11</v>
      </c>
      <c r="D139" t="s">
        <v>71</v>
      </c>
      <c r="E139" t="s">
        <v>36</v>
      </c>
      <c r="F139" t="s">
        <v>72</v>
      </c>
      <c r="G139" s="8">
        <v>1500</v>
      </c>
      <c r="H139" s="8">
        <v>1500</v>
      </c>
      <c r="I139" s="8">
        <v>1500</v>
      </c>
      <c r="J139" s="8">
        <v>1500</v>
      </c>
      <c r="K139" s="8">
        <v>1500</v>
      </c>
      <c r="L139" s="8">
        <v>1500</v>
      </c>
    </row>
    <row r="140" spans="2:12" x14ac:dyDescent="0.35">
      <c r="C140" t="s">
        <v>11</v>
      </c>
      <c r="D140" t="s">
        <v>71</v>
      </c>
      <c r="E140" t="s">
        <v>39</v>
      </c>
      <c r="G140" s="8">
        <v>1500</v>
      </c>
      <c r="H140" s="8">
        <v>1500</v>
      </c>
      <c r="I140" s="8">
        <v>1500</v>
      </c>
      <c r="J140" s="8">
        <v>3000</v>
      </c>
      <c r="K140" s="8">
        <v>3000</v>
      </c>
      <c r="L140" s="8">
        <v>3000</v>
      </c>
    </row>
    <row r="141" spans="2:12" x14ac:dyDescent="0.35">
      <c r="C141" t="s">
        <v>11</v>
      </c>
      <c r="D141" t="s">
        <v>71</v>
      </c>
      <c r="E141" t="s">
        <v>40</v>
      </c>
      <c r="G141" s="8">
        <v>1500</v>
      </c>
      <c r="H141" s="8">
        <v>1500</v>
      </c>
      <c r="I141" s="8">
        <v>1500</v>
      </c>
      <c r="J141" s="8">
        <v>3000</v>
      </c>
      <c r="K141" s="8">
        <v>3000</v>
      </c>
      <c r="L141" s="8">
        <v>3000</v>
      </c>
    </row>
    <row r="142" spans="2:12" x14ac:dyDescent="0.35">
      <c r="C142" t="s">
        <v>14</v>
      </c>
      <c r="D142" t="s">
        <v>71</v>
      </c>
      <c r="E142" t="s">
        <v>33</v>
      </c>
      <c r="G142" s="8">
        <v>2700</v>
      </c>
      <c r="H142" s="8">
        <v>2700</v>
      </c>
      <c r="I142" s="8">
        <v>2700</v>
      </c>
      <c r="J142" s="8">
        <v>2700</v>
      </c>
      <c r="K142" s="8">
        <v>2700</v>
      </c>
      <c r="L142" s="8">
        <v>2700</v>
      </c>
    </row>
    <row r="143" spans="2:12" x14ac:dyDescent="0.35">
      <c r="C143" t="s">
        <v>14</v>
      </c>
      <c r="D143" t="s">
        <v>71</v>
      </c>
      <c r="E143" t="s">
        <v>36</v>
      </c>
      <c r="F143" t="s">
        <v>72</v>
      </c>
      <c r="G143" s="8">
        <v>3700</v>
      </c>
      <c r="H143" s="8">
        <v>3700</v>
      </c>
      <c r="I143" s="8">
        <v>3700</v>
      </c>
      <c r="J143" s="8">
        <v>3700</v>
      </c>
      <c r="K143" s="8">
        <v>3700</v>
      </c>
      <c r="L143" s="8">
        <v>3700</v>
      </c>
    </row>
    <row r="144" spans="2:12" x14ac:dyDescent="0.35">
      <c r="C144" t="s">
        <v>14</v>
      </c>
      <c r="D144" t="s">
        <v>71</v>
      </c>
      <c r="E144" t="s">
        <v>34</v>
      </c>
      <c r="G144" s="8">
        <v>2700</v>
      </c>
      <c r="H144" s="8">
        <v>2700</v>
      </c>
      <c r="I144" s="8">
        <v>2700</v>
      </c>
      <c r="J144" s="8">
        <v>2700</v>
      </c>
      <c r="K144" s="8">
        <v>2700</v>
      </c>
      <c r="L144" s="8">
        <v>2700</v>
      </c>
    </row>
    <row r="145" spans="3:12" x14ac:dyDescent="0.35">
      <c r="C145" t="s">
        <v>14</v>
      </c>
      <c r="D145" t="s">
        <v>71</v>
      </c>
      <c r="E145" t="s">
        <v>40</v>
      </c>
      <c r="G145" s="8">
        <v>3700</v>
      </c>
      <c r="H145" s="8">
        <v>3700</v>
      </c>
      <c r="I145" s="8">
        <v>3700</v>
      </c>
      <c r="J145" s="8">
        <v>3700</v>
      </c>
      <c r="K145" s="8">
        <v>3700</v>
      </c>
      <c r="L145" s="8">
        <v>3700</v>
      </c>
    </row>
    <row r="146" spans="3:12" x14ac:dyDescent="0.35">
      <c r="C146" t="s">
        <v>14</v>
      </c>
      <c r="D146" t="s">
        <v>73</v>
      </c>
      <c r="G146" s="8">
        <v>3000</v>
      </c>
      <c r="H146" s="8">
        <v>3000</v>
      </c>
      <c r="I146" s="8">
        <v>3000</v>
      </c>
      <c r="J146" s="8">
        <v>3000</v>
      </c>
      <c r="K146" s="8">
        <v>3000</v>
      </c>
      <c r="L146" s="8">
        <v>3000</v>
      </c>
    </row>
    <row r="147" spans="3:12" x14ac:dyDescent="0.35">
      <c r="C147" t="s">
        <v>15</v>
      </c>
      <c r="D147" t="s">
        <v>71</v>
      </c>
      <c r="E147" t="s">
        <v>33</v>
      </c>
      <c r="G147" s="8">
        <v>4500</v>
      </c>
      <c r="H147" s="8">
        <v>4500</v>
      </c>
      <c r="I147" s="8">
        <v>4500</v>
      </c>
      <c r="J147" s="8">
        <v>4500</v>
      </c>
      <c r="K147" s="8">
        <v>4500</v>
      </c>
      <c r="L147" s="8">
        <v>4500</v>
      </c>
    </row>
    <row r="148" spans="3:12" x14ac:dyDescent="0.35">
      <c r="C148" t="s">
        <v>15</v>
      </c>
      <c r="D148" t="s">
        <v>71</v>
      </c>
      <c r="E148" t="s">
        <v>36</v>
      </c>
      <c r="F148" t="s">
        <v>72</v>
      </c>
      <c r="G148" s="8">
        <v>4500</v>
      </c>
      <c r="H148" s="8">
        <v>4500</v>
      </c>
      <c r="I148" s="8">
        <v>4500</v>
      </c>
      <c r="J148" s="8">
        <v>4500</v>
      </c>
      <c r="K148" s="8">
        <v>4500</v>
      </c>
      <c r="L148" s="8">
        <v>4500</v>
      </c>
    </row>
    <row r="149" spans="3:12" x14ac:dyDescent="0.35">
      <c r="C149" t="s">
        <v>15</v>
      </c>
      <c r="D149" t="s">
        <v>71</v>
      </c>
      <c r="E149" t="s">
        <v>34</v>
      </c>
      <c r="G149" s="8">
        <v>9000</v>
      </c>
      <c r="H149" s="8">
        <v>9000</v>
      </c>
      <c r="I149" s="8">
        <v>9000</v>
      </c>
      <c r="J149" s="8">
        <v>9000</v>
      </c>
      <c r="K149" s="8">
        <v>9000</v>
      </c>
      <c r="L149" s="8">
        <v>9000</v>
      </c>
    </row>
    <row r="150" spans="3:12" x14ac:dyDescent="0.35">
      <c r="C150" t="s">
        <v>15</v>
      </c>
      <c r="D150" t="s">
        <v>71</v>
      </c>
      <c r="E150" t="s">
        <v>40</v>
      </c>
      <c r="G150" s="8">
        <v>4500</v>
      </c>
      <c r="H150" s="8">
        <v>4500</v>
      </c>
      <c r="I150" s="8">
        <v>4500</v>
      </c>
      <c r="J150" s="8">
        <v>9000</v>
      </c>
      <c r="K150" s="8">
        <v>9000</v>
      </c>
      <c r="L150" s="8">
        <v>9000</v>
      </c>
    </row>
    <row r="151" spans="3:12" x14ac:dyDescent="0.35">
      <c r="C151" t="s">
        <v>15</v>
      </c>
      <c r="D151" t="s">
        <v>73</v>
      </c>
      <c r="G151" s="8">
        <v>1000</v>
      </c>
      <c r="H151" s="8">
        <v>1000</v>
      </c>
      <c r="I151" s="8">
        <v>1000</v>
      </c>
      <c r="J151" s="8">
        <v>1000</v>
      </c>
      <c r="K151" s="8">
        <v>1000</v>
      </c>
      <c r="L151" s="8">
        <v>1000</v>
      </c>
    </row>
    <row r="152" spans="3:12" x14ac:dyDescent="0.35">
      <c r="C152" t="s">
        <v>16</v>
      </c>
      <c r="D152" t="s">
        <v>71</v>
      </c>
      <c r="E152" t="s">
        <v>33</v>
      </c>
      <c r="G152" s="8">
        <v>6000</v>
      </c>
      <c r="H152" s="8">
        <v>6000</v>
      </c>
      <c r="I152" s="8">
        <v>6000</v>
      </c>
      <c r="J152" s="8">
        <v>6000</v>
      </c>
      <c r="K152" s="8">
        <v>6000</v>
      </c>
      <c r="L152" s="8">
        <v>6000</v>
      </c>
    </row>
    <row r="153" spans="3:12" x14ac:dyDescent="0.35">
      <c r="C153" t="s">
        <v>16</v>
      </c>
      <c r="D153" t="s">
        <v>71</v>
      </c>
      <c r="E153" t="s">
        <v>36</v>
      </c>
      <c r="F153" t="s">
        <v>72</v>
      </c>
      <c r="G153" s="8">
        <v>6000</v>
      </c>
      <c r="H153" s="8">
        <v>6000</v>
      </c>
      <c r="I153" s="8">
        <v>6000</v>
      </c>
      <c r="J153" s="8">
        <v>6000</v>
      </c>
      <c r="K153" s="8">
        <v>6000</v>
      </c>
      <c r="L153" s="8">
        <v>6000</v>
      </c>
    </row>
    <row r="154" spans="3:12" x14ac:dyDescent="0.35">
      <c r="C154" t="s">
        <v>16</v>
      </c>
      <c r="D154" t="s">
        <v>71</v>
      </c>
      <c r="E154" t="s">
        <v>39</v>
      </c>
      <c r="G154" s="8">
        <v>8000</v>
      </c>
      <c r="H154" s="8">
        <v>8000</v>
      </c>
      <c r="I154" s="8">
        <v>8000</v>
      </c>
      <c r="J154" s="8">
        <v>8000</v>
      </c>
      <c r="K154" s="8">
        <v>8000</v>
      </c>
      <c r="L154" s="8">
        <v>8000</v>
      </c>
    </row>
    <row r="155" spans="3:12" x14ac:dyDescent="0.35">
      <c r="C155" t="s">
        <v>16</v>
      </c>
      <c r="D155" t="s">
        <v>71</v>
      </c>
      <c r="E155" t="s">
        <v>44</v>
      </c>
      <c r="F155" t="s">
        <v>74</v>
      </c>
      <c r="G155" s="8">
        <v>6000</v>
      </c>
      <c r="H155" s="8">
        <v>6000</v>
      </c>
      <c r="I155" s="8">
        <v>6000</v>
      </c>
      <c r="J155" s="8">
        <v>6000</v>
      </c>
      <c r="K155" s="8">
        <v>6000</v>
      </c>
      <c r="L155" s="8">
        <v>6000</v>
      </c>
    </row>
    <row r="156" spans="3:12" x14ac:dyDescent="0.35">
      <c r="C156" t="s">
        <v>16</v>
      </c>
      <c r="D156" t="s">
        <v>73</v>
      </c>
      <c r="G156" s="8">
        <v>1500</v>
      </c>
      <c r="H156" s="8">
        <v>1500</v>
      </c>
      <c r="I156" s="8">
        <v>1500</v>
      </c>
      <c r="J156" s="8">
        <v>1500</v>
      </c>
      <c r="K156" s="8">
        <v>1500</v>
      </c>
      <c r="L156" s="8">
        <v>1500</v>
      </c>
    </row>
    <row r="157" spans="3:12" x14ac:dyDescent="0.35">
      <c r="C157" t="s">
        <v>17</v>
      </c>
      <c r="D157" t="s">
        <v>73</v>
      </c>
      <c r="E157" t="s">
        <v>33</v>
      </c>
      <c r="F157" t="s">
        <v>75</v>
      </c>
      <c r="G157" s="8"/>
      <c r="H157" s="8"/>
      <c r="I157" s="8">
        <v>4260</v>
      </c>
      <c r="J157" s="8">
        <v>4260</v>
      </c>
      <c r="K157" s="8">
        <v>4260</v>
      </c>
      <c r="L157" s="8">
        <v>4430</v>
      </c>
    </row>
    <row r="158" spans="3:12" x14ac:dyDescent="0.35">
      <c r="C158" t="s">
        <v>17</v>
      </c>
      <c r="D158" t="s">
        <v>73</v>
      </c>
      <c r="E158" t="s">
        <v>36</v>
      </c>
      <c r="F158" t="s">
        <v>75</v>
      </c>
      <c r="G158" s="8"/>
      <c r="H158" s="8"/>
      <c r="I158" s="8">
        <v>4260</v>
      </c>
      <c r="J158" s="8">
        <v>4260</v>
      </c>
      <c r="K158" s="8">
        <v>4260</v>
      </c>
      <c r="L158" s="8">
        <v>4430</v>
      </c>
    </row>
    <row r="159" spans="3:12" x14ac:dyDescent="0.35">
      <c r="C159" t="s">
        <v>17</v>
      </c>
      <c r="D159" t="s">
        <v>73</v>
      </c>
      <c r="E159" t="s">
        <v>34</v>
      </c>
      <c r="F159" t="s">
        <v>75</v>
      </c>
      <c r="G159" s="8"/>
      <c r="H159" s="8"/>
      <c r="I159" s="8">
        <v>4260</v>
      </c>
      <c r="J159" s="8">
        <v>4260</v>
      </c>
      <c r="K159" s="8">
        <v>4260</v>
      </c>
      <c r="L159" s="8">
        <v>4430</v>
      </c>
    </row>
    <row r="160" spans="3:12" x14ac:dyDescent="0.35">
      <c r="C160" t="s">
        <v>17</v>
      </c>
      <c r="D160" t="s">
        <v>73</v>
      </c>
      <c r="E160" t="s">
        <v>40</v>
      </c>
      <c r="F160" t="s">
        <v>75</v>
      </c>
      <c r="G160" s="8"/>
      <c r="H160" s="8"/>
      <c r="I160" s="8">
        <v>4260</v>
      </c>
      <c r="J160" s="8">
        <v>4260</v>
      </c>
      <c r="K160" s="8">
        <v>4260</v>
      </c>
      <c r="L160" s="8">
        <v>4430</v>
      </c>
    </row>
    <row r="161" spans="3:12" x14ac:dyDescent="0.35">
      <c r="C161" t="s">
        <v>21</v>
      </c>
      <c r="D161" t="s">
        <v>73</v>
      </c>
      <c r="E161" t="s">
        <v>54</v>
      </c>
      <c r="G161" s="8">
        <v>565</v>
      </c>
      <c r="H161" s="8">
        <v>579</v>
      </c>
      <c r="I161" s="8">
        <v>590</v>
      </c>
      <c r="J161" s="8">
        <v>1750</v>
      </c>
      <c r="K161" s="8">
        <v>1802</v>
      </c>
      <c r="L161" s="8">
        <v>1802</v>
      </c>
    </row>
    <row r="162" spans="3:12" x14ac:dyDescent="0.35">
      <c r="C162" t="s">
        <v>21</v>
      </c>
      <c r="D162" t="s">
        <v>73</v>
      </c>
      <c r="E162" t="s">
        <v>34</v>
      </c>
      <c r="G162" s="8">
        <v>565</v>
      </c>
      <c r="H162" s="8">
        <v>579</v>
      </c>
      <c r="I162" s="8">
        <v>590</v>
      </c>
      <c r="J162" s="8">
        <v>1750</v>
      </c>
      <c r="K162" s="8">
        <v>1802</v>
      </c>
      <c r="L162" s="8">
        <v>1802</v>
      </c>
    </row>
    <row r="163" spans="3:12" x14ac:dyDescent="0.35">
      <c r="C163" t="s">
        <v>21</v>
      </c>
      <c r="D163" t="s">
        <v>73</v>
      </c>
      <c r="E163" t="s">
        <v>35</v>
      </c>
      <c r="G163" s="8">
        <v>565</v>
      </c>
      <c r="H163" s="8">
        <v>579</v>
      </c>
      <c r="I163" s="8">
        <v>590</v>
      </c>
      <c r="J163" s="8">
        <v>1750</v>
      </c>
      <c r="K163" s="8">
        <v>1802</v>
      </c>
      <c r="L163" s="8">
        <v>1802</v>
      </c>
    </row>
    <row r="164" spans="3:12" x14ac:dyDescent="0.35">
      <c r="C164" t="s">
        <v>21</v>
      </c>
      <c r="D164" t="s">
        <v>73</v>
      </c>
      <c r="E164" t="s">
        <v>36</v>
      </c>
      <c r="G164" s="8">
        <v>565</v>
      </c>
      <c r="H164" s="8">
        <v>579</v>
      </c>
      <c r="I164" s="8">
        <v>590</v>
      </c>
      <c r="J164" s="8">
        <v>1750</v>
      </c>
      <c r="K164" s="8">
        <v>1802</v>
      </c>
      <c r="L164" s="8">
        <v>1802</v>
      </c>
    </row>
    <row r="165" spans="3:12" x14ac:dyDescent="0.35">
      <c r="C165" t="s">
        <v>21</v>
      </c>
      <c r="D165" t="s">
        <v>73</v>
      </c>
      <c r="E165" t="s">
        <v>37</v>
      </c>
      <c r="G165" s="8">
        <v>565</v>
      </c>
      <c r="H165" s="8">
        <v>579</v>
      </c>
      <c r="I165" s="8">
        <v>590</v>
      </c>
      <c r="J165" s="8">
        <v>1750</v>
      </c>
      <c r="K165" s="8">
        <v>1802</v>
      </c>
      <c r="L165" s="8">
        <v>1802</v>
      </c>
    </row>
    <row r="166" spans="3:12" x14ac:dyDescent="0.35">
      <c r="C166" t="s">
        <v>312</v>
      </c>
      <c r="D166" t="s">
        <v>71</v>
      </c>
      <c r="E166" t="s">
        <v>54</v>
      </c>
      <c r="G166" s="8">
        <v>2000</v>
      </c>
      <c r="H166" s="8">
        <v>2000</v>
      </c>
      <c r="I166" s="8">
        <v>2000</v>
      </c>
      <c r="J166" s="8">
        <v>2000</v>
      </c>
      <c r="K166" s="8">
        <v>2000</v>
      </c>
      <c r="L166" s="8">
        <v>2000</v>
      </c>
    </row>
    <row r="167" spans="3:12" x14ac:dyDescent="0.35">
      <c r="C167" t="s">
        <v>312</v>
      </c>
      <c r="D167" t="s">
        <v>71</v>
      </c>
      <c r="E167" t="s">
        <v>34</v>
      </c>
      <c r="G167" s="8">
        <v>2000</v>
      </c>
      <c r="H167" s="8">
        <v>2000</v>
      </c>
      <c r="I167" s="8">
        <v>2000</v>
      </c>
      <c r="J167" s="8">
        <v>2000</v>
      </c>
      <c r="K167" s="8">
        <v>2000</v>
      </c>
      <c r="L167" s="8">
        <v>2000</v>
      </c>
    </row>
    <row r="168" spans="3:12" x14ac:dyDescent="0.35">
      <c r="C168" t="s">
        <v>312</v>
      </c>
      <c r="D168" t="s">
        <v>71</v>
      </c>
      <c r="E168" t="s">
        <v>40</v>
      </c>
      <c r="F168" t="s">
        <v>314</v>
      </c>
      <c r="G168" s="8">
        <v>4000</v>
      </c>
      <c r="H168" s="8">
        <v>4000</v>
      </c>
      <c r="I168" s="8">
        <v>4000</v>
      </c>
      <c r="J168" s="8">
        <v>4000</v>
      </c>
      <c r="K168" s="8">
        <v>4000</v>
      </c>
      <c r="L168" s="8">
        <v>4000</v>
      </c>
    </row>
    <row r="169" spans="3:12" x14ac:dyDescent="0.35">
      <c r="C169" t="s">
        <v>312</v>
      </c>
      <c r="D169" t="s">
        <v>71</v>
      </c>
      <c r="E169" t="s">
        <v>36</v>
      </c>
      <c r="G169" s="8">
        <v>2000</v>
      </c>
      <c r="H169" s="8">
        <v>2000</v>
      </c>
      <c r="I169" s="8">
        <v>2000</v>
      </c>
      <c r="J169" s="8">
        <v>2000</v>
      </c>
      <c r="K169" s="8">
        <v>2000</v>
      </c>
      <c r="L169" s="8">
        <v>2000</v>
      </c>
    </row>
    <row r="170" spans="3:12" x14ac:dyDescent="0.35">
      <c r="C170" t="s">
        <v>312</v>
      </c>
      <c r="D170" t="s">
        <v>71</v>
      </c>
      <c r="E170" t="s">
        <v>313</v>
      </c>
      <c r="G170" s="8">
        <v>2000</v>
      </c>
      <c r="H170" s="8">
        <v>2000</v>
      </c>
      <c r="I170" s="8">
        <v>2000</v>
      </c>
      <c r="J170" s="8">
        <v>2000</v>
      </c>
      <c r="K170" s="8">
        <v>2000</v>
      </c>
      <c r="L170" s="8">
        <v>2000</v>
      </c>
    </row>
    <row r="171" spans="3:12" x14ac:dyDescent="0.35">
      <c r="C171" t="s">
        <v>312</v>
      </c>
      <c r="D171" t="s">
        <v>73</v>
      </c>
      <c r="E171" t="s">
        <v>34</v>
      </c>
      <c r="G171" s="8">
        <v>2000</v>
      </c>
      <c r="H171" s="8">
        <v>2000</v>
      </c>
      <c r="I171" s="8">
        <v>2000</v>
      </c>
      <c r="J171" s="8">
        <v>2000</v>
      </c>
      <c r="K171" s="8">
        <v>2000</v>
      </c>
      <c r="L171" s="8">
        <v>2000</v>
      </c>
    </row>
    <row r="172" spans="3:12" x14ac:dyDescent="0.35">
      <c r="C172" t="s">
        <v>312</v>
      </c>
      <c r="D172" t="s">
        <v>73</v>
      </c>
      <c r="E172" t="s">
        <v>40</v>
      </c>
      <c r="G172" s="8">
        <v>2000</v>
      </c>
      <c r="H172" s="8">
        <v>2000</v>
      </c>
      <c r="I172" s="8">
        <v>2000</v>
      </c>
      <c r="J172" s="8">
        <v>2000</v>
      </c>
      <c r="K172" s="8">
        <v>2000</v>
      </c>
      <c r="L172" s="8">
        <v>2000</v>
      </c>
    </row>
    <row r="173" spans="3:12" x14ac:dyDescent="0.35">
      <c r="C173" t="s">
        <v>312</v>
      </c>
      <c r="D173" t="s">
        <v>73</v>
      </c>
      <c r="E173" t="s">
        <v>36</v>
      </c>
      <c r="G173" s="8">
        <v>2000</v>
      </c>
      <c r="H173" s="8">
        <v>2000</v>
      </c>
      <c r="I173" s="8">
        <v>2000</v>
      </c>
      <c r="J173" s="8">
        <v>2000</v>
      </c>
      <c r="K173" s="8">
        <v>2000</v>
      </c>
      <c r="L173" s="8">
        <v>2000</v>
      </c>
    </row>
    <row r="174" spans="3:12" x14ac:dyDescent="0.35">
      <c r="C174" t="s">
        <v>312</v>
      </c>
      <c r="D174" t="s">
        <v>73</v>
      </c>
      <c r="E174" t="s">
        <v>313</v>
      </c>
      <c r="G174" s="8">
        <v>2000</v>
      </c>
      <c r="H174" s="8">
        <v>2000</v>
      </c>
      <c r="I174" s="8">
        <v>2000</v>
      </c>
      <c r="J174" s="8">
        <v>2000</v>
      </c>
      <c r="K174" s="8">
        <v>2000</v>
      </c>
      <c r="L174" s="8">
        <v>2000</v>
      </c>
    </row>
    <row r="175" spans="3:12" x14ac:dyDescent="0.35">
      <c r="G175" s="8"/>
      <c r="H175" s="8"/>
      <c r="I175" s="8"/>
      <c r="J175" s="8"/>
      <c r="K175" s="8"/>
    </row>
    <row r="177" spans="2:7" x14ac:dyDescent="0.35">
      <c r="B177" s="2" t="s">
        <v>76</v>
      </c>
    </row>
    <row r="178" spans="2:7" x14ac:dyDescent="0.35">
      <c r="C178" s="2" t="s">
        <v>77</v>
      </c>
    </row>
    <row r="179" spans="2:7" x14ac:dyDescent="0.35">
      <c r="C179" s="4" t="s">
        <v>23</v>
      </c>
      <c r="D179" t="s">
        <v>78</v>
      </c>
    </row>
    <row r="180" spans="2:7" x14ac:dyDescent="0.35">
      <c r="C180" s="4" t="s">
        <v>25</v>
      </c>
      <c r="D180" s="4" t="s">
        <v>49</v>
      </c>
      <c r="E180" t="s">
        <v>14</v>
      </c>
    </row>
    <row r="181" spans="2:7" x14ac:dyDescent="0.35">
      <c r="D181" s="4" t="s">
        <v>50</v>
      </c>
      <c r="E181" t="s">
        <v>40</v>
      </c>
      <c r="G181" s="5" t="s">
        <v>71</v>
      </c>
    </row>
    <row r="182" spans="2:7" x14ac:dyDescent="0.35">
      <c r="D182" s="4" t="s">
        <v>79</v>
      </c>
      <c r="E182" s="11" t="s">
        <v>71</v>
      </c>
      <c r="G182" s="11" t="s">
        <v>80</v>
      </c>
    </row>
    <row r="183" spans="2:7" x14ac:dyDescent="0.35">
      <c r="D183" s="4" t="s">
        <v>56</v>
      </c>
      <c r="E183">
        <v>2019</v>
      </c>
    </row>
    <row r="184" spans="2:7" x14ac:dyDescent="0.35">
      <c r="D184" s="6" t="s">
        <v>28</v>
      </c>
      <c r="E184">
        <f t="array" ref="E184">INDEX(stateTaxFixedExemptions[],MATCH(1,(stateTaxFixedExemptions[State]=$E$180)*(stateTaxFixedExemptions[Status]=$E$181)*(stateTaxFixedExemptions[Category]=E182),0),MATCH($E$183,VALUE(stateTaxFixedExemptions[#Headers]),0))</f>
        <v>3700</v>
      </c>
    </row>
    <row r="186" spans="2:7" x14ac:dyDescent="0.35">
      <c r="C186" s="2" t="s">
        <v>81</v>
      </c>
    </row>
    <row r="187" spans="2:7" x14ac:dyDescent="0.35">
      <c r="C187" s="4" t="s">
        <v>23</v>
      </c>
      <c r="D187" t="s">
        <v>82</v>
      </c>
    </row>
    <row r="188" spans="2:7" x14ac:dyDescent="0.35">
      <c r="C188" s="4" t="s">
        <v>25</v>
      </c>
      <c r="D188" s="4" t="s">
        <v>49</v>
      </c>
      <c r="E188" t="s">
        <v>14</v>
      </c>
    </row>
    <row r="189" spans="2:7" x14ac:dyDescent="0.35">
      <c r="D189" s="4" t="s">
        <v>79</v>
      </c>
      <c r="E189" s="11" t="s">
        <v>73</v>
      </c>
    </row>
    <row r="190" spans="2:7" x14ac:dyDescent="0.35">
      <c r="D190" s="4" t="s">
        <v>56</v>
      </c>
      <c r="E190">
        <v>2019</v>
      </c>
    </row>
    <row r="191" spans="2:7" x14ac:dyDescent="0.35">
      <c r="D191" s="6" t="s">
        <v>28</v>
      </c>
      <c r="E191">
        <f t="array" ref="E191">INDEX(stateTaxFixedExemptions[],MATCH(1,(stateTaxFixedExemptions[State]=$E$188)*(stateTaxFixedExemptions[Category]="Dependent"),0),MATCH($E$190,VALUE(stateTaxFixedExemptions[#Headers]),0))</f>
        <v>3000</v>
      </c>
    </row>
    <row r="193" spans="2:13" x14ac:dyDescent="0.35">
      <c r="B193" s="2" t="s">
        <v>83</v>
      </c>
    </row>
    <row r="194" spans="2:13" x14ac:dyDescent="0.35">
      <c r="C194" t="s">
        <v>5</v>
      </c>
      <c r="D194" t="s">
        <v>70</v>
      </c>
      <c r="E194" t="s">
        <v>84</v>
      </c>
      <c r="F194" t="s">
        <v>58</v>
      </c>
      <c r="G194" t="s">
        <v>59</v>
      </c>
      <c r="H194" t="s">
        <v>6</v>
      </c>
      <c r="I194" t="s">
        <v>7</v>
      </c>
      <c r="J194" t="s">
        <v>8</v>
      </c>
      <c r="K194" t="s">
        <v>9</v>
      </c>
      <c r="L194" t="s">
        <v>10</v>
      </c>
      <c r="M194" t="s">
        <v>325</v>
      </c>
    </row>
    <row r="195" spans="2:13" x14ac:dyDescent="0.35">
      <c r="C195" t="s">
        <v>11</v>
      </c>
      <c r="D195" t="s">
        <v>73</v>
      </c>
      <c r="E195" t="s">
        <v>85</v>
      </c>
      <c r="F195" t="s">
        <v>60</v>
      </c>
      <c r="G195" t="s">
        <v>86</v>
      </c>
      <c r="H195" s="12">
        <v>20000</v>
      </c>
      <c r="I195" s="12">
        <v>20000</v>
      </c>
      <c r="J195" s="12">
        <v>20000</v>
      </c>
      <c r="K195" s="12">
        <v>20000</v>
      </c>
      <c r="L195" s="12">
        <v>50000</v>
      </c>
      <c r="M195" s="12">
        <v>50000</v>
      </c>
    </row>
    <row r="196" spans="2:13" x14ac:dyDescent="0.35">
      <c r="C196" t="s">
        <v>11</v>
      </c>
      <c r="D196" t="s">
        <v>73</v>
      </c>
      <c r="E196" t="s">
        <v>87</v>
      </c>
      <c r="F196" t="s">
        <v>60</v>
      </c>
      <c r="G196" t="s">
        <v>86</v>
      </c>
      <c r="H196" s="12">
        <v>100000</v>
      </c>
      <c r="I196" s="12">
        <v>100000</v>
      </c>
      <c r="J196" s="12">
        <v>100000</v>
      </c>
      <c r="K196" s="12">
        <v>100000</v>
      </c>
      <c r="L196" s="12">
        <v>100000</v>
      </c>
      <c r="M196" s="12">
        <v>100000</v>
      </c>
    </row>
    <row r="197" spans="2:13" x14ac:dyDescent="0.35">
      <c r="C197" t="s">
        <v>11</v>
      </c>
      <c r="D197" t="s">
        <v>73</v>
      </c>
      <c r="E197" t="s">
        <v>88</v>
      </c>
      <c r="F197" t="s">
        <v>60</v>
      </c>
      <c r="G197" t="s">
        <v>89</v>
      </c>
      <c r="H197" s="12">
        <v>100000</v>
      </c>
      <c r="I197" s="12">
        <v>100000</v>
      </c>
      <c r="J197" s="12">
        <v>100000</v>
      </c>
      <c r="K197" s="12">
        <v>100000</v>
      </c>
      <c r="L197" s="12">
        <v>100000</v>
      </c>
      <c r="M197" s="12">
        <v>100000</v>
      </c>
    </row>
    <row r="198" spans="2:13" x14ac:dyDescent="0.35">
      <c r="C198" t="s">
        <v>11</v>
      </c>
      <c r="D198" t="s">
        <v>73</v>
      </c>
      <c r="E198" t="s">
        <v>85</v>
      </c>
      <c r="F198" t="s">
        <v>90</v>
      </c>
      <c r="H198" s="12">
        <v>1000</v>
      </c>
      <c r="I198" s="12">
        <v>1000</v>
      </c>
      <c r="J198" s="12">
        <v>1000</v>
      </c>
      <c r="K198" s="12">
        <v>1000</v>
      </c>
      <c r="L198" s="12">
        <v>1000</v>
      </c>
      <c r="M198" s="12">
        <v>1000</v>
      </c>
    </row>
    <row r="199" spans="2:13" x14ac:dyDescent="0.35">
      <c r="C199" t="s">
        <v>11</v>
      </c>
      <c r="D199" t="s">
        <v>73</v>
      </c>
      <c r="E199" t="s">
        <v>87</v>
      </c>
      <c r="F199" t="s">
        <v>90</v>
      </c>
      <c r="H199" s="12">
        <v>500</v>
      </c>
      <c r="I199" s="12">
        <v>500</v>
      </c>
      <c r="J199" s="12">
        <v>500</v>
      </c>
      <c r="K199" s="12">
        <v>500</v>
      </c>
      <c r="L199" s="12">
        <v>500</v>
      </c>
      <c r="M199" s="12">
        <v>500</v>
      </c>
    </row>
    <row r="200" spans="2:13" x14ac:dyDescent="0.35">
      <c r="C200" t="s">
        <v>11</v>
      </c>
      <c r="D200" t="s">
        <v>73</v>
      </c>
      <c r="E200" t="s">
        <v>88</v>
      </c>
      <c r="F200" t="s">
        <v>90</v>
      </c>
      <c r="H200" s="12">
        <v>300</v>
      </c>
      <c r="I200" s="12">
        <v>300</v>
      </c>
      <c r="J200" s="12">
        <v>300</v>
      </c>
      <c r="K200" s="12">
        <v>300</v>
      </c>
      <c r="L200" s="12">
        <v>300</v>
      </c>
      <c r="M200" s="12">
        <v>300</v>
      </c>
    </row>
    <row r="202" spans="2:13" x14ac:dyDescent="0.35">
      <c r="B202" s="2" t="s">
        <v>22</v>
      </c>
    </row>
    <row r="203" spans="2:13" x14ac:dyDescent="0.35">
      <c r="C203" t="s">
        <v>91</v>
      </c>
      <c r="D203" t="s">
        <v>92</v>
      </c>
    </row>
    <row r="204" spans="2:13" x14ac:dyDescent="0.35">
      <c r="D204" t="s">
        <v>93</v>
      </c>
    </row>
    <row r="205" spans="2:13" x14ac:dyDescent="0.35">
      <c r="C205" t="s">
        <v>94</v>
      </c>
      <c r="D205" s="4" t="s">
        <v>95</v>
      </c>
      <c r="E205" s="13" t="s">
        <v>11</v>
      </c>
      <c r="G205" s="5" t="s">
        <v>85</v>
      </c>
      <c r="H205" s="5" t="s">
        <v>60</v>
      </c>
    </row>
    <row r="206" spans="2:13" x14ac:dyDescent="0.35">
      <c r="D206" s="4" t="s">
        <v>96</v>
      </c>
      <c r="E206" t="s">
        <v>73</v>
      </c>
      <c r="G206" s="11" t="s">
        <v>87</v>
      </c>
      <c r="H206" s="11" t="s">
        <v>90</v>
      </c>
    </row>
    <row r="207" spans="2:13" x14ac:dyDescent="0.35">
      <c r="D207" s="4" t="s">
        <v>97</v>
      </c>
      <c r="E207" t="s">
        <v>87</v>
      </c>
      <c r="G207" s="5" t="s">
        <v>88</v>
      </c>
    </row>
    <row r="208" spans="2:13" x14ac:dyDescent="0.35">
      <c r="D208" s="4" t="s">
        <v>98</v>
      </c>
      <c r="E208" t="s">
        <v>60</v>
      </c>
    </row>
    <row r="209" spans="2:6" x14ac:dyDescent="0.35">
      <c r="D209" s="4" t="s">
        <v>99</v>
      </c>
      <c r="E209" s="13">
        <v>2019</v>
      </c>
      <c r="F209" t="s">
        <v>100</v>
      </c>
    </row>
    <row r="210" spans="2:6" x14ac:dyDescent="0.35">
      <c r="C210" s="6" t="s">
        <v>101</v>
      </c>
      <c r="D210" s="14"/>
      <c r="E210" s="15">
        <f t="array" ref="E210">INDEX(stateTaxVariableExemptions[],MATCH(1,(stateTaxVariableExemptions[State]=$E$205)*(stateTaxVariableExemptions[Category]=$E$206)*(stateTaxVariableExemptions[Bracket]=$E$207)*(stateTaxVariableExemptions[Name]=E208),0),MATCH($E$209,VALUE(stateTaxVariableExemptions[#Headers]),0))</f>
        <v>100000</v>
      </c>
    </row>
    <row r="212" spans="2:6" x14ac:dyDescent="0.35">
      <c r="B212" s="2" t="s">
        <v>326</v>
      </c>
    </row>
    <row r="213" spans="2:6" x14ac:dyDescent="0.35">
      <c r="C213" t="s">
        <v>5</v>
      </c>
      <c r="D213" s="3" t="s">
        <v>253</v>
      </c>
      <c r="E213" t="s">
        <v>327</v>
      </c>
      <c r="F213" s="3" t="s">
        <v>104</v>
      </c>
    </row>
    <row r="214" spans="2:6" x14ac:dyDescent="0.35">
      <c r="C214" t="s">
        <v>14</v>
      </c>
      <c r="D214" s="3">
        <v>2018</v>
      </c>
      <c r="E214" t="s">
        <v>328</v>
      </c>
      <c r="F214" s="3">
        <v>35000</v>
      </c>
    </row>
    <row r="215" spans="2:6" x14ac:dyDescent="0.35">
      <c r="C215" t="s">
        <v>14</v>
      </c>
      <c r="D215" s="3">
        <v>2018</v>
      </c>
      <c r="E215" t="s">
        <v>329</v>
      </c>
      <c r="F215" s="3">
        <v>65000</v>
      </c>
    </row>
    <row r="216" spans="2:6" x14ac:dyDescent="0.35">
      <c r="C216" t="s">
        <v>14</v>
      </c>
      <c r="D216" s="3">
        <v>2019</v>
      </c>
      <c r="E216" t="s">
        <v>328</v>
      </c>
      <c r="F216" s="3">
        <v>35000</v>
      </c>
    </row>
    <row r="217" spans="2:6" x14ac:dyDescent="0.35">
      <c r="C217" t="s">
        <v>14</v>
      </c>
      <c r="D217" s="3">
        <v>2019</v>
      </c>
      <c r="E217" t="s">
        <v>329</v>
      </c>
      <c r="F217" s="3">
        <v>65000</v>
      </c>
    </row>
    <row r="218" spans="2:6" x14ac:dyDescent="0.35">
      <c r="C218" t="s">
        <v>14</v>
      </c>
      <c r="D218" s="3">
        <v>2020</v>
      </c>
      <c r="E218" t="s">
        <v>328</v>
      </c>
      <c r="F218" s="3">
        <v>35000</v>
      </c>
    </row>
    <row r="219" spans="2:6" x14ac:dyDescent="0.35">
      <c r="C219" t="s">
        <v>14</v>
      </c>
      <c r="D219" s="3">
        <v>2020</v>
      </c>
      <c r="E219" t="s">
        <v>329</v>
      </c>
      <c r="F219" s="3">
        <v>65000</v>
      </c>
    </row>
    <row r="220" spans="2:6" x14ac:dyDescent="0.35">
      <c r="C220" t="s">
        <v>14</v>
      </c>
      <c r="D220" s="3">
        <v>2021</v>
      </c>
      <c r="E220" t="s">
        <v>328</v>
      </c>
      <c r="F220" s="3">
        <v>35000</v>
      </c>
    </row>
    <row r="221" spans="2:6" x14ac:dyDescent="0.35">
      <c r="C221" t="s">
        <v>14</v>
      </c>
      <c r="D221" s="3">
        <v>2021</v>
      </c>
      <c r="E221" t="s">
        <v>329</v>
      </c>
      <c r="F221" s="3">
        <v>65000</v>
      </c>
    </row>
    <row r="222" spans="2:6" x14ac:dyDescent="0.35">
      <c r="C222" t="s">
        <v>14</v>
      </c>
      <c r="D222" s="3">
        <v>2022</v>
      </c>
      <c r="E222" t="s">
        <v>328</v>
      </c>
      <c r="F222" s="3">
        <v>35000</v>
      </c>
    </row>
    <row r="223" spans="2:6" x14ac:dyDescent="0.35">
      <c r="C223" t="s">
        <v>14</v>
      </c>
      <c r="D223" s="3">
        <v>2022</v>
      </c>
      <c r="E223" t="s">
        <v>329</v>
      </c>
      <c r="F223" s="3">
        <v>65000</v>
      </c>
    </row>
    <row r="224" spans="2:6" x14ac:dyDescent="0.35">
      <c r="C224" t="s">
        <v>14</v>
      </c>
      <c r="D224" s="3">
        <v>2023</v>
      </c>
      <c r="E224" t="s">
        <v>328</v>
      </c>
      <c r="F224" s="3">
        <v>35000</v>
      </c>
    </row>
    <row r="225" spans="2:12" x14ac:dyDescent="0.35">
      <c r="C225" t="s">
        <v>14</v>
      </c>
      <c r="D225" s="3">
        <v>2023</v>
      </c>
      <c r="E225" t="s">
        <v>329</v>
      </c>
      <c r="F225" s="3">
        <v>65000</v>
      </c>
    </row>
    <row r="227" spans="2:12" x14ac:dyDescent="0.35">
      <c r="B227" s="2" t="s">
        <v>102</v>
      </c>
    </row>
    <row r="228" spans="2:12" x14ac:dyDescent="0.35">
      <c r="C228" t="s">
        <v>5</v>
      </c>
      <c r="D228" t="s">
        <v>53</v>
      </c>
      <c r="E228" t="s">
        <v>84</v>
      </c>
      <c r="F228" t="s">
        <v>103</v>
      </c>
      <c r="G228" s="3" t="s">
        <v>6</v>
      </c>
      <c r="H228" s="3" t="s">
        <v>7</v>
      </c>
      <c r="I228" s="3" t="s">
        <v>8</v>
      </c>
      <c r="J228" s="3" t="s">
        <v>9</v>
      </c>
      <c r="K228" s="3" t="s">
        <v>10</v>
      </c>
      <c r="L228" s="3" t="s">
        <v>325</v>
      </c>
    </row>
    <row r="229" spans="2:12" x14ac:dyDescent="0.35">
      <c r="C229" t="s">
        <v>18</v>
      </c>
      <c r="D229" t="s">
        <v>34</v>
      </c>
      <c r="E229" t="s">
        <v>85</v>
      </c>
      <c r="F229" t="s">
        <v>89</v>
      </c>
      <c r="G229" s="15">
        <v>-0.01</v>
      </c>
      <c r="H229" s="15">
        <v>-0.01</v>
      </c>
      <c r="I229" s="15">
        <v>-0.01</v>
      </c>
      <c r="J229" s="16">
        <v>-0.01</v>
      </c>
      <c r="K229" s="16">
        <v>-0.01</v>
      </c>
      <c r="L229" s="16">
        <v>-0.01</v>
      </c>
    </row>
    <row r="230" spans="2:12" x14ac:dyDescent="0.35">
      <c r="C230" t="s">
        <v>18</v>
      </c>
      <c r="D230" t="s">
        <v>34</v>
      </c>
      <c r="E230" t="s">
        <v>85</v>
      </c>
      <c r="F230" t="s">
        <v>104</v>
      </c>
      <c r="G230" s="17">
        <v>2500</v>
      </c>
      <c r="H230" s="17">
        <v>2500</v>
      </c>
      <c r="I230" s="17">
        <v>2500</v>
      </c>
      <c r="J230" s="18">
        <v>3000</v>
      </c>
      <c r="K230" s="18">
        <v>3000</v>
      </c>
      <c r="L230" s="18">
        <v>3000</v>
      </c>
    </row>
    <row r="231" spans="2:12" x14ac:dyDescent="0.35">
      <c r="C231" t="s">
        <v>18</v>
      </c>
      <c r="D231" t="s">
        <v>34</v>
      </c>
      <c r="E231" t="s">
        <v>87</v>
      </c>
      <c r="F231" t="s">
        <v>89</v>
      </c>
      <c r="G231" s="17">
        <v>30000</v>
      </c>
      <c r="H231" s="17">
        <v>30000</v>
      </c>
      <c r="I231" s="17">
        <v>30000</v>
      </c>
      <c r="J231" s="15">
        <v>30000</v>
      </c>
      <c r="K231" s="15">
        <v>30000</v>
      </c>
      <c r="L231" s="15">
        <v>30000</v>
      </c>
    </row>
    <row r="232" spans="2:12" x14ac:dyDescent="0.35">
      <c r="C232" t="s">
        <v>18</v>
      </c>
      <c r="D232" t="s">
        <v>34</v>
      </c>
      <c r="E232" t="s">
        <v>87</v>
      </c>
      <c r="F232" t="s">
        <v>104</v>
      </c>
      <c r="G232" s="17">
        <v>2000</v>
      </c>
      <c r="H232" s="17">
        <v>2000</v>
      </c>
      <c r="I232" s="17">
        <v>2000</v>
      </c>
      <c r="J232" s="18">
        <v>2500</v>
      </c>
      <c r="K232" s="18">
        <v>2500</v>
      </c>
      <c r="L232" s="18">
        <v>2500</v>
      </c>
    </row>
    <row r="233" spans="2:12" x14ac:dyDescent="0.35">
      <c r="C233" t="s">
        <v>18</v>
      </c>
      <c r="D233" t="s">
        <v>34</v>
      </c>
      <c r="E233" t="s">
        <v>88</v>
      </c>
      <c r="F233" t="s">
        <v>89</v>
      </c>
      <c r="G233" s="15">
        <v>45000</v>
      </c>
      <c r="H233" s="15">
        <v>45000</v>
      </c>
      <c r="I233" s="15">
        <v>45000</v>
      </c>
      <c r="J233" s="15">
        <v>45000</v>
      </c>
      <c r="K233" s="15">
        <v>45000</v>
      </c>
      <c r="L233" s="15">
        <v>45000</v>
      </c>
    </row>
    <row r="234" spans="2:12" x14ac:dyDescent="0.35">
      <c r="C234" t="s">
        <v>18</v>
      </c>
      <c r="D234" t="s">
        <v>34</v>
      </c>
      <c r="E234" t="s">
        <v>88</v>
      </c>
      <c r="F234" t="s">
        <v>104</v>
      </c>
      <c r="G234" s="17">
        <v>1500</v>
      </c>
      <c r="H234" s="17">
        <v>1500</v>
      </c>
      <c r="I234" s="17">
        <v>1500</v>
      </c>
      <c r="J234" s="18">
        <v>2000</v>
      </c>
      <c r="K234" s="18">
        <v>2000</v>
      </c>
      <c r="L234" s="18">
        <v>2000</v>
      </c>
    </row>
    <row r="235" spans="2:12" x14ac:dyDescent="0.35">
      <c r="C235" t="s">
        <v>18</v>
      </c>
      <c r="D235" t="s">
        <v>34</v>
      </c>
      <c r="E235" t="s">
        <v>105</v>
      </c>
      <c r="F235" t="s">
        <v>89</v>
      </c>
      <c r="G235" s="17">
        <v>60000</v>
      </c>
      <c r="H235" s="17">
        <v>60000</v>
      </c>
      <c r="I235" s="17">
        <v>60000</v>
      </c>
      <c r="J235" s="15">
        <v>60000</v>
      </c>
      <c r="K235" s="15">
        <v>60000</v>
      </c>
      <c r="L235" s="15">
        <v>60000</v>
      </c>
    </row>
    <row r="236" spans="2:12" x14ac:dyDescent="0.35">
      <c r="C236" t="s">
        <v>18</v>
      </c>
      <c r="D236" t="s">
        <v>34</v>
      </c>
      <c r="E236" t="s">
        <v>105</v>
      </c>
      <c r="F236" t="s">
        <v>104</v>
      </c>
      <c r="G236" s="17">
        <v>1000</v>
      </c>
      <c r="H236" s="17">
        <v>1000</v>
      </c>
      <c r="I236" s="17">
        <v>1000</v>
      </c>
      <c r="J236" s="18">
        <v>1500</v>
      </c>
      <c r="K236" s="18">
        <v>1500</v>
      </c>
      <c r="L236" s="18">
        <v>1500</v>
      </c>
    </row>
    <row r="237" spans="2:12" x14ac:dyDescent="0.35">
      <c r="C237" t="s">
        <v>18</v>
      </c>
      <c r="D237" t="s">
        <v>34</v>
      </c>
      <c r="E237" t="s">
        <v>106</v>
      </c>
      <c r="F237" t="s">
        <v>89</v>
      </c>
      <c r="G237" s="15">
        <v>75000</v>
      </c>
      <c r="H237" s="15">
        <v>75000</v>
      </c>
      <c r="I237" s="15">
        <v>75000</v>
      </c>
      <c r="J237" s="15">
        <v>75000</v>
      </c>
      <c r="K237" s="15">
        <v>75000</v>
      </c>
      <c r="L237" s="15">
        <v>75000</v>
      </c>
    </row>
    <row r="238" spans="2:12" x14ac:dyDescent="0.35">
      <c r="C238" t="s">
        <v>18</v>
      </c>
      <c r="D238" t="s">
        <v>34</v>
      </c>
      <c r="E238" t="s">
        <v>106</v>
      </c>
      <c r="F238" t="s">
        <v>104</v>
      </c>
      <c r="G238" s="17">
        <v>500</v>
      </c>
      <c r="H238" s="17">
        <v>500</v>
      </c>
      <c r="I238" s="17">
        <v>500</v>
      </c>
      <c r="J238" s="18">
        <v>1000</v>
      </c>
      <c r="K238" s="18">
        <v>1000</v>
      </c>
      <c r="L238" s="18">
        <v>1000</v>
      </c>
    </row>
    <row r="239" spans="2:12" x14ac:dyDescent="0.35">
      <c r="C239" t="s">
        <v>18</v>
      </c>
      <c r="D239" t="s">
        <v>34</v>
      </c>
      <c r="E239" t="s">
        <v>107</v>
      </c>
      <c r="F239" t="s">
        <v>89</v>
      </c>
      <c r="G239" s="17">
        <v>90000</v>
      </c>
      <c r="H239" s="17">
        <v>90000</v>
      </c>
      <c r="I239" s="17">
        <v>90000</v>
      </c>
      <c r="J239" s="15">
        <v>90000</v>
      </c>
      <c r="K239" s="15">
        <v>90000</v>
      </c>
      <c r="L239" s="15">
        <v>90000</v>
      </c>
    </row>
    <row r="240" spans="2:12" x14ac:dyDescent="0.35">
      <c r="C240" t="s">
        <v>18</v>
      </c>
      <c r="D240" t="s">
        <v>34</v>
      </c>
      <c r="E240" t="s">
        <v>107</v>
      </c>
      <c r="F240" t="s">
        <v>104</v>
      </c>
      <c r="G240" s="17">
        <v>0</v>
      </c>
      <c r="H240" s="17">
        <v>0</v>
      </c>
      <c r="I240" s="17">
        <v>0</v>
      </c>
      <c r="J240" s="18">
        <v>500</v>
      </c>
      <c r="K240" s="18">
        <v>500</v>
      </c>
      <c r="L240" s="18">
        <v>500</v>
      </c>
    </row>
    <row r="241" spans="3:12" x14ac:dyDescent="0.35">
      <c r="C241" t="s">
        <v>18</v>
      </c>
      <c r="D241" t="s">
        <v>34</v>
      </c>
      <c r="E241" t="s">
        <v>108</v>
      </c>
      <c r="F241" t="s">
        <v>89</v>
      </c>
      <c r="G241" s="15"/>
      <c r="H241" s="15"/>
      <c r="I241" s="15"/>
      <c r="J241" s="15">
        <v>105000</v>
      </c>
      <c r="K241" s="15">
        <v>105000</v>
      </c>
      <c r="L241" s="15">
        <v>105000</v>
      </c>
    </row>
    <row r="242" spans="3:12" x14ac:dyDescent="0.35">
      <c r="C242" t="s">
        <v>18</v>
      </c>
      <c r="D242" t="s">
        <v>34</v>
      </c>
      <c r="E242" t="s">
        <v>108</v>
      </c>
      <c r="F242" t="s">
        <v>104</v>
      </c>
      <c r="G242" s="18"/>
      <c r="H242" s="18"/>
      <c r="I242" s="18"/>
      <c r="J242" s="18">
        <v>0</v>
      </c>
      <c r="K242" s="18">
        <v>0</v>
      </c>
      <c r="L242" s="18">
        <v>0</v>
      </c>
    </row>
    <row r="243" spans="3:12" x14ac:dyDescent="0.35">
      <c r="C243" t="s">
        <v>18</v>
      </c>
      <c r="D243" t="s">
        <v>35</v>
      </c>
      <c r="E243" t="s">
        <v>85</v>
      </c>
      <c r="F243" t="s">
        <v>89</v>
      </c>
      <c r="G243" s="17">
        <v>-0.01</v>
      </c>
      <c r="H243" s="17">
        <v>-0.01</v>
      </c>
      <c r="I243" s="17">
        <v>-0.01</v>
      </c>
      <c r="J243" s="16">
        <v>-0.01</v>
      </c>
      <c r="K243" s="16">
        <v>-0.01</v>
      </c>
      <c r="L243" s="16">
        <v>-0.01</v>
      </c>
    </row>
    <row r="244" spans="3:12" x14ac:dyDescent="0.35">
      <c r="C244" t="s">
        <v>18</v>
      </c>
      <c r="D244" t="s">
        <v>35</v>
      </c>
      <c r="E244" t="s">
        <v>85</v>
      </c>
      <c r="F244" t="s">
        <v>104</v>
      </c>
      <c r="G244" s="17">
        <v>2500</v>
      </c>
      <c r="H244" s="17">
        <v>2500</v>
      </c>
      <c r="I244" s="17">
        <v>2500</v>
      </c>
      <c r="J244" s="18">
        <v>3000</v>
      </c>
      <c r="K244" s="18">
        <v>3000</v>
      </c>
      <c r="L244" s="18">
        <v>3000</v>
      </c>
    </row>
    <row r="245" spans="3:12" x14ac:dyDescent="0.35">
      <c r="C245" t="s">
        <v>18</v>
      </c>
      <c r="D245" t="s">
        <v>35</v>
      </c>
      <c r="E245" t="s">
        <v>87</v>
      </c>
      <c r="F245" t="s">
        <v>89</v>
      </c>
      <c r="G245" s="17">
        <v>40000</v>
      </c>
      <c r="H245" s="17">
        <v>40000</v>
      </c>
      <c r="I245" s="17">
        <v>40000</v>
      </c>
      <c r="J245" s="15">
        <v>40000</v>
      </c>
      <c r="K245" s="15">
        <v>40000</v>
      </c>
      <c r="L245" s="15">
        <v>40000</v>
      </c>
    </row>
    <row r="246" spans="3:12" x14ac:dyDescent="0.35">
      <c r="C246" t="s">
        <v>18</v>
      </c>
      <c r="D246" t="s">
        <v>35</v>
      </c>
      <c r="E246" t="s">
        <v>87</v>
      </c>
      <c r="F246" t="s">
        <v>104</v>
      </c>
      <c r="G246" s="17">
        <v>2000</v>
      </c>
      <c r="H246" s="17">
        <v>2000</v>
      </c>
      <c r="I246" s="17">
        <v>2000</v>
      </c>
      <c r="J246" s="18">
        <v>2500</v>
      </c>
      <c r="K246" s="18">
        <v>2500</v>
      </c>
      <c r="L246" s="18">
        <v>2500</v>
      </c>
    </row>
    <row r="247" spans="3:12" x14ac:dyDescent="0.35">
      <c r="C247" t="s">
        <v>18</v>
      </c>
      <c r="D247" t="s">
        <v>35</v>
      </c>
      <c r="E247" t="s">
        <v>88</v>
      </c>
      <c r="F247" t="s">
        <v>89</v>
      </c>
      <c r="G247" s="17">
        <v>60000</v>
      </c>
      <c r="H247" s="17">
        <v>60000</v>
      </c>
      <c r="I247" s="17">
        <v>60000</v>
      </c>
      <c r="J247" s="15">
        <v>60000</v>
      </c>
      <c r="K247" s="15">
        <v>60000</v>
      </c>
      <c r="L247" s="15">
        <v>60000</v>
      </c>
    </row>
    <row r="248" spans="3:12" x14ac:dyDescent="0.35">
      <c r="C248" t="s">
        <v>18</v>
      </c>
      <c r="D248" t="s">
        <v>35</v>
      </c>
      <c r="E248" t="s">
        <v>88</v>
      </c>
      <c r="F248" t="s">
        <v>104</v>
      </c>
      <c r="G248" s="17">
        <v>1500</v>
      </c>
      <c r="H248" s="17">
        <v>1500</v>
      </c>
      <c r="I248" s="17">
        <v>1500</v>
      </c>
      <c r="J248" s="18">
        <v>2000</v>
      </c>
      <c r="K248" s="18">
        <v>2000</v>
      </c>
      <c r="L248" s="18">
        <v>2000</v>
      </c>
    </row>
    <row r="249" spans="3:12" x14ac:dyDescent="0.35">
      <c r="C249" t="s">
        <v>18</v>
      </c>
      <c r="D249" t="s">
        <v>35</v>
      </c>
      <c r="E249" t="s">
        <v>105</v>
      </c>
      <c r="F249" t="s">
        <v>89</v>
      </c>
      <c r="G249" s="17">
        <v>80000</v>
      </c>
      <c r="H249" s="17">
        <v>80000</v>
      </c>
      <c r="I249" s="17">
        <v>80000</v>
      </c>
      <c r="J249" s="15">
        <v>80000</v>
      </c>
      <c r="K249" s="15">
        <v>80000</v>
      </c>
      <c r="L249" s="15">
        <v>80000</v>
      </c>
    </row>
    <row r="250" spans="3:12" x14ac:dyDescent="0.35">
      <c r="C250" t="s">
        <v>18</v>
      </c>
      <c r="D250" t="s">
        <v>35</v>
      </c>
      <c r="E250" t="s">
        <v>105</v>
      </c>
      <c r="F250" t="s">
        <v>104</v>
      </c>
      <c r="G250" s="17">
        <v>1000</v>
      </c>
      <c r="H250" s="17">
        <v>1000</v>
      </c>
      <c r="I250" s="17">
        <v>1000</v>
      </c>
      <c r="J250" s="18">
        <v>1500</v>
      </c>
      <c r="K250" s="18">
        <v>1500</v>
      </c>
      <c r="L250" s="18">
        <v>1500</v>
      </c>
    </row>
    <row r="251" spans="3:12" x14ac:dyDescent="0.35">
      <c r="C251" t="s">
        <v>18</v>
      </c>
      <c r="D251" t="s">
        <v>35</v>
      </c>
      <c r="E251" t="s">
        <v>106</v>
      </c>
      <c r="F251" t="s">
        <v>89</v>
      </c>
      <c r="G251" s="17">
        <v>100000</v>
      </c>
      <c r="H251" s="17">
        <v>100000</v>
      </c>
      <c r="I251" s="17">
        <v>100000</v>
      </c>
      <c r="J251" s="15">
        <v>100000</v>
      </c>
      <c r="K251" s="15">
        <v>100000</v>
      </c>
      <c r="L251" s="15">
        <v>100000</v>
      </c>
    </row>
    <row r="252" spans="3:12" x14ac:dyDescent="0.35">
      <c r="C252" t="s">
        <v>18</v>
      </c>
      <c r="D252" t="s">
        <v>35</v>
      </c>
      <c r="E252" t="s">
        <v>106</v>
      </c>
      <c r="F252" t="s">
        <v>104</v>
      </c>
      <c r="G252" s="17">
        <v>500</v>
      </c>
      <c r="H252" s="17">
        <v>500</v>
      </c>
      <c r="I252" s="17">
        <v>500</v>
      </c>
      <c r="J252" s="18">
        <v>1000</v>
      </c>
      <c r="K252" s="18">
        <v>1000</v>
      </c>
      <c r="L252" s="18">
        <v>1000</v>
      </c>
    </row>
    <row r="253" spans="3:12" x14ac:dyDescent="0.35">
      <c r="C253" t="s">
        <v>18</v>
      </c>
      <c r="D253" t="s">
        <v>35</v>
      </c>
      <c r="E253" t="s">
        <v>107</v>
      </c>
      <c r="F253" t="s">
        <v>89</v>
      </c>
      <c r="G253" s="17">
        <v>120000</v>
      </c>
      <c r="H253" s="17">
        <v>120000</v>
      </c>
      <c r="I253" s="17">
        <v>120000</v>
      </c>
      <c r="J253" s="15">
        <v>120000</v>
      </c>
      <c r="K253" s="15">
        <v>120000</v>
      </c>
      <c r="L253" s="15">
        <v>120000</v>
      </c>
    </row>
    <row r="254" spans="3:12" x14ac:dyDescent="0.35">
      <c r="C254" t="s">
        <v>18</v>
      </c>
      <c r="D254" t="s">
        <v>35</v>
      </c>
      <c r="E254" t="s">
        <v>107</v>
      </c>
      <c r="F254" t="s">
        <v>104</v>
      </c>
      <c r="G254" s="17">
        <v>0</v>
      </c>
      <c r="H254" s="17">
        <v>0</v>
      </c>
      <c r="I254" s="17">
        <v>0</v>
      </c>
      <c r="J254" s="18">
        <v>500</v>
      </c>
      <c r="K254" s="18">
        <v>500</v>
      </c>
      <c r="L254" s="18">
        <v>500</v>
      </c>
    </row>
    <row r="255" spans="3:12" x14ac:dyDescent="0.35">
      <c r="C255" t="s">
        <v>18</v>
      </c>
      <c r="D255" t="s">
        <v>35</v>
      </c>
      <c r="E255" t="s">
        <v>108</v>
      </c>
      <c r="F255" t="s">
        <v>89</v>
      </c>
      <c r="G255" s="15"/>
      <c r="H255" s="15"/>
      <c r="I255" s="15"/>
      <c r="J255" s="15">
        <v>140000</v>
      </c>
      <c r="K255" s="15">
        <v>140000</v>
      </c>
      <c r="L255" s="15">
        <v>140000</v>
      </c>
    </row>
    <row r="256" spans="3:12" x14ac:dyDescent="0.35">
      <c r="C256" t="s">
        <v>18</v>
      </c>
      <c r="D256" t="s">
        <v>35</v>
      </c>
      <c r="E256" t="s">
        <v>108</v>
      </c>
      <c r="F256" t="s">
        <v>104</v>
      </c>
      <c r="G256" s="18"/>
      <c r="H256" s="18"/>
      <c r="I256" s="18"/>
      <c r="J256" s="18">
        <v>0</v>
      </c>
      <c r="K256" s="18">
        <v>0</v>
      </c>
      <c r="L256" s="18">
        <v>0</v>
      </c>
    </row>
    <row r="257" spans="3:12" x14ac:dyDescent="0.35">
      <c r="C257" t="s">
        <v>18</v>
      </c>
      <c r="D257" t="s">
        <v>33</v>
      </c>
      <c r="E257" t="s">
        <v>85</v>
      </c>
      <c r="F257" t="s">
        <v>89</v>
      </c>
      <c r="G257" s="17">
        <v>-0.01</v>
      </c>
      <c r="H257" s="17">
        <v>-0.01</v>
      </c>
      <c r="I257" s="17">
        <v>-0.01</v>
      </c>
      <c r="J257" s="16">
        <v>-0.01</v>
      </c>
      <c r="K257" s="16">
        <v>-0.01</v>
      </c>
      <c r="L257" s="16">
        <v>-0.01</v>
      </c>
    </row>
    <row r="258" spans="3:12" x14ac:dyDescent="0.35">
      <c r="C258" t="s">
        <v>18</v>
      </c>
      <c r="D258" t="s">
        <v>33</v>
      </c>
      <c r="E258" t="s">
        <v>85</v>
      </c>
      <c r="F258" t="s">
        <v>104</v>
      </c>
      <c r="G258" s="17">
        <v>2500</v>
      </c>
      <c r="H258" s="17">
        <v>2500</v>
      </c>
      <c r="I258" s="17">
        <v>2500</v>
      </c>
      <c r="J258" s="18">
        <v>3000</v>
      </c>
      <c r="K258" s="18">
        <v>3000</v>
      </c>
      <c r="L258" s="18">
        <v>3000</v>
      </c>
    </row>
    <row r="259" spans="3:12" x14ac:dyDescent="0.35">
      <c r="C259" t="s">
        <v>18</v>
      </c>
      <c r="D259" t="s">
        <v>33</v>
      </c>
      <c r="E259" t="s">
        <v>87</v>
      </c>
      <c r="F259" t="s">
        <v>89</v>
      </c>
      <c r="G259" s="17">
        <v>20000</v>
      </c>
      <c r="H259" s="17">
        <v>20000</v>
      </c>
      <c r="I259" s="17">
        <v>20000</v>
      </c>
      <c r="J259" s="15">
        <v>20000</v>
      </c>
      <c r="K259" s="15">
        <v>20000</v>
      </c>
      <c r="L259" s="15">
        <v>20000</v>
      </c>
    </row>
    <row r="260" spans="3:12" x14ac:dyDescent="0.35">
      <c r="C260" t="s">
        <v>18</v>
      </c>
      <c r="D260" t="s">
        <v>33</v>
      </c>
      <c r="E260" t="s">
        <v>87</v>
      </c>
      <c r="F260" t="s">
        <v>104</v>
      </c>
      <c r="G260" s="17">
        <v>2000</v>
      </c>
      <c r="H260" s="17">
        <v>2000</v>
      </c>
      <c r="I260" s="17">
        <v>2000</v>
      </c>
      <c r="J260" s="18">
        <v>2500</v>
      </c>
      <c r="K260" s="18">
        <v>2500</v>
      </c>
      <c r="L260" s="18">
        <v>2500</v>
      </c>
    </row>
    <row r="261" spans="3:12" x14ac:dyDescent="0.35">
      <c r="C261" t="s">
        <v>18</v>
      </c>
      <c r="D261" t="s">
        <v>33</v>
      </c>
      <c r="E261" t="s">
        <v>88</v>
      </c>
      <c r="F261" t="s">
        <v>89</v>
      </c>
      <c r="G261" s="17">
        <v>30000</v>
      </c>
      <c r="H261" s="17">
        <v>30000</v>
      </c>
      <c r="I261" s="17">
        <v>30000</v>
      </c>
      <c r="J261" s="15">
        <v>30000</v>
      </c>
      <c r="K261" s="15">
        <v>30000</v>
      </c>
      <c r="L261" s="15">
        <v>30000</v>
      </c>
    </row>
    <row r="262" spans="3:12" x14ac:dyDescent="0.35">
      <c r="C262" t="s">
        <v>18</v>
      </c>
      <c r="D262" t="s">
        <v>33</v>
      </c>
      <c r="E262" t="s">
        <v>88</v>
      </c>
      <c r="F262" t="s">
        <v>104</v>
      </c>
      <c r="G262" s="17">
        <v>1500</v>
      </c>
      <c r="H262" s="17">
        <v>1500</v>
      </c>
      <c r="I262" s="17">
        <v>1500</v>
      </c>
      <c r="J262" s="18">
        <v>2000</v>
      </c>
      <c r="K262" s="18">
        <v>2000</v>
      </c>
      <c r="L262" s="18">
        <v>2000</v>
      </c>
    </row>
    <row r="263" spans="3:12" x14ac:dyDescent="0.35">
      <c r="C263" t="s">
        <v>18</v>
      </c>
      <c r="D263" t="s">
        <v>33</v>
      </c>
      <c r="E263" t="s">
        <v>105</v>
      </c>
      <c r="F263" t="s">
        <v>89</v>
      </c>
      <c r="G263" s="17">
        <v>40000</v>
      </c>
      <c r="H263" s="17">
        <v>40000</v>
      </c>
      <c r="I263" s="17">
        <v>40000</v>
      </c>
      <c r="J263" s="15">
        <v>40000</v>
      </c>
      <c r="K263" s="15">
        <v>40000</v>
      </c>
      <c r="L263" s="15">
        <v>40000</v>
      </c>
    </row>
    <row r="264" spans="3:12" x14ac:dyDescent="0.35">
      <c r="C264" t="s">
        <v>18</v>
      </c>
      <c r="D264" t="s">
        <v>33</v>
      </c>
      <c r="E264" t="s">
        <v>105</v>
      </c>
      <c r="F264" t="s">
        <v>104</v>
      </c>
      <c r="G264" s="17">
        <v>1000</v>
      </c>
      <c r="H264" s="17">
        <v>1000</v>
      </c>
      <c r="I264" s="17">
        <v>1000</v>
      </c>
      <c r="J264" s="18">
        <v>1500</v>
      </c>
      <c r="K264" s="18">
        <v>1500</v>
      </c>
      <c r="L264" s="18">
        <v>1500</v>
      </c>
    </row>
    <row r="265" spans="3:12" x14ac:dyDescent="0.35">
      <c r="C265" t="s">
        <v>18</v>
      </c>
      <c r="D265" t="s">
        <v>33</v>
      </c>
      <c r="E265" t="s">
        <v>106</v>
      </c>
      <c r="F265" t="s">
        <v>89</v>
      </c>
      <c r="G265" s="17">
        <v>50000</v>
      </c>
      <c r="H265" s="17">
        <v>50000</v>
      </c>
      <c r="I265" s="17">
        <v>50000</v>
      </c>
      <c r="J265" s="15">
        <v>50000</v>
      </c>
      <c r="K265" s="15">
        <v>50000</v>
      </c>
      <c r="L265" s="15">
        <v>50000</v>
      </c>
    </row>
    <row r="266" spans="3:12" x14ac:dyDescent="0.35">
      <c r="C266" t="s">
        <v>18</v>
      </c>
      <c r="D266" t="s">
        <v>33</v>
      </c>
      <c r="E266" t="s">
        <v>106</v>
      </c>
      <c r="F266" t="s">
        <v>104</v>
      </c>
      <c r="G266" s="17">
        <v>500</v>
      </c>
      <c r="H266" s="17">
        <v>500</v>
      </c>
      <c r="I266" s="17">
        <v>500</v>
      </c>
      <c r="J266" s="18">
        <v>1000</v>
      </c>
      <c r="K266" s="18">
        <v>1000</v>
      </c>
      <c r="L266" s="18">
        <v>1000</v>
      </c>
    </row>
    <row r="267" spans="3:12" x14ac:dyDescent="0.35">
      <c r="C267" t="s">
        <v>18</v>
      </c>
      <c r="D267" t="s">
        <v>33</v>
      </c>
      <c r="E267" t="s">
        <v>107</v>
      </c>
      <c r="F267" t="s">
        <v>89</v>
      </c>
      <c r="G267" s="17">
        <v>60000</v>
      </c>
      <c r="H267" s="17">
        <v>60000</v>
      </c>
      <c r="I267" s="17">
        <v>60000</v>
      </c>
      <c r="J267" s="15">
        <v>60000</v>
      </c>
      <c r="K267" s="15">
        <v>60000</v>
      </c>
      <c r="L267" s="15">
        <v>60000</v>
      </c>
    </row>
    <row r="268" spans="3:12" x14ac:dyDescent="0.35">
      <c r="C268" t="s">
        <v>18</v>
      </c>
      <c r="D268" t="s">
        <v>33</v>
      </c>
      <c r="E268" t="s">
        <v>107</v>
      </c>
      <c r="F268" t="s">
        <v>104</v>
      </c>
      <c r="G268" s="17">
        <v>0</v>
      </c>
      <c r="H268" s="17">
        <v>0</v>
      </c>
      <c r="I268" s="17">
        <v>0</v>
      </c>
      <c r="J268" s="18">
        <v>500</v>
      </c>
      <c r="K268" s="18">
        <v>500</v>
      </c>
      <c r="L268" s="18">
        <v>500</v>
      </c>
    </row>
    <row r="269" spans="3:12" x14ac:dyDescent="0.35">
      <c r="C269" t="s">
        <v>18</v>
      </c>
      <c r="D269" t="s">
        <v>33</v>
      </c>
      <c r="E269" t="s">
        <v>108</v>
      </c>
      <c r="F269" t="s">
        <v>89</v>
      </c>
      <c r="G269" s="15"/>
      <c r="H269" s="15"/>
      <c r="I269" s="15"/>
      <c r="J269" s="15">
        <v>70000</v>
      </c>
      <c r="K269" s="15">
        <v>70000</v>
      </c>
      <c r="L269" s="15">
        <v>70000</v>
      </c>
    </row>
    <row r="270" spans="3:12" x14ac:dyDescent="0.35">
      <c r="C270" t="s">
        <v>18</v>
      </c>
      <c r="D270" t="s">
        <v>33</v>
      </c>
      <c r="E270" t="s">
        <v>108</v>
      </c>
      <c r="F270" t="s">
        <v>104</v>
      </c>
      <c r="G270" s="17"/>
      <c r="H270" s="17"/>
      <c r="I270" s="17"/>
      <c r="J270" s="18">
        <v>0</v>
      </c>
      <c r="K270" s="18">
        <v>0</v>
      </c>
      <c r="L270" s="18">
        <v>0</v>
      </c>
    </row>
    <row r="271" spans="3:12" x14ac:dyDescent="0.35">
      <c r="C271" t="s">
        <v>18</v>
      </c>
      <c r="D271" s="11" t="s">
        <v>36</v>
      </c>
      <c r="E271" t="s">
        <v>85</v>
      </c>
      <c r="F271" t="s">
        <v>89</v>
      </c>
      <c r="G271" s="17">
        <v>-0.01</v>
      </c>
      <c r="H271" s="17">
        <v>-0.01</v>
      </c>
      <c r="I271" s="17">
        <v>-0.01</v>
      </c>
      <c r="J271" s="19">
        <v>-0.01</v>
      </c>
      <c r="K271" s="19">
        <v>-0.01</v>
      </c>
      <c r="L271" s="19">
        <v>-0.01</v>
      </c>
    </row>
    <row r="272" spans="3:12" x14ac:dyDescent="0.35">
      <c r="C272" t="s">
        <v>18</v>
      </c>
      <c r="D272" s="11" t="s">
        <v>36</v>
      </c>
      <c r="E272" t="s">
        <v>85</v>
      </c>
      <c r="F272" t="s">
        <v>104</v>
      </c>
      <c r="G272" s="17">
        <v>2500</v>
      </c>
      <c r="H272" s="17">
        <v>2500</v>
      </c>
      <c r="I272" s="17">
        <v>2500</v>
      </c>
      <c r="J272" s="20">
        <v>3000</v>
      </c>
      <c r="K272" s="20">
        <v>3000</v>
      </c>
      <c r="L272" s="20">
        <v>3000</v>
      </c>
    </row>
    <row r="273" spans="2:12" x14ac:dyDescent="0.35">
      <c r="C273" t="s">
        <v>18</v>
      </c>
      <c r="D273" s="11" t="s">
        <v>36</v>
      </c>
      <c r="E273" t="s">
        <v>87</v>
      </c>
      <c r="F273" t="s">
        <v>89</v>
      </c>
      <c r="G273" s="17">
        <v>20000</v>
      </c>
      <c r="H273" s="17">
        <v>20000</v>
      </c>
      <c r="I273" s="17">
        <v>20000</v>
      </c>
      <c r="J273" s="19">
        <v>20000</v>
      </c>
      <c r="K273" s="19">
        <v>20000</v>
      </c>
      <c r="L273" s="19">
        <v>20000</v>
      </c>
    </row>
    <row r="274" spans="2:12" x14ac:dyDescent="0.35">
      <c r="C274" t="s">
        <v>18</v>
      </c>
      <c r="D274" s="11" t="s">
        <v>36</v>
      </c>
      <c r="E274" t="s">
        <v>87</v>
      </c>
      <c r="F274" t="s">
        <v>104</v>
      </c>
      <c r="G274" s="17">
        <v>2000</v>
      </c>
      <c r="H274" s="17">
        <v>2000</v>
      </c>
      <c r="I274" s="17">
        <v>2000</v>
      </c>
      <c r="J274" s="20">
        <v>2500</v>
      </c>
      <c r="K274" s="20">
        <v>2500</v>
      </c>
      <c r="L274" s="20">
        <v>2500</v>
      </c>
    </row>
    <row r="275" spans="2:12" x14ac:dyDescent="0.35">
      <c r="C275" t="s">
        <v>18</v>
      </c>
      <c r="D275" s="11" t="s">
        <v>36</v>
      </c>
      <c r="E275" t="s">
        <v>88</v>
      </c>
      <c r="F275" t="s">
        <v>89</v>
      </c>
      <c r="G275" s="17">
        <v>30000</v>
      </c>
      <c r="H275" s="17">
        <v>30000</v>
      </c>
      <c r="I275" s="17">
        <v>30000</v>
      </c>
      <c r="J275" s="19">
        <v>30000</v>
      </c>
      <c r="K275" s="19">
        <v>30000</v>
      </c>
      <c r="L275" s="19">
        <v>30000</v>
      </c>
    </row>
    <row r="276" spans="2:12" x14ac:dyDescent="0.35">
      <c r="C276" t="s">
        <v>18</v>
      </c>
      <c r="D276" s="11" t="s">
        <v>36</v>
      </c>
      <c r="E276" t="s">
        <v>88</v>
      </c>
      <c r="F276" t="s">
        <v>104</v>
      </c>
      <c r="G276" s="17">
        <v>1500</v>
      </c>
      <c r="H276" s="17">
        <v>1500</v>
      </c>
      <c r="I276" s="17">
        <v>1500</v>
      </c>
      <c r="J276" s="20">
        <v>2000</v>
      </c>
      <c r="K276" s="20">
        <v>2000</v>
      </c>
      <c r="L276" s="20">
        <v>2000</v>
      </c>
    </row>
    <row r="277" spans="2:12" x14ac:dyDescent="0.35">
      <c r="C277" t="s">
        <v>18</v>
      </c>
      <c r="D277" s="11" t="s">
        <v>36</v>
      </c>
      <c r="E277" t="s">
        <v>105</v>
      </c>
      <c r="F277" t="s">
        <v>89</v>
      </c>
      <c r="G277" s="17">
        <v>40000</v>
      </c>
      <c r="H277" s="17">
        <v>40000</v>
      </c>
      <c r="I277" s="17">
        <v>40000</v>
      </c>
      <c r="J277" s="19">
        <v>40000</v>
      </c>
      <c r="K277" s="19">
        <v>40000</v>
      </c>
      <c r="L277" s="19">
        <v>40000</v>
      </c>
    </row>
    <row r="278" spans="2:12" x14ac:dyDescent="0.35">
      <c r="C278" t="s">
        <v>18</v>
      </c>
      <c r="D278" s="11" t="s">
        <v>36</v>
      </c>
      <c r="E278" t="s">
        <v>105</v>
      </c>
      <c r="F278" t="s">
        <v>104</v>
      </c>
      <c r="G278" s="17">
        <v>1000</v>
      </c>
      <c r="H278" s="17">
        <v>1000</v>
      </c>
      <c r="I278" s="17">
        <v>1000</v>
      </c>
      <c r="J278" s="20">
        <v>1500</v>
      </c>
      <c r="K278" s="20">
        <v>1500</v>
      </c>
      <c r="L278" s="20">
        <v>1500</v>
      </c>
    </row>
    <row r="279" spans="2:12" x14ac:dyDescent="0.35">
      <c r="C279" t="s">
        <v>18</v>
      </c>
      <c r="D279" s="11" t="s">
        <v>36</v>
      </c>
      <c r="E279" t="s">
        <v>106</v>
      </c>
      <c r="F279" t="s">
        <v>89</v>
      </c>
      <c r="G279" s="17">
        <v>50000</v>
      </c>
      <c r="H279" s="17">
        <v>50000</v>
      </c>
      <c r="I279" s="17">
        <v>50000</v>
      </c>
      <c r="J279" s="19">
        <v>50000</v>
      </c>
      <c r="K279" s="19">
        <v>50000</v>
      </c>
      <c r="L279" s="19">
        <v>50000</v>
      </c>
    </row>
    <row r="280" spans="2:12" x14ac:dyDescent="0.35">
      <c r="C280" t="s">
        <v>18</v>
      </c>
      <c r="D280" s="11" t="s">
        <v>36</v>
      </c>
      <c r="E280" t="s">
        <v>106</v>
      </c>
      <c r="F280" t="s">
        <v>104</v>
      </c>
      <c r="G280" s="17">
        <v>500</v>
      </c>
      <c r="H280" s="17">
        <v>500</v>
      </c>
      <c r="I280" s="17">
        <v>500</v>
      </c>
      <c r="J280" s="20">
        <v>1000</v>
      </c>
      <c r="K280" s="20">
        <v>1000</v>
      </c>
      <c r="L280" s="20">
        <v>1000</v>
      </c>
    </row>
    <row r="281" spans="2:12" x14ac:dyDescent="0.35">
      <c r="C281" t="s">
        <v>18</v>
      </c>
      <c r="D281" s="11" t="s">
        <v>36</v>
      </c>
      <c r="E281" t="s">
        <v>107</v>
      </c>
      <c r="F281" t="s">
        <v>89</v>
      </c>
      <c r="G281" s="17">
        <v>60000</v>
      </c>
      <c r="H281" s="17">
        <v>60000</v>
      </c>
      <c r="I281" s="17">
        <v>60000</v>
      </c>
      <c r="J281" s="19">
        <v>60000</v>
      </c>
      <c r="K281" s="19">
        <v>60000</v>
      </c>
      <c r="L281" s="19">
        <v>60000</v>
      </c>
    </row>
    <row r="282" spans="2:12" x14ac:dyDescent="0.35">
      <c r="C282" t="s">
        <v>18</v>
      </c>
      <c r="D282" s="11" t="s">
        <v>36</v>
      </c>
      <c r="E282" t="s">
        <v>107</v>
      </c>
      <c r="F282" t="s">
        <v>104</v>
      </c>
      <c r="G282" s="17">
        <v>0</v>
      </c>
      <c r="H282" s="17">
        <v>0</v>
      </c>
      <c r="I282" s="17">
        <v>0</v>
      </c>
      <c r="J282" s="20">
        <v>500</v>
      </c>
      <c r="K282" s="20">
        <v>500</v>
      </c>
      <c r="L282" s="20">
        <v>500</v>
      </c>
    </row>
    <row r="283" spans="2:12" x14ac:dyDescent="0.35">
      <c r="C283" t="s">
        <v>18</v>
      </c>
      <c r="D283" s="11" t="s">
        <v>36</v>
      </c>
      <c r="E283" s="5" t="s">
        <v>108</v>
      </c>
      <c r="F283" s="5" t="s">
        <v>89</v>
      </c>
      <c r="G283" s="21"/>
      <c r="H283" s="21"/>
      <c r="I283" s="21"/>
      <c r="J283" s="19">
        <v>70000</v>
      </c>
      <c r="K283" s="19">
        <v>70000</v>
      </c>
      <c r="L283" s="19">
        <v>70000</v>
      </c>
    </row>
    <row r="284" spans="2:12" x14ac:dyDescent="0.35">
      <c r="C284" t="s">
        <v>18</v>
      </c>
      <c r="D284" s="11" t="s">
        <v>36</v>
      </c>
      <c r="E284" s="11" t="s">
        <v>108</v>
      </c>
      <c r="F284" s="11" t="s">
        <v>104</v>
      </c>
      <c r="G284" s="21"/>
      <c r="H284" s="21"/>
      <c r="I284" s="21"/>
      <c r="J284" s="20">
        <v>0</v>
      </c>
      <c r="K284" s="20">
        <v>0</v>
      </c>
      <c r="L284" s="20">
        <v>0</v>
      </c>
    </row>
    <row r="285" spans="2:12" x14ac:dyDescent="0.35">
      <c r="D285" s="11"/>
      <c r="G285" s="17"/>
      <c r="H285" s="17"/>
      <c r="I285" s="17"/>
      <c r="J285" s="20"/>
    </row>
    <row r="286" spans="2:12" x14ac:dyDescent="0.35">
      <c r="B286" s="2" t="s">
        <v>59</v>
      </c>
    </row>
    <row r="287" spans="2:12" x14ac:dyDescent="0.35">
      <c r="B287" s="2"/>
      <c r="C287" t="s">
        <v>109</v>
      </c>
    </row>
    <row r="289" spans="2:6" x14ac:dyDescent="0.35">
      <c r="B289" s="2" t="s">
        <v>110</v>
      </c>
    </row>
    <row r="290" spans="2:6" x14ac:dyDescent="0.35">
      <c r="C290" t="s">
        <v>111</v>
      </c>
      <c r="D290" t="s">
        <v>112</v>
      </c>
    </row>
    <row r="291" spans="2:6" x14ac:dyDescent="0.35">
      <c r="D291" t="s">
        <v>113</v>
      </c>
    </row>
    <row r="292" spans="2:6" x14ac:dyDescent="0.35">
      <c r="C292" t="s">
        <v>94</v>
      </c>
      <c r="D292" s="4" t="s">
        <v>114</v>
      </c>
      <c r="E292" s="13" t="s">
        <v>18</v>
      </c>
    </row>
    <row r="293" spans="2:6" x14ac:dyDescent="0.35">
      <c r="D293" s="4" t="s">
        <v>115</v>
      </c>
      <c r="E293" t="s">
        <v>34</v>
      </c>
    </row>
    <row r="294" spans="2:6" x14ac:dyDescent="0.35">
      <c r="D294" s="4" t="s">
        <v>99</v>
      </c>
      <c r="E294" s="13">
        <v>2019</v>
      </c>
      <c r="F294" t="s">
        <v>100</v>
      </c>
    </row>
    <row r="295" spans="2:6" x14ac:dyDescent="0.35">
      <c r="D295" s="4" t="s">
        <v>116</v>
      </c>
      <c r="E295" s="22">
        <v>50000</v>
      </c>
      <c r="F295" t="s">
        <v>117</v>
      </c>
    </row>
    <row r="296" spans="2:6" x14ac:dyDescent="0.35">
      <c r="D296" s="6" t="s">
        <v>118</v>
      </c>
      <c r="E296" t="str">
        <f t="array" ref="E296">INDEX(stateTaxVariableChildDeduction[Bracket],MATCH(E295-0.01,IF(stateTaxVariableChildDeduction[State]=$E$292,IF(stateTaxVariableChildDeduction[Status]=E293,IF(stateTaxVariableChildDeduction[Condition]="Over",INDEX(stateTaxVariableChildDeduction[],,MATCH(E294,VALUE(stateTaxVariableChildDeduction[#Headers]),0))))),1))</f>
        <v>Bracket 3</v>
      </c>
    </row>
    <row r="298" spans="2:6" x14ac:dyDescent="0.35">
      <c r="B298" s="2" t="s">
        <v>119</v>
      </c>
    </row>
    <row r="299" spans="2:6" x14ac:dyDescent="0.35">
      <c r="C299" t="s">
        <v>91</v>
      </c>
      <c r="D299" t="s">
        <v>120</v>
      </c>
    </row>
    <row r="300" spans="2:6" x14ac:dyDescent="0.35">
      <c r="D300" t="s">
        <v>121</v>
      </c>
    </row>
    <row r="301" spans="2:6" x14ac:dyDescent="0.35">
      <c r="C301" t="s">
        <v>94</v>
      </c>
      <c r="D301" s="4" t="s">
        <v>95</v>
      </c>
      <c r="E301" s="13" t="s">
        <v>18</v>
      </c>
    </row>
    <row r="302" spans="2:6" x14ac:dyDescent="0.35">
      <c r="D302" s="4" t="s">
        <v>122</v>
      </c>
      <c r="E302" t="s">
        <v>34</v>
      </c>
    </row>
    <row r="303" spans="2:6" x14ac:dyDescent="0.35">
      <c r="D303" s="4" t="s">
        <v>97</v>
      </c>
      <c r="E303" s="13" t="s">
        <v>85</v>
      </c>
    </row>
    <row r="304" spans="2:6" x14ac:dyDescent="0.35">
      <c r="D304" s="4" t="s">
        <v>99</v>
      </c>
      <c r="E304" s="13">
        <v>2019</v>
      </c>
      <c r="F304" t="s">
        <v>100</v>
      </c>
    </row>
    <row r="305" spans="2:12" x14ac:dyDescent="0.35">
      <c r="D305" s="4" t="s">
        <v>123</v>
      </c>
      <c r="E305" s="17">
        <f t="array" ref="E305">INDEX(stateTaxVariableChildDeduction[],MATCH(1,(stateTaxVariableChildDeduction[State]=$E$301)*(stateTaxVariableChildDeduction[Status]=$E$302)*(stateTaxVariableChildDeduction[Bracket]=$E$303)*(stateTaxVariableChildDeduction[Condition]="Amount"),0),MATCH($E$304,VALUE(stateTaxVariableChildDeduction[#Headers]),0))</f>
        <v>2500</v>
      </c>
    </row>
    <row r="307" spans="2:12" x14ac:dyDescent="0.35">
      <c r="B307" s="2" t="s">
        <v>124</v>
      </c>
    </row>
    <row r="308" spans="2:12" x14ac:dyDescent="0.35">
      <c r="C308" t="s">
        <v>5</v>
      </c>
      <c r="D308" t="s">
        <v>58</v>
      </c>
      <c r="E308" s="3" t="s">
        <v>6</v>
      </c>
      <c r="F308" s="3" t="s">
        <v>7</v>
      </c>
      <c r="G308" s="3" t="s">
        <v>8</v>
      </c>
      <c r="H308" s="3" t="s">
        <v>9</v>
      </c>
      <c r="I308" s="3" t="s">
        <v>10</v>
      </c>
      <c r="J308" s="3" t="s">
        <v>325</v>
      </c>
    </row>
    <row r="309" spans="2:12" x14ac:dyDescent="0.35">
      <c r="C309" t="s">
        <v>11</v>
      </c>
      <c r="D309" t="s">
        <v>125</v>
      </c>
      <c r="E309" s="3" t="b">
        <v>1</v>
      </c>
      <c r="F309" s="3" t="b">
        <v>1</v>
      </c>
      <c r="G309" s="3" t="b">
        <v>1</v>
      </c>
      <c r="H309" s="3" t="b">
        <v>1</v>
      </c>
      <c r="I309" s="3" t="b">
        <v>1</v>
      </c>
      <c r="J309" s="3" t="b">
        <v>1</v>
      </c>
    </row>
    <row r="310" spans="2:12" x14ac:dyDescent="0.35">
      <c r="C310" t="s">
        <v>11</v>
      </c>
      <c r="D310" t="s">
        <v>126</v>
      </c>
      <c r="E310" s="3" t="b">
        <v>1</v>
      </c>
      <c r="F310" s="3" t="b">
        <v>1</v>
      </c>
      <c r="G310" s="3" t="b">
        <v>1</v>
      </c>
      <c r="H310" s="3" t="b">
        <v>1</v>
      </c>
      <c r="I310" s="3" t="b">
        <v>1</v>
      </c>
      <c r="J310" s="3" t="b">
        <v>1</v>
      </c>
    </row>
    <row r="311" spans="2:12" x14ac:dyDescent="0.35">
      <c r="C311" t="s">
        <v>11</v>
      </c>
      <c r="D311" t="s">
        <v>127</v>
      </c>
      <c r="E311" s="3" t="b">
        <v>1</v>
      </c>
      <c r="F311" s="3" t="b">
        <v>1</v>
      </c>
      <c r="G311" s="3" t="b">
        <v>1</v>
      </c>
      <c r="H311" s="3" t="b">
        <v>1</v>
      </c>
      <c r="I311" s="3" t="b">
        <v>1</v>
      </c>
      <c r="J311" s="3" t="b">
        <v>1</v>
      </c>
    </row>
    <row r="312" spans="2:12" x14ac:dyDescent="0.35">
      <c r="C312" t="s">
        <v>15</v>
      </c>
      <c r="D312" t="s">
        <v>125</v>
      </c>
      <c r="E312" s="3" t="b">
        <v>1</v>
      </c>
      <c r="F312" s="3" t="b">
        <v>1</v>
      </c>
      <c r="G312" s="3" t="b">
        <v>1</v>
      </c>
      <c r="H312" s="3" t="b">
        <v>0</v>
      </c>
      <c r="I312" s="3" t="b">
        <v>0</v>
      </c>
      <c r="J312" s="3" t="b">
        <v>0</v>
      </c>
      <c r="K312" s="23"/>
      <c r="L312" s="23" t="s">
        <v>128</v>
      </c>
    </row>
    <row r="313" spans="2:12" x14ac:dyDescent="0.35">
      <c r="C313" t="s">
        <v>15</v>
      </c>
      <c r="D313" t="s">
        <v>126</v>
      </c>
      <c r="E313" s="3" t="b">
        <v>0</v>
      </c>
      <c r="F313" s="3" t="b">
        <v>0</v>
      </c>
      <c r="G313" s="3" t="b">
        <v>0</v>
      </c>
      <c r="H313" s="3" t="b">
        <v>0</v>
      </c>
      <c r="I313" s="3" t="b">
        <v>0</v>
      </c>
      <c r="J313" s="3" t="b">
        <v>0</v>
      </c>
    </row>
    <row r="314" spans="2:12" x14ac:dyDescent="0.35">
      <c r="C314" t="s">
        <v>15</v>
      </c>
      <c r="D314" t="s">
        <v>127</v>
      </c>
      <c r="E314" s="3" t="b">
        <v>0</v>
      </c>
      <c r="F314" s="3" t="b">
        <v>0</v>
      </c>
      <c r="G314" s="3" t="b">
        <v>0</v>
      </c>
      <c r="H314" s="3" t="b">
        <v>0</v>
      </c>
      <c r="I314" s="3" t="b">
        <v>0</v>
      </c>
      <c r="J314" s="3" t="b">
        <v>0</v>
      </c>
    </row>
    <row r="315" spans="2:12" x14ac:dyDescent="0.35">
      <c r="C315" t="s">
        <v>259</v>
      </c>
      <c r="D315" t="s">
        <v>125</v>
      </c>
      <c r="E315" s="3" t="b">
        <v>1</v>
      </c>
      <c r="F315" s="3" t="b">
        <v>1</v>
      </c>
      <c r="G315" s="3" t="b">
        <v>1</v>
      </c>
      <c r="H315" s="3" t="b">
        <v>1</v>
      </c>
      <c r="I315" s="3" t="b">
        <v>1</v>
      </c>
      <c r="J315" s="3" t="b">
        <v>1</v>
      </c>
    </row>
    <row r="316" spans="2:12" x14ac:dyDescent="0.35">
      <c r="C316" t="s">
        <v>259</v>
      </c>
      <c r="D316" t="s">
        <v>126</v>
      </c>
      <c r="E316" s="3" t="b">
        <v>0</v>
      </c>
      <c r="F316" s="3" t="b">
        <v>0</v>
      </c>
      <c r="G316" s="3" t="b">
        <v>0</v>
      </c>
      <c r="H316" s="3" t="b">
        <v>0</v>
      </c>
      <c r="I316" s="3" t="b">
        <v>0</v>
      </c>
      <c r="J316" s="3" t="b">
        <v>0</v>
      </c>
    </row>
    <row r="317" spans="2:12" x14ac:dyDescent="0.35">
      <c r="C317" t="s">
        <v>259</v>
      </c>
      <c r="D317" t="s">
        <v>127</v>
      </c>
      <c r="E317" s="3" t="b">
        <v>0</v>
      </c>
      <c r="F317" s="3" t="b">
        <v>0</v>
      </c>
      <c r="G317" s="3" t="b">
        <v>0</v>
      </c>
      <c r="H317" s="3" t="b">
        <v>0</v>
      </c>
      <c r="I317" s="3" t="b">
        <v>0</v>
      </c>
      <c r="J317" s="3" t="b">
        <v>0</v>
      </c>
    </row>
    <row r="318" spans="2:12" x14ac:dyDescent="0.35">
      <c r="E318" s="3"/>
      <c r="F318" s="3"/>
      <c r="G318" s="3"/>
    </row>
    <row r="320" spans="2:12" x14ac:dyDescent="0.35">
      <c r="B320" s="2" t="s">
        <v>22</v>
      </c>
    </row>
    <row r="321" spans="2:7" x14ac:dyDescent="0.35">
      <c r="C321" s="4" t="s">
        <v>23</v>
      </c>
      <c r="D321" t="s">
        <v>129</v>
      </c>
    </row>
    <row r="322" spans="2:7" x14ac:dyDescent="0.35">
      <c r="D322" t="s">
        <v>130</v>
      </c>
    </row>
    <row r="323" spans="2:7" x14ac:dyDescent="0.35">
      <c r="D323" t="s">
        <v>131</v>
      </c>
    </row>
    <row r="324" spans="2:7" x14ac:dyDescent="0.35">
      <c r="D324" s="4" t="s">
        <v>132</v>
      </c>
      <c r="E324" s="3" t="s">
        <v>15</v>
      </c>
    </row>
    <row r="325" spans="2:7" x14ac:dyDescent="0.35">
      <c r="D325" s="4" t="s">
        <v>133</v>
      </c>
      <c r="E325" s="3" t="s">
        <v>125</v>
      </c>
      <c r="G325" s="5" t="s">
        <v>125</v>
      </c>
    </row>
    <row r="326" spans="2:7" x14ac:dyDescent="0.35">
      <c r="D326" s="4" t="s">
        <v>134</v>
      </c>
      <c r="E326" s="3">
        <v>2019</v>
      </c>
      <c r="G326" s="11" t="s">
        <v>126</v>
      </c>
    </row>
    <row r="327" spans="2:7" x14ac:dyDescent="0.35">
      <c r="D327" s="4" t="s">
        <v>135</v>
      </c>
      <c r="E327" t="b">
        <f t="array" ref="E327">INDEX(stateTaxDeductFederalTaxes[],MATCH(1,(stateTaxDeductFederalTaxes[State]=$E$324)*(stateTaxDeductFederalTaxes[Name]=$E$325),0),MATCH($E$326,VALUE(stateTaxDeductFederalTaxes[#Headers]),0))</f>
        <v>1</v>
      </c>
      <c r="G327" s="5" t="s">
        <v>127</v>
      </c>
    </row>
    <row r="328" spans="2:7" x14ac:dyDescent="0.35">
      <c r="D328" s="4" t="s">
        <v>136</v>
      </c>
      <c r="E328" s="24" t="b">
        <f t="array" ref="E328">_xlfn.IFNA(INDEX(stateTaxDeductFederalTaxes[],MATCH(1,(stateTaxDeductFederalTaxes[State]=$E$324)*(stateTaxDeductFederalTaxes[Name]=$E$325),0),MATCH($E$326,VALUE(stateTaxDeductFederalTaxes[#Headers]),0)),FALSE)</f>
        <v>1</v>
      </c>
    </row>
    <row r="330" spans="2:7" x14ac:dyDescent="0.35">
      <c r="B330" s="2" t="s">
        <v>137</v>
      </c>
    </row>
    <row r="331" spans="2:7" x14ac:dyDescent="0.35">
      <c r="B331" t="s">
        <v>138</v>
      </c>
    </row>
    <row r="333" spans="2:7" x14ac:dyDescent="0.35">
      <c r="B333" s="2" t="s">
        <v>139</v>
      </c>
    </row>
    <row r="334" spans="2:7" x14ac:dyDescent="0.35">
      <c r="C334" t="s">
        <v>5</v>
      </c>
      <c r="D334" s="3" t="s">
        <v>140</v>
      </c>
      <c r="E334" s="3" t="s">
        <v>141</v>
      </c>
      <c r="F334" t="s">
        <v>142</v>
      </c>
    </row>
    <row r="335" spans="2:7" x14ac:dyDescent="0.35">
      <c r="C335" t="s">
        <v>11</v>
      </c>
      <c r="D335" s="12">
        <v>100</v>
      </c>
      <c r="E335" s="12">
        <v>50</v>
      </c>
      <c r="F335" s="12">
        <v>50</v>
      </c>
    </row>
    <row r="336" spans="2:7" x14ac:dyDescent="0.35">
      <c r="C336" t="s">
        <v>14</v>
      </c>
      <c r="D336" s="12">
        <v>100</v>
      </c>
      <c r="E336" s="12">
        <v>50</v>
      </c>
      <c r="F336" s="12">
        <v>100</v>
      </c>
    </row>
    <row r="337" spans="2:9" x14ac:dyDescent="0.35">
      <c r="C337" t="s">
        <v>15</v>
      </c>
      <c r="D337" s="12">
        <v>250</v>
      </c>
      <c r="E337" s="12">
        <v>125</v>
      </c>
      <c r="F337" s="12">
        <v>0</v>
      </c>
    </row>
    <row r="339" spans="2:9" x14ac:dyDescent="0.35">
      <c r="B339" s="2" t="s">
        <v>22</v>
      </c>
    </row>
    <row r="340" spans="2:9" x14ac:dyDescent="0.35">
      <c r="B340" s="2"/>
      <c r="C340" t="s">
        <v>91</v>
      </c>
      <c r="D340" t="s">
        <v>143</v>
      </c>
    </row>
    <row r="341" spans="2:9" x14ac:dyDescent="0.35">
      <c r="B341" s="2"/>
      <c r="C341" t="s">
        <v>94</v>
      </c>
      <c r="D341" t="s">
        <v>144</v>
      </c>
      <c r="E341" t="s">
        <v>14</v>
      </c>
    </row>
    <row r="342" spans="2:9" x14ac:dyDescent="0.35">
      <c r="B342" s="2"/>
      <c r="D342" t="s">
        <v>145</v>
      </c>
      <c r="E342">
        <f>INDEX(stateTaxBracketAdjustment[],MATCH(E341,stateTaxBracketAdjustment[State],0),2)</f>
        <v>100</v>
      </c>
    </row>
    <row r="343" spans="2:9" x14ac:dyDescent="0.35">
      <c r="D343" t="s">
        <v>146</v>
      </c>
      <c r="E343">
        <f>INDEX(stateTaxBracketAdjustment[],MATCH(E341,stateTaxBracketAdjustment[State],0),3)</f>
        <v>50</v>
      </c>
    </row>
    <row r="345" spans="2:9" x14ac:dyDescent="0.35">
      <c r="B345" s="2" t="s">
        <v>229</v>
      </c>
    </row>
    <row r="346" spans="2:9" x14ac:dyDescent="0.35">
      <c r="B346" s="2" t="s">
        <v>230</v>
      </c>
    </row>
    <row r="347" spans="2:9" x14ac:dyDescent="0.35">
      <c r="C347" t="s">
        <v>5</v>
      </c>
      <c r="D347" s="3" t="s">
        <v>6</v>
      </c>
      <c r="E347" s="3" t="s">
        <v>7</v>
      </c>
      <c r="F347" s="3" t="s">
        <v>8</v>
      </c>
      <c r="G347" s="3" t="s">
        <v>9</v>
      </c>
      <c r="H347" s="3" t="s">
        <v>10</v>
      </c>
      <c r="I347" s="3" t="s">
        <v>325</v>
      </c>
    </row>
    <row r="348" spans="2:9" x14ac:dyDescent="0.35">
      <c r="C348" t="s">
        <v>14</v>
      </c>
      <c r="D348" s="48">
        <v>0.3</v>
      </c>
      <c r="E348" s="48">
        <v>0.3</v>
      </c>
      <c r="F348" s="48">
        <v>0.3</v>
      </c>
      <c r="G348" s="48">
        <v>0.3</v>
      </c>
      <c r="H348" s="48">
        <v>0.3</v>
      </c>
      <c r="I348" s="48">
        <v>0.3</v>
      </c>
    </row>
    <row r="349" spans="2:9" x14ac:dyDescent="0.35">
      <c r="C349" t="s">
        <v>17</v>
      </c>
      <c r="D349" s="48"/>
      <c r="E349" s="48"/>
      <c r="F349" s="48">
        <v>7.0000000000000007E-2</v>
      </c>
      <c r="G349" s="48">
        <v>7.0000000000000007E-2</v>
      </c>
      <c r="H349" s="48">
        <v>7.0000000000000007E-2</v>
      </c>
      <c r="I349" s="48">
        <v>7.0000000000000007E-2</v>
      </c>
    </row>
    <row r="351" spans="2:9" x14ac:dyDescent="0.35">
      <c r="B351" s="2" t="s">
        <v>22</v>
      </c>
    </row>
    <row r="352" spans="2:9" x14ac:dyDescent="0.35">
      <c r="B352" s="2"/>
      <c r="C352" t="s">
        <v>91</v>
      </c>
      <c r="D352" t="s">
        <v>231</v>
      </c>
    </row>
    <row r="353" spans="2:7" x14ac:dyDescent="0.35">
      <c r="B353" s="2"/>
      <c r="C353" t="s">
        <v>94</v>
      </c>
      <c r="D353" t="s">
        <v>144</v>
      </c>
      <c r="E353" t="s">
        <v>14</v>
      </c>
    </row>
    <row r="354" spans="2:7" x14ac:dyDescent="0.35">
      <c r="D354" t="s">
        <v>232</v>
      </c>
      <c r="E354">
        <v>2018</v>
      </c>
    </row>
    <row r="355" spans="2:7" x14ac:dyDescent="0.35">
      <c r="D355" s="6" t="s">
        <v>118</v>
      </c>
      <c r="E355" s="49">
        <f t="array" ref="E355">INDEX(stateTaxMatchFedCDCECredit121[],MATCH("Georgia",stateTaxMatchFedCDCECredit121[State],0),MATCH(E354,VALUE(stateTaxMatchFedCDCECredit121[#Headers]),0))</f>
        <v>0.3</v>
      </c>
    </row>
    <row r="357" spans="2:7" x14ac:dyDescent="0.35">
      <c r="B357" s="2" t="s">
        <v>233</v>
      </c>
    </row>
    <row r="358" spans="2:7" x14ac:dyDescent="0.35">
      <c r="B358" s="2" t="s">
        <v>234</v>
      </c>
      <c r="F358" t="s">
        <v>235</v>
      </c>
    </row>
    <row r="359" spans="2:7" x14ac:dyDescent="0.35">
      <c r="C359" t="s">
        <v>5</v>
      </c>
      <c r="D359" t="s">
        <v>58</v>
      </c>
      <c r="E359" t="s">
        <v>84</v>
      </c>
      <c r="F359" s="3" t="s">
        <v>236</v>
      </c>
      <c r="G359" s="3" t="s">
        <v>237</v>
      </c>
    </row>
    <row r="360" spans="2:7" x14ac:dyDescent="0.35">
      <c r="C360" t="s">
        <v>14</v>
      </c>
      <c r="D360" t="s">
        <v>238</v>
      </c>
      <c r="E360" s="50" t="s">
        <v>85</v>
      </c>
      <c r="F360" s="50">
        <v>0</v>
      </c>
      <c r="G360" s="50">
        <v>26</v>
      </c>
    </row>
    <row r="361" spans="2:7" x14ac:dyDescent="0.35">
      <c r="C361" t="s">
        <v>14</v>
      </c>
      <c r="D361" t="s">
        <v>238</v>
      </c>
      <c r="E361" s="50" t="s">
        <v>87</v>
      </c>
      <c r="F361" s="50">
        <v>6000</v>
      </c>
      <c r="G361" s="50">
        <v>20</v>
      </c>
    </row>
    <row r="362" spans="2:7" x14ac:dyDescent="0.35">
      <c r="C362" t="s">
        <v>14</v>
      </c>
      <c r="D362" t="s">
        <v>238</v>
      </c>
      <c r="E362" s="50" t="s">
        <v>88</v>
      </c>
      <c r="F362" s="50">
        <v>8000</v>
      </c>
      <c r="G362" s="50">
        <v>14</v>
      </c>
    </row>
    <row r="363" spans="2:7" x14ac:dyDescent="0.35">
      <c r="C363" t="s">
        <v>14</v>
      </c>
      <c r="D363" t="s">
        <v>238</v>
      </c>
      <c r="E363" s="50" t="s">
        <v>105</v>
      </c>
      <c r="F363" s="50">
        <v>10000</v>
      </c>
      <c r="G363" s="50">
        <v>8</v>
      </c>
    </row>
    <row r="364" spans="2:7" x14ac:dyDescent="0.35">
      <c r="C364" t="s">
        <v>14</v>
      </c>
      <c r="D364" t="s">
        <v>238</v>
      </c>
      <c r="E364" s="50" t="s">
        <v>106</v>
      </c>
      <c r="F364" s="50">
        <v>15000</v>
      </c>
      <c r="G364" s="50">
        <v>5</v>
      </c>
    </row>
    <row r="365" spans="2:7" x14ac:dyDescent="0.35">
      <c r="C365" t="s">
        <v>14</v>
      </c>
      <c r="D365" t="s">
        <v>238</v>
      </c>
      <c r="E365" s="50" t="s">
        <v>107</v>
      </c>
      <c r="F365" s="50">
        <v>20000</v>
      </c>
      <c r="G365" s="50">
        <v>0</v>
      </c>
    </row>
    <row r="368" spans="2:7" x14ac:dyDescent="0.35">
      <c r="C368" s="2" t="s">
        <v>239</v>
      </c>
    </row>
    <row r="369" spans="3:9" x14ac:dyDescent="0.35">
      <c r="C369" t="s">
        <v>111</v>
      </c>
      <c r="D369" t="s">
        <v>240</v>
      </c>
    </row>
    <row r="370" spans="3:9" x14ac:dyDescent="0.35">
      <c r="D370" t="s">
        <v>113</v>
      </c>
    </row>
    <row r="371" spans="3:9" x14ac:dyDescent="0.35">
      <c r="C371" t="s">
        <v>94</v>
      </c>
      <c r="D371" s="4" t="s">
        <v>114</v>
      </c>
      <c r="E371" s="13" t="s">
        <v>14</v>
      </c>
    </row>
    <row r="372" spans="3:9" x14ac:dyDescent="0.35">
      <c r="D372" s="4" t="s">
        <v>241</v>
      </c>
      <c r="E372" s="22">
        <v>6000</v>
      </c>
      <c r="F372" t="s">
        <v>117</v>
      </c>
    </row>
    <row r="373" spans="3:9" x14ac:dyDescent="0.35">
      <c r="D373" s="6" t="s">
        <v>118</v>
      </c>
      <c r="E373" t="str">
        <f t="array" ref="E373">INDEX(stateTaxLowIncomeCredit122[Bracket],MATCH(E372,IF(stateTaxLowIncomeCredit122[State]="Georgia",stateTaxLowIncomeCredit122[Federal AGI]),1))</f>
        <v>Bracket 2</v>
      </c>
    </row>
    <row r="374" spans="3:9" x14ac:dyDescent="0.35">
      <c r="E374" s="34"/>
    </row>
    <row r="375" spans="3:9" x14ac:dyDescent="0.35">
      <c r="C375" t="s">
        <v>242</v>
      </c>
    </row>
    <row r="376" spans="3:9" x14ac:dyDescent="0.35">
      <c r="C376" t="s">
        <v>91</v>
      </c>
      <c r="D376" t="s">
        <v>243</v>
      </c>
    </row>
    <row r="377" spans="3:9" x14ac:dyDescent="0.35">
      <c r="D377" t="s">
        <v>93</v>
      </c>
    </row>
    <row r="378" spans="3:9" x14ac:dyDescent="0.35">
      <c r="C378" t="s">
        <v>244</v>
      </c>
      <c r="D378" s="4" t="s">
        <v>245</v>
      </c>
      <c r="E378" s="13" t="s">
        <v>14</v>
      </c>
    </row>
    <row r="379" spans="3:9" x14ac:dyDescent="0.35">
      <c r="D379" s="4" t="s">
        <v>246</v>
      </c>
      <c r="E379" s="13" t="s">
        <v>87</v>
      </c>
    </row>
    <row r="380" spans="3:9" x14ac:dyDescent="0.35">
      <c r="D380" s="6" t="s">
        <v>118</v>
      </c>
      <c r="E380">
        <f t="array" ref="E380">INDEX(stateTaxLowIncomeCredit122[],MATCH(1,(stateTaxLowIncomeCredit122[State]="Georgia")*(stateTaxLowIncomeCredit122[Bracket]=$E$5326),0),MATCH("Credit",stateTaxLowIncomeCredit122[#Headers],0))</f>
        <v>26</v>
      </c>
      <c r="F380" t="s">
        <v>247</v>
      </c>
      <c r="I380" s="35" t="s">
        <v>206</v>
      </c>
    </row>
    <row r="381" spans="3:9" x14ac:dyDescent="0.35">
      <c r="C381" s="6"/>
      <c r="D381" s="14"/>
      <c r="E381" s="51"/>
      <c r="I381" t="s">
        <v>85</v>
      </c>
    </row>
    <row r="382" spans="3:9" x14ac:dyDescent="0.35">
      <c r="C382" s="6"/>
      <c r="D382" s="37"/>
      <c r="E382" s="52"/>
      <c r="I382" t="s">
        <v>87</v>
      </c>
    </row>
    <row r="383" spans="3:9" x14ac:dyDescent="0.35">
      <c r="C383" s="6"/>
      <c r="D383" s="14"/>
      <c r="E383" s="53"/>
      <c r="I383" t="s">
        <v>88</v>
      </c>
    </row>
    <row r="384" spans="3:9" x14ac:dyDescent="0.35">
      <c r="C384" s="6"/>
      <c r="D384" s="37"/>
      <c r="E384" s="52"/>
      <c r="I384" t="s">
        <v>105</v>
      </c>
    </row>
    <row r="385" spans="2:9" x14ac:dyDescent="0.35">
      <c r="C385" s="33" t="s">
        <v>198</v>
      </c>
      <c r="D385" t="s">
        <v>199</v>
      </c>
      <c r="E385" s="40"/>
      <c r="I385" t="s">
        <v>106</v>
      </c>
    </row>
    <row r="386" spans="2:9" x14ac:dyDescent="0.35">
      <c r="D386" t="s">
        <v>207</v>
      </c>
      <c r="E386" s="40"/>
    </row>
    <row r="387" spans="2:9" x14ac:dyDescent="0.35">
      <c r="C387" s="6"/>
      <c r="D387" t="s">
        <v>208</v>
      </c>
      <c r="E387" s="40"/>
    </row>
    <row r="388" spans="2:9" x14ac:dyDescent="0.35">
      <c r="D388" t="s">
        <v>209</v>
      </c>
    </row>
    <row r="389" spans="2:9" x14ac:dyDescent="0.35">
      <c r="D389" t="s">
        <v>210</v>
      </c>
    </row>
    <row r="391" spans="2:9" x14ac:dyDescent="0.35">
      <c r="B391" s="2" t="s">
        <v>260</v>
      </c>
    </row>
    <row r="392" spans="2:9" x14ac:dyDescent="0.35">
      <c r="C392" s="56" t="s">
        <v>5</v>
      </c>
      <c r="D392" s="56" t="s">
        <v>253</v>
      </c>
      <c r="E392" s="57" t="s">
        <v>84</v>
      </c>
      <c r="F392" s="57" t="s">
        <v>261</v>
      </c>
      <c r="G392" s="57" t="s">
        <v>262</v>
      </c>
      <c r="H392" s="57" t="s">
        <v>150</v>
      </c>
      <c r="I392" s="57" t="s">
        <v>263</v>
      </c>
    </row>
    <row r="393" spans="2:9" x14ac:dyDescent="0.35">
      <c r="C393" s="3" t="s">
        <v>15</v>
      </c>
      <c r="D393" s="3">
        <v>2020</v>
      </c>
      <c r="E393" s="3" t="s">
        <v>85</v>
      </c>
      <c r="F393" s="3">
        <v>25000</v>
      </c>
      <c r="G393" s="3">
        <v>35000</v>
      </c>
      <c r="H393" s="48">
        <v>0.3</v>
      </c>
      <c r="I393" s="3"/>
    </row>
    <row r="394" spans="2:9" x14ac:dyDescent="0.35">
      <c r="C394" s="3" t="s">
        <v>15</v>
      </c>
      <c r="D394" s="3">
        <v>2020</v>
      </c>
      <c r="E394" s="3" t="s">
        <v>87</v>
      </c>
      <c r="F394" s="3">
        <v>35000</v>
      </c>
      <c r="G394" s="3">
        <v>60000</v>
      </c>
      <c r="H394" s="48">
        <v>0.1</v>
      </c>
      <c r="I394" s="3"/>
    </row>
    <row r="395" spans="2:9" x14ac:dyDescent="0.35">
      <c r="C395" s="3" t="s">
        <v>15</v>
      </c>
      <c r="D395" s="3">
        <v>2020</v>
      </c>
      <c r="E395" s="3" t="s">
        <v>88</v>
      </c>
      <c r="F395" s="3">
        <v>60000</v>
      </c>
      <c r="G395" s="3" t="s">
        <v>264</v>
      </c>
      <c r="H395" s="48">
        <v>0.1</v>
      </c>
      <c r="I395" s="8">
        <v>25</v>
      </c>
    </row>
    <row r="396" spans="2:9" x14ac:dyDescent="0.35">
      <c r="C396" s="3" t="s">
        <v>15</v>
      </c>
      <c r="D396" s="3">
        <v>2021</v>
      </c>
      <c r="E396" s="3" t="s">
        <v>85</v>
      </c>
      <c r="F396" s="3">
        <v>25000</v>
      </c>
      <c r="G396" s="3">
        <v>35000</v>
      </c>
      <c r="H396" s="48">
        <v>0.3</v>
      </c>
      <c r="I396" s="3"/>
    </row>
    <row r="397" spans="2:9" x14ac:dyDescent="0.35">
      <c r="C397" s="3" t="s">
        <v>15</v>
      </c>
      <c r="D397" s="3">
        <v>2021</v>
      </c>
      <c r="E397" s="3" t="s">
        <v>87</v>
      </c>
      <c r="F397" s="3">
        <v>35000</v>
      </c>
      <c r="G397" s="3">
        <v>60000</v>
      </c>
      <c r="H397" s="48">
        <v>0.1</v>
      </c>
      <c r="I397" s="3"/>
    </row>
    <row r="398" spans="2:9" x14ac:dyDescent="0.35">
      <c r="C398" s="3" t="s">
        <v>15</v>
      </c>
      <c r="D398" s="3">
        <v>2021</v>
      </c>
      <c r="E398" s="3" t="s">
        <v>88</v>
      </c>
      <c r="F398" s="3">
        <v>60000</v>
      </c>
      <c r="G398" s="3" t="s">
        <v>264</v>
      </c>
      <c r="H398" s="48">
        <v>0.1</v>
      </c>
      <c r="I398" s="8">
        <v>25</v>
      </c>
    </row>
    <row r="399" spans="2:9" x14ac:dyDescent="0.35">
      <c r="C399" s="3" t="s">
        <v>15</v>
      </c>
      <c r="D399" s="3">
        <v>2022</v>
      </c>
      <c r="E399" s="3" t="s">
        <v>85</v>
      </c>
      <c r="F399" s="3">
        <v>25000</v>
      </c>
      <c r="G399" s="3">
        <v>35000</v>
      </c>
      <c r="H399" s="48">
        <v>0.3</v>
      </c>
      <c r="I399" s="3"/>
    </row>
    <row r="400" spans="2:9" x14ac:dyDescent="0.35">
      <c r="C400" s="3" t="s">
        <v>15</v>
      </c>
      <c r="D400" s="3">
        <v>2022</v>
      </c>
      <c r="E400" s="3" t="s">
        <v>87</v>
      </c>
      <c r="F400" s="3">
        <v>35000</v>
      </c>
      <c r="G400" s="3">
        <v>60000</v>
      </c>
      <c r="H400" s="48">
        <v>0.1</v>
      </c>
      <c r="I400" s="3"/>
    </row>
    <row r="401" spans="2:9" x14ac:dyDescent="0.35">
      <c r="C401" s="3" t="s">
        <v>15</v>
      </c>
      <c r="D401" s="3">
        <v>2022</v>
      </c>
      <c r="E401" s="3" t="s">
        <v>88</v>
      </c>
      <c r="F401" s="3">
        <v>60000</v>
      </c>
      <c r="G401" s="3" t="s">
        <v>264</v>
      </c>
      <c r="H401" s="48">
        <v>0.1</v>
      </c>
      <c r="I401" s="8">
        <v>25</v>
      </c>
    </row>
    <row r="402" spans="2:9" x14ac:dyDescent="0.35">
      <c r="C402" s="3" t="s">
        <v>15</v>
      </c>
      <c r="D402" s="3">
        <v>2023</v>
      </c>
      <c r="E402" s="3" t="s">
        <v>85</v>
      </c>
      <c r="F402" s="3">
        <v>25000</v>
      </c>
      <c r="G402" s="3">
        <v>35000</v>
      </c>
      <c r="H402" s="48">
        <v>0.3</v>
      </c>
      <c r="I402" s="8"/>
    </row>
    <row r="403" spans="2:9" x14ac:dyDescent="0.35">
      <c r="C403" s="3" t="s">
        <v>15</v>
      </c>
      <c r="D403" s="3">
        <v>2023</v>
      </c>
      <c r="E403" s="3" t="s">
        <v>87</v>
      </c>
      <c r="F403" s="3">
        <v>35000</v>
      </c>
      <c r="G403" s="3">
        <v>60000</v>
      </c>
      <c r="H403" s="48">
        <v>0.1</v>
      </c>
      <c r="I403" s="8"/>
    </row>
    <row r="404" spans="2:9" x14ac:dyDescent="0.35">
      <c r="C404" s="3" t="s">
        <v>15</v>
      </c>
      <c r="D404" s="3">
        <v>2023</v>
      </c>
      <c r="E404" s="3" t="s">
        <v>88</v>
      </c>
      <c r="F404" s="3">
        <v>60000</v>
      </c>
      <c r="G404" s="3" t="s">
        <v>264</v>
      </c>
      <c r="H404" s="48">
        <v>0.1</v>
      </c>
      <c r="I404" s="8">
        <v>25</v>
      </c>
    </row>
    <row r="406" spans="2:9" x14ac:dyDescent="0.35">
      <c r="B406" s="2" t="s">
        <v>265</v>
      </c>
    </row>
    <row r="407" spans="2:9" x14ac:dyDescent="0.35">
      <c r="C407" s="56" t="s">
        <v>5</v>
      </c>
      <c r="D407" s="56" t="s">
        <v>253</v>
      </c>
      <c r="E407" s="57" t="s">
        <v>261</v>
      </c>
      <c r="F407" s="56" t="s">
        <v>150</v>
      </c>
    </row>
    <row r="408" spans="2:9" x14ac:dyDescent="0.35">
      <c r="C408" s="58" t="s">
        <v>15</v>
      </c>
      <c r="D408" s="3">
        <v>2020</v>
      </c>
      <c r="E408" s="58">
        <v>25000</v>
      </c>
      <c r="F408" s="59">
        <v>0.5</v>
      </c>
    </row>
    <row r="409" spans="2:9" x14ac:dyDescent="0.35">
      <c r="C409" s="58" t="s">
        <v>15</v>
      </c>
      <c r="D409" s="58">
        <v>2021</v>
      </c>
      <c r="E409" s="58">
        <v>25000</v>
      </c>
      <c r="F409" s="59">
        <v>0.5</v>
      </c>
    </row>
    <row r="410" spans="2:9" x14ac:dyDescent="0.35">
      <c r="C410" s="58" t="s">
        <v>15</v>
      </c>
      <c r="D410" s="58">
        <v>2022</v>
      </c>
      <c r="E410" s="58">
        <v>25000</v>
      </c>
      <c r="F410" s="59">
        <v>0.5</v>
      </c>
    </row>
    <row r="411" spans="2:9" x14ac:dyDescent="0.35">
      <c r="C411" s="58" t="s">
        <v>15</v>
      </c>
      <c r="D411" s="58">
        <v>2023</v>
      </c>
      <c r="E411" s="58">
        <v>25000</v>
      </c>
      <c r="F411" s="59">
        <v>0.5</v>
      </c>
    </row>
    <row r="413" spans="2:9" x14ac:dyDescent="0.35">
      <c r="B413" s="2" t="s">
        <v>266</v>
      </c>
      <c r="F413" s="45"/>
      <c r="G413" s="44"/>
    </row>
    <row r="414" spans="2:9" x14ac:dyDescent="0.35">
      <c r="C414" s="56" t="s">
        <v>5</v>
      </c>
      <c r="D414" s="56" t="s">
        <v>253</v>
      </c>
      <c r="E414" s="56" t="s">
        <v>267</v>
      </c>
      <c r="F414" s="57" t="s">
        <v>268</v>
      </c>
      <c r="G414" s="57" t="s">
        <v>269</v>
      </c>
      <c r="H414" s="57" t="s">
        <v>270</v>
      </c>
      <c r="I414" s="44"/>
    </row>
    <row r="415" spans="2:9" x14ac:dyDescent="0.35">
      <c r="C415" s="3" t="s">
        <v>15</v>
      </c>
      <c r="D415" s="3">
        <v>2020</v>
      </c>
      <c r="E415" s="3" t="s">
        <v>271</v>
      </c>
      <c r="F415" s="48">
        <v>2</v>
      </c>
      <c r="G415" s="3" t="e">
        <f>COUNTIFS([3]Inputs!$C$16:$C$19,"Yes",[3]Inputs!$D$16:$D$19,"&lt;6")</f>
        <v>#VALUE!</v>
      </c>
      <c r="H415" s="3" t="e">
        <f t="shared" ref="H415:H429" si="0">F415*G415</f>
        <v>#VALUE!</v>
      </c>
      <c r="I415" s="44"/>
    </row>
    <row r="416" spans="2:9" x14ac:dyDescent="0.35">
      <c r="C416" s="3" t="s">
        <v>15</v>
      </c>
      <c r="D416" s="3">
        <v>2020</v>
      </c>
      <c r="E416" s="3" t="s">
        <v>272</v>
      </c>
      <c r="F416" s="48">
        <v>1.5</v>
      </c>
      <c r="G416" s="3" t="e">
        <f>COUNTIFS([3]Inputs!$C$16:$C$19,"Yes",[3]Inputs!$D$16:$D$19,"&lt;6")</f>
        <v>#VALUE!</v>
      </c>
      <c r="H416" s="3" t="e">
        <f t="shared" si="0"/>
        <v>#VALUE!</v>
      </c>
    </row>
    <row r="417" spans="3:9" ht="16.399999999999999" customHeight="1" x14ac:dyDescent="0.45">
      <c r="C417" s="3" t="s">
        <v>15</v>
      </c>
      <c r="D417" s="3">
        <v>2020</v>
      </c>
      <c r="E417" s="3" t="s">
        <v>273</v>
      </c>
      <c r="F417" s="48">
        <v>1</v>
      </c>
      <c r="G417" s="3" t="e">
        <f>COUNTIFS([3]Inputs!$C$16:$C$19,"Yes",[3]Inputs!$D$16:$D$19,"&lt;6")</f>
        <v>#VALUE!</v>
      </c>
      <c r="H417" s="3" t="e">
        <f t="shared" si="0"/>
        <v>#VALUE!</v>
      </c>
      <c r="I417" s="60"/>
    </row>
    <row r="418" spans="3:9" x14ac:dyDescent="0.35">
      <c r="C418" s="3" t="s">
        <v>15</v>
      </c>
      <c r="D418" s="3">
        <v>2020</v>
      </c>
      <c r="E418" s="3" t="s">
        <v>274</v>
      </c>
      <c r="F418" s="48">
        <v>0.5</v>
      </c>
      <c r="G418" s="3" t="e">
        <f>COUNTIFS([3]Inputs!$C$16:$C$19,"Yes",[3]Inputs!$D$16:$D$19,"&lt;6")</f>
        <v>#VALUE!</v>
      </c>
      <c r="H418" s="3" t="e">
        <f t="shared" si="0"/>
        <v>#VALUE!</v>
      </c>
    </row>
    <row r="419" spans="3:9" x14ac:dyDescent="0.35">
      <c r="C419" s="3" t="s">
        <v>15</v>
      </c>
      <c r="D419" s="3">
        <v>2020</v>
      </c>
      <c r="E419" s="3" t="s">
        <v>275</v>
      </c>
      <c r="F419" s="48">
        <v>0</v>
      </c>
      <c r="G419" s="3" t="e">
        <f>COUNTIFS([3]Inputs!$C$16:$C$19,"Yes",[3]Inputs!$D$16:$D$19,"&lt;6")</f>
        <v>#VALUE!</v>
      </c>
      <c r="H419" s="3" t="e">
        <f t="shared" si="0"/>
        <v>#VALUE!</v>
      </c>
    </row>
    <row r="420" spans="3:9" x14ac:dyDescent="0.35">
      <c r="C420" s="3" t="s">
        <v>15</v>
      </c>
      <c r="D420" s="3">
        <v>2021</v>
      </c>
      <c r="E420" s="3" t="s">
        <v>271</v>
      </c>
      <c r="F420" s="48">
        <v>2</v>
      </c>
      <c r="G420" s="3" t="e">
        <f>COUNTIFS([3]Inputs!$C$16:$C$19,"Yes",[3]Inputs!$D$16:$D$19,"&lt;6")</f>
        <v>#VALUE!</v>
      </c>
      <c r="H420" s="3" t="e">
        <f t="shared" si="0"/>
        <v>#VALUE!</v>
      </c>
    </row>
    <row r="421" spans="3:9" x14ac:dyDescent="0.35">
      <c r="C421" s="3" t="s">
        <v>15</v>
      </c>
      <c r="D421" s="3">
        <v>2021</v>
      </c>
      <c r="E421" s="3" t="s">
        <v>272</v>
      </c>
      <c r="F421" s="48">
        <v>1.5</v>
      </c>
      <c r="G421" s="3" t="e">
        <f>COUNTIFS([3]Inputs!$C$16:$C$19,"Yes",[3]Inputs!$D$16:$D$19,"&lt;6")</f>
        <v>#VALUE!</v>
      </c>
      <c r="H421" s="3" t="e">
        <f t="shared" si="0"/>
        <v>#VALUE!</v>
      </c>
    </row>
    <row r="422" spans="3:9" x14ac:dyDescent="0.35">
      <c r="C422" s="3" t="s">
        <v>15</v>
      </c>
      <c r="D422" s="3">
        <v>2021</v>
      </c>
      <c r="E422" s="3" t="s">
        <v>273</v>
      </c>
      <c r="F422" s="48">
        <v>1</v>
      </c>
      <c r="G422" s="3" t="e">
        <f>COUNTIFS([3]Inputs!$C$16:$C$19,"Yes",[3]Inputs!$D$16:$D$19,"&lt;6")</f>
        <v>#VALUE!</v>
      </c>
      <c r="H422" s="3" t="e">
        <f t="shared" si="0"/>
        <v>#VALUE!</v>
      </c>
    </row>
    <row r="423" spans="3:9" x14ac:dyDescent="0.35">
      <c r="C423" s="3" t="s">
        <v>15</v>
      </c>
      <c r="D423" s="3">
        <v>2021</v>
      </c>
      <c r="E423" s="3" t="s">
        <v>274</v>
      </c>
      <c r="F423" s="48">
        <v>0.5</v>
      </c>
      <c r="G423" s="3" t="e">
        <f>COUNTIFS([3]Inputs!$C$16:$C$19,"Yes",[3]Inputs!$D$16:$D$19,"&lt;6")</f>
        <v>#VALUE!</v>
      </c>
      <c r="H423" s="3" t="e">
        <f t="shared" si="0"/>
        <v>#VALUE!</v>
      </c>
    </row>
    <row r="424" spans="3:9" x14ac:dyDescent="0.35">
      <c r="C424" s="3" t="s">
        <v>15</v>
      </c>
      <c r="D424" s="3">
        <v>2021</v>
      </c>
      <c r="E424" s="3" t="s">
        <v>275</v>
      </c>
      <c r="F424" s="48">
        <v>0</v>
      </c>
      <c r="G424" s="3" t="e">
        <f>COUNTIFS([3]Inputs!$C$16:$C$19,"Yes",[3]Inputs!$D$16:$D$19,"&lt;6")</f>
        <v>#VALUE!</v>
      </c>
      <c r="H424" s="3" t="e">
        <f t="shared" si="0"/>
        <v>#VALUE!</v>
      </c>
    </row>
    <row r="425" spans="3:9" x14ac:dyDescent="0.35">
      <c r="C425" s="3" t="s">
        <v>15</v>
      </c>
      <c r="D425" s="3">
        <v>2022</v>
      </c>
      <c r="E425" s="3" t="s">
        <v>271</v>
      </c>
      <c r="F425" s="48">
        <v>2</v>
      </c>
      <c r="G425" s="3" t="e">
        <f>COUNTIFS([3]Inputs!$C$16:$C$19,"Yes",[3]Inputs!$D$16:$D$19,"&lt;6")</f>
        <v>#VALUE!</v>
      </c>
      <c r="H425" s="3" t="e">
        <f t="shared" si="0"/>
        <v>#VALUE!</v>
      </c>
    </row>
    <row r="426" spans="3:9" x14ac:dyDescent="0.35">
      <c r="C426" s="3" t="s">
        <v>15</v>
      </c>
      <c r="D426" s="3">
        <v>2022</v>
      </c>
      <c r="E426" s="3" t="s">
        <v>272</v>
      </c>
      <c r="F426" s="48">
        <v>1.5</v>
      </c>
      <c r="G426" s="3" t="e">
        <f>COUNTIFS([3]Inputs!$C$16:$C$19,"Yes",[3]Inputs!$D$16:$D$19,"&lt;6")</f>
        <v>#VALUE!</v>
      </c>
      <c r="H426" s="3" t="e">
        <f t="shared" si="0"/>
        <v>#VALUE!</v>
      </c>
    </row>
    <row r="427" spans="3:9" x14ac:dyDescent="0.35">
      <c r="C427" s="3" t="s">
        <v>15</v>
      </c>
      <c r="D427" s="3">
        <v>2022</v>
      </c>
      <c r="E427" s="3" t="s">
        <v>273</v>
      </c>
      <c r="F427" s="48">
        <v>1</v>
      </c>
      <c r="G427" s="3" t="e">
        <f>COUNTIFS([3]Inputs!$C$16:$C$19,"Yes",[3]Inputs!$D$16:$D$19,"&lt;6")</f>
        <v>#VALUE!</v>
      </c>
      <c r="H427" s="3" t="e">
        <f t="shared" si="0"/>
        <v>#VALUE!</v>
      </c>
    </row>
    <row r="428" spans="3:9" x14ac:dyDescent="0.35">
      <c r="C428" s="3" t="s">
        <v>15</v>
      </c>
      <c r="D428" s="3">
        <v>2022</v>
      </c>
      <c r="E428" s="3" t="s">
        <v>274</v>
      </c>
      <c r="F428" s="48">
        <v>0.5</v>
      </c>
      <c r="G428" s="3" t="e">
        <f>COUNTIFS([3]Inputs!$C$16:$C$19,"Yes",[3]Inputs!$D$16:$D$19,"&lt;6")</f>
        <v>#VALUE!</v>
      </c>
      <c r="H428" s="3" t="e">
        <f t="shared" si="0"/>
        <v>#VALUE!</v>
      </c>
    </row>
    <row r="429" spans="3:9" x14ac:dyDescent="0.35">
      <c r="C429" s="3" t="s">
        <v>15</v>
      </c>
      <c r="D429" s="3">
        <v>2022</v>
      </c>
      <c r="E429" s="3" t="s">
        <v>275</v>
      </c>
      <c r="F429" s="48">
        <v>0</v>
      </c>
      <c r="G429" s="3" t="e">
        <f>COUNTIFS([3]Inputs!$C$16:$C$19,"Yes",[3]Inputs!$D$16:$D$19,"&lt;6")</f>
        <v>#VALUE!</v>
      </c>
      <c r="H429" s="3" t="e">
        <f t="shared" si="0"/>
        <v>#VALUE!</v>
      </c>
    </row>
    <row r="430" spans="3:9" x14ac:dyDescent="0.35">
      <c r="C430" s="3" t="s">
        <v>15</v>
      </c>
      <c r="D430" s="3">
        <v>2023</v>
      </c>
      <c r="E430" s="3" t="s">
        <v>271</v>
      </c>
      <c r="F430" s="48">
        <v>2</v>
      </c>
      <c r="G430" s="3" t="e">
        <f>COUNTIFS([3]Inputs!$C$16:$C$19,"Yes",[3]Inputs!$D$16:$D$19,"&lt;6")</f>
        <v>#VALUE!</v>
      </c>
      <c r="H430" s="3" t="e">
        <f t="shared" ref="H430:H434" si="1">F430*G430</f>
        <v>#VALUE!</v>
      </c>
    </row>
    <row r="431" spans="3:9" x14ac:dyDescent="0.35">
      <c r="C431" s="3" t="s">
        <v>15</v>
      </c>
      <c r="D431" s="3">
        <v>2023</v>
      </c>
      <c r="E431" s="3" t="s">
        <v>272</v>
      </c>
      <c r="F431" s="48">
        <v>1.5</v>
      </c>
      <c r="G431" s="3" t="e">
        <f>COUNTIFS([3]Inputs!$C$16:$C$19,"Yes",[3]Inputs!$D$16:$D$19,"&lt;6")</f>
        <v>#VALUE!</v>
      </c>
      <c r="H431" s="3" t="e">
        <f t="shared" si="1"/>
        <v>#VALUE!</v>
      </c>
    </row>
    <row r="432" spans="3:9" x14ac:dyDescent="0.35">
      <c r="C432" s="3" t="s">
        <v>15</v>
      </c>
      <c r="D432" s="3">
        <v>2023</v>
      </c>
      <c r="E432" s="3" t="s">
        <v>273</v>
      </c>
      <c r="F432" s="48">
        <v>1</v>
      </c>
      <c r="G432" s="3" t="e">
        <f>COUNTIFS([3]Inputs!$C$16:$C$19,"Yes",[3]Inputs!$D$16:$D$19,"&lt;6")</f>
        <v>#VALUE!</v>
      </c>
      <c r="H432" s="3" t="e">
        <f t="shared" si="1"/>
        <v>#VALUE!</v>
      </c>
    </row>
    <row r="433" spans="2:15" x14ac:dyDescent="0.35">
      <c r="C433" s="3" t="s">
        <v>15</v>
      </c>
      <c r="D433" s="3">
        <v>2023</v>
      </c>
      <c r="E433" s="3" t="s">
        <v>274</v>
      </c>
      <c r="F433" s="48">
        <v>0.5</v>
      </c>
      <c r="G433" s="3" t="e">
        <f>COUNTIFS([3]Inputs!$C$16:$C$19,"Yes",[3]Inputs!$D$16:$D$19,"&lt;6")</f>
        <v>#VALUE!</v>
      </c>
      <c r="H433" s="3" t="e">
        <f t="shared" si="1"/>
        <v>#VALUE!</v>
      </c>
    </row>
    <row r="434" spans="2:15" x14ac:dyDescent="0.35">
      <c r="C434" s="3" t="s">
        <v>15</v>
      </c>
      <c r="D434" s="3">
        <v>2023</v>
      </c>
      <c r="E434" s="3" t="s">
        <v>275</v>
      </c>
      <c r="F434" s="48">
        <v>0</v>
      </c>
      <c r="G434" s="3" t="e">
        <f>COUNTIFS([3]Inputs!$C$16:$C$19,"Yes",[3]Inputs!$D$16:$D$19,"&lt;6")</f>
        <v>#VALUE!</v>
      </c>
      <c r="H434" s="3" t="e">
        <f t="shared" si="1"/>
        <v>#VALUE!</v>
      </c>
    </row>
    <row r="436" spans="2:15" x14ac:dyDescent="0.35">
      <c r="B436" s="2" t="s">
        <v>276</v>
      </c>
      <c r="E436" s="8"/>
      <c r="F436" s="8"/>
      <c r="G436" s="8"/>
      <c r="H436" s="8"/>
      <c r="I436" s="8"/>
      <c r="J436" s="8"/>
      <c r="K436" s="8"/>
      <c r="L436" s="8"/>
      <c r="M436" s="2" t="s">
        <v>277</v>
      </c>
    </row>
    <row r="437" spans="2:15" x14ac:dyDescent="0.35">
      <c r="C437" t="s">
        <v>5</v>
      </c>
      <c r="D437" t="s">
        <v>58</v>
      </c>
      <c r="E437" s="3" t="s">
        <v>278</v>
      </c>
      <c r="F437" s="3" t="s">
        <v>279</v>
      </c>
      <c r="G437" s="3" t="s">
        <v>7</v>
      </c>
      <c r="H437" s="3" t="s">
        <v>8</v>
      </c>
      <c r="I437" s="3" t="s">
        <v>9</v>
      </c>
      <c r="J437" s="3" t="s">
        <v>10</v>
      </c>
      <c r="K437" s="3" t="s">
        <v>325</v>
      </c>
      <c r="L437" s="8"/>
      <c r="N437" s="4" t="s">
        <v>245</v>
      </c>
      <c r="O437" s="13" t="s">
        <v>259</v>
      </c>
    </row>
    <row r="438" spans="2:15" x14ac:dyDescent="0.35">
      <c r="C438" t="s">
        <v>259</v>
      </c>
      <c r="D438" t="s">
        <v>280</v>
      </c>
      <c r="E438" s="61">
        <v>0</v>
      </c>
      <c r="F438" s="61">
        <v>25000</v>
      </c>
      <c r="G438" s="48">
        <v>0.35</v>
      </c>
      <c r="H438" s="48">
        <v>0.35</v>
      </c>
      <c r="I438" s="48">
        <v>0.35</v>
      </c>
      <c r="J438" s="48">
        <v>0.35</v>
      </c>
      <c r="K438" s="48">
        <v>0.35</v>
      </c>
      <c r="L438" s="8"/>
      <c r="N438" s="4" t="s">
        <v>256</v>
      </c>
      <c r="O438" s="13">
        <v>2020</v>
      </c>
    </row>
    <row r="439" spans="2:15" x14ac:dyDescent="0.35">
      <c r="C439" t="s">
        <v>259</v>
      </c>
      <c r="D439" t="s">
        <v>280</v>
      </c>
      <c r="E439" s="61">
        <v>25001</v>
      </c>
      <c r="F439" s="61">
        <v>50000</v>
      </c>
      <c r="G439" s="48">
        <v>0.25</v>
      </c>
      <c r="H439" s="48">
        <v>0.25</v>
      </c>
      <c r="I439" s="48">
        <v>0.25</v>
      </c>
      <c r="J439" s="48">
        <v>0.25</v>
      </c>
      <c r="K439" s="48">
        <v>0.25</v>
      </c>
      <c r="L439" s="8"/>
      <c r="N439" s="4" t="s">
        <v>281</v>
      </c>
      <c r="O439" s="62">
        <v>24000</v>
      </c>
    </row>
    <row r="440" spans="2:15" x14ac:dyDescent="0.35">
      <c r="C440" t="s">
        <v>259</v>
      </c>
      <c r="D440" t="s">
        <v>280</v>
      </c>
      <c r="E440" s="61">
        <v>50001</v>
      </c>
      <c r="F440" s="61">
        <v>100000</v>
      </c>
      <c r="G440" s="48">
        <v>0.15</v>
      </c>
      <c r="H440" s="48">
        <v>0.15</v>
      </c>
      <c r="I440" s="48">
        <v>0.15</v>
      </c>
      <c r="J440" s="48">
        <v>0.15</v>
      </c>
      <c r="K440" s="48">
        <v>0.15</v>
      </c>
      <c r="L440" s="8"/>
      <c r="N440" s="6" t="s">
        <v>282</v>
      </c>
      <c r="O440" s="63" t="e">
        <f t="array" ref="O440">INDEX(stateTaxPercentFederalIncomeTaxCreditMO[],MATCH(1,(stateTaxPercentFederalIncomeTaxCreditMO[State]=$A$1)*(stateTaxPercentFederalIncomeTaxCreditMO[Minimum Income]&lt;=O439)*(stateTaxPercentFederalIncomeTaxCreditMO[Maximum Income]&gt;=O439),0),MATCH(O438,VALUE(stateTaxPercentFederalIncomeTaxCreditMO[#Headers]),0))</f>
        <v>#N/A</v>
      </c>
    </row>
    <row r="441" spans="2:15" x14ac:dyDescent="0.35">
      <c r="C441" t="s">
        <v>259</v>
      </c>
      <c r="D441" t="s">
        <v>280</v>
      </c>
      <c r="E441" s="61">
        <v>100001</v>
      </c>
      <c r="F441" s="61">
        <v>125000</v>
      </c>
      <c r="G441" s="48">
        <v>0.05</v>
      </c>
      <c r="H441" s="48">
        <v>0.05</v>
      </c>
      <c r="I441" s="48">
        <v>0.05</v>
      </c>
      <c r="J441" s="48">
        <v>0.05</v>
      </c>
      <c r="K441" s="48">
        <v>0.05</v>
      </c>
      <c r="L441" s="8"/>
    </row>
    <row r="442" spans="2:15" x14ac:dyDescent="0.35">
      <c r="C442" t="s">
        <v>259</v>
      </c>
      <c r="D442" t="s">
        <v>280</v>
      </c>
      <c r="E442" s="61">
        <v>125001</v>
      </c>
      <c r="F442" s="61"/>
      <c r="G442" s="48">
        <v>0</v>
      </c>
      <c r="H442" s="48">
        <v>0</v>
      </c>
      <c r="I442" s="48">
        <v>0</v>
      </c>
      <c r="J442" s="48">
        <v>0</v>
      </c>
      <c r="K442" s="48">
        <v>0</v>
      </c>
      <c r="L442" s="8"/>
    </row>
    <row r="443" spans="2:15" x14ac:dyDescent="0.35">
      <c r="E443" s="61"/>
      <c r="F443" s="61"/>
      <c r="G443" s="48"/>
      <c r="H443" s="48"/>
      <c r="I443" s="48"/>
      <c r="J443" s="48"/>
      <c r="K443" s="8"/>
    </row>
    <row r="444" spans="2:15" x14ac:dyDescent="0.35">
      <c r="F444" s="61"/>
      <c r="G444" s="61"/>
      <c r="H444" s="48"/>
      <c r="I444" s="8"/>
    </row>
    <row r="445" spans="2:15" x14ac:dyDescent="0.35">
      <c r="B445" s="2" t="s">
        <v>283</v>
      </c>
      <c r="K445" s="2" t="s">
        <v>277</v>
      </c>
    </row>
    <row r="446" spans="2:15" x14ac:dyDescent="0.35">
      <c r="C446" t="s">
        <v>5</v>
      </c>
      <c r="D446" t="s">
        <v>58</v>
      </c>
      <c r="E446" s="3" t="s">
        <v>251</v>
      </c>
      <c r="F446" s="3" t="s">
        <v>7</v>
      </c>
      <c r="G446" s="3" t="s">
        <v>8</v>
      </c>
      <c r="H446" s="3" t="s">
        <v>9</v>
      </c>
      <c r="I446" s="3" t="s">
        <v>10</v>
      </c>
      <c r="J446" s="3" t="s">
        <v>325</v>
      </c>
      <c r="M446" t="s">
        <v>94</v>
      </c>
      <c r="N446" s="4" t="s">
        <v>245</v>
      </c>
      <c r="O446" s="13" t="s">
        <v>259</v>
      </c>
    </row>
    <row r="447" spans="2:15" x14ac:dyDescent="0.35">
      <c r="C447" t="s">
        <v>259</v>
      </c>
      <c r="D447" t="s">
        <v>280</v>
      </c>
      <c r="E447" t="s">
        <v>33</v>
      </c>
      <c r="F447" s="50">
        <v>5000</v>
      </c>
      <c r="G447" s="50">
        <v>5000</v>
      </c>
      <c r="H447" s="50">
        <v>5000</v>
      </c>
      <c r="I447" s="50">
        <v>5000</v>
      </c>
      <c r="J447" s="50">
        <v>5000</v>
      </c>
      <c r="N447" s="4" t="s">
        <v>256</v>
      </c>
      <c r="O447" s="13">
        <v>2020</v>
      </c>
    </row>
    <row r="448" spans="2:15" x14ac:dyDescent="0.35">
      <c r="C448" t="s">
        <v>259</v>
      </c>
      <c r="D448" t="s">
        <v>280</v>
      </c>
      <c r="E448" t="s">
        <v>34</v>
      </c>
      <c r="F448" s="50">
        <v>10000</v>
      </c>
      <c r="G448" s="50">
        <v>10000</v>
      </c>
      <c r="H448" s="50">
        <v>10000</v>
      </c>
      <c r="I448" s="50">
        <v>10000</v>
      </c>
      <c r="J448" s="50">
        <v>10000</v>
      </c>
      <c r="N448" s="4" t="s">
        <v>284</v>
      </c>
      <c r="O448" s="62" t="s">
        <v>33</v>
      </c>
    </row>
    <row r="449" spans="2:15" x14ac:dyDescent="0.35">
      <c r="C449" t="s">
        <v>259</v>
      </c>
      <c r="D449" t="s">
        <v>280</v>
      </c>
      <c r="E449" t="s">
        <v>35</v>
      </c>
      <c r="F449" s="50">
        <v>10000</v>
      </c>
      <c r="G449" s="50">
        <v>10000</v>
      </c>
      <c r="H449" s="50">
        <v>10000</v>
      </c>
      <c r="I449" s="50">
        <v>10000</v>
      </c>
      <c r="J449" s="50">
        <v>10000</v>
      </c>
      <c r="N449" s="6" t="s">
        <v>282</v>
      </c>
      <c r="O449" s="64" t="e">
        <f t="array" ref="O449">INDEX(stateTaxMaximumFederalIncomeTaxCreditMO[],MATCH(1,(stateTaxMaximumFederalIncomeTaxCreditMO[State]=$A$1)*(stateTaxMaximumFederalIncomeTaxCreditMO[Filing Status]=O448),0),MATCH(O447,VALUE(stateTaxMaximumFederalIncomeTaxCreditMO[#Headers]),0))</f>
        <v>#N/A</v>
      </c>
    </row>
    <row r="450" spans="2:15" x14ac:dyDescent="0.35">
      <c r="C450" t="s">
        <v>259</v>
      </c>
      <c r="D450" t="s">
        <v>280</v>
      </c>
      <c r="E450" t="s">
        <v>41</v>
      </c>
      <c r="F450" s="50">
        <v>5000</v>
      </c>
      <c r="G450" s="50">
        <v>5000</v>
      </c>
      <c r="H450" s="50">
        <v>5000</v>
      </c>
      <c r="I450" s="50">
        <v>5000</v>
      </c>
      <c r="J450" s="50">
        <v>5000</v>
      </c>
    </row>
    <row r="452" spans="2:15" x14ac:dyDescent="0.35">
      <c r="B452" s="2" t="s">
        <v>248</v>
      </c>
    </row>
    <row r="453" spans="2:15" x14ac:dyDescent="0.35">
      <c r="C453" t="s">
        <v>249</v>
      </c>
    </row>
    <row r="454" spans="2:15" x14ac:dyDescent="0.35">
      <c r="B454" s="2" t="s">
        <v>250</v>
      </c>
    </row>
    <row r="455" spans="2:15" x14ac:dyDescent="0.35">
      <c r="C455" t="s">
        <v>5</v>
      </c>
      <c r="D455" t="s">
        <v>58</v>
      </c>
      <c r="E455" t="s">
        <v>251</v>
      </c>
      <c r="F455" t="s">
        <v>252</v>
      </c>
      <c r="G455" t="s">
        <v>253</v>
      </c>
      <c r="H455" t="s">
        <v>237</v>
      </c>
    </row>
    <row r="456" spans="2:15" x14ac:dyDescent="0.35">
      <c r="C456" t="s">
        <v>17</v>
      </c>
      <c r="D456" t="s">
        <v>254</v>
      </c>
      <c r="E456" t="s">
        <v>35</v>
      </c>
      <c r="F456">
        <v>40000</v>
      </c>
      <c r="G456">
        <v>2020</v>
      </c>
      <c r="H456">
        <v>7.0000000000000001E-3</v>
      </c>
    </row>
    <row r="457" spans="2:15" x14ac:dyDescent="0.35">
      <c r="C457" t="s">
        <v>17</v>
      </c>
      <c r="D457" t="s">
        <v>254</v>
      </c>
      <c r="E457" t="s">
        <v>35</v>
      </c>
      <c r="F457">
        <v>43334</v>
      </c>
      <c r="G457">
        <v>2021</v>
      </c>
      <c r="H457">
        <v>7.0000000000000001E-3</v>
      </c>
    </row>
    <row r="458" spans="2:15" x14ac:dyDescent="0.35">
      <c r="C458" t="s">
        <v>17</v>
      </c>
      <c r="D458" t="s">
        <v>254</v>
      </c>
      <c r="E458" t="s">
        <v>35</v>
      </c>
      <c r="F458">
        <v>46667</v>
      </c>
      <c r="G458">
        <v>2022</v>
      </c>
      <c r="H458">
        <v>7.0000000000000001E-3</v>
      </c>
    </row>
    <row r="459" spans="2:15" x14ac:dyDescent="0.35">
      <c r="C459" t="s">
        <v>17</v>
      </c>
      <c r="D459" t="s">
        <v>254</v>
      </c>
      <c r="E459" t="s">
        <v>35</v>
      </c>
      <c r="F459">
        <v>50000</v>
      </c>
      <c r="G459">
        <v>2023</v>
      </c>
      <c r="H459">
        <v>7.0000000000000001E-3</v>
      </c>
    </row>
    <row r="463" spans="2:15" x14ac:dyDescent="0.35">
      <c r="E463" s="34"/>
    </row>
    <row r="464" spans="2:15" x14ac:dyDescent="0.35">
      <c r="C464" t="s">
        <v>91</v>
      </c>
      <c r="D464" t="s">
        <v>255</v>
      </c>
    </row>
    <row r="466" spans="2:15" x14ac:dyDescent="0.35">
      <c r="C466" t="s">
        <v>94</v>
      </c>
      <c r="D466" s="4" t="s">
        <v>245</v>
      </c>
      <c r="E466" s="13" t="s">
        <v>13</v>
      </c>
    </row>
    <row r="467" spans="2:15" x14ac:dyDescent="0.35">
      <c r="D467" s="4" t="s">
        <v>256</v>
      </c>
      <c r="E467" s="13">
        <v>2021</v>
      </c>
    </row>
    <row r="468" spans="2:15" x14ac:dyDescent="0.35">
      <c r="D468" s="4" t="s">
        <v>257</v>
      </c>
      <c r="E468" s="13" t="s">
        <v>35</v>
      </c>
    </row>
    <row r="469" spans="2:15" x14ac:dyDescent="0.35">
      <c r="D469" s="4" t="s">
        <v>258</v>
      </c>
      <c r="E469" s="54">
        <f>_xlfn.IFNA(MATCH(InputStateName,stateTaxTwoWageEarnerIncomeCredit124[State],0),0)</f>
        <v>0</v>
      </c>
    </row>
    <row r="470" spans="2:15" x14ac:dyDescent="0.35">
      <c r="D470" s="6" t="s">
        <v>118</v>
      </c>
      <c r="E470" s="55">
        <f>_xlfn.IFNA(INDEX(stateTaxTwoWageEarnerIncomeCredit124[Credit],MATCH($E$5546,stateTaxTwoWageEarnerIncomeCredit124[State],MATCH($E$5547,stateTaxTwoWageEarnerIncomeCredit124[Year],MATCH($E$5548,stateTaxTwoWageEarnerIncomeCredit124[Filing Status],0))))*INDEX(stateTaxTwoWageEarnerIncomeCredit124[Income Limit],MATCH($E$5547,stateTaxTwoWageEarnerIncomeCredit124[Year],0)),0)</f>
        <v>0</v>
      </c>
      <c r="F470" t="s">
        <v>247</v>
      </c>
      <c r="I470" s="35"/>
    </row>
    <row r="472" spans="2:15" x14ac:dyDescent="0.35">
      <c r="B472" s="2" t="s">
        <v>285</v>
      </c>
      <c r="K472" s="2" t="s">
        <v>91</v>
      </c>
      <c r="L472" t="s">
        <v>286</v>
      </c>
    </row>
    <row r="473" spans="2:15" x14ac:dyDescent="0.35">
      <c r="C473" t="s">
        <v>5</v>
      </c>
      <c r="D473" t="s">
        <v>287</v>
      </c>
      <c r="E473" t="s">
        <v>58</v>
      </c>
      <c r="F473" s="3" t="s">
        <v>253</v>
      </c>
      <c r="G473" s="3" t="s">
        <v>288</v>
      </c>
      <c r="H473" s="3" t="s">
        <v>289</v>
      </c>
      <c r="I473" s="3" t="s">
        <v>290</v>
      </c>
      <c r="J473" s="3"/>
    </row>
    <row r="474" spans="2:15" x14ac:dyDescent="0.35">
      <c r="C474" t="s">
        <v>21</v>
      </c>
      <c r="D474" t="s">
        <v>54</v>
      </c>
      <c r="E474" t="s">
        <v>291</v>
      </c>
      <c r="F474" s="3">
        <v>2018</v>
      </c>
      <c r="G474" s="65">
        <v>0.06</v>
      </c>
      <c r="H474" s="50">
        <v>12000</v>
      </c>
      <c r="I474" s="65">
        <v>1.2999999999999999E-2</v>
      </c>
      <c r="J474" s="65"/>
      <c r="K474" s="4" t="s">
        <v>94</v>
      </c>
      <c r="L474" s="4" t="s">
        <v>245</v>
      </c>
      <c r="M474" s="13" t="s">
        <v>21</v>
      </c>
      <c r="O474" s="1" t="s">
        <v>251</v>
      </c>
    </row>
    <row r="475" spans="2:15" x14ac:dyDescent="0.35">
      <c r="C475" t="s">
        <v>21</v>
      </c>
      <c r="D475" t="s">
        <v>34</v>
      </c>
      <c r="E475" t="s">
        <v>291</v>
      </c>
      <c r="F475" s="3">
        <v>2018</v>
      </c>
      <c r="G475" s="65">
        <v>0.06</v>
      </c>
      <c r="H475" s="50">
        <v>18000</v>
      </c>
      <c r="I475" s="65">
        <v>1.2999999999999999E-2</v>
      </c>
      <c r="L475" s="4" t="s">
        <v>256</v>
      </c>
      <c r="M475" s="13">
        <v>2022</v>
      </c>
      <c r="O475" t="s">
        <v>54</v>
      </c>
    </row>
    <row r="476" spans="2:15" x14ac:dyDescent="0.35">
      <c r="C476" t="s">
        <v>21</v>
      </c>
      <c r="D476" t="s">
        <v>35</v>
      </c>
      <c r="E476" t="s">
        <v>291</v>
      </c>
      <c r="F476" s="3">
        <v>2018</v>
      </c>
      <c r="G476" s="65">
        <v>0.06</v>
      </c>
      <c r="H476" s="50">
        <v>24000</v>
      </c>
      <c r="I476" s="65">
        <v>1.2999999999999999E-2</v>
      </c>
      <c r="L476" s="4" t="s">
        <v>251</v>
      </c>
      <c r="M476" s="13" t="s">
        <v>34</v>
      </c>
      <c r="O476" t="s">
        <v>34</v>
      </c>
    </row>
    <row r="477" spans="2:15" x14ac:dyDescent="0.35">
      <c r="C477" t="s">
        <v>21</v>
      </c>
      <c r="D477" t="s">
        <v>36</v>
      </c>
      <c r="E477" t="s">
        <v>291</v>
      </c>
      <c r="F477" s="3">
        <v>2018</v>
      </c>
      <c r="G477" s="65">
        <v>0.06</v>
      </c>
      <c r="H477" s="50">
        <v>18000</v>
      </c>
      <c r="I477" s="65">
        <v>1.2999999999999999E-2</v>
      </c>
      <c r="L477" s="4" t="s">
        <v>292</v>
      </c>
      <c r="M477" s="13">
        <v>4</v>
      </c>
      <c r="O477" t="s">
        <v>35</v>
      </c>
    </row>
    <row r="478" spans="2:15" x14ac:dyDescent="0.35">
      <c r="C478" t="s">
        <v>21</v>
      </c>
      <c r="D478" t="s">
        <v>37</v>
      </c>
      <c r="E478" t="s">
        <v>291</v>
      </c>
      <c r="F478" s="3">
        <v>2018</v>
      </c>
      <c r="G478" s="65">
        <v>0.06</v>
      </c>
      <c r="H478" s="50">
        <v>24000</v>
      </c>
      <c r="I478" s="65">
        <v>1.2999999999999999E-2</v>
      </c>
      <c r="L478" s="4" t="s">
        <v>293</v>
      </c>
      <c r="M478" s="13" t="e">
        <f t="array" ref="M478">INDEX([3]!stateTaxFixedExemptionsUT[#Data],MATCH(1,([3]!stateTaxFixedExemptionsUT[State]=M474)*([3]!stateTaxFixedExemptionsUT[Category]="Dependent")*([3]!stateTaxFixedExemptionsUT[Status]=M476),0),MATCH(M475,VALUE([3]!stateTaxFixedExemptionsUT[#Headers]),0))*M477</f>
        <v>#REF!</v>
      </c>
      <c r="O478" t="s">
        <v>36</v>
      </c>
    </row>
    <row r="479" spans="2:15" x14ac:dyDescent="0.35">
      <c r="C479" t="s">
        <v>21</v>
      </c>
      <c r="D479" t="s">
        <v>54</v>
      </c>
      <c r="E479" t="s">
        <v>291</v>
      </c>
      <c r="F479" s="3">
        <v>2019</v>
      </c>
      <c r="G479" s="65">
        <v>0.06</v>
      </c>
      <c r="H479" s="50">
        <v>14601</v>
      </c>
      <c r="I479" s="65">
        <v>1.2999999999999999E-2</v>
      </c>
      <c r="L479" s="4" t="s">
        <v>294</v>
      </c>
      <c r="M479" s="13" t="e">
        <f t="array" ref="M479">INDEX([3]!stateTaxFixedStandardDeductionUT[#Data],MATCH(1,([3]!stateTaxFixedStandardDeductionUT[State]=M474)*([3]!stateTaxFixedStandardDeductionUT[Status]=M476),0),MATCH(M475,VALUE([3]!stateTaxFixedStandardDeductionUT[#Headers]),0))</f>
        <v>#REF!</v>
      </c>
      <c r="O479" t="s">
        <v>37</v>
      </c>
    </row>
    <row r="480" spans="2:15" x14ac:dyDescent="0.35">
      <c r="C480" t="s">
        <v>21</v>
      </c>
      <c r="D480" t="s">
        <v>34</v>
      </c>
      <c r="E480" t="s">
        <v>291</v>
      </c>
      <c r="F480" s="3">
        <v>2019</v>
      </c>
      <c r="G480" s="65">
        <v>0.06</v>
      </c>
      <c r="H480" s="50">
        <v>21902</v>
      </c>
      <c r="I480" s="65">
        <v>1.2999999999999999E-2</v>
      </c>
      <c r="L480" s="4" t="s">
        <v>295</v>
      </c>
      <c r="M480" s="13" t="e">
        <f t="array" ref="M480">INDEX(stateTaxTaypayerCreditUT[Phase-In %],MATCH(1,(stateTaxTaypayerCreditUT[State]=M474)*(stateTaxTaypayerCreditUT[Tax Filing Status]=M476)*(stateTaxTaypayerCreditUT[Year]=M475),0))*SUM(M478:M479)</f>
        <v>#REF!</v>
      </c>
    </row>
    <row r="481" spans="3:14" x14ac:dyDescent="0.35">
      <c r="C481" t="s">
        <v>21</v>
      </c>
      <c r="D481" t="s">
        <v>35</v>
      </c>
      <c r="E481" t="s">
        <v>291</v>
      </c>
      <c r="F481" s="3">
        <v>2019</v>
      </c>
      <c r="G481" s="65">
        <v>0.06</v>
      </c>
      <c r="H481" s="50">
        <v>29202</v>
      </c>
      <c r="I481" s="65">
        <v>1.2999999999999999E-2</v>
      </c>
      <c r="L481" s="4" t="s">
        <v>289</v>
      </c>
      <c r="M481" s="13">
        <f t="array" ref="M481">INDEX(stateTaxTaypayerCreditUT[Phase-Out Base],MATCH(1,(stateTaxTaypayerCreditUT[State]=M474)*(stateTaxTaypayerCreditUT[Tax Filing Status]=M476)*(stateTaxTaypayerCreditUT[Year]=M475),0))</f>
        <v>22643</v>
      </c>
    </row>
    <row r="482" spans="3:14" x14ac:dyDescent="0.35">
      <c r="C482" t="s">
        <v>21</v>
      </c>
      <c r="D482" t="s">
        <v>36</v>
      </c>
      <c r="E482" t="s">
        <v>291</v>
      </c>
      <c r="F482" s="3">
        <v>2019</v>
      </c>
      <c r="G482" s="65">
        <v>0.06</v>
      </c>
      <c r="H482" s="50">
        <v>14601</v>
      </c>
      <c r="I482" s="65">
        <v>1.2999999999999999E-2</v>
      </c>
      <c r="L482" s="4" t="s">
        <v>218</v>
      </c>
      <c r="M482" s="13">
        <v>24000</v>
      </c>
    </row>
    <row r="483" spans="3:14" x14ac:dyDescent="0.35">
      <c r="C483" t="s">
        <v>21</v>
      </c>
      <c r="D483" t="s">
        <v>37</v>
      </c>
      <c r="E483" t="s">
        <v>291</v>
      </c>
      <c r="F483" s="3">
        <v>2019</v>
      </c>
      <c r="G483" s="65">
        <v>0.06</v>
      </c>
      <c r="H483" s="50">
        <v>29202</v>
      </c>
      <c r="I483" s="65">
        <v>1.2999999999999999E-2</v>
      </c>
      <c r="L483" s="4" t="s">
        <v>296</v>
      </c>
      <c r="M483" s="13">
        <f>IF(M482-M481&lt;=0,0,M482-M481)</f>
        <v>1357</v>
      </c>
    </row>
    <row r="484" spans="3:14" x14ac:dyDescent="0.35">
      <c r="C484" t="s">
        <v>21</v>
      </c>
      <c r="D484" t="s">
        <v>54</v>
      </c>
      <c r="E484" t="s">
        <v>291</v>
      </c>
      <c r="F484" s="3">
        <v>2020</v>
      </c>
      <c r="G484" s="65">
        <v>0.06</v>
      </c>
      <c r="H484" s="50">
        <v>14879</v>
      </c>
      <c r="I484" s="65">
        <v>1.2999999999999999E-2</v>
      </c>
      <c r="L484" s="4" t="s">
        <v>297</v>
      </c>
      <c r="M484" s="66">
        <f t="array" ref="M484">INDEX(stateTaxTaypayerCreditUT[Phase-Out %],MATCH(1,(stateTaxTaypayerCreditUT[State]=M474)*(stateTaxTaypayerCreditUT[Tax Filing Status]=M476)*(stateTaxTaypayerCreditUT[Phase-Out Base]=M481)*(stateTaxTaypayerCreditUT[Year]=M475),0))*M483</f>
        <v>17.640999999999998</v>
      </c>
    </row>
    <row r="485" spans="3:14" x14ac:dyDescent="0.35">
      <c r="C485" t="s">
        <v>21</v>
      </c>
      <c r="D485" t="s">
        <v>34</v>
      </c>
      <c r="E485" t="s">
        <v>291</v>
      </c>
      <c r="F485" s="3">
        <v>2020</v>
      </c>
      <c r="G485" s="65">
        <v>0.06</v>
      </c>
      <c r="H485" s="50">
        <v>22318</v>
      </c>
      <c r="I485" s="65">
        <v>1.2999999999999999E-2</v>
      </c>
      <c r="L485" s="6" t="s">
        <v>298</v>
      </c>
      <c r="M485" s="55" t="e">
        <f>IF(M480-M484&lt;=0,0,M480-M484)</f>
        <v>#REF!</v>
      </c>
      <c r="N485" t="s">
        <v>247</v>
      </c>
    </row>
    <row r="486" spans="3:14" x14ac:dyDescent="0.35">
      <c r="C486" t="s">
        <v>21</v>
      </c>
      <c r="D486" t="s">
        <v>35</v>
      </c>
      <c r="E486" t="s">
        <v>291</v>
      </c>
      <c r="F486" s="3">
        <v>2020</v>
      </c>
      <c r="G486" s="65">
        <v>0.06</v>
      </c>
      <c r="H486" s="50">
        <v>29758</v>
      </c>
      <c r="I486" s="65">
        <v>1.2999999999999999E-2</v>
      </c>
    </row>
    <row r="487" spans="3:14" x14ac:dyDescent="0.35">
      <c r="C487" t="s">
        <v>21</v>
      </c>
      <c r="D487" t="s">
        <v>36</v>
      </c>
      <c r="E487" t="s">
        <v>291</v>
      </c>
      <c r="F487" s="3">
        <v>2020</v>
      </c>
      <c r="G487" s="65">
        <v>0.06</v>
      </c>
      <c r="H487" s="50">
        <v>14879</v>
      </c>
      <c r="I487" s="65">
        <v>1.2999999999999999E-2</v>
      </c>
    </row>
    <row r="488" spans="3:14" x14ac:dyDescent="0.35">
      <c r="C488" t="s">
        <v>21</v>
      </c>
      <c r="D488" t="s">
        <v>37</v>
      </c>
      <c r="E488" t="s">
        <v>291</v>
      </c>
      <c r="F488" s="3">
        <v>2020</v>
      </c>
      <c r="G488" s="65">
        <v>0.06</v>
      </c>
      <c r="H488" s="50">
        <v>29758</v>
      </c>
      <c r="I488" s="65">
        <v>1.2999999999999999E-2</v>
      </c>
    </row>
    <row r="489" spans="3:14" x14ac:dyDescent="0.35">
      <c r="C489" t="s">
        <v>21</v>
      </c>
      <c r="D489" t="s">
        <v>54</v>
      </c>
      <c r="E489" t="s">
        <v>291</v>
      </c>
      <c r="F489" s="3">
        <v>2021</v>
      </c>
      <c r="G489" s="65">
        <v>0.06</v>
      </c>
      <c r="H489" s="50">
        <v>15095</v>
      </c>
      <c r="I489" s="65">
        <v>1.2999999999999999E-2</v>
      </c>
    </row>
    <row r="490" spans="3:14" x14ac:dyDescent="0.35">
      <c r="C490" t="s">
        <v>21</v>
      </c>
      <c r="D490" t="s">
        <v>34</v>
      </c>
      <c r="E490" t="s">
        <v>291</v>
      </c>
      <c r="F490" s="3">
        <v>2021</v>
      </c>
      <c r="G490" s="65">
        <v>0.06</v>
      </c>
      <c r="H490" s="50">
        <v>22643</v>
      </c>
      <c r="I490" s="65">
        <v>1.2999999999999999E-2</v>
      </c>
    </row>
    <row r="491" spans="3:14" x14ac:dyDescent="0.35">
      <c r="C491" t="s">
        <v>21</v>
      </c>
      <c r="D491" t="s">
        <v>35</v>
      </c>
      <c r="E491" t="s">
        <v>291</v>
      </c>
      <c r="F491" s="3">
        <v>2021</v>
      </c>
      <c r="G491" s="65">
        <v>0.06</v>
      </c>
      <c r="H491" s="50">
        <v>30190</v>
      </c>
      <c r="I491" s="65">
        <v>1.2999999999999999E-2</v>
      </c>
    </row>
    <row r="492" spans="3:14" x14ac:dyDescent="0.35">
      <c r="C492" t="s">
        <v>21</v>
      </c>
      <c r="D492" t="s">
        <v>36</v>
      </c>
      <c r="E492" t="s">
        <v>291</v>
      </c>
      <c r="F492" s="3">
        <v>2021</v>
      </c>
      <c r="G492" s="65">
        <v>0.06</v>
      </c>
      <c r="H492" s="50">
        <v>15095</v>
      </c>
      <c r="I492" s="65">
        <v>1.2999999999999999E-2</v>
      </c>
    </row>
    <row r="493" spans="3:14" x14ac:dyDescent="0.35">
      <c r="C493" t="s">
        <v>21</v>
      </c>
      <c r="D493" t="s">
        <v>37</v>
      </c>
      <c r="E493" t="s">
        <v>291</v>
      </c>
      <c r="F493" s="3">
        <v>2021</v>
      </c>
      <c r="G493" s="65">
        <v>0.06</v>
      </c>
      <c r="H493" s="50">
        <v>30190</v>
      </c>
      <c r="I493" s="65">
        <v>1.2999999999999999E-2</v>
      </c>
    </row>
    <row r="494" spans="3:14" x14ac:dyDescent="0.35">
      <c r="C494" t="s">
        <v>21</v>
      </c>
      <c r="D494" t="s">
        <v>54</v>
      </c>
      <c r="E494" t="s">
        <v>291</v>
      </c>
      <c r="F494" s="3">
        <v>2022</v>
      </c>
      <c r="G494" s="65">
        <v>0.06</v>
      </c>
      <c r="H494" s="50">
        <v>15095</v>
      </c>
      <c r="I494" s="65">
        <v>1.2999999999999999E-2</v>
      </c>
    </row>
    <row r="495" spans="3:14" x14ac:dyDescent="0.35">
      <c r="C495" t="s">
        <v>21</v>
      </c>
      <c r="D495" t="s">
        <v>34</v>
      </c>
      <c r="E495" t="s">
        <v>291</v>
      </c>
      <c r="F495" s="3">
        <v>2022</v>
      </c>
      <c r="G495" s="65">
        <v>0.06</v>
      </c>
      <c r="H495" s="50">
        <v>22643</v>
      </c>
      <c r="I495" s="65">
        <v>1.2999999999999999E-2</v>
      </c>
    </row>
    <row r="496" spans="3:14" x14ac:dyDescent="0.35">
      <c r="C496" t="s">
        <v>21</v>
      </c>
      <c r="D496" t="s">
        <v>35</v>
      </c>
      <c r="E496" t="s">
        <v>291</v>
      </c>
      <c r="F496" s="3">
        <v>2022</v>
      </c>
      <c r="G496" s="65">
        <v>0.06</v>
      </c>
      <c r="H496" s="50">
        <v>30190</v>
      </c>
      <c r="I496" s="65">
        <v>1.2999999999999999E-2</v>
      </c>
    </row>
    <row r="497" spans="2:15" x14ac:dyDescent="0.35">
      <c r="C497" t="s">
        <v>21</v>
      </c>
      <c r="D497" t="s">
        <v>36</v>
      </c>
      <c r="E497" t="s">
        <v>291</v>
      </c>
      <c r="F497" s="3">
        <v>2022</v>
      </c>
      <c r="G497" s="65">
        <v>0.06</v>
      </c>
      <c r="H497" s="50">
        <v>15095</v>
      </c>
      <c r="I497" s="65">
        <v>1.2999999999999999E-2</v>
      </c>
    </row>
    <row r="498" spans="2:15" x14ac:dyDescent="0.35">
      <c r="C498" t="s">
        <v>21</v>
      </c>
      <c r="D498" t="s">
        <v>37</v>
      </c>
      <c r="E498" t="s">
        <v>291</v>
      </c>
      <c r="F498" s="3">
        <v>2022</v>
      </c>
      <c r="G498" s="65">
        <v>0.06</v>
      </c>
      <c r="H498" s="50">
        <v>30190</v>
      </c>
      <c r="I498" s="65">
        <v>1.2999999999999999E-2</v>
      </c>
    </row>
    <row r="499" spans="2:15" x14ac:dyDescent="0.35">
      <c r="C499" t="s">
        <v>21</v>
      </c>
      <c r="D499" t="s">
        <v>54</v>
      </c>
      <c r="E499" t="s">
        <v>291</v>
      </c>
      <c r="F499" s="3">
        <v>2023</v>
      </c>
      <c r="G499" s="65">
        <v>0.06</v>
      </c>
      <c r="H499" s="50">
        <v>15095</v>
      </c>
      <c r="I499" s="65">
        <v>1.2999999999999999E-2</v>
      </c>
    </row>
    <row r="500" spans="2:15" x14ac:dyDescent="0.35">
      <c r="C500" t="s">
        <v>21</v>
      </c>
      <c r="D500" t="s">
        <v>34</v>
      </c>
      <c r="E500" t="s">
        <v>291</v>
      </c>
      <c r="F500" s="3">
        <v>2023</v>
      </c>
      <c r="G500" s="65">
        <v>0.06</v>
      </c>
      <c r="H500" s="50">
        <v>22643</v>
      </c>
      <c r="I500" s="65">
        <v>1.2999999999999999E-2</v>
      </c>
    </row>
    <row r="501" spans="2:15" x14ac:dyDescent="0.35">
      <c r="C501" t="s">
        <v>21</v>
      </c>
      <c r="D501" t="s">
        <v>35</v>
      </c>
      <c r="E501" t="s">
        <v>291</v>
      </c>
      <c r="F501" s="3">
        <v>2023</v>
      </c>
      <c r="G501" s="65">
        <v>0.06</v>
      </c>
      <c r="H501" s="50">
        <v>30190</v>
      </c>
      <c r="I501" s="65">
        <v>1.2999999999999999E-2</v>
      </c>
    </row>
    <row r="502" spans="2:15" x14ac:dyDescent="0.35">
      <c r="C502" t="s">
        <v>21</v>
      </c>
      <c r="D502" t="s">
        <v>36</v>
      </c>
      <c r="E502" t="s">
        <v>291</v>
      </c>
      <c r="F502" s="3">
        <v>2023</v>
      </c>
      <c r="G502" s="65">
        <v>0.06</v>
      </c>
      <c r="H502" s="50">
        <v>15095</v>
      </c>
      <c r="I502" s="65">
        <v>1.2999999999999999E-2</v>
      </c>
    </row>
    <row r="503" spans="2:15" x14ac:dyDescent="0.35">
      <c r="C503" t="s">
        <v>21</v>
      </c>
      <c r="D503" t="s">
        <v>37</v>
      </c>
      <c r="E503" t="s">
        <v>291</v>
      </c>
      <c r="F503" s="3">
        <v>2023</v>
      </c>
      <c r="G503" s="65">
        <v>0.06</v>
      </c>
      <c r="H503" s="50">
        <v>30190</v>
      </c>
      <c r="I503" s="65">
        <v>1.2999999999999999E-2</v>
      </c>
    </row>
    <row r="504" spans="2:15" x14ac:dyDescent="0.35">
      <c r="C504" s="50"/>
      <c r="F504" s="50"/>
      <c r="G504" s="50"/>
      <c r="H504" s="50"/>
      <c r="I504" s="50"/>
    </row>
    <row r="505" spans="2:15" x14ac:dyDescent="0.35">
      <c r="B505" s="2" t="s">
        <v>299</v>
      </c>
      <c r="K505" s="2" t="s">
        <v>91</v>
      </c>
      <c r="L505" t="s">
        <v>300</v>
      </c>
    </row>
    <row r="506" spans="2:15" x14ac:dyDescent="0.35">
      <c r="C506" t="s">
        <v>5</v>
      </c>
      <c r="D506" t="s">
        <v>287</v>
      </c>
      <c r="E506" t="s">
        <v>301</v>
      </c>
      <c r="F506" s="3" t="s">
        <v>253</v>
      </c>
      <c r="G506" s="3" t="s">
        <v>302</v>
      </c>
      <c r="H506" s="3" t="s">
        <v>303</v>
      </c>
      <c r="I506" s="3" t="s">
        <v>263</v>
      </c>
    </row>
    <row r="507" spans="2:15" x14ac:dyDescent="0.35">
      <c r="C507" t="s">
        <v>21</v>
      </c>
      <c r="D507" t="s">
        <v>54</v>
      </c>
      <c r="E507" t="s">
        <v>304</v>
      </c>
      <c r="F507" s="3">
        <v>2018</v>
      </c>
      <c r="G507" s="50">
        <v>0.06</v>
      </c>
      <c r="H507" s="65">
        <v>1.2999999999999999E-2</v>
      </c>
      <c r="I507" s="50">
        <v>450</v>
      </c>
      <c r="K507" t="s">
        <v>94</v>
      </c>
      <c r="L507" s="4" t="s">
        <v>245</v>
      </c>
      <c r="M507" s="13" t="s">
        <v>21</v>
      </c>
      <c r="O507" s="1" t="s">
        <v>251</v>
      </c>
    </row>
    <row r="508" spans="2:15" x14ac:dyDescent="0.35">
      <c r="C508" t="s">
        <v>21</v>
      </c>
      <c r="D508" t="s">
        <v>34</v>
      </c>
      <c r="E508" t="s">
        <v>304</v>
      </c>
      <c r="F508" s="3">
        <v>2018</v>
      </c>
      <c r="G508" s="50">
        <v>0.06</v>
      </c>
      <c r="H508" s="65">
        <v>1.2999999999999999E-2</v>
      </c>
      <c r="I508" s="50">
        <v>450</v>
      </c>
      <c r="L508" s="4" t="s">
        <v>256</v>
      </c>
      <c r="M508" s="13">
        <v>2022</v>
      </c>
      <c r="O508" t="s">
        <v>54</v>
      </c>
    </row>
    <row r="509" spans="2:15" x14ac:dyDescent="0.35">
      <c r="C509" t="s">
        <v>21</v>
      </c>
      <c r="D509" t="s">
        <v>35</v>
      </c>
      <c r="E509" t="s">
        <v>304</v>
      </c>
      <c r="F509" s="3">
        <v>2018</v>
      </c>
      <c r="G509" s="50">
        <v>0.06</v>
      </c>
      <c r="H509" s="65">
        <v>1.2999999999999999E-2</v>
      </c>
      <c r="I509" s="50">
        <v>900</v>
      </c>
      <c r="L509" s="4" t="s">
        <v>251</v>
      </c>
      <c r="M509" s="67" t="s">
        <v>54</v>
      </c>
      <c r="O509" t="s">
        <v>34</v>
      </c>
    </row>
    <row r="510" spans="2:15" x14ac:dyDescent="0.35">
      <c r="C510" t="s">
        <v>21</v>
      </c>
      <c r="D510" t="s">
        <v>36</v>
      </c>
      <c r="E510" t="s">
        <v>304</v>
      </c>
      <c r="F510" s="3">
        <v>2018</v>
      </c>
      <c r="G510" s="50">
        <v>0.06</v>
      </c>
      <c r="H510" s="65">
        <v>1.2999999999999999E-2</v>
      </c>
      <c r="I510" s="50">
        <v>450</v>
      </c>
      <c r="L510" s="4" t="s">
        <v>305</v>
      </c>
      <c r="M510" s="68">
        <f t="array" ref="M510">INDEX(stateTaxRetirementTaxCreditUT[Credit Percentage],MATCH(1,(stateTaxRetirementTaxCreditUT[State]=M507)*(stateTaxRetirementTaxCreditUT[Tax Filing Status]=M509)*(stateTaxRetirementTaxCreditUT[Year]=M508),0))</f>
        <v>2.5000000000000001E-2</v>
      </c>
      <c r="O510" t="s">
        <v>35</v>
      </c>
    </row>
    <row r="511" spans="2:15" x14ac:dyDescent="0.35">
      <c r="C511" t="s">
        <v>21</v>
      </c>
      <c r="D511" t="s">
        <v>37</v>
      </c>
      <c r="E511" t="s">
        <v>304</v>
      </c>
      <c r="F511" s="3">
        <v>2018</v>
      </c>
      <c r="G511" s="50">
        <v>0.06</v>
      </c>
      <c r="H511" s="65">
        <v>1.2999999999999999E-2</v>
      </c>
      <c r="I511" s="50">
        <v>450</v>
      </c>
      <c r="L511" s="4" t="s">
        <v>306</v>
      </c>
      <c r="M511" s="69">
        <v>26000</v>
      </c>
      <c r="O511" t="s">
        <v>36</v>
      </c>
    </row>
    <row r="512" spans="2:15" x14ac:dyDescent="0.35">
      <c r="C512" t="s">
        <v>21</v>
      </c>
      <c r="D512" t="s">
        <v>54</v>
      </c>
      <c r="E512" t="s">
        <v>304</v>
      </c>
      <c r="F512" s="3">
        <v>2019</v>
      </c>
      <c r="G512" s="50">
        <v>0.06</v>
      </c>
      <c r="H512" s="65">
        <v>1.2999999999999999E-2</v>
      </c>
      <c r="I512" s="50">
        <v>450</v>
      </c>
      <c r="L512" s="4" t="s">
        <v>302</v>
      </c>
      <c r="M512" s="69">
        <f t="array" ref="M512">INDEX(stateTaxRetirementTaxCreditUT[MAGI Deduction],MATCH(1,(stateTaxRetirementTaxCreditUT[State]=M507)*(stateTaxRetirementTaxCreditUT[Tax Filing Status]=M509)*(stateTaxRetirementTaxCreditUT[Year]=M508),0))</f>
        <v>25000</v>
      </c>
      <c r="O512" t="s">
        <v>37</v>
      </c>
    </row>
    <row r="513" spans="3:14" x14ac:dyDescent="0.35">
      <c r="C513" t="s">
        <v>21</v>
      </c>
      <c r="D513" t="s">
        <v>34</v>
      </c>
      <c r="E513" t="s">
        <v>304</v>
      </c>
      <c r="F513" s="3">
        <v>2019</v>
      </c>
      <c r="G513" s="50">
        <v>0.06</v>
      </c>
      <c r="H513" s="65">
        <v>1.2999999999999999E-2</v>
      </c>
      <c r="I513" s="50">
        <v>450</v>
      </c>
      <c r="L513" s="6" t="s">
        <v>307</v>
      </c>
      <c r="M513" s="70">
        <f>IF((M511-M512)*M510&lt;=0,0,(M511-M512)*M510)</f>
        <v>25</v>
      </c>
      <c r="N513" t="s">
        <v>247</v>
      </c>
    </row>
    <row r="514" spans="3:14" x14ac:dyDescent="0.35">
      <c r="C514" t="s">
        <v>21</v>
      </c>
      <c r="D514" t="s">
        <v>35</v>
      </c>
      <c r="E514" t="s">
        <v>304</v>
      </c>
      <c r="F514" s="3">
        <v>2019</v>
      </c>
      <c r="G514" s="50">
        <v>0.06</v>
      </c>
      <c r="H514" s="65">
        <v>1.2999999999999999E-2</v>
      </c>
      <c r="I514" s="50">
        <v>900</v>
      </c>
    </row>
    <row r="515" spans="3:14" x14ac:dyDescent="0.35">
      <c r="C515" t="s">
        <v>21</v>
      </c>
      <c r="D515" t="s">
        <v>36</v>
      </c>
      <c r="E515" t="s">
        <v>304</v>
      </c>
      <c r="F515" s="3">
        <v>2019</v>
      </c>
      <c r="G515" s="50">
        <v>0.06</v>
      </c>
      <c r="H515" s="65">
        <v>1.2999999999999999E-2</v>
      </c>
      <c r="I515" s="50">
        <v>450</v>
      </c>
    </row>
    <row r="516" spans="3:14" x14ac:dyDescent="0.35">
      <c r="C516" t="s">
        <v>21</v>
      </c>
      <c r="D516" t="s">
        <v>37</v>
      </c>
      <c r="E516" t="s">
        <v>304</v>
      </c>
      <c r="F516" s="3">
        <v>2019</v>
      </c>
      <c r="G516" s="50">
        <v>0.06</v>
      </c>
      <c r="H516" s="65">
        <v>1.2999999999999999E-2</v>
      </c>
      <c r="I516" s="50">
        <v>450</v>
      </c>
    </row>
    <row r="517" spans="3:14" x14ac:dyDescent="0.35">
      <c r="C517" t="s">
        <v>21</v>
      </c>
      <c r="D517" t="s">
        <v>54</v>
      </c>
      <c r="E517" t="s">
        <v>304</v>
      </c>
      <c r="F517" s="3">
        <v>2020</v>
      </c>
      <c r="G517" s="50">
        <v>0.06</v>
      </c>
      <c r="H517" s="65">
        <v>1.2999999999999999E-2</v>
      </c>
      <c r="I517" s="50">
        <v>450</v>
      </c>
    </row>
    <row r="518" spans="3:14" x14ac:dyDescent="0.35">
      <c r="C518" t="s">
        <v>21</v>
      </c>
      <c r="D518" t="s">
        <v>34</v>
      </c>
      <c r="E518" t="s">
        <v>304</v>
      </c>
      <c r="F518" s="3">
        <v>2020</v>
      </c>
      <c r="G518" s="50">
        <v>0.06</v>
      </c>
      <c r="H518" s="65">
        <v>1.2999999999999999E-2</v>
      </c>
      <c r="I518" s="50">
        <v>450</v>
      </c>
    </row>
    <row r="519" spans="3:14" x14ac:dyDescent="0.35">
      <c r="C519" t="s">
        <v>21</v>
      </c>
      <c r="D519" t="s">
        <v>35</v>
      </c>
      <c r="E519" t="s">
        <v>304</v>
      </c>
      <c r="F519" s="3">
        <v>2020</v>
      </c>
      <c r="G519" s="50">
        <v>0.06</v>
      </c>
      <c r="H519" s="65">
        <v>1.2999999999999999E-2</v>
      </c>
      <c r="I519" s="50">
        <v>450</v>
      </c>
    </row>
    <row r="520" spans="3:14" x14ac:dyDescent="0.35">
      <c r="C520" t="s">
        <v>21</v>
      </c>
      <c r="D520" t="s">
        <v>36</v>
      </c>
      <c r="E520" t="s">
        <v>304</v>
      </c>
      <c r="F520" s="3">
        <v>2020</v>
      </c>
      <c r="G520" s="50">
        <v>0.06</v>
      </c>
      <c r="H520" s="65">
        <v>1.2999999999999999E-2</v>
      </c>
      <c r="I520" s="50">
        <v>450</v>
      </c>
    </row>
    <row r="521" spans="3:14" x14ac:dyDescent="0.35">
      <c r="C521" t="s">
        <v>21</v>
      </c>
      <c r="D521" t="s">
        <v>37</v>
      </c>
      <c r="E521" t="s">
        <v>304</v>
      </c>
      <c r="F521" s="3">
        <v>2020</v>
      </c>
      <c r="G521" s="50">
        <v>0.06</v>
      </c>
      <c r="H521" s="65">
        <v>1.2999999999999999E-2</v>
      </c>
      <c r="I521" s="50">
        <v>450</v>
      </c>
    </row>
    <row r="522" spans="3:14" x14ac:dyDescent="0.35">
      <c r="C522" t="s">
        <v>21</v>
      </c>
      <c r="D522" t="s">
        <v>54</v>
      </c>
      <c r="E522" t="s">
        <v>304</v>
      </c>
      <c r="F522" s="3">
        <v>2021</v>
      </c>
      <c r="G522" s="50">
        <v>25000</v>
      </c>
      <c r="H522" s="65">
        <v>2.5000000000000001E-2</v>
      </c>
      <c r="I522" s="50">
        <v>450</v>
      </c>
    </row>
    <row r="523" spans="3:14" x14ac:dyDescent="0.35">
      <c r="C523" t="s">
        <v>21</v>
      </c>
      <c r="D523" t="s">
        <v>34</v>
      </c>
      <c r="E523" t="s">
        <v>304</v>
      </c>
      <c r="F523" s="3">
        <v>2021</v>
      </c>
      <c r="G523" s="50">
        <v>32000</v>
      </c>
      <c r="H523" s="65">
        <v>2.5000000000000001E-2</v>
      </c>
      <c r="I523" s="50">
        <v>450</v>
      </c>
    </row>
    <row r="524" spans="3:14" x14ac:dyDescent="0.35">
      <c r="C524" t="s">
        <v>21</v>
      </c>
      <c r="D524" t="s">
        <v>35</v>
      </c>
      <c r="E524" t="s">
        <v>304</v>
      </c>
      <c r="F524" s="3">
        <v>2021</v>
      </c>
      <c r="G524" s="50">
        <v>32000</v>
      </c>
      <c r="H524" s="65">
        <v>2.5000000000000001E-2</v>
      </c>
      <c r="I524" s="50">
        <v>900</v>
      </c>
    </row>
    <row r="525" spans="3:14" x14ac:dyDescent="0.35">
      <c r="C525" t="s">
        <v>21</v>
      </c>
      <c r="D525" t="s">
        <v>36</v>
      </c>
      <c r="E525" t="s">
        <v>304</v>
      </c>
      <c r="F525" s="3">
        <v>2021</v>
      </c>
      <c r="G525" s="50">
        <v>16000</v>
      </c>
      <c r="H525" s="65">
        <v>2.5000000000000001E-2</v>
      </c>
      <c r="I525" s="50">
        <v>450</v>
      </c>
    </row>
    <row r="526" spans="3:14" x14ac:dyDescent="0.35">
      <c r="C526" t="s">
        <v>21</v>
      </c>
      <c r="D526" t="s">
        <v>37</v>
      </c>
      <c r="E526" t="s">
        <v>304</v>
      </c>
      <c r="F526" s="3">
        <v>2021</v>
      </c>
      <c r="G526" s="50">
        <v>32000</v>
      </c>
      <c r="H526" s="65">
        <v>2.5000000000000001E-2</v>
      </c>
      <c r="I526" s="50">
        <v>450</v>
      </c>
    </row>
    <row r="527" spans="3:14" x14ac:dyDescent="0.35">
      <c r="C527" t="s">
        <v>21</v>
      </c>
      <c r="D527" t="s">
        <v>54</v>
      </c>
      <c r="E527" t="s">
        <v>304</v>
      </c>
      <c r="F527" s="3">
        <v>2022</v>
      </c>
      <c r="G527" s="50">
        <v>25000</v>
      </c>
      <c r="H527" s="65">
        <v>2.5000000000000001E-2</v>
      </c>
      <c r="I527" s="50">
        <v>450</v>
      </c>
    </row>
    <row r="528" spans="3:14" x14ac:dyDescent="0.35">
      <c r="C528" t="s">
        <v>21</v>
      </c>
      <c r="D528" t="s">
        <v>34</v>
      </c>
      <c r="E528" t="s">
        <v>304</v>
      </c>
      <c r="F528" s="3">
        <v>2022</v>
      </c>
      <c r="G528" s="50">
        <v>32000</v>
      </c>
      <c r="H528" s="65">
        <v>2.5000000000000001E-2</v>
      </c>
      <c r="I528" s="50">
        <v>450</v>
      </c>
    </row>
    <row r="529" spans="2:15" x14ac:dyDescent="0.35">
      <c r="C529" t="s">
        <v>21</v>
      </c>
      <c r="D529" t="s">
        <v>35</v>
      </c>
      <c r="E529" t="s">
        <v>304</v>
      </c>
      <c r="F529" s="3">
        <v>2022</v>
      </c>
      <c r="G529" s="50">
        <v>32000</v>
      </c>
      <c r="H529" s="65">
        <v>2.5000000000000001E-2</v>
      </c>
      <c r="I529" s="50">
        <v>900</v>
      </c>
    </row>
    <row r="530" spans="2:15" x14ac:dyDescent="0.35">
      <c r="C530" t="s">
        <v>21</v>
      </c>
      <c r="D530" t="s">
        <v>36</v>
      </c>
      <c r="E530" t="s">
        <v>304</v>
      </c>
      <c r="F530" s="3">
        <v>2022</v>
      </c>
      <c r="G530" s="50">
        <v>16000</v>
      </c>
      <c r="H530" s="65">
        <v>2.5000000000000001E-2</v>
      </c>
      <c r="I530" s="50">
        <v>450</v>
      </c>
    </row>
    <row r="531" spans="2:15" x14ac:dyDescent="0.35">
      <c r="C531" t="s">
        <v>21</v>
      </c>
      <c r="D531" t="s">
        <v>37</v>
      </c>
      <c r="E531" t="s">
        <v>304</v>
      </c>
      <c r="F531" s="3">
        <v>2022</v>
      </c>
      <c r="G531" s="50">
        <v>32000</v>
      </c>
      <c r="H531" s="65">
        <v>2.5000000000000001E-2</v>
      </c>
      <c r="I531" s="50">
        <v>450</v>
      </c>
    </row>
    <row r="532" spans="2:15" x14ac:dyDescent="0.35">
      <c r="C532" t="s">
        <v>21</v>
      </c>
      <c r="D532" t="s">
        <v>54</v>
      </c>
      <c r="E532" t="s">
        <v>304</v>
      </c>
      <c r="F532" s="3">
        <v>2023</v>
      </c>
      <c r="G532" s="50">
        <v>25000</v>
      </c>
      <c r="H532" s="65">
        <v>2.5000000000000001E-2</v>
      </c>
      <c r="I532" s="50">
        <v>450</v>
      </c>
    </row>
    <row r="533" spans="2:15" x14ac:dyDescent="0.35">
      <c r="C533" t="s">
        <v>21</v>
      </c>
      <c r="D533" t="s">
        <v>34</v>
      </c>
      <c r="E533" t="s">
        <v>304</v>
      </c>
      <c r="F533" s="3">
        <v>2023</v>
      </c>
      <c r="G533" s="50">
        <v>32000</v>
      </c>
      <c r="H533" s="65">
        <v>2.5000000000000001E-2</v>
      </c>
      <c r="I533" s="50">
        <v>450</v>
      </c>
    </row>
    <row r="534" spans="2:15" x14ac:dyDescent="0.35">
      <c r="C534" t="s">
        <v>21</v>
      </c>
      <c r="D534" t="s">
        <v>35</v>
      </c>
      <c r="E534" t="s">
        <v>304</v>
      </c>
      <c r="F534" s="3">
        <v>2023</v>
      </c>
      <c r="G534" s="50">
        <v>32000</v>
      </c>
      <c r="H534" s="65">
        <v>2.5000000000000001E-2</v>
      </c>
      <c r="I534" s="50">
        <v>900</v>
      </c>
    </row>
    <row r="535" spans="2:15" x14ac:dyDescent="0.35">
      <c r="C535" t="s">
        <v>21</v>
      </c>
      <c r="D535" t="s">
        <v>36</v>
      </c>
      <c r="E535" t="s">
        <v>304</v>
      </c>
      <c r="F535" s="3">
        <v>2023</v>
      </c>
      <c r="G535" s="50">
        <v>16000</v>
      </c>
      <c r="H535" s="65">
        <v>2.5000000000000001E-2</v>
      </c>
      <c r="I535" s="50">
        <v>450</v>
      </c>
    </row>
    <row r="536" spans="2:15" x14ac:dyDescent="0.35">
      <c r="C536" t="s">
        <v>21</v>
      </c>
      <c r="D536" t="s">
        <v>37</v>
      </c>
      <c r="E536" t="s">
        <v>304</v>
      </c>
      <c r="F536" s="3">
        <v>2023</v>
      </c>
      <c r="G536" s="50">
        <v>32000</v>
      </c>
      <c r="H536" s="65">
        <v>2.5000000000000001E-2</v>
      </c>
      <c r="I536" s="50">
        <v>450</v>
      </c>
    </row>
    <row r="538" spans="2:15" x14ac:dyDescent="0.35">
      <c r="B538" s="2" t="s">
        <v>308</v>
      </c>
      <c r="K538" s="2" t="s">
        <v>91</v>
      </c>
      <c r="L538" t="s">
        <v>309</v>
      </c>
    </row>
    <row r="539" spans="2:15" x14ac:dyDescent="0.35">
      <c r="C539" t="s">
        <v>5</v>
      </c>
      <c r="D539" t="s">
        <v>287</v>
      </c>
      <c r="E539" t="s">
        <v>301</v>
      </c>
      <c r="F539" s="3" t="s">
        <v>253</v>
      </c>
      <c r="G539" s="3" t="s">
        <v>302</v>
      </c>
      <c r="H539" s="3" t="s">
        <v>310</v>
      </c>
      <c r="I539" s="3" t="s">
        <v>303</v>
      </c>
    </row>
    <row r="540" spans="2:15" x14ac:dyDescent="0.35">
      <c r="C540" t="s">
        <v>21</v>
      </c>
      <c r="D540" t="s">
        <v>33</v>
      </c>
      <c r="E540" t="s">
        <v>311</v>
      </c>
      <c r="F540" s="3">
        <v>2018</v>
      </c>
      <c r="G540" s="50">
        <v>0</v>
      </c>
      <c r="H540" s="65">
        <v>0</v>
      </c>
      <c r="I540" s="65">
        <v>0</v>
      </c>
      <c r="K540" t="s">
        <v>94</v>
      </c>
      <c r="L540" s="4" t="s">
        <v>245</v>
      </c>
      <c r="M540" s="13" t="s">
        <v>21</v>
      </c>
      <c r="O540" s="1" t="s">
        <v>251</v>
      </c>
    </row>
    <row r="541" spans="2:15" x14ac:dyDescent="0.35">
      <c r="C541" t="s">
        <v>21</v>
      </c>
      <c r="D541" t="s">
        <v>34</v>
      </c>
      <c r="E541" t="s">
        <v>311</v>
      </c>
      <c r="F541" s="3">
        <v>2018</v>
      </c>
      <c r="G541" s="50">
        <v>0</v>
      </c>
      <c r="H541" s="65">
        <v>0</v>
      </c>
      <c r="I541" s="65">
        <v>0</v>
      </c>
      <c r="L541" s="4" t="s">
        <v>256</v>
      </c>
      <c r="M541" s="13">
        <v>2022</v>
      </c>
      <c r="O541" t="s">
        <v>54</v>
      </c>
    </row>
    <row r="542" spans="2:15" x14ac:dyDescent="0.35">
      <c r="C542" t="s">
        <v>21</v>
      </c>
      <c r="D542" t="s">
        <v>35</v>
      </c>
      <c r="E542" t="s">
        <v>311</v>
      </c>
      <c r="F542" s="3">
        <v>2018</v>
      </c>
      <c r="G542" s="50">
        <v>0</v>
      </c>
      <c r="H542" s="65">
        <v>0</v>
      </c>
      <c r="I542" s="65">
        <v>0</v>
      </c>
      <c r="L542" s="4" t="s">
        <v>251</v>
      </c>
      <c r="M542" s="67" t="s">
        <v>54</v>
      </c>
      <c r="O542" t="s">
        <v>34</v>
      </c>
    </row>
    <row r="543" spans="2:15" x14ac:dyDescent="0.35">
      <c r="C543" t="s">
        <v>21</v>
      </c>
      <c r="D543" t="s">
        <v>36</v>
      </c>
      <c r="E543" t="s">
        <v>311</v>
      </c>
      <c r="F543" s="3">
        <v>2018</v>
      </c>
      <c r="G543" s="50">
        <v>0</v>
      </c>
      <c r="H543" s="65">
        <v>0</v>
      </c>
      <c r="I543" s="65">
        <v>0</v>
      </c>
      <c r="L543" s="4" t="s">
        <v>310</v>
      </c>
      <c r="M543" s="68" t="e">
        <f t="array" ref="M543">INDEX(stateTaxSocialSecurityBenefitsCreditUT[SS Income Percent],MATCH(1,(stateTaxSocialSecurityBenefitsCreditUT[State]=M540)*(stateTaxSocialSecurityBenefitsCreditUT[Tax Filing Status]=M542)*(stateTaxSocialSecurityBenefitsCreditUT[Year]=M541),0))</f>
        <v>#N/A</v>
      </c>
      <c r="O543" t="s">
        <v>35</v>
      </c>
    </row>
    <row r="544" spans="2:15" x14ac:dyDescent="0.35">
      <c r="C544" t="s">
        <v>21</v>
      </c>
      <c r="D544" t="s">
        <v>37</v>
      </c>
      <c r="E544" t="s">
        <v>311</v>
      </c>
      <c r="F544" s="3">
        <v>2018</v>
      </c>
      <c r="G544" s="50">
        <v>0</v>
      </c>
      <c r="H544" s="65">
        <v>0</v>
      </c>
      <c r="I544" s="65">
        <v>0</v>
      </c>
      <c r="L544" s="4" t="s">
        <v>305</v>
      </c>
      <c r="M544" s="68" t="e">
        <f t="array" ref="M544">INDEX(stateTaxSocialSecurityBenefitsCreditUT[Credit Percentage],MATCH(1,(stateTaxSocialSecurityBenefitsCreditUT[State]=M540)*(stateTaxSocialSecurityBenefitsCreditUT[Tax Filing Status]=M542)*(stateTaxSocialSecurityBenefitsCreditUT[Year]=M541),0))</f>
        <v>#N/A</v>
      </c>
      <c r="O544" t="s">
        <v>36</v>
      </c>
    </row>
    <row r="545" spans="3:15" x14ac:dyDescent="0.35">
      <c r="C545" t="s">
        <v>21</v>
      </c>
      <c r="D545" t="s">
        <v>33</v>
      </c>
      <c r="E545" t="s">
        <v>311</v>
      </c>
      <c r="F545" s="3">
        <v>2019</v>
      </c>
      <c r="G545" s="50">
        <v>0</v>
      </c>
      <c r="H545" s="65">
        <v>0</v>
      </c>
      <c r="I545" s="65">
        <v>0</v>
      </c>
      <c r="L545" s="4" t="s">
        <v>306</v>
      </c>
      <c r="M545" s="62">
        <v>32000</v>
      </c>
      <c r="O545" t="s">
        <v>37</v>
      </c>
    </row>
    <row r="546" spans="3:15" x14ac:dyDescent="0.35">
      <c r="C546" t="s">
        <v>21</v>
      </c>
      <c r="D546" t="s">
        <v>34</v>
      </c>
      <c r="E546" t="s">
        <v>311</v>
      </c>
      <c r="F546" s="3">
        <v>2019</v>
      </c>
      <c r="G546" s="50">
        <v>0</v>
      </c>
      <c r="H546" s="65">
        <v>0</v>
      </c>
      <c r="I546" s="65">
        <v>0</v>
      </c>
      <c r="L546" s="4" t="s">
        <v>302</v>
      </c>
      <c r="M546" s="62" t="e">
        <f t="array" ref="M546">INDEX(stateTaxSocialSecurityBenefitsCreditUT[MAGI Deduction],MATCH(1,(stateTaxSocialSecurityBenefitsCreditUT[State]=M540)*(stateTaxSocialSecurityBenefitsCreditUT[Tax Filing Status]=M542)*(stateTaxSocialSecurityBenefitsCreditUT[Year]=M541),0))</f>
        <v>#N/A</v>
      </c>
    </row>
    <row r="547" spans="3:15" x14ac:dyDescent="0.35">
      <c r="C547" t="s">
        <v>21</v>
      </c>
      <c r="D547" t="s">
        <v>35</v>
      </c>
      <c r="E547" t="s">
        <v>311</v>
      </c>
      <c r="F547" s="3">
        <v>2019</v>
      </c>
      <c r="G547" s="50">
        <v>0</v>
      </c>
      <c r="H547" s="65">
        <v>0</v>
      </c>
      <c r="I547" s="65">
        <v>0</v>
      </c>
      <c r="L547" s="6" t="s">
        <v>118</v>
      </c>
      <c r="M547" s="70" t="e">
        <f>IF((M545*M543)-((M545-M546)*M544)&lt;=0,0,(M545*M543)-((M545-M546)*M544))</f>
        <v>#N/A</v>
      </c>
      <c r="N547" t="s">
        <v>247</v>
      </c>
    </row>
    <row r="548" spans="3:15" x14ac:dyDescent="0.35">
      <c r="C548" t="s">
        <v>21</v>
      </c>
      <c r="D548" t="s">
        <v>36</v>
      </c>
      <c r="E548" t="s">
        <v>311</v>
      </c>
      <c r="F548" s="3">
        <v>2019</v>
      </c>
      <c r="G548" s="50">
        <v>0</v>
      </c>
      <c r="H548" s="65">
        <v>0</v>
      </c>
      <c r="I548" s="65">
        <v>0</v>
      </c>
    </row>
    <row r="549" spans="3:15" x14ac:dyDescent="0.35">
      <c r="C549" t="s">
        <v>21</v>
      </c>
      <c r="D549" t="s">
        <v>37</v>
      </c>
      <c r="E549" t="s">
        <v>311</v>
      </c>
      <c r="F549" s="3">
        <v>2019</v>
      </c>
      <c r="G549" s="50">
        <v>0</v>
      </c>
      <c r="H549" s="65">
        <v>0</v>
      </c>
      <c r="I549" s="65">
        <v>0</v>
      </c>
    </row>
    <row r="550" spans="3:15" x14ac:dyDescent="0.35">
      <c r="C550" t="s">
        <v>21</v>
      </c>
      <c r="D550" t="s">
        <v>33</v>
      </c>
      <c r="E550" t="s">
        <v>311</v>
      </c>
      <c r="F550" s="3">
        <v>2020</v>
      </c>
      <c r="G550" s="50">
        <v>0</v>
      </c>
      <c r="H550" s="65">
        <v>0</v>
      </c>
      <c r="I550" s="65">
        <v>0</v>
      </c>
    </row>
    <row r="551" spans="3:15" x14ac:dyDescent="0.35">
      <c r="C551" t="s">
        <v>21</v>
      </c>
      <c r="D551" t="s">
        <v>34</v>
      </c>
      <c r="E551" t="s">
        <v>311</v>
      </c>
      <c r="F551" s="3">
        <v>2020</v>
      </c>
      <c r="G551" s="50">
        <v>0</v>
      </c>
      <c r="H551" s="65">
        <v>0</v>
      </c>
      <c r="I551" s="65">
        <v>0</v>
      </c>
    </row>
    <row r="552" spans="3:15" x14ac:dyDescent="0.35">
      <c r="C552" t="s">
        <v>21</v>
      </c>
      <c r="D552" t="s">
        <v>35</v>
      </c>
      <c r="E552" t="s">
        <v>311</v>
      </c>
      <c r="F552" s="3">
        <v>2020</v>
      </c>
      <c r="G552" s="50">
        <v>0</v>
      </c>
      <c r="H552" s="65">
        <v>0</v>
      </c>
      <c r="I552" s="65">
        <v>0</v>
      </c>
    </row>
    <row r="553" spans="3:15" x14ac:dyDescent="0.35">
      <c r="C553" t="s">
        <v>21</v>
      </c>
      <c r="D553" t="s">
        <v>36</v>
      </c>
      <c r="E553" t="s">
        <v>311</v>
      </c>
      <c r="F553" s="3">
        <v>2020</v>
      </c>
      <c r="G553" s="50">
        <v>0</v>
      </c>
      <c r="H553" s="65">
        <v>0</v>
      </c>
      <c r="I553" s="65">
        <v>0</v>
      </c>
    </row>
    <row r="554" spans="3:15" x14ac:dyDescent="0.35">
      <c r="C554" t="s">
        <v>21</v>
      </c>
      <c r="D554" t="s">
        <v>37</v>
      </c>
      <c r="E554" t="s">
        <v>311</v>
      </c>
      <c r="F554" s="3">
        <v>2020</v>
      </c>
      <c r="G554" s="50">
        <v>0</v>
      </c>
      <c r="H554" s="65">
        <v>0</v>
      </c>
      <c r="I554" s="65">
        <v>0</v>
      </c>
    </row>
    <row r="555" spans="3:15" x14ac:dyDescent="0.35">
      <c r="C555" t="s">
        <v>21</v>
      </c>
      <c r="D555" t="s">
        <v>33</v>
      </c>
      <c r="E555" t="s">
        <v>311</v>
      </c>
      <c r="F555" s="3">
        <v>2021</v>
      </c>
      <c r="G555" s="50">
        <v>30000</v>
      </c>
      <c r="H555" s="65">
        <v>4.9500000000000002E-2</v>
      </c>
      <c r="I555" s="65">
        <v>2.5000000000000001E-2</v>
      </c>
    </row>
    <row r="556" spans="3:15" x14ac:dyDescent="0.35">
      <c r="C556" t="s">
        <v>21</v>
      </c>
      <c r="D556" t="s">
        <v>34</v>
      </c>
      <c r="E556" t="s">
        <v>311</v>
      </c>
      <c r="F556" s="3">
        <v>2021</v>
      </c>
      <c r="G556" s="50">
        <v>50000</v>
      </c>
      <c r="H556" s="65">
        <v>4.9500000000000002E-2</v>
      </c>
      <c r="I556" s="65">
        <v>2.5000000000000001E-2</v>
      </c>
    </row>
    <row r="557" spans="3:15" x14ac:dyDescent="0.35">
      <c r="C557" t="s">
        <v>21</v>
      </c>
      <c r="D557" t="s">
        <v>35</v>
      </c>
      <c r="E557" t="s">
        <v>311</v>
      </c>
      <c r="F557" s="3">
        <v>2021</v>
      </c>
      <c r="G557" s="50">
        <v>50000</v>
      </c>
      <c r="H557" s="65">
        <v>4.9500000000000002E-2</v>
      </c>
      <c r="I557" s="65">
        <v>2.5000000000000001E-2</v>
      </c>
    </row>
    <row r="558" spans="3:15" x14ac:dyDescent="0.35">
      <c r="C558" t="s">
        <v>21</v>
      </c>
      <c r="D558" t="s">
        <v>36</v>
      </c>
      <c r="E558" t="s">
        <v>311</v>
      </c>
      <c r="F558" s="3">
        <v>2021</v>
      </c>
      <c r="G558" s="50">
        <v>25000</v>
      </c>
      <c r="H558" s="65">
        <v>4.9500000000000002E-2</v>
      </c>
      <c r="I558" s="65">
        <v>2.5000000000000001E-2</v>
      </c>
    </row>
    <row r="559" spans="3:15" x14ac:dyDescent="0.35">
      <c r="C559" t="s">
        <v>21</v>
      </c>
      <c r="D559" t="s">
        <v>37</v>
      </c>
      <c r="E559" t="s">
        <v>311</v>
      </c>
      <c r="F559" s="3">
        <v>2021</v>
      </c>
      <c r="G559" s="50">
        <v>50000</v>
      </c>
      <c r="H559" s="65">
        <v>4.9500000000000002E-2</v>
      </c>
      <c r="I559" s="65">
        <v>2.5000000000000001E-2</v>
      </c>
    </row>
    <row r="560" spans="3:15" x14ac:dyDescent="0.35">
      <c r="C560" t="s">
        <v>21</v>
      </c>
      <c r="D560" t="s">
        <v>33</v>
      </c>
      <c r="E560" t="s">
        <v>311</v>
      </c>
      <c r="F560" s="3">
        <v>2022</v>
      </c>
      <c r="G560" s="50">
        <v>37000</v>
      </c>
      <c r="H560" s="65">
        <v>4.8500000000000001E-2</v>
      </c>
      <c r="I560" s="65">
        <v>2.5000000000000001E-2</v>
      </c>
    </row>
    <row r="561" spans="2:9" x14ac:dyDescent="0.35">
      <c r="C561" t="s">
        <v>21</v>
      </c>
      <c r="D561" t="s">
        <v>34</v>
      </c>
      <c r="E561" t="s">
        <v>311</v>
      </c>
      <c r="F561" s="3">
        <v>2022</v>
      </c>
      <c r="G561" s="50">
        <v>62000</v>
      </c>
      <c r="H561" s="65">
        <v>4.8500000000000001E-2</v>
      </c>
      <c r="I561" s="65">
        <v>2.5000000000000001E-2</v>
      </c>
    </row>
    <row r="562" spans="2:9" x14ac:dyDescent="0.35">
      <c r="C562" t="s">
        <v>21</v>
      </c>
      <c r="D562" t="s">
        <v>35</v>
      </c>
      <c r="E562" t="s">
        <v>311</v>
      </c>
      <c r="F562" s="3">
        <v>2022</v>
      </c>
      <c r="G562" s="50">
        <v>62000</v>
      </c>
      <c r="H562" s="65">
        <v>4.8500000000000001E-2</v>
      </c>
      <c r="I562" s="65">
        <v>2.5000000000000001E-2</v>
      </c>
    </row>
    <row r="563" spans="2:9" x14ac:dyDescent="0.35">
      <c r="C563" t="s">
        <v>21</v>
      </c>
      <c r="D563" t="s">
        <v>36</v>
      </c>
      <c r="E563" t="s">
        <v>311</v>
      </c>
      <c r="F563" s="3">
        <v>2022</v>
      </c>
      <c r="G563" s="50">
        <v>31000</v>
      </c>
      <c r="H563" s="65">
        <v>4.8500000000000001E-2</v>
      </c>
      <c r="I563" s="65">
        <v>2.5000000000000001E-2</v>
      </c>
    </row>
    <row r="564" spans="2:9" x14ac:dyDescent="0.35">
      <c r="C564" t="s">
        <v>21</v>
      </c>
      <c r="D564" t="s">
        <v>37</v>
      </c>
      <c r="E564" t="s">
        <v>311</v>
      </c>
      <c r="F564" s="3">
        <v>2022</v>
      </c>
      <c r="G564" s="50">
        <v>62000</v>
      </c>
      <c r="H564" s="65">
        <v>4.8500000000000001E-2</v>
      </c>
      <c r="I564" s="65">
        <v>2.5000000000000001E-2</v>
      </c>
    </row>
    <row r="565" spans="2:9" x14ac:dyDescent="0.35">
      <c r="C565" s="82" t="s">
        <v>21</v>
      </c>
      <c r="D565" t="s">
        <v>33</v>
      </c>
      <c r="E565" t="s">
        <v>311</v>
      </c>
      <c r="F565" s="50">
        <v>2023</v>
      </c>
      <c r="G565" s="50">
        <v>37000</v>
      </c>
      <c r="H565" s="65">
        <v>4.8500000000000001E-2</v>
      </c>
      <c r="I565" s="65">
        <v>2.5000000000000001E-2</v>
      </c>
    </row>
    <row r="566" spans="2:9" x14ac:dyDescent="0.35">
      <c r="C566" s="82" t="s">
        <v>21</v>
      </c>
      <c r="D566" t="s">
        <v>34</v>
      </c>
      <c r="E566" t="s">
        <v>311</v>
      </c>
      <c r="F566" s="50">
        <v>2023</v>
      </c>
      <c r="G566" s="50">
        <v>62000</v>
      </c>
      <c r="H566" s="65">
        <v>4.8500000000000001E-2</v>
      </c>
      <c r="I566" s="65">
        <v>2.5000000000000001E-2</v>
      </c>
    </row>
    <row r="567" spans="2:9" x14ac:dyDescent="0.35">
      <c r="C567" s="82" t="s">
        <v>21</v>
      </c>
      <c r="D567" t="s">
        <v>35</v>
      </c>
      <c r="E567" t="s">
        <v>311</v>
      </c>
      <c r="F567" s="50">
        <v>2023</v>
      </c>
      <c r="G567" s="50">
        <v>62000</v>
      </c>
      <c r="H567" s="65">
        <v>4.8500000000000001E-2</v>
      </c>
      <c r="I567" s="65">
        <v>2.5000000000000001E-2</v>
      </c>
    </row>
    <row r="568" spans="2:9" x14ac:dyDescent="0.35">
      <c r="C568" s="82" t="s">
        <v>21</v>
      </c>
      <c r="D568" t="s">
        <v>36</v>
      </c>
      <c r="E568" t="s">
        <v>311</v>
      </c>
      <c r="F568" s="50">
        <v>2023</v>
      </c>
      <c r="G568" s="50">
        <v>31000</v>
      </c>
      <c r="H568" s="65">
        <v>4.8500000000000001E-2</v>
      </c>
      <c r="I568" s="65">
        <v>2.5000000000000001E-2</v>
      </c>
    </row>
    <row r="569" spans="2:9" x14ac:dyDescent="0.35">
      <c r="C569" s="82" t="s">
        <v>21</v>
      </c>
      <c r="D569" t="s">
        <v>37</v>
      </c>
      <c r="E569" t="s">
        <v>311</v>
      </c>
      <c r="F569" s="50">
        <v>2023</v>
      </c>
      <c r="G569" s="50">
        <v>62000</v>
      </c>
      <c r="H569" s="65">
        <v>4.8500000000000001E-2</v>
      </c>
      <c r="I569" s="65">
        <v>2.5000000000000001E-2</v>
      </c>
    </row>
    <row r="571" spans="2:9" x14ac:dyDescent="0.35">
      <c r="B571" s="2" t="s">
        <v>315</v>
      </c>
    </row>
    <row r="572" spans="2:9" x14ac:dyDescent="0.35">
      <c r="C572" t="s">
        <v>5</v>
      </c>
      <c r="D572" s="3" t="s">
        <v>253</v>
      </c>
      <c r="E572" t="s">
        <v>287</v>
      </c>
      <c r="F572" s="3" t="s">
        <v>316</v>
      </c>
      <c r="G572" t="s">
        <v>252</v>
      </c>
      <c r="H572" t="s">
        <v>317</v>
      </c>
    </row>
    <row r="573" spans="2:9" x14ac:dyDescent="0.35">
      <c r="C573" t="s">
        <v>312</v>
      </c>
      <c r="D573" s="3">
        <v>2018</v>
      </c>
      <c r="E573" t="s">
        <v>54</v>
      </c>
      <c r="F573" s="3" t="s">
        <v>318</v>
      </c>
      <c r="G573" s="7">
        <v>10000</v>
      </c>
      <c r="H573" s="7">
        <v>10000</v>
      </c>
    </row>
    <row r="574" spans="2:9" x14ac:dyDescent="0.35">
      <c r="C574" t="s">
        <v>312</v>
      </c>
      <c r="D574" s="3">
        <v>2018</v>
      </c>
      <c r="E574" t="s">
        <v>34</v>
      </c>
      <c r="F574" s="3" t="s">
        <v>318</v>
      </c>
      <c r="G574" s="7">
        <v>10000</v>
      </c>
      <c r="H574" s="7">
        <v>10000</v>
      </c>
    </row>
    <row r="575" spans="2:9" x14ac:dyDescent="0.35">
      <c r="C575" t="s">
        <v>312</v>
      </c>
      <c r="D575" s="3">
        <v>2018</v>
      </c>
      <c r="E575" t="s">
        <v>40</v>
      </c>
      <c r="F575" s="3" t="s">
        <v>318</v>
      </c>
      <c r="G575" s="7">
        <v>10000</v>
      </c>
      <c r="H575" s="7">
        <v>10000</v>
      </c>
    </row>
    <row r="576" spans="2:9" x14ac:dyDescent="0.35">
      <c r="C576" t="s">
        <v>312</v>
      </c>
      <c r="D576" s="3">
        <v>2018</v>
      </c>
      <c r="E576" t="s">
        <v>36</v>
      </c>
      <c r="F576" s="3" t="s">
        <v>318</v>
      </c>
      <c r="G576" s="7">
        <v>5000</v>
      </c>
      <c r="H576" s="7">
        <v>5000</v>
      </c>
    </row>
    <row r="577" spans="3:8" x14ac:dyDescent="0.35">
      <c r="C577" t="s">
        <v>312</v>
      </c>
      <c r="D577" s="3">
        <v>2018</v>
      </c>
      <c r="E577" t="s">
        <v>313</v>
      </c>
      <c r="F577" s="3" t="s">
        <v>318</v>
      </c>
      <c r="G577" s="7">
        <v>10000</v>
      </c>
      <c r="H577" s="7">
        <v>10000</v>
      </c>
    </row>
    <row r="578" spans="3:8" x14ac:dyDescent="0.35">
      <c r="C578" t="s">
        <v>312</v>
      </c>
      <c r="D578" s="3">
        <v>2018</v>
      </c>
      <c r="E578" t="s">
        <v>54</v>
      </c>
      <c r="F578" s="3" t="s">
        <v>319</v>
      </c>
      <c r="G578" s="7">
        <v>10000</v>
      </c>
      <c r="H578" s="7">
        <v>10000</v>
      </c>
    </row>
    <row r="579" spans="3:8" x14ac:dyDescent="0.35">
      <c r="C579" t="s">
        <v>312</v>
      </c>
      <c r="D579" s="3">
        <v>2018</v>
      </c>
      <c r="E579" t="s">
        <v>34</v>
      </c>
      <c r="F579" s="3" t="s">
        <v>319</v>
      </c>
      <c r="G579" s="7">
        <v>10000</v>
      </c>
      <c r="H579" s="7">
        <v>10000</v>
      </c>
    </row>
    <row r="580" spans="3:8" x14ac:dyDescent="0.35">
      <c r="C580" t="s">
        <v>312</v>
      </c>
      <c r="D580" s="3">
        <v>2018</v>
      </c>
      <c r="E580" t="s">
        <v>40</v>
      </c>
      <c r="F580" s="3" t="s">
        <v>319</v>
      </c>
      <c r="G580" s="7">
        <v>10000</v>
      </c>
      <c r="H580" s="7">
        <v>10000</v>
      </c>
    </row>
    <row r="581" spans="3:8" x14ac:dyDescent="0.35">
      <c r="C581" t="s">
        <v>312</v>
      </c>
      <c r="D581" s="3">
        <v>2018</v>
      </c>
      <c r="E581" t="s">
        <v>36</v>
      </c>
      <c r="F581" s="3" t="s">
        <v>319</v>
      </c>
      <c r="G581" s="7">
        <v>5000</v>
      </c>
      <c r="H581" s="7">
        <v>5000</v>
      </c>
    </row>
    <row r="582" spans="3:8" x14ac:dyDescent="0.35">
      <c r="C582" t="s">
        <v>312</v>
      </c>
      <c r="D582" s="3">
        <v>2018</v>
      </c>
      <c r="E582" t="s">
        <v>313</v>
      </c>
      <c r="F582" s="3" t="s">
        <v>319</v>
      </c>
      <c r="G582" s="7">
        <v>10000</v>
      </c>
      <c r="H582" s="7">
        <v>10000</v>
      </c>
    </row>
    <row r="583" spans="3:8" x14ac:dyDescent="0.35">
      <c r="C583" t="s">
        <v>312</v>
      </c>
      <c r="D583" s="3">
        <v>2019</v>
      </c>
      <c r="E583" t="s">
        <v>54</v>
      </c>
      <c r="F583" s="3" t="s">
        <v>318</v>
      </c>
      <c r="G583" s="7">
        <v>10000</v>
      </c>
      <c r="H583" s="7">
        <v>10000</v>
      </c>
    </row>
    <row r="584" spans="3:8" x14ac:dyDescent="0.35">
      <c r="C584" t="s">
        <v>312</v>
      </c>
      <c r="D584" s="3">
        <v>2019</v>
      </c>
      <c r="E584" t="s">
        <v>34</v>
      </c>
      <c r="F584" s="3" t="s">
        <v>318</v>
      </c>
      <c r="G584" s="7">
        <v>10000</v>
      </c>
      <c r="H584" s="7">
        <v>10000</v>
      </c>
    </row>
    <row r="585" spans="3:8" x14ac:dyDescent="0.35">
      <c r="C585" t="s">
        <v>312</v>
      </c>
      <c r="D585" s="3">
        <v>2019</v>
      </c>
      <c r="E585" t="s">
        <v>40</v>
      </c>
      <c r="F585" s="3" t="s">
        <v>318</v>
      </c>
      <c r="G585" s="7">
        <v>10000</v>
      </c>
      <c r="H585" s="7">
        <v>10000</v>
      </c>
    </row>
    <row r="586" spans="3:8" x14ac:dyDescent="0.35">
      <c r="C586" t="s">
        <v>312</v>
      </c>
      <c r="D586" s="3">
        <v>2019</v>
      </c>
      <c r="E586" t="s">
        <v>36</v>
      </c>
      <c r="F586" s="3" t="s">
        <v>318</v>
      </c>
      <c r="G586" s="7">
        <v>5000</v>
      </c>
      <c r="H586" s="7">
        <v>5000</v>
      </c>
    </row>
    <row r="587" spans="3:8" x14ac:dyDescent="0.35">
      <c r="C587" t="s">
        <v>312</v>
      </c>
      <c r="D587" s="3">
        <v>2019</v>
      </c>
      <c r="E587" t="s">
        <v>313</v>
      </c>
      <c r="F587" s="3" t="s">
        <v>318</v>
      </c>
      <c r="G587" s="7">
        <v>10000</v>
      </c>
      <c r="H587" s="7">
        <v>10000</v>
      </c>
    </row>
    <row r="588" spans="3:8" x14ac:dyDescent="0.35">
      <c r="C588" t="s">
        <v>312</v>
      </c>
      <c r="D588" s="3">
        <v>2019</v>
      </c>
      <c r="E588" t="s">
        <v>54</v>
      </c>
      <c r="F588" s="3" t="s">
        <v>319</v>
      </c>
      <c r="G588" s="7">
        <v>10000</v>
      </c>
      <c r="H588" s="7">
        <v>10000</v>
      </c>
    </row>
    <row r="589" spans="3:8" x14ac:dyDescent="0.35">
      <c r="C589" t="s">
        <v>312</v>
      </c>
      <c r="D589" s="3">
        <v>2019</v>
      </c>
      <c r="E589" t="s">
        <v>34</v>
      </c>
      <c r="F589" s="3" t="s">
        <v>319</v>
      </c>
      <c r="G589" s="7">
        <v>10000</v>
      </c>
      <c r="H589" s="7">
        <v>10000</v>
      </c>
    </row>
    <row r="590" spans="3:8" x14ac:dyDescent="0.35">
      <c r="C590" t="s">
        <v>312</v>
      </c>
      <c r="D590" s="3">
        <v>2019</v>
      </c>
      <c r="E590" t="s">
        <v>40</v>
      </c>
      <c r="F590" s="3" t="s">
        <v>319</v>
      </c>
      <c r="G590" s="7">
        <v>10000</v>
      </c>
      <c r="H590" s="7">
        <v>10000</v>
      </c>
    </row>
    <row r="591" spans="3:8" x14ac:dyDescent="0.35">
      <c r="C591" t="s">
        <v>312</v>
      </c>
      <c r="D591" s="3">
        <v>2019</v>
      </c>
      <c r="E591" t="s">
        <v>36</v>
      </c>
      <c r="F591" s="3" t="s">
        <v>319</v>
      </c>
      <c r="G591" s="7">
        <v>5000</v>
      </c>
      <c r="H591" s="7">
        <v>5000</v>
      </c>
    </row>
    <row r="592" spans="3:8" x14ac:dyDescent="0.35">
      <c r="C592" t="s">
        <v>312</v>
      </c>
      <c r="D592" s="3">
        <v>2019</v>
      </c>
      <c r="E592" t="s">
        <v>313</v>
      </c>
      <c r="F592" s="3" t="s">
        <v>319</v>
      </c>
      <c r="G592" s="7">
        <v>10000</v>
      </c>
      <c r="H592" s="7">
        <v>10000</v>
      </c>
    </row>
    <row r="593" spans="3:8" x14ac:dyDescent="0.35">
      <c r="C593" t="s">
        <v>312</v>
      </c>
      <c r="D593" s="3">
        <v>2020</v>
      </c>
      <c r="E593" t="s">
        <v>54</v>
      </c>
      <c r="F593" s="3" t="s">
        <v>318</v>
      </c>
      <c r="G593" s="7">
        <v>10000</v>
      </c>
      <c r="H593" s="7">
        <v>10000</v>
      </c>
    </row>
    <row r="594" spans="3:8" x14ac:dyDescent="0.35">
      <c r="C594" t="s">
        <v>312</v>
      </c>
      <c r="D594" s="3">
        <v>2020</v>
      </c>
      <c r="E594" t="s">
        <v>34</v>
      </c>
      <c r="F594" s="3" t="s">
        <v>318</v>
      </c>
      <c r="G594" s="7">
        <v>10000</v>
      </c>
      <c r="H594" s="7">
        <v>10000</v>
      </c>
    </row>
    <row r="595" spans="3:8" x14ac:dyDescent="0.35">
      <c r="C595" t="s">
        <v>312</v>
      </c>
      <c r="D595" s="3">
        <v>2020</v>
      </c>
      <c r="E595" t="s">
        <v>40</v>
      </c>
      <c r="F595" s="3" t="s">
        <v>318</v>
      </c>
      <c r="G595" s="7">
        <v>10000</v>
      </c>
      <c r="H595" s="7">
        <v>10000</v>
      </c>
    </row>
    <row r="596" spans="3:8" x14ac:dyDescent="0.35">
      <c r="C596" t="s">
        <v>312</v>
      </c>
      <c r="D596" s="3">
        <v>2020</v>
      </c>
      <c r="E596" t="s">
        <v>36</v>
      </c>
      <c r="F596" s="3" t="s">
        <v>318</v>
      </c>
      <c r="G596" s="7">
        <v>5000</v>
      </c>
      <c r="H596" s="7">
        <v>5000</v>
      </c>
    </row>
    <row r="597" spans="3:8" x14ac:dyDescent="0.35">
      <c r="C597" t="s">
        <v>312</v>
      </c>
      <c r="D597" s="3">
        <v>2020</v>
      </c>
      <c r="E597" t="s">
        <v>313</v>
      </c>
      <c r="F597" s="3" t="s">
        <v>318</v>
      </c>
      <c r="G597" s="7">
        <v>10000</v>
      </c>
      <c r="H597" s="7">
        <v>10000</v>
      </c>
    </row>
    <row r="598" spans="3:8" x14ac:dyDescent="0.35">
      <c r="C598" t="s">
        <v>312</v>
      </c>
      <c r="D598" s="3">
        <v>2020</v>
      </c>
      <c r="E598" t="s">
        <v>54</v>
      </c>
      <c r="F598" s="3" t="s">
        <v>319</v>
      </c>
      <c r="G598" s="7">
        <v>10000</v>
      </c>
      <c r="H598" s="7">
        <v>10000</v>
      </c>
    </row>
    <row r="599" spans="3:8" x14ac:dyDescent="0.35">
      <c r="C599" t="s">
        <v>312</v>
      </c>
      <c r="D599" s="3">
        <v>2020</v>
      </c>
      <c r="E599" t="s">
        <v>34</v>
      </c>
      <c r="F599" s="3" t="s">
        <v>319</v>
      </c>
      <c r="G599" s="7">
        <v>10000</v>
      </c>
      <c r="H599" s="7">
        <v>10000</v>
      </c>
    </row>
    <row r="600" spans="3:8" x14ac:dyDescent="0.35">
      <c r="C600" t="s">
        <v>312</v>
      </c>
      <c r="D600" s="3">
        <v>2020</v>
      </c>
      <c r="E600" t="s">
        <v>40</v>
      </c>
      <c r="F600" s="3" t="s">
        <v>319</v>
      </c>
      <c r="G600" s="7">
        <v>10000</v>
      </c>
      <c r="H600" s="7">
        <v>10000</v>
      </c>
    </row>
    <row r="601" spans="3:8" x14ac:dyDescent="0.35">
      <c r="C601" t="s">
        <v>312</v>
      </c>
      <c r="D601" s="3">
        <v>2020</v>
      </c>
      <c r="E601" t="s">
        <v>36</v>
      </c>
      <c r="F601" s="3" t="s">
        <v>319</v>
      </c>
      <c r="G601" s="7">
        <v>5000</v>
      </c>
      <c r="H601" s="7">
        <v>5000</v>
      </c>
    </row>
    <row r="602" spans="3:8" x14ac:dyDescent="0.35">
      <c r="C602" t="s">
        <v>312</v>
      </c>
      <c r="D602" s="3">
        <v>2020</v>
      </c>
      <c r="E602" t="s">
        <v>313</v>
      </c>
      <c r="F602" s="3" t="s">
        <v>319</v>
      </c>
      <c r="G602" s="7">
        <v>10000</v>
      </c>
      <c r="H602" s="7">
        <v>10000</v>
      </c>
    </row>
    <row r="603" spans="3:8" x14ac:dyDescent="0.35">
      <c r="C603" t="s">
        <v>312</v>
      </c>
      <c r="D603" s="3">
        <v>2021</v>
      </c>
      <c r="E603" t="s">
        <v>54</v>
      </c>
      <c r="F603" s="3" t="s">
        <v>318</v>
      </c>
      <c r="G603" s="7">
        <v>10000</v>
      </c>
      <c r="H603" s="7">
        <v>10000</v>
      </c>
    </row>
    <row r="604" spans="3:8" x14ac:dyDescent="0.35">
      <c r="C604" t="s">
        <v>312</v>
      </c>
      <c r="D604" s="3">
        <v>2021</v>
      </c>
      <c r="E604" t="s">
        <v>34</v>
      </c>
      <c r="F604" s="3" t="s">
        <v>318</v>
      </c>
      <c r="G604" s="7">
        <v>10000</v>
      </c>
      <c r="H604" s="7">
        <v>10000</v>
      </c>
    </row>
    <row r="605" spans="3:8" x14ac:dyDescent="0.35">
      <c r="C605" t="s">
        <v>312</v>
      </c>
      <c r="D605" s="3">
        <v>2021</v>
      </c>
      <c r="E605" t="s">
        <v>40</v>
      </c>
      <c r="F605" s="3" t="s">
        <v>318</v>
      </c>
      <c r="G605" s="7">
        <v>10000</v>
      </c>
      <c r="H605" s="7">
        <v>10000</v>
      </c>
    </row>
    <row r="606" spans="3:8" x14ac:dyDescent="0.35">
      <c r="C606" t="s">
        <v>312</v>
      </c>
      <c r="D606" s="3">
        <v>2021</v>
      </c>
      <c r="E606" t="s">
        <v>36</v>
      </c>
      <c r="F606" s="3" t="s">
        <v>318</v>
      </c>
      <c r="G606" s="7">
        <v>5000</v>
      </c>
      <c r="H606" s="7">
        <v>5000</v>
      </c>
    </row>
    <row r="607" spans="3:8" x14ac:dyDescent="0.35">
      <c r="C607" t="s">
        <v>312</v>
      </c>
      <c r="D607" s="3">
        <v>2021</v>
      </c>
      <c r="E607" t="s">
        <v>313</v>
      </c>
      <c r="F607" s="3" t="s">
        <v>318</v>
      </c>
      <c r="G607" s="7">
        <v>10000</v>
      </c>
      <c r="H607" s="7">
        <v>10000</v>
      </c>
    </row>
    <row r="608" spans="3:8" x14ac:dyDescent="0.35">
      <c r="C608" t="s">
        <v>312</v>
      </c>
      <c r="D608" s="3">
        <v>2021</v>
      </c>
      <c r="E608" t="s">
        <v>54</v>
      </c>
      <c r="F608" s="3" t="s">
        <v>319</v>
      </c>
      <c r="G608" s="7">
        <v>10000</v>
      </c>
      <c r="H608" s="7">
        <v>10000</v>
      </c>
    </row>
    <row r="609" spans="3:8" x14ac:dyDescent="0.35">
      <c r="C609" t="s">
        <v>312</v>
      </c>
      <c r="D609" s="3">
        <v>2021</v>
      </c>
      <c r="E609" t="s">
        <v>34</v>
      </c>
      <c r="F609" s="3" t="s">
        <v>319</v>
      </c>
      <c r="G609" s="7">
        <v>10000</v>
      </c>
      <c r="H609" s="7">
        <v>10000</v>
      </c>
    </row>
    <row r="610" spans="3:8" x14ac:dyDescent="0.35">
      <c r="C610" t="s">
        <v>312</v>
      </c>
      <c r="D610" s="3">
        <v>2021</v>
      </c>
      <c r="E610" t="s">
        <v>40</v>
      </c>
      <c r="F610" s="3" t="s">
        <v>319</v>
      </c>
      <c r="G610" s="7">
        <v>10000</v>
      </c>
      <c r="H610" s="7">
        <v>10000</v>
      </c>
    </row>
    <row r="611" spans="3:8" x14ac:dyDescent="0.35">
      <c r="C611" t="s">
        <v>312</v>
      </c>
      <c r="D611" s="3">
        <v>2021</v>
      </c>
      <c r="E611" t="s">
        <v>36</v>
      </c>
      <c r="F611" s="3" t="s">
        <v>319</v>
      </c>
      <c r="G611" s="7">
        <v>5000</v>
      </c>
      <c r="H611" s="7">
        <v>5000</v>
      </c>
    </row>
    <row r="612" spans="3:8" x14ac:dyDescent="0.35">
      <c r="C612" t="s">
        <v>312</v>
      </c>
      <c r="D612" s="3">
        <v>2021</v>
      </c>
      <c r="E612" t="s">
        <v>313</v>
      </c>
      <c r="F612" s="3" t="s">
        <v>319</v>
      </c>
      <c r="G612" s="7">
        <v>10000</v>
      </c>
      <c r="H612" s="7">
        <v>10000</v>
      </c>
    </row>
    <row r="613" spans="3:8" x14ac:dyDescent="0.35">
      <c r="C613" t="s">
        <v>312</v>
      </c>
      <c r="D613" s="3">
        <v>2022</v>
      </c>
      <c r="E613" t="s">
        <v>54</v>
      </c>
      <c r="F613" s="3" t="s">
        <v>318</v>
      </c>
      <c r="G613" s="7">
        <v>10000</v>
      </c>
      <c r="H613" s="7">
        <v>10000</v>
      </c>
    </row>
    <row r="614" spans="3:8" x14ac:dyDescent="0.35">
      <c r="C614" t="s">
        <v>312</v>
      </c>
      <c r="D614" s="3">
        <v>2022</v>
      </c>
      <c r="E614" t="s">
        <v>54</v>
      </c>
      <c r="F614" s="3" t="s">
        <v>318</v>
      </c>
      <c r="G614" s="7">
        <v>10000</v>
      </c>
      <c r="H614" s="7">
        <v>10000</v>
      </c>
    </row>
    <row r="615" spans="3:8" x14ac:dyDescent="0.35">
      <c r="C615" t="s">
        <v>312</v>
      </c>
      <c r="D615" s="3">
        <v>2022</v>
      </c>
      <c r="E615" t="s">
        <v>54</v>
      </c>
      <c r="F615" s="3" t="s">
        <v>318</v>
      </c>
      <c r="G615" s="7">
        <v>10000</v>
      </c>
      <c r="H615" s="7">
        <v>10000</v>
      </c>
    </row>
    <row r="616" spans="3:8" x14ac:dyDescent="0.35">
      <c r="C616" t="s">
        <v>312</v>
      </c>
      <c r="D616" s="3">
        <v>2022</v>
      </c>
      <c r="E616" t="s">
        <v>54</v>
      </c>
      <c r="F616" s="3" t="s">
        <v>318</v>
      </c>
      <c r="G616" s="7">
        <v>10000</v>
      </c>
      <c r="H616" s="7">
        <v>10000</v>
      </c>
    </row>
    <row r="617" spans="3:8" x14ac:dyDescent="0.35">
      <c r="C617" t="s">
        <v>312</v>
      </c>
      <c r="D617" s="3">
        <v>2022</v>
      </c>
      <c r="E617" t="s">
        <v>54</v>
      </c>
      <c r="F617" s="3" t="s">
        <v>318</v>
      </c>
      <c r="G617" s="7">
        <v>10000</v>
      </c>
      <c r="H617" s="7">
        <v>10000</v>
      </c>
    </row>
    <row r="618" spans="3:8" x14ac:dyDescent="0.35">
      <c r="C618" t="s">
        <v>312</v>
      </c>
      <c r="D618" s="3">
        <v>2022</v>
      </c>
      <c r="E618" t="s">
        <v>54</v>
      </c>
      <c r="F618" s="3" t="s">
        <v>318</v>
      </c>
      <c r="G618" s="7">
        <v>10000</v>
      </c>
      <c r="H618" s="7">
        <v>10000</v>
      </c>
    </row>
    <row r="619" spans="3:8" x14ac:dyDescent="0.35">
      <c r="C619" t="s">
        <v>312</v>
      </c>
      <c r="D619" s="3">
        <v>2022</v>
      </c>
      <c r="E619" t="s">
        <v>54</v>
      </c>
      <c r="F619" s="3" t="s">
        <v>318</v>
      </c>
      <c r="G619" s="7">
        <v>10000</v>
      </c>
      <c r="H619" s="7">
        <v>10000</v>
      </c>
    </row>
    <row r="620" spans="3:8" x14ac:dyDescent="0.35">
      <c r="C620" t="s">
        <v>312</v>
      </c>
      <c r="D620" s="3">
        <v>2022</v>
      </c>
      <c r="E620" t="s">
        <v>54</v>
      </c>
      <c r="F620" s="3" t="s">
        <v>318</v>
      </c>
      <c r="G620" s="7">
        <v>10000</v>
      </c>
      <c r="H620" s="7">
        <v>10000</v>
      </c>
    </row>
    <row r="621" spans="3:8" x14ac:dyDescent="0.35">
      <c r="C621" t="s">
        <v>312</v>
      </c>
      <c r="D621" s="3">
        <v>2022</v>
      </c>
      <c r="E621" t="s">
        <v>54</v>
      </c>
      <c r="F621" s="3" t="s">
        <v>318</v>
      </c>
      <c r="G621" s="7">
        <v>10000</v>
      </c>
      <c r="H621" s="7">
        <v>10000</v>
      </c>
    </row>
    <row r="622" spans="3:8" x14ac:dyDescent="0.35">
      <c r="C622" t="s">
        <v>312</v>
      </c>
      <c r="D622" s="3">
        <v>2022</v>
      </c>
      <c r="E622" t="s">
        <v>54</v>
      </c>
      <c r="F622" s="3" t="s">
        <v>318</v>
      </c>
      <c r="G622" s="7">
        <v>10000</v>
      </c>
      <c r="H622" s="7">
        <v>10000</v>
      </c>
    </row>
    <row r="623" spans="3:8" x14ac:dyDescent="0.35">
      <c r="C623" t="s">
        <v>312</v>
      </c>
      <c r="D623" s="3">
        <v>2023</v>
      </c>
      <c r="E623" t="s">
        <v>54</v>
      </c>
      <c r="F623" s="3" t="s">
        <v>318</v>
      </c>
      <c r="G623" s="7">
        <v>10000</v>
      </c>
      <c r="H623" s="7">
        <v>10000</v>
      </c>
    </row>
    <row r="624" spans="3:8" x14ac:dyDescent="0.35">
      <c r="C624" t="s">
        <v>312</v>
      </c>
      <c r="D624" s="3">
        <v>2023</v>
      </c>
      <c r="E624" t="s">
        <v>54</v>
      </c>
      <c r="F624" s="3" t="s">
        <v>318</v>
      </c>
      <c r="G624" s="7">
        <v>10000</v>
      </c>
      <c r="H624" s="7">
        <v>10000</v>
      </c>
    </row>
    <row r="625" spans="2:9" x14ac:dyDescent="0.35">
      <c r="C625" t="s">
        <v>312</v>
      </c>
      <c r="D625" s="3">
        <v>2023</v>
      </c>
      <c r="E625" t="s">
        <v>54</v>
      </c>
      <c r="F625" s="3" t="s">
        <v>318</v>
      </c>
      <c r="G625" s="7">
        <v>10000</v>
      </c>
      <c r="H625" s="7">
        <v>10000</v>
      </c>
    </row>
    <row r="626" spans="2:9" x14ac:dyDescent="0.35">
      <c r="C626" t="s">
        <v>312</v>
      </c>
      <c r="D626" s="3">
        <v>2023</v>
      </c>
      <c r="E626" t="s">
        <v>54</v>
      </c>
      <c r="F626" s="3" t="s">
        <v>318</v>
      </c>
      <c r="G626" s="7">
        <v>10000</v>
      </c>
      <c r="H626" s="7">
        <v>10000</v>
      </c>
    </row>
    <row r="627" spans="2:9" x14ac:dyDescent="0.35">
      <c r="C627" t="s">
        <v>312</v>
      </c>
      <c r="D627" s="3">
        <v>2023</v>
      </c>
      <c r="E627" t="s">
        <v>54</v>
      </c>
      <c r="F627" s="3" t="s">
        <v>318</v>
      </c>
      <c r="G627" s="7">
        <v>10000</v>
      </c>
      <c r="H627" s="7">
        <v>10000</v>
      </c>
    </row>
    <row r="628" spans="2:9" x14ac:dyDescent="0.35">
      <c r="C628" t="s">
        <v>312</v>
      </c>
      <c r="D628" s="3">
        <v>2023</v>
      </c>
      <c r="E628" t="s">
        <v>54</v>
      </c>
      <c r="F628" s="3" t="s">
        <v>318</v>
      </c>
      <c r="G628" s="7">
        <v>10000</v>
      </c>
      <c r="H628" s="7">
        <v>10000</v>
      </c>
    </row>
    <row r="629" spans="2:9" x14ac:dyDescent="0.35">
      <c r="C629" t="s">
        <v>312</v>
      </c>
      <c r="D629" s="3">
        <v>2023</v>
      </c>
      <c r="E629" t="s">
        <v>54</v>
      </c>
      <c r="F629" s="3" t="s">
        <v>318</v>
      </c>
      <c r="G629" s="7">
        <v>10000</v>
      </c>
      <c r="H629" s="7">
        <v>10000</v>
      </c>
    </row>
    <row r="630" spans="2:9" x14ac:dyDescent="0.35">
      <c r="C630" t="s">
        <v>312</v>
      </c>
      <c r="D630" s="3">
        <v>2023</v>
      </c>
      <c r="E630" t="s">
        <v>54</v>
      </c>
      <c r="F630" s="3" t="s">
        <v>318</v>
      </c>
      <c r="G630" s="7">
        <v>10000</v>
      </c>
      <c r="H630" s="7">
        <v>10000</v>
      </c>
    </row>
    <row r="631" spans="2:9" x14ac:dyDescent="0.35">
      <c r="C631" t="s">
        <v>312</v>
      </c>
      <c r="D631" s="3">
        <v>2023</v>
      </c>
      <c r="E631" t="s">
        <v>54</v>
      </c>
      <c r="F631" s="3" t="s">
        <v>318</v>
      </c>
      <c r="G631" s="7">
        <v>10000</v>
      </c>
      <c r="H631" s="7">
        <v>10000</v>
      </c>
    </row>
    <row r="632" spans="2:9" x14ac:dyDescent="0.35">
      <c r="C632" t="s">
        <v>312</v>
      </c>
      <c r="D632" s="3">
        <v>2023</v>
      </c>
      <c r="E632" t="s">
        <v>54</v>
      </c>
      <c r="F632" s="3" t="s">
        <v>318</v>
      </c>
      <c r="G632" s="7">
        <v>10000</v>
      </c>
      <c r="H632" s="7">
        <v>10000</v>
      </c>
    </row>
    <row r="634" spans="2:9" x14ac:dyDescent="0.35">
      <c r="B634" s="2" t="s">
        <v>323</v>
      </c>
    </row>
    <row r="635" spans="2:9" ht="29" x14ac:dyDescent="0.35">
      <c r="C635" s="79" t="s">
        <v>5</v>
      </c>
      <c r="D635" s="79" t="s">
        <v>253</v>
      </c>
      <c r="E635" s="79" t="s">
        <v>320</v>
      </c>
      <c r="F635" s="79" t="s">
        <v>287</v>
      </c>
      <c r="G635" s="80" t="s">
        <v>321</v>
      </c>
      <c r="H635" s="80" t="s">
        <v>324</v>
      </c>
      <c r="I635" s="79" t="s">
        <v>322</v>
      </c>
    </row>
    <row r="636" spans="2:9" x14ac:dyDescent="0.35">
      <c r="C636" t="s">
        <v>312</v>
      </c>
      <c r="D636" s="3">
        <v>2018</v>
      </c>
      <c r="E636" s="73">
        <v>1</v>
      </c>
      <c r="F636" s="74" t="s">
        <v>54</v>
      </c>
      <c r="G636" s="75">
        <v>0</v>
      </c>
      <c r="H636" s="75">
        <v>12140</v>
      </c>
      <c r="I636" s="76">
        <v>1</v>
      </c>
    </row>
    <row r="637" spans="2:9" x14ac:dyDescent="0.35">
      <c r="C637" t="s">
        <v>312</v>
      </c>
      <c r="D637" s="3">
        <v>2018</v>
      </c>
      <c r="E637" s="73">
        <v>1</v>
      </c>
      <c r="F637" s="74" t="s">
        <v>54</v>
      </c>
      <c r="G637" s="77">
        <f>H636</f>
        <v>12140</v>
      </c>
      <c r="H637" s="77">
        <f>H636+300</f>
        <v>12440</v>
      </c>
      <c r="I637" s="76">
        <v>0.9</v>
      </c>
    </row>
    <row r="638" spans="2:9" x14ac:dyDescent="0.35">
      <c r="C638" t="s">
        <v>312</v>
      </c>
      <c r="D638" s="3">
        <v>2018</v>
      </c>
      <c r="E638" s="73">
        <v>1</v>
      </c>
      <c r="F638" s="74" t="s">
        <v>54</v>
      </c>
      <c r="G638" s="77">
        <f t="shared" ref="G638:G646" si="2">H637</f>
        <v>12440</v>
      </c>
      <c r="H638" s="77">
        <f t="shared" ref="H638:H645" si="3">H637+300</f>
        <v>12740</v>
      </c>
      <c r="I638" s="76">
        <v>0.8</v>
      </c>
    </row>
    <row r="639" spans="2:9" x14ac:dyDescent="0.35">
      <c r="C639" t="s">
        <v>312</v>
      </c>
      <c r="D639" s="3">
        <v>2018</v>
      </c>
      <c r="E639" s="73">
        <v>1</v>
      </c>
      <c r="F639" s="74" t="s">
        <v>54</v>
      </c>
      <c r="G639" s="77">
        <f t="shared" si="2"/>
        <v>12740</v>
      </c>
      <c r="H639" s="77">
        <f t="shared" si="3"/>
        <v>13040</v>
      </c>
      <c r="I639" s="76">
        <v>0.7</v>
      </c>
    </row>
    <row r="640" spans="2:9" x14ac:dyDescent="0.35">
      <c r="C640" t="s">
        <v>312</v>
      </c>
      <c r="D640" s="3">
        <v>2018</v>
      </c>
      <c r="E640" s="73">
        <v>1</v>
      </c>
      <c r="F640" s="74" t="s">
        <v>54</v>
      </c>
      <c r="G640" s="77">
        <f t="shared" si="2"/>
        <v>13040</v>
      </c>
      <c r="H640" s="77">
        <f t="shared" si="3"/>
        <v>13340</v>
      </c>
      <c r="I640" s="76">
        <v>0.6</v>
      </c>
    </row>
    <row r="641" spans="3:9" x14ac:dyDescent="0.35">
      <c r="C641" t="s">
        <v>312</v>
      </c>
      <c r="D641" s="3">
        <v>2018</v>
      </c>
      <c r="E641" s="73">
        <v>1</v>
      </c>
      <c r="F641" s="74" t="s">
        <v>54</v>
      </c>
      <c r="G641" s="77">
        <f t="shared" si="2"/>
        <v>13340</v>
      </c>
      <c r="H641" s="77">
        <f t="shared" si="3"/>
        <v>13640</v>
      </c>
      <c r="I641" s="76">
        <v>0.5</v>
      </c>
    </row>
    <row r="642" spans="3:9" x14ac:dyDescent="0.35">
      <c r="C642" t="s">
        <v>312</v>
      </c>
      <c r="D642" s="3">
        <v>2018</v>
      </c>
      <c r="E642" s="73">
        <v>1</v>
      </c>
      <c r="F642" s="74" t="s">
        <v>54</v>
      </c>
      <c r="G642" s="77">
        <f t="shared" si="2"/>
        <v>13640</v>
      </c>
      <c r="H642" s="77">
        <f t="shared" si="3"/>
        <v>13940</v>
      </c>
      <c r="I642" s="76">
        <v>0.4</v>
      </c>
    </row>
    <row r="643" spans="3:9" x14ac:dyDescent="0.35">
      <c r="C643" t="s">
        <v>312</v>
      </c>
      <c r="D643" s="3">
        <v>2018</v>
      </c>
      <c r="E643" s="73">
        <v>1</v>
      </c>
      <c r="F643" s="74" t="s">
        <v>54</v>
      </c>
      <c r="G643" s="77">
        <f t="shared" si="2"/>
        <v>13940</v>
      </c>
      <c r="H643" s="77">
        <f t="shared" si="3"/>
        <v>14240</v>
      </c>
      <c r="I643" s="76">
        <v>0.3</v>
      </c>
    </row>
    <row r="644" spans="3:9" x14ac:dyDescent="0.35">
      <c r="C644" t="s">
        <v>312</v>
      </c>
      <c r="D644" s="3">
        <v>2018</v>
      </c>
      <c r="E644" s="73">
        <v>1</v>
      </c>
      <c r="F644" s="74" t="s">
        <v>54</v>
      </c>
      <c r="G644" s="77">
        <f t="shared" si="2"/>
        <v>14240</v>
      </c>
      <c r="H644" s="77">
        <f t="shared" si="3"/>
        <v>14540</v>
      </c>
      <c r="I644" s="76">
        <v>0.2</v>
      </c>
    </row>
    <row r="645" spans="3:9" x14ac:dyDescent="0.35">
      <c r="C645" t="s">
        <v>312</v>
      </c>
      <c r="D645" s="3">
        <v>2018</v>
      </c>
      <c r="E645" s="73">
        <v>1</v>
      </c>
      <c r="F645" s="74" t="s">
        <v>54</v>
      </c>
      <c r="G645" s="77">
        <f t="shared" si="2"/>
        <v>14540</v>
      </c>
      <c r="H645" s="77">
        <f t="shared" si="3"/>
        <v>14840</v>
      </c>
      <c r="I645" s="76">
        <v>0.1</v>
      </c>
    </row>
    <row r="646" spans="3:9" x14ac:dyDescent="0.35">
      <c r="C646" t="s">
        <v>312</v>
      </c>
      <c r="D646" s="3">
        <v>2018</v>
      </c>
      <c r="E646" s="73">
        <v>1</v>
      </c>
      <c r="F646" s="74" t="s">
        <v>54</v>
      </c>
      <c r="G646" s="77">
        <f t="shared" si="2"/>
        <v>14840</v>
      </c>
      <c r="H646" s="77"/>
      <c r="I646" s="76">
        <v>0</v>
      </c>
    </row>
    <row r="647" spans="3:9" x14ac:dyDescent="0.35">
      <c r="C647" t="s">
        <v>312</v>
      </c>
      <c r="D647" s="3">
        <v>2018</v>
      </c>
      <c r="E647" s="73">
        <v>1</v>
      </c>
      <c r="F647" s="74" t="s">
        <v>34</v>
      </c>
      <c r="G647" s="75">
        <v>0</v>
      </c>
      <c r="H647" s="75">
        <f>H636</f>
        <v>12140</v>
      </c>
      <c r="I647" s="76">
        <v>1</v>
      </c>
    </row>
    <row r="648" spans="3:9" x14ac:dyDescent="0.35">
      <c r="C648" t="s">
        <v>312</v>
      </c>
      <c r="D648" s="3">
        <v>2018</v>
      </c>
      <c r="E648" s="73">
        <v>1</v>
      </c>
      <c r="F648" s="74" t="s">
        <v>34</v>
      </c>
      <c r="G648" s="77">
        <f>H647</f>
        <v>12140</v>
      </c>
      <c r="H648" s="77">
        <f>H647+300</f>
        <v>12440</v>
      </c>
      <c r="I648" s="76">
        <v>0.9</v>
      </c>
    </row>
    <row r="649" spans="3:9" x14ac:dyDescent="0.35">
      <c r="C649" t="s">
        <v>312</v>
      </c>
      <c r="D649" s="3">
        <v>2018</v>
      </c>
      <c r="E649" s="73">
        <v>1</v>
      </c>
      <c r="F649" s="74" t="s">
        <v>34</v>
      </c>
      <c r="G649" s="77">
        <f t="shared" ref="G649:G657" si="4">H648</f>
        <v>12440</v>
      </c>
      <c r="H649" s="77">
        <f t="shared" ref="H649:H656" si="5">H648+300</f>
        <v>12740</v>
      </c>
      <c r="I649" s="76">
        <v>0.8</v>
      </c>
    </row>
    <row r="650" spans="3:9" x14ac:dyDescent="0.35">
      <c r="C650" t="s">
        <v>312</v>
      </c>
      <c r="D650" s="3">
        <v>2018</v>
      </c>
      <c r="E650" s="73">
        <v>1</v>
      </c>
      <c r="F650" s="74" t="s">
        <v>34</v>
      </c>
      <c r="G650" s="77">
        <f t="shared" si="4"/>
        <v>12740</v>
      </c>
      <c r="H650" s="77">
        <f t="shared" si="5"/>
        <v>13040</v>
      </c>
      <c r="I650" s="76">
        <v>0.7</v>
      </c>
    </row>
    <row r="651" spans="3:9" x14ac:dyDescent="0.35">
      <c r="C651" t="s">
        <v>312</v>
      </c>
      <c r="D651" s="3">
        <v>2018</v>
      </c>
      <c r="E651" s="73">
        <v>1</v>
      </c>
      <c r="F651" s="74" t="s">
        <v>34</v>
      </c>
      <c r="G651" s="77">
        <f t="shared" si="4"/>
        <v>13040</v>
      </c>
      <c r="H651" s="77">
        <f t="shared" si="5"/>
        <v>13340</v>
      </c>
      <c r="I651" s="76">
        <v>0.6</v>
      </c>
    </row>
    <row r="652" spans="3:9" x14ac:dyDescent="0.35">
      <c r="C652" t="s">
        <v>312</v>
      </c>
      <c r="D652" s="3">
        <v>2018</v>
      </c>
      <c r="E652" s="73">
        <v>1</v>
      </c>
      <c r="F652" s="74" t="s">
        <v>34</v>
      </c>
      <c r="G652" s="77">
        <f t="shared" si="4"/>
        <v>13340</v>
      </c>
      <c r="H652" s="77">
        <f t="shared" si="5"/>
        <v>13640</v>
      </c>
      <c r="I652" s="76">
        <v>0.5</v>
      </c>
    </row>
    <row r="653" spans="3:9" x14ac:dyDescent="0.35">
      <c r="C653" t="s">
        <v>312</v>
      </c>
      <c r="D653" s="3">
        <v>2018</v>
      </c>
      <c r="E653" s="73">
        <v>1</v>
      </c>
      <c r="F653" s="74" t="s">
        <v>34</v>
      </c>
      <c r="G653" s="77">
        <f t="shared" si="4"/>
        <v>13640</v>
      </c>
      <c r="H653" s="77">
        <f t="shared" si="5"/>
        <v>13940</v>
      </c>
      <c r="I653" s="76">
        <v>0.4</v>
      </c>
    </row>
    <row r="654" spans="3:9" x14ac:dyDescent="0.35">
      <c r="C654" t="s">
        <v>312</v>
      </c>
      <c r="D654" s="3">
        <v>2018</v>
      </c>
      <c r="E654" s="73">
        <v>1</v>
      </c>
      <c r="F654" s="74" t="s">
        <v>34</v>
      </c>
      <c r="G654" s="77">
        <f t="shared" si="4"/>
        <v>13940</v>
      </c>
      <c r="H654" s="77">
        <f t="shared" si="5"/>
        <v>14240</v>
      </c>
      <c r="I654" s="76">
        <v>0.3</v>
      </c>
    </row>
    <row r="655" spans="3:9" x14ac:dyDescent="0.35">
      <c r="C655" t="s">
        <v>312</v>
      </c>
      <c r="D655" s="3">
        <v>2018</v>
      </c>
      <c r="E655" s="73">
        <v>1</v>
      </c>
      <c r="F655" s="74" t="s">
        <v>34</v>
      </c>
      <c r="G655" s="77">
        <f t="shared" si="4"/>
        <v>14240</v>
      </c>
      <c r="H655" s="77">
        <f t="shared" si="5"/>
        <v>14540</v>
      </c>
      <c r="I655" s="76">
        <v>0.2</v>
      </c>
    </row>
    <row r="656" spans="3:9" x14ac:dyDescent="0.35">
      <c r="C656" t="s">
        <v>312</v>
      </c>
      <c r="D656" s="3">
        <v>2018</v>
      </c>
      <c r="E656" s="73">
        <v>1</v>
      </c>
      <c r="F656" s="74" t="s">
        <v>34</v>
      </c>
      <c r="G656" s="77">
        <f t="shared" si="4"/>
        <v>14540</v>
      </c>
      <c r="H656" s="77">
        <f t="shared" si="5"/>
        <v>14840</v>
      </c>
      <c r="I656" s="76">
        <v>0.1</v>
      </c>
    </row>
    <row r="657" spans="3:9" x14ac:dyDescent="0.35">
      <c r="C657" t="s">
        <v>312</v>
      </c>
      <c r="D657" s="3">
        <v>2018</v>
      </c>
      <c r="E657" s="73">
        <v>1</v>
      </c>
      <c r="F657" s="74" t="s">
        <v>34</v>
      </c>
      <c r="G657" s="77">
        <f t="shared" si="4"/>
        <v>14840</v>
      </c>
      <c r="H657" s="77"/>
      <c r="I657" s="76">
        <v>0</v>
      </c>
    </row>
    <row r="658" spans="3:9" x14ac:dyDescent="0.35">
      <c r="C658" t="s">
        <v>312</v>
      </c>
      <c r="D658" s="3">
        <v>2018</v>
      </c>
      <c r="E658" s="73">
        <v>1</v>
      </c>
      <c r="F658" s="74" t="s">
        <v>40</v>
      </c>
      <c r="G658" s="75">
        <v>0</v>
      </c>
      <c r="H658" s="75">
        <f>H647</f>
        <v>12140</v>
      </c>
      <c r="I658" s="76">
        <v>1</v>
      </c>
    </row>
    <row r="659" spans="3:9" x14ac:dyDescent="0.35">
      <c r="C659" t="s">
        <v>312</v>
      </c>
      <c r="D659" s="3">
        <v>2018</v>
      </c>
      <c r="E659" s="73">
        <v>1</v>
      </c>
      <c r="F659" s="74" t="s">
        <v>40</v>
      </c>
      <c r="G659" s="77">
        <f>H658</f>
        <v>12140</v>
      </c>
      <c r="H659" s="77">
        <f>H658+300</f>
        <v>12440</v>
      </c>
      <c r="I659" s="76">
        <v>0.9</v>
      </c>
    </row>
    <row r="660" spans="3:9" x14ac:dyDescent="0.35">
      <c r="C660" t="s">
        <v>312</v>
      </c>
      <c r="D660" s="3">
        <v>2018</v>
      </c>
      <c r="E660" s="73">
        <v>1</v>
      </c>
      <c r="F660" s="74" t="s">
        <v>40</v>
      </c>
      <c r="G660" s="77">
        <f t="shared" ref="G660:G668" si="6">H659</f>
        <v>12440</v>
      </c>
      <c r="H660" s="77">
        <f t="shared" ref="H660:H667" si="7">H659+300</f>
        <v>12740</v>
      </c>
      <c r="I660" s="76">
        <v>0.8</v>
      </c>
    </row>
    <row r="661" spans="3:9" x14ac:dyDescent="0.35">
      <c r="C661" t="s">
        <v>312</v>
      </c>
      <c r="D661" s="3">
        <v>2018</v>
      </c>
      <c r="E661" s="73">
        <v>1</v>
      </c>
      <c r="F661" s="74" t="s">
        <v>40</v>
      </c>
      <c r="G661" s="77">
        <f t="shared" si="6"/>
        <v>12740</v>
      </c>
      <c r="H661" s="77">
        <f t="shared" si="7"/>
        <v>13040</v>
      </c>
      <c r="I661" s="76">
        <v>0.7</v>
      </c>
    </row>
    <row r="662" spans="3:9" x14ac:dyDescent="0.35">
      <c r="C662" t="s">
        <v>312</v>
      </c>
      <c r="D662" s="3">
        <v>2018</v>
      </c>
      <c r="E662" s="73">
        <v>1</v>
      </c>
      <c r="F662" s="74" t="s">
        <v>40</v>
      </c>
      <c r="G662" s="77">
        <f t="shared" si="6"/>
        <v>13040</v>
      </c>
      <c r="H662" s="77">
        <f t="shared" si="7"/>
        <v>13340</v>
      </c>
      <c r="I662" s="76">
        <v>0.6</v>
      </c>
    </row>
    <row r="663" spans="3:9" x14ac:dyDescent="0.35">
      <c r="C663" t="s">
        <v>312</v>
      </c>
      <c r="D663" s="3">
        <v>2018</v>
      </c>
      <c r="E663" s="73">
        <v>1</v>
      </c>
      <c r="F663" s="74" t="s">
        <v>40</v>
      </c>
      <c r="G663" s="77">
        <f t="shared" si="6"/>
        <v>13340</v>
      </c>
      <c r="H663" s="77">
        <f t="shared" si="7"/>
        <v>13640</v>
      </c>
      <c r="I663" s="76">
        <v>0.5</v>
      </c>
    </row>
    <row r="664" spans="3:9" x14ac:dyDescent="0.35">
      <c r="C664" t="s">
        <v>312</v>
      </c>
      <c r="D664" s="3">
        <v>2018</v>
      </c>
      <c r="E664" s="73">
        <v>1</v>
      </c>
      <c r="F664" s="74" t="s">
        <v>40</v>
      </c>
      <c r="G664" s="77">
        <f t="shared" si="6"/>
        <v>13640</v>
      </c>
      <c r="H664" s="77">
        <f t="shared" si="7"/>
        <v>13940</v>
      </c>
      <c r="I664" s="76">
        <v>0.4</v>
      </c>
    </row>
    <row r="665" spans="3:9" x14ac:dyDescent="0.35">
      <c r="C665" t="s">
        <v>312</v>
      </c>
      <c r="D665" s="3">
        <v>2018</v>
      </c>
      <c r="E665" s="73">
        <v>1</v>
      </c>
      <c r="F665" s="74" t="s">
        <v>40</v>
      </c>
      <c r="G665" s="77">
        <f t="shared" si="6"/>
        <v>13940</v>
      </c>
      <c r="H665" s="77">
        <f t="shared" si="7"/>
        <v>14240</v>
      </c>
      <c r="I665" s="76">
        <v>0.3</v>
      </c>
    </row>
    <row r="666" spans="3:9" x14ac:dyDescent="0.35">
      <c r="C666" t="s">
        <v>312</v>
      </c>
      <c r="D666" s="3">
        <v>2018</v>
      </c>
      <c r="E666" s="73">
        <v>1</v>
      </c>
      <c r="F666" s="74" t="s">
        <v>40</v>
      </c>
      <c r="G666" s="77">
        <f t="shared" si="6"/>
        <v>14240</v>
      </c>
      <c r="H666" s="77">
        <f t="shared" si="7"/>
        <v>14540</v>
      </c>
      <c r="I666" s="76">
        <v>0.2</v>
      </c>
    </row>
    <row r="667" spans="3:9" x14ac:dyDescent="0.35">
      <c r="C667" t="s">
        <v>312</v>
      </c>
      <c r="D667" s="3">
        <v>2018</v>
      </c>
      <c r="E667" s="73">
        <v>1</v>
      </c>
      <c r="F667" s="74" t="s">
        <v>40</v>
      </c>
      <c r="G667" s="77">
        <f t="shared" si="6"/>
        <v>14540</v>
      </c>
      <c r="H667" s="77">
        <f t="shared" si="7"/>
        <v>14840</v>
      </c>
      <c r="I667" s="76">
        <v>0.1</v>
      </c>
    </row>
    <row r="668" spans="3:9" x14ac:dyDescent="0.35">
      <c r="C668" t="s">
        <v>312</v>
      </c>
      <c r="D668" s="3">
        <v>2018</v>
      </c>
      <c r="E668" s="73">
        <v>1</v>
      </c>
      <c r="F668" s="74" t="s">
        <v>40</v>
      </c>
      <c r="G668" s="77">
        <f t="shared" si="6"/>
        <v>14840</v>
      </c>
      <c r="H668" s="77"/>
      <c r="I668" s="76">
        <v>0</v>
      </c>
    </row>
    <row r="669" spans="3:9" x14ac:dyDescent="0.35">
      <c r="C669" t="s">
        <v>312</v>
      </c>
      <c r="D669" s="3">
        <v>2018</v>
      </c>
      <c r="E669" s="73">
        <v>1</v>
      </c>
      <c r="F669" s="74" t="s">
        <v>313</v>
      </c>
      <c r="G669" s="75">
        <v>0</v>
      </c>
      <c r="H669" s="75">
        <f>H658</f>
        <v>12140</v>
      </c>
      <c r="I669" s="76">
        <v>1</v>
      </c>
    </row>
    <row r="670" spans="3:9" x14ac:dyDescent="0.35">
      <c r="C670" t="s">
        <v>312</v>
      </c>
      <c r="D670" s="3">
        <v>2018</v>
      </c>
      <c r="E670" s="73">
        <v>1</v>
      </c>
      <c r="F670" s="74" t="s">
        <v>313</v>
      </c>
      <c r="G670" s="77">
        <f>H669</f>
        <v>12140</v>
      </c>
      <c r="H670" s="77">
        <f>H669+300</f>
        <v>12440</v>
      </c>
      <c r="I670" s="76">
        <v>0.9</v>
      </c>
    </row>
    <row r="671" spans="3:9" x14ac:dyDescent="0.35">
      <c r="C671" t="s">
        <v>312</v>
      </c>
      <c r="D671" s="3">
        <v>2018</v>
      </c>
      <c r="E671" s="73">
        <v>1</v>
      </c>
      <c r="F671" s="74" t="s">
        <v>313</v>
      </c>
      <c r="G671" s="77">
        <f t="shared" ref="G671:G679" si="8">H670</f>
        <v>12440</v>
      </c>
      <c r="H671" s="77">
        <f t="shared" ref="H671:H678" si="9">H670+300</f>
        <v>12740</v>
      </c>
      <c r="I671" s="76">
        <v>0.8</v>
      </c>
    </row>
    <row r="672" spans="3:9" x14ac:dyDescent="0.35">
      <c r="C672" t="s">
        <v>312</v>
      </c>
      <c r="D672" s="3">
        <v>2018</v>
      </c>
      <c r="E672" s="73">
        <v>1</v>
      </c>
      <c r="F672" s="74" t="s">
        <v>313</v>
      </c>
      <c r="G672" s="77">
        <f t="shared" si="8"/>
        <v>12740</v>
      </c>
      <c r="H672" s="77">
        <f t="shared" si="9"/>
        <v>13040</v>
      </c>
      <c r="I672" s="76">
        <v>0.7</v>
      </c>
    </row>
    <row r="673" spans="3:9" x14ac:dyDescent="0.35">
      <c r="C673" t="s">
        <v>312</v>
      </c>
      <c r="D673" s="3">
        <v>2018</v>
      </c>
      <c r="E673" s="73">
        <v>1</v>
      </c>
      <c r="F673" s="74" t="s">
        <v>313</v>
      </c>
      <c r="G673" s="77">
        <f t="shared" si="8"/>
        <v>13040</v>
      </c>
      <c r="H673" s="77">
        <f t="shared" si="9"/>
        <v>13340</v>
      </c>
      <c r="I673" s="76">
        <v>0.6</v>
      </c>
    </row>
    <row r="674" spans="3:9" x14ac:dyDescent="0.35">
      <c r="C674" t="s">
        <v>312</v>
      </c>
      <c r="D674" s="3">
        <v>2018</v>
      </c>
      <c r="E674" s="73">
        <v>1</v>
      </c>
      <c r="F674" s="74" t="s">
        <v>313</v>
      </c>
      <c r="G674" s="77">
        <f t="shared" si="8"/>
        <v>13340</v>
      </c>
      <c r="H674" s="77">
        <f t="shared" si="9"/>
        <v>13640</v>
      </c>
      <c r="I674" s="76">
        <v>0.5</v>
      </c>
    </row>
    <row r="675" spans="3:9" x14ac:dyDescent="0.35">
      <c r="C675" t="s">
        <v>312</v>
      </c>
      <c r="D675" s="3">
        <v>2018</v>
      </c>
      <c r="E675" s="73">
        <v>1</v>
      </c>
      <c r="F675" s="74" t="s">
        <v>313</v>
      </c>
      <c r="G675" s="77">
        <f t="shared" si="8"/>
        <v>13640</v>
      </c>
      <c r="H675" s="77">
        <f t="shared" si="9"/>
        <v>13940</v>
      </c>
      <c r="I675" s="76">
        <v>0.4</v>
      </c>
    </row>
    <row r="676" spans="3:9" x14ac:dyDescent="0.35">
      <c r="C676" t="s">
        <v>312</v>
      </c>
      <c r="D676" s="3">
        <v>2018</v>
      </c>
      <c r="E676" s="73">
        <v>1</v>
      </c>
      <c r="F676" s="74" t="s">
        <v>313</v>
      </c>
      <c r="G676" s="77">
        <f t="shared" si="8"/>
        <v>13940</v>
      </c>
      <c r="H676" s="77">
        <f t="shared" si="9"/>
        <v>14240</v>
      </c>
      <c r="I676" s="76">
        <v>0.3</v>
      </c>
    </row>
    <row r="677" spans="3:9" x14ac:dyDescent="0.35">
      <c r="C677" t="s">
        <v>312</v>
      </c>
      <c r="D677" s="3">
        <v>2018</v>
      </c>
      <c r="E677" s="73">
        <v>1</v>
      </c>
      <c r="F677" s="74" t="s">
        <v>313</v>
      </c>
      <c r="G677" s="77">
        <f t="shared" si="8"/>
        <v>14240</v>
      </c>
      <c r="H677" s="77">
        <f t="shared" si="9"/>
        <v>14540</v>
      </c>
      <c r="I677" s="76">
        <v>0.2</v>
      </c>
    </row>
    <row r="678" spans="3:9" x14ac:dyDescent="0.35">
      <c r="C678" t="s">
        <v>312</v>
      </c>
      <c r="D678" s="3">
        <v>2018</v>
      </c>
      <c r="E678" s="73">
        <v>1</v>
      </c>
      <c r="F678" s="74" t="s">
        <v>313</v>
      </c>
      <c r="G678" s="77">
        <f t="shared" si="8"/>
        <v>14540</v>
      </c>
      <c r="H678" s="77">
        <f t="shared" si="9"/>
        <v>14840</v>
      </c>
      <c r="I678" s="76">
        <v>0.1</v>
      </c>
    </row>
    <row r="679" spans="3:9" x14ac:dyDescent="0.35">
      <c r="C679" t="s">
        <v>312</v>
      </c>
      <c r="D679" s="3">
        <v>2018</v>
      </c>
      <c r="E679" s="73">
        <v>1</v>
      </c>
      <c r="F679" s="74" t="s">
        <v>313</v>
      </c>
      <c r="G679" s="77">
        <f t="shared" si="8"/>
        <v>14840</v>
      </c>
      <c r="H679" s="77"/>
      <c r="I679" s="76">
        <v>0</v>
      </c>
    </row>
    <row r="680" spans="3:9" x14ac:dyDescent="0.35">
      <c r="C680" t="s">
        <v>312</v>
      </c>
      <c r="D680" s="3">
        <v>2018</v>
      </c>
      <c r="E680" s="73">
        <v>2</v>
      </c>
      <c r="F680" s="74" t="s">
        <v>54</v>
      </c>
      <c r="G680" s="77">
        <v>0</v>
      </c>
      <c r="H680" s="77">
        <v>16460</v>
      </c>
      <c r="I680" s="76">
        <v>1</v>
      </c>
    </row>
    <row r="681" spans="3:9" x14ac:dyDescent="0.35">
      <c r="C681" t="s">
        <v>312</v>
      </c>
      <c r="D681" s="3">
        <v>2018</v>
      </c>
      <c r="E681" s="78">
        <f>E680</f>
        <v>2</v>
      </c>
      <c r="F681" s="74" t="s">
        <v>54</v>
      </c>
      <c r="G681" s="77">
        <f>H680</f>
        <v>16460</v>
      </c>
      <c r="H681" s="77">
        <f>H680+300</f>
        <v>16760</v>
      </c>
      <c r="I681" s="76">
        <v>0.9</v>
      </c>
    </row>
    <row r="682" spans="3:9" x14ac:dyDescent="0.35">
      <c r="C682" t="s">
        <v>312</v>
      </c>
      <c r="D682" s="3">
        <v>2018</v>
      </c>
      <c r="E682" s="78">
        <f t="shared" ref="E682:E723" si="10">E681</f>
        <v>2</v>
      </c>
      <c r="F682" s="74" t="s">
        <v>54</v>
      </c>
      <c r="G682" s="77">
        <f t="shared" ref="G682:G734" si="11">H681</f>
        <v>16760</v>
      </c>
      <c r="H682" s="77">
        <f t="shared" ref="H682:H689" si="12">H681+300</f>
        <v>17060</v>
      </c>
      <c r="I682" s="76">
        <v>0.8</v>
      </c>
    </row>
    <row r="683" spans="3:9" x14ac:dyDescent="0.35">
      <c r="C683" t="s">
        <v>312</v>
      </c>
      <c r="D683" s="3">
        <v>2018</v>
      </c>
      <c r="E683" s="78">
        <f t="shared" si="10"/>
        <v>2</v>
      </c>
      <c r="F683" s="74" t="s">
        <v>54</v>
      </c>
      <c r="G683" s="77">
        <f t="shared" si="11"/>
        <v>17060</v>
      </c>
      <c r="H683" s="77">
        <f t="shared" si="12"/>
        <v>17360</v>
      </c>
      <c r="I683" s="76">
        <v>0.7</v>
      </c>
    </row>
    <row r="684" spans="3:9" x14ac:dyDescent="0.35">
      <c r="C684" t="s">
        <v>312</v>
      </c>
      <c r="D684" s="3">
        <v>2018</v>
      </c>
      <c r="E684" s="78">
        <f t="shared" si="10"/>
        <v>2</v>
      </c>
      <c r="F684" s="74" t="s">
        <v>54</v>
      </c>
      <c r="G684" s="77">
        <f t="shared" si="11"/>
        <v>17360</v>
      </c>
      <c r="H684" s="77">
        <f t="shared" si="12"/>
        <v>17660</v>
      </c>
      <c r="I684" s="76">
        <v>0.6</v>
      </c>
    </row>
    <row r="685" spans="3:9" x14ac:dyDescent="0.35">
      <c r="C685" t="s">
        <v>312</v>
      </c>
      <c r="D685" s="3">
        <v>2018</v>
      </c>
      <c r="E685" s="78">
        <f t="shared" si="10"/>
        <v>2</v>
      </c>
      <c r="F685" s="74" t="s">
        <v>54</v>
      </c>
      <c r="G685" s="77">
        <f t="shared" si="11"/>
        <v>17660</v>
      </c>
      <c r="H685" s="77">
        <f t="shared" si="12"/>
        <v>17960</v>
      </c>
      <c r="I685" s="76">
        <v>0.5</v>
      </c>
    </row>
    <row r="686" spans="3:9" x14ac:dyDescent="0.35">
      <c r="C686" t="s">
        <v>312</v>
      </c>
      <c r="D686" s="3">
        <v>2018</v>
      </c>
      <c r="E686" s="78">
        <f t="shared" si="10"/>
        <v>2</v>
      </c>
      <c r="F686" s="74" t="s">
        <v>54</v>
      </c>
      <c r="G686" s="77">
        <f t="shared" si="11"/>
        <v>17960</v>
      </c>
      <c r="H686" s="77">
        <f t="shared" si="12"/>
        <v>18260</v>
      </c>
      <c r="I686" s="76">
        <v>0.4</v>
      </c>
    </row>
    <row r="687" spans="3:9" x14ac:dyDescent="0.35">
      <c r="C687" t="s">
        <v>312</v>
      </c>
      <c r="D687" s="3">
        <v>2018</v>
      </c>
      <c r="E687" s="78">
        <f t="shared" si="10"/>
        <v>2</v>
      </c>
      <c r="F687" s="74" t="s">
        <v>54</v>
      </c>
      <c r="G687" s="77">
        <f t="shared" si="11"/>
        <v>18260</v>
      </c>
      <c r="H687" s="77">
        <f t="shared" si="12"/>
        <v>18560</v>
      </c>
      <c r="I687" s="76">
        <v>0.3</v>
      </c>
    </row>
    <row r="688" spans="3:9" x14ac:dyDescent="0.35">
      <c r="C688" t="s">
        <v>312</v>
      </c>
      <c r="D688" s="3">
        <v>2018</v>
      </c>
      <c r="E688" s="78">
        <f t="shared" si="10"/>
        <v>2</v>
      </c>
      <c r="F688" s="74" t="s">
        <v>54</v>
      </c>
      <c r="G688" s="77">
        <f t="shared" si="11"/>
        <v>18560</v>
      </c>
      <c r="H688" s="77">
        <f t="shared" si="12"/>
        <v>18860</v>
      </c>
      <c r="I688" s="76">
        <v>0.2</v>
      </c>
    </row>
    <row r="689" spans="3:9" x14ac:dyDescent="0.35">
      <c r="C689" t="s">
        <v>312</v>
      </c>
      <c r="D689" s="3">
        <v>2018</v>
      </c>
      <c r="E689" s="78">
        <f t="shared" si="10"/>
        <v>2</v>
      </c>
      <c r="F689" s="74" t="s">
        <v>54</v>
      </c>
      <c r="G689" s="77">
        <f t="shared" si="11"/>
        <v>18860</v>
      </c>
      <c r="H689" s="77">
        <f t="shared" si="12"/>
        <v>19160</v>
      </c>
      <c r="I689" s="76">
        <v>0.1</v>
      </c>
    </row>
    <row r="690" spans="3:9" x14ac:dyDescent="0.35">
      <c r="C690" t="s">
        <v>312</v>
      </c>
      <c r="D690" s="3">
        <v>2018</v>
      </c>
      <c r="E690" s="78">
        <f t="shared" si="10"/>
        <v>2</v>
      </c>
      <c r="F690" s="74" t="s">
        <v>54</v>
      </c>
      <c r="G690" s="77">
        <f t="shared" si="11"/>
        <v>19160</v>
      </c>
      <c r="H690" s="77"/>
      <c r="I690" s="76">
        <v>0</v>
      </c>
    </row>
    <row r="691" spans="3:9" x14ac:dyDescent="0.35">
      <c r="C691" t="s">
        <v>312</v>
      </c>
      <c r="D691" s="3">
        <v>2018</v>
      </c>
      <c r="E691" s="78">
        <f t="shared" si="10"/>
        <v>2</v>
      </c>
      <c r="F691" s="74" t="s">
        <v>34</v>
      </c>
      <c r="G691" s="77">
        <v>0</v>
      </c>
      <c r="H691" s="75">
        <f>H680</f>
        <v>16460</v>
      </c>
      <c r="I691" s="76">
        <v>1</v>
      </c>
    </row>
    <row r="692" spans="3:9" x14ac:dyDescent="0.35">
      <c r="C692" t="s">
        <v>312</v>
      </c>
      <c r="D692" s="3">
        <v>2018</v>
      </c>
      <c r="E692" s="78">
        <f t="shared" si="10"/>
        <v>2</v>
      </c>
      <c r="F692" s="74" t="s">
        <v>34</v>
      </c>
      <c r="G692" s="77">
        <f>H691</f>
        <v>16460</v>
      </c>
      <c r="H692" s="77">
        <f>H691+300</f>
        <v>16760</v>
      </c>
      <c r="I692" s="76">
        <v>0.9</v>
      </c>
    </row>
    <row r="693" spans="3:9" x14ac:dyDescent="0.35">
      <c r="C693" t="s">
        <v>312</v>
      </c>
      <c r="D693" s="3">
        <v>2018</v>
      </c>
      <c r="E693" s="78">
        <f t="shared" si="10"/>
        <v>2</v>
      </c>
      <c r="F693" s="74" t="s">
        <v>34</v>
      </c>
      <c r="G693" s="77">
        <f t="shared" si="11"/>
        <v>16760</v>
      </c>
      <c r="H693" s="77">
        <f t="shared" ref="H693:H700" si="13">H692+300</f>
        <v>17060</v>
      </c>
      <c r="I693" s="76">
        <v>0.8</v>
      </c>
    </row>
    <row r="694" spans="3:9" x14ac:dyDescent="0.35">
      <c r="C694" t="s">
        <v>312</v>
      </c>
      <c r="D694" s="3">
        <v>2018</v>
      </c>
      <c r="E694" s="78">
        <f t="shared" si="10"/>
        <v>2</v>
      </c>
      <c r="F694" s="74" t="s">
        <v>34</v>
      </c>
      <c r="G694" s="77">
        <f t="shared" si="11"/>
        <v>17060</v>
      </c>
      <c r="H694" s="77">
        <f t="shared" si="13"/>
        <v>17360</v>
      </c>
      <c r="I694" s="76">
        <v>0.7</v>
      </c>
    </row>
    <row r="695" spans="3:9" x14ac:dyDescent="0.35">
      <c r="C695" t="s">
        <v>312</v>
      </c>
      <c r="D695" s="3">
        <v>2018</v>
      </c>
      <c r="E695" s="78">
        <f t="shared" si="10"/>
        <v>2</v>
      </c>
      <c r="F695" s="74" t="s">
        <v>34</v>
      </c>
      <c r="G695" s="77">
        <f t="shared" si="11"/>
        <v>17360</v>
      </c>
      <c r="H695" s="77">
        <f t="shared" si="13"/>
        <v>17660</v>
      </c>
      <c r="I695" s="76">
        <v>0.6</v>
      </c>
    </row>
    <row r="696" spans="3:9" x14ac:dyDescent="0.35">
      <c r="C696" t="s">
        <v>312</v>
      </c>
      <c r="D696" s="3">
        <v>2018</v>
      </c>
      <c r="E696" s="78">
        <f t="shared" si="10"/>
        <v>2</v>
      </c>
      <c r="F696" s="74" t="s">
        <v>34</v>
      </c>
      <c r="G696" s="77">
        <f t="shared" si="11"/>
        <v>17660</v>
      </c>
      <c r="H696" s="77">
        <f t="shared" si="13"/>
        <v>17960</v>
      </c>
      <c r="I696" s="76">
        <v>0.5</v>
      </c>
    </row>
    <row r="697" spans="3:9" x14ac:dyDescent="0.35">
      <c r="C697" t="s">
        <v>312</v>
      </c>
      <c r="D697" s="3">
        <v>2018</v>
      </c>
      <c r="E697" s="78">
        <f t="shared" si="10"/>
        <v>2</v>
      </c>
      <c r="F697" s="74" t="s">
        <v>34</v>
      </c>
      <c r="G697" s="77">
        <f t="shared" si="11"/>
        <v>17960</v>
      </c>
      <c r="H697" s="77">
        <f t="shared" si="13"/>
        <v>18260</v>
      </c>
      <c r="I697" s="76">
        <v>0.4</v>
      </c>
    </row>
    <row r="698" spans="3:9" x14ac:dyDescent="0.35">
      <c r="C698" t="s">
        <v>312</v>
      </c>
      <c r="D698" s="3">
        <v>2018</v>
      </c>
      <c r="E698" s="78">
        <f t="shared" si="10"/>
        <v>2</v>
      </c>
      <c r="F698" s="74" t="s">
        <v>34</v>
      </c>
      <c r="G698" s="77">
        <f t="shared" si="11"/>
        <v>18260</v>
      </c>
      <c r="H698" s="77">
        <f t="shared" si="13"/>
        <v>18560</v>
      </c>
      <c r="I698" s="76">
        <v>0.3</v>
      </c>
    </row>
    <row r="699" spans="3:9" x14ac:dyDescent="0.35">
      <c r="C699" t="s">
        <v>312</v>
      </c>
      <c r="D699" s="3">
        <v>2018</v>
      </c>
      <c r="E699" s="78">
        <f t="shared" si="10"/>
        <v>2</v>
      </c>
      <c r="F699" s="74" t="s">
        <v>34</v>
      </c>
      <c r="G699" s="77">
        <f t="shared" si="11"/>
        <v>18560</v>
      </c>
      <c r="H699" s="77">
        <f t="shared" si="13"/>
        <v>18860</v>
      </c>
      <c r="I699" s="76">
        <v>0.2</v>
      </c>
    </row>
    <row r="700" spans="3:9" x14ac:dyDescent="0.35">
      <c r="C700" t="s">
        <v>312</v>
      </c>
      <c r="D700" s="3">
        <v>2018</v>
      </c>
      <c r="E700" s="78">
        <f t="shared" si="10"/>
        <v>2</v>
      </c>
      <c r="F700" s="74" t="s">
        <v>34</v>
      </c>
      <c r="G700" s="77">
        <f t="shared" si="11"/>
        <v>18860</v>
      </c>
      <c r="H700" s="77">
        <f t="shared" si="13"/>
        <v>19160</v>
      </c>
      <c r="I700" s="76">
        <v>0.1</v>
      </c>
    </row>
    <row r="701" spans="3:9" x14ac:dyDescent="0.35">
      <c r="C701" t="s">
        <v>312</v>
      </c>
      <c r="D701" s="3">
        <v>2018</v>
      </c>
      <c r="E701" s="78">
        <f t="shared" si="10"/>
        <v>2</v>
      </c>
      <c r="F701" s="74" t="s">
        <v>34</v>
      </c>
      <c r="G701" s="77">
        <f t="shared" si="11"/>
        <v>19160</v>
      </c>
      <c r="H701" s="77"/>
      <c r="I701" s="76">
        <v>0</v>
      </c>
    </row>
    <row r="702" spans="3:9" x14ac:dyDescent="0.35">
      <c r="C702" t="s">
        <v>312</v>
      </c>
      <c r="D702" s="3">
        <v>2018</v>
      </c>
      <c r="E702" s="78">
        <f t="shared" si="10"/>
        <v>2</v>
      </c>
      <c r="F702" s="74" t="s">
        <v>40</v>
      </c>
      <c r="G702" s="77">
        <v>0</v>
      </c>
      <c r="H702" s="75">
        <f>H691</f>
        <v>16460</v>
      </c>
      <c r="I702" s="76">
        <v>1</v>
      </c>
    </row>
    <row r="703" spans="3:9" x14ac:dyDescent="0.35">
      <c r="C703" t="s">
        <v>312</v>
      </c>
      <c r="D703" s="3">
        <v>2018</v>
      </c>
      <c r="E703" s="78">
        <f t="shared" si="10"/>
        <v>2</v>
      </c>
      <c r="F703" s="74" t="s">
        <v>40</v>
      </c>
      <c r="G703" s="77">
        <f>H702</f>
        <v>16460</v>
      </c>
      <c r="H703" s="77">
        <f>H702+300</f>
        <v>16760</v>
      </c>
      <c r="I703" s="76">
        <v>0.9</v>
      </c>
    </row>
    <row r="704" spans="3:9" x14ac:dyDescent="0.35">
      <c r="C704" t="s">
        <v>312</v>
      </c>
      <c r="D704" s="3">
        <v>2018</v>
      </c>
      <c r="E704" s="78">
        <f t="shared" si="10"/>
        <v>2</v>
      </c>
      <c r="F704" s="74" t="s">
        <v>40</v>
      </c>
      <c r="G704" s="77">
        <f t="shared" si="11"/>
        <v>16760</v>
      </c>
      <c r="H704" s="77">
        <f t="shared" ref="H704:H711" si="14">H703+300</f>
        <v>17060</v>
      </c>
      <c r="I704" s="76">
        <v>0.8</v>
      </c>
    </row>
    <row r="705" spans="3:9" x14ac:dyDescent="0.35">
      <c r="C705" t="s">
        <v>312</v>
      </c>
      <c r="D705" s="3">
        <v>2018</v>
      </c>
      <c r="E705" s="78">
        <f t="shared" si="10"/>
        <v>2</v>
      </c>
      <c r="F705" s="74" t="s">
        <v>40</v>
      </c>
      <c r="G705" s="77">
        <f t="shared" si="11"/>
        <v>17060</v>
      </c>
      <c r="H705" s="77">
        <f t="shared" si="14"/>
        <v>17360</v>
      </c>
      <c r="I705" s="76">
        <v>0.7</v>
      </c>
    </row>
    <row r="706" spans="3:9" x14ac:dyDescent="0.35">
      <c r="C706" t="s">
        <v>312</v>
      </c>
      <c r="D706" s="3">
        <v>2018</v>
      </c>
      <c r="E706" s="78">
        <f t="shared" si="10"/>
        <v>2</v>
      </c>
      <c r="F706" s="74" t="s">
        <v>40</v>
      </c>
      <c r="G706" s="77">
        <f t="shared" si="11"/>
        <v>17360</v>
      </c>
      <c r="H706" s="77">
        <f t="shared" si="14"/>
        <v>17660</v>
      </c>
      <c r="I706" s="76">
        <v>0.6</v>
      </c>
    </row>
    <row r="707" spans="3:9" x14ac:dyDescent="0.35">
      <c r="C707" t="s">
        <v>312</v>
      </c>
      <c r="D707" s="3">
        <v>2018</v>
      </c>
      <c r="E707" s="78">
        <f t="shared" si="10"/>
        <v>2</v>
      </c>
      <c r="F707" s="74" t="s">
        <v>40</v>
      </c>
      <c r="G707" s="77">
        <f t="shared" si="11"/>
        <v>17660</v>
      </c>
      <c r="H707" s="77">
        <f t="shared" si="14"/>
        <v>17960</v>
      </c>
      <c r="I707" s="76">
        <v>0.5</v>
      </c>
    </row>
    <row r="708" spans="3:9" x14ac:dyDescent="0.35">
      <c r="C708" t="s">
        <v>312</v>
      </c>
      <c r="D708" s="3">
        <v>2018</v>
      </c>
      <c r="E708" s="78">
        <f t="shared" si="10"/>
        <v>2</v>
      </c>
      <c r="F708" s="74" t="s">
        <v>40</v>
      </c>
      <c r="G708" s="77">
        <f t="shared" si="11"/>
        <v>17960</v>
      </c>
      <c r="H708" s="77">
        <f t="shared" si="14"/>
        <v>18260</v>
      </c>
      <c r="I708" s="76">
        <v>0.4</v>
      </c>
    </row>
    <row r="709" spans="3:9" x14ac:dyDescent="0.35">
      <c r="C709" t="s">
        <v>312</v>
      </c>
      <c r="D709" s="3">
        <v>2018</v>
      </c>
      <c r="E709" s="78">
        <f t="shared" si="10"/>
        <v>2</v>
      </c>
      <c r="F709" s="74" t="s">
        <v>40</v>
      </c>
      <c r="G709" s="77">
        <f t="shared" si="11"/>
        <v>18260</v>
      </c>
      <c r="H709" s="77">
        <f t="shared" si="14"/>
        <v>18560</v>
      </c>
      <c r="I709" s="76">
        <v>0.3</v>
      </c>
    </row>
    <row r="710" spans="3:9" x14ac:dyDescent="0.35">
      <c r="C710" t="s">
        <v>312</v>
      </c>
      <c r="D710" s="3">
        <v>2018</v>
      </c>
      <c r="E710" s="78">
        <f t="shared" si="10"/>
        <v>2</v>
      </c>
      <c r="F710" s="74" t="s">
        <v>40</v>
      </c>
      <c r="G710" s="77">
        <f t="shared" si="11"/>
        <v>18560</v>
      </c>
      <c r="H710" s="77">
        <f t="shared" si="14"/>
        <v>18860</v>
      </c>
      <c r="I710" s="76">
        <v>0.2</v>
      </c>
    </row>
    <row r="711" spans="3:9" x14ac:dyDescent="0.35">
      <c r="C711" t="s">
        <v>312</v>
      </c>
      <c r="D711" s="3">
        <v>2018</v>
      </c>
      <c r="E711" s="78">
        <f t="shared" si="10"/>
        <v>2</v>
      </c>
      <c r="F711" s="74" t="s">
        <v>40</v>
      </c>
      <c r="G711" s="77">
        <f t="shared" si="11"/>
        <v>18860</v>
      </c>
      <c r="H711" s="77">
        <f t="shared" si="14"/>
        <v>19160</v>
      </c>
      <c r="I711" s="76">
        <v>0.1</v>
      </c>
    </row>
    <row r="712" spans="3:9" x14ac:dyDescent="0.35">
      <c r="C712" t="s">
        <v>312</v>
      </c>
      <c r="D712" s="3">
        <v>2018</v>
      </c>
      <c r="E712" s="78">
        <f t="shared" si="10"/>
        <v>2</v>
      </c>
      <c r="F712" s="74" t="s">
        <v>40</v>
      </c>
      <c r="G712" s="77">
        <f t="shared" si="11"/>
        <v>19160</v>
      </c>
      <c r="H712" s="77"/>
      <c r="I712" s="76">
        <v>0</v>
      </c>
    </row>
    <row r="713" spans="3:9" x14ac:dyDescent="0.35">
      <c r="C713" t="s">
        <v>312</v>
      </c>
      <c r="D713" s="3">
        <v>2018</v>
      </c>
      <c r="E713" s="78">
        <f t="shared" si="10"/>
        <v>2</v>
      </c>
      <c r="F713" s="74" t="s">
        <v>313</v>
      </c>
      <c r="G713" s="77">
        <v>0</v>
      </c>
      <c r="H713" s="75">
        <f>H702</f>
        <v>16460</v>
      </c>
      <c r="I713" s="76">
        <v>1</v>
      </c>
    </row>
    <row r="714" spans="3:9" x14ac:dyDescent="0.35">
      <c r="C714" t="s">
        <v>312</v>
      </c>
      <c r="D714" s="3">
        <v>2018</v>
      </c>
      <c r="E714" s="78">
        <f t="shared" si="10"/>
        <v>2</v>
      </c>
      <c r="F714" s="74" t="s">
        <v>313</v>
      </c>
      <c r="G714" s="77">
        <f>H713</f>
        <v>16460</v>
      </c>
      <c r="H714" s="77">
        <f>H713+300</f>
        <v>16760</v>
      </c>
      <c r="I714" s="76">
        <v>0.9</v>
      </c>
    </row>
    <row r="715" spans="3:9" x14ac:dyDescent="0.35">
      <c r="C715" t="s">
        <v>312</v>
      </c>
      <c r="D715" s="3">
        <v>2018</v>
      </c>
      <c r="E715" s="78">
        <f t="shared" si="10"/>
        <v>2</v>
      </c>
      <c r="F715" s="74" t="s">
        <v>313</v>
      </c>
      <c r="G715" s="77">
        <f t="shared" si="11"/>
        <v>16760</v>
      </c>
      <c r="H715" s="77">
        <f t="shared" ref="H715:H722" si="15">H714+300</f>
        <v>17060</v>
      </c>
      <c r="I715" s="76">
        <v>0.8</v>
      </c>
    </row>
    <row r="716" spans="3:9" x14ac:dyDescent="0.35">
      <c r="C716" t="s">
        <v>312</v>
      </c>
      <c r="D716" s="3">
        <v>2018</v>
      </c>
      <c r="E716" s="78">
        <f t="shared" si="10"/>
        <v>2</v>
      </c>
      <c r="F716" s="74" t="s">
        <v>313</v>
      </c>
      <c r="G716" s="77">
        <f t="shared" si="11"/>
        <v>17060</v>
      </c>
      <c r="H716" s="77">
        <f t="shared" si="15"/>
        <v>17360</v>
      </c>
      <c r="I716" s="76">
        <v>0.7</v>
      </c>
    </row>
    <row r="717" spans="3:9" x14ac:dyDescent="0.35">
      <c r="C717" t="s">
        <v>312</v>
      </c>
      <c r="D717" s="3">
        <v>2018</v>
      </c>
      <c r="E717" s="78">
        <f t="shared" si="10"/>
        <v>2</v>
      </c>
      <c r="F717" s="74" t="s">
        <v>313</v>
      </c>
      <c r="G717" s="77">
        <f t="shared" si="11"/>
        <v>17360</v>
      </c>
      <c r="H717" s="77">
        <f t="shared" si="15"/>
        <v>17660</v>
      </c>
      <c r="I717" s="76">
        <v>0.6</v>
      </c>
    </row>
    <row r="718" spans="3:9" x14ac:dyDescent="0.35">
      <c r="C718" t="s">
        <v>312</v>
      </c>
      <c r="D718" s="3">
        <v>2018</v>
      </c>
      <c r="E718" s="78">
        <f t="shared" si="10"/>
        <v>2</v>
      </c>
      <c r="F718" s="74" t="s">
        <v>313</v>
      </c>
      <c r="G718" s="77">
        <f t="shared" si="11"/>
        <v>17660</v>
      </c>
      <c r="H718" s="77">
        <f t="shared" si="15"/>
        <v>17960</v>
      </c>
      <c r="I718" s="76">
        <v>0.5</v>
      </c>
    </row>
    <row r="719" spans="3:9" x14ac:dyDescent="0.35">
      <c r="C719" t="s">
        <v>312</v>
      </c>
      <c r="D719" s="3">
        <v>2018</v>
      </c>
      <c r="E719" s="78">
        <f t="shared" si="10"/>
        <v>2</v>
      </c>
      <c r="F719" s="74" t="s">
        <v>313</v>
      </c>
      <c r="G719" s="77">
        <f t="shared" si="11"/>
        <v>17960</v>
      </c>
      <c r="H719" s="77">
        <f t="shared" si="15"/>
        <v>18260</v>
      </c>
      <c r="I719" s="76">
        <v>0.4</v>
      </c>
    </row>
    <row r="720" spans="3:9" x14ac:dyDescent="0.35">
      <c r="C720" t="s">
        <v>312</v>
      </c>
      <c r="D720" s="3">
        <v>2018</v>
      </c>
      <c r="E720" s="78">
        <f t="shared" si="10"/>
        <v>2</v>
      </c>
      <c r="F720" s="74" t="s">
        <v>313</v>
      </c>
      <c r="G720" s="77">
        <f t="shared" si="11"/>
        <v>18260</v>
      </c>
      <c r="H720" s="77">
        <f t="shared" si="15"/>
        <v>18560</v>
      </c>
      <c r="I720" s="76">
        <v>0.3</v>
      </c>
    </row>
    <row r="721" spans="3:9" x14ac:dyDescent="0.35">
      <c r="C721" t="s">
        <v>312</v>
      </c>
      <c r="D721" s="3">
        <v>2018</v>
      </c>
      <c r="E721" s="78">
        <f t="shared" si="10"/>
        <v>2</v>
      </c>
      <c r="F721" s="74" t="s">
        <v>313</v>
      </c>
      <c r="G721" s="77">
        <f t="shared" si="11"/>
        <v>18560</v>
      </c>
      <c r="H721" s="77">
        <f t="shared" si="15"/>
        <v>18860</v>
      </c>
      <c r="I721" s="76">
        <v>0.2</v>
      </c>
    </row>
    <row r="722" spans="3:9" x14ac:dyDescent="0.35">
      <c r="C722" t="s">
        <v>312</v>
      </c>
      <c r="D722" s="3">
        <v>2018</v>
      </c>
      <c r="E722" s="78">
        <f t="shared" si="10"/>
        <v>2</v>
      </c>
      <c r="F722" s="74" t="s">
        <v>313</v>
      </c>
      <c r="G722" s="77">
        <f t="shared" si="11"/>
        <v>18860</v>
      </c>
      <c r="H722" s="77">
        <f t="shared" si="15"/>
        <v>19160</v>
      </c>
      <c r="I722" s="76">
        <v>0.1</v>
      </c>
    </row>
    <row r="723" spans="3:9" x14ac:dyDescent="0.35">
      <c r="C723" t="s">
        <v>312</v>
      </c>
      <c r="D723" s="3">
        <v>2018</v>
      </c>
      <c r="E723" s="78">
        <f t="shared" si="10"/>
        <v>2</v>
      </c>
      <c r="F723" s="74" t="s">
        <v>313</v>
      </c>
      <c r="G723" s="77">
        <f t="shared" si="11"/>
        <v>19160</v>
      </c>
      <c r="H723" s="77"/>
      <c r="I723" s="76">
        <v>0</v>
      </c>
    </row>
    <row r="724" spans="3:9" x14ac:dyDescent="0.35">
      <c r="C724" t="s">
        <v>312</v>
      </c>
      <c r="D724" s="3">
        <v>2018</v>
      </c>
      <c r="E724" s="73">
        <v>3</v>
      </c>
      <c r="F724" s="74" t="s">
        <v>54</v>
      </c>
      <c r="G724" s="77">
        <v>0</v>
      </c>
      <c r="H724" s="77">
        <v>20780</v>
      </c>
      <c r="I724" s="76">
        <v>1</v>
      </c>
    </row>
    <row r="725" spans="3:9" x14ac:dyDescent="0.35">
      <c r="C725" t="s">
        <v>312</v>
      </c>
      <c r="D725" s="3">
        <v>2018</v>
      </c>
      <c r="E725" s="78">
        <f>E724</f>
        <v>3</v>
      </c>
      <c r="F725" s="74" t="s">
        <v>54</v>
      </c>
      <c r="G725" s="77">
        <f>H724</f>
        <v>20780</v>
      </c>
      <c r="H725" s="77">
        <f>H724+300</f>
        <v>21080</v>
      </c>
      <c r="I725" s="76">
        <v>0.9</v>
      </c>
    </row>
    <row r="726" spans="3:9" x14ac:dyDescent="0.35">
      <c r="C726" t="s">
        <v>312</v>
      </c>
      <c r="D726" s="3">
        <v>2018</v>
      </c>
      <c r="E726" s="78">
        <f t="shared" ref="E726:E767" si="16">E725</f>
        <v>3</v>
      </c>
      <c r="F726" s="74" t="s">
        <v>54</v>
      </c>
      <c r="G726" s="77">
        <f t="shared" si="11"/>
        <v>21080</v>
      </c>
      <c r="H726" s="77">
        <f t="shared" ref="H726:H733" si="17">H725+300</f>
        <v>21380</v>
      </c>
      <c r="I726" s="76">
        <v>0.8</v>
      </c>
    </row>
    <row r="727" spans="3:9" x14ac:dyDescent="0.35">
      <c r="C727" t="s">
        <v>312</v>
      </c>
      <c r="D727" s="3">
        <v>2018</v>
      </c>
      <c r="E727" s="78">
        <f t="shared" si="16"/>
        <v>3</v>
      </c>
      <c r="F727" s="74" t="s">
        <v>54</v>
      </c>
      <c r="G727" s="77">
        <f t="shared" si="11"/>
        <v>21380</v>
      </c>
      <c r="H727" s="77">
        <f t="shared" si="17"/>
        <v>21680</v>
      </c>
      <c r="I727" s="76">
        <v>0.7</v>
      </c>
    </row>
    <row r="728" spans="3:9" x14ac:dyDescent="0.35">
      <c r="C728" t="s">
        <v>312</v>
      </c>
      <c r="D728" s="3">
        <v>2018</v>
      </c>
      <c r="E728" s="78">
        <f t="shared" si="16"/>
        <v>3</v>
      </c>
      <c r="F728" s="74" t="s">
        <v>54</v>
      </c>
      <c r="G728" s="77">
        <f t="shared" si="11"/>
        <v>21680</v>
      </c>
      <c r="H728" s="77">
        <f t="shared" si="17"/>
        <v>21980</v>
      </c>
      <c r="I728" s="76">
        <v>0.6</v>
      </c>
    </row>
    <row r="729" spans="3:9" x14ac:dyDescent="0.35">
      <c r="C729" t="s">
        <v>312</v>
      </c>
      <c r="D729" s="3">
        <v>2018</v>
      </c>
      <c r="E729" s="78">
        <f t="shared" si="16"/>
        <v>3</v>
      </c>
      <c r="F729" s="74" t="s">
        <v>54</v>
      </c>
      <c r="G729" s="77">
        <f t="shared" si="11"/>
        <v>21980</v>
      </c>
      <c r="H729" s="77">
        <f t="shared" si="17"/>
        <v>22280</v>
      </c>
      <c r="I729" s="76">
        <v>0.5</v>
      </c>
    </row>
    <row r="730" spans="3:9" x14ac:dyDescent="0.35">
      <c r="C730" t="s">
        <v>312</v>
      </c>
      <c r="D730" s="3">
        <v>2018</v>
      </c>
      <c r="E730" s="78">
        <f t="shared" si="16"/>
        <v>3</v>
      </c>
      <c r="F730" s="74" t="s">
        <v>54</v>
      </c>
      <c r="G730" s="77">
        <f t="shared" si="11"/>
        <v>22280</v>
      </c>
      <c r="H730" s="77">
        <f t="shared" si="17"/>
        <v>22580</v>
      </c>
      <c r="I730" s="76">
        <v>0.4</v>
      </c>
    </row>
    <row r="731" spans="3:9" x14ac:dyDescent="0.35">
      <c r="C731" t="s">
        <v>312</v>
      </c>
      <c r="D731" s="3">
        <v>2018</v>
      </c>
      <c r="E731" s="78">
        <f t="shared" si="16"/>
        <v>3</v>
      </c>
      <c r="F731" s="74" t="s">
        <v>54</v>
      </c>
      <c r="G731" s="77">
        <f t="shared" si="11"/>
        <v>22580</v>
      </c>
      <c r="H731" s="77">
        <f t="shared" si="17"/>
        <v>22880</v>
      </c>
      <c r="I731" s="76">
        <v>0.3</v>
      </c>
    </row>
    <row r="732" spans="3:9" x14ac:dyDescent="0.35">
      <c r="C732" t="s">
        <v>312</v>
      </c>
      <c r="D732" s="3">
        <v>2018</v>
      </c>
      <c r="E732" s="78">
        <f t="shared" si="16"/>
        <v>3</v>
      </c>
      <c r="F732" s="74" t="s">
        <v>54</v>
      </c>
      <c r="G732" s="77">
        <f t="shared" si="11"/>
        <v>22880</v>
      </c>
      <c r="H732" s="77">
        <f t="shared" si="17"/>
        <v>23180</v>
      </c>
      <c r="I732" s="76">
        <v>0.2</v>
      </c>
    </row>
    <row r="733" spans="3:9" x14ac:dyDescent="0.35">
      <c r="C733" t="s">
        <v>312</v>
      </c>
      <c r="D733" s="3">
        <v>2018</v>
      </c>
      <c r="E733" s="78">
        <f t="shared" si="16"/>
        <v>3</v>
      </c>
      <c r="F733" s="74" t="s">
        <v>54</v>
      </c>
      <c r="G733" s="77">
        <f t="shared" si="11"/>
        <v>23180</v>
      </c>
      <c r="H733" s="77">
        <f t="shared" si="17"/>
        <v>23480</v>
      </c>
      <c r="I733" s="76">
        <v>0.1</v>
      </c>
    </row>
    <row r="734" spans="3:9" x14ac:dyDescent="0.35">
      <c r="C734" t="s">
        <v>312</v>
      </c>
      <c r="D734" s="3">
        <v>2018</v>
      </c>
      <c r="E734" s="78">
        <f t="shared" si="16"/>
        <v>3</v>
      </c>
      <c r="F734" s="74" t="s">
        <v>54</v>
      </c>
      <c r="G734" s="77">
        <f t="shared" si="11"/>
        <v>23480</v>
      </c>
      <c r="H734" s="77"/>
      <c r="I734" s="76">
        <v>0</v>
      </c>
    </row>
    <row r="735" spans="3:9" x14ac:dyDescent="0.35">
      <c r="C735" t="s">
        <v>312</v>
      </c>
      <c r="D735" s="3">
        <v>2018</v>
      </c>
      <c r="E735" s="78">
        <f t="shared" si="16"/>
        <v>3</v>
      </c>
      <c r="F735" s="74" t="s">
        <v>34</v>
      </c>
      <c r="G735" s="77">
        <v>0</v>
      </c>
      <c r="H735" s="75">
        <f>H724</f>
        <v>20780</v>
      </c>
      <c r="I735" s="76">
        <v>1</v>
      </c>
    </row>
    <row r="736" spans="3:9" x14ac:dyDescent="0.35">
      <c r="C736" t="s">
        <v>312</v>
      </c>
      <c r="D736" s="3">
        <v>2018</v>
      </c>
      <c r="E736" s="78">
        <f t="shared" si="16"/>
        <v>3</v>
      </c>
      <c r="F736" s="74" t="s">
        <v>34</v>
      </c>
      <c r="G736" s="77">
        <f>H735</f>
        <v>20780</v>
      </c>
      <c r="H736" s="77">
        <f>H735+300</f>
        <v>21080</v>
      </c>
      <c r="I736" s="76">
        <v>0.9</v>
      </c>
    </row>
    <row r="737" spans="3:9" x14ac:dyDescent="0.35">
      <c r="C737" t="s">
        <v>312</v>
      </c>
      <c r="D737" s="3">
        <v>2018</v>
      </c>
      <c r="E737" s="78">
        <f t="shared" si="16"/>
        <v>3</v>
      </c>
      <c r="F737" s="74" t="s">
        <v>34</v>
      </c>
      <c r="G737" s="77">
        <f t="shared" ref="G737:G745" si="18">H736</f>
        <v>21080</v>
      </c>
      <c r="H737" s="77">
        <f t="shared" ref="H737:H744" si="19">H736+300</f>
        <v>21380</v>
      </c>
      <c r="I737" s="76">
        <v>0.8</v>
      </c>
    </row>
    <row r="738" spans="3:9" x14ac:dyDescent="0.35">
      <c r="C738" t="s">
        <v>312</v>
      </c>
      <c r="D738" s="3">
        <v>2018</v>
      </c>
      <c r="E738" s="78">
        <f t="shared" si="16"/>
        <v>3</v>
      </c>
      <c r="F738" s="74" t="s">
        <v>34</v>
      </c>
      <c r="G738" s="77">
        <f t="shared" si="18"/>
        <v>21380</v>
      </c>
      <c r="H738" s="77">
        <f t="shared" si="19"/>
        <v>21680</v>
      </c>
      <c r="I738" s="76">
        <v>0.7</v>
      </c>
    </row>
    <row r="739" spans="3:9" x14ac:dyDescent="0.35">
      <c r="C739" t="s">
        <v>312</v>
      </c>
      <c r="D739" s="3">
        <v>2018</v>
      </c>
      <c r="E739" s="78">
        <f t="shared" si="16"/>
        <v>3</v>
      </c>
      <c r="F739" s="74" t="s">
        <v>34</v>
      </c>
      <c r="G739" s="77">
        <f t="shared" si="18"/>
        <v>21680</v>
      </c>
      <c r="H739" s="77">
        <f t="shared" si="19"/>
        <v>21980</v>
      </c>
      <c r="I739" s="76">
        <v>0.6</v>
      </c>
    </row>
    <row r="740" spans="3:9" x14ac:dyDescent="0.35">
      <c r="C740" t="s">
        <v>312</v>
      </c>
      <c r="D740" s="3">
        <v>2018</v>
      </c>
      <c r="E740" s="78">
        <f t="shared" si="16"/>
        <v>3</v>
      </c>
      <c r="F740" s="74" t="s">
        <v>34</v>
      </c>
      <c r="G740" s="77">
        <f t="shared" si="18"/>
        <v>21980</v>
      </c>
      <c r="H740" s="77">
        <f t="shared" si="19"/>
        <v>22280</v>
      </c>
      <c r="I740" s="76">
        <v>0.5</v>
      </c>
    </row>
    <row r="741" spans="3:9" x14ac:dyDescent="0.35">
      <c r="C741" t="s">
        <v>312</v>
      </c>
      <c r="D741" s="3">
        <v>2018</v>
      </c>
      <c r="E741" s="78">
        <f t="shared" si="16"/>
        <v>3</v>
      </c>
      <c r="F741" s="74" t="s">
        <v>34</v>
      </c>
      <c r="G741" s="77">
        <f t="shared" si="18"/>
        <v>22280</v>
      </c>
      <c r="H741" s="77">
        <f t="shared" si="19"/>
        <v>22580</v>
      </c>
      <c r="I741" s="76">
        <v>0.4</v>
      </c>
    </row>
    <row r="742" spans="3:9" x14ac:dyDescent="0.35">
      <c r="C742" t="s">
        <v>312</v>
      </c>
      <c r="D742" s="3">
        <v>2018</v>
      </c>
      <c r="E742" s="78">
        <f t="shared" si="16"/>
        <v>3</v>
      </c>
      <c r="F742" s="74" t="s">
        <v>34</v>
      </c>
      <c r="G742" s="77">
        <f t="shared" si="18"/>
        <v>22580</v>
      </c>
      <c r="H742" s="77">
        <f t="shared" si="19"/>
        <v>22880</v>
      </c>
      <c r="I742" s="76">
        <v>0.3</v>
      </c>
    </row>
    <row r="743" spans="3:9" x14ac:dyDescent="0.35">
      <c r="C743" t="s">
        <v>312</v>
      </c>
      <c r="D743" s="3">
        <v>2018</v>
      </c>
      <c r="E743" s="78">
        <f t="shared" si="16"/>
        <v>3</v>
      </c>
      <c r="F743" s="74" t="s">
        <v>34</v>
      </c>
      <c r="G743" s="77">
        <f t="shared" si="18"/>
        <v>22880</v>
      </c>
      <c r="H743" s="77">
        <f t="shared" si="19"/>
        <v>23180</v>
      </c>
      <c r="I743" s="76">
        <v>0.2</v>
      </c>
    </row>
    <row r="744" spans="3:9" x14ac:dyDescent="0.35">
      <c r="C744" t="s">
        <v>312</v>
      </c>
      <c r="D744" s="3">
        <v>2018</v>
      </c>
      <c r="E744" s="78">
        <f t="shared" si="16"/>
        <v>3</v>
      </c>
      <c r="F744" s="74" t="s">
        <v>34</v>
      </c>
      <c r="G744" s="77">
        <f t="shared" si="18"/>
        <v>23180</v>
      </c>
      <c r="H744" s="77">
        <f t="shared" si="19"/>
        <v>23480</v>
      </c>
      <c r="I744" s="76">
        <v>0.1</v>
      </c>
    </row>
    <row r="745" spans="3:9" x14ac:dyDescent="0.35">
      <c r="C745" t="s">
        <v>312</v>
      </c>
      <c r="D745" s="3">
        <v>2018</v>
      </c>
      <c r="E745" s="78">
        <f t="shared" si="16"/>
        <v>3</v>
      </c>
      <c r="F745" s="74" t="s">
        <v>34</v>
      </c>
      <c r="G745" s="77">
        <f t="shared" si="18"/>
        <v>23480</v>
      </c>
      <c r="H745" s="77"/>
      <c r="I745" s="76">
        <v>0</v>
      </c>
    </row>
    <row r="746" spans="3:9" x14ac:dyDescent="0.35">
      <c r="C746" t="s">
        <v>312</v>
      </c>
      <c r="D746" s="3">
        <v>2018</v>
      </c>
      <c r="E746" s="78">
        <f t="shared" si="16"/>
        <v>3</v>
      </c>
      <c r="F746" s="74" t="s">
        <v>40</v>
      </c>
      <c r="G746" s="77">
        <v>0</v>
      </c>
      <c r="H746" s="75">
        <f>H735</f>
        <v>20780</v>
      </c>
      <c r="I746" s="76">
        <v>1</v>
      </c>
    </row>
    <row r="747" spans="3:9" x14ac:dyDescent="0.35">
      <c r="C747" t="s">
        <v>312</v>
      </c>
      <c r="D747" s="3">
        <v>2018</v>
      </c>
      <c r="E747" s="78">
        <f t="shared" si="16"/>
        <v>3</v>
      </c>
      <c r="F747" s="74" t="s">
        <v>40</v>
      </c>
      <c r="G747" s="77">
        <f>H746</f>
        <v>20780</v>
      </c>
      <c r="H747" s="77">
        <f>H746+300</f>
        <v>21080</v>
      </c>
      <c r="I747" s="76">
        <v>0.9</v>
      </c>
    </row>
    <row r="748" spans="3:9" x14ac:dyDescent="0.35">
      <c r="C748" t="s">
        <v>312</v>
      </c>
      <c r="D748" s="3">
        <v>2018</v>
      </c>
      <c r="E748" s="78">
        <f t="shared" si="16"/>
        <v>3</v>
      </c>
      <c r="F748" s="74" t="s">
        <v>40</v>
      </c>
      <c r="G748" s="77">
        <f t="shared" ref="G748:G756" si="20">H747</f>
        <v>21080</v>
      </c>
      <c r="H748" s="77">
        <f t="shared" ref="H748:H755" si="21">H747+300</f>
        <v>21380</v>
      </c>
      <c r="I748" s="76">
        <v>0.8</v>
      </c>
    </row>
    <row r="749" spans="3:9" x14ac:dyDescent="0.35">
      <c r="C749" t="s">
        <v>312</v>
      </c>
      <c r="D749" s="3">
        <v>2018</v>
      </c>
      <c r="E749" s="78">
        <f t="shared" si="16"/>
        <v>3</v>
      </c>
      <c r="F749" s="74" t="s">
        <v>40</v>
      </c>
      <c r="G749" s="77">
        <f t="shared" si="20"/>
        <v>21380</v>
      </c>
      <c r="H749" s="77">
        <f t="shared" si="21"/>
        <v>21680</v>
      </c>
      <c r="I749" s="76">
        <v>0.7</v>
      </c>
    </row>
    <row r="750" spans="3:9" x14ac:dyDescent="0.35">
      <c r="C750" t="s">
        <v>312</v>
      </c>
      <c r="D750" s="3">
        <v>2018</v>
      </c>
      <c r="E750" s="78">
        <f t="shared" si="16"/>
        <v>3</v>
      </c>
      <c r="F750" s="74" t="s">
        <v>40</v>
      </c>
      <c r="G750" s="77">
        <f t="shared" si="20"/>
        <v>21680</v>
      </c>
      <c r="H750" s="77">
        <f t="shared" si="21"/>
        <v>21980</v>
      </c>
      <c r="I750" s="76">
        <v>0.6</v>
      </c>
    </row>
    <row r="751" spans="3:9" x14ac:dyDescent="0.35">
      <c r="C751" t="s">
        <v>312</v>
      </c>
      <c r="D751" s="3">
        <v>2018</v>
      </c>
      <c r="E751" s="78">
        <f t="shared" si="16"/>
        <v>3</v>
      </c>
      <c r="F751" s="74" t="s">
        <v>40</v>
      </c>
      <c r="G751" s="77">
        <f t="shared" si="20"/>
        <v>21980</v>
      </c>
      <c r="H751" s="77">
        <f t="shared" si="21"/>
        <v>22280</v>
      </c>
      <c r="I751" s="76">
        <v>0.5</v>
      </c>
    </row>
    <row r="752" spans="3:9" x14ac:dyDescent="0.35">
      <c r="C752" t="s">
        <v>312</v>
      </c>
      <c r="D752" s="3">
        <v>2018</v>
      </c>
      <c r="E752" s="78">
        <f t="shared" si="16"/>
        <v>3</v>
      </c>
      <c r="F752" s="74" t="s">
        <v>40</v>
      </c>
      <c r="G752" s="77">
        <f t="shared" si="20"/>
        <v>22280</v>
      </c>
      <c r="H752" s="77">
        <f t="shared" si="21"/>
        <v>22580</v>
      </c>
      <c r="I752" s="76">
        <v>0.4</v>
      </c>
    </row>
    <row r="753" spans="3:9" x14ac:dyDescent="0.35">
      <c r="C753" t="s">
        <v>312</v>
      </c>
      <c r="D753" s="3">
        <v>2018</v>
      </c>
      <c r="E753" s="78">
        <f t="shared" si="16"/>
        <v>3</v>
      </c>
      <c r="F753" s="74" t="s">
        <v>40</v>
      </c>
      <c r="G753" s="77">
        <f t="shared" si="20"/>
        <v>22580</v>
      </c>
      <c r="H753" s="77">
        <f t="shared" si="21"/>
        <v>22880</v>
      </c>
      <c r="I753" s="76">
        <v>0.3</v>
      </c>
    </row>
    <row r="754" spans="3:9" x14ac:dyDescent="0.35">
      <c r="C754" t="s">
        <v>312</v>
      </c>
      <c r="D754" s="3">
        <v>2018</v>
      </c>
      <c r="E754" s="78">
        <f t="shared" si="16"/>
        <v>3</v>
      </c>
      <c r="F754" s="74" t="s">
        <v>40</v>
      </c>
      <c r="G754" s="77">
        <f t="shared" si="20"/>
        <v>22880</v>
      </c>
      <c r="H754" s="77">
        <f t="shared" si="21"/>
        <v>23180</v>
      </c>
      <c r="I754" s="76">
        <v>0.2</v>
      </c>
    </row>
    <row r="755" spans="3:9" x14ac:dyDescent="0.35">
      <c r="C755" t="s">
        <v>312</v>
      </c>
      <c r="D755" s="3">
        <v>2018</v>
      </c>
      <c r="E755" s="78">
        <f t="shared" si="16"/>
        <v>3</v>
      </c>
      <c r="F755" s="74" t="s">
        <v>40</v>
      </c>
      <c r="G755" s="77">
        <f t="shared" si="20"/>
        <v>23180</v>
      </c>
      <c r="H755" s="77">
        <f t="shared" si="21"/>
        <v>23480</v>
      </c>
      <c r="I755" s="76">
        <v>0.1</v>
      </c>
    </row>
    <row r="756" spans="3:9" x14ac:dyDescent="0.35">
      <c r="C756" t="s">
        <v>312</v>
      </c>
      <c r="D756" s="3">
        <v>2018</v>
      </c>
      <c r="E756" s="78">
        <f t="shared" si="16"/>
        <v>3</v>
      </c>
      <c r="F756" s="74" t="s">
        <v>40</v>
      </c>
      <c r="G756" s="77">
        <f t="shared" si="20"/>
        <v>23480</v>
      </c>
      <c r="H756" s="77"/>
      <c r="I756" s="76">
        <v>0</v>
      </c>
    </row>
    <row r="757" spans="3:9" x14ac:dyDescent="0.35">
      <c r="C757" t="s">
        <v>312</v>
      </c>
      <c r="D757" s="3">
        <v>2018</v>
      </c>
      <c r="E757" s="78">
        <f t="shared" si="16"/>
        <v>3</v>
      </c>
      <c r="F757" s="74" t="s">
        <v>313</v>
      </c>
      <c r="G757" s="77">
        <v>0</v>
      </c>
      <c r="H757" s="75">
        <f>H746</f>
        <v>20780</v>
      </c>
      <c r="I757" s="76">
        <v>1</v>
      </c>
    </row>
    <row r="758" spans="3:9" x14ac:dyDescent="0.35">
      <c r="C758" t="s">
        <v>312</v>
      </c>
      <c r="D758" s="3">
        <v>2018</v>
      </c>
      <c r="E758" s="78">
        <f t="shared" si="16"/>
        <v>3</v>
      </c>
      <c r="F758" s="74" t="s">
        <v>313</v>
      </c>
      <c r="G758" s="77">
        <f>H757</f>
        <v>20780</v>
      </c>
      <c r="H758" s="77">
        <f>H757+300</f>
        <v>21080</v>
      </c>
      <c r="I758" s="76">
        <v>0.9</v>
      </c>
    </row>
    <row r="759" spans="3:9" x14ac:dyDescent="0.35">
      <c r="C759" t="s">
        <v>312</v>
      </c>
      <c r="D759" s="3">
        <v>2018</v>
      </c>
      <c r="E759" s="78">
        <f t="shared" si="16"/>
        <v>3</v>
      </c>
      <c r="F759" s="74" t="s">
        <v>313</v>
      </c>
      <c r="G759" s="77">
        <f t="shared" ref="G759:G767" si="22">H758</f>
        <v>21080</v>
      </c>
      <c r="H759" s="77">
        <f t="shared" ref="H759:H766" si="23">H758+300</f>
        <v>21380</v>
      </c>
      <c r="I759" s="76">
        <v>0.8</v>
      </c>
    </row>
    <row r="760" spans="3:9" x14ac:dyDescent="0.35">
      <c r="C760" t="s">
        <v>312</v>
      </c>
      <c r="D760" s="3">
        <v>2018</v>
      </c>
      <c r="E760" s="78">
        <f t="shared" si="16"/>
        <v>3</v>
      </c>
      <c r="F760" s="74" t="s">
        <v>313</v>
      </c>
      <c r="G760" s="77">
        <f t="shared" si="22"/>
        <v>21380</v>
      </c>
      <c r="H760" s="77">
        <f t="shared" si="23"/>
        <v>21680</v>
      </c>
      <c r="I760" s="76">
        <v>0.7</v>
      </c>
    </row>
    <row r="761" spans="3:9" x14ac:dyDescent="0.35">
      <c r="C761" t="s">
        <v>312</v>
      </c>
      <c r="D761" s="3">
        <v>2018</v>
      </c>
      <c r="E761" s="78">
        <f t="shared" si="16"/>
        <v>3</v>
      </c>
      <c r="F761" s="74" t="s">
        <v>313</v>
      </c>
      <c r="G761" s="77">
        <f t="shared" si="22"/>
        <v>21680</v>
      </c>
      <c r="H761" s="77">
        <f t="shared" si="23"/>
        <v>21980</v>
      </c>
      <c r="I761" s="76">
        <v>0.6</v>
      </c>
    </row>
    <row r="762" spans="3:9" x14ac:dyDescent="0.35">
      <c r="C762" t="s">
        <v>312</v>
      </c>
      <c r="D762" s="3">
        <v>2018</v>
      </c>
      <c r="E762" s="78">
        <f t="shared" si="16"/>
        <v>3</v>
      </c>
      <c r="F762" s="74" t="s">
        <v>313</v>
      </c>
      <c r="G762" s="77">
        <f t="shared" si="22"/>
        <v>21980</v>
      </c>
      <c r="H762" s="77">
        <f t="shared" si="23"/>
        <v>22280</v>
      </c>
      <c r="I762" s="76">
        <v>0.5</v>
      </c>
    </row>
    <row r="763" spans="3:9" x14ac:dyDescent="0.35">
      <c r="C763" t="s">
        <v>312</v>
      </c>
      <c r="D763" s="3">
        <v>2018</v>
      </c>
      <c r="E763" s="78">
        <f t="shared" si="16"/>
        <v>3</v>
      </c>
      <c r="F763" s="74" t="s">
        <v>313</v>
      </c>
      <c r="G763" s="77">
        <f t="shared" si="22"/>
        <v>22280</v>
      </c>
      <c r="H763" s="77">
        <f t="shared" si="23"/>
        <v>22580</v>
      </c>
      <c r="I763" s="76">
        <v>0.4</v>
      </c>
    </row>
    <row r="764" spans="3:9" x14ac:dyDescent="0.35">
      <c r="C764" t="s">
        <v>312</v>
      </c>
      <c r="D764" s="3">
        <v>2018</v>
      </c>
      <c r="E764" s="78">
        <f t="shared" si="16"/>
        <v>3</v>
      </c>
      <c r="F764" s="74" t="s">
        <v>313</v>
      </c>
      <c r="G764" s="77">
        <f t="shared" si="22"/>
        <v>22580</v>
      </c>
      <c r="H764" s="77">
        <f t="shared" si="23"/>
        <v>22880</v>
      </c>
      <c r="I764" s="76">
        <v>0.3</v>
      </c>
    </row>
    <row r="765" spans="3:9" x14ac:dyDescent="0.35">
      <c r="C765" t="s">
        <v>312</v>
      </c>
      <c r="D765" s="3">
        <v>2018</v>
      </c>
      <c r="E765" s="78">
        <f t="shared" si="16"/>
        <v>3</v>
      </c>
      <c r="F765" s="74" t="s">
        <v>313</v>
      </c>
      <c r="G765" s="77">
        <f t="shared" si="22"/>
        <v>22880</v>
      </c>
      <c r="H765" s="77">
        <f t="shared" si="23"/>
        <v>23180</v>
      </c>
      <c r="I765" s="76">
        <v>0.2</v>
      </c>
    </row>
    <row r="766" spans="3:9" x14ac:dyDescent="0.35">
      <c r="C766" t="s">
        <v>312</v>
      </c>
      <c r="D766" s="3">
        <v>2018</v>
      </c>
      <c r="E766" s="78">
        <f t="shared" si="16"/>
        <v>3</v>
      </c>
      <c r="F766" s="74" t="s">
        <v>313</v>
      </c>
      <c r="G766" s="77">
        <f t="shared" si="22"/>
        <v>23180</v>
      </c>
      <c r="H766" s="77">
        <f t="shared" si="23"/>
        <v>23480</v>
      </c>
      <c r="I766" s="76">
        <v>0.1</v>
      </c>
    </row>
    <row r="767" spans="3:9" x14ac:dyDescent="0.35">
      <c r="C767" t="s">
        <v>312</v>
      </c>
      <c r="D767" s="3">
        <v>2018</v>
      </c>
      <c r="E767" s="78">
        <f t="shared" si="16"/>
        <v>3</v>
      </c>
      <c r="F767" s="74" t="s">
        <v>313</v>
      </c>
      <c r="G767" s="77">
        <f t="shared" si="22"/>
        <v>23480</v>
      </c>
      <c r="H767" s="77"/>
      <c r="I767" s="76">
        <v>0</v>
      </c>
    </row>
    <row r="768" spans="3:9" x14ac:dyDescent="0.35">
      <c r="C768" t="s">
        <v>312</v>
      </c>
      <c r="D768" s="3">
        <v>2018</v>
      </c>
      <c r="E768" s="73">
        <v>4</v>
      </c>
      <c r="F768" s="74" t="s">
        <v>54</v>
      </c>
      <c r="G768" s="77">
        <v>0</v>
      </c>
      <c r="H768" s="77">
        <v>25100</v>
      </c>
      <c r="I768" s="76">
        <v>1</v>
      </c>
    </row>
    <row r="769" spans="3:9" x14ac:dyDescent="0.35">
      <c r="C769" t="s">
        <v>312</v>
      </c>
      <c r="D769" s="3">
        <v>2018</v>
      </c>
      <c r="E769" s="78">
        <f>E768</f>
        <v>4</v>
      </c>
      <c r="F769" s="74" t="s">
        <v>54</v>
      </c>
      <c r="G769" s="77">
        <f>H768</f>
        <v>25100</v>
      </c>
      <c r="H769" s="77">
        <f>H768+300</f>
        <v>25400</v>
      </c>
      <c r="I769" s="76">
        <v>0.9</v>
      </c>
    </row>
    <row r="770" spans="3:9" x14ac:dyDescent="0.35">
      <c r="C770" t="s">
        <v>312</v>
      </c>
      <c r="D770" s="3">
        <v>2018</v>
      </c>
      <c r="E770" s="78">
        <f t="shared" ref="E770:E811" si="24">E769</f>
        <v>4</v>
      </c>
      <c r="F770" s="74" t="s">
        <v>54</v>
      </c>
      <c r="G770" s="77">
        <f t="shared" ref="G770:G778" si="25">H769</f>
        <v>25400</v>
      </c>
      <c r="H770" s="77">
        <f t="shared" ref="H770:H777" si="26">H769+300</f>
        <v>25700</v>
      </c>
      <c r="I770" s="76">
        <v>0.8</v>
      </c>
    </row>
    <row r="771" spans="3:9" x14ac:dyDescent="0.35">
      <c r="C771" t="s">
        <v>312</v>
      </c>
      <c r="D771" s="3">
        <v>2018</v>
      </c>
      <c r="E771" s="78">
        <f t="shared" si="24"/>
        <v>4</v>
      </c>
      <c r="F771" s="74" t="s">
        <v>54</v>
      </c>
      <c r="G771" s="77">
        <f t="shared" si="25"/>
        <v>25700</v>
      </c>
      <c r="H771" s="77">
        <f t="shared" si="26"/>
        <v>26000</v>
      </c>
      <c r="I771" s="76">
        <v>0.7</v>
      </c>
    </row>
    <row r="772" spans="3:9" x14ac:dyDescent="0.35">
      <c r="C772" t="s">
        <v>312</v>
      </c>
      <c r="D772" s="3">
        <v>2018</v>
      </c>
      <c r="E772" s="78">
        <f t="shared" si="24"/>
        <v>4</v>
      </c>
      <c r="F772" s="74" t="s">
        <v>54</v>
      </c>
      <c r="G772" s="77">
        <f t="shared" si="25"/>
        <v>26000</v>
      </c>
      <c r="H772" s="77">
        <f t="shared" si="26"/>
        <v>26300</v>
      </c>
      <c r="I772" s="76">
        <v>0.6</v>
      </c>
    </row>
    <row r="773" spans="3:9" x14ac:dyDescent="0.35">
      <c r="C773" t="s">
        <v>312</v>
      </c>
      <c r="D773" s="3">
        <v>2018</v>
      </c>
      <c r="E773" s="78">
        <f t="shared" si="24"/>
        <v>4</v>
      </c>
      <c r="F773" s="74" t="s">
        <v>54</v>
      </c>
      <c r="G773" s="77">
        <f t="shared" si="25"/>
        <v>26300</v>
      </c>
      <c r="H773" s="77">
        <f t="shared" si="26"/>
        <v>26600</v>
      </c>
      <c r="I773" s="76">
        <v>0.5</v>
      </c>
    </row>
    <row r="774" spans="3:9" x14ac:dyDescent="0.35">
      <c r="C774" t="s">
        <v>312</v>
      </c>
      <c r="D774" s="3">
        <v>2018</v>
      </c>
      <c r="E774" s="78">
        <f t="shared" si="24"/>
        <v>4</v>
      </c>
      <c r="F774" s="74" t="s">
        <v>54</v>
      </c>
      <c r="G774" s="77">
        <f t="shared" si="25"/>
        <v>26600</v>
      </c>
      <c r="H774" s="77">
        <f t="shared" si="26"/>
        <v>26900</v>
      </c>
      <c r="I774" s="76">
        <v>0.4</v>
      </c>
    </row>
    <row r="775" spans="3:9" x14ac:dyDescent="0.35">
      <c r="C775" t="s">
        <v>312</v>
      </c>
      <c r="D775" s="3">
        <v>2018</v>
      </c>
      <c r="E775" s="78">
        <f t="shared" si="24"/>
        <v>4</v>
      </c>
      <c r="F775" s="74" t="s">
        <v>54</v>
      </c>
      <c r="G775" s="77">
        <f t="shared" si="25"/>
        <v>26900</v>
      </c>
      <c r="H775" s="77">
        <f t="shared" si="26"/>
        <v>27200</v>
      </c>
      <c r="I775" s="76">
        <v>0.3</v>
      </c>
    </row>
    <row r="776" spans="3:9" x14ac:dyDescent="0.35">
      <c r="C776" t="s">
        <v>312</v>
      </c>
      <c r="D776" s="3">
        <v>2018</v>
      </c>
      <c r="E776" s="78">
        <f t="shared" si="24"/>
        <v>4</v>
      </c>
      <c r="F776" s="74" t="s">
        <v>54</v>
      </c>
      <c r="G776" s="77">
        <f t="shared" si="25"/>
        <v>27200</v>
      </c>
      <c r="H776" s="77">
        <f t="shared" si="26"/>
        <v>27500</v>
      </c>
      <c r="I776" s="76">
        <v>0.2</v>
      </c>
    </row>
    <row r="777" spans="3:9" x14ac:dyDescent="0.35">
      <c r="C777" t="s">
        <v>312</v>
      </c>
      <c r="D777" s="3">
        <v>2018</v>
      </c>
      <c r="E777" s="78">
        <f t="shared" si="24"/>
        <v>4</v>
      </c>
      <c r="F777" s="74" t="s">
        <v>54</v>
      </c>
      <c r="G777" s="77">
        <f t="shared" si="25"/>
        <v>27500</v>
      </c>
      <c r="H777" s="77">
        <f t="shared" si="26"/>
        <v>27800</v>
      </c>
      <c r="I777" s="76">
        <v>0.1</v>
      </c>
    </row>
    <row r="778" spans="3:9" x14ac:dyDescent="0.35">
      <c r="C778" t="s">
        <v>312</v>
      </c>
      <c r="D778" s="3">
        <v>2018</v>
      </c>
      <c r="E778" s="78">
        <f t="shared" si="24"/>
        <v>4</v>
      </c>
      <c r="F778" s="74" t="s">
        <v>54</v>
      </c>
      <c r="G778" s="77">
        <f t="shared" si="25"/>
        <v>27800</v>
      </c>
      <c r="H778" s="77"/>
      <c r="I778" s="76">
        <v>0</v>
      </c>
    </row>
    <row r="779" spans="3:9" x14ac:dyDescent="0.35">
      <c r="C779" t="s">
        <v>312</v>
      </c>
      <c r="D779" s="3">
        <v>2018</v>
      </c>
      <c r="E779" s="78">
        <f t="shared" si="24"/>
        <v>4</v>
      </c>
      <c r="F779" s="74" t="s">
        <v>34</v>
      </c>
      <c r="G779" s="77">
        <v>0</v>
      </c>
      <c r="H779" s="75">
        <f>H768</f>
        <v>25100</v>
      </c>
      <c r="I779" s="76">
        <v>1</v>
      </c>
    </row>
    <row r="780" spans="3:9" x14ac:dyDescent="0.35">
      <c r="C780" t="s">
        <v>312</v>
      </c>
      <c r="D780" s="3">
        <v>2018</v>
      </c>
      <c r="E780" s="78">
        <f t="shared" si="24"/>
        <v>4</v>
      </c>
      <c r="F780" s="74" t="s">
        <v>34</v>
      </c>
      <c r="G780" s="77">
        <f>H779</f>
        <v>25100</v>
      </c>
      <c r="H780" s="77">
        <f>H779+300</f>
        <v>25400</v>
      </c>
      <c r="I780" s="76">
        <v>0.9</v>
      </c>
    </row>
    <row r="781" spans="3:9" x14ac:dyDescent="0.35">
      <c r="C781" t="s">
        <v>312</v>
      </c>
      <c r="D781" s="3">
        <v>2018</v>
      </c>
      <c r="E781" s="78">
        <f t="shared" si="24"/>
        <v>4</v>
      </c>
      <c r="F781" s="74" t="s">
        <v>34</v>
      </c>
      <c r="G781" s="77">
        <f t="shared" ref="G781:G789" si="27">H780</f>
        <v>25400</v>
      </c>
      <c r="H781" s="77">
        <f t="shared" ref="H781:H788" si="28">H780+300</f>
        <v>25700</v>
      </c>
      <c r="I781" s="76">
        <v>0.8</v>
      </c>
    </row>
    <row r="782" spans="3:9" x14ac:dyDescent="0.35">
      <c r="C782" t="s">
        <v>312</v>
      </c>
      <c r="D782" s="3">
        <v>2018</v>
      </c>
      <c r="E782" s="78">
        <f t="shared" si="24"/>
        <v>4</v>
      </c>
      <c r="F782" s="74" t="s">
        <v>34</v>
      </c>
      <c r="G782" s="77">
        <f t="shared" si="27"/>
        <v>25700</v>
      </c>
      <c r="H782" s="77">
        <f t="shared" si="28"/>
        <v>26000</v>
      </c>
      <c r="I782" s="76">
        <v>0.7</v>
      </c>
    </row>
    <row r="783" spans="3:9" x14ac:dyDescent="0.35">
      <c r="C783" t="s">
        <v>312</v>
      </c>
      <c r="D783" s="3">
        <v>2018</v>
      </c>
      <c r="E783" s="78">
        <f t="shared" si="24"/>
        <v>4</v>
      </c>
      <c r="F783" s="74" t="s">
        <v>34</v>
      </c>
      <c r="G783" s="77">
        <f t="shared" si="27"/>
        <v>26000</v>
      </c>
      <c r="H783" s="77">
        <f t="shared" si="28"/>
        <v>26300</v>
      </c>
      <c r="I783" s="76">
        <v>0.6</v>
      </c>
    </row>
    <row r="784" spans="3:9" x14ac:dyDescent="0.35">
      <c r="C784" t="s">
        <v>312</v>
      </c>
      <c r="D784" s="3">
        <v>2018</v>
      </c>
      <c r="E784" s="78">
        <f t="shared" si="24"/>
        <v>4</v>
      </c>
      <c r="F784" s="74" t="s">
        <v>34</v>
      </c>
      <c r="G784" s="77">
        <f t="shared" si="27"/>
        <v>26300</v>
      </c>
      <c r="H784" s="77">
        <f t="shared" si="28"/>
        <v>26600</v>
      </c>
      <c r="I784" s="76">
        <v>0.5</v>
      </c>
    </row>
    <row r="785" spans="3:9" x14ac:dyDescent="0.35">
      <c r="C785" t="s">
        <v>312</v>
      </c>
      <c r="D785" s="3">
        <v>2018</v>
      </c>
      <c r="E785" s="78">
        <f t="shared" si="24"/>
        <v>4</v>
      </c>
      <c r="F785" s="74" t="s">
        <v>34</v>
      </c>
      <c r="G785" s="77">
        <f t="shared" si="27"/>
        <v>26600</v>
      </c>
      <c r="H785" s="77">
        <f t="shared" si="28"/>
        <v>26900</v>
      </c>
      <c r="I785" s="76">
        <v>0.4</v>
      </c>
    </row>
    <row r="786" spans="3:9" x14ac:dyDescent="0.35">
      <c r="C786" t="s">
        <v>312</v>
      </c>
      <c r="D786" s="3">
        <v>2018</v>
      </c>
      <c r="E786" s="78">
        <f t="shared" si="24"/>
        <v>4</v>
      </c>
      <c r="F786" s="74" t="s">
        <v>34</v>
      </c>
      <c r="G786" s="77">
        <f t="shared" si="27"/>
        <v>26900</v>
      </c>
      <c r="H786" s="77">
        <f t="shared" si="28"/>
        <v>27200</v>
      </c>
      <c r="I786" s="76">
        <v>0.3</v>
      </c>
    </row>
    <row r="787" spans="3:9" x14ac:dyDescent="0.35">
      <c r="C787" t="s">
        <v>312</v>
      </c>
      <c r="D787" s="3">
        <v>2018</v>
      </c>
      <c r="E787" s="78">
        <f t="shared" si="24"/>
        <v>4</v>
      </c>
      <c r="F787" s="74" t="s">
        <v>34</v>
      </c>
      <c r="G787" s="77">
        <f t="shared" si="27"/>
        <v>27200</v>
      </c>
      <c r="H787" s="77">
        <f t="shared" si="28"/>
        <v>27500</v>
      </c>
      <c r="I787" s="76">
        <v>0.2</v>
      </c>
    </row>
    <row r="788" spans="3:9" x14ac:dyDescent="0.35">
      <c r="C788" t="s">
        <v>312</v>
      </c>
      <c r="D788" s="3">
        <v>2018</v>
      </c>
      <c r="E788" s="78">
        <f t="shared" si="24"/>
        <v>4</v>
      </c>
      <c r="F788" s="74" t="s">
        <v>34</v>
      </c>
      <c r="G788" s="77">
        <f t="shared" si="27"/>
        <v>27500</v>
      </c>
      <c r="H788" s="77">
        <f t="shared" si="28"/>
        <v>27800</v>
      </c>
      <c r="I788" s="76">
        <v>0.1</v>
      </c>
    </row>
    <row r="789" spans="3:9" x14ac:dyDescent="0.35">
      <c r="C789" t="s">
        <v>312</v>
      </c>
      <c r="D789" s="3">
        <v>2018</v>
      </c>
      <c r="E789" s="78">
        <f t="shared" si="24"/>
        <v>4</v>
      </c>
      <c r="F789" s="74" t="s">
        <v>34</v>
      </c>
      <c r="G789" s="77">
        <f t="shared" si="27"/>
        <v>27800</v>
      </c>
      <c r="H789" s="77"/>
      <c r="I789" s="76">
        <v>0</v>
      </c>
    </row>
    <row r="790" spans="3:9" x14ac:dyDescent="0.35">
      <c r="C790" t="s">
        <v>312</v>
      </c>
      <c r="D790" s="3">
        <v>2018</v>
      </c>
      <c r="E790" s="78">
        <f t="shared" si="24"/>
        <v>4</v>
      </c>
      <c r="F790" s="74" t="s">
        <v>40</v>
      </c>
      <c r="G790" s="77">
        <v>0</v>
      </c>
      <c r="H790" s="75">
        <f>H779</f>
        <v>25100</v>
      </c>
      <c r="I790" s="76">
        <v>1</v>
      </c>
    </row>
    <row r="791" spans="3:9" x14ac:dyDescent="0.35">
      <c r="C791" t="s">
        <v>312</v>
      </c>
      <c r="D791" s="3">
        <v>2018</v>
      </c>
      <c r="E791" s="78">
        <f t="shared" si="24"/>
        <v>4</v>
      </c>
      <c r="F791" s="74" t="s">
        <v>40</v>
      </c>
      <c r="G791" s="77">
        <f>H790</f>
        <v>25100</v>
      </c>
      <c r="H791" s="77">
        <f>H790+300</f>
        <v>25400</v>
      </c>
      <c r="I791" s="76">
        <v>0.9</v>
      </c>
    </row>
    <row r="792" spans="3:9" x14ac:dyDescent="0.35">
      <c r="C792" t="s">
        <v>312</v>
      </c>
      <c r="D792" s="3">
        <v>2018</v>
      </c>
      <c r="E792" s="78">
        <f t="shared" si="24"/>
        <v>4</v>
      </c>
      <c r="F792" s="74" t="s">
        <v>40</v>
      </c>
      <c r="G792" s="77">
        <f t="shared" ref="G792:G800" si="29">H791</f>
        <v>25400</v>
      </c>
      <c r="H792" s="77">
        <f t="shared" ref="H792:H799" si="30">H791+300</f>
        <v>25700</v>
      </c>
      <c r="I792" s="76">
        <v>0.8</v>
      </c>
    </row>
    <row r="793" spans="3:9" x14ac:dyDescent="0.35">
      <c r="C793" t="s">
        <v>312</v>
      </c>
      <c r="D793" s="3">
        <v>2018</v>
      </c>
      <c r="E793" s="78">
        <f t="shared" si="24"/>
        <v>4</v>
      </c>
      <c r="F793" s="74" t="s">
        <v>40</v>
      </c>
      <c r="G793" s="77">
        <f t="shared" si="29"/>
        <v>25700</v>
      </c>
      <c r="H793" s="77">
        <f t="shared" si="30"/>
        <v>26000</v>
      </c>
      <c r="I793" s="76">
        <v>0.7</v>
      </c>
    </row>
    <row r="794" spans="3:9" x14ac:dyDescent="0.35">
      <c r="C794" t="s">
        <v>312</v>
      </c>
      <c r="D794" s="3">
        <v>2018</v>
      </c>
      <c r="E794" s="78">
        <f t="shared" si="24"/>
        <v>4</v>
      </c>
      <c r="F794" s="74" t="s">
        <v>40</v>
      </c>
      <c r="G794" s="77">
        <f t="shared" si="29"/>
        <v>26000</v>
      </c>
      <c r="H794" s="77">
        <f t="shared" si="30"/>
        <v>26300</v>
      </c>
      <c r="I794" s="76">
        <v>0.6</v>
      </c>
    </row>
    <row r="795" spans="3:9" x14ac:dyDescent="0.35">
      <c r="C795" t="s">
        <v>312</v>
      </c>
      <c r="D795" s="3">
        <v>2018</v>
      </c>
      <c r="E795" s="78">
        <f t="shared" si="24"/>
        <v>4</v>
      </c>
      <c r="F795" s="74" t="s">
        <v>40</v>
      </c>
      <c r="G795" s="77">
        <f t="shared" si="29"/>
        <v>26300</v>
      </c>
      <c r="H795" s="77">
        <f t="shared" si="30"/>
        <v>26600</v>
      </c>
      <c r="I795" s="76">
        <v>0.5</v>
      </c>
    </row>
    <row r="796" spans="3:9" x14ac:dyDescent="0.35">
      <c r="C796" t="s">
        <v>312</v>
      </c>
      <c r="D796" s="3">
        <v>2018</v>
      </c>
      <c r="E796" s="78">
        <f t="shared" si="24"/>
        <v>4</v>
      </c>
      <c r="F796" s="74" t="s">
        <v>40</v>
      </c>
      <c r="G796" s="77">
        <f t="shared" si="29"/>
        <v>26600</v>
      </c>
      <c r="H796" s="77">
        <f t="shared" si="30"/>
        <v>26900</v>
      </c>
      <c r="I796" s="76">
        <v>0.4</v>
      </c>
    </row>
    <row r="797" spans="3:9" x14ac:dyDescent="0.35">
      <c r="C797" t="s">
        <v>312</v>
      </c>
      <c r="D797" s="3">
        <v>2018</v>
      </c>
      <c r="E797" s="78">
        <f t="shared" si="24"/>
        <v>4</v>
      </c>
      <c r="F797" s="74" t="s">
        <v>40</v>
      </c>
      <c r="G797" s="77">
        <f t="shared" si="29"/>
        <v>26900</v>
      </c>
      <c r="H797" s="77">
        <f t="shared" si="30"/>
        <v>27200</v>
      </c>
      <c r="I797" s="76">
        <v>0.3</v>
      </c>
    </row>
    <row r="798" spans="3:9" x14ac:dyDescent="0.35">
      <c r="C798" t="s">
        <v>312</v>
      </c>
      <c r="D798" s="3">
        <v>2018</v>
      </c>
      <c r="E798" s="78">
        <f t="shared" si="24"/>
        <v>4</v>
      </c>
      <c r="F798" s="74" t="s">
        <v>40</v>
      </c>
      <c r="G798" s="77">
        <f t="shared" si="29"/>
        <v>27200</v>
      </c>
      <c r="H798" s="77">
        <f t="shared" si="30"/>
        <v>27500</v>
      </c>
      <c r="I798" s="76">
        <v>0.2</v>
      </c>
    </row>
    <row r="799" spans="3:9" x14ac:dyDescent="0.35">
      <c r="C799" t="s">
        <v>312</v>
      </c>
      <c r="D799" s="3">
        <v>2018</v>
      </c>
      <c r="E799" s="78">
        <f t="shared" si="24"/>
        <v>4</v>
      </c>
      <c r="F799" s="74" t="s">
        <v>40</v>
      </c>
      <c r="G799" s="77">
        <f t="shared" si="29"/>
        <v>27500</v>
      </c>
      <c r="H799" s="77">
        <f t="shared" si="30"/>
        <v>27800</v>
      </c>
      <c r="I799" s="76">
        <v>0.1</v>
      </c>
    </row>
    <row r="800" spans="3:9" x14ac:dyDescent="0.35">
      <c r="C800" t="s">
        <v>312</v>
      </c>
      <c r="D800" s="3">
        <v>2018</v>
      </c>
      <c r="E800" s="78">
        <f t="shared" si="24"/>
        <v>4</v>
      </c>
      <c r="F800" s="74" t="s">
        <v>40</v>
      </c>
      <c r="G800" s="77">
        <f t="shared" si="29"/>
        <v>27800</v>
      </c>
      <c r="H800" s="77"/>
      <c r="I800" s="76">
        <v>0</v>
      </c>
    </row>
    <row r="801" spans="3:9" x14ac:dyDescent="0.35">
      <c r="C801" t="s">
        <v>312</v>
      </c>
      <c r="D801" s="3">
        <v>2018</v>
      </c>
      <c r="E801" s="78">
        <f t="shared" si="24"/>
        <v>4</v>
      </c>
      <c r="F801" s="74" t="s">
        <v>313</v>
      </c>
      <c r="G801" s="77">
        <v>0</v>
      </c>
      <c r="H801" s="75">
        <f>H790</f>
        <v>25100</v>
      </c>
      <c r="I801" s="76">
        <v>1</v>
      </c>
    </row>
    <row r="802" spans="3:9" x14ac:dyDescent="0.35">
      <c r="C802" t="s">
        <v>312</v>
      </c>
      <c r="D802" s="3">
        <v>2018</v>
      </c>
      <c r="E802" s="78">
        <f t="shared" si="24"/>
        <v>4</v>
      </c>
      <c r="F802" s="74" t="s">
        <v>313</v>
      </c>
      <c r="G802" s="77">
        <f>H801</f>
        <v>25100</v>
      </c>
      <c r="H802" s="77">
        <f>H801+300</f>
        <v>25400</v>
      </c>
      <c r="I802" s="76">
        <v>0.9</v>
      </c>
    </row>
    <row r="803" spans="3:9" x14ac:dyDescent="0.35">
      <c r="C803" t="s">
        <v>312</v>
      </c>
      <c r="D803" s="3">
        <v>2018</v>
      </c>
      <c r="E803" s="78">
        <f t="shared" si="24"/>
        <v>4</v>
      </c>
      <c r="F803" s="74" t="s">
        <v>313</v>
      </c>
      <c r="G803" s="77">
        <f t="shared" ref="G803:G811" si="31">H802</f>
        <v>25400</v>
      </c>
      <c r="H803" s="77">
        <f t="shared" ref="H803:H810" si="32">H802+300</f>
        <v>25700</v>
      </c>
      <c r="I803" s="76">
        <v>0.8</v>
      </c>
    </row>
    <row r="804" spans="3:9" x14ac:dyDescent="0.35">
      <c r="C804" t="s">
        <v>312</v>
      </c>
      <c r="D804" s="3">
        <v>2018</v>
      </c>
      <c r="E804" s="78">
        <f t="shared" si="24"/>
        <v>4</v>
      </c>
      <c r="F804" s="74" t="s">
        <v>313</v>
      </c>
      <c r="G804" s="77">
        <f t="shared" si="31"/>
        <v>25700</v>
      </c>
      <c r="H804" s="77">
        <f t="shared" si="32"/>
        <v>26000</v>
      </c>
      <c r="I804" s="76">
        <v>0.7</v>
      </c>
    </row>
    <row r="805" spans="3:9" x14ac:dyDescent="0.35">
      <c r="C805" t="s">
        <v>312</v>
      </c>
      <c r="D805" s="3">
        <v>2018</v>
      </c>
      <c r="E805" s="78">
        <f t="shared" si="24"/>
        <v>4</v>
      </c>
      <c r="F805" s="74" t="s">
        <v>313</v>
      </c>
      <c r="G805" s="77">
        <f t="shared" si="31"/>
        <v>26000</v>
      </c>
      <c r="H805" s="77">
        <f t="shared" si="32"/>
        <v>26300</v>
      </c>
      <c r="I805" s="76">
        <v>0.6</v>
      </c>
    </row>
    <row r="806" spans="3:9" x14ac:dyDescent="0.35">
      <c r="C806" t="s">
        <v>312</v>
      </c>
      <c r="D806" s="3">
        <v>2018</v>
      </c>
      <c r="E806" s="78">
        <f t="shared" si="24"/>
        <v>4</v>
      </c>
      <c r="F806" s="74" t="s">
        <v>313</v>
      </c>
      <c r="G806" s="77">
        <f t="shared" si="31"/>
        <v>26300</v>
      </c>
      <c r="H806" s="77">
        <f t="shared" si="32"/>
        <v>26600</v>
      </c>
      <c r="I806" s="76">
        <v>0.5</v>
      </c>
    </row>
    <row r="807" spans="3:9" x14ac:dyDescent="0.35">
      <c r="C807" t="s">
        <v>312</v>
      </c>
      <c r="D807" s="3">
        <v>2018</v>
      </c>
      <c r="E807" s="78">
        <f t="shared" si="24"/>
        <v>4</v>
      </c>
      <c r="F807" s="74" t="s">
        <v>313</v>
      </c>
      <c r="G807" s="77">
        <f t="shared" si="31"/>
        <v>26600</v>
      </c>
      <c r="H807" s="77">
        <f t="shared" si="32"/>
        <v>26900</v>
      </c>
      <c r="I807" s="76">
        <v>0.4</v>
      </c>
    </row>
    <row r="808" spans="3:9" x14ac:dyDescent="0.35">
      <c r="C808" t="s">
        <v>312</v>
      </c>
      <c r="D808" s="3">
        <v>2018</v>
      </c>
      <c r="E808" s="78">
        <f t="shared" si="24"/>
        <v>4</v>
      </c>
      <c r="F808" s="74" t="s">
        <v>313</v>
      </c>
      <c r="G808" s="77">
        <f t="shared" si="31"/>
        <v>26900</v>
      </c>
      <c r="H808" s="77">
        <f t="shared" si="32"/>
        <v>27200</v>
      </c>
      <c r="I808" s="76">
        <v>0.3</v>
      </c>
    </row>
    <row r="809" spans="3:9" x14ac:dyDescent="0.35">
      <c r="C809" t="s">
        <v>312</v>
      </c>
      <c r="D809" s="3">
        <v>2018</v>
      </c>
      <c r="E809" s="78">
        <f t="shared" si="24"/>
        <v>4</v>
      </c>
      <c r="F809" s="74" t="s">
        <v>313</v>
      </c>
      <c r="G809" s="77">
        <f t="shared" si="31"/>
        <v>27200</v>
      </c>
      <c r="H809" s="77">
        <f t="shared" si="32"/>
        <v>27500</v>
      </c>
      <c r="I809" s="76">
        <v>0.2</v>
      </c>
    </row>
    <row r="810" spans="3:9" x14ac:dyDescent="0.35">
      <c r="C810" t="s">
        <v>312</v>
      </c>
      <c r="D810" s="3">
        <v>2018</v>
      </c>
      <c r="E810" s="78">
        <f t="shared" si="24"/>
        <v>4</v>
      </c>
      <c r="F810" s="74" t="s">
        <v>313</v>
      </c>
      <c r="G810" s="77">
        <f t="shared" si="31"/>
        <v>27500</v>
      </c>
      <c r="H810" s="77">
        <f t="shared" si="32"/>
        <v>27800</v>
      </c>
      <c r="I810" s="76">
        <v>0.1</v>
      </c>
    </row>
    <row r="811" spans="3:9" x14ac:dyDescent="0.35">
      <c r="C811" t="s">
        <v>312</v>
      </c>
      <c r="D811" s="3">
        <v>2018</v>
      </c>
      <c r="E811" s="78">
        <f t="shared" si="24"/>
        <v>4</v>
      </c>
      <c r="F811" s="74" t="s">
        <v>313</v>
      </c>
      <c r="G811" s="77">
        <f t="shared" si="31"/>
        <v>27800</v>
      </c>
      <c r="H811" s="77"/>
      <c r="I811" s="76">
        <v>0</v>
      </c>
    </row>
    <row r="812" spans="3:9" x14ac:dyDescent="0.35">
      <c r="C812" t="s">
        <v>312</v>
      </c>
      <c r="D812" s="3">
        <v>2018</v>
      </c>
      <c r="E812" s="73">
        <v>5</v>
      </c>
      <c r="F812" s="74" t="s">
        <v>54</v>
      </c>
      <c r="G812" s="77">
        <v>0</v>
      </c>
      <c r="H812" s="77">
        <v>29420</v>
      </c>
      <c r="I812" s="76">
        <v>1</v>
      </c>
    </row>
    <row r="813" spans="3:9" x14ac:dyDescent="0.35">
      <c r="C813" t="s">
        <v>312</v>
      </c>
      <c r="D813" s="3">
        <v>2018</v>
      </c>
      <c r="E813" s="78">
        <f>E812</f>
        <v>5</v>
      </c>
      <c r="F813" s="74" t="s">
        <v>54</v>
      </c>
      <c r="G813" s="77">
        <f>H812</f>
        <v>29420</v>
      </c>
      <c r="H813" s="77">
        <f>H812+300</f>
        <v>29720</v>
      </c>
      <c r="I813" s="76">
        <v>0.9</v>
      </c>
    </row>
    <row r="814" spans="3:9" x14ac:dyDescent="0.35">
      <c r="C814" t="s">
        <v>312</v>
      </c>
      <c r="D814" s="3">
        <v>2018</v>
      </c>
      <c r="E814" s="78">
        <f t="shared" ref="E814:E855" si="33">E813</f>
        <v>5</v>
      </c>
      <c r="F814" s="74" t="s">
        <v>54</v>
      </c>
      <c r="G814" s="77">
        <f t="shared" ref="G814:G822" si="34">H813</f>
        <v>29720</v>
      </c>
      <c r="H814" s="77">
        <f t="shared" ref="H814:H821" si="35">H813+300</f>
        <v>30020</v>
      </c>
      <c r="I814" s="76">
        <v>0.8</v>
      </c>
    </row>
    <row r="815" spans="3:9" x14ac:dyDescent="0.35">
      <c r="C815" t="s">
        <v>312</v>
      </c>
      <c r="D815" s="3">
        <v>2018</v>
      </c>
      <c r="E815" s="78">
        <f t="shared" si="33"/>
        <v>5</v>
      </c>
      <c r="F815" s="74" t="s">
        <v>54</v>
      </c>
      <c r="G815" s="77">
        <f t="shared" si="34"/>
        <v>30020</v>
      </c>
      <c r="H815" s="77">
        <f t="shared" si="35"/>
        <v>30320</v>
      </c>
      <c r="I815" s="76">
        <v>0.7</v>
      </c>
    </row>
    <row r="816" spans="3:9" x14ac:dyDescent="0.35">
      <c r="C816" t="s">
        <v>312</v>
      </c>
      <c r="D816" s="3">
        <v>2018</v>
      </c>
      <c r="E816" s="78">
        <f t="shared" si="33"/>
        <v>5</v>
      </c>
      <c r="F816" s="74" t="s">
        <v>54</v>
      </c>
      <c r="G816" s="77">
        <f t="shared" si="34"/>
        <v>30320</v>
      </c>
      <c r="H816" s="77">
        <f t="shared" si="35"/>
        <v>30620</v>
      </c>
      <c r="I816" s="76">
        <v>0.6</v>
      </c>
    </row>
    <row r="817" spans="3:9" x14ac:dyDescent="0.35">
      <c r="C817" t="s">
        <v>312</v>
      </c>
      <c r="D817" s="3">
        <v>2018</v>
      </c>
      <c r="E817" s="78">
        <f t="shared" si="33"/>
        <v>5</v>
      </c>
      <c r="F817" s="74" t="s">
        <v>54</v>
      </c>
      <c r="G817" s="77">
        <f t="shared" si="34"/>
        <v>30620</v>
      </c>
      <c r="H817" s="77">
        <f t="shared" si="35"/>
        <v>30920</v>
      </c>
      <c r="I817" s="76">
        <v>0.5</v>
      </c>
    </row>
    <row r="818" spans="3:9" x14ac:dyDescent="0.35">
      <c r="C818" t="s">
        <v>312</v>
      </c>
      <c r="D818" s="3">
        <v>2018</v>
      </c>
      <c r="E818" s="78">
        <f t="shared" si="33"/>
        <v>5</v>
      </c>
      <c r="F818" s="74" t="s">
        <v>54</v>
      </c>
      <c r="G818" s="77">
        <f t="shared" si="34"/>
        <v>30920</v>
      </c>
      <c r="H818" s="77">
        <f t="shared" si="35"/>
        <v>31220</v>
      </c>
      <c r="I818" s="76">
        <v>0.4</v>
      </c>
    </row>
    <row r="819" spans="3:9" x14ac:dyDescent="0.35">
      <c r="C819" t="s">
        <v>312</v>
      </c>
      <c r="D819" s="3">
        <v>2018</v>
      </c>
      <c r="E819" s="78">
        <f t="shared" si="33"/>
        <v>5</v>
      </c>
      <c r="F819" s="74" t="s">
        <v>54</v>
      </c>
      <c r="G819" s="77">
        <f t="shared" si="34"/>
        <v>31220</v>
      </c>
      <c r="H819" s="77">
        <f t="shared" si="35"/>
        <v>31520</v>
      </c>
      <c r="I819" s="76">
        <v>0.3</v>
      </c>
    </row>
    <row r="820" spans="3:9" x14ac:dyDescent="0.35">
      <c r="C820" t="s">
        <v>312</v>
      </c>
      <c r="D820" s="3">
        <v>2018</v>
      </c>
      <c r="E820" s="78">
        <f t="shared" si="33"/>
        <v>5</v>
      </c>
      <c r="F820" s="74" t="s">
        <v>54</v>
      </c>
      <c r="G820" s="77">
        <f t="shared" si="34"/>
        <v>31520</v>
      </c>
      <c r="H820" s="77">
        <f t="shared" si="35"/>
        <v>31820</v>
      </c>
      <c r="I820" s="76">
        <v>0.2</v>
      </c>
    </row>
    <row r="821" spans="3:9" x14ac:dyDescent="0.35">
      <c r="C821" t="s">
        <v>312</v>
      </c>
      <c r="D821" s="3">
        <v>2018</v>
      </c>
      <c r="E821" s="78">
        <f t="shared" si="33"/>
        <v>5</v>
      </c>
      <c r="F821" s="74" t="s">
        <v>54</v>
      </c>
      <c r="G821" s="77">
        <f t="shared" si="34"/>
        <v>31820</v>
      </c>
      <c r="H821" s="77">
        <f t="shared" si="35"/>
        <v>32120</v>
      </c>
      <c r="I821" s="76">
        <v>0.1</v>
      </c>
    </row>
    <row r="822" spans="3:9" x14ac:dyDescent="0.35">
      <c r="C822" t="s">
        <v>312</v>
      </c>
      <c r="D822" s="3">
        <v>2018</v>
      </c>
      <c r="E822" s="78">
        <f t="shared" si="33"/>
        <v>5</v>
      </c>
      <c r="F822" s="74" t="s">
        <v>54</v>
      </c>
      <c r="G822" s="77">
        <f t="shared" si="34"/>
        <v>32120</v>
      </c>
      <c r="H822" s="77"/>
      <c r="I822" s="76">
        <v>0</v>
      </c>
    </row>
    <row r="823" spans="3:9" x14ac:dyDescent="0.35">
      <c r="C823" t="s">
        <v>312</v>
      </c>
      <c r="D823" s="3">
        <v>2018</v>
      </c>
      <c r="E823" s="78">
        <f t="shared" si="33"/>
        <v>5</v>
      </c>
      <c r="F823" s="74" t="s">
        <v>34</v>
      </c>
      <c r="G823" s="77">
        <v>0</v>
      </c>
      <c r="H823" s="75">
        <f>H812</f>
        <v>29420</v>
      </c>
      <c r="I823" s="76">
        <v>1</v>
      </c>
    </row>
    <row r="824" spans="3:9" x14ac:dyDescent="0.35">
      <c r="C824" t="s">
        <v>312</v>
      </c>
      <c r="D824" s="3">
        <v>2018</v>
      </c>
      <c r="E824" s="78">
        <f t="shared" si="33"/>
        <v>5</v>
      </c>
      <c r="F824" s="74" t="s">
        <v>34</v>
      </c>
      <c r="G824" s="77">
        <f>H823</f>
        <v>29420</v>
      </c>
      <c r="H824" s="77">
        <f>H823+300</f>
        <v>29720</v>
      </c>
      <c r="I824" s="76">
        <v>0.9</v>
      </c>
    </row>
    <row r="825" spans="3:9" x14ac:dyDescent="0.35">
      <c r="C825" t="s">
        <v>312</v>
      </c>
      <c r="D825" s="3">
        <v>2018</v>
      </c>
      <c r="E825" s="78">
        <f t="shared" si="33"/>
        <v>5</v>
      </c>
      <c r="F825" s="74" t="s">
        <v>34</v>
      </c>
      <c r="G825" s="77">
        <f t="shared" ref="G825:G833" si="36">H824</f>
        <v>29720</v>
      </c>
      <c r="H825" s="77">
        <f t="shared" ref="H825:H832" si="37">H824+300</f>
        <v>30020</v>
      </c>
      <c r="I825" s="76">
        <v>0.8</v>
      </c>
    </row>
    <row r="826" spans="3:9" x14ac:dyDescent="0.35">
      <c r="C826" t="s">
        <v>312</v>
      </c>
      <c r="D826" s="3">
        <v>2018</v>
      </c>
      <c r="E826" s="78">
        <f t="shared" si="33"/>
        <v>5</v>
      </c>
      <c r="F826" s="74" t="s">
        <v>34</v>
      </c>
      <c r="G826" s="77">
        <f t="shared" si="36"/>
        <v>30020</v>
      </c>
      <c r="H826" s="77">
        <f t="shared" si="37"/>
        <v>30320</v>
      </c>
      <c r="I826" s="76">
        <v>0.7</v>
      </c>
    </row>
    <row r="827" spans="3:9" x14ac:dyDescent="0.35">
      <c r="C827" t="s">
        <v>312</v>
      </c>
      <c r="D827" s="3">
        <v>2018</v>
      </c>
      <c r="E827" s="78">
        <f t="shared" si="33"/>
        <v>5</v>
      </c>
      <c r="F827" s="74" t="s">
        <v>34</v>
      </c>
      <c r="G827" s="77">
        <f t="shared" si="36"/>
        <v>30320</v>
      </c>
      <c r="H827" s="77">
        <f t="shared" si="37"/>
        <v>30620</v>
      </c>
      <c r="I827" s="76">
        <v>0.6</v>
      </c>
    </row>
    <row r="828" spans="3:9" x14ac:dyDescent="0.35">
      <c r="C828" t="s">
        <v>312</v>
      </c>
      <c r="D828" s="3">
        <v>2018</v>
      </c>
      <c r="E828" s="78">
        <f t="shared" si="33"/>
        <v>5</v>
      </c>
      <c r="F828" s="74" t="s">
        <v>34</v>
      </c>
      <c r="G828" s="77">
        <f t="shared" si="36"/>
        <v>30620</v>
      </c>
      <c r="H828" s="77">
        <f t="shared" si="37"/>
        <v>30920</v>
      </c>
      <c r="I828" s="76">
        <v>0.5</v>
      </c>
    </row>
    <row r="829" spans="3:9" x14ac:dyDescent="0.35">
      <c r="C829" t="s">
        <v>312</v>
      </c>
      <c r="D829" s="3">
        <v>2018</v>
      </c>
      <c r="E829" s="78">
        <f t="shared" si="33"/>
        <v>5</v>
      </c>
      <c r="F829" s="74" t="s">
        <v>34</v>
      </c>
      <c r="G829" s="77">
        <f t="shared" si="36"/>
        <v>30920</v>
      </c>
      <c r="H829" s="77">
        <f t="shared" si="37"/>
        <v>31220</v>
      </c>
      <c r="I829" s="76">
        <v>0.4</v>
      </c>
    </row>
    <row r="830" spans="3:9" x14ac:dyDescent="0.35">
      <c r="C830" t="s">
        <v>312</v>
      </c>
      <c r="D830" s="3">
        <v>2018</v>
      </c>
      <c r="E830" s="78">
        <f t="shared" si="33"/>
        <v>5</v>
      </c>
      <c r="F830" s="74" t="s">
        <v>34</v>
      </c>
      <c r="G830" s="77">
        <f t="shared" si="36"/>
        <v>31220</v>
      </c>
      <c r="H830" s="77">
        <f t="shared" si="37"/>
        <v>31520</v>
      </c>
      <c r="I830" s="76">
        <v>0.3</v>
      </c>
    </row>
    <row r="831" spans="3:9" x14ac:dyDescent="0.35">
      <c r="C831" t="s">
        <v>312</v>
      </c>
      <c r="D831" s="3">
        <v>2018</v>
      </c>
      <c r="E831" s="78">
        <f t="shared" si="33"/>
        <v>5</v>
      </c>
      <c r="F831" s="74" t="s">
        <v>34</v>
      </c>
      <c r="G831" s="77">
        <f t="shared" si="36"/>
        <v>31520</v>
      </c>
      <c r="H831" s="77">
        <f t="shared" si="37"/>
        <v>31820</v>
      </c>
      <c r="I831" s="76">
        <v>0.2</v>
      </c>
    </row>
    <row r="832" spans="3:9" x14ac:dyDescent="0.35">
      <c r="C832" t="s">
        <v>312</v>
      </c>
      <c r="D832" s="3">
        <v>2018</v>
      </c>
      <c r="E832" s="78">
        <f t="shared" si="33"/>
        <v>5</v>
      </c>
      <c r="F832" s="74" t="s">
        <v>34</v>
      </c>
      <c r="G832" s="77">
        <f t="shared" si="36"/>
        <v>31820</v>
      </c>
      <c r="H832" s="77">
        <f t="shared" si="37"/>
        <v>32120</v>
      </c>
      <c r="I832" s="76">
        <v>0.1</v>
      </c>
    </row>
    <row r="833" spans="3:9" x14ac:dyDescent="0.35">
      <c r="C833" t="s">
        <v>312</v>
      </c>
      <c r="D833" s="3">
        <v>2018</v>
      </c>
      <c r="E833" s="78">
        <f t="shared" si="33"/>
        <v>5</v>
      </c>
      <c r="F833" s="74" t="s">
        <v>34</v>
      </c>
      <c r="G833" s="77">
        <f t="shared" si="36"/>
        <v>32120</v>
      </c>
      <c r="H833" s="77"/>
      <c r="I833" s="76">
        <v>0</v>
      </c>
    </row>
    <row r="834" spans="3:9" x14ac:dyDescent="0.35">
      <c r="C834" t="s">
        <v>312</v>
      </c>
      <c r="D834" s="3">
        <v>2018</v>
      </c>
      <c r="E834" s="78">
        <f t="shared" si="33"/>
        <v>5</v>
      </c>
      <c r="F834" s="74" t="s">
        <v>40</v>
      </c>
      <c r="G834" s="77">
        <v>0</v>
      </c>
      <c r="H834" s="75">
        <f>H823</f>
        <v>29420</v>
      </c>
      <c r="I834" s="76">
        <v>1</v>
      </c>
    </row>
    <row r="835" spans="3:9" x14ac:dyDescent="0.35">
      <c r="C835" t="s">
        <v>312</v>
      </c>
      <c r="D835" s="3">
        <v>2018</v>
      </c>
      <c r="E835" s="78">
        <f t="shared" si="33"/>
        <v>5</v>
      </c>
      <c r="F835" s="74" t="s">
        <v>40</v>
      </c>
      <c r="G835" s="77">
        <f>H834</f>
        <v>29420</v>
      </c>
      <c r="H835" s="77">
        <f>H834+300</f>
        <v>29720</v>
      </c>
      <c r="I835" s="76">
        <v>0.9</v>
      </c>
    </row>
    <row r="836" spans="3:9" x14ac:dyDescent="0.35">
      <c r="C836" t="s">
        <v>312</v>
      </c>
      <c r="D836" s="3">
        <v>2018</v>
      </c>
      <c r="E836" s="78">
        <f t="shared" si="33"/>
        <v>5</v>
      </c>
      <c r="F836" s="74" t="s">
        <v>40</v>
      </c>
      <c r="G836" s="77">
        <f t="shared" ref="G836:G844" si="38">H835</f>
        <v>29720</v>
      </c>
      <c r="H836" s="77">
        <f t="shared" ref="H836:H843" si="39">H835+300</f>
        <v>30020</v>
      </c>
      <c r="I836" s="76">
        <v>0.8</v>
      </c>
    </row>
    <row r="837" spans="3:9" x14ac:dyDescent="0.35">
      <c r="C837" t="s">
        <v>312</v>
      </c>
      <c r="D837" s="3">
        <v>2018</v>
      </c>
      <c r="E837" s="78">
        <f t="shared" si="33"/>
        <v>5</v>
      </c>
      <c r="F837" s="74" t="s">
        <v>40</v>
      </c>
      <c r="G837" s="77">
        <f t="shared" si="38"/>
        <v>30020</v>
      </c>
      <c r="H837" s="77">
        <f t="shared" si="39"/>
        <v>30320</v>
      </c>
      <c r="I837" s="76">
        <v>0.7</v>
      </c>
    </row>
    <row r="838" spans="3:9" x14ac:dyDescent="0.35">
      <c r="C838" t="s">
        <v>312</v>
      </c>
      <c r="D838" s="3">
        <v>2018</v>
      </c>
      <c r="E838" s="78">
        <f t="shared" si="33"/>
        <v>5</v>
      </c>
      <c r="F838" s="74" t="s">
        <v>40</v>
      </c>
      <c r="G838" s="77">
        <f t="shared" si="38"/>
        <v>30320</v>
      </c>
      <c r="H838" s="77">
        <f t="shared" si="39"/>
        <v>30620</v>
      </c>
      <c r="I838" s="76">
        <v>0.6</v>
      </c>
    </row>
    <row r="839" spans="3:9" x14ac:dyDescent="0.35">
      <c r="C839" t="s">
        <v>312</v>
      </c>
      <c r="D839" s="3">
        <v>2018</v>
      </c>
      <c r="E839" s="78">
        <f t="shared" si="33"/>
        <v>5</v>
      </c>
      <c r="F839" s="74" t="s">
        <v>40</v>
      </c>
      <c r="G839" s="77">
        <f t="shared" si="38"/>
        <v>30620</v>
      </c>
      <c r="H839" s="77">
        <f t="shared" si="39"/>
        <v>30920</v>
      </c>
      <c r="I839" s="76">
        <v>0.5</v>
      </c>
    </row>
    <row r="840" spans="3:9" x14ac:dyDescent="0.35">
      <c r="C840" t="s">
        <v>312</v>
      </c>
      <c r="D840" s="3">
        <v>2018</v>
      </c>
      <c r="E840" s="78">
        <f t="shared" si="33"/>
        <v>5</v>
      </c>
      <c r="F840" s="74" t="s">
        <v>40</v>
      </c>
      <c r="G840" s="77">
        <f t="shared" si="38"/>
        <v>30920</v>
      </c>
      <c r="H840" s="77">
        <f t="shared" si="39"/>
        <v>31220</v>
      </c>
      <c r="I840" s="76">
        <v>0.4</v>
      </c>
    </row>
    <row r="841" spans="3:9" x14ac:dyDescent="0.35">
      <c r="C841" t="s">
        <v>312</v>
      </c>
      <c r="D841" s="3">
        <v>2018</v>
      </c>
      <c r="E841" s="78">
        <f t="shared" si="33"/>
        <v>5</v>
      </c>
      <c r="F841" s="74" t="s">
        <v>40</v>
      </c>
      <c r="G841" s="77">
        <f t="shared" si="38"/>
        <v>31220</v>
      </c>
      <c r="H841" s="77">
        <f t="shared" si="39"/>
        <v>31520</v>
      </c>
      <c r="I841" s="76">
        <v>0.3</v>
      </c>
    </row>
    <row r="842" spans="3:9" x14ac:dyDescent="0.35">
      <c r="C842" t="s">
        <v>312</v>
      </c>
      <c r="D842" s="3">
        <v>2018</v>
      </c>
      <c r="E842" s="78">
        <f t="shared" si="33"/>
        <v>5</v>
      </c>
      <c r="F842" s="74" t="s">
        <v>40</v>
      </c>
      <c r="G842" s="77">
        <f t="shared" si="38"/>
        <v>31520</v>
      </c>
      <c r="H842" s="77">
        <f t="shared" si="39"/>
        <v>31820</v>
      </c>
      <c r="I842" s="76">
        <v>0.2</v>
      </c>
    </row>
    <row r="843" spans="3:9" x14ac:dyDescent="0.35">
      <c r="C843" t="s">
        <v>312</v>
      </c>
      <c r="D843" s="3">
        <v>2018</v>
      </c>
      <c r="E843" s="78">
        <f t="shared" si="33"/>
        <v>5</v>
      </c>
      <c r="F843" s="74" t="s">
        <v>40</v>
      </c>
      <c r="G843" s="77">
        <f t="shared" si="38"/>
        <v>31820</v>
      </c>
      <c r="H843" s="77">
        <f t="shared" si="39"/>
        <v>32120</v>
      </c>
      <c r="I843" s="76">
        <v>0.1</v>
      </c>
    </row>
    <row r="844" spans="3:9" x14ac:dyDescent="0.35">
      <c r="C844" t="s">
        <v>312</v>
      </c>
      <c r="D844" s="3">
        <v>2018</v>
      </c>
      <c r="E844" s="78">
        <f t="shared" si="33"/>
        <v>5</v>
      </c>
      <c r="F844" s="74" t="s">
        <v>40</v>
      </c>
      <c r="G844" s="77">
        <f t="shared" si="38"/>
        <v>32120</v>
      </c>
      <c r="H844" s="77"/>
      <c r="I844" s="76">
        <v>0</v>
      </c>
    </row>
    <row r="845" spans="3:9" x14ac:dyDescent="0.35">
      <c r="C845" t="s">
        <v>312</v>
      </c>
      <c r="D845" s="3">
        <v>2018</v>
      </c>
      <c r="E845" s="78">
        <f t="shared" si="33"/>
        <v>5</v>
      </c>
      <c r="F845" s="74" t="s">
        <v>313</v>
      </c>
      <c r="G845" s="77">
        <v>0</v>
      </c>
      <c r="H845" s="75">
        <f>H834</f>
        <v>29420</v>
      </c>
      <c r="I845" s="76">
        <v>1</v>
      </c>
    </row>
    <row r="846" spans="3:9" x14ac:dyDescent="0.35">
      <c r="C846" t="s">
        <v>312</v>
      </c>
      <c r="D846" s="3">
        <v>2018</v>
      </c>
      <c r="E846" s="78">
        <f t="shared" si="33"/>
        <v>5</v>
      </c>
      <c r="F846" s="74" t="s">
        <v>313</v>
      </c>
      <c r="G846" s="77">
        <f>H845</f>
        <v>29420</v>
      </c>
      <c r="H846" s="77">
        <f>H845+300</f>
        <v>29720</v>
      </c>
      <c r="I846" s="76">
        <v>0.9</v>
      </c>
    </row>
    <row r="847" spans="3:9" x14ac:dyDescent="0.35">
      <c r="C847" t="s">
        <v>312</v>
      </c>
      <c r="D847" s="3">
        <v>2018</v>
      </c>
      <c r="E847" s="78">
        <f t="shared" si="33"/>
        <v>5</v>
      </c>
      <c r="F847" s="74" t="s">
        <v>313</v>
      </c>
      <c r="G847" s="77">
        <f t="shared" ref="G847:G855" si="40">H846</f>
        <v>29720</v>
      </c>
      <c r="H847" s="77">
        <f t="shared" ref="H847:H854" si="41">H846+300</f>
        <v>30020</v>
      </c>
      <c r="I847" s="76">
        <v>0.8</v>
      </c>
    </row>
    <row r="848" spans="3:9" x14ac:dyDescent="0.35">
      <c r="C848" t="s">
        <v>312</v>
      </c>
      <c r="D848" s="3">
        <v>2018</v>
      </c>
      <c r="E848" s="78">
        <f t="shared" si="33"/>
        <v>5</v>
      </c>
      <c r="F848" s="74" t="s">
        <v>313</v>
      </c>
      <c r="G848" s="77">
        <f t="shared" si="40"/>
        <v>30020</v>
      </c>
      <c r="H848" s="77">
        <f t="shared" si="41"/>
        <v>30320</v>
      </c>
      <c r="I848" s="76">
        <v>0.7</v>
      </c>
    </row>
    <row r="849" spans="3:9" x14ac:dyDescent="0.35">
      <c r="C849" t="s">
        <v>312</v>
      </c>
      <c r="D849" s="3">
        <v>2018</v>
      </c>
      <c r="E849" s="78">
        <f t="shared" si="33"/>
        <v>5</v>
      </c>
      <c r="F849" s="74" t="s">
        <v>313</v>
      </c>
      <c r="G849" s="77">
        <f t="shared" si="40"/>
        <v>30320</v>
      </c>
      <c r="H849" s="77">
        <f t="shared" si="41"/>
        <v>30620</v>
      </c>
      <c r="I849" s="76">
        <v>0.6</v>
      </c>
    </row>
    <row r="850" spans="3:9" x14ac:dyDescent="0.35">
      <c r="C850" t="s">
        <v>312</v>
      </c>
      <c r="D850" s="3">
        <v>2018</v>
      </c>
      <c r="E850" s="78">
        <f t="shared" si="33"/>
        <v>5</v>
      </c>
      <c r="F850" s="74" t="s">
        <v>313</v>
      </c>
      <c r="G850" s="77">
        <f t="shared" si="40"/>
        <v>30620</v>
      </c>
      <c r="H850" s="77">
        <f t="shared" si="41"/>
        <v>30920</v>
      </c>
      <c r="I850" s="76">
        <v>0.5</v>
      </c>
    </row>
    <row r="851" spans="3:9" x14ac:dyDescent="0.35">
      <c r="C851" t="s">
        <v>312</v>
      </c>
      <c r="D851" s="3">
        <v>2018</v>
      </c>
      <c r="E851" s="78">
        <f t="shared" si="33"/>
        <v>5</v>
      </c>
      <c r="F851" s="74" t="s">
        <v>313</v>
      </c>
      <c r="G851" s="77">
        <f t="shared" si="40"/>
        <v>30920</v>
      </c>
      <c r="H851" s="77">
        <f t="shared" si="41"/>
        <v>31220</v>
      </c>
      <c r="I851" s="76">
        <v>0.4</v>
      </c>
    </row>
    <row r="852" spans="3:9" x14ac:dyDescent="0.35">
      <c r="C852" t="s">
        <v>312</v>
      </c>
      <c r="D852" s="3">
        <v>2018</v>
      </c>
      <c r="E852" s="78">
        <f t="shared" si="33"/>
        <v>5</v>
      </c>
      <c r="F852" s="74" t="s">
        <v>313</v>
      </c>
      <c r="G852" s="77">
        <f t="shared" si="40"/>
        <v>31220</v>
      </c>
      <c r="H852" s="77">
        <f t="shared" si="41"/>
        <v>31520</v>
      </c>
      <c r="I852" s="76">
        <v>0.3</v>
      </c>
    </row>
    <row r="853" spans="3:9" x14ac:dyDescent="0.35">
      <c r="C853" t="s">
        <v>312</v>
      </c>
      <c r="D853" s="3">
        <v>2018</v>
      </c>
      <c r="E853" s="78">
        <f t="shared" si="33"/>
        <v>5</v>
      </c>
      <c r="F853" s="74" t="s">
        <v>313</v>
      </c>
      <c r="G853" s="77">
        <f t="shared" si="40"/>
        <v>31520</v>
      </c>
      <c r="H853" s="77">
        <f t="shared" si="41"/>
        <v>31820</v>
      </c>
      <c r="I853" s="76">
        <v>0.2</v>
      </c>
    </row>
    <row r="854" spans="3:9" x14ac:dyDescent="0.35">
      <c r="C854" t="s">
        <v>312</v>
      </c>
      <c r="D854" s="3">
        <v>2018</v>
      </c>
      <c r="E854" s="78">
        <f t="shared" si="33"/>
        <v>5</v>
      </c>
      <c r="F854" s="74" t="s">
        <v>313</v>
      </c>
      <c r="G854" s="77">
        <f t="shared" si="40"/>
        <v>31820</v>
      </c>
      <c r="H854" s="77">
        <f t="shared" si="41"/>
        <v>32120</v>
      </c>
      <c r="I854" s="76">
        <v>0.1</v>
      </c>
    </row>
    <row r="855" spans="3:9" x14ac:dyDescent="0.35">
      <c r="C855" t="s">
        <v>312</v>
      </c>
      <c r="D855" s="3">
        <v>2018</v>
      </c>
      <c r="E855" s="78">
        <f t="shared" si="33"/>
        <v>5</v>
      </c>
      <c r="F855" s="74" t="s">
        <v>313</v>
      </c>
      <c r="G855" s="77">
        <f t="shared" si="40"/>
        <v>32120</v>
      </c>
      <c r="H855" s="77"/>
      <c r="I855" s="76">
        <v>0</v>
      </c>
    </row>
    <row r="856" spans="3:9" x14ac:dyDescent="0.35">
      <c r="C856" t="s">
        <v>312</v>
      </c>
      <c r="D856" s="3">
        <v>2018</v>
      </c>
      <c r="E856" s="73">
        <v>6</v>
      </c>
      <c r="F856" s="74" t="s">
        <v>54</v>
      </c>
      <c r="G856" s="77">
        <v>0</v>
      </c>
      <c r="H856" s="77">
        <v>33740</v>
      </c>
      <c r="I856" s="76">
        <v>1</v>
      </c>
    </row>
    <row r="857" spans="3:9" x14ac:dyDescent="0.35">
      <c r="C857" t="s">
        <v>312</v>
      </c>
      <c r="D857" s="3">
        <v>2018</v>
      </c>
      <c r="E857" s="78">
        <f>E856</f>
        <v>6</v>
      </c>
      <c r="F857" s="74" t="s">
        <v>54</v>
      </c>
      <c r="G857" s="77">
        <f>H856</f>
        <v>33740</v>
      </c>
      <c r="H857" s="77">
        <f>H856+300</f>
        <v>34040</v>
      </c>
      <c r="I857" s="76">
        <v>0.9</v>
      </c>
    </row>
    <row r="858" spans="3:9" x14ac:dyDescent="0.35">
      <c r="C858" t="s">
        <v>312</v>
      </c>
      <c r="D858" s="3">
        <v>2018</v>
      </c>
      <c r="E858" s="78">
        <f t="shared" ref="E858:E899" si="42">E857</f>
        <v>6</v>
      </c>
      <c r="F858" s="74" t="s">
        <v>54</v>
      </c>
      <c r="G858" s="77">
        <f t="shared" ref="G858:G866" si="43">H857</f>
        <v>34040</v>
      </c>
      <c r="H858" s="77">
        <f t="shared" ref="H858:H865" si="44">H857+300</f>
        <v>34340</v>
      </c>
      <c r="I858" s="76">
        <v>0.8</v>
      </c>
    </row>
    <row r="859" spans="3:9" x14ac:dyDescent="0.35">
      <c r="C859" t="s">
        <v>312</v>
      </c>
      <c r="D859" s="3">
        <v>2018</v>
      </c>
      <c r="E859" s="78">
        <f t="shared" si="42"/>
        <v>6</v>
      </c>
      <c r="F859" s="74" t="s">
        <v>54</v>
      </c>
      <c r="G859" s="77">
        <f t="shared" si="43"/>
        <v>34340</v>
      </c>
      <c r="H859" s="77">
        <f t="shared" si="44"/>
        <v>34640</v>
      </c>
      <c r="I859" s="76">
        <v>0.7</v>
      </c>
    </row>
    <row r="860" spans="3:9" x14ac:dyDescent="0.35">
      <c r="C860" t="s">
        <v>312</v>
      </c>
      <c r="D860" s="3">
        <v>2018</v>
      </c>
      <c r="E860" s="78">
        <f t="shared" si="42"/>
        <v>6</v>
      </c>
      <c r="F860" s="74" t="s">
        <v>54</v>
      </c>
      <c r="G860" s="77">
        <f t="shared" si="43"/>
        <v>34640</v>
      </c>
      <c r="H860" s="77">
        <f t="shared" si="44"/>
        <v>34940</v>
      </c>
      <c r="I860" s="76">
        <v>0.6</v>
      </c>
    </row>
    <row r="861" spans="3:9" x14ac:dyDescent="0.35">
      <c r="C861" t="s">
        <v>312</v>
      </c>
      <c r="D861" s="3">
        <v>2018</v>
      </c>
      <c r="E861" s="78">
        <f t="shared" si="42"/>
        <v>6</v>
      </c>
      <c r="F861" s="74" t="s">
        <v>54</v>
      </c>
      <c r="G861" s="77">
        <f t="shared" si="43"/>
        <v>34940</v>
      </c>
      <c r="H861" s="77">
        <f t="shared" si="44"/>
        <v>35240</v>
      </c>
      <c r="I861" s="76">
        <v>0.5</v>
      </c>
    </row>
    <row r="862" spans="3:9" x14ac:dyDescent="0.35">
      <c r="C862" t="s">
        <v>312</v>
      </c>
      <c r="D862" s="3">
        <v>2018</v>
      </c>
      <c r="E862" s="78">
        <f t="shared" si="42"/>
        <v>6</v>
      </c>
      <c r="F862" s="74" t="s">
        <v>54</v>
      </c>
      <c r="G862" s="77">
        <f t="shared" si="43"/>
        <v>35240</v>
      </c>
      <c r="H862" s="77">
        <f t="shared" si="44"/>
        <v>35540</v>
      </c>
      <c r="I862" s="76">
        <v>0.4</v>
      </c>
    </row>
    <row r="863" spans="3:9" x14ac:dyDescent="0.35">
      <c r="C863" t="s">
        <v>312</v>
      </c>
      <c r="D863" s="3">
        <v>2018</v>
      </c>
      <c r="E863" s="78">
        <f t="shared" si="42"/>
        <v>6</v>
      </c>
      <c r="F863" s="74" t="s">
        <v>54</v>
      </c>
      <c r="G863" s="77">
        <f t="shared" si="43"/>
        <v>35540</v>
      </c>
      <c r="H863" s="77">
        <f t="shared" si="44"/>
        <v>35840</v>
      </c>
      <c r="I863" s="76">
        <v>0.3</v>
      </c>
    </row>
    <row r="864" spans="3:9" x14ac:dyDescent="0.35">
      <c r="C864" t="s">
        <v>312</v>
      </c>
      <c r="D864" s="3">
        <v>2018</v>
      </c>
      <c r="E864" s="78">
        <f t="shared" si="42"/>
        <v>6</v>
      </c>
      <c r="F864" s="74" t="s">
        <v>54</v>
      </c>
      <c r="G864" s="77">
        <f t="shared" si="43"/>
        <v>35840</v>
      </c>
      <c r="H864" s="77">
        <f t="shared" si="44"/>
        <v>36140</v>
      </c>
      <c r="I864" s="76">
        <v>0.2</v>
      </c>
    </row>
    <row r="865" spans="3:9" x14ac:dyDescent="0.35">
      <c r="C865" t="s">
        <v>312</v>
      </c>
      <c r="D865" s="3">
        <v>2018</v>
      </c>
      <c r="E865" s="78">
        <f t="shared" si="42"/>
        <v>6</v>
      </c>
      <c r="F865" s="74" t="s">
        <v>54</v>
      </c>
      <c r="G865" s="77">
        <f t="shared" si="43"/>
        <v>36140</v>
      </c>
      <c r="H865" s="77">
        <f t="shared" si="44"/>
        <v>36440</v>
      </c>
      <c r="I865" s="76">
        <v>0.1</v>
      </c>
    </row>
    <row r="866" spans="3:9" x14ac:dyDescent="0.35">
      <c r="C866" t="s">
        <v>312</v>
      </c>
      <c r="D866" s="3">
        <v>2018</v>
      </c>
      <c r="E866" s="78">
        <f t="shared" si="42"/>
        <v>6</v>
      </c>
      <c r="F866" s="74" t="s">
        <v>54</v>
      </c>
      <c r="G866" s="77">
        <f t="shared" si="43"/>
        <v>36440</v>
      </c>
      <c r="H866" s="77"/>
      <c r="I866" s="76">
        <v>0</v>
      </c>
    </row>
    <row r="867" spans="3:9" x14ac:dyDescent="0.35">
      <c r="C867" t="s">
        <v>312</v>
      </c>
      <c r="D867" s="3">
        <v>2018</v>
      </c>
      <c r="E867" s="78">
        <f t="shared" si="42"/>
        <v>6</v>
      </c>
      <c r="F867" s="74" t="s">
        <v>34</v>
      </c>
      <c r="G867" s="77">
        <v>0</v>
      </c>
      <c r="H867" s="75">
        <f>H856</f>
        <v>33740</v>
      </c>
      <c r="I867" s="76">
        <v>1</v>
      </c>
    </row>
    <row r="868" spans="3:9" x14ac:dyDescent="0.35">
      <c r="C868" t="s">
        <v>312</v>
      </c>
      <c r="D868" s="3">
        <v>2018</v>
      </c>
      <c r="E868" s="78">
        <f t="shared" si="42"/>
        <v>6</v>
      </c>
      <c r="F868" s="74" t="s">
        <v>34</v>
      </c>
      <c r="G868" s="77">
        <f>H867</f>
        <v>33740</v>
      </c>
      <c r="H868" s="77">
        <f>H867+300</f>
        <v>34040</v>
      </c>
      <c r="I868" s="76">
        <v>0.9</v>
      </c>
    </row>
    <row r="869" spans="3:9" x14ac:dyDescent="0.35">
      <c r="C869" t="s">
        <v>312</v>
      </c>
      <c r="D869" s="3">
        <v>2018</v>
      </c>
      <c r="E869" s="78">
        <f t="shared" si="42"/>
        <v>6</v>
      </c>
      <c r="F869" s="74" t="s">
        <v>34</v>
      </c>
      <c r="G869" s="77">
        <f t="shared" ref="G869:G877" si="45">H868</f>
        <v>34040</v>
      </c>
      <c r="H869" s="77">
        <f t="shared" ref="H869:H876" si="46">H868+300</f>
        <v>34340</v>
      </c>
      <c r="I869" s="76">
        <v>0.8</v>
      </c>
    </row>
    <row r="870" spans="3:9" x14ac:dyDescent="0.35">
      <c r="C870" t="s">
        <v>312</v>
      </c>
      <c r="D870" s="3">
        <v>2018</v>
      </c>
      <c r="E870" s="78">
        <f t="shared" si="42"/>
        <v>6</v>
      </c>
      <c r="F870" s="74" t="s">
        <v>34</v>
      </c>
      <c r="G870" s="77">
        <f t="shared" si="45"/>
        <v>34340</v>
      </c>
      <c r="H870" s="77">
        <f t="shared" si="46"/>
        <v>34640</v>
      </c>
      <c r="I870" s="76">
        <v>0.7</v>
      </c>
    </row>
    <row r="871" spans="3:9" x14ac:dyDescent="0.35">
      <c r="C871" t="s">
        <v>312</v>
      </c>
      <c r="D871" s="3">
        <v>2018</v>
      </c>
      <c r="E871" s="78">
        <f t="shared" si="42"/>
        <v>6</v>
      </c>
      <c r="F871" s="74" t="s">
        <v>34</v>
      </c>
      <c r="G871" s="77">
        <f t="shared" si="45"/>
        <v>34640</v>
      </c>
      <c r="H871" s="77">
        <f t="shared" si="46"/>
        <v>34940</v>
      </c>
      <c r="I871" s="76">
        <v>0.6</v>
      </c>
    </row>
    <row r="872" spans="3:9" x14ac:dyDescent="0.35">
      <c r="C872" t="s">
        <v>312</v>
      </c>
      <c r="D872" s="3">
        <v>2018</v>
      </c>
      <c r="E872" s="78">
        <f t="shared" si="42"/>
        <v>6</v>
      </c>
      <c r="F872" s="74" t="s">
        <v>34</v>
      </c>
      <c r="G872" s="77">
        <f t="shared" si="45"/>
        <v>34940</v>
      </c>
      <c r="H872" s="77">
        <f t="shared" si="46"/>
        <v>35240</v>
      </c>
      <c r="I872" s="76">
        <v>0.5</v>
      </c>
    </row>
    <row r="873" spans="3:9" x14ac:dyDescent="0.35">
      <c r="C873" t="s">
        <v>312</v>
      </c>
      <c r="D873" s="3">
        <v>2018</v>
      </c>
      <c r="E873" s="78">
        <f t="shared" si="42"/>
        <v>6</v>
      </c>
      <c r="F873" s="74" t="s">
        <v>34</v>
      </c>
      <c r="G873" s="77">
        <f t="shared" si="45"/>
        <v>35240</v>
      </c>
      <c r="H873" s="77">
        <f t="shared" si="46"/>
        <v>35540</v>
      </c>
      <c r="I873" s="76">
        <v>0.4</v>
      </c>
    </row>
    <row r="874" spans="3:9" x14ac:dyDescent="0.35">
      <c r="C874" t="s">
        <v>312</v>
      </c>
      <c r="D874" s="3">
        <v>2018</v>
      </c>
      <c r="E874" s="78">
        <f t="shared" si="42"/>
        <v>6</v>
      </c>
      <c r="F874" s="74" t="s">
        <v>34</v>
      </c>
      <c r="G874" s="77">
        <f t="shared" si="45"/>
        <v>35540</v>
      </c>
      <c r="H874" s="77">
        <f t="shared" si="46"/>
        <v>35840</v>
      </c>
      <c r="I874" s="76">
        <v>0.3</v>
      </c>
    </row>
    <row r="875" spans="3:9" x14ac:dyDescent="0.35">
      <c r="C875" t="s">
        <v>312</v>
      </c>
      <c r="D875" s="3">
        <v>2018</v>
      </c>
      <c r="E875" s="78">
        <f t="shared" si="42"/>
        <v>6</v>
      </c>
      <c r="F875" s="74" t="s">
        <v>34</v>
      </c>
      <c r="G875" s="77">
        <f t="shared" si="45"/>
        <v>35840</v>
      </c>
      <c r="H875" s="77">
        <f t="shared" si="46"/>
        <v>36140</v>
      </c>
      <c r="I875" s="76">
        <v>0.2</v>
      </c>
    </row>
    <row r="876" spans="3:9" x14ac:dyDescent="0.35">
      <c r="C876" t="s">
        <v>312</v>
      </c>
      <c r="D876" s="3">
        <v>2018</v>
      </c>
      <c r="E876" s="78">
        <f t="shared" si="42"/>
        <v>6</v>
      </c>
      <c r="F876" s="74" t="s">
        <v>34</v>
      </c>
      <c r="G876" s="77">
        <f t="shared" si="45"/>
        <v>36140</v>
      </c>
      <c r="H876" s="77">
        <f t="shared" si="46"/>
        <v>36440</v>
      </c>
      <c r="I876" s="76">
        <v>0.1</v>
      </c>
    </row>
    <row r="877" spans="3:9" x14ac:dyDescent="0.35">
      <c r="C877" t="s">
        <v>312</v>
      </c>
      <c r="D877" s="3">
        <v>2018</v>
      </c>
      <c r="E877" s="78">
        <f t="shared" si="42"/>
        <v>6</v>
      </c>
      <c r="F877" s="74" t="s">
        <v>34</v>
      </c>
      <c r="G877" s="77">
        <f t="shared" si="45"/>
        <v>36440</v>
      </c>
      <c r="H877" s="77"/>
      <c r="I877" s="76">
        <v>0</v>
      </c>
    </row>
    <row r="878" spans="3:9" x14ac:dyDescent="0.35">
      <c r="C878" t="s">
        <v>312</v>
      </c>
      <c r="D878" s="3">
        <v>2018</v>
      </c>
      <c r="E878" s="78">
        <f t="shared" si="42"/>
        <v>6</v>
      </c>
      <c r="F878" s="74" t="s">
        <v>40</v>
      </c>
      <c r="G878" s="77">
        <v>0</v>
      </c>
      <c r="H878" s="75">
        <f>H867</f>
        <v>33740</v>
      </c>
      <c r="I878" s="76">
        <v>1</v>
      </c>
    </row>
    <row r="879" spans="3:9" x14ac:dyDescent="0.35">
      <c r="C879" t="s">
        <v>312</v>
      </c>
      <c r="D879" s="3">
        <v>2018</v>
      </c>
      <c r="E879" s="78">
        <f t="shared" si="42"/>
        <v>6</v>
      </c>
      <c r="F879" s="74" t="s">
        <v>40</v>
      </c>
      <c r="G879" s="77">
        <f>H878</f>
        <v>33740</v>
      </c>
      <c r="H879" s="77">
        <f>H878+300</f>
        <v>34040</v>
      </c>
      <c r="I879" s="76">
        <v>0.9</v>
      </c>
    </row>
    <row r="880" spans="3:9" x14ac:dyDescent="0.35">
      <c r="C880" t="s">
        <v>312</v>
      </c>
      <c r="D880" s="3">
        <v>2018</v>
      </c>
      <c r="E880" s="78">
        <f t="shared" si="42"/>
        <v>6</v>
      </c>
      <c r="F880" s="74" t="s">
        <v>40</v>
      </c>
      <c r="G880" s="77">
        <f t="shared" ref="G880:G888" si="47">H879</f>
        <v>34040</v>
      </c>
      <c r="H880" s="77">
        <f t="shared" ref="H880:H887" si="48">H879+300</f>
        <v>34340</v>
      </c>
      <c r="I880" s="76">
        <v>0.8</v>
      </c>
    </row>
    <row r="881" spans="3:9" x14ac:dyDescent="0.35">
      <c r="C881" t="s">
        <v>312</v>
      </c>
      <c r="D881" s="3">
        <v>2018</v>
      </c>
      <c r="E881" s="78">
        <f t="shared" si="42"/>
        <v>6</v>
      </c>
      <c r="F881" s="74" t="s">
        <v>40</v>
      </c>
      <c r="G881" s="77">
        <f t="shared" si="47"/>
        <v>34340</v>
      </c>
      <c r="H881" s="77">
        <f t="shared" si="48"/>
        <v>34640</v>
      </c>
      <c r="I881" s="76">
        <v>0.7</v>
      </c>
    </row>
    <row r="882" spans="3:9" x14ac:dyDescent="0.35">
      <c r="C882" t="s">
        <v>312</v>
      </c>
      <c r="D882" s="3">
        <v>2018</v>
      </c>
      <c r="E882" s="78">
        <f t="shared" si="42"/>
        <v>6</v>
      </c>
      <c r="F882" s="74" t="s">
        <v>40</v>
      </c>
      <c r="G882" s="77">
        <f t="shared" si="47"/>
        <v>34640</v>
      </c>
      <c r="H882" s="77">
        <f t="shared" si="48"/>
        <v>34940</v>
      </c>
      <c r="I882" s="76">
        <v>0.6</v>
      </c>
    </row>
    <row r="883" spans="3:9" x14ac:dyDescent="0.35">
      <c r="C883" t="s">
        <v>312</v>
      </c>
      <c r="D883" s="3">
        <v>2018</v>
      </c>
      <c r="E883" s="78">
        <f t="shared" si="42"/>
        <v>6</v>
      </c>
      <c r="F883" s="74" t="s">
        <v>40</v>
      </c>
      <c r="G883" s="77">
        <f t="shared" si="47"/>
        <v>34940</v>
      </c>
      <c r="H883" s="77">
        <f t="shared" si="48"/>
        <v>35240</v>
      </c>
      <c r="I883" s="76">
        <v>0.5</v>
      </c>
    </row>
    <row r="884" spans="3:9" x14ac:dyDescent="0.35">
      <c r="C884" t="s">
        <v>312</v>
      </c>
      <c r="D884" s="3">
        <v>2018</v>
      </c>
      <c r="E884" s="78">
        <f t="shared" si="42"/>
        <v>6</v>
      </c>
      <c r="F884" s="74" t="s">
        <v>40</v>
      </c>
      <c r="G884" s="77">
        <f t="shared" si="47"/>
        <v>35240</v>
      </c>
      <c r="H884" s="77">
        <f t="shared" si="48"/>
        <v>35540</v>
      </c>
      <c r="I884" s="76">
        <v>0.4</v>
      </c>
    </row>
    <row r="885" spans="3:9" x14ac:dyDescent="0.35">
      <c r="C885" t="s">
        <v>312</v>
      </c>
      <c r="D885" s="3">
        <v>2018</v>
      </c>
      <c r="E885" s="78">
        <f t="shared" si="42"/>
        <v>6</v>
      </c>
      <c r="F885" s="74" t="s">
        <v>40</v>
      </c>
      <c r="G885" s="77">
        <f t="shared" si="47"/>
        <v>35540</v>
      </c>
      <c r="H885" s="77">
        <f t="shared" si="48"/>
        <v>35840</v>
      </c>
      <c r="I885" s="76">
        <v>0.3</v>
      </c>
    </row>
    <row r="886" spans="3:9" x14ac:dyDescent="0.35">
      <c r="C886" t="s">
        <v>312</v>
      </c>
      <c r="D886" s="3">
        <v>2018</v>
      </c>
      <c r="E886" s="78">
        <f t="shared" si="42"/>
        <v>6</v>
      </c>
      <c r="F886" s="74" t="s">
        <v>40</v>
      </c>
      <c r="G886" s="77">
        <f t="shared" si="47"/>
        <v>35840</v>
      </c>
      <c r="H886" s="77">
        <f t="shared" si="48"/>
        <v>36140</v>
      </c>
      <c r="I886" s="76">
        <v>0.2</v>
      </c>
    </row>
    <row r="887" spans="3:9" x14ac:dyDescent="0.35">
      <c r="C887" t="s">
        <v>312</v>
      </c>
      <c r="D887" s="3">
        <v>2018</v>
      </c>
      <c r="E887" s="78">
        <f t="shared" si="42"/>
        <v>6</v>
      </c>
      <c r="F887" s="74" t="s">
        <v>40</v>
      </c>
      <c r="G887" s="77">
        <f t="shared" si="47"/>
        <v>36140</v>
      </c>
      <c r="H887" s="77">
        <f t="shared" si="48"/>
        <v>36440</v>
      </c>
      <c r="I887" s="76">
        <v>0.1</v>
      </c>
    </row>
    <row r="888" spans="3:9" x14ac:dyDescent="0.35">
      <c r="C888" t="s">
        <v>312</v>
      </c>
      <c r="D888" s="3">
        <v>2018</v>
      </c>
      <c r="E888" s="78">
        <f t="shared" si="42"/>
        <v>6</v>
      </c>
      <c r="F888" s="74" t="s">
        <v>40</v>
      </c>
      <c r="G888" s="77">
        <f t="shared" si="47"/>
        <v>36440</v>
      </c>
      <c r="H888" s="77"/>
      <c r="I888" s="76">
        <v>0</v>
      </c>
    </row>
    <row r="889" spans="3:9" x14ac:dyDescent="0.35">
      <c r="C889" t="s">
        <v>312</v>
      </c>
      <c r="D889" s="3">
        <v>2018</v>
      </c>
      <c r="E889" s="78">
        <f t="shared" si="42"/>
        <v>6</v>
      </c>
      <c r="F889" s="74" t="s">
        <v>313</v>
      </c>
      <c r="G889" s="77">
        <v>0</v>
      </c>
      <c r="H889" s="75">
        <f>H878</f>
        <v>33740</v>
      </c>
      <c r="I889" s="76">
        <v>1</v>
      </c>
    </row>
    <row r="890" spans="3:9" x14ac:dyDescent="0.35">
      <c r="C890" t="s">
        <v>312</v>
      </c>
      <c r="D890" s="3">
        <v>2018</v>
      </c>
      <c r="E890" s="78">
        <f t="shared" si="42"/>
        <v>6</v>
      </c>
      <c r="F890" s="74" t="s">
        <v>313</v>
      </c>
      <c r="G890" s="77">
        <f>H889</f>
        <v>33740</v>
      </c>
      <c r="H890" s="77">
        <f>H889+300</f>
        <v>34040</v>
      </c>
      <c r="I890" s="76">
        <v>0.9</v>
      </c>
    </row>
    <row r="891" spans="3:9" x14ac:dyDescent="0.35">
      <c r="C891" t="s">
        <v>312</v>
      </c>
      <c r="D891" s="3">
        <v>2018</v>
      </c>
      <c r="E891" s="78">
        <f t="shared" si="42"/>
        <v>6</v>
      </c>
      <c r="F891" s="74" t="s">
        <v>313</v>
      </c>
      <c r="G891" s="77">
        <f t="shared" ref="G891:G899" si="49">H890</f>
        <v>34040</v>
      </c>
      <c r="H891" s="77">
        <f t="shared" ref="H891:H898" si="50">H890+300</f>
        <v>34340</v>
      </c>
      <c r="I891" s="76">
        <v>0.8</v>
      </c>
    </row>
    <row r="892" spans="3:9" x14ac:dyDescent="0.35">
      <c r="C892" t="s">
        <v>312</v>
      </c>
      <c r="D892" s="3">
        <v>2018</v>
      </c>
      <c r="E892" s="78">
        <f t="shared" si="42"/>
        <v>6</v>
      </c>
      <c r="F892" s="74" t="s">
        <v>313</v>
      </c>
      <c r="G892" s="77">
        <f t="shared" si="49"/>
        <v>34340</v>
      </c>
      <c r="H892" s="77">
        <f t="shared" si="50"/>
        <v>34640</v>
      </c>
      <c r="I892" s="76">
        <v>0.7</v>
      </c>
    </row>
    <row r="893" spans="3:9" x14ac:dyDescent="0.35">
      <c r="C893" t="s">
        <v>312</v>
      </c>
      <c r="D893" s="3">
        <v>2018</v>
      </c>
      <c r="E893" s="78">
        <f t="shared" si="42"/>
        <v>6</v>
      </c>
      <c r="F893" s="74" t="s">
        <v>313</v>
      </c>
      <c r="G893" s="77">
        <f t="shared" si="49"/>
        <v>34640</v>
      </c>
      <c r="H893" s="77">
        <f t="shared" si="50"/>
        <v>34940</v>
      </c>
      <c r="I893" s="76">
        <v>0.6</v>
      </c>
    </row>
    <row r="894" spans="3:9" x14ac:dyDescent="0.35">
      <c r="C894" t="s">
        <v>312</v>
      </c>
      <c r="D894" s="3">
        <v>2018</v>
      </c>
      <c r="E894" s="78">
        <f t="shared" si="42"/>
        <v>6</v>
      </c>
      <c r="F894" s="74" t="s">
        <v>313</v>
      </c>
      <c r="G894" s="77">
        <f t="shared" si="49"/>
        <v>34940</v>
      </c>
      <c r="H894" s="77">
        <f t="shared" si="50"/>
        <v>35240</v>
      </c>
      <c r="I894" s="76">
        <v>0.5</v>
      </c>
    </row>
    <row r="895" spans="3:9" x14ac:dyDescent="0.35">
      <c r="C895" t="s">
        <v>312</v>
      </c>
      <c r="D895" s="3">
        <v>2018</v>
      </c>
      <c r="E895" s="78">
        <f t="shared" si="42"/>
        <v>6</v>
      </c>
      <c r="F895" s="74" t="s">
        <v>313</v>
      </c>
      <c r="G895" s="77">
        <f t="shared" si="49"/>
        <v>35240</v>
      </c>
      <c r="H895" s="77">
        <f t="shared" si="50"/>
        <v>35540</v>
      </c>
      <c r="I895" s="76">
        <v>0.4</v>
      </c>
    </row>
    <row r="896" spans="3:9" x14ac:dyDescent="0.35">
      <c r="C896" t="s">
        <v>312</v>
      </c>
      <c r="D896" s="3">
        <v>2018</v>
      </c>
      <c r="E896" s="78">
        <f t="shared" si="42"/>
        <v>6</v>
      </c>
      <c r="F896" s="74" t="s">
        <v>313</v>
      </c>
      <c r="G896" s="77">
        <f t="shared" si="49"/>
        <v>35540</v>
      </c>
      <c r="H896" s="77">
        <f t="shared" si="50"/>
        <v>35840</v>
      </c>
      <c r="I896" s="76">
        <v>0.3</v>
      </c>
    </row>
    <row r="897" spans="3:9" x14ac:dyDescent="0.35">
      <c r="C897" t="s">
        <v>312</v>
      </c>
      <c r="D897" s="3">
        <v>2018</v>
      </c>
      <c r="E897" s="78">
        <f t="shared" si="42"/>
        <v>6</v>
      </c>
      <c r="F897" s="74" t="s">
        <v>313</v>
      </c>
      <c r="G897" s="77">
        <f t="shared" si="49"/>
        <v>35840</v>
      </c>
      <c r="H897" s="77">
        <f t="shared" si="50"/>
        <v>36140</v>
      </c>
      <c r="I897" s="76">
        <v>0.2</v>
      </c>
    </row>
    <row r="898" spans="3:9" x14ac:dyDescent="0.35">
      <c r="C898" t="s">
        <v>312</v>
      </c>
      <c r="D898" s="3">
        <v>2018</v>
      </c>
      <c r="E898" s="78">
        <f t="shared" si="42"/>
        <v>6</v>
      </c>
      <c r="F898" s="74" t="s">
        <v>313</v>
      </c>
      <c r="G898" s="77">
        <f t="shared" si="49"/>
        <v>36140</v>
      </c>
      <c r="H898" s="77">
        <f t="shared" si="50"/>
        <v>36440</v>
      </c>
      <c r="I898" s="76">
        <v>0.1</v>
      </c>
    </row>
    <row r="899" spans="3:9" x14ac:dyDescent="0.35">
      <c r="C899" t="s">
        <v>312</v>
      </c>
      <c r="D899" s="3">
        <v>2018</v>
      </c>
      <c r="E899" s="78">
        <f t="shared" si="42"/>
        <v>6</v>
      </c>
      <c r="F899" s="74" t="s">
        <v>313</v>
      </c>
      <c r="G899" s="77">
        <f t="shared" si="49"/>
        <v>36440</v>
      </c>
      <c r="H899" s="77"/>
      <c r="I899" s="76">
        <v>0</v>
      </c>
    </row>
    <row r="900" spans="3:9" x14ac:dyDescent="0.35">
      <c r="C900" t="s">
        <v>312</v>
      </c>
      <c r="D900" s="3">
        <v>2018</v>
      </c>
      <c r="E900" s="73">
        <v>7</v>
      </c>
      <c r="F900" s="74" t="s">
        <v>54</v>
      </c>
      <c r="G900" s="77">
        <v>0</v>
      </c>
      <c r="H900" s="77">
        <v>38060</v>
      </c>
      <c r="I900" s="76">
        <v>1</v>
      </c>
    </row>
    <row r="901" spans="3:9" x14ac:dyDescent="0.35">
      <c r="C901" t="s">
        <v>312</v>
      </c>
      <c r="D901" s="3">
        <v>2018</v>
      </c>
      <c r="E901" s="78">
        <f>E900</f>
        <v>7</v>
      </c>
      <c r="F901" s="74" t="s">
        <v>54</v>
      </c>
      <c r="G901" s="77">
        <f>H900</f>
        <v>38060</v>
      </c>
      <c r="H901" s="77">
        <f>H900+300</f>
        <v>38360</v>
      </c>
      <c r="I901" s="76">
        <v>0.9</v>
      </c>
    </row>
    <row r="902" spans="3:9" x14ac:dyDescent="0.35">
      <c r="C902" t="s">
        <v>312</v>
      </c>
      <c r="D902" s="3">
        <v>2018</v>
      </c>
      <c r="E902" s="78">
        <f t="shared" ref="E902:E943" si="51">E901</f>
        <v>7</v>
      </c>
      <c r="F902" s="74" t="s">
        <v>54</v>
      </c>
      <c r="G902" s="77">
        <f t="shared" ref="G902:G910" si="52">H901</f>
        <v>38360</v>
      </c>
      <c r="H902" s="77">
        <f t="shared" ref="H902:H909" si="53">H901+300</f>
        <v>38660</v>
      </c>
      <c r="I902" s="76">
        <v>0.8</v>
      </c>
    </row>
    <row r="903" spans="3:9" x14ac:dyDescent="0.35">
      <c r="C903" t="s">
        <v>312</v>
      </c>
      <c r="D903" s="3">
        <v>2018</v>
      </c>
      <c r="E903" s="78">
        <f t="shared" si="51"/>
        <v>7</v>
      </c>
      <c r="F903" s="74" t="s">
        <v>54</v>
      </c>
      <c r="G903" s="77">
        <f t="shared" si="52"/>
        <v>38660</v>
      </c>
      <c r="H903" s="77">
        <f t="shared" si="53"/>
        <v>38960</v>
      </c>
      <c r="I903" s="76">
        <v>0.7</v>
      </c>
    </row>
    <row r="904" spans="3:9" x14ac:dyDescent="0.35">
      <c r="C904" t="s">
        <v>312</v>
      </c>
      <c r="D904" s="3">
        <v>2018</v>
      </c>
      <c r="E904" s="78">
        <f t="shared" si="51"/>
        <v>7</v>
      </c>
      <c r="F904" s="74" t="s">
        <v>54</v>
      </c>
      <c r="G904" s="77">
        <f t="shared" si="52"/>
        <v>38960</v>
      </c>
      <c r="H904" s="77">
        <f t="shared" si="53"/>
        <v>39260</v>
      </c>
      <c r="I904" s="76">
        <v>0.6</v>
      </c>
    </row>
    <row r="905" spans="3:9" x14ac:dyDescent="0.35">
      <c r="C905" t="s">
        <v>312</v>
      </c>
      <c r="D905" s="3">
        <v>2018</v>
      </c>
      <c r="E905" s="78">
        <f t="shared" si="51"/>
        <v>7</v>
      </c>
      <c r="F905" s="74" t="s">
        <v>54</v>
      </c>
      <c r="G905" s="77">
        <f t="shared" si="52"/>
        <v>39260</v>
      </c>
      <c r="H905" s="77">
        <f t="shared" si="53"/>
        <v>39560</v>
      </c>
      <c r="I905" s="76">
        <v>0.5</v>
      </c>
    </row>
    <row r="906" spans="3:9" x14ac:dyDescent="0.35">
      <c r="C906" t="s">
        <v>312</v>
      </c>
      <c r="D906" s="3">
        <v>2018</v>
      </c>
      <c r="E906" s="78">
        <f t="shared" si="51"/>
        <v>7</v>
      </c>
      <c r="F906" s="74" t="s">
        <v>54</v>
      </c>
      <c r="G906" s="77">
        <f t="shared" si="52"/>
        <v>39560</v>
      </c>
      <c r="H906" s="77">
        <f t="shared" si="53"/>
        <v>39860</v>
      </c>
      <c r="I906" s="76">
        <v>0.4</v>
      </c>
    </row>
    <row r="907" spans="3:9" x14ac:dyDescent="0.35">
      <c r="C907" t="s">
        <v>312</v>
      </c>
      <c r="D907" s="3">
        <v>2018</v>
      </c>
      <c r="E907" s="78">
        <f t="shared" si="51"/>
        <v>7</v>
      </c>
      <c r="F907" s="74" t="s">
        <v>54</v>
      </c>
      <c r="G907" s="77">
        <f t="shared" si="52"/>
        <v>39860</v>
      </c>
      <c r="H907" s="77">
        <f t="shared" si="53"/>
        <v>40160</v>
      </c>
      <c r="I907" s="76">
        <v>0.3</v>
      </c>
    </row>
    <row r="908" spans="3:9" x14ac:dyDescent="0.35">
      <c r="C908" t="s">
        <v>312</v>
      </c>
      <c r="D908" s="3">
        <v>2018</v>
      </c>
      <c r="E908" s="78">
        <f t="shared" si="51"/>
        <v>7</v>
      </c>
      <c r="F908" s="74" t="s">
        <v>54</v>
      </c>
      <c r="G908" s="77">
        <f t="shared" si="52"/>
        <v>40160</v>
      </c>
      <c r="H908" s="77">
        <f t="shared" si="53"/>
        <v>40460</v>
      </c>
      <c r="I908" s="76">
        <v>0.2</v>
      </c>
    </row>
    <row r="909" spans="3:9" x14ac:dyDescent="0.35">
      <c r="C909" t="s">
        <v>312</v>
      </c>
      <c r="D909" s="3">
        <v>2018</v>
      </c>
      <c r="E909" s="78">
        <f t="shared" si="51"/>
        <v>7</v>
      </c>
      <c r="F909" s="74" t="s">
        <v>54</v>
      </c>
      <c r="G909" s="77">
        <f t="shared" si="52"/>
        <v>40460</v>
      </c>
      <c r="H909" s="77">
        <f t="shared" si="53"/>
        <v>40760</v>
      </c>
      <c r="I909" s="76">
        <v>0.1</v>
      </c>
    </row>
    <row r="910" spans="3:9" x14ac:dyDescent="0.35">
      <c r="C910" t="s">
        <v>312</v>
      </c>
      <c r="D910" s="3">
        <v>2018</v>
      </c>
      <c r="E910" s="78">
        <f t="shared" si="51"/>
        <v>7</v>
      </c>
      <c r="F910" s="74" t="s">
        <v>54</v>
      </c>
      <c r="G910" s="77">
        <f t="shared" si="52"/>
        <v>40760</v>
      </c>
      <c r="H910" s="77"/>
      <c r="I910" s="76">
        <v>0</v>
      </c>
    </row>
    <row r="911" spans="3:9" x14ac:dyDescent="0.35">
      <c r="C911" t="s">
        <v>312</v>
      </c>
      <c r="D911" s="3">
        <v>2018</v>
      </c>
      <c r="E911" s="78">
        <f t="shared" si="51"/>
        <v>7</v>
      </c>
      <c r="F911" s="74" t="s">
        <v>34</v>
      </c>
      <c r="G911" s="77">
        <v>0</v>
      </c>
      <c r="H911" s="75">
        <f>H900</f>
        <v>38060</v>
      </c>
      <c r="I911" s="76">
        <v>1</v>
      </c>
    </row>
    <row r="912" spans="3:9" x14ac:dyDescent="0.35">
      <c r="C912" t="s">
        <v>312</v>
      </c>
      <c r="D912" s="3">
        <v>2018</v>
      </c>
      <c r="E912" s="78">
        <f t="shared" si="51"/>
        <v>7</v>
      </c>
      <c r="F912" s="74" t="s">
        <v>34</v>
      </c>
      <c r="G912" s="77">
        <f>H911</f>
        <v>38060</v>
      </c>
      <c r="H912" s="77">
        <f>H911+300</f>
        <v>38360</v>
      </c>
      <c r="I912" s="76">
        <v>0.9</v>
      </c>
    </row>
    <row r="913" spans="3:9" x14ac:dyDescent="0.35">
      <c r="C913" t="s">
        <v>312</v>
      </c>
      <c r="D913" s="3">
        <v>2018</v>
      </c>
      <c r="E913" s="78">
        <f t="shared" si="51"/>
        <v>7</v>
      </c>
      <c r="F913" s="74" t="s">
        <v>34</v>
      </c>
      <c r="G913" s="77">
        <f t="shared" ref="G913:G921" si="54">H912</f>
        <v>38360</v>
      </c>
      <c r="H913" s="77">
        <f t="shared" ref="H913:H920" si="55">H912+300</f>
        <v>38660</v>
      </c>
      <c r="I913" s="76">
        <v>0.8</v>
      </c>
    </row>
    <row r="914" spans="3:9" x14ac:dyDescent="0.35">
      <c r="C914" t="s">
        <v>312</v>
      </c>
      <c r="D914" s="3">
        <v>2018</v>
      </c>
      <c r="E914" s="78">
        <f t="shared" si="51"/>
        <v>7</v>
      </c>
      <c r="F914" s="74" t="s">
        <v>34</v>
      </c>
      <c r="G914" s="77">
        <f t="shared" si="54"/>
        <v>38660</v>
      </c>
      <c r="H914" s="77">
        <f t="shared" si="55"/>
        <v>38960</v>
      </c>
      <c r="I914" s="76">
        <v>0.7</v>
      </c>
    </row>
    <row r="915" spans="3:9" x14ac:dyDescent="0.35">
      <c r="C915" t="s">
        <v>312</v>
      </c>
      <c r="D915" s="3">
        <v>2018</v>
      </c>
      <c r="E915" s="78">
        <f t="shared" si="51"/>
        <v>7</v>
      </c>
      <c r="F915" s="74" t="s">
        <v>34</v>
      </c>
      <c r="G915" s="77">
        <f t="shared" si="54"/>
        <v>38960</v>
      </c>
      <c r="H915" s="77">
        <f t="shared" si="55"/>
        <v>39260</v>
      </c>
      <c r="I915" s="76">
        <v>0.6</v>
      </c>
    </row>
    <row r="916" spans="3:9" x14ac:dyDescent="0.35">
      <c r="C916" t="s">
        <v>312</v>
      </c>
      <c r="D916" s="3">
        <v>2018</v>
      </c>
      <c r="E916" s="78">
        <f t="shared" si="51"/>
        <v>7</v>
      </c>
      <c r="F916" s="74" t="s">
        <v>34</v>
      </c>
      <c r="G916" s="77">
        <f t="shared" si="54"/>
        <v>39260</v>
      </c>
      <c r="H916" s="77">
        <f t="shared" si="55"/>
        <v>39560</v>
      </c>
      <c r="I916" s="76">
        <v>0.5</v>
      </c>
    </row>
    <row r="917" spans="3:9" x14ac:dyDescent="0.35">
      <c r="C917" t="s">
        <v>312</v>
      </c>
      <c r="D917" s="3">
        <v>2018</v>
      </c>
      <c r="E917" s="78">
        <f t="shared" si="51"/>
        <v>7</v>
      </c>
      <c r="F917" s="74" t="s">
        <v>34</v>
      </c>
      <c r="G917" s="77">
        <f t="shared" si="54"/>
        <v>39560</v>
      </c>
      <c r="H917" s="77">
        <f t="shared" si="55"/>
        <v>39860</v>
      </c>
      <c r="I917" s="76">
        <v>0.4</v>
      </c>
    </row>
    <row r="918" spans="3:9" x14ac:dyDescent="0.35">
      <c r="C918" t="s">
        <v>312</v>
      </c>
      <c r="D918" s="3">
        <v>2018</v>
      </c>
      <c r="E918" s="78">
        <f t="shared" si="51"/>
        <v>7</v>
      </c>
      <c r="F918" s="74" t="s">
        <v>34</v>
      </c>
      <c r="G918" s="77">
        <f t="shared" si="54"/>
        <v>39860</v>
      </c>
      <c r="H918" s="77">
        <f t="shared" si="55"/>
        <v>40160</v>
      </c>
      <c r="I918" s="76">
        <v>0.3</v>
      </c>
    </row>
    <row r="919" spans="3:9" x14ac:dyDescent="0.35">
      <c r="C919" t="s">
        <v>312</v>
      </c>
      <c r="D919" s="3">
        <v>2018</v>
      </c>
      <c r="E919" s="78">
        <f t="shared" si="51"/>
        <v>7</v>
      </c>
      <c r="F919" s="74" t="s">
        <v>34</v>
      </c>
      <c r="G919" s="77">
        <f t="shared" si="54"/>
        <v>40160</v>
      </c>
      <c r="H919" s="77">
        <f t="shared" si="55"/>
        <v>40460</v>
      </c>
      <c r="I919" s="76">
        <v>0.2</v>
      </c>
    </row>
    <row r="920" spans="3:9" x14ac:dyDescent="0.35">
      <c r="C920" t="s">
        <v>312</v>
      </c>
      <c r="D920" s="3">
        <v>2018</v>
      </c>
      <c r="E920" s="78">
        <f t="shared" si="51"/>
        <v>7</v>
      </c>
      <c r="F920" s="74" t="s">
        <v>34</v>
      </c>
      <c r="G920" s="77">
        <f t="shared" si="54"/>
        <v>40460</v>
      </c>
      <c r="H920" s="77">
        <f t="shared" si="55"/>
        <v>40760</v>
      </c>
      <c r="I920" s="76">
        <v>0.1</v>
      </c>
    </row>
    <row r="921" spans="3:9" x14ac:dyDescent="0.35">
      <c r="C921" t="s">
        <v>312</v>
      </c>
      <c r="D921" s="3">
        <v>2018</v>
      </c>
      <c r="E921" s="78">
        <f t="shared" si="51"/>
        <v>7</v>
      </c>
      <c r="F921" s="74" t="s">
        <v>34</v>
      </c>
      <c r="G921" s="77">
        <f t="shared" si="54"/>
        <v>40760</v>
      </c>
      <c r="H921" s="77"/>
      <c r="I921" s="76">
        <v>0</v>
      </c>
    </row>
    <row r="922" spans="3:9" x14ac:dyDescent="0.35">
      <c r="C922" t="s">
        <v>312</v>
      </c>
      <c r="D922" s="3">
        <v>2018</v>
      </c>
      <c r="E922" s="78">
        <f t="shared" si="51"/>
        <v>7</v>
      </c>
      <c r="F922" s="74" t="s">
        <v>40</v>
      </c>
      <c r="G922" s="77">
        <v>0</v>
      </c>
      <c r="H922" s="75">
        <f>H911</f>
        <v>38060</v>
      </c>
      <c r="I922" s="76">
        <v>1</v>
      </c>
    </row>
    <row r="923" spans="3:9" x14ac:dyDescent="0.35">
      <c r="C923" t="s">
        <v>312</v>
      </c>
      <c r="D923" s="3">
        <v>2018</v>
      </c>
      <c r="E923" s="78">
        <f t="shared" si="51"/>
        <v>7</v>
      </c>
      <c r="F923" s="74" t="s">
        <v>40</v>
      </c>
      <c r="G923" s="77">
        <f>H922</f>
        <v>38060</v>
      </c>
      <c r="H923" s="77">
        <f>H922+300</f>
        <v>38360</v>
      </c>
      <c r="I923" s="76">
        <v>0.9</v>
      </c>
    </row>
    <row r="924" spans="3:9" x14ac:dyDescent="0.35">
      <c r="C924" t="s">
        <v>312</v>
      </c>
      <c r="D924" s="3">
        <v>2018</v>
      </c>
      <c r="E924" s="78">
        <f t="shared" si="51"/>
        <v>7</v>
      </c>
      <c r="F924" s="74" t="s">
        <v>40</v>
      </c>
      <c r="G924" s="77">
        <f t="shared" ref="G924:G932" si="56">H923</f>
        <v>38360</v>
      </c>
      <c r="H924" s="77">
        <f t="shared" ref="H924:H931" si="57">H923+300</f>
        <v>38660</v>
      </c>
      <c r="I924" s="76">
        <v>0.8</v>
      </c>
    </row>
    <row r="925" spans="3:9" x14ac:dyDescent="0.35">
      <c r="C925" t="s">
        <v>312</v>
      </c>
      <c r="D925" s="3">
        <v>2018</v>
      </c>
      <c r="E925" s="78">
        <f t="shared" si="51"/>
        <v>7</v>
      </c>
      <c r="F925" s="74" t="s">
        <v>40</v>
      </c>
      <c r="G925" s="77">
        <f t="shared" si="56"/>
        <v>38660</v>
      </c>
      <c r="H925" s="77">
        <f t="shared" si="57"/>
        <v>38960</v>
      </c>
      <c r="I925" s="76">
        <v>0.7</v>
      </c>
    </row>
    <row r="926" spans="3:9" x14ac:dyDescent="0.35">
      <c r="C926" t="s">
        <v>312</v>
      </c>
      <c r="D926" s="3">
        <v>2018</v>
      </c>
      <c r="E926" s="78">
        <f t="shared" si="51"/>
        <v>7</v>
      </c>
      <c r="F926" s="74" t="s">
        <v>40</v>
      </c>
      <c r="G926" s="77">
        <f t="shared" si="56"/>
        <v>38960</v>
      </c>
      <c r="H926" s="77">
        <f t="shared" si="57"/>
        <v>39260</v>
      </c>
      <c r="I926" s="76">
        <v>0.6</v>
      </c>
    </row>
    <row r="927" spans="3:9" x14ac:dyDescent="0.35">
      <c r="C927" t="s">
        <v>312</v>
      </c>
      <c r="D927" s="3">
        <v>2018</v>
      </c>
      <c r="E927" s="78">
        <f t="shared" si="51"/>
        <v>7</v>
      </c>
      <c r="F927" s="74" t="s">
        <v>40</v>
      </c>
      <c r="G927" s="77">
        <f t="shared" si="56"/>
        <v>39260</v>
      </c>
      <c r="H927" s="77">
        <f t="shared" si="57"/>
        <v>39560</v>
      </c>
      <c r="I927" s="76">
        <v>0.5</v>
      </c>
    </row>
    <row r="928" spans="3:9" x14ac:dyDescent="0.35">
      <c r="C928" t="s">
        <v>312</v>
      </c>
      <c r="D928" s="3">
        <v>2018</v>
      </c>
      <c r="E928" s="78">
        <f t="shared" si="51"/>
        <v>7</v>
      </c>
      <c r="F928" s="74" t="s">
        <v>40</v>
      </c>
      <c r="G928" s="77">
        <f t="shared" si="56"/>
        <v>39560</v>
      </c>
      <c r="H928" s="77">
        <f t="shared" si="57"/>
        <v>39860</v>
      </c>
      <c r="I928" s="76">
        <v>0.4</v>
      </c>
    </row>
    <row r="929" spans="3:9" x14ac:dyDescent="0.35">
      <c r="C929" t="s">
        <v>312</v>
      </c>
      <c r="D929" s="3">
        <v>2018</v>
      </c>
      <c r="E929" s="78">
        <f t="shared" si="51"/>
        <v>7</v>
      </c>
      <c r="F929" s="74" t="s">
        <v>40</v>
      </c>
      <c r="G929" s="77">
        <f t="shared" si="56"/>
        <v>39860</v>
      </c>
      <c r="H929" s="77">
        <f t="shared" si="57"/>
        <v>40160</v>
      </c>
      <c r="I929" s="76">
        <v>0.3</v>
      </c>
    </row>
    <row r="930" spans="3:9" x14ac:dyDescent="0.35">
      <c r="C930" t="s">
        <v>312</v>
      </c>
      <c r="D930" s="3">
        <v>2018</v>
      </c>
      <c r="E930" s="78">
        <f t="shared" si="51"/>
        <v>7</v>
      </c>
      <c r="F930" s="74" t="s">
        <v>40</v>
      </c>
      <c r="G930" s="77">
        <f t="shared" si="56"/>
        <v>40160</v>
      </c>
      <c r="H930" s="77">
        <f t="shared" si="57"/>
        <v>40460</v>
      </c>
      <c r="I930" s="76">
        <v>0.2</v>
      </c>
    </row>
    <row r="931" spans="3:9" x14ac:dyDescent="0.35">
      <c r="C931" t="s">
        <v>312</v>
      </c>
      <c r="D931" s="3">
        <v>2018</v>
      </c>
      <c r="E931" s="78">
        <f t="shared" si="51"/>
        <v>7</v>
      </c>
      <c r="F931" s="74" t="s">
        <v>40</v>
      </c>
      <c r="G931" s="77">
        <f t="shared" si="56"/>
        <v>40460</v>
      </c>
      <c r="H931" s="77">
        <f t="shared" si="57"/>
        <v>40760</v>
      </c>
      <c r="I931" s="76">
        <v>0.1</v>
      </c>
    </row>
    <row r="932" spans="3:9" x14ac:dyDescent="0.35">
      <c r="C932" t="s">
        <v>312</v>
      </c>
      <c r="D932" s="3">
        <v>2018</v>
      </c>
      <c r="E932" s="78">
        <f t="shared" si="51"/>
        <v>7</v>
      </c>
      <c r="F932" s="74" t="s">
        <v>40</v>
      </c>
      <c r="G932" s="77">
        <f t="shared" si="56"/>
        <v>40760</v>
      </c>
      <c r="H932" s="77"/>
      <c r="I932" s="76">
        <v>0</v>
      </c>
    </row>
    <row r="933" spans="3:9" x14ac:dyDescent="0.35">
      <c r="C933" t="s">
        <v>312</v>
      </c>
      <c r="D933" s="3">
        <v>2018</v>
      </c>
      <c r="E933" s="78">
        <f t="shared" si="51"/>
        <v>7</v>
      </c>
      <c r="F933" s="74" t="s">
        <v>313</v>
      </c>
      <c r="G933" s="77">
        <v>0</v>
      </c>
      <c r="H933" s="75">
        <f>H922</f>
        <v>38060</v>
      </c>
      <c r="I933" s="76">
        <v>1</v>
      </c>
    </row>
    <row r="934" spans="3:9" x14ac:dyDescent="0.35">
      <c r="C934" t="s">
        <v>312</v>
      </c>
      <c r="D934" s="3">
        <v>2018</v>
      </c>
      <c r="E934" s="78">
        <f t="shared" si="51"/>
        <v>7</v>
      </c>
      <c r="F934" s="74" t="s">
        <v>313</v>
      </c>
      <c r="G934" s="77">
        <f>H933</f>
        <v>38060</v>
      </c>
      <c r="H934" s="77">
        <f>H933+300</f>
        <v>38360</v>
      </c>
      <c r="I934" s="76">
        <v>0.9</v>
      </c>
    </row>
    <row r="935" spans="3:9" x14ac:dyDescent="0.35">
      <c r="C935" t="s">
        <v>312</v>
      </c>
      <c r="D935" s="3">
        <v>2018</v>
      </c>
      <c r="E935" s="78">
        <f t="shared" si="51"/>
        <v>7</v>
      </c>
      <c r="F935" s="74" t="s">
        <v>313</v>
      </c>
      <c r="G935" s="77">
        <f t="shared" ref="G935:G943" si="58">H934</f>
        <v>38360</v>
      </c>
      <c r="H935" s="77">
        <f t="shared" ref="H935:H942" si="59">H934+300</f>
        <v>38660</v>
      </c>
      <c r="I935" s="76">
        <v>0.8</v>
      </c>
    </row>
    <row r="936" spans="3:9" x14ac:dyDescent="0.35">
      <c r="C936" t="s">
        <v>312</v>
      </c>
      <c r="D936" s="3">
        <v>2018</v>
      </c>
      <c r="E936" s="78">
        <f t="shared" si="51"/>
        <v>7</v>
      </c>
      <c r="F936" s="74" t="s">
        <v>313</v>
      </c>
      <c r="G936" s="77">
        <f t="shared" si="58"/>
        <v>38660</v>
      </c>
      <c r="H936" s="77">
        <f t="shared" si="59"/>
        <v>38960</v>
      </c>
      <c r="I936" s="76">
        <v>0.7</v>
      </c>
    </row>
    <row r="937" spans="3:9" x14ac:dyDescent="0.35">
      <c r="C937" t="s">
        <v>312</v>
      </c>
      <c r="D937" s="3">
        <v>2018</v>
      </c>
      <c r="E937" s="78">
        <f t="shared" si="51"/>
        <v>7</v>
      </c>
      <c r="F937" s="74" t="s">
        <v>313</v>
      </c>
      <c r="G937" s="77">
        <f t="shared" si="58"/>
        <v>38960</v>
      </c>
      <c r="H937" s="77">
        <f t="shared" si="59"/>
        <v>39260</v>
      </c>
      <c r="I937" s="76">
        <v>0.6</v>
      </c>
    </row>
    <row r="938" spans="3:9" x14ac:dyDescent="0.35">
      <c r="C938" t="s">
        <v>312</v>
      </c>
      <c r="D938" s="3">
        <v>2018</v>
      </c>
      <c r="E938" s="78">
        <f t="shared" si="51"/>
        <v>7</v>
      </c>
      <c r="F938" s="74" t="s">
        <v>313</v>
      </c>
      <c r="G938" s="77">
        <f t="shared" si="58"/>
        <v>39260</v>
      </c>
      <c r="H938" s="77">
        <f t="shared" si="59"/>
        <v>39560</v>
      </c>
      <c r="I938" s="76">
        <v>0.5</v>
      </c>
    </row>
    <row r="939" spans="3:9" x14ac:dyDescent="0.35">
      <c r="C939" t="s">
        <v>312</v>
      </c>
      <c r="D939" s="3">
        <v>2018</v>
      </c>
      <c r="E939" s="78">
        <f t="shared" si="51"/>
        <v>7</v>
      </c>
      <c r="F939" s="74" t="s">
        <v>313</v>
      </c>
      <c r="G939" s="77">
        <f t="shared" si="58"/>
        <v>39560</v>
      </c>
      <c r="H939" s="77">
        <f t="shared" si="59"/>
        <v>39860</v>
      </c>
      <c r="I939" s="76">
        <v>0.4</v>
      </c>
    </row>
    <row r="940" spans="3:9" x14ac:dyDescent="0.35">
      <c r="C940" t="s">
        <v>312</v>
      </c>
      <c r="D940" s="3">
        <v>2018</v>
      </c>
      <c r="E940" s="78">
        <f t="shared" si="51"/>
        <v>7</v>
      </c>
      <c r="F940" s="74" t="s">
        <v>313</v>
      </c>
      <c r="G940" s="77">
        <f t="shared" si="58"/>
        <v>39860</v>
      </c>
      <c r="H940" s="77">
        <f t="shared" si="59"/>
        <v>40160</v>
      </c>
      <c r="I940" s="76">
        <v>0.3</v>
      </c>
    </row>
    <row r="941" spans="3:9" x14ac:dyDescent="0.35">
      <c r="C941" t="s">
        <v>312</v>
      </c>
      <c r="D941" s="3">
        <v>2018</v>
      </c>
      <c r="E941" s="78">
        <f t="shared" si="51"/>
        <v>7</v>
      </c>
      <c r="F941" s="74" t="s">
        <v>313</v>
      </c>
      <c r="G941" s="77">
        <f t="shared" si="58"/>
        <v>40160</v>
      </c>
      <c r="H941" s="77">
        <f t="shared" si="59"/>
        <v>40460</v>
      </c>
      <c r="I941" s="76">
        <v>0.2</v>
      </c>
    </row>
    <row r="942" spans="3:9" x14ac:dyDescent="0.35">
      <c r="C942" t="s">
        <v>312</v>
      </c>
      <c r="D942" s="3">
        <v>2018</v>
      </c>
      <c r="E942" s="78">
        <f t="shared" si="51"/>
        <v>7</v>
      </c>
      <c r="F942" s="74" t="s">
        <v>313</v>
      </c>
      <c r="G942" s="77">
        <f t="shared" si="58"/>
        <v>40460</v>
      </c>
      <c r="H942" s="77">
        <f t="shared" si="59"/>
        <v>40760</v>
      </c>
      <c r="I942" s="76">
        <v>0.1</v>
      </c>
    </row>
    <row r="943" spans="3:9" x14ac:dyDescent="0.35">
      <c r="C943" t="s">
        <v>312</v>
      </c>
      <c r="D943" s="3">
        <v>2018</v>
      </c>
      <c r="E943" s="78">
        <f t="shared" si="51"/>
        <v>7</v>
      </c>
      <c r="F943" s="74" t="s">
        <v>313</v>
      </c>
      <c r="G943" s="77">
        <f t="shared" si="58"/>
        <v>40760</v>
      </c>
      <c r="H943" s="77"/>
      <c r="I943" s="76">
        <v>0</v>
      </c>
    </row>
    <row r="944" spans="3:9" x14ac:dyDescent="0.35">
      <c r="C944" t="s">
        <v>312</v>
      </c>
      <c r="D944" s="3">
        <v>2018</v>
      </c>
      <c r="E944" s="73">
        <v>8</v>
      </c>
      <c r="F944" s="74" t="s">
        <v>54</v>
      </c>
      <c r="G944" s="77">
        <v>0</v>
      </c>
      <c r="H944" s="77">
        <v>42380</v>
      </c>
      <c r="I944" s="76">
        <v>1</v>
      </c>
    </row>
    <row r="945" spans="3:9" x14ac:dyDescent="0.35">
      <c r="C945" t="s">
        <v>312</v>
      </c>
      <c r="D945" s="3">
        <v>2018</v>
      </c>
      <c r="E945" s="78">
        <f>E944</f>
        <v>8</v>
      </c>
      <c r="F945" s="74" t="s">
        <v>54</v>
      </c>
      <c r="G945" s="77">
        <f>H944</f>
        <v>42380</v>
      </c>
      <c r="H945" s="77">
        <f>H944+300</f>
        <v>42680</v>
      </c>
      <c r="I945" s="76">
        <v>0.9</v>
      </c>
    </row>
    <row r="946" spans="3:9" x14ac:dyDescent="0.35">
      <c r="C946" t="s">
        <v>312</v>
      </c>
      <c r="D946" s="3">
        <v>2018</v>
      </c>
      <c r="E946" s="78">
        <f t="shared" ref="E946:E987" si="60">E945</f>
        <v>8</v>
      </c>
      <c r="F946" s="74" t="s">
        <v>54</v>
      </c>
      <c r="G946" s="77">
        <f t="shared" ref="G946:G954" si="61">H945</f>
        <v>42680</v>
      </c>
      <c r="H946" s="77">
        <f t="shared" ref="H946:H953" si="62">H945+300</f>
        <v>42980</v>
      </c>
      <c r="I946" s="76">
        <v>0.8</v>
      </c>
    </row>
    <row r="947" spans="3:9" x14ac:dyDescent="0.35">
      <c r="C947" t="s">
        <v>312</v>
      </c>
      <c r="D947" s="3">
        <v>2018</v>
      </c>
      <c r="E947" s="78">
        <f t="shared" si="60"/>
        <v>8</v>
      </c>
      <c r="F947" s="74" t="s">
        <v>54</v>
      </c>
      <c r="G947" s="77">
        <f t="shared" si="61"/>
        <v>42980</v>
      </c>
      <c r="H947" s="77">
        <f t="shared" si="62"/>
        <v>43280</v>
      </c>
      <c r="I947" s="76">
        <v>0.7</v>
      </c>
    </row>
    <row r="948" spans="3:9" x14ac:dyDescent="0.35">
      <c r="C948" t="s">
        <v>312</v>
      </c>
      <c r="D948" s="3">
        <v>2018</v>
      </c>
      <c r="E948" s="78">
        <f t="shared" si="60"/>
        <v>8</v>
      </c>
      <c r="F948" s="74" t="s">
        <v>54</v>
      </c>
      <c r="G948" s="77">
        <f t="shared" si="61"/>
        <v>43280</v>
      </c>
      <c r="H948" s="77">
        <f t="shared" si="62"/>
        <v>43580</v>
      </c>
      <c r="I948" s="76">
        <v>0.6</v>
      </c>
    </row>
    <row r="949" spans="3:9" x14ac:dyDescent="0.35">
      <c r="C949" t="s">
        <v>312</v>
      </c>
      <c r="D949" s="3">
        <v>2018</v>
      </c>
      <c r="E949" s="78">
        <f t="shared" si="60"/>
        <v>8</v>
      </c>
      <c r="F949" s="74" t="s">
        <v>54</v>
      </c>
      <c r="G949" s="77">
        <f t="shared" si="61"/>
        <v>43580</v>
      </c>
      <c r="H949" s="77">
        <f t="shared" si="62"/>
        <v>43880</v>
      </c>
      <c r="I949" s="76">
        <v>0.5</v>
      </c>
    </row>
    <row r="950" spans="3:9" x14ac:dyDescent="0.35">
      <c r="C950" t="s">
        <v>312</v>
      </c>
      <c r="D950" s="3">
        <v>2018</v>
      </c>
      <c r="E950" s="78">
        <f t="shared" si="60"/>
        <v>8</v>
      </c>
      <c r="F950" s="74" t="s">
        <v>54</v>
      </c>
      <c r="G950" s="77">
        <f t="shared" si="61"/>
        <v>43880</v>
      </c>
      <c r="H950" s="77">
        <f t="shared" si="62"/>
        <v>44180</v>
      </c>
      <c r="I950" s="76">
        <v>0.4</v>
      </c>
    </row>
    <row r="951" spans="3:9" x14ac:dyDescent="0.35">
      <c r="C951" t="s">
        <v>312</v>
      </c>
      <c r="D951" s="3">
        <v>2018</v>
      </c>
      <c r="E951" s="78">
        <f t="shared" si="60"/>
        <v>8</v>
      </c>
      <c r="F951" s="74" t="s">
        <v>54</v>
      </c>
      <c r="G951" s="77">
        <f t="shared" si="61"/>
        <v>44180</v>
      </c>
      <c r="H951" s="77">
        <f t="shared" si="62"/>
        <v>44480</v>
      </c>
      <c r="I951" s="76">
        <v>0.3</v>
      </c>
    </row>
    <row r="952" spans="3:9" x14ac:dyDescent="0.35">
      <c r="C952" t="s">
        <v>312</v>
      </c>
      <c r="D952" s="3">
        <v>2018</v>
      </c>
      <c r="E952" s="78">
        <f t="shared" si="60"/>
        <v>8</v>
      </c>
      <c r="F952" s="74" t="s">
        <v>54</v>
      </c>
      <c r="G952" s="77">
        <f t="shared" si="61"/>
        <v>44480</v>
      </c>
      <c r="H952" s="77">
        <f t="shared" si="62"/>
        <v>44780</v>
      </c>
      <c r="I952" s="76">
        <v>0.2</v>
      </c>
    </row>
    <row r="953" spans="3:9" x14ac:dyDescent="0.35">
      <c r="C953" t="s">
        <v>312</v>
      </c>
      <c r="D953" s="3">
        <v>2018</v>
      </c>
      <c r="E953" s="78">
        <f t="shared" si="60"/>
        <v>8</v>
      </c>
      <c r="F953" s="74" t="s">
        <v>54</v>
      </c>
      <c r="G953" s="77">
        <f t="shared" si="61"/>
        <v>44780</v>
      </c>
      <c r="H953" s="77">
        <f t="shared" si="62"/>
        <v>45080</v>
      </c>
      <c r="I953" s="76">
        <v>0.1</v>
      </c>
    </row>
    <row r="954" spans="3:9" x14ac:dyDescent="0.35">
      <c r="C954" t="s">
        <v>312</v>
      </c>
      <c r="D954" s="3">
        <v>2018</v>
      </c>
      <c r="E954" s="78">
        <f t="shared" si="60"/>
        <v>8</v>
      </c>
      <c r="F954" s="74" t="s">
        <v>54</v>
      </c>
      <c r="G954" s="77">
        <f t="shared" si="61"/>
        <v>45080</v>
      </c>
      <c r="H954" s="77"/>
      <c r="I954" s="76">
        <v>0</v>
      </c>
    </row>
    <row r="955" spans="3:9" x14ac:dyDescent="0.35">
      <c r="C955" t="s">
        <v>312</v>
      </c>
      <c r="D955" s="3">
        <v>2018</v>
      </c>
      <c r="E955" s="78">
        <f t="shared" si="60"/>
        <v>8</v>
      </c>
      <c r="F955" s="74" t="s">
        <v>34</v>
      </c>
      <c r="G955" s="77">
        <v>0</v>
      </c>
      <c r="H955" s="75">
        <f>H944</f>
        <v>42380</v>
      </c>
      <c r="I955" s="76">
        <v>1</v>
      </c>
    </row>
    <row r="956" spans="3:9" x14ac:dyDescent="0.35">
      <c r="C956" t="s">
        <v>312</v>
      </c>
      <c r="D956" s="3">
        <v>2018</v>
      </c>
      <c r="E956" s="78">
        <f t="shared" si="60"/>
        <v>8</v>
      </c>
      <c r="F956" s="74" t="s">
        <v>34</v>
      </c>
      <c r="G956" s="77">
        <f>H955</f>
        <v>42380</v>
      </c>
      <c r="H956" s="77">
        <f>H955+300</f>
        <v>42680</v>
      </c>
      <c r="I956" s="76">
        <v>0.9</v>
      </c>
    </row>
    <row r="957" spans="3:9" x14ac:dyDescent="0.35">
      <c r="C957" t="s">
        <v>312</v>
      </c>
      <c r="D957" s="3">
        <v>2018</v>
      </c>
      <c r="E957" s="78">
        <f t="shared" si="60"/>
        <v>8</v>
      </c>
      <c r="F957" s="74" t="s">
        <v>34</v>
      </c>
      <c r="G957" s="77">
        <f t="shared" ref="G957:G965" si="63">H956</f>
        <v>42680</v>
      </c>
      <c r="H957" s="77">
        <f t="shared" ref="H957:H964" si="64">H956+300</f>
        <v>42980</v>
      </c>
      <c r="I957" s="76">
        <v>0.8</v>
      </c>
    </row>
    <row r="958" spans="3:9" x14ac:dyDescent="0.35">
      <c r="C958" t="s">
        <v>312</v>
      </c>
      <c r="D958" s="3">
        <v>2018</v>
      </c>
      <c r="E958" s="78">
        <f t="shared" si="60"/>
        <v>8</v>
      </c>
      <c r="F958" s="74" t="s">
        <v>34</v>
      </c>
      <c r="G958" s="77">
        <f t="shared" si="63"/>
        <v>42980</v>
      </c>
      <c r="H958" s="77">
        <f t="shared" si="64"/>
        <v>43280</v>
      </c>
      <c r="I958" s="76">
        <v>0.7</v>
      </c>
    </row>
    <row r="959" spans="3:9" x14ac:dyDescent="0.35">
      <c r="C959" t="s">
        <v>312</v>
      </c>
      <c r="D959" s="3">
        <v>2018</v>
      </c>
      <c r="E959" s="78">
        <f t="shared" si="60"/>
        <v>8</v>
      </c>
      <c r="F959" s="74" t="s">
        <v>34</v>
      </c>
      <c r="G959" s="77">
        <f t="shared" si="63"/>
        <v>43280</v>
      </c>
      <c r="H959" s="77">
        <f t="shared" si="64"/>
        <v>43580</v>
      </c>
      <c r="I959" s="76">
        <v>0.6</v>
      </c>
    </row>
    <row r="960" spans="3:9" x14ac:dyDescent="0.35">
      <c r="C960" t="s">
        <v>312</v>
      </c>
      <c r="D960" s="3">
        <v>2018</v>
      </c>
      <c r="E960" s="78">
        <f t="shared" si="60"/>
        <v>8</v>
      </c>
      <c r="F960" s="74" t="s">
        <v>34</v>
      </c>
      <c r="G960" s="77">
        <f t="shared" si="63"/>
        <v>43580</v>
      </c>
      <c r="H960" s="77">
        <f t="shared" si="64"/>
        <v>43880</v>
      </c>
      <c r="I960" s="76">
        <v>0.5</v>
      </c>
    </row>
    <row r="961" spans="3:9" x14ac:dyDescent="0.35">
      <c r="C961" t="s">
        <v>312</v>
      </c>
      <c r="D961" s="3">
        <v>2018</v>
      </c>
      <c r="E961" s="78">
        <f t="shared" si="60"/>
        <v>8</v>
      </c>
      <c r="F961" s="74" t="s">
        <v>34</v>
      </c>
      <c r="G961" s="77">
        <f t="shared" si="63"/>
        <v>43880</v>
      </c>
      <c r="H961" s="77">
        <f t="shared" si="64"/>
        <v>44180</v>
      </c>
      <c r="I961" s="76">
        <v>0.4</v>
      </c>
    </row>
    <row r="962" spans="3:9" x14ac:dyDescent="0.35">
      <c r="C962" t="s">
        <v>312</v>
      </c>
      <c r="D962" s="3">
        <v>2018</v>
      </c>
      <c r="E962" s="78">
        <f t="shared" si="60"/>
        <v>8</v>
      </c>
      <c r="F962" s="74" t="s">
        <v>34</v>
      </c>
      <c r="G962" s="77">
        <f t="shared" si="63"/>
        <v>44180</v>
      </c>
      <c r="H962" s="77">
        <f t="shared" si="64"/>
        <v>44480</v>
      </c>
      <c r="I962" s="76">
        <v>0.3</v>
      </c>
    </row>
    <row r="963" spans="3:9" x14ac:dyDescent="0.35">
      <c r="C963" t="s">
        <v>312</v>
      </c>
      <c r="D963" s="3">
        <v>2018</v>
      </c>
      <c r="E963" s="78">
        <f t="shared" si="60"/>
        <v>8</v>
      </c>
      <c r="F963" s="74" t="s">
        <v>34</v>
      </c>
      <c r="G963" s="77">
        <f t="shared" si="63"/>
        <v>44480</v>
      </c>
      <c r="H963" s="77">
        <f t="shared" si="64"/>
        <v>44780</v>
      </c>
      <c r="I963" s="76">
        <v>0.2</v>
      </c>
    </row>
    <row r="964" spans="3:9" x14ac:dyDescent="0.35">
      <c r="C964" t="s">
        <v>312</v>
      </c>
      <c r="D964" s="3">
        <v>2018</v>
      </c>
      <c r="E964" s="78">
        <f t="shared" si="60"/>
        <v>8</v>
      </c>
      <c r="F964" s="74" t="s">
        <v>34</v>
      </c>
      <c r="G964" s="77">
        <f t="shared" si="63"/>
        <v>44780</v>
      </c>
      <c r="H964" s="77">
        <f t="shared" si="64"/>
        <v>45080</v>
      </c>
      <c r="I964" s="76">
        <v>0.1</v>
      </c>
    </row>
    <row r="965" spans="3:9" x14ac:dyDescent="0.35">
      <c r="C965" t="s">
        <v>312</v>
      </c>
      <c r="D965" s="3">
        <v>2018</v>
      </c>
      <c r="E965" s="78">
        <f t="shared" si="60"/>
        <v>8</v>
      </c>
      <c r="F965" s="74" t="s">
        <v>34</v>
      </c>
      <c r="G965" s="77">
        <f t="shared" si="63"/>
        <v>45080</v>
      </c>
      <c r="H965" s="77"/>
      <c r="I965" s="76">
        <v>0</v>
      </c>
    </row>
    <row r="966" spans="3:9" x14ac:dyDescent="0.35">
      <c r="C966" t="s">
        <v>312</v>
      </c>
      <c r="D966" s="3">
        <v>2018</v>
      </c>
      <c r="E966" s="78">
        <f t="shared" si="60"/>
        <v>8</v>
      </c>
      <c r="F966" s="74" t="s">
        <v>40</v>
      </c>
      <c r="G966" s="77">
        <v>0</v>
      </c>
      <c r="H966" s="75">
        <f>H955</f>
        <v>42380</v>
      </c>
      <c r="I966" s="76">
        <v>1</v>
      </c>
    </row>
    <row r="967" spans="3:9" x14ac:dyDescent="0.35">
      <c r="C967" t="s">
        <v>312</v>
      </c>
      <c r="D967" s="3">
        <v>2018</v>
      </c>
      <c r="E967" s="78">
        <f t="shared" si="60"/>
        <v>8</v>
      </c>
      <c r="F967" s="74" t="s">
        <v>40</v>
      </c>
      <c r="G967" s="77">
        <f>H966</f>
        <v>42380</v>
      </c>
      <c r="H967" s="77">
        <f>H966+300</f>
        <v>42680</v>
      </c>
      <c r="I967" s="76">
        <v>0.9</v>
      </c>
    </row>
    <row r="968" spans="3:9" x14ac:dyDescent="0.35">
      <c r="C968" t="s">
        <v>312</v>
      </c>
      <c r="D968" s="3">
        <v>2018</v>
      </c>
      <c r="E968" s="78">
        <f t="shared" si="60"/>
        <v>8</v>
      </c>
      <c r="F968" s="74" t="s">
        <v>40</v>
      </c>
      <c r="G968" s="77">
        <f t="shared" ref="G968:G976" si="65">H967</f>
        <v>42680</v>
      </c>
      <c r="H968" s="77">
        <f t="shared" ref="H968:H975" si="66">H967+300</f>
        <v>42980</v>
      </c>
      <c r="I968" s="76">
        <v>0.8</v>
      </c>
    </row>
    <row r="969" spans="3:9" x14ac:dyDescent="0.35">
      <c r="C969" t="s">
        <v>312</v>
      </c>
      <c r="D969" s="3">
        <v>2018</v>
      </c>
      <c r="E969" s="78">
        <f t="shared" si="60"/>
        <v>8</v>
      </c>
      <c r="F969" s="74" t="s">
        <v>40</v>
      </c>
      <c r="G969" s="77">
        <f t="shared" si="65"/>
        <v>42980</v>
      </c>
      <c r="H969" s="77">
        <f t="shared" si="66"/>
        <v>43280</v>
      </c>
      <c r="I969" s="76">
        <v>0.7</v>
      </c>
    </row>
    <row r="970" spans="3:9" x14ac:dyDescent="0.35">
      <c r="C970" t="s">
        <v>312</v>
      </c>
      <c r="D970" s="3">
        <v>2018</v>
      </c>
      <c r="E970" s="78">
        <f t="shared" si="60"/>
        <v>8</v>
      </c>
      <c r="F970" s="74" t="s">
        <v>40</v>
      </c>
      <c r="G970" s="77">
        <f t="shared" si="65"/>
        <v>43280</v>
      </c>
      <c r="H970" s="77">
        <f t="shared" si="66"/>
        <v>43580</v>
      </c>
      <c r="I970" s="76">
        <v>0.6</v>
      </c>
    </row>
    <row r="971" spans="3:9" x14ac:dyDescent="0.35">
      <c r="C971" t="s">
        <v>312</v>
      </c>
      <c r="D971" s="3">
        <v>2018</v>
      </c>
      <c r="E971" s="78">
        <f t="shared" si="60"/>
        <v>8</v>
      </c>
      <c r="F971" s="74" t="s">
        <v>40</v>
      </c>
      <c r="G971" s="77">
        <f t="shared" si="65"/>
        <v>43580</v>
      </c>
      <c r="H971" s="77">
        <f t="shared" si="66"/>
        <v>43880</v>
      </c>
      <c r="I971" s="76">
        <v>0.5</v>
      </c>
    </row>
    <row r="972" spans="3:9" x14ac:dyDescent="0.35">
      <c r="C972" t="s">
        <v>312</v>
      </c>
      <c r="D972" s="3">
        <v>2018</v>
      </c>
      <c r="E972" s="78">
        <f t="shared" si="60"/>
        <v>8</v>
      </c>
      <c r="F972" s="74" t="s">
        <v>40</v>
      </c>
      <c r="G972" s="77">
        <f t="shared" si="65"/>
        <v>43880</v>
      </c>
      <c r="H972" s="77">
        <f t="shared" si="66"/>
        <v>44180</v>
      </c>
      <c r="I972" s="76">
        <v>0.4</v>
      </c>
    </row>
    <row r="973" spans="3:9" x14ac:dyDescent="0.35">
      <c r="C973" t="s">
        <v>312</v>
      </c>
      <c r="D973" s="3">
        <v>2018</v>
      </c>
      <c r="E973" s="78">
        <f t="shared" si="60"/>
        <v>8</v>
      </c>
      <c r="F973" s="74" t="s">
        <v>40</v>
      </c>
      <c r="G973" s="77">
        <f t="shared" si="65"/>
        <v>44180</v>
      </c>
      <c r="H973" s="77">
        <f t="shared" si="66"/>
        <v>44480</v>
      </c>
      <c r="I973" s="76">
        <v>0.3</v>
      </c>
    </row>
    <row r="974" spans="3:9" x14ac:dyDescent="0.35">
      <c r="C974" t="s">
        <v>312</v>
      </c>
      <c r="D974" s="3">
        <v>2018</v>
      </c>
      <c r="E974" s="78">
        <f t="shared" si="60"/>
        <v>8</v>
      </c>
      <c r="F974" s="74" t="s">
        <v>40</v>
      </c>
      <c r="G974" s="77">
        <f t="shared" si="65"/>
        <v>44480</v>
      </c>
      <c r="H974" s="77">
        <f t="shared" si="66"/>
        <v>44780</v>
      </c>
      <c r="I974" s="76">
        <v>0.2</v>
      </c>
    </row>
    <row r="975" spans="3:9" x14ac:dyDescent="0.35">
      <c r="C975" t="s">
        <v>312</v>
      </c>
      <c r="D975" s="3">
        <v>2018</v>
      </c>
      <c r="E975" s="78">
        <f t="shared" si="60"/>
        <v>8</v>
      </c>
      <c r="F975" s="74" t="s">
        <v>40</v>
      </c>
      <c r="G975" s="77">
        <f t="shared" si="65"/>
        <v>44780</v>
      </c>
      <c r="H975" s="77">
        <f t="shared" si="66"/>
        <v>45080</v>
      </c>
      <c r="I975" s="76">
        <v>0.1</v>
      </c>
    </row>
    <row r="976" spans="3:9" x14ac:dyDescent="0.35">
      <c r="C976" t="s">
        <v>312</v>
      </c>
      <c r="D976" s="3">
        <v>2018</v>
      </c>
      <c r="E976" s="78">
        <f t="shared" si="60"/>
        <v>8</v>
      </c>
      <c r="F976" s="74" t="s">
        <v>40</v>
      </c>
      <c r="G976" s="77">
        <f t="shared" si="65"/>
        <v>45080</v>
      </c>
      <c r="H976" s="77"/>
      <c r="I976" s="76">
        <v>0</v>
      </c>
    </row>
    <row r="977" spans="3:9" x14ac:dyDescent="0.35">
      <c r="C977" t="s">
        <v>312</v>
      </c>
      <c r="D977" s="3">
        <v>2018</v>
      </c>
      <c r="E977" s="78">
        <f t="shared" si="60"/>
        <v>8</v>
      </c>
      <c r="F977" s="74" t="s">
        <v>313</v>
      </c>
      <c r="G977" s="77">
        <v>0</v>
      </c>
      <c r="H977" s="75">
        <f>H966</f>
        <v>42380</v>
      </c>
      <c r="I977" s="76">
        <v>1</v>
      </c>
    </row>
    <row r="978" spans="3:9" x14ac:dyDescent="0.35">
      <c r="C978" t="s">
        <v>312</v>
      </c>
      <c r="D978" s="3">
        <v>2018</v>
      </c>
      <c r="E978" s="78">
        <f t="shared" si="60"/>
        <v>8</v>
      </c>
      <c r="F978" s="74" t="s">
        <v>313</v>
      </c>
      <c r="G978" s="77">
        <f>H977</f>
        <v>42380</v>
      </c>
      <c r="H978" s="77">
        <f>H977+300</f>
        <v>42680</v>
      </c>
      <c r="I978" s="76">
        <v>0.9</v>
      </c>
    </row>
    <row r="979" spans="3:9" x14ac:dyDescent="0.35">
      <c r="C979" t="s">
        <v>312</v>
      </c>
      <c r="D979" s="3">
        <v>2018</v>
      </c>
      <c r="E979" s="78">
        <f t="shared" si="60"/>
        <v>8</v>
      </c>
      <c r="F979" s="74" t="s">
        <v>313</v>
      </c>
      <c r="G979" s="77">
        <f t="shared" ref="G979:G987" si="67">H978</f>
        <v>42680</v>
      </c>
      <c r="H979" s="77">
        <f t="shared" ref="H979:H986" si="68">H978+300</f>
        <v>42980</v>
      </c>
      <c r="I979" s="76">
        <v>0.8</v>
      </c>
    </row>
    <row r="980" spans="3:9" x14ac:dyDescent="0.35">
      <c r="C980" t="s">
        <v>312</v>
      </c>
      <c r="D980" s="3">
        <v>2018</v>
      </c>
      <c r="E980" s="78">
        <f t="shared" si="60"/>
        <v>8</v>
      </c>
      <c r="F980" s="74" t="s">
        <v>313</v>
      </c>
      <c r="G980" s="77">
        <f t="shared" si="67"/>
        <v>42980</v>
      </c>
      <c r="H980" s="77">
        <f t="shared" si="68"/>
        <v>43280</v>
      </c>
      <c r="I980" s="76">
        <v>0.7</v>
      </c>
    </row>
    <row r="981" spans="3:9" x14ac:dyDescent="0.35">
      <c r="C981" t="s">
        <v>312</v>
      </c>
      <c r="D981" s="3">
        <v>2018</v>
      </c>
      <c r="E981" s="78">
        <f t="shared" si="60"/>
        <v>8</v>
      </c>
      <c r="F981" s="74" t="s">
        <v>313</v>
      </c>
      <c r="G981" s="77">
        <f t="shared" si="67"/>
        <v>43280</v>
      </c>
      <c r="H981" s="77">
        <f t="shared" si="68"/>
        <v>43580</v>
      </c>
      <c r="I981" s="76">
        <v>0.6</v>
      </c>
    </row>
    <row r="982" spans="3:9" x14ac:dyDescent="0.35">
      <c r="C982" t="s">
        <v>312</v>
      </c>
      <c r="D982" s="3">
        <v>2018</v>
      </c>
      <c r="E982" s="78">
        <f t="shared" si="60"/>
        <v>8</v>
      </c>
      <c r="F982" s="74" t="s">
        <v>313</v>
      </c>
      <c r="G982" s="77">
        <f t="shared" si="67"/>
        <v>43580</v>
      </c>
      <c r="H982" s="77">
        <f t="shared" si="68"/>
        <v>43880</v>
      </c>
      <c r="I982" s="76">
        <v>0.5</v>
      </c>
    </row>
    <row r="983" spans="3:9" x14ac:dyDescent="0.35">
      <c r="C983" t="s">
        <v>312</v>
      </c>
      <c r="D983" s="3">
        <v>2018</v>
      </c>
      <c r="E983" s="78">
        <f t="shared" si="60"/>
        <v>8</v>
      </c>
      <c r="F983" s="74" t="s">
        <v>313</v>
      </c>
      <c r="G983" s="77">
        <f t="shared" si="67"/>
        <v>43880</v>
      </c>
      <c r="H983" s="77">
        <f t="shared" si="68"/>
        <v>44180</v>
      </c>
      <c r="I983" s="76">
        <v>0.4</v>
      </c>
    </row>
    <row r="984" spans="3:9" x14ac:dyDescent="0.35">
      <c r="C984" t="s">
        <v>312</v>
      </c>
      <c r="D984" s="3">
        <v>2018</v>
      </c>
      <c r="E984" s="78">
        <f t="shared" si="60"/>
        <v>8</v>
      </c>
      <c r="F984" s="74" t="s">
        <v>313</v>
      </c>
      <c r="G984" s="77">
        <f t="shared" si="67"/>
        <v>44180</v>
      </c>
      <c r="H984" s="77">
        <f t="shared" si="68"/>
        <v>44480</v>
      </c>
      <c r="I984" s="76">
        <v>0.3</v>
      </c>
    </row>
    <row r="985" spans="3:9" x14ac:dyDescent="0.35">
      <c r="C985" t="s">
        <v>312</v>
      </c>
      <c r="D985" s="3">
        <v>2018</v>
      </c>
      <c r="E985" s="78">
        <f t="shared" si="60"/>
        <v>8</v>
      </c>
      <c r="F985" s="74" t="s">
        <v>313</v>
      </c>
      <c r="G985" s="77">
        <f t="shared" si="67"/>
        <v>44480</v>
      </c>
      <c r="H985" s="77">
        <f t="shared" si="68"/>
        <v>44780</v>
      </c>
      <c r="I985" s="76">
        <v>0.2</v>
      </c>
    </row>
    <row r="986" spans="3:9" x14ac:dyDescent="0.35">
      <c r="C986" t="s">
        <v>312</v>
      </c>
      <c r="D986" s="3">
        <v>2018</v>
      </c>
      <c r="E986" s="78">
        <f t="shared" si="60"/>
        <v>8</v>
      </c>
      <c r="F986" s="74" t="s">
        <v>313</v>
      </c>
      <c r="G986" s="77">
        <f t="shared" si="67"/>
        <v>44780</v>
      </c>
      <c r="H986" s="77">
        <f t="shared" si="68"/>
        <v>45080</v>
      </c>
      <c r="I986" s="76">
        <v>0.1</v>
      </c>
    </row>
    <row r="987" spans="3:9" x14ac:dyDescent="0.35">
      <c r="C987" t="s">
        <v>312</v>
      </c>
      <c r="D987" s="3">
        <v>2018</v>
      </c>
      <c r="E987" s="78">
        <f t="shared" si="60"/>
        <v>8</v>
      </c>
      <c r="F987" s="74" t="s">
        <v>313</v>
      </c>
      <c r="G987" s="77">
        <f t="shared" si="67"/>
        <v>45080</v>
      </c>
      <c r="H987" s="77"/>
      <c r="I987" s="76">
        <v>0</v>
      </c>
    </row>
    <row r="988" spans="3:9" x14ac:dyDescent="0.35">
      <c r="C988" t="s">
        <v>312</v>
      </c>
      <c r="D988" s="3">
        <v>2018</v>
      </c>
      <c r="E988" s="73">
        <v>9</v>
      </c>
      <c r="F988" s="74" t="s">
        <v>54</v>
      </c>
      <c r="G988" s="77">
        <v>0</v>
      </c>
      <c r="H988" s="75">
        <f>H977</f>
        <v>42380</v>
      </c>
      <c r="I988" s="76">
        <v>1</v>
      </c>
    </row>
    <row r="989" spans="3:9" x14ac:dyDescent="0.35">
      <c r="C989" t="s">
        <v>312</v>
      </c>
      <c r="D989" s="3">
        <v>2018</v>
      </c>
      <c r="E989" s="78">
        <f>E988</f>
        <v>9</v>
      </c>
      <c r="F989" s="74" t="s">
        <v>54</v>
      </c>
      <c r="G989" s="77">
        <f>H988</f>
        <v>42380</v>
      </c>
      <c r="H989" s="77">
        <f>H988+300</f>
        <v>42680</v>
      </c>
      <c r="I989" s="76">
        <v>0.9</v>
      </c>
    </row>
    <row r="990" spans="3:9" x14ac:dyDescent="0.35">
      <c r="C990" t="s">
        <v>312</v>
      </c>
      <c r="D990" s="3">
        <v>2018</v>
      </c>
      <c r="E990" s="78">
        <f t="shared" ref="E990:E1031" si="69">E989</f>
        <v>9</v>
      </c>
      <c r="F990" s="74" t="s">
        <v>54</v>
      </c>
      <c r="G990" s="77">
        <f t="shared" ref="G990:G998" si="70">H989</f>
        <v>42680</v>
      </c>
      <c r="H990" s="77">
        <f t="shared" ref="H990:H997" si="71">H989+300</f>
        <v>42980</v>
      </c>
      <c r="I990" s="76">
        <v>0.8</v>
      </c>
    </row>
    <row r="991" spans="3:9" x14ac:dyDescent="0.35">
      <c r="C991" t="s">
        <v>312</v>
      </c>
      <c r="D991" s="3">
        <v>2018</v>
      </c>
      <c r="E991" s="78">
        <f t="shared" si="69"/>
        <v>9</v>
      </c>
      <c r="F991" s="74" t="s">
        <v>54</v>
      </c>
      <c r="G991" s="77">
        <f t="shared" si="70"/>
        <v>42980</v>
      </c>
      <c r="H991" s="77">
        <f t="shared" si="71"/>
        <v>43280</v>
      </c>
      <c r="I991" s="76">
        <v>0.7</v>
      </c>
    </row>
    <row r="992" spans="3:9" x14ac:dyDescent="0.35">
      <c r="C992" t="s">
        <v>312</v>
      </c>
      <c r="D992" s="3">
        <v>2018</v>
      </c>
      <c r="E992" s="78">
        <f t="shared" si="69"/>
        <v>9</v>
      </c>
      <c r="F992" s="74" t="s">
        <v>54</v>
      </c>
      <c r="G992" s="77">
        <f t="shared" si="70"/>
        <v>43280</v>
      </c>
      <c r="H992" s="77">
        <f t="shared" si="71"/>
        <v>43580</v>
      </c>
      <c r="I992" s="76">
        <v>0.6</v>
      </c>
    </row>
    <row r="993" spans="3:9" x14ac:dyDescent="0.35">
      <c r="C993" t="s">
        <v>312</v>
      </c>
      <c r="D993" s="3">
        <v>2018</v>
      </c>
      <c r="E993" s="78">
        <f t="shared" si="69"/>
        <v>9</v>
      </c>
      <c r="F993" s="74" t="s">
        <v>54</v>
      </c>
      <c r="G993" s="77">
        <f t="shared" si="70"/>
        <v>43580</v>
      </c>
      <c r="H993" s="77">
        <f t="shared" si="71"/>
        <v>43880</v>
      </c>
      <c r="I993" s="76">
        <v>0.5</v>
      </c>
    </row>
    <row r="994" spans="3:9" x14ac:dyDescent="0.35">
      <c r="C994" t="s">
        <v>312</v>
      </c>
      <c r="D994" s="3">
        <v>2018</v>
      </c>
      <c r="E994" s="78">
        <f t="shared" si="69"/>
        <v>9</v>
      </c>
      <c r="F994" s="74" t="s">
        <v>54</v>
      </c>
      <c r="G994" s="77">
        <f t="shared" si="70"/>
        <v>43880</v>
      </c>
      <c r="H994" s="77">
        <f t="shared" si="71"/>
        <v>44180</v>
      </c>
      <c r="I994" s="76">
        <v>0.4</v>
      </c>
    </row>
    <row r="995" spans="3:9" x14ac:dyDescent="0.35">
      <c r="C995" t="s">
        <v>312</v>
      </c>
      <c r="D995" s="3">
        <v>2018</v>
      </c>
      <c r="E995" s="78">
        <f t="shared" si="69"/>
        <v>9</v>
      </c>
      <c r="F995" s="74" t="s">
        <v>54</v>
      </c>
      <c r="G995" s="77">
        <f t="shared" si="70"/>
        <v>44180</v>
      </c>
      <c r="H995" s="77">
        <f t="shared" si="71"/>
        <v>44480</v>
      </c>
      <c r="I995" s="76">
        <v>0.3</v>
      </c>
    </row>
    <row r="996" spans="3:9" x14ac:dyDescent="0.35">
      <c r="C996" t="s">
        <v>312</v>
      </c>
      <c r="D996" s="3">
        <v>2018</v>
      </c>
      <c r="E996" s="78">
        <f t="shared" si="69"/>
        <v>9</v>
      </c>
      <c r="F996" s="74" t="s">
        <v>54</v>
      </c>
      <c r="G996" s="77">
        <f t="shared" si="70"/>
        <v>44480</v>
      </c>
      <c r="H996" s="77">
        <f t="shared" si="71"/>
        <v>44780</v>
      </c>
      <c r="I996" s="76">
        <v>0.2</v>
      </c>
    </row>
    <row r="997" spans="3:9" x14ac:dyDescent="0.35">
      <c r="C997" t="s">
        <v>312</v>
      </c>
      <c r="D997" s="3">
        <v>2018</v>
      </c>
      <c r="E997" s="78">
        <f t="shared" si="69"/>
        <v>9</v>
      </c>
      <c r="F997" s="74" t="s">
        <v>54</v>
      </c>
      <c r="G997" s="77">
        <f t="shared" si="70"/>
        <v>44780</v>
      </c>
      <c r="H997" s="77">
        <f t="shared" si="71"/>
        <v>45080</v>
      </c>
      <c r="I997" s="76">
        <v>0.1</v>
      </c>
    </row>
    <row r="998" spans="3:9" x14ac:dyDescent="0.35">
      <c r="C998" t="s">
        <v>312</v>
      </c>
      <c r="D998" s="3">
        <v>2018</v>
      </c>
      <c r="E998" s="78">
        <f t="shared" si="69"/>
        <v>9</v>
      </c>
      <c r="F998" s="74" t="s">
        <v>54</v>
      </c>
      <c r="G998" s="77">
        <f t="shared" si="70"/>
        <v>45080</v>
      </c>
      <c r="H998" s="77"/>
      <c r="I998" s="76">
        <v>0</v>
      </c>
    </row>
    <row r="999" spans="3:9" x14ac:dyDescent="0.35">
      <c r="C999" t="s">
        <v>312</v>
      </c>
      <c r="D999" s="3">
        <v>2018</v>
      </c>
      <c r="E999" s="78">
        <f t="shared" si="69"/>
        <v>9</v>
      </c>
      <c r="F999" s="74" t="s">
        <v>34</v>
      </c>
      <c r="G999" s="77">
        <v>0</v>
      </c>
      <c r="H999" s="75">
        <f>H988</f>
        <v>42380</v>
      </c>
      <c r="I999" s="76">
        <v>1</v>
      </c>
    </row>
    <row r="1000" spans="3:9" x14ac:dyDescent="0.35">
      <c r="C1000" t="s">
        <v>312</v>
      </c>
      <c r="D1000" s="3">
        <v>2018</v>
      </c>
      <c r="E1000" s="78">
        <f t="shared" si="69"/>
        <v>9</v>
      </c>
      <c r="F1000" s="74" t="s">
        <v>34</v>
      </c>
      <c r="G1000" s="77">
        <f>H999</f>
        <v>42380</v>
      </c>
      <c r="H1000" s="77">
        <f>H999+300</f>
        <v>42680</v>
      </c>
      <c r="I1000" s="76">
        <v>0.9</v>
      </c>
    </row>
    <row r="1001" spans="3:9" x14ac:dyDescent="0.35">
      <c r="C1001" t="s">
        <v>312</v>
      </c>
      <c r="D1001" s="3">
        <v>2018</v>
      </c>
      <c r="E1001" s="78">
        <f t="shared" si="69"/>
        <v>9</v>
      </c>
      <c r="F1001" s="74" t="s">
        <v>34</v>
      </c>
      <c r="G1001" s="77">
        <f t="shared" ref="G1001:G1009" si="72">H1000</f>
        <v>42680</v>
      </c>
      <c r="H1001" s="77">
        <f t="shared" ref="H1001:H1008" si="73">H1000+300</f>
        <v>42980</v>
      </c>
      <c r="I1001" s="76">
        <v>0.8</v>
      </c>
    </row>
    <row r="1002" spans="3:9" x14ac:dyDescent="0.35">
      <c r="C1002" t="s">
        <v>312</v>
      </c>
      <c r="D1002" s="3">
        <v>2018</v>
      </c>
      <c r="E1002" s="78">
        <f t="shared" si="69"/>
        <v>9</v>
      </c>
      <c r="F1002" s="74" t="s">
        <v>34</v>
      </c>
      <c r="G1002" s="77">
        <f t="shared" si="72"/>
        <v>42980</v>
      </c>
      <c r="H1002" s="77">
        <f t="shared" si="73"/>
        <v>43280</v>
      </c>
      <c r="I1002" s="76">
        <v>0.7</v>
      </c>
    </row>
    <row r="1003" spans="3:9" x14ac:dyDescent="0.35">
      <c r="C1003" t="s">
        <v>312</v>
      </c>
      <c r="D1003" s="3">
        <v>2018</v>
      </c>
      <c r="E1003" s="78">
        <f t="shared" si="69"/>
        <v>9</v>
      </c>
      <c r="F1003" s="74" t="s">
        <v>34</v>
      </c>
      <c r="G1003" s="77">
        <f t="shared" si="72"/>
        <v>43280</v>
      </c>
      <c r="H1003" s="77">
        <f t="shared" si="73"/>
        <v>43580</v>
      </c>
      <c r="I1003" s="76">
        <v>0.6</v>
      </c>
    </row>
    <row r="1004" spans="3:9" x14ac:dyDescent="0.35">
      <c r="C1004" t="s">
        <v>312</v>
      </c>
      <c r="D1004" s="3">
        <v>2018</v>
      </c>
      <c r="E1004" s="78">
        <f t="shared" si="69"/>
        <v>9</v>
      </c>
      <c r="F1004" s="74" t="s">
        <v>34</v>
      </c>
      <c r="G1004" s="77">
        <f t="shared" si="72"/>
        <v>43580</v>
      </c>
      <c r="H1004" s="77">
        <f t="shared" si="73"/>
        <v>43880</v>
      </c>
      <c r="I1004" s="76">
        <v>0.5</v>
      </c>
    </row>
    <row r="1005" spans="3:9" x14ac:dyDescent="0.35">
      <c r="C1005" t="s">
        <v>312</v>
      </c>
      <c r="D1005" s="3">
        <v>2018</v>
      </c>
      <c r="E1005" s="78">
        <f t="shared" si="69"/>
        <v>9</v>
      </c>
      <c r="F1005" s="74" t="s">
        <v>34</v>
      </c>
      <c r="G1005" s="77">
        <f t="shared" si="72"/>
        <v>43880</v>
      </c>
      <c r="H1005" s="77">
        <f t="shared" si="73"/>
        <v>44180</v>
      </c>
      <c r="I1005" s="76">
        <v>0.4</v>
      </c>
    </row>
    <row r="1006" spans="3:9" x14ac:dyDescent="0.35">
      <c r="C1006" t="s">
        <v>312</v>
      </c>
      <c r="D1006" s="3">
        <v>2018</v>
      </c>
      <c r="E1006" s="78">
        <f t="shared" si="69"/>
        <v>9</v>
      </c>
      <c r="F1006" s="74" t="s">
        <v>34</v>
      </c>
      <c r="G1006" s="77">
        <f t="shared" si="72"/>
        <v>44180</v>
      </c>
      <c r="H1006" s="77">
        <f t="shared" si="73"/>
        <v>44480</v>
      </c>
      <c r="I1006" s="76">
        <v>0.3</v>
      </c>
    </row>
    <row r="1007" spans="3:9" x14ac:dyDescent="0.35">
      <c r="C1007" t="s">
        <v>312</v>
      </c>
      <c r="D1007" s="3">
        <v>2018</v>
      </c>
      <c r="E1007" s="78">
        <f t="shared" si="69"/>
        <v>9</v>
      </c>
      <c r="F1007" s="74" t="s">
        <v>34</v>
      </c>
      <c r="G1007" s="77">
        <f t="shared" si="72"/>
        <v>44480</v>
      </c>
      <c r="H1007" s="77">
        <f t="shared" si="73"/>
        <v>44780</v>
      </c>
      <c r="I1007" s="76">
        <v>0.2</v>
      </c>
    </row>
    <row r="1008" spans="3:9" x14ac:dyDescent="0.35">
      <c r="C1008" t="s">
        <v>312</v>
      </c>
      <c r="D1008" s="3">
        <v>2018</v>
      </c>
      <c r="E1008" s="78">
        <f t="shared" si="69"/>
        <v>9</v>
      </c>
      <c r="F1008" s="74" t="s">
        <v>34</v>
      </c>
      <c r="G1008" s="77">
        <f t="shared" si="72"/>
        <v>44780</v>
      </c>
      <c r="H1008" s="77">
        <f t="shared" si="73"/>
        <v>45080</v>
      </c>
      <c r="I1008" s="76">
        <v>0.1</v>
      </c>
    </row>
    <row r="1009" spans="3:9" x14ac:dyDescent="0.35">
      <c r="C1009" t="s">
        <v>312</v>
      </c>
      <c r="D1009" s="3">
        <v>2018</v>
      </c>
      <c r="E1009" s="78">
        <f t="shared" si="69"/>
        <v>9</v>
      </c>
      <c r="F1009" s="74" t="s">
        <v>34</v>
      </c>
      <c r="G1009" s="77">
        <f t="shared" si="72"/>
        <v>45080</v>
      </c>
      <c r="H1009" s="77"/>
      <c r="I1009" s="76">
        <v>0</v>
      </c>
    </row>
    <row r="1010" spans="3:9" x14ac:dyDescent="0.35">
      <c r="C1010" t="s">
        <v>312</v>
      </c>
      <c r="D1010" s="3">
        <v>2018</v>
      </c>
      <c r="E1010" s="78">
        <f t="shared" si="69"/>
        <v>9</v>
      </c>
      <c r="F1010" s="74" t="s">
        <v>40</v>
      </c>
      <c r="G1010" s="77">
        <v>0</v>
      </c>
      <c r="H1010" s="75">
        <f>H999</f>
        <v>42380</v>
      </c>
      <c r="I1010" s="76">
        <v>1</v>
      </c>
    </row>
    <row r="1011" spans="3:9" x14ac:dyDescent="0.35">
      <c r="C1011" t="s">
        <v>312</v>
      </c>
      <c r="D1011" s="3">
        <v>2018</v>
      </c>
      <c r="E1011" s="78">
        <f t="shared" si="69"/>
        <v>9</v>
      </c>
      <c r="F1011" s="74" t="s">
        <v>40</v>
      </c>
      <c r="G1011" s="77">
        <f>H1010</f>
        <v>42380</v>
      </c>
      <c r="H1011" s="77">
        <f>H1010+300</f>
        <v>42680</v>
      </c>
      <c r="I1011" s="76">
        <v>0.9</v>
      </c>
    </row>
    <row r="1012" spans="3:9" x14ac:dyDescent="0.35">
      <c r="C1012" t="s">
        <v>312</v>
      </c>
      <c r="D1012" s="3">
        <v>2018</v>
      </c>
      <c r="E1012" s="78">
        <f t="shared" si="69"/>
        <v>9</v>
      </c>
      <c r="F1012" s="74" t="s">
        <v>40</v>
      </c>
      <c r="G1012" s="77">
        <f t="shared" ref="G1012:G1020" si="74">H1011</f>
        <v>42680</v>
      </c>
      <c r="H1012" s="77">
        <f t="shared" ref="H1012:H1019" si="75">H1011+300</f>
        <v>42980</v>
      </c>
      <c r="I1012" s="76">
        <v>0.8</v>
      </c>
    </row>
    <row r="1013" spans="3:9" x14ac:dyDescent="0.35">
      <c r="C1013" t="s">
        <v>312</v>
      </c>
      <c r="D1013" s="3">
        <v>2018</v>
      </c>
      <c r="E1013" s="78">
        <f t="shared" si="69"/>
        <v>9</v>
      </c>
      <c r="F1013" s="74" t="s">
        <v>40</v>
      </c>
      <c r="G1013" s="77">
        <f t="shared" si="74"/>
        <v>42980</v>
      </c>
      <c r="H1013" s="77">
        <f t="shared" si="75"/>
        <v>43280</v>
      </c>
      <c r="I1013" s="76">
        <v>0.7</v>
      </c>
    </row>
    <row r="1014" spans="3:9" x14ac:dyDescent="0.35">
      <c r="C1014" t="s">
        <v>312</v>
      </c>
      <c r="D1014" s="3">
        <v>2018</v>
      </c>
      <c r="E1014" s="78">
        <f t="shared" si="69"/>
        <v>9</v>
      </c>
      <c r="F1014" s="74" t="s">
        <v>40</v>
      </c>
      <c r="G1014" s="77">
        <f t="shared" si="74"/>
        <v>43280</v>
      </c>
      <c r="H1014" s="77">
        <f t="shared" si="75"/>
        <v>43580</v>
      </c>
      <c r="I1014" s="76">
        <v>0.6</v>
      </c>
    </row>
    <row r="1015" spans="3:9" x14ac:dyDescent="0.35">
      <c r="C1015" t="s">
        <v>312</v>
      </c>
      <c r="D1015" s="3">
        <v>2018</v>
      </c>
      <c r="E1015" s="78">
        <f t="shared" si="69"/>
        <v>9</v>
      </c>
      <c r="F1015" s="74" t="s">
        <v>40</v>
      </c>
      <c r="G1015" s="77">
        <f t="shared" si="74"/>
        <v>43580</v>
      </c>
      <c r="H1015" s="77">
        <f t="shared" si="75"/>
        <v>43880</v>
      </c>
      <c r="I1015" s="76">
        <v>0.5</v>
      </c>
    </row>
    <row r="1016" spans="3:9" x14ac:dyDescent="0.35">
      <c r="C1016" t="s">
        <v>312</v>
      </c>
      <c r="D1016" s="3">
        <v>2018</v>
      </c>
      <c r="E1016" s="78">
        <f t="shared" si="69"/>
        <v>9</v>
      </c>
      <c r="F1016" s="74" t="s">
        <v>40</v>
      </c>
      <c r="G1016" s="77">
        <f t="shared" si="74"/>
        <v>43880</v>
      </c>
      <c r="H1016" s="77">
        <f t="shared" si="75"/>
        <v>44180</v>
      </c>
      <c r="I1016" s="76">
        <v>0.4</v>
      </c>
    </row>
    <row r="1017" spans="3:9" x14ac:dyDescent="0.35">
      <c r="C1017" t="s">
        <v>312</v>
      </c>
      <c r="D1017" s="3">
        <v>2018</v>
      </c>
      <c r="E1017" s="78">
        <f t="shared" si="69"/>
        <v>9</v>
      </c>
      <c r="F1017" s="74" t="s">
        <v>40</v>
      </c>
      <c r="G1017" s="77">
        <f t="shared" si="74"/>
        <v>44180</v>
      </c>
      <c r="H1017" s="77">
        <f t="shared" si="75"/>
        <v>44480</v>
      </c>
      <c r="I1017" s="76">
        <v>0.3</v>
      </c>
    </row>
    <row r="1018" spans="3:9" x14ac:dyDescent="0.35">
      <c r="C1018" t="s">
        <v>312</v>
      </c>
      <c r="D1018" s="3">
        <v>2018</v>
      </c>
      <c r="E1018" s="78">
        <f t="shared" si="69"/>
        <v>9</v>
      </c>
      <c r="F1018" s="74" t="s">
        <v>40</v>
      </c>
      <c r="G1018" s="77">
        <f t="shared" si="74"/>
        <v>44480</v>
      </c>
      <c r="H1018" s="77">
        <f t="shared" si="75"/>
        <v>44780</v>
      </c>
      <c r="I1018" s="76">
        <v>0.2</v>
      </c>
    </row>
    <row r="1019" spans="3:9" x14ac:dyDescent="0.35">
      <c r="C1019" t="s">
        <v>312</v>
      </c>
      <c r="D1019" s="3">
        <v>2018</v>
      </c>
      <c r="E1019" s="78">
        <f t="shared" si="69"/>
        <v>9</v>
      </c>
      <c r="F1019" s="74" t="s">
        <v>40</v>
      </c>
      <c r="G1019" s="77">
        <f t="shared" si="74"/>
        <v>44780</v>
      </c>
      <c r="H1019" s="77">
        <f t="shared" si="75"/>
        <v>45080</v>
      </c>
      <c r="I1019" s="76">
        <v>0.1</v>
      </c>
    </row>
    <row r="1020" spans="3:9" x14ac:dyDescent="0.35">
      <c r="C1020" t="s">
        <v>312</v>
      </c>
      <c r="D1020" s="3">
        <v>2018</v>
      </c>
      <c r="E1020" s="78">
        <f t="shared" si="69"/>
        <v>9</v>
      </c>
      <c r="F1020" s="74" t="s">
        <v>40</v>
      </c>
      <c r="G1020" s="77">
        <f t="shared" si="74"/>
        <v>45080</v>
      </c>
      <c r="H1020" s="77"/>
      <c r="I1020" s="76">
        <v>0</v>
      </c>
    </row>
    <row r="1021" spans="3:9" x14ac:dyDescent="0.35">
      <c r="C1021" t="s">
        <v>312</v>
      </c>
      <c r="D1021" s="3">
        <v>2018</v>
      </c>
      <c r="E1021" s="78">
        <f t="shared" si="69"/>
        <v>9</v>
      </c>
      <c r="F1021" s="74" t="s">
        <v>313</v>
      </c>
      <c r="G1021" s="77">
        <v>0</v>
      </c>
      <c r="H1021" s="75">
        <f>H1010</f>
        <v>42380</v>
      </c>
      <c r="I1021" s="76">
        <v>1</v>
      </c>
    </row>
    <row r="1022" spans="3:9" x14ac:dyDescent="0.35">
      <c r="C1022" t="s">
        <v>312</v>
      </c>
      <c r="D1022" s="3">
        <v>2018</v>
      </c>
      <c r="E1022" s="78">
        <f t="shared" si="69"/>
        <v>9</v>
      </c>
      <c r="F1022" s="74" t="s">
        <v>313</v>
      </c>
      <c r="G1022" s="77">
        <f>H1021</f>
        <v>42380</v>
      </c>
      <c r="H1022" s="77">
        <f>H1021+300</f>
        <v>42680</v>
      </c>
      <c r="I1022" s="76">
        <v>0.9</v>
      </c>
    </row>
    <row r="1023" spans="3:9" x14ac:dyDescent="0.35">
      <c r="C1023" t="s">
        <v>312</v>
      </c>
      <c r="D1023" s="3">
        <v>2018</v>
      </c>
      <c r="E1023" s="78">
        <f t="shared" si="69"/>
        <v>9</v>
      </c>
      <c r="F1023" s="74" t="s">
        <v>313</v>
      </c>
      <c r="G1023" s="77">
        <f t="shared" ref="G1023:G1031" si="76">H1022</f>
        <v>42680</v>
      </c>
      <c r="H1023" s="77">
        <f t="shared" ref="H1023:H1030" si="77">H1022+300</f>
        <v>42980</v>
      </c>
      <c r="I1023" s="76">
        <v>0.8</v>
      </c>
    </row>
    <row r="1024" spans="3:9" x14ac:dyDescent="0.35">
      <c r="C1024" t="s">
        <v>312</v>
      </c>
      <c r="D1024" s="3">
        <v>2018</v>
      </c>
      <c r="E1024" s="78">
        <f t="shared" si="69"/>
        <v>9</v>
      </c>
      <c r="F1024" s="74" t="s">
        <v>313</v>
      </c>
      <c r="G1024" s="77">
        <f t="shared" si="76"/>
        <v>42980</v>
      </c>
      <c r="H1024" s="77">
        <f t="shared" si="77"/>
        <v>43280</v>
      </c>
      <c r="I1024" s="76">
        <v>0.7</v>
      </c>
    </row>
    <row r="1025" spans="3:9" x14ac:dyDescent="0.35">
      <c r="C1025" t="s">
        <v>312</v>
      </c>
      <c r="D1025" s="3">
        <v>2018</v>
      </c>
      <c r="E1025" s="78">
        <f t="shared" si="69"/>
        <v>9</v>
      </c>
      <c r="F1025" s="74" t="s">
        <v>313</v>
      </c>
      <c r="G1025" s="77">
        <f t="shared" si="76"/>
        <v>43280</v>
      </c>
      <c r="H1025" s="77">
        <f t="shared" si="77"/>
        <v>43580</v>
      </c>
      <c r="I1025" s="76">
        <v>0.6</v>
      </c>
    </row>
    <row r="1026" spans="3:9" x14ac:dyDescent="0.35">
      <c r="C1026" t="s">
        <v>312</v>
      </c>
      <c r="D1026" s="3">
        <v>2018</v>
      </c>
      <c r="E1026" s="78">
        <f t="shared" si="69"/>
        <v>9</v>
      </c>
      <c r="F1026" s="74" t="s">
        <v>313</v>
      </c>
      <c r="G1026" s="77">
        <f t="shared" si="76"/>
        <v>43580</v>
      </c>
      <c r="H1026" s="77">
        <f t="shared" si="77"/>
        <v>43880</v>
      </c>
      <c r="I1026" s="76">
        <v>0.5</v>
      </c>
    </row>
    <row r="1027" spans="3:9" x14ac:dyDescent="0.35">
      <c r="C1027" t="s">
        <v>312</v>
      </c>
      <c r="D1027" s="3">
        <v>2018</v>
      </c>
      <c r="E1027" s="78">
        <f t="shared" si="69"/>
        <v>9</v>
      </c>
      <c r="F1027" s="74" t="s">
        <v>313</v>
      </c>
      <c r="G1027" s="77">
        <f t="shared" si="76"/>
        <v>43880</v>
      </c>
      <c r="H1027" s="77">
        <f t="shared" si="77"/>
        <v>44180</v>
      </c>
      <c r="I1027" s="76">
        <v>0.4</v>
      </c>
    </row>
    <row r="1028" spans="3:9" x14ac:dyDescent="0.35">
      <c r="C1028" t="s">
        <v>312</v>
      </c>
      <c r="D1028" s="3">
        <v>2018</v>
      </c>
      <c r="E1028" s="78">
        <f t="shared" si="69"/>
        <v>9</v>
      </c>
      <c r="F1028" s="74" t="s">
        <v>313</v>
      </c>
      <c r="G1028" s="77">
        <f t="shared" si="76"/>
        <v>44180</v>
      </c>
      <c r="H1028" s="77">
        <f t="shared" si="77"/>
        <v>44480</v>
      </c>
      <c r="I1028" s="76">
        <v>0.3</v>
      </c>
    </row>
    <row r="1029" spans="3:9" x14ac:dyDescent="0.35">
      <c r="C1029" t="s">
        <v>312</v>
      </c>
      <c r="D1029" s="3">
        <v>2018</v>
      </c>
      <c r="E1029" s="78">
        <f t="shared" si="69"/>
        <v>9</v>
      </c>
      <c r="F1029" s="74" t="s">
        <v>313</v>
      </c>
      <c r="G1029" s="77">
        <f t="shared" si="76"/>
        <v>44480</v>
      </c>
      <c r="H1029" s="77">
        <f t="shared" si="77"/>
        <v>44780</v>
      </c>
      <c r="I1029" s="76">
        <v>0.2</v>
      </c>
    </row>
    <row r="1030" spans="3:9" x14ac:dyDescent="0.35">
      <c r="C1030" t="s">
        <v>312</v>
      </c>
      <c r="D1030" s="3">
        <v>2018</v>
      </c>
      <c r="E1030" s="78">
        <f t="shared" si="69"/>
        <v>9</v>
      </c>
      <c r="F1030" s="74" t="s">
        <v>313</v>
      </c>
      <c r="G1030" s="77">
        <f t="shared" si="76"/>
        <v>44780</v>
      </c>
      <c r="H1030" s="77">
        <f t="shared" si="77"/>
        <v>45080</v>
      </c>
      <c r="I1030" s="76">
        <v>0.1</v>
      </c>
    </row>
    <row r="1031" spans="3:9" x14ac:dyDescent="0.35">
      <c r="C1031" t="s">
        <v>312</v>
      </c>
      <c r="D1031" s="3">
        <v>2018</v>
      </c>
      <c r="E1031" s="78">
        <f t="shared" si="69"/>
        <v>9</v>
      </c>
      <c r="F1031" s="74" t="s">
        <v>313</v>
      </c>
      <c r="G1031" s="77">
        <f t="shared" si="76"/>
        <v>45080</v>
      </c>
      <c r="H1031" s="77"/>
      <c r="I1031" s="76">
        <v>0</v>
      </c>
    </row>
    <row r="1032" spans="3:9" x14ac:dyDescent="0.35">
      <c r="C1032" t="s">
        <v>312</v>
      </c>
      <c r="D1032" s="3">
        <v>2018</v>
      </c>
      <c r="E1032" s="73">
        <v>10</v>
      </c>
      <c r="F1032" s="74" t="s">
        <v>54</v>
      </c>
      <c r="G1032" s="77">
        <v>0</v>
      </c>
      <c r="H1032" s="75">
        <f>H1021</f>
        <v>42380</v>
      </c>
      <c r="I1032" s="76">
        <v>1</v>
      </c>
    </row>
    <row r="1033" spans="3:9" x14ac:dyDescent="0.35">
      <c r="C1033" t="s">
        <v>312</v>
      </c>
      <c r="D1033" s="3">
        <v>2018</v>
      </c>
      <c r="E1033" s="78">
        <f>E1032</f>
        <v>10</v>
      </c>
      <c r="F1033" s="74" t="s">
        <v>54</v>
      </c>
      <c r="G1033" s="77">
        <f>H1032</f>
        <v>42380</v>
      </c>
      <c r="H1033" s="77">
        <f>H1032+300</f>
        <v>42680</v>
      </c>
      <c r="I1033" s="76">
        <v>0.9</v>
      </c>
    </row>
    <row r="1034" spans="3:9" x14ac:dyDescent="0.35">
      <c r="C1034" t="s">
        <v>312</v>
      </c>
      <c r="D1034" s="3">
        <v>2018</v>
      </c>
      <c r="E1034" s="78">
        <f t="shared" ref="E1034:E1075" si="78">E1033</f>
        <v>10</v>
      </c>
      <c r="F1034" s="74" t="s">
        <v>54</v>
      </c>
      <c r="G1034" s="77">
        <f t="shared" ref="G1034:G1042" si="79">H1033</f>
        <v>42680</v>
      </c>
      <c r="H1034" s="77">
        <f t="shared" ref="H1034:H1041" si="80">H1033+300</f>
        <v>42980</v>
      </c>
      <c r="I1034" s="76">
        <v>0.8</v>
      </c>
    </row>
    <row r="1035" spans="3:9" x14ac:dyDescent="0.35">
      <c r="C1035" t="s">
        <v>312</v>
      </c>
      <c r="D1035" s="3">
        <v>2018</v>
      </c>
      <c r="E1035" s="78">
        <f t="shared" si="78"/>
        <v>10</v>
      </c>
      <c r="F1035" s="74" t="s">
        <v>54</v>
      </c>
      <c r="G1035" s="77">
        <f t="shared" si="79"/>
        <v>42980</v>
      </c>
      <c r="H1035" s="77">
        <f t="shared" si="80"/>
        <v>43280</v>
      </c>
      <c r="I1035" s="76">
        <v>0.7</v>
      </c>
    </row>
    <row r="1036" spans="3:9" x14ac:dyDescent="0.35">
      <c r="C1036" t="s">
        <v>312</v>
      </c>
      <c r="D1036" s="3">
        <v>2018</v>
      </c>
      <c r="E1036" s="78">
        <f t="shared" si="78"/>
        <v>10</v>
      </c>
      <c r="F1036" s="74" t="s">
        <v>54</v>
      </c>
      <c r="G1036" s="77">
        <f t="shared" si="79"/>
        <v>43280</v>
      </c>
      <c r="H1036" s="77">
        <f t="shared" si="80"/>
        <v>43580</v>
      </c>
      <c r="I1036" s="76">
        <v>0.6</v>
      </c>
    </row>
    <row r="1037" spans="3:9" x14ac:dyDescent="0.35">
      <c r="C1037" t="s">
        <v>312</v>
      </c>
      <c r="D1037" s="3">
        <v>2018</v>
      </c>
      <c r="E1037" s="78">
        <f t="shared" si="78"/>
        <v>10</v>
      </c>
      <c r="F1037" s="74" t="s">
        <v>54</v>
      </c>
      <c r="G1037" s="77">
        <f t="shared" si="79"/>
        <v>43580</v>
      </c>
      <c r="H1037" s="77">
        <f t="shared" si="80"/>
        <v>43880</v>
      </c>
      <c r="I1037" s="76">
        <v>0.5</v>
      </c>
    </row>
    <row r="1038" spans="3:9" x14ac:dyDescent="0.35">
      <c r="C1038" t="s">
        <v>312</v>
      </c>
      <c r="D1038" s="3">
        <v>2018</v>
      </c>
      <c r="E1038" s="78">
        <f t="shared" si="78"/>
        <v>10</v>
      </c>
      <c r="F1038" s="74" t="s">
        <v>54</v>
      </c>
      <c r="G1038" s="77">
        <f t="shared" si="79"/>
        <v>43880</v>
      </c>
      <c r="H1038" s="77">
        <f t="shared" si="80"/>
        <v>44180</v>
      </c>
      <c r="I1038" s="76">
        <v>0.4</v>
      </c>
    </row>
    <row r="1039" spans="3:9" x14ac:dyDescent="0.35">
      <c r="C1039" t="s">
        <v>312</v>
      </c>
      <c r="D1039" s="3">
        <v>2018</v>
      </c>
      <c r="E1039" s="78">
        <f t="shared" si="78"/>
        <v>10</v>
      </c>
      <c r="F1039" s="74" t="s">
        <v>54</v>
      </c>
      <c r="G1039" s="77">
        <f t="shared" si="79"/>
        <v>44180</v>
      </c>
      <c r="H1039" s="77">
        <f t="shared" si="80"/>
        <v>44480</v>
      </c>
      <c r="I1039" s="76">
        <v>0.3</v>
      </c>
    </row>
    <row r="1040" spans="3:9" x14ac:dyDescent="0.35">
      <c r="C1040" t="s">
        <v>312</v>
      </c>
      <c r="D1040" s="3">
        <v>2018</v>
      </c>
      <c r="E1040" s="78">
        <f t="shared" si="78"/>
        <v>10</v>
      </c>
      <c r="F1040" s="74" t="s">
        <v>54</v>
      </c>
      <c r="G1040" s="77">
        <f t="shared" si="79"/>
        <v>44480</v>
      </c>
      <c r="H1040" s="77">
        <f t="shared" si="80"/>
        <v>44780</v>
      </c>
      <c r="I1040" s="76">
        <v>0.2</v>
      </c>
    </row>
    <row r="1041" spans="3:9" x14ac:dyDescent="0.35">
      <c r="C1041" t="s">
        <v>312</v>
      </c>
      <c r="D1041" s="3">
        <v>2018</v>
      </c>
      <c r="E1041" s="78">
        <f t="shared" si="78"/>
        <v>10</v>
      </c>
      <c r="F1041" s="74" t="s">
        <v>54</v>
      </c>
      <c r="G1041" s="77">
        <f t="shared" si="79"/>
        <v>44780</v>
      </c>
      <c r="H1041" s="77">
        <f t="shared" si="80"/>
        <v>45080</v>
      </c>
      <c r="I1041" s="76">
        <v>0.1</v>
      </c>
    </row>
    <row r="1042" spans="3:9" x14ac:dyDescent="0.35">
      <c r="C1042" t="s">
        <v>312</v>
      </c>
      <c r="D1042" s="3">
        <v>2018</v>
      </c>
      <c r="E1042" s="78">
        <f t="shared" si="78"/>
        <v>10</v>
      </c>
      <c r="F1042" s="74" t="s">
        <v>54</v>
      </c>
      <c r="G1042" s="77">
        <f t="shared" si="79"/>
        <v>45080</v>
      </c>
      <c r="H1042" s="77"/>
      <c r="I1042" s="76">
        <v>0</v>
      </c>
    </row>
    <row r="1043" spans="3:9" x14ac:dyDescent="0.35">
      <c r="C1043" t="s">
        <v>312</v>
      </c>
      <c r="D1043" s="3">
        <v>2018</v>
      </c>
      <c r="E1043" s="78">
        <f t="shared" si="78"/>
        <v>10</v>
      </c>
      <c r="F1043" s="74" t="s">
        <v>34</v>
      </c>
      <c r="G1043" s="77">
        <v>0</v>
      </c>
      <c r="H1043" s="75">
        <f>H1032</f>
        <v>42380</v>
      </c>
      <c r="I1043" s="76">
        <v>1</v>
      </c>
    </row>
    <row r="1044" spans="3:9" x14ac:dyDescent="0.35">
      <c r="C1044" t="s">
        <v>312</v>
      </c>
      <c r="D1044" s="3">
        <v>2018</v>
      </c>
      <c r="E1044" s="78">
        <f t="shared" si="78"/>
        <v>10</v>
      </c>
      <c r="F1044" s="74" t="s">
        <v>34</v>
      </c>
      <c r="G1044" s="77">
        <f>H1043</f>
        <v>42380</v>
      </c>
      <c r="H1044" s="77">
        <f>H1043+300</f>
        <v>42680</v>
      </c>
      <c r="I1044" s="76">
        <v>0.9</v>
      </c>
    </row>
    <row r="1045" spans="3:9" x14ac:dyDescent="0.35">
      <c r="C1045" t="s">
        <v>312</v>
      </c>
      <c r="D1045" s="3">
        <v>2018</v>
      </c>
      <c r="E1045" s="78">
        <f t="shared" si="78"/>
        <v>10</v>
      </c>
      <c r="F1045" s="74" t="s">
        <v>34</v>
      </c>
      <c r="G1045" s="77">
        <f t="shared" ref="G1045:G1053" si="81">H1044</f>
        <v>42680</v>
      </c>
      <c r="H1045" s="77">
        <f t="shared" ref="H1045:H1052" si="82">H1044+300</f>
        <v>42980</v>
      </c>
      <c r="I1045" s="76">
        <v>0.8</v>
      </c>
    </row>
    <row r="1046" spans="3:9" x14ac:dyDescent="0.35">
      <c r="C1046" t="s">
        <v>312</v>
      </c>
      <c r="D1046" s="3">
        <v>2018</v>
      </c>
      <c r="E1046" s="78">
        <f t="shared" si="78"/>
        <v>10</v>
      </c>
      <c r="F1046" s="74" t="s">
        <v>34</v>
      </c>
      <c r="G1046" s="77">
        <f t="shared" si="81"/>
        <v>42980</v>
      </c>
      <c r="H1046" s="77">
        <f t="shared" si="82"/>
        <v>43280</v>
      </c>
      <c r="I1046" s="76">
        <v>0.7</v>
      </c>
    </row>
    <row r="1047" spans="3:9" x14ac:dyDescent="0.35">
      <c r="C1047" t="s">
        <v>312</v>
      </c>
      <c r="D1047" s="3">
        <v>2018</v>
      </c>
      <c r="E1047" s="78">
        <f t="shared" si="78"/>
        <v>10</v>
      </c>
      <c r="F1047" s="74" t="s">
        <v>34</v>
      </c>
      <c r="G1047" s="77">
        <f t="shared" si="81"/>
        <v>43280</v>
      </c>
      <c r="H1047" s="77">
        <f t="shared" si="82"/>
        <v>43580</v>
      </c>
      <c r="I1047" s="76">
        <v>0.6</v>
      </c>
    </row>
    <row r="1048" spans="3:9" x14ac:dyDescent="0.35">
      <c r="C1048" t="s">
        <v>312</v>
      </c>
      <c r="D1048" s="3">
        <v>2018</v>
      </c>
      <c r="E1048" s="78">
        <f t="shared" si="78"/>
        <v>10</v>
      </c>
      <c r="F1048" s="74" t="s">
        <v>34</v>
      </c>
      <c r="G1048" s="77">
        <f t="shared" si="81"/>
        <v>43580</v>
      </c>
      <c r="H1048" s="77">
        <f t="shared" si="82"/>
        <v>43880</v>
      </c>
      <c r="I1048" s="76">
        <v>0.5</v>
      </c>
    </row>
    <row r="1049" spans="3:9" x14ac:dyDescent="0.35">
      <c r="C1049" t="s">
        <v>312</v>
      </c>
      <c r="D1049" s="3">
        <v>2018</v>
      </c>
      <c r="E1049" s="78">
        <f t="shared" si="78"/>
        <v>10</v>
      </c>
      <c r="F1049" s="74" t="s">
        <v>34</v>
      </c>
      <c r="G1049" s="77">
        <f t="shared" si="81"/>
        <v>43880</v>
      </c>
      <c r="H1049" s="77">
        <f t="shared" si="82"/>
        <v>44180</v>
      </c>
      <c r="I1049" s="76">
        <v>0.4</v>
      </c>
    </row>
    <row r="1050" spans="3:9" x14ac:dyDescent="0.35">
      <c r="C1050" t="s">
        <v>312</v>
      </c>
      <c r="D1050" s="3">
        <v>2018</v>
      </c>
      <c r="E1050" s="78">
        <f t="shared" si="78"/>
        <v>10</v>
      </c>
      <c r="F1050" s="74" t="s">
        <v>34</v>
      </c>
      <c r="G1050" s="77">
        <f t="shared" si="81"/>
        <v>44180</v>
      </c>
      <c r="H1050" s="77">
        <f t="shared" si="82"/>
        <v>44480</v>
      </c>
      <c r="I1050" s="76">
        <v>0.3</v>
      </c>
    </row>
    <row r="1051" spans="3:9" x14ac:dyDescent="0.35">
      <c r="C1051" t="s">
        <v>312</v>
      </c>
      <c r="D1051" s="3">
        <v>2018</v>
      </c>
      <c r="E1051" s="78">
        <f t="shared" si="78"/>
        <v>10</v>
      </c>
      <c r="F1051" s="74" t="s">
        <v>34</v>
      </c>
      <c r="G1051" s="77">
        <f t="shared" si="81"/>
        <v>44480</v>
      </c>
      <c r="H1051" s="77">
        <f t="shared" si="82"/>
        <v>44780</v>
      </c>
      <c r="I1051" s="76">
        <v>0.2</v>
      </c>
    </row>
    <row r="1052" spans="3:9" x14ac:dyDescent="0.35">
      <c r="C1052" t="s">
        <v>312</v>
      </c>
      <c r="D1052" s="3">
        <v>2018</v>
      </c>
      <c r="E1052" s="78">
        <f t="shared" si="78"/>
        <v>10</v>
      </c>
      <c r="F1052" s="74" t="s">
        <v>34</v>
      </c>
      <c r="G1052" s="77">
        <f t="shared" si="81"/>
        <v>44780</v>
      </c>
      <c r="H1052" s="77">
        <f t="shared" si="82"/>
        <v>45080</v>
      </c>
      <c r="I1052" s="76">
        <v>0.1</v>
      </c>
    </row>
    <row r="1053" spans="3:9" x14ac:dyDescent="0.35">
      <c r="C1053" t="s">
        <v>312</v>
      </c>
      <c r="D1053" s="3">
        <v>2018</v>
      </c>
      <c r="E1053" s="78">
        <f t="shared" si="78"/>
        <v>10</v>
      </c>
      <c r="F1053" s="74" t="s">
        <v>34</v>
      </c>
      <c r="G1053" s="77">
        <f t="shared" si="81"/>
        <v>45080</v>
      </c>
      <c r="H1053" s="77"/>
      <c r="I1053" s="76">
        <v>0</v>
      </c>
    </row>
    <row r="1054" spans="3:9" x14ac:dyDescent="0.35">
      <c r="C1054" t="s">
        <v>312</v>
      </c>
      <c r="D1054" s="3">
        <v>2018</v>
      </c>
      <c r="E1054" s="78">
        <f t="shared" si="78"/>
        <v>10</v>
      </c>
      <c r="F1054" s="74" t="s">
        <v>40</v>
      </c>
      <c r="G1054" s="77">
        <v>0</v>
      </c>
      <c r="H1054" s="75">
        <f>H1043</f>
        <v>42380</v>
      </c>
      <c r="I1054" s="76">
        <v>1</v>
      </c>
    </row>
    <row r="1055" spans="3:9" x14ac:dyDescent="0.35">
      <c r="C1055" t="s">
        <v>312</v>
      </c>
      <c r="D1055" s="3">
        <v>2018</v>
      </c>
      <c r="E1055" s="78">
        <f t="shared" si="78"/>
        <v>10</v>
      </c>
      <c r="F1055" s="74" t="s">
        <v>40</v>
      </c>
      <c r="G1055" s="77">
        <f>H1054</f>
        <v>42380</v>
      </c>
      <c r="H1055" s="77">
        <f>H1054+300</f>
        <v>42680</v>
      </c>
      <c r="I1055" s="76">
        <v>0.9</v>
      </c>
    </row>
    <row r="1056" spans="3:9" x14ac:dyDescent="0.35">
      <c r="C1056" t="s">
        <v>312</v>
      </c>
      <c r="D1056" s="3">
        <v>2018</v>
      </c>
      <c r="E1056" s="78">
        <f t="shared" si="78"/>
        <v>10</v>
      </c>
      <c r="F1056" s="74" t="s">
        <v>40</v>
      </c>
      <c r="G1056" s="77">
        <f t="shared" ref="G1056:G1064" si="83">H1055</f>
        <v>42680</v>
      </c>
      <c r="H1056" s="77">
        <f t="shared" ref="H1056:H1063" si="84">H1055+300</f>
        <v>42980</v>
      </c>
      <c r="I1056" s="76">
        <v>0.8</v>
      </c>
    </row>
    <row r="1057" spans="3:9" x14ac:dyDescent="0.35">
      <c r="C1057" t="s">
        <v>312</v>
      </c>
      <c r="D1057" s="3">
        <v>2018</v>
      </c>
      <c r="E1057" s="78">
        <f t="shared" si="78"/>
        <v>10</v>
      </c>
      <c r="F1057" s="74" t="s">
        <v>40</v>
      </c>
      <c r="G1057" s="77">
        <f t="shared" si="83"/>
        <v>42980</v>
      </c>
      <c r="H1057" s="77">
        <f t="shared" si="84"/>
        <v>43280</v>
      </c>
      <c r="I1057" s="76">
        <v>0.7</v>
      </c>
    </row>
    <row r="1058" spans="3:9" x14ac:dyDescent="0.35">
      <c r="C1058" t="s">
        <v>312</v>
      </c>
      <c r="D1058" s="3">
        <v>2018</v>
      </c>
      <c r="E1058" s="78">
        <f t="shared" si="78"/>
        <v>10</v>
      </c>
      <c r="F1058" s="74" t="s">
        <v>40</v>
      </c>
      <c r="G1058" s="77">
        <f t="shared" si="83"/>
        <v>43280</v>
      </c>
      <c r="H1058" s="77">
        <f t="shared" si="84"/>
        <v>43580</v>
      </c>
      <c r="I1058" s="76">
        <v>0.6</v>
      </c>
    </row>
    <row r="1059" spans="3:9" x14ac:dyDescent="0.35">
      <c r="C1059" t="s">
        <v>312</v>
      </c>
      <c r="D1059" s="3">
        <v>2018</v>
      </c>
      <c r="E1059" s="78">
        <f t="shared" si="78"/>
        <v>10</v>
      </c>
      <c r="F1059" s="74" t="s">
        <v>40</v>
      </c>
      <c r="G1059" s="77">
        <f t="shared" si="83"/>
        <v>43580</v>
      </c>
      <c r="H1059" s="77">
        <f t="shared" si="84"/>
        <v>43880</v>
      </c>
      <c r="I1059" s="76">
        <v>0.5</v>
      </c>
    </row>
    <row r="1060" spans="3:9" x14ac:dyDescent="0.35">
      <c r="C1060" t="s">
        <v>312</v>
      </c>
      <c r="D1060" s="3">
        <v>2018</v>
      </c>
      <c r="E1060" s="78">
        <f t="shared" si="78"/>
        <v>10</v>
      </c>
      <c r="F1060" s="74" t="s">
        <v>40</v>
      </c>
      <c r="G1060" s="77">
        <f t="shared" si="83"/>
        <v>43880</v>
      </c>
      <c r="H1060" s="77">
        <f t="shared" si="84"/>
        <v>44180</v>
      </c>
      <c r="I1060" s="76">
        <v>0.4</v>
      </c>
    </row>
    <row r="1061" spans="3:9" x14ac:dyDescent="0.35">
      <c r="C1061" t="s">
        <v>312</v>
      </c>
      <c r="D1061" s="3">
        <v>2018</v>
      </c>
      <c r="E1061" s="78">
        <f t="shared" si="78"/>
        <v>10</v>
      </c>
      <c r="F1061" s="74" t="s">
        <v>40</v>
      </c>
      <c r="G1061" s="77">
        <f t="shared" si="83"/>
        <v>44180</v>
      </c>
      <c r="H1061" s="77">
        <f t="shared" si="84"/>
        <v>44480</v>
      </c>
      <c r="I1061" s="76">
        <v>0.3</v>
      </c>
    </row>
    <row r="1062" spans="3:9" x14ac:dyDescent="0.35">
      <c r="C1062" t="s">
        <v>312</v>
      </c>
      <c r="D1062" s="3">
        <v>2018</v>
      </c>
      <c r="E1062" s="78">
        <f t="shared" si="78"/>
        <v>10</v>
      </c>
      <c r="F1062" s="74" t="s">
        <v>40</v>
      </c>
      <c r="G1062" s="77">
        <f t="shared" si="83"/>
        <v>44480</v>
      </c>
      <c r="H1062" s="77">
        <f t="shared" si="84"/>
        <v>44780</v>
      </c>
      <c r="I1062" s="76">
        <v>0.2</v>
      </c>
    </row>
    <row r="1063" spans="3:9" x14ac:dyDescent="0.35">
      <c r="C1063" t="s">
        <v>312</v>
      </c>
      <c r="D1063" s="3">
        <v>2018</v>
      </c>
      <c r="E1063" s="78">
        <f t="shared" si="78"/>
        <v>10</v>
      </c>
      <c r="F1063" s="74" t="s">
        <v>40</v>
      </c>
      <c r="G1063" s="77">
        <f t="shared" si="83"/>
        <v>44780</v>
      </c>
      <c r="H1063" s="77">
        <f t="shared" si="84"/>
        <v>45080</v>
      </c>
      <c r="I1063" s="76">
        <v>0.1</v>
      </c>
    </row>
    <row r="1064" spans="3:9" x14ac:dyDescent="0.35">
      <c r="C1064" t="s">
        <v>312</v>
      </c>
      <c r="D1064" s="3">
        <v>2018</v>
      </c>
      <c r="E1064" s="78">
        <f t="shared" si="78"/>
        <v>10</v>
      </c>
      <c r="F1064" s="74" t="s">
        <v>40</v>
      </c>
      <c r="G1064" s="77">
        <f t="shared" si="83"/>
        <v>45080</v>
      </c>
      <c r="H1064" s="77"/>
      <c r="I1064" s="76">
        <v>0</v>
      </c>
    </row>
    <row r="1065" spans="3:9" x14ac:dyDescent="0.35">
      <c r="C1065" t="s">
        <v>312</v>
      </c>
      <c r="D1065" s="3">
        <v>2018</v>
      </c>
      <c r="E1065" s="78">
        <f t="shared" si="78"/>
        <v>10</v>
      </c>
      <c r="F1065" s="74" t="s">
        <v>313</v>
      </c>
      <c r="G1065" s="77">
        <v>0</v>
      </c>
      <c r="H1065" s="75">
        <f>H1054</f>
        <v>42380</v>
      </c>
      <c r="I1065" s="76">
        <v>1</v>
      </c>
    </row>
    <row r="1066" spans="3:9" x14ac:dyDescent="0.35">
      <c r="C1066" t="s">
        <v>312</v>
      </c>
      <c r="D1066" s="3">
        <v>2018</v>
      </c>
      <c r="E1066" s="78">
        <f t="shared" si="78"/>
        <v>10</v>
      </c>
      <c r="F1066" s="74" t="s">
        <v>313</v>
      </c>
      <c r="G1066" s="77">
        <f>H1065</f>
        <v>42380</v>
      </c>
      <c r="H1066" s="77">
        <f>H1065+300</f>
        <v>42680</v>
      </c>
      <c r="I1066" s="76">
        <v>0.9</v>
      </c>
    </row>
    <row r="1067" spans="3:9" x14ac:dyDescent="0.35">
      <c r="C1067" t="s">
        <v>312</v>
      </c>
      <c r="D1067" s="3">
        <v>2018</v>
      </c>
      <c r="E1067" s="78">
        <f t="shared" si="78"/>
        <v>10</v>
      </c>
      <c r="F1067" s="74" t="s">
        <v>313</v>
      </c>
      <c r="G1067" s="77">
        <f t="shared" ref="G1067:G1075" si="85">H1066</f>
        <v>42680</v>
      </c>
      <c r="H1067" s="77">
        <f t="shared" ref="H1067:H1074" si="86">H1066+300</f>
        <v>42980</v>
      </c>
      <c r="I1067" s="76">
        <v>0.8</v>
      </c>
    </row>
    <row r="1068" spans="3:9" x14ac:dyDescent="0.35">
      <c r="C1068" t="s">
        <v>312</v>
      </c>
      <c r="D1068" s="3">
        <v>2018</v>
      </c>
      <c r="E1068" s="78">
        <f t="shared" si="78"/>
        <v>10</v>
      </c>
      <c r="F1068" s="74" t="s">
        <v>313</v>
      </c>
      <c r="G1068" s="77">
        <f t="shared" si="85"/>
        <v>42980</v>
      </c>
      <c r="H1068" s="77">
        <f t="shared" si="86"/>
        <v>43280</v>
      </c>
      <c r="I1068" s="76">
        <v>0.7</v>
      </c>
    </row>
    <row r="1069" spans="3:9" x14ac:dyDescent="0.35">
      <c r="C1069" t="s">
        <v>312</v>
      </c>
      <c r="D1069" s="3">
        <v>2018</v>
      </c>
      <c r="E1069" s="78">
        <f t="shared" si="78"/>
        <v>10</v>
      </c>
      <c r="F1069" s="74" t="s">
        <v>313</v>
      </c>
      <c r="G1069" s="77">
        <f t="shared" si="85"/>
        <v>43280</v>
      </c>
      <c r="H1069" s="77">
        <f t="shared" si="86"/>
        <v>43580</v>
      </c>
      <c r="I1069" s="76">
        <v>0.6</v>
      </c>
    </row>
    <row r="1070" spans="3:9" x14ac:dyDescent="0.35">
      <c r="C1070" t="s">
        <v>312</v>
      </c>
      <c r="D1070" s="3">
        <v>2018</v>
      </c>
      <c r="E1070" s="78">
        <f t="shared" si="78"/>
        <v>10</v>
      </c>
      <c r="F1070" s="74" t="s">
        <v>313</v>
      </c>
      <c r="G1070" s="77">
        <f t="shared" si="85"/>
        <v>43580</v>
      </c>
      <c r="H1070" s="77">
        <f t="shared" si="86"/>
        <v>43880</v>
      </c>
      <c r="I1070" s="76">
        <v>0.5</v>
      </c>
    </row>
    <row r="1071" spans="3:9" x14ac:dyDescent="0.35">
      <c r="C1071" t="s">
        <v>312</v>
      </c>
      <c r="D1071" s="3">
        <v>2018</v>
      </c>
      <c r="E1071" s="78">
        <f t="shared" si="78"/>
        <v>10</v>
      </c>
      <c r="F1071" s="74" t="s">
        <v>313</v>
      </c>
      <c r="G1071" s="77">
        <f t="shared" si="85"/>
        <v>43880</v>
      </c>
      <c r="H1071" s="77">
        <f t="shared" si="86"/>
        <v>44180</v>
      </c>
      <c r="I1071" s="76">
        <v>0.4</v>
      </c>
    </row>
    <row r="1072" spans="3:9" x14ac:dyDescent="0.35">
      <c r="C1072" t="s">
        <v>312</v>
      </c>
      <c r="D1072" s="3">
        <v>2018</v>
      </c>
      <c r="E1072" s="78">
        <f t="shared" si="78"/>
        <v>10</v>
      </c>
      <c r="F1072" s="74" t="s">
        <v>313</v>
      </c>
      <c r="G1072" s="77">
        <f t="shared" si="85"/>
        <v>44180</v>
      </c>
      <c r="H1072" s="77">
        <f t="shared" si="86"/>
        <v>44480</v>
      </c>
      <c r="I1072" s="76">
        <v>0.3</v>
      </c>
    </row>
    <row r="1073" spans="3:9" x14ac:dyDescent="0.35">
      <c r="C1073" t="s">
        <v>312</v>
      </c>
      <c r="D1073" s="3">
        <v>2018</v>
      </c>
      <c r="E1073" s="78">
        <f t="shared" si="78"/>
        <v>10</v>
      </c>
      <c r="F1073" s="74" t="s">
        <v>313</v>
      </c>
      <c r="G1073" s="77">
        <f t="shared" si="85"/>
        <v>44480</v>
      </c>
      <c r="H1073" s="77">
        <f t="shared" si="86"/>
        <v>44780</v>
      </c>
      <c r="I1073" s="76">
        <v>0.2</v>
      </c>
    </row>
    <row r="1074" spans="3:9" x14ac:dyDescent="0.35">
      <c r="C1074" t="s">
        <v>312</v>
      </c>
      <c r="D1074" s="3">
        <v>2018</v>
      </c>
      <c r="E1074" s="78">
        <f t="shared" si="78"/>
        <v>10</v>
      </c>
      <c r="F1074" s="74" t="s">
        <v>313</v>
      </c>
      <c r="G1074" s="77">
        <f t="shared" si="85"/>
        <v>44780</v>
      </c>
      <c r="H1074" s="77">
        <f t="shared" si="86"/>
        <v>45080</v>
      </c>
      <c r="I1074" s="76">
        <v>0.1</v>
      </c>
    </row>
    <row r="1075" spans="3:9" x14ac:dyDescent="0.35">
      <c r="C1075" t="s">
        <v>312</v>
      </c>
      <c r="D1075" s="3">
        <v>2018</v>
      </c>
      <c r="E1075" s="78">
        <f t="shared" si="78"/>
        <v>10</v>
      </c>
      <c r="F1075" s="74" t="s">
        <v>313</v>
      </c>
      <c r="G1075" s="77">
        <f t="shared" si="85"/>
        <v>45080</v>
      </c>
      <c r="H1075" s="77"/>
      <c r="I1075" s="76">
        <v>0</v>
      </c>
    </row>
    <row r="1076" spans="3:9" x14ac:dyDescent="0.35">
      <c r="C1076" t="s">
        <v>312</v>
      </c>
      <c r="D1076" s="3">
        <v>2018</v>
      </c>
      <c r="E1076" s="73">
        <v>1</v>
      </c>
      <c r="F1076" s="74" t="s">
        <v>36</v>
      </c>
      <c r="G1076" s="75">
        <v>0</v>
      </c>
      <c r="H1076" s="75">
        <v>6070</v>
      </c>
      <c r="I1076" s="76">
        <v>1</v>
      </c>
    </row>
    <row r="1077" spans="3:9" x14ac:dyDescent="0.35">
      <c r="C1077" t="s">
        <v>312</v>
      </c>
      <c r="D1077" s="3">
        <v>2018</v>
      </c>
      <c r="E1077" s="73">
        <v>1</v>
      </c>
      <c r="F1077" s="74" t="s">
        <v>36</v>
      </c>
      <c r="G1077" s="77">
        <f>H1076</f>
        <v>6070</v>
      </c>
      <c r="H1077" s="77">
        <f>H1076+150</f>
        <v>6220</v>
      </c>
      <c r="I1077" s="76">
        <v>0.9</v>
      </c>
    </row>
    <row r="1078" spans="3:9" x14ac:dyDescent="0.35">
      <c r="C1078" t="s">
        <v>312</v>
      </c>
      <c r="D1078" s="3">
        <v>2018</v>
      </c>
      <c r="E1078" s="73">
        <v>1</v>
      </c>
      <c r="F1078" s="74" t="s">
        <v>36</v>
      </c>
      <c r="G1078" s="77">
        <f t="shared" ref="G1078:G1086" si="87">H1077</f>
        <v>6220</v>
      </c>
      <c r="H1078" s="77">
        <f t="shared" ref="H1078:H1084" si="88">H1077+150</f>
        <v>6370</v>
      </c>
      <c r="I1078" s="76">
        <v>0.8</v>
      </c>
    </row>
    <row r="1079" spans="3:9" x14ac:dyDescent="0.35">
      <c r="C1079" t="s">
        <v>312</v>
      </c>
      <c r="D1079" s="3">
        <v>2018</v>
      </c>
      <c r="E1079" s="73">
        <v>1</v>
      </c>
      <c r="F1079" s="74" t="s">
        <v>36</v>
      </c>
      <c r="G1079" s="77">
        <f t="shared" si="87"/>
        <v>6370</v>
      </c>
      <c r="H1079" s="77">
        <f t="shared" si="88"/>
        <v>6520</v>
      </c>
      <c r="I1079" s="76">
        <v>0.7</v>
      </c>
    </row>
    <row r="1080" spans="3:9" x14ac:dyDescent="0.35">
      <c r="C1080" t="s">
        <v>312</v>
      </c>
      <c r="D1080" s="3">
        <v>2018</v>
      </c>
      <c r="E1080" s="73">
        <v>1</v>
      </c>
      <c r="F1080" s="74" t="s">
        <v>36</v>
      </c>
      <c r="G1080" s="77">
        <f t="shared" si="87"/>
        <v>6520</v>
      </c>
      <c r="H1080" s="77">
        <f t="shared" si="88"/>
        <v>6670</v>
      </c>
      <c r="I1080" s="76">
        <v>0.6</v>
      </c>
    </row>
    <row r="1081" spans="3:9" x14ac:dyDescent="0.35">
      <c r="C1081" t="s">
        <v>312</v>
      </c>
      <c r="D1081" s="3">
        <v>2018</v>
      </c>
      <c r="E1081" s="73">
        <v>1</v>
      </c>
      <c r="F1081" s="74" t="s">
        <v>36</v>
      </c>
      <c r="G1081" s="77">
        <f t="shared" si="87"/>
        <v>6670</v>
      </c>
      <c r="H1081" s="77">
        <f t="shared" si="88"/>
        <v>6820</v>
      </c>
      <c r="I1081" s="76">
        <v>0.5</v>
      </c>
    </row>
    <row r="1082" spans="3:9" x14ac:dyDescent="0.35">
      <c r="C1082" t="s">
        <v>312</v>
      </c>
      <c r="D1082" s="3">
        <v>2018</v>
      </c>
      <c r="E1082" s="73">
        <v>1</v>
      </c>
      <c r="F1082" s="74" t="s">
        <v>36</v>
      </c>
      <c r="G1082" s="77">
        <f t="shared" si="87"/>
        <v>6820</v>
      </c>
      <c r="H1082" s="77">
        <f t="shared" si="88"/>
        <v>6970</v>
      </c>
      <c r="I1082" s="76">
        <v>0.4</v>
      </c>
    </row>
    <row r="1083" spans="3:9" x14ac:dyDescent="0.35">
      <c r="C1083" t="s">
        <v>312</v>
      </c>
      <c r="D1083" s="3">
        <v>2018</v>
      </c>
      <c r="E1083" s="73">
        <v>1</v>
      </c>
      <c r="F1083" s="74" t="s">
        <v>36</v>
      </c>
      <c r="G1083" s="77">
        <f t="shared" si="87"/>
        <v>6970</v>
      </c>
      <c r="H1083" s="77">
        <f t="shared" si="88"/>
        <v>7120</v>
      </c>
      <c r="I1083" s="76">
        <v>0.3</v>
      </c>
    </row>
    <row r="1084" spans="3:9" x14ac:dyDescent="0.35">
      <c r="C1084" t="s">
        <v>312</v>
      </c>
      <c r="D1084" s="3">
        <v>2018</v>
      </c>
      <c r="E1084" s="73">
        <v>1</v>
      </c>
      <c r="F1084" s="74" t="s">
        <v>36</v>
      </c>
      <c r="G1084" s="77">
        <f t="shared" si="87"/>
        <v>7120</v>
      </c>
      <c r="H1084" s="77">
        <f t="shared" si="88"/>
        <v>7270</v>
      </c>
      <c r="I1084" s="76">
        <v>0.2</v>
      </c>
    </row>
    <row r="1085" spans="3:9" x14ac:dyDescent="0.35">
      <c r="C1085" t="s">
        <v>312</v>
      </c>
      <c r="D1085" s="3">
        <v>2018</v>
      </c>
      <c r="E1085" s="73">
        <v>1</v>
      </c>
      <c r="F1085" s="74" t="s">
        <v>36</v>
      </c>
      <c r="G1085" s="77">
        <f t="shared" si="87"/>
        <v>7270</v>
      </c>
      <c r="H1085" s="77">
        <f>H1084+150</f>
        <v>7420</v>
      </c>
      <c r="I1085" s="76">
        <v>0.1</v>
      </c>
    </row>
    <row r="1086" spans="3:9" x14ac:dyDescent="0.35">
      <c r="C1086" t="s">
        <v>312</v>
      </c>
      <c r="D1086" s="3">
        <v>2018</v>
      </c>
      <c r="E1086" s="73">
        <v>1</v>
      </c>
      <c r="F1086" s="74" t="s">
        <v>36</v>
      </c>
      <c r="G1086" s="77">
        <f t="shared" si="87"/>
        <v>7420</v>
      </c>
      <c r="H1086" s="77"/>
      <c r="I1086" s="76">
        <v>0</v>
      </c>
    </row>
    <row r="1087" spans="3:9" x14ac:dyDescent="0.35">
      <c r="C1087" t="s">
        <v>312</v>
      </c>
      <c r="D1087" s="3">
        <v>2018</v>
      </c>
      <c r="E1087" s="73">
        <v>2</v>
      </c>
      <c r="F1087" s="74" t="s">
        <v>36</v>
      </c>
      <c r="G1087" s="77">
        <v>0</v>
      </c>
      <c r="H1087" s="77">
        <v>8230</v>
      </c>
      <c r="I1087" s="76">
        <v>1</v>
      </c>
    </row>
    <row r="1088" spans="3:9" x14ac:dyDescent="0.35">
      <c r="C1088" t="s">
        <v>312</v>
      </c>
      <c r="D1088" s="3">
        <v>2018</v>
      </c>
      <c r="E1088" s="78">
        <f>E1087</f>
        <v>2</v>
      </c>
      <c r="F1088" s="74" t="s">
        <v>36</v>
      </c>
      <c r="G1088" s="77">
        <f>H1087</f>
        <v>8230</v>
      </c>
      <c r="H1088" s="77">
        <f>H1087+150</f>
        <v>8380</v>
      </c>
      <c r="I1088" s="76">
        <v>0.9</v>
      </c>
    </row>
    <row r="1089" spans="3:9" x14ac:dyDescent="0.35">
      <c r="C1089" t="s">
        <v>312</v>
      </c>
      <c r="D1089" s="3">
        <v>2018</v>
      </c>
      <c r="E1089" s="78">
        <f t="shared" ref="E1089:E1097" si="89">E1088</f>
        <v>2</v>
      </c>
      <c r="F1089" s="74" t="s">
        <v>36</v>
      </c>
      <c r="G1089" s="77">
        <f t="shared" ref="G1089:G1097" si="90">H1088</f>
        <v>8380</v>
      </c>
      <c r="H1089" s="77">
        <f t="shared" ref="H1089:H1095" si="91">H1088+150</f>
        <v>8530</v>
      </c>
      <c r="I1089" s="76">
        <v>0.8</v>
      </c>
    </row>
    <row r="1090" spans="3:9" x14ac:dyDescent="0.35">
      <c r="C1090" t="s">
        <v>312</v>
      </c>
      <c r="D1090" s="3">
        <v>2018</v>
      </c>
      <c r="E1090" s="78">
        <f t="shared" si="89"/>
        <v>2</v>
      </c>
      <c r="F1090" s="74" t="s">
        <v>36</v>
      </c>
      <c r="G1090" s="77">
        <f t="shared" si="90"/>
        <v>8530</v>
      </c>
      <c r="H1090" s="77">
        <f t="shared" si="91"/>
        <v>8680</v>
      </c>
      <c r="I1090" s="76">
        <v>0.7</v>
      </c>
    </row>
    <row r="1091" spans="3:9" x14ac:dyDescent="0.35">
      <c r="C1091" t="s">
        <v>312</v>
      </c>
      <c r="D1091" s="3">
        <v>2018</v>
      </c>
      <c r="E1091" s="78">
        <f t="shared" si="89"/>
        <v>2</v>
      </c>
      <c r="F1091" s="74" t="s">
        <v>36</v>
      </c>
      <c r="G1091" s="77">
        <f t="shared" si="90"/>
        <v>8680</v>
      </c>
      <c r="H1091" s="77">
        <f t="shared" si="91"/>
        <v>8830</v>
      </c>
      <c r="I1091" s="76">
        <v>0.6</v>
      </c>
    </row>
    <row r="1092" spans="3:9" x14ac:dyDescent="0.35">
      <c r="C1092" t="s">
        <v>312</v>
      </c>
      <c r="D1092" s="3">
        <v>2018</v>
      </c>
      <c r="E1092" s="78">
        <f t="shared" si="89"/>
        <v>2</v>
      </c>
      <c r="F1092" s="74" t="s">
        <v>36</v>
      </c>
      <c r="G1092" s="77">
        <f t="shared" si="90"/>
        <v>8830</v>
      </c>
      <c r="H1092" s="77">
        <f t="shared" si="91"/>
        <v>8980</v>
      </c>
      <c r="I1092" s="76">
        <v>0.5</v>
      </c>
    </row>
    <row r="1093" spans="3:9" x14ac:dyDescent="0.35">
      <c r="C1093" t="s">
        <v>312</v>
      </c>
      <c r="D1093" s="3">
        <v>2018</v>
      </c>
      <c r="E1093" s="78">
        <f t="shared" si="89"/>
        <v>2</v>
      </c>
      <c r="F1093" s="74" t="s">
        <v>36</v>
      </c>
      <c r="G1093" s="77">
        <f t="shared" si="90"/>
        <v>8980</v>
      </c>
      <c r="H1093" s="77">
        <f t="shared" si="91"/>
        <v>9130</v>
      </c>
      <c r="I1093" s="76">
        <v>0.4</v>
      </c>
    </row>
    <row r="1094" spans="3:9" x14ac:dyDescent="0.35">
      <c r="C1094" t="s">
        <v>312</v>
      </c>
      <c r="D1094" s="3">
        <v>2018</v>
      </c>
      <c r="E1094" s="78">
        <f t="shared" si="89"/>
        <v>2</v>
      </c>
      <c r="F1094" s="74" t="s">
        <v>36</v>
      </c>
      <c r="G1094" s="77">
        <f t="shared" si="90"/>
        <v>9130</v>
      </c>
      <c r="H1094" s="77">
        <f t="shared" si="91"/>
        <v>9280</v>
      </c>
      <c r="I1094" s="76">
        <v>0.3</v>
      </c>
    </row>
    <row r="1095" spans="3:9" x14ac:dyDescent="0.35">
      <c r="C1095" t="s">
        <v>312</v>
      </c>
      <c r="D1095" s="3">
        <v>2018</v>
      </c>
      <c r="E1095" s="78">
        <f t="shared" si="89"/>
        <v>2</v>
      </c>
      <c r="F1095" s="74" t="s">
        <v>36</v>
      </c>
      <c r="G1095" s="77">
        <f t="shared" si="90"/>
        <v>9280</v>
      </c>
      <c r="H1095" s="77">
        <f t="shared" si="91"/>
        <v>9430</v>
      </c>
      <c r="I1095" s="76">
        <v>0.2</v>
      </c>
    </row>
    <row r="1096" spans="3:9" x14ac:dyDescent="0.35">
      <c r="C1096" t="s">
        <v>312</v>
      </c>
      <c r="D1096" s="3">
        <v>2018</v>
      </c>
      <c r="E1096" s="78">
        <f t="shared" si="89"/>
        <v>2</v>
      </c>
      <c r="F1096" s="74" t="s">
        <v>36</v>
      </c>
      <c r="G1096" s="77">
        <f t="shared" si="90"/>
        <v>9430</v>
      </c>
      <c r="H1096" s="77">
        <f>H1095+150</f>
        <v>9580</v>
      </c>
      <c r="I1096" s="76">
        <v>0.1</v>
      </c>
    </row>
    <row r="1097" spans="3:9" x14ac:dyDescent="0.35">
      <c r="C1097" t="s">
        <v>312</v>
      </c>
      <c r="D1097" s="3">
        <v>2018</v>
      </c>
      <c r="E1097" s="78">
        <f t="shared" si="89"/>
        <v>2</v>
      </c>
      <c r="F1097" s="74" t="s">
        <v>36</v>
      </c>
      <c r="G1097" s="77">
        <f t="shared" si="90"/>
        <v>9580</v>
      </c>
      <c r="H1097" s="77"/>
      <c r="I1097" s="76">
        <v>0</v>
      </c>
    </row>
    <row r="1098" spans="3:9" x14ac:dyDescent="0.35">
      <c r="C1098" t="s">
        <v>312</v>
      </c>
      <c r="D1098" s="3">
        <v>2018</v>
      </c>
      <c r="E1098" s="73">
        <v>3</v>
      </c>
      <c r="F1098" s="74" t="s">
        <v>36</v>
      </c>
      <c r="G1098" s="77">
        <v>0</v>
      </c>
      <c r="H1098" s="77">
        <v>10390</v>
      </c>
      <c r="I1098" s="76">
        <v>1</v>
      </c>
    </row>
    <row r="1099" spans="3:9" x14ac:dyDescent="0.35">
      <c r="C1099" t="s">
        <v>312</v>
      </c>
      <c r="D1099" s="3">
        <v>2018</v>
      </c>
      <c r="E1099" s="78">
        <f>E1098</f>
        <v>3</v>
      </c>
      <c r="F1099" s="74" t="s">
        <v>36</v>
      </c>
      <c r="G1099" s="77">
        <f>H1098</f>
        <v>10390</v>
      </c>
      <c r="H1099" s="77">
        <f>H1098+150</f>
        <v>10540</v>
      </c>
      <c r="I1099" s="76">
        <v>0.9</v>
      </c>
    </row>
    <row r="1100" spans="3:9" x14ac:dyDescent="0.35">
      <c r="C1100" t="s">
        <v>312</v>
      </c>
      <c r="D1100" s="3">
        <v>2018</v>
      </c>
      <c r="E1100" s="78">
        <f t="shared" ref="E1100:E1108" si="92">E1099</f>
        <v>3</v>
      </c>
      <c r="F1100" s="74" t="s">
        <v>36</v>
      </c>
      <c r="G1100" s="77">
        <f t="shared" ref="G1100:G1108" si="93">H1099</f>
        <v>10540</v>
      </c>
      <c r="H1100" s="77">
        <f t="shared" ref="H1100:H1106" si="94">H1099+150</f>
        <v>10690</v>
      </c>
      <c r="I1100" s="76">
        <v>0.8</v>
      </c>
    </row>
    <row r="1101" spans="3:9" x14ac:dyDescent="0.35">
      <c r="C1101" t="s">
        <v>312</v>
      </c>
      <c r="D1101" s="3">
        <v>2018</v>
      </c>
      <c r="E1101" s="78">
        <f t="shared" si="92"/>
        <v>3</v>
      </c>
      <c r="F1101" s="74" t="s">
        <v>36</v>
      </c>
      <c r="G1101" s="77">
        <f t="shared" si="93"/>
        <v>10690</v>
      </c>
      <c r="H1101" s="77">
        <f t="shared" si="94"/>
        <v>10840</v>
      </c>
      <c r="I1101" s="76">
        <v>0.7</v>
      </c>
    </row>
    <row r="1102" spans="3:9" x14ac:dyDescent="0.35">
      <c r="C1102" t="s">
        <v>312</v>
      </c>
      <c r="D1102" s="3">
        <v>2018</v>
      </c>
      <c r="E1102" s="78">
        <f t="shared" si="92"/>
        <v>3</v>
      </c>
      <c r="F1102" s="74" t="s">
        <v>36</v>
      </c>
      <c r="G1102" s="77">
        <f t="shared" si="93"/>
        <v>10840</v>
      </c>
      <c r="H1102" s="77">
        <f t="shared" si="94"/>
        <v>10990</v>
      </c>
      <c r="I1102" s="76">
        <v>0.6</v>
      </c>
    </row>
    <row r="1103" spans="3:9" x14ac:dyDescent="0.35">
      <c r="C1103" t="s">
        <v>312</v>
      </c>
      <c r="D1103" s="3">
        <v>2018</v>
      </c>
      <c r="E1103" s="78">
        <f t="shared" si="92"/>
        <v>3</v>
      </c>
      <c r="F1103" s="74" t="s">
        <v>36</v>
      </c>
      <c r="G1103" s="77">
        <f t="shared" si="93"/>
        <v>10990</v>
      </c>
      <c r="H1103" s="77">
        <f t="shared" si="94"/>
        <v>11140</v>
      </c>
      <c r="I1103" s="76">
        <v>0.5</v>
      </c>
    </row>
    <row r="1104" spans="3:9" x14ac:dyDescent="0.35">
      <c r="C1104" t="s">
        <v>312</v>
      </c>
      <c r="D1104" s="3">
        <v>2018</v>
      </c>
      <c r="E1104" s="78">
        <f t="shared" si="92"/>
        <v>3</v>
      </c>
      <c r="F1104" s="74" t="s">
        <v>36</v>
      </c>
      <c r="G1104" s="77">
        <f t="shared" si="93"/>
        <v>11140</v>
      </c>
      <c r="H1104" s="77">
        <f t="shared" si="94"/>
        <v>11290</v>
      </c>
      <c r="I1104" s="76">
        <v>0.4</v>
      </c>
    </row>
    <row r="1105" spans="3:9" x14ac:dyDescent="0.35">
      <c r="C1105" t="s">
        <v>312</v>
      </c>
      <c r="D1105" s="3">
        <v>2018</v>
      </c>
      <c r="E1105" s="78">
        <f t="shared" si="92"/>
        <v>3</v>
      </c>
      <c r="F1105" s="74" t="s">
        <v>36</v>
      </c>
      <c r="G1105" s="77">
        <f t="shared" si="93"/>
        <v>11290</v>
      </c>
      <c r="H1105" s="77">
        <f t="shared" si="94"/>
        <v>11440</v>
      </c>
      <c r="I1105" s="76">
        <v>0.3</v>
      </c>
    </row>
    <row r="1106" spans="3:9" x14ac:dyDescent="0.35">
      <c r="C1106" t="s">
        <v>312</v>
      </c>
      <c r="D1106" s="3">
        <v>2018</v>
      </c>
      <c r="E1106" s="78">
        <f t="shared" si="92"/>
        <v>3</v>
      </c>
      <c r="F1106" s="74" t="s">
        <v>36</v>
      </c>
      <c r="G1106" s="77">
        <f t="shared" si="93"/>
        <v>11440</v>
      </c>
      <c r="H1106" s="77">
        <f t="shared" si="94"/>
        <v>11590</v>
      </c>
      <c r="I1106" s="76">
        <v>0.2</v>
      </c>
    </row>
    <row r="1107" spans="3:9" x14ac:dyDescent="0.35">
      <c r="C1107" t="s">
        <v>312</v>
      </c>
      <c r="D1107" s="3">
        <v>2018</v>
      </c>
      <c r="E1107" s="78">
        <f t="shared" si="92"/>
        <v>3</v>
      </c>
      <c r="F1107" s="74" t="s">
        <v>36</v>
      </c>
      <c r="G1107" s="77">
        <f t="shared" si="93"/>
        <v>11590</v>
      </c>
      <c r="H1107" s="77">
        <f>H1106+150</f>
        <v>11740</v>
      </c>
      <c r="I1107" s="76">
        <v>0.1</v>
      </c>
    </row>
    <row r="1108" spans="3:9" x14ac:dyDescent="0.35">
      <c r="C1108" t="s">
        <v>312</v>
      </c>
      <c r="D1108" s="3">
        <v>2018</v>
      </c>
      <c r="E1108" s="78">
        <f t="shared" si="92"/>
        <v>3</v>
      </c>
      <c r="F1108" s="74" t="s">
        <v>36</v>
      </c>
      <c r="G1108" s="77">
        <f t="shared" si="93"/>
        <v>11740</v>
      </c>
      <c r="H1108" s="77"/>
      <c r="I1108" s="76">
        <v>0</v>
      </c>
    </row>
    <row r="1109" spans="3:9" x14ac:dyDescent="0.35">
      <c r="C1109" t="s">
        <v>312</v>
      </c>
      <c r="D1109" s="3">
        <v>2018</v>
      </c>
      <c r="E1109" s="73">
        <v>4</v>
      </c>
      <c r="F1109" s="74" t="s">
        <v>36</v>
      </c>
      <c r="G1109" s="77">
        <v>0</v>
      </c>
      <c r="H1109" s="77">
        <v>12550</v>
      </c>
      <c r="I1109" s="76">
        <v>1</v>
      </c>
    </row>
    <row r="1110" spans="3:9" x14ac:dyDescent="0.35">
      <c r="C1110" t="s">
        <v>312</v>
      </c>
      <c r="D1110" s="3">
        <v>2018</v>
      </c>
      <c r="E1110" s="78">
        <f>E1109</f>
        <v>4</v>
      </c>
      <c r="F1110" s="74" t="s">
        <v>36</v>
      </c>
      <c r="G1110" s="77">
        <f>H1109</f>
        <v>12550</v>
      </c>
      <c r="H1110" s="77">
        <f>H1109+150</f>
        <v>12700</v>
      </c>
      <c r="I1110" s="76">
        <v>0.9</v>
      </c>
    </row>
    <row r="1111" spans="3:9" x14ac:dyDescent="0.35">
      <c r="C1111" t="s">
        <v>312</v>
      </c>
      <c r="D1111" s="3">
        <v>2018</v>
      </c>
      <c r="E1111" s="78">
        <f t="shared" ref="E1111:E1119" si="95">E1110</f>
        <v>4</v>
      </c>
      <c r="F1111" s="74" t="s">
        <v>36</v>
      </c>
      <c r="G1111" s="77">
        <f t="shared" ref="G1111:G1119" si="96">H1110</f>
        <v>12700</v>
      </c>
      <c r="H1111" s="77">
        <f t="shared" ref="H1111:H1117" si="97">H1110+150</f>
        <v>12850</v>
      </c>
      <c r="I1111" s="76">
        <v>0.8</v>
      </c>
    </row>
    <row r="1112" spans="3:9" x14ac:dyDescent="0.35">
      <c r="C1112" t="s">
        <v>312</v>
      </c>
      <c r="D1112" s="3">
        <v>2018</v>
      </c>
      <c r="E1112" s="78">
        <f t="shared" si="95"/>
        <v>4</v>
      </c>
      <c r="F1112" s="74" t="s">
        <v>36</v>
      </c>
      <c r="G1112" s="77">
        <f t="shared" si="96"/>
        <v>12850</v>
      </c>
      <c r="H1112" s="77">
        <f t="shared" si="97"/>
        <v>13000</v>
      </c>
      <c r="I1112" s="76">
        <v>0.7</v>
      </c>
    </row>
    <row r="1113" spans="3:9" x14ac:dyDescent="0.35">
      <c r="C1113" t="s">
        <v>312</v>
      </c>
      <c r="D1113" s="3">
        <v>2018</v>
      </c>
      <c r="E1113" s="78">
        <f t="shared" si="95"/>
        <v>4</v>
      </c>
      <c r="F1113" s="74" t="s">
        <v>36</v>
      </c>
      <c r="G1113" s="77">
        <f t="shared" si="96"/>
        <v>13000</v>
      </c>
      <c r="H1113" s="77">
        <f t="shared" si="97"/>
        <v>13150</v>
      </c>
      <c r="I1113" s="76">
        <v>0.6</v>
      </c>
    </row>
    <row r="1114" spans="3:9" x14ac:dyDescent="0.35">
      <c r="C1114" t="s">
        <v>312</v>
      </c>
      <c r="D1114" s="3">
        <v>2018</v>
      </c>
      <c r="E1114" s="78">
        <f t="shared" si="95"/>
        <v>4</v>
      </c>
      <c r="F1114" s="74" t="s">
        <v>36</v>
      </c>
      <c r="G1114" s="77">
        <f t="shared" si="96"/>
        <v>13150</v>
      </c>
      <c r="H1114" s="77">
        <f t="shared" si="97"/>
        <v>13300</v>
      </c>
      <c r="I1114" s="76">
        <v>0.5</v>
      </c>
    </row>
    <row r="1115" spans="3:9" x14ac:dyDescent="0.35">
      <c r="C1115" t="s">
        <v>312</v>
      </c>
      <c r="D1115" s="3">
        <v>2018</v>
      </c>
      <c r="E1115" s="78">
        <f t="shared" si="95"/>
        <v>4</v>
      </c>
      <c r="F1115" s="74" t="s">
        <v>36</v>
      </c>
      <c r="G1115" s="77">
        <f t="shared" si="96"/>
        <v>13300</v>
      </c>
      <c r="H1115" s="77">
        <f t="shared" si="97"/>
        <v>13450</v>
      </c>
      <c r="I1115" s="76">
        <v>0.4</v>
      </c>
    </row>
    <row r="1116" spans="3:9" x14ac:dyDescent="0.35">
      <c r="C1116" t="s">
        <v>312</v>
      </c>
      <c r="D1116" s="3">
        <v>2018</v>
      </c>
      <c r="E1116" s="78">
        <f t="shared" si="95"/>
        <v>4</v>
      </c>
      <c r="F1116" s="74" t="s">
        <v>36</v>
      </c>
      <c r="G1116" s="77">
        <f t="shared" si="96"/>
        <v>13450</v>
      </c>
      <c r="H1116" s="77">
        <f t="shared" si="97"/>
        <v>13600</v>
      </c>
      <c r="I1116" s="76">
        <v>0.3</v>
      </c>
    </row>
    <row r="1117" spans="3:9" x14ac:dyDescent="0.35">
      <c r="C1117" t="s">
        <v>312</v>
      </c>
      <c r="D1117" s="3">
        <v>2018</v>
      </c>
      <c r="E1117" s="78">
        <f t="shared" si="95"/>
        <v>4</v>
      </c>
      <c r="F1117" s="74" t="s">
        <v>36</v>
      </c>
      <c r="G1117" s="77">
        <f t="shared" si="96"/>
        <v>13600</v>
      </c>
      <c r="H1117" s="77">
        <f t="shared" si="97"/>
        <v>13750</v>
      </c>
      <c r="I1117" s="76">
        <v>0.2</v>
      </c>
    </row>
    <row r="1118" spans="3:9" x14ac:dyDescent="0.35">
      <c r="C1118" t="s">
        <v>312</v>
      </c>
      <c r="D1118" s="3">
        <v>2018</v>
      </c>
      <c r="E1118" s="78">
        <f t="shared" si="95"/>
        <v>4</v>
      </c>
      <c r="F1118" s="74" t="s">
        <v>36</v>
      </c>
      <c r="G1118" s="77">
        <f t="shared" si="96"/>
        <v>13750</v>
      </c>
      <c r="H1118" s="77">
        <f>H1117+150</f>
        <v>13900</v>
      </c>
      <c r="I1118" s="76">
        <v>0.1</v>
      </c>
    </row>
    <row r="1119" spans="3:9" x14ac:dyDescent="0.35">
      <c r="C1119" t="s">
        <v>312</v>
      </c>
      <c r="D1119" s="3">
        <v>2018</v>
      </c>
      <c r="E1119" s="78">
        <f t="shared" si="95"/>
        <v>4</v>
      </c>
      <c r="F1119" s="74" t="s">
        <v>36</v>
      </c>
      <c r="G1119" s="77">
        <f t="shared" si="96"/>
        <v>13900</v>
      </c>
      <c r="H1119" s="77"/>
      <c r="I1119" s="76">
        <v>0</v>
      </c>
    </row>
    <row r="1120" spans="3:9" x14ac:dyDescent="0.35">
      <c r="C1120" t="s">
        <v>312</v>
      </c>
      <c r="D1120" s="3">
        <v>2018</v>
      </c>
      <c r="E1120" s="73">
        <v>5</v>
      </c>
      <c r="F1120" s="74" t="s">
        <v>36</v>
      </c>
      <c r="G1120" s="77">
        <v>0</v>
      </c>
      <c r="H1120" s="77">
        <v>14710</v>
      </c>
      <c r="I1120" s="76">
        <v>1</v>
      </c>
    </row>
    <row r="1121" spans="3:9" x14ac:dyDescent="0.35">
      <c r="C1121" t="s">
        <v>312</v>
      </c>
      <c r="D1121" s="3">
        <v>2018</v>
      </c>
      <c r="E1121" s="78">
        <f>E1120</f>
        <v>5</v>
      </c>
      <c r="F1121" s="74" t="s">
        <v>36</v>
      </c>
      <c r="G1121" s="77">
        <f>H1120</f>
        <v>14710</v>
      </c>
      <c r="H1121" s="77">
        <f>H1120+150</f>
        <v>14860</v>
      </c>
      <c r="I1121" s="76">
        <v>0.9</v>
      </c>
    </row>
    <row r="1122" spans="3:9" x14ac:dyDescent="0.35">
      <c r="C1122" t="s">
        <v>312</v>
      </c>
      <c r="D1122" s="3">
        <v>2018</v>
      </c>
      <c r="E1122" s="78">
        <f t="shared" ref="E1122:E1130" si="98">E1121</f>
        <v>5</v>
      </c>
      <c r="F1122" s="74" t="s">
        <v>36</v>
      </c>
      <c r="G1122" s="77">
        <f t="shared" ref="G1122:G1130" si="99">H1121</f>
        <v>14860</v>
      </c>
      <c r="H1122" s="77">
        <f t="shared" ref="H1122:H1128" si="100">H1121+150</f>
        <v>15010</v>
      </c>
      <c r="I1122" s="76">
        <v>0.8</v>
      </c>
    </row>
    <row r="1123" spans="3:9" x14ac:dyDescent="0.35">
      <c r="C1123" t="s">
        <v>312</v>
      </c>
      <c r="D1123" s="3">
        <v>2018</v>
      </c>
      <c r="E1123" s="78">
        <f t="shared" si="98"/>
        <v>5</v>
      </c>
      <c r="F1123" s="74" t="s">
        <v>36</v>
      </c>
      <c r="G1123" s="77">
        <f t="shared" si="99"/>
        <v>15010</v>
      </c>
      <c r="H1123" s="77">
        <f t="shared" si="100"/>
        <v>15160</v>
      </c>
      <c r="I1123" s="76">
        <v>0.7</v>
      </c>
    </row>
    <row r="1124" spans="3:9" x14ac:dyDescent="0.35">
      <c r="C1124" t="s">
        <v>312</v>
      </c>
      <c r="D1124" s="3">
        <v>2018</v>
      </c>
      <c r="E1124" s="78">
        <f t="shared" si="98"/>
        <v>5</v>
      </c>
      <c r="F1124" s="74" t="s">
        <v>36</v>
      </c>
      <c r="G1124" s="77">
        <f t="shared" si="99"/>
        <v>15160</v>
      </c>
      <c r="H1124" s="77">
        <f t="shared" si="100"/>
        <v>15310</v>
      </c>
      <c r="I1124" s="76">
        <v>0.6</v>
      </c>
    </row>
    <row r="1125" spans="3:9" x14ac:dyDescent="0.35">
      <c r="C1125" t="s">
        <v>312</v>
      </c>
      <c r="D1125" s="3">
        <v>2018</v>
      </c>
      <c r="E1125" s="78">
        <f t="shared" si="98"/>
        <v>5</v>
      </c>
      <c r="F1125" s="74" t="s">
        <v>36</v>
      </c>
      <c r="G1125" s="77">
        <f t="shared" si="99"/>
        <v>15310</v>
      </c>
      <c r="H1125" s="77">
        <f t="shared" si="100"/>
        <v>15460</v>
      </c>
      <c r="I1125" s="76">
        <v>0.5</v>
      </c>
    </row>
    <row r="1126" spans="3:9" x14ac:dyDescent="0.35">
      <c r="C1126" t="s">
        <v>312</v>
      </c>
      <c r="D1126" s="3">
        <v>2018</v>
      </c>
      <c r="E1126" s="78">
        <f t="shared" si="98"/>
        <v>5</v>
      </c>
      <c r="F1126" s="74" t="s">
        <v>36</v>
      </c>
      <c r="G1126" s="77">
        <f t="shared" si="99"/>
        <v>15460</v>
      </c>
      <c r="H1126" s="77">
        <f t="shared" si="100"/>
        <v>15610</v>
      </c>
      <c r="I1126" s="76">
        <v>0.4</v>
      </c>
    </row>
    <row r="1127" spans="3:9" x14ac:dyDescent="0.35">
      <c r="C1127" t="s">
        <v>312</v>
      </c>
      <c r="D1127" s="3">
        <v>2018</v>
      </c>
      <c r="E1127" s="78">
        <f t="shared" si="98"/>
        <v>5</v>
      </c>
      <c r="F1127" s="74" t="s">
        <v>36</v>
      </c>
      <c r="G1127" s="77">
        <f t="shared" si="99"/>
        <v>15610</v>
      </c>
      <c r="H1127" s="77">
        <f t="shared" si="100"/>
        <v>15760</v>
      </c>
      <c r="I1127" s="76">
        <v>0.3</v>
      </c>
    </row>
    <row r="1128" spans="3:9" x14ac:dyDescent="0.35">
      <c r="C1128" t="s">
        <v>312</v>
      </c>
      <c r="D1128" s="3">
        <v>2018</v>
      </c>
      <c r="E1128" s="78">
        <f t="shared" si="98"/>
        <v>5</v>
      </c>
      <c r="F1128" s="74" t="s">
        <v>36</v>
      </c>
      <c r="G1128" s="77">
        <f t="shared" si="99"/>
        <v>15760</v>
      </c>
      <c r="H1128" s="77">
        <f t="shared" si="100"/>
        <v>15910</v>
      </c>
      <c r="I1128" s="76">
        <v>0.2</v>
      </c>
    </row>
    <row r="1129" spans="3:9" x14ac:dyDescent="0.35">
      <c r="C1129" t="s">
        <v>312</v>
      </c>
      <c r="D1129" s="3">
        <v>2018</v>
      </c>
      <c r="E1129" s="78">
        <f t="shared" si="98"/>
        <v>5</v>
      </c>
      <c r="F1129" s="74" t="s">
        <v>36</v>
      </c>
      <c r="G1129" s="77">
        <f t="shared" si="99"/>
        <v>15910</v>
      </c>
      <c r="H1129" s="77">
        <f>H1128+150</f>
        <v>16060</v>
      </c>
      <c r="I1129" s="76">
        <v>0.1</v>
      </c>
    </row>
    <row r="1130" spans="3:9" x14ac:dyDescent="0.35">
      <c r="C1130" t="s">
        <v>312</v>
      </c>
      <c r="D1130" s="3">
        <v>2018</v>
      </c>
      <c r="E1130" s="78">
        <f t="shared" si="98"/>
        <v>5</v>
      </c>
      <c r="F1130" s="74" t="s">
        <v>36</v>
      </c>
      <c r="G1130" s="77">
        <f t="shared" si="99"/>
        <v>16060</v>
      </c>
      <c r="H1130" s="77"/>
      <c r="I1130" s="76">
        <v>0</v>
      </c>
    </row>
    <row r="1131" spans="3:9" x14ac:dyDescent="0.35">
      <c r="C1131" t="s">
        <v>312</v>
      </c>
      <c r="D1131" s="3">
        <v>2018</v>
      </c>
      <c r="E1131" s="73">
        <v>6</v>
      </c>
      <c r="F1131" s="74" t="s">
        <v>36</v>
      </c>
      <c r="G1131" s="77">
        <v>0</v>
      </c>
      <c r="H1131" s="77">
        <v>16870</v>
      </c>
      <c r="I1131" s="76">
        <v>1</v>
      </c>
    </row>
    <row r="1132" spans="3:9" x14ac:dyDescent="0.35">
      <c r="C1132" t="s">
        <v>312</v>
      </c>
      <c r="D1132" s="3">
        <v>2018</v>
      </c>
      <c r="E1132" s="78">
        <f>E1131</f>
        <v>6</v>
      </c>
      <c r="F1132" s="74" t="s">
        <v>36</v>
      </c>
      <c r="G1132" s="77">
        <f>H1131</f>
        <v>16870</v>
      </c>
      <c r="H1132" s="77">
        <f>H1131+150</f>
        <v>17020</v>
      </c>
      <c r="I1132" s="76">
        <v>0.9</v>
      </c>
    </row>
    <row r="1133" spans="3:9" x14ac:dyDescent="0.35">
      <c r="C1133" t="s">
        <v>312</v>
      </c>
      <c r="D1133" s="3">
        <v>2018</v>
      </c>
      <c r="E1133" s="78">
        <f t="shared" ref="E1133:E1141" si="101">E1132</f>
        <v>6</v>
      </c>
      <c r="F1133" s="74" t="s">
        <v>36</v>
      </c>
      <c r="G1133" s="77">
        <f t="shared" ref="G1133:G1141" si="102">H1132</f>
        <v>17020</v>
      </c>
      <c r="H1133" s="77">
        <f t="shared" ref="H1133:H1139" si="103">H1132+150</f>
        <v>17170</v>
      </c>
      <c r="I1133" s="76">
        <v>0.8</v>
      </c>
    </row>
    <row r="1134" spans="3:9" x14ac:dyDescent="0.35">
      <c r="C1134" t="s">
        <v>312</v>
      </c>
      <c r="D1134" s="3">
        <v>2018</v>
      </c>
      <c r="E1134" s="78">
        <f t="shared" si="101"/>
        <v>6</v>
      </c>
      <c r="F1134" s="74" t="s">
        <v>36</v>
      </c>
      <c r="G1134" s="77">
        <f t="shared" si="102"/>
        <v>17170</v>
      </c>
      <c r="H1134" s="77">
        <f t="shared" si="103"/>
        <v>17320</v>
      </c>
      <c r="I1134" s="76">
        <v>0.7</v>
      </c>
    </row>
    <row r="1135" spans="3:9" x14ac:dyDescent="0.35">
      <c r="C1135" t="s">
        <v>312</v>
      </c>
      <c r="D1135" s="3">
        <v>2018</v>
      </c>
      <c r="E1135" s="78">
        <f t="shared" si="101"/>
        <v>6</v>
      </c>
      <c r="F1135" s="74" t="s">
        <v>36</v>
      </c>
      <c r="G1135" s="77">
        <f t="shared" si="102"/>
        <v>17320</v>
      </c>
      <c r="H1135" s="77">
        <f t="shared" si="103"/>
        <v>17470</v>
      </c>
      <c r="I1135" s="76">
        <v>0.6</v>
      </c>
    </row>
    <row r="1136" spans="3:9" x14ac:dyDescent="0.35">
      <c r="C1136" t="s">
        <v>312</v>
      </c>
      <c r="D1136" s="3">
        <v>2018</v>
      </c>
      <c r="E1136" s="78">
        <f t="shared" si="101"/>
        <v>6</v>
      </c>
      <c r="F1136" s="74" t="s">
        <v>36</v>
      </c>
      <c r="G1136" s="77">
        <f t="shared" si="102"/>
        <v>17470</v>
      </c>
      <c r="H1136" s="77">
        <f t="shared" si="103"/>
        <v>17620</v>
      </c>
      <c r="I1136" s="76">
        <v>0.5</v>
      </c>
    </row>
    <row r="1137" spans="3:9" x14ac:dyDescent="0.35">
      <c r="C1137" t="s">
        <v>312</v>
      </c>
      <c r="D1137" s="3">
        <v>2018</v>
      </c>
      <c r="E1137" s="78">
        <f t="shared" si="101"/>
        <v>6</v>
      </c>
      <c r="F1137" s="74" t="s">
        <v>36</v>
      </c>
      <c r="G1137" s="77">
        <f t="shared" si="102"/>
        <v>17620</v>
      </c>
      <c r="H1137" s="77">
        <f t="shared" si="103"/>
        <v>17770</v>
      </c>
      <c r="I1137" s="76">
        <v>0.4</v>
      </c>
    </row>
    <row r="1138" spans="3:9" x14ac:dyDescent="0.35">
      <c r="C1138" t="s">
        <v>312</v>
      </c>
      <c r="D1138" s="3">
        <v>2018</v>
      </c>
      <c r="E1138" s="78">
        <f t="shared" si="101"/>
        <v>6</v>
      </c>
      <c r="F1138" s="74" t="s">
        <v>36</v>
      </c>
      <c r="G1138" s="77">
        <f t="shared" si="102"/>
        <v>17770</v>
      </c>
      <c r="H1138" s="77">
        <f t="shared" si="103"/>
        <v>17920</v>
      </c>
      <c r="I1138" s="76">
        <v>0.3</v>
      </c>
    </row>
    <row r="1139" spans="3:9" x14ac:dyDescent="0.35">
      <c r="C1139" t="s">
        <v>312</v>
      </c>
      <c r="D1139" s="3">
        <v>2018</v>
      </c>
      <c r="E1139" s="78">
        <f t="shared" si="101"/>
        <v>6</v>
      </c>
      <c r="F1139" s="74" t="s">
        <v>36</v>
      </c>
      <c r="G1139" s="77">
        <f t="shared" si="102"/>
        <v>17920</v>
      </c>
      <c r="H1139" s="77">
        <f t="shared" si="103"/>
        <v>18070</v>
      </c>
      <c r="I1139" s="76">
        <v>0.2</v>
      </c>
    </row>
    <row r="1140" spans="3:9" x14ac:dyDescent="0.35">
      <c r="C1140" t="s">
        <v>312</v>
      </c>
      <c r="D1140" s="3">
        <v>2018</v>
      </c>
      <c r="E1140" s="78">
        <f t="shared" si="101"/>
        <v>6</v>
      </c>
      <c r="F1140" s="74" t="s">
        <v>36</v>
      </c>
      <c r="G1140" s="77">
        <f t="shared" si="102"/>
        <v>18070</v>
      </c>
      <c r="H1140" s="77">
        <f>H1139+150</f>
        <v>18220</v>
      </c>
      <c r="I1140" s="76">
        <v>0.1</v>
      </c>
    </row>
    <row r="1141" spans="3:9" x14ac:dyDescent="0.35">
      <c r="C1141" t="s">
        <v>312</v>
      </c>
      <c r="D1141" s="3">
        <v>2018</v>
      </c>
      <c r="E1141" s="78">
        <f t="shared" si="101"/>
        <v>6</v>
      </c>
      <c r="F1141" s="74" t="s">
        <v>36</v>
      </c>
      <c r="G1141" s="77">
        <f t="shared" si="102"/>
        <v>18220</v>
      </c>
      <c r="H1141" s="77"/>
      <c r="I1141" s="76">
        <v>0</v>
      </c>
    </row>
    <row r="1142" spans="3:9" x14ac:dyDescent="0.35">
      <c r="C1142" t="s">
        <v>312</v>
      </c>
      <c r="D1142" s="3">
        <v>2018</v>
      </c>
      <c r="E1142" s="73">
        <v>7</v>
      </c>
      <c r="F1142" s="74" t="s">
        <v>36</v>
      </c>
      <c r="G1142" s="77">
        <v>0</v>
      </c>
      <c r="H1142" s="77">
        <v>19030</v>
      </c>
      <c r="I1142" s="76">
        <v>1</v>
      </c>
    </row>
    <row r="1143" spans="3:9" x14ac:dyDescent="0.35">
      <c r="C1143" t="s">
        <v>312</v>
      </c>
      <c r="D1143" s="3">
        <v>2018</v>
      </c>
      <c r="E1143" s="78">
        <f>E1142</f>
        <v>7</v>
      </c>
      <c r="F1143" s="74" t="s">
        <v>36</v>
      </c>
      <c r="G1143" s="77">
        <f>H1142</f>
        <v>19030</v>
      </c>
      <c r="H1143" s="77">
        <f>H1142+150</f>
        <v>19180</v>
      </c>
      <c r="I1143" s="76">
        <v>0.9</v>
      </c>
    </row>
    <row r="1144" spans="3:9" x14ac:dyDescent="0.35">
      <c r="C1144" t="s">
        <v>312</v>
      </c>
      <c r="D1144" s="3">
        <v>2018</v>
      </c>
      <c r="E1144" s="78">
        <f t="shared" ref="E1144:E1152" si="104">E1143</f>
        <v>7</v>
      </c>
      <c r="F1144" s="74" t="s">
        <v>36</v>
      </c>
      <c r="G1144" s="77">
        <f t="shared" ref="G1144:G1152" si="105">H1143</f>
        <v>19180</v>
      </c>
      <c r="H1144" s="77">
        <f t="shared" ref="H1144:H1150" si="106">H1143+150</f>
        <v>19330</v>
      </c>
      <c r="I1144" s="76">
        <v>0.8</v>
      </c>
    </row>
    <row r="1145" spans="3:9" x14ac:dyDescent="0.35">
      <c r="C1145" t="s">
        <v>312</v>
      </c>
      <c r="D1145" s="3">
        <v>2018</v>
      </c>
      <c r="E1145" s="78">
        <f t="shared" si="104"/>
        <v>7</v>
      </c>
      <c r="F1145" s="74" t="s">
        <v>36</v>
      </c>
      <c r="G1145" s="77">
        <f t="shared" si="105"/>
        <v>19330</v>
      </c>
      <c r="H1145" s="77">
        <f t="shared" si="106"/>
        <v>19480</v>
      </c>
      <c r="I1145" s="76">
        <v>0.7</v>
      </c>
    </row>
    <row r="1146" spans="3:9" x14ac:dyDescent="0.35">
      <c r="C1146" t="s">
        <v>312</v>
      </c>
      <c r="D1146" s="3">
        <v>2018</v>
      </c>
      <c r="E1146" s="78">
        <f t="shared" si="104"/>
        <v>7</v>
      </c>
      <c r="F1146" s="74" t="s">
        <v>36</v>
      </c>
      <c r="G1146" s="77">
        <f t="shared" si="105"/>
        <v>19480</v>
      </c>
      <c r="H1146" s="77">
        <f t="shared" si="106"/>
        <v>19630</v>
      </c>
      <c r="I1146" s="76">
        <v>0.6</v>
      </c>
    </row>
    <row r="1147" spans="3:9" x14ac:dyDescent="0.35">
      <c r="C1147" t="s">
        <v>312</v>
      </c>
      <c r="D1147" s="3">
        <v>2018</v>
      </c>
      <c r="E1147" s="78">
        <f t="shared" si="104"/>
        <v>7</v>
      </c>
      <c r="F1147" s="74" t="s">
        <v>36</v>
      </c>
      <c r="G1147" s="77">
        <f t="shared" si="105"/>
        <v>19630</v>
      </c>
      <c r="H1147" s="77">
        <f t="shared" si="106"/>
        <v>19780</v>
      </c>
      <c r="I1147" s="76">
        <v>0.5</v>
      </c>
    </row>
    <row r="1148" spans="3:9" x14ac:dyDescent="0.35">
      <c r="C1148" t="s">
        <v>312</v>
      </c>
      <c r="D1148" s="3">
        <v>2018</v>
      </c>
      <c r="E1148" s="78">
        <f t="shared" si="104"/>
        <v>7</v>
      </c>
      <c r="F1148" s="74" t="s">
        <v>36</v>
      </c>
      <c r="G1148" s="77">
        <f t="shared" si="105"/>
        <v>19780</v>
      </c>
      <c r="H1148" s="77">
        <f t="shared" si="106"/>
        <v>19930</v>
      </c>
      <c r="I1148" s="76">
        <v>0.4</v>
      </c>
    </row>
    <row r="1149" spans="3:9" x14ac:dyDescent="0.35">
      <c r="C1149" t="s">
        <v>312</v>
      </c>
      <c r="D1149" s="3">
        <v>2018</v>
      </c>
      <c r="E1149" s="78">
        <f t="shared" si="104"/>
        <v>7</v>
      </c>
      <c r="F1149" s="74" t="s">
        <v>36</v>
      </c>
      <c r="G1149" s="77">
        <f t="shared" si="105"/>
        <v>19930</v>
      </c>
      <c r="H1149" s="77">
        <f t="shared" si="106"/>
        <v>20080</v>
      </c>
      <c r="I1149" s="76">
        <v>0.3</v>
      </c>
    </row>
    <row r="1150" spans="3:9" x14ac:dyDescent="0.35">
      <c r="C1150" t="s">
        <v>312</v>
      </c>
      <c r="D1150" s="3">
        <v>2018</v>
      </c>
      <c r="E1150" s="78">
        <f t="shared" si="104"/>
        <v>7</v>
      </c>
      <c r="F1150" s="74" t="s">
        <v>36</v>
      </c>
      <c r="G1150" s="77">
        <f t="shared" si="105"/>
        <v>20080</v>
      </c>
      <c r="H1150" s="77">
        <f t="shared" si="106"/>
        <v>20230</v>
      </c>
      <c r="I1150" s="76">
        <v>0.2</v>
      </c>
    </row>
    <row r="1151" spans="3:9" x14ac:dyDescent="0.35">
      <c r="C1151" t="s">
        <v>312</v>
      </c>
      <c r="D1151" s="3">
        <v>2018</v>
      </c>
      <c r="E1151" s="78">
        <f t="shared" si="104"/>
        <v>7</v>
      </c>
      <c r="F1151" s="74" t="s">
        <v>36</v>
      </c>
      <c r="G1151" s="77">
        <f t="shared" si="105"/>
        <v>20230</v>
      </c>
      <c r="H1151" s="77">
        <f>H1150+150</f>
        <v>20380</v>
      </c>
      <c r="I1151" s="76">
        <v>0.1</v>
      </c>
    </row>
    <row r="1152" spans="3:9" x14ac:dyDescent="0.35">
      <c r="C1152" t="s">
        <v>312</v>
      </c>
      <c r="D1152" s="3">
        <v>2018</v>
      </c>
      <c r="E1152" s="78">
        <f t="shared" si="104"/>
        <v>7</v>
      </c>
      <c r="F1152" s="74" t="s">
        <v>36</v>
      </c>
      <c r="G1152" s="77">
        <f t="shared" si="105"/>
        <v>20380</v>
      </c>
      <c r="H1152" s="77"/>
      <c r="I1152" s="76">
        <v>0</v>
      </c>
    </row>
    <row r="1153" spans="3:9" x14ac:dyDescent="0.35">
      <c r="C1153" t="s">
        <v>312</v>
      </c>
      <c r="D1153" s="3">
        <v>2018</v>
      </c>
      <c r="E1153" s="73">
        <v>8</v>
      </c>
      <c r="F1153" s="74" t="s">
        <v>36</v>
      </c>
      <c r="G1153" s="77">
        <v>0</v>
      </c>
      <c r="H1153" s="77">
        <v>21190</v>
      </c>
      <c r="I1153" s="76">
        <v>1</v>
      </c>
    </row>
    <row r="1154" spans="3:9" x14ac:dyDescent="0.35">
      <c r="C1154" t="s">
        <v>312</v>
      </c>
      <c r="D1154" s="3">
        <v>2018</v>
      </c>
      <c r="E1154" s="78">
        <f>E1153</f>
        <v>8</v>
      </c>
      <c r="F1154" s="74" t="s">
        <v>36</v>
      </c>
      <c r="G1154" s="77">
        <f>H1153</f>
        <v>21190</v>
      </c>
      <c r="H1154" s="77">
        <f>H1153+150</f>
        <v>21340</v>
      </c>
      <c r="I1154" s="76">
        <v>0.9</v>
      </c>
    </row>
    <row r="1155" spans="3:9" x14ac:dyDescent="0.35">
      <c r="C1155" t="s">
        <v>312</v>
      </c>
      <c r="D1155" s="3">
        <v>2018</v>
      </c>
      <c r="E1155" s="78">
        <f t="shared" ref="E1155:E1163" si="107">E1154</f>
        <v>8</v>
      </c>
      <c r="F1155" s="74" t="s">
        <v>36</v>
      </c>
      <c r="G1155" s="77">
        <f t="shared" ref="G1155:G1163" si="108">H1154</f>
        <v>21340</v>
      </c>
      <c r="H1155" s="77">
        <f t="shared" ref="H1155:H1161" si="109">H1154+150</f>
        <v>21490</v>
      </c>
      <c r="I1155" s="76">
        <v>0.8</v>
      </c>
    </row>
    <row r="1156" spans="3:9" x14ac:dyDescent="0.35">
      <c r="C1156" t="s">
        <v>312</v>
      </c>
      <c r="D1156" s="3">
        <v>2018</v>
      </c>
      <c r="E1156" s="78">
        <f t="shared" si="107"/>
        <v>8</v>
      </c>
      <c r="F1156" s="74" t="s">
        <v>36</v>
      </c>
      <c r="G1156" s="77">
        <f t="shared" si="108"/>
        <v>21490</v>
      </c>
      <c r="H1156" s="77">
        <f t="shared" si="109"/>
        <v>21640</v>
      </c>
      <c r="I1156" s="76">
        <v>0.7</v>
      </c>
    </row>
    <row r="1157" spans="3:9" x14ac:dyDescent="0.35">
      <c r="C1157" t="s">
        <v>312</v>
      </c>
      <c r="D1157" s="3">
        <v>2018</v>
      </c>
      <c r="E1157" s="78">
        <f t="shared" si="107"/>
        <v>8</v>
      </c>
      <c r="F1157" s="74" t="s">
        <v>36</v>
      </c>
      <c r="G1157" s="77">
        <f t="shared" si="108"/>
        <v>21640</v>
      </c>
      <c r="H1157" s="77">
        <f t="shared" si="109"/>
        <v>21790</v>
      </c>
      <c r="I1157" s="76">
        <v>0.6</v>
      </c>
    </row>
    <row r="1158" spans="3:9" x14ac:dyDescent="0.35">
      <c r="C1158" t="s">
        <v>312</v>
      </c>
      <c r="D1158" s="3">
        <v>2018</v>
      </c>
      <c r="E1158" s="78">
        <f t="shared" si="107"/>
        <v>8</v>
      </c>
      <c r="F1158" s="74" t="s">
        <v>36</v>
      </c>
      <c r="G1158" s="77">
        <f t="shared" si="108"/>
        <v>21790</v>
      </c>
      <c r="H1158" s="77">
        <f t="shared" si="109"/>
        <v>21940</v>
      </c>
      <c r="I1158" s="76">
        <v>0.5</v>
      </c>
    </row>
    <row r="1159" spans="3:9" x14ac:dyDescent="0.35">
      <c r="C1159" t="s">
        <v>312</v>
      </c>
      <c r="D1159" s="3">
        <v>2018</v>
      </c>
      <c r="E1159" s="78">
        <f t="shared" si="107"/>
        <v>8</v>
      </c>
      <c r="F1159" s="74" t="s">
        <v>36</v>
      </c>
      <c r="G1159" s="77">
        <f t="shared" si="108"/>
        <v>21940</v>
      </c>
      <c r="H1159" s="77">
        <f t="shared" si="109"/>
        <v>22090</v>
      </c>
      <c r="I1159" s="76">
        <v>0.4</v>
      </c>
    </row>
    <row r="1160" spans="3:9" x14ac:dyDescent="0.35">
      <c r="C1160" t="s">
        <v>312</v>
      </c>
      <c r="D1160" s="3">
        <v>2018</v>
      </c>
      <c r="E1160" s="78">
        <f t="shared" si="107"/>
        <v>8</v>
      </c>
      <c r="F1160" s="74" t="s">
        <v>36</v>
      </c>
      <c r="G1160" s="77">
        <f t="shared" si="108"/>
        <v>22090</v>
      </c>
      <c r="H1160" s="77">
        <f t="shared" si="109"/>
        <v>22240</v>
      </c>
      <c r="I1160" s="76">
        <v>0.3</v>
      </c>
    </row>
    <row r="1161" spans="3:9" x14ac:dyDescent="0.35">
      <c r="C1161" t="s">
        <v>312</v>
      </c>
      <c r="D1161" s="3">
        <v>2018</v>
      </c>
      <c r="E1161" s="78">
        <f t="shared" si="107"/>
        <v>8</v>
      </c>
      <c r="F1161" s="74" t="s">
        <v>36</v>
      </c>
      <c r="G1161" s="77">
        <f t="shared" si="108"/>
        <v>22240</v>
      </c>
      <c r="H1161" s="77">
        <f t="shared" si="109"/>
        <v>22390</v>
      </c>
      <c r="I1161" s="76">
        <v>0.2</v>
      </c>
    </row>
    <row r="1162" spans="3:9" x14ac:dyDescent="0.35">
      <c r="C1162" t="s">
        <v>312</v>
      </c>
      <c r="D1162" s="3">
        <v>2018</v>
      </c>
      <c r="E1162" s="78">
        <f t="shared" si="107"/>
        <v>8</v>
      </c>
      <c r="F1162" s="74" t="s">
        <v>36</v>
      </c>
      <c r="G1162" s="77">
        <f t="shared" si="108"/>
        <v>22390</v>
      </c>
      <c r="H1162" s="77">
        <f>H1161+150</f>
        <v>22540</v>
      </c>
      <c r="I1162" s="76">
        <v>0.1</v>
      </c>
    </row>
    <row r="1163" spans="3:9" x14ac:dyDescent="0.35">
      <c r="C1163" t="s">
        <v>312</v>
      </c>
      <c r="D1163" s="3">
        <v>2018</v>
      </c>
      <c r="E1163" s="78">
        <f t="shared" si="107"/>
        <v>8</v>
      </c>
      <c r="F1163" s="74" t="s">
        <v>36</v>
      </c>
      <c r="G1163" s="77">
        <f t="shared" si="108"/>
        <v>22540</v>
      </c>
      <c r="H1163" s="77"/>
      <c r="I1163" s="76">
        <v>0</v>
      </c>
    </row>
    <row r="1164" spans="3:9" x14ac:dyDescent="0.35">
      <c r="C1164" t="s">
        <v>312</v>
      </c>
      <c r="D1164" s="3">
        <v>2018</v>
      </c>
      <c r="E1164" s="73">
        <v>9</v>
      </c>
      <c r="F1164" s="74" t="s">
        <v>36</v>
      </c>
      <c r="G1164" s="77">
        <v>0</v>
      </c>
      <c r="H1164" s="75">
        <f>H1153</f>
        <v>21190</v>
      </c>
      <c r="I1164" s="76">
        <v>1</v>
      </c>
    </row>
    <row r="1165" spans="3:9" x14ac:dyDescent="0.35">
      <c r="C1165" t="s">
        <v>312</v>
      </c>
      <c r="D1165" s="3">
        <v>2018</v>
      </c>
      <c r="E1165" s="78">
        <f>E1164</f>
        <v>9</v>
      </c>
      <c r="F1165" s="74" t="s">
        <v>36</v>
      </c>
      <c r="G1165" s="77">
        <f>H1164</f>
        <v>21190</v>
      </c>
      <c r="H1165" s="77">
        <f>H1164+150</f>
        <v>21340</v>
      </c>
      <c r="I1165" s="76">
        <v>0.9</v>
      </c>
    </row>
    <row r="1166" spans="3:9" x14ac:dyDescent="0.35">
      <c r="C1166" t="s">
        <v>312</v>
      </c>
      <c r="D1166" s="3">
        <v>2018</v>
      </c>
      <c r="E1166" s="78">
        <f t="shared" ref="E1166:E1174" si="110">E1165</f>
        <v>9</v>
      </c>
      <c r="F1166" s="74" t="s">
        <v>36</v>
      </c>
      <c r="G1166" s="77">
        <f t="shared" ref="G1166:G1174" si="111">H1165</f>
        <v>21340</v>
      </c>
      <c r="H1166" s="77">
        <f t="shared" ref="H1166:H1172" si="112">H1165+150</f>
        <v>21490</v>
      </c>
      <c r="I1166" s="76">
        <v>0.8</v>
      </c>
    </row>
    <row r="1167" spans="3:9" x14ac:dyDescent="0.35">
      <c r="C1167" t="s">
        <v>312</v>
      </c>
      <c r="D1167" s="3">
        <v>2018</v>
      </c>
      <c r="E1167" s="78">
        <f t="shared" si="110"/>
        <v>9</v>
      </c>
      <c r="F1167" s="74" t="s">
        <v>36</v>
      </c>
      <c r="G1167" s="77">
        <f t="shared" si="111"/>
        <v>21490</v>
      </c>
      <c r="H1167" s="77">
        <f t="shared" si="112"/>
        <v>21640</v>
      </c>
      <c r="I1167" s="76">
        <v>0.7</v>
      </c>
    </row>
    <row r="1168" spans="3:9" x14ac:dyDescent="0.35">
      <c r="C1168" t="s">
        <v>312</v>
      </c>
      <c r="D1168" s="3">
        <v>2018</v>
      </c>
      <c r="E1168" s="78">
        <f t="shared" si="110"/>
        <v>9</v>
      </c>
      <c r="F1168" s="74" t="s">
        <v>36</v>
      </c>
      <c r="G1168" s="77">
        <f t="shared" si="111"/>
        <v>21640</v>
      </c>
      <c r="H1168" s="77">
        <f t="shared" si="112"/>
        <v>21790</v>
      </c>
      <c r="I1168" s="76">
        <v>0.6</v>
      </c>
    </row>
    <row r="1169" spans="3:9" x14ac:dyDescent="0.35">
      <c r="C1169" t="s">
        <v>312</v>
      </c>
      <c r="D1169" s="3">
        <v>2018</v>
      </c>
      <c r="E1169" s="78">
        <f t="shared" si="110"/>
        <v>9</v>
      </c>
      <c r="F1169" s="74" t="s">
        <v>36</v>
      </c>
      <c r="G1169" s="77">
        <f t="shared" si="111"/>
        <v>21790</v>
      </c>
      <c r="H1169" s="77">
        <f t="shared" si="112"/>
        <v>21940</v>
      </c>
      <c r="I1169" s="76">
        <v>0.5</v>
      </c>
    </row>
    <row r="1170" spans="3:9" x14ac:dyDescent="0.35">
      <c r="C1170" t="s">
        <v>312</v>
      </c>
      <c r="D1170" s="3">
        <v>2018</v>
      </c>
      <c r="E1170" s="78">
        <f t="shared" si="110"/>
        <v>9</v>
      </c>
      <c r="F1170" s="74" t="s">
        <v>36</v>
      </c>
      <c r="G1170" s="77">
        <f t="shared" si="111"/>
        <v>21940</v>
      </c>
      <c r="H1170" s="77">
        <f t="shared" si="112"/>
        <v>22090</v>
      </c>
      <c r="I1170" s="76">
        <v>0.4</v>
      </c>
    </row>
    <row r="1171" spans="3:9" x14ac:dyDescent="0.35">
      <c r="C1171" t="s">
        <v>312</v>
      </c>
      <c r="D1171" s="3">
        <v>2018</v>
      </c>
      <c r="E1171" s="78">
        <f t="shared" si="110"/>
        <v>9</v>
      </c>
      <c r="F1171" s="74" t="s">
        <v>36</v>
      </c>
      <c r="G1171" s="77">
        <f t="shared" si="111"/>
        <v>22090</v>
      </c>
      <c r="H1171" s="77">
        <f t="shared" si="112"/>
        <v>22240</v>
      </c>
      <c r="I1171" s="76">
        <v>0.3</v>
      </c>
    </row>
    <row r="1172" spans="3:9" x14ac:dyDescent="0.35">
      <c r="C1172" t="s">
        <v>312</v>
      </c>
      <c r="D1172" s="3">
        <v>2018</v>
      </c>
      <c r="E1172" s="78">
        <f t="shared" si="110"/>
        <v>9</v>
      </c>
      <c r="F1172" s="74" t="s">
        <v>36</v>
      </c>
      <c r="G1172" s="77">
        <f t="shared" si="111"/>
        <v>22240</v>
      </c>
      <c r="H1172" s="77">
        <f t="shared" si="112"/>
        <v>22390</v>
      </c>
      <c r="I1172" s="76">
        <v>0.2</v>
      </c>
    </row>
    <row r="1173" spans="3:9" x14ac:dyDescent="0.35">
      <c r="C1173" t="s">
        <v>312</v>
      </c>
      <c r="D1173" s="3">
        <v>2018</v>
      </c>
      <c r="E1173" s="78">
        <f t="shared" si="110"/>
        <v>9</v>
      </c>
      <c r="F1173" s="74" t="s">
        <v>36</v>
      </c>
      <c r="G1173" s="77">
        <f t="shared" si="111"/>
        <v>22390</v>
      </c>
      <c r="H1173" s="77">
        <f>H1172+150</f>
        <v>22540</v>
      </c>
      <c r="I1173" s="76">
        <v>0.1</v>
      </c>
    </row>
    <row r="1174" spans="3:9" x14ac:dyDescent="0.35">
      <c r="C1174" t="s">
        <v>312</v>
      </c>
      <c r="D1174" s="3">
        <v>2018</v>
      </c>
      <c r="E1174" s="78">
        <f t="shared" si="110"/>
        <v>9</v>
      </c>
      <c r="F1174" s="74" t="s">
        <v>36</v>
      </c>
      <c r="G1174" s="77">
        <f t="shared" si="111"/>
        <v>22540</v>
      </c>
      <c r="H1174" s="77"/>
      <c r="I1174" s="76">
        <v>0</v>
      </c>
    </row>
    <row r="1175" spans="3:9" x14ac:dyDescent="0.35">
      <c r="C1175" t="s">
        <v>312</v>
      </c>
      <c r="D1175" s="3">
        <v>2018</v>
      </c>
      <c r="E1175" s="73">
        <v>10</v>
      </c>
      <c r="F1175" s="74" t="s">
        <v>36</v>
      </c>
      <c r="G1175" s="77">
        <v>0</v>
      </c>
      <c r="H1175" s="75">
        <f>H1164</f>
        <v>21190</v>
      </c>
      <c r="I1175" s="76">
        <v>1</v>
      </c>
    </row>
    <row r="1176" spans="3:9" x14ac:dyDescent="0.35">
      <c r="C1176" t="s">
        <v>312</v>
      </c>
      <c r="D1176" s="3">
        <v>2018</v>
      </c>
      <c r="E1176" s="78">
        <f>E1175</f>
        <v>10</v>
      </c>
      <c r="F1176" s="74" t="s">
        <v>36</v>
      </c>
      <c r="G1176" s="77">
        <f>H1175</f>
        <v>21190</v>
      </c>
      <c r="H1176" s="77">
        <f>H1175+150</f>
        <v>21340</v>
      </c>
      <c r="I1176" s="76">
        <v>0.9</v>
      </c>
    </row>
    <row r="1177" spans="3:9" x14ac:dyDescent="0.35">
      <c r="C1177" t="s">
        <v>312</v>
      </c>
      <c r="D1177" s="3">
        <v>2018</v>
      </c>
      <c r="E1177" s="78">
        <f t="shared" ref="E1177:E1185" si="113">E1176</f>
        <v>10</v>
      </c>
      <c r="F1177" s="74" t="s">
        <v>36</v>
      </c>
      <c r="G1177" s="77">
        <f t="shared" ref="G1177:G1185" si="114">H1176</f>
        <v>21340</v>
      </c>
      <c r="H1177" s="77">
        <f t="shared" ref="H1177:H1183" si="115">H1176+150</f>
        <v>21490</v>
      </c>
      <c r="I1177" s="76">
        <v>0.8</v>
      </c>
    </row>
    <row r="1178" spans="3:9" x14ac:dyDescent="0.35">
      <c r="C1178" t="s">
        <v>312</v>
      </c>
      <c r="D1178" s="3">
        <v>2018</v>
      </c>
      <c r="E1178" s="78">
        <f t="shared" si="113"/>
        <v>10</v>
      </c>
      <c r="F1178" s="74" t="s">
        <v>36</v>
      </c>
      <c r="G1178" s="77">
        <f t="shared" si="114"/>
        <v>21490</v>
      </c>
      <c r="H1178" s="77">
        <f t="shared" si="115"/>
        <v>21640</v>
      </c>
      <c r="I1178" s="76">
        <v>0.7</v>
      </c>
    </row>
    <row r="1179" spans="3:9" x14ac:dyDescent="0.35">
      <c r="C1179" t="s">
        <v>312</v>
      </c>
      <c r="D1179" s="3">
        <v>2018</v>
      </c>
      <c r="E1179" s="78">
        <f t="shared" si="113"/>
        <v>10</v>
      </c>
      <c r="F1179" s="74" t="s">
        <v>36</v>
      </c>
      <c r="G1179" s="77">
        <f t="shared" si="114"/>
        <v>21640</v>
      </c>
      <c r="H1179" s="77">
        <f t="shared" si="115"/>
        <v>21790</v>
      </c>
      <c r="I1179" s="76">
        <v>0.6</v>
      </c>
    </row>
    <row r="1180" spans="3:9" x14ac:dyDescent="0.35">
      <c r="C1180" t="s">
        <v>312</v>
      </c>
      <c r="D1180" s="3">
        <v>2018</v>
      </c>
      <c r="E1180" s="78">
        <f t="shared" si="113"/>
        <v>10</v>
      </c>
      <c r="F1180" s="74" t="s">
        <v>36</v>
      </c>
      <c r="G1180" s="77">
        <f t="shared" si="114"/>
        <v>21790</v>
      </c>
      <c r="H1180" s="77">
        <f t="shared" si="115"/>
        <v>21940</v>
      </c>
      <c r="I1180" s="76">
        <v>0.5</v>
      </c>
    </row>
    <row r="1181" spans="3:9" x14ac:dyDescent="0.35">
      <c r="C1181" t="s">
        <v>312</v>
      </c>
      <c r="D1181" s="3">
        <v>2018</v>
      </c>
      <c r="E1181" s="78">
        <f t="shared" si="113"/>
        <v>10</v>
      </c>
      <c r="F1181" s="74" t="s">
        <v>36</v>
      </c>
      <c r="G1181" s="77">
        <f t="shared" si="114"/>
        <v>21940</v>
      </c>
      <c r="H1181" s="77">
        <f t="shared" si="115"/>
        <v>22090</v>
      </c>
      <c r="I1181" s="76">
        <v>0.4</v>
      </c>
    </row>
    <row r="1182" spans="3:9" x14ac:dyDescent="0.35">
      <c r="C1182" t="s">
        <v>312</v>
      </c>
      <c r="D1182" s="3">
        <v>2018</v>
      </c>
      <c r="E1182" s="78">
        <f t="shared" si="113"/>
        <v>10</v>
      </c>
      <c r="F1182" s="74" t="s">
        <v>36</v>
      </c>
      <c r="G1182" s="77">
        <f t="shared" si="114"/>
        <v>22090</v>
      </c>
      <c r="H1182" s="77">
        <f t="shared" si="115"/>
        <v>22240</v>
      </c>
      <c r="I1182" s="76">
        <v>0.3</v>
      </c>
    </row>
    <row r="1183" spans="3:9" x14ac:dyDescent="0.35">
      <c r="C1183" t="s">
        <v>312</v>
      </c>
      <c r="D1183" s="3">
        <v>2018</v>
      </c>
      <c r="E1183" s="78">
        <f t="shared" si="113"/>
        <v>10</v>
      </c>
      <c r="F1183" s="74" t="s">
        <v>36</v>
      </c>
      <c r="G1183" s="77">
        <f t="shared" si="114"/>
        <v>22240</v>
      </c>
      <c r="H1183" s="77">
        <f t="shared" si="115"/>
        <v>22390</v>
      </c>
      <c r="I1183" s="76">
        <v>0.2</v>
      </c>
    </row>
    <row r="1184" spans="3:9" x14ac:dyDescent="0.35">
      <c r="C1184" t="s">
        <v>312</v>
      </c>
      <c r="D1184" s="3">
        <v>2018</v>
      </c>
      <c r="E1184" s="78">
        <f t="shared" si="113"/>
        <v>10</v>
      </c>
      <c r="F1184" s="74" t="s">
        <v>36</v>
      </c>
      <c r="G1184" s="77">
        <f t="shared" si="114"/>
        <v>22390</v>
      </c>
      <c r="H1184" s="77">
        <f>H1183+150</f>
        <v>22540</v>
      </c>
      <c r="I1184" s="76">
        <v>0.1</v>
      </c>
    </row>
    <row r="1185" spans="3:9" x14ac:dyDescent="0.35">
      <c r="C1185" t="s">
        <v>312</v>
      </c>
      <c r="D1185" s="3">
        <v>2018</v>
      </c>
      <c r="E1185" s="78">
        <f t="shared" si="113"/>
        <v>10</v>
      </c>
      <c r="F1185" s="74" t="s">
        <v>36</v>
      </c>
      <c r="G1185" s="77">
        <f t="shared" si="114"/>
        <v>22540</v>
      </c>
      <c r="H1185" s="77"/>
      <c r="I1185" s="76">
        <v>0</v>
      </c>
    </row>
    <row r="1186" spans="3:9" x14ac:dyDescent="0.35">
      <c r="C1186" t="s">
        <v>312</v>
      </c>
      <c r="D1186" s="3">
        <v>2019</v>
      </c>
      <c r="E1186" s="73">
        <v>1</v>
      </c>
      <c r="F1186" s="74" t="s">
        <v>54</v>
      </c>
      <c r="G1186" s="75">
        <v>0</v>
      </c>
      <c r="H1186" s="75">
        <v>12490</v>
      </c>
      <c r="I1186" s="76">
        <v>1</v>
      </c>
    </row>
    <row r="1187" spans="3:9" x14ac:dyDescent="0.35">
      <c r="C1187" t="s">
        <v>312</v>
      </c>
      <c r="D1187" s="3">
        <v>2019</v>
      </c>
      <c r="E1187" s="73">
        <v>1</v>
      </c>
      <c r="F1187" s="74" t="s">
        <v>54</v>
      </c>
      <c r="G1187" s="77">
        <f>H1186</f>
        <v>12490</v>
      </c>
      <c r="H1187" s="77">
        <f>H1186+300</f>
        <v>12790</v>
      </c>
      <c r="I1187" s="76">
        <v>0.9</v>
      </c>
    </row>
    <row r="1188" spans="3:9" x14ac:dyDescent="0.35">
      <c r="C1188" t="s">
        <v>312</v>
      </c>
      <c r="D1188" s="3">
        <v>2019</v>
      </c>
      <c r="E1188" s="73">
        <v>1</v>
      </c>
      <c r="F1188" s="74" t="s">
        <v>54</v>
      </c>
      <c r="G1188" s="77">
        <f t="shared" ref="G1188:G1196" si="116">H1187</f>
        <v>12790</v>
      </c>
      <c r="H1188" s="77">
        <f t="shared" ref="H1188:H1195" si="117">H1187+300</f>
        <v>13090</v>
      </c>
      <c r="I1188" s="76">
        <v>0.8</v>
      </c>
    </row>
    <row r="1189" spans="3:9" x14ac:dyDescent="0.35">
      <c r="C1189" t="s">
        <v>312</v>
      </c>
      <c r="D1189" s="3">
        <v>2019</v>
      </c>
      <c r="E1189" s="73">
        <v>1</v>
      </c>
      <c r="F1189" s="74" t="s">
        <v>54</v>
      </c>
      <c r="G1189" s="77">
        <f t="shared" si="116"/>
        <v>13090</v>
      </c>
      <c r="H1189" s="77">
        <f t="shared" si="117"/>
        <v>13390</v>
      </c>
      <c r="I1189" s="76">
        <v>0.7</v>
      </c>
    </row>
    <row r="1190" spans="3:9" x14ac:dyDescent="0.35">
      <c r="C1190" t="s">
        <v>312</v>
      </c>
      <c r="D1190" s="3">
        <v>2019</v>
      </c>
      <c r="E1190" s="73">
        <v>1</v>
      </c>
      <c r="F1190" s="74" t="s">
        <v>54</v>
      </c>
      <c r="G1190" s="77">
        <f t="shared" si="116"/>
        <v>13390</v>
      </c>
      <c r="H1190" s="77">
        <f t="shared" si="117"/>
        <v>13690</v>
      </c>
      <c r="I1190" s="76">
        <v>0.6</v>
      </c>
    </row>
    <row r="1191" spans="3:9" x14ac:dyDescent="0.35">
      <c r="C1191" t="s">
        <v>312</v>
      </c>
      <c r="D1191" s="3">
        <v>2019</v>
      </c>
      <c r="E1191" s="73">
        <v>1</v>
      </c>
      <c r="F1191" s="74" t="s">
        <v>54</v>
      </c>
      <c r="G1191" s="77">
        <f t="shared" si="116"/>
        <v>13690</v>
      </c>
      <c r="H1191" s="77">
        <f t="shared" si="117"/>
        <v>13990</v>
      </c>
      <c r="I1191" s="76">
        <v>0.5</v>
      </c>
    </row>
    <row r="1192" spans="3:9" x14ac:dyDescent="0.35">
      <c r="C1192" t="s">
        <v>312</v>
      </c>
      <c r="D1192" s="3">
        <v>2019</v>
      </c>
      <c r="E1192" s="73">
        <v>1</v>
      </c>
      <c r="F1192" s="74" t="s">
        <v>54</v>
      </c>
      <c r="G1192" s="77">
        <f t="shared" si="116"/>
        <v>13990</v>
      </c>
      <c r="H1192" s="77">
        <f t="shared" si="117"/>
        <v>14290</v>
      </c>
      <c r="I1192" s="76">
        <v>0.4</v>
      </c>
    </row>
    <row r="1193" spans="3:9" x14ac:dyDescent="0.35">
      <c r="C1193" t="s">
        <v>312</v>
      </c>
      <c r="D1193" s="3">
        <v>2019</v>
      </c>
      <c r="E1193" s="73">
        <v>1</v>
      </c>
      <c r="F1193" s="74" t="s">
        <v>54</v>
      </c>
      <c r="G1193" s="77">
        <f t="shared" si="116"/>
        <v>14290</v>
      </c>
      <c r="H1193" s="77">
        <f t="shared" si="117"/>
        <v>14590</v>
      </c>
      <c r="I1193" s="76">
        <v>0.3</v>
      </c>
    </row>
    <row r="1194" spans="3:9" x14ac:dyDescent="0.35">
      <c r="C1194" t="s">
        <v>312</v>
      </c>
      <c r="D1194" s="3">
        <v>2019</v>
      </c>
      <c r="E1194" s="73">
        <v>1</v>
      </c>
      <c r="F1194" s="74" t="s">
        <v>54</v>
      </c>
      <c r="G1194" s="77">
        <f t="shared" si="116"/>
        <v>14590</v>
      </c>
      <c r="H1194" s="77">
        <f t="shared" si="117"/>
        <v>14890</v>
      </c>
      <c r="I1194" s="76">
        <v>0.2</v>
      </c>
    </row>
    <row r="1195" spans="3:9" x14ac:dyDescent="0.35">
      <c r="C1195" t="s">
        <v>312</v>
      </c>
      <c r="D1195" s="3">
        <v>2019</v>
      </c>
      <c r="E1195" s="73">
        <v>1</v>
      </c>
      <c r="F1195" s="74" t="s">
        <v>54</v>
      </c>
      <c r="G1195" s="77">
        <f t="shared" si="116"/>
        <v>14890</v>
      </c>
      <c r="H1195" s="77">
        <f t="shared" si="117"/>
        <v>15190</v>
      </c>
      <c r="I1195" s="76">
        <v>0.1</v>
      </c>
    </row>
    <row r="1196" spans="3:9" x14ac:dyDescent="0.35">
      <c r="C1196" t="s">
        <v>312</v>
      </c>
      <c r="D1196" s="3">
        <v>2019</v>
      </c>
      <c r="E1196" s="73">
        <v>1</v>
      </c>
      <c r="F1196" s="74" t="s">
        <v>54</v>
      </c>
      <c r="G1196" s="77">
        <f t="shared" si="116"/>
        <v>15190</v>
      </c>
      <c r="H1196" s="77"/>
      <c r="I1196" s="76">
        <v>0</v>
      </c>
    </row>
    <row r="1197" spans="3:9" x14ac:dyDescent="0.35">
      <c r="C1197" t="s">
        <v>312</v>
      </c>
      <c r="D1197" s="3">
        <v>2019</v>
      </c>
      <c r="E1197" s="73">
        <v>1</v>
      </c>
      <c r="F1197" s="74" t="s">
        <v>34</v>
      </c>
      <c r="G1197" s="75">
        <v>0</v>
      </c>
      <c r="H1197" s="75">
        <f>H1186</f>
        <v>12490</v>
      </c>
      <c r="I1197" s="76">
        <v>1</v>
      </c>
    </row>
    <row r="1198" spans="3:9" x14ac:dyDescent="0.35">
      <c r="C1198" t="s">
        <v>312</v>
      </c>
      <c r="D1198" s="3">
        <v>2019</v>
      </c>
      <c r="E1198" s="73">
        <v>1</v>
      </c>
      <c r="F1198" s="74" t="s">
        <v>34</v>
      </c>
      <c r="G1198" s="77">
        <f>H1197</f>
        <v>12490</v>
      </c>
      <c r="H1198" s="77">
        <f>H1197+300</f>
        <v>12790</v>
      </c>
      <c r="I1198" s="76">
        <v>0.9</v>
      </c>
    </row>
    <row r="1199" spans="3:9" x14ac:dyDescent="0.35">
      <c r="C1199" t="s">
        <v>312</v>
      </c>
      <c r="D1199" s="3">
        <v>2019</v>
      </c>
      <c r="E1199" s="73">
        <v>1</v>
      </c>
      <c r="F1199" s="74" t="s">
        <v>34</v>
      </c>
      <c r="G1199" s="77">
        <f t="shared" ref="G1199:G1207" si="118">H1198</f>
        <v>12790</v>
      </c>
      <c r="H1199" s="77">
        <f t="shared" ref="H1199:H1206" si="119">H1198+300</f>
        <v>13090</v>
      </c>
      <c r="I1199" s="76">
        <v>0.8</v>
      </c>
    </row>
    <row r="1200" spans="3:9" x14ac:dyDescent="0.35">
      <c r="C1200" t="s">
        <v>312</v>
      </c>
      <c r="D1200" s="3">
        <v>2019</v>
      </c>
      <c r="E1200" s="73">
        <v>1</v>
      </c>
      <c r="F1200" s="74" t="s">
        <v>34</v>
      </c>
      <c r="G1200" s="77">
        <f t="shared" si="118"/>
        <v>13090</v>
      </c>
      <c r="H1200" s="77">
        <f t="shared" si="119"/>
        <v>13390</v>
      </c>
      <c r="I1200" s="76">
        <v>0.7</v>
      </c>
    </row>
    <row r="1201" spans="3:9" x14ac:dyDescent="0.35">
      <c r="C1201" t="s">
        <v>312</v>
      </c>
      <c r="D1201" s="3">
        <v>2019</v>
      </c>
      <c r="E1201" s="73">
        <v>1</v>
      </c>
      <c r="F1201" s="74" t="s">
        <v>34</v>
      </c>
      <c r="G1201" s="77">
        <f t="shared" si="118"/>
        <v>13390</v>
      </c>
      <c r="H1201" s="77">
        <f t="shared" si="119"/>
        <v>13690</v>
      </c>
      <c r="I1201" s="76">
        <v>0.6</v>
      </c>
    </row>
    <row r="1202" spans="3:9" x14ac:dyDescent="0.35">
      <c r="C1202" t="s">
        <v>312</v>
      </c>
      <c r="D1202" s="3">
        <v>2019</v>
      </c>
      <c r="E1202" s="73">
        <v>1</v>
      </c>
      <c r="F1202" s="74" t="s">
        <v>34</v>
      </c>
      <c r="G1202" s="77">
        <f t="shared" si="118"/>
        <v>13690</v>
      </c>
      <c r="H1202" s="77">
        <f t="shared" si="119"/>
        <v>13990</v>
      </c>
      <c r="I1202" s="76">
        <v>0.5</v>
      </c>
    </row>
    <row r="1203" spans="3:9" x14ac:dyDescent="0.35">
      <c r="C1203" t="s">
        <v>312</v>
      </c>
      <c r="D1203" s="3">
        <v>2019</v>
      </c>
      <c r="E1203" s="73">
        <v>1</v>
      </c>
      <c r="F1203" s="74" t="s">
        <v>34</v>
      </c>
      <c r="G1203" s="77">
        <f t="shared" si="118"/>
        <v>13990</v>
      </c>
      <c r="H1203" s="77">
        <f t="shared" si="119"/>
        <v>14290</v>
      </c>
      <c r="I1203" s="76">
        <v>0.4</v>
      </c>
    </row>
    <row r="1204" spans="3:9" x14ac:dyDescent="0.35">
      <c r="C1204" t="s">
        <v>312</v>
      </c>
      <c r="D1204" s="3">
        <v>2019</v>
      </c>
      <c r="E1204" s="73">
        <v>1</v>
      </c>
      <c r="F1204" s="74" t="s">
        <v>34</v>
      </c>
      <c r="G1204" s="77">
        <f t="shared" si="118"/>
        <v>14290</v>
      </c>
      <c r="H1204" s="77">
        <f t="shared" si="119"/>
        <v>14590</v>
      </c>
      <c r="I1204" s="76">
        <v>0.3</v>
      </c>
    </row>
    <row r="1205" spans="3:9" x14ac:dyDescent="0.35">
      <c r="C1205" t="s">
        <v>312</v>
      </c>
      <c r="D1205" s="3">
        <v>2019</v>
      </c>
      <c r="E1205" s="73">
        <v>1</v>
      </c>
      <c r="F1205" s="74" t="s">
        <v>34</v>
      </c>
      <c r="G1205" s="77">
        <f t="shared" si="118"/>
        <v>14590</v>
      </c>
      <c r="H1205" s="77">
        <f t="shared" si="119"/>
        <v>14890</v>
      </c>
      <c r="I1205" s="76">
        <v>0.2</v>
      </c>
    </row>
    <row r="1206" spans="3:9" x14ac:dyDescent="0.35">
      <c r="C1206" t="s">
        <v>312</v>
      </c>
      <c r="D1206" s="3">
        <v>2019</v>
      </c>
      <c r="E1206" s="73">
        <v>1</v>
      </c>
      <c r="F1206" s="74" t="s">
        <v>34</v>
      </c>
      <c r="G1206" s="77">
        <f t="shared" si="118"/>
        <v>14890</v>
      </c>
      <c r="H1206" s="77">
        <f t="shared" si="119"/>
        <v>15190</v>
      </c>
      <c r="I1206" s="76">
        <v>0.1</v>
      </c>
    </row>
    <row r="1207" spans="3:9" x14ac:dyDescent="0.35">
      <c r="C1207" t="s">
        <v>312</v>
      </c>
      <c r="D1207" s="3">
        <v>2019</v>
      </c>
      <c r="E1207" s="73">
        <v>1</v>
      </c>
      <c r="F1207" s="74" t="s">
        <v>34</v>
      </c>
      <c r="G1207" s="77">
        <f t="shared" si="118"/>
        <v>15190</v>
      </c>
      <c r="H1207" s="77"/>
      <c r="I1207" s="76">
        <v>0</v>
      </c>
    </row>
    <row r="1208" spans="3:9" x14ac:dyDescent="0.35">
      <c r="C1208" t="s">
        <v>312</v>
      </c>
      <c r="D1208" s="3">
        <v>2019</v>
      </c>
      <c r="E1208" s="73">
        <v>1</v>
      </c>
      <c r="F1208" s="74" t="s">
        <v>40</v>
      </c>
      <c r="G1208" s="75">
        <v>0</v>
      </c>
      <c r="H1208" s="75">
        <f>H1197</f>
        <v>12490</v>
      </c>
      <c r="I1208" s="76">
        <v>1</v>
      </c>
    </row>
    <row r="1209" spans="3:9" x14ac:dyDescent="0.35">
      <c r="C1209" t="s">
        <v>312</v>
      </c>
      <c r="D1209" s="3">
        <v>2019</v>
      </c>
      <c r="E1209" s="73">
        <v>1</v>
      </c>
      <c r="F1209" s="74" t="s">
        <v>40</v>
      </c>
      <c r="G1209" s="77">
        <f>H1208</f>
        <v>12490</v>
      </c>
      <c r="H1209" s="77">
        <f>H1208+300</f>
        <v>12790</v>
      </c>
      <c r="I1209" s="76">
        <v>0.9</v>
      </c>
    </row>
    <row r="1210" spans="3:9" x14ac:dyDescent="0.35">
      <c r="C1210" t="s">
        <v>312</v>
      </c>
      <c r="D1210" s="3">
        <v>2019</v>
      </c>
      <c r="E1210" s="73">
        <v>1</v>
      </c>
      <c r="F1210" s="74" t="s">
        <v>40</v>
      </c>
      <c r="G1210" s="77">
        <f t="shared" ref="G1210:G1218" si="120">H1209</f>
        <v>12790</v>
      </c>
      <c r="H1210" s="77">
        <f t="shared" ref="H1210:H1217" si="121">H1209+300</f>
        <v>13090</v>
      </c>
      <c r="I1210" s="76">
        <v>0.8</v>
      </c>
    </row>
    <row r="1211" spans="3:9" x14ac:dyDescent="0.35">
      <c r="C1211" t="s">
        <v>312</v>
      </c>
      <c r="D1211" s="3">
        <v>2019</v>
      </c>
      <c r="E1211" s="73">
        <v>1</v>
      </c>
      <c r="F1211" s="74" t="s">
        <v>40</v>
      </c>
      <c r="G1211" s="77">
        <f t="shared" si="120"/>
        <v>13090</v>
      </c>
      <c r="H1211" s="77">
        <f t="shared" si="121"/>
        <v>13390</v>
      </c>
      <c r="I1211" s="76">
        <v>0.7</v>
      </c>
    </row>
    <row r="1212" spans="3:9" x14ac:dyDescent="0.35">
      <c r="C1212" t="s">
        <v>312</v>
      </c>
      <c r="D1212" s="3">
        <v>2019</v>
      </c>
      <c r="E1212" s="73">
        <v>1</v>
      </c>
      <c r="F1212" s="74" t="s">
        <v>40</v>
      </c>
      <c r="G1212" s="77">
        <f t="shared" si="120"/>
        <v>13390</v>
      </c>
      <c r="H1212" s="77">
        <f t="shared" si="121"/>
        <v>13690</v>
      </c>
      <c r="I1212" s="76">
        <v>0.6</v>
      </c>
    </row>
    <row r="1213" spans="3:9" x14ac:dyDescent="0.35">
      <c r="C1213" t="s">
        <v>312</v>
      </c>
      <c r="D1213" s="3">
        <v>2019</v>
      </c>
      <c r="E1213" s="73">
        <v>1</v>
      </c>
      <c r="F1213" s="74" t="s">
        <v>40</v>
      </c>
      <c r="G1213" s="77">
        <f t="shared" si="120"/>
        <v>13690</v>
      </c>
      <c r="H1213" s="77">
        <f t="shared" si="121"/>
        <v>13990</v>
      </c>
      <c r="I1213" s="76">
        <v>0.5</v>
      </c>
    </row>
    <row r="1214" spans="3:9" x14ac:dyDescent="0.35">
      <c r="C1214" t="s">
        <v>312</v>
      </c>
      <c r="D1214" s="3">
        <v>2019</v>
      </c>
      <c r="E1214" s="73">
        <v>1</v>
      </c>
      <c r="F1214" s="74" t="s">
        <v>40</v>
      </c>
      <c r="G1214" s="77">
        <f t="shared" si="120"/>
        <v>13990</v>
      </c>
      <c r="H1214" s="77">
        <f t="shared" si="121"/>
        <v>14290</v>
      </c>
      <c r="I1214" s="76">
        <v>0.4</v>
      </c>
    </row>
    <row r="1215" spans="3:9" x14ac:dyDescent="0.35">
      <c r="C1215" t="s">
        <v>312</v>
      </c>
      <c r="D1215" s="3">
        <v>2019</v>
      </c>
      <c r="E1215" s="73">
        <v>1</v>
      </c>
      <c r="F1215" s="74" t="s">
        <v>40</v>
      </c>
      <c r="G1215" s="77">
        <f t="shared" si="120"/>
        <v>14290</v>
      </c>
      <c r="H1215" s="77">
        <f t="shared" si="121"/>
        <v>14590</v>
      </c>
      <c r="I1215" s="76">
        <v>0.3</v>
      </c>
    </row>
    <row r="1216" spans="3:9" x14ac:dyDescent="0.35">
      <c r="C1216" t="s">
        <v>312</v>
      </c>
      <c r="D1216" s="3">
        <v>2019</v>
      </c>
      <c r="E1216" s="73">
        <v>1</v>
      </c>
      <c r="F1216" s="74" t="s">
        <v>40</v>
      </c>
      <c r="G1216" s="77">
        <f t="shared" si="120"/>
        <v>14590</v>
      </c>
      <c r="H1216" s="77">
        <f t="shared" si="121"/>
        <v>14890</v>
      </c>
      <c r="I1216" s="76">
        <v>0.2</v>
      </c>
    </row>
    <row r="1217" spans="3:9" x14ac:dyDescent="0.35">
      <c r="C1217" t="s">
        <v>312</v>
      </c>
      <c r="D1217" s="3">
        <v>2019</v>
      </c>
      <c r="E1217" s="73">
        <v>1</v>
      </c>
      <c r="F1217" s="74" t="s">
        <v>40</v>
      </c>
      <c r="G1217" s="77">
        <f t="shared" si="120"/>
        <v>14890</v>
      </c>
      <c r="H1217" s="77">
        <f t="shared" si="121"/>
        <v>15190</v>
      </c>
      <c r="I1217" s="76">
        <v>0.1</v>
      </c>
    </row>
    <row r="1218" spans="3:9" x14ac:dyDescent="0.35">
      <c r="C1218" t="s">
        <v>312</v>
      </c>
      <c r="D1218" s="3">
        <v>2019</v>
      </c>
      <c r="E1218" s="73">
        <v>1</v>
      </c>
      <c r="F1218" s="74" t="s">
        <v>40</v>
      </c>
      <c r="G1218" s="77">
        <f t="shared" si="120"/>
        <v>15190</v>
      </c>
      <c r="H1218" s="77"/>
      <c r="I1218" s="76">
        <v>0</v>
      </c>
    </row>
    <row r="1219" spans="3:9" x14ac:dyDescent="0.35">
      <c r="C1219" t="s">
        <v>312</v>
      </c>
      <c r="D1219" s="3">
        <v>2019</v>
      </c>
      <c r="E1219" s="73">
        <v>1</v>
      </c>
      <c r="F1219" s="74" t="s">
        <v>313</v>
      </c>
      <c r="G1219" s="75">
        <v>0</v>
      </c>
      <c r="H1219" s="75">
        <f>H1208</f>
        <v>12490</v>
      </c>
      <c r="I1219" s="76">
        <v>1</v>
      </c>
    </row>
    <row r="1220" spans="3:9" x14ac:dyDescent="0.35">
      <c r="C1220" t="s">
        <v>312</v>
      </c>
      <c r="D1220" s="3">
        <v>2019</v>
      </c>
      <c r="E1220" s="73">
        <v>1</v>
      </c>
      <c r="F1220" s="74" t="s">
        <v>313</v>
      </c>
      <c r="G1220" s="77">
        <f>H1219</f>
        <v>12490</v>
      </c>
      <c r="H1220" s="77">
        <f>H1219+300</f>
        <v>12790</v>
      </c>
      <c r="I1220" s="76">
        <v>0.9</v>
      </c>
    </row>
    <row r="1221" spans="3:9" x14ac:dyDescent="0.35">
      <c r="C1221" t="s">
        <v>312</v>
      </c>
      <c r="D1221" s="3">
        <v>2019</v>
      </c>
      <c r="E1221" s="73">
        <v>1</v>
      </c>
      <c r="F1221" s="74" t="s">
        <v>313</v>
      </c>
      <c r="G1221" s="77">
        <f t="shared" ref="G1221:G1229" si="122">H1220</f>
        <v>12790</v>
      </c>
      <c r="H1221" s="77">
        <f t="shared" ref="H1221:H1228" si="123">H1220+300</f>
        <v>13090</v>
      </c>
      <c r="I1221" s="76">
        <v>0.8</v>
      </c>
    </row>
    <row r="1222" spans="3:9" x14ac:dyDescent="0.35">
      <c r="C1222" t="s">
        <v>312</v>
      </c>
      <c r="D1222" s="3">
        <v>2019</v>
      </c>
      <c r="E1222" s="73">
        <v>1</v>
      </c>
      <c r="F1222" s="74" t="s">
        <v>313</v>
      </c>
      <c r="G1222" s="77">
        <f t="shared" si="122"/>
        <v>13090</v>
      </c>
      <c r="H1222" s="77">
        <f t="shared" si="123"/>
        <v>13390</v>
      </c>
      <c r="I1222" s="76">
        <v>0.7</v>
      </c>
    </row>
    <row r="1223" spans="3:9" x14ac:dyDescent="0.35">
      <c r="C1223" t="s">
        <v>312</v>
      </c>
      <c r="D1223" s="3">
        <v>2019</v>
      </c>
      <c r="E1223" s="73">
        <v>1</v>
      </c>
      <c r="F1223" s="74" t="s">
        <v>313</v>
      </c>
      <c r="G1223" s="77">
        <f t="shared" si="122"/>
        <v>13390</v>
      </c>
      <c r="H1223" s="77">
        <f t="shared" si="123"/>
        <v>13690</v>
      </c>
      <c r="I1223" s="76">
        <v>0.6</v>
      </c>
    </row>
    <row r="1224" spans="3:9" x14ac:dyDescent="0.35">
      <c r="C1224" t="s">
        <v>312</v>
      </c>
      <c r="D1224" s="3">
        <v>2019</v>
      </c>
      <c r="E1224" s="73">
        <v>1</v>
      </c>
      <c r="F1224" s="74" t="s">
        <v>313</v>
      </c>
      <c r="G1224" s="77">
        <f t="shared" si="122"/>
        <v>13690</v>
      </c>
      <c r="H1224" s="77">
        <f t="shared" si="123"/>
        <v>13990</v>
      </c>
      <c r="I1224" s="76">
        <v>0.5</v>
      </c>
    </row>
    <row r="1225" spans="3:9" x14ac:dyDescent="0.35">
      <c r="C1225" t="s">
        <v>312</v>
      </c>
      <c r="D1225" s="3">
        <v>2019</v>
      </c>
      <c r="E1225" s="73">
        <v>1</v>
      </c>
      <c r="F1225" s="74" t="s">
        <v>313</v>
      </c>
      <c r="G1225" s="77">
        <f t="shared" si="122"/>
        <v>13990</v>
      </c>
      <c r="H1225" s="77">
        <f t="shared" si="123"/>
        <v>14290</v>
      </c>
      <c r="I1225" s="76">
        <v>0.4</v>
      </c>
    </row>
    <row r="1226" spans="3:9" x14ac:dyDescent="0.35">
      <c r="C1226" t="s">
        <v>312</v>
      </c>
      <c r="D1226" s="3">
        <v>2019</v>
      </c>
      <c r="E1226" s="73">
        <v>1</v>
      </c>
      <c r="F1226" s="74" t="s">
        <v>313</v>
      </c>
      <c r="G1226" s="77">
        <f t="shared" si="122"/>
        <v>14290</v>
      </c>
      <c r="H1226" s="77">
        <f t="shared" si="123"/>
        <v>14590</v>
      </c>
      <c r="I1226" s="76">
        <v>0.3</v>
      </c>
    </row>
    <row r="1227" spans="3:9" x14ac:dyDescent="0.35">
      <c r="C1227" t="s">
        <v>312</v>
      </c>
      <c r="D1227" s="3">
        <v>2019</v>
      </c>
      <c r="E1227" s="73">
        <v>1</v>
      </c>
      <c r="F1227" s="74" t="s">
        <v>313</v>
      </c>
      <c r="G1227" s="77">
        <f t="shared" si="122"/>
        <v>14590</v>
      </c>
      <c r="H1227" s="77">
        <f t="shared" si="123"/>
        <v>14890</v>
      </c>
      <c r="I1227" s="76">
        <v>0.2</v>
      </c>
    </row>
    <row r="1228" spans="3:9" x14ac:dyDescent="0.35">
      <c r="C1228" t="s">
        <v>312</v>
      </c>
      <c r="D1228" s="3">
        <v>2019</v>
      </c>
      <c r="E1228" s="73">
        <v>1</v>
      </c>
      <c r="F1228" s="74" t="s">
        <v>313</v>
      </c>
      <c r="G1228" s="77">
        <f t="shared" si="122"/>
        <v>14890</v>
      </c>
      <c r="H1228" s="77">
        <f t="shared" si="123"/>
        <v>15190</v>
      </c>
      <c r="I1228" s="76">
        <v>0.1</v>
      </c>
    </row>
    <row r="1229" spans="3:9" x14ac:dyDescent="0.35">
      <c r="C1229" t="s">
        <v>312</v>
      </c>
      <c r="D1229" s="3">
        <v>2019</v>
      </c>
      <c r="E1229" s="73">
        <v>1</v>
      </c>
      <c r="F1229" s="74" t="s">
        <v>313</v>
      </c>
      <c r="G1229" s="77">
        <f t="shared" si="122"/>
        <v>15190</v>
      </c>
      <c r="H1229" s="77"/>
      <c r="I1229" s="76">
        <v>0</v>
      </c>
    </row>
    <row r="1230" spans="3:9" x14ac:dyDescent="0.35">
      <c r="C1230" t="s">
        <v>312</v>
      </c>
      <c r="D1230" s="3">
        <v>2019</v>
      </c>
      <c r="E1230" s="73">
        <v>2</v>
      </c>
      <c r="F1230" s="74" t="s">
        <v>54</v>
      </c>
      <c r="G1230" s="77">
        <v>0</v>
      </c>
      <c r="H1230" s="77">
        <v>16910</v>
      </c>
      <c r="I1230" s="76">
        <v>1</v>
      </c>
    </row>
    <row r="1231" spans="3:9" x14ac:dyDescent="0.35">
      <c r="C1231" t="s">
        <v>312</v>
      </c>
      <c r="D1231" s="3">
        <v>2019</v>
      </c>
      <c r="E1231" s="78">
        <f>E1230</f>
        <v>2</v>
      </c>
      <c r="F1231" s="74" t="s">
        <v>54</v>
      </c>
      <c r="G1231" s="77">
        <f>H1230</f>
        <v>16910</v>
      </c>
      <c r="H1231" s="77">
        <f>H1230+300</f>
        <v>17210</v>
      </c>
      <c r="I1231" s="76">
        <v>0.9</v>
      </c>
    </row>
    <row r="1232" spans="3:9" x14ac:dyDescent="0.35">
      <c r="C1232" t="s">
        <v>312</v>
      </c>
      <c r="D1232" s="3">
        <v>2019</v>
      </c>
      <c r="E1232" s="78">
        <f t="shared" ref="E1232:E1273" si="124">E1231</f>
        <v>2</v>
      </c>
      <c r="F1232" s="74" t="s">
        <v>54</v>
      </c>
      <c r="G1232" s="77">
        <f t="shared" ref="G1232:G1284" si="125">H1231</f>
        <v>17210</v>
      </c>
      <c r="H1232" s="77">
        <f t="shared" ref="H1232:H1239" si="126">H1231+300</f>
        <v>17510</v>
      </c>
      <c r="I1232" s="76">
        <v>0.8</v>
      </c>
    </row>
    <row r="1233" spans="3:9" x14ac:dyDescent="0.35">
      <c r="C1233" t="s">
        <v>312</v>
      </c>
      <c r="D1233" s="3">
        <v>2019</v>
      </c>
      <c r="E1233" s="78">
        <f t="shared" si="124"/>
        <v>2</v>
      </c>
      <c r="F1233" s="74" t="s">
        <v>54</v>
      </c>
      <c r="G1233" s="77">
        <f t="shared" si="125"/>
        <v>17510</v>
      </c>
      <c r="H1233" s="77">
        <f t="shared" si="126"/>
        <v>17810</v>
      </c>
      <c r="I1233" s="76">
        <v>0.7</v>
      </c>
    </row>
    <row r="1234" spans="3:9" x14ac:dyDescent="0.35">
      <c r="C1234" t="s">
        <v>312</v>
      </c>
      <c r="D1234" s="3">
        <v>2019</v>
      </c>
      <c r="E1234" s="78">
        <f t="shared" si="124"/>
        <v>2</v>
      </c>
      <c r="F1234" s="74" t="s">
        <v>54</v>
      </c>
      <c r="G1234" s="77">
        <f t="shared" si="125"/>
        <v>17810</v>
      </c>
      <c r="H1234" s="77">
        <f t="shared" si="126"/>
        <v>18110</v>
      </c>
      <c r="I1234" s="76">
        <v>0.6</v>
      </c>
    </row>
    <row r="1235" spans="3:9" x14ac:dyDescent="0.35">
      <c r="C1235" t="s">
        <v>312</v>
      </c>
      <c r="D1235" s="3">
        <v>2019</v>
      </c>
      <c r="E1235" s="78">
        <f t="shared" si="124"/>
        <v>2</v>
      </c>
      <c r="F1235" s="74" t="s">
        <v>54</v>
      </c>
      <c r="G1235" s="77">
        <f t="shared" si="125"/>
        <v>18110</v>
      </c>
      <c r="H1235" s="77">
        <f t="shared" si="126"/>
        <v>18410</v>
      </c>
      <c r="I1235" s="76">
        <v>0.5</v>
      </c>
    </row>
    <row r="1236" spans="3:9" x14ac:dyDescent="0.35">
      <c r="C1236" t="s">
        <v>312</v>
      </c>
      <c r="D1236" s="3">
        <v>2019</v>
      </c>
      <c r="E1236" s="78">
        <f t="shared" si="124"/>
        <v>2</v>
      </c>
      <c r="F1236" s="74" t="s">
        <v>54</v>
      </c>
      <c r="G1236" s="77">
        <f t="shared" si="125"/>
        <v>18410</v>
      </c>
      <c r="H1236" s="77">
        <f t="shared" si="126"/>
        <v>18710</v>
      </c>
      <c r="I1236" s="76">
        <v>0.4</v>
      </c>
    </row>
    <row r="1237" spans="3:9" x14ac:dyDescent="0.35">
      <c r="C1237" t="s">
        <v>312</v>
      </c>
      <c r="D1237" s="3">
        <v>2019</v>
      </c>
      <c r="E1237" s="78">
        <f t="shared" si="124"/>
        <v>2</v>
      </c>
      <c r="F1237" s="74" t="s">
        <v>54</v>
      </c>
      <c r="G1237" s="77">
        <f t="shared" si="125"/>
        <v>18710</v>
      </c>
      <c r="H1237" s="77">
        <f t="shared" si="126"/>
        <v>19010</v>
      </c>
      <c r="I1237" s="76">
        <v>0.3</v>
      </c>
    </row>
    <row r="1238" spans="3:9" x14ac:dyDescent="0.35">
      <c r="C1238" t="s">
        <v>312</v>
      </c>
      <c r="D1238" s="3">
        <v>2019</v>
      </c>
      <c r="E1238" s="78">
        <f t="shared" si="124"/>
        <v>2</v>
      </c>
      <c r="F1238" s="74" t="s">
        <v>54</v>
      </c>
      <c r="G1238" s="77">
        <f t="shared" si="125"/>
        <v>19010</v>
      </c>
      <c r="H1238" s="77">
        <f t="shared" si="126"/>
        <v>19310</v>
      </c>
      <c r="I1238" s="76">
        <v>0.2</v>
      </c>
    </row>
    <row r="1239" spans="3:9" x14ac:dyDescent="0.35">
      <c r="C1239" t="s">
        <v>312</v>
      </c>
      <c r="D1239" s="3">
        <v>2019</v>
      </c>
      <c r="E1239" s="78">
        <f t="shared" si="124"/>
        <v>2</v>
      </c>
      <c r="F1239" s="74" t="s">
        <v>54</v>
      </c>
      <c r="G1239" s="77">
        <f t="shared" si="125"/>
        <v>19310</v>
      </c>
      <c r="H1239" s="77">
        <f t="shared" si="126"/>
        <v>19610</v>
      </c>
      <c r="I1239" s="76">
        <v>0.1</v>
      </c>
    </row>
    <row r="1240" spans="3:9" x14ac:dyDescent="0.35">
      <c r="C1240" t="s">
        <v>312</v>
      </c>
      <c r="D1240" s="3">
        <v>2019</v>
      </c>
      <c r="E1240" s="78">
        <f t="shared" si="124"/>
        <v>2</v>
      </c>
      <c r="F1240" s="74" t="s">
        <v>54</v>
      </c>
      <c r="G1240" s="77">
        <f t="shared" si="125"/>
        <v>19610</v>
      </c>
      <c r="H1240" s="77"/>
      <c r="I1240" s="76">
        <v>0</v>
      </c>
    </row>
    <row r="1241" spans="3:9" x14ac:dyDescent="0.35">
      <c r="C1241" t="s">
        <v>312</v>
      </c>
      <c r="D1241" s="3">
        <v>2019</v>
      </c>
      <c r="E1241" s="78">
        <f t="shared" si="124"/>
        <v>2</v>
      </c>
      <c r="F1241" s="74" t="s">
        <v>34</v>
      </c>
      <c r="G1241" s="77">
        <v>0</v>
      </c>
      <c r="H1241" s="75">
        <f>H1230</f>
        <v>16910</v>
      </c>
      <c r="I1241" s="76">
        <v>1</v>
      </c>
    </row>
    <row r="1242" spans="3:9" x14ac:dyDescent="0.35">
      <c r="C1242" t="s">
        <v>312</v>
      </c>
      <c r="D1242" s="3">
        <v>2019</v>
      </c>
      <c r="E1242" s="78">
        <f t="shared" si="124"/>
        <v>2</v>
      </c>
      <c r="F1242" s="74" t="s">
        <v>34</v>
      </c>
      <c r="G1242" s="77">
        <f>H1241</f>
        <v>16910</v>
      </c>
      <c r="H1242" s="77">
        <f>H1241+300</f>
        <v>17210</v>
      </c>
      <c r="I1242" s="76">
        <v>0.9</v>
      </c>
    </row>
    <row r="1243" spans="3:9" x14ac:dyDescent="0.35">
      <c r="C1243" t="s">
        <v>312</v>
      </c>
      <c r="D1243" s="3">
        <v>2019</v>
      </c>
      <c r="E1243" s="78">
        <f t="shared" si="124"/>
        <v>2</v>
      </c>
      <c r="F1243" s="74" t="s">
        <v>34</v>
      </c>
      <c r="G1243" s="77">
        <f t="shared" si="125"/>
        <v>17210</v>
      </c>
      <c r="H1243" s="77">
        <f t="shared" ref="H1243:H1250" si="127">H1242+300</f>
        <v>17510</v>
      </c>
      <c r="I1243" s="76">
        <v>0.8</v>
      </c>
    </row>
    <row r="1244" spans="3:9" x14ac:dyDescent="0.35">
      <c r="C1244" t="s">
        <v>312</v>
      </c>
      <c r="D1244" s="3">
        <v>2019</v>
      </c>
      <c r="E1244" s="78">
        <f t="shared" si="124"/>
        <v>2</v>
      </c>
      <c r="F1244" s="74" t="s">
        <v>34</v>
      </c>
      <c r="G1244" s="77">
        <f t="shared" si="125"/>
        <v>17510</v>
      </c>
      <c r="H1244" s="77">
        <f t="shared" si="127"/>
        <v>17810</v>
      </c>
      <c r="I1244" s="76">
        <v>0.7</v>
      </c>
    </row>
    <row r="1245" spans="3:9" x14ac:dyDescent="0.35">
      <c r="C1245" t="s">
        <v>312</v>
      </c>
      <c r="D1245" s="3">
        <v>2019</v>
      </c>
      <c r="E1245" s="78">
        <f t="shared" si="124"/>
        <v>2</v>
      </c>
      <c r="F1245" s="74" t="s">
        <v>34</v>
      </c>
      <c r="G1245" s="77">
        <f t="shared" si="125"/>
        <v>17810</v>
      </c>
      <c r="H1245" s="77">
        <f t="shared" si="127"/>
        <v>18110</v>
      </c>
      <c r="I1245" s="76">
        <v>0.6</v>
      </c>
    </row>
    <row r="1246" spans="3:9" x14ac:dyDescent="0.35">
      <c r="C1246" t="s">
        <v>312</v>
      </c>
      <c r="D1246" s="3">
        <v>2019</v>
      </c>
      <c r="E1246" s="78">
        <f t="shared" si="124"/>
        <v>2</v>
      </c>
      <c r="F1246" s="74" t="s">
        <v>34</v>
      </c>
      <c r="G1246" s="77">
        <f t="shared" si="125"/>
        <v>18110</v>
      </c>
      <c r="H1246" s="77">
        <f t="shared" si="127"/>
        <v>18410</v>
      </c>
      <c r="I1246" s="76">
        <v>0.5</v>
      </c>
    </row>
    <row r="1247" spans="3:9" x14ac:dyDescent="0.35">
      <c r="C1247" t="s">
        <v>312</v>
      </c>
      <c r="D1247" s="3">
        <v>2019</v>
      </c>
      <c r="E1247" s="78">
        <f t="shared" si="124"/>
        <v>2</v>
      </c>
      <c r="F1247" s="74" t="s">
        <v>34</v>
      </c>
      <c r="G1247" s="77">
        <f t="shared" si="125"/>
        <v>18410</v>
      </c>
      <c r="H1247" s="77">
        <f t="shared" si="127"/>
        <v>18710</v>
      </c>
      <c r="I1247" s="76">
        <v>0.4</v>
      </c>
    </row>
    <row r="1248" spans="3:9" x14ac:dyDescent="0.35">
      <c r="C1248" t="s">
        <v>312</v>
      </c>
      <c r="D1248" s="3">
        <v>2019</v>
      </c>
      <c r="E1248" s="78">
        <f t="shared" si="124"/>
        <v>2</v>
      </c>
      <c r="F1248" s="74" t="s">
        <v>34</v>
      </c>
      <c r="G1248" s="77">
        <f t="shared" si="125"/>
        <v>18710</v>
      </c>
      <c r="H1248" s="77">
        <f t="shared" si="127"/>
        <v>19010</v>
      </c>
      <c r="I1248" s="76">
        <v>0.3</v>
      </c>
    </row>
    <row r="1249" spans="3:9" x14ac:dyDescent="0.35">
      <c r="C1249" t="s">
        <v>312</v>
      </c>
      <c r="D1249" s="3">
        <v>2019</v>
      </c>
      <c r="E1249" s="78">
        <f t="shared" si="124"/>
        <v>2</v>
      </c>
      <c r="F1249" s="74" t="s">
        <v>34</v>
      </c>
      <c r="G1249" s="77">
        <f t="shared" si="125"/>
        <v>19010</v>
      </c>
      <c r="H1249" s="77">
        <f t="shared" si="127"/>
        <v>19310</v>
      </c>
      <c r="I1249" s="76">
        <v>0.2</v>
      </c>
    </row>
    <row r="1250" spans="3:9" x14ac:dyDescent="0.35">
      <c r="C1250" t="s">
        <v>312</v>
      </c>
      <c r="D1250" s="3">
        <v>2019</v>
      </c>
      <c r="E1250" s="78">
        <f t="shared" si="124"/>
        <v>2</v>
      </c>
      <c r="F1250" s="74" t="s">
        <v>34</v>
      </c>
      <c r="G1250" s="77">
        <f t="shared" si="125"/>
        <v>19310</v>
      </c>
      <c r="H1250" s="77">
        <f t="shared" si="127"/>
        <v>19610</v>
      </c>
      <c r="I1250" s="76">
        <v>0.1</v>
      </c>
    </row>
    <row r="1251" spans="3:9" x14ac:dyDescent="0.35">
      <c r="C1251" t="s">
        <v>312</v>
      </c>
      <c r="D1251" s="3">
        <v>2019</v>
      </c>
      <c r="E1251" s="78">
        <f t="shared" si="124"/>
        <v>2</v>
      </c>
      <c r="F1251" s="74" t="s">
        <v>34</v>
      </c>
      <c r="G1251" s="77">
        <f t="shared" si="125"/>
        <v>19610</v>
      </c>
      <c r="H1251" s="77"/>
      <c r="I1251" s="76">
        <v>0</v>
      </c>
    </row>
    <row r="1252" spans="3:9" x14ac:dyDescent="0.35">
      <c r="C1252" t="s">
        <v>312</v>
      </c>
      <c r="D1252" s="3">
        <v>2019</v>
      </c>
      <c r="E1252" s="78">
        <f t="shared" si="124"/>
        <v>2</v>
      </c>
      <c r="F1252" s="74" t="s">
        <v>40</v>
      </c>
      <c r="G1252" s="77">
        <v>0</v>
      </c>
      <c r="H1252" s="75">
        <f>H1241</f>
        <v>16910</v>
      </c>
      <c r="I1252" s="76">
        <v>1</v>
      </c>
    </row>
    <row r="1253" spans="3:9" x14ac:dyDescent="0.35">
      <c r="C1253" t="s">
        <v>312</v>
      </c>
      <c r="D1253" s="3">
        <v>2019</v>
      </c>
      <c r="E1253" s="78">
        <f t="shared" si="124"/>
        <v>2</v>
      </c>
      <c r="F1253" s="74" t="s">
        <v>40</v>
      </c>
      <c r="G1253" s="77">
        <f>H1252</f>
        <v>16910</v>
      </c>
      <c r="H1253" s="77">
        <f>H1252+300</f>
        <v>17210</v>
      </c>
      <c r="I1253" s="76">
        <v>0.9</v>
      </c>
    </row>
    <row r="1254" spans="3:9" x14ac:dyDescent="0.35">
      <c r="C1254" t="s">
        <v>312</v>
      </c>
      <c r="D1254" s="3">
        <v>2019</v>
      </c>
      <c r="E1254" s="78">
        <f t="shared" si="124"/>
        <v>2</v>
      </c>
      <c r="F1254" s="74" t="s">
        <v>40</v>
      </c>
      <c r="G1254" s="77">
        <f t="shared" si="125"/>
        <v>17210</v>
      </c>
      <c r="H1254" s="77">
        <f t="shared" ref="H1254:H1261" si="128">H1253+300</f>
        <v>17510</v>
      </c>
      <c r="I1254" s="76">
        <v>0.8</v>
      </c>
    </row>
    <row r="1255" spans="3:9" x14ac:dyDescent="0.35">
      <c r="C1255" t="s">
        <v>312</v>
      </c>
      <c r="D1255" s="3">
        <v>2019</v>
      </c>
      <c r="E1255" s="78">
        <f t="shared" si="124"/>
        <v>2</v>
      </c>
      <c r="F1255" s="74" t="s">
        <v>40</v>
      </c>
      <c r="G1255" s="77">
        <f t="shared" si="125"/>
        <v>17510</v>
      </c>
      <c r="H1255" s="77">
        <f t="shared" si="128"/>
        <v>17810</v>
      </c>
      <c r="I1255" s="76">
        <v>0.7</v>
      </c>
    </row>
    <row r="1256" spans="3:9" x14ac:dyDescent="0.35">
      <c r="C1256" t="s">
        <v>312</v>
      </c>
      <c r="D1256" s="3">
        <v>2019</v>
      </c>
      <c r="E1256" s="78">
        <f t="shared" si="124"/>
        <v>2</v>
      </c>
      <c r="F1256" s="74" t="s">
        <v>40</v>
      </c>
      <c r="G1256" s="77">
        <f t="shared" si="125"/>
        <v>17810</v>
      </c>
      <c r="H1256" s="77">
        <f t="shared" si="128"/>
        <v>18110</v>
      </c>
      <c r="I1256" s="76">
        <v>0.6</v>
      </c>
    </row>
    <row r="1257" spans="3:9" x14ac:dyDescent="0.35">
      <c r="C1257" t="s">
        <v>312</v>
      </c>
      <c r="D1257" s="3">
        <v>2019</v>
      </c>
      <c r="E1257" s="78">
        <f t="shared" si="124"/>
        <v>2</v>
      </c>
      <c r="F1257" s="74" t="s">
        <v>40</v>
      </c>
      <c r="G1257" s="77">
        <f t="shared" si="125"/>
        <v>18110</v>
      </c>
      <c r="H1257" s="77">
        <f t="shared" si="128"/>
        <v>18410</v>
      </c>
      <c r="I1257" s="76">
        <v>0.5</v>
      </c>
    </row>
    <row r="1258" spans="3:9" x14ac:dyDescent="0.35">
      <c r="C1258" t="s">
        <v>312</v>
      </c>
      <c r="D1258" s="3">
        <v>2019</v>
      </c>
      <c r="E1258" s="78">
        <f t="shared" si="124"/>
        <v>2</v>
      </c>
      <c r="F1258" s="74" t="s">
        <v>40</v>
      </c>
      <c r="G1258" s="77">
        <f t="shared" si="125"/>
        <v>18410</v>
      </c>
      <c r="H1258" s="77">
        <f t="shared" si="128"/>
        <v>18710</v>
      </c>
      <c r="I1258" s="76">
        <v>0.4</v>
      </c>
    </row>
    <row r="1259" spans="3:9" x14ac:dyDescent="0.35">
      <c r="C1259" t="s">
        <v>312</v>
      </c>
      <c r="D1259" s="3">
        <v>2019</v>
      </c>
      <c r="E1259" s="78">
        <f t="shared" si="124"/>
        <v>2</v>
      </c>
      <c r="F1259" s="74" t="s">
        <v>40</v>
      </c>
      <c r="G1259" s="77">
        <f t="shared" si="125"/>
        <v>18710</v>
      </c>
      <c r="H1259" s="77">
        <f t="shared" si="128"/>
        <v>19010</v>
      </c>
      <c r="I1259" s="76">
        <v>0.3</v>
      </c>
    </row>
    <row r="1260" spans="3:9" x14ac:dyDescent="0.35">
      <c r="C1260" t="s">
        <v>312</v>
      </c>
      <c r="D1260" s="3">
        <v>2019</v>
      </c>
      <c r="E1260" s="78">
        <f t="shared" si="124"/>
        <v>2</v>
      </c>
      <c r="F1260" s="74" t="s">
        <v>40</v>
      </c>
      <c r="G1260" s="77">
        <f t="shared" si="125"/>
        <v>19010</v>
      </c>
      <c r="H1260" s="77">
        <f t="shared" si="128"/>
        <v>19310</v>
      </c>
      <c r="I1260" s="76">
        <v>0.2</v>
      </c>
    </row>
    <row r="1261" spans="3:9" x14ac:dyDescent="0.35">
      <c r="C1261" t="s">
        <v>312</v>
      </c>
      <c r="D1261" s="3">
        <v>2019</v>
      </c>
      <c r="E1261" s="78">
        <f t="shared" si="124"/>
        <v>2</v>
      </c>
      <c r="F1261" s="74" t="s">
        <v>40</v>
      </c>
      <c r="G1261" s="77">
        <f t="shared" si="125"/>
        <v>19310</v>
      </c>
      <c r="H1261" s="77">
        <f t="shared" si="128"/>
        <v>19610</v>
      </c>
      <c r="I1261" s="76">
        <v>0.1</v>
      </c>
    </row>
    <row r="1262" spans="3:9" x14ac:dyDescent="0.35">
      <c r="C1262" t="s">
        <v>312</v>
      </c>
      <c r="D1262" s="3">
        <v>2019</v>
      </c>
      <c r="E1262" s="78">
        <f t="shared" si="124"/>
        <v>2</v>
      </c>
      <c r="F1262" s="74" t="s">
        <v>40</v>
      </c>
      <c r="G1262" s="77">
        <f t="shared" si="125"/>
        <v>19610</v>
      </c>
      <c r="H1262" s="77"/>
      <c r="I1262" s="76">
        <v>0</v>
      </c>
    </row>
    <row r="1263" spans="3:9" x14ac:dyDescent="0.35">
      <c r="C1263" t="s">
        <v>312</v>
      </c>
      <c r="D1263" s="3">
        <v>2019</v>
      </c>
      <c r="E1263" s="78">
        <f t="shared" si="124"/>
        <v>2</v>
      </c>
      <c r="F1263" s="74" t="s">
        <v>313</v>
      </c>
      <c r="G1263" s="77">
        <v>0</v>
      </c>
      <c r="H1263" s="75">
        <f>H1252</f>
        <v>16910</v>
      </c>
      <c r="I1263" s="76">
        <v>1</v>
      </c>
    </row>
    <row r="1264" spans="3:9" x14ac:dyDescent="0.35">
      <c r="C1264" t="s">
        <v>312</v>
      </c>
      <c r="D1264" s="3">
        <v>2019</v>
      </c>
      <c r="E1264" s="78">
        <f t="shared" si="124"/>
        <v>2</v>
      </c>
      <c r="F1264" s="74" t="s">
        <v>313</v>
      </c>
      <c r="G1264" s="77">
        <f>H1263</f>
        <v>16910</v>
      </c>
      <c r="H1264" s="77">
        <f>H1263+300</f>
        <v>17210</v>
      </c>
      <c r="I1264" s="76">
        <v>0.9</v>
      </c>
    </row>
    <row r="1265" spans="3:9" x14ac:dyDescent="0.35">
      <c r="C1265" t="s">
        <v>312</v>
      </c>
      <c r="D1265" s="3">
        <v>2019</v>
      </c>
      <c r="E1265" s="78">
        <f t="shared" si="124"/>
        <v>2</v>
      </c>
      <c r="F1265" s="74" t="s">
        <v>313</v>
      </c>
      <c r="G1265" s="77">
        <f t="shared" si="125"/>
        <v>17210</v>
      </c>
      <c r="H1265" s="77">
        <f t="shared" ref="H1265:H1272" si="129">H1264+300</f>
        <v>17510</v>
      </c>
      <c r="I1265" s="76">
        <v>0.8</v>
      </c>
    </row>
    <row r="1266" spans="3:9" x14ac:dyDescent="0.35">
      <c r="C1266" t="s">
        <v>312</v>
      </c>
      <c r="D1266" s="3">
        <v>2019</v>
      </c>
      <c r="E1266" s="78">
        <f t="shared" si="124"/>
        <v>2</v>
      </c>
      <c r="F1266" s="74" t="s">
        <v>313</v>
      </c>
      <c r="G1266" s="77">
        <f t="shared" si="125"/>
        <v>17510</v>
      </c>
      <c r="H1266" s="77">
        <f t="shared" si="129"/>
        <v>17810</v>
      </c>
      <c r="I1266" s="76">
        <v>0.7</v>
      </c>
    </row>
    <row r="1267" spans="3:9" x14ac:dyDescent="0.35">
      <c r="C1267" t="s">
        <v>312</v>
      </c>
      <c r="D1267" s="3">
        <v>2019</v>
      </c>
      <c r="E1267" s="78">
        <f t="shared" si="124"/>
        <v>2</v>
      </c>
      <c r="F1267" s="74" t="s">
        <v>313</v>
      </c>
      <c r="G1267" s="77">
        <f t="shared" si="125"/>
        <v>17810</v>
      </c>
      <c r="H1267" s="77">
        <f t="shared" si="129"/>
        <v>18110</v>
      </c>
      <c r="I1267" s="76">
        <v>0.6</v>
      </c>
    </row>
    <row r="1268" spans="3:9" x14ac:dyDescent="0.35">
      <c r="C1268" t="s">
        <v>312</v>
      </c>
      <c r="D1268" s="3">
        <v>2019</v>
      </c>
      <c r="E1268" s="78">
        <f t="shared" si="124"/>
        <v>2</v>
      </c>
      <c r="F1268" s="74" t="s">
        <v>313</v>
      </c>
      <c r="G1268" s="77">
        <f t="shared" si="125"/>
        <v>18110</v>
      </c>
      <c r="H1268" s="77">
        <f t="shared" si="129"/>
        <v>18410</v>
      </c>
      <c r="I1268" s="76">
        <v>0.5</v>
      </c>
    </row>
    <row r="1269" spans="3:9" x14ac:dyDescent="0.35">
      <c r="C1269" t="s">
        <v>312</v>
      </c>
      <c r="D1269" s="3">
        <v>2019</v>
      </c>
      <c r="E1269" s="78">
        <f t="shared" si="124"/>
        <v>2</v>
      </c>
      <c r="F1269" s="74" t="s">
        <v>313</v>
      </c>
      <c r="G1269" s="77">
        <f t="shared" si="125"/>
        <v>18410</v>
      </c>
      <c r="H1269" s="77">
        <f t="shared" si="129"/>
        <v>18710</v>
      </c>
      <c r="I1269" s="76">
        <v>0.4</v>
      </c>
    </row>
    <row r="1270" spans="3:9" x14ac:dyDescent="0.35">
      <c r="C1270" t="s">
        <v>312</v>
      </c>
      <c r="D1270" s="3">
        <v>2019</v>
      </c>
      <c r="E1270" s="78">
        <f t="shared" si="124"/>
        <v>2</v>
      </c>
      <c r="F1270" s="74" t="s">
        <v>313</v>
      </c>
      <c r="G1270" s="77">
        <f t="shared" si="125"/>
        <v>18710</v>
      </c>
      <c r="H1270" s="77">
        <f t="shared" si="129"/>
        <v>19010</v>
      </c>
      <c r="I1270" s="76">
        <v>0.3</v>
      </c>
    </row>
    <row r="1271" spans="3:9" x14ac:dyDescent="0.35">
      <c r="C1271" t="s">
        <v>312</v>
      </c>
      <c r="D1271" s="3">
        <v>2019</v>
      </c>
      <c r="E1271" s="78">
        <f t="shared" si="124"/>
        <v>2</v>
      </c>
      <c r="F1271" s="74" t="s">
        <v>313</v>
      </c>
      <c r="G1271" s="77">
        <f t="shared" si="125"/>
        <v>19010</v>
      </c>
      <c r="H1271" s="77">
        <f t="shared" si="129"/>
        <v>19310</v>
      </c>
      <c r="I1271" s="76">
        <v>0.2</v>
      </c>
    </row>
    <row r="1272" spans="3:9" x14ac:dyDescent="0.35">
      <c r="C1272" t="s">
        <v>312</v>
      </c>
      <c r="D1272" s="3">
        <v>2019</v>
      </c>
      <c r="E1272" s="78">
        <f t="shared" si="124"/>
        <v>2</v>
      </c>
      <c r="F1272" s="74" t="s">
        <v>313</v>
      </c>
      <c r="G1272" s="77">
        <f t="shared" si="125"/>
        <v>19310</v>
      </c>
      <c r="H1272" s="77">
        <f t="shared" si="129"/>
        <v>19610</v>
      </c>
      <c r="I1272" s="76">
        <v>0.1</v>
      </c>
    </row>
    <row r="1273" spans="3:9" x14ac:dyDescent="0.35">
      <c r="C1273" t="s">
        <v>312</v>
      </c>
      <c r="D1273" s="3">
        <v>2019</v>
      </c>
      <c r="E1273" s="78">
        <f t="shared" si="124"/>
        <v>2</v>
      </c>
      <c r="F1273" s="74" t="s">
        <v>313</v>
      </c>
      <c r="G1273" s="77">
        <f t="shared" si="125"/>
        <v>19610</v>
      </c>
      <c r="H1273" s="77"/>
      <c r="I1273" s="76">
        <v>0</v>
      </c>
    </row>
    <row r="1274" spans="3:9" x14ac:dyDescent="0.35">
      <c r="C1274" t="s">
        <v>312</v>
      </c>
      <c r="D1274" s="3">
        <v>2019</v>
      </c>
      <c r="E1274" s="73">
        <v>3</v>
      </c>
      <c r="F1274" s="74" t="s">
        <v>54</v>
      </c>
      <c r="G1274" s="77">
        <v>0</v>
      </c>
      <c r="H1274" s="77">
        <v>21330</v>
      </c>
      <c r="I1274" s="76">
        <v>1</v>
      </c>
    </row>
    <row r="1275" spans="3:9" x14ac:dyDescent="0.35">
      <c r="C1275" t="s">
        <v>312</v>
      </c>
      <c r="D1275" s="3">
        <v>2019</v>
      </c>
      <c r="E1275" s="78">
        <f>E1274</f>
        <v>3</v>
      </c>
      <c r="F1275" s="74" t="s">
        <v>54</v>
      </c>
      <c r="G1275" s="77">
        <f>H1274</f>
        <v>21330</v>
      </c>
      <c r="H1275" s="77">
        <f>H1274+300</f>
        <v>21630</v>
      </c>
      <c r="I1275" s="76">
        <v>0.9</v>
      </c>
    </row>
    <row r="1276" spans="3:9" x14ac:dyDescent="0.35">
      <c r="C1276" t="s">
        <v>312</v>
      </c>
      <c r="D1276" s="3">
        <v>2019</v>
      </c>
      <c r="E1276" s="78">
        <f t="shared" ref="E1276:E1317" si="130">E1275</f>
        <v>3</v>
      </c>
      <c r="F1276" s="74" t="s">
        <v>54</v>
      </c>
      <c r="G1276" s="77">
        <f t="shared" si="125"/>
        <v>21630</v>
      </c>
      <c r="H1276" s="77">
        <f t="shared" ref="H1276:H1283" si="131">H1275+300</f>
        <v>21930</v>
      </c>
      <c r="I1276" s="76">
        <v>0.8</v>
      </c>
    </row>
    <row r="1277" spans="3:9" x14ac:dyDescent="0.35">
      <c r="C1277" t="s">
        <v>312</v>
      </c>
      <c r="D1277" s="3">
        <v>2019</v>
      </c>
      <c r="E1277" s="78">
        <f t="shared" si="130"/>
        <v>3</v>
      </c>
      <c r="F1277" s="74" t="s">
        <v>54</v>
      </c>
      <c r="G1277" s="77">
        <f t="shared" si="125"/>
        <v>21930</v>
      </c>
      <c r="H1277" s="77">
        <f t="shared" si="131"/>
        <v>22230</v>
      </c>
      <c r="I1277" s="76">
        <v>0.7</v>
      </c>
    </row>
    <row r="1278" spans="3:9" x14ac:dyDescent="0.35">
      <c r="C1278" t="s">
        <v>312</v>
      </c>
      <c r="D1278" s="3">
        <v>2019</v>
      </c>
      <c r="E1278" s="78">
        <f t="shared" si="130"/>
        <v>3</v>
      </c>
      <c r="F1278" s="74" t="s">
        <v>54</v>
      </c>
      <c r="G1278" s="77">
        <f t="shared" si="125"/>
        <v>22230</v>
      </c>
      <c r="H1278" s="77">
        <f t="shared" si="131"/>
        <v>22530</v>
      </c>
      <c r="I1278" s="76">
        <v>0.6</v>
      </c>
    </row>
    <row r="1279" spans="3:9" x14ac:dyDescent="0.35">
      <c r="C1279" t="s">
        <v>312</v>
      </c>
      <c r="D1279" s="3">
        <v>2019</v>
      </c>
      <c r="E1279" s="78">
        <f t="shared" si="130"/>
        <v>3</v>
      </c>
      <c r="F1279" s="74" t="s">
        <v>54</v>
      </c>
      <c r="G1279" s="77">
        <f t="shared" si="125"/>
        <v>22530</v>
      </c>
      <c r="H1279" s="77">
        <f t="shared" si="131"/>
        <v>22830</v>
      </c>
      <c r="I1279" s="76">
        <v>0.5</v>
      </c>
    </row>
    <row r="1280" spans="3:9" x14ac:dyDescent="0.35">
      <c r="C1280" t="s">
        <v>312</v>
      </c>
      <c r="D1280" s="3">
        <v>2019</v>
      </c>
      <c r="E1280" s="78">
        <f t="shared" si="130"/>
        <v>3</v>
      </c>
      <c r="F1280" s="74" t="s">
        <v>54</v>
      </c>
      <c r="G1280" s="77">
        <f t="shared" si="125"/>
        <v>22830</v>
      </c>
      <c r="H1280" s="77">
        <f t="shared" si="131"/>
        <v>23130</v>
      </c>
      <c r="I1280" s="76">
        <v>0.4</v>
      </c>
    </row>
    <row r="1281" spans="3:9" x14ac:dyDescent="0.35">
      <c r="C1281" t="s">
        <v>312</v>
      </c>
      <c r="D1281" s="3">
        <v>2019</v>
      </c>
      <c r="E1281" s="78">
        <f t="shared" si="130"/>
        <v>3</v>
      </c>
      <c r="F1281" s="74" t="s">
        <v>54</v>
      </c>
      <c r="G1281" s="77">
        <f t="shared" si="125"/>
        <v>23130</v>
      </c>
      <c r="H1281" s="77">
        <f t="shared" si="131"/>
        <v>23430</v>
      </c>
      <c r="I1281" s="76">
        <v>0.3</v>
      </c>
    </row>
    <row r="1282" spans="3:9" x14ac:dyDescent="0.35">
      <c r="C1282" t="s">
        <v>312</v>
      </c>
      <c r="D1282" s="3">
        <v>2019</v>
      </c>
      <c r="E1282" s="78">
        <f t="shared" si="130"/>
        <v>3</v>
      </c>
      <c r="F1282" s="74" t="s">
        <v>54</v>
      </c>
      <c r="G1282" s="77">
        <f t="shared" si="125"/>
        <v>23430</v>
      </c>
      <c r="H1282" s="77">
        <f t="shared" si="131"/>
        <v>23730</v>
      </c>
      <c r="I1282" s="76">
        <v>0.2</v>
      </c>
    </row>
    <row r="1283" spans="3:9" x14ac:dyDescent="0.35">
      <c r="C1283" t="s">
        <v>312</v>
      </c>
      <c r="D1283" s="3">
        <v>2019</v>
      </c>
      <c r="E1283" s="78">
        <f t="shared" si="130"/>
        <v>3</v>
      </c>
      <c r="F1283" s="74" t="s">
        <v>54</v>
      </c>
      <c r="G1283" s="77">
        <f t="shared" si="125"/>
        <v>23730</v>
      </c>
      <c r="H1283" s="77">
        <f t="shared" si="131"/>
        <v>24030</v>
      </c>
      <c r="I1283" s="76">
        <v>0.1</v>
      </c>
    </row>
    <row r="1284" spans="3:9" x14ac:dyDescent="0.35">
      <c r="C1284" t="s">
        <v>312</v>
      </c>
      <c r="D1284" s="3">
        <v>2019</v>
      </c>
      <c r="E1284" s="78">
        <f t="shared" si="130"/>
        <v>3</v>
      </c>
      <c r="F1284" s="74" t="s">
        <v>54</v>
      </c>
      <c r="G1284" s="77">
        <f t="shared" si="125"/>
        <v>24030</v>
      </c>
      <c r="H1284" s="77"/>
      <c r="I1284" s="76">
        <v>0</v>
      </c>
    </row>
    <row r="1285" spans="3:9" x14ac:dyDescent="0.35">
      <c r="C1285" t="s">
        <v>312</v>
      </c>
      <c r="D1285" s="3">
        <v>2019</v>
      </c>
      <c r="E1285" s="78">
        <f t="shared" si="130"/>
        <v>3</v>
      </c>
      <c r="F1285" s="74" t="s">
        <v>34</v>
      </c>
      <c r="G1285" s="77">
        <v>0</v>
      </c>
      <c r="H1285" s="75">
        <f>H1274</f>
        <v>21330</v>
      </c>
      <c r="I1285" s="76">
        <v>1</v>
      </c>
    </row>
    <row r="1286" spans="3:9" x14ac:dyDescent="0.35">
      <c r="C1286" t="s">
        <v>312</v>
      </c>
      <c r="D1286" s="3">
        <v>2019</v>
      </c>
      <c r="E1286" s="78">
        <f t="shared" si="130"/>
        <v>3</v>
      </c>
      <c r="F1286" s="74" t="s">
        <v>34</v>
      </c>
      <c r="G1286" s="77">
        <f>H1285</f>
        <v>21330</v>
      </c>
      <c r="H1286" s="77">
        <f>H1285+300</f>
        <v>21630</v>
      </c>
      <c r="I1286" s="76">
        <v>0.9</v>
      </c>
    </row>
    <row r="1287" spans="3:9" x14ac:dyDescent="0.35">
      <c r="C1287" t="s">
        <v>312</v>
      </c>
      <c r="D1287" s="3">
        <v>2019</v>
      </c>
      <c r="E1287" s="78">
        <f t="shared" si="130"/>
        <v>3</v>
      </c>
      <c r="F1287" s="74" t="s">
        <v>34</v>
      </c>
      <c r="G1287" s="77">
        <f t="shared" ref="G1287:G1295" si="132">H1286</f>
        <v>21630</v>
      </c>
      <c r="H1287" s="77">
        <f t="shared" ref="H1287:H1294" si="133">H1286+300</f>
        <v>21930</v>
      </c>
      <c r="I1287" s="76">
        <v>0.8</v>
      </c>
    </row>
    <row r="1288" spans="3:9" x14ac:dyDescent="0.35">
      <c r="C1288" t="s">
        <v>312</v>
      </c>
      <c r="D1288" s="3">
        <v>2019</v>
      </c>
      <c r="E1288" s="78">
        <f t="shared" si="130"/>
        <v>3</v>
      </c>
      <c r="F1288" s="74" t="s">
        <v>34</v>
      </c>
      <c r="G1288" s="77">
        <f t="shared" si="132"/>
        <v>21930</v>
      </c>
      <c r="H1288" s="77">
        <f t="shared" si="133"/>
        <v>22230</v>
      </c>
      <c r="I1288" s="76">
        <v>0.7</v>
      </c>
    </row>
    <row r="1289" spans="3:9" x14ac:dyDescent="0.35">
      <c r="C1289" t="s">
        <v>312</v>
      </c>
      <c r="D1289" s="3">
        <v>2019</v>
      </c>
      <c r="E1289" s="78">
        <f t="shared" si="130"/>
        <v>3</v>
      </c>
      <c r="F1289" s="74" t="s">
        <v>34</v>
      </c>
      <c r="G1289" s="77">
        <f t="shared" si="132"/>
        <v>22230</v>
      </c>
      <c r="H1289" s="77">
        <f t="shared" si="133"/>
        <v>22530</v>
      </c>
      <c r="I1289" s="76">
        <v>0.6</v>
      </c>
    </row>
    <row r="1290" spans="3:9" x14ac:dyDescent="0.35">
      <c r="C1290" t="s">
        <v>312</v>
      </c>
      <c r="D1290" s="3">
        <v>2019</v>
      </c>
      <c r="E1290" s="78">
        <f t="shared" si="130"/>
        <v>3</v>
      </c>
      <c r="F1290" s="74" t="s">
        <v>34</v>
      </c>
      <c r="G1290" s="77">
        <f t="shared" si="132"/>
        <v>22530</v>
      </c>
      <c r="H1290" s="77">
        <f t="shared" si="133"/>
        <v>22830</v>
      </c>
      <c r="I1290" s="76">
        <v>0.5</v>
      </c>
    </row>
    <row r="1291" spans="3:9" x14ac:dyDescent="0.35">
      <c r="C1291" t="s">
        <v>312</v>
      </c>
      <c r="D1291" s="3">
        <v>2019</v>
      </c>
      <c r="E1291" s="78">
        <f t="shared" si="130"/>
        <v>3</v>
      </c>
      <c r="F1291" s="74" t="s">
        <v>34</v>
      </c>
      <c r="G1291" s="77">
        <f t="shared" si="132"/>
        <v>22830</v>
      </c>
      <c r="H1291" s="77">
        <f t="shared" si="133"/>
        <v>23130</v>
      </c>
      <c r="I1291" s="76">
        <v>0.4</v>
      </c>
    </row>
    <row r="1292" spans="3:9" x14ac:dyDescent="0.35">
      <c r="C1292" t="s">
        <v>312</v>
      </c>
      <c r="D1292" s="3">
        <v>2019</v>
      </c>
      <c r="E1292" s="78">
        <f t="shared" si="130"/>
        <v>3</v>
      </c>
      <c r="F1292" s="74" t="s">
        <v>34</v>
      </c>
      <c r="G1292" s="77">
        <f t="shared" si="132"/>
        <v>23130</v>
      </c>
      <c r="H1292" s="77">
        <f t="shared" si="133"/>
        <v>23430</v>
      </c>
      <c r="I1292" s="76">
        <v>0.3</v>
      </c>
    </row>
    <row r="1293" spans="3:9" x14ac:dyDescent="0.35">
      <c r="C1293" t="s">
        <v>312</v>
      </c>
      <c r="D1293" s="3">
        <v>2019</v>
      </c>
      <c r="E1293" s="78">
        <f t="shared" si="130"/>
        <v>3</v>
      </c>
      <c r="F1293" s="74" t="s">
        <v>34</v>
      </c>
      <c r="G1293" s="77">
        <f t="shared" si="132"/>
        <v>23430</v>
      </c>
      <c r="H1293" s="77">
        <f t="shared" si="133"/>
        <v>23730</v>
      </c>
      <c r="I1293" s="76">
        <v>0.2</v>
      </c>
    </row>
    <row r="1294" spans="3:9" x14ac:dyDescent="0.35">
      <c r="C1294" t="s">
        <v>312</v>
      </c>
      <c r="D1294" s="3">
        <v>2019</v>
      </c>
      <c r="E1294" s="78">
        <f t="shared" si="130"/>
        <v>3</v>
      </c>
      <c r="F1294" s="74" t="s">
        <v>34</v>
      </c>
      <c r="G1294" s="77">
        <f t="shared" si="132"/>
        <v>23730</v>
      </c>
      <c r="H1294" s="77">
        <f t="shared" si="133"/>
        <v>24030</v>
      </c>
      <c r="I1294" s="76">
        <v>0.1</v>
      </c>
    </row>
    <row r="1295" spans="3:9" x14ac:dyDescent="0.35">
      <c r="C1295" t="s">
        <v>312</v>
      </c>
      <c r="D1295" s="3">
        <v>2019</v>
      </c>
      <c r="E1295" s="78">
        <f t="shared" si="130"/>
        <v>3</v>
      </c>
      <c r="F1295" s="74" t="s">
        <v>34</v>
      </c>
      <c r="G1295" s="77">
        <f t="shared" si="132"/>
        <v>24030</v>
      </c>
      <c r="H1295" s="77"/>
      <c r="I1295" s="76">
        <v>0</v>
      </c>
    </row>
    <row r="1296" spans="3:9" x14ac:dyDescent="0.35">
      <c r="C1296" t="s">
        <v>312</v>
      </c>
      <c r="D1296" s="3">
        <v>2019</v>
      </c>
      <c r="E1296" s="78">
        <f t="shared" si="130"/>
        <v>3</v>
      </c>
      <c r="F1296" s="74" t="s">
        <v>40</v>
      </c>
      <c r="G1296" s="77">
        <v>0</v>
      </c>
      <c r="H1296" s="75">
        <f>H1285</f>
        <v>21330</v>
      </c>
      <c r="I1296" s="76">
        <v>1</v>
      </c>
    </row>
    <row r="1297" spans="3:9" x14ac:dyDescent="0.35">
      <c r="C1297" t="s">
        <v>312</v>
      </c>
      <c r="D1297" s="3">
        <v>2019</v>
      </c>
      <c r="E1297" s="78">
        <f t="shared" si="130"/>
        <v>3</v>
      </c>
      <c r="F1297" s="74" t="s">
        <v>40</v>
      </c>
      <c r="G1297" s="77">
        <f>H1296</f>
        <v>21330</v>
      </c>
      <c r="H1297" s="77">
        <f>H1296+300</f>
        <v>21630</v>
      </c>
      <c r="I1297" s="76">
        <v>0.9</v>
      </c>
    </row>
    <row r="1298" spans="3:9" x14ac:dyDescent="0.35">
      <c r="C1298" t="s">
        <v>312</v>
      </c>
      <c r="D1298" s="3">
        <v>2019</v>
      </c>
      <c r="E1298" s="78">
        <f t="shared" si="130"/>
        <v>3</v>
      </c>
      <c r="F1298" s="74" t="s">
        <v>40</v>
      </c>
      <c r="G1298" s="77">
        <f t="shared" ref="G1298:G1306" si="134">H1297</f>
        <v>21630</v>
      </c>
      <c r="H1298" s="77">
        <f t="shared" ref="H1298:H1305" si="135">H1297+300</f>
        <v>21930</v>
      </c>
      <c r="I1298" s="76">
        <v>0.8</v>
      </c>
    </row>
    <row r="1299" spans="3:9" x14ac:dyDescent="0.35">
      <c r="C1299" t="s">
        <v>312</v>
      </c>
      <c r="D1299" s="3">
        <v>2019</v>
      </c>
      <c r="E1299" s="78">
        <f t="shared" si="130"/>
        <v>3</v>
      </c>
      <c r="F1299" s="74" t="s">
        <v>40</v>
      </c>
      <c r="G1299" s="77">
        <f t="shared" si="134"/>
        <v>21930</v>
      </c>
      <c r="H1299" s="77">
        <f t="shared" si="135"/>
        <v>22230</v>
      </c>
      <c r="I1299" s="76">
        <v>0.7</v>
      </c>
    </row>
    <row r="1300" spans="3:9" x14ac:dyDescent="0.35">
      <c r="C1300" t="s">
        <v>312</v>
      </c>
      <c r="D1300" s="3">
        <v>2019</v>
      </c>
      <c r="E1300" s="78">
        <f t="shared" si="130"/>
        <v>3</v>
      </c>
      <c r="F1300" s="74" t="s">
        <v>40</v>
      </c>
      <c r="G1300" s="77">
        <f t="shared" si="134"/>
        <v>22230</v>
      </c>
      <c r="H1300" s="77">
        <f t="shared" si="135"/>
        <v>22530</v>
      </c>
      <c r="I1300" s="76">
        <v>0.6</v>
      </c>
    </row>
    <row r="1301" spans="3:9" x14ac:dyDescent="0.35">
      <c r="C1301" t="s">
        <v>312</v>
      </c>
      <c r="D1301" s="3">
        <v>2019</v>
      </c>
      <c r="E1301" s="78">
        <f t="shared" si="130"/>
        <v>3</v>
      </c>
      <c r="F1301" s="74" t="s">
        <v>40</v>
      </c>
      <c r="G1301" s="77">
        <f t="shared" si="134"/>
        <v>22530</v>
      </c>
      <c r="H1301" s="77">
        <f t="shared" si="135"/>
        <v>22830</v>
      </c>
      <c r="I1301" s="76">
        <v>0.5</v>
      </c>
    </row>
    <row r="1302" spans="3:9" x14ac:dyDescent="0.35">
      <c r="C1302" t="s">
        <v>312</v>
      </c>
      <c r="D1302" s="3">
        <v>2019</v>
      </c>
      <c r="E1302" s="78">
        <f t="shared" si="130"/>
        <v>3</v>
      </c>
      <c r="F1302" s="74" t="s">
        <v>40</v>
      </c>
      <c r="G1302" s="77">
        <f t="shared" si="134"/>
        <v>22830</v>
      </c>
      <c r="H1302" s="77">
        <f t="shared" si="135"/>
        <v>23130</v>
      </c>
      <c r="I1302" s="76">
        <v>0.4</v>
      </c>
    </row>
    <row r="1303" spans="3:9" x14ac:dyDescent="0.35">
      <c r="C1303" t="s">
        <v>312</v>
      </c>
      <c r="D1303" s="3">
        <v>2019</v>
      </c>
      <c r="E1303" s="78">
        <f t="shared" si="130"/>
        <v>3</v>
      </c>
      <c r="F1303" s="74" t="s">
        <v>40</v>
      </c>
      <c r="G1303" s="77">
        <f t="shared" si="134"/>
        <v>23130</v>
      </c>
      <c r="H1303" s="77">
        <f t="shared" si="135"/>
        <v>23430</v>
      </c>
      <c r="I1303" s="76">
        <v>0.3</v>
      </c>
    </row>
    <row r="1304" spans="3:9" x14ac:dyDescent="0.35">
      <c r="C1304" t="s">
        <v>312</v>
      </c>
      <c r="D1304" s="3">
        <v>2019</v>
      </c>
      <c r="E1304" s="78">
        <f t="shared" si="130"/>
        <v>3</v>
      </c>
      <c r="F1304" s="74" t="s">
        <v>40</v>
      </c>
      <c r="G1304" s="77">
        <f t="shared" si="134"/>
        <v>23430</v>
      </c>
      <c r="H1304" s="77">
        <f t="shared" si="135"/>
        <v>23730</v>
      </c>
      <c r="I1304" s="76">
        <v>0.2</v>
      </c>
    </row>
    <row r="1305" spans="3:9" x14ac:dyDescent="0.35">
      <c r="C1305" t="s">
        <v>312</v>
      </c>
      <c r="D1305" s="3">
        <v>2019</v>
      </c>
      <c r="E1305" s="78">
        <f t="shared" si="130"/>
        <v>3</v>
      </c>
      <c r="F1305" s="74" t="s">
        <v>40</v>
      </c>
      <c r="G1305" s="77">
        <f t="shared" si="134"/>
        <v>23730</v>
      </c>
      <c r="H1305" s="77">
        <f t="shared" si="135"/>
        <v>24030</v>
      </c>
      <c r="I1305" s="76">
        <v>0.1</v>
      </c>
    </row>
    <row r="1306" spans="3:9" x14ac:dyDescent="0.35">
      <c r="C1306" t="s">
        <v>312</v>
      </c>
      <c r="D1306" s="3">
        <v>2019</v>
      </c>
      <c r="E1306" s="78">
        <f t="shared" si="130"/>
        <v>3</v>
      </c>
      <c r="F1306" s="74" t="s">
        <v>40</v>
      </c>
      <c r="G1306" s="77">
        <f t="shared" si="134"/>
        <v>24030</v>
      </c>
      <c r="H1306" s="77"/>
      <c r="I1306" s="76">
        <v>0</v>
      </c>
    </row>
    <row r="1307" spans="3:9" x14ac:dyDescent="0.35">
      <c r="C1307" t="s">
        <v>312</v>
      </c>
      <c r="D1307" s="3">
        <v>2019</v>
      </c>
      <c r="E1307" s="78">
        <f t="shared" si="130"/>
        <v>3</v>
      </c>
      <c r="F1307" s="74" t="s">
        <v>313</v>
      </c>
      <c r="G1307" s="77">
        <v>0</v>
      </c>
      <c r="H1307" s="75">
        <f>H1296</f>
        <v>21330</v>
      </c>
      <c r="I1307" s="76">
        <v>1</v>
      </c>
    </row>
    <row r="1308" spans="3:9" x14ac:dyDescent="0.35">
      <c r="C1308" t="s">
        <v>312</v>
      </c>
      <c r="D1308" s="3">
        <v>2019</v>
      </c>
      <c r="E1308" s="78">
        <f t="shared" si="130"/>
        <v>3</v>
      </c>
      <c r="F1308" s="74" t="s">
        <v>313</v>
      </c>
      <c r="G1308" s="77">
        <f>H1307</f>
        <v>21330</v>
      </c>
      <c r="H1308" s="77">
        <f>H1307+300</f>
        <v>21630</v>
      </c>
      <c r="I1308" s="76">
        <v>0.9</v>
      </c>
    </row>
    <row r="1309" spans="3:9" x14ac:dyDescent="0.35">
      <c r="C1309" t="s">
        <v>312</v>
      </c>
      <c r="D1309" s="3">
        <v>2019</v>
      </c>
      <c r="E1309" s="78">
        <f t="shared" si="130"/>
        <v>3</v>
      </c>
      <c r="F1309" s="74" t="s">
        <v>313</v>
      </c>
      <c r="G1309" s="77">
        <f t="shared" ref="G1309:G1317" si="136">H1308</f>
        <v>21630</v>
      </c>
      <c r="H1309" s="77">
        <f t="shared" ref="H1309:H1316" si="137">H1308+300</f>
        <v>21930</v>
      </c>
      <c r="I1309" s="76">
        <v>0.8</v>
      </c>
    </row>
    <row r="1310" spans="3:9" x14ac:dyDescent="0.35">
      <c r="C1310" t="s">
        <v>312</v>
      </c>
      <c r="D1310" s="3">
        <v>2019</v>
      </c>
      <c r="E1310" s="78">
        <f t="shared" si="130"/>
        <v>3</v>
      </c>
      <c r="F1310" s="74" t="s">
        <v>313</v>
      </c>
      <c r="G1310" s="77">
        <f t="shared" si="136"/>
        <v>21930</v>
      </c>
      <c r="H1310" s="77">
        <f t="shared" si="137"/>
        <v>22230</v>
      </c>
      <c r="I1310" s="76">
        <v>0.7</v>
      </c>
    </row>
    <row r="1311" spans="3:9" x14ac:dyDescent="0.35">
      <c r="C1311" t="s">
        <v>312</v>
      </c>
      <c r="D1311" s="3">
        <v>2019</v>
      </c>
      <c r="E1311" s="78">
        <f t="shared" si="130"/>
        <v>3</v>
      </c>
      <c r="F1311" s="74" t="s">
        <v>313</v>
      </c>
      <c r="G1311" s="77">
        <f t="shared" si="136"/>
        <v>22230</v>
      </c>
      <c r="H1311" s="77">
        <f t="shared" si="137"/>
        <v>22530</v>
      </c>
      <c r="I1311" s="76">
        <v>0.6</v>
      </c>
    </row>
    <row r="1312" spans="3:9" x14ac:dyDescent="0.35">
      <c r="C1312" t="s">
        <v>312</v>
      </c>
      <c r="D1312" s="3">
        <v>2019</v>
      </c>
      <c r="E1312" s="78">
        <f t="shared" si="130"/>
        <v>3</v>
      </c>
      <c r="F1312" s="74" t="s">
        <v>313</v>
      </c>
      <c r="G1312" s="77">
        <f t="shared" si="136"/>
        <v>22530</v>
      </c>
      <c r="H1312" s="77">
        <f t="shared" si="137"/>
        <v>22830</v>
      </c>
      <c r="I1312" s="76">
        <v>0.5</v>
      </c>
    </row>
    <row r="1313" spans="3:9" x14ac:dyDescent="0.35">
      <c r="C1313" t="s">
        <v>312</v>
      </c>
      <c r="D1313" s="3">
        <v>2019</v>
      </c>
      <c r="E1313" s="78">
        <f t="shared" si="130"/>
        <v>3</v>
      </c>
      <c r="F1313" s="74" t="s">
        <v>313</v>
      </c>
      <c r="G1313" s="77">
        <f t="shared" si="136"/>
        <v>22830</v>
      </c>
      <c r="H1313" s="77">
        <f t="shared" si="137"/>
        <v>23130</v>
      </c>
      <c r="I1313" s="76">
        <v>0.4</v>
      </c>
    </row>
    <row r="1314" spans="3:9" x14ac:dyDescent="0.35">
      <c r="C1314" t="s">
        <v>312</v>
      </c>
      <c r="D1314" s="3">
        <v>2019</v>
      </c>
      <c r="E1314" s="78">
        <f t="shared" si="130"/>
        <v>3</v>
      </c>
      <c r="F1314" s="74" t="s">
        <v>313</v>
      </c>
      <c r="G1314" s="77">
        <f t="shared" si="136"/>
        <v>23130</v>
      </c>
      <c r="H1314" s="77">
        <f t="shared" si="137"/>
        <v>23430</v>
      </c>
      <c r="I1314" s="76">
        <v>0.3</v>
      </c>
    </row>
    <row r="1315" spans="3:9" x14ac:dyDescent="0.35">
      <c r="C1315" t="s">
        <v>312</v>
      </c>
      <c r="D1315" s="3">
        <v>2019</v>
      </c>
      <c r="E1315" s="78">
        <f t="shared" si="130"/>
        <v>3</v>
      </c>
      <c r="F1315" s="74" t="s">
        <v>313</v>
      </c>
      <c r="G1315" s="77">
        <f t="shared" si="136"/>
        <v>23430</v>
      </c>
      <c r="H1315" s="77">
        <f t="shared" si="137"/>
        <v>23730</v>
      </c>
      <c r="I1315" s="76">
        <v>0.2</v>
      </c>
    </row>
    <row r="1316" spans="3:9" x14ac:dyDescent="0.35">
      <c r="C1316" t="s">
        <v>312</v>
      </c>
      <c r="D1316" s="3">
        <v>2019</v>
      </c>
      <c r="E1316" s="78">
        <f t="shared" si="130"/>
        <v>3</v>
      </c>
      <c r="F1316" s="74" t="s">
        <v>313</v>
      </c>
      <c r="G1316" s="77">
        <f t="shared" si="136"/>
        <v>23730</v>
      </c>
      <c r="H1316" s="77">
        <f t="shared" si="137"/>
        <v>24030</v>
      </c>
      <c r="I1316" s="76">
        <v>0.1</v>
      </c>
    </row>
    <row r="1317" spans="3:9" x14ac:dyDescent="0.35">
      <c r="C1317" t="s">
        <v>312</v>
      </c>
      <c r="D1317" s="3">
        <v>2019</v>
      </c>
      <c r="E1317" s="78">
        <f t="shared" si="130"/>
        <v>3</v>
      </c>
      <c r="F1317" s="74" t="s">
        <v>313</v>
      </c>
      <c r="G1317" s="77">
        <f t="shared" si="136"/>
        <v>24030</v>
      </c>
      <c r="H1317" s="77"/>
      <c r="I1317" s="76">
        <v>0</v>
      </c>
    </row>
    <row r="1318" spans="3:9" x14ac:dyDescent="0.35">
      <c r="C1318" t="s">
        <v>312</v>
      </c>
      <c r="D1318" s="3">
        <v>2019</v>
      </c>
      <c r="E1318" s="73">
        <v>4</v>
      </c>
      <c r="F1318" s="74" t="s">
        <v>54</v>
      </c>
      <c r="G1318" s="77">
        <v>0</v>
      </c>
      <c r="H1318" s="77">
        <v>25750</v>
      </c>
      <c r="I1318" s="76">
        <v>1</v>
      </c>
    </row>
    <row r="1319" spans="3:9" x14ac:dyDescent="0.35">
      <c r="C1319" t="s">
        <v>312</v>
      </c>
      <c r="D1319" s="3">
        <v>2019</v>
      </c>
      <c r="E1319" s="78">
        <f>E1318</f>
        <v>4</v>
      </c>
      <c r="F1319" s="74" t="s">
        <v>54</v>
      </c>
      <c r="G1319" s="77">
        <f>H1318</f>
        <v>25750</v>
      </c>
      <c r="H1319" s="77">
        <f>H1318+300</f>
        <v>26050</v>
      </c>
      <c r="I1319" s="76">
        <v>0.9</v>
      </c>
    </row>
    <row r="1320" spans="3:9" x14ac:dyDescent="0.35">
      <c r="C1320" t="s">
        <v>312</v>
      </c>
      <c r="D1320" s="3">
        <v>2019</v>
      </c>
      <c r="E1320" s="78">
        <f t="shared" ref="E1320:E1361" si="138">E1319</f>
        <v>4</v>
      </c>
      <c r="F1320" s="74" t="s">
        <v>54</v>
      </c>
      <c r="G1320" s="77">
        <f t="shared" ref="G1320:G1328" si="139">H1319</f>
        <v>26050</v>
      </c>
      <c r="H1320" s="77">
        <f t="shared" ref="H1320:H1327" si="140">H1319+300</f>
        <v>26350</v>
      </c>
      <c r="I1320" s="76">
        <v>0.8</v>
      </c>
    </row>
    <row r="1321" spans="3:9" x14ac:dyDescent="0.35">
      <c r="C1321" t="s">
        <v>312</v>
      </c>
      <c r="D1321" s="3">
        <v>2019</v>
      </c>
      <c r="E1321" s="78">
        <f t="shared" si="138"/>
        <v>4</v>
      </c>
      <c r="F1321" s="74" t="s">
        <v>54</v>
      </c>
      <c r="G1321" s="77">
        <f t="shared" si="139"/>
        <v>26350</v>
      </c>
      <c r="H1321" s="77">
        <f t="shared" si="140"/>
        <v>26650</v>
      </c>
      <c r="I1321" s="76">
        <v>0.7</v>
      </c>
    </row>
    <row r="1322" spans="3:9" x14ac:dyDescent="0.35">
      <c r="C1322" t="s">
        <v>312</v>
      </c>
      <c r="D1322" s="3">
        <v>2019</v>
      </c>
      <c r="E1322" s="78">
        <f t="shared" si="138"/>
        <v>4</v>
      </c>
      <c r="F1322" s="74" t="s">
        <v>54</v>
      </c>
      <c r="G1322" s="77">
        <f t="shared" si="139"/>
        <v>26650</v>
      </c>
      <c r="H1322" s="77">
        <f t="shared" si="140"/>
        <v>26950</v>
      </c>
      <c r="I1322" s="76">
        <v>0.6</v>
      </c>
    </row>
    <row r="1323" spans="3:9" x14ac:dyDescent="0.35">
      <c r="C1323" t="s">
        <v>312</v>
      </c>
      <c r="D1323" s="3">
        <v>2019</v>
      </c>
      <c r="E1323" s="78">
        <f t="shared" si="138"/>
        <v>4</v>
      </c>
      <c r="F1323" s="74" t="s">
        <v>54</v>
      </c>
      <c r="G1323" s="77">
        <f t="shared" si="139"/>
        <v>26950</v>
      </c>
      <c r="H1323" s="77">
        <f t="shared" si="140"/>
        <v>27250</v>
      </c>
      <c r="I1323" s="76">
        <v>0.5</v>
      </c>
    </row>
    <row r="1324" spans="3:9" x14ac:dyDescent="0.35">
      <c r="C1324" t="s">
        <v>312</v>
      </c>
      <c r="D1324" s="3">
        <v>2019</v>
      </c>
      <c r="E1324" s="78">
        <f t="shared" si="138"/>
        <v>4</v>
      </c>
      <c r="F1324" s="74" t="s">
        <v>54</v>
      </c>
      <c r="G1324" s="77">
        <f t="shared" si="139"/>
        <v>27250</v>
      </c>
      <c r="H1324" s="77">
        <f t="shared" si="140"/>
        <v>27550</v>
      </c>
      <c r="I1324" s="76">
        <v>0.4</v>
      </c>
    </row>
    <row r="1325" spans="3:9" x14ac:dyDescent="0.35">
      <c r="C1325" t="s">
        <v>312</v>
      </c>
      <c r="D1325" s="3">
        <v>2019</v>
      </c>
      <c r="E1325" s="78">
        <f t="shared" si="138"/>
        <v>4</v>
      </c>
      <c r="F1325" s="74" t="s">
        <v>54</v>
      </c>
      <c r="G1325" s="77">
        <f t="shared" si="139"/>
        <v>27550</v>
      </c>
      <c r="H1325" s="77">
        <f t="shared" si="140"/>
        <v>27850</v>
      </c>
      <c r="I1325" s="76">
        <v>0.3</v>
      </c>
    </row>
    <row r="1326" spans="3:9" x14ac:dyDescent="0.35">
      <c r="C1326" t="s">
        <v>312</v>
      </c>
      <c r="D1326" s="3">
        <v>2019</v>
      </c>
      <c r="E1326" s="78">
        <f t="shared" si="138"/>
        <v>4</v>
      </c>
      <c r="F1326" s="74" t="s">
        <v>54</v>
      </c>
      <c r="G1326" s="77">
        <f t="shared" si="139"/>
        <v>27850</v>
      </c>
      <c r="H1326" s="77">
        <f t="shared" si="140"/>
        <v>28150</v>
      </c>
      <c r="I1326" s="76">
        <v>0.2</v>
      </c>
    </row>
    <row r="1327" spans="3:9" x14ac:dyDescent="0.35">
      <c r="C1327" t="s">
        <v>312</v>
      </c>
      <c r="D1327" s="3">
        <v>2019</v>
      </c>
      <c r="E1327" s="78">
        <f t="shared" si="138"/>
        <v>4</v>
      </c>
      <c r="F1327" s="74" t="s">
        <v>54</v>
      </c>
      <c r="G1327" s="77">
        <f t="shared" si="139"/>
        <v>28150</v>
      </c>
      <c r="H1327" s="77">
        <f t="shared" si="140"/>
        <v>28450</v>
      </c>
      <c r="I1327" s="76">
        <v>0.1</v>
      </c>
    </row>
    <row r="1328" spans="3:9" x14ac:dyDescent="0.35">
      <c r="C1328" t="s">
        <v>312</v>
      </c>
      <c r="D1328" s="3">
        <v>2019</v>
      </c>
      <c r="E1328" s="78">
        <f t="shared" si="138"/>
        <v>4</v>
      </c>
      <c r="F1328" s="74" t="s">
        <v>54</v>
      </c>
      <c r="G1328" s="77">
        <f t="shared" si="139"/>
        <v>28450</v>
      </c>
      <c r="H1328" s="77"/>
      <c r="I1328" s="76">
        <v>0</v>
      </c>
    </row>
    <row r="1329" spans="3:9" x14ac:dyDescent="0.35">
      <c r="C1329" t="s">
        <v>312</v>
      </c>
      <c r="D1329" s="3">
        <v>2019</v>
      </c>
      <c r="E1329" s="78">
        <f t="shared" si="138"/>
        <v>4</v>
      </c>
      <c r="F1329" s="74" t="s">
        <v>34</v>
      </c>
      <c r="G1329" s="77">
        <v>0</v>
      </c>
      <c r="H1329" s="75">
        <f>H1318</f>
        <v>25750</v>
      </c>
      <c r="I1329" s="76">
        <v>1</v>
      </c>
    </row>
    <row r="1330" spans="3:9" x14ac:dyDescent="0.35">
      <c r="C1330" t="s">
        <v>312</v>
      </c>
      <c r="D1330" s="3">
        <v>2019</v>
      </c>
      <c r="E1330" s="78">
        <f t="shared" si="138"/>
        <v>4</v>
      </c>
      <c r="F1330" s="74" t="s">
        <v>34</v>
      </c>
      <c r="G1330" s="77">
        <f>H1329</f>
        <v>25750</v>
      </c>
      <c r="H1330" s="77">
        <f>H1329+300</f>
        <v>26050</v>
      </c>
      <c r="I1330" s="76">
        <v>0.9</v>
      </c>
    </row>
    <row r="1331" spans="3:9" x14ac:dyDescent="0.35">
      <c r="C1331" t="s">
        <v>312</v>
      </c>
      <c r="D1331" s="3">
        <v>2019</v>
      </c>
      <c r="E1331" s="78">
        <f t="shared" si="138"/>
        <v>4</v>
      </c>
      <c r="F1331" s="74" t="s">
        <v>34</v>
      </c>
      <c r="G1331" s="77">
        <f t="shared" ref="G1331:G1339" si="141">H1330</f>
        <v>26050</v>
      </c>
      <c r="H1331" s="77">
        <f t="shared" ref="H1331:H1338" si="142">H1330+300</f>
        <v>26350</v>
      </c>
      <c r="I1331" s="76">
        <v>0.8</v>
      </c>
    </row>
    <row r="1332" spans="3:9" x14ac:dyDescent="0.35">
      <c r="C1332" t="s">
        <v>312</v>
      </c>
      <c r="D1332" s="3">
        <v>2019</v>
      </c>
      <c r="E1332" s="78">
        <f t="shared" si="138"/>
        <v>4</v>
      </c>
      <c r="F1332" s="74" t="s">
        <v>34</v>
      </c>
      <c r="G1332" s="77">
        <f t="shared" si="141"/>
        <v>26350</v>
      </c>
      <c r="H1332" s="77">
        <f t="shared" si="142"/>
        <v>26650</v>
      </c>
      <c r="I1332" s="76">
        <v>0.7</v>
      </c>
    </row>
    <row r="1333" spans="3:9" x14ac:dyDescent="0.35">
      <c r="C1333" t="s">
        <v>312</v>
      </c>
      <c r="D1333" s="3">
        <v>2019</v>
      </c>
      <c r="E1333" s="78">
        <f t="shared" si="138"/>
        <v>4</v>
      </c>
      <c r="F1333" s="74" t="s">
        <v>34</v>
      </c>
      <c r="G1333" s="77">
        <f t="shared" si="141"/>
        <v>26650</v>
      </c>
      <c r="H1333" s="77">
        <f t="shared" si="142"/>
        <v>26950</v>
      </c>
      <c r="I1333" s="76">
        <v>0.6</v>
      </c>
    </row>
    <row r="1334" spans="3:9" x14ac:dyDescent="0.35">
      <c r="C1334" t="s">
        <v>312</v>
      </c>
      <c r="D1334" s="3">
        <v>2019</v>
      </c>
      <c r="E1334" s="78">
        <f t="shared" si="138"/>
        <v>4</v>
      </c>
      <c r="F1334" s="74" t="s">
        <v>34</v>
      </c>
      <c r="G1334" s="77">
        <f t="shared" si="141"/>
        <v>26950</v>
      </c>
      <c r="H1334" s="77">
        <f t="shared" si="142"/>
        <v>27250</v>
      </c>
      <c r="I1334" s="76">
        <v>0.5</v>
      </c>
    </row>
    <row r="1335" spans="3:9" x14ac:dyDescent="0.35">
      <c r="C1335" t="s">
        <v>312</v>
      </c>
      <c r="D1335" s="3">
        <v>2019</v>
      </c>
      <c r="E1335" s="78">
        <f t="shared" si="138"/>
        <v>4</v>
      </c>
      <c r="F1335" s="74" t="s">
        <v>34</v>
      </c>
      <c r="G1335" s="77">
        <f t="shared" si="141"/>
        <v>27250</v>
      </c>
      <c r="H1335" s="77">
        <f t="shared" si="142"/>
        <v>27550</v>
      </c>
      <c r="I1335" s="76">
        <v>0.4</v>
      </c>
    </row>
    <row r="1336" spans="3:9" x14ac:dyDescent="0.35">
      <c r="C1336" t="s">
        <v>312</v>
      </c>
      <c r="D1336" s="3">
        <v>2019</v>
      </c>
      <c r="E1336" s="78">
        <f t="shared" si="138"/>
        <v>4</v>
      </c>
      <c r="F1336" s="74" t="s">
        <v>34</v>
      </c>
      <c r="G1336" s="77">
        <f t="shared" si="141"/>
        <v>27550</v>
      </c>
      <c r="H1336" s="77">
        <f t="shared" si="142"/>
        <v>27850</v>
      </c>
      <c r="I1336" s="76">
        <v>0.3</v>
      </c>
    </row>
    <row r="1337" spans="3:9" x14ac:dyDescent="0.35">
      <c r="C1337" t="s">
        <v>312</v>
      </c>
      <c r="D1337" s="3">
        <v>2019</v>
      </c>
      <c r="E1337" s="78">
        <f t="shared" si="138"/>
        <v>4</v>
      </c>
      <c r="F1337" s="74" t="s">
        <v>34</v>
      </c>
      <c r="G1337" s="77">
        <f t="shared" si="141"/>
        <v>27850</v>
      </c>
      <c r="H1337" s="77">
        <f t="shared" si="142"/>
        <v>28150</v>
      </c>
      <c r="I1337" s="76">
        <v>0.2</v>
      </c>
    </row>
    <row r="1338" spans="3:9" x14ac:dyDescent="0.35">
      <c r="C1338" t="s">
        <v>312</v>
      </c>
      <c r="D1338" s="3">
        <v>2019</v>
      </c>
      <c r="E1338" s="78">
        <f t="shared" si="138"/>
        <v>4</v>
      </c>
      <c r="F1338" s="74" t="s">
        <v>34</v>
      </c>
      <c r="G1338" s="77">
        <f t="shared" si="141"/>
        <v>28150</v>
      </c>
      <c r="H1338" s="77">
        <f t="shared" si="142"/>
        <v>28450</v>
      </c>
      <c r="I1338" s="76">
        <v>0.1</v>
      </c>
    </row>
    <row r="1339" spans="3:9" x14ac:dyDescent="0.35">
      <c r="C1339" t="s">
        <v>312</v>
      </c>
      <c r="D1339" s="3">
        <v>2019</v>
      </c>
      <c r="E1339" s="78">
        <f t="shared" si="138"/>
        <v>4</v>
      </c>
      <c r="F1339" s="74" t="s">
        <v>34</v>
      </c>
      <c r="G1339" s="77">
        <f t="shared" si="141"/>
        <v>28450</v>
      </c>
      <c r="H1339" s="77"/>
      <c r="I1339" s="76">
        <v>0</v>
      </c>
    </row>
    <row r="1340" spans="3:9" x14ac:dyDescent="0.35">
      <c r="C1340" t="s">
        <v>312</v>
      </c>
      <c r="D1340" s="3">
        <v>2019</v>
      </c>
      <c r="E1340" s="78">
        <f t="shared" si="138"/>
        <v>4</v>
      </c>
      <c r="F1340" s="74" t="s">
        <v>40</v>
      </c>
      <c r="G1340" s="77">
        <v>0</v>
      </c>
      <c r="H1340" s="75">
        <f>H1329</f>
        <v>25750</v>
      </c>
      <c r="I1340" s="76">
        <v>1</v>
      </c>
    </row>
    <row r="1341" spans="3:9" x14ac:dyDescent="0.35">
      <c r="C1341" t="s">
        <v>312</v>
      </c>
      <c r="D1341" s="3">
        <v>2019</v>
      </c>
      <c r="E1341" s="78">
        <f t="shared" si="138"/>
        <v>4</v>
      </c>
      <c r="F1341" s="74" t="s">
        <v>40</v>
      </c>
      <c r="G1341" s="77">
        <f>H1340</f>
        <v>25750</v>
      </c>
      <c r="H1341" s="77">
        <f>H1340+300</f>
        <v>26050</v>
      </c>
      <c r="I1341" s="76">
        <v>0.9</v>
      </c>
    </row>
    <row r="1342" spans="3:9" x14ac:dyDescent="0.35">
      <c r="C1342" t="s">
        <v>312</v>
      </c>
      <c r="D1342" s="3">
        <v>2019</v>
      </c>
      <c r="E1342" s="78">
        <f t="shared" si="138"/>
        <v>4</v>
      </c>
      <c r="F1342" s="74" t="s">
        <v>40</v>
      </c>
      <c r="G1342" s="77">
        <f t="shared" ref="G1342:G1350" si="143">H1341</f>
        <v>26050</v>
      </c>
      <c r="H1342" s="77">
        <f t="shared" ref="H1342:H1349" si="144">H1341+300</f>
        <v>26350</v>
      </c>
      <c r="I1342" s="76">
        <v>0.8</v>
      </c>
    </row>
    <row r="1343" spans="3:9" x14ac:dyDescent="0.35">
      <c r="C1343" t="s">
        <v>312</v>
      </c>
      <c r="D1343" s="3">
        <v>2019</v>
      </c>
      <c r="E1343" s="78">
        <f t="shared" si="138"/>
        <v>4</v>
      </c>
      <c r="F1343" s="74" t="s">
        <v>40</v>
      </c>
      <c r="G1343" s="77">
        <f t="shared" si="143"/>
        <v>26350</v>
      </c>
      <c r="H1343" s="77">
        <f t="shared" si="144"/>
        <v>26650</v>
      </c>
      <c r="I1343" s="76">
        <v>0.7</v>
      </c>
    </row>
    <row r="1344" spans="3:9" x14ac:dyDescent="0.35">
      <c r="C1344" t="s">
        <v>312</v>
      </c>
      <c r="D1344" s="3">
        <v>2019</v>
      </c>
      <c r="E1344" s="78">
        <f t="shared" si="138"/>
        <v>4</v>
      </c>
      <c r="F1344" s="74" t="s">
        <v>40</v>
      </c>
      <c r="G1344" s="77">
        <f t="shared" si="143"/>
        <v>26650</v>
      </c>
      <c r="H1344" s="77">
        <f t="shared" si="144"/>
        <v>26950</v>
      </c>
      <c r="I1344" s="76">
        <v>0.6</v>
      </c>
    </row>
    <row r="1345" spans="3:9" x14ac:dyDescent="0.35">
      <c r="C1345" t="s">
        <v>312</v>
      </c>
      <c r="D1345" s="3">
        <v>2019</v>
      </c>
      <c r="E1345" s="78">
        <f t="shared" si="138"/>
        <v>4</v>
      </c>
      <c r="F1345" s="74" t="s">
        <v>40</v>
      </c>
      <c r="G1345" s="77">
        <f t="shared" si="143"/>
        <v>26950</v>
      </c>
      <c r="H1345" s="77">
        <f t="shared" si="144"/>
        <v>27250</v>
      </c>
      <c r="I1345" s="76">
        <v>0.5</v>
      </c>
    </row>
    <row r="1346" spans="3:9" x14ac:dyDescent="0.35">
      <c r="C1346" t="s">
        <v>312</v>
      </c>
      <c r="D1346" s="3">
        <v>2019</v>
      </c>
      <c r="E1346" s="78">
        <f t="shared" si="138"/>
        <v>4</v>
      </c>
      <c r="F1346" s="74" t="s">
        <v>40</v>
      </c>
      <c r="G1346" s="77">
        <f t="shared" si="143"/>
        <v>27250</v>
      </c>
      <c r="H1346" s="77">
        <f t="shared" si="144"/>
        <v>27550</v>
      </c>
      <c r="I1346" s="76">
        <v>0.4</v>
      </c>
    </row>
    <row r="1347" spans="3:9" x14ac:dyDescent="0.35">
      <c r="C1347" t="s">
        <v>312</v>
      </c>
      <c r="D1347" s="3">
        <v>2019</v>
      </c>
      <c r="E1347" s="78">
        <f t="shared" si="138"/>
        <v>4</v>
      </c>
      <c r="F1347" s="74" t="s">
        <v>40</v>
      </c>
      <c r="G1347" s="77">
        <f t="shared" si="143"/>
        <v>27550</v>
      </c>
      <c r="H1347" s="77">
        <f t="shared" si="144"/>
        <v>27850</v>
      </c>
      <c r="I1347" s="76">
        <v>0.3</v>
      </c>
    </row>
    <row r="1348" spans="3:9" x14ac:dyDescent="0.35">
      <c r="C1348" t="s">
        <v>312</v>
      </c>
      <c r="D1348" s="3">
        <v>2019</v>
      </c>
      <c r="E1348" s="78">
        <f t="shared" si="138"/>
        <v>4</v>
      </c>
      <c r="F1348" s="74" t="s">
        <v>40</v>
      </c>
      <c r="G1348" s="77">
        <f t="shared" si="143"/>
        <v>27850</v>
      </c>
      <c r="H1348" s="77">
        <f t="shared" si="144"/>
        <v>28150</v>
      </c>
      <c r="I1348" s="76">
        <v>0.2</v>
      </c>
    </row>
    <row r="1349" spans="3:9" x14ac:dyDescent="0.35">
      <c r="C1349" t="s">
        <v>312</v>
      </c>
      <c r="D1349" s="3">
        <v>2019</v>
      </c>
      <c r="E1349" s="78">
        <f t="shared" si="138"/>
        <v>4</v>
      </c>
      <c r="F1349" s="74" t="s">
        <v>40</v>
      </c>
      <c r="G1349" s="77">
        <f t="shared" si="143"/>
        <v>28150</v>
      </c>
      <c r="H1349" s="77">
        <f t="shared" si="144"/>
        <v>28450</v>
      </c>
      <c r="I1349" s="76">
        <v>0.1</v>
      </c>
    </row>
    <row r="1350" spans="3:9" x14ac:dyDescent="0.35">
      <c r="C1350" t="s">
        <v>312</v>
      </c>
      <c r="D1350" s="3">
        <v>2019</v>
      </c>
      <c r="E1350" s="78">
        <f t="shared" si="138"/>
        <v>4</v>
      </c>
      <c r="F1350" s="74" t="s">
        <v>40</v>
      </c>
      <c r="G1350" s="77">
        <f t="shared" si="143"/>
        <v>28450</v>
      </c>
      <c r="H1350" s="77"/>
      <c r="I1350" s="76">
        <v>0</v>
      </c>
    </row>
    <row r="1351" spans="3:9" x14ac:dyDescent="0.35">
      <c r="C1351" t="s">
        <v>312</v>
      </c>
      <c r="D1351" s="3">
        <v>2019</v>
      </c>
      <c r="E1351" s="78">
        <f t="shared" si="138"/>
        <v>4</v>
      </c>
      <c r="F1351" s="74" t="s">
        <v>313</v>
      </c>
      <c r="G1351" s="77">
        <v>0</v>
      </c>
      <c r="H1351" s="75">
        <f>H1340</f>
        <v>25750</v>
      </c>
      <c r="I1351" s="76">
        <v>1</v>
      </c>
    </row>
    <row r="1352" spans="3:9" x14ac:dyDescent="0.35">
      <c r="C1352" t="s">
        <v>312</v>
      </c>
      <c r="D1352" s="3">
        <v>2019</v>
      </c>
      <c r="E1352" s="78">
        <f t="shared" si="138"/>
        <v>4</v>
      </c>
      <c r="F1352" s="74" t="s">
        <v>313</v>
      </c>
      <c r="G1352" s="77">
        <f>H1351</f>
        <v>25750</v>
      </c>
      <c r="H1352" s="77">
        <f>H1351+300</f>
        <v>26050</v>
      </c>
      <c r="I1352" s="76">
        <v>0.9</v>
      </c>
    </row>
    <row r="1353" spans="3:9" x14ac:dyDescent="0.35">
      <c r="C1353" t="s">
        <v>312</v>
      </c>
      <c r="D1353" s="3">
        <v>2019</v>
      </c>
      <c r="E1353" s="78">
        <f t="shared" si="138"/>
        <v>4</v>
      </c>
      <c r="F1353" s="74" t="s">
        <v>313</v>
      </c>
      <c r="G1353" s="77">
        <f t="shared" ref="G1353:G1361" si="145">H1352</f>
        <v>26050</v>
      </c>
      <c r="H1353" s="77">
        <f t="shared" ref="H1353:H1360" si="146">H1352+300</f>
        <v>26350</v>
      </c>
      <c r="I1353" s="76">
        <v>0.8</v>
      </c>
    </row>
    <row r="1354" spans="3:9" x14ac:dyDescent="0.35">
      <c r="C1354" t="s">
        <v>312</v>
      </c>
      <c r="D1354" s="3">
        <v>2019</v>
      </c>
      <c r="E1354" s="78">
        <f t="shared" si="138"/>
        <v>4</v>
      </c>
      <c r="F1354" s="74" t="s">
        <v>313</v>
      </c>
      <c r="G1354" s="77">
        <f t="shared" si="145"/>
        <v>26350</v>
      </c>
      <c r="H1354" s="77">
        <f t="shared" si="146"/>
        <v>26650</v>
      </c>
      <c r="I1354" s="76">
        <v>0.7</v>
      </c>
    </row>
    <row r="1355" spans="3:9" x14ac:dyDescent="0.35">
      <c r="C1355" t="s">
        <v>312</v>
      </c>
      <c r="D1355" s="3">
        <v>2019</v>
      </c>
      <c r="E1355" s="78">
        <f t="shared" si="138"/>
        <v>4</v>
      </c>
      <c r="F1355" s="74" t="s">
        <v>313</v>
      </c>
      <c r="G1355" s="77">
        <f t="shared" si="145"/>
        <v>26650</v>
      </c>
      <c r="H1355" s="77">
        <f t="shared" si="146"/>
        <v>26950</v>
      </c>
      <c r="I1355" s="76">
        <v>0.6</v>
      </c>
    </row>
    <row r="1356" spans="3:9" x14ac:dyDescent="0.35">
      <c r="C1356" t="s">
        <v>312</v>
      </c>
      <c r="D1356" s="3">
        <v>2019</v>
      </c>
      <c r="E1356" s="78">
        <f t="shared" si="138"/>
        <v>4</v>
      </c>
      <c r="F1356" s="74" t="s">
        <v>313</v>
      </c>
      <c r="G1356" s="77">
        <f t="shared" si="145"/>
        <v>26950</v>
      </c>
      <c r="H1356" s="77">
        <f t="shared" si="146"/>
        <v>27250</v>
      </c>
      <c r="I1356" s="76">
        <v>0.5</v>
      </c>
    </row>
    <row r="1357" spans="3:9" x14ac:dyDescent="0.35">
      <c r="C1357" t="s">
        <v>312</v>
      </c>
      <c r="D1357" s="3">
        <v>2019</v>
      </c>
      <c r="E1357" s="78">
        <f t="shared" si="138"/>
        <v>4</v>
      </c>
      <c r="F1357" s="74" t="s">
        <v>313</v>
      </c>
      <c r="G1357" s="77">
        <f t="shared" si="145"/>
        <v>27250</v>
      </c>
      <c r="H1357" s="77">
        <f t="shared" si="146"/>
        <v>27550</v>
      </c>
      <c r="I1357" s="76">
        <v>0.4</v>
      </c>
    </row>
    <row r="1358" spans="3:9" x14ac:dyDescent="0.35">
      <c r="C1358" t="s">
        <v>312</v>
      </c>
      <c r="D1358" s="3">
        <v>2019</v>
      </c>
      <c r="E1358" s="78">
        <f t="shared" si="138"/>
        <v>4</v>
      </c>
      <c r="F1358" s="74" t="s">
        <v>313</v>
      </c>
      <c r="G1358" s="77">
        <f t="shared" si="145"/>
        <v>27550</v>
      </c>
      <c r="H1358" s="77">
        <f t="shared" si="146"/>
        <v>27850</v>
      </c>
      <c r="I1358" s="76">
        <v>0.3</v>
      </c>
    </row>
    <row r="1359" spans="3:9" x14ac:dyDescent="0.35">
      <c r="C1359" t="s">
        <v>312</v>
      </c>
      <c r="D1359" s="3">
        <v>2019</v>
      </c>
      <c r="E1359" s="78">
        <f t="shared" si="138"/>
        <v>4</v>
      </c>
      <c r="F1359" s="74" t="s">
        <v>313</v>
      </c>
      <c r="G1359" s="77">
        <f t="shared" si="145"/>
        <v>27850</v>
      </c>
      <c r="H1359" s="77">
        <f t="shared" si="146"/>
        <v>28150</v>
      </c>
      <c r="I1359" s="76">
        <v>0.2</v>
      </c>
    </row>
    <row r="1360" spans="3:9" x14ac:dyDescent="0.35">
      <c r="C1360" t="s">
        <v>312</v>
      </c>
      <c r="D1360" s="3">
        <v>2019</v>
      </c>
      <c r="E1360" s="78">
        <f t="shared" si="138"/>
        <v>4</v>
      </c>
      <c r="F1360" s="74" t="s">
        <v>313</v>
      </c>
      <c r="G1360" s="77">
        <f t="shared" si="145"/>
        <v>28150</v>
      </c>
      <c r="H1360" s="77">
        <f t="shared" si="146"/>
        <v>28450</v>
      </c>
      <c r="I1360" s="76">
        <v>0.1</v>
      </c>
    </row>
    <row r="1361" spans="3:9" x14ac:dyDescent="0.35">
      <c r="C1361" t="s">
        <v>312</v>
      </c>
      <c r="D1361" s="3">
        <v>2019</v>
      </c>
      <c r="E1361" s="78">
        <f t="shared" si="138"/>
        <v>4</v>
      </c>
      <c r="F1361" s="74" t="s">
        <v>313</v>
      </c>
      <c r="G1361" s="77">
        <f t="shared" si="145"/>
        <v>28450</v>
      </c>
      <c r="H1361" s="77"/>
      <c r="I1361" s="76">
        <v>0</v>
      </c>
    </row>
    <row r="1362" spans="3:9" x14ac:dyDescent="0.35">
      <c r="C1362" t="s">
        <v>312</v>
      </c>
      <c r="D1362" s="3">
        <v>2019</v>
      </c>
      <c r="E1362" s="73">
        <v>5</v>
      </c>
      <c r="F1362" s="74" t="s">
        <v>54</v>
      </c>
      <c r="G1362" s="77">
        <v>0</v>
      </c>
      <c r="H1362" s="77">
        <v>30170</v>
      </c>
      <c r="I1362" s="76">
        <v>1</v>
      </c>
    </row>
    <row r="1363" spans="3:9" x14ac:dyDescent="0.35">
      <c r="C1363" t="s">
        <v>312</v>
      </c>
      <c r="D1363" s="3">
        <v>2019</v>
      </c>
      <c r="E1363" s="78">
        <f>E1362</f>
        <v>5</v>
      </c>
      <c r="F1363" s="74" t="s">
        <v>54</v>
      </c>
      <c r="G1363" s="77">
        <f>H1362</f>
        <v>30170</v>
      </c>
      <c r="H1363" s="77">
        <f>H1362+300</f>
        <v>30470</v>
      </c>
      <c r="I1363" s="76">
        <v>0.9</v>
      </c>
    </row>
    <row r="1364" spans="3:9" x14ac:dyDescent="0.35">
      <c r="C1364" t="s">
        <v>312</v>
      </c>
      <c r="D1364" s="3">
        <v>2019</v>
      </c>
      <c r="E1364" s="78">
        <f t="shared" ref="E1364:E1405" si="147">E1363</f>
        <v>5</v>
      </c>
      <c r="F1364" s="74" t="s">
        <v>54</v>
      </c>
      <c r="G1364" s="77">
        <f t="shared" ref="G1364:G1372" si="148">H1363</f>
        <v>30470</v>
      </c>
      <c r="H1364" s="77">
        <f t="shared" ref="H1364:H1371" si="149">H1363+300</f>
        <v>30770</v>
      </c>
      <c r="I1364" s="76">
        <v>0.8</v>
      </c>
    </row>
    <row r="1365" spans="3:9" x14ac:dyDescent="0.35">
      <c r="C1365" t="s">
        <v>312</v>
      </c>
      <c r="D1365" s="3">
        <v>2019</v>
      </c>
      <c r="E1365" s="78">
        <f t="shared" si="147"/>
        <v>5</v>
      </c>
      <c r="F1365" s="74" t="s">
        <v>54</v>
      </c>
      <c r="G1365" s="77">
        <f t="shared" si="148"/>
        <v>30770</v>
      </c>
      <c r="H1365" s="77">
        <f t="shared" si="149"/>
        <v>31070</v>
      </c>
      <c r="I1365" s="76">
        <v>0.7</v>
      </c>
    </row>
    <row r="1366" spans="3:9" x14ac:dyDescent="0.35">
      <c r="C1366" t="s">
        <v>312</v>
      </c>
      <c r="D1366" s="3">
        <v>2019</v>
      </c>
      <c r="E1366" s="78">
        <f t="shared" si="147"/>
        <v>5</v>
      </c>
      <c r="F1366" s="74" t="s">
        <v>54</v>
      </c>
      <c r="G1366" s="77">
        <f t="shared" si="148"/>
        <v>31070</v>
      </c>
      <c r="H1366" s="77">
        <f t="shared" si="149"/>
        <v>31370</v>
      </c>
      <c r="I1366" s="76">
        <v>0.6</v>
      </c>
    </row>
    <row r="1367" spans="3:9" x14ac:dyDescent="0.35">
      <c r="C1367" t="s">
        <v>312</v>
      </c>
      <c r="D1367" s="3">
        <v>2019</v>
      </c>
      <c r="E1367" s="78">
        <f t="shared" si="147"/>
        <v>5</v>
      </c>
      <c r="F1367" s="74" t="s">
        <v>54</v>
      </c>
      <c r="G1367" s="77">
        <f t="shared" si="148"/>
        <v>31370</v>
      </c>
      <c r="H1367" s="77">
        <f t="shared" si="149"/>
        <v>31670</v>
      </c>
      <c r="I1367" s="76">
        <v>0.5</v>
      </c>
    </row>
    <row r="1368" spans="3:9" x14ac:dyDescent="0.35">
      <c r="C1368" t="s">
        <v>312</v>
      </c>
      <c r="D1368" s="3">
        <v>2019</v>
      </c>
      <c r="E1368" s="78">
        <f t="shared" si="147"/>
        <v>5</v>
      </c>
      <c r="F1368" s="74" t="s">
        <v>54</v>
      </c>
      <c r="G1368" s="77">
        <f t="shared" si="148"/>
        <v>31670</v>
      </c>
      <c r="H1368" s="77">
        <f t="shared" si="149"/>
        <v>31970</v>
      </c>
      <c r="I1368" s="76">
        <v>0.4</v>
      </c>
    </row>
    <row r="1369" spans="3:9" x14ac:dyDescent="0.35">
      <c r="C1369" t="s">
        <v>312</v>
      </c>
      <c r="D1369" s="3">
        <v>2019</v>
      </c>
      <c r="E1369" s="78">
        <f t="shared" si="147"/>
        <v>5</v>
      </c>
      <c r="F1369" s="74" t="s">
        <v>54</v>
      </c>
      <c r="G1369" s="77">
        <f t="shared" si="148"/>
        <v>31970</v>
      </c>
      <c r="H1369" s="77">
        <f t="shared" si="149"/>
        <v>32270</v>
      </c>
      <c r="I1369" s="76">
        <v>0.3</v>
      </c>
    </row>
    <row r="1370" spans="3:9" x14ac:dyDescent="0.35">
      <c r="C1370" t="s">
        <v>312</v>
      </c>
      <c r="D1370" s="3">
        <v>2019</v>
      </c>
      <c r="E1370" s="78">
        <f t="shared" si="147"/>
        <v>5</v>
      </c>
      <c r="F1370" s="74" t="s">
        <v>54</v>
      </c>
      <c r="G1370" s="77">
        <f t="shared" si="148"/>
        <v>32270</v>
      </c>
      <c r="H1370" s="77">
        <f t="shared" si="149"/>
        <v>32570</v>
      </c>
      <c r="I1370" s="76">
        <v>0.2</v>
      </c>
    </row>
    <row r="1371" spans="3:9" x14ac:dyDescent="0.35">
      <c r="C1371" t="s">
        <v>312</v>
      </c>
      <c r="D1371" s="3">
        <v>2019</v>
      </c>
      <c r="E1371" s="78">
        <f t="shared" si="147"/>
        <v>5</v>
      </c>
      <c r="F1371" s="74" t="s">
        <v>54</v>
      </c>
      <c r="G1371" s="77">
        <f t="shared" si="148"/>
        <v>32570</v>
      </c>
      <c r="H1371" s="77">
        <f t="shared" si="149"/>
        <v>32870</v>
      </c>
      <c r="I1371" s="76">
        <v>0.1</v>
      </c>
    </row>
    <row r="1372" spans="3:9" x14ac:dyDescent="0.35">
      <c r="C1372" t="s">
        <v>312</v>
      </c>
      <c r="D1372" s="3">
        <v>2019</v>
      </c>
      <c r="E1372" s="78">
        <f t="shared" si="147"/>
        <v>5</v>
      </c>
      <c r="F1372" s="74" t="s">
        <v>54</v>
      </c>
      <c r="G1372" s="77">
        <f t="shared" si="148"/>
        <v>32870</v>
      </c>
      <c r="H1372" s="77"/>
      <c r="I1372" s="76">
        <v>0</v>
      </c>
    </row>
    <row r="1373" spans="3:9" x14ac:dyDescent="0.35">
      <c r="C1373" t="s">
        <v>312</v>
      </c>
      <c r="D1373" s="3">
        <v>2019</v>
      </c>
      <c r="E1373" s="78">
        <f t="shared" si="147"/>
        <v>5</v>
      </c>
      <c r="F1373" s="74" t="s">
        <v>34</v>
      </c>
      <c r="G1373" s="77">
        <v>0</v>
      </c>
      <c r="H1373" s="75">
        <f>H1362</f>
        <v>30170</v>
      </c>
      <c r="I1373" s="76">
        <v>1</v>
      </c>
    </row>
    <row r="1374" spans="3:9" x14ac:dyDescent="0.35">
      <c r="C1374" t="s">
        <v>312</v>
      </c>
      <c r="D1374" s="3">
        <v>2019</v>
      </c>
      <c r="E1374" s="78">
        <f t="shared" si="147"/>
        <v>5</v>
      </c>
      <c r="F1374" s="74" t="s">
        <v>34</v>
      </c>
      <c r="G1374" s="77">
        <f>H1373</f>
        <v>30170</v>
      </c>
      <c r="H1374" s="77">
        <f>H1373+300</f>
        <v>30470</v>
      </c>
      <c r="I1374" s="76">
        <v>0.9</v>
      </c>
    </row>
    <row r="1375" spans="3:9" x14ac:dyDescent="0.35">
      <c r="C1375" t="s">
        <v>312</v>
      </c>
      <c r="D1375" s="3">
        <v>2019</v>
      </c>
      <c r="E1375" s="78">
        <f t="shared" si="147"/>
        <v>5</v>
      </c>
      <c r="F1375" s="74" t="s">
        <v>34</v>
      </c>
      <c r="G1375" s="77">
        <f t="shared" ref="G1375:G1383" si="150">H1374</f>
        <v>30470</v>
      </c>
      <c r="H1375" s="77">
        <f t="shared" ref="H1375:H1382" si="151">H1374+300</f>
        <v>30770</v>
      </c>
      <c r="I1375" s="76">
        <v>0.8</v>
      </c>
    </row>
    <row r="1376" spans="3:9" x14ac:dyDescent="0.35">
      <c r="C1376" t="s">
        <v>312</v>
      </c>
      <c r="D1376" s="3">
        <v>2019</v>
      </c>
      <c r="E1376" s="78">
        <f t="shared" si="147"/>
        <v>5</v>
      </c>
      <c r="F1376" s="74" t="s">
        <v>34</v>
      </c>
      <c r="G1376" s="77">
        <f t="shared" si="150"/>
        <v>30770</v>
      </c>
      <c r="H1376" s="77">
        <f t="shared" si="151"/>
        <v>31070</v>
      </c>
      <c r="I1376" s="76">
        <v>0.7</v>
      </c>
    </row>
    <row r="1377" spans="3:9" x14ac:dyDescent="0.35">
      <c r="C1377" t="s">
        <v>312</v>
      </c>
      <c r="D1377" s="3">
        <v>2019</v>
      </c>
      <c r="E1377" s="78">
        <f t="shared" si="147"/>
        <v>5</v>
      </c>
      <c r="F1377" s="74" t="s">
        <v>34</v>
      </c>
      <c r="G1377" s="77">
        <f t="shared" si="150"/>
        <v>31070</v>
      </c>
      <c r="H1377" s="77">
        <f t="shared" si="151"/>
        <v>31370</v>
      </c>
      <c r="I1377" s="76">
        <v>0.6</v>
      </c>
    </row>
    <row r="1378" spans="3:9" x14ac:dyDescent="0.35">
      <c r="C1378" t="s">
        <v>312</v>
      </c>
      <c r="D1378" s="3">
        <v>2019</v>
      </c>
      <c r="E1378" s="78">
        <f t="shared" si="147"/>
        <v>5</v>
      </c>
      <c r="F1378" s="74" t="s">
        <v>34</v>
      </c>
      <c r="G1378" s="77">
        <f t="shared" si="150"/>
        <v>31370</v>
      </c>
      <c r="H1378" s="77">
        <f t="shared" si="151"/>
        <v>31670</v>
      </c>
      <c r="I1378" s="76">
        <v>0.5</v>
      </c>
    </row>
    <row r="1379" spans="3:9" x14ac:dyDescent="0.35">
      <c r="C1379" t="s">
        <v>312</v>
      </c>
      <c r="D1379" s="3">
        <v>2019</v>
      </c>
      <c r="E1379" s="78">
        <f t="shared" si="147"/>
        <v>5</v>
      </c>
      <c r="F1379" s="74" t="s">
        <v>34</v>
      </c>
      <c r="G1379" s="77">
        <f t="shared" si="150"/>
        <v>31670</v>
      </c>
      <c r="H1379" s="77">
        <f t="shared" si="151"/>
        <v>31970</v>
      </c>
      <c r="I1379" s="76">
        <v>0.4</v>
      </c>
    </row>
    <row r="1380" spans="3:9" x14ac:dyDescent="0.35">
      <c r="C1380" t="s">
        <v>312</v>
      </c>
      <c r="D1380" s="3">
        <v>2019</v>
      </c>
      <c r="E1380" s="78">
        <f t="shared" si="147"/>
        <v>5</v>
      </c>
      <c r="F1380" s="74" t="s">
        <v>34</v>
      </c>
      <c r="G1380" s="77">
        <f t="shared" si="150"/>
        <v>31970</v>
      </c>
      <c r="H1380" s="77">
        <f t="shared" si="151"/>
        <v>32270</v>
      </c>
      <c r="I1380" s="76">
        <v>0.3</v>
      </c>
    </row>
    <row r="1381" spans="3:9" x14ac:dyDescent="0.35">
      <c r="C1381" t="s">
        <v>312</v>
      </c>
      <c r="D1381" s="3">
        <v>2019</v>
      </c>
      <c r="E1381" s="78">
        <f t="shared" si="147"/>
        <v>5</v>
      </c>
      <c r="F1381" s="74" t="s">
        <v>34</v>
      </c>
      <c r="G1381" s="77">
        <f t="shared" si="150"/>
        <v>32270</v>
      </c>
      <c r="H1381" s="77">
        <f t="shared" si="151"/>
        <v>32570</v>
      </c>
      <c r="I1381" s="76">
        <v>0.2</v>
      </c>
    </row>
    <row r="1382" spans="3:9" x14ac:dyDescent="0.35">
      <c r="C1382" t="s">
        <v>312</v>
      </c>
      <c r="D1382" s="3">
        <v>2019</v>
      </c>
      <c r="E1382" s="78">
        <f t="shared" si="147"/>
        <v>5</v>
      </c>
      <c r="F1382" s="74" t="s">
        <v>34</v>
      </c>
      <c r="G1382" s="77">
        <f t="shared" si="150"/>
        <v>32570</v>
      </c>
      <c r="H1382" s="77">
        <f t="shared" si="151"/>
        <v>32870</v>
      </c>
      <c r="I1382" s="76">
        <v>0.1</v>
      </c>
    </row>
    <row r="1383" spans="3:9" x14ac:dyDescent="0.35">
      <c r="C1383" t="s">
        <v>312</v>
      </c>
      <c r="D1383" s="3">
        <v>2019</v>
      </c>
      <c r="E1383" s="78">
        <f t="shared" si="147"/>
        <v>5</v>
      </c>
      <c r="F1383" s="74" t="s">
        <v>34</v>
      </c>
      <c r="G1383" s="77">
        <f t="shared" si="150"/>
        <v>32870</v>
      </c>
      <c r="H1383" s="77"/>
      <c r="I1383" s="76">
        <v>0</v>
      </c>
    </row>
    <row r="1384" spans="3:9" x14ac:dyDescent="0.35">
      <c r="C1384" t="s">
        <v>312</v>
      </c>
      <c r="D1384" s="3">
        <v>2019</v>
      </c>
      <c r="E1384" s="78">
        <f t="shared" si="147"/>
        <v>5</v>
      </c>
      <c r="F1384" s="74" t="s">
        <v>40</v>
      </c>
      <c r="G1384" s="77">
        <v>0</v>
      </c>
      <c r="H1384" s="75">
        <f>H1373</f>
        <v>30170</v>
      </c>
      <c r="I1384" s="76">
        <v>1</v>
      </c>
    </row>
    <row r="1385" spans="3:9" x14ac:dyDescent="0.35">
      <c r="C1385" t="s">
        <v>312</v>
      </c>
      <c r="D1385" s="3">
        <v>2019</v>
      </c>
      <c r="E1385" s="78">
        <f t="shared" si="147"/>
        <v>5</v>
      </c>
      <c r="F1385" s="74" t="s">
        <v>40</v>
      </c>
      <c r="G1385" s="77">
        <f>H1384</f>
        <v>30170</v>
      </c>
      <c r="H1385" s="77">
        <f>H1384+300</f>
        <v>30470</v>
      </c>
      <c r="I1385" s="76">
        <v>0.9</v>
      </c>
    </row>
    <row r="1386" spans="3:9" x14ac:dyDescent="0.35">
      <c r="C1386" t="s">
        <v>312</v>
      </c>
      <c r="D1386" s="3">
        <v>2019</v>
      </c>
      <c r="E1386" s="78">
        <f t="shared" si="147"/>
        <v>5</v>
      </c>
      <c r="F1386" s="74" t="s">
        <v>40</v>
      </c>
      <c r="G1386" s="77">
        <f t="shared" ref="G1386:G1394" si="152">H1385</f>
        <v>30470</v>
      </c>
      <c r="H1386" s="77">
        <f t="shared" ref="H1386:H1393" si="153">H1385+300</f>
        <v>30770</v>
      </c>
      <c r="I1386" s="76">
        <v>0.8</v>
      </c>
    </row>
    <row r="1387" spans="3:9" x14ac:dyDescent="0.35">
      <c r="C1387" t="s">
        <v>312</v>
      </c>
      <c r="D1387" s="3">
        <v>2019</v>
      </c>
      <c r="E1387" s="78">
        <f t="shared" si="147"/>
        <v>5</v>
      </c>
      <c r="F1387" s="74" t="s">
        <v>40</v>
      </c>
      <c r="G1387" s="77">
        <f t="shared" si="152"/>
        <v>30770</v>
      </c>
      <c r="H1387" s="77">
        <f t="shared" si="153"/>
        <v>31070</v>
      </c>
      <c r="I1387" s="76">
        <v>0.7</v>
      </c>
    </row>
    <row r="1388" spans="3:9" x14ac:dyDescent="0.35">
      <c r="C1388" t="s">
        <v>312</v>
      </c>
      <c r="D1388" s="3">
        <v>2019</v>
      </c>
      <c r="E1388" s="78">
        <f t="shared" si="147"/>
        <v>5</v>
      </c>
      <c r="F1388" s="74" t="s">
        <v>40</v>
      </c>
      <c r="G1388" s="77">
        <f t="shared" si="152"/>
        <v>31070</v>
      </c>
      <c r="H1388" s="77">
        <f t="shared" si="153"/>
        <v>31370</v>
      </c>
      <c r="I1388" s="76">
        <v>0.6</v>
      </c>
    </row>
    <row r="1389" spans="3:9" x14ac:dyDescent="0.35">
      <c r="C1389" t="s">
        <v>312</v>
      </c>
      <c r="D1389" s="3">
        <v>2019</v>
      </c>
      <c r="E1389" s="78">
        <f t="shared" si="147"/>
        <v>5</v>
      </c>
      <c r="F1389" s="74" t="s">
        <v>40</v>
      </c>
      <c r="G1389" s="77">
        <f t="shared" si="152"/>
        <v>31370</v>
      </c>
      <c r="H1389" s="77">
        <f t="shared" si="153"/>
        <v>31670</v>
      </c>
      <c r="I1389" s="76">
        <v>0.5</v>
      </c>
    </row>
    <row r="1390" spans="3:9" x14ac:dyDescent="0.35">
      <c r="C1390" t="s">
        <v>312</v>
      </c>
      <c r="D1390" s="3">
        <v>2019</v>
      </c>
      <c r="E1390" s="78">
        <f t="shared" si="147"/>
        <v>5</v>
      </c>
      <c r="F1390" s="74" t="s">
        <v>40</v>
      </c>
      <c r="G1390" s="77">
        <f t="shared" si="152"/>
        <v>31670</v>
      </c>
      <c r="H1390" s="77">
        <f t="shared" si="153"/>
        <v>31970</v>
      </c>
      <c r="I1390" s="76">
        <v>0.4</v>
      </c>
    </row>
    <row r="1391" spans="3:9" x14ac:dyDescent="0.35">
      <c r="C1391" t="s">
        <v>312</v>
      </c>
      <c r="D1391" s="3">
        <v>2019</v>
      </c>
      <c r="E1391" s="78">
        <f t="shared" si="147"/>
        <v>5</v>
      </c>
      <c r="F1391" s="74" t="s">
        <v>40</v>
      </c>
      <c r="G1391" s="77">
        <f t="shared" si="152"/>
        <v>31970</v>
      </c>
      <c r="H1391" s="77">
        <f t="shared" si="153"/>
        <v>32270</v>
      </c>
      <c r="I1391" s="76">
        <v>0.3</v>
      </c>
    </row>
    <row r="1392" spans="3:9" x14ac:dyDescent="0.35">
      <c r="C1392" t="s">
        <v>312</v>
      </c>
      <c r="D1392" s="3">
        <v>2019</v>
      </c>
      <c r="E1392" s="78">
        <f t="shared" si="147"/>
        <v>5</v>
      </c>
      <c r="F1392" s="74" t="s">
        <v>40</v>
      </c>
      <c r="G1392" s="77">
        <f t="shared" si="152"/>
        <v>32270</v>
      </c>
      <c r="H1392" s="77">
        <f t="shared" si="153"/>
        <v>32570</v>
      </c>
      <c r="I1392" s="76">
        <v>0.2</v>
      </c>
    </row>
    <row r="1393" spans="3:9" x14ac:dyDescent="0.35">
      <c r="C1393" t="s">
        <v>312</v>
      </c>
      <c r="D1393" s="3">
        <v>2019</v>
      </c>
      <c r="E1393" s="78">
        <f t="shared" si="147"/>
        <v>5</v>
      </c>
      <c r="F1393" s="74" t="s">
        <v>40</v>
      </c>
      <c r="G1393" s="77">
        <f t="shared" si="152"/>
        <v>32570</v>
      </c>
      <c r="H1393" s="77">
        <f t="shared" si="153"/>
        <v>32870</v>
      </c>
      <c r="I1393" s="76">
        <v>0.1</v>
      </c>
    </row>
    <row r="1394" spans="3:9" x14ac:dyDescent="0.35">
      <c r="C1394" t="s">
        <v>312</v>
      </c>
      <c r="D1394" s="3">
        <v>2019</v>
      </c>
      <c r="E1394" s="78">
        <f t="shared" si="147"/>
        <v>5</v>
      </c>
      <c r="F1394" s="74" t="s">
        <v>40</v>
      </c>
      <c r="G1394" s="77">
        <f t="shared" si="152"/>
        <v>32870</v>
      </c>
      <c r="H1394" s="77"/>
      <c r="I1394" s="76">
        <v>0</v>
      </c>
    </row>
    <row r="1395" spans="3:9" x14ac:dyDescent="0.35">
      <c r="C1395" t="s">
        <v>312</v>
      </c>
      <c r="D1395" s="3">
        <v>2019</v>
      </c>
      <c r="E1395" s="78">
        <f t="shared" si="147"/>
        <v>5</v>
      </c>
      <c r="F1395" s="74" t="s">
        <v>313</v>
      </c>
      <c r="G1395" s="77">
        <v>0</v>
      </c>
      <c r="H1395" s="75">
        <f>H1384</f>
        <v>30170</v>
      </c>
      <c r="I1395" s="76">
        <v>1</v>
      </c>
    </row>
    <row r="1396" spans="3:9" x14ac:dyDescent="0.35">
      <c r="C1396" t="s">
        <v>312</v>
      </c>
      <c r="D1396" s="3">
        <v>2019</v>
      </c>
      <c r="E1396" s="78">
        <f t="shared" si="147"/>
        <v>5</v>
      </c>
      <c r="F1396" s="74" t="s">
        <v>313</v>
      </c>
      <c r="G1396" s="77">
        <f>H1395</f>
        <v>30170</v>
      </c>
      <c r="H1396" s="77">
        <f>H1395+300</f>
        <v>30470</v>
      </c>
      <c r="I1396" s="76">
        <v>0.9</v>
      </c>
    </row>
    <row r="1397" spans="3:9" x14ac:dyDescent="0.35">
      <c r="C1397" t="s">
        <v>312</v>
      </c>
      <c r="D1397" s="3">
        <v>2019</v>
      </c>
      <c r="E1397" s="78">
        <f t="shared" si="147"/>
        <v>5</v>
      </c>
      <c r="F1397" s="74" t="s">
        <v>313</v>
      </c>
      <c r="G1397" s="77">
        <f t="shared" ref="G1397:G1405" si="154">H1396</f>
        <v>30470</v>
      </c>
      <c r="H1397" s="77">
        <f t="shared" ref="H1397:H1404" si="155">H1396+300</f>
        <v>30770</v>
      </c>
      <c r="I1397" s="76">
        <v>0.8</v>
      </c>
    </row>
    <row r="1398" spans="3:9" x14ac:dyDescent="0.35">
      <c r="C1398" t="s">
        <v>312</v>
      </c>
      <c r="D1398" s="3">
        <v>2019</v>
      </c>
      <c r="E1398" s="78">
        <f t="shared" si="147"/>
        <v>5</v>
      </c>
      <c r="F1398" s="74" t="s">
        <v>313</v>
      </c>
      <c r="G1398" s="77">
        <f t="shared" si="154"/>
        <v>30770</v>
      </c>
      <c r="H1398" s="77">
        <f t="shared" si="155"/>
        <v>31070</v>
      </c>
      <c r="I1398" s="76">
        <v>0.7</v>
      </c>
    </row>
    <row r="1399" spans="3:9" x14ac:dyDescent="0.35">
      <c r="C1399" t="s">
        <v>312</v>
      </c>
      <c r="D1399" s="3">
        <v>2019</v>
      </c>
      <c r="E1399" s="78">
        <f t="shared" si="147"/>
        <v>5</v>
      </c>
      <c r="F1399" s="74" t="s">
        <v>313</v>
      </c>
      <c r="G1399" s="77">
        <f t="shared" si="154"/>
        <v>31070</v>
      </c>
      <c r="H1399" s="77">
        <f t="shared" si="155"/>
        <v>31370</v>
      </c>
      <c r="I1399" s="76">
        <v>0.6</v>
      </c>
    </row>
    <row r="1400" spans="3:9" x14ac:dyDescent="0.35">
      <c r="C1400" t="s">
        <v>312</v>
      </c>
      <c r="D1400" s="3">
        <v>2019</v>
      </c>
      <c r="E1400" s="78">
        <f t="shared" si="147"/>
        <v>5</v>
      </c>
      <c r="F1400" s="74" t="s">
        <v>313</v>
      </c>
      <c r="G1400" s="77">
        <f t="shared" si="154"/>
        <v>31370</v>
      </c>
      <c r="H1400" s="77">
        <f t="shared" si="155"/>
        <v>31670</v>
      </c>
      <c r="I1400" s="76">
        <v>0.5</v>
      </c>
    </row>
    <row r="1401" spans="3:9" x14ac:dyDescent="0.35">
      <c r="C1401" t="s">
        <v>312</v>
      </c>
      <c r="D1401" s="3">
        <v>2019</v>
      </c>
      <c r="E1401" s="78">
        <f t="shared" si="147"/>
        <v>5</v>
      </c>
      <c r="F1401" s="74" t="s">
        <v>313</v>
      </c>
      <c r="G1401" s="77">
        <f t="shared" si="154"/>
        <v>31670</v>
      </c>
      <c r="H1401" s="77">
        <f t="shared" si="155"/>
        <v>31970</v>
      </c>
      <c r="I1401" s="76">
        <v>0.4</v>
      </c>
    </row>
    <row r="1402" spans="3:9" x14ac:dyDescent="0.35">
      <c r="C1402" t="s">
        <v>312</v>
      </c>
      <c r="D1402" s="3">
        <v>2019</v>
      </c>
      <c r="E1402" s="78">
        <f t="shared" si="147"/>
        <v>5</v>
      </c>
      <c r="F1402" s="74" t="s">
        <v>313</v>
      </c>
      <c r="G1402" s="77">
        <f t="shared" si="154"/>
        <v>31970</v>
      </c>
      <c r="H1402" s="77">
        <f t="shared" si="155"/>
        <v>32270</v>
      </c>
      <c r="I1402" s="76">
        <v>0.3</v>
      </c>
    </row>
    <row r="1403" spans="3:9" x14ac:dyDescent="0.35">
      <c r="C1403" t="s">
        <v>312</v>
      </c>
      <c r="D1403" s="3">
        <v>2019</v>
      </c>
      <c r="E1403" s="78">
        <f t="shared" si="147"/>
        <v>5</v>
      </c>
      <c r="F1403" s="74" t="s">
        <v>313</v>
      </c>
      <c r="G1403" s="77">
        <f t="shared" si="154"/>
        <v>32270</v>
      </c>
      <c r="H1403" s="77">
        <f t="shared" si="155"/>
        <v>32570</v>
      </c>
      <c r="I1403" s="76">
        <v>0.2</v>
      </c>
    </row>
    <row r="1404" spans="3:9" x14ac:dyDescent="0.35">
      <c r="C1404" t="s">
        <v>312</v>
      </c>
      <c r="D1404" s="3">
        <v>2019</v>
      </c>
      <c r="E1404" s="78">
        <f t="shared" si="147"/>
        <v>5</v>
      </c>
      <c r="F1404" s="74" t="s">
        <v>313</v>
      </c>
      <c r="G1404" s="77">
        <f t="shared" si="154"/>
        <v>32570</v>
      </c>
      <c r="H1404" s="77">
        <f t="shared" si="155"/>
        <v>32870</v>
      </c>
      <c r="I1404" s="76">
        <v>0.1</v>
      </c>
    </row>
    <row r="1405" spans="3:9" x14ac:dyDescent="0.35">
      <c r="C1405" t="s">
        <v>312</v>
      </c>
      <c r="D1405" s="3">
        <v>2019</v>
      </c>
      <c r="E1405" s="78">
        <f t="shared" si="147"/>
        <v>5</v>
      </c>
      <c r="F1405" s="74" t="s">
        <v>313</v>
      </c>
      <c r="G1405" s="77">
        <f t="shared" si="154"/>
        <v>32870</v>
      </c>
      <c r="H1405" s="77"/>
      <c r="I1405" s="76">
        <v>0</v>
      </c>
    </row>
    <row r="1406" spans="3:9" x14ac:dyDescent="0.35">
      <c r="C1406" t="s">
        <v>312</v>
      </c>
      <c r="D1406" s="3">
        <v>2019</v>
      </c>
      <c r="E1406" s="73">
        <v>6</v>
      </c>
      <c r="F1406" s="74" t="s">
        <v>54</v>
      </c>
      <c r="G1406" s="77">
        <v>0</v>
      </c>
      <c r="H1406" s="77">
        <v>34590</v>
      </c>
      <c r="I1406" s="76">
        <v>1</v>
      </c>
    </row>
    <row r="1407" spans="3:9" x14ac:dyDescent="0.35">
      <c r="C1407" t="s">
        <v>312</v>
      </c>
      <c r="D1407" s="3">
        <v>2019</v>
      </c>
      <c r="E1407" s="78">
        <f>E1406</f>
        <v>6</v>
      </c>
      <c r="F1407" s="74" t="s">
        <v>54</v>
      </c>
      <c r="G1407" s="77">
        <f>H1406</f>
        <v>34590</v>
      </c>
      <c r="H1407" s="77">
        <f>H1406+300</f>
        <v>34890</v>
      </c>
      <c r="I1407" s="76">
        <v>0.9</v>
      </c>
    </row>
    <row r="1408" spans="3:9" x14ac:dyDescent="0.35">
      <c r="C1408" t="s">
        <v>312</v>
      </c>
      <c r="D1408" s="3">
        <v>2019</v>
      </c>
      <c r="E1408" s="78">
        <f t="shared" ref="E1408:E1449" si="156">E1407</f>
        <v>6</v>
      </c>
      <c r="F1408" s="74" t="s">
        <v>54</v>
      </c>
      <c r="G1408" s="77">
        <f t="shared" ref="G1408:G1416" si="157">H1407</f>
        <v>34890</v>
      </c>
      <c r="H1408" s="77">
        <f t="shared" ref="H1408:H1415" si="158">H1407+300</f>
        <v>35190</v>
      </c>
      <c r="I1408" s="76">
        <v>0.8</v>
      </c>
    </row>
    <row r="1409" spans="3:9" x14ac:dyDescent="0.35">
      <c r="C1409" t="s">
        <v>312</v>
      </c>
      <c r="D1409" s="3">
        <v>2019</v>
      </c>
      <c r="E1409" s="78">
        <f t="shared" si="156"/>
        <v>6</v>
      </c>
      <c r="F1409" s="74" t="s">
        <v>54</v>
      </c>
      <c r="G1409" s="77">
        <f t="shared" si="157"/>
        <v>35190</v>
      </c>
      <c r="H1409" s="77">
        <f t="shared" si="158"/>
        <v>35490</v>
      </c>
      <c r="I1409" s="76">
        <v>0.7</v>
      </c>
    </row>
    <row r="1410" spans="3:9" x14ac:dyDescent="0.35">
      <c r="C1410" t="s">
        <v>312</v>
      </c>
      <c r="D1410" s="3">
        <v>2019</v>
      </c>
      <c r="E1410" s="78">
        <f t="shared" si="156"/>
        <v>6</v>
      </c>
      <c r="F1410" s="74" t="s">
        <v>54</v>
      </c>
      <c r="G1410" s="77">
        <f t="shared" si="157"/>
        <v>35490</v>
      </c>
      <c r="H1410" s="77">
        <f t="shared" si="158"/>
        <v>35790</v>
      </c>
      <c r="I1410" s="76">
        <v>0.6</v>
      </c>
    </row>
    <row r="1411" spans="3:9" x14ac:dyDescent="0.35">
      <c r="C1411" t="s">
        <v>312</v>
      </c>
      <c r="D1411" s="3">
        <v>2019</v>
      </c>
      <c r="E1411" s="78">
        <f t="shared" si="156"/>
        <v>6</v>
      </c>
      <c r="F1411" s="74" t="s">
        <v>54</v>
      </c>
      <c r="G1411" s="77">
        <f t="shared" si="157"/>
        <v>35790</v>
      </c>
      <c r="H1411" s="77">
        <f t="shared" si="158"/>
        <v>36090</v>
      </c>
      <c r="I1411" s="76">
        <v>0.5</v>
      </c>
    </row>
    <row r="1412" spans="3:9" x14ac:dyDescent="0.35">
      <c r="C1412" t="s">
        <v>312</v>
      </c>
      <c r="D1412" s="3">
        <v>2019</v>
      </c>
      <c r="E1412" s="78">
        <f t="shared" si="156"/>
        <v>6</v>
      </c>
      <c r="F1412" s="74" t="s">
        <v>54</v>
      </c>
      <c r="G1412" s="77">
        <f t="shared" si="157"/>
        <v>36090</v>
      </c>
      <c r="H1412" s="77">
        <f t="shared" si="158"/>
        <v>36390</v>
      </c>
      <c r="I1412" s="76">
        <v>0.4</v>
      </c>
    </row>
    <row r="1413" spans="3:9" x14ac:dyDescent="0.35">
      <c r="C1413" t="s">
        <v>312</v>
      </c>
      <c r="D1413" s="3">
        <v>2019</v>
      </c>
      <c r="E1413" s="78">
        <f t="shared" si="156"/>
        <v>6</v>
      </c>
      <c r="F1413" s="74" t="s">
        <v>54</v>
      </c>
      <c r="G1413" s="77">
        <f t="shared" si="157"/>
        <v>36390</v>
      </c>
      <c r="H1413" s="77">
        <f t="shared" si="158"/>
        <v>36690</v>
      </c>
      <c r="I1413" s="76">
        <v>0.3</v>
      </c>
    </row>
    <row r="1414" spans="3:9" x14ac:dyDescent="0.35">
      <c r="C1414" t="s">
        <v>312</v>
      </c>
      <c r="D1414" s="3">
        <v>2019</v>
      </c>
      <c r="E1414" s="78">
        <f t="shared" si="156"/>
        <v>6</v>
      </c>
      <c r="F1414" s="74" t="s">
        <v>54</v>
      </c>
      <c r="G1414" s="77">
        <f t="shared" si="157"/>
        <v>36690</v>
      </c>
      <c r="H1414" s="77">
        <f t="shared" si="158"/>
        <v>36990</v>
      </c>
      <c r="I1414" s="76">
        <v>0.2</v>
      </c>
    </row>
    <row r="1415" spans="3:9" x14ac:dyDescent="0.35">
      <c r="C1415" t="s">
        <v>312</v>
      </c>
      <c r="D1415" s="3">
        <v>2019</v>
      </c>
      <c r="E1415" s="78">
        <f t="shared" si="156"/>
        <v>6</v>
      </c>
      <c r="F1415" s="74" t="s">
        <v>54</v>
      </c>
      <c r="G1415" s="77">
        <f t="shared" si="157"/>
        <v>36990</v>
      </c>
      <c r="H1415" s="77">
        <f t="shared" si="158"/>
        <v>37290</v>
      </c>
      <c r="I1415" s="76">
        <v>0.1</v>
      </c>
    </row>
    <row r="1416" spans="3:9" x14ac:dyDescent="0.35">
      <c r="C1416" t="s">
        <v>312</v>
      </c>
      <c r="D1416" s="3">
        <v>2019</v>
      </c>
      <c r="E1416" s="78">
        <f t="shared" si="156"/>
        <v>6</v>
      </c>
      <c r="F1416" s="74" t="s">
        <v>54</v>
      </c>
      <c r="G1416" s="77">
        <f t="shared" si="157"/>
        <v>37290</v>
      </c>
      <c r="H1416" s="77"/>
      <c r="I1416" s="76">
        <v>0</v>
      </c>
    </row>
    <row r="1417" spans="3:9" x14ac:dyDescent="0.35">
      <c r="C1417" t="s">
        <v>312</v>
      </c>
      <c r="D1417" s="3">
        <v>2019</v>
      </c>
      <c r="E1417" s="78">
        <f t="shared" si="156"/>
        <v>6</v>
      </c>
      <c r="F1417" s="74" t="s">
        <v>34</v>
      </c>
      <c r="G1417" s="77">
        <v>0</v>
      </c>
      <c r="H1417" s="75">
        <f>H1406</f>
        <v>34590</v>
      </c>
      <c r="I1417" s="76">
        <v>1</v>
      </c>
    </row>
    <row r="1418" spans="3:9" x14ac:dyDescent="0.35">
      <c r="C1418" t="s">
        <v>312</v>
      </c>
      <c r="D1418" s="3">
        <v>2019</v>
      </c>
      <c r="E1418" s="78">
        <f t="shared" si="156"/>
        <v>6</v>
      </c>
      <c r="F1418" s="74" t="s">
        <v>34</v>
      </c>
      <c r="G1418" s="77">
        <f>H1417</f>
        <v>34590</v>
      </c>
      <c r="H1418" s="77">
        <f>H1417+300</f>
        <v>34890</v>
      </c>
      <c r="I1418" s="76">
        <v>0.9</v>
      </c>
    </row>
    <row r="1419" spans="3:9" x14ac:dyDescent="0.35">
      <c r="C1419" t="s">
        <v>312</v>
      </c>
      <c r="D1419" s="3">
        <v>2019</v>
      </c>
      <c r="E1419" s="78">
        <f t="shared" si="156"/>
        <v>6</v>
      </c>
      <c r="F1419" s="74" t="s">
        <v>34</v>
      </c>
      <c r="G1419" s="77">
        <f t="shared" ref="G1419:G1427" si="159">H1418</f>
        <v>34890</v>
      </c>
      <c r="H1419" s="77">
        <f t="shared" ref="H1419:H1426" si="160">H1418+300</f>
        <v>35190</v>
      </c>
      <c r="I1419" s="76">
        <v>0.8</v>
      </c>
    </row>
    <row r="1420" spans="3:9" x14ac:dyDescent="0.35">
      <c r="C1420" t="s">
        <v>312</v>
      </c>
      <c r="D1420" s="3">
        <v>2019</v>
      </c>
      <c r="E1420" s="78">
        <f t="shared" si="156"/>
        <v>6</v>
      </c>
      <c r="F1420" s="74" t="s">
        <v>34</v>
      </c>
      <c r="G1420" s="77">
        <f t="shared" si="159"/>
        <v>35190</v>
      </c>
      <c r="H1420" s="77">
        <f t="shared" si="160"/>
        <v>35490</v>
      </c>
      <c r="I1420" s="76">
        <v>0.7</v>
      </c>
    </row>
    <row r="1421" spans="3:9" x14ac:dyDescent="0.35">
      <c r="C1421" t="s">
        <v>312</v>
      </c>
      <c r="D1421" s="3">
        <v>2019</v>
      </c>
      <c r="E1421" s="78">
        <f t="shared" si="156"/>
        <v>6</v>
      </c>
      <c r="F1421" s="74" t="s">
        <v>34</v>
      </c>
      <c r="G1421" s="77">
        <f t="shared" si="159"/>
        <v>35490</v>
      </c>
      <c r="H1421" s="77">
        <f t="shared" si="160"/>
        <v>35790</v>
      </c>
      <c r="I1421" s="76">
        <v>0.6</v>
      </c>
    </row>
    <row r="1422" spans="3:9" x14ac:dyDescent="0.35">
      <c r="C1422" t="s">
        <v>312</v>
      </c>
      <c r="D1422" s="3">
        <v>2019</v>
      </c>
      <c r="E1422" s="78">
        <f t="shared" si="156"/>
        <v>6</v>
      </c>
      <c r="F1422" s="74" t="s">
        <v>34</v>
      </c>
      <c r="G1422" s="77">
        <f t="shared" si="159"/>
        <v>35790</v>
      </c>
      <c r="H1422" s="77">
        <f t="shared" si="160"/>
        <v>36090</v>
      </c>
      <c r="I1422" s="76">
        <v>0.5</v>
      </c>
    </row>
    <row r="1423" spans="3:9" x14ac:dyDescent="0.35">
      <c r="C1423" t="s">
        <v>312</v>
      </c>
      <c r="D1423" s="3">
        <v>2019</v>
      </c>
      <c r="E1423" s="78">
        <f t="shared" si="156"/>
        <v>6</v>
      </c>
      <c r="F1423" s="74" t="s">
        <v>34</v>
      </c>
      <c r="G1423" s="77">
        <f t="shared" si="159"/>
        <v>36090</v>
      </c>
      <c r="H1423" s="77">
        <f t="shared" si="160"/>
        <v>36390</v>
      </c>
      <c r="I1423" s="76">
        <v>0.4</v>
      </c>
    </row>
    <row r="1424" spans="3:9" x14ac:dyDescent="0.35">
      <c r="C1424" t="s">
        <v>312</v>
      </c>
      <c r="D1424" s="3">
        <v>2019</v>
      </c>
      <c r="E1424" s="78">
        <f t="shared" si="156"/>
        <v>6</v>
      </c>
      <c r="F1424" s="74" t="s">
        <v>34</v>
      </c>
      <c r="G1424" s="77">
        <f t="shared" si="159"/>
        <v>36390</v>
      </c>
      <c r="H1424" s="77">
        <f t="shared" si="160"/>
        <v>36690</v>
      </c>
      <c r="I1424" s="76">
        <v>0.3</v>
      </c>
    </row>
    <row r="1425" spans="3:9" x14ac:dyDescent="0.35">
      <c r="C1425" t="s">
        <v>312</v>
      </c>
      <c r="D1425" s="3">
        <v>2019</v>
      </c>
      <c r="E1425" s="78">
        <f t="shared" si="156"/>
        <v>6</v>
      </c>
      <c r="F1425" s="74" t="s">
        <v>34</v>
      </c>
      <c r="G1425" s="77">
        <f t="shared" si="159"/>
        <v>36690</v>
      </c>
      <c r="H1425" s="77">
        <f t="shared" si="160"/>
        <v>36990</v>
      </c>
      <c r="I1425" s="76">
        <v>0.2</v>
      </c>
    </row>
    <row r="1426" spans="3:9" x14ac:dyDescent="0.35">
      <c r="C1426" t="s">
        <v>312</v>
      </c>
      <c r="D1426" s="3">
        <v>2019</v>
      </c>
      <c r="E1426" s="78">
        <f t="shared" si="156"/>
        <v>6</v>
      </c>
      <c r="F1426" s="74" t="s">
        <v>34</v>
      </c>
      <c r="G1426" s="77">
        <f t="shared" si="159"/>
        <v>36990</v>
      </c>
      <c r="H1426" s="77">
        <f t="shared" si="160"/>
        <v>37290</v>
      </c>
      <c r="I1426" s="76">
        <v>0.1</v>
      </c>
    </row>
    <row r="1427" spans="3:9" x14ac:dyDescent="0.35">
      <c r="C1427" t="s">
        <v>312</v>
      </c>
      <c r="D1427" s="3">
        <v>2019</v>
      </c>
      <c r="E1427" s="78">
        <f t="shared" si="156"/>
        <v>6</v>
      </c>
      <c r="F1427" s="74" t="s">
        <v>34</v>
      </c>
      <c r="G1427" s="77">
        <f t="shared" si="159"/>
        <v>37290</v>
      </c>
      <c r="H1427" s="77"/>
      <c r="I1427" s="76">
        <v>0</v>
      </c>
    </row>
    <row r="1428" spans="3:9" x14ac:dyDescent="0.35">
      <c r="C1428" t="s">
        <v>312</v>
      </c>
      <c r="D1428" s="3">
        <v>2019</v>
      </c>
      <c r="E1428" s="78">
        <f t="shared" si="156"/>
        <v>6</v>
      </c>
      <c r="F1428" s="74" t="s">
        <v>40</v>
      </c>
      <c r="G1428" s="77">
        <v>0</v>
      </c>
      <c r="H1428" s="75">
        <f>H1417</f>
        <v>34590</v>
      </c>
      <c r="I1428" s="76">
        <v>1</v>
      </c>
    </row>
    <row r="1429" spans="3:9" x14ac:dyDescent="0.35">
      <c r="C1429" t="s">
        <v>312</v>
      </c>
      <c r="D1429" s="3">
        <v>2019</v>
      </c>
      <c r="E1429" s="78">
        <f t="shared" si="156"/>
        <v>6</v>
      </c>
      <c r="F1429" s="74" t="s">
        <v>40</v>
      </c>
      <c r="G1429" s="77">
        <f>H1428</f>
        <v>34590</v>
      </c>
      <c r="H1429" s="77">
        <f>H1428+300</f>
        <v>34890</v>
      </c>
      <c r="I1429" s="76">
        <v>0.9</v>
      </c>
    </row>
    <row r="1430" spans="3:9" x14ac:dyDescent="0.35">
      <c r="C1430" t="s">
        <v>312</v>
      </c>
      <c r="D1430" s="3">
        <v>2019</v>
      </c>
      <c r="E1430" s="78">
        <f t="shared" si="156"/>
        <v>6</v>
      </c>
      <c r="F1430" s="74" t="s">
        <v>40</v>
      </c>
      <c r="G1430" s="77">
        <f t="shared" ref="G1430:G1438" si="161">H1429</f>
        <v>34890</v>
      </c>
      <c r="H1430" s="77">
        <f t="shared" ref="H1430:H1437" si="162">H1429+300</f>
        <v>35190</v>
      </c>
      <c r="I1430" s="76">
        <v>0.8</v>
      </c>
    </row>
    <row r="1431" spans="3:9" x14ac:dyDescent="0.35">
      <c r="C1431" t="s">
        <v>312</v>
      </c>
      <c r="D1431" s="3">
        <v>2019</v>
      </c>
      <c r="E1431" s="78">
        <f t="shared" si="156"/>
        <v>6</v>
      </c>
      <c r="F1431" s="74" t="s">
        <v>40</v>
      </c>
      <c r="G1431" s="77">
        <f t="shared" si="161"/>
        <v>35190</v>
      </c>
      <c r="H1431" s="77">
        <f t="shared" si="162"/>
        <v>35490</v>
      </c>
      <c r="I1431" s="76">
        <v>0.7</v>
      </c>
    </row>
    <row r="1432" spans="3:9" x14ac:dyDescent="0.35">
      <c r="C1432" t="s">
        <v>312</v>
      </c>
      <c r="D1432" s="3">
        <v>2019</v>
      </c>
      <c r="E1432" s="78">
        <f t="shared" si="156"/>
        <v>6</v>
      </c>
      <c r="F1432" s="74" t="s">
        <v>40</v>
      </c>
      <c r="G1432" s="77">
        <f t="shared" si="161"/>
        <v>35490</v>
      </c>
      <c r="H1432" s="77">
        <f t="shared" si="162"/>
        <v>35790</v>
      </c>
      <c r="I1432" s="76">
        <v>0.6</v>
      </c>
    </row>
    <row r="1433" spans="3:9" x14ac:dyDescent="0.35">
      <c r="C1433" t="s">
        <v>312</v>
      </c>
      <c r="D1433" s="3">
        <v>2019</v>
      </c>
      <c r="E1433" s="78">
        <f t="shared" si="156"/>
        <v>6</v>
      </c>
      <c r="F1433" s="74" t="s">
        <v>40</v>
      </c>
      <c r="G1433" s="77">
        <f t="shared" si="161"/>
        <v>35790</v>
      </c>
      <c r="H1433" s="77">
        <f t="shared" si="162"/>
        <v>36090</v>
      </c>
      <c r="I1433" s="76">
        <v>0.5</v>
      </c>
    </row>
    <row r="1434" spans="3:9" x14ac:dyDescent="0.35">
      <c r="C1434" t="s">
        <v>312</v>
      </c>
      <c r="D1434" s="3">
        <v>2019</v>
      </c>
      <c r="E1434" s="78">
        <f t="shared" si="156"/>
        <v>6</v>
      </c>
      <c r="F1434" s="74" t="s">
        <v>40</v>
      </c>
      <c r="G1434" s="77">
        <f t="shared" si="161"/>
        <v>36090</v>
      </c>
      <c r="H1434" s="77">
        <f t="shared" si="162"/>
        <v>36390</v>
      </c>
      <c r="I1434" s="76">
        <v>0.4</v>
      </c>
    </row>
    <row r="1435" spans="3:9" x14ac:dyDescent="0.35">
      <c r="C1435" t="s">
        <v>312</v>
      </c>
      <c r="D1435" s="3">
        <v>2019</v>
      </c>
      <c r="E1435" s="78">
        <f t="shared" si="156"/>
        <v>6</v>
      </c>
      <c r="F1435" s="74" t="s">
        <v>40</v>
      </c>
      <c r="G1435" s="77">
        <f t="shared" si="161"/>
        <v>36390</v>
      </c>
      <c r="H1435" s="77">
        <f t="shared" si="162"/>
        <v>36690</v>
      </c>
      <c r="I1435" s="76">
        <v>0.3</v>
      </c>
    </row>
    <row r="1436" spans="3:9" x14ac:dyDescent="0.35">
      <c r="C1436" t="s">
        <v>312</v>
      </c>
      <c r="D1436" s="3">
        <v>2019</v>
      </c>
      <c r="E1436" s="78">
        <f t="shared" si="156"/>
        <v>6</v>
      </c>
      <c r="F1436" s="74" t="s">
        <v>40</v>
      </c>
      <c r="G1436" s="77">
        <f t="shared" si="161"/>
        <v>36690</v>
      </c>
      <c r="H1436" s="77">
        <f t="shared" si="162"/>
        <v>36990</v>
      </c>
      <c r="I1436" s="76">
        <v>0.2</v>
      </c>
    </row>
    <row r="1437" spans="3:9" x14ac:dyDescent="0.35">
      <c r="C1437" t="s">
        <v>312</v>
      </c>
      <c r="D1437" s="3">
        <v>2019</v>
      </c>
      <c r="E1437" s="78">
        <f t="shared" si="156"/>
        <v>6</v>
      </c>
      <c r="F1437" s="74" t="s">
        <v>40</v>
      </c>
      <c r="G1437" s="77">
        <f t="shared" si="161"/>
        <v>36990</v>
      </c>
      <c r="H1437" s="77">
        <f t="shared" si="162"/>
        <v>37290</v>
      </c>
      <c r="I1437" s="76">
        <v>0.1</v>
      </c>
    </row>
    <row r="1438" spans="3:9" x14ac:dyDescent="0.35">
      <c r="C1438" t="s">
        <v>312</v>
      </c>
      <c r="D1438" s="3">
        <v>2019</v>
      </c>
      <c r="E1438" s="78">
        <f t="shared" si="156"/>
        <v>6</v>
      </c>
      <c r="F1438" s="74" t="s">
        <v>40</v>
      </c>
      <c r="G1438" s="77">
        <f t="shared" si="161"/>
        <v>37290</v>
      </c>
      <c r="H1438" s="77"/>
      <c r="I1438" s="76">
        <v>0</v>
      </c>
    </row>
    <row r="1439" spans="3:9" x14ac:dyDescent="0.35">
      <c r="C1439" t="s">
        <v>312</v>
      </c>
      <c r="D1439" s="3">
        <v>2019</v>
      </c>
      <c r="E1439" s="78">
        <f t="shared" si="156"/>
        <v>6</v>
      </c>
      <c r="F1439" s="74" t="s">
        <v>313</v>
      </c>
      <c r="G1439" s="77">
        <v>0</v>
      </c>
      <c r="H1439" s="75">
        <f>H1428</f>
        <v>34590</v>
      </c>
      <c r="I1439" s="76">
        <v>1</v>
      </c>
    </row>
    <row r="1440" spans="3:9" x14ac:dyDescent="0.35">
      <c r="C1440" t="s">
        <v>312</v>
      </c>
      <c r="D1440" s="3">
        <v>2019</v>
      </c>
      <c r="E1440" s="78">
        <f t="shared" si="156"/>
        <v>6</v>
      </c>
      <c r="F1440" s="74" t="s">
        <v>313</v>
      </c>
      <c r="G1440" s="77">
        <f>H1439</f>
        <v>34590</v>
      </c>
      <c r="H1440" s="77">
        <f>H1439+300</f>
        <v>34890</v>
      </c>
      <c r="I1440" s="76">
        <v>0.9</v>
      </c>
    </row>
    <row r="1441" spans="3:9" x14ac:dyDescent="0.35">
      <c r="C1441" t="s">
        <v>312</v>
      </c>
      <c r="D1441" s="3">
        <v>2019</v>
      </c>
      <c r="E1441" s="78">
        <f t="shared" si="156"/>
        <v>6</v>
      </c>
      <c r="F1441" s="74" t="s">
        <v>313</v>
      </c>
      <c r="G1441" s="77">
        <f t="shared" ref="G1441:G1449" si="163">H1440</f>
        <v>34890</v>
      </c>
      <c r="H1441" s="77">
        <f t="shared" ref="H1441:H1448" si="164">H1440+300</f>
        <v>35190</v>
      </c>
      <c r="I1441" s="76">
        <v>0.8</v>
      </c>
    </row>
    <row r="1442" spans="3:9" x14ac:dyDescent="0.35">
      <c r="C1442" t="s">
        <v>312</v>
      </c>
      <c r="D1442" s="3">
        <v>2019</v>
      </c>
      <c r="E1442" s="78">
        <f t="shared" si="156"/>
        <v>6</v>
      </c>
      <c r="F1442" s="74" t="s">
        <v>313</v>
      </c>
      <c r="G1442" s="77">
        <f t="shared" si="163"/>
        <v>35190</v>
      </c>
      <c r="H1442" s="77">
        <f t="shared" si="164"/>
        <v>35490</v>
      </c>
      <c r="I1442" s="76">
        <v>0.7</v>
      </c>
    </row>
    <row r="1443" spans="3:9" x14ac:dyDescent="0.35">
      <c r="C1443" t="s">
        <v>312</v>
      </c>
      <c r="D1443" s="3">
        <v>2019</v>
      </c>
      <c r="E1443" s="78">
        <f t="shared" si="156"/>
        <v>6</v>
      </c>
      <c r="F1443" s="74" t="s">
        <v>313</v>
      </c>
      <c r="G1443" s="77">
        <f t="shared" si="163"/>
        <v>35490</v>
      </c>
      <c r="H1443" s="77">
        <f t="shared" si="164"/>
        <v>35790</v>
      </c>
      <c r="I1443" s="76">
        <v>0.6</v>
      </c>
    </row>
    <row r="1444" spans="3:9" x14ac:dyDescent="0.35">
      <c r="C1444" t="s">
        <v>312</v>
      </c>
      <c r="D1444" s="3">
        <v>2019</v>
      </c>
      <c r="E1444" s="78">
        <f t="shared" si="156"/>
        <v>6</v>
      </c>
      <c r="F1444" s="74" t="s">
        <v>313</v>
      </c>
      <c r="G1444" s="77">
        <f t="shared" si="163"/>
        <v>35790</v>
      </c>
      <c r="H1444" s="77">
        <f t="shared" si="164"/>
        <v>36090</v>
      </c>
      <c r="I1444" s="76">
        <v>0.5</v>
      </c>
    </row>
    <row r="1445" spans="3:9" x14ac:dyDescent="0.35">
      <c r="C1445" t="s">
        <v>312</v>
      </c>
      <c r="D1445" s="3">
        <v>2019</v>
      </c>
      <c r="E1445" s="78">
        <f t="shared" si="156"/>
        <v>6</v>
      </c>
      <c r="F1445" s="74" t="s">
        <v>313</v>
      </c>
      <c r="G1445" s="77">
        <f t="shared" si="163"/>
        <v>36090</v>
      </c>
      <c r="H1445" s="77">
        <f t="shared" si="164"/>
        <v>36390</v>
      </c>
      <c r="I1445" s="76">
        <v>0.4</v>
      </c>
    </row>
    <row r="1446" spans="3:9" x14ac:dyDescent="0.35">
      <c r="C1446" t="s">
        <v>312</v>
      </c>
      <c r="D1446" s="3">
        <v>2019</v>
      </c>
      <c r="E1446" s="78">
        <f t="shared" si="156"/>
        <v>6</v>
      </c>
      <c r="F1446" s="74" t="s">
        <v>313</v>
      </c>
      <c r="G1446" s="77">
        <f t="shared" si="163"/>
        <v>36390</v>
      </c>
      <c r="H1446" s="77">
        <f t="shared" si="164"/>
        <v>36690</v>
      </c>
      <c r="I1446" s="76">
        <v>0.3</v>
      </c>
    </row>
    <row r="1447" spans="3:9" x14ac:dyDescent="0.35">
      <c r="C1447" t="s">
        <v>312</v>
      </c>
      <c r="D1447" s="3">
        <v>2019</v>
      </c>
      <c r="E1447" s="78">
        <f t="shared" si="156"/>
        <v>6</v>
      </c>
      <c r="F1447" s="74" t="s">
        <v>313</v>
      </c>
      <c r="G1447" s="77">
        <f t="shared" si="163"/>
        <v>36690</v>
      </c>
      <c r="H1447" s="77">
        <f t="shared" si="164"/>
        <v>36990</v>
      </c>
      <c r="I1447" s="76">
        <v>0.2</v>
      </c>
    </row>
    <row r="1448" spans="3:9" x14ac:dyDescent="0.35">
      <c r="C1448" t="s">
        <v>312</v>
      </c>
      <c r="D1448" s="3">
        <v>2019</v>
      </c>
      <c r="E1448" s="78">
        <f t="shared" si="156"/>
        <v>6</v>
      </c>
      <c r="F1448" s="74" t="s">
        <v>313</v>
      </c>
      <c r="G1448" s="77">
        <f t="shared" si="163"/>
        <v>36990</v>
      </c>
      <c r="H1448" s="77">
        <f t="shared" si="164"/>
        <v>37290</v>
      </c>
      <c r="I1448" s="76">
        <v>0.1</v>
      </c>
    </row>
    <row r="1449" spans="3:9" x14ac:dyDescent="0.35">
      <c r="C1449" t="s">
        <v>312</v>
      </c>
      <c r="D1449" s="3">
        <v>2019</v>
      </c>
      <c r="E1449" s="78">
        <f t="shared" si="156"/>
        <v>6</v>
      </c>
      <c r="F1449" s="74" t="s">
        <v>313</v>
      </c>
      <c r="G1449" s="77">
        <f t="shared" si="163"/>
        <v>37290</v>
      </c>
      <c r="H1449" s="77"/>
      <c r="I1449" s="76">
        <v>0</v>
      </c>
    </row>
    <row r="1450" spans="3:9" x14ac:dyDescent="0.35">
      <c r="C1450" t="s">
        <v>312</v>
      </c>
      <c r="D1450" s="3">
        <v>2019</v>
      </c>
      <c r="E1450" s="73">
        <v>7</v>
      </c>
      <c r="F1450" s="74" t="s">
        <v>54</v>
      </c>
      <c r="G1450" s="77">
        <v>0</v>
      </c>
      <c r="H1450" s="77">
        <v>39010</v>
      </c>
      <c r="I1450" s="76">
        <v>1</v>
      </c>
    </row>
    <row r="1451" spans="3:9" x14ac:dyDescent="0.35">
      <c r="C1451" t="s">
        <v>312</v>
      </c>
      <c r="D1451" s="3">
        <v>2019</v>
      </c>
      <c r="E1451" s="78">
        <f>E1450</f>
        <v>7</v>
      </c>
      <c r="F1451" s="74" t="s">
        <v>54</v>
      </c>
      <c r="G1451" s="77">
        <f>H1450</f>
        <v>39010</v>
      </c>
      <c r="H1451" s="77">
        <f>H1450+300</f>
        <v>39310</v>
      </c>
      <c r="I1451" s="76">
        <v>0.9</v>
      </c>
    </row>
    <row r="1452" spans="3:9" x14ac:dyDescent="0.35">
      <c r="C1452" t="s">
        <v>312</v>
      </c>
      <c r="D1452" s="3">
        <v>2019</v>
      </c>
      <c r="E1452" s="78">
        <f t="shared" ref="E1452:E1493" si="165">E1451</f>
        <v>7</v>
      </c>
      <c r="F1452" s="74" t="s">
        <v>54</v>
      </c>
      <c r="G1452" s="77">
        <f t="shared" ref="G1452:G1460" si="166">H1451</f>
        <v>39310</v>
      </c>
      <c r="H1452" s="77">
        <f t="shared" ref="H1452:H1459" si="167">H1451+300</f>
        <v>39610</v>
      </c>
      <c r="I1452" s="76">
        <v>0.8</v>
      </c>
    </row>
    <row r="1453" spans="3:9" x14ac:dyDescent="0.35">
      <c r="C1453" t="s">
        <v>312</v>
      </c>
      <c r="D1453" s="3">
        <v>2019</v>
      </c>
      <c r="E1453" s="78">
        <f t="shared" si="165"/>
        <v>7</v>
      </c>
      <c r="F1453" s="74" t="s">
        <v>54</v>
      </c>
      <c r="G1453" s="77">
        <f t="shared" si="166"/>
        <v>39610</v>
      </c>
      <c r="H1453" s="77">
        <f t="shared" si="167"/>
        <v>39910</v>
      </c>
      <c r="I1453" s="76">
        <v>0.7</v>
      </c>
    </row>
    <row r="1454" spans="3:9" x14ac:dyDescent="0.35">
      <c r="C1454" t="s">
        <v>312</v>
      </c>
      <c r="D1454" s="3">
        <v>2019</v>
      </c>
      <c r="E1454" s="78">
        <f t="shared" si="165"/>
        <v>7</v>
      </c>
      <c r="F1454" s="74" t="s">
        <v>54</v>
      </c>
      <c r="G1454" s="77">
        <f t="shared" si="166"/>
        <v>39910</v>
      </c>
      <c r="H1454" s="77">
        <f t="shared" si="167"/>
        <v>40210</v>
      </c>
      <c r="I1454" s="76">
        <v>0.6</v>
      </c>
    </row>
    <row r="1455" spans="3:9" x14ac:dyDescent="0.35">
      <c r="C1455" t="s">
        <v>312</v>
      </c>
      <c r="D1455" s="3">
        <v>2019</v>
      </c>
      <c r="E1455" s="78">
        <f t="shared" si="165"/>
        <v>7</v>
      </c>
      <c r="F1455" s="74" t="s">
        <v>54</v>
      </c>
      <c r="G1455" s="77">
        <f t="shared" si="166"/>
        <v>40210</v>
      </c>
      <c r="H1455" s="77">
        <f t="shared" si="167"/>
        <v>40510</v>
      </c>
      <c r="I1455" s="76">
        <v>0.5</v>
      </c>
    </row>
    <row r="1456" spans="3:9" x14ac:dyDescent="0.35">
      <c r="C1456" t="s">
        <v>312</v>
      </c>
      <c r="D1456" s="3">
        <v>2019</v>
      </c>
      <c r="E1456" s="78">
        <f t="shared" si="165"/>
        <v>7</v>
      </c>
      <c r="F1456" s="74" t="s">
        <v>54</v>
      </c>
      <c r="G1456" s="77">
        <f t="shared" si="166"/>
        <v>40510</v>
      </c>
      <c r="H1456" s="77">
        <f t="shared" si="167"/>
        <v>40810</v>
      </c>
      <c r="I1456" s="76">
        <v>0.4</v>
      </c>
    </row>
    <row r="1457" spans="3:9" x14ac:dyDescent="0.35">
      <c r="C1457" t="s">
        <v>312</v>
      </c>
      <c r="D1457" s="3">
        <v>2019</v>
      </c>
      <c r="E1457" s="78">
        <f t="shared" si="165"/>
        <v>7</v>
      </c>
      <c r="F1457" s="74" t="s">
        <v>54</v>
      </c>
      <c r="G1457" s="77">
        <f t="shared" si="166"/>
        <v>40810</v>
      </c>
      <c r="H1457" s="77">
        <f t="shared" si="167"/>
        <v>41110</v>
      </c>
      <c r="I1457" s="76">
        <v>0.3</v>
      </c>
    </row>
    <row r="1458" spans="3:9" x14ac:dyDescent="0.35">
      <c r="C1458" t="s">
        <v>312</v>
      </c>
      <c r="D1458" s="3">
        <v>2019</v>
      </c>
      <c r="E1458" s="78">
        <f t="shared" si="165"/>
        <v>7</v>
      </c>
      <c r="F1458" s="74" t="s">
        <v>54</v>
      </c>
      <c r="G1458" s="77">
        <f t="shared" si="166"/>
        <v>41110</v>
      </c>
      <c r="H1458" s="77">
        <f t="shared" si="167"/>
        <v>41410</v>
      </c>
      <c r="I1458" s="76">
        <v>0.2</v>
      </c>
    </row>
    <row r="1459" spans="3:9" x14ac:dyDescent="0.35">
      <c r="C1459" t="s">
        <v>312</v>
      </c>
      <c r="D1459" s="3">
        <v>2019</v>
      </c>
      <c r="E1459" s="78">
        <f t="shared" si="165"/>
        <v>7</v>
      </c>
      <c r="F1459" s="74" t="s">
        <v>54</v>
      </c>
      <c r="G1459" s="77">
        <f t="shared" si="166"/>
        <v>41410</v>
      </c>
      <c r="H1459" s="77">
        <f t="shared" si="167"/>
        <v>41710</v>
      </c>
      <c r="I1459" s="76">
        <v>0.1</v>
      </c>
    </row>
    <row r="1460" spans="3:9" x14ac:dyDescent="0.35">
      <c r="C1460" t="s">
        <v>312</v>
      </c>
      <c r="D1460" s="3">
        <v>2019</v>
      </c>
      <c r="E1460" s="78">
        <f t="shared" si="165"/>
        <v>7</v>
      </c>
      <c r="F1460" s="74" t="s">
        <v>54</v>
      </c>
      <c r="G1460" s="77">
        <f t="shared" si="166"/>
        <v>41710</v>
      </c>
      <c r="H1460" s="77"/>
      <c r="I1460" s="76">
        <v>0</v>
      </c>
    </row>
    <row r="1461" spans="3:9" x14ac:dyDescent="0.35">
      <c r="C1461" t="s">
        <v>312</v>
      </c>
      <c r="D1461" s="3">
        <v>2019</v>
      </c>
      <c r="E1461" s="78">
        <f t="shared" si="165"/>
        <v>7</v>
      </c>
      <c r="F1461" s="74" t="s">
        <v>34</v>
      </c>
      <c r="G1461" s="77">
        <v>0</v>
      </c>
      <c r="H1461" s="75">
        <f>H1450</f>
        <v>39010</v>
      </c>
      <c r="I1461" s="76">
        <v>1</v>
      </c>
    </row>
    <row r="1462" spans="3:9" x14ac:dyDescent="0.35">
      <c r="C1462" t="s">
        <v>312</v>
      </c>
      <c r="D1462" s="3">
        <v>2019</v>
      </c>
      <c r="E1462" s="78">
        <f t="shared" si="165"/>
        <v>7</v>
      </c>
      <c r="F1462" s="74" t="s">
        <v>34</v>
      </c>
      <c r="G1462" s="77">
        <f>H1461</f>
        <v>39010</v>
      </c>
      <c r="H1462" s="77">
        <f>H1461+300</f>
        <v>39310</v>
      </c>
      <c r="I1462" s="76">
        <v>0.9</v>
      </c>
    </row>
    <row r="1463" spans="3:9" x14ac:dyDescent="0.35">
      <c r="C1463" t="s">
        <v>312</v>
      </c>
      <c r="D1463" s="3">
        <v>2019</v>
      </c>
      <c r="E1463" s="78">
        <f t="shared" si="165"/>
        <v>7</v>
      </c>
      <c r="F1463" s="74" t="s">
        <v>34</v>
      </c>
      <c r="G1463" s="77">
        <f t="shared" ref="G1463:G1471" si="168">H1462</f>
        <v>39310</v>
      </c>
      <c r="H1463" s="77">
        <f t="shared" ref="H1463:H1470" si="169">H1462+300</f>
        <v>39610</v>
      </c>
      <c r="I1463" s="76">
        <v>0.8</v>
      </c>
    </row>
    <row r="1464" spans="3:9" x14ac:dyDescent="0.35">
      <c r="C1464" t="s">
        <v>312</v>
      </c>
      <c r="D1464" s="3">
        <v>2019</v>
      </c>
      <c r="E1464" s="78">
        <f t="shared" si="165"/>
        <v>7</v>
      </c>
      <c r="F1464" s="74" t="s">
        <v>34</v>
      </c>
      <c r="G1464" s="77">
        <f t="shared" si="168"/>
        <v>39610</v>
      </c>
      <c r="H1464" s="77">
        <f t="shared" si="169"/>
        <v>39910</v>
      </c>
      <c r="I1464" s="76">
        <v>0.7</v>
      </c>
    </row>
    <row r="1465" spans="3:9" x14ac:dyDescent="0.35">
      <c r="C1465" t="s">
        <v>312</v>
      </c>
      <c r="D1465" s="3">
        <v>2019</v>
      </c>
      <c r="E1465" s="78">
        <f t="shared" si="165"/>
        <v>7</v>
      </c>
      <c r="F1465" s="74" t="s">
        <v>34</v>
      </c>
      <c r="G1465" s="77">
        <f t="shared" si="168"/>
        <v>39910</v>
      </c>
      <c r="H1465" s="77">
        <f t="shared" si="169"/>
        <v>40210</v>
      </c>
      <c r="I1465" s="76">
        <v>0.6</v>
      </c>
    </row>
    <row r="1466" spans="3:9" x14ac:dyDescent="0.35">
      <c r="C1466" t="s">
        <v>312</v>
      </c>
      <c r="D1466" s="3">
        <v>2019</v>
      </c>
      <c r="E1466" s="78">
        <f t="shared" si="165"/>
        <v>7</v>
      </c>
      <c r="F1466" s="74" t="s">
        <v>34</v>
      </c>
      <c r="G1466" s="77">
        <f t="shared" si="168"/>
        <v>40210</v>
      </c>
      <c r="H1466" s="77">
        <f t="shared" si="169"/>
        <v>40510</v>
      </c>
      <c r="I1466" s="76">
        <v>0.5</v>
      </c>
    </row>
    <row r="1467" spans="3:9" x14ac:dyDescent="0.35">
      <c r="C1467" t="s">
        <v>312</v>
      </c>
      <c r="D1467" s="3">
        <v>2019</v>
      </c>
      <c r="E1467" s="78">
        <f t="shared" si="165"/>
        <v>7</v>
      </c>
      <c r="F1467" s="74" t="s">
        <v>34</v>
      </c>
      <c r="G1467" s="77">
        <f t="shared" si="168"/>
        <v>40510</v>
      </c>
      <c r="H1467" s="77">
        <f t="shared" si="169"/>
        <v>40810</v>
      </c>
      <c r="I1467" s="76">
        <v>0.4</v>
      </c>
    </row>
    <row r="1468" spans="3:9" x14ac:dyDescent="0.35">
      <c r="C1468" t="s">
        <v>312</v>
      </c>
      <c r="D1468" s="3">
        <v>2019</v>
      </c>
      <c r="E1468" s="78">
        <f t="shared" si="165"/>
        <v>7</v>
      </c>
      <c r="F1468" s="74" t="s">
        <v>34</v>
      </c>
      <c r="G1468" s="77">
        <f t="shared" si="168"/>
        <v>40810</v>
      </c>
      <c r="H1468" s="77">
        <f t="shared" si="169"/>
        <v>41110</v>
      </c>
      <c r="I1468" s="76">
        <v>0.3</v>
      </c>
    </row>
    <row r="1469" spans="3:9" x14ac:dyDescent="0.35">
      <c r="C1469" t="s">
        <v>312</v>
      </c>
      <c r="D1469" s="3">
        <v>2019</v>
      </c>
      <c r="E1469" s="78">
        <f t="shared" si="165"/>
        <v>7</v>
      </c>
      <c r="F1469" s="74" t="s">
        <v>34</v>
      </c>
      <c r="G1469" s="77">
        <f t="shared" si="168"/>
        <v>41110</v>
      </c>
      <c r="H1469" s="77">
        <f t="shared" si="169"/>
        <v>41410</v>
      </c>
      <c r="I1469" s="76">
        <v>0.2</v>
      </c>
    </row>
    <row r="1470" spans="3:9" x14ac:dyDescent="0.35">
      <c r="C1470" t="s">
        <v>312</v>
      </c>
      <c r="D1470" s="3">
        <v>2019</v>
      </c>
      <c r="E1470" s="78">
        <f t="shared" si="165"/>
        <v>7</v>
      </c>
      <c r="F1470" s="74" t="s">
        <v>34</v>
      </c>
      <c r="G1470" s="77">
        <f t="shared" si="168"/>
        <v>41410</v>
      </c>
      <c r="H1470" s="77">
        <f t="shared" si="169"/>
        <v>41710</v>
      </c>
      <c r="I1470" s="76">
        <v>0.1</v>
      </c>
    </row>
    <row r="1471" spans="3:9" x14ac:dyDescent="0.35">
      <c r="C1471" t="s">
        <v>312</v>
      </c>
      <c r="D1471" s="3">
        <v>2019</v>
      </c>
      <c r="E1471" s="78">
        <f t="shared" si="165"/>
        <v>7</v>
      </c>
      <c r="F1471" s="74" t="s">
        <v>34</v>
      </c>
      <c r="G1471" s="77">
        <f t="shared" si="168"/>
        <v>41710</v>
      </c>
      <c r="H1471" s="77"/>
      <c r="I1471" s="76">
        <v>0</v>
      </c>
    </row>
    <row r="1472" spans="3:9" x14ac:dyDescent="0.35">
      <c r="C1472" t="s">
        <v>312</v>
      </c>
      <c r="D1472" s="3">
        <v>2019</v>
      </c>
      <c r="E1472" s="78">
        <f t="shared" si="165"/>
        <v>7</v>
      </c>
      <c r="F1472" s="74" t="s">
        <v>40</v>
      </c>
      <c r="G1472" s="77">
        <v>0</v>
      </c>
      <c r="H1472" s="75">
        <f>H1461</f>
        <v>39010</v>
      </c>
      <c r="I1472" s="76">
        <v>1</v>
      </c>
    </row>
    <row r="1473" spans="3:9" x14ac:dyDescent="0.35">
      <c r="C1473" t="s">
        <v>312</v>
      </c>
      <c r="D1473" s="3">
        <v>2019</v>
      </c>
      <c r="E1473" s="78">
        <f t="shared" si="165"/>
        <v>7</v>
      </c>
      <c r="F1473" s="74" t="s">
        <v>40</v>
      </c>
      <c r="G1473" s="77">
        <f>H1472</f>
        <v>39010</v>
      </c>
      <c r="H1473" s="77">
        <f>H1472+300</f>
        <v>39310</v>
      </c>
      <c r="I1473" s="76">
        <v>0.9</v>
      </c>
    </row>
    <row r="1474" spans="3:9" x14ac:dyDescent="0.35">
      <c r="C1474" t="s">
        <v>312</v>
      </c>
      <c r="D1474" s="3">
        <v>2019</v>
      </c>
      <c r="E1474" s="78">
        <f t="shared" si="165"/>
        <v>7</v>
      </c>
      <c r="F1474" s="74" t="s">
        <v>40</v>
      </c>
      <c r="G1474" s="77">
        <f t="shared" ref="G1474:G1482" si="170">H1473</f>
        <v>39310</v>
      </c>
      <c r="H1474" s="77">
        <f t="shared" ref="H1474:H1481" si="171">H1473+300</f>
        <v>39610</v>
      </c>
      <c r="I1474" s="76">
        <v>0.8</v>
      </c>
    </row>
    <row r="1475" spans="3:9" x14ac:dyDescent="0.35">
      <c r="C1475" t="s">
        <v>312</v>
      </c>
      <c r="D1475" s="3">
        <v>2019</v>
      </c>
      <c r="E1475" s="78">
        <f t="shared" si="165"/>
        <v>7</v>
      </c>
      <c r="F1475" s="74" t="s">
        <v>40</v>
      </c>
      <c r="G1475" s="77">
        <f t="shared" si="170"/>
        <v>39610</v>
      </c>
      <c r="H1475" s="77">
        <f t="shared" si="171"/>
        <v>39910</v>
      </c>
      <c r="I1475" s="76">
        <v>0.7</v>
      </c>
    </row>
    <row r="1476" spans="3:9" x14ac:dyDescent="0.35">
      <c r="C1476" t="s">
        <v>312</v>
      </c>
      <c r="D1476" s="3">
        <v>2019</v>
      </c>
      <c r="E1476" s="78">
        <f t="shared" si="165"/>
        <v>7</v>
      </c>
      <c r="F1476" s="74" t="s">
        <v>40</v>
      </c>
      <c r="G1476" s="77">
        <f t="shared" si="170"/>
        <v>39910</v>
      </c>
      <c r="H1476" s="77">
        <f t="shared" si="171"/>
        <v>40210</v>
      </c>
      <c r="I1476" s="76">
        <v>0.6</v>
      </c>
    </row>
    <row r="1477" spans="3:9" x14ac:dyDescent="0.35">
      <c r="C1477" t="s">
        <v>312</v>
      </c>
      <c r="D1477" s="3">
        <v>2019</v>
      </c>
      <c r="E1477" s="78">
        <f t="shared" si="165"/>
        <v>7</v>
      </c>
      <c r="F1477" s="74" t="s">
        <v>40</v>
      </c>
      <c r="G1477" s="77">
        <f t="shared" si="170"/>
        <v>40210</v>
      </c>
      <c r="H1477" s="77">
        <f t="shared" si="171"/>
        <v>40510</v>
      </c>
      <c r="I1477" s="76">
        <v>0.5</v>
      </c>
    </row>
    <row r="1478" spans="3:9" x14ac:dyDescent="0.35">
      <c r="C1478" t="s">
        <v>312</v>
      </c>
      <c r="D1478" s="3">
        <v>2019</v>
      </c>
      <c r="E1478" s="78">
        <f t="shared" si="165"/>
        <v>7</v>
      </c>
      <c r="F1478" s="74" t="s">
        <v>40</v>
      </c>
      <c r="G1478" s="77">
        <f t="shared" si="170"/>
        <v>40510</v>
      </c>
      <c r="H1478" s="77">
        <f t="shared" si="171"/>
        <v>40810</v>
      </c>
      <c r="I1478" s="76">
        <v>0.4</v>
      </c>
    </row>
    <row r="1479" spans="3:9" x14ac:dyDescent="0.35">
      <c r="C1479" t="s">
        <v>312</v>
      </c>
      <c r="D1479" s="3">
        <v>2019</v>
      </c>
      <c r="E1479" s="78">
        <f t="shared" si="165"/>
        <v>7</v>
      </c>
      <c r="F1479" s="74" t="s">
        <v>40</v>
      </c>
      <c r="G1479" s="77">
        <f t="shared" si="170"/>
        <v>40810</v>
      </c>
      <c r="H1479" s="77">
        <f t="shared" si="171"/>
        <v>41110</v>
      </c>
      <c r="I1479" s="76">
        <v>0.3</v>
      </c>
    </row>
    <row r="1480" spans="3:9" x14ac:dyDescent="0.35">
      <c r="C1480" t="s">
        <v>312</v>
      </c>
      <c r="D1480" s="3">
        <v>2019</v>
      </c>
      <c r="E1480" s="78">
        <f t="shared" si="165"/>
        <v>7</v>
      </c>
      <c r="F1480" s="74" t="s">
        <v>40</v>
      </c>
      <c r="G1480" s="77">
        <f t="shared" si="170"/>
        <v>41110</v>
      </c>
      <c r="H1480" s="77">
        <f t="shared" si="171"/>
        <v>41410</v>
      </c>
      <c r="I1480" s="76">
        <v>0.2</v>
      </c>
    </row>
    <row r="1481" spans="3:9" x14ac:dyDescent="0.35">
      <c r="C1481" t="s">
        <v>312</v>
      </c>
      <c r="D1481" s="3">
        <v>2019</v>
      </c>
      <c r="E1481" s="78">
        <f t="shared" si="165"/>
        <v>7</v>
      </c>
      <c r="F1481" s="74" t="s">
        <v>40</v>
      </c>
      <c r="G1481" s="77">
        <f t="shared" si="170"/>
        <v>41410</v>
      </c>
      <c r="H1481" s="77">
        <f t="shared" si="171"/>
        <v>41710</v>
      </c>
      <c r="I1481" s="76">
        <v>0.1</v>
      </c>
    </row>
    <row r="1482" spans="3:9" x14ac:dyDescent="0.35">
      <c r="C1482" t="s">
        <v>312</v>
      </c>
      <c r="D1482" s="3">
        <v>2019</v>
      </c>
      <c r="E1482" s="78">
        <f t="shared" si="165"/>
        <v>7</v>
      </c>
      <c r="F1482" s="74" t="s">
        <v>40</v>
      </c>
      <c r="G1482" s="77">
        <f t="shared" si="170"/>
        <v>41710</v>
      </c>
      <c r="H1482" s="77"/>
      <c r="I1482" s="76">
        <v>0</v>
      </c>
    </row>
    <row r="1483" spans="3:9" x14ac:dyDescent="0.35">
      <c r="C1483" t="s">
        <v>312</v>
      </c>
      <c r="D1483" s="3">
        <v>2019</v>
      </c>
      <c r="E1483" s="78">
        <f t="shared" si="165"/>
        <v>7</v>
      </c>
      <c r="F1483" s="74" t="s">
        <v>313</v>
      </c>
      <c r="G1483" s="77">
        <v>0</v>
      </c>
      <c r="H1483" s="75">
        <f>H1472</f>
        <v>39010</v>
      </c>
      <c r="I1483" s="76">
        <v>1</v>
      </c>
    </row>
    <row r="1484" spans="3:9" x14ac:dyDescent="0.35">
      <c r="C1484" t="s">
        <v>312</v>
      </c>
      <c r="D1484" s="3">
        <v>2019</v>
      </c>
      <c r="E1484" s="78">
        <f t="shared" si="165"/>
        <v>7</v>
      </c>
      <c r="F1484" s="74" t="s">
        <v>313</v>
      </c>
      <c r="G1484" s="77">
        <f>H1483</f>
        <v>39010</v>
      </c>
      <c r="H1484" s="77">
        <f>H1483+300</f>
        <v>39310</v>
      </c>
      <c r="I1484" s="76">
        <v>0.9</v>
      </c>
    </row>
    <row r="1485" spans="3:9" x14ac:dyDescent="0.35">
      <c r="C1485" t="s">
        <v>312</v>
      </c>
      <c r="D1485" s="3">
        <v>2019</v>
      </c>
      <c r="E1485" s="78">
        <f t="shared" si="165"/>
        <v>7</v>
      </c>
      <c r="F1485" s="74" t="s">
        <v>313</v>
      </c>
      <c r="G1485" s="77">
        <f t="shared" ref="G1485:G1493" si="172">H1484</f>
        <v>39310</v>
      </c>
      <c r="H1485" s="77">
        <f t="shared" ref="H1485:H1492" si="173">H1484+300</f>
        <v>39610</v>
      </c>
      <c r="I1485" s="76">
        <v>0.8</v>
      </c>
    </row>
    <row r="1486" spans="3:9" x14ac:dyDescent="0.35">
      <c r="C1486" t="s">
        <v>312</v>
      </c>
      <c r="D1486" s="3">
        <v>2019</v>
      </c>
      <c r="E1486" s="78">
        <f t="shared" si="165"/>
        <v>7</v>
      </c>
      <c r="F1486" s="74" t="s">
        <v>313</v>
      </c>
      <c r="G1486" s="77">
        <f t="shared" si="172"/>
        <v>39610</v>
      </c>
      <c r="H1486" s="77">
        <f t="shared" si="173"/>
        <v>39910</v>
      </c>
      <c r="I1486" s="76">
        <v>0.7</v>
      </c>
    </row>
    <row r="1487" spans="3:9" x14ac:dyDescent="0.35">
      <c r="C1487" t="s">
        <v>312</v>
      </c>
      <c r="D1487" s="3">
        <v>2019</v>
      </c>
      <c r="E1487" s="78">
        <f t="shared" si="165"/>
        <v>7</v>
      </c>
      <c r="F1487" s="74" t="s">
        <v>313</v>
      </c>
      <c r="G1487" s="77">
        <f t="shared" si="172"/>
        <v>39910</v>
      </c>
      <c r="H1487" s="77">
        <f t="shared" si="173"/>
        <v>40210</v>
      </c>
      <c r="I1487" s="76">
        <v>0.6</v>
      </c>
    </row>
    <row r="1488" spans="3:9" x14ac:dyDescent="0.35">
      <c r="C1488" t="s">
        <v>312</v>
      </c>
      <c r="D1488" s="3">
        <v>2019</v>
      </c>
      <c r="E1488" s="78">
        <f t="shared" si="165"/>
        <v>7</v>
      </c>
      <c r="F1488" s="74" t="s">
        <v>313</v>
      </c>
      <c r="G1488" s="77">
        <f t="shared" si="172"/>
        <v>40210</v>
      </c>
      <c r="H1488" s="77">
        <f t="shared" si="173"/>
        <v>40510</v>
      </c>
      <c r="I1488" s="76">
        <v>0.5</v>
      </c>
    </row>
    <row r="1489" spans="3:9" x14ac:dyDescent="0.35">
      <c r="C1489" t="s">
        <v>312</v>
      </c>
      <c r="D1489" s="3">
        <v>2019</v>
      </c>
      <c r="E1489" s="78">
        <f t="shared" si="165"/>
        <v>7</v>
      </c>
      <c r="F1489" s="74" t="s">
        <v>313</v>
      </c>
      <c r="G1489" s="77">
        <f t="shared" si="172"/>
        <v>40510</v>
      </c>
      <c r="H1489" s="77">
        <f t="shared" si="173"/>
        <v>40810</v>
      </c>
      <c r="I1489" s="76">
        <v>0.4</v>
      </c>
    </row>
    <row r="1490" spans="3:9" x14ac:dyDescent="0.35">
      <c r="C1490" t="s">
        <v>312</v>
      </c>
      <c r="D1490" s="3">
        <v>2019</v>
      </c>
      <c r="E1490" s="78">
        <f t="shared" si="165"/>
        <v>7</v>
      </c>
      <c r="F1490" s="74" t="s">
        <v>313</v>
      </c>
      <c r="G1490" s="77">
        <f t="shared" si="172"/>
        <v>40810</v>
      </c>
      <c r="H1490" s="77">
        <f t="shared" si="173"/>
        <v>41110</v>
      </c>
      <c r="I1490" s="76">
        <v>0.3</v>
      </c>
    </row>
    <row r="1491" spans="3:9" x14ac:dyDescent="0.35">
      <c r="C1491" t="s">
        <v>312</v>
      </c>
      <c r="D1491" s="3">
        <v>2019</v>
      </c>
      <c r="E1491" s="78">
        <f t="shared" si="165"/>
        <v>7</v>
      </c>
      <c r="F1491" s="74" t="s">
        <v>313</v>
      </c>
      <c r="G1491" s="77">
        <f t="shared" si="172"/>
        <v>41110</v>
      </c>
      <c r="H1491" s="77">
        <f t="shared" si="173"/>
        <v>41410</v>
      </c>
      <c r="I1491" s="76">
        <v>0.2</v>
      </c>
    </row>
    <row r="1492" spans="3:9" x14ac:dyDescent="0.35">
      <c r="C1492" t="s">
        <v>312</v>
      </c>
      <c r="D1492" s="3">
        <v>2019</v>
      </c>
      <c r="E1492" s="78">
        <f t="shared" si="165"/>
        <v>7</v>
      </c>
      <c r="F1492" s="74" t="s">
        <v>313</v>
      </c>
      <c r="G1492" s="77">
        <f t="shared" si="172"/>
        <v>41410</v>
      </c>
      <c r="H1492" s="77">
        <f t="shared" si="173"/>
        <v>41710</v>
      </c>
      <c r="I1492" s="76">
        <v>0.1</v>
      </c>
    </row>
    <row r="1493" spans="3:9" x14ac:dyDescent="0.35">
      <c r="C1493" t="s">
        <v>312</v>
      </c>
      <c r="D1493" s="3">
        <v>2019</v>
      </c>
      <c r="E1493" s="78">
        <f t="shared" si="165"/>
        <v>7</v>
      </c>
      <c r="F1493" s="74" t="s">
        <v>313</v>
      </c>
      <c r="G1493" s="77">
        <f t="shared" si="172"/>
        <v>41710</v>
      </c>
      <c r="H1493" s="77"/>
      <c r="I1493" s="76">
        <v>0</v>
      </c>
    </row>
    <row r="1494" spans="3:9" x14ac:dyDescent="0.35">
      <c r="C1494" t="s">
        <v>312</v>
      </c>
      <c r="D1494" s="3">
        <v>2019</v>
      </c>
      <c r="E1494" s="73">
        <v>8</v>
      </c>
      <c r="F1494" s="74" t="s">
        <v>54</v>
      </c>
      <c r="G1494" s="77">
        <v>0</v>
      </c>
      <c r="H1494" s="77">
        <v>43430</v>
      </c>
      <c r="I1494" s="76">
        <v>1</v>
      </c>
    </row>
    <row r="1495" spans="3:9" x14ac:dyDescent="0.35">
      <c r="C1495" t="s">
        <v>312</v>
      </c>
      <c r="D1495" s="3">
        <v>2019</v>
      </c>
      <c r="E1495" s="78">
        <f>E1494</f>
        <v>8</v>
      </c>
      <c r="F1495" s="74" t="s">
        <v>54</v>
      </c>
      <c r="G1495" s="77">
        <f>H1494</f>
        <v>43430</v>
      </c>
      <c r="H1495" s="77">
        <f>H1494+300</f>
        <v>43730</v>
      </c>
      <c r="I1495" s="76">
        <v>0.9</v>
      </c>
    </row>
    <row r="1496" spans="3:9" x14ac:dyDescent="0.35">
      <c r="C1496" t="s">
        <v>312</v>
      </c>
      <c r="D1496" s="3">
        <v>2019</v>
      </c>
      <c r="E1496" s="78">
        <f t="shared" ref="E1496:E1537" si="174">E1495</f>
        <v>8</v>
      </c>
      <c r="F1496" s="74" t="s">
        <v>54</v>
      </c>
      <c r="G1496" s="77">
        <f t="shared" ref="G1496:G1504" si="175">H1495</f>
        <v>43730</v>
      </c>
      <c r="H1496" s="77">
        <f t="shared" ref="H1496:H1503" si="176">H1495+300</f>
        <v>44030</v>
      </c>
      <c r="I1496" s="76">
        <v>0.8</v>
      </c>
    </row>
    <row r="1497" spans="3:9" x14ac:dyDescent="0.35">
      <c r="C1497" t="s">
        <v>312</v>
      </c>
      <c r="D1497" s="3">
        <v>2019</v>
      </c>
      <c r="E1497" s="78">
        <f t="shared" si="174"/>
        <v>8</v>
      </c>
      <c r="F1497" s="74" t="s">
        <v>54</v>
      </c>
      <c r="G1497" s="77">
        <f t="shared" si="175"/>
        <v>44030</v>
      </c>
      <c r="H1497" s="77">
        <f t="shared" si="176"/>
        <v>44330</v>
      </c>
      <c r="I1497" s="76">
        <v>0.7</v>
      </c>
    </row>
    <row r="1498" spans="3:9" x14ac:dyDescent="0.35">
      <c r="C1498" t="s">
        <v>312</v>
      </c>
      <c r="D1498" s="3">
        <v>2019</v>
      </c>
      <c r="E1498" s="78">
        <f t="shared" si="174"/>
        <v>8</v>
      </c>
      <c r="F1498" s="74" t="s">
        <v>54</v>
      </c>
      <c r="G1498" s="77">
        <f t="shared" si="175"/>
        <v>44330</v>
      </c>
      <c r="H1498" s="77">
        <f t="shared" si="176"/>
        <v>44630</v>
      </c>
      <c r="I1498" s="76">
        <v>0.6</v>
      </c>
    </row>
    <row r="1499" spans="3:9" x14ac:dyDescent="0.35">
      <c r="C1499" t="s">
        <v>312</v>
      </c>
      <c r="D1499" s="3">
        <v>2019</v>
      </c>
      <c r="E1499" s="78">
        <f t="shared" si="174"/>
        <v>8</v>
      </c>
      <c r="F1499" s="74" t="s">
        <v>54</v>
      </c>
      <c r="G1499" s="77">
        <f t="shared" si="175"/>
        <v>44630</v>
      </c>
      <c r="H1499" s="77">
        <f t="shared" si="176"/>
        <v>44930</v>
      </c>
      <c r="I1499" s="76">
        <v>0.5</v>
      </c>
    </row>
    <row r="1500" spans="3:9" x14ac:dyDescent="0.35">
      <c r="C1500" t="s">
        <v>312</v>
      </c>
      <c r="D1500" s="3">
        <v>2019</v>
      </c>
      <c r="E1500" s="78">
        <f t="shared" si="174"/>
        <v>8</v>
      </c>
      <c r="F1500" s="74" t="s">
        <v>54</v>
      </c>
      <c r="G1500" s="77">
        <f t="shared" si="175"/>
        <v>44930</v>
      </c>
      <c r="H1500" s="77">
        <f t="shared" si="176"/>
        <v>45230</v>
      </c>
      <c r="I1500" s="76">
        <v>0.4</v>
      </c>
    </row>
    <row r="1501" spans="3:9" x14ac:dyDescent="0.35">
      <c r="C1501" t="s">
        <v>312</v>
      </c>
      <c r="D1501" s="3">
        <v>2019</v>
      </c>
      <c r="E1501" s="78">
        <f t="shared" si="174"/>
        <v>8</v>
      </c>
      <c r="F1501" s="74" t="s">
        <v>54</v>
      </c>
      <c r="G1501" s="77">
        <f t="shared" si="175"/>
        <v>45230</v>
      </c>
      <c r="H1501" s="77">
        <f t="shared" si="176"/>
        <v>45530</v>
      </c>
      <c r="I1501" s="76">
        <v>0.3</v>
      </c>
    </row>
    <row r="1502" spans="3:9" x14ac:dyDescent="0.35">
      <c r="C1502" t="s">
        <v>312</v>
      </c>
      <c r="D1502" s="3">
        <v>2019</v>
      </c>
      <c r="E1502" s="78">
        <f t="shared" si="174"/>
        <v>8</v>
      </c>
      <c r="F1502" s="74" t="s">
        <v>54</v>
      </c>
      <c r="G1502" s="77">
        <f t="shared" si="175"/>
        <v>45530</v>
      </c>
      <c r="H1502" s="77">
        <f t="shared" si="176"/>
        <v>45830</v>
      </c>
      <c r="I1502" s="76">
        <v>0.2</v>
      </c>
    </row>
    <row r="1503" spans="3:9" x14ac:dyDescent="0.35">
      <c r="C1503" t="s">
        <v>312</v>
      </c>
      <c r="D1503" s="3">
        <v>2019</v>
      </c>
      <c r="E1503" s="78">
        <f t="shared" si="174"/>
        <v>8</v>
      </c>
      <c r="F1503" s="74" t="s">
        <v>54</v>
      </c>
      <c r="G1503" s="77">
        <f t="shared" si="175"/>
        <v>45830</v>
      </c>
      <c r="H1503" s="77">
        <f t="shared" si="176"/>
        <v>46130</v>
      </c>
      <c r="I1503" s="76">
        <v>0.1</v>
      </c>
    </row>
    <row r="1504" spans="3:9" x14ac:dyDescent="0.35">
      <c r="C1504" t="s">
        <v>312</v>
      </c>
      <c r="D1504" s="3">
        <v>2019</v>
      </c>
      <c r="E1504" s="78">
        <f t="shared" si="174"/>
        <v>8</v>
      </c>
      <c r="F1504" s="74" t="s">
        <v>54</v>
      </c>
      <c r="G1504" s="77">
        <f t="shared" si="175"/>
        <v>46130</v>
      </c>
      <c r="H1504" s="77"/>
      <c r="I1504" s="76">
        <v>0</v>
      </c>
    </row>
    <row r="1505" spans="3:9" x14ac:dyDescent="0.35">
      <c r="C1505" t="s">
        <v>312</v>
      </c>
      <c r="D1505" s="3">
        <v>2019</v>
      </c>
      <c r="E1505" s="78">
        <f t="shared" si="174"/>
        <v>8</v>
      </c>
      <c r="F1505" s="74" t="s">
        <v>34</v>
      </c>
      <c r="G1505" s="77">
        <v>0</v>
      </c>
      <c r="H1505" s="75">
        <f>H1494</f>
        <v>43430</v>
      </c>
      <c r="I1505" s="76">
        <v>1</v>
      </c>
    </row>
    <row r="1506" spans="3:9" x14ac:dyDescent="0.35">
      <c r="C1506" t="s">
        <v>312</v>
      </c>
      <c r="D1506" s="3">
        <v>2019</v>
      </c>
      <c r="E1506" s="78">
        <f t="shared" si="174"/>
        <v>8</v>
      </c>
      <c r="F1506" s="74" t="s">
        <v>34</v>
      </c>
      <c r="G1506" s="77">
        <f>H1505</f>
        <v>43430</v>
      </c>
      <c r="H1506" s="77">
        <f>H1505+300</f>
        <v>43730</v>
      </c>
      <c r="I1506" s="76">
        <v>0.9</v>
      </c>
    </row>
    <row r="1507" spans="3:9" x14ac:dyDescent="0.35">
      <c r="C1507" t="s">
        <v>312</v>
      </c>
      <c r="D1507" s="3">
        <v>2019</v>
      </c>
      <c r="E1507" s="78">
        <f t="shared" si="174"/>
        <v>8</v>
      </c>
      <c r="F1507" s="74" t="s">
        <v>34</v>
      </c>
      <c r="G1507" s="77">
        <f t="shared" ref="G1507:G1515" si="177">H1506</f>
        <v>43730</v>
      </c>
      <c r="H1507" s="77">
        <f t="shared" ref="H1507:H1514" si="178">H1506+300</f>
        <v>44030</v>
      </c>
      <c r="I1507" s="76">
        <v>0.8</v>
      </c>
    </row>
    <row r="1508" spans="3:9" x14ac:dyDescent="0.35">
      <c r="C1508" t="s">
        <v>312</v>
      </c>
      <c r="D1508" s="3">
        <v>2019</v>
      </c>
      <c r="E1508" s="78">
        <f t="shared" si="174"/>
        <v>8</v>
      </c>
      <c r="F1508" s="74" t="s">
        <v>34</v>
      </c>
      <c r="G1508" s="77">
        <f t="shared" si="177"/>
        <v>44030</v>
      </c>
      <c r="H1508" s="77">
        <f t="shared" si="178"/>
        <v>44330</v>
      </c>
      <c r="I1508" s="76">
        <v>0.7</v>
      </c>
    </row>
    <row r="1509" spans="3:9" x14ac:dyDescent="0.35">
      <c r="C1509" t="s">
        <v>312</v>
      </c>
      <c r="D1509" s="3">
        <v>2019</v>
      </c>
      <c r="E1509" s="78">
        <f t="shared" si="174"/>
        <v>8</v>
      </c>
      <c r="F1509" s="74" t="s">
        <v>34</v>
      </c>
      <c r="G1509" s="77">
        <f t="shared" si="177"/>
        <v>44330</v>
      </c>
      <c r="H1509" s="77">
        <f t="shared" si="178"/>
        <v>44630</v>
      </c>
      <c r="I1509" s="76">
        <v>0.6</v>
      </c>
    </row>
    <row r="1510" spans="3:9" x14ac:dyDescent="0.35">
      <c r="C1510" t="s">
        <v>312</v>
      </c>
      <c r="D1510" s="3">
        <v>2019</v>
      </c>
      <c r="E1510" s="78">
        <f t="shared" si="174"/>
        <v>8</v>
      </c>
      <c r="F1510" s="74" t="s">
        <v>34</v>
      </c>
      <c r="G1510" s="77">
        <f t="shared" si="177"/>
        <v>44630</v>
      </c>
      <c r="H1510" s="77">
        <f t="shared" si="178"/>
        <v>44930</v>
      </c>
      <c r="I1510" s="76">
        <v>0.5</v>
      </c>
    </row>
    <row r="1511" spans="3:9" x14ac:dyDescent="0.35">
      <c r="C1511" t="s">
        <v>312</v>
      </c>
      <c r="D1511" s="3">
        <v>2019</v>
      </c>
      <c r="E1511" s="78">
        <f t="shared" si="174"/>
        <v>8</v>
      </c>
      <c r="F1511" s="74" t="s">
        <v>34</v>
      </c>
      <c r="G1511" s="77">
        <f t="shared" si="177"/>
        <v>44930</v>
      </c>
      <c r="H1511" s="77">
        <f t="shared" si="178"/>
        <v>45230</v>
      </c>
      <c r="I1511" s="76">
        <v>0.4</v>
      </c>
    </row>
    <row r="1512" spans="3:9" x14ac:dyDescent="0.35">
      <c r="C1512" t="s">
        <v>312</v>
      </c>
      <c r="D1512" s="3">
        <v>2019</v>
      </c>
      <c r="E1512" s="78">
        <f t="shared" si="174"/>
        <v>8</v>
      </c>
      <c r="F1512" s="74" t="s">
        <v>34</v>
      </c>
      <c r="G1512" s="77">
        <f t="shared" si="177"/>
        <v>45230</v>
      </c>
      <c r="H1512" s="77">
        <f t="shared" si="178"/>
        <v>45530</v>
      </c>
      <c r="I1512" s="76">
        <v>0.3</v>
      </c>
    </row>
    <row r="1513" spans="3:9" x14ac:dyDescent="0.35">
      <c r="C1513" t="s">
        <v>312</v>
      </c>
      <c r="D1513" s="3">
        <v>2019</v>
      </c>
      <c r="E1513" s="78">
        <f t="shared" si="174"/>
        <v>8</v>
      </c>
      <c r="F1513" s="74" t="s">
        <v>34</v>
      </c>
      <c r="G1513" s="77">
        <f t="shared" si="177"/>
        <v>45530</v>
      </c>
      <c r="H1513" s="77">
        <f t="shared" si="178"/>
        <v>45830</v>
      </c>
      <c r="I1513" s="76">
        <v>0.2</v>
      </c>
    </row>
    <row r="1514" spans="3:9" x14ac:dyDescent="0.35">
      <c r="C1514" t="s">
        <v>312</v>
      </c>
      <c r="D1514" s="3">
        <v>2019</v>
      </c>
      <c r="E1514" s="78">
        <f t="shared" si="174"/>
        <v>8</v>
      </c>
      <c r="F1514" s="74" t="s">
        <v>34</v>
      </c>
      <c r="G1514" s="77">
        <f t="shared" si="177"/>
        <v>45830</v>
      </c>
      <c r="H1514" s="77">
        <f t="shared" si="178"/>
        <v>46130</v>
      </c>
      <c r="I1514" s="76">
        <v>0.1</v>
      </c>
    </row>
    <row r="1515" spans="3:9" x14ac:dyDescent="0.35">
      <c r="C1515" t="s">
        <v>312</v>
      </c>
      <c r="D1515" s="3">
        <v>2019</v>
      </c>
      <c r="E1515" s="78">
        <f t="shared" si="174"/>
        <v>8</v>
      </c>
      <c r="F1515" s="74" t="s">
        <v>34</v>
      </c>
      <c r="G1515" s="77">
        <f t="shared" si="177"/>
        <v>46130</v>
      </c>
      <c r="H1515" s="77"/>
      <c r="I1515" s="76">
        <v>0</v>
      </c>
    </row>
    <row r="1516" spans="3:9" x14ac:dyDescent="0.35">
      <c r="C1516" t="s">
        <v>312</v>
      </c>
      <c r="D1516" s="3">
        <v>2019</v>
      </c>
      <c r="E1516" s="78">
        <f t="shared" si="174"/>
        <v>8</v>
      </c>
      <c r="F1516" s="74" t="s">
        <v>40</v>
      </c>
      <c r="G1516" s="77">
        <v>0</v>
      </c>
      <c r="H1516" s="75">
        <f>H1505</f>
        <v>43430</v>
      </c>
      <c r="I1516" s="76">
        <v>1</v>
      </c>
    </row>
    <row r="1517" spans="3:9" x14ac:dyDescent="0.35">
      <c r="C1517" t="s">
        <v>312</v>
      </c>
      <c r="D1517" s="3">
        <v>2019</v>
      </c>
      <c r="E1517" s="78">
        <f t="shared" si="174"/>
        <v>8</v>
      </c>
      <c r="F1517" s="74" t="s">
        <v>40</v>
      </c>
      <c r="G1517" s="77">
        <f>H1516</f>
        <v>43430</v>
      </c>
      <c r="H1517" s="77">
        <f>H1516+300</f>
        <v>43730</v>
      </c>
      <c r="I1517" s="76">
        <v>0.9</v>
      </c>
    </row>
    <row r="1518" spans="3:9" x14ac:dyDescent="0.35">
      <c r="C1518" t="s">
        <v>312</v>
      </c>
      <c r="D1518" s="3">
        <v>2019</v>
      </c>
      <c r="E1518" s="78">
        <f t="shared" si="174"/>
        <v>8</v>
      </c>
      <c r="F1518" s="74" t="s">
        <v>40</v>
      </c>
      <c r="G1518" s="77">
        <f t="shared" ref="G1518:G1526" si="179">H1517</f>
        <v>43730</v>
      </c>
      <c r="H1518" s="77">
        <f t="shared" ref="H1518:H1525" si="180">H1517+300</f>
        <v>44030</v>
      </c>
      <c r="I1518" s="76">
        <v>0.8</v>
      </c>
    </row>
    <row r="1519" spans="3:9" x14ac:dyDescent="0.35">
      <c r="C1519" t="s">
        <v>312</v>
      </c>
      <c r="D1519" s="3">
        <v>2019</v>
      </c>
      <c r="E1519" s="78">
        <f t="shared" si="174"/>
        <v>8</v>
      </c>
      <c r="F1519" s="74" t="s">
        <v>40</v>
      </c>
      <c r="G1519" s="77">
        <f t="shared" si="179"/>
        <v>44030</v>
      </c>
      <c r="H1519" s="77">
        <f t="shared" si="180"/>
        <v>44330</v>
      </c>
      <c r="I1519" s="76">
        <v>0.7</v>
      </c>
    </row>
    <row r="1520" spans="3:9" x14ac:dyDescent="0.35">
      <c r="C1520" t="s">
        <v>312</v>
      </c>
      <c r="D1520" s="3">
        <v>2019</v>
      </c>
      <c r="E1520" s="78">
        <f t="shared" si="174"/>
        <v>8</v>
      </c>
      <c r="F1520" s="74" t="s">
        <v>40</v>
      </c>
      <c r="G1520" s="77">
        <f t="shared" si="179"/>
        <v>44330</v>
      </c>
      <c r="H1520" s="77">
        <f t="shared" si="180"/>
        <v>44630</v>
      </c>
      <c r="I1520" s="76">
        <v>0.6</v>
      </c>
    </row>
    <row r="1521" spans="3:9" x14ac:dyDescent="0.35">
      <c r="C1521" t="s">
        <v>312</v>
      </c>
      <c r="D1521" s="3">
        <v>2019</v>
      </c>
      <c r="E1521" s="78">
        <f t="shared" si="174"/>
        <v>8</v>
      </c>
      <c r="F1521" s="74" t="s">
        <v>40</v>
      </c>
      <c r="G1521" s="77">
        <f t="shared" si="179"/>
        <v>44630</v>
      </c>
      <c r="H1521" s="77">
        <f t="shared" si="180"/>
        <v>44930</v>
      </c>
      <c r="I1521" s="76">
        <v>0.5</v>
      </c>
    </row>
    <row r="1522" spans="3:9" x14ac:dyDescent="0.35">
      <c r="C1522" t="s">
        <v>312</v>
      </c>
      <c r="D1522" s="3">
        <v>2019</v>
      </c>
      <c r="E1522" s="78">
        <f t="shared" si="174"/>
        <v>8</v>
      </c>
      <c r="F1522" s="74" t="s">
        <v>40</v>
      </c>
      <c r="G1522" s="77">
        <f t="shared" si="179"/>
        <v>44930</v>
      </c>
      <c r="H1522" s="77">
        <f t="shared" si="180"/>
        <v>45230</v>
      </c>
      <c r="I1522" s="76">
        <v>0.4</v>
      </c>
    </row>
    <row r="1523" spans="3:9" x14ac:dyDescent="0.35">
      <c r="C1523" t="s">
        <v>312</v>
      </c>
      <c r="D1523" s="3">
        <v>2019</v>
      </c>
      <c r="E1523" s="78">
        <f t="shared" si="174"/>
        <v>8</v>
      </c>
      <c r="F1523" s="74" t="s">
        <v>40</v>
      </c>
      <c r="G1523" s="77">
        <f t="shared" si="179"/>
        <v>45230</v>
      </c>
      <c r="H1523" s="77">
        <f t="shared" si="180"/>
        <v>45530</v>
      </c>
      <c r="I1523" s="76">
        <v>0.3</v>
      </c>
    </row>
    <row r="1524" spans="3:9" x14ac:dyDescent="0.35">
      <c r="C1524" t="s">
        <v>312</v>
      </c>
      <c r="D1524" s="3">
        <v>2019</v>
      </c>
      <c r="E1524" s="78">
        <f t="shared" si="174"/>
        <v>8</v>
      </c>
      <c r="F1524" s="74" t="s">
        <v>40</v>
      </c>
      <c r="G1524" s="77">
        <f t="shared" si="179"/>
        <v>45530</v>
      </c>
      <c r="H1524" s="77">
        <f t="shared" si="180"/>
        <v>45830</v>
      </c>
      <c r="I1524" s="76">
        <v>0.2</v>
      </c>
    </row>
    <row r="1525" spans="3:9" x14ac:dyDescent="0.35">
      <c r="C1525" t="s">
        <v>312</v>
      </c>
      <c r="D1525" s="3">
        <v>2019</v>
      </c>
      <c r="E1525" s="78">
        <f t="shared" si="174"/>
        <v>8</v>
      </c>
      <c r="F1525" s="74" t="s">
        <v>40</v>
      </c>
      <c r="G1525" s="77">
        <f t="shared" si="179"/>
        <v>45830</v>
      </c>
      <c r="H1525" s="77">
        <f t="shared" si="180"/>
        <v>46130</v>
      </c>
      <c r="I1525" s="76">
        <v>0.1</v>
      </c>
    </row>
    <row r="1526" spans="3:9" x14ac:dyDescent="0.35">
      <c r="C1526" t="s">
        <v>312</v>
      </c>
      <c r="D1526" s="3">
        <v>2019</v>
      </c>
      <c r="E1526" s="78">
        <f t="shared" si="174"/>
        <v>8</v>
      </c>
      <c r="F1526" s="74" t="s">
        <v>40</v>
      </c>
      <c r="G1526" s="77">
        <f t="shared" si="179"/>
        <v>46130</v>
      </c>
      <c r="H1526" s="77"/>
      <c r="I1526" s="76">
        <v>0</v>
      </c>
    </row>
    <row r="1527" spans="3:9" x14ac:dyDescent="0.35">
      <c r="C1527" t="s">
        <v>312</v>
      </c>
      <c r="D1527" s="3">
        <v>2019</v>
      </c>
      <c r="E1527" s="78">
        <f t="shared" si="174"/>
        <v>8</v>
      </c>
      <c r="F1527" s="74" t="s">
        <v>313</v>
      </c>
      <c r="G1527" s="77">
        <v>0</v>
      </c>
      <c r="H1527" s="75">
        <f>H1516</f>
        <v>43430</v>
      </c>
      <c r="I1527" s="76">
        <v>1</v>
      </c>
    </row>
    <row r="1528" spans="3:9" x14ac:dyDescent="0.35">
      <c r="C1528" t="s">
        <v>312</v>
      </c>
      <c r="D1528" s="3">
        <v>2019</v>
      </c>
      <c r="E1528" s="78">
        <f t="shared" si="174"/>
        <v>8</v>
      </c>
      <c r="F1528" s="74" t="s">
        <v>313</v>
      </c>
      <c r="G1528" s="77">
        <f>H1527</f>
        <v>43430</v>
      </c>
      <c r="H1528" s="77">
        <f>H1527+300</f>
        <v>43730</v>
      </c>
      <c r="I1528" s="76">
        <v>0.9</v>
      </c>
    </row>
    <row r="1529" spans="3:9" x14ac:dyDescent="0.35">
      <c r="C1529" t="s">
        <v>312</v>
      </c>
      <c r="D1529" s="3">
        <v>2019</v>
      </c>
      <c r="E1529" s="78">
        <f t="shared" si="174"/>
        <v>8</v>
      </c>
      <c r="F1529" s="74" t="s">
        <v>313</v>
      </c>
      <c r="G1529" s="77">
        <f t="shared" ref="G1529:G1537" si="181">H1528</f>
        <v>43730</v>
      </c>
      <c r="H1529" s="77">
        <f t="shared" ref="H1529:H1536" si="182">H1528+300</f>
        <v>44030</v>
      </c>
      <c r="I1529" s="76">
        <v>0.8</v>
      </c>
    </row>
    <row r="1530" spans="3:9" x14ac:dyDescent="0.35">
      <c r="C1530" t="s">
        <v>312</v>
      </c>
      <c r="D1530" s="3">
        <v>2019</v>
      </c>
      <c r="E1530" s="78">
        <f t="shared" si="174"/>
        <v>8</v>
      </c>
      <c r="F1530" s="74" t="s">
        <v>313</v>
      </c>
      <c r="G1530" s="77">
        <f t="shared" si="181"/>
        <v>44030</v>
      </c>
      <c r="H1530" s="77">
        <f t="shared" si="182"/>
        <v>44330</v>
      </c>
      <c r="I1530" s="76">
        <v>0.7</v>
      </c>
    </row>
    <row r="1531" spans="3:9" x14ac:dyDescent="0.35">
      <c r="C1531" t="s">
        <v>312</v>
      </c>
      <c r="D1531" s="3">
        <v>2019</v>
      </c>
      <c r="E1531" s="78">
        <f t="shared" si="174"/>
        <v>8</v>
      </c>
      <c r="F1531" s="74" t="s">
        <v>313</v>
      </c>
      <c r="G1531" s="77">
        <f t="shared" si="181"/>
        <v>44330</v>
      </c>
      <c r="H1531" s="77">
        <f t="shared" si="182"/>
        <v>44630</v>
      </c>
      <c r="I1531" s="76">
        <v>0.6</v>
      </c>
    </row>
    <row r="1532" spans="3:9" x14ac:dyDescent="0.35">
      <c r="C1532" t="s">
        <v>312</v>
      </c>
      <c r="D1532" s="3">
        <v>2019</v>
      </c>
      <c r="E1532" s="78">
        <f t="shared" si="174"/>
        <v>8</v>
      </c>
      <c r="F1532" s="74" t="s">
        <v>313</v>
      </c>
      <c r="G1532" s="77">
        <f t="shared" si="181"/>
        <v>44630</v>
      </c>
      <c r="H1532" s="77">
        <f t="shared" si="182"/>
        <v>44930</v>
      </c>
      <c r="I1532" s="76">
        <v>0.5</v>
      </c>
    </row>
    <row r="1533" spans="3:9" x14ac:dyDescent="0.35">
      <c r="C1533" t="s">
        <v>312</v>
      </c>
      <c r="D1533" s="3">
        <v>2019</v>
      </c>
      <c r="E1533" s="78">
        <f t="shared" si="174"/>
        <v>8</v>
      </c>
      <c r="F1533" s="74" t="s">
        <v>313</v>
      </c>
      <c r="G1533" s="77">
        <f t="shared" si="181"/>
        <v>44930</v>
      </c>
      <c r="H1533" s="77">
        <f t="shared" si="182"/>
        <v>45230</v>
      </c>
      <c r="I1533" s="76">
        <v>0.4</v>
      </c>
    </row>
    <row r="1534" spans="3:9" x14ac:dyDescent="0.35">
      <c r="C1534" t="s">
        <v>312</v>
      </c>
      <c r="D1534" s="3">
        <v>2019</v>
      </c>
      <c r="E1534" s="78">
        <f t="shared" si="174"/>
        <v>8</v>
      </c>
      <c r="F1534" s="74" t="s">
        <v>313</v>
      </c>
      <c r="G1534" s="77">
        <f t="shared" si="181"/>
        <v>45230</v>
      </c>
      <c r="H1534" s="77">
        <f t="shared" si="182"/>
        <v>45530</v>
      </c>
      <c r="I1534" s="76">
        <v>0.3</v>
      </c>
    </row>
    <row r="1535" spans="3:9" x14ac:dyDescent="0.35">
      <c r="C1535" t="s">
        <v>312</v>
      </c>
      <c r="D1535" s="3">
        <v>2019</v>
      </c>
      <c r="E1535" s="78">
        <f t="shared" si="174"/>
        <v>8</v>
      </c>
      <c r="F1535" s="74" t="s">
        <v>313</v>
      </c>
      <c r="G1535" s="77">
        <f t="shared" si="181"/>
        <v>45530</v>
      </c>
      <c r="H1535" s="77">
        <f t="shared" si="182"/>
        <v>45830</v>
      </c>
      <c r="I1535" s="76">
        <v>0.2</v>
      </c>
    </row>
    <row r="1536" spans="3:9" x14ac:dyDescent="0.35">
      <c r="C1536" t="s">
        <v>312</v>
      </c>
      <c r="D1536" s="3">
        <v>2019</v>
      </c>
      <c r="E1536" s="78">
        <f t="shared" si="174"/>
        <v>8</v>
      </c>
      <c r="F1536" s="74" t="s">
        <v>313</v>
      </c>
      <c r="G1536" s="77">
        <f t="shared" si="181"/>
        <v>45830</v>
      </c>
      <c r="H1536" s="77">
        <f t="shared" si="182"/>
        <v>46130</v>
      </c>
      <c r="I1536" s="76">
        <v>0.1</v>
      </c>
    </row>
    <row r="1537" spans="3:9" x14ac:dyDescent="0.35">
      <c r="C1537" t="s">
        <v>312</v>
      </c>
      <c r="D1537" s="3">
        <v>2019</v>
      </c>
      <c r="E1537" s="78">
        <f t="shared" si="174"/>
        <v>8</v>
      </c>
      <c r="F1537" s="74" t="s">
        <v>313</v>
      </c>
      <c r="G1537" s="77">
        <f t="shared" si="181"/>
        <v>46130</v>
      </c>
      <c r="H1537" s="77"/>
      <c r="I1537" s="76">
        <v>0</v>
      </c>
    </row>
    <row r="1538" spans="3:9" x14ac:dyDescent="0.35">
      <c r="C1538" t="s">
        <v>312</v>
      </c>
      <c r="D1538" s="3">
        <v>2019</v>
      </c>
      <c r="E1538" s="73">
        <v>9</v>
      </c>
      <c r="F1538" s="74" t="s">
        <v>54</v>
      </c>
      <c r="G1538" s="77">
        <v>0</v>
      </c>
      <c r="H1538" s="75">
        <f>H1527</f>
        <v>43430</v>
      </c>
      <c r="I1538" s="76">
        <v>1</v>
      </c>
    </row>
    <row r="1539" spans="3:9" x14ac:dyDescent="0.35">
      <c r="C1539" t="s">
        <v>312</v>
      </c>
      <c r="D1539" s="3">
        <v>2019</v>
      </c>
      <c r="E1539" s="78">
        <f>E1538</f>
        <v>9</v>
      </c>
      <c r="F1539" s="74" t="s">
        <v>54</v>
      </c>
      <c r="G1539" s="77">
        <f>H1538</f>
        <v>43430</v>
      </c>
      <c r="H1539" s="77">
        <f>H1538+300</f>
        <v>43730</v>
      </c>
      <c r="I1539" s="76">
        <v>0.9</v>
      </c>
    </row>
    <row r="1540" spans="3:9" x14ac:dyDescent="0.35">
      <c r="C1540" t="s">
        <v>312</v>
      </c>
      <c r="D1540" s="3">
        <v>2019</v>
      </c>
      <c r="E1540" s="78">
        <f t="shared" ref="E1540:E1581" si="183">E1539</f>
        <v>9</v>
      </c>
      <c r="F1540" s="74" t="s">
        <v>54</v>
      </c>
      <c r="G1540" s="77">
        <f t="shared" ref="G1540:G1548" si="184">H1539</f>
        <v>43730</v>
      </c>
      <c r="H1540" s="77">
        <f t="shared" ref="H1540:H1547" si="185">H1539+300</f>
        <v>44030</v>
      </c>
      <c r="I1540" s="76">
        <v>0.8</v>
      </c>
    </row>
    <row r="1541" spans="3:9" x14ac:dyDescent="0.35">
      <c r="C1541" t="s">
        <v>312</v>
      </c>
      <c r="D1541" s="3">
        <v>2019</v>
      </c>
      <c r="E1541" s="78">
        <f t="shared" si="183"/>
        <v>9</v>
      </c>
      <c r="F1541" s="74" t="s">
        <v>54</v>
      </c>
      <c r="G1541" s="77">
        <f t="shared" si="184"/>
        <v>44030</v>
      </c>
      <c r="H1541" s="77">
        <f t="shared" si="185"/>
        <v>44330</v>
      </c>
      <c r="I1541" s="76">
        <v>0.7</v>
      </c>
    </row>
    <row r="1542" spans="3:9" x14ac:dyDescent="0.35">
      <c r="C1542" t="s">
        <v>312</v>
      </c>
      <c r="D1542" s="3">
        <v>2019</v>
      </c>
      <c r="E1542" s="78">
        <f t="shared" si="183"/>
        <v>9</v>
      </c>
      <c r="F1542" s="74" t="s">
        <v>54</v>
      </c>
      <c r="G1542" s="77">
        <f t="shared" si="184"/>
        <v>44330</v>
      </c>
      <c r="H1542" s="77">
        <f t="shared" si="185"/>
        <v>44630</v>
      </c>
      <c r="I1542" s="76">
        <v>0.6</v>
      </c>
    </row>
    <row r="1543" spans="3:9" x14ac:dyDescent="0.35">
      <c r="C1543" t="s">
        <v>312</v>
      </c>
      <c r="D1543" s="3">
        <v>2019</v>
      </c>
      <c r="E1543" s="78">
        <f t="shared" si="183"/>
        <v>9</v>
      </c>
      <c r="F1543" s="74" t="s">
        <v>54</v>
      </c>
      <c r="G1543" s="77">
        <f t="shared" si="184"/>
        <v>44630</v>
      </c>
      <c r="H1543" s="77">
        <f t="shared" si="185"/>
        <v>44930</v>
      </c>
      <c r="I1543" s="76">
        <v>0.5</v>
      </c>
    </row>
    <row r="1544" spans="3:9" x14ac:dyDescent="0.35">
      <c r="C1544" t="s">
        <v>312</v>
      </c>
      <c r="D1544" s="3">
        <v>2019</v>
      </c>
      <c r="E1544" s="78">
        <f t="shared" si="183"/>
        <v>9</v>
      </c>
      <c r="F1544" s="74" t="s">
        <v>54</v>
      </c>
      <c r="G1544" s="77">
        <f t="shared" si="184"/>
        <v>44930</v>
      </c>
      <c r="H1544" s="77">
        <f t="shared" si="185"/>
        <v>45230</v>
      </c>
      <c r="I1544" s="76">
        <v>0.4</v>
      </c>
    </row>
    <row r="1545" spans="3:9" x14ac:dyDescent="0.35">
      <c r="C1545" t="s">
        <v>312</v>
      </c>
      <c r="D1545" s="3">
        <v>2019</v>
      </c>
      <c r="E1545" s="78">
        <f t="shared" si="183"/>
        <v>9</v>
      </c>
      <c r="F1545" s="74" t="s">
        <v>54</v>
      </c>
      <c r="G1545" s="77">
        <f t="shared" si="184"/>
        <v>45230</v>
      </c>
      <c r="H1545" s="77">
        <f t="shared" si="185"/>
        <v>45530</v>
      </c>
      <c r="I1545" s="76">
        <v>0.3</v>
      </c>
    </row>
    <row r="1546" spans="3:9" x14ac:dyDescent="0.35">
      <c r="C1546" t="s">
        <v>312</v>
      </c>
      <c r="D1546" s="3">
        <v>2019</v>
      </c>
      <c r="E1546" s="78">
        <f t="shared" si="183"/>
        <v>9</v>
      </c>
      <c r="F1546" s="74" t="s">
        <v>54</v>
      </c>
      <c r="G1546" s="77">
        <f t="shared" si="184"/>
        <v>45530</v>
      </c>
      <c r="H1546" s="77">
        <f t="shared" si="185"/>
        <v>45830</v>
      </c>
      <c r="I1546" s="76">
        <v>0.2</v>
      </c>
    </row>
    <row r="1547" spans="3:9" x14ac:dyDescent="0.35">
      <c r="C1547" t="s">
        <v>312</v>
      </c>
      <c r="D1547" s="3">
        <v>2019</v>
      </c>
      <c r="E1547" s="78">
        <f t="shared" si="183"/>
        <v>9</v>
      </c>
      <c r="F1547" s="74" t="s">
        <v>54</v>
      </c>
      <c r="G1547" s="77">
        <f t="shared" si="184"/>
        <v>45830</v>
      </c>
      <c r="H1547" s="77">
        <f t="shared" si="185"/>
        <v>46130</v>
      </c>
      <c r="I1547" s="76">
        <v>0.1</v>
      </c>
    </row>
    <row r="1548" spans="3:9" x14ac:dyDescent="0.35">
      <c r="C1548" t="s">
        <v>312</v>
      </c>
      <c r="D1548" s="3">
        <v>2019</v>
      </c>
      <c r="E1548" s="78">
        <f t="shared" si="183"/>
        <v>9</v>
      </c>
      <c r="F1548" s="74" t="s">
        <v>54</v>
      </c>
      <c r="G1548" s="77">
        <f t="shared" si="184"/>
        <v>46130</v>
      </c>
      <c r="H1548" s="77"/>
      <c r="I1548" s="76">
        <v>0</v>
      </c>
    </row>
    <row r="1549" spans="3:9" x14ac:dyDescent="0.35">
      <c r="C1549" t="s">
        <v>312</v>
      </c>
      <c r="D1549" s="3">
        <v>2019</v>
      </c>
      <c r="E1549" s="78">
        <f t="shared" si="183"/>
        <v>9</v>
      </c>
      <c r="F1549" s="74" t="s">
        <v>34</v>
      </c>
      <c r="G1549" s="77">
        <v>0</v>
      </c>
      <c r="H1549" s="75">
        <f>H1538</f>
        <v>43430</v>
      </c>
      <c r="I1549" s="76">
        <v>1</v>
      </c>
    </row>
    <row r="1550" spans="3:9" x14ac:dyDescent="0.35">
      <c r="C1550" t="s">
        <v>312</v>
      </c>
      <c r="D1550" s="3">
        <v>2019</v>
      </c>
      <c r="E1550" s="78">
        <f t="shared" si="183"/>
        <v>9</v>
      </c>
      <c r="F1550" s="74" t="s">
        <v>34</v>
      </c>
      <c r="G1550" s="77">
        <f>H1549</f>
        <v>43430</v>
      </c>
      <c r="H1550" s="77">
        <f>H1549+300</f>
        <v>43730</v>
      </c>
      <c r="I1550" s="76">
        <v>0.9</v>
      </c>
    </row>
    <row r="1551" spans="3:9" x14ac:dyDescent="0.35">
      <c r="C1551" t="s">
        <v>312</v>
      </c>
      <c r="D1551" s="3">
        <v>2019</v>
      </c>
      <c r="E1551" s="78">
        <f t="shared" si="183"/>
        <v>9</v>
      </c>
      <c r="F1551" s="74" t="s">
        <v>34</v>
      </c>
      <c r="G1551" s="77">
        <f t="shared" ref="G1551:G1559" si="186">H1550</f>
        <v>43730</v>
      </c>
      <c r="H1551" s="77">
        <f t="shared" ref="H1551:H1558" si="187">H1550+300</f>
        <v>44030</v>
      </c>
      <c r="I1551" s="76">
        <v>0.8</v>
      </c>
    </row>
    <row r="1552" spans="3:9" x14ac:dyDescent="0.35">
      <c r="C1552" t="s">
        <v>312</v>
      </c>
      <c r="D1552" s="3">
        <v>2019</v>
      </c>
      <c r="E1552" s="78">
        <f t="shared" si="183"/>
        <v>9</v>
      </c>
      <c r="F1552" s="74" t="s">
        <v>34</v>
      </c>
      <c r="G1552" s="77">
        <f t="shared" si="186"/>
        <v>44030</v>
      </c>
      <c r="H1552" s="77">
        <f t="shared" si="187"/>
        <v>44330</v>
      </c>
      <c r="I1552" s="76">
        <v>0.7</v>
      </c>
    </row>
    <row r="1553" spans="3:9" x14ac:dyDescent="0.35">
      <c r="C1553" t="s">
        <v>312</v>
      </c>
      <c r="D1553" s="3">
        <v>2019</v>
      </c>
      <c r="E1553" s="78">
        <f t="shared" si="183"/>
        <v>9</v>
      </c>
      <c r="F1553" s="74" t="s">
        <v>34</v>
      </c>
      <c r="G1553" s="77">
        <f t="shared" si="186"/>
        <v>44330</v>
      </c>
      <c r="H1553" s="77">
        <f t="shared" si="187"/>
        <v>44630</v>
      </c>
      <c r="I1553" s="76">
        <v>0.6</v>
      </c>
    </row>
    <row r="1554" spans="3:9" x14ac:dyDescent="0.35">
      <c r="C1554" t="s">
        <v>312</v>
      </c>
      <c r="D1554" s="3">
        <v>2019</v>
      </c>
      <c r="E1554" s="78">
        <f t="shared" si="183"/>
        <v>9</v>
      </c>
      <c r="F1554" s="74" t="s">
        <v>34</v>
      </c>
      <c r="G1554" s="77">
        <f t="shared" si="186"/>
        <v>44630</v>
      </c>
      <c r="H1554" s="77">
        <f t="shared" si="187"/>
        <v>44930</v>
      </c>
      <c r="I1554" s="76">
        <v>0.5</v>
      </c>
    </row>
    <row r="1555" spans="3:9" x14ac:dyDescent="0.35">
      <c r="C1555" t="s">
        <v>312</v>
      </c>
      <c r="D1555" s="3">
        <v>2019</v>
      </c>
      <c r="E1555" s="78">
        <f t="shared" si="183"/>
        <v>9</v>
      </c>
      <c r="F1555" s="74" t="s">
        <v>34</v>
      </c>
      <c r="G1555" s="77">
        <f t="shared" si="186"/>
        <v>44930</v>
      </c>
      <c r="H1555" s="77">
        <f t="shared" si="187"/>
        <v>45230</v>
      </c>
      <c r="I1555" s="76">
        <v>0.4</v>
      </c>
    </row>
    <row r="1556" spans="3:9" x14ac:dyDescent="0.35">
      <c r="C1556" t="s">
        <v>312</v>
      </c>
      <c r="D1556" s="3">
        <v>2019</v>
      </c>
      <c r="E1556" s="78">
        <f t="shared" si="183"/>
        <v>9</v>
      </c>
      <c r="F1556" s="74" t="s">
        <v>34</v>
      </c>
      <c r="G1556" s="77">
        <f t="shared" si="186"/>
        <v>45230</v>
      </c>
      <c r="H1556" s="77">
        <f t="shared" si="187"/>
        <v>45530</v>
      </c>
      <c r="I1556" s="76">
        <v>0.3</v>
      </c>
    </row>
    <row r="1557" spans="3:9" x14ac:dyDescent="0.35">
      <c r="C1557" t="s">
        <v>312</v>
      </c>
      <c r="D1557" s="3">
        <v>2019</v>
      </c>
      <c r="E1557" s="78">
        <f t="shared" si="183"/>
        <v>9</v>
      </c>
      <c r="F1557" s="74" t="s">
        <v>34</v>
      </c>
      <c r="G1557" s="77">
        <f t="shared" si="186"/>
        <v>45530</v>
      </c>
      <c r="H1557" s="77">
        <f t="shared" si="187"/>
        <v>45830</v>
      </c>
      <c r="I1557" s="76">
        <v>0.2</v>
      </c>
    </row>
    <row r="1558" spans="3:9" x14ac:dyDescent="0.35">
      <c r="C1558" t="s">
        <v>312</v>
      </c>
      <c r="D1558" s="3">
        <v>2019</v>
      </c>
      <c r="E1558" s="78">
        <f t="shared" si="183"/>
        <v>9</v>
      </c>
      <c r="F1558" s="74" t="s">
        <v>34</v>
      </c>
      <c r="G1558" s="77">
        <f t="shared" si="186"/>
        <v>45830</v>
      </c>
      <c r="H1558" s="77">
        <f t="shared" si="187"/>
        <v>46130</v>
      </c>
      <c r="I1558" s="76">
        <v>0.1</v>
      </c>
    </row>
    <row r="1559" spans="3:9" x14ac:dyDescent="0.35">
      <c r="C1559" t="s">
        <v>312</v>
      </c>
      <c r="D1559" s="3">
        <v>2019</v>
      </c>
      <c r="E1559" s="78">
        <f t="shared" si="183"/>
        <v>9</v>
      </c>
      <c r="F1559" s="74" t="s">
        <v>34</v>
      </c>
      <c r="G1559" s="77">
        <f t="shared" si="186"/>
        <v>46130</v>
      </c>
      <c r="H1559" s="77"/>
      <c r="I1559" s="76">
        <v>0</v>
      </c>
    </row>
    <row r="1560" spans="3:9" x14ac:dyDescent="0.35">
      <c r="C1560" t="s">
        <v>312</v>
      </c>
      <c r="D1560" s="3">
        <v>2019</v>
      </c>
      <c r="E1560" s="78">
        <f t="shared" si="183"/>
        <v>9</v>
      </c>
      <c r="F1560" s="74" t="s">
        <v>40</v>
      </c>
      <c r="G1560" s="77">
        <v>0</v>
      </c>
      <c r="H1560" s="75">
        <f>H1549</f>
        <v>43430</v>
      </c>
      <c r="I1560" s="76">
        <v>1</v>
      </c>
    </row>
    <row r="1561" spans="3:9" x14ac:dyDescent="0.35">
      <c r="C1561" t="s">
        <v>312</v>
      </c>
      <c r="D1561" s="3">
        <v>2019</v>
      </c>
      <c r="E1561" s="78">
        <f t="shared" si="183"/>
        <v>9</v>
      </c>
      <c r="F1561" s="74" t="s">
        <v>40</v>
      </c>
      <c r="G1561" s="77">
        <f>H1560</f>
        <v>43430</v>
      </c>
      <c r="H1561" s="77">
        <f>H1560+300</f>
        <v>43730</v>
      </c>
      <c r="I1561" s="76">
        <v>0.9</v>
      </c>
    </row>
    <row r="1562" spans="3:9" x14ac:dyDescent="0.35">
      <c r="C1562" t="s">
        <v>312</v>
      </c>
      <c r="D1562" s="3">
        <v>2019</v>
      </c>
      <c r="E1562" s="78">
        <f t="shared" si="183"/>
        <v>9</v>
      </c>
      <c r="F1562" s="74" t="s">
        <v>40</v>
      </c>
      <c r="G1562" s="77">
        <f t="shared" ref="G1562:G1570" si="188">H1561</f>
        <v>43730</v>
      </c>
      <c r="H1562" s="77">
        <f t="shared" ref="H1562:H1569" si="189">H1561+300</f>
        <v>44030</v>
      </c>
      <c r="I1562" s="76">
        <v>0.8</v>
      </c>
    </row>
    <row r="1563" spans="3:9" x14ac:dyDescent="0.35">
      <c r="C1563" t="s">
        <v>312</v>
      </c>
      <c r="D1563" s="3">
        <v>2019</v>
      </c>
      <c r="E1563" s="78">
        <f t="shared" si="183"/>
        <v>9</v>
      </c>
      <c r="F1563" s="74" t="s">
        <v>40</v>
      </c>
      <c r="G1563" s="77">
        <f t="shared" si="188"/>
        <v>44030</v>
      </c>
      <c r="H1563" s="77">
        <f t="shared" si="189"/>
        <v>44330</v>
      </c>
      <c r="I1563" s="76">
        <v>0.7</v>
      </c>
    </row>
    <row r="1564" spans="3:9" x14ac:dyDescent="0.35">
      <c r="C1564" t="s">
        <v>312</v>
      </c>
      <c r="D1564" s="3">
        <v>2019</v>
      </c>
      <c r="E1564" s="78">
        <f t="shared" si="183"/>
        <v>9</v>
      </c>
      <c r="F1564" s="74" t="s">
        <v>40</v>
      </c>
      <c r="G1564" s="77">
        <f t="shared" si="188"/>
        <v>44330</v>
      </c>
      <c r="H1564" s="77">
        <f t="shared" si="189"/>
        <v>44630</v>
      </c>
      <c r="I1564" s="76">
        <v>0.6</v>
      </c>
    </row>
    <row r="1565" spans="3:9" x14ac:dyDescent="0.35">
      <c r="C1565" t="s">
        <v>312</v>
      </c>
      <c r="D1565" s="3">
        <v>2019</v>
      </c>
      <c r="E1565" s="78">
        <f t="shared" si="183"/>
        <v>9</v>
      </c>
      <c r="F1565" s="74" t="s">
        <v>40</v>
      </c>
      <c r="G1565" s="77">
        <f t="shared" si="188"/>
        <v>44630</v>
      </c>
      <c r="H1565" s="77">
        <f t="shared" si="189"/>
        <v>44930</v>
      </c>
      <c r="I1565" s="76">
        <v>0.5</v>
      </c>
    </row>
    <row r="1566" spans="3:9" x14ac:dyDescent="0.35">
      <c r="C1566" t="s">
        <v>312</v>
      </c>
      <c r="D1566" s="3">
        <v>2019</v>
      </c>
      <c r="E1566" s="78">
        <f t="shared" si="183"/>
        <v>9</v>
      </c>
      <c r="F1566" s="74" t="s">
        <v>40</v>
      </c>
      <c r="G1566" s="77">
        <f t="shared" si="188"/>
        <v>44930</v>
      </c>
      <c r="H1566" s="77">
        <f t="shared" si="189"/>
        <v>45230</v>
      </c>
      <c r="I1566" s="76">
        <v>0.4</v>
      </c>
    </row>
    <row r="1567" spans="3:9" x14ac:dyDescent="0.35">
      <c r="C1567" t="s">
        <v>312</v>
      </c>
      <c r="D1567" s="3">
        <v>2019</v>
      </c>
      <c r="E1567" s="78">
        <f t="shared" si="183"/>
        <v>9</v>
      </c>
      <c r="F1567" s="74" t="s">
        <v>40</v>
      </c>
      <c r="G1567" s="77">
        <f t="shared" si="188"/>
        <v>45230</v>
      </c>
      <c r="H1567" s="77">
        <f t="shared" si="189"/>
        <v>45530</v>
      </c>
      <c r="I1567" s="76">
        <v>0.3</v>
      </c>
    </row>
    <row r="1568" spans="3:9" x14ac:dyDescent="0.35">
      <c r="C1568" t="s">
        <v>312</v>
      </c>
      <c r="D1568" s="3">
        <v>2019</v>
      </c>
      <c r="E1568" s="78">
        <f t="shared" si="183"/>
        <v>9</v>
      </c>
      <c r="F1568" s="74" t="s">
        <v>40</v>
      </c>
      <c r="G1568" s="77">
        <f t="shared" si="188"/>
        <v>45530</v>
      </c>
      <c r="H1568" s="77">
        <f t="shared" si="189"/>
        <v>45830</v>
      </c>
      <c r="I1568" s="76">
        <v>0.2</v>
      </c>
    </row>
    <row r="1569" spans="3:9" x14ac:dyDescent="0.35">
      <c r="C1569" t="s">
        <v>312</v>
      </c>
      <c r="D1569" s="3">
        <v>2019</v>
      </c>
      <c r="E1569" s="78">
        <f t="shared" si="183"/>
        <v>9</v>
      </c>
      <c r="F1569" s="74" t="s">
        <v>40</v>
      </c>
      <c r="G1569" s="77">
        <f t="shared" si="188"/>
        <v>45830</v>
      </c>
      <c r="H1569" s="77">
        <f t="shared" si="189"/>
        <v>46130</v>
      </c>
      <c r="I1569" s="76">
        <v>0.1</v>
      </c>
    </row>
    <row r="1570" spans="3:9" x14ac:dyDescent="0.35">
      <c r="C1570" t="s">
        <v>312</v>
      </c>
      <c r="D1570" s="3">
        <v>2019</v>
      </c>
      <c r="E1570" s="78">
        <f t="shared" si="183"/>
        <v>9</v>
      </c>
      <c r="F1570" s="74" t="s">
        <v>40</v>
      </c>
      <c r="G1570" s="77">
        <f t="shared" si="188"/>
        <v>46130</v>
      </c>
      <c r="H1570" s="77"/>
      <c r="I1570" s="76">
        <v>0</v>
      </c>
    </row>
    <row r="1571" spans="3:9" x14ac:dyDescent="0.35">
      <c r="C1571" t="s">
        <v>312</v>
      </c>
      <c r="D1571" s="3">
        <v>2019</v>
      </c>
      <c r="E1571" s="78">
        <f t="shared" si="183"/>
        <v>9</v>
      </c>
      <c r="F1571" s="74" t="s">
        <v>313</v>
      </c>
      <c r="G1571" s="77">
        <v>0</v>
      </c>
      <c r="H1571" s="75">
        <f>H1560</f>
        <v>43430</v>
      </c>
      <c r="I1571" s="76">
        <v>1</v>
      </c>
    </row>
    <row r="1572" spans="3:9" x14ac:dyDescent="0.35">
      <c r="C1572" t="s">
        <v>312</v>
      </c>
      <c r="D1572" s="3">
        <v>2019</v>
      </c>
      <c r="E1572" s="78">
        <f t="shared" si="183"/>
        <v>9</v>
      </c>
      <c r="F1572" s="74" t="s">
        <v>313</v>
      </c>
      <c r="G1572" s="77">
        <f>H1571</f>
        <v>43430</v>
      </c>
      <c r="H1572" s="77">
        <f>H1571+300</f>
        <v>43730</v>
      </c>
      <c r="I1572" s="76">
        <v>0.9</v>
      </c>
    </row>
    <row r="1573" spans="3:9" x14ac:dyDescent="0.35">
      <c r="C1573" t="s">
        <v>312</v>
      </c>
      <c r="D1573" s="3">
        <v>2019</v>
      </c>
      <c r="E1573" s="78">
        <f t="shared" si="183"/>
        <v>9</v>
      </c>
      <c r="F1573" s="74" t="s">
        <v>313</v>
      </c>
      <c r="G1573" s="77">
        <f t="shared" ref="G1573:G1581" si="190">H1572</f>
        <v>43730</v>
      </c>
      <c r="H1573" s="77">
        <f t="shared" ref="H1573:H1580" si="191">H1572+300</f>
        <v>44030</v>
      </c>
      <c r="I1573" s="76">
        <v>0.8</v>
      </c>
    </row>
    <row r="1574" spans="3:9" x14ac:dyDescent="0.35">
      <c r="C1574" t="s">
        <v>312</v>
      </c>
      <c r="D1574" s="3">
        <v>2019</v>
      </c>
      <c r="E1574" s="78">
        <f t="shared" si="183"/>
        <v>9</v>
      </c>
      <c r="F1574" s="74" t="s">
        <v>313</v>
      </c>
      <c r="G1574" s="77">
        <f t="shared" si="190"/>
        <v>44030</v>
      </c>
      <c r="H1574" s="77">
        <f t="shared" si="191"/>
        <v>44330</v>
      </c>
      <c r="I1574" s="76">
        <v>0.7</v>
      </c>
    </row>
    <row r="1575" spans="3:9" x14ac:dyDescent="0.35">
      <c r="C1575" t="s">
        <v>312</v>
      </c>
      <c r="D1575" s="3">
        <v>2019</v>
      </c>
      <c r="E1575" s="78">
        <f t="shared" si="183"/>
        <v>9</v>
      </c>
      <c r="F1575" s="74" t="s">
        <v>313</v>
      </c>
      <c r="G1575" s="77">
        <f t="shared" si="190"/>
        <v>44330</v>
      </c>
      <c r="H1575" s="77">
        <f t="shared" si="191"/>
        <v>44630</v>
      </c>
      <c r="I1575" s="76">
        <v>0.6</v>
      </c>
    </row>
    <row r="1576" spans="3:9" x14ac:dyDescent="0.35">
      <c r="C1576" t="s">
        <v>312</v>
      </c>
      <c r="D1576" s="3">
        <v>2019</v>
      </c>
      <c r="E1576" s="78">
        <f t="shared" si="183"/>
        <v>9</v>
      </c>
      <c r="F1576" s="74" t="s">
        <v>313</v>
      </c>
      <c r="G1576" s="77">
        <f t="shared" si="190"/>
        <v>44630</v>
      </c>
      <c r="H1576" s="77">
        <f t="shared" si="191"/>
        <v>44930</v>
      </c>
      <c r="I1576" s="76">
        <v>0.5</v>
      </c>
    </row>
    <row r="1577" spans="3:9" x14ac:dyDescent="0.35">
      <c r="C1577" t="s">
        <v>312</v>
      </c>
      <c r="D1577" s="3">
        <v>2019</v>
      </c>
      <c r="E1577" s="78">
        <f t="shared" si="183"/>
        <v>9</v>
      </c>
      <c r="F1577" s="74" t="s">
        <v>313</v>
      </c>
      <c r="G1577" s="77">
        <f t="shared" si="190"/>
        <v>44930</v>
      </c>
      <c r="H1577" s="77">
        <f t="shared" si="191"/>
        <v>45230</v>
      </c>
      <c r="I1577" s="76">
        <v>0.4</v>
      </c>
    </row>
    <row r="1578" spans="3:9" x14ac:dyDescent="0.35">
      <c r="C1578" t="s">
        <v>312</v>
      </c>
      <c r="D1578" s="3">
        <v>2019</v>
      </c>
      <c r="E1578" s="78">
        <f t="shared" si="183"/>
        <v>9</v>
      </c>
      <c r="F1578" s="74" t="s">
        <v>313</v>
      </c>
      <c r="G1578" s="77">
        <f t="shared" si="190"/>
        <v>45230</v>
      </c>
      <c r="H1578" s="77">
        <f t="shared" si="191"/>
        <v>45530</v>
      </c>
      <c r="I1578" s="76">
        <v>0.3</v>
      </c>
    </row>
    <row r="1579" spans="3:9" x14ac:dyDescent="0.35">
      <c r="C1579" t="s">
        <v>312</v>
      </c>
      <c r="D1579" s="3">
        <v>2019</v>
      </c>
      <c r="E1579" s="78">
        <f t="shared" si="183"/>
        <v>9</v>
      </c>
      <c r="F1579" s="74" t="s">
        <v>313</v>
      </c>
      <c r="G1579" s="77">
        <f t="shared" si="190"/>
        <v>45530</v>
      </c>
      <c r="H1579" s="77">
        <f t="shared" si="191"/>
        <v>45830</v>
      </c>
      <c r="I1579" s="76">
        <v>0.2</v>
      </c>
    </row>
    <row r="1580" spans="3:9" x14ac:dyDescent="0.35">
      <c r="C1580" t="s">
        <v>312</v>
      </c>
      <c r="D1580" s="3">
        <v>2019</v>
      </c>
      <c r="E1580" s="78">
        <f t="shared" si="183"/>
        <v>9</v>
      </c>
      <c r="F1580" s="74" t="s">
        <v>313</v>
      </c>
      <c r="G1580" s="77">
        <f t="shared" si="190"/>
        <v>45830</v>
      </c>
      <c r="H1580" s="77">
        <f t="shared" si="191"/>
        <v>46130</v>
      </c>
      <c r="I1580" s="76">
        <v>0.1</v>
      </c>
    </row>
    <row r="1581" spans="3:9" x14ac:dyDescent="0.35">
      <c r="C1581" t="s">
        <v>312</v>
      </c>
      <c r="D1581" s="3">
        <v>2019</v>
      </c>
      <c r="E1581" s="78">
        <f t="shared" si="183"/>
        <v>9</v>
      </c>
      <c r="F1581" s="74" t="s">
        <v>313</v>
      </c>
      <c r="G1581" s="77">
        <f t="shared" si="190"/>
        <v>46130</v>
      </c>
      <c r="H1581" s="77"/>
      <c r="I1581" s="76">
        <v>0</v>
      </c>
    </row>
    <row r="1582" spans="3:9" x14ac:dyDescent="0.35">
      <c r="C1582" t="s">
        <v>312</v>
      </c>
      <c r="D1582" s="3">
        <v>2019</v>
      </c>
      <c r="E1582" s="73">
        <v>10</v>
      </c>
      <c r="F1582" s="74" t="s">
        <v>54</v>
      </c>
      <c r="G1582" s="77">
        <v>0</v>
      </c>
      <c r="H1582" s="75">
        <f>H1571</f>
        <v>43430</v>
      </c>
      <c r="I1582" s="76">
        <v>1</v>
      </c>
    </row>
    <row r="1583" spans="3:9" x14ac:dyDescent="0.35">
      <c r="C1583" t="s">
        <v>312</v>
      </c>
      <c r="D1583" s="3">
        <v>2019</v>
      </c>
      <c r="E1583" s="78">
        <f>E1582</f>
        <v>10</v>
      </c>
      <c r="F1583" s="74" t="s">
        <v>54</v>
      </c>
      <c r="G1583" s="77">
        <f>H1582</f>
        <v>43430</v>
      </c>
      <c r="H1583" s="77">
        <f>H1582+300</f>
        <v>43730</v>
      </c>
      <c r="I1583" s="76">
        <v>0.9</v>
      </c>
    </row>
    <row r="1584" spans="3:9" x14ac:dyDescent="0.35">
      <c r="C1584" t="s">
        <v>312</v>
      </c>
      <c r="D1584" s="3">
        <v>2019</v>
      </c>
      <c r="E1584" s="78">
        <f t="shared" ref="E1584:E1625" si="192">E1583</f>
        <v>10</v>
      </c>
      <c r="F1584" s="74" t="s">
        <v>54</v>
      </c>
      <c r="G1584" s="77">
        <f t="shared" ref="G1584:G1592" si="193">H1583</f>
        <v>43730</v>
      </c>
      <c r="H1584" s="77">
        <f t="shared" ref="H1584:H1591" si="194">H1583+300</f>
        <v>44030</v>
      </c>
      <c r="I1584" s="76">
        <v>0.8</v>
      </c>
    </row>
    <row r="1585" spans="3:9" x14ac:dyDescent="0.35">
      <c r="C1585" t="s">
        <v>312</v>
      </c>
      <c r="D1585" s="3">
        <v>2019</v>
      </c>
      <c r="E1585" s="78">
        <f t="shared" si="192"/>
        <v>10</v>
      </c>
      <c r="F1585" s="74" t="s">
        <v>54</v>
      </c>
      <c r="G1585" s="77">
        <f t="shared" si="193"/>
        <v>44030</v>
      </c>
      <c r="H1585" s="77">
        <f t="shared" si="194"/>
        <v>44330</v>
      </c>
      <c r="I1585" s="76">
        <v>0.7</v>
      </c>
    </row>
    <row r="1586" spans="3:9" x14ac:dyDescent="0.35">
      <c r="C1586" t="s">
        <v>312</v>
      </c>
      <c r="D1586" s="3">
        <v>2019</v>
      </c>
      <c r="E1586" s="78">
        <f t="shared" si="192"/>
        <v>10</v>
      </c>
      <c r="F1586" s="74" t="s">
        <v>54</v>
      </c>
      <c r="G1586" s="77">
        <f t="shared" si="193"/>
        <v>44330</v>
      </c>
      <c r="H1586" s="77">
        <f t="shared" si="194"/>
        <v>44630</v>
      </c>
      <c r="I1586" s="76">
        <v>0.6</v>
      </c>
    </row>
    <row r="1587" spans="3:9" x14ac:dyDescent="0.35">
      <c r="C1587" t="s">
        <v>312</v>
      </c>
      <c r="D1587" s="3">
        <v>2019</v>
      </c>
      <c r="E1587" s="78">
        <f t="shared" si="192"/>
        <v>10</v>
      </c>
      <c r="F1587" s="74" t="s">
        <v>54</v>
      </c>
      <c r="G1587" s="77">
        <f t="shared" si="193"/>
        <v>44630</v>
      </c>
      <c r="H1587" s="77">
        <f t="shared" si="194"/>
        <v>44930</v>
      </c>
      <c r="I1587" s="76">
        <v>0.5</v>
      </c>
    </row>
    <row r="1588" spans="3:9" x14ac:dyDescent="0.35">
      <c r="C1588" t="s">
        <v>312</v>
      </c>
      <c r="D1588" s="3">
        <v>2019</v>
      </c>
      <c r="E1588" s="78">
        <f t="shared" si="192"/>
        <v>10</v>
      </c>
      <c r="F1588" s="74" t="s">
        <v>54</v>
      </c>
      <c r="G1588" s="77">
        <f t="shared" si="193"/>
        <v>44930</v>
      </c>
      <c r="H1588" s="77">
        <f t="shared" si="194"/>
        <v>45230</v>
      </c>
      <c r="I1588" s="76">
        <v>0.4</v>
      </c>
    </row>
    <row r="1589" spans="3:9" x14ac:dyDescent="0.35">
      <c r="C1589" t="s">
        <v>312</v>
      </c>
      <c r="D1589" s="3">
        <v>2019</v>
      </c>
      <c r="E1589" s="78">
        <f t="shared" si="192"/>
        <v>10</v>
      </c>
      <c r="F1589" s="74" t="s">
        <v>54</v>
      </c>
      <c r="G1589" s="77">
        <f t="shared" si="193"/>
        <v>45230</v>
      </c>
      <c r="H1589" s="77">
        <f t="shared" si="194"/>
        <v>45530</v>
      </c>
      <c r="I1589" s="76">
        <v>0.3</v>
      </c>
    </row>
    <row r="1590" spans="3:9" x14ac:dyDescent="0.35">
      <c r="C1590" t="s">
        <v>312</v>
      </c>
      <c r="D1590" s="3">
        <v>2019</v>
      </c>
      <c r="E1590" s="78">
        <f t="shared" si="192"/>
        <v>10</v>
      </c>
      <c r="F1590" s="74" t="s">
        <v>54</v>
      </c>
      <c r="G1590" s="77">
        <f t="shared" si="193"/>
        <v>45530</v>
      </c>
      <c r="H1590" s="77">
        <f t="shared" si="194"/>
        <v>45830</v>
      </c>
      <c r="I1590" s="76">
        <v>0.2</v>
      </c>
    </row>
    <row r="1591" spans="3:9" x14ac:dyDescent="0.35">
      <c r="C1591" t="s">
        <v>312</v>
      </c>
      <c r="D1591" s="3">
        <v>2019</v>
      </c>
      <c r="E1591" s="78">
        <f t="shared" si="192"/>
        <v>10</v>
      </c>
      <c r="F1591" s="74" t="s">
        <v>54</v>
      </c>
      <c r="G1591" s="77">
        <f t="shared" si="193"/>
        <v>45830</v>
      </c>
      <c r="H1591" s="77">
        <f t="shared" si="194"/>
        <v>46130</v>
      </c>
      <c r="I1591" s="76">
        <v>0.1</v>
      </c>
    </row>
    <row r="1592" spans="3:9" x14ac:dyDescent="0.35">
      <c r="C1592" t="s">
        <v>312</v>
      </c>
      <c r="D1592" s="3">
        <v>2019</v>
      </c>
      <c r="E1592" s="78">
        <f t="shared" si="192"/>
        <v>10</v>
      </c>
      <c r="F1592" s="74" t="s">
        <v>54</v>
      </c>
      <c r="G1592" s="77">
        <f t="shared" si="193"/>
        <v>46130</v>
      </c>
      <c r="H1592" s="77"/>
      <c r="I1592" s="76">
        <v>0</v>
      </c>
    </row>
    <row r="1593" spans="3:9" x14ac:dyDescent="0.35">
      <c r="C1593" t="s">
        <v>312</v>
      </c>
      <c r="D1593" s="3">
        <v>2019</v>
      </c>
      <c r="E1593" s="78">
        <f t="shared" si="192"/>
        <v>10</v>
      </c>
      <c r="F1593" s="74" t="s">
        <v>34</v>
      </c>
      <c r="G1593" s="77">
        <v>0</v>
      </c>
      <c r="H1593" s="75">
        <f>H1582</f>
        <v>43430</v>
      </c>
      <c r="I1593" s="76">
        <v>1</v>
      </c>
    </row>
    <row r="1594" spans="3:9" x14ac:dyDescent="0.35">
      <c r="C1594" t="s">
        <v>312</v>
      </c>
      <c r="D1594" s="3">
        <v>2019</v>
      </c>
      <c r="E1594" s="78">
        <f t="shared" si="192"/>
        <v>10</v>
      </c>
      <c r="F1594" s="74" t="s">
        <v>34</v>
      </c>
      <c r="G1594" s="77">
        <f>H1593</f>
        <v>43430</v>
      </c>
      <c r="H1594" s="77">
        <f>H1593+300</f>
        <v>43730</v>
      </c>
      <c r="I1594" s="76">
        <v>0.9</v>
      </c>
    </row>
    <row r="1595" spans="3:9" x14ac:dyDescent="0.35">
      <c r="C1595" t="s">
        <v>312</v>
      </c>
      <c r="D1595" s="3">
        <v>2019</v>
      </c>
      <c r="E1595" s="78">
        <f t="shared" si="192"/>
        <v>10</v>
      </c>
      <c r="F1595" s="74" t="s">
        <v>34</v>
      </c>
      <c r="G1595" s="77">
        <f t="shared" ref="G1595:G1603" si="195">H1594</f>
        <v>43730</v>
      </c>
      <c r="H1595" s="77">
        <f t="shared" ref="H1595:H1602" si="196">H1594+300</f>
        <v>44030</v>
      </c>
      <c r="I1595" s="76">
        <v>0.8</v>
      </c>
    </row>
    <row r="1596" spans="3:9" x14ac:dyDescent="0.35">
      <c r="C1596" t="s">
        <v>312</v>
      </c>
      <c r="D1596" s="3">
        <v>2019</v>
      </c>
      <c r="E1596" s="78">
        <f t="shared" si="192"/>
        <v>10</v>
      </c>
      <c r="F1596" s="74" t="s">
        <v>34</v>
      </c>
      <c r="G1596" s="77">
        <f t="shared" si="195"/>
        <v>44030</v>
      </c>
      <c r="H1596" s="77">
        <f t="shared" si="196"/>
        <v>44330</v>
      </c>
      <c r="I1596" s="76">
        <v>0.7</v>
      </c>
    </row>
    <row r="1597" spans="3:9" x14ac:dyDescent="0.35">
      <c r="C1597" t="s">
        <v>312</v>
      </c>
      <c r="D1597" s="3">
        <v>2019</v>
      </c>
      <c r="E1597" s="78">
        <f t="shared" si="192"/>
        <v>10</v>
      </c>
      <c r="F1597" s="74" t="s">
        <v>34</v>
      </c>
      <c r="G1597" s="77">
        <f t="shared" si="195"/>
        <v>44330</v>
      </c>
      <c r="H1597" s="77">
        <f t="shared" si="196"/>
        <v>44630</v>
      </c>
      <c r="I1597" s="76">
        <v>0.6</v>
      </c>
    </row>
    <row r="1598" spans="3:9" x14ac:dyDescent="0.35">
      <c r="C1598" t="s">
        <v>312</v>
      </c>
      <c r="D1598" s="3">
        <v>2019</v>
      </c>
      <c r="E1598" s="78">
        <f t="shared" si="192"/>
        <v>10</v>
      </c>
      <c r="F1598" s="74" t="s">
        <v>34</v>
      </c>
      <c r="G1598" s="77">
        <f t="shared" si="195"/>
        <v>44630</v>
      </c>
      <c r="H1598" s="77">
        <f t="shared" si="196"/>
        <v>44930</v>
      </c>
      <c r="I1598" s="76">
        <v>0.5</v>
      </c>
    </row>
    <row r="1599" spans="3:9" x14ac:dyDescent="0.35">
      <c r="C1599" t="s">
        <v>312</v>
      </c>
      <c r="D1599" s="3">
        <v>2019</v>
      </c>
      <c r="E1599" s="78">
        <f t="shared" si="192"/>
        <v>10</v>
      </c>
      <c r="F1599" s="74" t="s">
        <v>34</v>
      </c>
      <c r="G1599" s="77">
        <f t="shared" si="195"/>
        <v>44930</v>
      </c>
      <c r="H1599" s="77">
        <f t="shared" si="196"/>
        <v>45230</v>
      </c>
      <c r="I1599" s="76">
        <v>0.4</v>
      </c>
    </row>
    <row r="1600" spans="3:9" x14ac:dyDescent="0.35">
      <c r="C1600" t="s">
        <v>312</v>
      </c>
      <c r="D1600" s="3">
        <v>2019</v>
      </c>
      <c r="E1600" s="78">
        <f t="shared" si="192"/>
        <v>10</v>
      </c>
      <c r="F1600" s="74" t="s">
        <v>34</v>
      </c>
      <c r="G1600" s="77">
        <f t="shared" si="195"/>
        <v>45230</v>
      </c>
      <c r="H1600" s="77">
        <f t="shared" si="196"/>
        <v>45530</v>
      </c>
      <c r="I1600" s="76">
        <v>0.3</v>
      </c>
    </row>
    <row r="1601" spans="3:9" x14ac:dyDescent="0.35">
      <c r="C1601" t="s">
        <v>312</v>
      </c>
      <c r="D1601" s="3">
        <v>2019</v>
      </c>
      <c r="E1601" s="78">
        <f t="shared" si="192"/>
        <v>10</v>
      </c>
      <c r="F1601" s="74" t="s">
        <v>34</v>
      </c>
      <c r="G1601" s="77">
        <f t="shared" si="195"/>
        <v>45530</v>
      </c>
      <c r="H1601" s="77">
        <f t="shared" si="196"/>
        <v>45830</v>
      </c>
      <c r="I1601" s="76">
        <v>0.2</v>
      </c>
    </row>
    <row r="1602" spans="3:9" x14ac:dyDescent="0.35">
      <c r="C1602" t="s">
        <v>312</v>
      </c>
      <c r="D1602" s="3">
        <v>2019</v>
      </c>
      <c r="E1602" s="78">
        <f t="shared" si="192"/>
        <v>10</v>
      </c>
      <c r="F1602" s="74" t="s">
        <v>34</v>
      </c>
      <c r="G1602" s="77">
        <f t="shared" si="195"/>
        <v>45830</v>
      </c>
      <c r="H1602" s="77">
        <f t="shared" si="196"/>
        <v>46130</v>
      </c>
      <c r="I1602" s="76">
        <v>0.1</v>
      </c>
    </row>
    <row r="1603" spans="3:9" x14ac:dyDescent="0.35">
      <c r="C1603" t="s">
        <v>312</v>
      </c>
      <c r="D1603" s="3">
        <v>2019</v>
      </c>
      <c r="E1603" s="78">
        <f t="shared" si="192"/>
        <v>10</v>
      </c>
      <c r="F1603" s="74" t="s">
        <v>34</v>
      </c>
      <c r="G1603" s="77">
        <f t="shared" si="195"/>
        <v>46130</v>
      </c>
      <c r="H1603" s="77"/>
      <c r="I1603" s="76">
        <v>0</v>
      </c>
    </row>
    <row r="1604" spans="3:9" x14ac:dyDescent="0.35">
      <c r="C1604" t="s">
        <v>312</v>
      </c>
      <c r="D1604" s="3">
        <v>2019</v>
      </c>
      <c r="E1604" s="78">
        <f t="shared" si="192"/>
        <v>10</v>
      </c>
      <c r="F1604" s="74" t="s">
        <v>40</v>
      </c>
      <c r="G1604" s="77">
        <v>0</v>
      </c>
      <c r="H1604" s="75">
        <f>H1593</f>
        <v>43430</v>
      </c>
      <c r="I1604" s="76">
        <v>1</v>
      </c>
    </row>
    <row r="1605" spans="3:9" x14ac:dyDescent="0.35">
      <c r="C1605" t="s">
        <v>312</v>
      </c>
      <c r="D1605" s="3">
        <v>2019</v>
      </c>
      <c r="E1605" s="78">
        <f t="shared" si="192"/>
        <v>10</v>
      </c>
      <c r="F1605" s="74" t="s">
        <v>40</v>
      </c>
      <c r="G1605" s="77">
        <f>H1604</f>
        <v>43430</v>
      </c>
      <c r="H1605" s="77">
        <f>H1604+300</f>
        <v>43730</v>
      </c>
      <c r="I1605" s="76">
        <v>0.9</v>
      </c>
    </row>
    <row r="1606" spans="3:9" x14ac:dyDescent="0.35">
      <c r="C1606" t="s">
        <v>312</v>
      </c>
      <c r="D1606" s="3">
        <v>2019</v>
      </c>
      <c r="E1606" s="78">
        <f t="shared" si="192"/>
        <v>10</v>
      </c>
      <c r="F1606" s="74" t="s">
        <v>40</v>
      </c>
      <c r="G1606" s="77">
        <f t="shared" ref="G1606:G1614" si="197">H1605</f>
        <v>43730</v>
      </c>
      <c r="H1606" s="77">
        <f t="shared" ref="H1606:H1613" si="198">H1605+300</f>
        <v>44030</v>
      </c>
      <c r="I1606" s="76">
        <v>0.8</v>
      </c>
    </row>
    <row r="1607" spans="3:9" x14ac:dyDescent="0.35">
      <c r="C1607" t="s">
        <v>312</v>
      </c>
      <c r="D1607" s="3">
        <v>2019</v>
      </c>
      <c r="E1607" s="78">
        <f t="shared" si="192"/>
        <v>10</v>
      </c>
      <c r="F1607" s="74" t="s">
        <v>40</v>
      </c>
      <c r="G1607" s="77">
        <f t="shared" si="197"/>
        <v>44030</v>
      </c>
      <c r="H1607" s="77">
        <f t="shared" si="198"/>
        <v>44330</v>
      </c>
      <c r="I1607" s="76">
        <v>0.7</v>
      </c>
    </row>
    <row r="1608" spans="3:9" x14ac:dyDescent="0.35">
      <c r="C1608" t="s">
        <v>312</v>
      </c>
      <c r="D1608" s="3">
        <v>2019</v>
      </c>
      <c r="E1608" s="78">
        <f t="shared" si="192"/>
        <v>10</v>
      </c>
      <c r="F1608" s="74" t="s">
        <v>40</v>
      </c>
      <c r="G1608" s="77">
        <f t="shared" si="197"/>
        <v>44330</v>
      </c>
      <c r="H1608" s="77">
        <f t="shared" si="198"/>
        <v>44630</v>
      </c>
      <c r="I1608" s="76">
        <v>0.6</v>
      </c>
    </row>
    <row r="1609" spans="3:9" x14ac:dyDescent="0.35">
      <c r="C1609" t="s">
        <v>312</v>
      </c>
      <c r="D1609" s="3">
        <v>2019</v>
      </c>
      <c r="E1609" s="78">
        <f t="shared" si="192"/>
        <v>10</v>
      </c>
      <c r="F1609" s="74" t="s">
        <v>40</v>
      </c>
      <c r="G1609" s="77">
        <f t="shared" si="197"/>
        <v>44630</v>
      </c>
      <c r="H1609" s="77">
        <f t="shared" si="198"/>
        <v>44930</v>
      </c>
      <c r="I1609" s="76">
        <v>0.5</v>
      </c>
    </row>
    <row r="1610" spans="3:9" x14ac:dyDescent="0.35">
      <c r="C1610" t="s">
        <v>312</v>
      </c>
      <c r="D1610" s="3">
        <v>2019</v>
      </c>
      <c r="E1610" s="78">
        <f t="shared" si="192"/>
        <v>10</v>
      </c>
      <c r="F1610" s="74" t="s">
        <v>40</v>
      </c>
      <c r="G1610" s="77">
        <f t="shared" si="197"/>
        <v>44930</v>
      </c>
      <c r="H1610" s="77">
        <f t="shared" si="198"/>
        <v>45230</v>
      </c>
      <c r="I1610" s="76">
        <v>0.4</v>
      </c>
    </row>
    <row r="1611" spans="3:9" x14ac:dyDescent="0.35">
      <c r="C1611" t="s">
        <v>312</v>
      </c>
      <c r="D1611" s="3">
        <v>2019</v>
      </c>
      <c r="E1611" s="78">
        <f t="shared" si="192"/>
        <v>10</v>
      </c>
      <c r="F1611" s="74" t="s">
        <v>40</v>
      </c>
      <c r="G1611" s="77">
        <f t="shared" si="197"/>
        <v>45230</v>
      </c>
      <c r="H1611" s="77">
        <f t="shared" si="198"/>
        <v>45530</v>
      </c>
      <c r="I1611" s="76">
        <v>0.3</v>
      </c>
    </row>
    <row r="1612" spans="3:9" x14ac:dyDescent="0.35">
      <c r="C1612" t="s">
        <v>312</v>
      </c>
      <c r="D1612" s="3">
        <v>2019</v>
      </c>
      <c r="E1612" s="78">
        <f t="shared" si="192"/>
        <v>10</v>
      </c>
      <c r="F1612" s="74" t="s">
        <v>40</v>
      </c>
      <c r="G1612" s="77">
        <f t="shared" si="197"/>
        <v>45530</v>
      </c>
      <c r="H1612" s="77">
        <f t="shared" si="198"/>
        <v>45830</v>
      </c>
      <c r="I1612" s="76">
        <v>0.2</v>
      </c>
    </row>
    <row r="1613" spans="3:9" x14ac:dyDescent="0.35">
      <c r="C1613" t="s">
        <v>312</v>
      </c>
      <c r="D1613" s="3">
        <v>2019</v>
      </c>
      <c r="E1613" s="78">
        <f t="shared" si="192"/>
        <v>10</v>
      </c>
      <c r="F1613" s="74" t="s">
        <v>40</v>
      </c>
      <c r="G1613" s="77">
        <f t="shared" si="197"/>
        <v>45830</v>
      </c>
      <c r="H1613" s="77">
        <f t="shared" si="198"/>
        <v>46130</v>
      </c>
      <c r="I1613" s="76">
        <v>0.1</v>
      </c>
    </row>
    <row r="1614" spans="3:9" x14ac:dyDescent="0.35">
      <c r="C1614" t="s">
        <v>312</v>
      </c>
      <c r="D1614" s="3">
        <v>2019</v>
      </c>
      <c r="E1614" s="78">
        <f t="shared" si="192"/>
        <v>10</v>
      </c>
      <c r="F1614" s="74" t="s">
        <v>40</v>
      </c>
      <c r="G1614" s="77">
        <f t="shared" si="197"/>
        <v>46130</v>
      </c>
      <c r="H1614" s="77"/>
      <c r="I1614" s="76">
        <v>0</v>
      </c>
    </row>
    <row r="1615" spans="3:9" x14ac:dyDescent="0.35">
      <c r="C1615" t="s">
        <v>312</v>
      </c>
      <c r="D1615" s="3">
        <v>2019</v>
      </c>
      <c r="E1615" s="78">
        <f t="shared" si="192"/>
        <v>10</v>
      </c>
      <c r="F1615" s="74" t="s">
        <v>313</v>
      </c>
      <c r="G1615" s="77">
        <v>0</v>
      </c>
      <c r="H1615" s="75">
        <f>H1604</f>
        <v>43430</v>
      </c>
      <c r="I1615" s="76">
        <v>1</v>
      </c>
    </row>
    <row r="1616" spans="3:9" x14ac:dyDescent="0.35">
      <c r="C1616" t="s">
        <v>312</v>
      </c>
      <c r="D1616" s="3">
        <v>2019</v>
      </c>
      <c r="E1616" s="78">
        <f t="shared" si="192"/>
        <v>10</v>
      </c>
      <c r="F1616" s="74" t="s">
        <v>313</v>
      </c>
      <c r="G1616" s="77">
        <f>H1615</f>
        <v>43430</v>
      </c>
      <c r="H1616" s="77">
        <f>H1615+300</f>
        <v>43730</v>
      </c>
      <c r="I1616" s="76">
        <v>0.9</v>
      </c>
    </row>
    <row r="1617" spans="3:9" x14ac:dyDescent="0.35">
      <c r="C1617" t="s">
        <v>312</v>
      </c>
      <c r="D1617" s="3">
        <v>2019</v>
      </c>
      <c r="E1617" s="78">
        <f t="shared" si="192"/>
        <v>10</v>
      </c>
      <c r="F1617" s="74" t="s">
        <v>313</v>
      </c>
      <c r="G1617" s="77">
        <f t="shared" ref="G1617:G1625" si="199">H1616</f>
        <v>43730</v>
      </c>
      <c r="H1617" s="77">
        <f t="shared" ref="H1617:H1624" si="200">H1616+300</f>
        <v>44030</v>
      </c>
      <c r="I1617" s="76">
        <v>0.8</v>
      </c>
    </row>
    <row r="1618" spans="3:9" x14ac:dyDescent="0.35">
      <c r="C1618" t="s">
        <v>312</v>
      </c>
      <c r="D1618" s="3">
        <v>2019</v>
      </c>
      <c r="E1618" s="78">
        <f t="shared" si="192"/>
        <v>10</v>
      </c>
      <c r="F1618" s="74" t="s">
        <v>313</v>
      </c>
      <c r="G1618" s="77">
        <f t="shared" si="199"/>
        <v>44030</v>
      </c>
      <c r="H1618" s="77">
        <f t="shared" si="200"/>
        <v>44330</v>
      </c>
      <c r="I1618" s="76">
        <v>0.7</v>
      </c>
    </row>
    <row r="1619" spans="3:9" x14ac:dyDescent="0.35">
      <c r="C1619" t="s">
        <v>312</v>
      </c>
      <c r="D1619" s="3">
        <v>2019</v>
      </c>
      <c r="E1619" s="78">
        <f t="shared" si="192"/>
        <v>10</v>
      </c>
      <c r="F1619" s="74" t="s">
        <v>313</v>
      </c>
      <c r="G1619" s="77">
        <f t="shared" si="199"/>
        <v>44330</v>
      </c>
      <c r="H1619" s="77">
        <f t="shared" si="200"/>
        <v>44630</v>
      </c>
      <c r="I1619" s="76">
        <v>0.6</v>
      </c>
    </row>
    <row r="1620" spans="3:9" x14ac:dyDescent="0.35">
      <c r="C1620" t="s">
        <v>312</v>
      </c>
      <c r="D1620" s="3">
        <v>2019</v>
      </c>
      <c r="E1620" s="78">
        <f t="shared" si="192"/>
        <v>10</v>
      </c>
      <c r="F1620" s="74" t="s">
        <v>313</v>
      </c>
      <c r="G1620" s="77">
        <f t="shared" si="199"/>
        <v>44630</v>
      </c>
      <c r="H1620" s="77">
        <f t="shared" si="200"/>
        <v>44930</v>
      </c>
      <c r="I1620" s="76">
        <v>0.5</v>
      </c>
    </row>
    <row r="1621" spans="3:9" x14ac:dyDescent="0.35">
      <c r="C1621" t="s">
        <v>312</v>
      </c>
      <c r="D1621" s="3">
        <v>2019</v>
      </c>
      <c r="E1621" s="78">
        <f t="shared" si="192"/>
        <v>10</v>
      </c>
      <c r="F1621" s="74" t="s">
        <v>313</v>
      </c>
      <c r="G1621" s="77">
        <f t="shared" si="199"/>
        <v>44930</v>
      </c>
      <c r="H1621" s="77">
        <f t="shared" si="200"/>
        <v>45230</v>
      </c>
      <c r="I1621" s="76">
        <v>0.4</v>
      </c>
    </row>
    <row r="1622" spans="3:9" x14ac:dyDescent="0.35">
      <c r="C1622" t="s">
        <v>312</v>
      </c>
      <c r="D1622" s="3">
        <v>2019</v>
      </c>
      <c r="E1622" s="78">
        <f t="shared" si="192"/>
        <v>10</v>
      </c>
      <c r="F1622" s="74" t="s">
        <v>313</v>
      </c>
      <c r="G1622" s="77">
        <f t="shared" si="199"/>
        <v>45230</v>
      </c>
      <c r="H1622" s="77">
        <f t="shared" si="200"/>
        <v>45530</v>
      </c>
      <c r="I1622" s="76">
        <v>0.3</v>
      </c>
    </row>
    <row r="1623" spans="3:9" x14ac:dyDescent="0.35">
      <c r="C1623" t="s">
        <v>312</v>
      </c>
      <c r="D1623" s="3">
        <v>2019</v>
      </c>
      <c r="E1623" s="78">
        <f t="shared" si="192"/>
        <v>10</v>
      </c>
      <c r="F1623" s="74" t="s">
        <v>313</v>
      </c>
      <c r="G1623" s="77">
        <f t="shared" si="199"/>
        <v>45530</v>
      </c>
      <c r="H1623" s="77">
        <f t="shared" si="200"/>
        <v>45830</v>
      </c>
      <c r="I1623" s="76">
        <v>0.2</v>
      </c>
    </row>
    <row r="1624" spans="3:9" x14ac:dyDescent="0.35">
      <c r="C1624" t="s">
        <v>312</v>
      </c>
      <c r="D1624" s="3">
        <v>2019</v>
      </c>
      <c r="E1624" s="78">
        <f t="shared" si="192"/>
        <v>10</v>
      </c>
      <c r="F1624" s="74" t="s">
        <v>313</v>
      </c>
      <c r="G1624" s="77">
        <f t="shared" si="199"/>
        <v>45830</v>
      </c>
      <c r="H1624" s="77">
        <f t="shared" si="200"/>
        <v>46130</v>
      </c>
      <c r="I1624" s="76">
        <v>0.1</v>
      </c>
    </row>
    <row r="1625" spans="3:9" x14ac:dyDescent="0.35">
      <c r="C1625" t="s">
        <v>312</v>
      </c>
      <c r="D1625" s="3">
        <v>2019</v>
      </c>
      <c r="E1625" s="78">
        <f t="shared" si="192"/>
        <v>10</v>
      </c>
      <c r="F1625" s="74" t="s">
        <v>313</v>
      </c>
      <c r="G1625" s="77">
        <f t="shared" si="199"/>
        <v>46130</v>
      </c>
      <c r="H1625" s="77"/>
      <c r="I1625" s="76">
        <v>0</v>
      </c>
    </row>
    <row r="1626" spans="3:9" x14ac:dyDescent="0.35">
      <c r="C1626" t="s">
        <v>312</v>
      </c>
      <c r="D1626" s="3">
        <v>2019</v>
      </c>
      <c r="E1626" s="73">
        <v>1</v>
      </c>
      <c r="F1626" s="74" t="s">
        <v>36</v>
      </c>
      <c r="G1626" s="75">
        <v>0</v>
      </c>
      <c r="H1626" s="75">
        <v>6245</v>
      </c>
      <c r="I1626" s="76">
        <v>1</v>
      </c>
    </row>
    <row r="1627" spans="3:9" x14ac:dyDescent="0.35">
      <c r="C1627" t="s">
        <v>312</v>
      </c>
      <c r="D1627" s="3">
        <v>2019</v>
      </c>
      <c r="E1627" s="73">
        <v>1</v>
      </c>
      <c r="F1627" s="74" t="s">
        <v>36</v>
      </c>
      <c r="G1627" s="77">
        <f>H1626</f>
        <v>6245</v>
      </c>
      <c r="H1627" s="77">
        <f>H1626+150</f>
        <v>6395</v>
      </c>
      <c r="I1627" s="76">
        <v>0.9</v>
      </c>
    </row>
    <row r="1628" spans="3:9" x14ac:dyDescent="0.35">
      <c r="C1628" t="s">
        <v>312</v>
      </c>
      <c r="D1628" s="3">
        <v>2019</v>
      </c>
      <c r="E1628" s="73">
        <v>1</v>
      </c>
      <c r="F1628" s="74" t="s">
        <v>36</v>
      </c>
      <c r="G1628" s="77">
        <f t="shared" ref="G1628:G1636" si="201">H1627</f>
        <v>6395</v>
      </c>
      <c r="H1628" s="77">
        <f t="shared" ref="H1628:H1634" si="202">H1627+150</f>
        <v>6545</v>
      </c>
      <c r="I1628" s="76">
        <v>0.8</v>
      </c>
    </row>
    <row r="1629" spans="3:9" x14ac:dyDescent="0.35">
      <c r="C1629" t="s">
        <v>312</v>
      </c>
      <c r="D1629" s="3">
        <v>2019</v>
      </c>
      <c r="E1629" s="73">
        <v>1</v>
      </c>
      <c r="F1629" s="74" t="s">
        <v>36</v>
      </c>
      <c r="G1629" s="77">
        <f t="shared" si="201"/>
        <v>6545</v>
      </c>
      <c r="H1629" s="77">
        <f t="shared" si="202"/>
        <v>6695</v>
      </c>
      <c r="I1629" s="76">
        <v>0.7</v>
      </c>
    </row>
    <row r="1630" spans="3:9" x14ac:dyDescent="0.35">
      <c r="C1630" t="s">
        <v>312</v>
      </c>
      <c r="D1630" s="3">
        <v>2019</v>
      </c>
      <c r="E1630" s="73">
        <v>1</v>
      </c>
      <c r="F1630" s="74" t="s">
        <v>36</v>
      </c>
      <c r="G1630" s="77">
        <f t="shared" si="201"/>
        <v>6695</v>
      </c>
      <c r="H1630" s="77">
        <f t="shared" si="202"/>
        <v>6845</v>
      </c>
      <c r="I1630" s="76">
        <v>0.6</v>
      </c>
    </row>
    <row r="1631" spans="3:9" x14ac:dyDescent="0.35">
      <c r="C1631" t="s">
        <v>312</v>
      </c>
      <c r="D1631" s="3">
        <v>2019</v>
      </c>
      <c r="E1631" s="73">
        <v>1</v>
      </c>
      <c r="F1631" s="74" t="s">
        <v>36</v>
      </c>
      <c r="G1631" s="77">
        <f t="shared" si="201"/>
        <v>6845</v>
      </c>
      <c r="H1631" s="77">
        <f t="shared" si="202"/>
        <v>6995</v>
      </c>
      <c r="I1631" s="76">
        <v>0.5</v>
      </c>
    </row>
    <row r="1632" spans="3:9" x14ac:dyDescent="0.35">
      <c r="C1632" t="s">
        <v>312</v>
      </c>
      <c r="D1632" s="3">
        <v>2019</v>
      </c>
      <c r="E1632" s="73">
        <v>1</v>
      </c>
      <c r="F1632" s="74" t="s">
        <v>36</v>
      </c>
      <c r="G1632" s="77">
        <f t="shared" si="201"/>
        <v>6995</v>
      </c>
      <c r="H1632" s="77">
        <f t="shared" si="202"/>
        <v>7145</v>
      </c>
      <c r="I1632" s="76">
        <v>0.4</v>
      </c>
    </row>
    <row r="1633" spans="3:9" x14ac:dyDescent="0.35">
      <c r="C1633" t="s">
        <v>312</v>
      </c>
      <c r="D1633" s="3">
        <v>2019</v>
      </c>
      <c r="E1633" s="73">
        <v>1</v>
      </c>
      <c r="F1633" s="74" t="s">
        <v>36</v>
      </c>
      <c r="G1633" s="77">
        <f t="shared" si="201"/>
        <v>7145</v>
      </c>
      <c r="H1633" s="77">
        <f t="shared" si="202"/>
        <v>7295</v>
      </c>
      <c r="I1633" s="76">
        <v>0.3</v>
      </c>
    </row>
    <row r="1634" spans="3:9" x14ac:dyDescent="0.35">
      <c r="C1634" t="s">
        <v>312</v>
      </c>
      <c r="D1634" s="3">
        <v>2019</v>
      </c>
      <c r="E1634" s="73">
        <v>1</v>
      </c>
      <c r="F1634" s="74" t="s">
        <v>36</v>
      </c>
      <c r="G1634" s="77">
        <f t="shared" si="201"/>
        <v>7295</v>
      </c>
      <c r="H1634" s="77">
        <f t="shared" si="202"/>
        <v>7445</v>
      </c>
      <c r="I1634" s="76">
        <v>0.2</v>
      </c>
    </row>
    <row r="1635" spans="3:9" x14ac:dyDescent="0.35">
      <c r="C1635" t="s">
        <v>312</v>
      </c>
      <c r="D1635" s="3">
        <v>2019</v>
      </c>
      <c r="E1635" s="73">
        <v>1</v>
      </c>
      <c r="F1635" s="74" t="s">
        <v>36</v>
      </c>
      <c r="G1635" s="77">
        <f t="shared" si="201"/>
        <v>7445</v>
      </c>
      <c r="H1635" s="77">
        <f>H1634+150</f>
        <v>7595</v>
      </c>
      <c r="I1635" s="76">
        <v>0.1</v>
      </c>
    </row>
    <row r="1636" spans="3:9" x14ac:dyDescent="0.35">
      <c r="C1636" t="s">
        <v>312</v>
      </c>
      <c r="D1636" s="3">
        <v>2019</v>
      </c>
      <c r="E1636" s="73">
        <v>1</v>
      </c>
      <c r="F1636" s="74" t="s">
        <v>36</v>
      </c>
      <c r="G1636" s="77">
        <f t="shared" si="201"/>
        <v>7595</v>
      </c>
      <c r="H1636" s="77"/>
      <c r="I1636" s="76">
        <v>0</v>
      </c>
    </row>
    <row r="1637" spans="3:9" x14ac:dyDescent="0.35">
      <c r="C1637" t="s">
        <v>312</v>
      </c>
      <c r="D1637" s="3">
        <v>2019</v>
      </c>
      <c r="E1637" s="73">
        <v>2</v>
      </c>
      <c r="F1637" s="74" t="s">
        <v>36</v>
      </c>
      <c r="G1637" s="77">
        <v>0</v>
      </c>
      <c r="H1637" s="77">
        <v>8455</v>
      </c>
      <c r="I1637" s="76">
        <v>1</v>
      </c>
    </row>
    <row r="1638" spans="3:9" x14ac:dyDescent="0.35">
      <c r="C1638" t="s">
        <v>312</v>
      </c>
      <c r="D1638" s="3">
        <v>2019</v>
      </c>
      <c r="E1638" s="78">
        <f>E1637</f>
        <v>2</v>
      </c>
      <c r="F1638" s="74" t="s">
        <v>36</v>
      </c>
      <c r="G1638" s="77">
        <f>H1637</f>
        <v>8455</v>
      </c>
      <c r="H1638" s="77">
        <f>H1637+150</f>
        <v>8605</v>
      </c>
      <c r="I1638" s="76">
        <v>0.9</v>
      </c>
    </row>
    <row r="1639" spans="3:9" x14ac:dyDescent="0.35">
      <c r="C1639" t="s">
        <v>312</v>
      </c>
      <c r="D1639" s="3">
        <v>2019</v>
      </c>
      <c r="E1639" s="78">
        <f t="shared" ref="E1639:E1647" si="203">E1638</f>
        <v>2</v>
      </c>
      <c r="F1639" s="74" t="s">
        <v>36</v>
      </c>
      <c r="G1639" s="77">
        <f t="shared" ref="G1639:G1647" si="204">H1638</f>
        <v>8605</v>
      </c>
      <c r="H1639" s="77">
        <f t="shared" ref="H1639:H1645" si="205">H1638+150</f>
        <v>8755</v>
      </c>
      <c r="I1639" s="76">
        <v>0.8</v>
      </c>
    </row>
    <row r="1640" spans="3:9" x14ac:dyDescent="0.35">
      <c r="C1640" t="s">
        <v>312</v>
      </c>
      <c r="D1640" s="3">
        <v>2019</v>
      </c>
      <c r="E1640" s="78">
        <f t="shared" si="203"/>
        <v>2</v>
      </c>
      <c r="F1640" s="74" t="s">
        <v>36</v>
      </c>
      <c r="G1640" s="77">
        <f t="shared" si="204"/>
        <v>8755</v>
      </c>
      <c r="H1640" s="77">
        <f t="shared" si="205"/>
        <v>8905</v>
      </c>
      <c r="I1640" s="76">
        <v>0.7</v>
      </c>
    </row>
    <row r="1641" spans="3:9" x14ac:dyDescent="0.35">
      <c r="C1641" t="s">
        <v>312</v>
      </c>
      <c r="D1641" s="3">
        <v>2019</v>
      </c>
      <c r="E1641" s="78">
        <f t="shared" si="203"/>
        <v>2</v>
      </c>
      <c r="F1641" s="74" t="s">
        <v>36</v>
      </c>
      <c r="G1641" s="77">
        <f t="shared" si="204"/>
        <v>8905</v>
      </c>
      <c r="H1641" s="77">
        <f t="shared" si="205"/>
        <v>9055</v>
      </c>
      <c r="I1641" s="76">
        <v>0.6</v>
      </c>
    </row>
    <row r="1642" spans="3:9" x14ac:dyDescent="0.35">
      <c r="C1642" t="s">
        <v>312</v>
      </c>
      <c r="D1642" s="3">
        <v>2019</v>
      </c>
      <c r="E1642" s="78">
        <f t="shared" si="203"/>
        <v>2</v>
      </c>
      <c r="F1642" s="74" t="s">
        <v>36</v>
      </c>
      <c r="G1642" s="77">
        <f t="shared" si="204"/>
        <v>9055</v>
      </c>
      <c r="H1642" s="77">
        <f t="shared" si="205"/>
        <v>9205</v>
      </c>
      <c r="I1642" s="76">
        <v>0.5</v>
      </c>
    </row>
    <row r="1643" spans="3:9" x14ac:dyDescent="0.35">
      <c r="C1643" t="s">
        <v>312</v>
      </c>
      <c r="D1643" s="3">
        <v>2019</v>
      </c>
      <c r="E1643" s="78">
        <f t="shared" si="203"/>
        <v>2</v>
      </c>
      <c r="F1643" s="74" t="s">
        <v>36</v>
      </c>
      <c r="G1643" s="77">
        <f t="shared" si="204"/>
        <v>9205</v>
      </c>
      <c r="H1643" s="77">
        <f t="shared" si="205"/>
        <v>9355</v>
      </c>
      <c r="I1643" s="76">
        <v>0.4</v>
      </c>
    </row>
    <row r="1644" spans="3:9" x14ac:dyDescent="0.35">
      <c r="C1644" t="s">
        <v>312</v>
      </c>
      <c r="D1644" s="3">
        <v>2019</v>
      </c>
      <c r="E1644" s="78">
        <f t="shared" si="203"/>
        <v>2</v>
      </c>
      <c r="F1644" s="74" t="s">
        <v>36</v>
      </c>
      <c r="G1644" s="77">
        <f t="shared" si="204"/>
        <v>9355</v>
      </c>
      <c r="H1644" s="77">
        <f t="shared" si="205"/>
        <v>9505</v>
      </c>
      <c r="I1644" s="76">
        <v>0.3</v>
      </c>
    </row>
    <row r="1645" spans="3:9" x14ac:dyDescent="0.35">
      <c r="C1645" t="s">
        <v>312</v>
      </c>
      <c r="D1645" s="3">
        <v>2019</v>
      </c>
      <c r="E1645" s="78">
        <f t="shared" si="203"/>
        <v>2</v>
      </c>
      <c r="F1645" s="74" t="s">
        <v>36</v>
      </c>
      <c r="G1645" s="77">
        <f t="shared" si="204"/>
        <v>9505</v>
      </c>
      <c r="H1645" s="77">
        <f t="shared" si="205"/>
        <v>9655</v>
      </c>
      <c r="I1645" s="76">
        <v>0.2</v>
      </c>
    </row>
    <row r="1646" spans="3:9" x14ac:dyDescent="0.35">
      <c r="C1646" t="s">
        <v>312</v>
      </c>
      <c r="D1646" s="3">
        <v>2019</v>
      </c>
      <c r="E1646" s="78">
        <f t="shared" si="203"/>
        <v>2</v>
      </c>
      <c r="F1646" s="74" t="s">
        <v>36</v>
      </c>
      <c r="G1646" s="77">
        <f t="shared" si="204"/>
        <v>9655</v>
      </c>
      <c r="H1646" s="77">
        <f>H1645+150</f>
        <v>9805</v>
      </c>
      <c r="I1646" s="76">
        <v>0.1</v>
      </c>
    </row>
    <row r="1647" spans="3:9" x14ac:dyDescent="0.35">
      <c r="C1647" t="s">
        <v>312</v>
      </c>
      <c r="D1647" s="3">
        <v>2019</v>
      </c>
      <c r="E1647" s="78">
        <f t="shared" si="203"/>
        <v>2</v>
      </c>
      <c r="F1647" s="74" t="s">
        <v>36</v>
      </c>
      <c r="G1647" s="77">
        <f t="shared" si="204"/>
        <v>9805</v>
      </c>
      <c r="H1647" s="77"/>
      <c r="I1647" s="76">
        <v>0</v>
      </c>
    </row>
    <row r="1648" spans="3:9" x14ac:dyDescent="0.35">
      <c r="C1648" t="s">
        <v>312</v>
      </c>
      <c r="D1648" s="3">
        <v>2019</v>
      </c>
      <c r="E1648" s="73">
        <v>3</v>
      </c>
      <c r="F1648" s="74" t="s">
        <v>36</v>
      </c>
      <c r="G1648" s="77">
        <v>0</v>
      </c>
      <c r="H1648" s="77">
        <v>10665</v>
      </c>
      <c r="I1648" s="76">
        <v>1</v>
      </c>
    </row>
    <row r="1649" spans="3:9" x14ac:dyDescent="0.35">
      <c r="C1649" t="s">
        <v>312</v>
      </c>
      <c r="D1649" s="3">
        <v>2019</v>
      </c>
      <c r="E1649" s="78">
        <f>E1648</f>
        <v>3</v>
      </c>
      <c r="F1649" s="74" t="s">
        <v>36</v>
      </c>
      <c r="G1649" s="77">
        <f>H1648</f>
        <v>10665</v>
      </c>
      <c r="H1649" s="77">
        <f>H1648+150</f>
        <v>10815</v>
      </c>
      <c r="I1649" s="76">
        <v>0.9</v>
      </c>
    </row>
    <row r="1650" spans="3:9" x14ac:dyDescent="0.35">
      <c r="C1650" t="s">
        <v>312</v>
      </c>
      <c r="D1650" s="3">
        <v>2019</v>
      </c>
      <c r="E1650" s="78">
        <f t="shared" ref="E1650:E1658" si="206">E1649</f>
        <v>3</v>
      </c>
      <c r="F1650" s="74" t="s">
        <v>36</v>
      </c>
      <c r="G1650" s="77">
        <f t="shared" ref="G1650:G1658" si="207">H1649</f>
        <v>10815</v>
      </c>
      <c r="H1650" s="77">
        <f t="shared" ref="H1650:H1656" si="208">H1649+150</f>
        <v>10965</v>
      </c>
      <c r="I1650" s="76">
        <v>0.8</v>
      </c>
    </row>
    <row r="1651" spans="3:9" x14ac:dyDescent="0.35">
      <c r="C1651" t="s">
        <v>312</v>
      </c>
      <c r="D1651" s="3">
        <v>2019</v>
      </c>
      <c r="E1651" s="78">
        <f t="shared" si="206"/>
        <v>3</v>
      </c>
      <c r="F1651" s="74" t="s">
        <v>36</v>
      </c>
      <c r="G1651" s="77">
        <f t="shared" si="207"/>
        <v>10965</v>
      </c>
      <c r="H1651" s="77">
        <f t="shared" si="208"/>
        <v>11115</v>
      </c>
      <c r="I1651" s="76">
        <v>0.7</v>
      </c>
    </row>
    <row r="1652" spans="3:9" x14ac:dyDescent="0.35">
      <c r="C1652" t="s">
        <v>312</v>
      </c>
      <c r="D1652" s="3">
        <v>2019</v>
      </c>
      <c r="E1652" s="78">
        <f t="shared" si="206"/>
        <v>3</v>
      </c>
      <c r="F1652" s="74" t="s">
        <v>36</v>
      </c>
      <c r="G1652" s="77">
        <f t="shared" si="207"/>
        <v>11115</v>
      </c>
      <c r="H1652" s="77">
        <f t="shared" si="208"/>
        <v>11265</v>
      </c>
      <c r="I1652" s="76">
        <v>0.6</v>
      </c>
    </row>
    <row r="1653" spans="3:9" x14ac:dyDescent="0.35">
      <c r="C1653" t="s">
        <v>312</v>
      </c>
      <c r="D1653" s="3">
        <v>2019</v>
      </c>
      <c r="E1653" s="78">
        <f t="shared" si="206"/>
        <v>3</v>
      </c>
      <c r="F1653" s="74" t="s">
        <v>36</v>
      </c>
      <c r="G1653" s="77">
        <f t="shared" si="207"/>
        <v>11265</v>
      </c>
      <c r="H1653" s="77">
        <f t="shared" si="208"/>
        <v>11415</v>
      </c>
      <c r="I1653" s="76">
        <v>0.5</v>
      </c>
    </row>
    <row r="1654" spans="3:9" x14ac:dyDescent="0.35">
      <c r="C1654" t="s">
        <v>312</v>
      </c>
      <c r="D1654" s="3">
        <v>2019</v>
      </c>
      <c r="E1654" s="78">
        <f t="shared" si="206"/>
        <v>3</v>
      </c>
      <c r="F1654" s="74" t="s">
        <v>36</v>
      </c>
      <c r="G1654" s="77">
        <f t="shared" si="207"/>
        <v>11415</v>
      </c>
      <c r="H1654" s="77">
        <f t="shared" si="208"/>
        <v>11565</v>
      </c>
      <c r="I1654" s="76">
        <v>0.4</v>
      </c>
    </row>
    <row r="1655" spans="3:9" x14ac:dyDescent="0.35">
      <c r="C1655" t="s">
        <v>312</v>
      </c>
      <c r="D1655" s="3">
        <v>2019</v>
      </c>
      <c r="E1655" s="78">
        <f t="shared" si="206"/>
        <v>3</v>
      </c>
      <c r="F1655" s="74" t="s">
        <v>36</v>
      </c>
      <c r="G1655" s="77">
        <f t="shared" si="207"/>
        <v>11565</v>
      </c>
      <c r="H1655" s="77">
        <f t="shared" si="208"/>
        <v>11715</v>
      </c>
      <c r="I1655" s="76">
        <v>0.3</v>
      </c>
    </row>
    <row r="1656" spans="3:9" x14ac:dyDescent="0.35">
      <c r="C1656" t="s">
        <v>312</v>
      </c>
      <c r="D1656" s="3">
        <v>2019</v>
      </c>
      <c r="E1656" s="78">
        <f t="shared" si="206"/>
        <v>3</v>
      </c>
      <c r="F1656" s="74" t="s">
        <v>36</v>
      </c>
      <c r="G1656" s="77">
        <f t="shared" si="207"/>
        <v>11715</v>
      </c>
      <c r="H1656" s="77">
        <f t="shared" si="208"/>
        <v>11865</v>
      </c>
      <c r="I1656" s="76">
        <v>0.2</v>
      </c>
    </row>
    <row r="1657" spans="3:9" x14ac:dyDescent="0.35">
      <c r="C1657" t="s">
        <v>312</v>
      </c>
      <c r="D1657" s="3">
        <v>2019</v>
      </c>
      <c r="E1657" s="78">
        <f t="shared" si="206"/>
        <v>3</v>
      </c>
      <c r="F1657" s="74" t="s">
        <v>36</v>
      </c>
      <c r="G1657" s="77">
        <f t="shared" si="207"/>
        <v>11865</v>
      </c>
      <c r="H1657" s="77">
        <f>H1656+150</f>
        <v>12015</v>
      </c>
      <c r="I1657" s="76">
        <v>0.1</v>
      </c>
    </row>
    <row r="1658" spans="3:9" x14ac:dyDescent="0.35">
      <c r="C1658" t="s">
        <v>312</v>
      </c>
      <c r="D1658" s="3">
        <v>2019</v>
      </c>
      <c r="E1658" s="78">
        <f t="shared" si="206"/>
        <v>3</v>
      </c>
      <c r="F1658" s="74" t="s">
        <v>36</v>
      </c>
      <c r="G1658" s="77">
        <f t="shared" si="207"/>
        <v>12015</v>
      </c>
      <c r="H1658" s="77"/>
      <c r="I1658" s="76">
        <v>0</v>
      </c>
    </row>
    <row r="1659" spans="3:9" x14ac:dyDescent="0.35">
      <c r="C1659" t="s">
        <v>312</v>
      </c>
      <c r="D1659" s="3">
        <v>2019</v>
      </c>
      <c r="E1659" s="73">
        <v>4</v>
      </c>
      <c r="F1659" s="74" t="s">
        <v>36</v>
      </c>
      <c r="G1659" s="77">
        <v>0</v>
      </c>
      <c r="H1659" s="77">
        <v>12875</v>
      </c>
      <c r="I1659" s="76">
        <v>1</v>
      </c>
    </row>
    <row r="1660" spans="3:9" x14ac:dyDescent="0.35">
      <c r="C1660" t="s">
        <v>312</v>
      </c>
      <c r="D1660" s="3">
        <v>2019</v>
      </c>
      <c r="E1660" s="78">
        <f>E1659</f>
        <v>4</v>
      </c>
      <c r="F1660" s="74" t="s">
        <v>36</v>
      </c>
      <c r="G1660" s="77">
        <f>H1659</f>
        <v>12875</v>
      </c>
      <c r="H1660" s="77">
        <f>H1659+150</f>
        <v>13025</v>
      </c>
      <c r="I1660" s="76">
        <v>0.9</v>
      </c>
    </row>
    <row r="1661" spans="3:9" x14ac:dyDescent="0.35">
      <c r="C1661" t="s">
        <v>312</v>
      </c>
      <c r="D1661" s="3">
        <v>2019</v>
      </c>
      <c r="E1661" s="78">
        <f t="shared" ref="E1661:E1669" si="209">E1660</f>
        <v>4</v>
      </c>
      <c r="F1661" s="74" t="s">
        <v>36</v>
      </c>
      <c r="G1661" s="77">
        <f t="shared" ref="G1661:G1669" si="210">H1660</f>
        <v>13025</v>
      </c>
      <c r="H1661" s="77">
        <f t="shared" ref="H1661:H1667" si="211">H1660+150</f>
        <v>13175</v>
      </c>
      <c r="I1661" s="76">
        <v>0.8</v>
      </c>
    </row>
    <row r="1662" spans="3:9" x14ac:dyDescent="0.35">
      <c r="C1662" t="s">
        <v>312</v>
      </c>
      <c r="D1662" s="3">
        <v>2019</v>
      </c>
      <c r="E1662" s="78">
        <f t="shared" si="209"/>
        <v>4</v>
      </c>
      <c r="F1662" s="74" t="s">
        <v>36</v>
      </c>
      <c r="G1662" s="77">
        <f t="shared" si="210"/>
        <v>13175</v>
      </c>
      <c r="H1662" s="77">
        <f t="shared" si="211"/>
        <v>13325</v>
      </c>
      <c r="I1662" s="76">
        <v>0.7</v>
      </c>
    </row>
    <row r="1663" spans="3:9" x14ac:dyDescent="0.35">
      <c r="C1663" t="s">
        <v>312</v>
      </c>
      <c r="D1663" s="3">
        <v>2019</v>
      </c>
      <c r="E1663" s="78">
        <f t="shared" si="209"/>
        <v>4</v>
      </c>
      <c r="F1663" s="74" t="s">
        <v>36</v>
      </c>
      <c r="G1663" s="77">
        <f t="shared" si="210"/>
        <v>13325</v>
      </c>
      <c r="H1663" s="77">
        <f t="shared" si="211"/>
        <v>13475</v>
      </c>
      <c r="I1663" s="76">
        <v>0.6</v>
      </c>
    </row>
    <row r="1664" spans="3:9" x14ac:dyDescent="0.35">
      <c r="C1664" t="s">
        <v>312</v>
      </c>
      <c r="D1664" s="3">
        <v>2019</v>
      </c>
      <c r="E1664" s="78">
        <f t="shared" si="209"/>
        <v>4</v>
      </c>
      <c r="F1664" s="74" t="s">
        <v>36</v>
      </c>
      <c r="G1664" s="77">
        <f t="shared" si="210"/>
        <v>13475</v>
      </c>
      <c r="H1664" s="77">
        <f t="shared" si="211"/>
        <v>13625</v>
      </c>
      <c r="I1664" s="76">
        <v>0.5</v>
      </c>
    </row>
    <row r="1665" spans="3:9" x14ac:dyDescent="0.35">
      <c r="C1665" t="s">
        <v>312</v>
      </c>
      <c r="D1665" s="3">
        <v>2019</v>
      </c>
      <c r="E1665" s="78">
        <f t="shared" si="209"/>
        <v>4</v>
      </c>
      <c r="F1665" s="74" t="s">
        <v>36</v>
      </c>
      <c r="G1665" s="77">
        <f t="shared" si="210"/>
        <v>13625</v>
      </c>
      <c r="H1665" s="77">
        <f t="shared" si="211"/>
        <v>13775</v>
      </c>
      <c r="I1665" s="76">
        <v>0.4</v>
      </c>
    </row>
    <row r="1666" spans="3:9" x14ac:dyDescent="0.35">
      <c r="C1666" t="s">
        <v>312</v>
      </c>
      <c r="D1666" s="3">
        <v>2019</v>
      </c>
      <c r="E1666" s="78">
        <f t="shared" si="209"/>
        <v>4</v>
      </c>
      <c r="F1666" s="74" t="s">
        <v>36</v>
      </c>
      <c r="G1666" s="77">
        <f t="shared" si="210"/>
        <v>13775</v>
      </c>
      <c r="H1666" s="77">
        <f t="shared" si="211"/>
        <v>13925</v>
      </c>
      <c r="I1666" s="76">
        <v>0.3</v>
      </c>
    </row>
    <row r="1667" spans="3:9" x14ac:dyDescent="0.35">
      <c r="C1667" t="s">
        <v>312</v>
      </c>
      <c r="D1667" s="3">
        <v>2019</v>
      </c>
      <c r="E1667" s="78">
        <f t="shared" si="209"/>
        <v>4</v>
      </c>
      <c r="F1667" s="74" t="s">
        <v>36</v>
      </c>
      <c r="G1667" s="77">
        <f t="shared" si="210"/>
        <v>13925</v>
      </c>
      <c r="H1667" s="77">
        <f t="shared" si="211"/>
        <v>14075</v>
      </c>
      <c r="I1667" s="76">
        <v>0.2</v>
      </c>
    </row>
    <row r="1668" spans="3:9" x14ac:dyDescent="0.35">
      <c r="C1668" t="s">
        <v>312</v>
      </c>
      <c r="D1668" s="3">
        <v>2019</v>
      </c>
      <c r="E1668" s="78">
        <f t="shared" si="209"/>
        <v>4</v>
      </c>
      <c r="F1668" s="74" t="s">
        <v>36</v>
      </c>
      <c r="G1668" s="77">
        <f t="shared" si="210"/>
        <v>14075</v>
      </c>
      <c r="H1668" s="77">
        <f>H1667+150</f>
        <v>14225</v>
      </c>
      <c r="I1668" s="76">
        <v>0.1</v>
      </c>
    </row>
    <row r="1669" spans="3:9" x14ac:dyDescent="0.35">
      <c r="C1669" t="s">
        <v>312</v>
      </c>
      <c r="D1669" s="3">
        <v>2019</v>
      </c>
      <c r="E1669" s="78">
        <f t="shared" si="209"/>
        <v>4</v>
      </c>
      <c r="F1669" s="74" t="s">
        <v>36</v>
      </c>
      <c r="G1669" s="77">
        <f t="shared" si="210"/>
        <v>14225</v>
      </c>
      <c r="H1669" s="77"/>
      <c r="I1669" s="76">
        <v>0</v>
      </c>
    </row>
    <row r="1670" spans="3:9" x14ac:dyDescent="0.35">
      <c r="C1670" t="s">
        <v>312</v>
      </c>
      <c r="D1670" s="3">
        <v>2019</v>
      </c>
      <c r="E1670" s="73">
        <v>5</v>
      </c>
      <c r="F1670" s="74" t="s">
        <v>36</v>
      </c>
      <c r="G1670" s="77">
        <v>0</v>
      </c>
      <c r="H1670" s="77">
        <v>15085</v>
      </c>
      <c r="I1670" s="76">
        <v>1</v>
      </c>
    </row>
    <row r="1671" spans="3:9" x14ac:dyDescent="0.35">
      <c r="C1671" t="s">
        <v>312</v>
      </c>
      <c r="D1671" s="3">
        <v>2019</v>
      </c>
      <c r="E1671" s="78">
        <f>E1670</f>
        <v>5</v>
      </c>
      <c r="F1671" s="74" t="s">
        <v>36</v>
      </c>
      <c r="G1671" s="77">
        <f>H1670</f>
        <v>15085</v>
      </c>
      <c r="H1671" s="77">
        <f>H1670+150</f>
        <v>15235</v>
      </c>
      <c r="I1671" s="76">
        <v>0.9</v>
      </c>
    </row>
    <row r="1672" spans="3:9" x14ac:dyDescent="0.35">
      <c r="C1672" t="s">
        <v>312</v>
      </c>
      <c r="D1672" s="3">
        <v>2019</v>
      </c>
      <c r="E1672" s="78">
        <f t="shared" ref="E1672:E1680" si="212">E1671</f>
        <v>5</v>
      </c>
      <c r="F1672" s="74" t="s">
        <v>36</v>
      </c>
      <c r="G1672" s="77">
        <f t="shared" ref="G1672:G1680" si="213">H1671</f>
        <v>15235</v>
      </c>
      <c r="H1672" s="77">
        <f t="shared" ref="H1672:H1678" si="214">H1671+150</f>
        <v>15385</v>
      </c>
      <c r="I1672" s="76">
        <v>0.8</v>
      </c>
    </row>
    <row r="1673" spans="3:9" x14ac:dyDescent="0.35">
      <c r="C1673" t="s">
        <v>312</v>
      </c>
      <c r="D1673" s="3">
        <v>2019</v>
      </c>
      <c r="E1673" s="78">
        <f t="shared" si="212"/>
        <v>5</v>
      </c>
      <c r="F1673" s="74" t="s">
        <v>36</v>
      </c>
      <c r="G1673" s="77">
        <f t="shared" si="213"/>
        <v>15385</v>
      </c>
      <c r="H1673" s="77">
        <f t="shared" si="214"/>
        <v>15535</v>
      </c>
      <c r="I1673" s="76">
        <v>0.7</v>
      </c>
    </row>
    <row r="1674" spans="3:9" x14ac:dyDescent="0.35">
      <c r="C1674" t="s">
        <v>312</v>
      </c>
      <c r="D1674" s="3">
        <v>2019</v>
      </c>
      <c r="E1674" s="78">
        <f t="shared" si="212"/>
        <v>5</v>
      </c>
      <c r="F1674" s="74" t="s">
        <v>36</v>
      </c>
      <c r="G1674" s="77">
        <f t="shared" si="213"/>
        <v>15535</v>
      </c>
      <c r="H1674" s="77">
        <f t="shared" si="214"/>
        <v>15685</v>
      </c>
      <c r="I1674" s="76">
        <v>0.6</v>
      </c>
    </row>
    <row r="1675" spans="3:9" x14ac:dyDescent="0.35">
      <c r="C1675" t="s">
        <v>312</v>
      </c>
      <c r="D1675" s="3">
        <v>2019</v>
      </c>
      <c r="E1675" s="78">
        <f t="shared" si="212"/>
        <v>5</v>
      </c>
      <c r="F1675" s="74" t="s">
        <v>36</v>
      </c>
      <c r="G1675" s="77">
        <f t="shared" si="213"/>
        <v>15685</v>
      </c>
      <c r="H1675" s="77">
        <f t="shared" si="214"/>
        <v>15835</v>
      </c>
      <c r="I1675" s="76">
        <v>0.5</v>
      </c>
    </row>
    <row r="1676" spans="3:9" x14ac:dyDescent="0.35">
      <c r="C1676" t="s">
        <v>312</v>
      </c>
      <c r="D1676" s="3">
        <v>2019</v>
      </c>
      <c r="E1676" s="78">
        <f t="shared" si="212"/>
        <v>5</v>
      </c>
      <c r="F1676" s="74" t="s">
        <v>36</v>
      </c>
      <c r="G1676" s="77">
        <f t="shared" si="213"/>
        <v>15835</v>
      </c>
      <c r="H1676" s="77">
        <f t="shared" si="214"/>
        <v>15985</v>
      </c>
      <c r="I1676" s="76">
        <v>0.4</v>
      </c>
    </row>
    <row r="1677" spans="3:9" x14ac:dyDescent="0.35">
      <c r="C1677" t="s">
        <v>312</v>
      </c>
      <c r="D1677" s="3">
        <v>2019</v>
      </c>
      <c r="E1677" s="78">
        <f t="shared" si="212"/>
        <v>5</v>
      </c>
      <c r="F1677" s="74" t="s">
        <v>36</v>
      </c>
      <c r="G1677" s="77">
        <f t="shared" si="213"/>
        <v>15985</v>
      </c>
      <c r="H1677" s="77">
        <f t="shared" si="214"/>
        <v>16135</v>
      </c>
      <c r="I1677" s="76">
        <v>0.3</v>
      </c>
    </row>
    <row r="1678" spans="3:9" x14ac:dyDescent="0.35">
      <c r="C1678" t="s">
        <v>312</v>
      </c>
      <c r="D1678" s="3">
        <v>2019</v>
      </c>
      <c r="E1678" s="78">
        <f t="shared" si="212"/>
        <v>5</v>
      </c>
      <c r="F1678" s="74" t="s">
        <v>36</v>
      </c>
      <c r="G1678" s="77">
        <f t="shared" si="213"/>
        <v>16135</v>
      </c>
      <c r="H1678" s="77">
        <f t="shared" si="214"/>
        <v>16285</v>
      </c>
      <c r="I1678" s="76">
        <v>0.2</v>
      </c>
    </row>
    <row r="1679" spans="3:9" x14ac:dyDescent="0.35">
      <c r="C1679" t="s">
        <v>312</v>
      </c>
      <c r="D1679" s="3">
        <v>2019</v>
      </c>
      <c r="E1679" s="78">
        <f t="shared" si="212"/>
        <v>5</v>
      </c>
      <c r="F1679" s="74" t="s">
        <v>36</v>
      </c>
      <c r="G1679" s="77">
        <f t="shared" si="213"/>
        <v>16285</v>
      </c>
      <c r="H1679" s="77">
        <f>H1678+150</f>
        <v>16435</v>
      </c>
      <c r="I1679" s="76">
        <v>0.1</v>
      </c>
    </row>
    <row r="1680" spans="3:9" x14ac:dyDescent="0.35">
      <c r="C1680" t="s">
        <v>312</v>
      </c>
      <c r="D1680" s="3">
        <v>2019</v>
      </c>
      <c r="E1680" s="78">
        <f t="shared" si="212"/>
        <v>5</v>
      </c>
      <c r="F1680" s="74" t="s">
        <v>36</v>
      </c>
      <c r="G1680" s="77">
        <f t="shared" si="213"/>
        <v>16435</v>
      </c>
      <c r="H1680" s="77"/>
      <c r="I1680" s="76">
        <v>0</v>
      </c>
    </row>
    <row r="1681" spans="3:9" x14ac:dyDescent="0.35">
      <c r="C1681" t="s">
        <v>312</v>
      </c>
      <c r="D1681" s="3">
        <v>2019</v>
      </c>
      <c r="E1681" s="73">
        <v>6</v>
      </c>
      <c r="F1681" s="74" t="s">
        <v>36</v>
      </c>
      <c r="G1681" s="77">
        <v>0</v>
      </c>
      <c r="H1681" s="77">
        <v>17295</v>
      </c>
      <c r="I1681" s="76">
        <v>1</v>
      </c>
    </row>
    <row r="1682" spans="3:9" x14ac:dyDescent="0.35">
      <c r="C1682" t="s">
        <v>312</v>
      </c>
      <c r="D1682" s="3">
        <v>2019</v>
      </c>
      <c r="E1682" s="78">
        <f>E1681</f>
        <v>6</v>
      </c>
      <c r="F1682" s="74" t="s">
        <v>36</v>
      </c>
      <c r="G1682" s="77">
        <f>H1681</f>
        <v>17295</v>
      </c>
      <c r="H1682" s="77">
        <f>H1681+150</f>
        <v>17445</v>
      </c>
      <c r="I1682" s="76">
        <v>0.9</v>
      </c>
    </row>
    <row r="1683" spans="3:9" x14ac:dyDescent="0.35">
      <c r="C1683" t="s">
        <v>312</v>
      </c>
      <c r="D1683" s="3">
        <v>2019</v>
      </c>
      <c r="E1683" s="78">
        <f t="shared" ref="E1683:E1691" si="215">E1682</f>
        <v>6</v>
      </c>
      <c r="F1683" s="74" t="s">
        <v>36</v>
      </c>
      <c r="G1683" s="77">
        <f t="shared" ref="G1683:G1691" si="216">H1682</f>
        <v>17445</v>
      </c>
      <c r="H1683" s="77">
        <f t="shared" ref="H1683:H1689" si="217">H1682+150</f>
        <v>17595</v>
      </c>
      <c r="I1683" s="76">
        <v>0.8</v>
      </c>
    </row>
    <row r="1684" spans="3:9" x14ac:dyDescent="0.35">
      <c r="C1684" t="s">
        <v>312</v>
      </c>
      <c r="D1684" s="3">
        <v>2019</v>
      </c>
      <c r="E1684" s="78">
        <f t="shared" si="215"/>
        <v>6</v>
      </c>
      <c r="F1684" s="74" t="s">
        <v>36</v>
      </c>
      <c r="G1684" s="77">
        <f t="shared" si="216"/>
        <v>17595</v>
      </c>
      <c r="H1684" s="77">
        <f t="shared" si="217"/>
        <v>17745</v>
      </c>
      <c r="I1684" s="76">
        <v>0.7</v>
      </c>
    </row>
    <row r="1685" spans="3:9" x14ac:dyDescent="0.35">
      <c r="C1685" t="s">
        <v>312</v>
      </c>
      <c r="D1685" s="3">
        <v>2019</v>
      </c>
      <c r="E1685" s="78">
        <f t="shared" si="215"/>
        <v>6</v>
      </c>
      <c r="F1685" s="74" t="s">
        <v>36</v>
      </c>
      <c r="G1685" s="77">
        <f t="shared" si="216"/>
        <v>17745</v>
      </c>
      <c r="H1685" s="77">
        <f t="shared" si="217"/>
        <v>17895</v>
      </c>
      <c r="I1685" s="76">
        <v>0.6</v>
      </c>
    </row>
    <row r="1686" spans="3:9" x14ac:dyDescent="0.35">
      <c r="C1686" t="s">
        <v>312</v>
      </c>
      <c r="D1686" s="3">
        <v>2019</v>
      </c>
      <c r="E1686" s="78">
        <f t="shared" si="215"/>
        <v>6</v>
      </c>
      <c r="F1686" s="74" t="s">
        <v>36</v>
      </c>
      <c r="G1686" s="77">
        <f t="shared" si="216"/>
        <v>17895</v>
      </c>
      <c r="H1686" s="77">
        <f t="shared" si="217"/>
        <v>18045</v>
      </c>
      <c r="I1686" s="76">
        <v>0.5</v>
      </c>
    </row>
    <row r="1687" spans="3:9" x14ac:dyDescent="0.35">
      <c r="C1687" t="s">
        <v>312</v>
      </c>
      <c r="D1687" s="3">
        <v>2019</v>
      </c>
      <c r="E1687" s="78">
        <f t="shared" si="215"/>
        <v>6</v>
      </c>
      <c r="F1687" s="74" t="s">
        <v>36</v>
      </c>
      <c r="G1687" s="77">
        <f t="shared" si="216"/>
        <v>18045</v>
      </c>
      <c r="H1687" s="77">
        <f t="shared" si="217"/>
        <v>18195</v>
      </c>
      <c r="I1687" s="76">
        <v>0.4</v>
      </c>
    </row>
    <row r="1688" spans="3:9" x14ac:dyDescent="0.35">
      <c r="C1688" t="s">
        <v>312</v>
      </c>
      <c r="D1688" s="3">
        <v>2019</v>
      </c>
      <c r="E1688" s="78">
        <f t="shared" si="215"/>
        <v>6</v>
      </c>
      <c r="F1688" s="74" t="s">
        <v>36</v>
      </c>
      <c r="G1688" s="77">
        <f t="shared" si="216"/>
        <v>18195</v>
      </c>
      <c r="H1688" s="77">
        <f t="shared" si="217"/>
        <v>18345</v>
      </c>
      <c r="I1688" s="76">
        <v>0.3</v>
      </c>
    </row>
    <row r="1689" spans="3:9" x14ac:dyDescent="0.35">
      <c r="C1689" t="s">
        <v>312</v>
      </c>
      <c r="D1689" s="3">
        <v>2019</v>
      </c>
      <c r="E1689" s="78">
        <f t="shared" si="215"/>
        <v>6</v>
      </c>
      <c r="F1689" s="74" t="s">
        <v>36</v>
      </c>
      <c r="G1689" s="77">
        <f t="shared" si="216"/>
        <v>18345</v>
      </c>
      <c r="H1689" s="77">
        <f t="shared" si="217"/>
        <v>18495</v>
      </c>
      <c r="I1689" s="76">
        <v>0.2</v>
      </c>
    </row>
    <row r="1690" spans="3:9" x14ac:dyDescent="0.35">
      <c r="C1690" t="s">
        <v>312</v>
      </c>
      <c r="D1690" s="3">
        <v>2019</v>
      </c>
      <c r="E1690" s="78">
        <f t="shared" si="215"/>
        <v>6</v>
      </c>
      <c r="F1690" s="74" t="s">
        <v>36</v>
      </c>
      <c r="G1690" s="77">
        <f t="shared" si="216"/>
        <v>18495</v>
      </c>
      <c r="H1690" s="77">
        <f>H1689+150</f>
        <v>18645</v>
      </c>
      <c r="I1690" s="76">
        <v>0.1</v>
      </c>
    </row>
    <row r="1691" spans="3:9" x14ac:dyDescent="0.35">
      <c r="C1691" t="s">
        <v>312</v>
      </c>
      <c r="D1691" s="3">
        <v>2019</v>
      </c>
      <c r="E1691" s="78">
        <f t="shared" si="215"/>
        <v>6</v>
      </c>
      <c r="F1691" s="74" t="s">
        <v>36</v>
      </c>
      <c r="G1691" s="77">
        <f t="shared" si="216"/>
        <v>18645</v>
      </c>
      <c r="H1691" s="77"/>
      <c r="I1691" s="76">
        <v>0</v>
      </c>
    </row>
    <row r="1692" spans="3:9" x14ac:dyDescent="0.35">
      <c r="C1692" t="s">
        <v>312</v>
      </c>
      <c r="D1692" s="3">
        <v>2019</v>
      </c>
      <c r="E1692" s="73">
        <v>7</v>
      </c>
      <c r="F1692" s="74" t="s">
        <v>36</v>
      </c>
      <c r="G1692" s="77">
        <v>0</v>
      </c>
      <c r="H1692" s="77">
        <v>19505</v>
      </c>
      <c r="I1692" s="76">
        <v>1</v>
      </c>
    </row>
    <row r="1693" spans="3:9" x14ac:dyDescent="0.35">
      <c r="C1693" t="s">
        <v>312</v>
      </c>
      <c r="D1693" s="3">
        <v>2019</v>
      </c>
      <c r="E1693" s="78">
        <f>E1692</f>
        <v>7</v>
      </c>
      <c r="F1693" s="74" t="s">
        <v>36</v>
      </c>
      <c r="G1693" s="77">
        <f>H1692</f>
        <v>19505</v>
      </c>
      <c r="H1693" s="77">
        <f>H1692+150</f>
        <v>19655</v>
      </c>
      <c r="I1693" s="76">
        <v>0.9</v>
      </c>
    </row>
    <row r="1694" spans="3:9" x14ac:dyDescent="0.35">
      <c r="C1694" t="s">
        <v>312</v>
      </c>
      <c r="D1694" s="3">
        <v>2019</v>
      </c>
      <c r="E1694" s="78">
        <f t="shared" ref="E1694:E1702" si="218">E1693</f>
        <v>7</v>
      </c>
      <c r="F1694" s="74" t="s">
        <v>36</v>
      </c>
      <c r="G1694" s="77">
        <f t="shared" ref="G1694:G1702" si="219">H1693</f>
        <v>19655</v>
      </c>
      <c r="H1694" s="77">
        <f t="shared" ref="H1694:H1700" si="220">H1693+150</f>
        <v>19805</v>
      </c>
      <c r="I1694" s="76">
        <v>0.8</v>
      </c>
    </row>
    <row r="1695" spans="3:9" x14ac:dyDescent="0.35">
      <c r="C1695" t="s">
        <v>312</v>
      </c>
      <c r="D1695" s="3">
        <v>2019</v>
      </c>
      <c r="E1695" s="78">
        <f t="shared" si="218"/>
        <v>7</v>
      </c>
      <c r="F1695" s="74" t="s">
        <v>36</v>
      </c>
      <c r="G1695" s="77">
        <f t="shared" si="219"/>
        <v>19805</v>
      </c>
      <c r="H1695" s="77">
        <f t="shared" si="220"/>
        <v>19955</v>
      </c>
      <c r="I1695" s="76">
        <v>0.7</v>
      </c>
    </row>
    <row r="1696" spans="3:9" x14ac:dyDescent="0.35">
      <c r="C1696" t="s">
        <v>312</v>
      </c>
      <c r="D1696" s="3">
        <v>2019</v>
      </c>
      <c r="E1696" s="78">
        <f t="shared" si="218"/>
        <v>7</v>
      </c>
      <c r="F1696" s="74" t="s">
        <v>36</v>
      </c>
      <c r="G1696" s="77">
        <f t="shared" si="219"/>
        <v>19955</v>
      </c>
      <c r="H1696" s="77">
        <f t="shared" si="220"/>
        <v>20105</v>
      </c>
      <c r="I1696" s="76">
        <v>0.6</v>
      </c>
    </row>
    <row r="1697" spans="3:9" x14ac:dyDescent="0.35">
      <c r="C1697" t="s">
        <v>312</v>
      </c>
      <c r="D1697" s="3">
        <v>2019</v>
      </c>
      <c r="E1697" s="78">
        <f t="shared" si="218"/>
        <v>7</v>
      </c>
      <c r="F1697" s="74" t="s">
        <v>36</v>
      </c>
      <c r="G1697" s="77">
        <f t="shared" si="219"/>
        <v>20105</v>
      </c>
      <c r="H1697" s="77">
        <f t="shared" si="220"/>
        <v>20255</v>
      </c>
      <c r="I1697" s="76">
        <v>0.5</v>
      </c>
    </row>
    <row r="1698" spans="3:9" x14ac:dyDescent="0.35">
      <c r="C1698" t="s">
        <v>312</v>
      </c>
      <c r="D1698" s="3">
        <v>2019</v>
      </c>
      <c r="E1698" s="78">
        <f t="shared" si="218"/>
        <v>7</v>
      </c>
      <c r="F1698" s="74" t="s">
        <v>36</v>
      </c>
      <c r="G1698" s="77">
        <f t="shared" si="219"/>
        <v>20255</v>
      </c>
      <c r="H1698" s="77">
        <f t="shared" si="220"/>
        <v>20405</v>
      </c>
      <c r="I1698" s="76">
        <v>0.4</v>
      </c>
    </row>
    <row r="1699" spans="3:9" x14ac:dyDescent="0.35">
      <c r="C1699" t="s">
        <v>312</v>
      </c>
      <c r="D1699" s="3">
        <v>2019</v>
      </c>
      <c r="E1699" s="78">
        <f t="shared" si="218"/>
        <v>7</v>
      </c>
      <c r="F1699" s="74" t="s">
        <v>36</v>
      </c>
      <c r="G1699" s="77">
        <f t="shared" si="219"/>
        <v>20405</v>
      </c>
      <c r="H1699" s="77">
        <f t="shared" si="220"/>
        <v>20555</v>
      </c>
      <c r="I1699" s="76">
        <v>0.3</v>
      </c>
    </row>
    <row r="1700" spans="3:9" x14ac:dyDescent="0.35">
      <c r="C1700" t="s">
        <v>312</v>
      </c>
      <c r="D1700" s="3">
        <v>2019</v>
      </c>
      <c r="E1700" s="78">
        <f t="shared" si="218"/>
        <v>7</v>
      </c>
      <c r="F1700" s="74" t="s">
        <v>36</v>
      </c>
      <c r="G1700" s="77">
        <f t="shared" si="219"/>
        <v>20555</v>
      </c>
      <c r="H1700" s="77">
        <f t="shared" si="220"/>
        <v>20705</v>
      </c>
      <c r="I1700" s="76">
        <v>0.2</v>
      </c>
    </row>
    <row r="1701" spans="3:9" x14ac:dyDescent="0.35">
      <c r="C1701" t="s">
        <v>312</v>
      </c>
      <c r="D1701" s="3">
        <v>2019</v>
      </c>
      <c r="E1701" s="78">
        <f t="shared" si="218"/>
        <v>7</v>
      </c>
      <c r="F1701" s="74" t="s">
        <v>36</v>
      </c>
      <c r="G1701" s="77">
        <f t="shared" si="219"/>
        <v>20705</v>
      </c>
      <c r="H1701" s="77">
        <f>H1700+150</f>
        <v>20855</v>
      </c>
      <c r="I1701" s="76">
        <v>0.1</v>
      </c>
    </row>
    <row r="1702" spans="3:9" x14ac:dyDescent="0.35">
      <c r="C1702" t="s">
        <v>312</v>
      </c>
      <c r="D1702" s="3">
        <v>2019</v>
      </c>
      <c r="E1702" s="78">
        <f t="shared" si="218"/>
        <v>7</v>
      </c>
      <c r="F1702" s="74" t="s">
        <v>36</v>
      </c>
      <c r="G1702" s="77">
        <f t="shared" si="219"/>
        <v>20855</v>
      </c>
      <c r="H1702" s="77"/>
      <c r="I1702" s="76">
        <v>0</v>
      </c>
    </row>
    <row r="1703" spans="3:9" x14ac:dyDescent="0.35">
      <c r="C1703" t="s">
        <v>312</v>
      </c>
      <c r="D1703" s="3">
        <v>2019</v>
      </c>
      <c r="E1703" s="73">
        <v>8</v>
      </c>
      <c r="F1703" s="74" t="s">
        <v>36</v>
      </c>
      <c r="G1703" s="77">
        <v>0</v>
      </c>
      <c r="H1703" s="77">
        <v>21715</v>
      </c>
      <c r="I1703" s="76">
        <v>1</v>
      </c>
    </row>
    <row r="1704" spans="3:9" x14ac:dyDescent="0.35">
      <c r="C1704" t="s">
        <v>312</v>
      </c>
      <c r="D1704" s="3">
        <v>2019</v>
      </c>
      <c r="E1704" s="78">
        <f>E1703</f>
        <v>8</v>
      </c>
      <c r="F1704" s="74" t="s">
        <v>36</v>
      </c>
      <c r="G1704" s="77">
        <f>H1703</f>
        <v>21715</v>
      </c>
      <c r="H1704" s="77">
        <f>H1703+150</f>
        <v>21865</v>
      </c>
      <c r="I1704" s="76">
        <v>0.9</v>
      </c>
    </row>
    <row r="1705" spans="3:9" x14ac:dyDescent="0.35">
      <c r="C1705" t="s">
        <v>312</v>
      </c>
      <c r="D1705" s="3">
        <v>2019</v>
      </c>
      <c r="E1705" s="78">
        <f t="shared" ref="E1705:E1713" si="221">E1704</f>
        <v>8</v>
      </c>
      <c r="F1705" s="74" t="s">
        <v>36</v>
      </c>
      <c r="G1705" s="77">
        <f t="shared" ref="G1705:G1713" si="222">H1704</f>
        <v>21865</v>
      </c>
      <c r="H1705" s="77">
        <f t="shared" ref="H1705:H1711" si="223">H1704+150</f>
        <v>22015</v>
      </c>
      <c r="I1705" s="76">
        <v>0.8</v>
      </c>
    </row>
    <row r="1706" spans="3:9" x14ac:dyDescent="0.35">
      <c r="C1706" t="s">
        <v>312</v>
      </c>
      <c r="D1706" s="3">
        <v>2019</v>
      </c>
      <c r="E1706" s="78">
        <f t="shared" si="221"/>
        <v>8</v>
      </c>
      <c r="F1706" s="74" t="s">
        <v>36</v>
      </c>
      <c r="G1706" s="77">
        <f t="shared" si="222"/>
        <v>22015</v>
      </c>
      <c r="H1706" s="77">
        <f t="shared" si="223"/>
        <v>22165</v>
      </c>
      <c r="I1706" s="76">
        <v>0.7</v>
      </c>
    </row>
    <row r="1707" spans="3:9" x14ac:dyDescent="0.35">
      <c r="C1707" t="s">
        <v>312</v>
      </c>
      <c r="D1707" s="3">
        <v>2019</v>
      </c>
      <c r="E1707" s="78">
        <f t="shared" si="221"/>
        <v>8</v>
      </c>
      <c r="F1707" s="74" t="s">
        <v>36</v>
      </c>
      <c r="G1707" s="77">
        <f t="shared" si="222"/>
        <v>22165</v>
      </c>
      <c r="H1707" s="77">
        <f t="shared" si="223"/>
        <v>22315</v>
      </c>
      <c r="I1707" s="76">
        <v>0.6</v>
      </c>
    </row>
    <row r="1708" spans="3:9" x14ac:dyDescent="0.35">
      <c r="C1708" t="s">
        <v>312</v>
      </c>
      <c r="D1708" s="3">
        <v>2019</v>
      </c>
      <c r="E1708" s="78">
        <f t="shared" si="221"/>
        <v>8</v>
      </c>
      <c r="F1708" s="74" t="s">
        <v>36</v>
      </c>
      <c r="G1708" s="77">
        <f t="shared" si="222"/>
        <v>22315</v>
      </c>
      <c r="H1708" s="77">
        <f t="shared" si="223"/>
        <v>22465</v>
      </c>
      <c r="I1708" s="76">
        <v>0.5</v>
      </c>
    </row>
    <row r="1709" spans="3:9" x14ac:dyDescent="0.35">
      <c r="C1709" t="s">
        <v>312</v>
      </c>
      <c r="D1709" s="3">
        <v>2019</v>
      </c>
      <c r="E1709" s="78">
        <f t="shared" si="221"/>
        <v>8</v>
      </c>
      <c r="F1709" s="74" t="s">
        <v>36</v>
      </c>
      <c r="G1709" s="77">
        <f t="shared" si="222"/>
        <v>22465</v>
      </c>
      <c r="H1709" s="77">
        <f t="shared" si="223"/>
        <v>22615</v>
      </c>
      <c r="I1709" s="76">
        <v>0.4</v>
      </c>
    </row>
    <row r="1710" spans="3:9" x14ac:dyDescent="0.35">
      <c r="C1710" t="s">
        <v>312</v>
      </c>
      <c r="D1710" s="3">
        <v>2019</v>
      </c>
      <c r="E1710" s="78">
        <f t="shared" si="221"/>
        <v>8</v>
      </c>
      <c r="F1710" s="74" t="s">
        <v>36</v>
      </c>
      <c r="G1710" s="77">
        <f t="shared" si="222"/>
        <v>22615</v>
      </c>
      <c r="H1710" s="77">
        <f t="shared" si="223"/>
        <v>22765</v>
      </c>
      <c r="I1710" s="76">
        <v>0.3</v>
      </c>
    </row>
    <row r="1711" spans="3:9" x14ac:dyDescent="0.35">
      <c r="C1711" t="s">
        <v>312</v>
      </c>
      <c r="D1711" s="3">
        <v>2019</v>
      </c>
      <c r="E1711" s="78">
        <f t="shared" si="221"/>
        <v>8</v>
      </c>
      <c r="F1711" s="74" t="s">
        <v>36</v>
      </c>
      <c r="G1711" s="77">
        <f t="shared" si="222"/>
        <v>22765</v>
      </c>
      <c r="H1711" s="77">
        <f t="shared" si="223"/>
        <v>22915</v>
      </c>
      <c r="I1711" s="76">
        <v>0.2</v>
      </c>
    </row>
    <row r="1712" spans="3:9" x14ac:dyDescent="0.35">
      <c r="C1712" t="s">
        <v>312</v>
      </c>
      <c r="D1712" s="3">
        <v>2019</v>
      </c>
      <c r="E1712" s="78">
        <f t="shared" si="221"/>
        <v>8</v>
      </c>
      <c r="F1712" s="74" t="s">
        <v>36</v>
      </c>
      <c r="G1712" s="77">
        <f t="shared" si="222"/>
        <v>22915</v>
      </c>
      <c r="H1712" s="77">
        <f>H1711+150</f>
        <v>23065</v>
      </c>
      <c r="I1712" s="76">
        <v>0.1</v>
      </c>
    </row>
    <row r="1713" spans="3:9" x14ac:dyDescent="0.35">
      <c r="C1713" t="s">
        <v>312</v>
      </c>
      <c r="D1713" s="3">
        <v>2019</v>
      </c>
      <c r="E1713" s="78">
        <f t="shared" si="221"/>
        <v>8</v>
      </c>
      <c r="F1713" s="74" t="s">
        <v>36</v>
      </c>
      <c r="G1713" s="77">
        <f t="shared" si="222"/>
        <v>23065</v>
      </c>
      <c r="H1713" s="77"/>
      <c r="I1713" s="76">
        <v>0</v>
      </c>
    </row>
    <row r="1714" spans="3:9" x14ac:dyDescent="0.35">
      <c r="C1714" t="s">
        <v>312</v>
      </c>
      <c r="D1714" s="3">
        <v>2019</v>
      </c>
      <c r="E1714" s="73">
        <v>9</v>
      </c>
      <c r="F1714" s="74" t="s">
        <v>36</v>
      </c>
      <c r="G1714" s="77">
        <v>0</v>
      </c>
      <c r="H1714" s="75">
        <f>H1703</f>
        <v>21715</v>
      </c>
      <c r="I1714" s="76">
        <v>1</v>
      </c>
    </row>
    <row r="1715" spans="3:9" x14ac:dyDescent="0.35">
      <c r="C1715" t="s">
        <v>312</v>
      </c>
      <c r="D1715" s="3">
        <v>2019</v>
      </c>
      <c r="E1715" s="78">
        <f>E1714</f>
        <v>9</v>
      </c>
      <c r="F1715" s="74" t="s">
        <v>36</v>
      </c>
      <c r="G1715" s="77">
        <f>H1714</f>
        <v>21715</v>
      </c>
      <c r="H1715" s="77">
        <f>H1714+150</f>
        <v>21865</v>
      </c>
      <c r="I1715" s="76">
        <v>0.9</v>
      </c>
    </row>
    <row r="1716" spans="3:9" x14ac:dyDescent="0.35">
      <c r="C1716" t="s">
        <v>312</v>
      </c>
      <c r="D1716" s="3">
        <v>2019</v>
      </c>
      <c r="E1716" s="78">
        <f t="shared" ref="E1716:E1724" si="224">E1715</f>
        <v>9</v>
      </c>
      <c r="F1716" s="74" t="s">
        <v>36</v>
      </c>
      <c r="G1716" s="77">
        <f t="shared" ref="G1716:G1724" si="225">H1715</f>
        <v>21865</v>
      </c>
      <c r="H1716" s="77">
        <f t="shared" ref="H1716:H1722" si="226">H1715+150</f>
        <v>22015</v>
      </c>
      <c r="I1716" s="76">
        <v>0.8</v>
      </c>
    </row>
    <row r="1717" spans="3:9" x14ac:dyDescent="0.35">
      <c r="C1717" t="s">
        <v>312</v>
      </c>
      <c r="D1717" s="3">
        <v>2019</v>
      </c>
      <c r="E1717" s="78">
        <f t="shared" si="224"/>
        <v>9</v>
      </c>
      <c r="F1717" s="74" t="s">
        <v>36</v>
      </c>
      <c r="G1717" s="77">
        <f t="shared" si="225"/>
        <v>22015</v>
      </c>
      <c r="H1717" s="77">
        <f t="shared" si="226"/>
        <v>22165</v>
      </c>
      <c r="I1717" s="76">
        <v>0.7</v>
      </c>
    </row>
    <row r="1718" spans="3:9" x14ac:dyDescent="0.35">
      <c r="C1718" t="s">
        <v>312</v>
      </c>
      <c r="D1718" s="3">
        <v>2019</v>
      </c>
      <c r="E1718" s="78">
        <f t="shared" si="224"/>
        <v>9</v>
      </c>
      <c r="F1718" s="74" t="s">
        <v>36</v>
      </c>
      <c r="G1718" s="77">
        <f t="shared" si="225"/>
        <v>22165</v>
      </c>
      <c r="H1718" s="77">
        <f t="shared" si="226"/>
        <v>22315</v>
      </c>
      <c r="I1718" s="76">
        <v>0.6</v>
      </c>
    </row>
    <row r="1719" spans="3:9" x14ac:dyDescent="0.35">
      <c r="C1719" t="s">
        <v>312</v>
      </c>
      <c r="D1719" s="3">
        <v>2019</v>
      </c>
      <c r="E1719" s="78">
        <f t="shared" si="224"/>
        <v>9</v>
      </c>
      <c r="F1719" s="74" t="s">
        <v>36</v>
      </c>
      <c r="G1719" s="77">
        <f t="shared" si="225"/>
        <v>22315</v>
      </c>
      <c r="H1719" s="77">
        <f t="shared" si="226"/>
        <v>22465</v>
      </c>
      <c r="I1719" s="76">
        <v>0.5</v>
      </c>
    </row>
    <row r="1720" spans="3:9" x14ac:dyDescent="0.35">
      <c r="C1720" t="s">
        <v>312</v>
      </c>
      <c r="D1720" s="3">
        <v>2019</v>
      </c>
      <c r="E1720" s="78">
        <f t="shared" si="224"/>
        <v>9</v>
      </c>
      <c r="F1720" s="74" t="s">
        <v>36</v>
      </c>
      <c r="G1720" s="77">
        <f t="shared" si="225"/>
        <v>22465</v>
      </c>
      <c r="H1720" s="77">
        <f t="shared" si="226"/>
        <v>22615</v>
      </c>
      <c r="I1720" s="76">
        <v>0.4</v>
      </c>
    </row>
    <row r="1721" spans="3:9" x14ac:dyDescent="0.35">
      <c r="C1721" t="s">
        <v>312</v>
      </c>
      <c r="D1721" s="3">
        <v>2019</v>
      </c>
      <c r="E1721" s="78">
        <f t="shared" si="224"/>
        <v>9</v>
      </c>
      <c r="F1721" s="74" t="s">
        <v>36</v>
      </c>
      <c r="G1721" s="77">
        <f t="shared" si="225"/>
        <v>22615</v>
      </c>
      <c r="H1721" s="77">
        <f t="shared" si="226"/>
        <v>22765</v>
      </c>
      <c r="I1721" s="76">
        <v>0.3</v>
      </c>
    </row>
    <row r="1722" spans="3:9" x14ac:dyDescent="0.35">
      <c r="C1722" t="s">
        <v>312</v>
      </c>
      <c r="D1722" s="3">
        <v>2019</v>
      </c>
      <c r="E1722" s="78">
        <f t="shared" si="224"/>
        <v>9</v>
      </c>
      <c r="F1722" s="74" t="s">
        <v>36</v>
      </c>
      <c r="G1722" s="77">
        <f t="shared" si="225"/>
        <v>22765</v>
      </c>
      <c r="H1722" s="77">
        <f t="shared" si="226"/>
        <v>22915</v>
      </c>
      <c r="I1722" s="76">
        <v>0.2</v>
      </c>
    </row>
    <row r="1723" spans="3:9" x14ac:dyDescent="0.35">
      <c r="C1723" t="s">
        <v>312</v>
      </c>
      <c r="D1723" s="3">
        <v>2019</v>
      </c>
      <c r="E1723" s="78">
        <f t="shared" si="224"/>
        <v>9</v>
      </c>
      <c r="F1723" s="74" t="s">
        <v>36</v>
      </c>
      <c r="G1723" s="77">
        <f t="shared" si="225"/>
        <v>22915</v>
      </c>
      <c r="H1723" s="77">
        <f>H1722+150</f>
        <v>23065</v>
      </c>
      <c r="I1723" s="76">
        <v>0.1</v>
      </c>
    </row>
    <row r="1724" spans="3:9" x14ac:dyDescent="0.35">
      <c r="C1724" t="s">
        <v>312</v>
      </c>
      <c r="D1724" s="3">
        <v>2019</v>
      </c>
      <c r="E1724" s="78">
        <f t="shared" si="224"/>
        <v>9</v>
      </c>
      <c r="F1724" s="74" t="s">
        <v>36</v>
      </c>
      <c r="G1724" s="77">
        <f t="shared" si="225"/>
        <v>23065</v>
      </c>
      <c r="H1724" s="77"/>
      <c r="I1724" s="76">
        <v>0</v>
      </c>
    </row>
    <row r="1725" spans="3:9" x14ac:dyDescent="0.35">
      <c r="C1725" t="s">
        <v>312</v>
      </c>
      <c r="D1725" s="3">
        <v>2019</v>
      </c>
      <c r="E1725" s="73">
        <v>10</v>
      </c>
      <c r="F1725" s="74" t="s">
        <v>36</v>
      </c>
      <c r="G1725" s="77">
        <v>0</v>
      </c>
      <c r="H1725" s="75">
        <f>H1714</f>
        <v>21715</v>
      </c>
      <c r="I1725" s="76">
        <v>1</v>
      </c>
    </row>
    <row r="1726" spans="3:9" x14ac:dyDescent="0.35">
      <c r="C1726" t="s">
        <v>312</v>
      </c>
      <c r="D1726" s="3">
        <v>2019</v>
      </c>
      <c r="E1726" s="78">
        <f>E1725</f>
        <v>10</v>
      </c>
      <c r="F1726" s="74" t="s">
        <v>36</v>
      </c>
      <c r="G1726" s="77">
        <f>H1725</f>
        <v>21715</v>
      </c>
      <c r="H1726" s="77">
        <f>H1725+150</f>
        <v>21865</v>
      </c>
      <c r="I1726" s="76">
        <v>0.9</v>
      </c>
    </row>
    <row r="1727" spans="3:9" x14ac:dyDescent="0.35">
      <c r="C1727" t="s">
        <v>312</v>
      </c>
      <c r="D1727" s="3">
        <v>2019</v>
      </c>
      <c r="E1727" s="78">
        <f t="shared" ref="E1727:E1735" si="227">E1726</f>
        <v>10</v>
      </c>
      <c r="F1727" s="74" t="s">
        <v>36</v>
      </c>
      <c r="G1727" s="77">
        <f t="shared" ref="G1727:G1735" si="228">H1726</f>
        <v>21865</v>
      </c>
      <c r="H1727" s="77">
        <f t="shared" ref="H1727:H1733" si="229">H1726+150</f>
        <v>22015</v>
      </c>
      <c r="I1727" s="76">
        <v>0.8</v>
      </c>
    </row>
    <row r="1728" spans="3:9" x14ac:dyDescent="0.35">
      <c r="C1728" t="s">
        <v>312</v>
      </c>
      <c r="D1728" s="3">
        <v>2019</v>
      </c>
      <c r="E1728" s="78">
        <f t="shared" si="227"/>
        <v>10</v>
      </c>
      <c r="F1728" s="74" t="s">
        <v>36</v>
      </c>
      <c r="G1728" s="77">
        <f t="shared" si="228"/>
        <v>22015</v>
      </c>
      <c r="H1728" s="77">
        <f t="shared" si="229"/>
        <v>22165</v>
      </c>
      <c r="I1728" s="76">
        <v>0.7</v>
      </c>
    </row>
    <row r="1729" spans="3:9" x14ac:dyDescent="0.35">
      <c r="C1729" t="s">
        <v>312</v>
      </c>
      <c r="D1729" s="3">
        <v>2019</v>
      </c>
      <c r="E1729" s="78">
        <f t="shared" si="227"/>
        <v>10</v>
      </c>
      <c r="F1729" s="74" t="s">
        <v>36</v>
      </c>
      <c r="G1729" s="77">
        <f t="shared" si="228"/>
        <v>22165</v>
      </c>
      <c r="H1729" s="77">
        <f t="shared" si="229"/>
        <v>22315</v>
      </c>
      <c r="I1729" s="76">
        <v>0.6</v>
      </c>
    </row>
    <row r="1730" spans="3:9" x14ac:dyDescent="0.35">
      <c r="C1730" t="s">
        <v>312</v>
      </c>
      <c r="D1730" s="3">
        <v>2019</v>
      </c>
      <c r="E1730" s="78">
        <f t="shared" si="227"/>
        <v>10</v>
      </c>
      <c r="F1730" s="74" t="s">
        <v>36</v>
      </c>
      <c r="G1730" s="77">
        <f t="shared" si="228"/>
        <v>22315</v>
      </c>
      <c r="H1730" s="77">
        <f t="shared" si="229"/>
        <v>22465</v>
      </c>
      <c r="I1730" s="76">
        <v>0.5</v>
      </c>
    </row>
    <row r="1731" spans="3:9" x14ac:dyDescent="0.35">
      <c r="C1731" t="s">
        <v>312</v>
      </c>
      <c r="D1731" s="3">
        <v>2019</v>
      </c>
      <c r="E1731" s="78">
        <f t="shared" si="227"/>
        <v>10</v>
      </c>
      <c r="F1731" s="74" t="s">
        <v>36</v>
      </c>
      <c r="G1731" s="77">
        <f t="shared" si="228"/>
        <v>22465</v>
      </c>
      <c r="H1731" s="77">
        <f t="shared" si="229"/>
        <v>22615</v>
      </c>
      <c r="I1731" s="76">
        <v>0.4</v>
      </c>
    </row>
    <row r="1732" spans="3:9" x14ac:dyDescent="0.35">
      <c r="C1732" t="s">
        <v>312</v>
      </c>
      <c r="D1732" s="3">
        <v>2019</v>
      </c>
      <c r="E1732" s="78">
        <f t="shared" si="227"/>
        <v>10</v>
      </c>
      <c r="F1732" s="74" t="s">
        <v>36</v>
      </c>
      <c r="G1732" s="77">
        <f t="shared" si="228"/>
        <v>22615</v>
      </c>
      <c r="H1732" s="77">
        <f t="shared" si="229"/>
        <v>22765</v>
      </c>
      <c r="I1732" s="76">
        <v>0.3</v>
      </c>
    </row>
    <row r="1733" spans="3:9" x14ac:dyDescent="0.35">
      <c r="C1733" t="s">
        <v>312</v>
      </c>
      <c r="D1733" s="3">
        <v>2019</v>
      </c>
      <c r="E1733" s="78">
        <f t="shared" si="227"/>
        <v>10</v>
      </c>
      <c r="F1733" s="74" t="s">
        <v>36</v>
      </c>
      <c r="G1733" s="77">
        <f t="shared" si="228"/>
        <v>22765</v>
      </c>
      <c r="H1733" s="77">
        <f t="shared" si="229"/>
        <v>22915</v>
      </c>
      <c r="I1733" s="76">
        <v>0.2</v>
      </c>
    </row>
    <row r="1734" spans="3:9" x14ac:dyDescent="0.35">
      <c r="C1734" t="s">
        <v>312</v>
      </c>
      <c r="D1734" s="3">
        <v>2019</v>
      </c>
      <c r="E1734" s="78">
        <f t="shared" si="227"/>
        <v>10</v>
      </c>
      <c r="F1734" s="74" t="s">
        <v>36</v>
      </c>
      <c r="G1734" s="77">
        <f t="shared" si="228"/>
        <v>22915</v>
      </c>
      <c r="H1734" s="77">
        <f>H1733+150</f>
        <v>23065</v>
      </c>
      <c r="I1734" s="76">
        <v>0.1</v>
      </c>
    </row>
    <row r="1735" spans="3:9" x14ac:dyDescent="0.35">
      <c r="C1735" t="s">
        <v>312</v>
      </c>
      <c r="D1735" s="3">
        <v>2019</v>
      </c>
      <c r="E1735" s="78">
        <f t="shared" si="227"/>
        <v>10</v>
      </c>
      <c r="F1735" s="74" t="s">
        <v>36</v>
      </c>
      <c r="G1735" s="77">
        <f t="shared" si="228"/>
        <v>23065</v>
      </c>
      <c r="H1735" s="77"/>
      <c r="I1735" s="76">
        <v>0</v>
      </c>
    </row>
    <row r="1736" spans="3:9" x14ac:dyDescent="0.35">
      <c r="C1736" t="s">
        <v>312</v>
      </c>
      <c r="D1736" s="3">
        <v>2020</v>
      </c>
      <c r="E1736" s="73">
        <v>1</v>
      </c>
      <c r="F1736" s="74" t="s">
        <v>54</v>
      </c>
      <c r="G1736" s="75">
        <v>0</v>
      </c>
      <c r="H1736" s="75">
        <v>12760</v>
      </c>
      <c r="I1736" s="76">
        <v>1</v>
      </c>
    </row>
    <row r="1737" spans="3:9" x14ac:dyDescent="0.35">
      <c r="C1737" t="s">
        <v>312</v>
      </c>
      <c r="D1737" s="3">
        <v>2020</v>
      </c>
      <c r="E1737" s="73">
        <v>1</v>
      </c>
      <c r="F1737" s="74" t="s">
        <v>54</v>
      </c>
      <c r="G1737" s="77">
        <f>H1736</f>
        <v>12760</v>
      </c>
      <c r="H1737" s="77">
        <f>H1736+300</f>
        <v>13060</v>
      </c>
      <c r="I1737" s="76">
        <v>0.9</v>
      </c>
    </row>
    <row r="1738" spans="3:9" x14ac:dyDescent="0.35">
      <c r="C1738" t="s">
        <v>312</v>
      </c>
      <c r="D1738" s="3">
        <v>2020</v>
      </c>
      <c r="E1738" s="73">
        <v>1</v>
      </c>
      <c r="F1738" s="74" t="s">
        <v>54</v>
      </c>
      <c r="G1738" s="77">
        <f t="shared" ref="G1738:G1746" si="230">H1737</f>
        <v>13060</v>
      </c>
      <c r="H1738" s="77">
        <f t="shared" ref="H1738:H1745" si="231">H1737+300</f>
        <v>13360</v>
      </c>
      <c r="I1738" s="76">
        <v>0.8</v>
      </c>
    </row>
    <row r="1739" spans="3:9" x14ac:dyDescent="0.35">
      <c r="C1739" t="s">
        <v>312</v>
      </c>
      <c r="D1739" s="3">
        <v>2020</v>
      </c>
      <c r="E1739" s="73">
        <v>1</v>
      </c>
      <c r="F1739" s="74" t="s">
        <v>54</v>
      </c>
      <c r="G1739" s="77">
        <f t="shared" si="230"/>
        <v>13360</v>
      </c>
      <c r="H1739" s="77">
        <f t="shared" si="231"/>
        <v>13660</v>
      </c>
      <c r="I1739" s="76">
        <v>0.7</v>
      </c>
    </row>
    <row r="1740" spans="3:9" x14ac:dyDescent="0.35">
      <c r="C1740" t="s">
        <v>312</v>
      </c>
      <c r="D1740" s="3">
        <v>2020</v>
      </c>
      <c r="E1740" s="73">
        <v>1</v>
      </c>
      <c r="F1740" s="74" t="s">
        <v>54</v>
      </c>
      <c r="G1740" s="77">
        <f t="shared" si="230"/>
        <v>13660</v>
      </c>
      <c r="H1740" s="77">
        <f t="shared" si="231"/>
        <v>13960</v>
      </c>
      <c r="I1740" s="76">
        <v>0.6</v>
      </c>
    </row>
    <row r="1741" spans="3:9" x14ac:dyDescent="0.35">
      <c r="C1741" t="s">
        <v>312</v>
      </c>
      <c r="D1741" s="3">
        <v>2020</v>
      </c>
      <c r="E1741" s="73">
        <v>1</v>
      </c>
      <c r="F1741" s="74" t="s">
        <v>54</v>
      </c>
      <c r="G1741" s="77">
        <f t="shared" si="230"/>
        <v>13960</v>
      </c>
      <c r="H1741" s="77">
        <f t="shared" si="231"/>
        <v>14260</v>
      </c>
      <c r="I1741" s="76">
        <v>0.5</v>
      </c>
    </row>
    <row r="1742" spans="3:9" x14ac:dyDescent="0.35">
      <c r="C1742" t="s">
        <v>312</v>
      </c>
      <c r="D1742" s="3">
        <v>2020</v>
      </c>
      <c r="E1742" s="73">
        <v>1</v>
      </c>
      <c r="F1742" s="74" t="s">
        <v>54</v>
      </c>
      <c r="G1742" s="77">
        <f t="shared" si="230"/>
        <v>14260</v>
      </c>
      <c r="H1742" s="77">
        <f t="shared" si="231"/>
        <v>14560</v>
      </c>
      <c r="I1742" s="76">
        <v>0.4</v>
      </c>
    </row>
    <row r="1743" spans="3:9" x14ac:dyDescent="0.35">
      <c r="C1743" t="s">
        <v>312</v>
      </c>
      <c r="D1743" s="3">
        <v>2020</v>
      </c>
      <c r="E1743" s="73">
        <v>1</v>
      </c>
      <c r="F1743" s="74" t="s">
        <v>54</v>
      </c>
      <c r="G1743" s="77">
        <f t="shared" si="230"/>
        <v>14560</v>
      </c>
      <c r="H1743" s="77">
        <f t="shared" si="231"/>
        <v>14860</v>
      </c>
      <c r="I1743" s="76">
        <v>0.3</v>
      </c>
    </row>
    <row r="1744" spans="3:9" x14ac:dyDescent="0.35">
      <c r="C1744" t="s">
        <v>312</v>
      </c>
      <c r="D1744" s="3">
        <v>2020</v>
      </c>
      <c r="E1744" s="73">
        <v>1</v>
      </c>
      <c r="F1744" s="74" t="s">
        <v>54</v>
      </c>
      <c r="G1744" s="77">
        <f t="shared" si="230"/>
        <v>14860</v>
      </c>
      <c r="H1744" s="77">
        <f t="shared" si="231"/>
        <v>15160</v>
      </c>
      <c r="I1744" s="76">
        <v>0.2</v>
      </c>
    </row>
    <row r="1745" spans="3:9" x14ac:dyDescent="0.35">
      <c r="C1745" t="s">
        <v>312</v>
      </c>
      <c r="D1745" s="3">
        <v>2020</v>
      </c>
      <c r="E1745" s="73">
        <v>1</v>
      </c>
      <c r="F1745" s="74" t="s">
        <v>54</v>
      </c>
      <c r="G1745" s="77">
        <f t="shared" si="230"/>
        <v>15160</v>
      </c>
      <c r="H1745" s="77">
        <f t="shared" si="231"/>
        <v>15460</v>
      </c>
      <c r="I1745" s="76">
        <v>0.1</v>
      </c>
    </row>
    <row r="1746" spans="3:9" x14ac:dyDescent="0.35">
      <c r="C1746" t="s">
        <v>312</v>
      </c>
      <c r="D1746" s="3">
        <v>2020</v>
      </c>
      <c r="E1746" s="73">
        <v>1</v>
      </c>
      <c r="F1746" s="74" t="s">
        <v>54</v>
      </c>
      <c r="G1746" s="77">
        <f t="shared" si="230"/>
        <v>15460</v>
      </c>
      <c r="H1746" s="77"/>
      <c r="I1746" s="76">
        <v>0</v>
      </c>
    </row>
    <row r="1747" spans="3:9" x14ac:dyDescent="0.35">
      <c r="C1747" t="s">
        <v>312</v>
      </c>
      <c r="D1747" s="3">
        <v>2020</v>
      </c>
      <c r="E1747" s="73">
        <v>1</v>
      </c>
      <c r="F1747" s="74" t="s">
        <v>34</v>
      </c>
      <c r="G1747" s="75">
        <v>0</v>
      </c>
      <c r="H1747" s="75">
        <f>H1736</f>
        <v>12760</v>
      </c>
      <c r="I1747" s="76">
        <v>1</v>
      </c>
    </row>
    <row r="1748" spans="3:9" x14ac:dyDescent="0.35">
      <c r="C1748" t="s">
        <v>312</v>
      </c>
      <c r="D1748" s="3">
        <v>2020</v>
      </c>
      <c r="E1748" s="73">
        <v>1</v>
      </c>
      <c r="F1748" s="74" t="s">
        <v>34</v>
      </c>
      <c r="G1748" s="77">
        <f>H1747</f>
        <v>12760</v>
      </c>
      <c r="H1748" s="77">
        <f>H1747+300</f>
        <v>13060</v>
      </c>
      <c r="I1748" s="76">
        <v>0.9</v>
      </c>
    </row>
    <row r="1749" spans="3:9" x14ac:dyDescent="0.35">
      <c r="C1749" t="s">
        <v>312</v>
      </c>
      <c r="D1749" s="3">
        <v>2020</v>
      </c>
      <c r="E1749" s="73">
        <v>1</v>
      </c>
      <c r="F1749" s="74" t="s">
        <v>34</v>
      </c>
      <c r="G1749" s="77">
        <f t="shared" ref="G1749:G1757" si="232">H1748</f>
        <v>13060</v>
      </c>
      <c r="H1749" s="77">
        <f t="shared" ref="H1749:H1756" si="233">H1748+300</f>
        <v>13360</v>
      </c>
      <c r="I1749" s="76">
        <v>0.8</v>
      </c>
    </row>
    <row r="1750" spans="3:9" x14ac:dyDescent="0.35">
      <c r="C1750" t="s">
        <v>312</v>
      </c>
      <c r="D1750" s="3">
        <v>2020</v>
      </c>
      <c r="E1750" s="73">
        <v>1</v>
      </c>
      <c r="F1750" s="74" t="s">
        <v>34</v>
      </c>
      <c r="G1750" s="77">
        <f t="shared" si="232"/>
        <v>13360</v>
      </c>
      <c r="H1750" s="77">
        <f t="shared" si="233"/>
        <v>13660</v>
      </c>
      <c r="I1750" s="76">
        <v>0.7</v>
      </c>
    </row>
    <row r="1751" spans="3:9" x14ac:dyDescent="0.35">
      <c r="C1751" t="s">
        <v>312</v>
      </c>
      <c r="D1751" s="3">
        <v>2020</v>
      </c>
      <c r="E1751" s="73">
        <v>1</v>
      </c>
      <c r="F1751" s="74" t="s">
        <v>34</v>
      </c>
      <c r="G1751" s="77">
        <f t="shared" si="232"/>
        <v>13660</v>
      </c>
      <c r="H1751" s="77">
        <f t="shared" si="233"/>
        <v>13960</v>
      </c>
      <c r="I1751" s="76">
        <v>0.6</v>
      </c>
    </row>
    <row r="1752" spans="3:9" x14ac:dyDescent="0.35">
      <c r="C1752" t="s">
        <v>312</v>
      </c>
      <c r="D1752" s="3">
        <v>2020</v>
      </c>
      <c r="E1752" s="73">
        <v>1</v>
      </c>
      <c r="F1752" s="74" t="s">
        <v>34</v>
      </c>
      <c r="G1752" s="77">
        <f t="shared" si="232"/>
        <v>13960</v>
      </c>
      <c r="H1752" s="77">
        <f t="shared" si="233"/>
        <v>14260</v>
      </c>
      <c r="I1752" s="76">
        <v>0.5</v>
      </c>
    </row>
    <row r="1753" spans="3:9" x14ac:dyDescent="0.35">
      <c r="C1753" t="s">
        <v>312</v>
      </c>
      <c r="D1753" s="3">
        <v>2020</v>
      </c>
      <c r="E1753" s="73">
        <v>1</v>
      </c>
      <c r="F1753" s="74" t="s">
        <v>34</v>
      </c>
      <c r="G1753" s="77">
        <f t="shared" si="232"/>
        <v>14260</v>
      </c>
      <c r="H1753" s="77">
        <f t="shared" si="233"/>
        <v>14560</v>
      </c>
      <c r="I1753" s="76">
        <v>0.4</v>
      </c>
    </row>
    <row r="1754" spans="3:9" x14ac:dyDescent="0.35">
      <c r="C1754" t="s">
        <v>312</v>
      </c>
      <c r="D1754" s="3">
        <v>2020</v>
      </c>
      <c r="E1754" s="73">
        <v>1</v>
      </c>
      <c r="F1754" s="74" t="s">
        <v>34</v>
      </c>
      <c r="G1754" s="77">
        <f t="shared" si="232"/>
        <v>14560</v>
      </c>
      <c r="H1754" s="77">
        <f t="shared" si="233"/>
        <v>14860</v>
      </c>
      <c r="I1754" s="76">
        <v>0.3</v>
      </c>
    </row>
    <row r="1755" spans="3:9" x14ac:dyDescent="0.35">
      <c r="C1755" t="s">
        <v>312</v>
      </c>
      <c r="D1755" s="3">
        <v>2020</v>
      </c>
      <c r="E1755" s="73">
        <v>1</v>
      </c>
      <c r="F1755" s="74" t="s">
        <v>34</v>
      </c>
      <c r="G1755" s="77">
        <f t="shared" si="232"/>
        <v>14860</v>
      </c>
      <c r="H1755" s="77">
        <f t="shared" si="233"/>
        <v>15160</v>
      </c>
      <c r="I1755" s="76">
        <v>0.2</v>
      </c>
    </row>
    <row r="1756" spans="3:9" x14ac:dyDescent="0.35">
      <c r="C1756" t="s">
        <v>312</v>
      </c>
      <c r="D1756" s="3">
        <v>2020</v>
      </c>
      <c r="E1756" s="73">
        <v>1</v>
      </c>
      <c r="F1756" s="74" t="s">
        <v>34</v>
      </c>
      <c r="G1756" s="77">
        <f t="shared" si="232"/>
        <v>15160</v>
      </c>
      <c r="H1756" s="77">
        <f t="shared" si="233"/>
        <v>15460</v>
      </c>
      <c r="I1756" s="76">
        <v>0.1</v>
      </c>
    </row>
    <row r="1757" spans="3:9" x14ac:dyDescent="0.35">
      <c r="C1757" t="s">
        <v>312</v>
      </c>
      <c r="D1757" s="3">
        <v>2020</v>
      </c>
      <c r="E1757" s="73">
        <v>1</v>
      </c>
      <c r="F1757" s="74" t="s">
        <v>34</v>
      </c>
      <c r="G1757" s="77">
        <f t="shared" si="232"/>
        <v>15460</v>
      </c>
      <c r="H1757" s="77"/>
      <c r="I1757" s="76">
        <v>0</v>
      </c>
    </row>
    <row r="1758" spans="3:9" x14ac:dyDescent="0.35">
      <c r="C1758" t="s">
        <v>312</v>
      </c>
      <c r="D1758" s="3">
        <v>2020</v>
      </c>
      <c r="E1758" s="73">
        <v>1</v>
      </c>
      <c r="F1758" s="74" t="s">
        <v>40</v>
      </c>
      <c r="G1758" s="75">
        <v>0</v>
      </c>
      <c r="H1758" s="75">
        <f>H1747</f>
        <v>12760</v>
      </c>
      <c r="I1758" s="76">
        <v>1</v>
      </c>
    </row>
    <row r="1759" spans="3:9" x14ac:dyDescent="0.35">
      <c r="C1759" t="s">
        <v>312</v>
      </c>
      <c r="D1759" s="3">
        <v>2020</v>
      </c>
      <c r="E1759" s="73">
        <v>1</v>
      </c>
      <c r="F1759" s="74" t="s">
        <v>40</v>
      </c>
      <c r="G1759" s="77">
        <f>H1758</f>
        <v>12760</v>
      </c>
      <c r="H1759" s="77">
        <f>H1758+300</f>
        <v>13060</v>
      </c>
      <c r="I1759" s="76">
        <v>0.9</v>
      </c>
    </row>
    <row r="1760" spans="3:9" x14ac:dyDescent="0.35">
      <c r="C1760" t="s">
        <v>312</v>
      </c>
      <c r="D1760" s="3">
        <v>2020</v>
      </c>
      <c r="E1760" s="73">
        <v>1</v>
      </c>
      <c r="F1760" s="74" t="s">
        <v>40</v>
      </c>
      <c r="G1760" s="77">
        <f t="shared" ref="G1760:G1768" si="234">H1759</f>
        <v>13060</v>
      </c>
      <c r="H1760" s="77">
        <f t="shared" ref="H1760:H1767" si="235">H1759+300</f>
        <v>13360</v>
      </c>
      <c r="I1760" s="76">
        <v>0.8</v>
      </c>
    </row>
    <row r="1761" spans="3:9" x14ac:dyDescent="0.35">
      <c r="C1761" t="s">
        <v>312</v>
      </c>
      <c r="D1761" s="3">
        <v>2020</v>
      </c>
      <c r="E1761" s="73">
        <v>1</v>
      </c>
      <c r="F1761" s="74" t="s">
        <v>40</v>
      </c>
      <c r="G1761" s="77">
        <f t="shared" si="234"/>
        <v>13360</v>
      </c>
      <c r="H1761" s="77">
        <f t="shared" si="235"/>
        <v>13660</v>
      </c>
      <c r="I1761" s="76">
        <v>0.7</v>
      </c>
    </row>
    <row r="1762" spans="3:9" x14ac:dyDescent="0.35">
      <c r="C1762" t="s">
        <v>312</v>
      </c>
      <c r="D1762" s="3">
        <v>2020</v>
      </c>
      <c r="E1762" s="73">
        <v>1</v>
      </c>
      <c r="F1762" s="74" t="s">
        <v>40</v>
      </c>
      <c r="G1762" s="77">
        <f t="shared" si="234"/>
        <v>13660</v>
      </c>
      <c r="H1762" s="77">
        <f t="shared" si="235"/>
        <v>13960</v>
      </c>
      <c r="I1762" s="76">
        <v>0.6</v>
      </c>
    </row>
    <row r="1763" spans="3:9" x14ac:dyDescent="0.35">
      <c r="C1763" t="s">
        <v>312</v>
      </c>
      <c r="D1763" s="3">
        <v>2020</v>
      </c>
      <c r="E1763" s="73">
        <v>1</v>
      </c>
      <c r="F1763" s="74" t="s">
        <v>40</v>
      </c>
      <c r="G1763" s="77">
        <f t="shared" si="234"/>
        <v>13960</v>
      </c>
      <c r="H1763" s="77">
        <f t="shared" si="235"/>
        <v>14260</v>
      </c>
      <c r="I1763" s="76">
        <v>0.5</v>
      </c>
    </row>
    <row r="1764" spans="3:9" x14ac:dyDescent="0.35">
      <c r="C1764" t="s">
        <v>312</v>
      </c>
      <c r="D1764" s="3">
        <v>2020</v>
      </c>
      <c r="E1764" s="73">
        <v>1</v>
      </c>
      <c r="F1764" s="74" t="s">
        <v>40</v>
      </c>
      <c r="G1764" s="77">
        <f t="shared" si="234"/>
        <v>14260</v>
      </c>
      <c r="H1764" s="77">
        <f t="shared" si="235"/>
        <v>14560</v>
      </c>
      <c r="I1764" s="76">
        <v>0.4</v>
      </c>
    </row>
    <row r="1765" spans="3:9" x14ac:dyDescent="0.35">
      <c r="C1765" t="s">
        <v>312</v>
      </c>
      <c r="D1765" s="3">
        <v>2020</v>
      </c>
      <c r="E1765" s="73">
        <v>1</v>
      </c>
      <c r="F1765" s="74" t="s">
        <v>40</v>
      </c>
      <c r="G1765" s="77">
        <f t="shared" si="234"/>
        <v>14560</v>
      </c>
      <c r="H1765" s="77">
        <f t="shared" si="235"/>
        <v>14860</v>
      </c>
      <c r="I1765" s="76">
        <v>0.3</v>
      </c>
    </row>
    <row r="1766" spans="3:9" x14ac:dyDescent="0.35">
      <c r="C1766" t="s">
        <v>312</v>
      </c>
      <c r="D1766" s="3">
        <v>2020</v>
      </c>
      <c r="E1766" s="73">
        <v>1</v>
      </c>
      <c r="F1766" s="74" t="s">
        <v>40</v>
      </c>
      <c r="G1766" s="77">
        <f t="shared" si="234"/>
        <v>14860</v>
      </c>
      <c r="H1766" s="77">
        <f t="shared" si="235"/>
        <v>15160</v>
      </c>
      <c r="I1766" s="76">
        <v>0.2</v>
      </c>
    </row>
    <row r="1767" spans="3:9" x14ac:dyDescent="0.35">
      <c r="C1767" t="s">
        <v>312</v>
      </c>
      <c r="D1767" s="3">
        <v>2020</v>
      </c>
      <c r="E1767" s="73">
        <v>1</v>
      </c>
      <c r="F1767" s="74" t="s">
        <v>40</v>
      </c>
      <c r="G1767" s="77">
        <f t="shared" si="234"/>
        <v>15160</v>
      </c>
      <c r="H1767" s="77">
        <f t="shared" si="235"/>
        <v>15460</v>
      </c>
      <c r="I1767" s="76">
        <v>0.1</v>
      </c>
    </row>
    <row r="1768" spans="3:9" x14ac:dyDescent="0.35">
      <c r="C1768" t="s">
        <v>312</v>
      </c>
      <c r="D1768" s="3">
        <v>2020</v>
      </c>
      <c r="E1768" s="73">
        <v>1</v>
      </c>
      <c r="F1768" s="74" t="s">
        <v>40</v>
      </c>
      <c r="G1768" s="77">
        <f t="shared" si="234"/>
        <v>15460</v>
      </c>
      <c r="H1768" s="77"/>
      <c r="I1768" s="76">
        <v>0</v>
      </c>
    </row>
    <row r="1769" spans="3:9" x14ac:dyDescent="0.35">
      <c r="C1769" t="s">
        <v>312</v>
      </c>
      <c r="D1769" s="3">
        <v>2020</v>
      </c>
      <c r="E1769" s="73">
        <v>1</v>
      </c>
      <c r="F1769" s="74" t="s">
        <v>313</v>
      </c>
      <c r="G1769" s="75">
        <v>0</v>
      </c>
      <c r="H1769" s="75">
        <f>H1758</f>
        <v>12760</v>
      </c>
      <c r="I1769" s="76">
        <v>1</v>
      </c>
    </row>
    <row r="1770" spans="3:9" x14ac:dyDescent="0.35">
      <c r="C1770" t="s">
        <v>312</v>
      </c>
      <c r="D1770" s="3">
        <v>2020</v>
      </c>
      <c r="E1770" s="73">
        <v>1</v>
      </c>
      <c r="F1770" s="74" t="s">
        <v>313</v>
      </c>
      <c r="G1770" s="77">
        <f>H1769</f>
        <v>12760</v>
      </c>
      <c r="H1770" s="77">
        <f>H1769+300</f>
        <v>13060</v>
      </c>
      <c r="I1770" s="76">
        <v>0.9</v>
      </c>
    </row>
    <row r="1771" spans="3:9" x14ac:dyDescent="0.35">
      <c r="C1771" t="s">
        <v>312</v>
      </c>
      <c r="D1771" s="3">
        <v>2020</v>
      </c>
      <c r="E1771" s="73">
        <v>1</v>
      </c>
      <c r="F1771" s="74" t="s">
        <v>313</v>
      </c>
      <c r="G1771" s="77">
        <f t="shared" ref="G1771:G1779" si="236">H1770</f>
        <v>13060</v>
      </c>
      <c r="H1771" s="77">
        <f t="shared" ref="H1771:H1778" si="237">H1770+300</f>
        <v>13360</v>
      </c>
      <c r="I1771" s="76">
        <v>0.8</v>
      </c>
    </row>
    <row r="1772" spans="3:9" x14ac:dyDescent="0.35">
      <c r="C1772" t="s">
        <v>312</v>
      </c>
      <c r="D1772" s="3">
        <v>2020</v>
      </c>
      <c r="E1772" s="73">
        <v>1</v>
      </c>
      <c r="F1772" s="74" t="s">
        <v>313</v>
      </c>
      <c r="G1772" s="77">
        <f t="shared" si="236"/>
        <v>13360</v>
      </c>
      <c r="H1772" s="77">
        <f t="shared" si="237"/>
        <v>13660</v>
      </c>
      <c r="I1772" s="76">
        <v>0.7</v>
      </c>
    </row>
    <row r="1773" spans="3:9" x14ac:dyDescent="0.35">
      <c r="C1773" t="s">
        <v>312</v>
      </c>
      <c r="D1773" s="3">
        <v>2020</v>
      </c>
      <c r="E1773" s="73">
        <v>1</v>
      </c>
      <c r="F1773" s="74" t="s">
        <v>313</v>
      </c>
      <c r="G1773" s="77">
        <f t="shared" si="236"/>
        <v>13660</v>
      </c>
      <c r="H1773" s="77">
        <f t="shared" si="237"/>
        <v>13960</v>
      </c>
      <c r="I1773" s="76">
        <v>0.6</v>
      </c>
    </row>
    <row r="1774" spans="3:9" x14ac:dyDescent="0.35">
      <c r="C1774" t="s">
        <v>312</v>
      </c>
      <c r="D1774" s="3">
        <v>2020</v>
      </c>
      <c r="E1774" s="73">
        <v>1</v>
      </c>
      <c r="F1774" s="74" t="s">
        <v>313</v>
      </c>
      <c r="G1774" s="77">
        <f t="shared" si="236"/>
        <v>13960</v>
      </c>
      <c r="H1774" s="77">
        <f t="shared" si="237"/>
        <v>14260</v>
      </c>
      <c r="I1774" s="76">
        <v>0.5</v>
      </c>
    </row>
    <row r="1775" spans="3:9" x14ac:dyDescent="0.35">
      <c r="C1775" t="s">
        <v>312</v>
      </c>
      <c r="D1775" s="3">
        <v>2020</v>
      </c>
      <c r="E1775" s="73">
        <v>1</v>
      </c>
      <c r="F1775" s="74" t="s">
        <v>313</v>
      </c>
      <c r="G1775" s="77">
        <f t="shared" si="236"/>
        <v>14260</v>
      </c>
      <c r="H1775" s="77">
        <f t="shared" si="237"/>
        <v>14560</v>
      </c>
      <c r="I1775" s="76">
        <v>0.4</v>
      </c>
    </row>
    <row r="1776" spans="3:9" x14ac:dyDescent="0.35">
      <c r="C1776" t="s">
        <v>312</v>
      </c>
      <c r="D1776" s="3">
        <v>2020</v>
      </c>
      <c r="E1776" s="73">
        <v>1</v>
      </c>
      <c r="F1776" s="74" t="s">
        <v>313</v>
      </c>
      <c r="G1776" s="77">
        <f t="shared" si="236"/>
        <v>14560</v>
      </c>
      <c r="H1776" s="77">
        <f t="shared" si="237"/>
        <v>14860</v>
      </c>
      <c r="I1776" s="76">
        <v>0.3</v>
      </c>
    </row>
    <row r="1777" spans="3:9" x14ac:dyDescent="0.35">
      <c r="C1777" t="s">
        <v>312</v>
      </c>
      <c r="D1777" s="3">
        <v>2020</v>
      </c>
      <c r="E1777" s="73">
        <v>1</v>
      </c>
      <c r="F1777" s="74" t="s">
        <v>313</v>
      </c>
      <c r="G1777" s="77">
        <f t="shared" si="236"/>
        <v>14860</v>
      </c>
      <c r="H1777" s="77">
        <f t="shared" si="237"/>
        <v>15160</v>
      </c>
      <c r="I1777" s="76">
        <v>0.2</v>
      </c>
    </row>
    <row r="1778" spans="3:9" x14ac:dyDescent="0.35">
      <c r="C1778" t="s">
        <v>312</v>
      </c>
      <c r="D1778" s="3">
        <v>2020</v>
      </c>
      <c r="E1778" s="73">
        <v>1</v>
      </c>
      <c r="F1778" s="74" t="s">
        <v>313</v>
      </c>
      <c r="G1778" s="77">
        <f t="shared" si="236"/>
        <v>15160</v>
      </c>
      <c r="H1778" s="77">
        <f t="shared" si="237"/>
        <v>15460</v>
      </c>
      <c r="I1778" s="76">
        <v>0.1</v>
      </c>
    </row>
    <row r="1779" spans="3:9" x14ac:dyDescent="0.35">
      <c r="C1779" t="s">
        <v>312</v>
      </c>
      <c r="D1779" s="3">
        <v>2020</v>
      </c>
      <c r="E1779" s="73">
        <v>1</v>
      </c>
      <c r="F1779" s="74" t="s">
        <v>313</v>
      </c>
      <c r="G1779" s="77">
        <f t="shared" si="236"/>
        <v>15460</v>
      </c>
      <c r="H1779" s="77"/>
      <c r="I1779" s="76">
        <v>0</v>
      </c>
    </row>
    <row r="1780" spans="3:9" x14ac:dyDescent="0.35">
      <c r="C1780" t="s">
        <v>312</v>
      </c>
      <c r="D1780" s="3">
        <v>2020</v>
      </c>
      <c r="E1780" s="73">
        <v>2</v>
      </c>
      <c r="F1780" s="74" t="s">
        <v>54</v>
      </c>
      <c r="G1780" s="77">
        <v>0</v>
      </c>
      <c r="H1780" s="77">
        <v>17240</v>
      </c>
      <c r="I1780" s="76">
        <v>1</v>
      </c>
    </row>
    <row r="1781" spans="3:9" x14ac:dyDescent="0.35">
      <c r="C1781" t="s">
        <v>312</v>
      </c>
      <c r="D1781" s="3">
        <v>2020</v>
      </c>
      <c r="E1781" s="78">
        <f>E1780</f>
        <v>2</v>
      </c>
      <c r="F1781" s="74" t="s">
        <v>54</v>
      </c>
      <c r="G1781" s="77">
        <f>H1780</f>
        <v>17240</v>
      </c>
      <c r="H1781" s="77">
        <f>H1780+300</f>
        <v>17540</v>
      </c>
      <c r="I1781" s="76">
        <v>0.9</v>
      </c>
    </row>
    <row r="1782" spans="3:9" x14ac:dyDescent="0.35">
      <c r="C1782" t="s">
        <v>312</v>
      </c>
      <c r="D1782" s="3">
        <v>2020</v>
      </c>
      <c r="E1782" s="78">
        <f t="shared" ref="E1782:E1823" si="238">E1781</f>
        <v>2</v>
      </c>
      <c r="F1782" s="74" t="s">
        <v>54</v>
      </c>
      <c r="G1782" s="77">
        <f t="shared" ref="G1782:G1834" si="239">H1781</f>
        <v>17540</v>
      </c>
      <c r="H1782" s="77">
        <f t="shared" ref="H1782:H1789" si="240">H1781+300</f>
        <v>17840</v>
      </c>
      <c r="I1782" s="76">
        <v>0.8</v>
      </c>
    </row>
    <row r="1783" spans="3:9" x14ac:dyDescent="0.35">
      <c r="C1783" t="s">
        <v>312</v>
      </c>
      <c r="D1783" s="3">
        <v>2020</v>
      </c>
      <c r="E1783" s="78">
        <f t="shared" si="238"/>
        <v>2</v>
      </c>
      <c r="F1783" s="74" t="s">
        <v>54</v>
      </c>
      <c r="G1783" s="77">
        <f t="shared" si="239"/>
        <v>17840</v>
      </c>
      <c r="H1783" s="77">
        <f t="shared" si="240"/>
        <v>18140</v>
      </c>
      <c r="I1783" s="76">
        <v>0.7</v>
      </c>
    </row>
    <row r="1784" spans="3:9" x14ac:dyDescent="0.35">
      <c r="C1784" t="s">
        <v>312</v>
      </c>
      <c r="D1784" s="3">
        <v>2020</v>
      </c>
      <c r="E1784" s="78">
        <f t="shared" si="238"/>
        <v>2</v>
      </c>
      <c r="F1784" s="74" t="s">
        <v>54</v>
      </c>
      <c r="G1784" s="77">
        <f t="shared" si="239"/>
        <v>18140</v>
      </c>
      <c r="H1784" s="77">
        <f t="shared" si="240"/>
        <v>18440</v>
      </c>
      <c r="I1784" s="76">
        <v>0.6</v>
      </c>
    </row>
    <row r="1785" spans="3:9" x14ac:dyDescent="0.35">
      <c r="C1785" t="s">
        <v>312</v>
      </c>
      <c r="D1785" s="3">
        <v>2020</v>
      </c>
      <c r="E1785" s="78">
        <f t="shared" si="238"/>
        <v>2</v>
      </c>
      <c r="F1785" s="74" t="s">
        <v>54</v>
      </c>
      <c r="G1785" s="77">
        <f t="shared" si="239"/>
        <v>18440</v>
      </c>
      <c r="H1785" s="77">
        <f t="shared" si="240"/>
        <v>18740</v>
      </c>
      <c r="I1785" s="76">
        <v>0.5</v>
      </c>
    </row>
    <row r="1786" spans="3:9" x14ac:dyDescent="0.35">
      <c r="C1786" t="s">
        <v>312</v>
      </c>
      <c r="D1786" s="3">
        <v>2020</v>
      </c>
      <c r="E1786" s="78">
        <f t="shared" si="238"/>
        <v>2</v>
      </c>
      <c r="F1786" s="74" t="s">
        <v>54</v>
      </c>
      <c r="G1786" s="77">
        <f t="shared" si="239"/>
        <v>18740</v>
      </c>
      <c r="H1786" s="77">
        <f t="shared" si="240"/>
        <v>19040</v>
      </c>
      <c r="I1786" s="76">
        <v>0.4</v>
      </c>
    </row>
    <row r="1787" spans="3:9" x14ac:dyDescent="0.35">
      <c r="C1787" t="s">
        <v>312</v>
      </c>
      <c r="D1787" s="3">
        <v>2020</v>
      </c>
      <c r="E1787" s="78">
        <f t="shared" si="238"/>
        <v>2</v>
      </c>
      <c r="F1787" s="74" t="s">
        <v>54</v>
      </c>
      <c r="G1787" s="77">
        <f t="shared" si="239"/>
        <v>19040</v>
      </c>
      <c r="H1787" s="77">
        <f t="shared" si="240"/>
        <v>19340</v>
      </c>
      <c r="I1787" s="76">
        <v>0.3</v>
      </c>
    </row>
    <row r="1788" spans="3:9" x14ac:dyDescent="0.35">
      <c r="C1788" t="s">
        <v>312</v>
      </c>
      <c r="D1788" s="3">
        <v>2020</v>
      </c>
      <c r="E1788" s="78">
        <f t="shared" si="238"/>
        <v>2</v>
      </c>
      <c r="F1788" s="74" t="s">
        <v>54</v>
      </c>
      <c r="G1788" s="77">
        <f t="shared" si="239"/>
        <v>19340</v>
      </c>
      <c r="H1788" s="77">
        <f t="shared" si="240"/>
        <v>19640</v>
      </c>
      <c r="I1788" s="76">
        <v>0.2</v>
      </c>
    </row>
    <row r="1789" spans="3:9" x14ac:dyDescent="0.35">
      <c r="C1789" t="s">
        <v>312</v>
      </c>
      <c r="D1789" s="3">
        <v>2020</v>
      </c>
      <c r="E1789" s="78">
        <f t="shared" si="238"/>
        <v>2</v>
      </c>
      <c r="F1789" s="74" t="s">
        <v>54</v>
      </c>
      <c r="G1789" s="77">
        <f t="shared" si="239"/>
        <v>19640</v>
      </c>
      <c r="H1789" s="77">
        <f t="shared" si="240"/>
        <v>19940</v>
      </c>
      <c r="I1789" s="76">
        <v>0.1</v>
      </c>
    </row>
    <row r="1790" spans="3:9" x14ac:dyDescent="0.35">
      <c r="C1790" t="s">
        <v>312</v>
      </c>
      <c r="D1790" s="3">
        <v>2020</v>
      </c>
      <c r="E1790" s="78">
        <f t="shared" si="238"/>
        <v>2</v>
      </c>
      <c r="F1790" s="74" t="s">
        <v>54</v>
      </c>
      <c r="G1790" s="77">
        <f t="shared" si="239"/>
        <v>19940</v>
      </c>
      <c r="H1790" s="77"/>
      <c r="I1790" s="76">
        <v>0</v>
      </c>
    </row>
    <row r="1791" spans="3:9" x14ac:dyDescent="0.35">
      <c r="C1791" t="s">
        <v>312</v>
      </c>
      <c r="D1791" s="3">
        <v>2020</v>
      </c>
      <c r="E1791" s="78">
        <f t="shared" si="238"/>
        <v>2</v>
      </c>
      <c r="F1791" s="74" t="s">
        <v>34</v>
      </c>
      <c r="G1791" s="77">
        <v>0</v>
      </c>
      <c r="H1791" s="75">
        <f>H1780</f>
        <v>17240</v>
      </c>
      <c r="I1791" s="76">
        <v>1</v>
      </c>
    </row>
    <row r="1792" spans="3:9" x14ac:dyDescent="0.35">
      <c r="C1792" t="s">
        <v>312</v>
      </c>
      <c r="D1792" s="3">
        <v>2020</v>
      </c>
      <c r="E1792" s="78">
        <f t="shared" si="238"/>
        <v>2</v>
      </c>
      <c r="F1792" s="74" t="s">
        <v>34</v>
      </c>
      <c r="G1792" s="77">
        <f>H1791</f>
        <v>17240</v>
      </c>
      <c r="H1792" s="77">
        <f>H1791+300</f>
        <v>17540</v>
      </c>
      <c r="I1792" s="76">
        <v>0.9</v>
      </c>
    </row>
    <row r="1793" spans="3:9" x14ac:dyDescent="0.35">
      <c r="C1793" t="s">
        <v>312</v>
      </c>
      <c r="D1793" s="3">
        <v>2020</v>
      </c>
      <c r="E1793" s="78">
        <f t="shared" si="238"/>
        <v>2</v>
      </c>
      <c r="F1793" s="74" t="s">
        <v>34</v>
      </c>
      <c r="G1793" s="77">
        <f t="shared" si="239"/>
        <v>17540</v>
      </c>
      <c r="H1793" s="77">
        <f t="shared" ref="H1793:H1800" si="241">H1792+300</f>
        <v>17840</v>
      </c>
      <c r="I1793" s="76">
        <v>0.8</v>
      </c>
    </row>
    <row r="1794" spans="3:9" x14ac:dyDescent="0.35">
      <c r="C1794" t="s">
        <v>312</v>
      </c>
      <c r="D1794" s="3">
        <v>2020</v>
      </c>
      <c r="E1794" s="78">
        <f t="shared" si="238"/>
        <v>2</v>
      </c>
      <c r="F1794" s="74" t="s">
        <v>34</v>
      </c>
      <c r="G1794" s="77">
        <f t="shared" si="239"/>
        <v>17840</v>
      </c>
      <c r="H1794" s="77">
        <f t="shared" si="241"/>
        <v>18140</v>
      </c>
      <c r="I1794" s="76">
        <v>0.7</v>
      </c>
    </row>
    <row r="1795" spans="3:9" x14ac:dyDescent="0.35">
      <c r="C1795" t="s">
        <v>312</v>
      </c>
      <c r="D1795" s="3">
        <v>2020</v>
      </c>
      <c r="E1795" s="78">
        <f t="shared" si="238"/>
        <v>2</v>
      </c>
      <c r="F1795" s="74" t="s">
        <v>34</v>
      </c>
      <c r="G1795" s="77">
        <f t="shared" si="239"/>
        <v>18140</v>
      </c>
      <c r="H1795" s="77">
        <f t="shared" si="241"/>
        <v>18440</v>
      </c>
      <c r="I1795" s="76">
        <v>0.6</v>
      </c>
    </row>
    <row r="1796" spans="3:9" x14ac:dyDescent="0.35">
      <c r="C1796" t="s">
        <v>312</v>
      </c>
      <c r="D1796" s="3">
        <v>2020</v>
      </c>
      <c r="E1796" s="78">
        <f t="shared" si="238"/>
        <v>2</v>
      </c>
      <c r="F1796" s="74" t="s">
        <v>34</v>
      </c>
      <c r="G1796" s="77">
        <f t="shared" si="239"/>
        <v>18440</v>
      </c>
      <c r="H1796" s="77">
        <f t="shared" si="241"/>
        <v>18740</v>
      </c>
      <c r="I1796" s="76">
        <v>0.5</v>
      </c>
    </row>
    <row r="1797" spans="3:9" x14ac:dyDescent="0.35">
      <c r="C1797" t="s">
        <v>312</v>
      </c>
      <c r="D1797" s="3">
        <v>2020</v>
      </c>
      <c r="E1797" s="78">
        <f t="shared" si="238"/>
        <v>2</v>
      </c>
      <c r="F1797" s="74" t="s">
        <v>34</v>
      </c>
      <c r="G1797" s="77">
        <f t="shared" si="239"/>
        <v>18740</v>
      </c>
      <c r="H1797" s="77">
        <f t="shared" si="241"/>
        <v>19040</v>
      </c>
      <c r="I1797" s="76">
        <v>0.4</v>
      </c>
    </row>
    <row r="1798" spans="3:9" x14ac:dyDescent="0.35">
      <c r="C1798" t="s">
        <v>312</v>
      </c>
      <c r="D1798" s="3">
        <v>2020</v>
      </c>
      <c r="E1798" s="78">
        <f t="shared" si="238"/>
        <v>2</v>
      </c>
      <c r="F1798" s="74" t="s">
        <v>34</v>
      </c>
      <c r="G1798" s="77">
        <f t="shared" si="239"/>
        <v>19040</v>
      </c>
      <c r="H1798" s="77">
        <f t="shared" si="241"/>
        <v>19340</v>
      </c>
      <c r="I1798" s="76">
        <v>0.3</v>
      </c>
    </row>
    <row r="1799" spans="3:9" x14ac:dyDescent="0.35">
      <c r="C1799" t="s">
        <v>312</v>
      </c>
      <c r="D1799" s="3">
        <v>2020</v>
      </c>
      <c r="E1799" s="78">
        <f t="shared" si="238"/>
        <v>2</v>
      </c>
      <c r="F1799" s="74" t="s">
        <v>34</v>
      </c>
      <c r="G1799" s="77">
        <f t="shared" si="239"/>
        <v>19340</v>
      </c>
      <c r="H1799" s="77">
        <f t="shared" si="241"/>
        <v>19640</v>
      </c>
      <c r="I1799" s="76">
        <v>0.2</v>
      </c>
    </row>
    <row r="1800" spans="3:9" x14ac:dyDescent="0.35">
      <c r="C1800" t="s">
        <v>312</v>
      </c>
      <c r="D1800" s="3">
        <v>2020</v>
      </c>
      <c r="E1800" s="78">
        <f t="shared" si="238"/>
        <v>2</v>
      </c>
      <c r="F1800" s="74" t="s">
        <v>34</v>
      </c>
      <c r="G1800" s="77">
        <f t="shared" si="239"/>
        <v>19640</v>
      </c>
      <c r="H1800" s="77">
        <f t="shared" si="241"/>
        <v>19940</v>
      </c>
      <c r="I1800" s="76">
        <v>0.1</v>
      </c>
    </row>
    <row r="1801" spans="3:9" x14ac:dyDescent="0.35">
      <c r="C1801" t="s">
        <v>312</v>
      </c>
      <c r="D1801" s="3">
        <v>2020</v>
      </c>
      <c r="E1801" s="78">
        <f t="shared" si="238"/>
        <v>2</v>
      </c>
      <c r="F1801" s="74" t="s">
        <v>34</v>
      </c>
      <c r="G1801" s="77">
        <f t="shared" si="239"/>
        <v>19940</v>
      </c>
      <c r="H1801" s="77"/>
      <c r="I1801" s="76">
        <v>0</v>
      </c>
    </row>
    <row r="1802" spans="3:9" x14ac:dyDescent="0.35">
      <c r="C1802" t="s">
        <v>312</v>
      </c>
      <c r="D1802" s="3">
        <v>2020</v>
      </c>
      <c r="E1802" s="78">
        <f t="shared" si="238"/>
        <v>2</v>
      </c>
      <c r="F1802" s="74" t="s">
        <v>40</v>
      </c>
      <c r="G1802" s="77">
        <v>0</v>
      </c>
      <c r="H1802" s="75">
        <f>H1791</f>
        <v>17240</v>
      </c>
      <c r="I1802" s="76">
        <v>1</v>
      </c>
    </row>
    <row r="1803" spans="3:9" x14ac:dyDescent="0.35">
      <c r="C1803" t="s">
        <v>312</v>
      </c>
      <c r="D1803" s="3">
        <v>2020</v>
      </c>
      <c r="E1803" s="78">
        <f t="shared" si="238"/>
        <v>2</v>
      </c>
      <c r="F1803" s="74" t="s">
        <v>40</v>
      </c>
      <c r="G1803" s="77">
        <f>H1802</f>
        <v>17240</v>
      </c>
      <c r="H1803" s="77">
        <f>H1802+300</f>
        <v>17540</v>
      </c>
      <c r="I1803" s="76">
        <v>0.9</v>
      </c>
    </row>
    <row r="1804" spans="3:9" x14ac:dyDescent="0.35">
      <c r="C1804" t="s">
        <v>312</v>
      </c>
      <c r="D1804" s="3">
        <v>2020</v>
      </c>
      <c r="E1804" s="78">
        <f t="shared" si="238"/>
        <v>2</v>
      </c>
      <c r="F1804" s="74" t="s">
        <v>40</v>
      </c>
      <c r="G1804" s="77">
        <f t="shared" si="239"/>
        <v>17540</v>
      </c>
      <c r="H1804" s="77">
        <f t="shared" ref="H1804:H1811" si="242">H1803+300</f>
        <v>17840</v>
      </c>
      <c r="I1804" s="76">
        <v>0.8</v>
      </c>
    </row>
    <row r="1805" spans="3:9" x14ac:dyDescent="0.35">
      <c r="C1805" t="s">
        <v>312</v>
      </c>
      <c r="D1805" s="3">
        <v>2020</v>
      </c>
      <c r="E1805" s="78">
        <f t="shared" si="238"/>
        <v>2</v>
      </c>
      <c r="F1805" s="74" t="s">
        <v>40</v>
      </c>
      <c r="G1805" s="77">
        <f t="shared" si="239"/>
        <v>17840</v>
      </c>
      <c r="H1805" s="77">
        <f t="shared" si="242"/>
        <v>18140</v>
      </c>
      <c r="I1805" s="76">
        <v>0.7</v>
      </c>
    </row>
    <row r="1806" spans="3:9" x14ac:dyDescent="0.35">
      <c r="C1806" t="s">
        <v>312</v>
      </c>
      <c r="D1806" s="3">
        <v>2020</v>
      </c>
      <c r="E1806" s="78">
        <f t="shared" si="238"/>
        <v>2</v>
      </c>
      <c r="F1806" s="74" t="s">
        <v>40</v>
      </c>
      <c r="G1806" s="77">
        <f t="shared" si="239"/>
        <v>18140</v>
      </c>
      <c r="H1806" s="77">
        <f t="shared" si="242"/>
        <v>18440</v>
      </c>
      <c r="I1806" s="76">
        <v>0.6</v>
      </c>
    </row>
    <row r="1807" spans="3:9" x14ac:dyDescent="0.35">
      <c r="C1807" t="s">
        <v>312</v>
      </c>
      <c r="D1807" s="3">
        <v>2020</v>
      </c>
      <c r="E1807" s="78">
        <f t="shared" si="238"/>
        <v>2</v>
      </c>
      <c r="F1807" s="74" t="s">
        <v>40</v>
      </c>
      <c r="G1807" s="77">
        <f t="shared" si="239"/>
        <v>18440</v>
      </c>
      <c r="H1807" s="77">
        <f t="shared" si="242"/>
        <v>18740</v>
      </c>
      <c r="I1807" s="76">
        <v>0.5</v>
      </c>
    </row>
    <row r="1808" spans="3:9" x14ac:dyDescent="0.35">
      <c r="C1808" t="s">
        <v>312</v>
      </c>
      <c r="D1808" s="3">
        <v>2020</v>
      </c>
      <c r="E1808" s="78">
        <f t="shared" si="238"/>
        <v>2</v>
      </c>
      <c r="F1808" s="74" t="s">
        <v>40</v>
      </c>
      <c r="G1808" s="77">
        <f t="shared" si="239"/>
        <v>18740</v>
      </c>
      <c r="H1808" s="77">
        <f t="shared" si="242"/>
        <v>19040</v>
      </c>
      <c r="I1808" s="76">
        <v>0.4</v>
      </c>
    </row>
    <row r="1809" spans="3:9" x14ac:dyDescent="0.35">
      <c r="C1809" t="s">
        <v>312</v>
      </c>
      <c r="D1809" s="3">
        <v>2020</v>
      </c>
      <c r="E1809" s="78">
        <f t="shared" si="238"/>
        <v>2</v>
      </c>
      <c r="F1809" s="74" t="s">
        <v>40</v>
      </c>
      <c r="G1809" s="77">
        <f t="shared" si="239"/>
        <v>19040</v>
      </c>
      <c r="H1809" s="77">
        <f t="shared" si="242"/>
        <v>19340</v>
      </c>
      <c r="I1809" s="76">
        <v>0.3</v>
      </c>
    </row>
    <row r="1810" spans="3:9" x14ac:dyDescent="0.35">
      <c r="C1810" t="s">
        <v>312</v>
      </c>
      <c r="D1810" s="3">
        <v>2020</v>
      </c>
      <c r="E1810" s="78">
        <f t="shared" si="238"/>
        <v>2</v>
      </c>
      <c r="F1810" s="74" t="s">
        <v>40</v>
      </c>
      <c r="G1810" s="77">
        <f t="shared" si="239"/>
        <v>19340</v>
      </c>
      <c r="H1810" s="77">
        <f t="shared" si="242"/>
        <v>19640</v>
      </c>
      <c r="I1810" s="76">
        <v>0.2</v>
      </c>
    </row>
    <row r="1811" spans="3:9" x14ac:dyDescent="0.35">
      <c r="C1811" t="s">
        <v>312</v>
      </c>
      <c r="D1811" s="3">
        <v>2020</v>
      </c>
      <c r="E1811" s="78">
        <f t="shared" si="238"/>
        <v>2</v>
      </c>
      <c r="F1811" s="74" t="s">
        <v>40</v>
      </c>
      <c r="G1811" s="77">
        <f t="shared" si="239"/>
        <v>19640</v>
      </c>
      <c r="H1811" s="77">
        <f t="shared" si="242"/>
        <v>19940</v>
      </c>
      <c r="I1811" s="76">
        <v>0.1</v>
      </c>
    </row>
    <row r="1812" spans="3:9" x14ac:dyDescent="0.35">
      <c r="C1812" t="s">
        <v>312</v>
      </c>
      <c r="D1812" s="3">
        <v>2020</v>
      </c>
      <c r="E1812" s="78">
        <f t="shared" si="238"/>
        <v>2</v>
      </c>
      <c r="F1812" s="74" t="s">
        <v>40</v>
      </c>
      <c r="G1812" s="77">
        <f t="shared" si="239"/>
        <v>19940</v>
      </c>
      <c r="H1812" s="77"/>
      <c r="I1812" s="76">
        <v>0</v>
      </c>
    </row>
    <row r="1813" spans="3:9" x14ac:dyDescent="0.35">
      <c r="C1813" t="s">
        <v>312</v>
      </c>
      <c r="D1813" s="3">
        <v>2020</v>
      </c>
      <c r="E1813" s="78">
        <f t="shared" si="238"/>
        <v>2</v>
      </c>
      <c r="F1813" s="74" t="s">
        <v>313</v>
      </c>
      <c r="G1813" s="77">
        <v>0</v>
      </c>
      <c r="H1813" s="75">
        <f>H1802</f>
        <v>17240</v>
      </c>
      <c r="I1813" s="76">
        <v>1</v>
      </c>
    </row>
    <row r="1814" spans="3:9" x14ac:dyDescent="0.35">
      <c r="C1814" t="s">
        <v>312</v>
      </c>
      <c r="D1814" s="3">
        <v>2020</v>
      </c>
      <c r="E1814" s="78">
        <f t="shared" si="238"/>
        <v>2</v>
      </c>
      <c r="F1814" s="74" t="s">
        <v>313</v>
      </c>
      <c r="G1814" s="77">
        <f>H1813</f>
        <v>17240</v>
      </c>
      <c r="H1814" s="77">
        <f>H1813+300</f>
        <v>17540</v>
      </c>
      <c r="I1814" s="76">
        <v>0.9</v>
      </c>
    </row>
    <row r="1815" spans="3:9" x14ac:dyDescent="0.35">
      <c r="C1815" t="s">
        <v>312</v>
      </c>
      <c r="D1815" s="3">
        <v>2020</v>
      </c>
      <c r="E1815" s="78">
        <f t="shared" si="238"/>
        <v>2</v>
      </c>
      <c r="F1815" s="74" t="s">
        <v>313</v>
      </c>
      <c r="G1815" s="77">
        <f t="shared" si="239"/>
        <v>17540</v>
      </c>
      <c r="H1815" s="77">
        <f t="shared" ref="H1815:H1822" si="243">H1814+300</f>
        <v>17840</v>
      </c>
      <c r="I1815" s="76">
        <v>0.8</v>
      </c>
    </row>
    <row r="1816" spans="3:9" x14ac:dyDescent="0.35">
      <c r="C1816" t="s">
        <v>312</v>
      </c>
      <c r="D1816" s="3">
        <v>2020</v>
      </c>
      <c r="E1816" s="78">
        <f t="shared" si="238"/>
        <v>2</v>
      </c>
      <c r="F1816" s="74" t="s">
        <v>313</v>
      </c>
      <c r="G1816" s="77">
        <f t="shared" si="239"/>
        <v>17840</v>
      </c>
      <c r="H1816" s="77">
        <f t="shared" si="243"/>
        <v>18140</v>
      </c>
      <c r="I1816" s="76">
        <v>0.7</v>
      </c>
    </row>
    <row r="1817" spans="3:9" x14ac:dyDescent="0.35">
      <c r="C1817" t="s">
        <v>312</v>
      </c>
      <c r="D1817" s="3">
        <v>2020</v>
      </c>
      <c r="E1817" s="78">
        <f t="shared" si="238"/>
        <v>2</v>
      </c>
      <c r="F1817" s="74" t="s">
        <v>313</v>
      </c>
      <c r="G1817" s="77">
        <f t="shared" si="239"/>
        <v>18140</v>
      </c>
      <c r="H1817" s="77">
        <f t="shared" si="243"/>
        <v>18440</v>
      </c>
      <c r="I1817" s="76">
        <v>0.6</v>
      </c>
    </row>
    <row r="1818" spans="3:9" x14ac:dyDescent="0.35">
      <c r="C1818" t="s">
        <v>312</v>
      </c>
      <c r="D1818" s="3">
        <v>2020</v>
      </c>
      <c r="E1818" s="78">
        <f t="shared" si="238"/>
        <v>2</v>
      </c>
      <c r="F1818" s="74" t="s">
        <v>313</v>
      </c>
      <c r="G1818" s="77">
        <f t="shared" si="239"/>
        <v>18440</v>
      </c>
      <c r="H1818" s="77">
        <f t="shared" si="243"/>
        <v>18740</v>
      </c>
      <c r="I1818" s="76">
        <v>0.5</v>
      </c>
    </row>
    <row r="1819" spans="3:9" x14ac:dyDescent="0.35">
      <c r="C1819" t="s">
        <v>312</v>
      </c>
      <c r="D1819" s="3">
        <v>2020</v>
      </c>
      <c r="E1819" s="78">
        <f t="shared" si="238"/>
        <v>2</v>
      </c>
      <c r="F1819" s="74" t="s">
        <v>313</v>
      </c>
      <c r="G1819" s="77">
        <f t="shared" si="239"/>
        <v>18740</v>
      </c>
      <c r="H1819" s="77">
        <f t="shared" si="243"/>
        <v>19040</v>
      </c>
      <c r="I1819" s="76">
        <v>0.4</v>
      </c>
    </row>
    <row r="1820" spans="3:9" x14ac:dyDescent="0.35">
      <c r="C1820" t="s">
        <v>312</v>
      </c>
      <c r="D1820" s="3">
        <v>2020</v>
      </c>
      <c r="E1820" s="78">
        <f t="shared" si="238"/>
        <v>2</v>
      </c>
      <c r="F1820" s="74" t="s">
        <v>313</v>
      </c>
      <c r="G1820" s="77">
        <f t="shared" si="239"/>
        <v>19040</v>
      </c>
      <c r="H1820" s="77">
        <f t="shared" si="243"/>
        <v>19340</v>
      </c>
      <c r="I1820" s="76">
        <v>0.3</v>
      </c>
    </row>
    <row r="1821" spans="3:9" x14ac:dyDescent="0.35">
      <c r="C1821" t="s">
        <v>312</v>
      </c>
      <c r="D1821" s="3">
        <v>2020</v>
      </c>
      <c r="E1821" s="78">
        <f t="shared" si="238"/>
        <v>2</v>
      </c>
      <c r="F1821" s="74" t="s">
        <v>313</v>
      </c>
      <c r="G1821" s="77">
        <f t="shared" si="239"/>
        <v>19340</v>
      </c>
      <c r="H1821" s="77">
        <f t="shared" si="243"/>
        <v>19640</v>
      </c>
      <c r="I1821" s="76">
        <v>0.2</v>
      </c>
    </row>
    <row r="1822" spans="3:9" x14ac:dyDescent="0.35">
      <c r="C1822" t="s">
        <v>312</v>
      </c>
      <c r="D1822" s="3">
        <v>2020</v>
      </c>
      <c r="E1822" s="78">
        <f t="shared" si="238"/>
        <v>2</v>
      </c>
      <c r="F1822" s="74" t="s">
        <v>313</v>
      </c>
      <c r="G1822" s="77">
        <f t="shared" si="239"/>
        <v>19640</v>
      </c>
      <c r="H1822" s="77">
        <f t="shared" si="243"/>
        <v>19940</v>
      </c>
      <c r="I1822" s="76">
        <v>0.1</v>
      </c>
    </row>
    <row r="1823" spans="3:9" x14ac:dyDescent="0.35">
      <c r="C1823" t="s">
        <v>312</v>
      </c>
      <c r="D1823" s="3">
        <v>2020</v>
      </c>
      <c r="E1823" s="78">
        <f t="shared" si="238"/>
        <v>2</v>
      </c>
      <c r="F1823" s="74" t="s">
        <v>313</v>
      </c>
      <c r="G1823" s="77">
        <f t="shared" si="239"/>
        <v>19940</v>
      </c>
      <c r="H1823" s="77"/>
      <c r="I1823" s="76">
        <v>0</v>
      </c>
    </row>
    <row r="1824" spans="3:9" x14ac:dyDescent="0.35">
      <c r="C1824" t="s">
        <v>312</v>
      </c>
      <c r="D1824" s="3">
        <v>2020</v>
      </c>
      <c r="E1824" s="73">
        <v>3</v>
      </c>
      <c r="F1824" s="74" t="s">
        <v>54</v>
      </c>
      <c r="G1824" s="77">
        <v>0</v>
      </c>
      <c r="H1824" s="77">
        <v>21720</v>
      </c>
      <c r="I1824" s="76">
        <v>1</v>
      </c>
    </row>
    <row r="1825" spans="3:9" x14ac:dyDescent="0.35">
      <c r="C1825" t="s">
        <v>312</v>
      </c>
      <c r="D1825" s="3">
        <v>2020</v>
      </c>
      <c r="E1825" s="78">
        <f>E1824</f>
        <v>3</v>
      </c>
      <c r="F1825" s="74" t="s">
        <v>54</v>
      </c>
      <c r="G1825" s="77">
        <f>H1824</f>
        <v>21720</v>
      </c>
      <c r="H1825" s="77">
        <f>H1824+300</f>
        <v>22020</v>
      </c>
      <c r="I1825" s="76">
        <v>0.9</v>
      </c>
    </row>
    <row r="1826" spans="3:9" x14ac:dyDescent="0.35">
      <c r="C1826" t="s">
        <v>312</v>
      </c>
      <c r="D1826" s="3">
        <v>2020</v>
      </c>
      <c r="E1826" s="78">
        <f t="shared" ref="E1826:E1867" si="244">E1825</f>
        <v>3</v>
      </c>
      <c r="F1826" s="74" t="s">
        <v>54</v>
      </c>
      <c r="G1826" s="77">
        <f t="shared" si="239"/>
        <v>22020</v>
      </c>
      <c r="H1826" s="77">
        <f t="shared" ref="H1826:H1833" si="245">H1825+300</f>
        <v>22320</v>
      </c>
      <c r="I1826" s="76">
        <v>0.8</v>
      </c>
    </row>
    <row r="1827" spans="3:9" x14ac:dyDescent="0.35">
      <c r="C1827" t="s">
        <v>312</v>
      </c>
      <c r="D1827" s="3">
        <v>2020</v>
      </c>
      <c r="E1827" s="78">
        <f t="shared" si="244"/>
        <v>3</v>
      </c>
      <c r="F1827" s="74" t="s">
        <v>54</v>
      </c>
      <c r="G1827" s="77">
        <f t="shared" si="239"/>
        <v>22320</v>
      </c>
      <c r="H1827" s="77">
        <f t="shared" si="245"/>
        <v>22620</v>
      </c>
      <c r="I1827" s="76">
        <v>0.7</v>
      </c>
    </row>
    <row r="1828" spans="3:9" x14ac:dyDescent="0.35">
      <c r="C1828" t="s">
        <v>312</v>
      </c>
      <c r="D1828" s="3">
        <v>2020</v>
      </c>
      <c r="E1828" s="78">
        <f t="shared" si="244"/>
        <v>3</v>
      </c>
      <c r="F1828" s="74" t="s">
        <v>54</v>
      </c>
      <c r="G1828" s="77">
        <f t="shared" si="239"/>
        <v>22620</v>
      </c>
      <c r="H1828" s="77">
        <f t="shared" si="245"/>
        <v>22920</v>
      </c>
      <c r="I1828" s="76">
        <v>0.6</v>
      </c>
    </row>
    <row r="1829" spans="3:9" x14ac:dyDescent="0.35">
      <c r="C1829" t="s">
        <v>312</v>
      </c>
      <c r="D1829" s="3">
        <v>2020</v>
      </c>
      <c r="E1829" s="78">
        <f t="shared" si="244"/>
        <v>3</v>
      </c>
      <c r="F1829" s="74" t="s">
        <v>54</v>
      </c>
      <c r="G1829" s="77">
        <f t="shared" si="239"/>
        <v>22920</v>
      </c>
      <c r="H1829" s="77">
        <f t="shared" si="245"/>
        <v>23220</v>
      </c>
      <c r="I1829" s="76">
        <v>0.5</v>
      </c>
    </row>
    <row r="1830" spans="3:9" x14ac:dyDescent="0.35">
      <c r="C1830" t="s">
        <v>312</v>
      </c>
      <c r="D1830" s="3">
        <v>2020</v>
      </c>
      <c r="E1830" s="78">
        <f t="shared" si="244"/>
        <v>3</v>
      </c>
      <c r="F1830" s="74" t="s">
        <v>54</v>
      </c>
      <c r="G1830" s="77">
        <f t="shared" si="239"/>
        <v>23220</v>
      </c>
      <c r="H1830" s="77">
        <f t="shared" si="245"/>
        <v>23520</v>
      </c>
      <c r="I1830" s="76">
        <v>0.4</v>
      </c>
    </row>
    <row r="1831" spans="3:9" x14ac:dyDescent="0.35">
      <c r="C1831" t="s">
        <v>312</v>
      </c>
      <c r="D1831" s="3">
        <v>2020</v>
      </c>
      <c r="E1831" s="78">
        <f t="shared" si="244"/>
        <v>3</v>
      </c>
      <c r="F1831" s="74" t="s">
        <v>54</v>
      </c>
      <c r="G1831" s="77">
        <f t="shared" si="239"/>
        <v>23520</v>
      </c>
      <c r="H1831" s="77">
        <f t="shared" si="245"/>
        <v>23820</v>
      </c>
      <c r="I1831" s="76">
        <v>0.3</v>
      </c>
    </row>
    <row r="1832" spans="3:9" x14ac:dyDescent="0.35">
      <c r="C1832" t="s">
        <v>312</v>
      </c>
      <c r="D1832" s="3">
        <v>2020</v>
      </c>
      <c r="E1832" s="78">
        <f t="shared" si="244"/>
        <v>3</v>
      </c>
      <c r="F1832" s="74" t="s">
        <v>54</v>
      </c>
      <c r="G1832" s="77">
        <f t="shared" si="239"/>
        <v>23820</v>
      </c>
      <c r="H1832" s="77">
        <f t="shared" si="245"/>
        <v>24120</v>
      </c>
      <c r="I1832" s="76">
        <v>0.2</v>
      </c>
    </row>
    <row r="1833" spans="3:9" x14ac:dyDescent="0.35">
      <c r="C1833" t="s">
        <v>312</v>
      </c>
      <c r="D1833" s="3">
        <v>2020</v>
      </c>
      <c r="E1833" s="78">
        <f t="shared" si="244"/>
        <v>3</v>
      </c>
      <c r="F1833" s="74" t="s">
        <v>54</v>
      </c>
      <c r="G1833" s="77">
        <f t="shared" si="239"/>
        <v>24120</v>
      </c>
      <c r="H1833" s="77">
        <f t="shared" si="245"/>
        <v>24420</v>
      </c>
      <c r="I1833" s="76">
        <v>0.1</v>
      </c>
    </row>
    <row r="1834" spans="3:9" x14ac:dyDescent="0.35">
      <c r="C1834" t="s">
        <v>312</v>
      </c>
      <c r="D1834" s="3">
        <v>2020</v>
      </c>
      <c r="E1834" s="78">
        <f t="shared" si="244"/>
        <v>3</v>
      </c>
      <c r="F1834" s="74" t="s">
        <v>54</v>
      </c>
      <c r="G1834" s="77">
        <f t="shared" si="239"/>
        <v>24420</v>
      </c>
      <c r="H1834" s="77"/>
      <c r="I1834" s="76">
        <v>0</v>
      </c>
    </row>
    <row r="1835" spans="3:9" x14ac:dyDescent="0.35">
      <c r="C1835" t="s">
        <v>312</v>
      </c>
      <c r="D1835" s="3">
        <v>2020</v>
      </c>
      <c r="E1835" s="78">
        <f t="shared" si="244"/>
        <v>3</v>
      </c>
      <c r="F1835" s="74" t="s">
        <v>34</v>
      </c>
      <c r="G1835" s="77">
        <v>0</v>
      </c>
      <c r="H1835" s="75">
        <f>H1824</f>
        <v>21720</v>
      </c>
      <c r="I1835" s="76">
        <v>1</v>
      </c>
    </row>
    <row r="1836" spans="3:9" x14ac:dyDescent="0.35">
      <c r="C1836" t="s">
        <v>312</v>
      </c>
      <c r="D1836" s="3">
        <v>2020</v>
      </c>
      <c r="E1836" s="78">
        <f t="shared" si="244"/>
        <v>3</v>
      </c>
      <c r="F1836" s="74" t="s">
        <v>34</v>
      </c>
      <c r="G1836" s="77">
        <f>H1835</f>
        <v>21720</v>
      </c>
      <c r="H1836" s="77">
        <f>H1835+300</f>
        <v>22020</v>
      </c>
      <c r="I1836" s="76">
        <v>0.9</v>
      </c>
    </row>
    <row r="1837" spans="3:9" x14ac:dyDescent="0.35">
      <c r="C1837" t="s">
        <v>312</v>
      </c>
      <c r="D1837" s="3">
        <v>2020</v>
      </c>
      <c r="E1837" s="78">
        <f t="shared" si="244"/>
        <v>3</v>
      </c>
      <c r="F1837" s="74" t="s">
        <v>34</v>
      </c>
      <c r="G1837" s="77">
        <f t="shared" ref="G1837:G1845" si="246">H1836</f>
        <v>22020</v>
      </c>
      <c r="H1837" s="77">
        <f t="shared" ref="H1837:H1844" si="247">H1836+300</f>
        <v>22320</v>
      </c>
      <c r="I1837" s="76">
        <v>0.8</v>
      </c>
    </row>
    <row r="1838" spans="3:9" x14ac:dyDescent="0.35">
      <c r="C1838" t="s">
        <v>312</v>
      </c>
      <c r="D1838" s="3">
        <v>2020</v>
      </c>
      <c r="E1838" s="78">
        <f t="shared" si="244"/>
        <v>3</v>
      </c>
      <c r="F1838" s="74" t="s">
        <v>34</v>
      </c>
      <c r="G1838" s="77">
        <f t="shared" si="246"/>
        <v>22320</v>
      </c>
      <c r="H1838" s="77">
        <f t="shared" si="247"/>
        <v>22620</v>
      </c>
      <c r="I1838" s="76">
        <v>0.7</v>
      </c>
    </row>
    <row r="1839" spans="3:9" x14ac:dyDescent="0.35">
      <c r="C1839" t="s">
        <v>312</v>
      </c>
      <c r="D1839" s="3">
        <v>2020</v>
      </c>
      <c r="E1839" s="78">
        <f t="shared" si="244"/>
        <v>3</v>
      </c>
      <c r="F1839" s="74" t="s">
        <v>34</v>
      </c>
      <c r="G1839" s="77">
        <f t="shared" si="246"/>
        <v>22620</v>
      </c>
      <c r="H1839" s="77">
        <f t="shared" si="247"/>
        <v>22920</v>
      </c>
      <c r="I1839" s="76">
        <v>0.6</v>
      </c>
    </row>
    <row r="1840" spans="3:9" x14ac:dyDescent="0.35">
      <c r="C1840" t="s">
        <v>312</v>
      </c>
      <c r="D1840" s="3">
        <v>2020</v>
      </c>
      <c r="E1840" s="78">
        <f t="shared" si="244"/>
        <v>3</v>
      </c>
      <c r="F1840" s="74" t="s">
        <v>34</v>
      </c>
      <c r="G1840" s="77">
        <f t="shared" si="246"/>
        <v>22920</v>
      </c>
      <c r="H1840" s="77">
        <f t="shared" si="247"/>
        <v>23220</v>
      </c>
      <c r="I1840" s="76">
        <v>0.5</v>
      </c>
    </row>
    <row r="1841" spans="3:9" x14ac:dyDescent="0.35">
      <c r="C1841" t="s">
        <v>312</v>
      </c>
      <c r="D1841" s="3">
        <v>2020</v>
      </c>
      <c r="E1841" s="78">
        <f t="shared" si="244"/>
        <v>3</v>
      </c>
      <c r="F1841" s="74" t="s">
        <v>34</v>
      </c>
      <c r="G1841" s="77">
        <f t="shared" si="246"/>
        <v>23220</v>
      </c>
      <c r="H1841" s="77">
        <f t="shared" si="247"/>
        <v>23520</v>
      </c>
      <c r="I1841" s="76">
        <v>0.4</v>
      </c>
    </row>
    <row r="1842" spans="3:9" x14ac:dyDescent="0.35">
      <c r="C1842" t="s">
        <v>312</v>
      </c>
      <c r="D1842" s="3">
        <v>2020</v>
      </c>
      <c r="E1842" s="78">
        <f t="shared" si="244"/>
        <v>3</v>
      </c>
      <c r="F1842" s="74" t="s">
        <v>34</v>
      </c>
      <c r="G1842" s="77">
        <f t="shared" si="246"/>
        <v>23520</v>
      </c>
      <c r="H1842" s="77">
        <f t="shared" si="247"/>
        <v>23820</v>
      </c>
      <c r="I1842" s="76">
        <v>0.3</v>
      </c>
    </row>
    <row r="1843" spans="3:9" x14ac:dyDescent="0.35">
      <c r="C1843" t="s">
        <v>312</v>
      </c>
      <c r="D1843" s="3">
        <v>2020</v>
      </c>
      <c r="E1843" s="78">
        <f t="shared" si="244"/>
        <v>3</v>
      </c>
      <c r="F1843" s="74" t="s">
        <v>34</v>
      </c>
      <c r="G1843" s="77">
        <f t="shared" si="246"/>
        <v>23820</v>
      </c>
      <c r="H1843" s="77">
        <f t="shared" si="247"/>
        <v>24120</v>
      </c>
      <c r="I1843" s="76">
        <v>0.2</v>
      </c>
    </row>
    <row r="1844" spans="3:9" x14ac:dyDescent="0.35">
      <c r="C1844" t="s">
        <v>312</v>
      </c>
      <c r="D1844" s="3">
        <v>2020</v>
      </c>
      <c r="E1844" s="78">
        <f t="shared" si="244"/>
        <v>3</v>
      </c>
      <c r="F1844" s="74" t="s">
        <v>34</v>
      </c>
      <c r="G1844" s="77">
        <f t="shared" si="246"/>
        <v>24120</v>
      </c>
      <c r="H1844" s="77">
        <f t="shared" si="247"/>
        <v>24420</v>
      </c>
      <c r="I1844" s="76">
        <v>0.1</v>
      </c>
    </row>
    <row r="1845" spans="3:9" x14ac:dyDescent="0.35">
      <c r="C1845" t="s">
        <v>312</v>
      </c>
      <c r="D1845" s="3">
        <v>2020</v>
      </c>
      <c r="E1845" s="78">
        <f t="shared" si="244"/>
        <v>3</v>
      </c>
      <c r="F1845" s="74" t="s">
        <v>34</v>
      </c>
      <c r="G1845" s="77">
        <f t="shared" si="246"/>
        <v>24420</v>
      </c>
      <c r="H1845" s="77"/>
      <c r="I1845" s="76">
        <v>0</v>
      </c>
    </row>
    <row r="1846" spans="3:9" x14ac:dyDescent="0.35">
      <c r="C1846" t="s">
        <v>312</v>
      </c>
      <c r="D1846" s="3">
        <v>2020</v>
      </c>
      <c r="E1846" s="78">
        <f t="shared" si="244"/>
        <v>3</v>
      </c>
      <c r="F1846" s="74" t="s">
        <v>40</v>
      </c>
      <c r="G1846" s="77">
        <v>0</v>
      </c>
      <c r="H1846" s="75">
        <f>H1835</f>
        <v>21720</v>
      </c>
      <c r="I1846" s="76">
        <v>1</v>
      </c>
    </row>
    <row r="1847" spans="3:9" x14ac:dyDescent="0.35">
      <c r="C1847" t="s">
        <v>312</v>
      </c>
      <c r="D1847" s="3">
        <v>2020</v>
      </c>
      <c r="E1847" s="78">
        <f t="shared" si="244"/>
        <v>3</v>
      </c>
      <c r="F1847" s="74" t="s">
        <v>40</v>
      </c>
      <c r="G1847" s="77">
        <f>H1846</f>
        <v>21720</v>
      </c>
      <c r="H1847" s="77">
        <f>H1846+300</f>
        <v>22020</v>
      </c>
      <c r="I1847" s="76">
        <v>0.9</v>
      </c>
    </row>
    <row r="1848" spans="3:9" x14ac:dyDescent="0.35">
      <c r="C1848" t="s">
        <v>312</v>
      </c>
      <c r="D1848" s="3">
        <v>2020</v>
      </c>
      <c r="E1848" s="78">
        <f t="shared" si="244"/>
        <v>3</v>
      </c>
      <c r="F1848" s="74" t="s">
        <v>40</v>
      </c>
      <c r="G1848" s="77">
        <f t="shared" ref="G1848:G1856" si="248">H1847</f>
        <v>22020</v>
      </c>
      <c r="H1848" s="77">
        <f t="shared" ref="H1848:H1855" si="249">H1847+300</f>
        <v>22320</v>
      </c>
      <c r="I1848" s="76">
        <v>0.8</v>
      </c>
    </row>
    <row r="1849" spans="3:9" x14ac:dyDescent="0.35">
      <c r="C1849" t="s">
        <v>312</v>
      </c>
      <c r="D1849" s="3">
        <v>2020</v>
      </c>
      <c r="E1849" s="78">
        <f t="shared" si="244"/>
        <v>3</v>
      </c>
      <c r="F1849" s="74" t="s">
        <v>40</v>
      </c>
      <c r="G1849" s="77">
        <f t="shared" si="248"/>
        <v>22320</v>
      </c>
      <c r="H1849" s="77">
        <f t="shared" si="249"/>
        <v>22620</v>
      </c>
      <c r="I1849" s="76">
        <v>0.7</v>
      </c>
    </row>
    <row r="1850" spans="3:9" x14ac:dyDescent="0.35">
      <c r="C1850" t="s">
        <v>312</v>
      </c>
      <c r="D1850" s="3">
        <v>2020</v>
      </c>
      <c r="E1850" s="78">
        <f t="shared" si="244"/>
        <v>3</v>
      </c>
      <c r="F1850" s="74" t="s">
        <v>40</v>
      </c>
      <c r="G1850" s="77">
        <f t="shared" si="248"/>
        <v>22620</v>
      </c>
      <c r="H1850" s="77">
        <f t="shared" si="249"/>
        <v>22920</v>
      </c>
      <c r="I1850" s="76">
        <v>0.6</v>
      </c>
    </row>
    <row r="1851" spans="3:9" x14ac:dyDescent="0.35">
      <c r="C1851" t="s">
        <v>312</v>
      </c>
      <c r="D1851" s="3">
        <v>2020</v>
      </c>
      <c r="E1851" s="78">
        <f t="shared" si="244"/>
        <v>3</v>
      </c>
      <c r="F1851" s="74" t="s">
        <v>40</v>
      </c>
      <c r="G1851" s="77">
        <f t="shared" si="248"/>
        <v>22920</v>
      </c>
      <c r="H1851" s="77">
        <f t="shared" si="249"/>
        <v>23220</v>
      </c>
      <c r="I1851" s="76">
        <v>0.5</v>
      </c>
    </row>
    <row r="1852" spans="3:9" x14ac:dyDescent="0.35">
      <c r="C1852" t="s">
        <v>312</v>
      </c>
      <c r="D1852" s="3">
        <v>2020</v>
      </c>
      <c r="E1852" s="78">
        <f t="shared" si="244"/>
        <v>3</v>
      </c>
      <c r="F1852" s="74" t="s">
        <v>40</v>
      </c>
      <c r="G1852" s="77">
        <f t="shared" si="248"/>
        <v>23220</v>
      </c>
      <c r="H1852" s="77">
        <f t="shared" si="249"/>
        <v>23520</v>
      </c>
      <c r="I1852" s="76">
        <v>0.4</v>
      </c>
    </row>
    <row r="1853" spans="3:9" x14ac:dyDescent="0.35">
      <c r="C1853" t="s">
        <v>312</v>
      </c>
      <c r="D1853" s="3">
        <v>2020</v>
      </c>
      <c r="E1853" s="78">
        <f t="shared" si="244"/>
        <v>3</v>
      </c>
      <c r="F1853" s="74" t="s">
        <v>40</v>
      </c>
      <c r="G1853" s="77">
        <f t="shared" si="248"/>
        <v>23520</v>
      </c>
      <c r="H1853" s="77">
        <f t="shared" si="249"/>
        <v>23820</v>
      </c>
      <c r="I1853" s="76">
        <v>0.3</v>
      </c>
    </row>
    <row r="1854" spans="3:9" x14ac:dyDescent="0.35">
      <c r="C1854" t="s">
        <v>312</v>
      </c>
      <c r="D1854" s="3">
        <v>2020</v>
      </c>
      <c r="E1854" s="78">
        <f t="shared" si="244"/>
        <v>3</v>
      </c>
      <c r="F1854" s="74" t="s">
        <v>40</v>
      </c>
      <c r="G1854" s="77">
        <f t="shared" si="248"/>
        <v>23820</v>
      </c>
      <c r="H1854" s="77">
        <f t="shared" si="249"/>
        <v>24120</v>
      </c>
      <c r="I1854" s="76">
        <v>0.2</v>
      </c>
    </row>
    <row r="1855" spans="3:9" x14ac:dyDescent="0.35">
      <c r="C1855" t="s">
        <v>312</v>
      </c>
      <c r="D1855" s="3">
        <v>2020</v>
      </c>
      <c r="E1855" s="78">
        <f t="shared" si="244"/>
        <v>3</v>
      </c>
      <c r="F1855" s="74" t="s">
        <v>40</v>
      </c>
      <c r="G1855" s="77">
        <f t="shared" si="248"/>
        <v>24120</v>
      </c>
      <c r="H1855" s="77">
        <f t="shared" si="249"/>
        <v>24420</v>
      </c>
      <c r="I1855" s="76">
        <v>0.1</v>
      </c>
    </row>
    <row r="1856" spans="3:9" x14ac:dyDescent="0.35">
      <c r="C1856" t="s">
        <v>312</v>
      </c>
      <c r="D1856" s="3">
        <v>2020</v>
      </c>
      <c r="E1856" s="78">
        <f t="shared" si="244"/>
        <v>3</v>
      </c>
      <c r="F1856" s="74" t="s">
        <v>40</v>
      </c>
      <c r="G1856" s="77">
        <f t="shared" si="248"/>
        <v>24420</v>
      </c>
      <c r="H1856" s="77"/>
      <c r="I1856" s="76">
        <v>0</v>
      </c>
    </row>
    <row r="1857" spans="3:9" x14ac:dyDescent="0.35">
      <c r="C1857" t="s">
        <v>312</v>
      </c>
      <c r="D1857" s="3">
        <v>2020</v>
      </c>
      <c r="E1857" s="78">
        <f t="shared" si="244"/>
        <v>3</v>
      </c>
      <c r="F1857" s="74" t="s">
        <v>313</v>
      </c>
      <c r="G1857" s="77">
        <v>0</v>
      </c>
      <c r="H1857" s="75">
        <f>H1846</f>
        <v>21720</v>
      </c>
      <c r="I1857" s="76">
        <v>1</v>
      </c>
    </row>
    <row r="1858" spans="3:9" x14ac:dyDescent="0.35">
      <c r="C1858" t="s">
        <v>312</v>
      </c>
      <c r="D1858" s="3">
        <v>2020</v>
      </c>
      <c r="E1858" s="78">
        <f t="shared" si="244"/>
        <v>3</v>
      </c>
      <c r="F1858" s="74" t="s">
        <v>313</v>
      </c>
      <c r="G1858" s="77">
        <f>H1857</f>
        <v>21720</v>
      </c>
      <c r="H1858" s="77">
        <f>H1857+300</f>
        <v>22020</v>
      </c>
      <c r="I1858" s="76">
        <v>0.9</v>
      </c>
    </row>
    <row r="1859" spans="3:9" x14ac:dyDescent="0.35">
      <c r="C1859" t="s">
        <v>312</v>
      </c>
      <c r="D1859" s="3">
        <v>2020</v>
      </c>
      <c r="E1859" s="78">
        <f t="shared" si="244"/>
        <v>3</v>
      </c>
      <c r="F1859" s="74" t="s">
        <v>313</v>
      </c>
      <c r="G1859" s="77">
        <f t="shared" ref="G1859:G1867" si="250">H1858</f>
        <v>22020</v>
      </c>
      <c r="H1859" s="77">
        <f t="shared" ref="H1859:H1866" si="251">H1858+300</f>
        <v>22320</v>
      </c>
      <c r="I1859" s="76">
        <v>0.8</v>
      </c>
    </row>
    <row r="1860" spans="3:9" x14ac:dyDescent="0.35">
      <c r="C1860" t="s">
        <v>312</v>
      </c>
      <c r="D1860" s="3">
        <v>2020</v>
      </c>
      <c r="E1860" s="78">
        <f t="shared" si="244"/>
        <v>3</v>
      </c>
      <c r="F1860" s="74" t="s">
        <v>313</v>
      </c>
      <c r="G1860" s="77">
        <f t="shared" si="250"/>
        <v>22320</v>
      </c>
      <c r="H1860" s="77">
        <f t="shared" si="251"/>
        <v>22620</v>
      </c>
      <c r="I1860" s="76">
        <v>0.7</v>
      </c>
    </row>
    <row r="1861" spans="3:9" x14ac:dyDescent="0.35">
      <c r="C1861" t="s">
        <v>312</v>
      </c>
      <c r="D1861" s="3">
        <v>2020</v>
      </c>
      <c r="E1861" s="78">
        <f t="shared" si="244"/>
        <v>3</v>
      </c>
      <c r="F1861" s="74" t="s">
        <v>313</v>
      </c>
      <c r="G1861" s="77">
        <f t="shared" si="250"/>
        <v>22620</v>
      </c>
      <c r="H1861" s="77">
        <f t="shared" si="251"/>
        <v>22920</v>
      </c>
      <c r="I1861" s="76">
        <v>0.6</v>
      </c>
    </row>
    <row r="1862" spans="3:9" x14ac:dyDescent="0.35">
      <c r="C1862" t="s">
        <v>312</v>
      </c>
      <c r="D1862" s="3">
        <v>2020</v>
      </c>
      <c r="E1862" s="78">
        <f t="shared" si="244"/>
        <v>3</v>
      </c>
      <c r="F1862" s="74" t="s">
        <v>313</v>
      </c>
      <c r="G1862" s="77">
        <f t="shared" si="250"/>
        <v>22920</v>
      </c>
      <c r="H1862" s="77">
        <f t="shared" si="251"/>
        <v>23220</v>
      </c>
      <c r="I1862" s="76">
        <v>0.5</v>
      </c>
    </row>
    <row r="1863" spans="3:9" x14ac:dyDescent="0.35">
      <c r="C1863" t="s">
        <v>312</v>
      </c>
      <c r="D1863" s="3">
        <v>2020</v>
      </c>
      <c r="E1863" s="78">
        <f t="shared" si="244"/>
        <v>3</v>
      </c>
      <c r="F1863" s="74" t="s">
        <v>313</v>
      </c>
      <c r="G1863" s="77">
        <f t="shared" si="250"/>
        <v>23220</v>
      </c>
      <c r="H1863" s="77">
        <f t="shared" si="251"/>
        <v>23520</v>
      </c>
      <c r="I1863" s="76">
        <v>0.4</v>
      </c>
    </row>
    <row r="1864" spans="3:9" x14ac:dyDescent="0.35">
      <c r="C1864" t="s">
        <v>312</v>
      </c>
      <c r="D1864" s="3">
        <v>2020</v>
      </c>
      <c r="E1864" s="78">
        <f t="shared" si="244"/>
        <v>3</v>
      </c>
      <c r="F1864" s="74" t="s">
        <v>313</v>
      </c>
      <c r="G1864" s="77">
        <f t="shared" si="250"/>
        <v>23520</v>
      </c>
      <c r="H1864" s="77">
        <f t="shared" si="251"/>
        <v>23820</v>
      </c>
      <c r="I1864" s="76">
        <v>0.3</v>
      </c>
    </row>
    <row r="1865" spans="3:9" x14ac:dyDescent="0.35">
      <c r="C1865" t="s">
        <v>312</v>
      </c>
      <c r="D1865" s="3">
        <v>2020</v>
      </c>
      <c r="E1865" s="78">
        <f t="shared" si="244"/>
        <v>3</v>
      </c>
      <c r="F1865" s="74" t="s">
        <v>313</v>
      </c>
      <c r="G1865" s="77">
        <f t="shared" si="250"/>
        <v>23820</v>
      </c>
      <c r="H1865" s="77">
        <f t="shared" si="251"/>
        <v>24120</v>
      </c>
      <c r="I1865" s="76">
        <v>0.2</v>
      </c>
    </row>
    <row r="1866" spans="3:9" x14ac:dyDescent="0.35">
      <c r="C1866" t="s">
        <v>312</v>
      </c>
      <c r="D1866" s="3">
        <v>2020</v>
      </c>
      <c r="E1866" s="78">
        <f t="shared" si="244"/>
        <v>3</v>
      </c>
      <c r="F1866" s="74" t="s">
        <v>313</v>
      </c>
      <c r="G1866" s="77">
        <f t="shared" si="250"/>
        <v>24120</v>
      </c>
      <c r="H1866" s="77">
        <f t="shared" si="251"/>
        <v>24420</v>
      </c>
      <c r="I1866" s="76">
        <v>0.1</v>
      </c>
    </row>
    <row r="1867" spans="3:9" x14ac:dyDescent="0.35">
      <c r="C1867" t="s">
        <v>312</v>
      </c>
      <c r="D1867" s="3">
        <v>2020</v>
      </c>
      <c r="E1867" s="78">
        <f t="shared" si="244"/>
        <v>3</v>
      </c>
      <c r="F1867" s="74" t="s">
        <v>313</v>
      </c>
      <c r="G1867" s="77">
        <f t="shared" si="250"/>
        <v>24420</v>
      </c>
      <c r="H1867" s="77"/>
      <c r="I1867" s="76">
        <v>0</v>
      </c>
    </row>
    <row r="1868" spans="3:9" x14ac:dyDescent="0.35">
      <c r="C1868" t="s">
        <v>312</v>
      </c>
      <c r="D1868" s="3">
        <v>2020</v>
      </c>
      <c r="E1868" s="73">
        <v>4</v>
      </c>
      <c r="F1868" s="74" t="s">
        <v>54</v>
      </c>
      <c r="G1868" s="77">
        <v>0</v>
      </c>
      <c r="H1868" s="77">
        <v>26200</v>
      </c>
      <c r="I1868" s="76">
        <v>1</v>
      </c>
    </row>
    <row r="1869" spans="3:9" x14ac:dyDescent="0.35">
      <c r="C1869" t="s">
        <v>312</v>
      </c>
      <c r="D1869" s="3">
        <v>2020</v>
      </c>
      <c r="E1869" s="78">
        <f>E1868</f>
        <v>4</v>
      </c>
      <c r="F1869" s="74" t="s">
        <v>54</v>
      </c>
      <c r="G1869" s="77">
        <f>H1868</f>
        <v>26200</v>
      </c>
      <c r="H1869" s="77">
        <f>H1868+300</f>
        <v>26500</v>
      </c>
      <c r="I1869" s="76">
        <v>0.9</v>
      </c>
    </row>
    <row r="1870" spans="3:9" x14ac:dyDescent="0.35">
      <c r="C1870" t="s">
        <v>312</v>
      </c>
      <c r="D1870" s="3">
        <v>2020</v>
      </c>
      <c r="E1870" s="78">
        <f t="shared" ref="E1870:E1911" si="252">E1869</f>
        <v>4</v>
      </c>
      <c r="F1870" s="74" t="s">
        <v>54</v>
      </c>
      <c r="G1870" s="77">
        <f t="shared" ref="G1870:G1878" si="253">H1869</f>
        <v>26500</v>
      </c>
      <c r="H1870" s="77">
        <f t="shared" ref="H1870:H1877" si="254">H1869+300</f>
        <v>26800</v>
      </c>
      <c r="I1870" s="76">
        <v>0.8</v>
      </c>
    </row>
    <row r="1871" spans="3:9" x14ac:dyDescent="0.35">
      <c r="C1871" t="s">
        <v>312</v>
      </c>
      <c r="D1871" s="3">
        <v>2020</v>
      </c>
      <c r="E1871" s="78">
        <f t="shared" si="252"/>
        <v>4</v>
      </c>
      <c r="F1871" s="74" t="s">
        <v>54</v>
      </c>
      <c r="G1871" s="77">
        <f t="shared" si="253"/>
        <v>26800</v>
      </c>
      <c r="H1871" s="77">
        <f t="shared" si="254"/>
        <v>27100</v>
      </c>
      <c r="I1871" s="76">
        <v>0.7</v>
      </c>
    </row>
    <row r="1872" spans="3:9" x14ac:dyDescent="0.35">
      <c r="C1872" t="s">
        <v>312</v>
      </c>
      <c r="D1872" s="3">
        <v>2020</v>
      </c>
      <c r="E1872" s="78">
        <f t="shared" si="252"/>
        <v>4</v>
      </c>
      <c r="F1872" s="74" t="s">
        <v>54</v>
      </c>
      <c r="G1872" s="77">
        <f t="shared" si="253"/>
        <v>27100</v>
      </c>
      <c r="H1872" s="77">
        <f t="shared" si="254"/>
        <v>27400</v>
      </c>
      <c r="I1872" s="76">
        <v>0.6</v>
      </c>
    </row>
    <row r="1873" spans="3:9" x14ac:dyDescent="0.35">
      <c r="C1873" t="s">
        <v>312</v>
      </c>
      <c r="D1873" s="3">
        <v>2020</v>
      </c>
      <c r="E1873" s="78">
        <f t="shared" si="252"/>
        <v>4</v>
      </c>
      <c r="F1873" s="74" t="s">
        <v>54</v>
      </c>
      <c r="G1873" s="77">
        <f t="shared" si="253"/>
        <v>27400</v>
      </c>
      <c r="H1873" s="77">
        <f t="shared" si="254"/>
        <v>27700</v>
      </c>
      <c r="I1873" s="76">
        <v>0.5</v>
      </c>
    </row>
    <row r="1874" spans="3:9" x14ac:dyDescent="0.35">
      <c r="C1874" t="s">
        <v>312</v>
      </c>
      <c r="D1874" s="3">
        <v>2020</v>
      </c>
      <c r="E1874" s="78">
        <f t="shared" si="252"/>
        <v>4</v>
      </c>
      <c r="F1874" s="74" t="s">
        <v>54</v>
      </c>
      <c r="G1874" s="77">
        <f t="shared" si="253"/>
        <v>27700</v>
      </c>
      <c r="H1874" s="77">
        <f t="shared" si="254"/>
        <v>28000</v>
      </c>
      <c r="I1874" s="76">
        <v>0.4</v>
      </c>
    </row>
    <row r="1875" spans="3:9" x14ac:dyDescent="0.35">
      <c r="C1875" t="s">
        <v>312</v>
      </c>
      <c r="D1875" s="3">
        <v>2020</v>
      </c>
      <c r="E1875" s="78">
        <f t="shared" si="252"/>
        <v>4</v>
      </c>
      <c r="F1875" s="74" t="s">
        <v>54</v>
      </c>
      <c r="G1875" s="77">
        <f t="shared" si="253"/>
        <v>28000</v>
      </c>
      <c r="H1875" s="77">
        <f t="shared" si="254"/>
        <v>28300</v>
      </c>
      <c r="I1875" s="76">
        <v>0.3</v>
      </c>
    </row>
    <row r="1876" spans="3:9" x14ac:dyDescent="0.35">
      <c r="C1876" t="s">
        <v>312</v>
      </c>
      <c r="D1876" s="3">
        <v>2020</v>
      </c>
      <c r="E1876" s="78">
        <f t="shared" si="252"/>
        <v>4</v>
      </c>
      <c r="F1876" s="74" t="s">
        <v>54</v>
      </c>
      <c r="G1876" s="77">
        <f t="shared" si="253"/>
        <v>28300</v>
      </c>
      <c r="H1876" s="77">
        <f t="shared" si="254"/>
        <v>28600</v>
      </c>
      <c r="I1876" s="76">
        <v>0.2</v>
      </c>
    </row>
    <row r="1877" spans="3:9" x14ac:dyDescent="0.35">
      <c r="C1877" t="s">
        <v>312</v>
      </c>
      <c r="D1877" s="3">
        <v>2020</v>
      </c>
      <c r="E1877" s="78">
        <f t="shared" si="252"/>
        <v>4</v>
      </c>
      <c r="F1877" s="74" t="s">
        <v>54</v>
      </c>
      <c r="G1877" s="77">
        <f t="shared" si="253"/>
        <v>28600</v>
      </c>
      <c r="H1877" s="77">
        <f t="shared" si="254"/>
        <v>28900</v>
      </c>
      <c r="I1877" s="76">
        <v>0.1</v>
      </c>
    </row>
    <row r="1878" spans="3:9" x14ac:dyDescent="0.35">
      <c r="C1878" t="s">
        <v>312</v>
      </c>
      <c r="D1878" s="3">
        <v>2020</v>
      </c>
      <c r="E1878" s="78">
        <f t="shared" si="252"/>
        <v>4</v>
      </c>
      <c r="F1878" s="74" t="s">
        <v>54</v>
      </c>
      <c r="G1878" s="77">
        <f t="shared" si="253"/>
        <v>28900</v>
      </c>
      <c r="H1878" s="77"/>
      <c r="I1878" s="76">
        <v>0</v>
      </c>
    </row>
    <row r="1879" spans="3:9" x14ac:dyDescent="0.35">
      <c r="C1879" t="s">
        <v>312</v>
      </c>
      <c r="D1879" s="3">
        <v>2020</v>
      </c>
      <c r="E1879" s="78">
        <f t="shared" si="252"/>
        <v>4</v>
      </c>
      <c r="F1879" s="74" t="s">
        <v>34</v>
      </c>
      <c r="G1879" s="77">
        <v>0</v>
      </c>
      <c r="H1879" s="75">
        <f>H1868</f>
        <v>26200</v>
      </c>
      <c r="I1879" s="76">
        <v>1</v>
      </c>
    </row>
    <row r="1880" spans="3:9" x14ac:dyDescent="0.35">
      <c r="C1880" t="s">
        <v>312</v>
      </c>
      <c r="D1880" s="3">
        <v>2020</v>
      </c>
      <c r="E1880" s="78">
        <f t="shared" si="252"/>
        <v>4</v>
      </c>
      <c r="F1880" s="74" t="s">
        <v>34</v>
      </c>
      <c r="G1880" s="77">
        <f>H1879</f>
        <v>26200</v>
      </c>
      <c r="H1880" s="77">
        <f>H1879+300</f>
        <v>26500</v>
      </c>
      <c r="I1880" s="76">
        <v>0.9</v>
      </c>
    </row>
    <row r="1881" spans="3:9" x14ac:dyDescent="0.35">
      <c r="C1881" t="s">
        <v>312</v>
      </c>
      <c r="D1881" s="3">
        <v>2020</v>
      </c>
      <c r="E1881" s="78">
        <f t="shared" si="252"/>
        <v>4</v>
      </c>
      <c r="F1881" s="74" t="s">
        <v>34</v>
      </c>
      <c r="G1881" s="77">
        <f t="shared" ref="G1881:G1889" si="255">H1880</f>
        <v>26500</v>
      </c>
      <c r="H1881" s="77">
        <f t="shared" ref="H1881:H1888" si="256">H1880+300</f>
        <v>26800</v>
      </c>
      <c r="I1881" s="76">
        <v>0.8</v>
      </c>
    </row>
    <row r="1882" spans="3:9" x14ac:dyDescent="0.35">
      <c r="C1882" t="s">
        <v>312</v>
      </c>
      <c r="D1882" s="3">
        <v>2020</v>
      </c>
      <c r="E1882" s="78">
        <f t="shared" si="252"/>
        <v>4</v>
      </c>
      <c r="F1882" s="74" t="s">
        <v>34</v>
      </c>
      <c r="G1882" s="77">
        <f t="shared" si="255"/>
        <v>26800</v>
      </c>
      <c r="H1882" s="77">
        <f t="shared" si="256"/>
        <v>27100</v>
      </c>
      <c r="I1882" s="76">
        <v>0.7</v>
      </c>
    </row>
    <row r="1883" spans="3:9" x14ac:dyDescent="0.35">
      <c r="C1883" t="s">
        <v>312</v>
      </c>
      <c r="D1883" s="3">
        <v>2020</v>
      </c>
      <c r="E1883" s="78">
        <f t="shared" si="252"/>
        <v>4</v>
      </c>
      <c r="F1883" s="74" t="s">
        <v>34</v>
      </c>
      <c r="G1883" s="77">
        <f t="shared" si="255"/>
        <v>27100</v>
      </c>
      <c r="H1883" s="77">
        <f t="shared" si="256"/>
        <v>27400</v>
      </c>
      <c r="I1883" s="76">
        <v>0.6</v>
      </c>
    </row>
    <row r="1884" spans="3:9" x14ac:dyDescent="0.35">
      <c r="C1884" t="s">
        <v>312</v>
      </c>
      <c r="D1884" s="3">
        <v>2020</v>
      </c>
      <c r="E1884" s="78">
        <f t="shared" si="252"/>
        <v>4</v>
      </c>
      <c r="F1884" s="74" t="s">
        <v>34</v>
      </c>
      <c r="G1884" s="77">
        <f t="shared" si="255"/>
        <v>27400</v>
      </c>
      <c r="H1884" s="77">
        <f t="shared" si="256"/>
        <v>27700</v>
      </c>
      <c r="I1884" s="76">
        <v>0.5</v>
      </c>
    </row>
    <row r="1885" spans="3:9" x14ac:dyDescent="0.35">
      <c r="C1885" t="s">
        <v>312</v>
      </c>
      <c r="D1885" s="3">
        <v>2020</v>
      </c>
      <c r="E1885" s="78">
        <f t="shared" si="252"/>
        <v>4</v>
      </c>
      <c r="F1885" s="74" t="s">
        <v>34</v>
      </c>
      <c r="G1885" s="77">
        <f t="shared" si="255"/>
        <v>27700</v>
      </c>
      <c r="H1885" s="77">
        <f t="shared" si="256"/>
        <v>28000</v>
      </c>
      <c r="I1885" s="76">
        <v>0.4</v>
      </c>
    </row>
    <row r="1886" spans="3:9" x14ac:dyDescent="0.35">
      <c r="C1886" t="s">
        <v>312</v>
      </c>
      <c r="D1886" s="3">
        <v>2020</v>
      </c>
      <c r="E1886" s="78">
        <f t="shared" si="252"/>
        <v>4</v>
      </c>
      <c r="F1886" s="74" t="s">
        <v>34</v>
      </c>
      <c r="G1886" s="77">
        <f t="shared" si="255"/>
        <v>28000</v>
      </c>
      <c r="H1886" s="77">
        <f t="shared" si="256"/>
        <v>28300</v>
      </c>
      <c r="I1886" s="76">
        <v>0.3</v>
      </c>
    </row>
    <row r="1887" spans="3:9" x14ac:dyDescent="0.35">
      <c r="C1887" t="s">
        <v>312</v>
      </c>
      <c r="D1887" s="3">
        <v>2020</v>
      </c>
      <c r="E1887" s="78">
        <f t="shared" si="252"/>
        <v>4</v>
      </c>
      <c r="F1887" s="74" t="s">
        <v>34</v>
      </c>
      <c r="G1887" s="77">
        <f t="shared" si="255"/>
        <v>28300</v>
      </c>
      <c r="H1887" s="77">
        <f t="shared" si="256"/>
        <v>28600</v>
      </c>
      <c r="I1887" s="76">
        <v>0.2</v>
      </c>
    </row>
    <row r="1888" spans="3:9" x14ac:dyDescent="0.35">
      <c r="C1888" t="s">
        <v>312</v>
      </c>
      <c r="D1888" s="3">
        <v>2020</v>
      </c>
      <c r="E1888" s="78">
        <f t="shared" si="252"/>
        <v>4</v>
      </c>
      <c r="F1888" s="74" t="s">
        <v>34</v>
      </c>
      <c r="G1888" s="77">
        <f t="shared" si="255"/>
        <v>28600</v>
      </c>
      <c r="H1888" s="77">
        <f t="shared" si="256"/>
        <v>28900</v>
      </c>
      <c r="I1888" s="76">
        <v>0.1</v>
      </c>
    </row>
    <row r="1889" spans="3:9" x14ac:dyDescent="0.35">
      <c r="C1889" t="s">
        <v>312</v>
      </c>
      <c r="D1889" s="3">
        <v>2020</v>
      </c>
      <c r="E1889" s="78">
        <f t="shared" si="252"/>
        <v>4</v>
      </c>
      <c r="F1889" s="74" t="s">
        <v>34</v>
      </c>
      <c r="G1889" s="77">
        <f t="shared" si="255"/>
        <v>28900</v>
      </c>
      <c r="H1889" s="77"/>
      <c r="I1889" s="76">
        <v>0</v>
      </c>
    </row>
    <row r="1890" spans="3:9" x14ac:dyDescent="0.35">
      <c r="C1890" t="s">
        <v>312</v>
      </c>
      <c r="D1890" s="3">
        <v>2020</v>
      </c>
      <c r="E1890" s="78">
        <f t="shared" si="252"/>
        <v>4</v>
      </c>
      <c r="F1890" s="74" t="s">
        <v>40</v>
      </c>
      <c r="G1890" s="77">
        <v>0</v>
      </c>
      <c r="H1890" s="75">
        <f>H1879</f>
        <v>26200</v>
      </c>
      <c r="I1890" s="76">
        <v>1</v>
      </c>
    </row>
    <row r="1891" spans="3:9" x14ac:dyDescent="0.35">
      <c r="C1891" t="s">
        <v>312</v>
      </c>
      <c r="D1891" s="3">
        <v>2020</v>
      </c>
      <c r="E1891" s="78">
        <f t="shared" si="252"/>
        <v>4</v>
      </c>
      <c r="F1891" s="74" t="s">
        <v>40</v>
      </c>
      <c r="G1891" s="77">
        <f>H1890</f>
        <v>26200</v>
      </c>
      <c r="H1891" s="77">
        <f>H1890+300</f>
        <v>26500</v>
      </c>
      <c r="I1891" s="76">
        <v>0.9</v>
      </c>
    </row>
    <row r="1892" spans="3:9" x14ac:dyDescent="0.35">
      <c r="C1892" t="s">
        <v>312</v>
      </c>
      <c r="D1892" s="3">
        <v>2020</v>
      </c>
      <c r="E1892" s="78">
        <f t="shared" si="252"/>
        <v>4</v>
      </c>
      <c r="F1892" s="74" t="s">
        <v>40</v>
      </c>
      <c r="G1892" s="77">
        <f t="shared" ref="G1892:G1900" si="257">H1891</f>
        <v>26500</v>
      </c>
      <c r="H1892" s="77">
        <f t="shared" ref="H1892:H1899" si="258">H1891+300</f>
        <v>26800</v>
      </c>
      <c r="I1892" s="76">
        <v>0.8</v>
      </c>
    </row>
    <row r="1893" spans="3:9" x14ac:dyDescent="0.35">
      <c r="C1893" t="s">
        <v>312</v>
      </c>
      <c r="D1893" s="3">
        <v>2020</v>
      </c>
      <c r="E1893" s="78">
        <f t="shared" si="252"/>
        <v>4</v>
      </c>
      <c r="F1893" s="74" t="s">
        <v>40</v>
      </c>
      <c r="G1893" s="77">
        <f t="shared" si="257"/>
        <v>26800</v>
      </c>
      <c r="H1893" s="77">
        <f t="shared" si="258"/>
        <v>27100</v>
      </c>
      <c r="I1893" s="76">
        <v>0.7</v>
      </c>
    </row>
    <row r="1894" spans="3:9" x14ac:dyDescent="0.35">
      <c r="C1894" t="s">
        <v>312</v>
      </c>
      <c r="D1894" s="3">
        <v>2020</v>
      </c>
      <c r="E1894" s="78">
        <f t="shared" si="252"/>
        <v>4</v>
      </c>
      <c r="F1894" s="74" t="s">
        <v>40</v>
      </c>
      <c r="G1894" s="77">
        <f t="shared" si="257"/>
        <v>27100</v>
      </c>
      <c r="H1894" s="77">
        <f t="shared" si="258"/>
        <v>27400</v>
      </c>
      <c r="I1894" s="76">
        <v>0.6</v>
      </c>
    </row>
    <row r="1895" spans="3:9" x14ac:dyDescent="0.35">
      <c r="C1895" t="s">
        <v>312</v>
      </c>
      <c r="D1895" s="3">
        <v>2020</v>
      </c>
      <c r="E1895" s="78">
        <f t="shared" si="252"/>
        <v>4</v>
      </c>
      <c r="F1895" s="74" t="s">
        <v>40</v>
      </c>
      <c r="G1895" s="77">
        <f t="shared" si="257"/>
        <v>27400</v>
      </c>
      <c r="H1895" s="77">
        <f t="shared" si="258"/>
        <v>27700</v>
      </c>
      <c r="I1895" s="76">
        <v>0.5</v>
      </c>
    </row>
    <row r="1896" spans="3:9" x14ac:dyDescent="0.35">
      <c r="C1896" t="s">
        <v>312</v>
      </c>
      <c r="D1896" s="3">
        <v>2020</v>
      </c>
      <c r="E1896" s="78">
        <f t="shared" si="252"/>
        <v>4</v>
      </c>
      <c r="F1896" s="74" t="s">
        <v>40</v>
      </c>
      <c r="G1896" s="77">
        <f t="shared" si="257"/>
        <v>27700</v>
      </c>
      <c r="H1896" s="77">
        <f t="shared" si="258"/>
        <v>28000</v>
      </c>
      <c r="I1896" s="76">
        <v>0.4</v>
      </c>
    </row>
    <row r="1897" spans="3:9" x14ac:dyDescent="0.35">
      <c r="C1897" t="s">
        <v>312</v>
      </c>
      <c r="D1897" s="3">
        <v>2020</v>
      </c>
      <c r="E1897" s="78">
        <f t="shared" si="252"/>
        <v>4</v>
      </c>
      <c r="F1897" s="74" t="s">
        <v>40</v>
      </c>
      <c r="G1897" s="77">
        <f t="shared" si="257"/>
        <v>28000</v>
      </c>
      <c r="H1897" s="77">
        <f t="shared" si="258"/>
        <v>28300</v>
      </c>
      <c r="I1897" s="76">
        <v>0.3</v>
      </c>
    </row>
    <row r="1898" spans="3:9" x14ac:dyDescent="0.35">
      <c r="C1898" t="s">
        <v>312</v>
      </c>
      <c r="D1898" s="3">
        <v>2020</v>
      </c>
      <c r="E1898" s="78">
        <f t="shared" si="252"/>
        <v>4</v>
      </c>
      <c r="F1898" s="74" t="s">
        <v>40</v>
      </c>
      <c r="G1898" s="77">
        <f t="shared" si="257"/>
        <v>28300</v>
      </c>
      <c r="H1898" s="77">
        <f t="shared" si="258"/>
        <v>28600</v>
      </c>
      <c r="I1898" s="76">
        <v>0.2</v>
      </c>
    </row>
    <row r="1899" spans="3:9" x14ac:dyDescent="0.35">
      <c r="C1899" t="s">
        <v>312</v>
      </c>
      <c r="D1899" s="3">
        <v>2020</v>
      </c>
      <c r="E1899" s="78">
        <f t="shared" si="252"/>
        <v>4</v>
      </c>
      <c r="F1899" s="74" t="s">
        <v>40</v>
      </c>
      <c r="G1899" s="77">
        <f t="shared" si="257"/>
        <v>28600</v>
      </c>
      <c r="H1899" s="77">
        <f t="shared" si="258"/>
        <v>28900</v>
      </c>
      <c r="I1899" s="76">
        <v>0.1</v>
      </c>
    </row>
    <row r="1900" spans="3:9" x14ac:dyDescent="0.35">
      <c r="C1900" t="s">
        <v>312</v>
      </c>
      <c r="D1900" s="3">
        <v>2020</v>
      </c>
      <c r="E1900" s="78">
        <f t="shared" si="252"/>
        <v>4</v>
      </c>
      <c r="F1900" s="74" t="s">
        <v>40</v>
      </c>
      <c r="G1900" s="77">
        <f t="shared" si="257"/>
        <v>28900</v>
      </c>
      <c r="H1900" s="77"/>
      <c r="I1900" s="76">
        <v>0</v>
      </c>
    </row>
    <row r="1901" spans="3:9" x14ac:dyDescent="0.35">
      <c r="C1901" t="s">
        <v>312</v>
      </c>
      <c r="D1901" s="3">
        <v>2020</v>
      </c>
      <c r="E1901" s="78">
        <f t="shared" si="252"/>
        <v>4</v>
      </c>
      <c r="F1901" s="74" t="s">
        <v>313</v>
      </c>
      <c r="G1901" s="77">
        <v>0</v>
      </c>
      <c r="H1901" s="75">
        <f>H1890</f>
        <v>26200</v>
      </c>
      <c r="I1901" s="76">
        <v>1</v>
      </c>
    </row>
    <row r="1902" spans="3:9" x14ac:dyDescent="0.35">
      <c r="C1902" t="s">
        <v>312</v>
      </c>
      <c r="D1902" s="3">
        <v>2020</v>
      </c>
      <c r="E1902" s="78">
        <f t="shared" si="252"/>
        <v>4</v>
      </c>
      <c r="F1902" s="74" t="s">
        <v>313</v>
      </c>
      <c r="G1902" s="77">
        <f>H1901</f>
        <v>26200</v>
      </c>
      <c r="H1902" s="77">
        <f>H1901+300</f>
        <v>26500</v>
      </c>
      <c r="I1902" s="76">
        <v>0.9</v>
      </c>
    </row>
    <row r="1903" spans="3:9" x14ac:dyDescent="0.35">
      <c r="C1903" t="s">
        <v>312</v>
      </c>
      <c r="D1903" s="3">
        <v>2020</v>
      </c>
      <c r="E1903" s="78">
        <f t="shared" si="252"/>
        <v>4</v>
      </c>
      <c r="F1903" s="74" t="s">
        <v>313</v>
      </c>
      <c r="G1903" s="77">
        <f t="shared" ref="G1903:G1911" si="259">H1902</f>
        <v>26500</v>
      </c>
      <c r="H1903" s="77">
        <f t="shared" ref="H1903:H1910" si="260">H1902+300</f>
        <v>26800</v>
      </c>
      <c r="I1903" s="76">
        <v>0.8</v>
      </c>
    </row>
    <row r="1904" spans="3:9" x14ac:dyDescent="0.35">
      <c r="C1904" t="s">
        <v>312</v>
      </c>
      <c r="D1904" s="3">
        <v>2020</v>
      </c>
      <c r="E1904" s="78">
        <f t="shared" si="252"/>
        <v>4</v>
      </c>
      <c r="F1904" s="74" t="s">
        <v>313</v>
      </c>
      <c r="G1904" s="77">
        <f t="shared" si="259"/>
        <v>26800</v>
      </c>
      <c r="H1904" s="77">
        <f t="shared" si="260"/>
        <v>27100</v>
      </c>
      <c r="I1904" s="76">
        <v>0.7</v>
      </c>
    </row>
    <row r="1905" spans="3:9" x14ac:dyDescent="0.35">
      <c r="C1905" t="s">
        <v>312</v>
      </c>
      <c r="D1905" s="3">
        <v>2020</v>
      </c>
      <c r="E1905" s="78">
        <f t="shared" si="252"/>
        <v>4</v>
      </c>
      <c r="F1905" s="74" t="s">
        <v>313</v>
      </c>
      <c r="G1905" s="77">
        <f t="shared" si="259"/>
        <v>27100</v>
      </c>
      <c r="H1905" s="77">
        <f t="shared" si="260"/>
        <v>27400</v>
      </c>
      <c r="I1905" s="76">
        <v>0.6</v>
      </c>
    </row>
    <row r="1906" spans="3:9" x14ac:dyDescent="0.35">
      <c r="C1906" t="s">
        <v>312</v>
      </c>
      <c r="D1906" s="3">
        <v>2020</v>
      </c>
      <c r="E1906" s="78">
        <f t="shared" si="252"/>
        <v>4</v>
      </c>
      <c r="F1906" s="74" t="s">
        <v>313</v>
      </c>
      <c r="G1906" s="77">
        <f t="shared" si="259"/>
        <v>27400</v>
      </c>
      <c r="H1906" s="77">
        <f t="shared" si="260"/>
        <v>27700</v>
      </c>
      <c r="I1906" s="76">
        <v>0.5</v>
      </c>
    </row>
    <row r="1907" spans="3:9" x14ac:dyDescent="0.35">
      <c r="C1907" t="s">
        <v>312</v>
      </c>
      <c r="D1907" s="3">
        <v>2020</v>
      </c>
      <c r="E1907" s="78">
        <f t="shared" si="252"/>
        <v>4</v>
      </c>
      <c r="F1907" s="74" t="s">
        <v>313</v>
      </c>
      <c r="G1907" s="77">
        <f t="shared" si="259"/>
        <v>27700</v>
      </c>
      <c r="H1907" s="77">
        <f t="shared" si="260"/>
        <v>28000</v>
      </c>
      <c r="I1907" s="76">
        <v>0.4</v>
      </c>
    </row>
    <row r="1908" spans="3:9" x14ac:dyDescent="0.35">
      <c r="C1908" t="s">
        <v>312</v>
      </c>
      <c r="D1908" s="3">
        <v>2020</v>
      </c>
      <c r="E1908" s="78">
        <f t="shared" si="252"/>
        <v>4</v>
      </c>
      <c r="F1908" s="74" t="s">
        <v>313</v>
      </c>
      <c r="G1908" s="77">
        <f t="shared" si="259"/>
        <v>28000</v>
      </c>
      <c r="H1908" s="77">
        <f t="shared" si="260"/>
        <v>28300</v>
      </c>
      <c r="I1908" s="76">
        <v>0.3</v>
      </c>
    </row>
    <row r="1909" spans="3:9" x14ac:dyDescent="0.35">
      <c r="C1909" t="s">
        <v>312</v>
      </c>
      <c r="D1909" s="3">
        <v>2020</v>
      </c>
      <c r="E1909" s="78">
        <f t="shared" si="252"/>
        <v>4</v>
      </c>
      <c r="F1909" s="74" t="s">
        <v>313</v>
      </c>
      <c r="G1909" s="77">
        <f t="shared" si="259"/>
        <v>28300</v>
      </c>
      <c r="H1909" s="77">
        <f t="shared" si="260"/>
        <v>28600</v>
      </c>
      <c r="I1909" s="76">
        <v>0.2</v>
      </c>
    </row>
    <row r="1910" spans="3:9" x14ac:dyDescent="0.35">
      <c r="C1910" t="s">
        <v>312</v>
      </c>
      <c r="D1910" s="3">
        <v>2020</v>
      </c>
      <c r="E1910" s="78">
        <f t="shared" si="252"/>
        <v>4</v>
      </c>
      <c r="F1910" s="74" t="s">
        <v>313</v>
      </c>
      <c r="G1910" s="77">
        <f t="shared" si="259"/>
        <v>28600</v>
      </c>
      <c r="H1910" s="77">
        <f t="shared" si="260"/>
        <v>28900</v>
      </c>
      <c r="I1910" s="76">
        <v>0.1</v>
      </c>
    </row>
    <row r="1911" spans="3:9" x14ac:dyDescent="0.35">
      <c r="C1911" t="s">
        <v>312</v>
      </c>
      <c r="D1911" s="3">
        <v>2020</v>
      </c>
      <c r="E1911" s="78">
        <f t="shared" si="252"/>
        <v>4</v>
      </c>
      <c r="F1911" s="74" t="s">
        <v>313</v>
      </c>
      <c r="G1911" s="77">
        <f t="shared" si="259"/>
        <v>28900</v>
      </c>
      <c r="H1911" s="77"/>
      <c r="I1911" s="76">
        <v>0</v>
      </c>
    </row>
    <row r="1912" spans="3:9" x14ac:dyDescent="0.35">
      <c r="C1912" t="s">
        <v>312</v>
      </c>
      <c r="D1912" s="3">
        <v>2020</v>
      </c>
      <c r="E1912" s="73">
        <v>5</v>
      </c>
      <c r="F1912" s="74" t="s">
        <v>54</v>
      </c>
      <c r="G1912" s="77">
        <v>0</v>
      </c>
      <c r="H1912" s="77">
        <v>30680</v>
      </c>
      <c r="I1912" s="76">
        <v>1</v>
      </c>
    </row>
    <row r="1913" spans="3:9" x14ac:dyDescent="0.35">
      <c r="C1913" t="s">
        <v>312</v>
      </c>
      <c r="D1913" s="3">
        <v>2020</v>
      </c>
      <c r="E1913" s="78">
        <f>E1912</f>
        <v>5</v>
      </c>
      <c r="F1913" s="74" t="s">
        <v>54</v>
      </c>
      <c r="G1913" s="77">
        <f>H1912</f>
        <v>30680</v>
      </c>
      <c r="H1913" s="77">
        <f>H1912+300</f>
        <v>30980</v>
      </c>
      <c r="I1913" s="76">
        <v>0.9</v>
      </c>
    </row>
    <row r="1914" spans="3:9" x14ac:dyDescent="0.35">
      <c r="C1914" t="s">
        <v>312</v>
      </c>
      <c r="D1914" s="3">
        <v>2020</v>
      </c>
      <c r="E1914" s="78">
        <f t="shared" ref="E1914:E1955" si="261">E1913</f>
        <v>5</v>
      </c>
      <c r="F1914" s="74" t="s">
        <v>54</v>
      </c>
      <c r="G1914" s="77">
        <f t="shared" ref="G1914:G1922" si="262">H1913</f>
        <v>30980</v>
      </c>
      <c r="H1914" s="77">
        <f t="shared" ref="H1914:H1921" si="263">H1913+300</f>
        <v>31280</v>
      </c>
      <c r="I1914" s="76">
        <v>0.8</v>
      </c>
    </row>
    <row r="1915" spans="3:9" x14ac:dyDescent="0.35">
      <c r="C1915" t="s">
        <v>312</v>
      </c>
      <c r="D1915" s="3">
        <v>2020</v>
      </c>
      <c r="E1915" s="78">
        <f t="shared" si="261"/>
        <v>5</v>
      </c>
      <c r="F1915" s="74" t="s">
        <v>54</v>
      </c>
      <c r="G1915" s="77">
        <f t="shared" si="262"/>
        <v>31280</v>
      </c>
      <c r="H1915" s="77">
        <f t="shared" si="263"/>
        <v>31580</v>
      </c>
      <c r="I1915" s="76">
        <v>0.7</v>
      </c>
    </row>
    <row r="1916" spans="3:9" x14ac:dyDescent="0.35">
      <c r="C1916" t="s">
        <v>312</v>
      </c>
      <c r="D1916" s="3">
        <v>2020</v>
      </c>
      <c r="E1916" s="78">
        <f t="shared" si="261"/>
        <v>5</v>
      </c>
      <c r="F1916" s="74" t="s">
        <v>54</v>
      </c>
      <c r="G1916" s="77">
        <f t="shared" si="262"/>
        <v>31580</v>
      </c>
      <c r="H1916" s="77">
        <f t="shared" si="263"/>
        <v>31880</v>
      </c>
      <c r="I1916" s="76">
        <v>0.6</v>
      </c>
    </row>
    <row r="1917" spans="3:9" x14ac:dyDescent="0.35">
      <c r="C1917" t="s">
        <v>312</v>
      </c>
      <c r="D1917" s="3">
        <v>2020</v>
      </c>
      <c r="E1917" s="78">
        <f t="shared" si="261"/>
        <v>5</v>
      </c>
      <c r="F1917" s="74" t="s">
        <v>54</v>
      </c>
      <c r="G1917" s="77">
        <f t="shared" si="262"/>
        <v>31880</v>
      </c>
      <c r="H1917" s="77">
        <f t="shared" si="263"/>
        <v>32180</v>
      </c>
      <c r="I1917" s="76">
        <v>0.5</v>
      </c>
    </row>
    <row r="1918" spans="3:9" x14ac:dyDescent="0.35">
      <c r="C1918" t="s">
        <v>312</v>
      </c>
      <c r="D1918" s="3">
        <v>2020</v>
      </c>
      <c r="E1918" s="78">
        <f t="shared" si="261"/>
        <v>5</v>
      </c>
      <c r="F1918" s="74" t="s">
        <v>54</v>
      </c>
      <c r="G1918" s="77">
        <f t="shared" si="262"/>
        <v>32180</v>
      </c>
      <c r="H1918" s="77">
        <f t="shared" si="263"/>
        <v>32480</v>
      </c>
      <c r="I1918" s="76">
        <v>0.4</v>
      </c>
    </row>
    <row r="1919" spans="3:9" x14ac:dyDescent="0.35">
      <c r="C1919" t="s">
        <v>312</v>
      </c>
      <c r="D1919" s="3">
        <v>2020</v>
      </c>
      <c r="E1919" s="78">
        <f t="shared" si="261"/>
        <v>5</v>
      </c>
      <c r="F1919" s="74" t="s">
        <v>54</v>
      </c>
      <c r="G1919" s="77">
        <f t="shared" si="262"/>
        <v>32480</v>
      </c>
      <c r="H1919" s="77">
        <f t="shared" si="263"/>
        <v>32780</v>
      </c>
      <c r="I1919" s="76">
        <v>0.3</v>
      </c>
    </row>
    <row r="1920" spans="3:9" x14ac:dyDescent="0.35">
      <c r="C1920" t="s">
        <v>312</v>
      </c>
      <c r="D1920" s="3">
        <v>2020</v>
      </c>
      <c r="E1920" s="78">
        <f t="shared" si="261"/>
        <v>5</v>
      </c>
      <c r="F1920" s="74" t="s">
        <v>54</v>
      </c>
      <c r="G1920" s="77">
        <f t="shared" si="262"/>
        <v>32780</v>
      </c>
      <c r="H1920" s="77">
        <f t="shared" si="263"/>
        <v>33080</v>
      </c>
      <c r="I1920" s="76">
        <v>0.2</v>
      </c>
    </row>
    <row r="1921" spans="3:9" x14ac:dyDescent="0.35">
      <c r="C1921" t="s">
        <v>312</v>
      </c>
      <c r="D1921" s="3">
        <v>2020</v>
      </c>
      <c r="E1921" s="78">
        <f t="shared" si="261"/>
        <v>5</v>
      </c>
      <c r="F1921" s="74" t="s">
        <v>54</v>
      </c>
      <c r="G1921" s="77">
        <f t="shared" si="262"/>
        <v>33080</v>
      </c>
      <c r="H1921" s="77">
        <f t="shared" si="263"/>
        <v>33380</v>
      </c>
      <c r="I1921" s="76">
        <v>0.1</v>
      </c>
    </row>
    <row r="1922" spans="3:9" x14ac:dyDescent="0.35">
      <c r="C1922" t="s">
        <v>312</v>
      </c>
      <c r="D1922" s="3">
        <v>2020</v>
      </c>
      <c r="E1922" s="78">
        <f t="shared" si="261"/>
        <v>5</v>
      </c>
      <c r="F1922" s="74" t="s">
        <v>54</v>
      </c>
      <c r="G1922" s="77">
        <f t="shared" si="262"/>
        <v>33380</v>
      </c>
      <c r="H1922" s="77"/>
      <c r="I1922" s="76">
        <v>0</v>
      </c>
    </row>
    <row r="1923" spans="3:9" x14ac:dyDescent="0.35">
      <c r="C1923" t="s">
        <v>312</v>
      </c>
      <c r="D1923" s="3">
        <v>2020</v>
      </c>
      <c r="E1923" s="78">
        <f t="shared" si="261"/>
        <v>5</v>
      </c>
      <c r="F1923" s="74" t="s">
        <v>34</v>
      </c>
      <c r="G1923" s="77">
        <v>0</v>
      </c>
      <c r="H1923" s="75">
        <f>H1912</f>
        <v>30680</v>
      </c>
      <c r="I1923" s="76">
        <v>1</v>
      </c>
    </row>
    <row r="1924" spans="3:9" x14ac:dyDescent="0.35">
      <c r="C1924" t="s">
        <v>312</v>
      </c>
      <c r="D1924" s="3">
        <v>2020</v>
      </c>
      <c r="E1924" s="78">
        <f t="shared" si="261"/>
        <v>5</v>
      </c>
      <c r="F1924" s="74" t="s">
        <v>34</v>
      </c>
      <c r="G1924" s="77">
        <f>H1923</f>
        <v>30680</v>
      </c>
      <c r="H1924" s="77">
        <f>H1923+300</f>
        <v>30980</v>
      </c>
      <c r="I1924" s="76">
        <v>0.9</v>
      </c>
    </row>
    <row r="1925" spans="3:9" x14ac:dyDescent="0.35">
      <c r="C1925" t="s">
        <v>312</v>
      </c>
      <c r="D1925" s="3">
        <v>2020</v>
      </c>
      <c r="E1925" s="78">
        <f t="shared" si="261"/>
        <v>5</v>
      </c>
      <c r="F1925" s="74" t="s">
        <v>34</v>
      </c>
      <c r="G1925" s="77">
        <f t="shared" ref="G1925:G1933" si="264">H1924</f>
        <v>30980</v>
      </c>
      <c r="H1925" s="77">
        <f t="shared" ref="H1925:H1932" si="265">H1924+300</f>
        <v>31280</v>
      </c>
      <c r="I1925" s="76">
        <v>0.8</v>
      </c>
    </row>
    <row r="1926" spans="3:9" x14ac:dyDescent="0.35">
      <c r="C1926" t="s">
        <v>312</v>
      </c>
      <c r="D1926" s="3">
        <v>2020</v>
      </c>
      <c r="E1926" s="78">
        <f t="shared" si="261"/>
        <v>5</v>
      </c>
      <c r="F1926" s="74" t="s">
        <v>34</v>
      </c>
      <c r="G1926" s="77">
        <f t="shared" si="264"/>
        <v>31280</v>
      </c>
      <c r="H1926" s="77">
        <f t="shared" si="265"/>
        <v>31580</v>
      </c>
      <c r="I1926" s="76">
        <v>0.7</v>
      </c>
    </row>
    <row r="1927" spans="3:9" x14ac:dyDescent="0.35">
      <c r="C1927" t="s">
        <v>312</v>
      </c>
      <c r="D1927" s="3">
        <v>2020</v>
      </c>
      <c r="E1927" s="78">
        <f t="shared" si="261"/>
        <v>5</v>
      </c>
      <c r="F1927" s="74" t="s">
        <v>34</v>
      </c>
      <c r="G1927" s="77">
        <f t="shared" si="264"/>
        <v>31580</v>
      </c>
      <c r="H1927" s="77">
        <f t="shared" si="265"/>
        <v>31880</v>
      </c>
      <c r="I1927" s="76">
        <v>0.6</v>
      </c>
    </row>
    <row r="1928" spans="3:9" x14ac:dyDescent="0.35">
      <c r="C1928" t="s">
        <v>312</v>
      </c>
      <c r="D1928" s="3">
        <v>2020</v>
      </c>
      <c r="E1928" s="78">
        <f t="shared" si="261"/>
        <v>5</v>
      </c>
      <c r="F1928" s="74" t="s">
        <v>34</v>
      </c>
      <c r="G1928" s="77">
        <f t="shared" si="264"/>
        <v>31880</v>
      </c>
      <c r="H1928" s="77">
        <f t="shared" si="265"/>
        <v>32180</v>
      </c>
      <c r="I1928" s="76">
        <v>0.5</v>
      </c>
    </row>
    <row r="1929" spans="3:9" x14ac:dyDescent="0.35">
      <c r="C1929" t="s">
        <v>312</v>
      </c>
      <c r="D1929" s="3">
        <v>2020</v>
      </c>
      <c r="E1929" s="78">
        <f t="shared" si="261"/>
        <v>5</v>
      </c>
      <c r="F1929" s="74" t="s">
        <v>34</v>
      </c>
      <c r="G1929" s="77">
        <f t="shared" si="264"/>
        <v>32180</v>
      </c>
      <c r="H1929" s="77">
        <f t="shared" si="265"/>
        <v>32480</v>
      </c>
      <c r="I1929" s="76">
        <v>0.4</v>
      </c>
    </row>
    <row r="1930" spans="3:9" x14ac:dyDescent="0.35">
      <c r="C1930" t="s">
        <v>312</v>
      </c>
      <c r="D1930" s="3">
        <v>2020</v>
      </c>
      <c r="E1930" s="78">
        <f t="shared" si="261"/>
        <v>5</v>
      </c>
      <c r="F1930" s="74" t="s">
        <v>34</v>
      </c>
      <c r="G1930" s="77">
        <f t="shared" si="264"/>
        <v>32480</v>
      </c>
      <c r="H1930" s="77">
        <f t="shared" si="265"/>
        <v>32780</v>
      </c>
      <c r="I1930" s="76">
        <v>0.3</v>
      </c>
    </row>
    <row r="1931" spans="3:9" x14ac:dyDescent="0.35">
      <c r="C1931" t="s">
        <v>312</v>
      </c>
      <c r="D1931" s="3">
        <v>2020</v>
      </c>
      <c r="E1931" s="78">
        <f t="shared" si="261"/>
        <v>5</v>
      </c>
      <c r="F1931" s="74" t="s">
        <v>34</v>
      </c>
      <c r="G1931" s="77">
        <f t="shared" si="264"/>
        <v>32780</v>
      </c>
      <c r="H1931" s="77">
        <f t="shared" si="265"/>
        <v>33080</v>
      </c>
      <c r="I1931" s="76">
        <v>0.2</v>
      </c>
    </row>
    <row r="1932" spans="3:9" x14ac:dyDescent="0.35">
      <c r="C1932" t="s">
        <v>312</v>
      </c>
      <c r="D1932" s="3">
        <v>2020</v>
      </c>
      <c r="E1932" s="78">
        <f t="shared" si="261"/>
        <v>5</v>
      </c>
      <c r="F1932" s="74" t="s">
        <v>34</v>
      </c>
      <c r="G1932" s="77">
        <f t="shared" si="264"/>
        <v>33080</v>
      </c>
      <c r="H1932" s="77">
        <f t="shared" si="265"/>
        <v>33380</v>
      </c>
      <c r="I1932" s="76">
        <v>0.1</v>
      </c>
    </row>
    <row r="1933" spans="3:9" x14ac:dyDescent="0.35">
      <c r="C1933" t="s">
        <v>312</v>
      </c>
      <c r="D1933" s="3">
        <v>2020</v>
      </c>
      <c r="E1933" s="78">
        <f t="shared" si="261"/>
        <v>5</v>
      </c>
      <c r="F1933" s="74" t="s">
        <v>34</v>
      </c>
      <c r="G1933" s="77">
        <f t="shared" si="264"/>
        <v>33380</v>
      </c>
      <c r="H1933" s="77"/>
      <c r="I1933" s="76">
        <v>0</v>
      </c>
    </row>
    <row r="1934" spans="3:9" x14ac:dyDescent="0.35">
      <c r="C1934" t="s">
        <v>312</v>
      </c>
      <c r="D1934" s="3">
        <v>2020</v>
      </c>
      <c r="E1934" s="78">
        <f t="shared" si="261"/>
        <v>5</v>
      </c>
      <c r="F1934" s="74" t="s">
        <v>40</v>
      </c>
      <c r="G1934" s="77">
        <v>0</v>
      </c>
      <c r="H1934" s="75">
        <f>H1923</f>
        <v>30680</v>
      </c>
      <c r="I1934" s="76">
        <v>1</v>
      </c>
    </row>
    <row r="1935" spans="3:9" x14ac:dyDescent="0.35">
      <c r="C1935" t="s">
        <v>312</v>
      </c>
      <c r="D1935" s="3">
        <v>2020</v>
      </c>
      <c r="E1935" s="78">
        <f t="shared" si="261"/>
        <v>5</v>
      </c>
      <c r="F1935" s="74" t="s">
        <v>40</v>
      </c>
      <c r="G1935" s="77">
        <f>H1934</f>
        <v>30680</v>
      </c>
      <c r="H1935" s="77">
        <f>H1934+300</f>
        <v>30980</v>
      </c>
      <c r="I1935" s="76">
        <v>0.9</v>
      </c>
    </row>
    <row r="1936" spans="3:9" x14ac:dyDescent="0.35">
      <c r="C1936" t="s">
        <v>312</v>
      </c>
      <c r="D1936" s="3">
        <v>2020</v>
      </c>
      <c r="E1936" s="78">
        <f t="shared" si="261"/>
        <v>5</v>
      </c>
      <c r="F1936" s="74" t="s">
        <v>40</v>
      </c>
      <c r="G1936" s="77">
        <f t="shared" ref="G1936:G1944" si="266">H1935</f>
        <v>30980</v>
      </c>
      <c r="H1936" s="77">
        <f t="shared" ref="H1936:H1943" si="267">H1935+300</f>
        <v>31280</v>
      </c>
      <c r="I1936" s="76">
        <v>0.8</v>
      </c>
    </row>
    <row r="1937" spans="3:9" x14ac:dyDescent="0.35">
      <c r="C1937" t="s">
        <v>312</v>
      </c>
      <c r="D1937" s="3">
        <v>2020</v>
      </c>
      <c r="E1937" s="78">
        <f t="shared" si="261"/>
        <v>5</v>
      </c>
      <c r="F1937" s="74" t="s">
        <v>40</v>
      </c>
      <c r="G1937" s="77">
        <f t="shared" si="266"/>
        <v>31280</v>
      </c>
      <c r="H1937" s="77">
        <f t="shared" si="267"/>
        <v>31580</v>
      </c>
      <c r="I1937" s="76">
        <v>0.7</v>
      </c>
    </row>
    <row r="1938" spans="3:9" x14ac:dyDescent="0.35">
      <c r="C1938" t="s">
        <v>312</v>
      </c>
      <c r="D1938" s="3">
        <v>2020</v>
      </c>
      <c r="E1938" s="78">
        <f t="shared" si="261"/>
        <v>5</v>
      </c>
      <c r="F1938" s="74" t="s">
        <v>40</v>
      </c>
      <c r="G1938" s="77">
        <f t="shared" si="266"/>
        <v>31580</v>
      </c>
      <c r="H1938" s="77">
        <f t="shared" si="267"/>
        <v>31880</v>
      </c>
      <c r="I1938" s="76">
        <v>0.6</v>
      </c>
    </row>
    <row r="1939" spans="3:9" x14ac:dyDescent="0.35">
      <c r="C1939" t="s">
        <v>312</v>
      </c>
      <c r="D1939" s="3">
        <v>2020</v>
      </c>
      <c r="E1939" s="78">
        <f t="shared" si="261"/>
        <v>5</v>
      </c>
      <c r="F1939" s="74" t="s">
        <v>40</v>
      </c>
      <c r="G1939" s="77">
        <f t="shared" si="266"/>
        <v>31880</v>
      </c>
      <c r="H1939" s="77">
        <f t="shared" si="267"/>
        <v>32180</v>
      </c>
      <c r="I1939" s="76">
        <v>0.5</v>
      </c>
    </row>
    <row r="1940" spans="3:9" x14ac:dyDescent="0.35">
      <c r="C1940" t="s">
        <v>312</v>
      </c>
      <c r="D1940" s="3">
        <v>2020</v>
      </c>
      <c r="E1940" s="78">
        <f t="shared" si="261"/>
        <v>5</v>
      </c>
      <c r="F1940" s="74" t="s">
        <v>40</v>
      </c>
      <c r="G1940" s="77">
        <f t="shared" si="266"/>
        <v>32180</v>
      </c>
      <c r="H1940" s="77">
        <f t="shared" si="267"/>
        <v>32480</v>
      </c>
      <c r="I1940" s="76">
        <v>0.4</v>
      </c>
    </row>
    <row r="1941" spans="3:9" x14ac:dyDescent="0.35">
      <c r="C1941" t="s">
        <v>312</v>
      </c>
      <c r="D1941" s="3">
        <v>2020</v>
      </c>
      <c r="E1941" s="78">
        <f t="shared" si="261"/>
        <v>5</v>
      </c>
      <c r="F1941" s="74" t="s">
        <v>40</v>
      </c>
      <c r="G1941" s="77">
        <f t="shared" si="266"/>
        <v>32480</v>
      </c>
      <c r="H1941" s="77">
        <f t="shared" si="267"/>
        <v>32780</v>
      </c>
      <c r="I1941" s="76">
        <v>0.3</v>
      </c>
    </row>
    <row r="1942" spans="3:9" x14ac:dyDescent="0.35">
      <c r="C1942" t="s">
        <v>312</v>
      </c>
      <c r="D1942" s="3">
        <v>2020</v>
      </c>
      <c r="E1942" s="78">
        <f t="shared" si="261"/>
        <v>5</v>
      </c>
      <c r="F1942" s="74" t="s">
        <v>40</v>
      </c>
      <c r="G1942" s="77">
        <f t="shared" si="266"/>
        <v>32780</v>
      </c>
      <c r="H1942" s="77">
        <f t="shared" si="267"/>
        <v>33080</v>
      </c>
      <c r="I1942" s="76">
        <v>0.2</v>
      </c>
    </row>
    <row r="1943" spans="3:9" x14ac:dyDescent="0.35">
      <c r="C1943" t="s">
        <v>312</v>
      </c>
      <c r="D1943" s="3">
        <v>2020</v>
      </c>
      <c r="E1943" s="78">
        <f t="shared" si="261"/>
        <v>5</v>
      </c>
      <c r="F1943" s="74" t="s">
        <v>40</v>
      </c>
      <c r="G1943" s="77">
        <f t="shared" si="266"/>
        <v>33080</v>
      </c>
      <c r="H1943" s="77">
        <f t="shared" si="267"/>
        <v>33380</v>
      </c>
      <c r="I1943" s="76">
        <v>0.1</v>
      </c>
    </row>
    <row r="1944" spans="3:9" x14ac:dyDescent="0.35">
      <c r="C1944" t="s">
        <v>312</v>
      </c>
      <c r="D1944" s="3">
        <v>2020</v>
      </c>
      <c r="E1944" s="78">
        <f t="shared" si="261"/>
        <v>5</v>
      </c>
      <c r="F1944" s="74" t="s">
        <v>40</v>
      </c>
      <c r="G1944" s="77">
        <f t="shared" si="266"/>
        <v>33380</v>
      </c>
      <c r="H1944" s="77"/>
      <c r="I1944" s="76">
        <v>0</v>
      </c>
    </row>
    <row r="1945" spans="3:9" x14ac:dyDescent="0.35">
      <c r="C1945" t="s">
        <v>312</v>
      </c>
      <c r="D1945" s="3">
        <v>2020</v>
      </c>
      <c r="E1945" s="78">
        <f t="shared" si="261"/>
        <v>5</v>
      </c>
      <c r="F1945" s="74" t="s">
        <v>313</v>
      </c>
      <c r="G1945" s="77">
        <v>0</v>
      </c>
      <c r="H1945" s="75">
        <f>H1934</f>
        <v>30680</v>
      </c>
      <c r="I1945" s="76">
        <v>1</v>
      </c>
    </row>
    <row r="1946" spans="3:9" x14ac:dyDescent="0.35">
      <c r="C1946" t="s">
        <v>312</v>
      </c>
      <c r="D1946" s="3">
        <v>2020</v>
      </c>
      <c r="E1946" s="78">
        <f t="shared" si="261"/>
        <v>5</v>
      </c>
      <c r="F1946" s="74" t="s">
        <v>313</v>
      </c>
      <c r="G1946" s="77">
        <f>H1945</f>
        <v>30680</v>
      </c>
      <c r="H1946" s="77">
        <f>H1945+300</f>
        <v>30980</v>
      </c>
      <c r="I1946" s="76">
        <v>0.9</v>
      </c>
    </row>
    <row r="1947" spans="3:9" x14ac:dyDescent="0.35">
      <c r="C1947" t="s">
        <v>312</v>
      </c>
      <c r="D1947" s="3">
        <v>2020</v>
      </c>
      <c r="E1947" s="78">
        <f t="shared" si="261"/>
        <v>5</v>
      </c>
      <c r="F1947" s="74" t="s">
        <v>313</v>
      </c>
      <c r="G1947" s="77">
        <f t="shared" ref="G1947:G1955" si="268">H1946</f>
        <v>30980</v>
      </c>
      <c r="H1947" s="77">
        <f t="shared" ref="H1947:H1954" si="269">H1946+300</f>
        <v>31280</v>
      </c>
      <c r="I1947" s="76">
        <v>0.8</v>
      </c>
    </row>
    <row r="1948" spans="3:9" x14ac:dyDescent="0.35">
      <c r="C1948" t="s">
        <v>312</v>
      </c>
      <c r="D1948" s="3">
        <v>2020</v>
      </c>
      <c r="E1948" s="78">
        <f t="shared" si="261"/>
        <v>5</v>
      </c>
      <c r="F1948" s="74" t="s">
        <v>313</v>
      </c>
      <c r="G1948" s="77">
        <f t="shared" si="268"/>
        <v>31280</v>
      </c>
      <c r="H1948" s="77">
        <f t="shared" si="269"/>
        <v>31580</v>
      </c>
      <c r="I1948" s="76">
        <v>0.7</v>
      </c>
    </row>
    <row r="1949" spans="3:9" x14ac:dyDescent="0.35">
      <c r="C1949" t="s">
        <v>312</v>
      </c>
      <c r="D1949" s="3">
        <v>2020</v>
      </c>
      <c r="E1949" s="78">
        <f t="shared" si="261"/>
        <v>5</v>
      </c>
      <c r="F1949" s="74" t="s">
        <v>313</v>
      </c>
      <c r="G1949" s="77">
        <f t="shared" si="268"/>
        <v>31580</v>
      </c>
      <c r="H1949" s="77">
        <f t="shared" si="269"/>
        <v>31880</v>
      </c>
      <c r="I1949" s="76">
        <v>0.6</v>
      </c>
    </row>
    <row r="1950" spans="3:9" x14ac:dyDescent="0.35">
      <c r="C1950" t="s">
        <v>312</v>
      </c>
      <c r="D1950" s="3">
        <v>2020</v>
      </c>
      <c r="E1950" s="78">
        <f t="shared" si="261"/>
        <v>5</v>
      </c>
      <c r="F1950" s="74" t="s">
        <v>313</v>
      </c>
      <c r="G1950" s="77">
        <f t="shared" si="268"/>
        <v>31880</v>
      </c>
      <c r="H1950" s="77">
        <f t="shared" si="269"/>
        <v>32180</v>
      </c>
      <c r="I1950" s="76">
        <v>0.5</v>
      </c>
    </row>
    <row r="1951" spans="3:9" x14ac:dyDescent="0.35">
      <c r="C1951" t="s">
        <v>312</v>
      </c>
      <c r="D1951" s="3">
        <v>2020</v>
      </c>
      <c r="E1951" s="78">
        <f t="shared" si="261"/>
        <v>5</v>
      </c>
      <c r="F1951" s="74" t="s">
        <v>313</v>
      </c>
      <c r="G1951" s="77">
        <f t="shared" si="268"/>
        <v>32180</v>
      </c>
      <c r="H1951" s="77">
        <f t="shared" si="269"/>
        <v>32480</v>
      </c>
      <c r="I1951" s="76">
        <v>0.4</v>
      </c>
    </row>
    <row r="1952" spans="3:9" x14ac:dyDescent="0.35">
      <c r="C1952" t="s">
        <v>312</v>
      </c>
      <c r="D1952" s="3">
        <v>2020</v>
      </c>
      <c r="E1952" s="78">
        <f t="shared" si="261"/>
        <v>5</v>
      </c>
      <c r="F1952" s="74" t="s">
        <v>313</v>
      </c>
      <c r="G1952" s="77">
        <f t="shared" si="268"/>
        <v>32480</v>
      </c>
      <c r="H1952" s="77">
        <f t="shared" si="269"/>
        <v>32780</v>
      </c>
      <c r="I1952" s="76">
        <v>0.3</v>
      </c>
    </row>
    <row r="1953" spans="3:9" x14ac:dyDescent="0.35">
      <c r="C1953" t="s">
        <v>312</v>
      </c>
      <c r="D1953" s="3">
        <v>2020</v>
      </c>
      <c r="E1953" s="78">
        <f t="shared" si="261"/>
        <v>5</v>
      </c>
      <c r="F1953" s="74" t="s">
        <v>313</v>
      </c>
      <c r="G1953" s="77">
        <f t="shared" si="268"/>
        <v>32780</v>
      </c>
      <c r="H1953" s="77">
        <f t="shared" si="269"/>
        <v>33080</v>
      </c>
      <c r="I1953" s="76">
        <v>0.2</v>
      </c>
    </row>
    <row r="1954" spans="3:9" x14ac:dyDescent="0.35">
      <c r="C1954" t="s">
        <v>312</v>
      </c>
      <c r="D1954" s="3">
        <v>2020</v>
      </c>
      <c r="E1954" s="78">
        <f t="shared" si="261"/>
        <v>5</v>
      </c>
      <c r="F1954" s="74" t="s">
        <v>313</v>
      </c>
      <c r="G1954" s="77">
        <f t="shared" si="268"/>
        <v>33080</v>
      </c>
      <c r="H1954" s="77">
        <f t="shared" si="269"/>
        <v>33380</v>
      </c>
      <c r="I1954" s="76">
        <v>0.1</v>
      </c>
    </row>
    <row r="1955" spans="3:9" x14ac:dyDescent="0.35">
      <c r="C1955" t="s">
        <v>312</v>
      </c>
      <c r="D1955" s="3">
        <v>2020</v>
      </c>
      <c r="E1955" s="78">
        <f t="shared" si="261"/>
        <v>5</v>
      </c>
      <c r="F1955" s="74" t="s">
        <v>313</v>
      </c>
      <c r="G1955" s="77">
        <f t="shared" si="268"/>
        <v>33380</v>
      </c>
      <c r="H1955" s="77"/>
      <c r="I1955" s="76">
        <v>0</v>
      </c>
    </row>
    <row r="1956" spans="3:9" x14ac:dyDescent="0.35">
      <c r="C1956" t="s">
        <v>312</v>
      </c>
      <c r="D1956" s="3">
        <v>2020</v>
      </c>
      <c r="E1956" s="73">
        <v>6</v>
      </c>
      <c r="F1956" s="74" t="s">
        <v>54</v>
      </c>
      <c r="G1956" s="77">
        <v>0</v>
      </c>
      <c r="H1956" s="77">
        <v>35160</v>
      </c>
      <c r="I1956" s="76">
        <v>1</v>
      </c>
    </row>
    <row r="1957" spans="3:9" x14ac:dyDescent="0.35">
      <c r="C1957" t="s">
        <v>312</v>
      </c>
      <c r="D1957" s="3">
        <v>2020</v>
      </c>
      <c r="E1957" s="78">
        <f>E1956</f>
        <v>6</v>
      </c>
      <c r="F1957" s="74" t="s">
        <v>54</v>
      </c>
      <c r="G1957" s="77">
        <f>H1956</f>
        <v>35160</v>
      </c>
      <c r="H1957" s="77">
        <f>H1956+300</f>
        <v>35460</v>
      </c>
      <c r="I1957" s="76">
        <v>0.9</v>
      </c>
    </row>
    <row r="1958" spans="3:9" x14ac:dyDescent="0.35">
      <c r="C1958" t="s">
        <v>312</v>
      </c>
      <c r="D1958" s="3">
        <v>2020</v>
      </c>
      <c r="E1958" s="78">
        <f t="shared" ref="E1958:E1999" si="270">E1957</f>
        <v>6</v>
      </c>
      <c r="F1958" s="74" t="s">
        <v>54</v>
      </c>
      <c r="G1958" s="77">
        <f t="shared" ref="G1958:G1966" si="271">H1957</f>
        <v>35460</v>
      </c>
      <c r="H1958" s="77">
        <f t="shared" ref="H1958:H1965" si="272">H1957+300</f>
        <v>35760</v>
      </c>
      <c r="I1958" s="76">
        <v>0.8</v>
      </c>
    </row>
    <row r="1959" spans="3:9" x14ac:dyDescent="0.35">
      <c r="C1959" t="s">
        <v>312</v>
      </c>
      <c r="D1959" s="3">
        <v>2020</v>
      </c>
      <c r="E1959" s="78">
        <f t="shared" si="270"/>
        <v>6</v>
      </c>
      <c r="F1959" s="74" t="s">
        <v>54</v>
      </c>
      <c r="G1959" s="77">
        <f t="shared" si="271"/>
        <v>35760</v>
      </c>
      <c r="H1959" s="77">
        <f t="shared" si="272"/>
        <v>36060</v>
      </c>
      <c r="I1959" s="76">
        <v>0.7</v>
      </c>
    </row>
    <row r="1960" spans="3:9" x14ac:dyDescent="0.35">
      <c r="C1960" t="s">
        <v>312</v>
      </c>
      <c r="D1960" s="3">
        <v>2020</v>
      </c>
      <c r="E1960" s="78">
        <f t="shared" si="270"/>
        <v>6</v>
      </c>
      <c r="F1960" s="74" t="s">
        <v>54</v>
      </c>
      <c r="G1960" s="77">
        <f t="shared" si="271"/>
        <v>36060</v>
      </c>
      <c r="H1960" s="77">
        <f t="shared" si="272"/>
        <v>36360</v>
      </c>
      <c r="I1960" s="76">
        <v>0.6</v>
      </c>
    </row>
    <row r="1961" spans="3:9" x14ac:dyDescent="0.35">
      <c r="C1961" t="s">
        <v>312</v>
      </c>
      <c r="D1961" s="3">
        <v>2020</v>
      </c>
      <c r="E1961" s="78">
        <f t="shared" si="270"/>
        <v>6</v>
      </c>
      <c r="F1961" s="74" t="s">
        <v>54</v>
      </c>
      <c r="G1961" s="77">
        <f t="shared" si="271"/>
        <v>36360</v>
      </c>
      <c r="H1961" s="77">
        <f t="shared" si="272"/>
        <v>36660</v>
      </c>
      <c r="I1961" s="76">
        <v>0.5</v>
      </c>
    </row>
    <row r="1962" spans="3:9" x14ac:dyDescent="0.35">
      <c r="C1962" t="s">
        <v>312</v>
      </c>
      <c r="D1962" s="3">
        <v>2020</v>
      </c>
      <c r="E1962" s="78">
        <f t="shared" si="270"/>
        <v>6</v>
      </c>
      <c r="F1962" s="74" t="s">
        <v>54</v>
      </c>
      <c r="G1962" s="77">
        <f t="shared" si="271"/>
        <v>36660</v>
      </c>
      <c r="H1962" s="77">
        <f t="shared" si="272"/>
        <v>36960</v>
      </c>
      <c r="I1962" s="76">
        <v>0.4</v>
      </c>
    </row>
    <row r="1963" spans="3:9" x14ac:dyDescent="0.35">
      <c r="C1963" t="s">
        <v>312</v>
      </c>
      <c r="D1963" s="3">
        <v>2020</v>
      </c>
      <c r="E1963" s="78">
        <f t="shared" si="270"/>
        <v>6</v>
      </c>
      <c r="F1963" s="74" t="s">
        <v>54</v>
      </c>
      <c r="G1963" s="77">
        <f t="shared" si="271"/>
        <v>36960</v>
      </c>
      <c r="H1963" s="77">
        <f t="shared" si="272"/>
        <v>37260</v>
      </c>
      <c r="I1963" s="76">
        <v>0.3</v>
      </c>
    </row>
    <row r="1964" spans="3:9" x14ac:dyDescent="0.35">
      <c r="C1964" t="s">
        <v>312</v>
      </c>
      <c r="D1964" s="3">
        <v>2020</v>
      </c>
      <c r="E1964" s="78">
        <f t="shared" si="270"/>
        <v>6</v>
      </c>
      <c r="F1964" s="74" t="s">
        <v>54</v>
      </c>
      <c r="G1964" s="77">
        <f t="shared" si="271"/>
        <v>37260</v>
      </c>
      <c r="H1964" s="77">
        <f t="shared" si="272"/>
        <v>37560</v>
      </c>
      <c r="I1964" s="76">
        <v>0.2</v>
      </c>
    </row>
    <row r="1965" spans="3:9" x14ac:dyDescent="0.35">
      <c r="C1965" t="s">
        <v>312</v>
      </c>
      <c r="D1965" s="3">
        <v>2020</v>
      </c>
      <c r="E1965" s="78">
        <f t="shared" si="270"/>
        <v>6</v>
      </c>
      <c r="F1965" s="74" t="s">
        <v>54</v>
      </c>
      <c r="G1965" s="77">
        <f t="shared" si="271"/>
        <v>37560</v>
      </c>
      <c r="H1965" s="77">
        <f t="shared" si="272"/>
        <v>37860</v>
      </c>
      <c r="I1965" s="76">
        <v>0.1</v>
      </c>
    </row>
    <row r="1966" spans="3:9" x14ac:dyDescent="0.35">
      <c r="C1966" t="s">
        <v>312</v>
      </c>
      <c r="D1966" s="3">
        <v>2020</v>
      </c>
      <c r="E1966" s="78">
        <f t="shared" si="270"/>
        <v>6</v>
      </c>
      <c r="F1966" s="74" t="s">
        <v>54</v>
      </c>
      <c r="G1966" s="77">
        <f t="shared" si="271"/>
        <v>37860</v>
      </c>
      <c r="H1966" s="77"/>
      <c r="I1966" s="76">
        <v>0</v>
      </c>
    </row>
    <row r="1967" spans="3:9" x14ac:dyDescent="0.35">
      <c r="C1967" t="s">
        <v>312</v>
      </c>
      <c r="D1967" s="3">
        <v>2020</v>
      </c>
      <c r="E1967" s="78">
        <f t="shared" si="270"/>
        <v>6</v>
      </c>
      <c r="F1967" s="74" t="s">
        <v>34</v>
      </c>
      <c r="G1967" s="77">
        <v>0</v>
      </c>
      <c r="H1967" s="75">
        <f>H1956</f>
        <v>35160</v>
      </c>
      <c r="I1967" s="76">
        <v>1</v>
      </c>
    </row>
    <row r="1968" spans="3:9" x14ac:dyDescent="0.35">
      <c r="C1968" t="s">
        <v>312</v>
      </c>
      <c r="D1968" s="3">
        <v>2020</v>
      </c>
      <c r="E1968" s="78">
        <f t="shared" si="270"/>
        <v>6</v>
      </c>
      <c r="F1968" s="74" t="s">
        <v>34</v>
      </c>
      <c r="G1968" s="77">
        <f>H1967</f>
        <v>35160</v>
      </c>
      <c r="H1968" s="77">
        <f>H1967+300</f>
        <v>35460</v>
      </c>
      <c r="I1968" s="76">
        <v>0.9</v>
      </c>
    </row>
    <row r="1969" spans="3:9" x14ac:dyDescent="0.35">
      <c r="C1969" t="s">
        <v>312</v>
      </c>
      <c r="D1969" s="3">
        <v>2020</v>
      </c>
      <c r="E1969" s="78">
        <f t="shared" si="270"/>
        <v>6</v>
      </c>
      <c r="F1969" s="74" t="s">
        <v>34</v>
      </c>
      <c r="G1969" s="77">
        <f t="shared" ref="G1969:G1977" si="273">H1968</f>
        <v>35460</v>
      </c>
      <c r="H1969" s="77">
        <f t="shared" ref="H1969:H1976" si="274">H1968+300</f>
        <v>35760</v>
      </c>
      <c r="I1969" s="76">
        <v>0.8</v>
      </c>
    </row>
    <row r="1970" spans="3:9" x14ac:dyDescent="0.35">
      <c r="C1970" t="s">
        <v>312</v>
      </c>
      <c r="D1970" s="3">
        <v>2020</v>
      </c>
      <c r="E1970" s="78">
        <f t="shared" si="270"/>
        <v>6</v>
      </c>
      <c r="F1970" s="74" t="s">
        <v>34</v>
      </c>
      <c r="G1970" s="77">
        <f t="shared" si="273"/>
        <v>35760</v>
      </c>
      <c r="H1970" s="77">
        <f t="shared" si="274"/>
        <v>36060</v>
      </c>
      <c r="I1970" s="76">
        <v>0.7</v>
      </c>
    </row>
    <row r="1971" spans="3:9" x14ac:dyDescent="0.35">
      <c r="C1971" t="s">
        <v>312</v>
      </c>
      <c r="D1971" s="3">
        <v>2020</v>
      </c>
      <c r="E1971" s="78">
        <f t="shared" si="270"/>
        <v>6</v>
      </c>
      <c r="F1971" s="74" t="s">
        <v>34</v>
      </c>
      <c r="G1971" s="77">
        <f t="shared" si="273"/>
        <v>36060</v>
      </c>
      <c r="H1971" s="77">
        <f t="shared" si="274"/>
        <v>36360</v>
      </c>
      <c r="I1971" s="76">
        <v>0.6</v>
      </c>
    </row>
    <row r="1972" spans="3:9" x14ac:dyDescent="0.35">
      <c r="C1972" t="s">
        <v>312</v>
      </c>
      <c r="D1972" s="3">
        <v>2020</v>
      </c>
      <c r="E1972" s="78">
        <f t="shared" si="270"/>
        <v>6</v>
      </c>
      <c r="F1972" s="74" t="s">
        <v>34</v>
      </c>
      <c r="G1972" s="77">
        <f t="shared" si="273"/>
        <v>36360</v>
      </c>
      <c r="H1972" s="77">
        <f t="shared" si="274"/>
        <v>36660</v>
      </c>
      <c r="I1972" s="76">
        <v>0.5</v>
      </c>
    </row>
    <row r="1973" spans="3:9" x14ac:dyDescent="0.35">
      <c r="C1973" t="s">
        <v>312</v>
      </c>
      <c r="D1973" s="3">
        <v>2020</v>
      </c>
      <c r="E1973" s="78">
        <f t="shared" si="270"/>
        <v>6</v>
      </c>
      <c r="F1973" s="74" t="s">
        <v>34</v>
      </c>
      <c r="G1973" s="77">
        <f t="shared" si="273"/>
        <v>36660</v>
      </c>
      <c r="H1973" s="77">
        <f t="shared" si="274"/>
        <v>36960</v>
      </c>
      <c r="I1973" s="76">
        <v>0.4</v>
      </c>
    </row>
    <row r="1974" spans="3:9" x14ac:dyDescent="0.35">
      <c r="C1974" t="s">
        <v>312</v>
      </c>
      <c r="D1974" s="3">
        <v>2020</v>
      </c>
      <c r="E1974" s="78">
        <f t="shared" si="270"/>
        <v>6</v>
      </c>
      <c r="F1974" s="74" t="s">
        <v>34</v>
      </c>
      <c r="G1974" s="77">
        <f t="shared" si="273"/>
        <v>36960</v>
      </c>
      <c r="H1974" s="77">
        <f t="shared" si="274"/>
        <v>37260</v>
      </c>
      <c r="I1974" s="76">
        <v>0.3</v>
      </c>
    </row>
    <row r="1975" spans="3:9" x14ac:dyDescent="0.35">
      <c r="C1975" t="s">
        <v>312</v>
      </c>
      <c r="D1975" s="3">
        <v>2020</v>
      </c>
      <c r="E1975" s="78">
        <f t="shared" si="270"/>
        <v>6</v>
      </c>
      <c r="F1975" s="74" t="s">
        <v>34</v>
      </c>
      <c r="G1975" s="77">
        <f t="shared" si="273"/>
        <v>37260</v>
      </c>
      <c r="H1975" s="77">
        <f t="shared" si="274"/>
        <v>37560</v>
      </c>
      <c r="I1975" s="76">
        <v>0.2</v>
      </c>
    </row>
    <row r="1976" spans="3:9" x14ac:dyDescent="0.35">
      <c r="C1976" t="s">
        <v>312</v>
      </c>
      <c r="D1976" s="3">
        <v>2020</v>
      </c>
      <c r="E1976" s="78">
        <f t="shared" si="270"/>
        <v>6</v>
      </c>
      <c r="F1976" s="74" t="s">
        <v>34</v>
      </c>
      <c r="G1976" s="77">
        <f t="shared" si="273"/>
        <v>37560</v>
      </c>
      <c r="H1976" s="77">
        <f t="shared" si="274"/>
        <v>37860</v>
      </c>
      <c r="I1976" s="76">
        <v>0.1</v>
      </c>
    </row>
    <row r="1977" spans="3:9" x14ac:dyDescent="0.35">
      <c r="C1977" t="s">
        <v>312</v>
      </c>
      <c r="D1977" s="3">
        <v>2020</v>
      </c>
      <c r="E1977" s="78">
        <f t="shared" si="270"/>
        <v>6</v>
      </c>
      <c r="F1977" s="74" t="s">
        <v>34</v>
      </c>
      <c r="G1977" s="77">
        <f t="shared" si="273"/>
        <v>37860</v>
      </c>
      <c r="H1977" s="77"/>
      <c r="I1977" s="76">
        <v>0</v>
      </c>
    </row>
    <row r="1978" spans="3:9" x14ac:dyDescent="0.35">
      <c r="C1978" t="s">
        <v>312</v>
      </c>
      <c r="D1978" s="3">
        <v>2020</v>
      </c>
      <c r="E1978" s="78">
        <f t="shared" si="270"/>
        <v>6</v>
      </c>
      <c r="F1978" s="74" t="s">
        <v>40</v>
      </c>
      <c r="G1978" s="77">
        <v>0</v>
      </c>
      <c r="H1978" s="75">
        <f>H1967</f>
        <v>35160</v>
      </c>
      <c r="I1978" s="76">
        <v>1</v>
      </c>
    </row>
    <row r="1979" spans="3:9" x14ac:dyDescent="0.35">
      <c r="C1979" t="s">
        <v>312</v>
      </c>
      <c r="D1979" s="3">
        <v>2020</v>
      </c>
      <c r="E1979" s="78">
        <f t="shared" si="270"/>
        <v>6</v>
      </c>
      <c r="F1979" s="74" t="s">
        <v>40</v>
      </c>
      <c r="G1979" s="77">
        <f>H1978</f>
        <v>35160</v>
      </c>
      <c r="H1979" s="77">
        <f>H1978+300</f>
        <v>35460</v>
      </c>
      <c r="I1979" s="76">
        <v>0.9</v>
      </c>
    </row>
    <row r="1980" spans="3:9" x14ac:dyDescent="0.35">
      <c r="C1980" t="s">
        <v>312</v>
      </c>
      <c r="D1980" s="3">
        <v>2020</v>
      </c>
      <c r="E1980" s="78">
        <f t="shared" si="270"/>
        <v>6</v>
      </c>
      <c r="F1980" s="74" t="s">
        <v>40</v>
      </c>
      <c r="G1980" s="77">
        <f t="shared" ref="G1980:G1988" si="275">H1979</f>
        <v>35460</v>
      </c>
      <c r="H1980" s="77">
        <f t="shared" ref="H1980:H1987" si="276">H1979+300</f>
        <v>35760</v>
      </c>
      <c r="I1980" s="76">
        <v>0.8</v>
      </c>
    </row>
    <row r="1981" spans="3:9" x14ac:dyDescent="0.35">
      <c r="C1981" t="s">
        <v>312</v>
      </c>
      <c r="D1981" s="3">
        <v>2020</v>
      </c>
      <c r="E1981" s="78">
        <f t="shared" si="270"/>
        <v>6</v>
      </c>
      <c r="F1981" s="74" t="s">
        <v>40</v>
      </c>
      <c r="G1981" s="77">
        <f t="shared" si="275"/>
        <v>35760</v>
      </c>
      <c r="H1981" s="77">
        <f t="shared" si="276"/>
        <v>36060</v>
      </c>
      <c r="I1981" s="76">
        <v>0.7</v>
      </c>
    </row>
    <row r="1982" spans="3:9" x14ac:dyDescent="0.35">
      <c r="C1982" t="s">
        <v>312</v>
      </c>
      <c r="D1982" s="3">
        <v>2020</v>
      </c>
      <c r="E1982" s="78">
        <f t="shared" si="270"/>
        <v>6</v>
      </c>
      <c r="F1982" s="74" t="s">
        <v>40</v>
      </c>
      <c r="G1982" s="77">
        <f t="shared" si="275"/>
        <v>36060</v>
      </c>
      <c r="H1982" s="77">
        <f t="shared" si="276"/>
        <v>36360</v>
      </c>
      <c r="I1982" s="76">
        <v>0.6</v>
      </c>
    </row>
    <row r="1983" spans="3:9" x14ac:dyDescent="0.35">
      <c r="C1983" t="s">
        <v>312</v>
      </c>
      <c r="D1983" s="3">
        <v>2020</v>
      </c>
      <c r="E1983" s="78">
        <f t="shared" si="270"/>
        <v>6</v>
      </c>
      <c r="F1983" s="74" t="s">
        <v>40</v>
      </c>
      <c r="G1983" s="77">
        <f t="shared" si="275"/>
        <v>36360</v>
      </c>
      <c r="H1983" s="77">
        <f t="shared" si="276"/>
        <v>36660</v>
      </c>
      <c r="I1983" s="76">
        <v>0.5</v>
      </c>
    </row>
    <row r="1984" spans="3:9" x14ac:dyDescent="0.35">
      <c r="C1984" t="s">
        <v>312</v>
      </c>
      <c r="D1984" s="3">
        <v>2020</v>
      </c>
      <c r="E1984" s="78">
        <f t="shared" si="270"/>
        <v>6</v>
      </c>
      <c r="F1984" s="74" t="s">
        <v>40</v>
      </c>
      <c r="G1984" s="77">
        <f t="shared" si="275"/>
        <v>36660</v>
      </c>
      <c r="H1984" s="77">
        <f t="shared" si="276"/>
        <v>36960</v>
      </c>
      <c r="I1984" s="76">
        <v>0.4</v>
      </c>
    </row>
    <row r="1985" spans="3:9" x14ac:dyDescent="0.35">
      <c r="C1985" t="s">
        <v>312</v>
      </c>
      <c r="D1985" s="3">
        <v>2020</v>
      </c>
      <c r="E1985" s="78">
        <f t="shared" si="270"/>
        <v>6</v>
      </c>
      <c r="F1985" s="74" t="s">
        <v>40</v>
      </c>
      <c r="G1985" s="77">
        <f t="shared" si="275"/>
        <v>36960</v>
      </c>
      <c r="H1985" s="77">
        <f t="shared" si="276"/>
        <v>37260</v>
      </c>
      <c r="I1985" s="76">
        <v>0.3</v>
      </c>
    </row>
    <row r="1986" spans="3:9" x14ac:dyDescent="0.35">
      <c r="C1986" t="s">
        <v>312</v>
      </c>
      <c r="D1986" s="3">
        <v>2020</v>
      </c>
      <c r="E1986" s="78">
        <f t="shared" si="270"/>
        <v>6</v>
      </c>
      <c r="F1986" s="74" t="s">
        <v>40</v>
      </c>
      <c r="G1986" s="77">
        <f t="shared" si="275"/>
        <v>37260</v>
      </c>
      <c r="H1986" s="77">
        <f t="shared" si="276"/>
        <v>37560</v>
      </c>
      <c r="I1986" s="76">
        <v>0.2</v>
      </c>
    </row>
    <row r="1987" spans="3:9" x14ac:dyDescent="0.35">
      <c r="C1987" t="s">
        <v>312</v>
      </c>
      <c r="D1987" s="3">
        <v>2020</v>
      </c>
      <c r="E1987" s="78">
        <f t="shared" si="270"/>
        <v>6</v>
      </c>
      <c r="F1987" s="74" t="s">
        <v>40</v>
      </c>
      <c r="G1987" s="77">
        <f t="shared" si="275"/>
        <v>37560</v>
      </c>
      <c r="H1987" s="77">
        <f t="shared" si="276"/>
        <v>37860</v>
      </c>
      <c r="I1987" s="76">
        <v>0.1</v>
      </c>
    </row>
    <row r="1988" spans="3:9" x14ac:dyDescent="0.35">
      <c r="C1988" t="s">
        <v>312</v>
      </c>
      <c r="D1988" s="3">
        <v>2020</v>
      </c>
      <c r="E1988" s="78">
        <f t="shared" si="270"/>
        <v>6</v>
      </c>
      <c r="F1988" s="74" t="s">
        <v>40</v>
      </c>
      <c r="G1988" s="77">
        <f t="shared" si="275"/>
        <v>37860</v>
      </c>
      <c r="H1988" s="77"/>
      <c r="I1988" s="76">
        <v>0</v>
      </c>
    </row>
    <row r="1989" spans="3:9" x14ac:dyDescent="0.35">
      <c r="C1989" t="s">
        <v>312</v>
      </c>
      <c r="D1989" s="3">
        <v>2020</v>
      </c>
      <c r="E1989" s="78">
        <f t="shared" si="270"/>
        <v>6</v>
      </c>
      <c r="F1989" s="74" t="s">
        <v>313</v>
      </c>
      <c r="G1989" s="77">
        <v>0</v>
      </c>
      <c r="H1989" s="75">
        <f>H1978</f>
        <v>35160</v>
      </c>
      <c r="I1989" s="76">
        <v>1</v>
      </c>
    </row>
    <row r="1990" spans="3:9" x14ac:dyDescent="0.35">
      <c r="C1990" t="s">
        <v>312</v>
      </c>
      <c r="D1990" s="3">
        <v>2020</v>
      </c>
      <c r="E1990" s="78">
        <f t="shared" si="270"/>
        <v>6</v>
      </c>
      <c r="F1990" s="74" t="s">
        <v>313</v>
      </c>
      <c r="G1990" s="77">
        <f>H1989</f>
        <v>35160</v>
      </c>
      <c r="H1990" s="77">
        <f>H1989+300</f>
        <v>35460</v>
      </c>
      <c r="I1990" s="76">
        <v>0.9</v>
      </c>
    </row>
    <row r="1991" spans="3:9" x14ac:dyDescent="0.35">
      <c r="C1991" t="s">
        <v>312</v>
      </c>
      <c r="D1991" s="3">
        <v>2020</v>
      </c>
      <c r="E1991" s="78">
        <f t="shared" si="270"/>
        <v>6</v>
      </c>
      <c r="F1991" s="74" t="s">
        <v>313</v>
      </c>
      <c r="G1991" s="77">
        <f t="shared" ref="G1991:G1999" si="277">H1990</f>
        <v>35460</v>
      </c>
      <c r="H1991" s="77">
        <f t="shared" ref="H1991:H1998" si="278">H1990+300</f>
        <v>35760</v>
      </c>
      <c r="I1991" s="76">
        <v>0.8</v>
      </c>
    </row>
    <row r="1992" spans="3:9" x14ac:dyDescent="0.35">
      <c r="C1992" t="s">
        <v>312</v>
      </c>
      <c r="D1992" s="3">
        <v>2020</v>
      </c>
      <c r="E1992" s="78">
        <f t="shared" si="270"/>
        <v>6</v>
      </c>
      <c r="F1992" s="74" t="s">
        <v>313</v>
      </c>
      <c r="G1992" s="77">
        <f t="shared" si="277"/>
        <v>35760</v>
      </c>
      <c r="H1992" s="77">
        <f t="shared" si="278"/>
        <v>36060</v>
      </c>
      <c r="I1992" s="76">
        <v>0.7</v>
      </c>
    </row>
    <row r="1993" spans="3:9" x14ac:dyDescent="0.35">
      <c r="C1993" t="s">
        <v>312</v>
      </c>
      <c r="D1993" s="3">
        <v>2020</v>
      </c>
      <c r="E1993" s="78">
        <f t="shared" si="270"/>
        <v>6</v>
      </c>
      <c r="F1993" s="74" t="s">
        <v>313</v>
      </c>
      <c r="G1993" s="77">
        <f t="shared" si="277"/>
        <v>36060</v>
      </c>
      <c r="H1993" s="77">
        <f t="shared" si="278"/>
        <v>36360</v>
      </c>
      <c r="I1993" s="76">
        <v>0.6</v>
      </c>
    </row>
    <row r="1994" spans="3:9" x14ac:dyDescent="0.35">
      <c r="C1994" t="s">
        <v>312</v>
      </c>
      <c r="D1994" s="3">
        <v>2020</v>
      </c>
      <c r="E1994" s="78">
        <f t="shared" si="270"/>
        <v>6</v>
      </c>
      <c r="F1994" s="74" t="s">
        <v>313</v>
      </c>
      <c r="G1994" s="77">
        <f t="shared" si="277"/>
        <v>36360</v>
      </c>
      <c r="H1994" s="77">
        <f t="shared" si="278"/>
        <v>36660</v>
      </c>
      <c r="I1994" s="76">
        <v>0.5</v>
      </c>
    </row>
    <row r="1995" spans="3:9" x14ac:dyDescent="0.35">
      <c r="C1995" t="s">
        <v>312</v>
      </c>
      <c r="D1995" s="3">
        <v>2020</v>
      </c>
      <c r="E1995" s="78">
        <f t="shared" si="270"/>
        <v>6</v>
      </c>
      <c r="F1995" s="74" t="s">
        <v>313</v>
      </c>
      <c r="G1995" s="77">
        <f t="shared" si="277"/>
        <v>36660</v>
      </c>
      <c r="H1995" s="77">
        <f t="shared" si="278"/>
        <v>36960</v>
      </c>
      <c r="I1995" s="76">
        <v>0.4</v>
      </c>
    </row>
    <row r="1996" spans="3:9" x14ac:dyDescent="0.35">
      <c r="C1996" t="s">
        <v>312</v>
      </c>
      <c r="D1996" s="3">
        <v>2020</v>
      </c>
      <c r="E1996" s="78">
        <f t="shared" si="270"/>
        <v>6</v>
      </c>
      <c r="F1996" s="74" t="s">
        <v>313</v>
      </c>
      <c r="G1996" s="77">
        <f t="shared" si="277"/>
        <v>36960</v>
      </c>
      <c r="H1996" s="77">
        <f t="shared" si="278"/>
        <v>37260</v>
      </c>
      <c r="I1996" s="76">
        <v>0.3</v>
      </c>
    </row>
    <row r="1997" spans="3:9" x14ac:dyDescent="0.35">
      <c r="C1997" t="s">
        <v>312</v>
      </c>
      <c r="D1997" s="3">
        <v>2020</v>
      </c>
      <c r="E1997" s="78">
        <f t="shared" si="270"/>
        <v>6</v>
      </c>
      <c r="F1997" s="74" t="s">
        <v>313</v>
      </c>
      <c r="G1997" s="77">
        <f t="shared" si="277"/>
        <v>37260</v>
      </c>
      <c r="H1997" s="77">
        <f t="shared" si="278"/>
        <v>37560</v>
      </c>
      <c r="I1997" s="76">
        <v>0.2</v>
      </c>
    </row>
    <row r="1998" spans="3:9" x14ac:dyDescent="0.35">
      <c r="C1998" t="s">
        <v>312</v>
      </c>
      <c r="D1998" s="3">
        <v>2020</v>
      </c>
      <c r="E1998" s="78">
        <f t="shared" si="270"/>
        <v>6</v>
      </c>
      <c r="F1998" s="74" t="s">
        <v>313</v>
      </c>
      <c r="G1998" s="77">
        <f t="shared" si="277"/>
        <v>37560</v>
      </c>
      <c r="H1998" s="77">
        <f t="shared" si="278"/>
        <v>37860</v>
      </c>
      <c r="I1998" s="76">
        <v>0.1</v>
      </c>
    </row>
    <row r="1999" spans="3:9" x14ac:dyDescent="0.35">
      <c r="C1999" t="s">
        <v>312</v>
      </c>
      <c r="D1999" s="3">
        <v>2020</v>
      </c>
      <c r="E1999" s="78">
        <f t="shared" si="270"/>
        <v>6</v>
      </c>
      <c r="F1999" s="74" t="s">
        <v>313</v>
      </c>
      <c r="G1999" s="77">
        <f t="shared" si="277"/>
        <v>37860</v>
      </c>
      <c r="H1999" s="77"/>
      <c r="I1999" s="76">
        <v>0</v>
      </c>
    </row>
    <row r="2000" spans="3:9" x14ac:dyDescent="0.35">
      <c r="C2000" t="s">
        <v>312</v>
      </c>
      <c r="D2000" s="3">
        <v>2020</v>
      </c>
      <c r="E2000" s="73">
        <v>7</v>
      </c>
      <c r="F2000" s="74" t="s">
        <v>54</v>
      </c>
      <c r="G2000" s="77">
        <v>0</v>
      </c>
      <c r="H2000" s="77">
        <v>39640</v>
      </c>
      <c r="I2000" s="76">
        <v>1</v>
      </c>
    </row>
    <row r="2001" spans="3:9" x14ac:dyDescent="0.35">
      <c r="C2001" t="s">
        <v>312</v>
      </c>
      <c r="D2001" s="3">
        <v>2020</v>
      </c>
      <c r="E2001" s="78">
        <f>E2000</f>
        <v>7</v>
      </c>
      <c r="F2001" s="74" t="s">
        <v>54</v>
      </c>
      <c r="G2001" s="77">
        <f>H2000</f>
        <v>39640</v>
      </c>
      <c r="H2001" s="77">
        <f>H2000+300</f>
        <v>39940</v>
      </c>
      <c r="I2001" s="76">
        <v>0.9</v>
      </c>
    </row>
    <row r="2002" spans="3:9" x14ac:dyDescent="0.35">
      <c r="C2002" t="s">
        <v>312</v>
      </c>
      <c r="D2002" s="3">
        <v>2020</v>
      </c>
      <c r="E2002" s="78">
        <f t="shared" ref="E2002:E2043" si="279">E2001</f>
        <v>7</v>
      </c>
      <c r="F2002" s="74" t="s">
        <v>54</v>
      </c>
      <c r="G2002" s="77">
        <f t="shared" ref="G2002:G2010" si="280">H2001</f>
        <v>39940</v>
      </c>
      <c r="H2002" s="77">
        <f t="shared" ref="H2002:H2009" si="281">H2001+300</f>
        <v>40240</v>
      </c>
      <c r="I2002" s="76">
        <v>0.8</v>
      </c>
    </row>
    <row r="2003" spans="3:9" x14ac:dyDescent="0.35">
      <c r="C2003" t="s">
        <v>312</v>
      </c>
      <c r="D2003" s="3">
        <v>2020</v>
      </c>
      <c r="E2003" s="78">
        <f t="shared" si="279"/>
        <v>7</v>
      </c>
      <c r="F2003" s="74" t="s">
        <v>54</v>
      </c>
      <c r="G2003" s="77">
        <f t="shared" si="280"/>
        <v>40240</v>
      </c>
      <c r="H2003" s="77">
        <f t="shared" si="281"/>
        <v>40540</v>
      </c>
      <c r="I2003" s="76">
        <v>0.7</v>
      </c>
    </row>
    <row r="2004" spans="3:9" x14ac:dyDescent="0.35">
      <c r="C2004" t="s">
        <v>312</v>
      </c>
      <c r="D2004" s="3">
        <v>2020</v>
      </c>
      <c r="E2004" s="78">
        <f t="shared" si="279"/>
        <v>7</v>
      </c>
      <c r="F2004" s="74" t="s">
        <v>54</v>
      </c>
      <c r="G2004" s="77">
        <f t="shared" si="280"/>
        <v>40540</v>
      </c>
      <c r="H2004" s="77">
        <f t="shared" si="281"/>
        <v>40840</v>
      </c>
      <c r="I2004" s="76">
        <v>0.6</v>
      </c>
    </row>
    <row r="2005" spans="3:9" x14ac:dyDescent="0.35">
      <c r="C2005" t="s">
        <v>312</v>
      </c>
      <c r="D2005" s="3">
        <v>2020</v>
      </c>
      <c r="E2005" s="78">
        <f t="shared" si="279"/>
        <v>7</v>
      </c>
      <c r="F2005" s="74" t="s">
        <v>54</v>
      </c>
      <c r="G2005" s="77">
        <f t="shared" si="280"/>
        <v>40840</v>
      </c>
      <c r="H2005" s="77">
        <f t="shared" si="281"/>
        <v>41140</v>
      </c>
      <c r="I2005" s="76">
        <v>0.5</v>
      </c>
    </row>
    <row r="2006" spans="3:9" x14ac:dyDescent="0.35">
      <c r="C2006" t="s">
        <v>312</v>
      </c>
      <c r="D2006" s="3">
        <v>2020</v>
      </c>
      <c r="E2006" s="78">
        <f t="shared" si="279"/>
        <v>7</v>
      </c>
      <c r="F2006" s="74" t="s">
        <v>54</v>
      </c>
      <c r="G2006" s="77">
        <f t="shared" si="280"/>
        <v>41140</v>
      </c>
      <c r="H2006" s="77">
        <f t="shared" si="281"/>
        <v>41440</v>
      </c>
      <c r="I2006" s="76">
        <v>0.4</v>
      </c>
    </row>
    <row r="2007" spans="3:9" x14ac:dyDescent="0.35">
      <c r="C2007" t="s">
        <v>312</v>
      </c>
      <c r="D2007" s="3">
        <v>2020</v>
      </c>
      <c r="E2007" s="78">
        <f t="shared" si="279"/>
        <v>7</v>
      </c>
      <c r="F2007" s="74" t="s">
        <v>54</v>
      </c>
      <c r="G2007" s="77">
        <f t="shared" si="280"/>
        <v>41440</v>
      </c>
      <c r="H2007" s="77">
        <f t="shared" si="281"/>
        <v>41740</v>
      </c>
      <c r="I2007" s="76">
        <v>0.3</v>
      </c>
    </row>
    <row r="2008" spans="3:9" x14ac:dyDescent="0.35">
      <c r="C2008" t="s">
        <v>312</v>
      </c>
      <c r="D2008" s="3">
        <v>2020</v>
      </c>
      <c r="E2008" s="78">
        <f t="shared" si="279"/>
        <v>7</v>
      </c>
      <c r="F2008" s="74" t="s">
        <v>54</v>
      </c>
      <c r="G2008" s="77">
        <f t="shared" si="280"/>
        <v>41740</v>
      </c>
      <c r="H2008" s="77">
        <f t="shared" si="281"/>
        <v>42040</v>
      </c>
      <c r="I2008" s="76">
        <v>0.2</v>
      </c>
    </row>
    <row r="2009" spans="3:9" x14ac:dyDescent="0.35">
      <c r="C2009" t="s">
        <v>312</v>
      </c>
      <c r="D2009" s="3">
        <v>2020</v>
      </c>
      <c r="E2009" s="78">
        <f t="shared" si="279"/>
        <v>7</v>
      </c>
      <c r="F2009" s="74" t="s">
        <v>54</v>
      </c>
      <c r="G2009" s="77">
        <f t="shared" si="280"/>
        <v>42040</v>
      </c>
      <c r="H2009" s="77">
        <f t="shared" si="281"/>
        <v>42340</v>
      </c>
      <c r="I2009" s="76">
        <v>0.1</v>
      </c>
    </row>
    <row r="2010" spans="3:9" x14ac:dyDescent="0.35">
      <c r="C2010" t="s">
        <v>312</v>
      </c>
      <c r="D2010" s="3">
        <v>2020</v>
      </c>
      <c r="E2010" s="78">
        <f t="shared" si="279"/>
        <v>7</v>
      </c>
      <c r="F2010" s="74" t="s">
        <v>54</v>
      </c>
      <c r="G2010" s="77">
        <f t="shared" si="280"/>
        <v>42340</v>
      </c>
      <c r="H2010" s="77"/>
      <c r="I2010" s="76">
        <v>0</v>
      </c>
    </row>
    <row r="2011" spans="3:9" x14ac:dyDescent="0.35">
      <c r="C2011" t="s">
        <v>312</v>
      </c>
      <c r="D2011" s="3">
        <v>2020</v>
      </c>
      <c r="E2011" s="78">
        <f t="shared" si="279"/>
        <v>7</v>
      </c>
      <c r="F2011" s="74" t="s">
        <v>34</v>
      </c>
      <c r="G2011" s="77">
        <v>0</v>
      </c>
      <c r="H2011" s="75">
        <f>H2000</f>
        <v>39640</v>
      </c>
      <c r="I2011" s="76">
        <v>1</v>
      </c>
    </row>
    <row r="2012" spans="3:9" x14ac:dyDescent="0.35">
      <c r="C2012" t="s">
        <v>312</v>
      </c>
      <c r="D2012" s="3">
        <v>2020</v>
      </c>
      <c r="E2012" s="78">
        <f t="shared" si="279"/>
        <v>7</v>
      </c>
      <c r="F2012" s="74" t="s">
        <v>34</v>
      </c>
      <c r="G2012" s="77">
        <f>H2011</f>
        <v>39640</v>
      </c>
      <c r="H2012" s="77">
        <f>H2011+300</f>
        <v>39940</v>
      </c>
      <c r="I2012" s="76">
        <v>0.9</v>
      </c>
    </row>
    <row r="2013" spans="3:9" x14ac:dyDescent="0.35">
      <c r="C2013" t="s">
        <v>312</v>
      </c>
      <c r="D2013" s="3">
        <v>2020</v>
      </c>
      <c r="E2013" s="78">
        <f t="shared" si="279"/>
        <v>7</v>
      </c>
      <c r="F2013" s="74" t="s">
        <v>34</v>
      </c>
      <c r="G2013" s="77">
        <f t="shared" ref="G2013:G2021" si="282">H2012</f>
        <v>39940</v>
      </c>
      <c r="H2013" s="77">
        <f t="shared" ref="H2013:H2020" si="283">H2012+300</f>
        <v>40240</v>
      </c>
      <c r="I2013" s="76">
        <v>0.8</v>
      </c>
    </row>
    <row r="2014" spans="3:9" x14ac:dyDescent="0.35">
      <c r="C2014" t="s">
        <v>312</v>
      </c>
      <c r="D2014" s="3">
        <v>2020</v>
      </c>
      <c r="E2014" s="78">
        <f t="shared" si="279"/>
        <v>7</v>
      </c>
      <c r="F2014" s="74" t="s">
        <v>34</v>
      </c>
      <c r="G2014" s="77">
        <f t="shared" si="282"/>
        <v>40240</v>
      </c>
      <c r="H2014" s="77">
        <f t="shared" si="283"/>
        <v>40540</v>
      </c>
      <c r="I2014" s="76">
        <v>0.7</v>
      </c>
    </row>
    <row r="2015" spans="3:9" x14ac:dyDescent="0.35">
      <c r="C2015" t="s">
        <v>312</v>
      </c>
      <c r="D2015" s="3">
        <v>2020</v>
      </c>
      <c r="E2015" s="78">
        <f t="shared" si="279"/>
        <v>7</v>
      </c>
      <c r="F2015" s="74" t="s">
        <v>34</v>
      </c>
      <c r="G2015" s="77">
        <f t="shared" si="282"/>
        <v>40540</v>
      </c>
      <c r="H2015" s="77">
        <f t="shared" si="283"/>
        <v>40840</v>
      </c>
      <c r="I2015" s="76">
        <v>0.6</v>
      </c>
    </row>
    <row r="2016" spans="3:9" x14ac:dyDescent="0.35">
      <c r="C2016" t="s">
        <v>312</v>
      </c>
      <c r="D2016" s="3">
        <v>2020</v>
      </c>
      <c r="E2016" s="78">
        <f t="shared" si="279"/>
        <v>7</v>
      </c>
      <c r="F2016" s="74" t="s">
        <v>34</v>
      </c>
      <c r="G2016" s="77">
        <f t="shared" si="282"/>
        <v>40840</v>
      </c>
      <c r="H2016" s="77">
        <f t="shared" si="283"/>
        <v>41140</v>
      </c>
      <c r="I2016" s="76">
        <v>0.5</v>
      </c>
    </row>
    <row r="2017" spans="3:9" x14ac:dyDescent="0.35">
      <c r="C2017" t="s">
        <v>312</v>
      </c>
      <c r="D2017" s="3">
        <v>2020</v>
      </c>
      <c r="E2017" s="78">
        <f t="shared" si="279"/>
        <v>7</v>
      </c>
      <c r="F2017" s="74" t="s">
        <v>34</v>
      </c>
      <c r="G2017" s="77">
        <f t="shared" si="282"/>
        <v>41140</v>
      </c>
      <c r="H2017" s="77">
        <f t="shared" si="283"/>
        <v>41440</v>
      </c>
      <c r="I2017" s="76">
        <v>0.4</v>
      </c>
    </row>
    <row r="2018" spans="3:9" x14ac:dyDescent="0.35">
      <c r="C2018" t="s">
        <v>312</v>
      </c>
      <c r="D2018" s="3">
        <v>2020</v>
      </c>
      <c r="E2018" s="78">
        <f t="shared" si="279"/>
        <v>7</v>
      </c>
      <c r="F2018" s="74" t="s">
        <v>34</v>
      </c>
      <c r="G2018" s="77">
        <f t="shared" si="282"/>
        <v>41440</v>
      </c>
      <c r="H2018" s="77">
        <f t="shared" si="283"/>
        <v>41740</v>
      </c>
      <c r="I2018" s="76">
        <v>0.3</v>
      </c>
    </row>
    <row r="2019" spans="3:9" x14ac:dyDescent="0.35">
      <c r="C2019" t="s">
        <v>312</v>
      </c>
      <c r="D2019" s="3">
        <v>2020</v>
      </c>
      <c r="E2019" s="78">
        <f t="shared" si="279"/>
        <v>7</v>
      </c>
      <c r="F2019" s="74" t="s">
        <v>34</v>
      </c>
      <c r="G2019" s="77">
        <f t="shared" si="282"/>
        <v>41740</v>
      </c>
      <c r="H2019" s="77">
        <f t="shared" si="283"/>
        <v>42040</v>
      </c>
      <c r="I2019" s="76">
        <v>0.2</v>
      </c>
    </row>
    <row r="2020" spans="3:9" x14ac:dyDescent="0.35">
      <c r="C2020" t="s">
        <v>312</v>
      </c>
      <c r="D2020" s="3">
        <v>2020</v>
      </c>
      <c r="E2020" s="78">
        <f t="shared" si="279"/>
        <v>7</v>
      </c>
      <c r="F2020" s="74" t="s">
        <v>34</v>
      </c>
      <c r="G2020" s="77">
        <f t="shared" si="282"/>
        <v>42040</v>
      </c>
      <c r="H2020" s="77">
        <f t="shared" si="283"/>
        <v>42340</v>
      </c>
      <c r="I2020" s="76">
        <v>0.1</v>
      </c>
    </row>
    <row r="2021" spans="3:9" x14ac:dyDescent="0.35">
      <c r="C2021" t="s">
        <v>312</v>
      </c>
      <c r="D2021" s="3">
        <v>2020</v>
      </c>
      <c r="E2021" s="78">
        <f t="shared" si="279"/>
        <v>7</v>
      </c>
      <c r="F2021" s="74" t="s">
        <v>34</v>
      </c>
      <c r="G2021" s="77">
        <f t="shared" si="282"/>
        <v>42340</v>
      </c>
      <c r="H2021" s="77"/>
      <c r="I2021" s="76">
        <v>0</v>
      </c>
    </row>
    <row r="2022" spans="3:9" x14ac:dyDescent="0.35">
      <c r="C2022" t="s">
        <v>312</v>
      </c>
      <c r="D2022" s="3">
        <v>2020</v>
      </c>
      <c r="E2022" s="78">
        <f t="shared" si="279"/>
        <v>7</v>
      </c>
      <c r="F2022" s="74" t="s">
        <v>40</v>
      </c>
      <c r="G2022" s="77">
        <v>0</v>
      </c>
      <c r="H2022" s="75">
        <f>H2011</f>
        <v>39640</v>
      </c>
      <c r="I2022" s="76">
        <v>1</v>
      </c>
    </row>
    <row r="2023" spans="3:9" x14ac:dyDescent="0.35">
      <c r="C2023" t="s">
        <v>312</v>
      </c>
      <c r="D2023" s="3">
        <v>2020</v>
      </c>
      <c r="E2023" s="78">
        <f t="shared" si="279"/>
        <v>7</v>
      </c>
      <c r="F2023" s="74" t="s">
        <v>40</v>
      </c>
      <c r="G2023" s="77">
        <f>H2022</f>
        <v>39640</v>
      </c>
      <c r="H2023" s="77">
        <f>H2022+300</f>
        <v>39940</v>
      </c>
      <c r="I2023" s="76">
        <v>0.9</v>
      </c>
    </row>
    <row r="2024" spans="3:9" x14ac:dyDescent="0.35">
      <c r="C2024" t="s">
        <v>312</v>
      </c>
      <c r="D2024" s="3">
        <v>2020</v>
      </c>
      <c r="E2024" s="78">
        <f t="shared" si="279"/>
        <v>7</v>
      </c>
      <c r="F2024" s="74" t="s">
        <v>40</v>
      </c>
      <c r="G2024" s="77">
        <f t="shared" ref="G2024:G2032" si="284">H2023</f>
        <v>39940</v>
      </c>
      <c r="H2024" s="77">
        <f t="shared" ref="H2024:H2031" si="285">H2023+300</f>
        <v>40240</v>
      </c>
      <c r="I2024" s="76">
        <v>0.8</v>
      </c>
    </row>
    <row r="2025" spans="3:9" x14ac:dyDescent="0.35">
      <c r="C2025" t="s">
        <v>312</v>
      </c>
      <c r="D2025" s="3">
        <v>2020</v>
      </c>
      <c r="E2025" s="78">
        <f t="shared" si="279"/>
        <v>7</v>
      </c>
      <c r="F2025" s="74" t="s">
        <v>40</v>
      </c>
      <c r="G2025" s="77">
        <f t="shared" si="284"/>
        <v>40240</v>
      </c>
      <c r="H2025" s="77">
        <f t="shared" si="285"/>
        <v>40540</v>
      </c>
      <c r="I2025" s="76">
        <v>0.7</v>
      </c>
    </row>
    <row r="2026" spans="3:9" x14ac:dyDescent="0.35">
      <c r="C2026" t="s">
        <v>312</v>
      </c>
      <c r="D2026" s="3">
        <v>2020</v>
      </c>
      <c r="E2026" s="78">
        <f t="shared" si="279"/>
        <v>7</v>
      </c>
      <c r="F2026" s="74" t="s">
        <v>40</v>
      </c>
      <c r="G2026" s="77">
        <f t="shared" si="284"/>
        <v>40540</v>
      </c>
      <c r="H2026" s="77">
        <f t="shared" si="285"/>
        <v>40840</v>
      </c>
      <c r="I2026" s="76">
        <v>0.6</v>
      </c>
    </row>
    <row r="2027" spans="3:9" x14ac:dyDescent="0.35">
      <c r="C2027" t="s">
        <v>312</v>
      </c>
      <c r="D2027" s="3">
        <v>2020</v>
      </c>
      <c r="E2027" s="78">
        <f t="shared" si="279"/>
        <v>7</v>
      </c>
      <c r="F2027" s="74" t="s">
        <v>40</v>
      </c>
      <c r="G2027" s="77">
        <f t="shared" si="284"/>
        <v>40840</v>
      </c>
      <c r="H2027" s="77">
        <f t="shared" si="285"/>
        <v>41140</v>
      </c>
      <c r="I2027" s="76">
        <v>0.5</v>
      </c>
    </row>
    <row r="2028" spans="3:9" x14ac:dyDescent="0.35">
      <c r="C2028" t="s">
        <v>312</v>
      </c>
      <c r="D2028" s="3">
        <v>2020</v>
      </c>
      <c r="E2028" s="78">
        <f t="shared" si="279"/>
        <v>7</v>
      </c>
      <c r="F2028" s="74" t="s">
        <v>40</v>
      </c>
      <c r="G2028" s="77">
        <f t="shared" si="284"/>
        <v>41140</v>
      </c>
      <c r="H2028" s="77">
        <f t="shared" si="285"/>
        <v>41440</v>
      </c>
      <c r="I2028" s="76">
        <v>0.4</v>
      </c>
    </row>
    <row r="2029" spans="3:9" x14ac:dyDescent="0.35">
      <c r="C2029" t="s">
        <v>312</v>
      </c>
      <c r="D2029" s="3">
        <v>2020</v>
      </c>
      <c r="E2029" s="78">
        <f t="shared" si="279"/>
        <v>7</v>
      </c>
      <c r="F2029" s="74" t="s">
        <v>40</v>
      </c>
      <c r="G2029" s="77">
        <f t="shared" si="284"/>
        <v>41440</v>
      </c>
      <c r="H2029" s="77">
        <f t="shared" si="285"/>
        <v>41740</v>
      </c>
      <c r="I2029" s="76">
        <v>0.3</v>
      </c>
    </row>
    <row r="2030" spans="3:9" x14ac:dyDescent="0.35">
      <c r="C2030" t="s">
        <v>312</v>
      </c>
      <c r="D2030" s="3">
        <v>2020</v>
      </c>
      <c r="E2030" s="78">
        <f t="shared" si="279"/>
        <v>7</v>
      </c>
      <c r="F2030" s="74" t="s">
        <v>40</v>
      </c>
      <c r="G2030" s="77">
        <f t="shared" si="284"/>
        <v>41740</v>
      </c>
      <c r="H2030" s="77">
        <f t="shared" si="285"/>
        <v>42040</v>
      </c>
      <c r="I2030" s="76">
        <v>0.2</v>
      </c>
    </row>
    <row r="2031" spans="3:9" x14ac:dyDescent="0.35">
      <c r="C2031" t="s">
        <v>312</v>
      </c>
      <c r="D2031" s="3">
        <v>2020</v>
      </c>
      <c r="E2031" s="78">
        <f t="shared" si="279"/>
        <v>7</v>
      </c>
      <c r="F2031" s="74" t="s">
        <v>40</v>
      </c>
      <c r="G2031" s="77">
        <f t="shared" si="284"/>
        <v>42040</v>
      </c>
      <c r="H2031" s="77">
        <f t="shared" si="285"/>
        <v>42340</v>
      </c>
      <c r="I2031" s="76">
        <v>0.1</v>
      </c>
    </row>
    <row r="2032" spans="3:9" x14ac:dyDescent="0.35">
      <c r="C2032" t="s">
        <v>312</v>
      </c>
      <c r="D2032" s="3">
        <v>2020</v>
      </c>
      <c r="E2032" s="78">
        <f t="shared" si="279"/>
        <v>7</v>
      </c>
      <c r="F2032" s="74" t="s">
        <v>40</v>
      </c>
      <c r="G2032" s="77">
        <f t="shared" si="284"/>
        <v>42340</v>
      </c>
      <c r="H2032" s="77"/>
      <c r="I2032" s="76">
        <v>0</v>
      </c>
    </row>
    <row r="2033" spans="3:9" x14ac:dyDescent="0.35">
      <c r="C2033" t="s">
        <v>312</v>
      </c>
      <c r="D2033" s="3">
        <v>2020</v>
      </c>
      <c r="E2033" s="78">
        <f t="shared" si="279"/>
        <v>7</v>
      </c>
      <c r="F2033" s="74" t="s">
        <v>313</v>
      </c>
      <c r="G2033" s="77">
        <v>0</v>
      </c>
      <c r="H2033" s="75">
        <f>H2022</f>
        <v>39640</v>
      </c>
      <c r="I2033" s="76">
        <v>1</v>
      </c>
    </row>
    <row r="2034" spans="3:9" x14ac:dyDescent="0.35">
      <c r="C2034" t="s">
        <v>312</v>
      </c>
      <c r="D2034" s="3">
        <v>2020</v>
      </c>
      <c r="E2034" s="78">
        <f t="shared" si="279"/>
        <v>7</v>
      </c>
      <c r="F2034" s="74" t="s">
        <v>313</v>
      </c>
      <c r="G2034" s="77">
        <f>H2033</f>
        <v>39640</v>
      </c>
      <c r="H2034" s="77">
        <f>H2033+300</f>
        <v>39940</v>
      </c>
      <c r="I2034" s="76">
        <v>0.9</v>
      </c>
    </row>
    <row r="2035" spans="3:9" x14ac:dyDescent="0.35">
      <c r="C2035" t="s">
        <v>312</v>
      </c>
      <c r="D2035" s="3">
        <v>2020</v>
      </c>
      <c r="E2035" s="78">
        <f t="shared" si="279"/>
        <v>7</v>
      </c>
      <c r="F2035" s="74" t="s">
        <v>313</v>
      </c>
      <c r="G2035" s="77">
        <f t="shared" ref="G2035:G2043" si="286">H2034</f>
        <v>39940</v>
      </c>
      <c r="H2035" s="77">
        <f t="shared" ref="H2035:H2042" si="287">H2034+300</f>
        <v>40240</v>
      </c>
      <c r="I2035" s="76">
        <v>0.8</v>
      </c>
    </row>
    <row r="2036" spans="3:9" x14ac:dyDescent="0.35">
      <c r="C2036" t="s">
        <v>312</v>
      </c>
      <c r="D2036" s="3">
        <v>2020</v>
      </c>
      <c r="E2036" s="78">
        <f t="shared" si="279"/>
        <v>7</v>
      </c>
      <c r="F2036" s="74" t="s">
        <v>313</v>
      </c>
      <c r="G2036" s="77">
        <f t="shared" si="286"/>
        <v>40240</v>
      </c>
      <c r="H2036" s="77">
        <f t="shared" si="287"/>
        <v>40540</v>
      </c>
      <c r="I2036" s="76">
        <v>0.7</v>
      </c>
    </row>
    <row r="2037" spans="3:9" x14ac:dyDescent="0.35">
      <c r="C2037" t="s">
        <v>312</v>
      </c>
      <c r="D2037" s="3">
        <v>2020</v>
      </c>
      <c r="E2037" s="78">
        <f t="shared" si="279"/>
        <v>7</v>
      </c>
      <c r="F2037" s="74" t="s">
        <v>313</v>
      </c>
      <c r="G2037" s="77">
        <f t="shared" si="286"/>
        <v>40540</v>
      </c>
      <c r="H2037" s="77">
        <f t="shared" si="287"/>
        <v>40840</v>
      </c>
      <c r="I2037" s="76">
        <v>0.6</v>
      </c>
    </row>
    <row r="2038" spans="3:9" x14ac:dyDescent="0.35">
      <c r="C2038" t="s">
        <v>312</v>
      </c>
      <c r="D2038" s="3">
        <v>2020</v>
      </c>
      <c r="E2038" s="78">
        <f t="shared" si="279"/>
        <v>7</v>
      </c>
      <c r="F2038" s="74" t="s">
        <v>313</v>
      </c>
      <c r="G2038" s="77">
        <f t="shared" si="286"/>
        <v>40840</v>
      </c>
      <c r="H2038" s="77">
        <f t="shared" si="287"/>
        <v>41140</v>
      </c>
      <c r="I2038" s="76">
        <v>0.5</v>
      </c>
    </row>
    <row r="2039" spans="3:9" x14ac:dyDescent="0.35">
      <c r="C2039" t="s">
        <v>312</v>
      </c>
      <c r="D2039" s="3">
        <v>2020</v>
      </c>
      <c r="E2039" s="78">
        <f t="shared" si="279"/>
        <v>7</v>
      </c>
      <c r="F2039" s="74" t="s">
        <v>313</v>
      </c>
      <c r="G2039" s="77">
        <f t="shared" si="286"/>
        <v>41140</v>
      </c>
      <c r="H2039" s="77">
        <f t="shared" si="287"/>
        <v>41440</v>
      </c>
      <c r="I2039" s="76">
        <v>0.4</v>
      </c>
    </row>
    <row r="2040" spans="3:9" x14ac:dyDescent="0.35">
      <c r="C2040" t="s">
        <v>312</v>
      </c>
      <c r="D2040" s="3">
        <v>2020</v>
      </c>
      <c r="E2040" s="78">
        <f t="shared" si="279"/>
        <v>7</v>
      </c>
      <c r="F2040" s="74" t="s">
        <v>313</v>
      </c>
      <c r="G2040" s="77">
        <f t="shared" si="286"/>
        <v>41440</v>
      </c>
      <c r="H2040" s="77">
        <f t="shared" si="287"/>
        <v>41740</v>
      </c>
      <c r="I2040" s="76">
        <v>0.3</v>
      </c>
    </row>
    <row r="2041" spans="3:9" x14ac:dyDescent="0.35">
      <c r="C2041" t="s">
        <v>312</v>
      </c>
      <c r="D2041" s="3">
        <v>2020</v>
      </c>
      <c r="E2041" s="78">
        <f t="shared" si="279"/>
        <v>7</v>
      </c>
      <c r="F2041" s="74" t="s">
        <v>313</v>
      </c>
      <c r="G2041" s="77">
        <f t="shared" si="286"/>
        <v>41740</v>
      </c>
      <c r="H2041" s="77">
        <f t="shared" si="287"/>
        <v>42040</v>
      </c>
      <c r="I2041" s="76">
        <v>0.2</v>
      </c>
    </row>
    <row r="2042" spans="3:9" x14ac:dyDescent="0.35">
      <c r="C2042" t="s">
        <v>312</v>
      </c>
      <c r="D2042" s="3">
        <v>2020</v>
      </c>
      <c r="E2042" s="78">
        <f t="shared" si="279"/>
        <v>7</v>
      </c>
      <c r="F2042" s="74" t="s">
        <v>313</v>
      </c>
      <c r="G2042" s="77">
        <f t="shared" si="286"/>
        <v>42040</v>
      </c>
      <c r="H2042" s="77">
        <f t="shared" si="287"/>
        <v>42340</v>
      </c>
      <c r="I2042" s="76">
        <v>0.1</v>
      </c>
    </row>
    <row r="2043" spans="3:9" x14ac:dyDescent="0.35">
      <c r="C2043" t="s">
        <v>312</v>
      </c>
      <c r="D2043" s="3">
        <v>2020</v>
      </c>
      <c r="E2043" s="78">
        <f t="shared" si="279"/>
        <v>7</v>
      </c>
      <c r="F2043" s="74" t="s">
        <v>313</v>
      </c>
      <c r="G2043" s="77">
        <f t="shared" si="286"/>
        <v>42340</v>
      </c>
      <c r="H2043" s="77"/>
      <c r="I2043" s="76">
        <v>0</v>
      </c>
    </row>
    <row r="2044" spans="3:9" x14ac:dyDescent="0.35">
      <c r="C2044" t="s">
        <v>312</v>
      </c>
      <c r="D2044" s="3">
        <v>2020</v>
      </c>
      <c r="E2044" s="73">
        <v>8</v>
      </c>
      <c r="F2044" s="74" t="s">
        <v>54</v>
      </c>
      <c r="G2044" s="77">
        <v>0</v>
      </c>
      <c r="H2044" s="77">
        <v>44120</v>
      </c>
      <c r="I2044" s="76">
        <v>1</v>
      </c>
    </row>
    <row r="2045" spans="3:9" x14ac:dyDescent="0.35">
      <c r="C2045" t="s">
        <v>312</v>
      </c>
      <c r="D2045" s="3">
        <v>2020</v>
      </c>
      <c r="E2045" s="78">
        <f>E2044</f>
        <v>8</v>
      </c>
      <c r="F2045" s="74" t="s">
        <v>54</v>
      </c>
      <c r="G2045" s="77">
        <f>H2044</f>
        <v>44120</v>
      </c>
      <c r="H2045" s="77">
        <f>H2044+300</f>
        <v>44420</v>
      </c>
      <c r="I2045" s="76">
        <v>0.9</v>
      </c>
    </row>
    <row r="2046" spans="3:9" x14ac:dyDescent="0.35">
      <c r="C2046" t="s">
        <v>312</v>
      </c>
      <c r="D2046" s="3">
        <v>2020</v>
      </c>
      <c r="E2046" s="78">
        <f t="shared" ref="E2046:E2087" si="288">E2045</f>
        <v>8</v>
      </c>
      <c r="F2046" s="74" t="s">
        <v>54</v>
      </c>
      <c r="G2046" s="77">
        <f t="shared" ref="G2046:G2054" si="289">H2045</f>
        <v>44420</v>
      </c>
      <c r="H2046" s="77">
        <f t="shared" ref="H2046:H2053" si="290">H2045+300</f>
        <v>44720</v>
      </c>
      <c r="I2046" s="76">
        <v>0.8</v>
      </c>
    </row>
    <row r="2047" spans="3:9" x14ac:dyDescent="0.35">
      <c r="C2047" t="s">
        <v>312</v>
      </c>
      <c r="D2047" s="3">
        <v>2020</v>
      </c>
      <c r="E2047" s="78">
        <f t="shared" si="288"/>
        <v>8</v>
      </c>
      <c r="F2047" s="74" t="s">
        <v>54</v>
      </c>
      <c r="G2047" s="77">
        <f t="shared" si="289"/>
        <v>44720</v>
      </c>
      <c r="H2047" s="77">
        <f t="shared" si="290"/>
        <v>45020</v>
      </c>
      <c r="I2047" s="76">
        <v>0.7</v>
      </c>
    </row>
    <row r="2048" spans="3:9" x14ac:dyDescent="0.35">
      <c r="C2048" t="s">
        <v>312</v>
      </c>
      <c r="D2048" s="3">
        <v>2020</v>
      </c>
      <c r="E2048" s="78">
        <f t="shared" si="288"/>
        <v>8</v>
      </c>
      <c r="F2048" s="74" t="s">
        <v>54</v>
      </c>
      <c r="G2048" s="77">
        <f t="shared" si="289"/>
        <v>45020</v>
      </c>
      <c r="H2048" s="77">
        <f t="shared" si="290"/>
        <v>45320</v>
      </c>
      <c r="I2048" s="76">
        <v>0.6</v>
      </c>
    </row>
    <row r="2049" spans="3:9" x14ac:dyDescent="0.35">
      <c r="C2049" t="s">
        <v>312</v>
      </c>
      <c r="D2049" s="3">
        <v>2020</v>
      </c>
      <c r="E2049" s="78">
        <f t="shared" si="288"/>
        <v>8</v>
      </c>
      <c r="F2049" s="74" t="s">
        <v>54</v>
      </c>
      <c r="G2049" s="77">
        <f t="shared" si="289"/>
        <v>45320</v>
      </c>
      <c r="H2049" s="77">
        <f t="shared" si="290"/>
        <v>45620</v>
      </c>
      <c r="I2049" s="76">
        <v>0.5</v>
      </c>
    </row>
    <row r="2050" spans="3:9" x14ac:dyDescent="0.35">
      <c r="C2050" t="s">
        <v>312</v>
      </c>
      <c r="D2050" s="3">
        <v>2020</v>
      </c>
      <c r="E2050" s="78">
        <f t="shared" si="288"/>
        <v>8</v>
      </c>
      <c r="F2050" s="74" t="s">
        <v>54</v>
      </c>
      <c r="G2050" s="77">
        <f t="shared" si="289"/>
        <v>45620</v>
      </c>
      <c r="H2050" s="77">
        <f t="shared" si="290"/>
        <v>45920</v>
      </c>
      <c r="I2050" s="76">
        <v>0.4</v>
      </c>
    </row>
    <row r="2051" spans="3:9" x14ac:dyDescent="0.35">
      <c r="C2051" t="s">
        <v>312</v>
      </c>
      <c r="D2051" s="3">
        <v>2020</v>
      </c>
      <c r="E2051" s="78">
        <f t="shared" si="288"/>
        <v>8</v>
      </c>
      <c r="F2051" s="74" t="s">
        <v>54</v>
      </c>
      <c r="G2051" s="77">
        <f t="shared" si="289"/>
        <v>45920</v>
      </c>
      <c r="H2051" s="77">
        <f t="shared" si="290"/>
        <v>46220</v>
      </c>
      <c r="I2051" s="76">
        <v>0.3</v>
      </c>
    </row>
    <row r="2052" spans="3:9" x14ac:dyDescent="0.35">
      <c r="C2052" t="s">
        <v>312</v>
      </c>
      <c r="D2052" s="3">
        <v>2020</v>
      </c>
      <c r="E2052" s="78">
        <f t="shared" si="288"/>
        <v>8</v>
      </c>
      <c r="F2052" s="74" t="s">
        <v>54</v>
      </c>
      <c r="G2052" s="77">
        <f t="shared" si="289"/>
        <v>46220</v>
      </c>
      <c r="H2052" s="77">
        <f t="shared" si="290"/>
        <v>46520</v>
      </c>
      <c r="I2052" s="76">
        <v>0.2</v>
      </c>
    </row>
    <row r="2053" spans="3:9" x14ac:dyDescent="0.35">
      <c r="C2053" t="s">
        <v>312</v>
      </c>
      <c r="D2053" s="3">
        <v>2020</v>
      </c>
      <c r="E2053" s="78">
        <f t="shared" si="288"/>
        <v>8</v>
      </c>
      <c r="F2053" s="74" t="s">
        <v>54</v>
      </c>
      <c r="G2053" s="77">
        <f t="shared" si="289"/>
        <v>46520</v>
      </c>
      <c r="H2053" s="77">
        <f t="shared" si="290"/>
        <v>46820</v>
      </c>
      <c r="I2053" s="76">
        <v>0.1</v>
      </c>
    </row>
    <row r="2054" spans="3:9" x14ac:dyDescent="0.35">
      <c r="C2054" t="s">
        <v>312</v>
      </c>
      <c r="D2054" s="3">
        <v>2020</v>
      </c>
      <c r="E2054" s="78">
        <f t="shared" si="288"/>
        <v>8</v>
      </c>
      <c r="F2054" s="74" t="s">
        <v>54</v>
      </c>
      <c r="G2054" s="77">
        <f t="shared" si="289"/>
        <v>46820</v>
      </c>
      <c r="H2054" s="77"/>
      <c r="I2054" s="76">
        <v>0</v>
      </c>
    </row>
    <row r="2055" spans="3:9" x14ac:dyDescent="0.35">
      <c r="C2055" t="s">
        <v>312</v>
      </c>
      <c r="D2055" s="3">
        <v>2020</v>
      </c>
      <c r="E2055" s="78">
        <f t="shared" si="288"/>
        <v>8</v>
      </c>
      <c r="F2055" s="74" t="s">
        <v>34</v>
      </c>
      <c r="G2055" s="77">
        <v>0</v>
      </c>
      <c r="H2055" s="75">
        <f>H2044</f>
        <v>44120</v>
      </c>
      <c r="I2055" s="76">
        <v>1</v>
      </c>
    </row>
    <row r="2056" spans="3:9" x14ac:dyDescent="0.35">
      <c r="C2056" t="s">
        <v>312</v>
      </c>
      <c r="D2056" s="3">
        <v>2020</v>
      </c>
      <c r="E2056" s="78">
        <f t="shared" si="288"/>
        <v>8</v>
      </c>
      <c r="F2056" s="74" t="s">
        <v>34</v>
      </c>
      <c r="G2056" s="77">
        <f>H2055</f>
        <v>44120</v>
      </c>
      <c r="H2056" s="77">
        <f>H2055+300</f>
        <v>44420</v>
      </c>
      <c r="I2056" s="76">
        <v>0.9</v>
      </c>
    </row>
    <row r="2057" spans="3:9" x14ac:dyDescent="0.35">
      <c r="C2057" t="s">
        <v>312</v>
      </c>
      <c r="D2057" s="3">
        <v>2020</v>
      </c>
      <c r="E2057" s="78">
        <f t="shared" si="288"/>
        <v>8</v>
      </c>
      <c r="F2057" s="74" t="s">
        <v>34</v>
      </c>
      <c r="G2057" s="77">
        <f t="shared" ref="G2057:G2065" si="291">H2056</f>
        <v>44420</v>
      </c>
      <c r="H2057" s="77">
        <f t="shared" ref="H2057:H2064" si="292">H2056+300</f>
        <v>44720</v>
      </c>
      <c r="I2057" s="76">
        <v>0.8</v>
      </c>
    </row>
    <row r="2058" spans="3:9" x14ac:dyDescent="0.35">
      <c r="C2058" t="s">
        <v>312</v>
      </c>
      <c r="D2058" s="3">
        <v>2020</v>
      </c>
      <c r="E2058" s="78">
        <f t="shared" si="288"/>
        <v>8</v>
      </c>
      <c r="F2058" s="74" t="s">
        <v>34</v>
      </c>
      <c r="G2058" s="77">
        <f t="shared" si="291"/>
        <v>44720</v>
      </c>
      <c r="H2058" s="77">
        <f t="shared" si="292"/>
        <v>45020</v>
      </c>
      <c r="I2058" s="76">
        <v>0.7</v>
      </c>
    </row>
    <row r="2059" spans="3:9" x14ac:dyDescent="0.35">
      <c r="C2059" t="s">
        <v>312</v>
      </c>
      <c r="D2059" s="3">
        <v>2020</v>
      </c>
      <c r="E2059" s="78">
        <f t="shared" si="288"/>
        <v>8</v>
      </c>
      <c r="F2059" s="74" t="s">
        <v>34</v>
      </c>
      <c r="G2059" s="77">
        <f t="shared" si="291"/>
        <v>45020</v>
      </c>
      <c r="H2059" s="77">
        <f t="shared" si="292"/>
        <v>45320</v>
      </c>
      <c r="I2059" s="76">
        <v>0.6</v>
      </c>
    </row>
    <row r="2060" spans="3:9" x14ac:dyDescent="0.35">
      <c r="C2060" t="s">
        <v>312</v>
      </c>
      <c r="D2060" s="3">
        <v>2020</v>
      </c>
      <c r="E2060" s="78">
        <f t="shared" si="288"/>
        <v>8</v>
      </c>
      <c r="F2060" s="74" t="s">
        <v>34</v>
      </c>
      <c r="G2060" s="77">
        <f t="shared" si="291"/>
        <v>45320</v>
      </c>
      <c r="H2060" s="77">
        <f t="shared" si="292"/>
        <v>45620</v>
      </c>
      <c r="I2060" s="76">
        <v>0.5</v>
      </c>
    </row>
    <row r="2061" spans="3:9" x14ac:dyDescent="0.35">
      <c r="C2061" t="s">
        <v>312</v>
      </c>
      <c r="D2061" s="3">
        <v>2020</v>
      </c>
      <c r="E2061" s="78">
        <f t="shared" si="288"/>
        <v>8</v>
      </c>
      <c r="F2061" s="74" t="s">
        <v>34</v>
      </c>
      <c r="G2061" s="77">
        <f t="shared" si="291"/>
        <v>45620</v>
      </c>
      <c r="H2061" s="77">
        <f t="shared" si="292"/>
        <v>45920</v>
      </c>
      <c r="I2061" s="76">
        <v>0.4</v>
      </c>
    </row>
    <row r="2062" spans="3:9" x14ac:dyDescent="0.35">
      <c r="C2062" t="s">
        <v>312</v>
      </c>
      <c r="D2062" s="3">
        <v>2020</v>
      </c>
      <c r="E2062" s="78">
        <f t="shared" si="288"/>
        <v>8</v>
      </c>
      <c r="F2062" s="74" t="s">
        <v>34</v>
      </c>
      <c r="G2062" s="77">
        <f t="shared" si="291"/>
        <v>45920</v>
      </c>
      <c r="H2062" s="77">
        <f t="shared" si="292"/>
        <v>46220</v>
      </c>
      <c r="I2062" s="76">
        <v>0.3</v>
      </c>
    </row>
    <row r="2063" spans="3:9" x14ac:dyDescent="0.35">
      <c r="C2063" t="s">
        <v>312</v>
      </c>
      <c r="D2063" s="3">
        <v>2020</v>
      </c>
      <c r="E2063" s="78">
        <f t="shared" si="288"/>
        <v>8</v>
      </c>
      <c r="F2063" s="74" t="s">
        <v>34</v>
      </c>
      <c r="G2063" s="77">
        <f t="shared" si="291"/>
        <v>46220</v>
      </c>
      <c r="H2063" s="77">
        <f t="shared" si="292"/>
        <v>46520</v>
      </c>
      <c r="I2063" s="76">
        <v>0.2</v>
      </c>
    </row>
    <row r="2064" spans="3:9" x14ac:dyDescent="0.35">
      <c r="C2064" t="s">
        <v>312</v>
      </c>
      <c r="D2064" s="3">
        <v>2020</v>
      </c>
      <c r="E2064" s="78">
        <f t="shared" si="288"/>
        <v>8</v>
      </c>
      <c r="F2064" s="74" t="s">
        <v>34</v>
      </c>
      <c r="G2064" s="77">
        <f t="shared" si="291"/>
        <v>46520</v>
      </c>
      <c r="H2064" s="77">
        <f t="shared" si="292"/>
        <v>46820</v>
      </c>
      <c r="I2064" s="76">
        <v>0.1</v>
      </c>
    </row>
    <row r="2065" spans="3:9" x14ac:dyDescent="0.35">
      <c r="C2065" t="s">
        <v>312</v>
      </c>
      <c r="D2065" s="3">
        <v>2020</v>
      </c>
      <c r="E2065" s="78">
        <f t="shared" si="288"/>
        <v>8</v>
      </c>
      <c r="F2065" s="74" t="s">
        <v>34</v>
      </c>
      <c r="G2065" s="77">
        <f t="shared" si="291"/>
        <v>46820</v>
      </c>
      <c r="H2065" s="77"/>
      <c r="I2065" s="76">
        <v>0</v>
      </c>
    </row>
    <row r="2066" spans="3:9" x14ac:dyDescent="0.35">
      <c r="C2066" t="s">
        <v>312</v>
      </c>
      <c r="D2066" s="3">
        <v>2020</v>
      </c>
      <c r="E2066" s="78">
        <f t="shared" si="288"/>
        <v>8</v>
      </c>
      <c r="F2066" s="74" t="s">
        <v>40</v>
      </c>
      <c r="G2066" s="77">
        <v>0</v>
      </c>
      <c r="H2066" s="75">
        <f>H2055</f>
        <v>44120</v>
      </c>
      <c r="I2066" s="76">
        <v>1</v>
      </c>
    </row>
    <row r="2067" spans="3:9" x14ac:dyDescent="0.35">
      <c r="C2067" t="s">
        <v>312</v>
      </c>
      <c r="D2067" s="3">
        <v>2020</v>
      </c>
      <c r="E2067" s="78">
        <f t="shared" si="288"/>
        <v>8</v>
      </c>
      <c r="F2067" s="74" t="s">
        <v>40</v>
      </c>
      <c r="G2067" s="77">
        <f>H2066</f>
        <v>44120</v>
      </c>
      <c r="H2067" s="77">
        <f>H2066+300</f>
        <v>44420</v>
      </c>
      <c r="I2067" s="76">
        <v>0.9</v>
      </c>
    </row>
    <row r="2068" spans="3:9" x14ac:dyDescent="0.35">
      <c r="C2068" t="s">
        <v>312</v>
      </c>
      <c r="D2068" s="3">
        <v>2020</v>
      </c>
      <c r="E2068" s="78">
        <f t="shared" si="288"/>
        <v>8</v>
      </c>
      <c r="F2068" s="74" t="s">
        <v>40</v>
      </c>
      <c r="G2068" s="77">
        <f t="shared" ref="G2068:G2076" si="293">H2067</f>
        <v>44420</v>
      </c>
      <c r="H2068" s="77">
        <f t="shared" ref="H2068:H2075" si="294">H2067+300</f>
        <v>44720</v>
      </c>
      <c r="I2068" s="76">
        <v>0.8</v>
      </c>
    </row>
    <row r="2069" spans="3:9" x14ac:dyDescent="0.35">
      <c r="C2069" t="s">
        <v>312</v>
      </c>
      <c r="D2069" s="3">
        <v>2020</v>
      </c>
      <c r="E2069" s="78">
        <f t="shared" si="288"/>
        <v>8</v>
      </c>
      <c r="F2069" s="74" t="s">
        <v>40</v>
      </c>
      <c r="G2069" s="77">
        <f t="shared" si="293"/>
        <v>44720</v>
      </c>
      <c r="H2069" s="77">
        <f t="shared" si="294"/>
        <v>45020</v>
      </c>
      <c r="I2069" s="76">
        <v>0.7</v>
      </c>
    </row>
    <row r="2070" spans="3:9" x14ac:dyDescent="0.35">
      <c r="C2070" t="s">
        <v>312</v>
      </c>
      <c r="D2070" s="3">
        <v>2020</v>
      </c>
      <c r="E2070" s="78">
        <f t="shared" si="288"/>
        <v>8</v>
      </c>
      <c r="F2070" s="74" t="s">
        <v>40</v>
      </c>
      <c r="G2070" s="77">
        <f t="shared" si="293"/>
        <v>45020</v>
      </c>
      <c r="H2070" s="77">
        <f t="shared" si="294"/>
        <v>45320</v>
      </c>
      <c r="I2070" s="76">
        <v>0.6</v>
      </c>
    </row>
    <row r="2071" spans="3:9" x14ac:dyDescent="0.35">
      <c r="C2071" t="s">
        <v>312</v>
      </c>
      <c r="D2071" s="3">
        <v>2020</v>
      </c>
      <c r="E2071" s="78">
        <f t="shared" si="288"/>
        <v>8</v>
      </c>
      <c r="F2071" s="74" t="s">
        <v>40</v>
      </c>
      <c r="G2071" s="77">
        <f t="shared" si="293"/>
        <v>45320</v>
      </c>
      <c r="H2071" s="77">
        <f t="shared" si="294"/>
        <v>45620</v>
      </c>
      <c r="I2071" s="76">
        <v>0.5</v>
      </c>
    </row>
    <row r="2072" spans="3:9" x14ac:dyDescent="0.35">
      <c r="C2072" t="s">
        <v>312</v>
      </c>
      <c r="D2072" s="3">
        <v>2020</v>
      </c>
      <c r="E2072" s="78">
        <f t="shared" si="288"/>
        <v>8</v>
      </c>
      <c r="F2072" s="74" t="s">
        <v>40</v>
      </c>
      <c r="G2072" s="77">
        <f t="shared" si="293"/>
        <v>45620</v>
      </c>
      <c r="H2072" s="77">
        <f t="shared" si="294"/>
        <v>45920</v>
      </c>
      <c r="I2072" s="76">
        <v>0.4</v>
      </c>
    </row>
    <row r="2073" spans="3:9" x14ac:dyDescent="0.35">
      <c r="C2073" t="s">
        <v>312</v>
      </c>
      <c r="D2073" s="3">
        <v>2020</v>
      </c>
      <c r="E2073" s="78">
        <f t="shared" si="288"/>
        <v>8</v>
      </c>
      <c r="F2073" s="74" t="s">
        <v>40</v>
      </c>
      <c r="G2073" s="77">
        <f t="shared" si="293"/>
        <v>45920</v>
      </c>
      <c r="H2073" s="77">
        <f t="shared" si="294"/>
        <v>46220</v>
      </c>
      <c r="I2073" s="76">
        <v>0.3</v>
      </c>
    </row>
    <row r="2074" spans="3:9" x14ac:dyDescent="0.35">
      <c r="C2074" t="s">
        <v>312</v>
      </c>
      <c r="D2074" s="3">
        <v>2020</v>
      </c>
      <c r="E2074" s="78">
        <f t="shared" si="288"/>
        <v>8</v>
      </c>
      <c r="F2074" s="74" t="s">
        <v>40</v>
      </c>
      <c r="G2074" s="77">
        <f t="shared" si="293"/>
        <v>46220</v>
      </c>
      <c r="H2074" s="77">
        <f t="shared" si="294"/>
        <v>46520</v>
      </c>
      <c r="I2074" s="76">
        <v>0.2</v>
      </c>
    </row>
    <row r="2075" spans="3:9" x14ac:dyDescent="0.35">
      <c r="C2075" t="s">
        <v>312</v>
      </c>
      <c r="D2075" s="3">
        <v>2020</v>
      </c>
      <c r="E2075" s="78">
        <f t="shared" si="288"/>
        <v>8</v>
      </c>
      <c r="F2075" s="74" t="s">
        <v>40</v>
      </c>
      <c r="G2075" s="77">
        <f t="shared" si="293"/>
        <v>46520</v>
      </c>
      <c r="H2075" s="77">
        <f t="shared" si="294"/>
        <v>46820</v>
      </c>
      <c r="I2075" s="76">
        <v>0.1</v>
      </c>
    </row>
    <row r="2076" spans="3:9" x14ac:dyDescent="0.35">
      <c r="C2076" t="s">
        <v>312</v>
      </c>
      <c r="D2076" s="3">
        <v>2020</v>
      </c>
      <c r="E2076" s="78">
        <f t="shared" si="288"/>
        <v>8</v>
      </c>
      <c r="F2076" s="74" t="s">
        <v>40</v>
      </c>
      <c r="G2076" s="77">
        <f t="shared" si="293"/>
        <v>46820</v>
      </c>
      <c r="H2076" s="77"/>
      <c r="I2076" s="76">
        <v>0</v>
      </c>
    </row>
    <row r="2077" spans="3:9" x14ac:dyDescent="0.35">
      <c r="C2077" t="s">
        <v>312</v>
      </c>
      <c r="D2077" s="3">
        <v>2020</v>
      </c>
      <c r="E2077" s="78">
        <f t="shared" si="288"/>
        <v>8</v>
      </c>
      <c r="F2077" s="74" t="s">
        <v>313</v>
      </c>
      <c r="G2077" s="77">
        <v>0</v>
      </c>
      <c r="H2077" s="75">
        <f>H2066</f>
        <v>44120</v>
      </c>
      <c r="I2077" s="76">
        <v>1</v>
      </c>
    </row>
    <row r="2078" spans="3:9" x14ac:dyDescent="0.35">
      <c r="C2078" t="s">
        <v>312</v>
      </c>
      <c r="D2078" s="3">
        <v>2020</v>
      </c>
      <c r="E2078" s="78">
        <f t="shared" si="288"/>
        <v>8</v>
      </c>
      <c r="F2078" s="74" t="s">
        <v>313</v>
      </c>
      <c r="G2078" s="77">
        <f>H2077</f>
        <v>44120</v>
      </c>
      <c r="H2078" s="77">
        <f>H2077+300</f>
        <v>44420</v>
      </c>
      <c r="I2078" s="76">
        <v>0.9</v>
      </c>
    </row>
    <row r="2079" spans="3:9" x14ac:dyDescent="0.35">
      <c r="C2079" t="s">
        <v>312</v>
      </c>
      <c r="D2079" s="3">
        <v>2020</v>
      </c>
      <c r="E2079" s="78">
        <f t="shared" si="288"/>
        <v>8</v>
      </c>
      <c r="F2079" s="74" t="s">
        <v>313</v>
      </c>
      <c r="G2079" s="77">
        <f t="shared" ref="G2079:G2087" si="295">H2078</f>
        <v>44420</v>
      </c>
      <c r="H2079" s="77">
        <f t="shared" ref="H2079:H2086" si="296">H2078+300</f>
        <v>44720</v>
      </c>
      <c r="I2079" s="76">
        <v>0.8</v>
      </c>
    </row>
    <row r="2080" spans="3:9" x14ac:dyDescent="0.35">
      <c r="C2080" t="s">
        <v>312</v>
      </c>
      <c r="D2080" s="3">
        <v>2020</v>
      </c>
      <c r="E2080" s="78">
        <f t="shared" si="288"/>
        <v>8</v>
      </c>
      <c r="F2080" s="74" t="s">
        <v>313</v>
      </c>
      <c r="G2080" s="77">
        <f t="shared" si="295"/>
        <v>44720</v>
      </c>
      <c r="H2080" s="77">
        <f t="shared" si="296"/>
        <v>45020</v>
      </c>
      <c r="I2080" s="76">
        <v>0.7</v>
      </c>
    </row>
    <row r="2081" spans="3:9" x14ac:dyDescent="0.35">
      <c r="C2081" t="s">
        <v>312</v>
      </c>
      <c r="D2081" s="3">
        <v>2020</v>
      </c>
      <c r="E2081" s="78">
        <f t="shared" si="288"/>
        <v>8</v>
      </c>
      <c r="F2081" s="74" t="s">
        <v>313</v>
      </c>
      <c r="G2081" s="77">
        <f t="shared" si="295"/>
        <v>45020</v>
      </c>
      <c r="H2081" s="77">
        <f t="shared" si="296"/>
        <v>45320</v>
      </c>
      <c r="I2081" s="76">
        <v>0.6</v>
      </c>
    </row>
    <row r="2082" spans="3:9" x14ac:dyDescent="0.35">
      <c r="C2082" t="s">
        <v>312</v>
      </c>
      <c r="D2082" s="3">
        <v>2020</v>
      </c>
      <c r="E2082" s="78">
        <f t="shared" si="288"/>
        <v>8</v>
      </c>
      <c r="F2082" s="74" t="s">
        <v>313</v>
      </c>
      <c r="G2082" s="77">
        <f t="shared" si="295"/>
        <v>45320</v>
      </c>
      <c r="H2082" s="77">
        <f t="shared" si="296"/>
        <v>45620</v>
      </c>
      <c r="I2082" s="76">
        <v>0.5</v>
      </c>
    </row>
    <row r="2083" spans="3:9" x14ac:dyDescent="0.35">
      <c r="C2083" t="s">
        <v>312</v>
      </c>
      <c r="D2083" s="3">
        <v>2020</v>
      </c>
      <c r="E2083" s="78">
        <f t="shared" si="288"/>
        <v>8</v>
      </c>
      <c r="F2083" s="74" t="s">
        <v>313</v>
      </c>
      <c r="G2083" s="77">
        <f t="shared" si="295"/>
        <v>45620</v>
      </c>
      <c r="H2083" s="77">
        <f t="shared" si="296"/>
        <v>45920</v>
      </c>
      <c r="I2083" s="76">
        <v>0.4</v>
      </c>
    </row>
    <row r="2084" spans="3:9" x14ac:dyDescent="0.35">
      <c r="C2084" t="s">
        <v>312</v>
      </c>
      <c r="D2084" s="3">
        <v>2020</v>
      </c>
      <c r="E2084" s="78">
        <f t="shared" si="288"/>
        <v>8</v>
      </c>
      <c r="F2084" s="74" t="s">
        <v>313</v>
      </c>
      <c r="G2084" s="77">
        <f t="shared" si="295"/>
        <v>45920</v>
      </c>
      <c r="H2084" s="77">
        <f t="shared" si="296"/>
        <v>46220</v>
      </c>
      <c r="I2084" s="76">
        <v>0.3</v>
      </c>
    </row>
    <row r="2085" spans="3:9" x14ac:dyDescent="0.35">
      <c r="C2085" t="s">
        <v>312</v>
      </c>
      <c r="D2085" s="3">
        <v>2020</v>
      </c>
      <c r="E2085" s="78">
        <f t="shared" si="288"/>
        <v>8</v>
      </c>
      <c r="F2085" s="74" t="s">
        <v>313</v>
      </c>
      <c r="G2085" s="77">
        <f t="shared" si="295"/>
        <v>46220</v>
      </c>
      <c r="H2085" s="77">
        <f t="shared" si="296"/>
        <v>46520</v>
      </c>
      <c r="I2085" s="76">
        <v>0.2</v>
      </c>
    </row>
    <row r="2086" spans="3:9" x14ac:dyDescent="0.35">
      <c r="C2086" t="s">
        <v>312</v>
      </c>
      <c r="D2086" s="3">
        <v>2020</v>
      </c>
      <c r="E2086" s="78">
        <f t="shared" si="288"/>
        <v>8</v>
      </c>
      <c r="F2086" s="74" t="s">
        <v>313</v>
      </c>
      <c r="G2086" s="77">
        <f t="shared" si="295"/>
        <v>46520</v>
      </c>
      <c r="H2086" s="77">
        <f t="shared" si="296"/>
        <v>46820</v>
      </c>
      <c r="I2086" s="76">
        <v>0.1</v>
      </c>
    </row>
    <row r="2087" spans="3:9" x14ac:dyDescent="0.35">
      <c r="C2087" t="s">
        <v>312</v>
      </c>
      <c r="D2087" s="3">
        <v>2020</v>
      </c>
      <c r="E2087" s="78">
        <f t="shared" si="288"/>
        <v>8</v>
      </c>
      <c r="F2087" s="74" t="s">
        <v>313</v>
      </c>
      <c r="G2087" s="77">
        <f t="shared" si="295"/>
        <v>46820</v>
      </c>
      <c r="H2087" s="77"/>
      <c r="I2087" s="76">
        <v>0</v>
      </c>
    </row>
    <row r="2088" spans="3:9" x14ac:dyDescent="0.35">
      <c r="C2088" t="s">
        <v>312</v>
      </c>
      <c r="D2088" s="3">
        <v>2020</v>
      </c>
      <c r="E2088" s="73">
        <v>9</v>
      </c>
      <c r="F2088" s="74" t="s">
        <v>54</v>
      </c>
      <c r="G2088" s="77">
        <v>0</v>
      </c>
      <c r="H2088" s="75">
        <f>H2077</f>
        <v>44120</v>
      </c>
      <c r="I2088" s="76">
        <v>1</v>
      </c>
    </row>
    <row r="2089" spans="3:9" x14ac:dyDescent="0.35">
      <c r="C2089" t="s">
        <v>312</v>
      </c>
      <c r="D2089" s="3">
        <v>2020</v>
      </c>
      <c r="E2089" s="78">
        <f>E2088</f>
        <v>9</v>
      </c>
      <c r="F2089" s="74" t="s">
        <v>54</v>
      </c>
      <c r="G2089" s="77">
        <f>H2088</f>
        <v>44120</v>
      </c>
      <c r="H2089" s="77">
        <f>H2088+300</f>
        <v>44420</v>
      </c>
      <c r="I2089" s="76">
        <v>0.9</v>
      </c>
    </row>
    <row r="2090" spans="3:9" x14ac:dyDescent="0.35">
      <c r="C2090" t="s">
        <v>312</v>
      </c>
      <c r="D2090" s="3">
        <v>2020</v>
      </c>
      <c r="E2090" s="78">
        <f t="shared" ref="E2090:E2131" si="297">E2089</f>
        <v>9</v>
      </c>
      <c r="F2090" s="74" t="s">
        <v>54</v>
      </c>
      <c r="G2090" s="77">
        <f t="shared" ref="G2090:G2098" si="298">H2089</f>
        <v>44420</v>
      </c>
      <c r="H2090" s="77">
        <f t="shared" ref="H2090:H2097" si="299">H2089+300</f>
        <v>44720</v>
      </c>
      <c r="I2090" s="76">
        <v>0.8</v>
      </c>
    </row>
    <row r="2091" spans="3:9" x14ac:dyDescent="0.35">
      <c r="C2091" t="s">
        <v>312</v>
      </c>
      <c r="D2091" s="3">
        <v>2020</v>
      </c>
      <c r="E2091" s="78">
        <f t="shared" si="297"/>
        <v>9</v>
      </c>
      <c r="F2091" s="74" t="s">
        <v>54</v>
      </c>
      <c r="G2091" s="77">
        <f t="shared" si="298"/>
        <v>44720</v>
      </c>
      <c r="H2091" s="77">
        <f t="shared" si="299"/>
        <v>45020</v>
      </c>
      <c r="I2091" s="76">
        <v>0.7</v>
      </c>
    </row>
    <row r="2092" spans="3:9" x14ac:dyDescent="0.35">
      <c r="C2092" t="s">
        <v>312</v>
      </c>
      <c r="D2092" s="3">
        <v>2020</v>
      </c>
      <c r="E2092" s="78">
        <f t="shared" si="297"/>
        <v>9</v>
      </c>
      <c r="F2092" s="74" t="s">
        <v>54</v>
      </c>
      <c r="G2092" s="77">
        <f t="shared" si="298"/>
        <v>45020</v>
      </c>
      <c r="H2092" s="77">
        <f t="shared" si="299"/>
        <v>45320</v>
      </c>
      <c r="I2092" s="76">
        <v>0.6</v>
      </c>
    </row>
    <row r="2093" spans="3:9" x14ac:dyDescent="0.35">
      <c r="C2093" t="s">
        <v>312</v>
      </c>
      <c r="D2093" s="3">
        <v>2020</v>
      </c>
      <c r="E2093" s="78">
        <f t="shared" si="297"/>
        <v>9</v>
      </c>
      <c r="F2093" s="74" t="s">
        <v>54</v>
      </c>
      <c r="G2093" s="77">
        <f t="shared" si="298"/>
        <v>45320</v>
      </c>
      <c r="H2093" s="77">
        <f t="shared" si="299"/>
        <v>45620</v>
      </c>
      <c r="I2093" s="76">
        <v>0.5</v>
      </c>
    </row>
    <row r="2094" spans="3:9" x14ac:dyDescent="0.35">
      <c r="C2094" t="s">
        <v>312</v>
      </c>
      <c r="D2094" s="3">
        <v>2020</v>
      </c>
      <c r="E2094" s="78">
        <f t="shared" si="297"/>
        <v>9</v>
      </c>
      <c r="F2094" s="74" t="s">
        <v>54</v>
      </c>
      <c r="G2094" s="77">
        <f t="shared" si="298"/>
        <v>45620</v>
      </c>
      <c r="H2094" s="77">
        <f t="shared" si="299"/>
        <v>45920</v>
      </c>
      <c r="I2094" s="76">
        <v>0.4</v>
      </c>
    </row>
    <row r="2095" spans="3:9" x14ac:dyDescent="0.35">
      <c r="C2095" t="s">
        <v>312</v>
      </c>
      <c r="D2095" s="3">
        <v>2020</v>
      </c>
      <c r="E2095" s="78">
        <f t="shared" si="297"/>
        <v>9</v>
      </c>
      <c r="F2095" s="74" t="s">
        <v>54</v>
      </c>
      <c r="G2095" s="77">
        <f t="shared" si="298"/>
        <v>45920</v>
      </c>
      <c r="H2095" s="77">
        <f t="shared" si="299"/>
        <v>46220</v>
      </c>
      <c r="I2095" s="76">
        <v>0.3</v>
      </c>
    </row>
    <row r="2096" spans="3:9" x14ac:dyDescent="0.35">
      <c r="C2096" t="s">
        <v>312</v>
      </c>
      <c r="D2096" s="3">
        <v>2020</v>
      </c>
      <c r="E2096" s="78">
        <f t="shared" si="297"/>
        <v>9</v>
      </c>
      <c r="F2096" s="74" t="s">
        <v>54</v>
      </c>
      <c r="G2096" s="77">
        <f t="shared" si="298"/>
        <v>46220</v>
      </c>
      <c r="H2096" s="77">
        <f t="shared" si="299"/>
        <v>46520</v>
      </c>
      <c r="I2096" s="76">
        <v>0.2</v>
      </c>
    </row>
    <row r="2097" spans="3:9" x14ac:dyDescent="0.35">
      <c r="C2097" t="s">
        <v>312</v>
      </c>
      <c r="D2097" s="3">
        <v>2020</v>
      </c>
      <c r="E2097" s="78">
        <f t="shared" si="297"/>
        <v>9</v>
      </c>
      <c r="F2097" s="74" t="s">
        <v>54</v>
      </c>
      <c r="G2097" s="77">
        <f t="shared" si="298"/>
        <v>46520</v>
      </c>
      <c r="H2097" s="77">
        <f t="shared" si="299"/>
        <v>46820</v>
      </c>
      <c r="I2097" s="76">
        <v>0.1</v>
      </c>
    </row>
    <row r="2098" spans="3:9" x14ac:dyDescent="0.35">
      <c r="C2098" t="s">
        <v>312</v>
      </c>
      <c r="D2098" s="3">
        <v>2020</v>
      </c>
      <c r="E2098" s="78">
        <f t="shared" si="297"/>
        <v>9</v>
      </c>
      <c r="F2098" s="74" t="s">
        <v>54</v>
      </c>
      <c r="G2098" s="77">
        <f t="shared" si="298"/>
        <v>46820</v>
      </c>
      <c r="H2098" s="77"/>
      <c r="I2098" s="76">
        <v>0</v>
      </c>
    </row>
    <row r="2099" spans="3:9" x14ac:dyDescent="0.35">
      <c r="C2099" t="s">
        <v>312</v>
      </c>
      <c r="D2099" s="3">
        <v>2020</v>
      </c>
      <c r="E2099" s="78">
        <f t="shared" si="297"/>
        <v>9</v>
      </c>
      <c r="F2099" s="74" t="s">
        <v>34</v>
      </c>
      <c r="G2099" s="77">
        <v>0</v>
      </c>
      <c r="H2099" s="75">
        <f>H2088</f>
        <v>44120</v>
      </c>
      <c r="I2099" s="76">
        <v>1</v>
      </c>
    </row>
    <row r="2100" spans="3:9" x14ac:dyDescent="0.35">
      <c r="C2100" t="s">
        <v>312</v>
      </c>
      <c r="D2100" s="3">
        <v>2020</v>
      </c>
      <c r="E2100" s="78">
        <f t="shared" si="297"/>
        <v>9</v>
      </c>
      <c r="F2100" s="74" t="s">
        <v>34</v>
      </c>
      <c r="G2100" s="77">
        <f>H2099</f>
        <v>44120</v>
      </c>
      <c r="H2100" s="77">
        <f>H2099+300</f>
        <v>44420</v>
      </c>
      <c r="I2100" s="76">
        <v>0.9</v>
      </c>
    </row>
    <row r="2101" spans="3:9" x14ac:dyDescent="0.35">
      <c r="C2101" t="s">
        <v>312</v>
      </c>
      <c r="D2101" s="3">
        <v>2020</v>
      </c>
      <c r="E2101" s="78">
        <f t="shared" si="297"/>
        <v>9</v>
      </c>
      <c r="F2101" s="74" t="s">
        <v>34</v>
      </c>
      <c r="G2101" s="77">
        <f t="shared" ref="G2101:G2109" si="300">H2100</f>
        <v>44420</v>
      </c>
      <c r="H2101" s="77">
        <f t="shared" ref="H2101:H2108" si="301">H2100+300</f>
        <v>44720</v>
      </c>
      <c r="I2101" s="76">
        <v>0.8</v>
      </c>
    </row>
    <row r="2102" spans="3:9" x14ac:dyDescent="0.35">
      <c r="C2102" t="s">
        <v>312</v>
      </c>
      <c r="D2102" s="3">
        <v>2020</v>
      </c>
      <c r="E2102" s="78">
        <f t="shared" si="297"/>
        <v>9</v>
      </c>
      <c r="F2102" s="74" t="s">
        <v>34</v>
      </c>
      <c r="G2102" s="77">
        <f t="shared" si="300"/>
        <v>44720</v>
      </c>
      <c r="H2102" s="77">
        <f t="shared" si="301"/>
        <v>45020</v>
      </c>
      <c r="I2102" s="76">
        <v>0.7</v>
      </c>
    </row>
    <row r="2103" spans="3:9" x14ac:dyDescent="0.35">
      <c r="C2103" t="s">
        <v>312</v>
      </c>
      <c r="D2103" s="3">
        <v>2020</v>
      </c>
      <c r="E2103" s="78">
        <f t="shared" si="297"/>
        <v>9</v>
      </c>
      <c r="F2103" s="74" t="s">
        <v>34</v>
      </c>
      <c r="G2103" s="77">
        <f t="shared" si="300"/>
        <v>45020</v>
      </c>
      <c r="H2103" s="77">
        <f t="shared" si="301"/>
        <v>45320</v>
      </c>
      <c r="I2103" s="76">
        <v>0.6</v>
      </c>
    </row>
    <row r="2104" spans="3:9" x14ac:dyDescent="0.35">
      <c r="C2104" t="s">
        <v>312</v>
      </c>
      <c r="D2104" s="3">
        <v>2020</v>
      </c>
      <c r="E2104" s="78">
        <f t="shared" si="297"/>
        <v>9</v>
      </c>
      <c r="F2104" s="74" t="s">
        <v>34</v>
      </c>
      <c r="G2104" s="77">
        <f t="shared" si="300"/>
        <v>45320</v>
      </c>
      <c r="H2104" s="77">
        <f t="shared" si="301"/>
        <v>45620</v>
      </c>
      <c r="I2104" s="76">
        <v>0.5</v>
      </c>
    </row>
    <row r="2105" spans="3:9" x14ac:dyDescent="0.35">
      <c r="C2105" t="s">
        <v>312</v>
      </c>
      <c r="D2105" s="3">
        <v>2020</v>
      </c>
      <c r="E2105" s="78">
        <f t="shared" si="297"/>
        <v>9</v>
      </c>
      <c r="F2105" s="74" t="s">
        <v>34</v>
      </c>
      <c r="G2105" s="77">
        <f t="shared" si="300"/>
        <v>45620</v>
      </c>
      <c r="H2105" s="77">
        <f t="shared" si="301"/>
        <v>45920</v>
      </c>
      <c r="I2105" s="76">
        <v>0.4</v>
      </c>
    </row>
    <row r="2106" spans="3:9" x14ac:dyDescent="0.35">
      <c r="C2106" t="s">
        <v>312</v>
      </c>
      <c r="D2106" s="3">
        <v>2020</v>
      </c>
      <c r="E2106" s="78">
        <f t="shared" si="297"/>
        <v>9</v>
      </c>
      <c r="F2106" s="74" t="s">
        <v>34</v>
      </c>
      <c r="G2106" s="77">
        <f t="shared" si="300"/>
        <v>45920</v>
      </c>
      <c r="H2106" s="77">
        <f t="shared" si="301"/>
        <v>46220</v>
      </c>
      <c r="I2106" s="76">
        <v>0.3</v>
      </c>
    </row>
    <row r="2107" spans="3:9" x14ac:dyDescent="0.35">
      <c r="C2107" t="s">
        <v>312</v>
      </c>
      <c r="D2107" s="3">
        <v>2020</v>
      </c>
      <c r="E2107" s="78">
        <f t="shared" si="297"/>
        <v>9</v>
      </c>
      <c r="F2107" s="74" t="s">
        <v>34</v>
      </c>
      <c r="G2107" s="77">
        <f t="shared" si="300"/>
        <v>46220</v>
      </c>
      <c r="H2107" s="77">
        <f t="shared" si="301"/>
        <v>46520</v>
      </c>
      <c r="I2107" s="76">
        <v>0.2</v>
      </c>
    </row>
    <row r="2108" spans="3:9" x14ac:dyDescent="0.35">
      <c r="C2108" t="s">
        <v>312</v>
      </c>
      <c r="D2108" s="3">
        <v>2020</v>
      </c>
      <c r="E2108" s="78">
        <f t="shared" si="297"/>
        <v>9</v>
      </c>
      <c r="F2108" s="74" t="s">
        <v>34</v>
      </c>
      <c r="G2108" s="77">
        <f t="shared" si="300"/>
        <v>46520</v>
      </c>
      <c r="H2108" s="77">
        <f t="shared" si="301"/>
        <v>46820</v>
      </c>
      <c r="I2108" s="76">
        <v>0.1</v>
      </c>
    </row>
    <row r="2109" spans="3:9" x14ac:dyDescent="0.35">
      <c r="C2109" t="s">
        <v>312</v>
      </c>
      <c r="D2109" s="3">
        <v>2020</v>
      </c>
      <c r="E2109" s="78">
        <f t="shared" si="297"/>
        <v>9</v>
      </c>
      <c r="F2109" s="74" t="s">
        <v>34</v>
      </c>
      <c r="G2109" s="77">
        <f t="shared" si="300"/>
        <v>46820</v>
      </c>
      <c r="H2109" s="77"/>
      <c r="I2109" s="76">
        <v>0</v>
      </c>
    </row>
    <row r="2110" spans="3:9" x14ac:dyDescent="0.35">
      <c r="C2110" t="s">
        <v>312</v>
      </c>
      <c r="D2110" s="3">
        <v>2020</v>
      </c>
      <c r="E2110" s="78">
        <f t="shared" si="297"/>
        <v>9</v>
      </c>
      <c r="F2110" s="74" t="s">
        <v>40</v>
      </c>
      <c r="G2110" s="77">
        <v>0</v>
      </c>
      <c r="H2110" s="75">
        <f>H2099</f>
        <v>44120</v>
      </c>
      <c r="I2110" s="76">
        <v>1</v>
      </c>
    </row>
    <row r="2111" spans="3:9" x14ac:dyDescent="0.35">
      <c r="C2111" t="s">
        <v>312</v>
      </c>
      <c r="D2111" s="3">
        <v>2020</v>
      </c>
      <c r="E2111" s="78">
        <f t="shared" si="297"/>
        <v>9</v>
      </c>
      <c r="F2111" s="74" t="s">
        <v>40</v>
      </c>
      <c r="G2111" s="77">
        <f>H2110</f>
        <v>44120</v>
      </c>
      <c r="H2111" s="77">
        <f>H2110+300</f>
        <v>44420</v>
      </c>
      <c r="I2111" s="76">
        <v>0.9</v>
      </c>
    </row>
    <row r="2112" spans="3:9" x14ac:dyDescent="0.35">
      <c r="C2112" t="s">
        <v>312</v>
      </c>
      <c r="D2112" s="3">
        <v>2020</v>
      </c>
      <c r="E2112" s="78">
        <f t="shared" si="297"/>
        <v>9</v>
      </c>
      <c r="F2112" s="74" t="s">
        <v>40</v>
      </c>
      <c r="G2112" s="77">
        <f t="shared" ref="G2112:G2120" si="302">H2111</f>
        <v>44420</v>
      </c>
      <c r="H2112" s="77">
        <f t="shared" ref="H2112:H2119" si="303">H2111+300</f>
        <v>44720</v>
      </c>
      <c r="I2112" s="76">
        <v>0.8</v>
      </c>
    </row>
    <row r="2113" spans="3:9" x14ac:dyDescent="0.35">
      <c r="C2113" t="s">
        <v>312</v>
      </c>
      <c r="D2113" s="3">
        <v>2020</v>
      </c>
      <c r="E2113" s="78">
        <f t="shared" si="297"/>
        <v>9</v>
      </c>
      <c r="F2113" s="74" t="s">
        <v>40</v>
      </c>
      <c r="G2113" s="77">
        <f t="shared" si="302"/>
        <v>44720</v>
      </c>
      <c r="H2113" s="77">
        <f t="shared" si="303"/>
        <v>45020</v>
      </c>
      <c r="I2113" s="76">
        <v>0.7</v>
      </c>
    </row>
    <row r="2114" spans="3:9" x14ac:dyDescent="0.35">
      <c r="C2114" t="s">
        <v>312</v>
      </c>
      <c r="D2114" s="3">
        <v>2020</v>
      </c>
      <c r="E2114" s="78">
        <f t="shared" si="297"/>
        <v>9</v>
      </c>
      <c r="F2114" s="74" t="s">
        <v>40</v>
      </c>
      <c r="G2114" s="77">
        <f t="shared" si="302"/>
        <v>45020</v>
      </c>
      <c r="H2114" s="77">
        <f t="shared" si="303"/>
        <v>45320</v>
      </c>
      <c r="I2114" s="76">
        <v>0.6</v>
      </c>
    </row>
    <row r="2115" spans="3:9" x14ac:dyDescent="0.35">
      <c r="C2115" t="s">
        <v>312</v>
      </c>
      <c r="D2115" s="3">
        <v>2020</v>
      </c>
      <c r="E2115" s="78">
        <f t="shared" si="297"/>
        <v>9</v>
      </c>
      <c r="F2115" s="74" t="s">
        <v>40</v>
      </c>
      <c r="G2115" s="77">
        <f t="shared" si="302"/>
        <v>45320</v>
      </c>
      <c r="H2115" s="77">
        <f t="shared" si="303"/>
        <v>45620</v>
      </c>
      <c r="I2115" s="76">
        <v>0.5</v>
      </c>
    </row>
    <row r="2116" spans="3:9" x14ac:dyDescent="0.35">
      <c r="C2116" t="s">
        <v>312</v>
      </c>
      <c r="D2116" s="3">
        <v>2020</v>
      </c>
      <c r="E2116" s="78">
        <f t="shared" si="297"/>
        <v>9</v>
      </c>
      <c r="F2116" s="74" t="s">
        <v>40</v>
      </c>
      <c r="G2116" s="77">
        <f t="shared" si="302"/>
        <v>45620</v>
      </c>
      <c r="H2116" s="77">
        <f t="shared" si="303"/>
        <v>45920</v>
      </c>
      <c r="I2116" s="76">
        <v>0.4</v>
      </c>
    </row>
    <row r="2117" spans="3:9" x14ac:dyDescent="0.35">
      <c r="C2117" t="s">
        <v>312</v>
      </c>
      <c r="D2117" s="3">
        <v>2020</v>
      </c>
      <c r="E2117" s="78">
        <f t="shared" si="297"/>
        <v>9</v>
      </c>
      <c r="F2117" s="74" t="s">
        <v>40</v>
      </c>
      <c r="G2117" s="77">
        <f t="shared" si="302"/>
        <v>45920</v>
      </c>
      <c r="H2117" s="77">
        <f t="shared" si="303"/>
        <v>46220</v>
      </c>
      <c r="I2117" s="76">
        <v>0.3</v>
      </c>
    </row>
    <row r="2118" spans="3:9" x14ac:dyDescent="0.35">
      <c r="C2118" t="s">
        <v>312</v>
      </c>
      <c r="D2118" s="3">
        <v>2020</v>
      </c>
      <c r="E2118" s="78">
        <f t="shared" si="297"/>
        <v>9</v>
      </c>
      <c r="F2118" s="74" t="s">
        <v>40</v>
      </c>
      <c r="G2118" s="77">
        <f t="shared" si="302"/>
        <v>46220</v>
      </c>
      <c r="H2118" s="77">
        <f t="shared" si="303"/>
        <v>46520</v>
      </c>
      <c r="I2118" s="76">
        <v>0.2</v>
      </c>
    </row>
    <row r="2119" spans="3:9" x14ac:dyDescent="0.35">
      <c r="C2119" t="s">
        <v>312</v>
      </c>
      <c r="D2119" s="3">
        <v>2020</v>
      </c>
      <c r="E2119" s="78">
        <f t="shared" si="297"/>
        <v>9</v>
      </c>
      <c r="F2119" s="74" t="s">
        <v>40</v>
      </c>
      <c r="G2119" s="77">
        <f t="shared" si="302"/>
        <v>46520</v>
      </c>
      <c r="H2119" s="77">
        <f t="shared" si="303"/>
        <v>46820</v>
      </c>
      <c r="I2119" s="76">
        <v>0.1</v>
      </c>
    </row>
    <row r="2120" spans="3:9" x14ac:dyDescent="0.35">
      <c r="C2120" t="s">
        <v>312</v>
      </c>
      <c r="D2120" s="3">
        <v>2020</v>
      </c>
      <c r="E2120" s="78">
        <f t="shared" si="297"/>
        <v>9</v>
      </c>
      <c r="F2120" s="74" t="s">
        <v>40</v>
      </c>
      <c r="G2120" s="77">
        <f t="shared" si="302"/>
        <v>46820</v>
      </c>
      <c r="H2120" s="77"/>
      <c r="I2120" s="76">
        <v>0</v>
      </c>
    </row>
    <row r="2121" spans="3:9" x14ac:dyDescent="0.35">
      <c r="C2121" t="s">
        <v>312</v>
      </c>
      <c r="D2121" s="3">
        <v>2020</v>
      </c>
      <c r="E2121" s="78">
        <f t="shared" si="297"/>
        <v>9</v>
      </c>
      <c r="F2121" s="74" t="s">
        <v>313</v>
      </c>
      <c r="G2121" s="77">
        <v>0</v>
      </c>
      <c r="H2121" s="75">
        <f>H2110</f>
        <v>44120</v>
      </c>
      <c r="I2121" s="76">
        <v>1</v>
      </c>
    </row>
    <row r="2122" spans="3:9" x14ac:dyDescent="0.35">
      <c r="C2122" t="s">
        <v>312</v>
      </c>
      <c r="D2122" s="3">
        <v>2020</v>
      </c>
      <c r="E2122" s="78">
        <f t="shared" si="297"/>
        <v>9</v>
      </c>
      <c r="F2122" s="74" t="s">
        <v>313</v>
      </c>
      <c r="G2122" s="77">
        <f>H2121</f>
        <v>44120</v>
      </c>
      <c r="H2122" s="77">
        <f>H2121+300</f>
        <v>44420</v>
      </c>
      <c r="I2122" s="76">
        <v>0.9</v>
      </c>
    </row>
    <row r="2123" spans="3:9" x14ac:dyDescent="0.35">
      <c r="C2123" t="s">
        <v>312</v>
      </c>
      <c r="D2123" s="3">
        <v>2020</v>
      </c>
      <c r="E2123" s="78">
        <f t="shared" si="297"/>
        <v>9</v>
      </c>
      <c r="F2123" s="74" t="s">
        <v>313</v>
      </c>
      <c r="G2123" s="77">
        <f t="shared" ref="G2123:G2131" si="304">H2122</f>
        <v>44420</v>
      </c>
      <c r="H2123" s="77">
        <f t="shared" ref="H2123:H2130" si="305">H2122+300</f>
        <v>44720</v>
      </c>
      <c r="I2123" s="76">
        <v>0.8</v>
      </c>
    </row>
    <row r="2124" spans="3:9" x14ac:dyDescent="0.35">
      <c r="C2124" t="s">
        <v>312</v>
      </c>
      <c r="D2124" s="3">
        <v>2020</v>
      </c>
      <c r="E2124" s="78">
        <f t="shared" si="297"/>
        <v>9</v>
      </c>
      <c r="F2124" s="74" t="s">
        <v>313</v>
      </c>
      <c r="G2124" s="77">
        <f t="shared" si="304"/>
        <v>44720</v>
      </c>
      <c r="H2124" s="77">
        <f t="shared" si="305"/>
        <v>45020</v>
      </c>
      <c r="I2124" s="76">
        <v>0.7</v>
      </c>
    </row>
    <row r="2125" spans="3:9" x14ac:dyDescent="0.35">
      <c r="C2125" t="s">
        <v>312</v>
      </c>
      <c r="D2125" s="3">
        <v>2020</v>
      </c>
      <c r="E2125" s="78">
        <f t="shared" si="297"/>
        <v>9</v>
      </c>
      <c r="F2125" s="74" t="s">
        <v>313</v>
      </c>
      <c r="G2125" s="77">
        <f t="shared" si="304"/>
        <v>45020</v>
      </c>
      <c r="H2125" s="77">
        <f t="shared" si="305"/>
        <v>45320</v>
      </c>
      <c r="I2125" s="76">
        <v>0.6</v>
      </c>
    </row>
    <row r="2126" spans="3:9" x14ac:dyDescent="0.35">
      <c r="C2126" t="s">
        <v>312</v>
      </c>
      <c r="D2126" s="3">
        <v>2020</v>
      </c>
      <c r="E2126" s="78">
        <f t="shared" si="297"/>
        <v>9</v>
      </c>
      <c r="F2126" s="74" t="s">
        <v>313</v>
      </c>
      <c r="G2126" s="77">
        <f t="shared" si="304"/>
        <v>45320</v>
      </c>
      <c r="H2126" s="77">
        <f t="shared" si="305"/>
        <v>45620</v>
      </c>
      <c r="I2126" s="76">
        <v>0.5</v>
      </c>
    </row>
    <row r="2127" spans="3:9" x14ac:dyDescent="0.35">
      <c r="C2127" t="s">
        <v>312</v>
      </c>
      <c r="D2127" s="3">
        <v>2020</v>
      </c>
      <c r="E2127" s="78">
        <f t="shared" si="297"/>
        <v>9</v>
      </c>
      <c r="F2127" s="74" t="s">
        <v>313</v>
      </c>
      <c r="G2127" s="77">
        <f t="shared" si="304"/>
        <v>45620</v>
      </c>
      <c r="H2127" s="77">
        <f t="shared" si="305"/>
        <v>45920</v>
      </c>
      <c r="I2127" s="76">
        <v>0.4</v>
      </c>
    </row>
    <row r="2128" spans="3:9" x14ac:dyDescent="0.35">
      <c r="C2128" t="s">
        <v>312</v>
      </c>
      <c r="D2128" s="3">
        <v>2020</v>
      </c>
      <c r="E2128" s="78">
        <f t="shared" si="297"/>
        <v>9</v>
      </c>
      <c r="F2128" s="74" t="s">
        <v>313</v>
      </c>
      <c r="G2128" s="77">
        <f t="shared" si="304"/>
        <v>45920</v>
      </c>
      <c r="H2128" s="77">
        <f t="shared" si="305"/>
        <v>46220</v>
      </c>
      <c r="I2128" s="76">
        <v>0.3</v>
      </c>
    </row>
    <row r="2129" spans="3:9" x14ac:dyDescent="0.35">
      <c r="C2129" t="s">
        <v>312</v>
      </c>
      <c r="D2129" s="3">
        <v>2020</v>
      </c>
      <c r="E2129" s="78">
        <f t="shared" si="297"/>
        <v>9</v>
      </c>
      <c r="F2129" s="74" t="s">
        <v>313</v>
      </c>
      <c r="G2129" s="77">
        <f t="shared" si="304"/>
        <v>46220</v>
      </c>
      <c r="H2129" s="77">
        <f t="shared" si="305"/>
        <v>46520</v>
      </c>
      <c r="I2129" s="76">
        <v>0.2</v>
      </c>
    </row>
    <row r="2130" spans="3:9" x14ac:dyDescent="0.35">
      <c r="C2130" t="s">
        <v>312</v>
      </c>
      <c r="D2130" s="3">
        <v>2020</v>
      </c>
      <c r="E2130" s="78">
        <f t="shared" si="297"/>
        <v>9</v>
      </c>
      <c r="F2130" s="74" t="s">
        <v>313</v>
      </c>
      <c r="G2130" s="77">
        <f t="shared" si="304"/>
        <v>46520</v>
      </c>
      <c r="H2130" s="77">
        <f t="shared" si="305"/>
        <v>46820</v>
      </c>
      <c r="I2130" s="76">
        <v>0.1</v>
      </c>
    </row>
    <row r="2131" spans="3:9" x14ac:dyDescent="0.35">
      <c r="C2131" t="s">
        <v>312</v>
      </c>
      <c r="D2131" s="3">
        <v>2020</v>
      </c>
      <c r="E2131" s="78">
        <f t="shared" si="297"/>
        <v>9</v>
      </c>
      <c r="F2131" s="74" t="s">
        <v>313</v>
      </c>
      <c r="G2131" s="77">
        <f t="shared" si="304"/>
        <v>46820</v>
      </c>
      <c r="H2131" s="77"/>
      <c r="I2131" s="76">
        <v>0</v>
      </c>
    </row>
    <row r="2132" spans="3:9" x14ac:dyDescent="0.35">
      <c r="C2132" t="s">
        <v>312</v>
      </c>
      <c r="D2132" s="3">
        <v>2020</v>
      </c>
      <c r="E2132" s="73">
        <v>10</v>
      </c>
      <c r="F2132" s="74" t="s">
        <v>54</v>
      </c>
      <c r="G2132" s="77">
        <v>0</v>
      </c>
      <c r="H2132" s="75">
        <f>H2121</f>
        <v>44120</v>
      </c>
      <c r="I2132" s="76">
        <v>1</v>
      </c>
    </row>
    <row r="2133" spans="3:9" x14ac:dyDescent="0.35">
      <c r="C2133" t="s">
        <v>312</v>
      </c>
      <c r="D2133" s="3">
        <v>2020</v>
      </c>
      <c r="E2133" s="78">
        <f>E2132</f>
        <v>10</v>
      </c>
      <c r="F2133" s="74" t="s">
        <v>54</v>
      </c>
      <c r="G2133" s="77">
        <f>H2132</f>
        <v>44120</v>
      </c>
      <c r="H2133" s="77">
        <f>H2132+300</f>
        <v>44420</v>
      </c>
      <c r="I2133" s="76">
        <v>0.9</v>
      </c>
    </row>
    <row r="2134" spans="3:9" x14ac:dyDescent="0.35">
      <c r="C2134" t="s">
        <v>312</v>
      </c>
      <c r="D2134" s="3">
        <v>2020</v>
      </c>
      <c r="E2134" s="78">
        <f t="shared" ref="E2134:E2175" si="306">E2133</f>
        <v>10</v>
      </c>
      <c r="F2134" s="74" t="s">
        <v>54</v>
      </c>
      <c r="G2134" s="77">
        <f t="shared" ref="G2134:G2142" si="307">H2133</f>
        <v>44420</v>
      </c>
      <c r="H2134" s="77">
        <f t="shared" ref="H2134:H2141" si="308">H2133+300</f>
        <v>44720</v>
      </c>
      <c r="I2134" s="76">
        <v>0.8</v>
      </c>
    </row>
    <row r="2135" spans="3:9" x14ac:dyDescent="0.35">
      <c r="C2135" t="s">
        <v>312</v>
      </c>
      <c r="D2135" s="3">
        <v>2020</v>
      </c>
      <c r="E2135" s="78">
        <f t="shared" si="306"/>
        <v>10</v>
      </c>
      <c r="F2135" s="74" t="s">
        <v>54</v>
      </c>
      <c r="G2135" s="77">
        <f t="shared" si="307"/>
        <v>44720</v>
      </c>
      <c r="H2135" s="77">
        <f t="shared" si="308"/>
        <v>45020</v>
      </c>
      <c r="I2135" s="76">
        <v>0.7</v>
      </c>
    </row>
    <row r="2136" spans="3:9" x14ac:dyDescent="0.35">
      <c r="C2136" t="s">
        <v>312</v>
      </c>
      <c r="D2136" s="3">
        <v>2020</v>
      </c>
      <c r="E2136" s="78">
        <f t="shared" si="306"/>
        <v>10</v>
      </c>
      <c r="F2136" s="74" t="s">
        <v>54</v>
      </c>
      <c r="G2136" s="77">
        <f t="shared" si="307"/>
        <v>45020</v>
      </c>
      <c r="H2136" s="77">
        <f t="shared" si="308"/>
        <v>45320</v>
      </c>
      <c r="I2136" s="76">
        <v>0.6</v>
      </c>
    </row>
    <row r="2137" spans="3:9" x14ac:dyDescent="0.35">
      <c r="C2137" t="s">
        <v>312</v>
      </c>
      <c r="D2137" s="3">
        <v>2020</v>
      </c>
      <c r="E2137" s="78">
        <f t="shared" si="306"/>
        <v>10</v>
      </c>
      <c r="F2137" s="74" t="s">
        <v>54</v>
      </c>
      <c r="G2137" s="77">
        <f t="shared" si="307"/>
        <v>45320</v>
      </c>
      <c r="H2137" s="77">
        <f t="shared" si="308"/>
        <v>45620</v>
      </c>
      <c r="I2137" s="76">
        <v>0.5</v>
      </c>
    </row>
    <row r="2138" spans="3:9" x14ac:dyDescent="0.35">
      <c r="C2138" t="s">
        <v>312</v>
      </c>
      <c r="D2138" s="3">
        <v>2020</v>
      </c>
      <c r="E2138" s="78">
        <f t="shared" si="306"/>
        <v>10</v>
      </c>
      <c r="F2138" s="74" t="s">
        <v>54</v>
      </c>
      <c r="G2138" s="77">
        <f t="shared" si="307"/>
        <v>45620</v>
      </c>
      <c r="H2138" s="77">
        <f t="shared" si="308"/>
        <v>45920</v>
      </c>
      <c r="I2138" s="76">
        <v>0.4</v>
      </c>
    </row>
    <row r="2139" spans="3:9" x14ac:dyDescent="0.35">
      <c r="C2139" t="s">
        <v>312</v>
      </c>
      <c r="D2139" s="3">
        <v>2020</v>
      </c>
      <c r="E2139" s="78">
        <f t="shared" si="306"/>
        <v>10</v>
      </c>
      <c r="F2139" s="74" t="s">
        <v>54</v>
      </c>
      <c r="G2139" s="77">
        <f t="shared" si="307"/>
        <v>45920</v>
      </c>
      <c r="H2139" s="77">
        <f t="shared" si="308"/>
        <v>46220</v>
      </c>
      <c r="I2139" s="76">
        <v>0.3</v>
      </c>
    </row>
    <row r="2140" spans="3:9" x14ac:dyDescent="0.35">
      <c r="C2140" t="s">
        <v>312</v>
      </c>
      <c r="D2140" s="3">
        <v>2020</v>
      </c>
      <c r="E2140" s="78">
        <f t="shared" si="306"/>
        <v>10</v>
      </c>
      <c r="F2140" s="74" t="s">
        <v>54</v>
      </c>
      <c r="G2140" s="77">
        <f t="shared" si="307"/>
        <v>46220</v>
      </c>
      <c r="H2140" s="77">
        <f t="shared" si="308"/>
        <v>46520</v>
      </c>
      <c r="I2140" s="76">
        <v>0.2</v>
      </c>
    </row>
    <row r="2141" spans="3:9" x14ac:dyDescent="0.35">
      <c r="C2141" t="s">
        <v>312</v>
      </c>
      <c r="D2141" s="3">
        <v>2020</v>
      </c>
      <c r="E2141" s="78">
        <f t="shared" si="306"/>
        <v>10</v>
      </c>
      <c r="F2141" s="74" t="s">
        <v>54</v>
      </c>
      <c r="G2141" s="77">
        <f t="shared" si="307"/>
        <v>46520</v>
      </c>
      <c r="H2141" s="77">
        <f t="shared" si="308"/>
        <v>46820</v>
      </c>
      <c r="I2141" s="76">
        <v>0.1</v>
      </c>
    </row>
    <row r="2142" spans="3:9" x14ac:dyDescent="0.35">
      <c r="C2142" t="s">
        <v>312</v>
      </c>
      <c r="D2142" s="3">
        <v>2020</v>
      </c>
      <c r="E2142" s="78">
        <f t="shared" si="306"/>
        <v>10</v>
      </c>
      <c r="F2142" s="74" t="s">
        <v>54</v>
      </c>
      <c r="G2142" s="77">
        <f t="shared" si="307"/>
        <v>46820</v>
      </c>
      <c r="H2142" s="77"/>
      <c r="I2142" s="76">
        <v>0</v>
      </c>
    </row>
    <row r="2143" spans="3:9" x14ac:dyDescent="0.35">
      <c r="C2143" t="s">
        <v>312</v>
      </c>
      <c r="D2143" s="3">
        <v>2020</v>
      </c>
      <c r="E2143" s="78">
        <f t="shared" si="306"/>
        <v>10</v>
      </c>
      <c r="F2143" s="74" t="s">
        <v>34</v>
      </c>
      <c r="G2143" s="77">
        <v>0</v>
      </c>
      <c r="H2143" s="75">
        <f>H2132</f>
        <v>44120</v>
      </c>
      <c r="I2143" s="76">
        <v>1</v>
      </c>
    </row>
    <row r="2144" spans="3:9" x14ac:dyDescent="0.35">
      <c r="C2144" t="s">
        <v>312</v>
      </c>
      <c r="D2144" s="3">
        <v>2020</v>
      </c>
      <c r="E2144" s="78">
        <f t="shared" si="306"/>
        <v>10</v>
      </c>
      <c r="F2144" s="74" t="s">
        <v>34</v>
      </c>
      <c r="G2144" s="77">
        <f>H2143</f>
        <v>44120</v>
      </c>
      <c r="H2144" s="77">
        <f>H2143+300</f>
        <v>44420</v>
      </c>
      <c r="I2144" s="76">
        <v>0.9</v>
      </c>
    </row>
    <row r="2145" spans="3:9" x14ac:dyDescent="0.35">
      <c r="C2145" t="s">
        <v>312</v>
      </c>
      <c r="D2145" s="3">
        <v>2020</v>
      </c>
      <c r="E2145" s="78">
        <f t="shared" si="306"/>
        <v>10</v>
      </c>
      <c r="F2145" s="74" t="s">
        <v>34</v>
      </c>
      <c r="G2145" s="77">
        <f t="shared" ref="G2145:G2153" si="309">H2144</f>
        <v>44420</v>
      </c>
      <c r="H2145" s="77">
        <f t="shared" ref="H2145:H2152" si="310">H2144+300</f>
        <v>44720</v>
      </c>
      <c r="I2145" s="76">
        <v>0.8</v>
      </c>
    </row>
    <row r="2146" spans="3:9" x14ac:dyDescent="0.35">
      <c r="C2146" t="s">
        <v>312</v>
      </c>
      <c r="D2146" s="3">
        <v>2020</v>
      </c>
      <c r="E2146" s="78">
        <f t="shared" si="306"/>
        <v>10</v>
      </c>
      <c r="F2146" s="74" t="s">
        <v>34</v>
      </c>
      <c r="G2146" s="77">
        <f t="shared" si="309"/>
        <v>44720</v>
      </c>
      <c r="H2146" s="77">
        <f t="shared" si="310"/>
        <v>45020</v>
      </c>
      <c r="I2146" s="76">
        <v>0.7</v>
      </c>
    </row>
    <row r="2147" spans="3:9" x14ac:dyDescent="0.35">
      <c r="C2147" t="s">
        <v>312</v>
      </c>
      <c r="D2147" s="3">
        <v>2020</v>
      </c>
      <c r="E2147" s="78">
        <f t="shared" si="306"/>
        <v>10</v>
      </c>
      <c r="F2147" s="74" t="s">
        <v>34</v>
      </c>
      <c r="G2147" s="77">
        <f t="shared" si="309"/>
        <v>45020</v>
      </c>
      <c r="H2147" s="77">
        <f t="shared" si="310"/>
        <v>45320</v>
      </c>
      <c r="I2147" s="76">
        <v>0.6</v>
      </c>
    </row>
    <row r="2148" spans="3:9" x14ac:dyDescent="0.35">
      <c r="C2148" t="s">
        <v>312</v>
      </c>
      <c r="D2148" s="3">
        <v>2020</v>
      </c>
      <c r="E2148" s="78">
        <f t="shared" si="306"/>
        <v>10</v>
      </c>
      <c r="F2148" s="74" t="s">
        <v>34</v>
      </c>
      <c r="G2148" s="77">
        <f t="shared" si="309"/>
        <v>45320</v>
      </c>
      <c r="H2148" s="77">
        <f t="shared" si="310"/>
        <v>45620</v>
      </c>
      <c r="I2148" s="76">
        <v>0.5</v>
      </c>
    </row>
    <row r="2149" spans="3:9" x14ac:dyDescent="0.35">
      <c r="C2149" t="s">
        <v>312</v>
      </c>
      <c r="D2149" s="3">
        <v>2020</v>
      </c>
      <c r="E2149" s="78">
        <f t="shared" si="306"/>
        <v>10</v>
      </c>
      <c r="F2149" s="74" t="s">
        <v>34</v>
      </c>
      <c r="G2149" s="77">
        <f t="shared" si="309"/>
        <v>45620</v>
      </c>
      <c r="H2149" s="77">
        <f t="shared" si="310"/>
        <v>45920</v>
      </c>
      <c r="I2149" s="76">
        <v>0.4</v>
      </c>
    </row>
    <row r="2150" spans="3:9" x14ac:dyDescent="0.35">
      <c r="C2150" t="s">
        <v>312</v>
      </c>
      <c r="D2150" s="3">
        <v>2020</v>
      </c>
      <c r="E2150" s="78">
        <f t="shared" si="306"/>
        <v>10</v>
      </c>
      <c r="F2150" s="74" t="s">
        <v>34</v>
      </c>
      <c r="G2150" s="77">
        <f t="shared" si="309"/>
        <v>45920</v>
      </c>
      <c r="H2150" s="77">
        <f t="shared" si="310"/>
        <v>46220</v>
      </c>
      <c r="I2150" s="76">
        <v>0.3</v>
      </c>
    </row>
    <row r="2151" spans="3:9" x14ac:dyDescent="0.35">
      <c r="C2151" t="s">
        <v>312</v>
      </c>
      <c r="D2151" s="3">
        <v>2020</v>
      </c>
      <c r="E2151" s="78">
        <f t="shared" si="306"/>
        <v>10</v>
      </c>
      <c r="F2151" s="74" t="s">
        <v>34</v>
      </c>
      <c r="G2151" s="77">
        <f t="shared" si="309"/>
        <v>46220</v>
      </c>
      <c r="H2151" s="77">
        <f t="shared" si="310"/>
        <v>46520</v>
      </c>
      <c r="I2151" s="76">
        <v>0.2</v>
      </c>
    </row>
    <row r="2152" spans="3:9" x14ac:dyDescent="0.35">
      <c r="C2152" t="s">
        <v>312</v>
      </c>
      <c r="D2152" s="3">
        <v>2020</v>
      </c>
      <c r="E2152" s="78">
        <f t="shared" si="306"/>
        <v>10</v>
      </c>
      <c r="F2152" s="74" t="s">
        <v>34</v>
      </c>
      <c r="G2152" s="77">
        <f t="shared" si="309"/>
        <v>46520</v>
      </c>
      <c r="H2152" s="77">
        <f t="shared" si="310"/>
        <v>46820</v>
      </c>
      <c r="I2152" s="76">
        <v>0.1</v>
      </c>
    </row>
    <row r="2153" spans="3:9" x14ac:dyDescent="0.35">
      <c r="C2153" t="s">
        <v>312</v>
      </c>
      <c r="D2153" s="3">
        <v>2020</v>
      </c>
      <c r="E2153" s="78">
        <f t="shared" si="306"/>
        <v>10</v>
      </c>
      <c r="F2153" s="74" t="s">
        <v>34</v>
      </c>
      <c r="G2153" s="77">
        <f t="shared" si="309"/>
        <v>46820</v>
      </c>
      <c r="H2153" s="77"/>
      <c r="I2153" s="76">
        <v>0</v>
      </c>
    </row>
    <row r="2154" spans="3:9" x14ac:dyDescent="0.35">
      <c r="C2154" t="s">
        <v>312</v>
      </c>
      <c r="D2154" s="3">
        <v>2020</v>
      </c>
      <c r="E2154" s="78">
        <f t="shared" si="306"/>
        <v>10</v>
      </c>
      <c r="F2154" s="74" t="s">
        <v>40</v>
      </c>
      <c r="G2154" s="77">
        <v>0</v>
      </c>
      <c r="H2154" s="75">
        <f>H2143</f>
        <v>44120</v>
      </c>
      <c r="I2154" s="76">
        <v>1</v>
      </c>
    </row>
    <row r="2155" spans="3:9" x14ac:dyDescent="0.35">
      <c r="C2155" t="s">
        <v>312</v>
      </c>
      <c r="D2155" s="3">
        <v>2020</v>
      </c>
      <c r="E2155" s="78">
        <f t="shared" si="306"/>
        <v>10</v>
      </c>
      <c r="F2155" s="74" t="s">
        <v>40</v>
      </c>
      <c r="G2155" s="77">
        <f>H2154</f>
        <v>44120</v>
      </c>
      <c r="H2155" s="77">
        <f>H2154+300</f>
        <v>44420</v>
      </c>
      <c r="I2155" s="76">
        <v>0.9</v>
      </c>
    </row>
    <row r="2156" spans="3:9" x14ac:dyDescent="0.35">
      <c r="C2156" t="s">
        <v>312</v>
      </c>
      <c r="D2156" s="3">
        <v>2020</v>
      </c>
      <c r="E2156" s="78">
        <f t="shared" si="306"/>
        <v>10</v>
      </c>
      <c r="F2156" s="74" t="s">
        <v>40</v>
      </c>
      <c r="G2156" s="77">
        <f t="shared" ref="G2156:G2164" si="311">H2155</f>
        <v>44420</v>
      </c>
      <c r="H2156" s="77">
        <f t="shared" ref="H2156:H2163" si="312">H2155+300</f>
        <v>44720</v>
      </c>
      <c r="I2156" s="76">
        <v>0.8</v>
      </c>
    </row>
    <row r="2157" spans="3:9" x14ac:dyDescent="0.35">
      <c r="C2157" t="s">
        <v>312</v>
      </c>
      <c r="D2157" s="3">
        <v>2020</v>
      </c>
      <c r="E2157" s="78">
        <f t="shared" si="306"/>
        <v>10</v>
      </c>
      <c r="F2157" s="74" t="s">
        <v>40</v>
      </c>
      <c r="G2157" s="77">
        <f t="shared" si="311"/>
        <v>44720</v>
      </c>
      <c r="H2157" s="77">
        <f t="shared" si="312"/>
        <v>45020</v>
      </c>
      <c r="I2157" s="76">
        <v>0.7</v>
      </c>
    </row>
    <row r="2158" spans="3:9" x14ac:dyDescent="0.35">
      <c r="C2158" t="s">
        <v>312</v>
      </c>
      <c r="D2158" s="3">
        <v>2020</v>
      </c>
      <c r="E2158" s="78">
        <f t="shared" si="306"/>
        <v>10</v>
      </c>
      <c r="F2158" s="74" t="s">
        <v>40</v>
      </c>
      <c r="G2158" s="77">
        <f t="shared" si="311"/>
        <v>45020</v>
      </c>
      <c r="H2158" s="77">
        <f t="shared" si="312"/>
        <v>45320</v>
      </c>
      <c r="I2158" s="76">
        <v>0.6</v>
      </c>
    </row>
    <row r="2159" spans="3:9" x14ac:dyDescent="0.35">
      <c r="C2159" t="s">
        <v>312</v>
      </c>
      <c r="D2159" s="3">
        <v>2020</v>
      </c>
      <c r="E2159" s="78">
        <f t="shared" si="306"/>
        <v>10</v>
      </c>
      <c r="F2159" s="74" t="s">
        <v>40</v>
      </c>
      <c r="G2159" s="77">
        <f t="shared" si="311"/>
        <v>45320</v>
      </c>
      <c r="H2159" s="77">
        <f t="shared" si="312"/>
        <v>45620</v>
      </c>
      <c r="I2159" s="76">
        <v>0.5</v>
      </c>
    </row>
    <row r="2160" spans="3:9" x14ac:dyDescent="0.35">
      <c r="C2160" t="s">
        <v>312</v>
      </c>
      <c r="D2160" s="3">
        <v>2020</v>
      </c>
      <c r="E2160" s="78">
        <f t="shared" si="306"/>
        <v>10</v>
      </c>
      <c r="F2160" s="74" t="s">
        <v>40</v>
      </c>
      <c r="G2160" s="77">
        <f t="shared" si="311"/>
        <v>45620</v>
      </c>
      <c r="H2160" s="77">
        <f t="shared" si="312"/>
        <v>45920</v>
      </c>
      <c r="I2160" s="76">
        <v>0.4</v>
      </c>
    </row>
    <row r="2161" spans="3:9" x14ac:dyDescent="0.35">
      <c r="C2161" t="s">
        <v>312</v>
      </c>
      <c r="D2161" s="3">
        <v>2020</v>
      </c>
      <c r="E2161" s="78">
        <f t="shared" si="306"/>
        <v>10</v>
      </c>
      <c r="F2161" s="74" t="s">
        <v>40</v>
      </c>
      <c r="G2161" s="77">
        <f t="shared" si="311"/>
        <v>45920</v>
      </c>
      <c r="H2161" s="77">
        <f t="shared" si="312"/>
        <v>46220</v>
      </c>
      <c r="I2161" s="76">
        <v>0.3</v>
      </c>
    </row>
    <row r="2162" spans="3:9" x14ac:dyDescent="0.35">
      <c r="C2162" t="s">
        <v>312</v>
      </c>
      <c r="D2162" s="3">
        <v>2020</v>
      </c>
      <c r="E2162" s="78">
        <f t="shared" si="306"/>
        <v>10</v>
      </c>
      <c r="F2162" s="74" t="s">
        <v>40</v>
      </c>
      <c r="G2162" s="77">
        <f t="shared" si="311"/>
        <v>46220</v>
      </c>
      <c r="H2162" s="77">
        <f t="shared" si="312"/>
        <v>46520</v>
      </c>
      <c r="I2162" s="76">
        <v>0.2</v>
      </c>
    </row>
    <row r="2163" spans="3:9" x14ac:dyDescent="0.35">
      <c r="C2163" t="s">
        <v>312</v>
      </c>
      <c r="D2163" s="3">
        <v>2020</v>
      </c>
      <c r="E2163" s="78">
        <f t="shared" si="306"/>
        <v>10</v>
      </c>
      <c r="F2163" s="74" t="s">
        <v>40</v>
      </c>
      <c r="G2163" s="77">
        <f t="shared" si="311"/>
        <v>46520</v>
      </c>
      <c r="H2163" s="77">
        <f t="shared" si="312"/>
        <v>46820</v>
      </c>
      <c r="I2163" s="76">
        <v>0.1</v>
      </c>
    </row>
    <row r="2164" spans="3:9" x14ac:dyDescent="0.35">
      <c r="C2164" t="s">
        <v>312</v>
      </c>
      <c r="D2164" s="3">
        <v>2020</v>
      </c>
      <c r="E2164" s="78">
        <f t="shared" si="306"/>
        <v>10</v>
      </c>
      <c r="F2164" s="74" t="s">
        <v>40</v>
      </c>
      <c r="G2164" s="77">
        <f t="shared" si="311"/>
        <v>46820</v>
      </c>
      <c r="H2164" s="77"/>
      <c r="I2164" s="76">
        <v>0</v>
      </c>
    </row>
    <row r="2165" spans="3:9" x14ac:dyDescent="0.35">
      <c r="C2165" t="s">
        <v>312</v>
      </c>
      <c r="D2165" s="3">
        <v>2020</v>
      </c>
      <c r="E2165" s="78">
        <f t="shared" si="306"/>
        <v>10</v>
      </c>
      <c r="F2165" s="74" t="s">
        <v>313</v>
      </c>
      <c r="G2165" s="77">
        <v>0</v>
      </c>
      <c r="H2165" s="75">
        <f>H2154</f>
        <v>44120</v>
      </c>
      <c r="I2165" s="76">
        <v>1</v>
      </c>
    </row>
    <row r="2166" spans="3:9" x14ac:dyDescent="0.35">
      <c r="C2166" t="s">
        <v>312</v>
      </c>
      <c r="D2166" s="3">
        <v>2020</v>
      </c>
      <c r="E2166" s="78">
        <f t="shared" si="306"/>
        <v>10</v>
      </c>
      <c r="F2166" s="74" t="s">
        <v>313</v>
      </c>
      <c r="G2166" s="77">
        <f>H2165</f>
        <v>44120</v>
      </c>
      <c r="H2166" s="77">
        <f>H2165+300</f>
        <v>44420</v>
      </c>
      <c r="I2166" s="76">
        <v>0.9</v>
      </c>
    </row>
    <row r="2167" spans="3:9" x14ac:dyDescent="0.35">
      <c r="C2167" t="s">
        <v>312</v>
      </c>
      <c r="D2167" s="3">
        <v>2020</v>
      </c>
      <c r="E2167" s="78">
        <f t="shared" si="306"/>
        <v>10</v>
      </c>
      <c r="F2167" s="74" t="s">
        <v>313</v>
      </c>
      <c r="G2167" s="77">
        <f t="shared" ref="G2167:G2175" si="313">H2166</f>
        <v>44420</v>
      </c>
      <c r="H2167" s="77">
        <f t="shared" ref="H2167:H2174" si="314">H2166+300</f>
        <v>44720</v>
      </c>
      <c r="I2167" s="76">
        <v>0.8</v>
      </c>
    </row>
    <row r="2168" spans="3:9" x14ac:dyDescent="0.35">
      <c r="C2168" t="s">
        <v>312</v>
      </c>
      <c r="D2168" s="3">
        <v>2020</v>
      </c>
      <c r="E2168" s="78">
        <f t="shared" si="306"/>
        <v>10</v>
      </c>
      <c r="F2168" s="74" t="s">
        <v>313</v>
      </c>
      <c r="G2168" s="77">
        <f t="shared" si="313"/>
        <v>44720</v>
      </c>
      <c r="H2168" s="77">
        <f t="shared" si="314"/>
        <v>45020</v>
      </c>
      <c r="I2168" s="76">
        <v>0.7</v>
      </c>
    </row>
    <row r="2169" spans="3:9" x14ac:dyDescent="0.35">
      <c r="C2169" t="s">
        <v>312</v>
      </c>
      <c r="D2169" s="3">
        <v>2020</v>
      </c>
      <c r="E2169" s="78">
        <f t="shared" si="306"/>
        <v>10</v>
      </c>
      <c r="F2169" s="74" t="s">
        <v>313</v>
      </c>
      <c r="G2169" s="77">
        <f t="shared" si="313"/>
        <v>45020</v>
      </c>
      <c r="H2169" s="77">
        <f t="shared" si="314"/>
        <v>45320</v>
      </c>
      <c r="I2169" s="76">
        <v>0.6</v>
      </c>
    </row>
    <row r="2170" spans="3:9" x14ac:dyDescent="0.35">
      <c r="C2170" t="s">
        <v>312</v>
      </c>
      <c r="D2170" s="3">
        <v>2020</v>
      </c>
      <c r="E2170" s="78">
        <f t="shared" si="306"/>
        <v>10</v>
      </c>
      <c r="F2170" s="74" t="s">
        <v>313</v>
      </c>
      <c r="G2170" s="77">
        <f t="shared" si="313"/>
        <v>45320</v>
      </c>
      <c r="H2170" s="77">
        <f t="shared" si="314"/>
        <v>45620</v>
      </c>
      <c r="I2170" s="76">
        <v>0.5</v>
      </c>
    </row>
    <row r="2171" spans="3:9" x14ac:dyDescent="0.35">
      <c r="C2171" t="s">
        <v>312</v>
      </c>
      <c r="D2171" s="3">
        <v>2020</v>
      </c>
      <c r="E2171" s="78">
        <f t="shared" si="306"/>
        <v>10</v>
      </c>
      <c r="F2171" s="74" t="s">
        <v>313</v>
      </c>
      <c r="G2171" s="77">
        <f t="shared" si="313"/>
        <v>45620</v>
      </c>
      <c r="H2171" s="77">
        <f t="shared" si="314"/>
        <v>45920</v>
      </c>
      <c r="I2171" s="76">
        <v>0.4</v>
      </c>
    </row>
    <row r="2172" spans="3:9" x14ac:dyDescent="0.35">
      <c r="C2172" t="s">
        <v>312</v>
      </c>
      <c r="D2172" s="3">
        <v>2020</v>
      </c>
      <c r="E2172" s="78">
        <f t="shared" si="306"/>
        <v>10</v>
      </c>
      <c r="F2172" s="74" t="s">
        <v>313</v>
      </c>
      <c r="G2172" s="77">
        <f t="shared" si="313"/>
        <v>45920</v>
      </c>
      <c r="H2172" s="77">
        <f t="shared" si="314"/>
        <v>46220</v>
      </c>
      <c r="I2172" s="76">
        <v>0.3</v>
      </c>
    </row>
    <row r="2173" spans="3:9" x14ac:dyDescent="0.35">
      <c r="C2173" t="s">
        <v>312</v>
      </c>
      <c r="D2173" s="3">
        <v>2020</v>
      </c>
      <c r="E2173" s="78">
        <f t="shared" si="306"/>
        <v>10</v>
      </c>
      <c r="F2173" s="74" t="s">
        <v>313</v>
      </c>
      <c r="G2173" s="77">
        <f t="shared" si="313"/>
        <v>46220</v>
      </c>
      <c r="H2173" s="77">
        <f t="shared" si="314"/>
        <v>46520</v>
      </c>
      <c r="I2173" s="76">
        <v>0.2</v>
      </c>
    </row>
    <row r="2174" spans="3:9" x14ac:dyDescent="0.35">
      <c r="C2174" t="s">
        <v>312</v>
      </c>
      <c r="D2174" s="3">
        <v>2020</v>
      </c>
      <c r="E2174" s="78">
        <f t="shared" si="306"/>
        <v>10</v>
      </c>
      <c r="F2174" s="74" t="s">
        <v>313</v>
      </c>
      <c r="G2174" s="77">
        <f t="shared" si="313"/>
        <v>46520</v>
      </c>
      <c r="H2174" s="77">
        <f t="shared" si="314"/>
        <v>46820</v>
      </c>
      <c r="I2174" s="76">
        <v>0.1</v>
      </c>
    </row>
    <row r="2175" spans="3:9" x14ac:dyDescent="0.35">
      <c r="C2175" t="s">
        <v>312</v>
      </c>
      <c r="D2175" s="3">
        <v>2020</v>
      </c>
      <c r="E2175" s="78">
        <f t="shared" si="306"/>
        <v>10</v>
      </c>
      <c r="F2175" s="74" t="s">
        <v>313</v>
      </c>
      <c r="G2175" s="77">
        <f t="shared" si="313"/>
        <v>46820</v>
      </c>
      <c r="H2175" s="77"/>
      <c r="I2175" s="76">
        <v>0</v>
      </c>
    </row>
    <row r="2176" spans="3:9" x14ac:dyDescent="0.35">
      <c r="C2176" t="s">
        <v>312</v>
      </c>
      <c r="D2176" s="3">
        <v>2020</v>
      </c>
      <c r="E2176" s="73">
        <v>1</v>
      </c>
      <c r="F2176" s="74" t="s">
        <v>36</v>
      </c>
      <c r="G2176" s="75">
        <v>0</v>
      </c>
      <c r="H2176" s="75">
        <v>6380</v>
      </c>
      <c r="I2176" s="76">
        <v>1</v>
      </c>
    </row>
    <row r="2177" spans="3:9" x14ac:dyDescent="0.35">
      <c r="C2177" t="s">
        <v>312</v>
      </c>
      <c r="D2177" s="3">
        <v>2020</v>
      </c>
      <c r="E2177" s="73">
        <v>1</v>
      </c>
      <c r="F2177" s="74" t="s">
        <v>36</v>
      </c>
      <c r="G2177" s="77">
        <f>H2176</f>
        <v>6380</v>
      </c>
      <c r="H2177" s="77">
        <f>H2176+150</f>
        <v>6530</v>
      </c>
      <c r="I2177" s="76">
        <v>0.9</v>
      </c>
    </row>
    <row r="2178" spans="3:9" x14ac:dyDescent="0.35">
      <c r="C2178" t="s">
        <v>312</v>
      </c>
      <c r="D2178" s="3">
        <v>2020</v>
      </c>
      <c r="E2178" s="73">
        <v>1</v>
      </c>
      <c r="F2178" s="74" t="s">
        <v>36</v>
      </c>
      <c r="G2178" s="77">
        <f t="shared" ref="G2178:G2186" si="315">H2177</f>
        <v>6530</v>
      </c>
      <c r="H2178" s="77">
        <f t="shared" ref="H2178:H2184" si="316">H2177+150</f>
        <v>6680</v>
      </c>
      <c r="I2178" s="76">
        <v>0.8</v>
      </c>
    </row>
    <row r="2179" spans="3:9" x14ac:dyDescent="0.35">
      <c r="C2179" t="s">
        <v>312</v>
      </c>
      <c r="D2179" s="3">
        <v>2020</v>
      </c>
      <c r="E2179" s="73">
        <v>1</v>
      </c>
      <c r="F2179" s="74" t="s">
        <v>36</v>
      </c>
      <c r="G2179" s="77">
        <f t="shared" si="315"/>
        <v>6680</v>
      </c>
      <c r="H2179" s="77">
        <f t="shared" si="316"/>
        <v>6830</v>
      </c>
      <c r="I2179" s="76">
        <v>0.7</v>
      </c>
    </row>
    <row r="2180" spans="3:9" x14ac:dyDescent="0.35">
      <c r="C2180" t="s">
        <v>312</v>
      </c>
      <c r="D2180" s="3">
        <v>2020</v>
      </c>
      <c r="E2180" s="73">
        <v>1</v>
      </c>
      <c r="F2180" s="74" t="s">
        <v>36</v>
      </c>
      <c r="G2180" s="77">
        <f t="shared" si="315"/>
        <v>6830</v>
      </c>
      <c r="H2180" s="77">
        <f t="shared" si="316"/>
        <v>6980</v>
      </c>
      <c r="I2180" s="76">
        <v>0.6</v>
      </c>
    </row>
    <row r="2181" spans="3:9" x14ac:dyDescent="0.35">
      <c r="C2181" t="s">
        <v>312</v>
      </c>
      <c r="D2181" s="3">
        <v>2020</v>
      </c>
      <c r="E2181" s="73">
        <v>1</v>
      </c>
      <c r="F2181" s="74" t="s">
        <v>36</v>
      </c>
      <c r="G2181" s="77">
        <f t="shared" si="315"/>
        <v>6980</v>
      </c>
      <c r="H2181" s="77">
        <f t="shared" si="316"/>
        <v>7130</v>
      </c>
      <c r="I2181" s="76">
        <v>0.5</v>
      </c>
    </row>
    <row r="2182" spans="3:9" x14ac:dyDescent="0.35">
      <c r="C2182" t="s">
        <v>312</v>
      </c>
      <c r="D2182" s="3">
        <v>2020</v>
      </c>
      <c r="E2182" s="73">
        <v>1</v>
      </c>
      <c r="F2182" s="74" t="s">
        <v>36</v>
      </c>
      <c r="G2182" s="77">
        <f t="shared" si="315"/>
        <v>7130</v>
      </c>
      <c r="H2182" s="77">
        <f t="shared" si="316"/>
        <v>7280</v>
      </c>
      <c r="I2182" s="76">
        <v>0.4</v>
      </c>
    </row>
    <row r="2183" spans="3:9" x14ac:dyDescent="0.35">
      <c r="C2183" t="s">
        <v>312</v>
      </c>
      <c r="D2183" s="3">
        <v>2020</v>
      </c>
      <c r="E2183" s="73">
        <v>1</v>
      </c>
      <c r="F2183" s="74" t="s">
        <v>36</v>
      </c>
      <c r="G2183" s="77">
        <f t="shared" si="315"/>
        <v>7280</v>
      </c>
      <c r="H2183" s="77">
        <f t="shared" si="316"/>
        <v>7430</v>
      </c>
      <c r="I2183" s="76">
        <v>0.3</v>
      </c>
    </row>
    <row r="2184" spans="3:9" x14ac:dyDescent="0.35">
      <c r="C2184" t="s">
        <v>312</v>
      </c>
      <c r="D2184" s="3">
        <v>2020</v>
      </c>
      <c r="E2184" s="73">
        <v>1</v>
      </c>
      <c r="F2184" s="74" t="s">
        <v>36</v>
      </c>
      <c r="G2184" s="77">
        <f t="shared" si="315"/>
        <v>7430</v>
      </c>
      <c r="H2184" s="77">
        <f t="shared" si="316"/>
        <v>7580</v>
      </c>
      <c r="I2184" s="76">
        <v>0.2</v>
      </c>
    </row>
    <row r="2185" spans="3:9" x14ac:dyDescent="0.35">
      <c r="C2185" t="s">
        <v>312</v>
      </c>
      <c r="D2185" s="3">
        <v>2020</v>
      </c>
      <c r="E2185" s="73">
        <v>1</v>
      </c>
      <c r="F2185" s="74" t="s">
        <v>36</v>
      </c>
      <c r="G2185" s="77">
        <f t="shared" si="315"/>
        <v>7580</v>
      </c>
      <c r="H2185" s="77">
        <f>H2184+150</f>
        <v>7730</v>
      </c>
      <c r="I2185" s="76">
        <v>0.1</v>
      </c>
    </row>
    <row r="2186" spans="3:9" x14ac:dyDescent="0.35">
      <c r="C2186" t="s">
        <v>312</v>
      </c>
      <c r="D2186" s="3">
        <v>2020</v>
      </c>
      <c r="E2186" s="73">
        <v>1</v>
      </c>
      <c r="F2186" s="74" t="s">
        <v>36</v>
      </c>
      <c r="G2186" s="77">
        <f t="shared" si="315"/>
        <v>7730</v>
      </c>
      <c r="H2186" s="77"/>
      <c r="I2186" s="76">
        <v>0</v>
      </c>
    </row>
    <row r="2187" spans="3:9" x14ac:dyDescent="0.35">
      <c r="C2187" t="s">
        <v>312</v>
      </c>
      <c r="D2187" s="3">
        <v>2020</v>
      </c>
      <c r="E2187" s="73">
        <v>2</v>
      </c>
      <c r="F2187" s="74" t="s">
        <v>36</v>
      </c>
      <c r="G2187" s="77">
        <v>0</v>
      </c>
      <c r="H2187" s="77">
        <v>8620</v>
      </c>
      <c r="I2187" s="76">
        <v>1</v>
      </c>
    </row>
    <row r="2188" spans="3:9" x14ac:dyDescent="0.35">
      <c r="C2188" t="s">
        <v>312</v>
      </c>
      <c r="D2188" s="3">
        <v>2020</v>
      </c>
      <c r="E2188" s="78">
        <f>E2187</f>
        <v>2</v>
      </c>
      <c r="F2188" s="74" t="s">
        <v>36</v>
      </c>
      <c r="G2188" s="77">
        <f>H2187</f>
        <v>8620</v>
      </c>
      <c r="H2188" s="77">
        <f>H2187+150</f>
        <v>8770</v>
      </c>
      <c r="I2188" s="76">
        <v>0.9</v>
      </c>
    </row>
    <row r="2189" spans="3:9" x14ac:dyDescent="0.35">
      <c r="C2189" t="s">
        <v>312</v>
      </c>
      <c r="D2189" s="3">
        <v>2020</v>
      </c>
      <c r="E2189" s="78">
        <f t="shared" ref="E2189:E2197" si="317">E2188</f>
        <v>2</v>
      </c>
      <c r="F2189" s="74" t="s">
        <v>36</v>
      </c>
      <c r="G2189" s="77">
        <f t="shared" ref="G2189:G2197" si="318">H2188</f>
        <v>8770</v>
      </c>
      <c r="H2189" s="77">
        <f t="shared" ref="H2189:H2195" si="319">H2188+150</f>
        <v>8920</v>
      </c>
      <c r="I2189" s="76">
        <v>0.8</v>
      </c>
    </row>
    <row r="2190" spans="3:9" x14ac:dyDescent="0.35">
      <c r="C2190" t="s">
        <v>312</v>
      </c>
      <c r="D2190" s="3">
        <v>2020</v>
      </c>
      <c r="E2190" s="78">
        <f t="shared" si="317"/>
        <v>2</v>
      </c>
      <c r="F2190" s="74" t="s">
        <v>36</v>
      </c>
      <c r="G2190" s="77">
        <f t="shared" si="318"/>
        <v>8920</v>
      </c>
      <c r="H2190" s="77">
        <f t="shared" si="319"/>
        <v>9070</v>
      </c>
      <c r="I2190" s="76">
        <v>0.7</v>
      </c>
    </row>
    <row r="2191" spans="3:9" x14ac:dyDescent="0.35">
      <c r="C2191" t="s">
        <v>312</v>
      </c>
      <c r="D2191" s="3">
        <v>2020</v>
      </c>
      <c r="E2191" s="78">
        <f t="shared" si="317"/>
        <v>2</v>
      </c>
      <c r="F2191" s="74" t="s">
        <v>36</v>
      </c>
      <c r="G2191" s="77">
        <f t="shared" si="318"/>
        <v>9070</v>
      </c>
      <c r="H2191" s="77">
        <f t="shared" si="319"/>
        <v>9220</v>
      </c>
      <c r="I2191" s="76">
        <v>0.6</v>
      </c>
    </row>
    <row r="2192" spans="3:9" x14ac:dyDescent="0.35">
      <c r="C2192" t="s">
        <v>312</v>
      </c>
      <c r="D2192" s="3">
        <v>2020</v>
      </c>
      <c r="E2192" s="78">
        <f t="shared" si="317"/>
        <v>2</v>
      </c>
      <c r="F2192" s="74" t="s">
        <v>36</v>
      </c>
      <c r="G2192" s="77">
        <f t="shared" si="318"/>
        <v>9220</v>
      </c>
      <c r="H2192" s="77">
        <f t="shared" si="319"/>
        <v>9370</v>
      </c>
      <c r="I2192" s="76">
        <v>0.5</v>
      </c>
    </row>
    <row r="2193" spans="3:9" x14ac:dyDescent="0.35">
      <c r="C2193" t="s">
        <v>312</v>
      </c>
      <c r="D2193" s="3">
        <v>2020</v>
      </c>
      <c r="E2193" s="78">
        <f t="shared" si="317"/>
        <v>2</v>
      </c>
      <c r="F2193" s="74" t="s">
        <v>36</v>
      </c>
      <c r="G2193" s="77">
        <f t="shared" si="318"/>
        <v>9370</v>
      </c>
      <c r="H2193" s="77">
        <f t="shared" si="319"/>
        <v>9520</v>
      </c>
      <c r="I2193" s="76">
        <v>0.4</v>
      </c>
    </row>
    <row r="2194" spans="3:9" x14ac:dyDescent="0.35">
      <c r="C2194" t="s">
        <v>312</v>
      </c>
      <c r="D2194" s="3">
        <v>2020</v>
      </c>
      <c r="E2194" s="78">
        <f t="shared" si="317"/>
        <v>2</v>
      </c>
      <c r="F2194" s="74" t="s">
        <v>36</v>
      </c>
      <c r="G2194" s="77">
        <f t="shared" si="318"/>
        <v>9520</v>
      </c>
      <c r="H2194" s="77">
        <f t="shared" si="319"/>
        <v>9670</v>
      </c>
      <c r="I2194" s="76">
        <v>0.3</v>
      </c>
    </row>
    <row r="2195" spans="3:9" x14ac:dyDescent="0.35">
      <c r="C2195" t="s">
        <v>312</v>
      </c>
      <c r="D2195" s="3">
        <v>2020</v>
      </c>
      <c r="E2195" s="78">
        <f t="shared" si="317"/>
        <v>2</v>
      </c>
      <c r="F2195" s="74" t="s">
        <v>36</v>
      </c>
      <c r="G2195" s="77">
        <f t="shared" si="318"/>
        <v>9670</v>
      </c>
      <c r="H2195" s="77">
        <f t="shared" si="319"/>
        <v>9820</v>
      </c>
      <c r="I2195" s="76">
        <v>0.2</v>
      </c>
    </row>
    <row r="2196" spans="3:9" x14ac:dyDescent="0.35">
      <c r="C2196" t="s">
        <v>312</v>
      </c>
      <c r="D2196" s="3">
        <v>2020</v>
      </c>
      <c r="E2196" s="78">
        <f t="shared" si="317"/>
        <v>2</v>
      </c>
      <c r="F2196" s="74" t="s">
        <v>36</v>
      </c>
      <c r="G2196" s="77">
        <f t="shared" si="318"/>
        <v>9820</v>
      </c>
      <c r="H2196" s="77">
        <f>H2195+150</f>
        <v>9970</v>
      </c>
      <c r="I2196" s="76">
        <v>0.1</v>
      </c>
    </row>
    <row r="2197" spans="3:9" x14ac:dyDescent="0.35">
      <c r="C2197" t="s">
        <v>312</v>
      </c>
      <c r="D2197" s="3">
        <v>2020</v>
      </c>
      <c r="E2197" s="78">
        <f t="shared" si="317"/>
        <v>2</v>
      </c>
      <c r="F2197" s="74" t="s">
        <v>36</v>
      </c>
      <c r="G2197" s="77">
        <f t="shared" si="318"/>
        <v>9970</v>
      </c>
      <c r="H2197" s="77"/>
      <c r="I2197" s="76">
        <v>0</v>
      </c>
    </row>
    <row r="2198" spans="3:9" x14ac:dyDescent="0.35">
      <c r="C2198" t="s">
        <v>312</v>
      </c>
      <c r="D2198" s="3">
        <v>2020</v>
      </c>
      <c r="E2198" s="73">
        <v>3</v>
      </c>
      <c r="F2198" s="74" t="s">
        <v>36</v>
      </c>
      <c r="G2198" s="77">
        <v>0</v>
      </c>
      <c r="H2198" s="77">
        <v>10860</v>
      </c>
      <c r="I2198" s="76">
        <v>1</v>
      </c>
    </row>
    <row r="2199" spans="3:9" x14ac:dyDescent="0.35">
      <c r="C2199" t="s">
        <v>312</v>
      </c>
      <c r="D2199" s="3">
        <v>2020</v>
      </c>
      <c r="E2199" s="78">
        <f>E2198</f>
        <v>3</v>
      </c>
      <c r="F2199" s="74" t="s">
        <v>36</v>
      </c>
      <c r="G2199" s="77">
        <f>H2198</f>
        <v>10860</v>
      </c>
      <c r="H2199" s="77">
        <f>H2198+150</f>
        <v>11010</v>
      </c>
      <c r="I2199" s="76">
        <v>0.9</v>
      </c>
    </row>
    <row r="2200" spans="3:9" x14ac:dyDescent="0.35">
      <c r="C2200" t="s">
        <v>312</v>
      </c>
      <c r="D2200" s="3">
        <v>2020</v>
      </c>
      <c r="E2200" s="78">
        <f t="shared" ref="E2200:E2208" si="320">E2199</f>
        <v>3</v>
      </c>
      <c r="F2200" s="74" t="s">
        <v>36</v>
      </c>
      <c r="G2200" s="77">
        <f t="shared" ref="G2200:G2208" si="321">H2199</f>
        <v>11010</v>
      </c>
      <c r="H2200" s="77">
        <f t="shared" ref="H2200:H2206" si="322">H2199+150</f>
        <v>11160</v>
      </c>
      <c r="I2200" s="76">
        <v>0.8</v>
      </c>
    </row>
    <row r="2201" spans="3:9" x14ac:dyDescent="0.35">
      <c r="C2201" t="s">
        <v>312</v>
      </c>
      <c r="D2201" s="3">
        <v>2020</v>
      </c>
      <c r="E2201" s="78">
        <f t="shared" si="320"/>
        <v>3</v>
      </c>
      <c r="F2201" s="74" t="s">
        <v>36</v>
      </c>
      <c r="G2201" s="77">
        <f t="shared" si="321"/>
        <v>11160</v>
      </c>
      <c r="H2201" s="77">
        <f t="shared" si="322"/>
        <v>11310</v>
      </c>
      <c r="I2201" s="76">
        <v>0.7</v>
      </c>
    </row>
    <row r="2202" spans="3:9" x14ac:dyDescent="0.35">
      <c r="C2202" t="s">
        <v>312</v>
      </c>
      <c r="D2202" s="3">
        <v>2020</v>
      </c>
      <c r="E2202" s="78">
        <f t="shared" si="320"/>
        <v>3</v>
      </c>
      <c r="F2202" s="74" t="s">
        <v>36</v>
      </c>
      <c r="G2202" s="77">
        <f t="shared" si="321"/>
        <v>11310</v>
      </c>
      <c r="H2202" s="77">
        <f t="shared" si="322"/>
        <v>11460</v>
      </c>
      <c r="I2202" s="76">
        <v>0.6</v>
      </c>
    </row>
    <row r="2203" spans="3:9" x14ac:dyDescent="0.35">
      <c r="C2203" t="s">
        <v>312</v>
      </c>
      <c r="D2203" s="3">
        <v>2020</v>
      </c>
      <c r="E2203" s="78">
        <f t="shared" si="320"/>
        <v>3</v>
      </c>
      <c r="F2203" s="74" t="s">
        <v>36</v>
      </c>
      <c r="G2203" s="77">
        <f t="shared" si="321"/>
        <v>11460</v>
      </c>
      <c r="H2203" s="77">
        <f t="shared" si="322"/>
        <v>11610</v>
      </c>
      <c r="I2203" s="76">
        <v>0.5</v>
      </c>
    </row>
    <row r="2204" spans="3:9" x14ac:dyDescent="0.35">
      <c r="C2204" t="s">
        <v>312</v>
      </c>
      <c r="D2204" s="3">
        <v>2020</v>
      </c>
      <c r="E2204" s="78">
        <f t="shared" si="320"/>
        <v>3</v>
      </c>
      <c r="F2204" s="74" t="s">
        <v>36</v>
      </c>
      <c r="G2204" s="77">
        <f t="shared" si="321"/>
        <v>11610</v>
      </c>
      <c r="H2204" s="77">
        <f t="shared" si="322"/>
        <v>11760</v>
      </c>
      <c r="I2204" s="76">
        <v>0.4</v>
      </c>
    </row>
    <row r="2205" spans="3:9" x14ac:dyDescent="0.35">
      <c r="C2205" t="s">
        <v>312</v>
      </c>
      <c r="D2205" s="3">
        <v>2020</v>
      </c>
      <c r="E2205" s="78">
        <f t="shared" si="320"/>
        <v>3</v>
      </c>
      <c r="F2205" s="74" t="s">
        <v>36</v>
      </c>
      <c r="G2205" s="77">
        <f t="shared" si="321"/>
        <v>11760</v>
      </c>
      <c r="H2205" s="77">
        <f t="shared" si="322"/>
        <v>11910</v>
      </c>
      <c r="I2205" s="76">
        <v>0.3</v>
      </c>
    </row>
    <row r="2206" spans="3:9" x14ac:dyDescent="0.35">
      <c r="C2206" t="s">
        <v>312</v>
      </c>
      <c r="D2206" s="3">
        <v>2020</v>
      </c>
      <c r="E2206" s="78">
        <f t="shared" si="320"/>
        <v>3</v>
      </c>
      <c r="F2206" s="74" t="s">
        <v>36</v>
      </c>
      <c r="G2206" s="77">
        <f t="shared" si="321"/>
        <v>11910</v>
      </c>
      <c r="H2206" s="77">
        <f t="shared" si="322"/>
        <v>12060</v>
      </c>
      <c r="I2206" s="76">
        <v>0.2</v>
      </c>
    </row>
    <row r="2207" spans="3:9" x14ac:dyDescent="0.35">
      <c r="C2207" t="s">
        <v>312</v>
      </c>
      <c r="D2207" s="3">
        <v>2020</v>
      </c>
      <c r="E2207" s="78">
        <f t="shared" si="320"/>
        <v>3</v>
      </c>
      <c r="F2207" s="74" t="s">
        <v>36</v>
      </c>
      <c r="G2207" s="77">
        <f t="shared" si="321"/>
        <v>12060</v>
      </c>
      <c r="H2207" s="77">
        <f>H2206+150</f>
        <v>12210</v>
      </c>
      <c r="I2207" s="76">
        <v>0.1</v>
      </c>
    </row>
    <row r="2208" spans="3:9" x14ac:dyDescent="0.35">
      <c r="C2208" t="s">
        <v>312</v>
      </c>
      <c r="D2208" s="3">
        <v>2020</v>
      </c>
      <c r="E2208" s="78">
        <f t="shared" si="320"/>
        <v>3</v>
      </c>
      <c r="F2208" s="74" t="s">
        <v>36</v>
      </c>
      <c r="G2208" s="77">
        <f t="shared" si="321"/>
        <v>12210</v>
      </c>
      <c r="H2208" s="77"/>
      <c r="I2208" s="76">
        <v>0</v>
      </c>
    </row>
    <row r="2209" spans="3:9" x14ac:dyDescent="0.35">
      <c r="C2209" t="s">
        <v>312</v>
      </c>
      <c r="D2209" s="3">
        <v>2020</v>
      </c>
      <c r="E2209" s="73">
        <v>4</v>
      </c>
      <c r="F2209" s="74" t="s">
        <v>36</v>
      </c>
      <c r="G2209" s="77">
        <v>0</v>
      </c>
      <c r="H2209" s="77">
        <v>13100</v>
      </c>
      <c r="I2209" s="76">
        <v>1</v>
      </c>
    </row>
    <row r="2210" spans="3:9" x14ac:dyDescent="0.35">
      <c r="C2210" t="s">
        <v>312</v>
      </c>
      <c r="D2210" s="3">
        <v>2020</v>
      </c>
      <c r="E2210" s="78">
        <f>E2209</f>
        <v>4</v>
      </c>
      <c r="F2210" s="74" t="s">
        <v>36</v>
      </c>
      <c r="G2210" s="77">
        <f>H2209</f>
        <v>13100</v>
      </c>
      <c r="H2210" s="77">
        <f>H2209+150</f>
        <v>13250</v>
      </c>
      <c r="I2210" s="76">
        <v>0.9</v>
      </c>
    </row>
    <row r="2211" spans="3:9" x14ac:dyDescent="0.35">
      <c r="C2211" t="s">
        <v>312</v>
      </c>
      <c r="D2211" s="3">
        <v>2020</v>
      </c>
      <c r="E2211" s="78">
        <f t="shared" ref="E2211:E2219" si="323">E2210</f>
        <v>4</v>
      </c>
      <c r="F2211" s="74" t="s">
        <v>36</v>
      </c>
      <c r="G2211" s="77">
        <f t="shared" ref="G2211:G2219" si="324">H2210</f>
        <v>13250</v>
      </c>
      <c r="H2211" s="77">
        <f t="shared" ref="H2211:H2217" si="325">H2210+150</f>
        <v>13400</v>
      </c>
      <c r="I2211" s="76">
        <v>0.8</v>
      </c>
    </row>
    <row r="2212" spans="3:9" x14ac:dyDescent="0.35">
      <c r="C2212" t="s">
        <v>312</v>
      </c>
      <c r="D2212" s="3">
        <v>2020</v>
      </c>
      <c r="E2212" s="78">
        <f t="shared" si="323"/>
        <v>4</v>
      </c>
      <c r="F2212" s="74" t="s">
        <v>36</v>
      </c>
      <c r="G2212" s="77">
        <f t="shared" si="324"/>
        <v>13400</v>
      </c>
      <c r="H2212" s="77">
        <f t="shared" si="325"/>
        <v>13550</v>
      </c>
      <c r="I2212" s="76">
        <v>0.7</v>
      </c>
    </row>
    <row r="2213" spans="3:9" x14ac:dyDescent="0.35">
      <c r="C2213" t="s">
        <v>312</v>
      </c>
      <c r="D2213" s="3">
        <v>2020</v>
      </c>
      <c r="E2213" s="78">
        <f t="shared" si="323"/>
        <v>4</v>
      </c>
      <c r="F2213" s="74" t="s">
        <v>36</v>
      </c>
      <c r="G2213" s="77">
        <f t="shared" si="324"/>
        <v>13550</v>
      </c>
      <c r="H2213" s="77">
        <f t="shared" si="325"/>
        <v>13700</v>
      </c>
      <c r="I2213" s="76">
        <v>0.6</v>
      </c>
    </row>
    <row r="2214" spans="3:9" x14ac:dyDescent="0.35">
      <c r="C2214" t="s">
        <v>312</v>
      </c>
      <c r="D2214" s="3">
        <v>2020</v>
      </c>
      <c r="E2214" s="78">
        <f t="shared" si="323"/>
        <v>4</v>
      </c>
      <c r="F2214" s="74" t="s">
        <v>36</v>
      </c>
      <c r="G2214" s="77">
        <f t="shared" si="324"/>
        <v>13700</v>
      </c>
      <c r="H2214" s="77">
        <f t="shared" si="325"/>
        <v>13850</v>
      </c>
      <c r="I2214" s="76">
        <v>0.5</v>
      </c>
    </row>
    <row r="2215" spans="3:9" x14ac:dyDescent="0.35">
      <c r="C2215" t="s">
        <v>312</v>
      </c>
      <c r="D2215" s="3">
        <v>2020</v>
      </c>
      <c r="E2215" s="78">
        <f t="shared" si="323"/>
        <v>4</v>
      </c>
      <c r="F2215" s="74" t="s">
        <v>36</v>
      </c>
      <c r="G2215" s="77">
        <f t="shared" si="324"/>
        <v>13850</v>
      </c>
      <c r="H2215" s="77">
        <f t="shared" si="325"/>
        <v>14000</v>
      </c>
      <c r="I2215" s="76">
        <v>0.4</v>
      </c>
    </row>
    <row r="2216" spans="3:9" x14ac:dyDescent="0.35">
      <c r="C2216" t="s">
        <v>312</v>
      </c>
      <c r="D2216" s="3">
        <v>2020</v>
      </c>
      <c r="E2216" s="78">
        <f t="shared" si="323"/>
        <v>4</v>
      </c>
      <c r="F2216" s="74" t="s">
        <v>36</v>
      </c>
      <c r="G2216" s="77">
        <f t="shared" si="324"/>
        <v>14000</v>
      </c>
      <c r="H2216" s="77">
        <f t="shared" si="325"/>
        <v>14150</v>
      </c>
      <c r="I2216" s="76">
        <v>0.3</v>
      </c>
    </row>
    <row r="2217" spans="3:9" x14ac:dyDescent="0.35">
      <c r="C2217" t="s">
        <v>312</v>
      </c>
      <c r="D2217" s="3">
        <v>2020</v>
      </c>
      <c r="E2217" s="78">
        <f t="shared" si="323"/>
        <v>4</v>
      </c>
      <c r="F2217" s="74" t="s">
        <v>36</v>
      </c>
      <c r="G2217" s="77">
        <f t="shared" si="324"/>
        <v>14150</v>
      </c>
      <c r="H2217" s="77">
        <f t="shared" si="325"/>
        <v>14300</v>
      </c>
      <c r="I2217" s="76">
        <v>0.2</v>
      </c>
    </row>
    <row r="2218" spans="3:9" x14ac:dyDescent="0.35">
      <c r="C2218" t="s">
        <v>312</v>
      </c>
      <c r="D2218" s="3">
        <v>2020</v>
      </c>
      <c r="E2218" s="78">
        <f t="shared" si="323"/>
        <v>4</v>
      </c>
      <c r="F2218" s="74" t="s">
        <v>36</v>
      </c>
      <c r="G2218" s="77">
        <f t="shared" si="324"/>
        <v>14300</v>
      </c>
      <c r="H2218" s="77">
        <f>H2217+150</f>
        <v>14450</v>
      </c>
      <c r="I2218" s="76">
        <v>0.1</v>
      </c>
    </row>
    <row r="2219" spans="3:9" x14ac:dyDescent="0.35">
      <c r="C2219" t="s">
        <v>312</v>
      </c>
      <c r="D2219" s="3">
        <v>2020</v>
      </c>
      <c r="E2219" s="78">
        <f t="shared" si="323"/>
        <v>4</v>
      </c>
      <c r="F2219" s="74" t="s">
        <v>36</v>
      </c>
      <c r="G2219" s="77">
        <f t="shared" si="324"/>
        <v>14450</v>
      </c>
      <c r="H2219" s="77"/>
      <c r="I2219" s="76">
        <v>0</v>
      </c>
    </row>
    <row r="2220" spans="3:9" x14ac:dyDescent="0.35">
      <c r="C2220" t="s">
        <v>312</v>
      </c>
      <c r="D2220" s="3">
        <v>2020</v>
      </c>
      <c r="E2220" s="73">
        <v>5</v>
      </c>
      <c r="F2220" s="74" t="s">
        <v>36</v>
      </c>
      <c r="G2220" s="77">
        <v>0</v>
      </c>
      <c r="H2220" s="77">
        <v>15340</v>
      </c>
      <c r="I2220" s="76">
        <v>1</v>
      </c>
    </row>
    <row r="2221" spans="3:9" x14ac:dyDescent="0.35">
      <c r="C2221" t="s">
        <v>312</v>
      </c>
      <c r="D2221" s="3">
        <v>2020</v>
      </c>
      <c r="E2221" s="78">
        <f>E2220</f>
        <v>5</v>
      </c>
      <c r="F2221" s="74" t="s">
        <v>36</v>
      </c>
      <c r="G2221" s="77">
        <f>H2220</f>
        <v>15340</v>
      </c>
      <c r="H2221" s="77">
        <f>H2220+150</f>
        <v>15490</v>
      </c>
      <c r="I2221" s="76">
        <v>0.9</v>
      </c>
    </row>
    <row r="2222" spans="3:9" x14ac:dyDescent="0.35">
      <c r="C2222" t="s">
        <v>312</v>
      </c>
      <c r="D2222" s="3">
        <v>2020</v>
      </c>
      <c r="E2222" s="78">
        <f t="shared" ref="E2222:E2230" si="326">E2221</f>
        <v>5</v>
      </c>
      <c r="F2222" s="74" t="s">
        <v>36</v>
      </c>
      <c r="G2222" s="77">
        <f t="shared" ref="G2222:G2230" si="327">H2221</f>
        <v>15490</v>
      </c>
      <c r="H2222" s="77">
        <f t="shared" ref="H2222:H2228" si="328">H2221+150</f>
        <v>15640</v>
      </c>
      <c r="I2222" s="76">
        <v>0.8</v>
      </c>
    </row>
    <row r="2223" spans="3:9" x14ac:dyDescent="0.35">
      <c r="C2223" t="s">
        <v>312</v>
      </c>
      <c r="D2223" s="3">
        <v>2020</v>
      </c>
      <c r="E2223" s="78">
        <f t="shared" si="326"/>
        <v>5</v>
      </c>
      <c r="F2223" s="74" t="s">
        <v>36</v>
      </c>
      <c r="G2223" s="77">
        <f t="shared" si="327"/>
        <v>15640</v>
      </c>
      <c r="H2223" s="77">
        <f t="shared" si="328"/>
        <v>15790</v>
      </c>
      <c r="I2223" s="76">
        <v>0.7</v>
      </c>
    </row>
    <row r="2224" spans="3:9" x14ac:dyDescent="0.35">
      <c r="C2224" t="s">
        <v>312</v>
      </c>
      <c r="D2224" s="3">
        <v>2020</v>
      </c>
      <c r="E2224" s="78">
        <f t="shared" si="326"/>
        <v>5</v>
      </c>
      <c r="F2224" s="74" t="s">
        <v>36</v>
      </c>
      <c r="G2224" s="77">
        <f t="shared" si="327"/>
        <v>15790</v>
      </c>
      <c r="H2224" s="77">
        <f t="shared" si="328"/>
        <v>15940</v>
      </c>
      <c r="I2224" s="76">
        <v>0.6</v>
      </c>
    </row>
    <row r="2225" spans="3:9" x14ac:dyDescent="0.35">
      <c r="C2225" t="s">
        <v>312</v>
      </c>
      <c r="D2225" s="3">
        <v>2020</v>
      </c>
      <c r="E2225" s="78">
        <f t="shared" si="326"/>
        <v>5</v>
      </c>
      <c r="F2225" s="74" t="s">
        <v>36</v>
      </c>
      <c r="G2225" s="77">
        <f t="shared" si="327"/>
        <v>15940</v>
      </c>
      <c r="H2225" s="77">
        <f t="shared" si="328"/>
        <v>16090</v>
      </c>
      <c r="I2225" s="76">
        <v>0.5</v>
      </c>
    </row>
    <row r="2226" spans="3:9" x14ac:dyDescent="0.35">
      <c r="C2226" t="s">
        <v>312</v>
      </c>
      <c r="D2226" s="3">
        <v>2020</v>
      </c>
      <c r="E2226" s="78">
        <f t="shared" si="326"/>
        <v>5</v>
      </c>
      <c r="F2226" s="74" t="s">
        <v>36</v>
      </c>
      <c r="G2226" s="77">
        <f t="shared" si="327"/>
        <v>16090</v>
      </c>
      <c r="H2226" s="77">
        <f t="shared" si="328"/>
        <v>16240</v>
      </c>
      <c r="I2226" s="76">
        <v>0.4</v>
      </c>
    </row>
    <row r="2227" spans="3:9" x14ac:dyDescent="0.35">
      <c r="C2227" t="s">
        <v>312</v>
      </c>
      <c r="D2227" s="3">
        <v>2020</v>
      </c>
      <c r="E2227" s="78">
        <f t="shared" si="326"/>
        <v>5</v>
      </c>
      <c r="F2227" s="74" t="s">
        <v>36</v>
      </c>
      <c r="G2227" s="77">
        <f t="shared" si="327"/>
        <v>16240</v>
      </c>
      <c r="H2227" s="77">
        <f t="shared" si="328"/>
        <v>16390</v>
      </c>
      <c r="I2227" s="76">
        <v>0.3</v>
      </c>
    </row>
    <row r="2228" spans="3:9" x14ac:dyDescent="0.35">
      <c r="C2228" t="s">
        <v>312</v>
      </c>
      <c r="D2228" s="3">
        <v>2020</v>
      </c>
      <c r="E2228" s="78">
        <f t="shared" si="326"/>
        <v>5</v>
      </c>
      <c r="F2228" s="74" t="s">
        <v>36</v>
      </c>
      <c r="G2228" s="77">
        <f t="shared" si="327"/>
        <v>16390</v>
      </c>
      <c r="H2228" s="77">
        <f t="shared" si="328"/>
        <v>16540</v>
      </c>
      <c r="I2228" s="76">
        <v>0.2</v>
      </c>
    </row>
    <row r="2229" spans="3:9" x14ac:dyDescent="0.35">
      <c r="C2229" t="s">
        <v>312</v>
      </c>
      <c r="D2229" s="3">
        <v>2020</v>
      </c>
      <c r="E2229" s="78">
        <f t="shared" si="326"/>
        <v>5</v>
      </c>
      <c r="F2229" s="74" t="s">
        <v>36</v>
      </c>
      <c r="G2229" s="77">
        <f t="shared" si="327"/>
        <v>16540</v>
      </c>
      <c r="H2229" s="77">
        <f>H2228+150</f>
        <v>16690</v>
      </c>
      <c r="I2229" s="76">
        <v>0.1</v>
      </c>
    </row>
    <row r="2230" spans="3:9" x14ac:dyDescent="0.35">
      <c r="C2230" t="s">
        <v>312</v>
      </c>
      <c r="D2230" s="3">
        <v>2020</v>
      </c>
      <c r="E2230" s="78">
        <f t="shared" si="326"/>
        <v>5</v>
      </c>
      <c r="F2230" s="74" t="s">
        <v>36</v>
      </c>
      <c r="G2230" s="77">
        <f t="shared" si="327"/>
        <v>16690</v>
      </c>
      <c r="H2230" s="77"/>
      <c r="I2230" s="76">
        <v>0</v>
      </c>
    </row>
    <row r="2231" spans="3:9" x14ac:dyDescent="0.35">
      <c r="C2231" t="s">
        <v>312</v>
      </c>
      <c r="D2231" s="3">
        <v>2020</v>
      </c>
      <c r="E2231" s="73">
        <v>6</v>
      </c>
      <c r="F2231" s="74" t="s">
        <v>36</v>
      </c>
      <c r="G2231" s="77">
        <v>0</v>
      </c>
      <c r="H2231" s="77">
        <v>17580</v>
      </c>
      <c r="I2231" s="76">
        <v>1</v>
      </c>
    </row>
    <row r="2232" spans="3:9" x14ac:dyDescent="0.35">
      <c r="C2232" t="s">
        <v>312</v>
      </c>
      <c r="D2232" s="3">
        <v>2020</v>
      </c>
      <c r="E2232" s="78">
        <f>E2231</f>
        <v>6</v>
      </c>
      <c r="F2232" s="74" t="s">
        <v>36</v>
      </c>
      <c r="G2232" s="77">
        <f>H2231</f>
        <v>17580</v>
      </c>
      <c r="H2232" s="77">
        <f>H2231+150</f>
        <v>17730</v>
      </c>
      <c r="I2232" s="76">
        <v>0.9</v>
      </c>
    </row>
    <row r="2233" spans="3:9" x14ac:dyDescent="0.35">
      <c r="C2233" t="s">
        <v>312</v>
      </c>
      <c r="D2233" s="3">
        <v>2020</v>
      </c>
      <c r="E2233" s="78">
        <f t="shared" ref="E2233:E2241" si="329">E2232</f>
        <v>6</v>
      </c>
      <c r="F2233" s="74" t="s">
        <v>36</v>
      </c>
      <c r="G2233" s="77">
        <f t="shared" ref="G2233:G2241" si="330">H2232</f>
        <v>17730</v>
      </c>
      <c r="H2233" s="77">
        <f t="shared" ref="H2233:H2239" si="331">H2232+150</f>
        <v>17880</v>
      </c>
      <c r="I2233" s="76">
        <v>0.8</v>
      </c>
    </row>
    <row r="2234" spans="3:9" x14ac:dyDescent="0.35">
      <c r="C2234" t="s">
        <v>312</v>
      </c>
      <c r="D2234" s="3">
        <v>2020</v>
      </c>
      <c r="E2234" s="78">
        <f t="shared" si="329"/>
        <v>6</v>
      </c>
      <c r="F2234" s="74" t="s">
        <v>36</v>
      </c>
      <c r="G2234" s="77">
        <f t="shared" si="330"/>
        <v>17880</v>
      </c>
      <c r="H2234" s="77">
        <f t="shared" si="331"/>
        <v>18030</v>
      </c>
      <c r="I2234" s="76">
        <v>0.7</v>
      </c>
    </row>
    <row r="2235" spans="3:9" x14ac:dyDescent="0.35">
      <c r="C2235" t="s">
        <v>312</v>
      </c>
      <c r="D2235" s="3">
        <v>2020</v>
      </c>
      <c r="E2235" s="78">
        <f t="shared" si="329"/>
        <v>6</v>
      </c>
      <c r="F2235" s="74" t="s">
        <v>36</v>
      </c>
      <c r="G2235" s="77">
        <f t="shared" si="330"/>
        <v>18030</v>
      </c>
      <c r="H2235" s="77">
        <f t="shared" si="331"/>
        <v>18180</v>
      </c>
      <c r="I2235" s="76">
        <v>0.6</v>
      </c>
    </row>
    <row r="2236" spans="3:9" x14ac:dyDescent="0.35">
      <c r="C2236" t="s">
        <v>312</v>
      </c>
      <c r="D2236" s="3">
        <v>2020</v>
      </c>
      <c r="E2236" s="78">
        <f t="shared" si="329"/>
        <v>6</v>
      </c>
      <c r="F2236" s="74" t="s">
        <v>36</v>
      </c>
      <c r="G2236" s="77">
        <f t="shared" si="330"/>
        <v>18180</v>
      </c>
      <c r="H2236" s="77">
        <f t="shared" si="331"/>
        <v>18330</v>
      </c>
      <c r="I2236" s="76">
        <v>0.5</v>
      </c>
    </row>
    <row r="2237" spans="3:9" x14ac:dyDescent="0.35">
      <c r="C2237" t="s">
        <v>312</v>
      </c>
      <c r="D2237" s="3">
        <v>2020</v>
      </c>
      <c r="E2237" s="78">
        <f t="shared" si="329"/>
        <v>6</v>
      </c>
      <c r="F2237" s="74" t="s">
        <v>36</v>
      </c>
      <c r="G2237" s="77">
        <f t="shared" si="330"/>
        <v>18330</v>
      </c>
      <c r="H2237" s="77">
        <f t="shared" si="331"/>
        <v>18480</v>
      </c>
      <c r="I2237" s="76">
        <v>0.4</v>
      </c>
    </row>
    <row r="2238" spans="3:9" x14ac:dyDescent="0.35">
      <c r="C2238" t="s">
        <v>312</v>
      </c>
      <c r="D2238" s="3">
        <v>2020</v>
      </c>
      <c r="E2238" s="78">
        <f t="shared" si="329"/>
        <v>6</v>
      </c>
      <c r="F2238" s="74" t="s">
        <v>36</v>
      </c>
      <c r="G2238" s="77">
        <f t="shared" si="330"/>
        <v>18480</v>
      </c>
      <c r="H2238" s="77">
        <f t="shared" si="331"/>
        <v>18630</v>
      </c>
      <c r="I2238" s="76">
        <v>0.3</v>
      </c>
    </row>
    <row r="2239" spans="3:9" x14ac:dyDescent="0.35">
      <c r="C2239" t="s">
        <v>312</v>
      </c>
      <c r="D2239" s="3">
        <v>2020</v>
      </c>
      <c r="E2239" s="78">
        <f t="shared" si="329"/>
        <v>6</v>
      </c>
      <c r="F2239" s="74" t="s">
        <v>36</v>
      </c>
      <c r="G2239" s="77">
        <f t="shared" si="330"/>
        <v>18630</v>
      </c>
      <c r="H2239" s="77">
        <f t="shared" si="331"/>
        <v>18780</v>
      </c>
      <c r="I2239" s="76">
        <v>0.2</v>
      </c>
    </row>
    <row r="2240" spans="3:9" x14ac:dyDescent="0.35">
      <c r="C2240" t="s">
        <v>312</v>
      </c>
      <c r="D2240" s="3">
        <v>2020</v>
      </c>
      <c r="E2240" s="78">
        <f t="shared" si="329"/>
        <v>6</v>
      </c>
      <c r="F2240" s="74" t="s">
        <v>36</v>
      </c>
      <c r="G2240" s="77">
        <f t="shared" si="330"/>
        <v>18780</v>
      </c>
      <c r="H2240" s="77">
        <f>H2239+150</f>
        <v>18930</v>
      </c>
      <c r="I2240" s="76">
        <v>0.1</v>
      </c>
    </row>
    <row r="2241" spans="3:9" x14ac:dyDescent="0.35">
      <c r="C2241" t="s">
        <v>312</v>
      </c>
      <c r="D2241" s="3">
        <v>2020</v>
      </c>
      <c r="E2241" s="78">
        <f t="shared" si="329"/>
        <v>6</v>
      </c>
      <c r="F2241" s="74" t="s">
        <v>36</v>
      </c>
      <c r="G2241" s="77">
        <f t="shared" si="330"/>
        <v>18930</v>
      </c>
      <c r="H2241" s="77"/>
      <c r="I2241" s="76">
        <v>0</v>
      </c>
    </row>
    <row r="2242" spans="3:9" x14ac:dyDescent="0.35">
      <c r="C2242" t="s">
        <v>312</v>
      </c>
      <c r="D2242" s="3">
        <v>2020</v>
      </c>
      <c r="E2242" s="73">
        <v>7</v>
      </c>
      <c r="F2242" s="74" t="s">
        <v>36</v>
      </c>
      <c r="G2242" s="77">
        <v>0</v>
      </c>
      <c r="H2242" s="77">
        <v>19820</v>
      </c>
      <c r="I2242" s="76">
        <v>1</v>
      </c>
    </row>
    <row r="2243" spans="3:9" x14ac:dyDescent="0.35">
      <c r="C2243" t="s">
        <v>312</v>
      </c>
      <c r="D2243" s="3">
        <v>2020</v>
      </c>
      <c r="E2243" s="78">
        <f>E2242</f>
        <v>7</v>
      </c>
      <c r="F2243" s="74" t="s">
        <v>36</v>
      </c>
      <c r="G2243" s="77">
        <f>H2242</f>
        <v>19820</v>
      </c>
      <c r="H2243" s="77">
        <f>H2242+150</f>
        <v>19970</v>
      </c>
      <c r="I2243" s="76">
        <v>0.9</v>
      </c>
    </row>
    <row r="2244" spans="3:9" x14ac:dyDescent="0.35">
      <c r="C2244" t="s">
        <v>312</v>
      </c>
      <c r="D2244" s="3">
        <v>2020</v>
      </c>
      <c r="E2244" s="78">
        <f t="shared" ref="E2244:E2252" si="332">E2243</f>
        <v>7</v>
      </c>
      <c r="F2244" s="74" t="s">
        <v>36</v>
      </c>
      <c r="G2244" s="77">
        <f t="shared" ref="G2244:G2252" si="333">H2243</f>
        <v>19970</v>
      </c>
      <c r="H2244" s="77">
        <f t="shared" ref="H2244:H2250" si="334">H2243+150</f>
        <v>20120</v>
      </c>
      <c r="I2244" s="76">
        <v>0.8</v>
      </c>
    </row>
    <row r="2245" spans="3:9" x14ac:dyDescent="0.35">
      <c r="C2245" t="s">
        <v>312</v>
      </c>
      <c r="D2245" s="3">
        <v>2020</v>
      </c>
      <c r="E2245" s="78">
        <f t="shared" si="332"/>
        <v>7</v>
      </c>
      <c r="F2245" s="74" t="s">
        <v>36</v>
      </c>
      <c r="G2245" s="77">
        <f t="shared" si="333"/>
        <v>20120</v>
      </c>
      <c r="H2245" s="77">
        <f t="shared" si="334"/>
        <v>20270</v>
      </c>
      <c r="I2245" s="76">
        <v>0.7</v>
      </c>
    </row>
    <row r="2246" spans="3:9" x14ac:dyDescent="0.35">
      <c r="C2246" t="s">
        <v>312</v>
      </c>
      <c r="D2246" s="3">
        <v>2020</v>
      </c>
      <c r="E2246" s="78">
        <f t="shared" si="332"/>
        <v>7</v>
      </c>
      <c r="F2246" s="74" t="s">
        <v>36</v>
      </c>
      <c r="G2246" s="77">
        <f t="shared" si="333"/>
        <v>20270</v>
      </c>
      <c r="H2246" s="77">
        <f t="shared" si="334"/>
        <v>20420</v>
      </c>
      <c r="I2246" s="76">
        <v>0.6</v>
      </c>
    </row>
    <row r="2247" spans="3:9" x14ac:dyDescent="0.35">
      <c r="C2247" t="s">
        <v>312</v>
      </c>
      <c r="D2247" s="3">
        <v>2020</v>
      </c>
      <c r="E2247" s="78">
        <f t="shared" si="332"/>
        <v>7</v>
      </c>
      <c r="F2247" s="74" t="s">
        <v>36</v>
      </c>
      <c r="G2247" s="77">
        <f t="shared" si="333"/>
        <v>20420</v>
      </c>
      <c r="H2247" s="77">
        <f t="shared" si="334"/>
        <v>20570</v>
      </c>
      <c r="I2247" s="76">
        <v>0.5</v>
      </c>
    </row>
    <row r="2248" spans="3:9" x14ac:dyDescent="0.35">
      <c r="C2248" t="s">
        <v>312</v>
      </c>
      <c r="D2248" s="3">
        <v>2020</v>
      </c>
      <c r="E2248" s="78">
        <f t="shared" si="332"/>
        <v>7</v>
      </c>
      <c r="F2248" s="74" t="s">
        <v>36</v>
      </c>
      <c r="G2248" s="77">
        <f t="shared" si="333"/>
        <v>20570</v>
      </c>
      <c r="H2248" s="77">
        <f t="shared" si="334"/>
        <v>20720</v>
      </c>
      <c r="I2248" s="76">
        <v>0.4</v>
      </c>
    </row>
    <row r="2249" spans="3:9" x14ac:dyDescent="0.35">
      <c r="C2249" t="s">
        <v>312</v>
      </c>
      <c r="D2249" s="3">
        <v>2020</v>
      </c>
      <c r="E2249" s="78">
        <f t="shared" si="332"/>
        <v>7</v>
      </c>
      <c r="F2249" s="74" t="s">
        <v>36</v>
      </c>
      <c r="G2249" s="77">
        <f t="shared" si="333"/>
        <v>20720</v>
      </c>
      <c r="H2249" s="77">
        <f t="shared" si="334"/>
        <v>20870</v>
      </c>
      <c r="I2249" s="76">
        <v>0.3</v>
      </c>
    </row>
    <row r="2250" spans="3:9" x14ac:dyDescent="0.35">
      <c r="C2250" t="s">
        <v>312</v>
      </c>
      <c r="D2250" s="3">
        <v>2020</v>
      </c>
      <c r="E2250" s="78">
        <f t="shared" si="332"/>
        <v>7</v>
      </c>
      <c r="F2250" s="74" t="s">
        <v>36</v>
      </c>
      <c r="G2250" s="77">
        <f t="shared" si="333"/>
        <v>20870</v>
      </c>
      <c r="H2250" s="77">
        <f t="shared" si="334"/>
        <v>21020</v>
      </c>
      <c r="I2250" s="76">
        <v>0.2</v>
      </c>
    </row>
    <row r="2251" spans="3:9" x14ac:dyDescent="0.35">
      <c r="C2251" t="s">
        <v>312</v>
      </c>
      <c r="D2251" s="3">
        <v>2020</v>
      </c>
      <c r="E2251" s="78">
        <f t="shared" si="332"/>
        <v>7</v>
      </c>
      <c r="F2251" s="74" t="s">
        <v>36</v>
      </c>
      <c r="G2251" s="77">
        <f t="shared" si="333"/>
        <v>21020</v>
      </c>
      <c r="H2251" s="77">
        <f>H2250+150</f>
        <v>21170</v>
      </c>
      <c r="I2251" s="76">
        <v>0.1</v>
      </c>
    </row>
    <row r="2252" spans="3:9" x14ac:dyDescent="0.35">
      <c r="C2252" t="s">
        <v>312</v>
      </c>
      <c r="D2252" s="3">
        <v>2020</v>
      </c>
      <c r="E2252" s="78">
        <f t="shared" si="332"/>
        <v>7</v>
      </c>
      <c r="F2252" s="74" t="s">
        <v>36</v>
      </c>
      <c r="G2252" s="77">
        <f t="shared" si="333"/>
        <v>21170</v>
      </c>
      <c r="H2252" s="77"/>
      <c r="I2252" s="76">
        <v>0</v>
      </c>
    </row>
    <row r="2253" spans="3:9" x14ac:dyDescent="0.35">
      <c r="C2253" t="s">
        <v>312</v>
      </c>
      <c r="D2253" s="3">
        <v>2020</v>
      </c>
      <c r="E2253" s="73">
        <v>8</v>
      </c>
      <c r="F2253" s="74" t="s">
        <v>36</v>
      </c>
      <c r="G2253" s="77">
        <v>0</v>
      </c>
      <c r="H2253" s="77">
        <v>22060</v>
      </c>
      <c r="I2253" s="76">
        <v>1</v>
      </c>
    </row>
    <row r="2254" spans="3:9" x14ac:dyDescent="0.35">
      <c r="C2254" t="s">
        <v>312</v>
      </c>
      <c r="D2254" s="3">
        <v>2020</v>
      </c>
      <c r="E2254" s="78">
        <f>E2253</f>
        <v>8</v>
      </c>
      <c r="F2254" s="74" t="s">
        <v>36</v>
      </c>
      <c r="G2254" s="77">
        <f>H2253</f>
        <v>22060</v>
      </c>
      <c r="H2254" s="77">
        <f>H2253+150</f>
        <v>22210</v>
      </c>
      <c r="I2254" s="76">
        <v>0.9</v>
      </c>
    </row>
    <row r="2255" spans="3:9" x14ac:dyDescent="0.35">
      <c r="C2255" t="s">
        <v>312</v>
      </c>
      <c r="D2255" s="3">
        <v>2020</v>
      </c>
      <c r="E2255" s="78">
        <f t="shared" ref="E2255:E2263" si="335">E2254</f>
        <v>8</v>
      </c>
      <c r="F2255" s="74" t="s">
        <v>36</v>
      </c>
      <c r="G2255" s="77">
        <f t="shared" ref="G2255:G2263" si="336">H2254</f>
        <v>22210</v>
      </c>
      <c r="H2255" s="77">
        <f t="shared" ref="H2255:H2261" si="337">H2254+150</f>
        <v>22360</v>
      </c>
      <c r="I2255" s="76">
        <v>0.8</v>
      </c>
    </row>
    <row r="2256" spans="3:9" x14ac:dyDescent="0.35">
      <c r="C2256" t="s">
        <v>312</v>
      </c>
      <c r="D2256" s="3">
        <v>2020</v>
      </c>
      <c r="E2256" s="78">
        <f t="shared" si="335"/>
        <v>8</v>
      </c>
      <c r="F2256" s="74" t="s">
        <v>36</v>
      </c>
      <c r="G2256" s="77">
        <f t="shared" si="336"/>
        <v>22360</v>
      </c>
      <c r="H2256" s="77">
        <f t="shared" si="337"/>
        <v>22510</v>
      </c>
      <c r="I2256" s="76">
        <v>0.7</v>
      </c>
    </row>
    <row r="2257" spans="3:9" x14ac:dyDescent="0.35">
      <c r="C2257" t="s">
        <v>312</v>
      </c>
      <c r="D2257" s="3">
        <v>2020</v>
      </c>
      <c r="E2257" s="78">
        <f t="shared" si="335"/>
        <v>8</v>
      </c>
      <c r="F2257" s="74" t="s">
        <v>36</v>
      </c>
      <c r="G2257" s="77">
        <f t="shared" si="336"/>
        <v>22510</v>
      </c>
      <c r="H2257" s="77">
        <f t="shared" si="337"/>
        <v>22660</v>
      </c>
      <c r="I2257" s="76">
        <v>0.6</v>
      </c>
    </row>
    <row r="2258" spans="3:9" x14ac:dyDescent="0.35">
      <c r="C2258" t="s">
        <v>312</v>
      </c>
      <c r="D2258" s="3">
        <v>2020</v>
      </c>
      <c r="E2258" s="78">
        <f t="shared" si="335"/>
        <v>8</v>
      </c>
      <c r="F2258" s="74" t="s">
        <v>36</v>
      </c>
      <c r="G2258" s="77">
        <f t="shared" si="336"/>
        <v>22660</v>
      </c>
      <c r="H2258" s="77">
        <f t="shared" si="337"/>
        <v>22810</v>
      </c>
      <c r="I2258" s="76">
        <v>0.5</v>
      </c>
    </row>
    <row r="2259" spans="3:9" x14ac:dyDescent="0.35">
      <c r="C2259" t="s">
        <v>312</v>
      </c>
      <c r="D2259" s="3">
        <v>2020</v>
      </c>
      <c r="E2259" s="78">
        <f t="shared" si="335"/>
        <v>8</v>
      </c>
      <c r="F2259" s="74" t="s">
        <v>36</v>
      </c>
      <c r="G2259" s="77">
        <f t="shared" si="336"/>
        <v>22810</v>
      </c>
      <c r="H2259" s="77">
        <f t="shared" si="337"/>
        <v>22960</v>
      </c>
      <c r="I2259" s="76">
        <v>0.4</v>
      </c>
    </row>
    <row r="2260" spans="3:9" x14ac:dyDescent="0.35">
      <c r="C2260" t="s">
        <v>312</v>
      </c>
      <c r="D2260" s="3">
        <v>2020</v>
      </c>
      <c r="E2260" s="78">
        <f t="shared" si="335"/>
        <v>8</v>
      </c>
      <c r="F2260" s="74" t="s">
        <v>36</v>
      </c>
      <c r="G2260" s="77">
        <f t="shared" si="336"/>
        <v>22960</v>
      </c>
      <c r="H2260" s="77">
        <f t="shared" si="337"/>
        <v>23110</v>
      </c>
      <c r="I2260" s="76">
        <v>0.3</v>
      </c>
    </row>
    <row r="2261" spans="3:9" x14ac:dyDescent="0.35">
      <c r="C2261" t="s">
        <v>312</v>
      </c>
      <c r="D2261" s="3">
        <v>2020</v>
      </c>
      <c r="E2261" s="78">
        <f t="shared" si="335"/>
        <v>8</v>
      </c>
      <c r="F2261" s="74" t="s">
        <v>36</v>
      </c>
      <c r="G2261" s="77">
        <f t="shared" si="336"/>
        <v>23110</v>
      </c>
      <c r="H2261" s="77">
        <f t="shared" si="337"/>
        <v>23260</v>
      </c>
      <c r="I2261" s="76">
        <v>0.2</v>
      </c>
    </row>
    <row r="2262" spans="3:9" x14ac:dyDescent="0.35">
      <c r="C2262" t="s">
        <v>312</v>
      </c>
      <c r="D2262" s="3">
        <v>2020</v>
      </c>
      <c r="E2262" s="78">
        <f t="shared" si="335"/>
        <v>8</v>
      </c>
      <c r="F2262" s="74" t="s">
        <v>36</v>
      </c>
      <c r="G2262" s="77">
        <f t="shared" si="336"/>
        <v>23260</v>
      </c>
      <c r="H2262" s="77">
        <f>H2261+150</f>
        <v>23410</v>
      </c>
      <c r="I2262" s="76">
        <v>0.1</v>
      </c>
    </row>
    <row r="2263" spans="3:9" x14ac:dyDescent="0.35">
      <c r="C2263" t="s">
        <v>312</v>
      </c>
      <c r="D2263" s="3">
        <v>2020</v>
      </c>
      <c r="E2263" s="78">
        <f t="shared" si="335"/>
        <v>8</v>
      </c>
      <c r="F2263" s="74" t="s">
        <v>36</v>
      </c>
      <c r="G2263" s="77">
        <f t="shared" si="336"/>
        <v>23410</v>
      </c>
      <c r="H2263" s="77"/>
      <c r="I2263" s="76">
        <v>0</v>
      </c>
    </row>
    <row r="2264" spans="3:9" x14ac:dyDescent="0.35">
      <c r="C2264" t="s">
        <v>312</v>
      </c>
      <c r="D2264" s="3">
        <v>2020</v>
      </c>
      <c r="E2264" s="73">
        <v>9</v>
      </c>
      <c r="F2264" s="74" t="s">
        <v>36</v>
      </c>
      <c r="G2264" s="77">
        <v>0</v>
      </c>
      <c r="H2264" s="75">
        <f>H2253</f>
        <v>22060</v>
      </c>
      <c r="I2264" s="76">
        <v>1</v>
      </c>
    </row>
    <row r="2265" spans="3:9" x14ac:dyDescent="0.35">
      <c r="C2265" t="s">
        <v>312</v>
      </c>
      <c r="D2265" s="3">
        <v>2020</v>
      </c>
      <c r="E2265" s="78">
        <f>E2264</f>
        <v>9</v>
      </c>
      <c r="F2265" s="74" t="s">
        <v>36</v>
      </c>
      <c r="G2265" s="77">
        <f>H2264</f>
        <v>22060</v>
      </c>
      <c r="H2265" s="77">
        <f>H2264+150</f>
        <v>22210</v>
      </c>
      <c r="I2265" s="76">
        <v>0.9</v>
      </c>
    </row>
    <row r="2266" spans="3:9" x14ac:dyDescent="0.35">
      <c r="C2266" t="s">
        <v>312</v>
      </c>
      <c r="D2266" s="3">
        <v>2020</v>
      </c>
      <c r="E2266" s="78">
        <f t="shared" ref="E2266:E2274" si="338">E2265</f>
        <v>9</v>
      </c>
      <c r="F2266" s="74" t="s">
        <v>36</v>
      </c>
      <c r="G2266" s="77">
        <f t="shared" ref="G2266:G2274" si="339">H2265</f>
        <v>22210</v>
      </c>
      <c r="H2266" s="77">
        <f t="shared" ref="H2266:H2272" si="340">H2265+150</f>
        <v>22360</v>
      </c>
      <c r="I2266" s="76">
        <v>0.8</v>
      </c>
    </row>
    <row r="2267" spans="3:9" x14ac:dyDescent="0.35">
      <c r="C2267" t="s">
        <v>312</v>
      </c>
      <c r="D2267" s="3">
        <v>2020</v>
      </c>
      <c r="E2267" s="78">
        <f t="shared" si="338"/>
        <v>9</v>
      </c>
      <c r="F2267" s="74" t="s">
        <v>36</v>
      </c>
      <c r="G2267" s="77">
        <f t="shared" si="339"/>
        <v>22360</v>
      </c>
      <c r="H2267" s="77">
        <f t="shared" si="340"/>
        <v>22510</v>
      </c>
      <c r="I2267" s="76">
        <v>0.7</v>
      </c>
    </row>
    <row r="2268" spans="3:9" x14ac:dyDescent="0.35">
      <c r="C2268" t="s">
        <v>312</v>
      </c>
      <c r="D2268" s="3">
        <v>2020</v>
      </c>
      <c r="E2268" s="78">
        <f t="shared" si="338"/>
        <v>9</v>
      </c>
      <c r="F2268" s="74" t="s">
        <v>36</v>
      </c>
      <c r="G2268" s="77">
        <f t="shared" si="339"/>
        <v>22510</v>
      </c>
      <c r="H2268" s="77">
        <f t="shared" si="340"/>
        <v>22660</v>
      </c>
      <c r="I2268" s="76">
        <v>0.6</v>
      </c>
    </row>
    <row r="2269" spans="3:9" x14ac:dyDescent="0.35">
      <c r="C2269" t="s">
        <v>312</v>
      </c>
      <c r="D2269" s="3">
        <v>2020</v>
      </c>
      <c r="E2269" s="78">
        <f t="shared" si="338"/>
        <v>9</v>
      </c>
      <c r="F2269" s="74" t="s">
        <v>36</v>
      </c>
      <c r="G2269" s="77">
        <f t="shared" si="339"/>
        <v>22660</v>
      </c>
      <c r="H2269" s="77">
        <f t="shared" si="340"/>
        <v>22810</v>
      </c>
      <c r="I2269" s="76">
        <v>0.5</v>
      </c>
    </row>
    <row r="2270" spans="3:9" x14ac:dyDescent="0.35">
      <c r="C2270" t="s">
        <v>312</v>
      </c>
      <c r="D2270" s="3">
        <v>2020</v>
      </c>
      <c r="E2270" s="78">
        <f t="shared" si="338"/>
        <v>9</v>
      </c>
      <c r="F2270" s="74" t="s">
        <v>36</v>
      </c>
      <c r="G2270" s="77">
        <f t="shared" si="339"/>
        <v>22810</v>
      </c>
      <c r="H2270" s="77">
        <f t="shared" si="340"/>
        <v>22960</v>
      </c>
      <c r="I2270" s="76">
        <v>0.4</v>
      </c>
    </row>
    <row r="2271" spans="3:9" x14ac:dyDescent="0.35">
      <c r="C2271" t="s">
        <v>312</v>
      </c>
      <c r="D2271" s="3">
        <v>2020</v>
      </c>
      <c r="E2271" s="78">
        <f t="shared" si="338"/>
        <v>9</v>
      </c>
      <c r="F2271" s="74" t="s">
        <v>36</v>
      </c>
      <c r="G2271" s="77">
        <f t="shared" si="339"/>
        <v>22960</v>
      </c>
      <c r="H2271" s="77">
        <f t="shared" si="340"/>
        <v>23110</v>
      </c>
      <c r="I2271" s="76">
        <v>0.3</v>
      </c>
    </row>
    <row r="2272" spans="3:9" x14ac:dyDescent="0.35">
      <c r="C2272" t="s">
        <v>312</v>
      </c>
      <c r="D2272" s="3">
        <v>2020</v>
      </c>
      <c r="E2272" s="78">
        <f t="shared" si="338"/>
        <v>9</v>
      </c>
      <c r="F2272" s="74" t="s">
        <v>36</v>
      </c>
      <c r="G2272" s="77">
        <f t="shared" si="339"/>
        <v>23110</v>
      </c>
      <c r="H2272" s="77">
        <f t="shared" si="340"/>
        <v>23260</v>
      </c>
      <c r="I2272" s="76">
        <v>0.2</v>
      </c>
    </row>
    <row r="2273" spans="3:9" x14ac:dyDescent="0.35">
      <c r="C2273" t="s">
        <v>312</v>
      </c>
      <c r="D2273" s="3">
        <v>2020</v>
      </c>
      <c r="E2273" s="78">
        <f t="shared" si="338"/>
        <v>9</v>
      </c>
      <c r="F2273" s="74" t="s">
        <v>36</v>
      </c>
      <c r="G2273" s="77">
        <f t="shared" si="339"/>
        <v>23260</v>
      </c>
      <c r="H2273" s="77">
        <f>H2272+150</f>
        <v>23410</v>
      </c>
      <c r="I2273" s="76">
        <v>0.1</v>
      </c>
    </row>
    <row r="2274" spans="3:9" x14ac:dyDescent="0.35">
      <c r="C2274" t="s">
        <v>312</v>
      </c>
      <c r="D2274" s="3">
        <v>2020</v>
      </c>
      <c r="E2274" s="78">
        <f t="shared" si="338"/>
        <v>9</v>
      </c>
      <c r="F2274" s="74" t="s">
        <v>36</v>
      </c>
      <c r="G2274" s="77">
        <f t="shared" si="339"/>
        <v>23410</v>
      </c>
      <c r="H2274" s="77"/>
      <c r="I2274" s="76">
        <v>0</v>
      </c>
    </row>
    <row r="2275" spans="3:9" x14ac:dyDescent="0.35">
      <c r="C2275" t="s">
        <v>312</v>
      </c>
      <c r="D2275" s="3">
        <v>2020</v>
      </c>
      <c r="E2275" s="73">
        <v>10</v>
      </c>
      <c r="F2275" s="74" t="s">
        <v>36</v>
      </c>
      <c r="G2275" s="77">
        <v>0</v>
      </c>
      <c r="H2275" s="75">
        <f>H2264</f>
        <v>22060</v>
      </c>
      <c r="I2275" s="76">
        <v>1</v>
      </c>
    </row>
    <row r="2276" spans="3:9" x14ac:dyDescent="0.35">
      <c r="C2276" t="s">
        <v>312</v>
      </c>
      <c r="D2276" s="3">
        <v>2020</v>
      </c>
      <c r="E2276" s="78">
        <f>E2275</f>
        <v>10</v>
      </c>
      <c r="F2276" s="74" t="s">
        <v>36</v>
      </c>
      <c r="G2276" s="77">
        <f>H2275</f>
        <v>22060</v>
      </c>
      <c r="H2276" s="77">
        <f>H2275+150</f>
        <v>22210</v>
      </c>
      <c r="I2276" s="76">
        <v>0.9</v>
      </c>
    </row>
    <row r="2277" spans="3:9" x14ac:dyDescent="0.35">
      <c r="C2277" t="s">
        <v>312</v>
      </c>
      <c r="D2277" s="3">
        <v>2020</v>
      </c>
      <c r="E2277" s="78">
        <f t="shared" ref="E2277:E2285" si="341">E2276</f>
        <v>10</v>
      </c>
      <c r="F2277" s="74" t="s">
        <v>36</v>
      </c>
      <c r="G2277" s="77">
        <f t="shared" ref="G2277:G2285" si="342">H2276</f>
        <v>22210</v>
      </c>
      <c r="H2277" s="77">
        <f t="shared" ref="H2277:H2283" si="343">H2276+150</f>
        <v>22360</v>
      </c>
      <c r="I2277" s="76">
        <v>0.8</v>
      </c>
    </row>
    <row r="2278" spans="3:9" x14ac:dyDescent="0.35">
      <c r="C2278" t="s">
        <v>312</v>
      </c>
      <c r="D2278" s="3">
        <v>2020</v>
      </c>
      <c r="E2278" s="78">
        <f t="shared" si="341"/>
        <v>10</v>
      </c>
      <c r="F2278" s="74" t="s">
        <v>36</v>
      </c>
      <c r="G2278" s="77">
        <f t="shared" si="342"/>
        <v>22360</v>
      </c>
      <c r="H2278" s="77">
        <f t="shared" si="343"/>
        <v>22510</v>
      </c>
      <c r="I2278" s="76">
        <v>0.7</v>
      </c>
    </row>
    <row r="2279" spans="3:9" x14ac:dyDescent="0.35">
      <c r="C2279" t="s">
        <v>312</v>
      </c>
      <c r="D2279" s="3">
        <v>2020</v>
      </c>
      <c r="E2279" s="78">
        <f t="shared" si="341"/>
        <v>10</v>
      </c>
      <c r="F2279" s="74" t="s">
        <v>36</v>
      </c>
      <c r="G2279" s="77">
        <f t="shared" si="342"/>
        <v>22510</v>
      </c>
      <c r="H2279" s="77">
        <f t="shared" si="343"/>
        <v>22660</v>
      </c>
      <c r="I2279" s="76">
        <v>0.6</v>
      </c>
    </row>
    <row r="2280" spans="3:9" x14ac:dyDescent="0.35">
      <c r="C2280" t="s">
        <v>312</v>
      </c>
      <c r="D2280" s="3">
        <v>2020</v>
      </c>
      <c r="E2280" s="78">
        <f t="shared" si="341"/>
        <v>10</v>
      </c>
      <c r="F2280" s="74" t="s">
        <v>36</v>
      </c>
      <c r="G2280" s="77">
        <f t="shared" si="342"/>
        <v>22660</v>
      </c>
      <c r="H2280" s="77">
        <f t="shared" si="343"/>
        <v>22810</v>
      </c>
      <c r="I2280" s="76">
        <v>0.5</v>
      </c>
    </row>
    <row r="2281" spans="3:9" x14ac:dyDescent="0.35">
      <c r="C2281" t="s">
        <v>312</v>
      </c>
      <c r="D2281" s="3">
        <v>2020</v>
      </c>
      <c r="E2281" s="78">
        <f t="shared" si="341"/>
        <v>10</v>
      </c>
      <c r="F2281" s="74" t="s">
        <v>36</v>
      </c>
      <c r="G2281" s="77">
        <f t="shared" si="342"/>
        <v>22810</v>
      </c>
      <c r="H2281" s="77">
        <f t="shared" si="343"/>
        <v>22960</v>
      </c>
      <c r="I2281" s="76">
        <v>0.4</v>
      </c>
    </row>
    <row r="2282" spans="3:9" x14ac:dyDescent="0.35">
      <c r="C2282" t="s">
        <v>312</v>
      </c>
      <c r="D2282" s="3">
        <v>2020</v>
      </c>
      <c r="E2282" s="78">
        <f t="shared" si="341"/>
        <v>10</v>
      </c>
      <c r="F2282" s="74" t="s">
        <v>36</v>
      </c>
      <c r="G2282" s="77">
        <f t="shared" si="342"/>
        <v>22960</v>
      </c>
      <c r="H2282" s="77">
        <f t="shared" si="343"/>
        <v>23110</v>
      </c>
      <c r="I2282" s="76">
        <v>0.3</v>
      </c>
    </row>
    <row r="2283" spans="3:9" x14ac:dyDescent="0.35">
      <c r="C2283" t="s">
        <v>312</v>
      </c>
      <c r="D2283" s="3">
        <v>2020</v>
      </c>
      <c r="E2283" s="78">
        <f t="shared" si="341"/>
        <v>10</v>
      </c>
      <c r="F2283" s="74" t="s">
        <v>36</v>
      </c>
      <c r="G2283" s="77">
        <f t="shared" si="342"/>
        <v>23110</v>
      </c>
      <c r="H2283" s="77">
        <f t="shared" si="343"/>
        <v>23260</v>
      </c>
      <c r="I2283" s="76">
        <v>0.2</v>
      </c>
    </row>
    <row r="2284" spans="3:9" x14ac:dyDescent="0.35">
      <c r="C2284" t="s">
        <v>312</v>
      </c>
      <c r="D2284" s="3">
        <v>2020</v>
      </c>
      <c r="E2284" s="78">
        <f t="shared" si="341"/>
        <v>10</v>
      </c>
      <c r="F2284" s="74" t="s">
        <v>36</v>
      </c>
      <c r="G2284" s="77">
        <f t="shared" si="342"/>
        <v>23260</v>
      </c>
      <c r="H2284" s="77">
        <f>H2283+150</f>
        <v>23410</v>
      </c>
      <c r="I2284" s="76">
        <v>0.1</v>
      </c>
    </row>
    <row r="2285" spans="3:9" x14ac:dyDescent="0.35">
      <c r="C2285" t="s">
        <v>312</v>
      </c>
      <c r="D2285" s="3">
        <v>2020</v>
      </c>
      <c r="E2285" s="78">
        <f t="shared" si="341"/>
        <v>10</v>
      </c>
      <c r="F2285" s="74" t="s">
        <v>36</v>
      </c>
      <c r="G2285" s="77">
        <f t="shared" si="342"/>
        <v>23410</v>
      </c>
      <c r="H2285" s="77"/>
      <c r="I2285" s="76">
        <v>0</v>
      </c>
    </row>
    <row r="2286" spans="3:9" x14ac:dyDescent="0.35">
      <c r="C2286" t="s">
        <v>312</v>
      </c>
      <c r="D2286" s="3">
        <v>2021</v>
      </c>
      <c r="E2286" s="73">
        <v>1</v>
      </c>
      <c r="F2286" s="74" t="s">
        <v>54</v>
      </c>
      <c r="G2286" s="75">
        <v>0</v>
      </c>
      <c r="H2286" s="75">
        <v>12880</v>
      </c>
      <c r="I2286" s="76">
        <v>1</v>
      </c>
    </row>
    <row r="2287" spans="3:9" x14ac:dyDescent="0.35">
      <c r="C2287" t="s">
        <v>312</v>
      </c>
      <c r="D2287" s="3">
        <v>2021</v>
      </c>
      <c r="E2287" s="73">
        <v>1</v>
      </c>
      <c r="F2287" s="74" t="s">
        <v>54</v>
      </c>
      <c r="G2287" s="77">
        <f>H2286</f>
        <v>12880</v>
      </c>
      <c r="H2287" s="77">
        <f>H2286+300</f>
        <v>13180</v>
      </c>
      <c r="I2287" s="76">
        <v>0.9</v>
      </c>
    </row>
    <row r="2288" spans="3:9" x14ac:dyDescent="0.35">
      <c r="C2288" t="s">
        <v>312</v>
      </c>
      <c r="D2288" s="3">
        <v>2021</v>
      </c>
      <c r="E2288" s="73">
        <v>1</v>
      </c>
      <c r="F2288" s="74" t="s">
        <v>54</v>
      </c>
      <c r="G2288" s="77">
        <f t="shared" ref="G2288:G2296" si="344">H2287</f>
        <v>13180</v>
      </c>
      <c r="H2288" s="77">
        <f t="shared" ref="H2288:H2295" si="345">H2287+300</f>
        <v>13480</v>
      </c>
      <c r="I2288" s="76">
        <v>0.8</v>
      </c>
    </row>
    <row r="2289" spans="3:9" x14ac:dyDescent="0.35">
      <c r="C2289" t="s">
        <v>312</v>
      </c>
      <c r="D2289" s="3">
        <v>2021</v>
      </c>
      <c r="E2289" s="73">
        <v>1</v>
      </c>
      <c r="F2289" s="74" t="s">
        <v>54</v>
      </c>
      <c r="G2289" s="77">
        <f t="shared" si="344"/>
        <v>13480</v>
      </c>
      <c r="H2289" s="77">
        <f t="shared" si="345"/>
        <v>13780</v>
      </c>
      <c r="I2289" s="76">
        <v>0.7</v>
      </c>
    </row>
    <row r="2290" spans="3:9" x14ac:dyDescent="0.35">
      <c r="C2290" t="s">
        <v>312</v>
      </c>
      <c r="D2290" s="3">
        <v>2021</v>
      </c>
      <c r="E2290" s="73">
        <v>1</v>
      </c>
      <c r="F2290" s="74" t="s">
        <v>54</v>
      </c>
      <c r="G2290" s="77">
        <f t="shared" si="344"/>
        <v>13780</v>
      </c>
      <c r="H2290" s="77">
        <f t="shared" si="345"/>
        <v>14080</v>
      </c>
      <c r="I2290" s="76">
        <v>0.6</v>
      </c>
    </row>
    <row r="2291" spans="3:9" x14ac:dyDescent="0.35">
      <c r="C2291" t="s">
        <v>312</v>
      </c>
      <c r="D2291" s="3">
        <v>2021</v>
      </c>
      <c r="E2291" s="73">
        <v>1</v>
      </c>
      <c r="F2291" s="74" t="s">
        <v>54</v>
      </c>
      <c r="G2291" s="77">
        <f t="shared" si="344"/>
        <v>14080</v>
      </c>
      <c r="H2291" s="77">
        <f t="shared" si="345"/>
        <v>14380</v>
      </c>
      <c r="I2291" s="76">
        <v>0.5</v>
      </c>
    </row>
    <row r="2292" spans="3:9" x14ac:dyDescent="0.35">
      <c r="C2292" t="s">
        <v>312</v>
      </c>
      <c r="D2292" s="3">
        <v>2021</v>
      </c>
      <c r="E2292" s="73">
        <v>1</v>
      </c>
      <c r="F2292" s="74" t="s">
        <v>54</v>
      </c>
      <c r="G2292" s="77">
        <f t="shared" si="344"/>
        <v>14380</v>
      </c>
      <c r="H2292" s="77">
        <f t="shared" si="345"/>
        <v>14680</v>
      </c>
      <c r="I2292" s="76">
        <v>0.4</v>
      </c>
    </row>
    <row r="2293" spans="3:9" x14ac:dyDescent="0.35">
      <c r="C2293" t="s">
        <v>312</v>
      </c>
      <c r="D2293" s="3">
        <v>2021</v>
      </c>
      <c r="E2293" s="73">
        <v>1</v>
      </c>
      <c r="F2293" s="74" t="s">
        <v>54</v>
      </c>
      <c r="G2293" s="77">
        <f t="shared" si="344"/>
        <v>14680</v>
      </c>
      <c r="H2293" s="77">
        <f t="shared" si="345"/>
        <v>14980</v>
      </c>
      <c r="I2293" s="76">
        <v>0.3</v>
      </c>
    </row>
    <row r="2294" spans="3:9" x14ac:dyDescent="0.35">
      <c r="C2294" t="s">
        <v>312</v>
      </c>
      <c r="D2294" s="3">
        <v>2021</v>
      </c>
      <c r="E2294" s="73">
        <v>1</v>
      </c>
      <c r="F2294" s="74" t="s">
        <v>54</v>
      </c>
      <c r="G2294" s="77">
        <f t="shared" si="344"/>
        <v>14980</v>
      </c>
      <c r="H2294" s="77">
        <f t="shared" si="345"/>
        <v>15280</v>
      </c>
      <c r="I2294" s="76">
        <v>0.2</v>
      </c>
    </row>
    <row r="2295" spans="3:9" x14ac:dyDescent="0.35">
      <c r="C2295" t="s">
        <v>312</v>
      </c>
      <c r="D2295" s="3">
        <v>2021</v>
      </c>
      <c r="E2295" s="73">
        <v>1</v>
      </c>
      <c r="F2295" s="74" t="s">
        <v>54</v>
      </c>
      <c r="G2295" s="77">
        <f t="shared" si="344"/>
        <v>15280</v>
      </c>
      <c r="H2295" s="77">
        <f t="shared" si="345"/>
        <v>15580</v>
      </c>
      <c r="I2295" s="76">
        <v>0.1</v>
      </c>
    </row>
    <row r="2296" spans="3:9" x14ac:dyDescent="0.35">
      <c r="C2296" t="s">
        <v>312</v>
      </c>
      <c r="D2296" s="3">
        <v>2021</v>
      </c>
      <c r="E2296" s="73">
        <v>1</v>
      </c>
      <c r="F2296" s="74" t="s">
        <v>54</v>
      </c>
      <c r="G2296" s="77">
        <f t="shared" si="344"/>
        <v>15580</v>
      </c>
      <c r="H2296" s="77"/>
      <c r="I2296" s="76">
        <v>0</v>
      </c>
    </row>
    <row r="2297" spans="3:9" x14ac:dyDescent="0.35">
      <c r="C2297" t="s">
        <v>312</v>
      </c>
      <c r="D2297" s="3">
        <v>2021</v>
      </c>
      <c r="E2297" s="73">
        <v>1</v>
      </c>
      <c r="F2297" s="74" t="s">
        <v>34</v>
      </c>
      <c r="G2297" s="75">
        <v>0</v>
      </c>
      <c r="H2297" s="75">
        <f>H2286</f>
        <v>12880</v>
      </c>
      <c r="I2297" s="76">
        <v>1</v>
      </c>
    </row>
    <row r="2298" spans="3:9" x14ac:dyDescent="0.35">
      <c r="C2298" t="s">
        <v>312</v>
      </c>
      <c r="D2298" s="3">
        <v>2021</v>
      </c>
      <c r="E2298" s="73">
        <v>1</v>
      </c>
      <c r="F2298" s="74" t="s">
        <v>34</v>
      </c>
      <c r="G2298" s="77">
        <f>H2297</f>
        <v>12880</v>
      </c>
      <c r="H2298" s="77">
        <f>H2297+300</f>
        <v>13180</v>
      </c>
      <c r="I2298" s="76">
        <v>0.9</v>
      </c>
    </row>
    <row r="2299" spans="3:9" x14ac:dyDescent="0.35">
      <c r="C2299" t="s">
        <v>312</v>
      </c>
      <c r="D2299" s="3">
        <v>2021</v>
      </c>
      <c r="E2299" s="73">
        <v>1</v>
      </c>
      <c r="F2299" s="74" t="s">
        <v>34</v>
      </c>
      <c r="G2299" s="77">
        <f t="shared" ref="G2299:G2307" si="346">H2298</f>
        <v>13180</v>
      </c>
      <c r="H2299" s="77">
        <f t="shared" ref="H2299:H2306" si="347">H2298+300</f>
        <v>13480</v>
      </c>
      <c r="I2299" s="76">
        <v>0.8</v>
      </c>
    </row>
    <row r="2300" spans="3:9" x14ac:dyDescent="0.35">
      <c r="C2300" t="s">
        <v>312</v>
      </c>
      <c r="D2300" s="3">
        <v>2021</v>
      </c>
      <c r="E2300" s="73">
        <v>1</v>
      </c>
      <c r="F2300" s="74" t="s">
        <v>34</v>
      </c>
      <c r="G2300" s="77">
        <f t="shared" si="346"/>
        <v>13480</v>
      </c>
      <c r="H2300" s="77">
        <f t="shared" si="347"/>
        <v>13780</v>
      </c>
      <c r="I2300" s="76">
        <v>0.7</v>
      </c>
    </row>
    <row r="2301" spans="3:9" x14ac:dyDescent="0.35">
      <c r="C2301" t="s">
        <v>312</v>
      </c>
      <c r="D2301" s="3">
        <v>2021</v>
      </c>
      <c r="E2301" s="73">
        <v>1</v>
      </c>
      <c r="F2301" s="74" t="s">
        <v>34</v>
      </c>
      <c r="G2301" s="77">
        <f t="shared" si="346"/>
        <v>13780</v>
      </c>
      <c r="H2301" s="77">
        <f t="shared" si="347"/>
        <v>14080</v>
      </c>
      <c r="I2301" s="76">
        <v>0.6</v>
      </c>
    </row>
    <row r="2302" spans="3:9" x14ac:dyDescent="0.35">
      <c r="C2302" t="s">
        <v>312</v>
      </c>
      <c r="D2302" s="3">
        <v>2021</v>
      </c>
      <c r="E2302" s="73">
        <v>1</v>
      </c>
      <c r="F2302" s="74" t="s">
        <v>34</v>
      </c>
      <c r="G2302" s="77">
        <f t="shared" si="346"/>
        <v>14080</v>
      </c>
      <c r="H2302" s="77">
        <f t="shared" si="347"/>
        <v>14380</v>
      </c>
      <c r="I2302" s="76">
        <v>0.5</v>
      </c>
    </row>
    <row r="2303" spans="3:9" x14ac:dyDescent="0.35">
      <c r="C2303" t="s">
        <v>312</v>
      </c>
      <c r="D2303" s="3">
        <v>2021</v>
      </c>
      <c r="E2303" s="73">
        <v>1</v>
      </c>
      <c r="F2303" s="74" t="s">
        <v>34</v>
      </c>
      <c r="G2303" s="77">
        <f t="shared" si="346"/>
        <v>14380</v>
      </c>
      <c r="H2303" s="77">
        <f t="shared" si="347"/>
        <v>14680</v>
      </c>
      <c r="I2303" s="76">
        <v>0.4</v>
      </c>
    </row>
    <row r="2304" spans="3:9" x14ac:dyDescent="0.35">
      <c r="C2304" t="s">
        <v>312</v>
      </c>
      <c r="D2304" s="3">
        <v>2021</v>
      </c>
      <c r="E2304" s="73">
        <v>1</v>
      </c>
      <c r="F2304" s="74" t="s">
        <v>34</v>
      </c>
      <c r="G2304" s="77">
        <f t="shared" si="346"/>
        <v>14680</v>
      </c>
      <c r="H2304" s="77">
        <f t="shared" si="347"/>
        <v>14980</v>
      </c>
      <c r="I2304" s="76">
        <v>0.3</v>
      </c>
    </row>
    <row r="2305" spans="3:9" x14ac:dyDescent="0.35">
      <c r="C2305" t="s">
        <v>312</v>
      </c>
      <c r="D2305" s="3">
        <v>2021</v>
      </c>
      <c r="E2305" s="73">
        <v>1</v>
      </c>
      <c r="F2305" s="74" t="s">
        <v>34</v>
      </c>
      <c r="G2305" s="77">
        <f t="shared" si="346"/>
        <v>14980</v>
      </c>
      <c r="H2305" s="77">
        <f t="shared" si="347"/>
        <v>15280</v>
      </c>
      <c r="I2305" s="76">
        <v>0.2</v>
      </c>
    </row>
    <row r="2306" spans="3:9" x14ac:dyDescent="0.35">
      <c r="C2306" t="s">
        <v>312</v>
      </c>
      <c r="D2306" s="3">
        <v>2021</v>
      </c>
      <c r="E2306" s="73">
        <v>1</v>
      </c>
      <c r="F2306" s="74" t="s">
        <v>34</v>
      </c>
      <c r="G2306" s="77">
        <f t="shared" si="346"/>
        <v>15280</v>
      </c>
      <c r="H2306" s="77">
        <f t="shared" si="347"/>
        <v>15580</v>
      </c>
      <c r="I2306" s="76">
        <v>0.1</v>
      </c>
    </row>
    <row r="2307" spans="3:9" x14ac:dyDescent="0.35">
      <c r="C2307" t="s">
        <v>312</v>
      </c>
      <c r="D2307" s="3">
        <v>2021</v>
      </c>
      <c r="E2307" s="73">
        <v>1</v>
      </c>
      <c r="F2307" s="74" t="s">
        <v>34</v>
      </c>
      <c r="G2307" s="77">
        <f t="shared" si="346"/>
        <v>15580</v>
      </c>
      <c r="H2307" s="77"/>
      <c r="I2307" s="76">
        <v>0</v>
      </c>
    </row>
    <row r="2308" spans="3:9" x14ac:dyDescent="0.35">
      <c r="C2308" t="s">
        <v>312</v>
      </c>
      <c r="D2308" s="3">
        <v>2021</v>
      </c>
      <c r="E2308" s="73">
        <v>1</v>
      </c>
      <c r="F2308" s="74" t="s">
        <v>40</v>
      </c>
      <c r="G2308" s="75">
        <v>0</v>
      </c>
      <c r="H2308" s="75">
        <f>H2297</f>
        <v>12880</v>
      </c>
      <c r="I2308" s="76">
        <v>1</v>
      </c>
    </row>
    <row r="2309" spans="3:9" x14ac:dyDescent="0.35">
      <c r="C2309" t="s">
        <v>312</v>
      </c>
      <c r="D2309" s="3">
        <v>2021</v>
      </c>
      <c r="E2309" s="73">
        <v>1</v>
      </c>
      <c r="F2309" s="74" t="s">
        <v>40</v>
      </c>
      <c r="G2309" s="77">
        <f>H2308</f>
        <v>12880</v>
      </c>
      <c r="H2309" s="77">
        <f>H2308+300</f>
        <v>13180</v>
      </c>
      <c r="I2309" s="76">
        <v>0.9</v>
      </c>
    </row>
    <row r="2310" spans="3:9" x14ac:dyDescent="0.35">
      <c r="C2310" t="s">
        <v>312</v>
      </c>
      <c r="D2310" s="3">
        <v>2021</v>
      </c>
      <c r="E2310" s="73">
        <v>1</v>
      </c>
      <c r="F2310" s="74" t="s">
        <v>40</v>
      </c>
      <c r="G2310" s="77">
        <f t="shared" ref="G2310:G2318" si="348">H2309</f>
        <v>13180</v>
      </c>
      <c r="H2310" s="77">
        <f t="shared" ref="H2310:H2317" si="349">H2309+300</f>
        <v>13480</v>
      </c>
      <c r="I2310" s="76">
        <v>0.8</v>
      </c>
    </row>
    <row r="2311" spans="3:9" x14ac:dyDescent="0.35">
      <c r="C2311" t="s">
        <v>312</v>
      </c>
      <c r="D2311" s="3">
        <v>2021</v>
      </c>
      <c r="E2311" s="73">
        <v>1</v>
      </c>
      <c r="F2311" s="74" t="s">
        <v>40</v>
      </c>
      <c r="G2311" s="77">
        <f t="shared" si="348"/>
        <v>13480</v>
      </c>
      <c r="H2311" s="77">
        <f t="shared" si="349"/>
        <v>13780</v>
      </c>
      <c r="I2311" s="76">
        <v>0.7</v>
      </c>
    </row>
    <row r="2312" spans="3:9" x14ac:dyDescent="0.35">
      <c r="C2312" t="s">
        <v>312</v>
      </c>
      <c r="D2312" s="3">
        <v>2021</v>
      </c>
      <c r="E2312" s="73">
        <v>1</v>
      </c>
      <c r="F2312" s="74" t="s">
        <v>40</v>
      </c>
      <c r="G2312" s="77">
        <f t="shared" si="348"/>
        <v>13780</v>
      </c>
      <c r="H2312" s="77">
        <f t="shared" si="349"/>
        <v>14080</v>
      </c>
      <c r="I2312" s="76">
        <v>0.6</v>
      </c>
    </row>
    <row r="2313" spans="3:9" x14ac:dyDescent="0.35">
      <c r="C2313" t="s">
        <v>312</v>
      </c>
      <c r="D2313" s="3">
        <v>2021</v>
      </c>
      <c r="E2313" s="73">
        <v>1</v>
      </c>
      <c r="F2313" s="74" t="s">
        <v>40</v>
      </c>
      <c r="G2313" s="77">
        <f t="shared" si="348"/>
        <v>14080</v>
      </c>
      <c r="H2313" s="77">
        <f t="shared" si="349"/>
        <v>14380</v>
      </c>
      <c r="I2313" s="76">
        <v>0.5</v>
      </c>
    </row>
    <row r="2314" spans="3:9" x14ac:dyDescent="0.35">
      <c r="C2314" t="s">
        <v>312</v>
      </c>
      <c r="D2314" s="3">
        <v>2021</v>
      </c>
      <c r="E2314" s="73">
        <v>1</v>
      </c>
      <c r="F2314" s="74" t="s">
        <v>40</v>
      </c>
      <c r="G2314" s="77">
        <f t="shared" si="348"/>
        <v>14380</v>
      </c>
      <c r="H2314" s="77">
        <f t="shared" si="349"/>
        <v>14680</v>
      </c>
      <c r="I2314" s="76">
        <v>0.4</v>
      </c>
    </row>
    <row r="2315" spans="3:9" x14ac:dyDescent="0.35">
      <c r="C2315" t="s">
        <v>312</v>
      </c>
      <c r="D2315" s="3">
        <v>2021</v>
      </c>
      <c r="E2315" s="73">
        <v>1</v>
      </c>
      <c r="F2315" s="74" t="s">
        <v>40</v>
      </c>
      <c r="G2315" s="77">
        <f t="shared" si="348"/>
        <v>14680</v>
      </c>
      <c r="H2315" s="77">
        <f t="shared" si="349"/>
        <v>14980</v>
      </c>
      <c r="I2315" s="76">
        <v>0.3</v>
      </c>
    </row>
    <row r="2316" spans="3:9" x14ac:dyDescent="0.35">
      <c r="C2316" t="s">
        <v>312</v>
      </c>
      <c r="D2316" s="3">
        <v>2021</v>
      </c>
      <c r="E2316" s="73">
        <v>1</v>
      </c>
      <c r="F2316" s="74" t="s">
        <v>40</v>
      </c>
      <c r="G2316" s="77">
        <f t="shared" si="348"/>
        <v>14980</v>
      </c>
      <c r="H2316" s="77">
        <f t="shared" si="349"/>
        <v>15280</v>
      </c>
      <c r="I2316" s="76">
        <v>0.2</v>
      </c>
    </row>
    <row r="2317" spans="3:9" x14ac:dyDescent="0.35">
      <c r="C2317" t="s">
        <v>312</v>
      </c>
      <c r="D2317" s="3">
        <v>2021</v>
      </c>
      <c r="E2317" s="73">
        <v>1</v>
      </c>
      <c r="F2317" s="74" t="s">
        <v>40</v>
      </c>
      <c r="G2317" s="77">
        <f t="shared" si="348"/>
        <v>15280</v>
      </c>
      <c r="H2317" s="77">
        <f t="shared" si="349"/>
        <v>15580</v>
      </c>
      <c r="I2317" s="76">
        <v>0.1</v>
      </c>
    </row>
    <row r="2318" spans="3:9" x14ac:dyDescent="0.35">
      <c r="C2318" t="s">
        <v>312</v>
      </c>
      <c r="D2318" s="3">
        <v>2021</v>
      </c>
      <c r="E2318" s="73">
        <v>1</v>
      </c>
      <c r="F2318" s="74" t="s">
        <v>40</v>
      </c>
      <c r="G2318" s="77">
        <f t="shared" si="348"/>
        <v>15580</v>
      </c>
      <c r="H2318" s="77"/>
      <c r="I2318" s="76">
        <v>0</v>
      </c>
    </row>
    <row r="2319" spans="3:9" x14ac:dyDescent="0.35">
      <c r="C2319" t="s">
        <v>312</v>
      </c>
      <c r="D2319" s="3">
        <v>2021</v>
      </c>
      <c r="E2319" s="73">
        <v>1</v>
      </c>
      <c r="F2319" s="74" t="s">
        <v>313</v>
      </c>
      <c r="G2319" s="75">
        <v>0</v>
      </c>
      <c r="H2319" s="75">
        <f>H2308</f>
        <v>12880</v>
      </c>
      <c r="I2319" s="76">
        <v>1</v>
      </c>
    </row>
    <row r="2320" spans="3:9" x14ac:dyDescent="0.35">
      <c r="C2320" t="s">
        <v>312</v>
      </c>
      <c r="D2320" s="3">
        <v>2021</v>
      </c>
      <c r="E2320" s="73">
        <v>1</v>
      </c>
      <c r="F2320" s="74" t="s">
        <v>313</v>
      </c>
      <c r="G2320" s="77">
        <f>H2319</f>
        <v>12880</v>
      </c>
      <c r="H2320" s="77">
        <f>H2319+300</f>
        <v>13180</v>
      </c>
      <c r="I2320" s="76">
        <v>0.9</v>
      </c>
    </row>
    <row r="2321" spans="3:9" x14ac:dyDescent="0.35">
      <c r="C2321" t="s">
        <v>312</v>
      </c>
      <c r="D2321" s="3">
        <v>2021</v>
      </c>
      <c r="E2321" s="73">
        <v>1</v>
      </c>
      <c r="F2321" s="74" t="s">
        <v>313</v>
      </c>
      <c r="G2321" s="77">
        <f t="shared" ref="G2321:G2329" si="350">H2320</f>
        <v>13180</v>
      </c>
      <c r="H2321" s="77">
        <f t="shared" ref="H2321:H2328" si="351">H2320+300</f>
        <v>13480</v>
      </c>
      <c r="I2321" s="76">
        <v>0.8</v>
      </c>
    </row>
    <row r="2322" spans="3:9" x14ac:dyDescent="0.35">
      <c r="C2322" t="s">
        <v>312</v>
      </c>
      <c r="D2322" s="3">
        <v>2021</v>
      </c>
      <c r="E2322" s="73">
        <v>1</v>
      </c>
      <c r="F2322" s="74" t="s">
        <v>313</v>
      </c>
      <c r="G2322" s="77">
        <f t="shared" si="350"/>
        <v>13480</v>
      </c>
      <c r="H2322" s="77">
        <f t="shared" si="351"/>
        <v>13780</v>
      </c>
      <c r="I2322" s="76">
        <v>0.7</v>
      </c>
    </row>
    <row r="2323" spans="3:9" x14ac:dyDescent="0.35">
      <c r="C2323" t="s">
        <v>312</v>
      </c>
      <c r="D2323" s="3">
        <v>2021</v>
      </c>
      <c r="E2323" s="73">
        <v>1</v>
      </c>
      <c r="F2323" s="74" t="s">
        <v>313</v>
      </c>
      <c r="G2323" s="77">
        <f t="shared" si="350"/>
        <v>13780</v>
      </c>
      <c r="H2323" s="77">
        <f t="shared" si="351"/>
        <v>14080</v>
      </c>
      <c r="I2323" s="76">
        <v>0.6</v>
      </c>
    </row>
    <row r="2324" spans="3:9" x14ac:dyDescent="0.35">
      <c r="C2324" t="s">
        <v>312</v>
      </c>
      <c r="D2324" s="3">
        <v>2021</v>
      </c>
      <c r="E2324" s="73">
        <v>1</v>
      </c>
      <c r="F2324" s="74" t="s">
        <v>313</v>
      </c>
      <c r="G2324" s="77">
        <f t="shared" si="350"/>
        <v>14080</v>
      </c>
      <c r="H2324" s="77">
        <f t="shared" si="351"/>
        <v>14380</v>
      </c>
      <c r="I2324" s="76">
        <v>0.5</v>
      </c>
    </row>
    <row r="2325" spans="3:9" x14ac:dyDescent="0.35">
      <c r="C2325" t="s">
        <v>312</v>
      </c>
      <c r="D2325" s="3">
        <v>2021</v>
      </c>
      <c r="E2325" s="73">
        <v>1</v>
      </c>
      <c r="F2325" s="74" t="s">
        <v>313</v>
      </c>
      <c r="G2325" s="77">
        <f t="shared" si="350"/>
        <v>14380</v>
      </c>
      <c r="H2325" s="77">
        <f t="shared" si="351"/>
        <v>14680</v>
      </c>
      <c r="I2325" s="76">
        <v>0.4</v>
      </c>
    </row>
    <row r="2326" spans="3:9" x14ac:dyDescent="0.35">
      <c r="C2326" t="s">
        <v>312</v>
      </c>
      <c r="D2326" s="3">
        <v>2021</v>
      </c>
      <c r="E2326" s="73">
        <v>1</v>
      </c>
      <c r="F2326" s="74" t="s">
        <v>313</v>
      </c>
      <c r="G2326" s="77">
        <f t="shared" si="350"/>
        <v>14680</v>
      </c>
      <c r="H2326" s="77">
        <f t="shared" si="351"/>
        <v>14980</v>
      </c>
      <c r="I2326" s="76">
        <v>0.3</v>
      </c>
    </row>
    <row r="2327" spans="3:9" x14ac:dyDescent="0.35">
      <c r="C2327" t="s">
        <v>312</v>
      </c>
      <c r="D2327" s="3">
        <v>2021</v>
      </c>
      <c r="E2327" s="73">
        <v>1</v>
      </c>
      <c r="F2327" s="74" t="s">
        <v>313</v>
      </c>
      <c r="G2327" s="77">
        <f t="shared" si="350"/>
        <v>14980</v>
      </c>
      <c r="H2327" s="77">
        <f t="shared" si="351"/>
        <v>15280</v>
      </c>
      <c r="I2327" s="76">
        <v>0.2</v>
      </c>
    </row>
    <row r="2328" spans="3:9" x14ac:dyDescent="0.35">
      <c r="C2328" t="s">
        <v>312</v>
      </c>
      <c r="D2328" s="3">
        <v>2021</v>
      </c>
      <c r="E2328" s="73">
        <v>1</v>
      </c>
      <c r="F2328" s="74" t="s">
        <v>313</v>
      </c>
      <c r="G2328" s="77">
        <f t="shared" si="350"/>
        <v>15280</v>
      </c>
      <c r="H2328" s="77">
        <f t="shared" si="351"/>
        <v>15580</v>
      </c>
      <c r="I2328" s="76">
        <v>0.1</v>
      </c>
    </row>
    <row r="2329" spans="3:9" x14ac:dyDescent="0.35">
      <c r="C2329" t="s">
        <v>312</v>
      </c>
      <c r="D2329" s="3">
        <v>2021</v>
      </c>
      <c r="E2329" s="73">
        <v>1</v>
      </c>
      <c r="F2329" s="74" t="s">
        <v>313</v>
      </c>
      <c r="G2329" s="77">
        <f t="shared" si="350"/>
        <v>15580</v>
      </c>
      <c r="H2329" s="77"/>
      <c r="I2329" s="76">
        <v>0</v>
      </c>
    </row>
    <row r="2330" spans="3:9" x14ac:dyDescent="0.35">
      <c r="C2330" t="s">
        <v>312</v>
      </c>
      <c r="D2330" s="3">
        <v>2021</v>
      </c>
      <c r="E2330" s="73">
        <v>2</v>
      </c>
      <c r="F2330" s="74" t="s">
        <v>54</v>
      </c>
      <c r="G2330" s="77">
        <v>0</v>
      </c>
      <c r="H2330" s="77">
        <v>17420</v>
      </c>
      <c r="I2330" s="76">
        <v>1</v>
      </c>
    </row>
    <row r="2331" spans="3:9" x14ac:dyDescent="0.35">
      <c r="C2331" t="s">
        <v>312</v>
      </c>
      <c r="D2331" s="3">
        <v>2021</v>
      </c>
      <c r="E2331" s="78">
        <f>E2330</f>
        <v>2</v>
      </c>
      <c r="F2331" s="74" t="s">
        <v>54</v>
      </c>
      <c r="G2331" s="77">
        <f>H2330</f>
        <v>17420</v>
      </c>
      <c r="H2331" s="77">
        <f>H2330+300</f>
        <v>17720</v>
      </c>
      <c r="I2331" s="76">
        <v>0.9</v>
      </c>
    </row>
    <row r="2332" spans="3:9" x14ac:dyDescent="0.35">
      <c r="C2332" t="s">
        <v>312</v>
      </c>
      <c r="D2332" s="3">
        <v>2021</v>
      </c>
      <c r="E2332" s="78">
        <f t="shared" ref="E2332:E2373" si="352">E2331</f>
        <v>2</v>
      </c>
      <c r="F2332" s="74" t="s">
        <v>54</v>
      </c>
      <c r="G2332" s="77">
        <f t="shared" ref="G2332:G2384" si="353">H2331</f>
        <v>17720</v>
      </c>
      <c r="H2332" s="77">
        <f t="shared" ref="H2332:H2339" si="354">H2331+300</f>
        <v>18020</v>
      </c>
      <c r="I2332" s="76">
        <v>0.8</v>
      </c>
    </row>
    <row r="2333" spans="3:9" x14ac:dyDescent="0.35">
      <c r="C2333" t="s">
        <v>312</v>
      </c>
      <c r="D2333" s="3">
        <v>2021</v>
      </c>
      <c r="E2333" s="78">
        <f t="shared" si="352"/>
        <v>2</v>
      </c>
      <c r="F2333" s="74" t="s">
        <v>54</v>
      </c>
      <c r="G2333" s="77">
        <f t="shared" si="353"/>
        <v>18020</v>
      </c>
      <c r="H2333" s="77">
        <f t="shared" si="354"/>
        <v>18320</v>
      </c>
      <c r="I2333" s="76">
        <v>0.7</v>
      </c>
    </row>
    <row r="2334" spans="3:9" x14ac:dyDescent="0.35">
      <c r="C2334" t="s">
        <v>312</v>
      </c>
      <c r="D2334" s="3">
        <v>2021</v>
      </c>
      <c r="E2334" s="78">
        <f t="shared" si="352"/>
        <v>2</v>
      </c>
      <c r="F2334" s="74" t="s">
        <v>54</v>
      </c>
      <c r="G2334" s="77">
        <f t="shared" si="353"/>
        <v>18320</v>
      </c>
      <c r="H2334" s="77">
        <f t="shared" si="354"/>
        <v>18620</v>
      </c>
      <c r="I2334" s="76">
        <v>0.6</v>
      </c>
    </row>
    <row r="2335" spans="3:9" x14ac:dyDescent="0.35">
      <c r="C2335" t="s">
        <v>312</v>
      </c>
      <c r="D2335" s="3">
        <v>2021</v>
      </c>
      <c r="E2335" s="78">
        <f t="shared" si="352"/>
        <v>2</v>
      </c>
      <c r="F2335" s="74" t="s">
        <v>54</v>
      </c>
      <c r="G2335" s="77">
        <f t="shared" si="353"/>
        <v>18620</v>
      </c>
      <c r="H2335" s="77">
        <f t="shared" si="354"/>
        <v>18920</v>
      </c>
      <c r="I2335" s="76">
        <v>0.5</v>
      </c>
    </row>
    <row r="2336" spans="3:9" x14ac:dyDescent="0.35">
      <c r="C2336" t="s">
        <v>312</v>
      </c>
      <c r="D2336" s="3">
        <v>2021</v>
      </c>
      <c r="E2336" s="78">
        <f t="shared" si="352"/>
        <v>2</v>
      </c>
      <c r="F2336" s="74" t="s">
        <v>54</v>
      </c>
      <c r="G2336" s="77">
        <f t="shared" si="353"/>
        <v>18920</v>
      </c>
      <c r="H2336" s="77">
        <f t="shared" si="354"/>
        <v>19220</v>
      </c>
      <c r="I2336" s="76">
        <v>0.4</v>
      </c>
    </row>
    <row r="2337" spans="3:9" x14ac:dyDescent="0.35">
      <c r="C2337" t="s">
        <v>312</v>
      </c>
      <c r="D2337" s="3">
        <v>2021</v>
      </c>
      <c r="E2337" s="78">
        <f t="shared" si="352"/>
        <v>2</v>
      </c>
      <c r="F2337" s="74" t="s">
        <v>54</v>
      </c>
      <c r="G2337" s="77">
        <f t="shared" si="353"/>
        <v>19220</v>
      </c>
      <c r="H2337" s="77">
        <f t="shared" si="354"/>
        <v>19520</v>
      </c>
      <c r="I2337" s="76">
        <v>0.3</v>
      </c>
    </row>
    <row r="2338" spans="3:9" x14ac:dyDescent="0.35">
      <c r="C2338" t="s">
        <v>312</v>
      </c>
      <c r="D2338" s="3">
        <v>2021</v>
      </c>
      <c r="E2338" s="78">
        <f t="shared" si="352"/>
        <v>2</v>
      </c>
      <c r="F2338" s="74" t="s">
        <v>54</v>
      </c>
      <c r="G2338" s="77">
        <f t="shared" si="353"/>
        <v>19520</v>
      </c>
      <c r="H2338" s="77">
        <f t="shared" si="354"/>
        <v>19820</v>
      </c>
      <c r="I2338" s="76">
        <v>0.2</v>
      </c>
    </row>
    <row r="2339" spans="3:9" x14ac:dyDescent="0.35">
      <c r="C2339" t="s">
        <v>312</v>
      </c>
      <c r="D2339" s="3">
        <v>2021</v>
      </c>
      <c r="E2339" s="78">
        <f t="shared" si="352"/>
        <v>2</v>
      </c>
      <c r="F2339" s="74" t="s">
        <v>54</v>
      </c>
      <c r="G2339" s="77">
        <f t="shared" si="353"/>
        <v>19820</v>
      </c>
      <c r="H2339" s="77">
        <f t="shared" si="354"/>
        <v>20120</v>
      </c>
      <c r="I2339" s="76">
        <v>0.1</v>
      </c>
    </row>
    <row r="2340" spans="3:9" x14ac:dyDescent="0.35">
      <c r="C2340" t="s">
        <v>312</v>
      </c>
      <c r="D2340" s="3">
        <v>2021</v>
      </c>
      <c r="E2340" s="78">
        <f t="shared" si="352"/>
        <v>2</v>
      </c>
      <c r="F2340" s="74" t="s">
        <v>54</v>
      </c>
      <c r="G2340" s="77">
        <f t="shared" si="353"/>
        <v>20120</v>
      </c>
      <c r="H2340" s="77"/>
      <c r="I2340" s="76">
        <v>0</v>
      </c>
    </row>
    <row r="2341" spans="3:9" x14ac:dyDescent="0.35">
      <c r="C2341" t="s">
        <v>312</v>
      </c>
      <c r="D2341" s="3">
        <v>2021</v>
      </c>
      <c r="E2341" s="78">
        <f t="shared" si="352"/>
        <v>2</v>
      </c>
      <c r="F2341" s="74" t="s">
        <v>34</v>
      </c>
      <c r="G2341" s="77">
        <v>0</v>
      </c>
      <c r="H2341" s="75">
        <f>H2330</f>
        <v>17420</v>
      </c>
      <c r="I2341" s="76">
        <v>1</v>
      </c>
    </row>
    <row r="2342" spans="3:9" x14ac:dyDescent="0.35">
      <c r="C2342" t="s">
        <v>312</v>
      </c>
      <c r="D2342" s="3">
        <v>2021</v>
      </c>
      <c r="E2342" s="78">
        <f t="shared" si="352"/>
        <v>2</v>
      </c>
      <c r="F2342" s="74" t="s">
        <v>34</v>
      </c>
      <c r="G2342" s="77">
        <f>H2341</f>
        <v>17420</v>
      </c>
      <c r="H2342" s="77">
        <f>H2341+300</f>
        <v>17720</v>
      </c>
      <c r="I2342" s="76">
        <v>0.9</v>
      </c>
    </row>
    <row r="2343" spans="3:9" x14ac:dyDescent="0.35">
      <c r="C2343" t="s">
        <v>312</v>
      </c>
      <c r="D2343" s="3">
        <v>2021</v>
      </c>
      <c r="E2343" s="78">
        <f t="shared" si="352"/>
        <v>2</v>
      </c>
      <c r="F2343" s="74" t="s">
        <v>34</v>
      </c>
      <c r="G2343" s="77">
        <f t="shared" si="353"/>
        <v>17720</v>
      </c>
      <c r="H2343" s="77">
        <f t="shared" ref="H2343:H2350" si="355">H2342+300</f>
        <v>18020</v>
      </c>
      <c r="I2343" s="76">
        <v>0.8</v>
      </c>
    </row>
    <row r="2344" spans="3:9" x14ac:dyDescent="0.35">
      <c r="C2344" t="s">
        <v>312</v>
      </c>
      <c r="D2344" s="3">
        <v>2021</v>
      </c>
      <c r="E2344" s="78">
        <f t="shared" si="352"/>
        <v>2</v>
      </c>
      <c r="F2344" s="74" t="s">
        <v>34</v>
      </c>
      <c r="G2344" s="77">
        <f t="shared" si="353"/>
        <v>18020</v>
      </c>
      <c r="H2344" s="77">
        <f t="shared" si="355"/>
        <v>18320</v>
      </c>
      <c r="I2344" s="76">
        <v>0.7</v>
      </c>
    </row>
    <row r="2345" spans="3:9" x14ac:dyDescent="0.35">
      <c r="C2345" t="s">
        <v>312</v>
      </c>
      <c r="D2345" s="3">
        <v>2021</v>
      </c>
      <c r="E2345" s="78">
        <f t="shared" si="352"/>
        <v>2</v>
      </c>
      <c r="F2345" s="74" t="s">
        <v>34</v>
      </c>
      <c r="G2345" s="77">
        <f t="shared" si="353"/>
        <v>18320</v>
      </c>
      <c r="H2345" s="77">
        <f t="shared" si="355"/>
        <v>18620</v>
      </c>
      <c r="I2345" s="76">
        <v>0.6</v>
      </c>
    </row>
    <row r="2346" spans="3:9" x14ac:dyDescent="0.35">
      <c r="C2346" t="s">
        <v>312</v>
      </c>
      <c r="D2346" s="3">
        <v>2021</v>
      </c>
      <c r="E2346" s="78">
        <f t="shared" si="352"/>
        <v>2</v>
      </c>
      <c r="F2346" s="74" t="s">
        <v>34</v>
      </c>
      <c r="G2346" s="77">
        <f t="shared" si="353"/>
        <v>18620</v>
      </c>
      <c r="H2346" s="77">
        <f t="shared" si="355"/>
        <v>18920</v>
      </c>
      <c r="I2346" s="76">
        <v>0.5</v>
      </c>
    </row>
    <row r="2347" spans="3:9" x14ac:dyDescent="0.35">
      <c r="C2347" t="s">
        <v>312</v>
      </c>
      <c r="D2347" s="3">
        <v>2021</v>
      </c>
      <c r="E2347" s="78">
        <f t="shared" si="352"/>
        <v>2</v>
      </c>
      <c r="F2347" s="74" t="s">
        <v>34</v>
      </c>
      <c r="G2347" s="77">
        <f t="shared" si="353"/>
        <v>18920</v>
      </c>
      <c r="H2347" s="77">
        <f t="shared" si="355"/>
        <v>19220</v>
      </c>
      <c r="I2347" s="76">
        <v>0.4</v>
      </c>
    </row>
    <row r="2348" spans="3:9" x14ac:dyDescent="0.35">
      <c r="C2348" t="s">
        <v>312</v>
      </c>
      <c r="D2348" s="3">
        <v>2021</v>
      </c>
      <c r="E2348" s="78">
        <f t="shared" si="352"/>
        <v>2</v>
      </c>
      <c r="F2348" s="74" t="s">
        <v>34</v>
      </c>
      <c r="G2348" s="77">
        <f t="shared" si="353"/>
        <v>19220</v>
      </c>
      <c r="H2348" s="77">
        <f t="shared" si="355"/>
        <v>19520</v>
      </c>
      <c r="I2348" s="76">
        <v>0.3</v>
      </c>
    </row>
    <row r="2349" spans="3:9" x14ac:dyDescent="0.35">
      <c r="C2349" t="s">
        <v>312</v>
      </c>
      <c r="D2349" s="3">
        <v>2021</v>
      </c>
      <c r="E2349" s="78">
        <f t="shared" si="352"/>
        <v>2</v>
      </c>
      <c r="F2349" s="74" t="s">
        <v>34</v>
      </c>
      <c r="G2349" s="77">
        <f t="shared" si="353"/>
        <v>19520</v>
      </c>
      <c r="H2349" s="77">
        <f t="shared" si="355"/>
        <v>19820</v>
      </c>
      <c r="I2349" s="76">
        <v>0.2</v>
      </c>
    </row>
    <row r="2350" spans="3:9" x14ac:dyDescent="0.35">
      <c r="C2350" t="s">
        <v>312</v>
      </c>
      <c r="D2350" s="3">
        <v>2021</v>
      </c>
      <c r="E2350" s="78">
        <f t="shared" si="352"/>
        <v>2</v>
      </c>
      <c r="F2350" s="74" t="s">
        <v>34</v>
      </c>
      <c r="G2350" s="77">
        <f t="shared" si="353"/>
        <v>19820</v>
      </c>
      <c r="H2350" s="77">
        <f t="shared" si="355"/>
        <v>20120</v>
      </c>
      <c r="I2350" s="76">
        <v>0.1</v>
      </c>
    </row>
    <row r="2351" spans="3:9" x14ac:dyDescent="0.35">
      <c r="C2351" t="s">
        <v>312</v>
      </c>
      <c r="D2351" s="3">
        <v>2021</v>
      </c>
      <c r="E2351" s="78">
        <f t="shared" si="352"/>
        <v>2</v>
      </c>
      <c r="F2351" s="74" t="s">
        <v>34</v>
      </c>
      <c r="G2351" s="77">
        <f t="shared" si="353"/>
        <v>20120</v>
      </c>
      <c r="H2351" s="77"/>
      <c r="I2351" s="76">
        <v>0</v>
      </c>
    </row>
    <row r="2352" spans="3:9" x14ac:dyDescent="0.35">
      <c r="C2352" t="s">
        <v>312</v>
      </c>
      <c r="D2352" s="3">
        <v>2021</v>
      </c>
      <c r="E2352" s="78">
        <f t="shared" si="352"/>
        <v>2</v>
      </c>
      <c r="F2352" s="74" t="s">
        <v>40</v>
      </c>
      <c r="G2352" s="77">
        <v>0</v>
      </c>
      <c r="H2352" s="75">
        <f>H2341</f>
        <v>17420</v>
      </c>
      <c r="I2352" s="76">
        <v>1</v>
      </c>
    </row>
    <row r="2353" spans="3:9" x14ac:dyDescent="0.35">
      <c r="C2353" t="s">
        <v>312</v>
      </c>
      <c r="D2353" s="3">
        <v>2021</v>
      </c>
      <c r="E2353" s="78">
        <f t="shared" si="352"/>
        <v>2</v>
      </c>
      <c r="F2353" s="74" t="s">
        <v>40</v>
      </c>
      <c r="G2353" s="77">
        <f>H2352</f>
        <v>17420</v>
      </c>
      <c r="H2353" s="77">
        <f>H2352+300</f>
        <v>17720</v>
      </c>
      <c r="I2353" s="76">
        <v>0.9</v>
      </c>
    </row>
    <row r="2354" spans="3:9" x14ac:dyDescent="0.35">
      <c r="C2354" t="s">
        <v>312</v>
      </c>
      <c r="D2354" s="3">
        <v>2021</v>
      </c>
      <c r="E2354" s="78">
        <f t="shared" si="352"/>
        <v>2</v>
      </c>
      <c r="F2354" s="74" t="s">
        <v>40</v>
      </c>
      <c r="G2354" s="77">
        <f t="shared" si="353"/>
        <v>17720</v>
      </c>
      <c r="H2354" s="77">
        <f t="shared" ref="H2354:H2361" si="356">H2353+300</f>
        <v>18020</v>
      </c>
      <c r="I2354" s="76">
        <v>0.8</v>
      </c>
    </row>
    <row r="2355" spans="3:9" x14ac:dyDescent="0.35">
      <c r="C2355" t="s">
        <v>312</v>
      </c>
      <c r="D2355" s="3">
        <v>2021</v>
      </c>
      <c r="E2355" s="78">
        <f t="shared" si="352"/>
        <v>2</v>
      </c>
      <c r="F2355" s="74" t="s">
        <v>40</v>
      </c>
      <c r="G2355" s="77">
        <f t="shared" si="353"/>
        <v>18020</v>
      </c>
      <c r="H2355" s="77">
        <f t="shared" si="356"/>
        <v>18320</v>
      </c>
      <c r="I2355" s="76">
        <v>0.7</v>
      </c>
    </row>
    <row r="2356" spans="3:9" x14ac:dyDescent="0.35">
      <c r="C2356" t="s">
        <v>312</v>
      </c>
      <c r="D2356" s="3">
        <v>2021</v>
      </c>
      <c r="E2356" s="78">
        <f t="shared" si="352"/>
        <v>2</v>
      </c>
      <c r="F2356" s="74" t="s">
        <v>40</v>
      </c>
      <c r="G2356" s="77">
        <f t="shared" si="353"/>
        <v>18320</v>
      </c>
      <c r="H2356" s="77">
        <f t="shared" si="356"/>
        <v>18620</v>
      </c>
      <c r="I2356" s="76">
        <v>0.6</v>
      </c>
    </row>
    <row r="2357" spans="3:9" x14ac:dyDescent="0.35">
      <c r="C2357" t="s">
        <v>312</v>
      </c>
      <c r="D2357" s="3">
        <v>2021</v>
      </c>
      <c r="E2357" s="78">
        <f t="shared" si="352"/>
        <v>2</v>
      </c>
      <c r="F2357" s="74" t="s">
        <v>40</v>
      </c>
      <c r="G2357" s="77">
        <f t="shared" si="353"/>
        <v>18620</v>
      </c>
      <c r="H2357" s="77">
        <f t="shared" si="356"/>
        <v>18920</v>
      </c>
      <c r="I2357" s="76">
        <v>0.5</v>
      </c>
    </row>
    <row r="2358" spans="3:9" x14ac:dyDescent="0.35">
      <c r="C2358" t="s">
        <v>312</v>
      </c>
      <c r="D2358" s="3">
        <v>2021</v>
      </c>
      <c r="E2358" s="78">
        <f t="shared" si="352"/>
        <v>2</v>
      </c>
      <c r="F2358" s="74" t="s">
        <v>40</v>
      </c>
      <c r="G2358" s="77">
        <f t="shared" si="353"/>
        <v>18920</v>
      </c>
      <c r="H2358" s="77">
        <f t="shared" si="356"/>
        <v>19220</v>
      </c>
      <c r="I2358" s="76">
        <v>0.4</v>
      </c>
    </row>
    <row r="2359" spans="3:9" x14ac:dyDescent="0.35">
      <c r="C2359" t="s">
        <v>312</v>
      </c>
      <c r="D2359" s="3">
        <v>2021</v>
      </c>
      <c r="E2359" s="78">
        <f t="shared" si="352"/>
        <v>2</v>
      </c>
      <c r="F2359" s="74" t="s">
        <v>40</v>
      </c>
      <c r="G2359" s="77">
        <f t="shared" si="353"/>
        <v>19220</v>
      </c>
      <c r="H2359" s="77">
        <f t="shared" si="356"/>
        <v>19520</v>
      </c>
      <c r="I2359" s="76">
        <v>0.3</v>
      </c>
    </row>
    <row r="2360" spans="3:9" x14ac:dyDescent="0.35">
      <c r="C2360" t="s">
        <v>312</v>
      </c>
      <c r="D2360" s="3">
        <v>2021</v>
      </c>
      <c r="E2360" s="78">
        <f t="shared" si="352"/>
        <v>2</v>
      </c>
      <c r="F2360" s="74" t="s">
        <v>40</v>
      </c>
      <c r="G2360" s="77">
        <f t="shared" si="353"/>
        <v>19520</v>
      </c>
      <c r="H2360" s="77">
        <f t="shared" si="356"/>
        <v>19820</v>
      </c>
      <c r="I2360" s="76">
        <v>0.2</v>
      </c>
    </row>
    <row r="2361" spans="3:9" x14ac:dyDescent="0.35">
      <c r="C2361" t="s">
        <v>312</v>
      </c>
      <c r="D2361" s="3">
        <v>2021</v>
      </c>
      <c r="E2361" s="78">
        <f t="shared" si="352"/>
        <v>2</v>
      </c>
      <c r="F2361" s="74" t="s">
        <v>40</v>
      </c>
      <c r="G2361" s="77">
        <f t="shared" si="353"/>
        <v>19820</v>
      </c>
      <c r="H2361" s="77">
        <f t="shared" si="356"/>
        <v>20120</v>
      </c>
      <c r="I2361" s="76">
        <v>0.1</v>
      </c>
    </row>
    <row r="2362" spans="3:9" x14ac:dyDescent="0.35">
      <c r="C2362" t="s">
        <v>312</v>
      </c>
      <c r="D2362" s="3">
        <v>2021</v>
      </c>
      <c r="E2362" s="78">
        <f t="shared" si="352"/>
        <v>2</v>
      </c>
      <c r="F2362" s="74" t="s">
        <v>40</v>
      </c>
      <c r="G2362" s="77">
        <f t="shared" si="353"/>
        <v>20120</v>
      </c>
      <c r="H2362" s="77"/>
      <c r="I2362" s="76">
        <v>0</v>
      </c>
    </row>
    <row r="2363" spans="3:9" x14ac:dyDescent="0.35">
      <c r="C2363" t="s">
        <v>312</v>
      </c>
      <c r="D2363" s="3">
        <v>2021</v>
      </c>
      <c r="E2363" s="78">
        <f t="shared" si="352"/>
        <v>2</v>
      </c>
      <c r="F2363" s="74" t="s">
        <v>313</v>
      </c>
      <c r="G2363" s="77">
        <v>0</v>
      </c>
      <c r="H2363" s="75">
        <f>H2352</f>
        <v>17420</v>
      </c>
      <c r="I2363" s="76">
        <v>1</v>
      </c>
    </row>
    <row r="2364" spans="3:9" x14ac:dyDescent="0.35">
      <c r="C2364" t="s">
        <v>312</v>
      </c>
      <c r="D2364" s="3">
        <v>2021</v>
      </c>
      <c r="E2364" s="78">
        <f t="shared" si="352"/>
        <v>2</v>
      </c>
      <c r="F2364" s="74" t="s">
        <v>313</v>
      </c>
      <c r="G2364" s="77">
        <f>H2363</f>
        <v>17420</v>
      </c>
      <c r="H2364" s="77">
        <f>H2363+300</f>
        <v>17720</v>
      </c>
      <c r="I2364" s="76">
        <v>0.9</v>
      </c>
    </row>
    <row r="2365" spans="3:9" x14ac:dyDescent="0.35">
      <c r="C2365" t="s">
        <v>312</v>
      </c>
      <c r="D2365" s="3">
        <v>2021</v>
      </c>
      <c r="E2365" s="78">
        <f t="shared" si="352"/>
        <v>2</v>
      </c>
      <c r="F2365" s="74" t="s">
        <v>313</v>
      </c>
      <c r="G2365" s="77">
        <f t="shared" si="353"/>
        <v>17720</v>
      </c>
      <c r="H2365" s="77">
        <f t="shared" ref="H2365:H2372" si="357">H2364+300</f>
        <v>18020</v>
      </c>
      <c r="I2365" s="76">
        <v>0.8</v>
      </c>
    </row>
    <row r="2366" spans="3:9" x14ac:dyDescent="0.35">
      <c r="C2366" t="s">
        <v>312</v>
      </c>
      <c r="D2366" s="3">
        <v>2021</v>
      </c>
      <c r="E2366" s="78">
        <f t="shared" si="352"/>
        <v>2</v>
      </c>
      <c r="F2366" s="74" t="s">
        <v>313</v>
      </c>
      <c r="G2366" s="77">
        <f t="shared" si="353"/>
        <v>18020</v>
      </c>
      <c r="H2366" s="77">
        <f t="shared" si="357"/>
        <v>18320</v>
      </c>
      <c r="I2366" s="76">
        <v>0.7</v>
      </c>
    </row>
    <row r="2367" spans="3:9" x14ac:dyDescent="0.35">
      <c r="C2367" t="s">
        <v>312</v>
      </c>
      <c r="D2367" s="3">
        <v>2021</v>
      </c>
      <c r="E2367" s="78">
        <f t="shared" si="352"/>
        <v>2</v>
      </c>
      <c r="F2367" s="74" t="s">
        <v>313</v>
      </c>
      <c r="G2367" s="77">
        <f t="shared" si="353"/>
        <v>18320</v>
      </c>
      <c r="H2367" s="77">
        <f t="shared" si="357"/>
        <v>18620</v>
      </c>
      <c r="I2367" s="76">
        <v>0.6</v>
      </c>
    </row>
    <row r="2368" spans="3:9" x14ac:dyDescent="0.35">
      <c r="C2368" t="s">
        <v>312</v>
      </c>
      <c r="D2368" s="3">
        <v>2021</v>
      </c>
      <c r="E2368" s="78">
        <f t="shared" si="352"/>
        <v>2</v>
      </c>
      <c r="F2368" s="74" t="s">
        <v>313</v>
      </c>
      <c r="G2368" s="77">
        <f t="shared" si="353"/>
        <v>18620</v>
      </c>
      <c r="H2368" s="77">
        <f t="shared" si="357"/>
        <v>18920</v>
      </c>
      <c r="I2368" s="76">
        <v>0.5</v>
      </c>
    </row>
    <row r="2369" spans="3:9" x14ac:dyDescent="0.35">
      <c r="C2369" t="s">
        <v>312</v>
      </c>
      <c r="D2369" s="3">
        <v>2021</v>
      </c>
      <c r="E2369" s="78">
        <f t="shared" si="352"/>
        <v>2</v>
      </c>
      <c r="F2369" s="74" t="s">
        <v>313</v>
      </c>
      <c r="G2369" s="77">
        <f t="shared" si="353"/>
        <v>18920</v>
      </c>
      <c r="H2369" s="77">
        <f t="shared" si="357"/>
        <v>19220</v>
      </c>
      <c r="I2369" s="76">
        <v>0.4</v>
      </c>
    </row>
    <row r="2370" spans="3:9" x14ac:dyDescent="0.35">
      <c r="C2370" t="s">
        <v>312</v>
      </c>
      <c r="D2370" s="3">
        <v>2021</v>
      </c>
      <c r="E2370" s="78">
        <f t="shared" si="352"/>
        <v>2</v>
      </c>
      <c r="F2370" s="74" t="s">
        <v>313</v>
      </c>
      <c r="G2370" s="77">
        <f t="shared" si="353"/>
        <v>19220</v>
      </c>
      <c r="H2370" s="77">
        <f t="shared" si="357"/>
        <v>19520</v>
      </c>
      <c r="I2370" s="76">
        <v>0.3</v>
      </c>
    </row>
    <row r="2371" spans="3:9" x14ac:dyDescent="0.35">
      <c r="C2371" t="s">
        <v>312</v>
      </c>
      <c r="D2371" s="3">
        <v>2021</v>
      </c>
      <c r="E2371" s="78">
        <f t="shared" si="352"/>
        <v>2</v>
      </c>
      <c r="F2371" s="74" t="s">
        <v>313</v>
      </c>
      <c r="G2371" s="77">
        <f t="shared" si="353"/>
        <v>19520</v>
      </c>
      <c r="H2371" s="77">
        <f t="shared" si="357"/>
        <v>19820</v>
      </c>
      <c r="I2371" s="76">
        <v>0.2</v>
      </c>
    </row>
    <row r="2372" spans="3:9" x14ac:dyDescent="0.35">
      <c r="C2372" t="s">
        <v>312</v>
      </c>
      <c r="D2372" s="3">
        <v>2021</v>
      </c>
      <c r="E2372" s="78">
        <f t="shared" si="352"/>
        <v>2</v>
      </c>
      <c r="F2372" s="74" t="s">
        <v>313</v>
      </c>
      <c r="G2372" s="77">
        <f t="shared" si="353"/>
        <v>19820</v>
      </c>
      <c r="H2372" s="77">
        <f t="shared" si="357"/>
        <v>20120</v>
      </c>
      <c r="I2372" s="76">
        <v>0.1</v>
      </c>
    </row>
    <row r="2373" spans="3:9" x14ac:dyDescent="0.35">
      <c r="C2373" t="s">
        <v>312</v>
      </c>
      <c r="D2373" s="3">
        <v>2021</v>
      </c>
      <c r="E2373" s="78">
        <f t="shared" si="352"/>
        <v>2</v>
      </c>
      <c r="F2373" s="74" t="s">
        <v>313</v>
      </c>
      <c r="G2373" s="77">
        <f t="shared" si="353"/>
        <v>20120</v>
      </c>
      <c r="H2373" s="77"/>
      <c r="I2373" s="76">
        <v>0</v>
      </c>
    </row>
    <row r="2374" spans="3:9" x14ac:dyDescent="0.35">
      <c r="C2374" t="s">
        <v>312</v>
      </c>
      <c r="D2374" s="3">
        <v>2021</v>
      </c>
      <c r="E2374" s="73">
        <v>3</v>
      </c>
      <c r="F2374" s="74" t="s">
        <v>54</v>
      </c>
      <c r="G2374" s="77">
        <v>0</v>
      </c>
      <c r="H2374" s="77">
        <v>21960</v>
      </c>
      <c r="I2374" s="76">
        <v>1</v>
      </c>
    </row>
    <row r="2375" spans="3:9" x14ac:dyDescent="0.35">
      <c r="C2375" t="s">
        <v>312</v>
      </c>
      <c r="D2375" s="3">
        <v>2021</v>
      </c>
      <c r="E2375" s="78">
        <f>E2374</f>
        <v>3</v>
      </c>
      <c r="F2375" s="74" t="s">
        <v>54</v>
      </c>
      <c r="G2375" s="77">
        <f>H2374</f>
        <v>21960</v>
      </c>
      <c r="H2375" s="77">
        <f>H2374+300</f>
        <v>22260</v>
      </c>
      <c r="I2375" s="76">
        <v>0.9</v>
      </c>
    </row>
    <row r="2376" spans="3:9" x14ac:dyDescent="0.35">
      <c r="C2376" t="s">
        <v>312</v>
      </c>
      <c r="D2376" s="3">
        <v>2021</v>
      </c>
      <c r="E2376" s="78">
        <f t="shared" ref="E2376:E2417" si="358">E2375</f>
        <v>3</v>
      </c>
      <c r="F2376" s="74" t="s">
        <v>54</v>
      </c>
      <c r="G2376" s="77">
        <f t="shared" si="353"/>
        <v>22260</v>
      </c>
      <c r="H2376" s="77">
        <f t="shared" ref="H2376:H2383" si="359">H2375+300</f>
        <v>22560</v>
      </c>
      <c r="I2376" s="76">
        <v>0.8</v>
      </c>
    </row>
    <row r="2377" spans="3:9" x14ac:dyDescent="0.35">
      <c r="C2377" t="s">
        <v>312</v>
      </c>
      <c r="D2377" s="3">
        <v>2021</v>
      </c>
      <c r="E2377" s="78">
        <f t="shared" si="358"/>
        <v>3</v>
      </c>
      <c r="F2377" s="74" t="s">
        <v>54</v>
      </c>
      <c r="G2377" s="77">
        <f t="shared" si="353"/>
        <v>22560</v>
      </c>
      <c r="H2377" s="77">
        <f t="shared" si="359"/>
        <v>22860</v>
      </c>
      <c r="I2377" s="76">
        <v>0.7</v>
      </c>
    </row>
    <row r="2378" spans="3:9" x14ac:dyDescent="0.35">
      <c r="C2378" t="s">
        <v>312</v>
      </c>
      <c r="D2378" s="3">
        <v>2021</v>
      </c>
      <c r="E2378" s="78">
        <f t="shared" si="358"/>
        <v>3</v>
      </c>
      <c r="F2378" s="74" t="s">
        <v>54</v>
      </c>
      <c r="G2378" s="77">
        <f t="shared" si="353"/>
        <v>22860</v>
      </c>
      <c r="H2378" s="77">
        <f t="shared" si="359"/>
        <v>23160</v>
      </c>
      <c r="I2378" s="76">
        <v>0.6</v>
      </c>
    </row>
    <row r="2379" spans="3:9" x14ac:dyDescent="0.35">
      <c r="C2379" t="s">
        <v>312</v>
      </c>
      <c r="D2379" s="3">
        <v>2021</v>
      </c>
      <c r="E2379" s="78">
        <f t="shared" si="358"/>
        <v>3</v>
      </c>
      <c r="F2379" s="74" t="s">
        <v>54</v>
      </c>
      <c r="G2379" s="77">
        <f t="shared" si="353"/>
        <v>23160</v>
      </c>
      <c r="H2379" s="77">
        <f t="shared" si="359"/>
        <v>23460</v>
      </c>
      <c r="I2379" s="76">
        <v>0.5</v>
      </c>
    </row>
    <row r="2380" spans="3:9" x14ac:dyDescent="0.35">
      <c r="C2380" t="s">
        <v>312</v>
      </c>
      <c r="D2380" s="3">
        <v>2021</v>
      </c>
      <c r="E2380" s="78">
        <f t="shared" si="358"/>
        <v>3</v>
      </c>
      <c r="F2380" s="74" t="s">
        <v>54</v>
      </c>
      <c r="G2380" s="77">
        <f t="shared" si="353"/>
        <v>23460</v>
      </c>
      <c r="H2380" s="77">
        <f t="shared" si="359"/>
        <v>23760</v>
      </c>
      <c r="I2380" s="76">
        <v>0.4</v>
      </c>
    </row>
    <row r="2381" spans="3:9" x14ac:dyDescent="0.35">
      <c r="C2381" t="s">
        <v>312</v>
      </c>
      <c r="D2381" s="3">
        <v>2021</v>
      </c>
      <c r="E2381" s="78">
        <f t="shared" si="358"/>
        <v>3</v>
      </c>
      <c r="F2381" s="74" t="s">
        <v>54</v>
      </c>
      <c r="G2381" s="77">
        <f t="shared" si="353"/>
        <v>23760</v>
      </c>
      <c r="H2381" s="77">
        <f t="shared" si="359"/>
        <v>24060</v>
      </c>
      <c r="I2381" s="76">
        <v>0.3</v>
      </c>
    </row>
    <row r="2382" spans="3:9" x14ac:dyDescent="0.35">
      <c r="C2382" t="s">
        <v>312</v>
      </c>
      <c r="D2382" s="3">
        <v>2021</v>
      </c>
      <c r="E2382" s="78">
        <f t="shared" si="358"/>
        <v>3</v>
      </c>
      <c r="F2382" s="74" t="s">
        <v>54</v>
      </c>
      <c r="G2382" s="77">
        <f t="shared" si="353"/>
        <v>24060</v>
      </c>
      <c r="H2382" s="77">
        <f t="shared" si="359"/>
        <v>24360</v>
      </c>
      <c r="I2382" s="76">
        <v>0.2</v>
      </c>
    </row>
    <row r="2383" spans="3:9" x14ac:dyDescent="0.35">
      <c r="C2383" t="s">
        <v>312</v>
      </c>
      <c r="D2383" s="3">
        <v>2021</v>
      </c>
      <c r="E2383" s="78">
        <f t="shared" si="358"/>
        <v>3</v>
      </c>
      <c r="F2383" s="74" t="s">
        <v>54</v>
      </c>
      <c r="G2383" s="77">
        <f t="shared" si="353"/>
        <v>24360</v>
      </c>
      <c r="H2383" s="77">
        <f t="shared" si="359"/>
        <v>24660</v>
      </c>
      <c r="I2383" s="76">
        <v>0.1</v>
      </c>
    </row>
    <row r="2384" spans="3:9" x14ac:dyDescent="0.35">
      <c r="C2384" t="s">
        <v>312</v>
      </c>
      <c r="D2384" s="3">
        <v>2021</v>
      </c>
      <c r="E2384" s="78">
        <f t="shared" si="358"/>
        <v>3</v>
      </c>
      <c r="F2384" s="74" t="s">
        <v>54</v>
      </c>
      <c r="G2384" s="77">
        <f t="shared" si="353"/>
        <v>24660</v>
      </c>
      <c r="H2384" s="77"/>
      <c r="I2384" s="76">
        <v>0</v>
      </c>
    </row>
    <row r="2385" spans="3:9" x14ac:dyDescent="0.35">
      <c r="C2385" t="s">
        <v>312</v>
      </c>
      <c r="D2385" s="3">
        <v>2021</v>
      </c>
      <c r="E2385" s="78">
        <f t="shared" si="358"/>
        <v>3</v>
      </c>
      <c r="F2385" s="74" t="s">
        <v>34</v>
      </c>
      <c r="G2385" s="77">
        <v>0</v>
      </c>
      <c r="H2385" s="75">
        <f>H2374</f>
        <v>21960</v>
      </c>
      <c r="I2385" s="76">
        <v>1</v>
      </c>
    </row>
    <row r="2386" spans="3:9" x14ac:dyDescent="0.35">
      <c r="C2386" t="s">
        <v>312</v>
      </c>
      <c r="D2386" s="3">
        <v>2021</v>
      </c>
      <c r="E2386" s="78">
        <f t="shared" si="358"/>
        <v>3</v>
      </c>
      <c r="F2386" s="74" t="s">
        <v>34</v>
      </c>
      <c r="G2386" s="77">
        <f>H2385</f>
        <v>21960</v>
      </c>
      <c r="H2386" s="77">
        <f>H2385+300</f>
        <v>22260</v>
      </c>
      <c r="I2386" s="76">
        <v>0.9</v>
      </c>
    </row>
    <row r="2387" spans="3:9" x14ac:dyDescent="0.35">
      <c r="C2387" t="s">
        <v>312</v>
      </c>
      <c r="D2387" s="3">
        <v>2021</v>
      </c>
      <c r="E2387" s="78">
        <f t="shared" si="358"/>
        <v>3</v>
      </c>
      <c r="F2387" s="74" t="s">
        <v>34</v>
      </c>
      <c r="G2387" s="77">
        <f t="shared" ref="G2387:G2395" si="360">H2386</f>
        <v>22260</v>
      </c>
      <c r="H2387" s="77">
        <f t="shared" ref="H2387:H2394" si="361">H2386+300</f>
        <v>22560</v>
      </c>
      <c r="I2387" s="76">
        <v>0.8</v>
      </c>
    </row>
    <row r="2388" spans="3:9" x14ac:dyDescent="0.35">
      <c r="C2388" t="s">
        <v>312</v>
      </c>
      <c r="D2388" s="3">
        <v>2021</v>
      </c>
      <c r="E2388" s="78">
        <f t="shared" si="358"/>
        <v>3</v>
      </c>
      <c r="F2388" s="74" t="s">
        <v>34</v>
      </c>
      <c r="G2388" s="77">
        <f t="shared" si="360"/>
        <v>22560</v>
      </c>
      <c r="H2388" s="77">
        <f t="shared" si="361"/>
        <v>22860</v>
      </c>
      <c r="I2388" s="76">
        <v>0.7</v>
      </c>
    </row>
    <row r="2389" spans="3:9" x14ac:dyDescent="0.35">
      <c r="C2389" t="s">
        <v>312</v>
      </c>
      <c r="D2389" s="3">
        <v>2021</v>
      </c>
      <c r="E2389" s="78">
        <f t="shared" si="358"/>
        <v>3</v>
      </c>
      <c r="F2389" s="74" t="s">
        <v>34</v>
      </c>
      <c r="G2389" s="77">
        <f t="shared" si="360"/>
        <v>22860</v>
      </c>
      <c r="H2389" s="77">
        <f t="shared" si="361"/>
        <v>23160</v>
      </c>
      <c r="I2389" s="76">
        <v>0.6</v>
      </c>
    </row>
    <row r="2390" spans="3:9" x14ac:dyDescent="0.35">
      <c r="C2390" t="s">
        <v>312</v>
      </c>
      <c r="D2390" s="3">
        <v>2021</v>
      </c>
      <c r="E2390" s="78">
        <f t="shared" si="358"/>
        <v>3</v>
      </c>
      <c r="F2390" s="74" t="s">
        <v>34</v>
      </c>
      <c r="G2390" s="77">
        <f t="shared" si="360"/>
        <v>23160</v>
      </c>
      <c r="H2390" s="77">
        <f t="shared" si="361"/>
        <v>23460</v>
      </c>
      <c r="I2390" s="76">
        <v>0.5</v>
      </c>
    </row>
    <row r="2391" spans="3:9" x14ac:dyDescent="0.35">
      <c r="C2391" t="s">
        <v>312</v>
      </c>
      <c r="D2391" s="3">
        <v>2021</v>
      </c>
      <c r="E2391" s="78">
        <f t="shared" si="358"/>
        <v>3</v>
      </c>
      <c r="F2391" s="74" t="s">
        <v>34</v>
      </c>
      <c r="G2391" s="77">
        <f t="shared" si="360"/>
        <v>23460</v>
      </c>
      <c r="H2391" s="77">
        <f t="shared" si="361"/>
        <v>23760</v>
      </c>
      <c r="I2391" s="76">
        <v>0.4</v>
      </c>
    </row>
    <row r="2392" spans="3:9" x14ac:dyDescent="0.35">
      <c r="C2392" t="s">
        <v>312</v>
      </c>
      <c r="D2392" s="3">
        <v>2021</v>
      </c>
      <c r="E2392" s="78">
        <f t="shared" si="358"/>
        <v>3</v>
      </c>
      <c r="F2392" s="74" t="s">
        <v>34</v>
      </c>
      <c r="G2392" s="77">
        <f t="shared" si="360"/>
        <v>23760</v>
      </c>
      <c r="H2392" s="77">
        <f t="shared" si="361"/>
        <v>24060</v>
      </c>
      <c r="I2392" s="76">
        <v>0.3</v>
      </c>
    </row>
    <row r="2393" spans="3:9" x14ac:dyDescent="0.35">
      <c r="C2393" t="s">
        <v>312</v>
      </c>
      <c r="D2393" s="3">
        <v>2021</v>
      </c>
      <c r="E2393" s="78">
        <f t="shared" si="358"/>
        <v>3</v>
      </c>
      <c r="F2393" s="74" t="s">
        <v>34</v>
      </c>
      <c r="G2393" s="77">
        <f t="shared" si="360"/>
        <v>24060</v>
      </c>
      <c r="H2393" s="77">
        <f t="shared" si="361"/>
        <v>24360</v>
      </c>
      <c r="I2393" s="76">
        <v>0.2</v>
      </c>
    </row>
    <row r="2394" spans="3:9" x14ac:dyDescent="0.35">
      <c r="C2394" t="s">
        <v>312</v>
      </c>
      <c r="D2394" s="3">
        <v>2021</v>
      </c>
      <c r="E2394" s="78">
        <f t="shared" si="358"/>
        <v>3</v>
      </c>
      <c r="F2394" s="74" t="s">
        <v>34</v>
      </c>
      <c r="G2394" s="77">
        <f t="shared" si="360"/>
        <v>24360</v>
      </c>
      <c r="H2394" s="77">
        <f t="shared" si="361"/>
        <v>24660</v>
      </c>
      <c r="I2394" s="76">
        <v>0.1</v>
      </c>
    </row>
    <row r="2395" spans="3:9" x14ac:dyDescent="0.35">
      <c r="C2395" t="s">
        <v>312</v>
      </c>
      <c r="D2395" s="3">
        <v>2021</v>
      </c>
      <c r="E2395" s="78">
        <f t="shared" si="358"/>
        <v>3</v>
      </c>
      <c r="F2395" s="74" t="s">
        <v>34</v>
      </c>
      <c r="G2395" s="77">
        <f t="shared" si="360"/>
        <v>24660</v>
      </c>
      <c r="H2395" s="77"/>
      <c r="I2395" s="76">
        <v>0</v>
      </c>
    </row>
    <row r="2396" spans="3:9" x14ac:dyDescent="0.35">
      <c r="C2396" t="s">
        <v>312</v>
      </c>
      <c r="D2396" s="3">
        <v>2021</v>
      </c>
      <c r="E2396" s="78">
        <f t="shared" si="358"/>
        <v>3</v>
      </c>
      <c r="F2396" s="74" t="s">
        <v>40</v>
      </c>
      <c r="G2396" s="77">
        <v>0</v>
      </c>
      <c r="H2396" s="75">
        <f>H2385</f>
        <v>21960</v>
      </c>
      <c r="I2396" s="76">
        <v>1</v>
      </c>
    </row>
    <row r="2397" spans="3:9" x14ac:dyDescent="0.35">
      <c r="C2397" t="s">
        <v>312</v>
      </c>
      <c r="D2397" s="3">
        <v>2021</v>
      </c>
      <c r="E2397" s="78">
        <f t="shared" si="358"/>
        <v>3</v>
      </c>
      <c r="F2397" s="74" t="s">
        <v>40</v>
      </c>
      <c r="G2397" s="77">
        <f>H2396</f>
        <v>21960</v>
      </c>
      <c r="H2397" s="77">
        <f>H2396+300</f>
        <v>22260</v>
      </c>
      <c r="I2397" s="76">
        <v>0.9</v>
      </c>
    </row>
    <row r="2398" spans="3:9" x14ac:dyDescent="0.35">
      <c r="C2398" t="s">
        <v>312</v>
      </c>
      <c r="D2398" s="3">
        <v>2021</v>
      </c>
      <c r="E2398" s="78">
        <f t="shared" si="358"/>
        <v>3</v>
      </c>
      <c r="F2398" s="74" t="s">
        <v>40</v>
      </c>
      <c r="G2398" s="77">
        <f t="shared" ref="G2398:G2406" si="362">H2397</f>
        <v>22260</v>
      </c>
      <c r="H2398" s="77">
        <f t="shared" ref="H2398:H2405" si="363">H2397+300</f>
        <v>22560</v>
      </c>
      <c r="I2398" s="76">
        <v>0.8</v>
      </c>
    </row>
    <row r="2399" spans="3:9" x14ac:dyDescent="0.35">
      <c r="C2399" t="s">
        <v>312</v>
      </c>
      <c r="D2399" s="3">
        <v>2021</v>
      </c>
      <c r="E2399" s="78">
        <f t="shared" si="358"/>
        <v>3</v>
      </c>
      <c r="F2399" s="74" t="s">
        <v>40</v>
      </c>
      <c r="G2399" s="77">
        <f t="shared" si="362"/>
        <v>22560</v>
      </c>
      <c r="H2399" s="77">
        <f t="shared" si="363"/>
        <v>22860</v>
      </c>
      <c r="I2399" s="76">
        <v>0.7</v>
      </c>
    </row>
    <row r="2400" spans="3:9" x14ac:dyDescent="0.35">
      <c r="C2400" t="s">
        <v>312</v>
      </c>
      <c r="D2400" s="3">
        <v>2021</v>
      </c>
      <c r="E2400" s="78">
        <f t="shared" si="358"/>
        <v>3</v>
      </c>
      <c r="F2400" s="74" t="s">
        <v>40</v>
      </c>
      <c r="G2400" s="77">
        <f t="shared" si="362"/>
        <v>22860</v>
      </c>
      <c r="H2400" s="77">
        <f t="shared" si="363"/>
        <v>23160</v>
      </c>
      <c r="I2400" s="76">
        <v>0.6</v>
      </c>
    </row>
    <row r="2401" spans="3:9" x14ac:dyDescent="0.35">
      <c r="C2401" t="s">
        <v>312</v>
      </c>
      <c r="D2401" s="3">
        <v>2021</v>
      </c>
      <c r="E2401" s="78">
        <f t="shared" si="358"/>
        <v>3</v>
      </c>
      <c r="F2401" s="74" t="s">
        <v>40</v>
      </c>
      <c r="G2401" s="77">
        <f t="shared" si="362"/>
        <v>23160</v>
      </c>
      <c r="H2401" s="77">
        <f t="shared" si="363"/>
        <v>23460</v>
      </c>
      <c r="I2401" s="76">
        <v>0.5</v>
      </c>
    </row>
    <row r="2402" spans="3:9" x14ac:dyDescent="0.35">
      <c r="C2402" t="s">
        <v>312</v>
      </c>
      <c r="D2402" s="3">
        <v>2021</v>
      </c>
      <c r="E2402" s="78">
        <f t="shared" si="358"/>
        <v>3</v>
      </c>
      <c r="F2402" s="74" t="s">
        <v>40</v>
      </c>
      <c r="G2402" s="77">
        <f t="shared" si="362"/>
        <v>23460</v>
      </c>
      <c r="H2402" s="77">
        <f t="shared" si="363"/>
        <v>23760</v>
      </c>
      <c r="I2402" s="76">
        <v>0.4</v>
      </c>
    </row>
    <row r="2403" spans="3:9" x14ac:dyDescent="0.35">
      <c r="C2403" t="s">
        <v>312</v>
      </c>
      <c r="D2403" s="3">
        <v>2021</v>
      </c>
      <c r="E2403" s="78">
        <f t="shared" si="358"/>
        <v>3</v>
      </c>
      <c r="F2403" s="74" t="s">
        <v>40</v>
      </c>
      <c r="G2403" s="77">
        <f t="shared" si="362"/>
        <v>23760</v>
      </c>
      <c r="H2403" s="77">
        <f t="shared" si="363"/>
        <v>24060</v>
      </c>
      <c r="I2403" s="76">
        <v>0.3</v>
      </c>
    </row>
    <row r="2404" spans="3:9" x14ac:dyDescent="0.35">
      <c r="C2404" t="s">
        <v>312</v>
      </c>
      <c r="D2404" s="3">
        <v>2021</v>
      </c>
      <c r="E2404" s="78">
        <f t="shared" si="358"/>
        <v>3</v>
      </c>
      <c r="F2404" s="74" t="s">
        <v>40</v>
      </c>
      <c r="G2404" s="77">
        <f t="shared" si="362"/>
        <v>24060</v>
      </c>
      <c r="H2404" s="77">
        <f t="shared" si="363"/>
        <v>24360</v>
      </c>
      <c r="I2404" s="76">
        <v>0.2</v>
      </c>
    </row>
    <row r="2405" spans="3:9" x14ac:dyDescent="0.35">
      <c r="C2405" t="s">
        <v>312</v>
      </c>
      <c r="D2405" s="3">
        <v>2021</v>
      </c>
      <c r="E2405" s="78">
        <f t="shared" si="358"/>
        <v>3</v>
      </c>
      <c r="F2405" s="74" t="s">
        <v>40</v>
      </c>
      <c r="G2405" s="77">
        <f t="shared" si="362"/>
        <v>24360</v>
      </c>
      <c r="H2405" s="77">
        <f t="shared" si="363"/>
        <v>24660</v>
      </c>
      <c r="I2405" s="76">
        <v>0.1</v>
      </c>
    </row>
    <row r="2406" spans="3:9" x14ac:dyDescent="0.35">
      <c r="C2406" t="s">
        <v>312</v>
      </c>
      <c r="D2406" s="3">
        <v>2021</v>
      </c>
      <c r="E2406" s="78">
        <f t="shared" si="358"/>
        <v>3</v>
      </c>
      <c r="F2406" s="74" t="s">
        <v>40</v>
      </c>
      <c r="G2406" s="77">
        <f t="shared" si="362"/>
        <v>24660</v>
      </c>
      <c r="H2406" s="77"/>
      <c r="I2406" s="76">
        <v>0</v>
      </c>
    </row>
    <row r="2407" spans="3:9" x14ac:dyDescent="0.35">
      <c r="C2407" t="s">
        <v>312</v>
      </c>
      <c r="D2407" s="3">
        <v>2021</v>
      </c>
      <c r="E2407" s="78">
        <f t="shared" si="358"/>
        <v>3</v>
      </c>
      <c r="F2407" s="74" t="s">
        <v>313</v>
      </c>
      <c r="G2407" s="77">
        <v>0</v>
      </c>
      <c r="H2407" s="75">
        <f>H2396</f>
        <v>21960</v>
      </c>
      <c r="I2407" s="76">
        <v>1</v>
      </c>
    </row>
    <row r="2408" spans="3:9" x14ac:dyDescent="0.35">
      <c r="C2408" t="s">
        <v>312</v>
      </c>
      <c r="D2408" s="3">
        <v>2021</v>
      </c>
      <c r="E2408" s="78">
        <f t="shared" si="358"/>
        <v>3</v>
      </c>
      <c r="F2408" s="74" t="s">
        <v>313</v>
      </c>
      <c r="G2408" s="77">
        <f>H2407</f>
        <v>21960</v>
      </c>
      <c r="H2408" s="77">
        <f>H2407+300</f>
        <v>22260</v>
      </c>
      <c r="I2408" s="76">
        <v>0.9</v>
      </c>
    </row>
    <row r="2409" spans="3:9" x14ac:dyDescent="0.35">
      <c r="C2409" t="s">
        <v>312</v>
      </c>
      <c r="D2409" s="3">
        <v>2021</v>
      </c>
      <c r="E2409" s="78">
        <f t="shared" si="358"/>
        <v>3</v>
      </c>
      <c r="F2409" s="74" t="s">
        <v>313</v>
      </c>
      <c r="G2409" s="77">
        <f t="shared" ref="G2409:G2417" si="364">H2408</f>
        <v>22260</v>
      </c>
      <c r="H2409" s="77">
        <f t="shared" ref="H2409:H2416" si="365">H2408+300</f>
        <v>22560</v>
      </c>
      <c r="I2409" s="76">
        <v>0.8</v>
      </c>
    </row>
    <row r="2410" spans="3:9" x14ac:dyDescent="0.35">
      <c r="C2410" t="s">
        <v>312</v>
      </c>
      <c r="D2410" s="3">
        <v>2021</v>
      </c>
      <c r="E2410" s="78">
        <f t="shared" si="358"/>
        <v>3</v>
      </c>
      <c r="F2410" s="74" t="s">
        <v>313</v>
      </c>
      <c r="G2410" s="77">
        <f t="shared" si="364"/>
        <v>22560</v>
      </c>
      <c r="H2410" s="77">
        <f t="shared" si="365"/>
        <v>22860</v>
      </c>
      <c r="I2410" s="76">
        <v>0.7</v>
      </c>
    </row>
    <row r="2411" spans="3:9" x14ac:dyDescent="0.35">
      <c r="C2411" t="s">
        <v>312</v>
      </c>
      <c r="D2411" s="3">
        <v>2021</v>
      </c>
      <c r="E2411" s="78">
        <f t="shared" si="358"/>
        <v>3</v>
      </c>
      <c r="F2411" s="74" t="s">
        <v>313</v>
      </c>
      <c r="G2411" s="77">
        <f t="shared" si="364"/>
        <v>22860</v>
      </c>
      <c r="H2411" s="77">
        <f t="shared" si="365"/>
        <v>23160</v>
      </c>
      <c r="I2411" s="76">
        <v>0.6</v>
      </c>
    </row>
    <row r="2412" spans="3:9" x14ac:dyDescent="0.35">
      <c r="C2412" t="s">
        <v>312</v>
      </c>
      <c r="D2412" s="3">
        <v>2021</v>
      </c>
      <c r="E2412" s="78">
        <f t="shared" si="358"/>
        <v>3</v>
      </c>
      <c r="F2412" s="74" t="s">
        <v>313</v>
      </c>
      <c r="G2412" s="77">
        <f t="shared" si="364"/>
        <v>23160</v>
      </c>
      <c r="H2412" s="77">
        <f t="shared" si="365"/>
        <v>23460</v>
      </c>
      <c r="I2412" s="76">
        <v>0.5</v>
      </c>
    </row>
    <row r="2413" spans="3:9" x14ac:dyDescent="0.35">
      <c r="C2413" t="s">
        <v>312</v>
      </c>
      <c r="D2413" s="3">
        <v>2021</v>
      </c>
      <c r="E2413" s="78">
        <f t="shared" si="358"/>
        <v>3</v>
      </c>
      <c r="F2413" s="74" t="s">
        <v>313</v>
      </c>
      <c r="G2413" s="77">
        <f t="shared" si="364"/>
        <v>23460</v>
      </c>
      <c r="H2413" s="77">
        <f t="shared" si="365"/>
        <v>23760</v>
      </c>
      <c r="I2413" s="76">
        <v>0.4</v>
      </c>
    </row>
    <row r="2414" spans="3:9" x14ac:dyDescent="0.35">
      <c r="C2414" t="s">
        <v>312</v>
      </c>
      <c r="D2414" s="3">
        <v>2021</v>
      </c>
      <c r="E2414" s="78">
        <f t="shared" si="358"/>
        <v>3</v>
      </c>
      <c r="F2414" s="74" t="s">
        <v>313</v>
      </c>
      <c r="G2414" s="77">
        <f t="shared" si="364"/>
        <v>23760</v>
      </c>
      <c r="H2414" s="77">
        <f t="shared" si="365"/>
        <v>24060</v>
      </c>
      <c r="I2414" s="76">
        <v>0.3</v>
      </c>
    </row>
    <row r="2415" spans="3:9" x14ac:dyDescent="0.35">
      <c r="C2415" t="s">
        <v>312</v>
      </c>
      <c r="D2415" s="3">
        <v>2021</v>
      </c>
      <c r="E2415" s="78">
        <f t="shared" si="358"/>
        <v>3</v>
      </c>
      <c r="F2415" s="74" t="s">
        <v>313</v>
      </c>
      <c r="G2415" s="77">
        <f t="shared" si="364"/>
        <v>24060</v>
      </c>
      <c r="H2415" s="77">
        <f t="shared" si="365"/>
        <v>24360</v>
      </c>
      <c r="I2415" s="76">
        <v>0.2</v>
      </c>
    </row>
    <row r="2416" spans="3:9" x14ac:dyDescent="0.35">
      <c r="C2416" t="s">
        <v>312</v>
      </c>
      <c r="D2416" s="3">
        <v>2021</v>
      </c>
      <c r="E2416" s="78">
        <f t="shared" si="358"/>
        <v>3</v>
      </c>
      <c r="F2416" s="74" t="s">
        <v>313</v>
      </c>
      <c r="G2416" s="77">
        <f t="shared" si="364"/>
        <v>24360</v>
      </c>
      <c r="H2416" s="77">
        <f t="shared" si="365"/>
        <v>24660</v>
      </c>
      <c r="I2416" s="76">
        <v>0.1</v>
      </c>
    </row>
    <row r="2417" spans="3:9" x14ac:dyDescent="0.35">
      <c r="C2417" t="s">
        <v>312</v>
      </c>
      <c r="D2417" s="3">
        <v>2021</v>
      </c>
      <c r="E2417" s="78">
        <f t="shared" si="358"/>
        <v>3</v>
      </c>
      <c r="F2417" s="74" t="s">
        <v>313</v>
      </c>
      <c r="G2417" s="77">
        <f t="shared" si="364"/>
        <v>24660</v>
      </c>
      <c r="H2417" s="77"/>
      <c r="I2417" s="76">
        <v>0</v>
      </c>
    </row>
    <row r="2418" spans="3:9" x14ac:dyDescent="0.35">
      <c r="C2418" t="s">
        <v>312</v>
      </c>
      <c r="D2418" s="3">
        <v>2021</v>
      </c>
      <c r="E2418" s="73">
        <v>4</v>
      </c>
      <c r="F2418" s="74" t="s">
        <v>54</v>
      </c>
      <c r="G2418" s="77">
        <v>0</v>
      </c>
      <c r="H2418" s="77">
        <v>26500</v>
      </c>
      <c r="I2418" s="76">
        <v>1</v>
      </c>
    </row>
    <row r="2419" spans="3:9" x14ac:dyDescent="0.35">
      <c r="C2419" t="s">
        <v>312</v>
      </c>
      <c r="D2419" s="3">
        <v>2021</v>
      </c>
      <c r="E2419" s="78">
        <f>E2418</f>
        <v>4</v>
      </c>
      <c r="F2419" s="74" t="s">
        <v>54</v>
      </c>
      <c r="G2419" s="77">
        <f>H2418</f>
        <v>26500</v>
      </c>
      <c r="H2419" s="77">
        <f>H2418+300</f>
        <v>26800</v>
      </c>
      <c r="I2419" s="76">
        <v>0.9</v>
      </c>
    </row>
    <row r="2420" spans="3:9" x14ac:dyDescent="0.35">
      <c r="C2420" t="s">
        <v>312</v>
      </c>
      <c r="D2420" s="3">
        <v>2021</v>
      </c>
      <c r="E2420" s="78">
        <f t="shared" ref="E2420:E2461" si="366">E2419</f>
        <v>4</v>
      </c>
      <c r="F2420" s="74" t="s">
        <v>54</v>
      </c>
      <c r="G2420" s="77">
        <f t="shared" ref="G2420:G2428" si="367">H2419</f>
        <v>26800</v>
      </c>
      <c r="H2420" s="77">
        <f t="shared" ref="H2420:H2427" si="368">H2419+300</f>
        <v>27100</v>
      </c>
      <c r="I2420" s="76">
        <v>0.8</v>
      </c>
    </row>
    <row r="2421" spans="3:9" x14ac:dyDescent="0.35">
      <c r="C2421" t="s">
        <v>312</v>
      </c>
      <c r="D2421" s="3">
        <v>2021</v>
      </c>
      <c r="E2421" s="78">
        <f t="shared" si="366"/>
        <v>4</v>
      </c>
      <c r="F2421" s="74" t="s">
        <v>54</v>
      </c>
      <c r="G2421" s="77">
        <f t="shared" si="367"/>
        <v>27100</v>
      </c>
      <c r="H2421" s="77">
        <f t="shared" si="368"/>
        <v>27400</v>
      </c>
      <c r="I2421" s="76">
        <v>0.7</v>
      </c>
    </row>
    <row r="2422" spans="3:9" x14ac:dyDescent="0.35">
      <c r="C2422" t="s">
        <v>312</v>
      </c>
      <c r="D2422" s="3">
        <v>2021</v>
      </c>
      <c r="E2422" s="78">
        <f t="shared" si="366"/>
        <v>4</v>
      </c>
      <c r="F2422" s="74" t="s">
        <v>54</v>
      </c>
      <c r="G2422" s="77">
        <f t="shared" si="367"/>
        <v>27400</v>
      </c>
      <c r="H2422" s="77">
        <f t="shared" si="368"/>
        <v>27700</v>
      </c>
      <c r="I2422" s="76">
        <v>0.6</v>
      </c>
    </row>
    <row r="2423" spans="3:9" x14ac:dyDescent="0.35">
      <c r="C2423" t="s">
        <v>312</v>
      </c>
      <c r="D2423" s="3">
        <v>2021</v>
      </c>
      <c r="E2423" s="78">
        <f t="shared" si="366"/>
        <v>4</v>
      </c>
      <c r="F2423" s="74" t="s">
        <v>54</v>
      </c>
      <c r="G2423" s="77">
        <f t="shared" si="367"/>
        <v>27700</v>
      </c>
      <c r="H2423" s="77">
        <f t="shared" si="368"/>
        <v>28000</v>
      </c>
      <c r="I2423" s="76">
        <v>0.5</v>
      </c>
    </row>
    <row r="2424" spans="3:9" x14ac:dyDescent="0.35">
      <c r="C2424" t="s">
        <v>312</v>
      </c>
      <c r="D2424" s="3">
        <v>2021</v>
      </c>
      <c r="E2424" s="78">
        <f t="shared" si="366"/>
        <v>4</v>
      </c>
      <c r="F2424" s="74" t="s">
        <v>54</v>
      </c>
      <c r="G2424" s="77">
        <f t="shared" si="367"/>
        <v>28000</v>
      </c>
      <c r="H2424" s="77">
        <f t="shared" si="368"/>
        <v>28300</v>
      </c>
      <c r="I2424" s="76">
        <v>0.4</v>
      </c>
    </row>
    <row r="2425" spans="3:9" x14ac:dyDescent="0.35">
      <c r="C2425" t="s">
        <v>312</v>
      </c>
      <c r="D2425" s="3">
        <v>2021</v>
      </c>
      <c r="E2425" s="78">
        <f t="shared" si="366"/>
        <v>4</v>
      </c>
      <c r="F2425" s="74" t="s">
        <v>54</v>
      </c>
      <c r="G2425" s="77">
        <f t="shared" si="367"/>
        <v>28300</v>
      </c>
      <c r="H2425" s="77">
        <f t="shared" si="368"/>
        <v>28600</v>
      </c>
      <c r="I2425" s="76">
        <v>0.3</v>
      </c>
    </row>
    <row r="2426" spans="3:9" x14ac:dyDescent="0.35">
      <c r="C2426" t="s">
        <v>312</v>
      </c>
      <c r="D2426" s="3">
        <v>2021</v>
      </c>
      <c r="E2426" s="78">
        <f t="shared" si="366"/>
        <v>4</v>
      </c>
      <c r="F2426" s="74" t="s">
        <v>54</v>
      </c>
      <c r="G2426" s="77">
        <f t="shared" si="367"/>
        <v>28600</v>
      </c>
      <c r="H2426" s="77">
        <f t="shared" si="368"/>
        <v>28900</v>
      </c>
      <c r="I2426" s="76">
        <v>0.2</v>
      </c>
    </row>
    <row r="2427" spans="3:9" x14ac:dyDescent="0.35">
      <c r="C2427" t="s">
        <v>312</v>
      </c>
      <c r="D2427" s="3">
        <v>2021</v>
      </c>
      <c r="E2427" s="78">
        <f t="shared" si="366"/>
        <v>4</v>
      </c>
      <c r="F2427" s="74" t="s">
        <v>54</v>
      </c>
      <c r="G2427" s="77">
        <f t="shared" si="367"/>
        <v>28900</v>
      </c>
      <c r="H2427" s="77">
        <f t="shared" si="368"/>
        <v>29200</v>
      </c>
      <c r="I2427" s="76">
        <v>0.1</v>
      </c>
    </row>
    <row r="2428" spans="3:9" x14ac:dyDescent="0.35">
      <c r="C2428" t="s">
        <v>312</v>
      </c>
      <c r="D2428" s="3">
        <v>2021</v>
      </c>
      <c r="E2428" s="78">
        <f t="shared" si="366"/>
        <v>4</v>
      </c>
      <c r="F2428" s="74" t="s">
        <v>54</v>
      </c>
      <c r="G2428" s="77">
        <f t="shared" si="367"/>
        <v>29200</v>
      </c>
      <c r="H2428" s="77"/>
      <c r="I2428" s="76">
        <v>0</v>
      </c>
    </row>
    <row r="2429" spans="3:9" x14ac:dyDescent="0.35">
      <c r="C2429" t="s">
        <v>312</v>
      </c>
      <c r="D2429" s="3">
        <v>2021</v>
      </c>
      <c r="E2429" s="78">
        <f t="shared" si="366"/>
        <v>4</v>
      </c>
      <c r="F2429" s="74" t="s">
        <v>34</v>
      </c>
      <c r="G2429" s="77">
        <v>0</v>
      </c>
      <c r="H2429" s="75">
        <f>H2418</f>
        <v>26500</v>
      </c>
      <c r="I2429" s="76">
        <v>1</v>
      </c>
    </row>
    <row r="2430" spans="3:9" x14ac:dyDescent="0.35">
      <c r="C2430" t="s">
        <v>312</v>
      </c>
      <c r="D2430" s="3">
        <v>2021</v>
      </c>
      <c r="E2430" s="78">
        <f t="shared" si="366"/>
        <v>4</v>
      </c>
      <c r="F2430" s="74" t="s">
        <v>34</v>
      </c>
      <c r="G2430" s="77">
        <f>H2429</f>
        <v>26500</v>
      </c>
      <c r="H2430" s="77">
        <f>H2429+300</f>
        <v>26800</v>
      </c>
      <c r="I2430" s="76">
        <v>0.9</v>
      </c>
    </row>
    <row r="2431" spans="3:9" x14ac:dyDescent="0.35">
      <c r="C2431" t="s">
        <v>312</v>
      </c>
      <c r="D2431" s="3">
        <v>2021</v>
      </c>
      <c r="E2431" s="78">
        <f t="shared" si="366"/>
        <v>4</v>
      </c>
      <c r="F2431" s="74" t="s">
        <v>34</v>
      </c>
      <c r="G2431" s="77">
        <f t="shared" ref="G2431:G2439" si="369">H2430</f>
        <v>26800</v>
      </c>
      <c r="H2431" s="77">
        <f t="shared" ref="H2431:H2438" si="370">H2430+300</f>
        <v>27100</v>
      </c>
      <c r="I2431" s="76">
        <v>0.8</v>
      </c>
    </row>
    <row r="2432" spans="3:9" x14ac:dyDescent="0.35">
      <c r="C2432" t="s">
        <v>312</v>
      </c>
      <c r="D2432" s="3">
        <v>2021</v>
      </c>
      <c r="E2432" s="78">
        <f t="shared" si="366"/>
        <v>4</v>
      </c>
      <c r="F2432" s="74" t="s">
        <v>34</v>
      </c>
      <c r="G2432" s="77">
        <f t="shared" si="369"/>
        <v>27100</v>
      </c>
      <c r="H2432" s="77">
        <f t="shared" si="370"/>
        <v>27400</v>
      </c>
      <c r="I2432" s="76">
        <v>0.7</v>
      </c>
    </row>
    <row r="2433" spans="3:9" x14ac:dyDescent="0.35">
      <c r="C2433" t="s">
        <v>312</v>
      </c>
      <c r="D2433" s="3">
        <v>2021</v>
      </c>
      <c r="E2433" s="78">
        <f t="shared" si="366"/>
        <v>4</v>
      </c>
      <c r="F2433" s="74" t="s">
        <v>34</v>
      </c>
      <c r="G2433" s="77">
        <f t="shared" si="369"/>
        <v>27400</v>
      </c>
      <c r="H2433" s="77">
        <f t="shared" si="370"/>
        <v>27700</v>
      </c>
      <c r="I2433" s="76">
        <v>0.6</v>
      </c>
    </row>
    <row r="2434" spans="3:9" x14ac:dyDescent="0.35">
      <c r="C2434" t="s">
        <v>312</v>
      </c>
      <c r="D2434" s="3">
        <v>2021</v>
      </c>
      <c r="E2434" s="78">
        <f t="shared" si="366"/>
        <v>4</v>
      </c>
      <c r="F2434" s="74" t="s">
        <v>34</v>
      </c>
      <c r="G2434" s="77">
        <f t="shared" si="369"/>
        <v>27700</v>
      </c>
      <c r="H2434" s="77">
        <f t="shared" si="370"/>
        <v>28000</v>
      </c>
      <c r="I2434" s="76">
        <v>0.5</v>
      </c>
    </row>
    <row r="2435" spans="3:9" x14ac:dyDescent="0.35">
      <c r="C2435" t="s">
        <v>312</v>
      </c>
      <c r="D2435" s="3">
        <v>2021</v>
      </c>
      <c r="E2435" s="78">
        <f t="shared" si="366"/>
        <v>4</v>
      </c>
      <c r="F2435" s="74" t="s">
        <v>34</v>
      </c>
      <c r="G2435" s="77">
        <f t="shared" si="369"/>
        <v>28000</v>
      </c>
      <c r="H2435" s="77">
        <f t="shared" si="370"/>
        <v>28300</v>
      </c>
      <c r="I2435" s="76">
        <v>0.4</v>
      </c>
    </row>
    <row r="2436" spans="3:9" x14ac:dyDescent="0.35">
      <c r="C2436" t="s">
        <v>312</v>
      </c>
      <c r="D2436" s="3">
        <v>2021</v>
      </c>
      <c r="E2436" s="78">
        <f t="shared" si="366"/>
        <v>4</v>
      </c>
      <c r="F2436" s="74" t="s">
        <v>34</v>
      </c>
      <c r="G2436" s="77">
        <f t="shared" si="369"/>
        <v>28300</v>
      </c>
      <c r="H2436" s="77">
        <f t="shared" si="370"/>
        <v>28600</v>
      </c>
      <c r="I2436" s="76">
        <v>0.3</v>
      </c>
    </row>
    <row r="2437" spans="3:9" x14ac:dyDescent="0.35">
      <c r="C2437" t="s">
        <v>312</v>
      </c>
      <c r="D2437" s="3">
        <v>2021</v>
      </c>
      <c r="E2437" s="78">
        <f t="shared" si="366"/>
        <v>4</v>
      </c>
      <c r="F2437" s="74" t="s">
        <v>34</v>
      </c>
      <c r="G2437" s="77">
        <f t="shared" si="369"/>
        <v>28600</v>
      </c>
      <c r="H2437" s="77">
        <f t="shared" si="370"/>
        <v>28900</v>
      </c>
      <c r="I2437" s="76">
        <v>0.2</v>
      </c>
    </row>
    <row r="2438" spans="3:9" x14ac:dyDescent="0.35">
      <c r="C2438" t="s">
        <v>312</v>
      </c>
      <c r="D2438" s="3">
        <v>2021</v>
      </c>
      <c r="E2438" s="78">
        <f t="shared" si="366"/>
        <v>4</v>
      </c>
      <c r="F2438" s="74" t="s">
        <v>34</v>
      </c>
      <c r="G2438" s="77">
        <f t="shared" si="369"/>
        <v>28900</v>
      </c>
      <c r="H2438" s="77">
        <f t="shared" si="370"/>
        <v>29200</v>
      </c>
      <c r="I2438" s="76">
        <v>0.1</v>
      </c>
    </row>
    <row r="2439" spans="3:9" x14ac:dyDescent="0.35">
      <c r="C2439" t="s">
        <v>312</v>
      </c>
      <c r="D2439" s="3">
        <v>2021</v>
      </c>
      <c r="E2439" s="78">
        <f t="shared" si="366"/>
        <v>4</v>
      </c>
      <c r="F2439" s="74" t="s">
        <v>34</v>
      </c>
      <c r="G2439" s="77">
        <f t="shared" si="369"/>
        <v>29200</v>
      </c>
      <c r="H2439" s="77"/>
      <c r="I2439" s="76">
        <v>0</v>
      </c>
    </row>
    <row r="2440" spans="3:9" x14ac:dyDescent="0.35">
      <c r="C2440" t="s">
        <v>312</v>
      </c>
      <c r="D2440" s="3">
        <v>2021</v>
      </c>
      <c r="E2440" s="78">
        <f t="shared" si="366"/>
        <v>4</v>
      </c>
      <c r="F2440" s="74" t="s">
        <v>40</v>
      </c>
      <c r="G2440" s="77">
        <v>0</v>
      </c>
      <c r="H2440" s="75">
        <f>H2429</f>
        <v>26500</v>
      </c>
      <c r="I2440" s="76">
        <v>1</v>
      </c>
    </row>
    <row r="2441" spans="3:9" x14ac:dyDescent="0.35">
      <c r="C2441" t="s">
        <v>312</v>
      </c>
      <c r="D2441" s="3">
        <v>2021</v>
      </c>
      <c r="E2441" s="78">
        <f t="shared" si="366"/>
        <v>4</v>
      </c>
      <c r="F2441" s="74" t="s">
        <v>40</v>
      </c>
      <c r="G2441" s="77">
        <f>H2440</f>
        <v>26500</v>
      </c>
      <c r="H2441" s="77">
        <f>H2440+300</f>
        <v>26800</v>
      </c>
      <c r="I2441" s="76">
        <v>0.9</v>
      </c>
    </row>
    <row r="2442" spans="3:9" x14ac:dyDescent="0.35">
      <c r="C2442" t="s">
        <v>312</v>
      </c>
      <c r="D2442" s="3">
        <v>2021</v>
      </c>
      <c r="E2442" s="78">
        <f t="shared" si="366"/>
        <v>4</v>
      </c>
      <c r="F2442" s="74" t="s">
        <v>40</v>
      </c>
      <c r="G2442" s="77">
        <f t="shared" ref="G2442:G2450" si="371">H2441</f>
        <v>26800</v>
      </c>
      <c r="H2442" s="77">
        <f t="shared" ref="H2442:H2449" si="372">H2441+300</f>
        <v>27100</v>
      </c>
      <c r="I2442" s="76">
        <v>0.8</v>
      </c>
    </row>
    <row r="2443" spans="3:9" x14ac:dyDescent="0.35">
      <c r="C2443" t="s">
        <v>312</v>
      </c>
      <c r="D2443" s="3">
        <v>2021</v>
      </c>
      <c r="E2443" s="78">
        <f t="shared" si="366"/>
        <v>4</v>
      </c>
      <c r="F2443" s="74" t="s">
        <v>40</v>
      </c>
      <c r="G2443" s="77">
        <f t="shared" si="371"/>
        <v>27100</v>
      </c>
      <c r="H2443" s="77">
        <f t="shared" si="372"/>
        <v>27400</v>
      </c>
      <c r="I2443" s="76">
        <v>0.7</v>
      </c>
    </row>
    <row r="2444" spans="3:9" x14ac:dyDescent="0.35">
      <c r="C2444" t="s">
        <v>312</v>
      </c>
      <c r="D2444" s="3">
        <v>2021</v>
      </c>
      <c r="E2444" s="78">
        <f t="shared" si="366"/>
        <v>4</v>
      </c>
      <c r="F2444" s="74" t="s">
        <v>40</v>
      </c>
      <c r="G2444" s="77">
        <f t="shared" si="371"/>
        <v>27400</v>
      </c>
      <c r="H2444" s="77">
        <f t="shared" si="372"/>
        <v>27700</v>
      </c>
      <c r="I2444" s="76">
        <v>0.6</v>
      </c>
    </row>
    <row r="2445" spans="3:9" x14ac:dyDescent="0.35">
      <c r="C2445" t="s">
        <v>312</v>
      </c>
      <c r="D2445" s="3">
        <v>2021</v>
      </c>
      <c r="E2445" s="78">
        <f t="shared" si="366"/>
        <v>4</v>
      </c>
      <c r="F2445" s="74" t="s">
        <v>40</v>
      </c>
      <c r="G2445" s="77">
        <f t="shared" si="371"/>
        <v>27700</v>
      </c>
      <c r="H2445" s="77">
        <f t="shared" si="372"/>
        <v>28000</v>
      </c>
      <c r="I2445" s="76">
        <v>0.5</v>
      </c>
    </row>
    <row r="2446" spans="3:9" x14ac:dyDescent="0.35">
      <c r="C2446" t="s">
        <v>312</v>
      </c>
      <c r="D2446" s="3">
        <v>2021</v>
      </c>
      <c r="E2446" s="78">
        <f t="shared" si="366"/>
        <v>4</v>
      </c>
      <c r="F2446" s="74" t="s">
        <v>40</v>
      </c>
      <c r="G2446" s="77">
        <f t="shared" si="371"/>
        <v>28000</v>
      </c>
      <c r="H2446" s="77">
        <f t="shared" si="372"/>
        <v>28300</v>
      </c>
      <c r="I2446" s="76">
        <v>0.4</v>
      </c>
    </row>
    <row r="2447" spans="3:9" x14ac:dyDescent="0.35">
      <c r="C2447" t="s">
        <v>312</v>
      </c>
      <c r="D2447" s="3">
        <v>2021</v>
      </c>
      <c r="E2447" s="78">
        <f t="shared" si="366"/>
        <v>4</v>
      </c>
      <c r="F2447" s="74" t="s">
        <v>40</v>
      </c>
      <c r="G2447" s="77">
        <f t="shared" si="371"/>
        <v>28300</v>
      </c>
      <c r="H2447" s="77">
        <f t="shared" si="372"/>
        <v>28600</v>
      </c>
      <c r="I2447" s="76">
        <v>0.3</v>
      </c>
    </row>
    <row r="2448" spans="3:9" x14ac:dyDescent="0.35">
      <c r="C2448" t="s">
        <v>312</v>
      </c>
      <c r="D2448" s="3">
        <v>2021</v>
      </c>
      <c r="E2448" s="78">
        <f t="shared" si="366"/>
        <v>4</v>
      </c>
      <c r="F2448" s="74" t="s">
        <v>40</v>
      </c>
      <c r="G2448" s="77">
        <f t="shared" si="371"/>
        <v>28600</v>
      </c>
      <c r="H2448" s="77">
        <f t="shared" si="372"/>
        <v>28900</v>
      </c>
      <c r="I2448" s="76">
        <v>0.2</v>
      </c>
    </row>
    <row r="2449" spans="3:9" x14ac:dyDescent="0.35">
      <c r="C2449" t="s">
        <v>312</v>
      </c>
      <c r="D2449" s="3">
        <v>2021</v>
      </c>
      <c r="E2449" s="78">
        <f t="shared" si="366"/>
        <v>4</v>
      </c>
      <c r="F2449" s="74" t="s">
        <v>40</v>
      </c>
      <c r="G2449" s="77">
        <f t="shared" si="371"/>
        <v>28900</v>
      </c>
      <c r="H2449" s="77">
        <f t="shared" si="372"/>
        <v>29200</v>
      </c>
      <c r="I2449" s="76">
        <v>0.1</v>
      </c>
    </row>
    <row r="2450" spans="3:9" x14ac:dyDescent="0.35">
      <c r="C2450" t="s">
        <v>312</v>
      </c>
      <c r="D2450" s="3">
        <v>2021</v>
      </c>
      <c r="E2450" s="78">
        <f t="shared" si="366"/>
        <v>4</v>
      </c>
      <c r="F2450" s="74" t="s">
        <v>40</v>
      </c>
      <c r="G2450" s="77">
        <f t="shared" si="371"/>
        <v>29200</v>
      </c>
      <c r="H2450" s="77"/>
      <c r="I2450" s="76">
        <v>0</v>
      </c>
    </row>
    <row r="2451" spans="3:9" x14ac:dyDescent="0.35">
      <c r="C2451" t="s">
        <v>312</v>
      </c>
      <c r="D2451" s="3">
        <v>2021</v>
      </c>
      <c r="E2451" s="78">
        <f t="shared" si="366"/>
        <v>4</v>
      </c>
      <c r="F2451" s="74" t="s">
        <v>313</v>
      </c>
      <c r="G2451" s="77">
        <v>0</v>
      </c>
      <c r="H2451" s="75">
        <f>H2440</f>
        <v>26500</v>
      </c>
      <c r="I2451" s="76">
        <v>1</v>
      </c>
    </row>
    <row r="2452" spans="3:9" x14ac:dyDescent="0.35">
      <c r="C2452" t="s">
        <v>312</v>
      </c>
      <c r="D2452" s="3">
        <v>2021</v>
      </c>
      <c r="E2452" s="78">
        <f t="shared" si="366"/>
        <v>4</v>
      </c>
      <c r="F2452" s="74" t="s">
        <v>313</v>
      </c>
      <c r="G2452" s="77">
        <f>H2451</f>
        <v>26500</v>
      </c>
      <c r="H2452" s="77">
        <f>H2451+300</f>
        <v>26800</v>
      </c>
      <c r="I2452" s="76">
        <v>0.9</v>
      </c>
    </row>
    <row r="2453" spans="3:9" x14ac:dyDescent="0.35">
      <c r="C2453" t="s">
        <v>312</v>
      </c>
      <c r="D2453" s="3">
        <v>2021</v>
      </c>
      <c r="E2453" s="78">
        <f t="shared" si="366"/>
        <v>4</v>
      </c>
      <c r="F2453" s="74" t="s">
        <v>313</v>
      </c>
      <c r="G2453" s="77">
        <f t="shared" ref="G2453:G2461" si="373">H2452</f>
        <v>26800</v>
      </c>
      <c r="H2453" s="77">
        <f t="shared" ref="H2453:H2460" si="374">H2452+300</f>
        <v>27100</v>
      </c>
      <c r="I2453" s="76">
        <v>0.8</v>
      </c>
    </row>
    <row r="2454" spans="3:9" x14ac:dyDescent="0.35">
      <c r="C2454" t="s">
        <v>312</v>
      </c>
      <c r="D2454" s="3">
        <v>2021</v>
      </c>
      <c r="E2454" s="78">
        <f t="shared" si="366"/>
        <v>4</v>
      </c>
      <c r="F2454" s="74" t="s">
        <v>313</v>
      </c>
      <c r="G2454" s="77">
        <f t="shared" si="373"/>
        <v>27100</v>
      </c>
      <c r="H2454" s="77">
        <f t="shared" si="374"/>
        <v>27400</v>
      </c>
      <c r="I2454" s="76">
        <v>0.7</v>
      </c>
    </row>
    <row r="2455" spans="3:9" x14ac:dyDescent="0.35">
      <c r="C2455" t="s">
        <v>312</v>
      </c>
      <c r="D2455" s="3">
        <v>2021</v>
      </c>
      <c r="E2455" s="78">
        <f t="shared" si="366"/>
        <v>4</v>
      </c>
      <c r="F2455" s="74" t="s">
        <v>313</v>
      </c>
      <c r="G2455" s="77">
        <f t="shared" si="373"/>
        <v>27400</v>
      </c>
      <c r="H2455" s="77">
        <f t="shared" si="374"/>
        <v>27700</v>
      </c>
      <c r="I2455" s="76">
        <v>0.6</v>
      </c>
    </row>
    <row r="2456" spans="3:9" x14ac:dyDescent="0.35">
      <c r="C2456" t="s">
        <v>312</v>
      </c>
      <c r="D2456" s="3">
        <v>2021</v>
      </c>
      <c r="E2456" s="78">
        <f t="shared" si="366"/>
        <v>4</v>
      </c>
      <c r="F2456" s="74" t="s">
        <v>313</v>
      </c>
      <c r="G2456" s="77">
        <f t="shared" si="373"/>
        <v>27700</v>
      </c>
      <c r="H2456" s="77">
        <f t="shared" si="374"/>
        <v>28000</v>
      </c>
      <c r="I2456" s="76">
        <v>0.5</v>
      </c>
    </row>
    <row r="2457" spans="3:9" x14ac:dyDescent="0.35">
      <c r="C2457" t="s">
        <v>312</v>
      </c>
      <c r="D2457" s="3">
        <v>2021</v>
      </c>
      <c r="E2457" s="78">
        <f t="shared" si="366"/>
        <v>4</v>
      </c>
      <c r="F2457" s="74" t="s">
        <v>313</v>
      </c>
      <c r="G2457" s="77">
        <f t="shared" si="373"/>
        <v>28000</v>
      </c>
      <c r="H2457" s="77">
        <f t="shared" si="374"/>
        <v>28300</v>
      </c>
      <c r="I2457" s="76">
        <v>0.4</v>
      </c>
    </row>
    <row r="2458" spans="3:9" x14ac:dyDescent="0.35">
      <c r="C2458" t="s">
        <v>312</v>
      </c>
      <c r="D2458" s="3">
        <v>2021</v>
      </c>
      <c r="E2458" s="78">
        <f t="shared" si="366"/>
        <v>4</v>
      </c>
      <c r="F2458" s="74" t="s">
        <v>313</v>
      </c>
      <c r="G2458" s="77">
        <f t="shared" si="373"/>
        <v>28300</v>
      </c>
      <c r="H2458" s="77">
        <f t="shared" si="374"/>
        <v>28600</v>
      </c>
      <c r="I2458" s="76">
        <v>0.3</v>
      </c>
    </row>
    <row r="2459" spans="3:9" x14ac:dyDescent="0.35">
      <c r="C2459" t="s">
        <v>312</v>
      </c>
      <c r="D2459" s="3">
        <v>2021</v>
      </c>
      <c r="E2459" s="78">
        <f t="shared" si="366"/>
        <v>4</v>
      </c>
      <c r="F2459" s="74" t="s">
        <v>313</v>
      </c>
      <c r="G2459" s="77">
        <f t="shared" si="373"/>
        <v>28600</v>
      </c>
      <c r="H2459" s="77">
        <f t="shared" si="374"/>
        <v>28900</v>
      </c>
      <c r="I2459" s="76">
        <v>0.2</v>
      </c>
    </row>
    <row r="2460" spans="3:9" x14ac:dyDescent="0.35">
      <c r="C2460" t="s">
        <v>312</v>
      </c>
      <c r="D2460" s="3">
        <v>2021</v>
      </c>
      <c r="E2460" s="78">
        <f t="shared" si="366"/>
        <v>4</v>
      </c>
      <c r="F2460" s="74" t="s">
        <v>313</v>
      </c>
      <c r="G2460" s="77">
        <f t="shared" si="373"/>
        <v>28900</v>
      </c>
      <c r="H2460" s="77">
        <f t="shared" si="374"/>
        <v>29200</v>
      </c>
      <c r="I2460" s="76">
        <v>0.1</v>
      </c>
    </row>
    <row r="2461" spans="3:9" x14ac:dyDescent="0.35">
      <c r="C2461" t="s">
        <v>312</v>
      </c>
      <c r="D2461" s="3">
        <v>2021</v>
      </c>
      <c r="E2461" s="78">
        <f t="shared" si="366"/>
        <v>4</v>
      </c>
      <c r="F2461" s="74" t="s">
        <v>313</v>
      </c>
      <c r="G2461" s="77">
        <f t="shared" si="373"/>
        <v>29200</v>
      </c>
      <c r="H2461" s="77"/>
      <c r="I2461" s="76">
        <v>0</v>
      </c>
    </row>
    <row r="2462" spans="3:9" x14ac:dyDescent="0.35">
      <c r="C2462" t="s">
        <v>312</v>
      </c>
      <c r="D2462" s="3">
        <v>2021</v>
      </c>
      <c r="E2462" s="73">
        <v>5</v>
      </c>
      <c r="F2462" s="74" t="s">
        <v>54</v>
      </c>
      <c r="G2462" s="77">
        <v>0</v>
      </c>
      <c r="H2462" s="77">
        <v>31040</v>
      </c>
      <c r="I2462" s="76">
        <v>1</v>
      </c>
    </row>
    <row r="2463" spans="3:9" x14ac:dyDescent="0.35">
      <c r="C2463" t="s">
        <v>312</v>
      </c>
      <c r="D2463" s="3">
        <v>2021</v>
      </c>
      <c r="E2463" s="78">
        <f>E2462</f>
        <v>5</v>
      </c>
      <c r="F2463" s="74" t="s">
        <v>54</v>
      </c>
      <c r="G2463" s="77">
        <f>H2462</f>
        <v>31040</v>
      </c>
      <c r="H2463" s="77">
        <f>H2462+300</f>
        <v>31340</v>
      </c>
      <c r="I2463" s="76">
        <v>0.9</v>
      </c>
    </row>
    <row r="2464" spans="3:9" x14ac:dyDescent="0.35">
      <c r="C2464" t="s">
        <v>312</v>
      </c>
      <c r="D2464" s="3">
        <v>2021</v>
      </c>
      <c r="E2464" s="78">
        <f t="shared" ref="E2464:E2505" si="375">E2463</f>
        <v>5</v>
      </c>
      <c r="F2464" s="74" t="s">
        <v>54</v>
      </c>
      <c r="G2464" s="77">
        <f t="shared" ref="G2464:G2472" si="376">H2463</f>
        <v>31340</v>
      </c>
      <c r="H2464" s="77">
        <f t="shared" ref="H2464:H2471" si="377">H2463+300</f>
        <v>31640</v>
      </c>
      <c r="I2464" s="76">
        <v>0.8</v>
      </c>
    </row>
    <row r="2465" spans="3:9" x14ac:dyDescent="0.35">
      <c r="C2465" t="s">
        <v>312</v>
      </c>
      <c r="D2465" s="3">
        <v>2021</v>
      </c>
      <c r="E2465" s="78">
        <f t="shared" si="375"/>
        <v>5</v>
      </c>
      <c r="F2465" s="74" t="s">
        <v>54</v>
      </c>
      <c r="G2465" s="77">
        <f t="shared" si="376"/>
        <v>31640</v>
      </c>
      <c r="H2465" s="77">
        <f t="shared" si="377"/>
        <v>31940</v>
      </c>
      <c r="I2465" s="76">
        <v>0.7</v>
      </c>
    </row>
    <row r="2466" spans="3:9" x14ac:dyDescent="0.35">
      <c r="C2466" t="s">
        <v>312</v>
      </c>
      <c r="D2466" s="3">
        <v>2021</v>
      </c>
      <c r="E2466" s="78">
        <f t="shared" si="375"/>
        <v>5</v>
      </c>
      <c r="F2466" s="74" t="s">
        <v>54</v>
      </c>
      <c r="G2466" s="77">
        <f t="shared" si="376"/>
        <v>31940</v>
      </c>
      <c r="H2466" s="77">
        <f t="shared" si="377"/>
        <v>32240</v>
      </c>
      <c r="I2466" s="76">
        <v>0.6</v>
      </c>
    </row>
    <row r="2467" spans="3:9" x14ac:dyDescent="0.35">
      <c r="C2467" t="s">
        <v>312</v>
      </c>
      <c r="D2467" s="3">
        <v>2021</v>
      </c>
      <c r="E2467" s="78">
        <f t="shared" si="375"/>
        <v>5</v>
      </c>
      <c r="F2467" s="74" t="s">
        <v>54</v>
      </c>
      <c r="G2467" s="77">
        <f t="shared" si="376"/>
        <v>32240</v>
      </c>
      <c r="H2467" s="77">
        <f t="shared" si="377"/>
        <v>32540</v>
      </c>
      <c r="I2467" s="76">
        <v>0.5</v>
      </c>
    </row>
    <row r="2468" spans="3:9" x14ac:dyDescent="0.35">
      <c r="C2468" t="s">
        <v>312</v>
      </c>
      <c r="D2468" s="3">
        <v>2021</v>
      </c>
      <c r="E2468" s="78">
        <f t="shared" si="375"/>
        <v>5</v>
      </c>
      <c r="F2468" s="74" t="s">
        <v>54</v>
      </c>
      <c r="G2468" s="77">
        <f t="shared" si="376"/>
        <v>32540</v>
      </c>
      <c r="H2468" s="77">
        <f t="shared" si="377"/>
        <v>32840</v>
      </c>
      <c r="I2468" s="76">
        <v>0.4</v>
      </c>
    </row>
    <row r="2469" spans="3:9" x14ac:dyDescent="0.35">
      <c r="C2469" t="s">
        <v>312</v>
      </c>
      <c r="D2469" s="3">
        <v>2021</v>
      </c>
      <c r="E2469" s="78">
        <f t="shared" si="375"/>
        <v>5</v>
      </c>
      <c r="F2469" s="74" t="s">
        <v>54</v>
      </c>
      <c r="G2469" s="77">
        <f t="shared" si="376"/>
        <v>32840</v>
      </c>
      <c r="H2469" s="77">
        <f t="shared" si="377"/>
        <v>33140</v>
      </c>
      <c r="I2469" s="76">
        <v>0.3</v>
      </c>
    </row>
    <row r="2470" spans="3:9" x14ac:dyDescent="0.35">
      <c r="C2470" t="s">
        <v>312</v>
      </c>
      <c r="D2470" s="3">
        <v>2021</v>
      </c>
      <c r="E2470" s="78">
        <f t="shared" si="375"/>
        <v>5</v>
      </c>
      <c r="F2470" s="74" t="s">
        <v>54</v>
      </c>
      <c r="G2470" s="77">
        <f t="shared" si="376"/>
        <v>33140</v>
      </c>
      <c r="H2470" s="77">
        <f t="shared" si="377"/>
        <v>33440</v>
      </c>
      <c r="I2470" s="76">
        <v>0.2</v>
      </c>
    </row>
    <row r="2471" spans="3:9" x14ac:dyDescent="0.35">
      <c r="C2471" t="s">
        <v>312</v>
      </c>
      <c r="D2471" s="3">
        <v>2021</v>
      </c>
      <c r="E2471" s="78">
        <f t="shared" si="375"/>
        <v>5</v>
      </c>
      <c r="F2471" s="74" t="s">
        <v>54</v>
      </c>
      <c r="G2471" s="77">
        <f t="shared" si="376"/>
        <v>33440</v>
      </c>
      <c r="H2471" s="77">
        <f t="shared" si="377"/>
        <v>33740</v>
      </c>
      <c r="I2471" s="76">
        <v>0.1</v>
      </c>
    </row>
    <row r="2472" spans="3:9" x14ac:dyDescent="0.35">
      <c r="C2472" t="s">
        <v>312</v>
      </c>
      <c r="D2472" s="3">
        <v>2021</v>
      </c>
      <c r="E2472" s="78">
        <f t="shared" si="375"/>
        <v>5</v>
      </c>
      <c r="F2472" s="74" t="s">
        <v>54</v>
      </c>
      <c r="G2472" s="77">
        <f t="shared" si="376"/>
        <v>33740</v>
      </c>
      <c r="H2472" s="77"/>
      <c r="I2472" s="76">
        <v>0</v>
      </c>
    </row>
    <row r="2473" spans="3:9" x14ac:dyDescent="0.35">
      <c r="C2473" t="s">
        <v>312</v>
      </c>
      <c r="D2473" s="3">
        <v>2021</v>
      </c>
      <c r="E2473" s="78">
        <f t="shared" si="375"/>
        <v>5</v>
      </c>
      <c r="F2473" s="74" t="s">
        <v>34</v>
      </c>
      <c r="G2473" s="77">
        <v>0</v>
      </c>
      <c r="H2473" s="75">
        <f>H2462</f>
        <v>31040</v>
      </c>
      <c r="I2473" s="76">
        <v>1</v>
      </c>
    </row>
    <row r="2474" spans="3:9" x14ac:dyDescent="0.35">
      <c r="C2474" t="s">
        <v>312</v>
      </c>
      <c r="D2474" s="3">
        <v>2021</v>
      </c>
      <c r="E2474" s="78">
        <f t="shared" si="375"/>
        <v>5</v>
      </c>
      <c r="F2474" s="74" t="s">
        <v>34</v>
      </c>
      <c r="G2474" s="77">
        <f>H2473</f>
        <v>31040</v>
      </c>
      <c r="H2474" s="77">
        <f>H2473+300</f>
        <v>31340</v>
      </c>
      <c r="I2474" s="76">
        <v>0.9</v>
      </c>
    </row>
    <row r="2475" spans="3:9" x14ac:dyDescent="0.35">
      <c r="C2475" t="s">
        <v>312</v>
      </c>
      <c r="D2475" s="3">
        <v>2021</v>
      </c>
      <c r="E2475" s="78">
        <f t="shared" si="375"/>
        <v>5</v>
      </c>
      <c r="F2475" s="74" t="s">
        <v>34</v>
      </c>
      <c r="G2475" s="77">
        <f t="shared" ref="G2475:G2483" si="378">H2474</f>
        <v>31340</v>
      </c>
      <c r="H2475" s="77">
        <f t="shared" ref="H2475:H2482" si="379">H2474+300</f>
        <v>31640</v>
      </c>
      <c r="I2475" s="76">
        <v>0.8</v>
      </c>
    </row>
    <row r="2476" spans="3:9" x14ac:dyDescent="0.35">
      <c r="C2476" t="s">
        <v>312</v>
      </c>
      <c r="D2476" s="3">
        <v>2021</v>
      </c>
      <c r="E2476" s="78">
        <f t="shared" si="375"/>
        <v>5</v>
      </c>
      <c r="F2476" s="74" t="s">
        <v>34</v>
      </c>
      <c r="G2476" s="77">
        <f t="shared" si="378"/>
        <v>31640</v>
      </c>
      <c r="H2476" s="77">
        <f t="shared" si="379"/>
        <v>31940</v>
      </c>
      <c r="I2476" s="76">
        <v>0.7</v>
      </c>
    </row>
    <row r="2477" spans="3:9" x14ac:dyDescent="0.35">
      <c r="C2477" t="s">
        <v>312</v>
      </c>
      <c r="D2477" s="3">
        <v>2021</v>
      </c>
      <c r="E2477" s="78">
        <f t="shared" si="375"/>
        <v>5</v>
      </c>
      <c r="F2477" s="74" t="s">
        <v>34</v>
      </c>
      <c r="G2477" s="77">
        <f t="shared" si="378"/>
        <v>31940</v>
      </c>
      <c r="H2477" s="77">
        <f t="shared" si="379"/>
        <v>32240</v>
      </c>
      <c r="I2477" s="76">
        <v>0.6</v>
      </c>
    </row>
    <row r="2478" spans="3:9" x14ac:dyDescent="0.35">
      <c r="C2478" t="s">
        <v>312</v>
      </c>
      <c r="D2478" s="3">
        <v>2021</v>
      </c>
      <c r="E2478" s="78">
        <f t="shared" si="375"/>
        <v>5</v>
      </c>
      <c r="F2478" s="74" t="s">
        <v>34</v>
      </c>
      <c r="G2478" s="77">
        <f t="shared" si="378"/>
        <v>32240</v>
      </c>
      <c r="H2478" s="77">
        <f t="shared" si="379"/>
        <v>32540</v>
      </c>
      <c r="I2478" s="76">
        <v>0.5</v>
      </c>
    </row>
    <row r="2479" spans="3:9" x14ac:dyDescent="0.35">
      <c r="C2479" t="s">
        <v>312</v>
      </c>
      <c r="D2479" s="3">
        <v>2021</v>
      </c>
      <c r="E2479" s="78">
        <f t="shared" si="375"/>
        <v>5</v>
      </c>
      <c r="F2479" s="74" t="s">
        <v>34</v>
      </c>
      <c r="G2479" s="77">
        <f t="shared" si="378"/>
        <v>32540</v>
      </c>
      <c r="H2479" s="77">
        <f t="shared" si="379"/>
        <v>32840</v>
      </c>
      <c r="I2479" s="76">
        <v>0.4</v>
      </c>
    </row>
    <row r="2480" spans="3:9" x14ac:dyDescent="0.35">
      <c r="C2480" t="s">
        <v>312</v>
      </c>
      <c r="D2480" s="3">
        <v>2021</v>
      </c>
      <c r="E2480" s="78">
        <f t="shared" si="375"/>
        <v>5</v>
      </c>
      <c r="F2480" s="74" t="s">
        <v>34</v>
      </c>
      <c r="G2480" s="77">
        <f t="shared" si="378"/>
        <v>32840</v>
      </c>
      <c r="H2480" s="77">
        <f t="shared" si="379"/>
        <v>33140</v>
      </c>
      <c r="I2480" s="76">
        <v>0.3</v>
      </c>
    </row>
    <row r="2481" spans="3:9" x14ac:dyDescent="0.35">
      <c r="C2481" t="s">
        <v>312</v>
      </c>
      <c r="D2481" s="3">
        <v>2021</v>
      </c>
      <c r="E2481" s="78">
        <f t="shared" si="375"/>
        <v>5</v>
      </c>
      <c r="F2481" s="74" t="s">
        <v>34</v>
      </c>
      <c r="G2481" s="77">
        <f t="shared" si="378"/>
        <v>33140</v>
      </c>
      <c r="H2481" s="77">
        <f t="shared" si="379"/>
        <v>33440</v>
      </c>
      <c r="I2481" s="76">
        <v>0.2</v>
      </c>
    </row>
    <row r="2482" spans="3:9" x14ac:dyDescent="0.35">
      <c r="C2482" t="s">
        <v>312</v>
      </c>
      <c r="D2482" s="3">
        <v>2021</v>
      </c>
      <c r="E2482" s="78">
        <f t="shared" si="375"/>
        <v>5</v>
      </c>
      <c r="F2482" s="74" t="s">
        <v>34</v>
      </c>
      <c r="G2482" s="77">
        <f t="shared" si="378"/>
        <v>33440</v>
      </c>
      <c r="H2482" s="77">
        <f t="shared" si="379"/>
        <v>33740</v>
      </c>
      <c r="I2482" s="76">
        <v>0.1</v>
      </c>
    </row>
    <row r="2483" spans="3:9" x14ac:dyDescent="0.35">
      <c r="C2483" t="s">
        <v>312</v>
      </c>
      <c r="D2483" s="3">
        <v>2021</v>
      </c>
      <c r="E2483" s="78">
        <f t="shared" si="375"/>
        <v>5</v>
      </c>
      <c r="F2483" s="74" t="s">
        <v>34</v>
      </c>
      <c r="G2483" s="77">
        <f t="shared" si="378"/>
        <v>33740</v>
      </c>
      <c r="H2483" s="77"/>
      <c r="I2483" s="76">
        <v>0</v>
      </c>
    </row>
    <row r="2484" spans="3:9" x14ac:dyDescent="0.35">
      <c r="C2484" t="s">
        <v>312</v>
      </c>
      <c r="D2484" s="3">
        <v>2021</v>
      </c>
      <c r="E2484" s="78">
        <f t="shared" si="375"/>
        <v>5</v>
      </c>
      <c r="F2484" s="74" t="s">
        <v>40</v>
      </c>
      <c r="G2484" s="77">
        <v>0</v>
      </c>
      <c r="H2484" s="75">
        <f>H2473</f>
        <v>31040</v>
      </c>
      <c r="I2484" s="76">
        <v>1</v>
      </c>
    </row>
    <row r="2485" spans="3:9" x14ac:dyDescent="0.35">
      <c r="C2485" t="s">
        <v>312</v>
      </c>
      <c r="D2485" s="3">
        <v>2021</v>
      </c>
      <c r="E2485" s="78">
        <f t="shared" si="375"/>
        <v>5</v>
      </c>
      <c r="F2485" s="74" t="s">
        <v>40</v>
      </c>
      <c r="G2485" s="77">
        <f>H2484</f>
        <v>31040</v>
      </c>
      <c r="H2485" s="77">
        <f>H2484+300</f>
        <v>31340</v>
      </c>
      <c r="I2485" s="76">
        <v>0.9</v>
      </c>
    </row>
    <row r="2486" spans="3:9" x14ac:dyDescent="0.35">
      <c r="C2486" t="s">
        <v>312</v>
      </c>
      <c r="D2486" s="3">
        <v>2021</v>
      </c>
      <c r="E2486" s="78">
        <f t="shared" si="375"/>
        <v>5</v>
      </c>
      <c r="F2486" s="74" t="s">
        <v>40</v>
      </c>
      <c r="G2486" s="77">
        <f t="shared" ref="G2486:G2494" si="380">H2485</f>
        <v>31340</v>
      </c>
      <c r="H2486" s="77">
        <f t="shared" ref="H2486:H2493" si="381">H2485+300</f>
        <v>31640</v>
      </c>
      <c r="I2486" s="76">
        <v>0.8</v>
      </c>
    </row>
    <row r="2487" spans="3:9" x14ac:dyDescent="0.35">
      <c r="C2487" t="s">
        <v>312</v>
      </c>
      <c r="D2487" s="3">
        <v>2021</v>
      </c>
      <c r="E2487" s="78">
        <f t="shared" si="375"/>
        <v>5</v>
      </c>
      <c r="F2487" s="74" t="s">
        <v>40</v>
      </c>
      <c r="G2487" s="77">
        <f t="shared" si="380"/>
        <v>31640</v>
      </c>
      <c r="H2487" s="77">
        <f t="shared" si="381"/>
        <v>31940</v>
      </c>
      <c r="I2487" s="76">
        <v>0.7</v>
      </c>
    </row>
    <row r="2488" spans="3:9" x14ac:dyDescent="0.35">
      <c r="C2488" t="s">
        <v>312</v>
      </c>
      <c r="D2488" s="3">
        <v>2021</v>
      </c>
      <c r="E2488" s="78">
        <f t="shared" si="375"/>
        <v>5</v>
      </c>
      <c r="F2488" s="74" t="s">
        <v>40</v>
      </c>
      <c r="G2488" s="77">
        <f t="shared" si="380"/>
        <v>31940</v>
      </c>
      <c r="H2488" s="77">
        <f t="shared" si="381"/>
        <v>32240</v>
      </c>
      <c r="I2488" s="76">
        <v>0.6</v>
      </c>
    </row>
    <row r="2489" spans="3:9" x14ac:dyDescent="0.35">
      <c r="C2489" t="s">
        <v>312</v>
      </c>
      <c r="D2489" s="3">
        <v>2021</v>
      </c>
      <c r="E2489" s="78">
        <f t="shared" si="375"/>
        <v>5</v>
      </c>
      <c r="F2489" s="74" t="s">
        <v>40</v>
      </c>
      <c r="G2489" s="77">
        <f t="shared" si="380"/>
        <v>32240</v>
      </c>
      <c r="H2489" s="77">
        <f t="shared" si="381"/>
        <v>32540</v>
      </c>
      <c r="I2489" s="76">
        <v>0.5</v>
      </c>
    </row>
    <row r="2490" spans="3:9" x14ac:dyDescent="0.35">
      <c r="C2490" t="s">
        <v>312</v>
      </c>
      <c r="D2490" s="3">
        <v>2021</v>
      </c>
      <c r="E2490" s="78">
        <f t="shared" si="375"/>
        <v>5</v>
      </c>
      <c r="F2490" s="74" t="s">
        <v>40</v>
      </c>
      <c r="G2490" s="77">
        <f t="shared" si="380"/>
        <v>32540</v>
      </c>
      <c r="H2490" s="77">
        <f t="shared" si="381"/>
        <v>32840</v>
      </c>
      <c r="I2490" s="76">
        <v>0.4</v>
      </c>
    </row>
    <row r="2491" spans="3:9" x14ac:dyDescent="0.35">
      <c r="C2491" t="s">
        <v>312</v>
      </c>
      <c r="D2491" s="3">
        <v>2021</v>
      </c>
      <c r="E2491" s="78">
        <f t="shared" si="375"/>
        <v>5</v>
      </c>
      <c r="F2491" s="74" t="s">
        <v>40</v>
      </c>
      <c r="G2491" s="77">
        <f t="shared" si="380"/>
        <v>32840</v>
      </c>
      <c r="H2491" s="77">
        <f t="shared" si="381"/>
        <v>33140</v>
      </c>
      <c r="I2491" s="76">
        <v>0.3</v>
      </c>
    </row>
    <row r="2492" spans="3:9" x14ac:dyDescent="0.35">
      <c r="C2492" t="s">
        <v>312</v>
      </c>
      <c r="D2492" s="3">
        <v>2021</v>
      </c>
      <c r="E2492" s="78">
        <f t="shared" si="375"/>
        <v>5</v>
      </c>
      <c r="F2492" s="74" t="s">
        <v>40</v>
      </c>
      <c r="G2492" s="77">
        <f t="shared" si="380"/>
        <v>33140</v>
      </c>
      <c r="H2492" s="77">
        <f t="shared" si="381"/>
        <v>33440</v>
      </c>
      <c r="I2492" s="76">
        <v>0.2</v>
      </c>
    </row>
    <row r="2493" spans="3:9" x14ac:dyDescent="0.35">
      <c r="C2493" t="s">
        <v>312</v>
      </c>
      <c r="D2493" s="3">
        <v>2021</v>
      </c>
      <c r="E2493" s="78">
        <f t="shared" si="375"/>
        <v>5</v>
      </c>
      <c r="F2493" s="74" t="s">
        <v>40</v>
      </c>
      <c r="G2493" s="77">
        <f t="shared" si="380"/>
        <v>33440</v>
      </c>
      <c r="H2493" s="77">
        <f t="shared" si="381"/>
        <v>33740</v>
      </c>
      <c r="I2493" s="76">
        <v>0.1</v>
      </c>
    </row>
    <row r="2494" spans="3:9" x14ac:dyDescent="0.35">
      <c r="C2494" t="s">
        <v>312</v>
      </c>
      <c r="D2494" s="3">
        <v>2021</v>
      </c>
      <c r="E2494" s="78">
        <f t="shared" si="375"/>
        <v>5</v>
      </c>
      <c r="F2494" s="74" t="s">
        <v>40</v>
      </c>
      <c r="G2494" s="77">
        <f t="shared" si="380"/>
        <v>33740</v>
      </c>
      <c r="H2494" s="77"/>
      <c r="I2494" s="76">
        <v>0</v>
      </c>
    </row>
    <row r="2495" spans="3:9" x14ac:dyDescent="0.35">
      <c r="C2495" t="s">
        <v>312</v>
      </c>
      <c r="D2495" s="3">
        <v>2021</v>
      </c>
      <c r="E2495" s="78">
        <f t="shared" si="375"/>
        <v>5</v>
      </c>
      <c r="F2495" s="74" t="s">
        <v>313</v>
      </c>
      <c r="G2495" s="77">
        <v>0</v>
      </c>
      <c r="H2495" s="75">
        <f>H2484</f>
        <v>31040</v>
      </c>
      <c r="I2495" s="76">
        <v>1</v>
      </c>
    </row>
    <row r="2496" spans="3:9" x14ac:dyDescent="0.35">
      <c r="C2496" t="s">
        <v>312</v>
      </c>
      <c r="D2496" s="3">
        <v>2021</v>
      </c>
      <c r="E2496" s="78">
        <f t="shared" si="375"/>
        <v>5</v>
      </c>
      <c r="F2496" s="74" t="s">
        <v>313</v>
      </c>
      <c r="G2496" s="77">
        <f>H2495</f>
        <v>31040</v>
      </c>
      <c r="H2496" s="77">
        <f>H2495+300</f>
        <v>31340</v>
      </c>
      <c r="I2496" s="76">
        <v>0.9</v>
      </c>
    </row>
    <row r="2497" spans="3:9" x14ac:dyDescent="0.35">
      <c r="C2497" t="s">
        <v>312</v>
      </c>
      <c r="D2497" s="3">
        <v>2021</v>
      </c>
      <c r="E2497" s="78">
        <f t="shared" si="375"/>
        <v>5</v>
      </c>
      <c r="F2497" s="74" t="s">
        <v>313</v>
      </c>
      <c r="G2497" s="77">
        <f t="shared" ref="G2497:G2505" si="382">H2496</f>
        <v>31340</v>
      </c>
      <c r="H2497" s="77">
        <f t="shared" ref="H2497:H2504" si="383">H2496+300</f>
        <v>31640</v>
      </c>
      <c r="I2497" s="76">
        <v>0.8</v>
      </c>
    </row>
    <row r="2498" spans="3:9" x14ac:dyDescent="0.35">
      <c r="C2498" t="s">
        <v>312</v>
      </c>
      <c r="D2498" s="3">
        <v>2021</v>
      </c>
      <c r="E2498" s="78">
        <f t="shared" si="375"/>
        <v>5</v>
      </c>
      <c r="F2498" s="74" t="s">
        <v>313</v>
      </c>
      <c r="G2498" s="77">
        <f t="shared" si="382"/>
        <v>31640</v>
      </c>
      <c r="H2498" s="77">
        <f t="shared" si="383"/>
        <v>31940</v>
      </c>
      <c r="I2498" s="76">
        <v>0.7</v>
      </c>
    </row>
    <row r="2499" spans="3:9" x14ac:dyDescent="0.35">
      <c r="C2499" t="s">
        <v>312</v>
      </c>
      <c r="D2499" s="3">
        <v>2021</v>
      </c>
      <c r="E2499" s="78">
        <f t="shared" si="375"/>
        <v>5</v>
      </c>
      <c r="F2499" s="74" t="s">
        <v>313</v>
      </c>
      <c r="G2499" s="77">
        <f t="shared" si="382"/>
        <v>31940</v>
      </c>
      <c r="H2499" s="77">
        <f t="shared" si="383"/>
        <v>32240</v>
      </c>
      <c r="I2499" s="76">
        <v>0.6</v>
      </c>
    </row>
    <row r="2500" spans="3:9" x14ac:dyDescent="0.35">
      <c r="C2500" t="s">
        <v>312</v>
      </c>
      <c r="D2500" s="3">
        <v>2021</v>
      </c>
      <c r="E2500" s="78">
        <f t="shared" si="375"/>
        <v>5</v>
      </c>
      <c r="F2500" s="74" t="s">
        <v>313</v>
      </c>
      <c r="G2500" s="77">
        <f t="shared" si="382"/>
        <v>32240</v>
      </c>
      <c r="H2500" s="77">
        <f t="shared" si="383"/>
        <v>32540</v>
      </c>
      <c r="I2500" s="76">
        <v>0.5</v>
      </c>
    </row>
    <row r="2501" spans="3:9" x14ac:dyDescent="0.35">
      <c r="C2501" t="s">
        <v>312</v>
      </c>
      <c r="D2501" s="3">
        <v>2021</v>
      </c>
      <c r="E2501" s="78">
        <f t="shared" si="375"/>
        <v>5</v>
      </c>
      <c r="F2501" s="74" t="s">
        <v>313</v>
      </c>
      <c r="G2501" s="77">
        <f t="shared" si="382"/>
        <v>32540</v>
      </c>
      <c r="H2501" s="77">
        <f t="shared" si="383"/>
        <v>32840</v>
      </c>
      <c r="I2501" s="76">
        <v>0.4</v>
      </c>
    </row>
    <row r="2502" spans="3:9" x14ac:dyDescent="0.35">
      <c r="C2502" t="s">
        <v>312</v>
      </c>
      <c r="D2502" s="3">
        <v>2021</v>
      </c>
      <c r="E2502" s="78">
        <f t="shared" si="375"/>
        <v>5</v>
      </c>
      <c r="F2502" s="74" t="s">
        <v>313</v>
      </c>
      <c r="G2502" s="77">
        <f t="shared" si="382"/>
        <v>32840</v>
      </c>
      <c r="H2502" s="77">
        <f t="shared" si="383"/>
        <v>33140</v>
      </c>
      <c r="I2502" s="76">
        <v>0.3</v>
      </c>
    </row>
    <row r="2503" spans="3:9" x14ac:dyDescent="0.35">
      <c r="C2503" t="s">
        <v>312</v>
      </c>
      <c r="D2503" s="3">
        <v>2021</v>
      </c>
      <c r="E2503" s="78">
        <f t="shared" si="375"/>
        <v>5</v>
      </c>
      <c r="F2503" s="74" t="s">
        <v>313</v>
      </c>
      <c r="G2503" s="77">
        <f t="shared" si="382"/>
        <v>33140</v>
      </c>
      <c r="H2503" s="77">
        <f t="shared" si="383"/>
        <v>33440</v>
      </c>
      <c r="I2503" s="76">
        <v>0.2</v>
      </c>
    </row>
    <row r="2504" spans="3:9" x14ac:dyDescent="0.35">
      <c r="C2504" t="s">
        <v>312</v>
      </c>
      <c r="D2504" s="3">
        <v>2021</v>
      </c>
      <c r="E2504" s="78">
        <f t="shared" si="375"/>
        <v>5</v>
      </c>
      <c r="F2504" s="74" t="s">
        <v>313</v>
      </c>
      <c r="G2504" s="77">
        <f t="shared" si="382"/>
        <v>33440</v>
      </c>
      <c r="H2504" s="77">
        <f t="shared" si="383"/>
        <v>33740</v>
      </c>
      <c r="I2504" s="76">
        <v>0.1</v>
      </c>
    </row>
    <row r="2505" spans="3:9" x14ac:dyDescent="0.35">
      <c r="C2505" t="s">
        <v>312</v>
      </c>
      <c r="D2505" s="3">
        <v>2021</v>
      </c>
      <c r="E2505" s="78">
        <f t="shared" si="375"/>
        <v>5</v>
      </c>
      <c r="F2505" s="74" t="s">
        <v>313</v>
      </c>
      <c r="G2505" s="77">
        <f t="shared" si="382"/>
        <v>33740</v>
      </c>
      <c r="H2505" s="77"/>
      <c r="I2505" s="76">
        <v>0</v>
      </c>
    </row>
    <row r="2506" spans="3:9" x14ac:dyDescent="0.35">
      <c r="C2506" t="s">
        <v>312</v>
      </c>
      <c r="D2506" s="3">
        <v>2021</v>
      </c>
      <c r="E2506" s="73">
        <v>6</v>
      </c>
      <c r="F2506" s="74" t="s">
        <v>54</v>
      </c>
      <c r="G2506" s="77">
        <v>0</v>
      </c>
      <c r="H2506" s="77">
        <v>35580</v>
      </c>
      <c r="I2506" s="76">
        <v>1</v>
      </c>
    </row>
    <row r="2507" spans="3:9" x14ac:dyDescent="0.35">
      <c r="C2507" t="s">
        <v>312</v>
      </c>
      <c r="D2507" s="3">
        <v>2021</v>
      </c>
      <c r="E2507" s="78">
        <f>E2506</f>
        <v>6</v>
      </c>
      <c r="F2507" s="74" t="s">
        <v>54</v>
      </c>
      <c r="G2507" s="77">
        <f>H2506</f>
        <v>35580</v>
      </c>
      <c r="H2507" s="77">
        <f>H2506+300</f>
        <v>35880</v>
      </c>
      <c r="I2507" s="76">
        <v>0.9</v>
      </c>
    </row>
    <row r="2508" spans="3:9" x14ac:dyDescent="0.35">
      <c r="C2508" t="s">
        <v>312</v>
      </c>
      <c r="D2508" s="3">
        <v>2021</v>
      </c>
      <c r="E2508" s="78">
        <f t="shared" ref="E2508:E2549" si="384">E2507</f>
        <v>6</v>
      </c>
      <c r="F2508" s="74" t="s">
        <v>54</v>
      </c>
      <c r="G2508" s="77">
        <f t="shared" ref="G2508:G2516" si="385">H2507</f>
        <v>35880</v>
      </c>
      <c r="H2508" s="77">
        <f t="shared" ref="H2508:H2515" si="386">H2507+300</f>
        <v>36180</v>
      </c>
      <c r="I2508" s="76">
        <v>0.8</v>
      </c>
    </row>
    <row r="2509" spans="3:9" x14ac:dyDescent="0.35">
      <c r="C2509" t="s">
        <v>312</v>
      </c>
      <c r="D2509" s="3">
        <v>2021</v>
      </c>
      <c r="E2509" s="78">
        <f t="shared" si="384"/>
        <v>6</v>
      </c>
      <c r="F2509" s="74" t="s">
        <v>54</v>
      </c>
      <c r="G2509" s="77">
        <f t="shared" si="385"/>
        <v>36180</v>
      </c>
      <c r="H2509" s="77">
        <f t="shared" si="386"/>
        <v>36480</v>
      </c>
      <c r="I2509" s="76">
        <v>0.7</v>
      </c>
    </row>
    <row r="2510" spans="3:9" x14ac:dyDescent="0.35">
      <c r="C2510" t="s">
        <v>312</v>
      </c>
      <c r="D2510" s="3">
        <v>2021</v>
      </c>
      <c r="E2510" s="78">
        <f t="shared" si="384"/>
        <v>6</v>
      </c>
      <c r="F2510" s="74" t="s">
        <v>54</v>
      </c>
      <c r="G2510" s="77">
        <f t="shared" si="385"/>
        <v>36480</v>
      </c>
      <c r="H2510" s="77">
        <f t="shared" si="386"/>
        <v>36780</v>
      </c>
      <c r="I2510" s="76">
        <v>0.6</v>
      </c>
    </row>
    <row r="2511" spans="3:9" x14ac:dyDescent="0.35">
      <c r="C2511" t="s">
        <v>312</v>
      </c>
      <c r="D2511" s="3">
        <v>2021</v>
      </c>
      <c r="E2511" s="78">
        <f t="shared" si="384"/>
        <v>6</v>
      </c>
      <c r="F2511" s="74" t="s">
        <v>54</v>
      </c>
      <c r="G2511" s="77">
        <f t="shared" si="385"/>
        <v>36780</v>
      </c>
      <c r="H2511" s="77">
        <f t="shared" si="386"/>
        <v>37080</v>
      </c>
      <c r="I2511" s="76">
        <v>0.5</v>
      </c>
    </row>
    <row r="2512" spans="3:9" x14ac:dyDescent="0.35">
      <c r="C2512" t="s">
        <v>312</v>
      </c>
      <c r="D2512" s="3">
        <v>2021</v>
      </c>
      <c r="E2512" s="78">
        <f t="shared" si="384"/>
        <v>6</v>
      </c>
      <c r="F2512" s="74" t="s">
        <v>54</v>
      </c>
      <c r="G2512" s="77">
        <f t="shared" si="385"/>
        <v>37080</v>
      </c>
      <c r="H2512" s="77">
        <f t="shared" si="386"/>
        <v>37380</v>
      </c>
      <c r="I2512" s="76">
        <v>0.4</v>
      </c>
    </row>
    <row r="2513" spans="3:9" x14ac:dyDescent="0.35">
      <c r="C2513" t="s">
        <v>312</v>
      </c>
      <c r="D2513" s="3">
        <v>2021</v>
      </c>
      <c r="E2513" s="78">
        <f t="shared" si="384"/>
        <v>6</v>
      </c>
      <c r="F2513" s="74" t="s">
        <v>54</v>
      </c>
      <c r="G2513" s="77">
        <f t="shared" si="385"/>
        <v>37380</v>
      </c>
      <c r="H2513" s="77">
        <f t="shared" si="386"/>
        <v>37680</v>
      </c>
      <c r="I2513" s="76">
        <v>0.3</v>
      </c>
    </row>
    <row r="2514" spans="3:9" x14ac:dyDescent="0.35">
      <c r="C2514" t="s">
        <v>312</v>
      </c>
      <c r="D2514" s="3">
        <v>2021</v>
      </c>
      <c r="E2514" s="78">
        <f t="shared" si="384"/>
        <v>6</v>
      </c>
      <c r="F2514" s="74" t="s">
        <v>54</v>
      </c>
      <c r="G2514" s="77">
        <f t="shared" si="385"/>
        <v>37680</v>
      </c>
      <c r="H2514" s="77">
        <f t="shared" si="386"/>
        <v>37980</v>
      </c>
      <c r="I2514" s="76">
        <v>0.2</v>
      </c>
    </row>
    <row r="2515" spans="3:9" x14ac:dyDescent="0.35">
      <c r="C2515" t="s">
        <v>312</v>
      </c>
      <c r="D2515" s="3">
        <v>2021</v>
      </c>
      <c r="E2515" s="78">
        <f t="shared" si="384"/>
        <v>6</v>
      </c>
      <c r="F2515" s="74" t="s">
        <v>54</v>
      </c>
      <c r="G2515" s="77">
        <f t="shared" si="385"/>
        <v>37980</v>
      </c>
      <c r="H2515" s="77">
        <f t="shared" si="386"/>
        <v>38280</v>
      </c>
      <c r="I2515" s="76">
        <v>0.1</v>
      </c>
    </row>
    <row r="2516" spans="3:9" x14ac:dyDescent="0.35">
      <c r="C2516" t="s">
        <v>312</v>
      </c>
      <c r="D2516" s="3">
        <v>2021</v>
      </c>
      <c r="E2516" s="78">
        <f t="shared" si="384"/>
        <v>6</v>
      </c>
      <c r="F2516" s="74" t="s">
        <v>54</v>
      </c>
      <c r="G2516" s="77">
        <f t="shared" si="385"/>
        <v>38280</v>
      </c>
      <c r="H2516" s="77"/>
      <c r="I2516" s="76">
        <v>0</v>
      </c>
    </row>
    <row r="2517" spans="3:9" x14ac:dyDescent="0.35">
      <c r="C2517" t="s">
        <v>312</v>
      </c>
      <c r="D2517" s="3">
        <v>2021</v>
      </c>
      <c r="E2517" s="78">
        <f t="shared" si="384"/>
        <v>6</v>
      </c>
      <c r="F2517" s="74" t="s">
        <v>34</v>
      </c>
      <c r="G2517" s="77">
        <v>0</v>
      </c>
      <c r="H2517" s="75">
        <f>H2506</f>
        <v>35580</v>
      </c>
      <c r="I2517" s="76">
        <v>1</v>
      </c>
    </row>
    <row r="2518" spans="3:9" x14ac:dyDescent="0.35">
      <c r="C2518" t="s">
        <v>312</v>
      </c>
      <c r="D2518" s="3">
        <v>2021</v>
      </c>
      <c r="E2518" s="78">
        <f t="shared" si="384"/>
        <v>6</v>
      </c>
      <c r="F2518" s="74" t="s">
        <v>34</v>
      </c>
      <c r="G2518" s="77">
        <f>H2517</f>
        <v>35580</v>
      </c>
      <c r="H2518" s="77">
        <f>H2517+300</f>
        <v>35880</v>
      </c>
      <c r="I2518" s="76">
        <v>0.9</v>
      </c>
    </row>
    <row r="2519" spans="3:9" x14ac:dyDescent="0.35">
      <c r="C2519" t="s">
        <v>312</v>
      </c>
      <c r="D2519" s="3">
        <v>2021</v>
      </c>
      <c r="E2519" s="78">
        <f t="shared" si="384"/>
        <v>6</v>
      </c>
      <c r="F2519" s="74" t="s">
        <v>34</v>
      </c>
      <c r="G2519" s="77">
        <f t="shared" ref="G2519:G2527" si="387">H2518</f>
        <v>35880</v>
      </c>
      <c r="H2519" s="77">
        <f t="shared" ref="H2519:H2526" si="388">H2518+300</f>
        <v>36180</v>
      </c>
      <c r="I2519" s="76">
        <v>0.8</v>
      </c>
    </row>
    <row r="2520" spans="3:9" x14ac:dyDescent="0.35">
      <c r="C2520" t="s">
        <v>312</v>
      </c>
      <c r="D2520" s="3">
        <v>2021</v>
      </c>
      <c r="E2520" s="78">
        <f t="shared" si="384"/>
        <v>6</v>
      </c>
      <c r="F2520" s="74" t="s">
        <v>34</v>
      </c>
      <c r="G2520" s="77">
        <f t="shared" si="387"/>
        <v>36180</v>
      </c>
      <c r="H2520" s="77">
        <f t="shared" si="388"/>
        <v>36480</v>
      </c>
      <c r="I2520" s="76">
        <v>0.7</v>
      </c>
    </row>
    <row r="2521" spans="3:9" x14ac:dyDescent="0.35">
      <c r="C2521" t="s">
        <v>312</v>
      </c>
      <c r="D2521" s="3">
        <v>2021</v>
      </c>
      <c r="E2521" s="78">
        <f t="shared" si="384"/>
        <v>6</v>
      </c>
      <c r="F2521" s="74" t="s">
        <v>34</v>
      </c>
      <c r="G2521" s="77">
        <f t="shared" si="387"/>
        <v>36480</v>
      </c>
      <c r="H2521" s="77">
        <f t="shared" si="388"/>
        <v>36780</v>
      </c>
      <c r="I2521" s="76">
        <v>0.6</v>
      </c>
    </row>
    <row r="2522" spans="3:9" x14ac:dyDescent="0.35">
      <c r="C2522" t="s">
        <v>312</v>
      </c>
      <c r="D2522" s="3">
        <v>2021</v>
      </c>
      <c r="E2522" s="78">
        <f t="shared" si="384"/>
        <v>6</v>
      </c>
      <c r="F2522" s="74" t="s">
        <v>34</v>
      </c>
      <c r="G2522" s="77">
        <f t="shared" si="387"/>
        <v>36780</v>
      </c>
      <c r="H2522" s="77">
        <f t="shared" si="388"/>
        <v>37080</v>
      </c>
      <c r="I2522" s="76">
        <v>0.5</v>
      </c>
    </row>
    <row r="2523" spans="3:9" x14ac:dyDescent="0.35">
      <c r="C2523" t="s">
        <v>312</v>
      </c>
      <c r="D2523" s="3">
        <v>2021</v>
      </c>
      <c r="E2523" s="78">
        <f t="shared" si="384"/>
        <v>6</v>
      </c>
      <c r="F2523" s="74" t="s">
        <v>34</v>
      </c>
      <c r="G2523" s="77">
        <f t="shared" si="387"/>
        <v>37080</v>
      </c>
      <c r="H2523" s="77">
        <f t="shared" si="388"/>
        <v>37380</v>
      </c>
      <c r="I2523" s="76">
        <v>0.4</v>
      </c>
    </row>
    <row r="2524" spans="3:9" x14ac:dyDescent="0.35">
      <c r="C2524" t="s">
        <v>312</v>
      </c>
      <c r="D2524" s="3">
        <v>2021</v>
      </c>
      <c r="E2524" s="78">
        <f t="shared" si="384"/>
        <v>6</v>
      </c>
      <c r="F2524" s="74" t="s">
        <v>34</v>
      </c>
      <c r="G2524" s="77">
        <f t="shared" si="387"/>
        <v>37380</v>
      </c>
      <c r="H2524" s="77">
        <f t="shared" si="388"/>
        <v>37680</v>
      </c>
      <c r="I2524" s="76">
        <v>0.3</v>
      </c>
    </row>
    <row r="2525" spans="3:9" x14ac:dyDescent="0.35">
      <c r="C2525" t="s">
        <v>312</v>
      </c>
      <c r="D2525" s="3">
        <v>2021</v>
      </c>
      <c r="E2525" s="78">
        <f t="shared" si="384"/>
        <v>6</v>
      </c>
      <c r="F2525" s="74" t="s">
        <v>34</v>
      </c>
      <c r="G2525" s="77">
        <f t="shared" si="387"/>
        <v>37680</v>
      </c>
      <c r="H2525" s="77">
        <f t="shared" si="388"/>
        <v>37980</v>
      </c>
      <c r="I2525" s="76">
        <v>0.2</v>
      </c>
    </row>
    <row r="2526" spans="3:9" x14ac:dyDescent="0.35">
      <c r="C2526" t="s">
        <v>312</v>
      </c>
      <c r="D2526" s="3">
        <v>2021</v>
      </c>
      <c r="E2526" s="78">
        <f t="shared" si="384"/>
        <v>6</v>
      </c>
      <c r="F2526" s="74" t="s">
        <v>34</v>
      </c>
      <c r="G2526" s="77">
        <f t="shared" si="387"/>
        <v>37980</v>
      </c>
      <c r="H2526" s="77">
        <f t="shared" si="388"/>
        <v>38280</v>
      </c>
      <c r="I2526" s="76">
        <v>0.1</v>
      </c>
    </row>
    <row r="2527" spans="3:9" x14ac:dyDescent="0.35">
      <c r="C2527" t="s">
        <v>312</v>
      </c>
      <c r="D2527" s="3">
        <v>2021</v>
      </c>
      <c r="E2527" s="78">
        <f t="shared" si="384"/>
        <v>6</v>
      </c>
      <c r="F2527" s="74" t="s">
        <v>34</v>
      </c>
      <c r="G2527" s="77">
        <f t="shared" si="387"/>
        <v>38280</v>
      </c>
      <c r="H2527" s="77"/>
      <c r="I2527" s="76">
        <v>0</v>
      </c>
    </row>
    <row r="2528" spans="3:9" x14ac:dyDescent="0.35">
      <c r="C2528" t="s">
        <v>312</v>
      </c>
      <c r="D2528" s="3">
        <v>2021</v>
      </c>
      <c r="E2528" s="78">
        <f t="shared" si="384"/>
        <v>6</v>
      </c>
      <c r="F2528" s="74" t="s">
        <v>40</v>
      </c>
      <c r="G2528" s="77">
        <v>0</v>
      </c>
      <c r="H2528" s="75">
        <f>H2517</f>
        <v>35580</v>
      </c>
      <c r="I2528" s="76">
        <v>1</v>
      </c>
    </row>
    <row r="2529" spans="3:9" x14ac:dyDescent="0.35">
      <c r="C2529" t="s">
        <v>312</v>
      </c>
      <c r="D2529" s="3">
        <v>2021</v>
      </c>
      <c r="E2529" s="78">
        <f t="shared" si="384"/>
        <v>6</v>
      </c>
      <c r="F2529" s="74" t="s">
        <v>40</v>
      </c>
      <c r="G2529" s="77">
        <f>H2528</f>
        <v>35580</v>
      </c>
      <c r="H2529" s="77">
        <f>H2528+300</f>
        <v>35880</v>
      </c>
      <c r="I2529" s="76">
        <v>0.9</v>
      </c>
    </row>
    <row r="2530" spans="3:9" x14ac:dyDescent="0.35">
      <c r="C2530" t="s">
        <v>312</v>
      </c>
      <c r="D2530" s="3">
        <v>2021</v>
      </c>
      <c r="E2530" s="78">
        <f t="shared" si="384"/>
        <v>6</v>
      </c>
      <c r="F2530" s="74" t="s">
        <v>40</v>
      </c>
      <c r="G2530" s="77">
        <f t="shared" ref="G2530:G2538" si="389">H2529</f>
        <v>35880</v>
      </c>
      <c r="H2530" s="77">
        <f t="shared" ref="H2530:H2537" si="390">H2529+300</f>
        <v>36180</v>
      </c>
      <c r="I2530" s="76">
        <v>0.8</v>
      </c>
    </row>
    <row r="2531" spans="3:9" x14ac:dyDescent="0.35">
      <c r="C2531" t="s">
        <v>312</v>
      </c>
      <c r="D2531" s="3">
        <v>2021</v>
      </c>
      <c r="E2531" s="78">
        <f t="shared" si="384"/>
        <v>6</v>
      </c>
      <c r="F2531" s="74" t="s">
        <v>40</v>
      </c>
      <c r="G2531" s="77">
        <f t="shared" si="389"/>
        <v>36180</v>
      </c>
      <c r="H2531" s="77">
        <f t="shared" si="390"/>
        <v>36480</v>
      </c>
      <c r="I2531" s="76">
        <v>0.7</v>
      </c>
    </row>
    <row r="2532" spans="3:9" x14ac:dyDescent="0.35">
      <c r="C2532" t="s">
        <v>312</v>
      </c>
      <c r="D2532" s="3">
        <v>2021</v>
      </c>
      <c r="E2532" s="78">
        <f t="shared" si="384"/>
        <v>6</v>
      </c>
      <c r="F2532" s="74" t="s">
        <v>40</v>
      </c>
      <c r="G2532" s="77">
        <f t="shared" si="389"/>
        <v>36480</v>
      </c>
      <c r="H2532" s="77">
        <f t="shared" si="390"/>
        <v>36780</v>
      </c>
      <c r="I2532" s="76">
        <v>0.6</v>
      </c>
    </row>
    <row r="2533" spans="3:9" x14ac:dyDescent="0.35">
      <c r="C2533" t="s">
        <v>312</v>
      </c>
      <c r="D2533" s="3">
        <v>2021</v>
      </c>
      <c r="E2533" s="78">
        <f t="shared" si="384"/>
        <v>6</v>
      </c>
      <c r="F2533" s="74" t="s">
        <v>40</v>
      </c>
      <c r="G2533" s="77">
        <f t="shared" si="389"/>
        <v>36780</v>
      </c>
      <c r="H2533" s="77">
        <f t="shared" si="390"/>
        <v>37080</v>
      </c>
      <c r="I2533" s="76">
        <v>0.5</v>
      </c>
    </row>
    <row r="2534" spans="3:9" x14ac:dyDescent="0.35">
      <c r="C2534" t="s">
        <v>312</v>
      </c>
      <c r="D2534" s="3">
        <v>2021</v>
      </c>
      <c r="E2534" s="78">
        <f t="shared" si="384"/>
        <v>6</v>
      </c>
      <c r="F2534" s="74" t="s">
        <v>40</v>
      </c>
      <c r="G2534" s="77">
        <f t="shared" si="389"/>
        <v>37080</v>
      </c>
      <c r="H2534" s="77">
        <f t="shared" si="390"/>
        <v>37380</v>
      </c>
      <c r="I2534" s="76">
        <v>0.4</v>
      </c>
    </row>
    <row r="2535" spans="3:9" x14ac:dyDescent="0.35">
      <c r="C2535" t="s">
        <v>312</v>
      </c>
      <c r="D2535" s="3">
        <v>2021</v>
      </c>
      <c r="E2535" s="78">
        <f t="shared" si="384"/>
        <v>6</v>
      </c>
      <c r="F2535" s="74" t="s">
        <v>40</v>
      </c>
      <c r="G2535" s="77">
        <f t="shared" si="389"/>
        <v>37380</v>
      </c>
      <c r="H2535" s="77">
        <f t="shared" si="390"/>
        <v>37680</v>
      </c>
      <c r="I2535" s="76">
        <v>0.3</v>
      </c>
    </row>
    <row r="2536" spans="3:9" x14ac:dyDescent="0.35">
      <c r="C2536" t="s">
        <v>312</v>
      </c>
      <c r="D2536" s="3">
        <v>2021</v>
      </c>
      <c r="E2536" s="78">
        <f t="shared" si="384"/>
        <v>6</v>
      </c>
      <c r="F2536" s="74" t="s">
        <v>40</v>
      </c>
      <c r="G2536" s="77">
        <f t="shared" si="389"/>
        <v>37680</v>
      </c>
      <c r="H2536" s="77">
        <f t="shared" si="390"/>
        <v>37980</v>
      </c>
      <c r="I2536" s="76">
        <v>0.2</v>
      </c>
    </row>
    <row r="2537" spans="3:9" x14ac:dyDescent="0.35">
      <c r="C2537" t="s">
        <v>312</v>
      </c>
      <c r="D2537" s="3">
        <v>2021</v>
      </c>
      <c r="E2537" s="78">
        <f t="shared" si="384"/>
        <v>6</v>
      </c>
      <c r="F2537" s="74" t="s">
        <v>40</v>
      </c>
      <c r="G2537" s="77">
        <f t="shared" si="389"/>
        <v>37980</v>
      </c>
      <c r="H2537" s="77">
        <f t="shared" si="390"/>
        <v>38280</v>
      </c>
      <c r="I2537" s="76">
        <v>0.1</v>
      </c>
    </row>
    <row r="2538" spans="3:9" x14ac:dyDescent="0.35">
      <c r="C2538" t="s">
        <v>312</v>
      </c>
      <c r="D2538" s="3">
        <v>2021</v>
      </c>
      <c r="E2538" s="78">
        <f t="shared" si="384"/>
        <v>6</v>
      </c>
      <c r="F2538" s="74" t="s">
        <v>40</v>
      </c>
      <c r="G2538" s="77">
        <f t="shared" si="389"/>
        <v>38280</v>
      </c>
      <c r="H2538" s="77"/>
      <c r="I2538" s="76">
        <v>0</v>
      </c>
    </row>
    <row r="2539" spans="3:9" x14ac:dyDescent="0.35">
      <c r="C2539" t="s">
        <v>312</v>
      </c>
      <c r="D2539" s="3">
        <v>2021</v>
      </c>
      <c r="E2539" s="78">
        <f t="shared" si="384"/>
        <v>6</v>
      </c>
      <c r="F2539" s="74" t="s">
        <v>313</v>
      </c>
      <c r="G2539" s="77">
        <v>0</v>
      </c>
      <c r="H2539" s="75">
        <f>H2528</f>
        <v>35580</v>
      </c>
      <c r="I2539" s="76">
        <v>1</v>
      </c>
    </row>
    <row r="2540" spans="3:9" x14ac:dyDescent="0.35">
      <c r="C2540" t="s">
        <v>312</v>
      </c>
      <c r="D2540" s="3">
        <v>2021</v>
      </c>
      <c r="E2540" s="78">
        <f t="shared" si="384"/>
        <v>6</v>
      </c>
      <c r="F2540" s="74" t="s">
        <v>313</v>
      </c>
      <c r="G2540" s="77">
        <f>H2539</f>
        <v>35580</v>
      </c>
      <c r="H2540" s="77">
        <f>H2539+300</f>
        <v>35880</v>
      </c>
      <c r="I2540" s="76">
        <v>0.9</v>
      </c>
    </row>
    <row r="2541" spans="3:9" x14ac:dyDescent="0.35">
      <c r="C2541" t="s">
        <v>312</v>
      </c>
      <c r="D2541" s="3">
        <v>2021</v>
      </c>
      <c r="E2541" s="78">
        <f t="shared" si="384"/>
        <v>6</v>
      </c>
      <c r="F2541" s="74" t="s">
        <v>313</v>
      </c>
      <c r="G2541" s="77">
        <f t="shared" ref="G2541:G2549" si="391">H2540</f>
        <v>35880</v>
      </c>
      <c r="H2541" s="77">
        <f t="shared" ref="H2541:H2548" si="392">H2540+300</f>
        <v>36180</v>
      </c>
      <c r="I2541" s="76">
        <v>0.8</v>
      </c>
    </row>
    <row r="2542" spans="3:9" x14ac:dyDescent="0.35">
      <c r="C2542" t="s">
        <v>312</v>
      </c>
      <c r="D2542" s="3">
        <v>2021</v>
      </c>
      <c r="E2542" s="78">
        <f t="shared" si="384"/>
        <v>6</v>
      </c>
      <c r="F2542" s="74" t="s">
        <v>313</v>
      </c>
      <c r="G2542" s="77">
        <f t="shared" si="391"/>
        <v>36180</v>
      </c>
      <c r="H2542" s="77">
        <f t="shared" si="392"/>
        <v>36480</v>
      </c>
      <c r="I2542" s="76">
        <v>0.7</v>
      </c>
    </row>
    <row r="2543" spans="3:9" x14ac:dyDescent="0.35">
      <c r="C2543" t="s">
        <v>312</v>
      </c>
      <c r="D2543" s="3">
        <v>2021</v>
      </c>
      <c r="E2543" s="78">
        <f t="shared" si="384"/>
        <v>6</v>
      </c>
      <c r="F2543" s="74" t="s">
        <v>313</v>
      </c>
      <c r="G2543" s="77">
        <f t="shared" si="391"/>
        <v>36480</v>
      </c>
      <c r="H2543" s="77">
        <f t="shared" si="392"/>
        <v>36780</v>
      </c>
      <c r="I2543" s="76">
        <v>0.6</v>
      </c>
    </row>
    <row r="2544" spans="3:9" x14ac:dyDescent="0.35">
      <c r="C2544" t="s">
        <v>312</v>
      </c>
      <c r="D2544" s="3">
        <v>2021</v>
      </c>
      <c r="E2544" s="78">
        <f t="shared" si="384"/>
        <v>6</v>
      </c>
      <c r="F2544" s="74" t="s">
        <v>313</v>
      </c>
      <c r="G2544" s="77">
        <f t="shared" si="391"/>
        <v>36780</v>
      </c>
      <c r="H2544" s="77">
        <f t="shared" si="392"/>
        <v>37080</v>
      </c>
      <c r="I2544" s="76">
        <v>0.5</v>
      </c>
    </row>
    <row r="2545" spans="3:9" x14ac:dyDescent="0.35">
      <c r="C2545" t="s">
        <v>312</v>
      </c>
      <c r="D2545" s="3">
        <v>2021</v>
      </c>
      <c r="E2545" s="78">
        <f t="shared" si="384"/>
        <v>6</v>
      </c>
      <c r="F2545" s="74" t="s">
        <v>313</v>
      </c>
      <c r="G2545" s="77">
        <f t="shared" si="391"/>
        <v>37080</v>
      </c>
      <c r="H2545" s="77">
        <f t="shared" si="392"/>
        <v>37380</v>
      </c>
      <c r="I2545" s="76">
        <v>0.4</v>
      </c>
    </row>
    <row r="2546" spans="3:9" x14ac:dyDescent="0.35">
      <c r="C2546" t="s">
        <v>312</v>
      </c>
      <c r="D2546" s="3">
        <v>2021</v>
      </c>
      <c r="E2546" s="78">
        <f t="shared" si="384"/>
        <v>6</v>
      </c>
      <c r="F2546" s="74" t="s">
        <v>313</v>
      </c>
      <c r="G2546" s="77">
        <f t="shared" si="391"/>
        <v>37380</v>
      </c>
      <c r="H2546" s="77">
        <f t="shared" si="392"/>
        <v>37680</v>
      </c>
      <c r="I2546" s="76">
        <v>0.3</v>
      </c>
    </row>
    <row r="2547" spans="3:9" x14ac:dyDescent="0.35">
      <c r="C2547" t="s">
        <v>312</v>
      </c>
      <c r="D2547" s="3">
        <v>2021</v>
      </c>
      <c r="E2547" s="78">
        <f t="shared" si="384"/>
        <v>6</v>
      </c>
      <c r="F2547" s="74" t="s">
        <v>313</v>
      </c>
      <c r="G2547" s="77">
        <f t="shared" si="391"/>
        <v>37680</v>
      </c>
      <c r="H2547" s="77">
        <f t="shared" si="392"/>
        <v>37980</v>
      </c>
      <c r="I2547" s="76">
        <v>0.2</v>
      </c>
    </row>
    <row r="2548" spans="3:9" x14ac:dyDescent="0.35">
      <c r="C2548" t="s">
        <v>312</v>
      </c>
      <c r="D2548" s="3">
        <v>2021</v>
      </c>
      <c r="E2548" s="78">
        <f t="shared" si="384"/>
        <v>6</v>
      </c>
      <c r="F2548" s="74" t="s">
        <v>313</v>
      </c>
      <c r="G2548" s="77">
        <f t="shared" si="391"/>
        <v>37980</v>
      </c>
      <c r="H2548" s="77">
        <f t="shared" si="392"/>
        <v>38280</v>
      </c>
      <c r="I2548" s="76">
        <v>0.1</v>
      </c>
    </row>
    <row r="2549" spans="3:9" x14ac:dyDescent="0.35">
      <c r="C2549" t="s">
        <v>312</v>
      </c>
      <c r="D2549" s="3">
        <v>2021</v>
      </c>
      <c r="E2549" s="78">
        <f t="shared" si="384"/>
        <v>6</v>
      </c>
      <c r="F2549" s="74" t="s">
        <v>313</v>
      </c>
      <c r="G2549" s="77">
        <f t="shared" si="391"/>
        <v>38280</v>
      </c>
      <c r="H2549" s="77"/>
      <c r="I2549" s="76">
        <v>0</v>
      </c>
    </row>
    <row r="2550" spans="3:9" x14ac:dyDescent="0.35">
      <c r="C2550" t="s">
        <v>312</v>
      </c>
      <c r="D2550" s="3">
        <v>2021</v>
      </c>
      <c r="E2550" s="73">
        <v>7</v>
      </c>
      <c r="F2550" s="74" t="s">
        <v>54</v>
      </c>
      <c r="G2550" s="77">
        <v>0</v>
      </c>
      <c r="H2550" s="77">
        <v>40120</v>
      </c>
      <c r="I2550" s="76">
        <v>1</v>
      </c>
    </row>
    <row r="2551" spans="3:9" x14ac:dyDescent="0.35">
      <c r="C2551" t="s">
        <v>312</v>
      </c>
      <c r="D2551" s="3">
        <v>2021</v>
      </c>
      <c r="E2551" s="78">
        <f>E2550</f>
        <v>7</v>
      </c>
      <c r="F2551" s="74" t="s">
        <v>54</v>
      </c>
      <c r="G2551" s="77">
        <f>H2550</f>
        <v>40120</v>
      </c>
      <c r="H2551" s="77">
        <f>H2550+300</f>
        <v>40420</v>
      </c>
      <c r="I2551" s="76">
        <v>0.9</v>
      </c>
    </row>
    <row r="2552" spans="3:9" x14ac:dyDescent="0.35">
      <c r="C2552" t="s">
        <v>312</v>
      </c>
      <c r="D2552" s="3">
        <v>2021</v>
      </c>
      <c r="E2552" s="78">
        <f t="shared" ref="E2552:E2593" si="393">E2551</f>
        <v>7</v>
      </c>
      <c r="F2552" s="74" t="s">
        <v>54</v>
      </c>
      <c r="G2552" s="77">
        <f t="shared" ref="G2552:G2560" si="394">H2551</f>
        <v>40420</v>
      </c>
      <c r="H2552" s="77">
        <f t="shared" ref="H2552:H2559" si="395">H2551+300</f>
        <v>40720</v>
      </c>
      <c r="I2552" s="76">
        <v>0.8</v>
      </c>
    </row>
    <row r="2553" spans="3:9" x14ac:dyDescent="0.35">
      <c r="C2553" t="s">
        <v>312</v>
      </c>
      <c r="D2553" s="3">
        <v>2021</v>
      </c>
      <c r="E2553" s="78">
        <f t="shared" si="393"/>
        <v>7</v>
      </c>
      <c r="F2553" s="74" t="s">
        <v>54</v>
      </c>
      <c r="G2553" s="77">
        <f t="shared" si="394"/>
        <v>40720</v>
      </c>
      <c r="H2553" s="77">
        <f t="shared" si="395"/>
        <v>41020</v>
      </c>
      <c r="I2553" s="76">
        <v>0.7</v>
      </c>
    </row>
    <row r="2554" spans="3:9" x14ac:dyDescent="0.35">
      <c r="C2554" t="s">
        <v>312</v>
      </c>
      <c r="D2554" s="3">
        <v>2021</v>
      </c>
      <c r="E2554" s="78">
        <f t="shared" si="393"/>
        <v>7</v>
      </c>
      <c r="F2554" s="74" t="s">
        <v>54</v>
      </c>
      <c r="G2554" s="77">
        <f t="shared" si="394"/>
        <v>41020</v>
      </c>
      <c r="H2554" s="77">
        <f t="shared" si="395"/>
        <v>41320</v>
      </c>
      <c r="I2554" s="76">
        <v>0.6</v>
      </c>
    </row>
    <row r="2555" spans="3:9" x14ac:dyDescent="0.35">
      <c r="C2555" t="s">
        <v>312</v>
      </c>
      <c r="D2555" s="3">
        <v>2021</v>
      </c>
      <c r="E2555" s="78">
        <f t="shared" si="393"/>
        <v>7</v>
      </c>
      <c r="F2555" s="74" t="s">
        <v>54</v>
      </c>
      <c r="G2555" s="77">
        <f t="shared" si="394"/>
        <v>41320</v>
      </c>
      <c r="H2555" s="77">
        <f t="shared" si="395"/>
        <v>41620</v>
      </c>
      <c r="I2555" s="76">
        <v>0.5</v>
      </c>
    </row>
    <row r="2556" spans="3:9" x14ac:dyDescent="0.35">
      <c r="C2556" t="s">
        <v>312</v>
      </c>
      <c r="D2556" s="3">
        <v>2021</v>
      </c>
      <c r="E2556" s="78">
        <f t="shared" si="393"/>
        <v>7</v>
      </c>
      <c r="F2556" s="74" t="s">
        <v>54</v>
      </c>
      <c r="G2556" s="77">
        <f t="shared" si="394"/>
        <v>41620</v>
      </c>
      <c r="H2556" s="77">
        <f t="shared" si="395"/>
        <v>41920</v>
      </c>
      <c r="I2556" s="76">
        <v>0.4</v>
      </c>
    </row>
    <row r="2557" spans="3:9" x14ac:dyDescent="0.35">
      <c r="C2557" t="s">
        <v>312</v>
      </c>
      <c r="D2557" s="3">
        <v>2021</v>
      </c>
      <c r="E2557" s="78">
        <f t="shared" si="393"/>
        <v>7</v>
      </c>
      <c r="F2557" s="74" t="s">
        <v>54</v>
      </c>
      <c r="G2557" s="77">
        <f t="shared" si="394"/>
        <v>41920</v>
      </c>
      <c r="H2557" s="77">
        <f t="shared" si="395"/>
        <v>42220</v>
      </c>
      <c r="I2557" s="76">
        <v>0.3</v>
      </c>
    </row>
    <row r="2558" spans="3:9" x14ac:dyDescent="0.35">
      <c r="C2558" t="s">
        <v>312</v>
      </c>
      <c r="D2558" s="3">
        <v>2021</v>
      </c>
      <c r="E2558" s="78">
        <f t="shared" si="393"/>
        <v>7</v>
      </c>
      <c r="F2558" s="74" t="s">
        <v>54</v>
      </c>
      <c r="G2558" s="77">
        <f t="shared" si="394"/>
        <v>42220</v>
      </c>
      <c r="H2558" s="77">
        <f t="shared" si="395"/>
        <v>42520</v>
      </c>
      <c r="I2558" s="76">
        <v>0.2</v>
      </c>
    </row>
    <row r="2559" spans="3:9" x14ac:dyDescent="0.35">
      <c r="C2559" t="s">
        <v>312</v>
      </c>
      <c r="D2559" s="3">
        <v>2021</v>
      </c>
      <c r="E2559" s="78">
        <f t="shared" si="393"/>
        <v>7</v>
      </c>
      <c r="F2559" s="74" t="s">
        <v>54</v>
      </c>
      <c r="G2559" s="77">
        <f t="shared" si="394"/>
        <v>42520</v>
      </c>
      <c r="H2559" s="77">
        <f t="shared" si="395"/>
        <v>42820</v>
      </c>
      <c r="I2559" s="76">
        <v>0.1</v>
      </c>
    </row>
    <row r="2560" spans="3:9" x14ac:dyDescent="0.35">
      <c r="C2560" t="s">
        <v>312</v>
      </c>
      <c r="D2560" s="3">
        <v>2021</v>
      </c>
      <c r="E2560" s="78">
        <f t="shared" si="393"/>
        <v>7</v>
      </c>
      <c r="F2560" s="74" t="s">
        <v>54</v>
      </c>
      <c r="G2560" s="77">
        <f t="shared" si="394"/>
        <v>42820</v>
      </c>
      <c r="H2560" s="77"/>
      <c r="I2560" s="76">
        <v>0</v>
      </c>
    </row>
    <row r="2561" spans="3:9" x14ac:dyDescent="0.35">
      <c r="C2561" t="s">
        <v>312</v>
      </c>
      <c r="D2561" s="3">
        <v>2021</v>
      </c>
      <c r="E2561" s="78">
        <f t="shared" si="393"/>
        <v>7</v>
      </c>
      <c r="F2561" s="74" t="s">
        <v>34</v>
      </c>
      <c r="G2561" s="77">
        <v>0</v>
      </c>
      <c r="H2561" s="75">
        <f>H2550</f>
        <v>40120</v>
      </c>
      <c r="I2561" s="76">
        <v>1</v>
      </c>
    </row>
    <row r="2562" spans="3:9" x14ac:dyDescent="0.35">
      <c r="C2562" t="s">
        <v>312</v>
      </c>
      <c r="D2562" s="3">
        <v>2021</v>
      </c>
      <c r="E2562" s="78">
        <f t="shared" si="393"/>
        <v>7</v>
      </c>
      <c r="F2562" s="74" t="s">
        <v>34</v>
      </c>
      <c r="G2562" s="77">
        <f>H2561</f>
        <v>40120</v>
      </c>
      <c r="H2562" s="77">
        <f>H2561+300</f>
        <v>40420</v>
      </c>
      <c r="I2562" s="76">
        <v>0.9</v>
      </c>
    </row>
    <row r="2563" spans="3:9" x14ac:dyDescent="0.35">
      <c r="C2563" t="s">
        <v>312</v>
      </c>
      <c r="D2563" s="3">
        <v>2021</v>
      </c>
      <c r="E2563" s="78">
        <f t="shared" si="393"/>
        <v>7</v>
      </c>
      <c r="F2563" s="74" t="s">
        <v>34</v>
      </c>
      <c r="G2563" s="77">
        <f t="shared" ref="G2563:G2571" si="396">H2562</f>
        <v>40420</v>
      </c>
      <c r="H2563" s="77">
        <f t="shared" ref="H2563:H2570" si="397">H2562+300</f>
        <v>40720</v>
      </c>
      <c r="I2563" s="76">
        <v>0.8</v>
      </c>
    </row>
    <row r="2564" spans="3:9" x14ac:dyDescent="0.35">
      <c r="C2564" t="s">
        <v>312</v>
      </c>
      <c r="D2564" s="3">
        <v>2021</v>
      </c>
      <c r="E2564" s="78">
        <f t="shared" si="393"/>
        <v>7</v>
      </c>
      <c r="F2564" s="74" t="s">
        <v>34</v>
      </c>
      <c r="G2564" s="77">
        <f t="shared" si="396"/>
        <v>40720</v>
      </c>
      <c r="H2564" s="77">
        <f t="shared" si="397"/>
        <v>41020</v>
      </c>
      <c r="I2564" s="76">
        <v>0.7</v>
      </c>
    </row>
    <row r="2565" spans="3:9" x14ac:dyDescent="0.35">
      <c r="C2565" t="s">
        <v>312</v>
      </c>
      <c r="D2565" s="3">
        <v>2021</v>
      </c>
      <c r="E2565" s="78">
        <f t="shared" si="393"/>
        <v>7</v>
      </c>
      <c r="F2565" s="74" t="s">
        <v>34</v>
      </c>
      <c r="G2565" s="77">
        <f t="shared" si="396"/>
        <v>41020</v>
      </c>
      <c r="H2565" s="77">
        <f t="shared" si="397"/>
        <v>41320</v>
      </c>
      <c r="I2565" s="76">
        <v>0.6</v>
      </c>
    </row>
    <row r="2566" spans="3:9" x14ac:dyDescent="0.35">
      <c r="C2566" t="s">
        <v>312</v>
      </c>
      <c r="D2566" s="3">
        <v>2021</v>
      </c>
      <c r="E2566" s="78">
        <f t="shared" si="393"/>
        <v>7</v>
      </c>
      <c r="F2566" s="74" t="s">
        <v>34</v>
      </c>
      <c r="G2566" s="77">
        <f t="shared" si="396"/>
        <v>41320</v>
      </c>
      <c r="H2566" s="77">
        <f t="shared" si="397"/>
        <v>41620</v>
      </c>
      <c r="I2566" s="76">
        <v>0.5</v>
      </c>
    </row>
    <row r="2567" spans="3:9" x14ac:dyDescent="0.35">
      <c r="C2567" t="s">
        <v>312</v>
      </c>
      <c r="D2567" s="3">
        <v>2021</v>
      </c>
      <c r="E2567" s="78">
        <f t="shared" si="393"/>
        <v>7</v>
      </c>
      <c r="F2567" s="74" t="s">
        <v>34</v>
      </c>
      <c r="G2567" s="77">
        <f t="shared" si="396"/>
        <v>41620</v>
      </c>
      <c r="H2567" s="77">
        <f t="shared" si="397"/>
        <v>41920</v>
      </c>
      <c r="I2567" s="76">
        <v>0.4</v>
      </c>
    </row>
    <row r="2568" spans="3:9" x14ac:dyDescent="0.35">
      <c r="C2568" t="s">
        <v>312</v>
      </c>
      <c r="D2568" s="3">
        <v>2021</v>
      </c>
      <c r="E2568" s="78">
        <f t="shared" si="393"/>
        <v>7</v>
      </c>
      <c r="F2568" s="74" t="s">
        <v>34</v>
      </c>
      <c r="G2568" s="77">
        <f t="shared" si="396"/>
        <v>41920</v>
      </c>
      <c r="H2568" s="77">
        <f t="shared" si="397"/>
        <v>42220</v>
      </c>
      <c r="I2568" s="76">
        <v>0.3</v>
      </c>
    </row>
    <row r="2569" spans="3:9" x14ac:dyDescent="0.35">
      <c r="C2569" t="s">
        <v>312</v>
      </c>
      <c r="D2569" s="3">
        <v>2021</v>
      </c>
      <c r="E2569" s="78">
        <f t="shared" si="393"/>
        <v>7</v>
      </c>
      <c r="F2569" s="74" t="s">
        <v>34</v>
      </c>
      <c r="G2569" s="77">
        <f t="shared" si="396"/>
        <v>42220</v>
      </c>
      <c r="H2569" s="77">
        <f t="shared" si="397"/>
        <v>42520</v>
      </c>
      <c r="I2569" s="76">
        <v>0.2</v>
      </c>
    </row>
    <row r="2570" spans="3:9" x14ac:dyDescent="0.35">
      <c r="C2570" t="s">
        <v>312</v>
      </c>
      <c r="D2570" s="3">
        <v>2021</v>
      </c>
      <c r="E2570" s="78">
        <f t="shared" si="393"/>
        <v>7</v>
      </c>
      <c r="F2570" s="74" t="s">
        <v>34</v>
      </c>
      <c r="G2570" s="77">
        <f t="shared" si="396"/>
        <v>42520</v>
      </c>
      <c r="H2570" s="77">
        <f t="shared" si="397"/>
        <v>42820</v>
      </c>
      <c r="I2570" s="76">
        <v>0.1</v>
      </c>
    </row>
    <row r="2571" spans="3:9" x14ac:dyDescent="0.35">
      <c r="C2571" t="s">
        <v>312</v>
      </c>
      <c r="D2571" s="3">
        <v>2021</v>
      </c>
      <c r="E2571" s="78">
        <f t="shared" si="393"/>
        <v>7</v>
      </c>
      <c r="F2571" s="74" t="s">
        <v>34</v>
      </c>
      <c r="G2571" s="77">
        <f t="shared" si="396"/>
        <v>42820</v>
      </c>
      <c r="H2571" s="77"/>
      <c r="I2571" s="76">
        <v>0</v>
      </c>
    </row>
    <row r="2572" spans="3:9" x14ac:dyDescent="0.35">
      <c r="C2572" t="s">
        <v>312</v>
      </c>
      <c r="D2572" s="3">
        <v>2021</v>
      </c>
      <c r="E2572" s="78">
        <f t="shared" si="393"/>
        <v>7</v>
      </c>
      <c r="F2572" s="74" t="s">
        <v>40</v>
      </c>
      <c r="G2572" s="77">
        <v>0</v>
      </c>
      <c r="H2572" s="75">
        <f>H2561</f>
        <v>40120</v>
      </c>
      <c r="I2572" s="76">
        <v>1</v>
      </c>
    </row>
    <row r="2573" spans="3:9" x14ac:dyDescent="0.35">
      <c r="C2573" t="s">
        <v>312</v>
      </c>
      <c r="D2573" s="3">
        <v>2021</v>
      </c>
      <c r="E2573" s="78">
        <f t="shared" si="393"/>
        <v>7</v>
      </c>
      <c r="F2573" s="74" t="s">
        <v>40</v>
      </c>
      <c r="G2573" s="77">
        <f>H2572</f>
        <v>40120</v>
      </c>
      <c r="H2573" s="77">
        <f>H2572+300</f>
        <v>40420</v>
      </c>
      <c r="I2573" s="76">
        <v>0.9</v>
      </c>
    </row>
    <row r="2574" spans="3:9" x14ac:dyDescent="0.35">
      <c r="C2574" t="s">
        <v>312</v>
      </c>
      <c r="D2574" s="3">
        <v>2021</v>
      </c>
      <c r="E2574" s="78">
        <f t="shared" si="393"/>
        <v>7</v>
      </c>
      <c r="F2574" s="74" t="s">
        <v>40</v>
      </c>
      <c r="G2574" s="77">
        <f t="shared" ref="G2574:G2582" si="398">H2573</f>
        <v>40420</v>
      </c>
      <c r="H2574" s="77">
        <f t="shared" ref="H2574:H2581" si="399">H2573+300</f>
        <v>40720</v>
      </c>
      <c r="I2574" s="76">
        <v>0.8</v>
      </c>
    </row>
    <row r="2575" spans="3:9" x14ac:dyDescent="0.35">
      <c r="C2575" t="s">
        <v>312</v>
      </c>
      <c r="D2575" s="3">
        <v>2021</v>
      </c>
      <c r="E2575" s="78">
        <f t="shared" si="393"/>
        <v>7</v>
      </c>
      <c r="F2575" s="74" t="s">
        <v>40</v>
      </c>
      <c r="G2575" s="77">
        <f t="shared" si="398"/>
        <v>40720</v>
      </c>
      <c r="H2575" s="77">
        <f t="shared" si="399"/>
        <v>41020</v>
      </c>
      <c r="I2575" s="76">
        <v>0.7</v>
      </c>
    </row>
    <row r="2576" spans="3:9" x14ac:dyDescent="0.35">
      <c r="C2576" t="s">
        <v>312</v>
      </c>
      <c r="D2576" s="3">
        <v>2021</v>
      </c>
      <c r="E2576" s="78">
        <f t="shared" si="393"/>
        <v>7</v>
      </c>
      <c r="F2576" s="74" t="s">
        <v>40</v>
      </c>
      <c r="G2576" s="77">
        <f t="shared" si="398"/>
        <v>41020</v>
      </c>
      <c r="H2576" s="77">
        <f t="shared" si="399"/>
        <v>41320</v>
      </c>
      <c r="I2576" s="76">
        <v>0.6</v>
      </c>
    </row>
    <row r="2577" spans="3:9" x14ac:dyDescent="0.35">
      <c r="C2577" t="s">
        <v>312</v>
      </c>
      <c r="D2577" s="3">
        <v>2021</v>
      </c>
      <c r="E2577" s="78">
        <f t="shared" si="393"/>
        <v>7</v>
      </c>
      <c r="F2577" s="74" t="s">
        <v>40</v>
      </c>
      <c r="G2577" s="77">
        <f t="shared" si="398"/>
        <v>41320</v>
      </c>
      <c r="H2577" s="77">
        <f t="shared" si="399"/>
        <v>41620</v>
      </c>
      <c r="I2577" s="76">
        <v>0.5</v>
      </c>
    </row>
    <row r="2578" spans="3:9" x14ac:dyDescent="0.35">
      <c r="C2578" t="s">
        <v>312</v>
      </c>
      <c r="D2578" s="3">
        <v>2021</v>
      </c>
      <c r="E2578" s="78">
        <f t="shared" si="393"/>
        <v>7</v>
      </c>
      <c r="F2578" s="74" t="s">
        <v>40</v>
      </c>
      <c r="G2578" s="77">
        <f t="shared" si="398"/>
        <v>41620</v>
      </c>
      <c r="H2578" s="77">
        <f t="shared" si="399"/>
        <v>41920</v>
      </c>
      <c r="I2578" s="76">
        <v>0.4</v>
      </c>
    </row>
    <row r="2579" spans="3:9" x14ac:dyDescent="0.35">
      <c r="C2579" t="s">
        <v>312</v>
      </c>
      <c r="D2579" s="3">
        <v>2021</v>
      </c>
      <c r="E2579" s="78">
        <f t="shared" si="393"/>
        <v>7</v>
      </c>
      <c r="F2579" s="74" t="s">
        <v>40</v>
      </c>
      <c r="G2579" s="77">
        <f t="shared" si="398"/>
        <v>41920</v>
      </c>
      <c r="H2579" s="77">
        <f t="shared" si="399"/>
        <v>42220</v>
      </c>
      <c r="I2579" s="76">
        <v>0.3</v>
      </c>
    </row>
    <row r="2580" spans="3:9" x14ac:dyDescent="0.35">
      <c r="C2580" t="s">
        <v>312</v>
      </c>
      <c r="D2580" s="3">
        <v>2021</v>
      </c>
      <c r="E2580" s="78">
        <f t="shared" si="393"/>
        <v>7</v>
      </c>
      <c r="F2580" s="74" t="s">
        <v>40</v>
      </c>
      <c r="G2580" s="77">
        <f t="shared" si="398"/>
        <v>42220</v>
      </c>
      <c r="H2580" s="77">
        <f t="shared" si="399"/>
        <v>42520</v>
      </c>
      <c r="I2580" s="76">
        <v>0.2</v>
      </c>
    </row>
    <row r="2581" spans="3:9" x14ac:dyDescent="0.35">
      <c r="C2581" t="s">
        <v>312</v>
      </c>
      <c r="D2581" s="3">
        <v>2021</v>
      </c>
      <c r="E2581" s="78">
        <f t="shared" si="393"/>
        <v>7</v>
      </c>
      <c r="F2581" s="74" t="s">
        <v>40</v>
      </c>
      <c r="G2581" s="77">
        <f t="shared" si="398"/>
        <v>42520</v>
      </c>
      <c r="H2581" s="77">
        <f t="shared" si="399"/>
        <v>42820</v>
      </c>
      <c r="I2581" s="76">
        <v>0.1</v>
      </c>
    </row>
    <row r="2582" spans="3:9" x14ac:dyDescent="0.35">
      <c r="C2582" t="s">
        <v>312</v>
      </c>
      <c r="D2582" s="3">
        <v>2021</v>
      </c>
      <c r="E2582" s="78">
        <f t="shared" si="393"/>
        <v>7</v>
      </c>
      <c r="F2582" s="74" t="s">
        <v>40</v>
      </c>
      <c r="G2582" s="77">
        <f t="shared" si="398"/>
        <v>42820</v>
      </c>
      <c r="H2582" s="77"/>
      <c r="I2582" s="76">
        <v>0</v>
      </c>
    </row>
    <row r="2583" spans="3:9" x14ac:dyDescent="0.35">
      <c r="C2583" t="s">
        <v>312</v>
      </c>
      <c r="D2583" s="3">
        <v>2021</v>
      </c>
      <c r="E2583" s="78">
        <f t="shared" si="393"/>
        <v>7</v>
      </c>
      <c r="F2583" s="74" t="s">
        <v>313</v>
      </c>
      <c r="G2583" s="77">
        <v>0</v>
      </c>
      <c r="H2583" s="75">
        <f>H2572</f>
        <v>40120</v>
      </c>
      <c r="I2583" s="76">
        <v>1</v>
      </c>
    </row>
    <row r="2584" spans="3:9" x14ac:dyDescent="0.35">
      <c r="C2584" t="s">
        <v>312</v>
      </c>
      <c r="D2584" s="3">
        <v>2021</v>
      </c>
      <c r="E2584" s="78">
        <f t="shared" si="393"/>
        <v>7</v>
      </c>
      <c r="F2584" s="74" t="s">
        <v>313</v>
      </c>
      <c r="G2584" s="77">
        <f>H2583</f>
        <v>40120</v>
      </c>
      <c r="H2584" s="77">
        <f>H2583+300</f>
        <v>40420</v>
      </c>
      <c r="I2584" s="76">
        <v>0.9</v>
      </c>
    </row>
    <row r="2585" spans="3:9" x14ac:dyDescent="0.35">
      <c r="C2585" t="s">
        <v>312</v>
      </c>
      <c r="D2585" s="3">
        <v>2021</v>
      </c>
      <c r="E2585" s="78">
        <f t="shared" si="393"/>
        <v>7</v>
      </c>
      <c r="F2585" s="74" t="s">
        <v>313</v>
      </c>
      <c r="G2585" s="77">
        <f t="shared" ref="G2585:G2593" si="400">H2584</f>
        <v>40420</v>
      </c>
      <c r="H2585" s="77">
        <f t="shared" ref="H2585:H2592" si="401">H2584+300</f>
        <v>40720</v>
      </c>
      <c r="I2585" s="76">
        <v>0.8</v>
      </c>
    </row>
    <row r="2586" spans="3:9" x14ac:dyDescent="0.35">
      <c r="C2586" t="s">
        <v>312</v>
      </c>
      <c r="D2586" s="3">
        <v>2021</v>
      </c>
      <c r="E2586" s="78">
        <f t="shared" si="393"/>
        <v>7</v>
      </c>
      <c r="F2586" s="74" t="s">
        <v>313</v>
      </c>
      <c r="G2586" s="77">
        <f t="shared" si="400"/>
        <v>40720</v>
      </c>
      <c r="H2586" s="77">
        <f t="shared" si="401"/>
        <v>41020</v>
      </c>
      <c r="I2586" s="76">
        <v>0.7</v>
      </c>
    </row>
    <row r="2587" spans="3:9" x14ac:dyDescent="0.35">
      <c r="C2587" t="s">
        <v>312</v>
      </c>
      <c r="D2587" s="3">
        <v>2021</v>
      </c>
      <c r="E2587" s="78">
        <f t="shared" si="393"/>
        <v>7</v>
      </c>
      <c r="F2587" s="74" t="s">
        <v>313</v>
      </c>
      <c r="G2587" s="77">
        <f t="shared" si="400"/>
        <v>41020</v>
      </c>
      <c r="H2587" s="77">
        <f t="shared" si="401"/>
        <v>41320</v>
      </c>
      <c r="I2587" s="76">
        <v>0.6</v>
      </c>
    </row>
    <row r="2588" spans="3:9" x14ac:dyDescent="0.35">
      <c r="C2588" t="s">
        <v>312</v>
      </c>
      <c r="D2588" s="3">
        <v>2021</v>
      </c>
      <c r="E2588" s="78">
        <f t="shared" si="393"/>
        <v>7</v>
      </c>
      <c r="F2588" s="74" t="s">
        <v>313</v>
      </c>
      <c r="G2588" s="77">
        <f t="shared" si="400"/>
        <v>41320</v>
      </c>
      <c r="H2588" s="77">
        <f t="shared" si="401"/>
        <v>41620</v>
      </c>
      <c r="I2588" s="76">
        <v>0.5</v>
      </c>
    </row>
    <row r="2589" spans="3:9" x14ac:dyDescent="0.35">
      <c r="C2589" t="s">
        <v>312</v>
      </c>
      <c r="D2589" s="3">
        <v>2021</v>
      </c>
      <c r="E2589" s="78">
        <f t="shared" si="393"/>
        <v>7</v>
      </c>
      <c r="F2589" s="74" t="s">
        <v>313</v>
      </c>
      <c r="G2589" s="77">
        <f t="shared" si="400"/>
        <v>41620</v>
      </c>
      <c r="H2589" s="77">
        <f t="shared" si="401"/>
        <v>41920</v>
      </c>
      <c r="I2589" s="76">
        <v>0.4</v>
      </c>
    </row>
    <row r="2590" spans="3:9" x14ac:dyDescent="0.35">
      <c r="C2590" t="s">
        <v>312</v>
      </c>
      <c r="D2590" s="3">
        <v>2021</v>
      </c>
      <c r="E2590" s="78">
        <f t="shared" si="393"/>
        <v>7</v>
      </c>
      <c r="F2590" s="74" t="s">
        <v>313</v>
      </c>
      <c r="G2590" s="77">
        <f t="shared" si="400"/>
        <v>41920</v>
      </c>
      <c r="H2590" s="77">
        <f t="shared" si="401"/>
        <v>42220</v>
      </c>
      <c r="I2590" s="76">
        <v>0.3</v>
      </c>
    </row>
    <row r="2591" spans="3:9" x14ac:dyDescent="0.35">
      <c r="C2591" t="s">
        <v>312</v>
      </c>
      <c r="D2591" s="3">
        <v>2021</v>
      </c>
      <c r="E2591" s="78">
        <f t="shared" si="393"/>
        <v>7</v>
      </c>
      <c r="F2591" s="74" t="s">
        <v>313</v>
      </c>
      <c r="G2591" s="77">
        <f t="shared" si="400"/>
        <v>42220</v>
      </c>
      <c r="H2591" s="77">
        <f t="shared" si="401"/>
        <v>42520</v>
      </c>
      <c r="I2591" s="76">
        <v>0.2</v>
      </c>
    </row>
    <row r="2592" spans="3:9" x14ac:dyDescent="0.35">
      <c r="C2592" t="s">
        <v>312</v>
      </c>
      <c r="D2592" s="3">
        <v>2021</v>
      </c>
      <c r="E2592" s="78">
        <f t="shared" si="393"/>
        <v>7</v>
      </c>
      <c r="F2592" s="74" t="s">
        <v>313</v>
      </c>
      <c r="G2592" s="77">
        <f t="shared" si="400"/>
        <v>42520</v>
      </c>
      <c r="H2592" s="77">
        <f t="shared" si="401"/>
        <v>42820</v>
      </c>
      <c r="I2592" s="76">
        <v>0.1</v>
      </c>
    </row>
    <row r="2593" spans="3:9" x14ac:dyDescent="0.35">
      <c r="C2593" t="s">
        <v>312</v>
      </c>
      <c r="D2593" s="3">
        <v>2021</v>
      </c>
      <c r="E2593" s="78">
        <f t="shared" si="393"/>
        <v>7</v>
      </c>
      <c r="F2593" s="74" t="s">
        <v>313</v>
      </c>
      <c r="G2593" s="77">
        <f t="shared" si="400"/>
        <v>42820</v>
      </c>
      <c r="H2593" s="77"/>
      <c r="I2593" s="76">
        <v>0</v>
      </c>
    </row>
    <row r="2594" spans="3:9" x14ac:dyDescent="0.35">
      <c r="C2594" t="s">
        <v>312</v>
      </c>
      <c r="D2594" s="3">
        <v>2021</v>
      </c>
      <c r="E2594" s="73">
        <v>8</v>
      </c>
      <c r="F2594" s="74" t="s">
        <v>54</v>
      </c>
      <c r="G2594" s="77">
        <v>0</v>
      </c>
      <c r="H2594" s="77">
        <v>44660</v>
      </c>
      <c r="I2594" s="76">
        <v>1</v>
      </c>
    </row>
    <row r="2595" spans="3:9" x14ac:dyDescent="0.35">
      <c r="C2595" t="s">
        <v>312</v>
      </c>
      <c r="D2595" s="3">
        <v>2021</v>
      </c>
      <c r="E2595" s="78">
        <f>E2594</f>
        <v>8</v>
      </c>
      <c r="F2595" s="74" t="s">
        <v>54</v>
      </c>
      <c r="G2595" s="77">
        <f>H2594</f>
        <v>44660</v>
      </c>
      <c r="H2595" s="77">
        <f>H2594+300</f>
        <v>44960</v>
      </c>
      <c r="I2595" s="76">
        <v>0.9</v>
      </c>
    </row>
    <row r="2596" spans="3:9" x14ac:dyDescent="0.35">
      <c r="C2596" t="s">
        <v>312</v>
      </c>
      <c r="D2596" s="3">
        <v>2021</v>
      </c>
      <c r="E2596" s="78">
        <f t="shared" ref="E2596:E2637" si="402">E2595</f>
        <v>8</v>
      </c>
      <c r="F2596" s="74" t="s">
        <v>54</v>
      </c>
      <c r="G2596" s="77">
        <f t="shared" ref="G2596:G2604" si="403">H2595</f>
        <v>44960</v>
      </c>
      <c r="H2596" s="77">
        <f t="shared" ref="H2596:H2603" si="404">H2595+300</f>
        <v>45260</v>
      </c>
      <c r="I2596" s="76">
        <v>0.8</v>
      </c>
    </row>
    <row r="2597" spans="3:9" x14ac:dyDescent="0.35">
      <c r="C2597" t="s">
        <v>312</v>
      </c>
      <c r="D2597" s="3">
        <v>2021</v>
      </c>
      <c r="E2597" s="78">
        <f t="shared" si="402"/>
        <v>8</v>
      </c>
      <c r="F2597" s="74" t="s">
        <v>54</v>
      </c>
      <c r="G2597" s="77">
        <f t="shared" si="403"/>
        <v>45260</v>
      </c>
      <c r="H2597" s="77">
        <f t="shared" si="404"/>
        <v>45560</v>
      </c>
      <c r="I2597" s="76">
        <v>0.7</v>
      </c>
    </row>
    <row r="2598" spans="3:9" x14ac:dyDescent="0.35">
      <c r="C2598" t="s">
        <v>312</v>
      </c>
      <c r="D2598" s="3">
        <v>2021</v>
      </c>
      <c r="E2598" s="78">
        <f t="shared" si="402"/>
        <v>8</v>
      </c>
      <c r="F2598" s="74" t="s">
        <v>54</v>
      </c>
      <c r="G2598" s="77">
        <f t="shared" si="403"/>
        <v>45560</v>
      </c>
      <c r="H2598" s="77">
        <f t="shared" si="404"/>
        <v>45860</v>
      </c>
      <c r="I2598" s="76">
        <v>0.6</v>
      </c>
    </row>
    <row r="2599" spans="3:9" x14ac:dyDescent="0.35">
      <c r="C2599" t="s">
        <v>312</v>
      </c>
      <c r="D2599" s="3">
        <v>2021</v>
      </c>
      <c r="E2599" s="78">
        <f t="shared" si="402"/>
        <v>8</v>
      </c>
      <c r="F2599" s="74" t="s">
        <v>54</v>
      </c>
      <c r="G2599" s="77">
        <f t="shared" si="403"/>
        <v>45860</v>
      </c>
      <c r="H2599" s="77">
        <f t="shared" si="404"/>
        <v>46160</v>
      </c>
      <c r="I2599" s="76">
        <v>0.5</v>
      </c>
    </row>
    <row r="2600" spans="3:9" x14ac:dyDescent="0.35">
      <c r="C2600" t="s">
        <v>312</v>
      </c>
      <c r="D2600" s="3">
        <v>2021</v>
      </c>
      <c r="E2600" s="78">
        <f t="shared" si="402"/>
        <v>8</v>
      </c>
      <c r="F2600" s="74" t="s">
        <v>54</v>
      </c>
      <c r="G2600" s="77">
        <f t="shared" si="403"/>
        <v>46160</v>
      </c>
      <c r="H2600" s="77">
        <f t="shared" si="404"/>
        <v>46460</v>
      </c>
      <c r="I2600" s="76">
        <v>0.4</v>
      </c>
    </row>
    <row r="2601" spans="3:9" x14ac:dyDescent="0.35">
      <c r="C2601" t="s">
        <v>312</v>
      </c>
      <c r="D2601" s="3">
        <v>2021</v>
      </c>
      <c r="E2601" s="78">
        <f t="shared" si="402"/>
        <v>8</v>
      </c>
      <c r="F2601" s="74" t="s">
        <v>54</v>
      </c>
      <c r="G2601" s="77">
        <f t="shared" si="403"/>
        <v>46460</v>
      </c>
      <c r="H2601" s="77">
        <f t="shared" si="404"/>
        <v>46760</v>
      </c>
      <c r="I2601" s="76">
        <v>0.3</v>
      </c>
    </row>
    <row r="2602" spans="3:9" x14ac:dyDescent="0.35">
      <c r="C2602" t="s">
        <v>312</v>
      </c>
      <c r="D2602" s="3">
        <v>2021</v>
      </c>
      <c r="E2602" s="78">
        <f t="shared" si="402"/>
        <v>8</v>
      </c>
      <c r="F2602" s="74" t="s">
        <v>54</v>
      </c>
      <c r="G2602" s="77">
        <f t="shared" si="403"/>
        <v>46760</v>
      </c>
      <c r="H2602" s="77">
        <f t="shared" si="404"/>
        <v>47060</v>
      </c>
      <c r="I2602" s="76">
        <v>0.2</v>
      </c>
    </row>
    <row r="2603" spans="3:9" x14ac:dyDescent="0.35">
      <c r="C2603" t="s">
        <v>312</v>
      </c>
      <c r="D2603" s="3">
        <v>2021</v>
      </c>
      <c r="E2603" s="78">
        <f t="shared" si="402"/>
        <v>8</v>
      </c>
      <c r="F2603" s="74" t="s">
        <v>54</v>
      </c>
      <c r="G2603" s="77">
        <f t="shared" si="403"/>
        <v>47060</v>
      </c>
      <c r="H2603" s="77">
        <f t="shared" si="404"/>
        <v>47360</v>
      </c>
      <c r="I2603" s="76">
        <v>0.1</v>
      </c>
    </row>
    <row r="2604" spans="3:9" x14ac:dyDescent="0.35">
      <c r="C2604" t="s">
        <v>312</v>
      </c>
      <c r="D2604" s="3">
        <v>2021</v>
      </c>
      <c r="E2604" s="78">
        <f t="shared" si="402"/>
        <v>8</v>
      </c>
      <c r="F2604" s="74" t="s">
        <v>54</v>
      </c>
      <c r="G2604" s="77">
        <f t="shared" si="403"/>
        <v>47360</v>
      </c>
      <c r="H2604" s="77"/>
      <c r="I2604" s="76">
        <v>0</v>
      </c>
    </row>
    <row r="2605" spans="3:9" x14ac:dyDescent="0.35">
      <c r="C2605" t="s">
        <v>312</v>
      </c>
      <c r="D2605" s="3">
        <v>2021</v>
      </c>
      <c r="E2605" s="78">
        <f t="shared" si="402"/>
        <v>8</v>
      </c>
      <c r="F2605" s="74" t="s">
        <v>34</v>
      </c>
      <c r="G2605" s="77">
        <v>0</v>
      </c>
      <c r="H2605" s="75">
        <f>H2594</f>
        <v>44660</v>
      </c>
      <c r="I2605" s="76">
        <v>1</v>
      </c>
    </row>
    <row r="2606" spans="3:9" x14ac:dyDescent="0.35">
      <c r="C2606" t="s">
        <v>312</v>
      </c>
      <c r="D2606" s="3">
        <v>2021</v>
      </c>
      <c r="E2606" s="78">
        <f t="shared" si="402"/>
        <v>8</v>
      </c>
      <c r="F2606" s="74" t="s">
        <v>34</v>
      </c>
      <c r="G2606" s="77">
        <f>H2605</f>
        <v>44660</v>
      </c>
      <c r="H2606" s="77">
        <f>H2605+300</f>
        <v>44960</v>
      </c>
      <c r="I2606" s="76">
        <v>0.9</v>
      </c>
    </row>
    <row r="2607" spans="3:9" x14ac:dyDescent="0.35">
      <c r="C2607" t="s">
        <v>312</v>
      </c>
      <c r="D2607" s="3">
        <v>2021</v>
      </c>
      <c r="E2607" s="78">
        <f t="shared" si="402"/>
        <v>8</v>
      </c>
      <c r="F2607" s="74" t="s">
        <v>34</v>
      </c>
      <c r="G2607" s="77">
        <f t="shared" ref="G2607:G2615" si="405">H2606</f>
        <v>44960</v>
      </c>
      <c r="H2607" s="77">
        <f t="shared" ref="H2607:H2614" si="406">H2606+300</f>
        <v>45260</v>
      </c>
      <c r="I2607" s="76">
        <v>0.8</v>
      </c>
    </row>
    <row r="2608" spans="3:9" x14ac:dyDescent="0.35">
      <c r="C2608" t="s">
        <v>312</v>
      </c>
      <c r="D2608" s="3">
        <v>2021</v>
      </c>
      <c r="E2608" s="78">
        <f t="shared" si="402"/>
        <v>8</v>
      </c>
      <c r="F2608" s="74" t="s">
        <v>34</v>
      </c>
      <c r="G2608" s="77">
        <f t="shared" si="405"/>
        <v>45260</v>
      </c>
      <c r="H2608" s="77">
        <f t="shared" si="406"/>
        <v>45560</v>
      </c>
      <c r="I2608" s="76">
        <v>0.7</v>
      </c>
    </row>
    <row r="2609" spans="3:9" x14ac:dyDescent="0.35">
      <c r="C2609" t="s">
        <v>312</v>
      </c>
      <c r="D2609" s="3">
        <v>2021</v>
      </c>
      <c r="E2609" s="78">
        <f t="shared" si="402"/>
        <v>8</v>
      </c>
      <c r="F2609" s="74" t="s">
        <v>34</v>
      </c>
      <c r="G2609" s="77">
        <f t="shared" si="405"/>
        <v>45560</v>
      </c>
      <c r="H2609" s="77">
        <f t="shared" si="406"/>
        <v>45860</v>
      </c>
      <c r="I2609" s="76">
        <v>0.6</v>
      </c>
    </row>
    <row r="2610" spans="3:9" x14ac:dyDescent="0.35">
      <c r="C2610" t="s">
        <v>312</v>
      </c>
      <c r="D2610" s="3">
        <v>2021</v>
      </c>
      <c r="E2610" s="78">
        <f t="shared" si="402"/>
        <v>8</v>
      </c>
      <c r="F2610" s="74" t="s">
        <v>34</v>
      </c>
      <c r="G2610" s="77">
        <f t="shared" si="405"/>
        <v>45860</v>
      </c>
      <c r="H2610" s="77">
        <f t="shared" si="406"/>
        <v>46160</v>
      </c>
      <c r="I2610" s="76">
        <v>0.5</v>
      </c>
    </row>
    <row r="2611" spans="3:9" x14ac:dyDescent="0.35">
      <c r="C2611" t="s">
        <v>312</v>
      </c>
      <c r="D2611" s="3">
        <v>2021</v>
      </c>
      <c r="E2611" s="78">
        <f t="shared" si="402"/>
        <v>8</v>
      </c>
      <c r="F2611" s="74" t="s">
        <v>34</v>
      </c>
      <c r="G2611" s="77">
        <f t="shared" si="405"/>
        <v>46160</v>
      </c>
      <c r="H2611" s="77">
        <f t="shared" si="406"/>
        <v>46460</v>
      </c>
      <c r="I2611" s="76">
        <v>0.4</v>
      </c>
    </row>
    <row r="2612" spans="3:9" x14ac:dyDescent="0.35">
      <c r="C2612" t="s">
        <v>312</v>
      </c>
      <c r="D2612" s="3">
        <v>2021</v>
      </c>
      <c r="E2612" s="78">
        <f t="shared" si="402"/>
        <v>8</v>
      </c>
      <c r="F2612" s="74" t="s">
        <v>34</v>
      </c>
      <c r="G2612" s="77">
        <f t="shared" si="405"/>
        <v>46460</v>
      </c>
      <c r="H2612" s="77">
        <f t="shared" si="406"/>
        <v>46760</v>
      </c>
      <c r="I2612" s="76">
        <v>0.3</v>
      </c>
    </row>
    <row r="2613" spans="3:9" x14ac:dyDescent="0.35">
      <c r="C2613" t="s">
        <v>312</v>
      </c>
      <c r="D2613" s="3">
        <v>2021</v>
      </c>
      <c r="E2613" s="78">
        <f t="shared" si="402"/>
        <v>8</v>
      </c>
      <c r="F2613" s="74" t="s">
        <v>34</v>
      </c>
      <c r="G2613" s="77">
        <f t="shared" si="405"/>
        <v>46760</v>
      </c>
      <c r="H2613" s="77">
        <f t="shared" si="406"/>
        <v>47060</v>
      </c>
      <c r="I2613" s="76">
        <v>0.2</v>
      </c>
    </row>
    <row r="2614" spans="3:9" x14ac:dyDescent="0.35">
      <c r="C2614" t="s">
        <v>312</v>
      </c>
      <c r="D2614" s="3">
        <v>2021</v>
      </c>
      <c r="E2614" s="78">
        <f t="shared" si="402"/>
        <v>8</v>
      </c>
      <c r="F2614" s="74" t="s">
        <v>34</v>
      </c>
      <c r="G2614" s="77">
        <f t="shared" si="405"/>
        <v>47060</v>
      </c>
      <c r="H2614" s="77">
        <f t="shared" si="406"/>
        <v>47360</v>
      </c>
      <c r="I2614" s="76">
        <v>0.1</v>
      </c>
    </row>
    <row r="2615" spans="3:9" x14ac:dyDescent="0.35">
      <c r="C2615" t="s">
        <v>312</v>
      </c>
      <c r="D2615" s="3">
        <v>2021</v>
      </c>
      <c r="E2615" s="78">
        <f t="shared" si="402"/>
        <v>8</v>
      </c>
      <c r="F2615" s="74" t="s">
        <v>34</v>
      </c>
      <c r="G2615" s="77">
        <f t="shared" si="405"/>
        <v>47360</v>
      </c>
      <c r="H2615" s="77"/>
      <c r="I2615" s="76">
        <v>0</v>
      </c>
    </row>
    <row r="2616" spans="3:9" x14ac:dyDescent="0.35">
      <c r="C2616" t="s">
        <v>312</v>
      </c>
      <c r="D2616" s="3">
        <v>2021</v>
      </c>
      <c r="E2616" s="78">
        <f t="shared" si="402"/>
        <v>8</v>
      </c>
      <c r="F2616" s="74" t="s">
        <v>40</v>
      </c>
      <c r="G2616" s="77">
        <v>0</v>
      </c>
      <c r="H2616" s="75">
        <f>H2605</f>
        <v>44660</v>
      </c>
      <c r="I2616" s="76">
        <v>1</v>
      </c>
    </row>
    <row r="2617" spans="3:9" x14ac:dyDescent="0.35">
      <c r="C2617" t="s">
        <v>312</v>
      </c>
      <c r="D2617" s="3">
        <v>2021</v>
      </c>
      <c r="E2617" s="78">
        <f t="shared" si="402"/>
        <v>8</v>
      </c>
      <c r="F2617" s="74" t="s">
        <v>40</v>
      </c>
      <c r="G2617" s="77">
        <f>H2616</f>
        <v>44660</v>
      </c>
      <c r="H2617" s="77">
        <f>H2616+300</f>
        <v>44960</v>
      </c>
      <c r="I2617" s="76">
        <v>0.9</v>
      </c>
    </row>
    <row r="2618" spans="3:9" x14ac:dyDescent="0.35">
      <c r="C2618" t="s">
        <v>312</v>
      </c>
      <c r="D2618" s="3">
        <v>2021</v>
      </c>
      <c r="E2618" s="78">
        <f t="shared" si="402"/>
        <v>8</v>
      </c>
      <c r="F2618" s="74" t="s">
        <v>40</v>
      </c>
      <c r="G2618" s="77">
        <f t="shared" ref="G2618:G2626" si="407">H2617</f>
        <v>44960</v>
      </c>
      <c r="H2618" s="77">
        <f t="shared" ref="H2618:H2625" si="408">H2617+300</f>
        <v>45260</v>
      </c>
      <c r="I2618" s="76">
        <v>0.8</v>
      </c>
    </row>
    <row r="2619" spans="3:9" x14ac:dyDescent="0.35">
      <c r="C2619" t="s">
        <v>312</v>
      </c>
      <c r="D2619" s="3">
        <v>2021</v>
      </c>
      <c r="E2619" s="78">
        <f t="shared" si="402"/>
        <v>8</v>
      </c>
      <c r="F2619" s="74" t="s">
        <v>40</v>
      </c>
      <c r="G2619" s="77">
        <f t="shared" si="407"/>
        <v>45260</v>
      </c>
      <c r="H2619" s="77">
        <f t="shared" si="408"/>
        <v>45560</v>
      </c>
      <c r="I2619" s="76">
        <v>0.7</v>
      </c>
    </row>
    <row r="2620" spans="3:9" x14ac:dyDescent="0.35">
      <c r="C2620" t="s">
        <v>312</v>
      </c>
      <c r="D2620" s="3">
        <v>2021</v>
      </c>
      <c r="E2620" s="78">
        <f t="shared" si="402"/>
        <v>8</v>
      </c>
      <c r="F2620" s="74" t="s">
        <v>40</v>
      </c>
      <c r="G2620" s="77">
        <f t="shared" si="407"/>
        <v>45560</v>
      </c>
      <c r="H2620" s="77">
        <f t="shared" si="408"/>
        <v>45860</v>
      </c>
      <c r="I2620" s="76">
        <v>0.6</v>
      </c>
    </row>
    <row r="2621" spans="3:9" x14ac:dyDescent="0.35">
      <c r="C2621" t="s">
        <v>312</v>
      </c>
      <c r="D2621" s="3">
        <v>2021</v>
      </c>
      <c r="E2621" s="78">
        <f t="shared" si="402"/>
        <v>8</v>
      </c>
      <c r="F2621" s="74" t="s">
        <v>40</v>
      </c>
      <c r="G2621" s="77">
        <f t="shared" si="407"/>
        <v>45860</v>
      </c>
      <c r="H2621" s="77">
        <f t="shared" si="408"/>
        <v>46160</v>
      </c>
      <c r="I2621" s="76">
        <v>0.5</v>
      </c>
    </row>
    <row r="2622" spans="3:9" x14ac:dyDescent="0.35">
      <c r="C2622" t="s">
        <v>312</v>
      </c>
      <c r="D2622" s="3">
        <v>2021</v>
      </c>
      <c r="E2622" s="78">
        <f t="shared" si="402"/>
        <v>8</v>
      </c>
      <c r="F2622" s="74" t="s">
        <v>40</v>
      </c>
      <c r="G2622" s="77">
        <f t="shared" si="407"/>
        <v>46160</v>
      </c>
      <c r="H2622" s="77">
        <f t="shared" si="408"/>
        <v>46460</v>
      </c>
      <c r="I2622" s="76">
        <v>0.4</v>
      </c>
    </row>
    <row r="2623" spans="3:9" x14ac:dyDescent="0.35">
      <c r="C2623" t="s">
        <v>312</v>
      </c>
      <c r="D2623" s="3">
        <v>2021</v>
      </c>
      <c r="E2623" s="78">
        <f t="shared" si="402"/>
        <v>8</v>
      </c>
      <c r="F2623" s="74" t="s">
        <v>40</v>
      </c>
      <c r="G2623" s="77">
        <f t="shared" si="407"/>
        <v>46460</v>
      </c>
      <c r="H2623" s="77">
        <f t="shared" si="408"/>
        <v>46760</v>
      </c>
      <c r="I2623" s="76">
        <v>0.3</v>
      </c>
    </row>
    <row r="2624" spans="3:9" x14ac:dyDescent="0.35">
      <c r="C2624" t="s">
        <v>312</v>
      </c>
      <c r="D2624" s="3">
        <v>2021</v>
      </c>
      <c r="E2624" s="78">
        <f t="shared" si="402"/>
        <v>8</v>
      </c>
      <c r="F2624" s="74" t="s">
        <v>40</v>
      </c>
      <c r="G2624" s="77">
        <f t="shared" si="407"/>
        <v>46760</v>
      </c>
      <c r="H2624" s="77">
        <f t="shared" si="408"/>
        <v>47060</v>
      </c>
      <c r="I2624" s="76">
        <v>0.2</v>
      </c>
    </row>
    <row r="2625" spans="3:9" x14ac:dyDescent="0.35">
      <c r="C2625" t="s">
        <v>312</v>
      </c>
      <c r="D2625" s="3">
        <v>2021</v>
      </c>
      <c r="E2625" s="78">
        <f t="shared" si="402"/>
        <v>8</v>
      </c>
      <c r="F2625" s="74" t="s">
        <v>40</v>
      </c>
      <c r="G2625" s="77">
        <f t="shared" si="407"/>
        <v>47060</v>
      </c>
      <c r="H2625" s="77">
        <f t="shared" si="408"/>
        <v>47360</v>
      </c>
      <c r="I2625" s="76">
        <v>0.1</v>
      </c>
    </row>
    <row r="2626" spans="3:9" x14ac:dyDescent="0.35">
      <c r="C2626" t="s">
        <v>312</v>
      </c>
      <c r="D2626" s="3">
        <v>2021</v>
      </c>
      <c r="E2626" s="78">
        <f t="shared" si="402"/>
        <v>8</v>
      </c>
      <c r="F2626" s="74" t="s">
        <v>40</v>
      </c>
      <c r="G2626" s="77">
        <f t="shared" si="407"/>
        <v>47360</v>
      </c>
      <c r="H2626" s="77"/>
      <c r="I2626" s="76">
        <v>0</v>
      </c>
    </row>
    <row r="2627" spans="3:9" x14ac:dyDescent="0.35">
      <c r="C2627" t="s">
        <v>312</v>
      </c>
      <c r="D2627" s="3">
        <v>2021</v>
      </c>
      <c r="E2627" s="78">
        <f t="shared" si="402"/>
        <v>8</v>
      </c>
      <c r="F2627" s="74" t="s">
        <v>313</v>
      </c>
      <c r="G2627" s="77">
        <v>0</v>
      </c>
      <c r="H2627" s="75">
        <f>H2616</f>
        <v>44660</v>
      </c>
      <c r="I2627" s="76">
        <v>1</v>
      </c>
    </row>
    <row r="2628" spans="3:9" x14ac:dyDescent="0.35">
      <c r="C2628" t="s">
        <v>312</v>
      </c>
      <c r="D2628" s="3">
        <v>2021</v>
      </c>
      <c r="E2628" s="78">
        <f t="shared" si="402"/>
        <v>8</v>
      </c>
      <c r="F2628" s="74" t="s">
        <v>313</v>
      </c>
      <c r="G2628" s="77">
        <f>H2627</f>
        <v>44660</v>
      </c>
      <c r="H2628" s="77">
        <f>H2627+300</f>
        <v>44960</v>
      </c>
      <c r="I2628" s="76">
        <v>0.9</v>
      </c>
    </row>
    <row r="2629" spans="3:9" x14ac:dyDescent="0.35">
      <c r="C2629" t="s">
        <v>312</v>
      </c>
      <c r="D2629" s="3">
        <v>2021</v>
      </c>
      <c r="E2629" s="78">
        <f t="shared" si="402"/>
        <v>8</v>
      </c>
      <c r="F2629" s="74" t="s">
        <v>313</v>
      </c>
      <c r="G2629" s="77">
        <f t="shared" ref="G2629:G2637" si="409">H2628</f>
        <v>44960</v>
      </c>
      <c r="H2629" s="77">
        <f t="shared" ref="H2629:H2636" si="410">H2628+300</f>
        <v>45260</v>
      </c>
      <c r="I2629" s="76">
        <v>0.8</v>
      </c>
    </row>
    <row r="2630" spans="3:9" x14ac:dyDescent="0.35">
      <c r="C2630" t="s">
        <v>312</v>
      </c>
      <c r="D2630" s="3">
        <v>2021</v>
      </c>
      <c r="E2630" s="78">
        <f t="shared" si="402"/>
        <v>8</v>
      </c>
      <c r="F2630" s="74" t="s">
        <v>313</v>
      </c>
      <c r="G2630" s="77">
        <f t="shared" si="409"/>
        <v>45260</v>
      </c>
      <c r="H2630" s="77">
        <f t="shared" si="410"/>
        <v>45560</v>
      </c>
      <c r="I2630" s="76">
        <v>0.7</v>
      </c>
    </row>
    <row r="2631" spans="3:9" x14ac:dyDescent="0.35">
      <c r="C2631" t="s">
        <v>312</v>
      </c>
      <c r="D2631" s="3">
        <v>2021</v>
      </c>
      <c r="E2631" s="78">
        <f t="shared" si="402"/>
        <v>8</v>
      </c>
      <c r="F2631" s="74" t="s">
        <v>313</v>
      </c>
      <c r="G2631" s="77">
        <f t="shared" si="409"/>
        <v>45560</v>
      </c>
      <c r="H2631" s="77">
        <f t="shared" si="410"/>
        <v>45860</v>
      </c>
      <c r="I2631" s="76">
        <v>0.6</v>
      </c>
    </row>
    <row r="2632" spans="3:9" x14ac:dyDescent="0.35">
      <c r="C2632" t="s">
        <v>312</v>
      </c>
      <c r="D2632" s="3">
        <v>2021</v>
      </c>
      <c r="E2632" s="78">
        <f t="shared" si="402"/>
        <v>8</v>
      </c>
      <c r="F2632" s="74" t="s">
        <v>313</v>
      </c>
      <c r="G2632" s="77">
        <f t="shared" si="409"/>
        <v>45860</v>
      </c>
      <c r="H2632" s="77">
        <f t="shared" si="410"/>
        <v>46160</v>
      </c>
      <c r="I2632" s="76">
        <v>0.5</v>
      </c>
    </row>
    <row r="2633" spans="3:9" x14ac:dyDescent="0.35">
      <c r="C2633" t="s">
        <v>312</v>
      </c>
      <c r="D2633" s="3">
        <v>2021</v>
      </c>
      <c r="E2633" s="78">
        <f t="shared" si="402"/>
        <v>8</v>
      </c>
      <c r="F2633" s="74" t="s">
        <v>313</v>
      </c>
      <c r="G2633" s="77">
        <f t="shared" si="409"/>
        <v>46160</v>
      </c>
      <c r="H2633" s="77">
        <f t="shared" si="410"/>
        <v>46460</v>
      </c>
      <c r="I2633" s="76">
        <v>0.4</v>
      </c>
    </row>
    <row r="2634" spans="3:9" x14ac:dyDescent="0.35">
      <c r="C2634" t="s">
        <v>312</v>
      </c>
      <c r="D2634" s="3">
        <v>2021</v>
      </c>
      <c r="E2634" s="78">
        <f t="shared" si="402"/>
        <v>8</v>
      </c>
      <c r="F2634" s="74" t="s">
        <v>313</v>
      </c>
      <c r="G2634" s="77">
        <f t="shared" si="409"/>
        <v>46460</v>
      </c>
      <c r="H2634" s="77">
        <f t="shared" si="410"/>
        <v>46760</v>
      </c>
      <c r="I2634" s="76">
        <v>0.3</v>
      </c>
    </row>
    <row r="2635" spans="3:9" x14ac:dyDescent="0.35">
      <c r="C2635" t="s">
        <v>312</v>
      </c>
      <c r="D2635" s="3">
        <v>2021</v>
      </c>
      <c r="E2635" s="78">
        <f t="shared" si="402"/>
        <v>8</v>
      </c>
      <c r="F2635" s="74" t="s">
        <v>313</v>
      </c>
      <c r="G2635" s="77">
        <f t="shared" si="409"/>
        <v>46760</v>
      </c>
      <c r="H2635" s="77">
        <f t="shared" si="410"/>
        <v>47060</v>
      </c>
      <c r="I2635" s="76">
        <v>0.2</v>
      </c>
    </row>
    <row r="2636" spans="3:9" x14ac:dyDescent="0.35">
      <c r="C2636" t="s">
        <v>312</v>
      </c>
      <c r="D2636" s="3">
        <v>2021</v>
      </c>
      <c r="E2636" s="78">
        <f t="shared" si="402"/>
        <v>8</v>
      </c>
      <c r="F2636" s="74" t="s">
        <v>313</v>
      </c>
      <c r="G2636" s="77">
        <f t="shared" si="409"/>
        <v>47060</v>
      </c>
      <c r="H2636" s="77">
        <f t="shared" si="410"/>
        <v>47360</v>
      </c>
      <c r="I2636" s="76">
        <v>0.1</v>
      </c>
    </row>
    <row r="2637" spans="3:9" x14ac:dyDescent="0.35">
      <c r="C2637" t="s">
        <v>312</v>
      </c>
      <c r="D2637" s="3">
        <v>2021</v>
      </c>
      <c r="E2637" s="78">
        <f t="shared" si="402"/>
        <v>8</v>
      </c>
      <c r="F2637" s="74" t="s">
        <v>313</v>
      </c>
      <c r="G2637" s="77">
        <f t="shared" si="409"/>
        <v>47360</v>
      </c>
      <c r="H2637" s="77"/>
      <c r="I2637" s="76">
        <v>0</v>
      </c>
    </row>
    <row r="2638" spans="3:9" x14ac:dyDescent="0.35">
      <c r="C2638" t="s">
        <v>312</v>
      </c>
      <c r="D2638" s="3">
        <v>2021</v>
      </c>
      <c r="E2638" s="73">
        <v>9</v>
      </c>
      <c r="F2638" s="74" t="s">
        <v>54</v>
      </c>
      <c r="G2638" s="77">
        <v>0</v>
      </c>
      <c r="H2638" s="75">
        <f>H2627</f>
        <v>44660</v>
      </c>
      <c r="I2638" s="76">
        <v>1</v>
      </c>
    </row>
    <row r="2639" spans="3:9" x14ac:dyDescent="0.35">
      <c r="C2639" t="s">
        <v>312</v>
      </c>
      <c r="D2639" s="3">
        <v>2021</v>
      </c>
      <c r="E2639" s="78">
        <f>E2638</f>
        <v>9</v>
      </c>
      <c r="F2639" s="74" t="s">
        <v>54</v>
      </c>
      <c r="G2639" s="77">
        <f>H2638</f>
        <v>44660</v>
      </c>
      <c r="H2639" s="77">
        <f>H2638+300</f>
        <v>44960</v>
      </c>
      <c r="I2639" s="76">
        <v>0.9</v>
      </c>
    </row>
    <row r="2640" spans="3:9" x14ac:dyDescent="0.35">
      <c r="C2640" t="s">
        <v>312</v>
      </c>
      <c r="D2640" s="3">
        <v>2021</v>
      </c>
      <c r="E2640" s="78">
        <f t="shared" ref="E2640:E2681" si="411">E2639</f>
        <v>9</v>
      </c>
      <c r="F2640" s="74" t="s">
        <v>54</v>
      </c>
      <c r="G2640" s="77">
        <f t="shared" ref="G2640:G2648" si="412">H2639</f>
        <v>44960</v>
      </c>
      <c r="H2640" s="77">
        <f t="shared" ref="H2640:H2647" si="413">H2639+300</f>
        <v>45260</v>
      </c>
      <c r="I2640" s="76">
        <v>0.8</v>
      </c>
    </row>
    <row r="2641" spans="3:9" x14ac:dyDescent="0.35">
      <c r="C2641" t="s">
        <v>312</v>
      </c>
      <c r="D2641" s="3">
        <v>2021</v>
      </c>
      <c r="E2641" s="78">
        <f t="shared" si="411"/>
        <v>9</v>
      </c>
      <c r="F2641" s="74" t="s">
        <v>54</v>
      </c>
      <c r="G2641" s="77">
        <f t="shared" si="412"/>
        <v>45260</v>
      </c>
      <c r="H2641" s="77">
        <f t="shared" si="413"/>
        <v>45560</v>
      </c>
      <c r="I2641" s="76">
        <v>0.7</v>
      </c>
    </row>
    <row r="2642" spans="3:9" x14ac:dyDescent="0.35">
      <c r="C2642" t="s">
        <v>312</v>
      </c>
      <c r="D2642" s="3">
        <v>2021</v>
      </c>
      <c r="E2642" s="78">
        <f t="shared" si="411"/>
        <v>9</v>
      </c>
      <c r="F2642" s="74" t="s">
        <v>54</v>
      </c>
      <c r="G2642" s="77">
        <f t="shared" si="412"/>
        <v>45560</v>
      </c>
      <c r="H2642" s="77">
        <f t="shared" si="413"/>
        <v>45860</v>
      </c>
      <c r="I2642" s="76">
        <v>0.6</v>
      </c>
    </row>
    <row r="2643" spans="3:9" x14ac:dyDescent="0.35">
      <c r="C2643" t="s">
        <v>312</v>
      </c>
      <c r="D2643" s="3">
        <v>2021</v>
      </c>
      <c r="E2643" s="78">
        <f t="shared" si="411"/>
        <v>9</v>
      </c>
      <c r="F2643" s="74" t="s">
        <v>54</v>
      </c>
      <c r="G2643" s="77">
        <f t="shared" si="412"/>
        <v>45860</v>
      </c>
      <c r="H2643" s="77">
        <f t="shared" si="413"/>
        <v>46160</v>
      </c>
      <c r="I2643" s="76">
        <v>0.5</v>
      </c>
    </row>
    <row r="2644" spans="3:9" x14ac:dyDescent="0.35">
      <c r="C2644" t="s">
        <v>312</v>
      </c>
      <c r="D2644" s="3">
        <v>2021</v>
      </c>
      <c r="E2644" s="78">
        <f t="shared" si="411"/>
        <v>9</v>
      </c>
      <c r="F2644" s="74" t="s">
        <v>54</v>
      </c>
      <c r="G2644" s="77">
        <f t="shared" si="412"/>
        <v>46160</v>
      </c>
      <c r="H2644" s="77">
        <f t="shared" si="413"/>
        <v>46460</v>
      </c>
      <c r="I2644" s="76">
        <v>0.4</v>
      </c>
    </row>
    <row r="2645" spans="3:9" x14ac:dyDescent="0.35">
      <c r="C2645" t="s">
        <v>312</v>
      </c>
      <c r="D2645" s="3">
        <v>2021</v>
      </c>
      <c r="E2645" s="78">
        <f t="shared" si="411"/>
        <v>9</v>
      </c>
      <c r="F2645" s="74" t="s">
        <v>54</v>
      </c>
      <c r="G2645" s="77">
        <f t="shared" si="412"/>
        <v>46460</v>
      </c>
      <c r="H2645" s="77">
        <f t="shared" si="413"/>
        <v>46760</v>
      </c>
      <c r="I2645" s="76">
        <v>0.3</v>
      </c>
    </row>
    <row r="2646" spans="3:9" x14ac:dyDescent="0.35">
      <c r="C2646" t="s">
        <v>312</v>
      </c>
      <c r="D2646" s="3">
        <v>2021</v>
      </c>
      <c r="E2646" s="78">
        <f t="shared" si="411"/>
        <v>9</v>
      </c>
      <c r="F2646" s="74" t="s">
        <v>54</v>
      </c>
      <c r="G2646" s="77">
        <f t="shared" si="412"/>
        <v>46760</v>
      </c>
      <c r="H2646" s="77">
        <f t="shared" si="413"/>
        <v>47060</v>
      </c>
      <c r="I2646" s="76">
        <v>0.2</v>
      </c>
    </row>
    <row r="2647" spans="3:9" x14ac:dyDescent="0.35">
      <c r="C2647" t="s">
        <v>312</v>
      </c>
      <c r="D2647" s="3">
        <v>2021</v>
      </c>
      <c r="E2647" s="78">
        <f t="shared" si="411"/>
        <v>9</v>
      </c>
      <c r="F2647" s="74" t="s">
        <v>54</v>
      </c>
      <c r="G2647" s="77">
        <f t="shared" si="412"/>
        <v>47060</v>
      </c>
      <c r="H2647" s="77">
        <f t="shared" si="413"/>
        <v>47360</v>
      </c>
      <c r="I2647" s="76">
        <v>0.1</v>
      </c>
    </row>
    <row r="2648" spans="3:9" x14ac:dyDescent="0.35">
      <c r="C2648" t="s">
        <v>312</v>
      </c>
      <c r="D2648" s="3">
        <v>2021</v>
      </c>
      <c r="E2648" s="78">
        <f t="shared" si="411"/>
        <v>9</v>
      </c>
      <c r="F2648" s="74" t="s">
        <v>54</v>
      </c>
      <c r="G2648" s="77">
        <f t="shared" si="412"/>
        <v>47360</v>
      </c>
      <c r="H2648" s="77"/>
      <c r="I2648" s="76">
        <v>0</v>
      </c>
    </row>
    <row r="2649" spans="3:9" x14ac:dyDescent="0.35">
      <c r="C2649" t="s">
        <v>312</v>
      </c>
      <c r="D2649" s="3">
        <v>2021</v>
      </c>
      <c r="E2649" s="78">
        <f t="shared" si="411"/>
        <v>9</v>
      </c>
      <c r="F2649" s="74" t="s">
        <v>34</v>
      </c>
      <c r="G2649" s="77">
        <v>0</v>
      </c>
      <c r="H2649" s="75">
        <f>H2638</f>
        <v>44660</v>
      </c>
      <c r="I2649" s="76">
        <v>1</v>
      </c>
    </row>
    <row r="2650" spans="3:9" x14ac:dyDescent="0.35">
      <c r="C2650" t="s">
        <v>312</v>
      </c>
      <c r="D2650" s="3">
        <v>2021</v>
      </c>
      <c r="E2650" s="78">
        <f t="shared" si="411"/>
        <v>9</v>
      </c>
      <c r="F2650" s="74" t="s">
        <v>34</v>
      </c>
      <c r="G2650" s="77">
        <f>H2649</f>
        <v>44660</v>
      </c>
      <c r="H2650" s="77">
        <f>H2649+300</f>
        <v>44960</v>
      </c>
      <c r="I2650" s="76">
        <v>0.9</v>
      </c>
    </row>
    <row r="2651" spans="3:9" x14ac:dyDescent="0.35">
      <c r="C2651" t="s">
        <v>312</v>
      </c>
      <c r="D2651" s="3">
        <v>2021</v>
      </c>
      <c r="E2651" s="78">
        <f t="shared" si="411"/>
        <v>9</v>
      </c>
      <c r="F2651" s="74" t="s">
        <v>34</v>
      </c>
      <c r="G2651" s="77">
        <f t="shared" ref="G2651:G2659" si="414">H2650</f>
        <v>44960</v>
      </c>
      <c r="H2651" s="77">
        <f t="shared" ref="H2651:H2658" si="415">H2650+300</f>
        <v>45260</v>
      </c>
      <c r="I2651" s="76">
        <v>0.8</v>
      </c>
    </row>
    <row r="2652" spans="3:9" x14ac:dyDescent="0.35">
      <c r="C2652" t="s">
        <v>312</v>
      </c>
      <c r="D2652" s="3">
        <v>2021</v>
      </c>
      <c r="E2652" s="78">
        <f t="shared" si="411"/>
        <v>9</v>
      </c>
      <c r="F2652" s="74" t="s">
        <v>34</v>
      </c>
      <c r="G2652" s="77">
        <f t="shared" si="414"/>
        <v>45260</v>
      </c>
      <c r="H2652" s="77">
        <f t="shared" si="415"/>
        <v>45560</v>
      </c>
      <c r="I2652" s="76">
        <v>0.7</v>
      </c>
    </row>
    <row r="2653" spans="3:9" x14ac:dyDescent="0.35">
      <c r="C2653" t="s">
        <v>312</v>
      </c>
      <c r="D2653" s="3">
        <v>2021</v>
      </c>
      <c r="E2653" s="78">
        <f t="shared" si="411"/>
        <v>9</v>
      </c>
      <c r="F2653" s="74" t="s">
        <v>34</v>
      </c>
      <c r="G2653" s="77">
        <f t="shared" si="414"/>
        <v>45560</v>
      </c>
      <c r="H2653" s="77">
        <f t="shared" si="415"/>
        <v>45860</v>
      </c>
      <c r="I2653" s="76">
        <v>0.6</v>
      </c>
    </row>
    <row r="2654" spans="3:9" x14ac:dyDescent="0.35">
      <c r="C2654" t="s">
        <v>312</v>
      </c>
      <c r="D2654" s="3">
        <v>2021</v>
      </c>
      <c r="E2654" s="78">
        <f t="shared" si="411"/>
        <v>9</v>
      </c>
      <c r="F2654" s="74" t="s">
        <v>34</v>
      </c>
      <c r="G2654" s="77">
        <f t="shared" si="414"/>
        <v>45860</v>
      </c>
      <c r="H2654" s="77">
        <f t="shared" si="415"/>
        <v>46160</v>
      </c>
      <c r="I2654" s="76">
        <v>0.5</v>
      </c>
    </row>
    <row r="2655" spans="3:9" x14ac:dyDescent="0.35">
      <c r="C2655" t="s">
        <v>312</v>
      </c>
      <c r="D2655" s="3">
        <v>2021</v>
      </c>
      <c r="E2655" s="78">
        <f t="shared" si="411"/>
        <v>9</v>
      </c>
      <c r="F2655" s="74" t="s">
        <v>34</v>
      </c>
      <c r="G2655" s="77">
        <f t="shared" si="414"/>
        <v>46160</v>
      </c>
      <c r="H2655" s="77">
        <f t="shared" si="415"/>
        <v>46460</v>
      </c>
      <c r="I2655" s="76">
        <v>0.4</v>
      </c>
    </row>
    <row r="2656" spans="3:9" x14ac:dyDescent="0.35">
      <c r="C2656" t="s">
        <v>312</v>
      </c>
      <c r="D2656" s="3">
        <v>2021</v>
      </c>
      <c r="E2656" s="78">
        <f t="shared" si="411"/>
        <v>9</v>
      </c>
      <c r="F2656" s="74" t="s">
        <v>34</v>
      </c>
      <c r="G2656" s="77">
        <f t="shared" si="414"/>
        <v>46460</v>
      </c>
      <c r="H2656" s="77">
        <f t="shared" si="415"/>
        <v>46760</v>
      </c>
      <c r="I2656" s="76">
        <v>0.3</v>
      </c>
    </row>
    <row r="2657" spans="3:9" x14ac:dyDescent="0.35">
      <c r="C2657" t="s">
        <v>312</v>
      </c>
      <c r="D2657" s="3">
        <v>2021</v>
      </c>
      <c r="E2657" s="78">
        <f t="shared" si="411"/>
        <v>9</v>
      </c>
      <c r="F2657" s="74" t="s">
        <v>34</v>
      </c>
      <c r="G2657" s="77">
        <f t="shared" si="414"/>
        <v>46760</v>
      </c>
      <c r="H2657" s="77">
        <f t="shared" si="415"/>
        <v>47060</v>
      </c>
      <c r="I2657" s="76">
        <v>0.2</v>
      </c>
    </row>
    <row r="2658" spans="3:9" x14ac:dyDescent="0.35">
      <c r="C2658" t="s">
        <v>312</v>
      </c>
      <c r="D2658" s="3">
        <v>2021</v>
      </c>
      <c r="E2658" s="78">
        <f t="shared" si="411"/>
        <v>9</v>
      </c>
      <c r="F2658" s="74" t="s">
        <v>34</v>
      </c>
      <c r="G2658" s="77">
        <f t="shared" si="414"/>
        <v>47060</v>
      </c>
      <c r="H2658" s="77">
        <f t="shared" si="415"/>
        <v>47360</v>
      </c>
      <c r="I2658" s="76">
        <v>0.1</v>
      </c>
    </row>
    <row r="2659" spans="3:9" x14ac:dyDescent="0.35">
      <c r="C2659" t="s">
        <v>312</v>
      </c>
      <c r="D2659" s="3">
        <v>2021</v>
      </c>
      <c r="E2659" s="78">
        <f t="shared" si="411"/>
        <v>9</v>
      </c>
      <c r="F2659" s="74" t="s">
        <v>34</v>
      </c>
      <c r="G2659" s="77">
        <f t="shared" si="414"/>
        <v>47360</v>
      </c>
      <c r="H2659" s="77"/>
      <c r="I2659" s="76">
        <v>0</v>
      </c>
    </row>
    <row r="2660" spans="3:9" x14ac:dyDescent="0.35">
      <c r="C2660" t="s">
        <v>312</v>
      </c>
      <c r="D2660" s="3">
        <v>2021</v>
      </c>
      <c r="E2660" s="78">
        <f t="shared" si="411"/>
        <v>9</v>
      </c>
      <c r="F2660" s="74" t="s">
        <v>40</v>
      </c>
      <c r="G2660" s="77">
        <v>0</v>
      </c>
      <c r="H2660" s="75">
        <f>H2649</f>
        <v>44660</v>
      </c>
      <c r="I2660" s="76">
        <v>1</v>
      </c>
    </row>
    <row r="2661" spans="3:9" x14ac:dyDescent="0.35">
      <c r="C2661" t="s">
        <v>312</v>
      </c>
      <c r="D2661" s="3">
        <v>2021</v>
      </c>
      <c r="E2661" s="78">
        <f t="shared" si="411"/>
        <v>9</v>
      </c>
      <c r="F2661" s="74" t="s">
        <v>40</v>
      </c>
      <c r="G2661" s="77">
        <f>H2660</f>
        <v>44660</v>
      </c>
      <c r="H2661" s="77">
        <f>H2660+300</f>
        <v>44960</v>
      </c>
      <c r="I2661" s="76">
        <v>0.9</v>
      </c>
    </row>
    <row r="2662" spans="3:9" x14ac:dyDescent="0.35">
      <c r="C2662" t="s">
        <v>312</v>
      </c>
      <c r="D2662" s="3">
        <v>2021</v>
      </c>
      <c r="E2662" s="78">
        <f t="shared" si="411"/>
        <v>9</v>
      </c>
      <c r="F2662" s="74" t="s">
        <v>40</v>
      </c>
      <c r="G2662" s="77">
        <f t="shared" ref="G2662:G2670" si="416">H2661</f>
        <v>44960</v>
      </c>
      <c r="H2662" s="77">
        <f t="shared" ref="H2662:H2669" si="417">H2661+300</f>
        <v>45260</v>
      </c>
      <c r="I2662" s="76">
        <v>0.8</v>
      </c>
    </row>
    <row r="2663" spans="3:9" x14ac:dyDescent="0.35">
      <c r="C2663" t="s">
        <v>312</v>
      </c>
      <c r="D2663" s="3">
        <v>2021</v>
      </c>
      <c r="E2663" s="78">
        <f t="shared" si="411"/>
        <v>9</v>
      </c>
      <c r="F2663" s="74" t="s">
        <v>40</v>
      </c>
      <c r="G2663" s="77">
        <f t="shared" si="416"/>
        <v>45260</v>
      </c>
      <c r="H2663" s="77">
        <f t="shared" si="417"/>
        <v>45560</v>
      </c>
      <c r="I2663" s="76">
        <v>0.7</v>
      </c>
    </row>
    <row r="2664" spans="3:9" x14ac:dyDescent="0.35">
      <c r="C2664" t="s">
        <v>312</v>
      </c>
      <c r="D2664" s="3">
        <v>2021</v>
      </c>
      <c r="E2664" s="78">
        <f t="shared" si="411"/>
        <v>9</v>
      </c>
      <c r="F2664" s="74" t="s">
        <v>40</v>
      </c>
      <c r="G2664" s="77">
        <f t="shared" si="416"/>
        <v>45560</v>
      </c>
      <c r="H2664" s="77">
        <f t="shared" si="417"/>
        <v>45860</v>
      </c>
      <c r="I2664" s="76">
        <v>0.6</v>
      </c>
    </row>
    <row r="2665" spans="3:9" x14ac:dyDescent="0.35">
      <c r="C2665" t="s">
        <v>312</v>
      </c>
      <c r="D2665" s="3">
        <v>2021</v>
      </c>
      <c r="E2665" s="78">
        <f t="shared" si="411"/>
        <v>9</v>
      </c>
      <c r="F2665" s="74" t="s">
        <v>40</v>
      </c>
      <c r="G2665" s="77">
        <f t="shared" si="416"/>
        <v>45860</v>
      </c>
      <c r="H2665" s="77">
        <f t="shared" si="417"/>
        <v>46160</v>
      </c>
      <c r="I2665" s="76">
        <v>0.5</v>
      </c>
    </row>
    <row r="2666" spans="3:9" x14ac:dyDescent="0.35">
      <c r="C2666" t="s">
        <v>312</v>
      </c>
      <c r="D2666" s="3">
        <v>2021</v>
      </c>
      <c r="E2666" s="78">
        <f t="shared" si="411"/>
        <v>9</v>
      </c>
      <c r="F2666" s="74" t="s">
        <v>40</v>
      </c>
      <c r="G2666" s="77">
        <f t="shared" si="416"/>
        <v>46160</v>
      </c>
      <c r="H2666" s="77">
        <f t="shared" si="417"/>
        <v>46460</v>
      </c>
      <c r="I2666" s="76">
        <v>0.4</v>
      </c>
    </row>
    <row r="2667" spans="3:9" x14ac:dyDescent="0.35">
      <c r="C2667" t="s">
        <v>312</v>
      </c>
      <c r="D2667" s="3">
        <v>2021</v>
      </c>
      <c r="E2667" s="78">
        <f t="shared" si="411"/>
        <v>9</v>
      </c>
      <c r="F2667" s="74" t="s">
        <v>40</v>
      </c>
      <c r="G2667" s="77">
        <f t="shared" si="416"/>
        <v>46460</v>
      </c>
      <c r="H2667" s="77">
        <f t="shared" si="417"/>
        <v>46760</v>
      </c>
      <c r="I2667" s="76">
        <v>0.3</v>
      </c>
    </row>
    <row r="2668" spans="3:9" x14ac:dyDescent="0.35">
      <c r="C2668" t="s">
        <v>312</v>
      </c>
      <c r="D2668" s="3">
        <v>2021</v>
      </c>
      <c r="E2668" s="78">
        <f t="shared" si="411"/>
        <v>9</v>
      </c>
      <c r="F2668" s="74" t="s">
        <v>40</v>
      </c>
      <c r="G2668" s="77">
        <f t="shared" si="416"/>
        <v>46760</v>
      </c>
      <c r="H2668" s="77">
        <f t="shared" si="417"/>
        <v>47060</v>
      </c>
      <c r="I2668" s="76">
        <v>0.2</v>
      </c>
    </row>
    <row r="2669" spans="3:9" x14ac:dyDescent="0.35">
      <c r="C2669" t="s">
        <v>312</v>
      </c>
      <c r="D2669" s="3">
        <v>2021</v>
      </c>
      <c r="E2669" s="78">
        <f t="shared" si="411"/>
        <v>9</v>
      </c>
      <c r="F2669" s="74" t="s">
        <v>40</v>
      </c>
      <c r="G2669" s="77">
        <f t="shared" si="416"/>
        <v>47060</v>
      </c>
      <c r="H2669" s="77">
        <f t="shared" si="417"/>
        <v>47360</v>
      </c>
      <c r="I2669" s="76">
        <v>0.1</v>
      </c>
    </row>
    <row r="2670" spans="3:9" x14ac:dyDescent="0.35">
      <c r="C2670" t="s">
        <v>312</v>
      </c>
      <c r="D2670" s="3">
        <v>2021</v>
      </c>
      <c r="E2670" s="78">
        <f t="shared" si="411"/>
        <v>9</v>
      </c>
      <c r="F2670" s="74" t="s">
        <v>40</v>
      </c>
      <c r="G2670" s="77">
        <f t="shared" si="416"/>
        <v>47360</v>
      </c>
      <c r="H2670" s="77"/>
      <c r="I2670" s="76">
        <v>0</v>
      </c>
    </row>
    <row r="2671" spans="3:9" x14ac:dyDescent="0.35">
      <c r="C2671" t="s">
        <v>312</v>
      </c>
      <c r="D2671" s="3">
        <v>2021</v>
      </c>
      <c r="E2671" s="78">
        <f t="shared" si="411"/>
        <v>9</v>
      </c>
      <c r="F2671" s="74" t="s">
        <v>313</v>
      </c>
      <c r="G2671" s="77">
        <v>0</v>
      </c>
      <c r="H2671" s="75">
        <f>H2660</f>
        <v>44660</v>
      </c>
      <c r="I2671" s="76">
        <v>1</v>
      </c>
    </row>
    <row r="2672" spans="3:9" x14ac:dyDescent="0.35">
      <c r="C2672" t="s">
        <v>312</v>
      </c>
      <c r="D2672" s="3">
        <v>2021</v>
      </c>
      <c r="E2672" s="78">
        <f t="shared" si="411"/>
        <v>9</v>
      </c>
      <c r="F2672" s="74" t="s">
        <v>313</v>
      </c>
      <c r="G2672" s="77">
        <f>H2671</f>
        <v>44660</v>
      </c>
      <c r="H2672" s="77">
        <f>H2671+300</f>
        <v>44960</v>
      </c>
      <c r="I2672" s="76">
        <v>0.9</v>
      </c>
    </row>
    <row r="2673" spans="3:9" x14ac:dyDescent="0.35">
      <c r="C2673" t="s">
        <v>312</v>
      </c>
      <c r="D2673" s="3">
        <v>2021</v>
      </c>
      <c r="E2673" s="78">
        <f t="shared" si="411"/>
        <v>9</v>
      </c>
      <c r="F2673" s="74" t="s">
        <v>313</v>
      </c>
      <c r="G2673" s="77">
        <f t="shared" ref="G2673:G2681" si="418">H2672</f>
        <v>44960</v>
      </c>
      <c r="H2673" s="77">
        <f t="shared" ref="H2673:H2680" si="419">H2672+300</f>
        <v>45260</v>
      </c>
      <c r="I2673" s="76">
        <v>0.8</v>
      </c>
    </row>
    <row r="2674" spans="3:9" x14ac:dyDescent="0.35">
      <c r="C2674" t="s">
        <v>312</v>
      </c>
      <c r="D2674" s="3">
        <v>2021</v>
      </c>
      <c r="E2674" s="78">
        <f t="shared" si="411"/>
        <v>9</v>
      </c>
      <c r="F2674" s="74" t="s">
        <v>313</v>
      </c>
      <c r="G2674" s="77">
        <f t="shared" si="418"/>
        <v>45260</v>
      </c>
      <c r="H2674" s="77">
        <f t="shared" si="419"/>
        <v>45560</v>
      </c>
      <c r="I2674" s="76">
        <v>0.7</v>
      </c>
    </row>
    <row r="2675" spans="3:9" x14ac:dyDescent="0.35">
      <c r="C2675" t="s">
        <v>312</v>
      </c>
      <c r="D2675" s="3">
        <v>2021</v>
      </c>
      <c r="E2675" s="78">
        <f t="shared" si="411"/>
        <v>9</v>
      </c>
      <c r="F2675" s="74" t="s">
        <v>313</v>
      </c>
      <c r="G2675" s="77">
        <f t="shared" si="418"/>
        <v>45560</v>
      </c>
      <c r="H2675" s="77">
        <f t="shared" si="419"/>
        <v>45860</v>
      </c>
      <c r="I2675" s="76">
        <v>0.6</v>
      </c>
    </row>
    <row r="2676" spans="3:9" x14ac:dyDescent="0.35">
      <c r="C2676" t="s">
        <v>312</v>
      </c>
      <c r="D2676" s="3">
        <v>2021</v>
      </c>
      <c r="E2676" s="78">
        <f t="shared" si="411"/>
        <v>9</v>
      </c>
      <c r="F2676" s="74" t="s">
        <v>313</v>
      </c>
      <c r="G2676" s="77">
        <f t="shared" si="418"/>
        <v>45860</v>
      </c>
      <c r="H2676" s="77">
        <f t="shared" si="419"/>
        <v>46160</v>
      </c>
      <c r="I2676" s="76">
        <v>0.5</v>
      </c>
    </row>
    <row r="2677" spans="3:9" x14ac:dyDescent="0.35">
      <c r="C2677" t="s">
        <v>312</v>
      </c>
      <c r="D2677" s="3">
        <v>2021</v>
      </c>
      <c r="E2677" s="78">
        <f t="shared" si="411"/>
        <v>9</v>
      </c>
      <c r="F2677" s="74" t="s">
        <v>313</v>
      </c>
      <c r="G2677" s="77">
        <f t="shared" si="418"/>
        <v>46160</v>
      </c>
      <c r="H2677" s="77">
        <f t="shared" si="419"/>
        <v>46460</v>
      </c>
      <c r="I2677" s="76">
        <v>0.4</v>
      </c>
    </row>
    <row r="2678" spans="3:9" x14ac:dyDescent="0.35">
      <c r="C2678" t="s">
        <v>312</v>
      </c>
      <c r="D2678" s="3">
        <v>2021</v>
      </c>
      <c r="E2678" s="78">
        <f t="shared" si="411"/>
        <v>9</v>
      </c>
      <c r="F2678" s="74" t="s">
        <v>313</v>
      </c>
      <c r="G2678" s="77">
        <f t="shared" si="418"/>
        <v>46460</v>
      </c>
      <c r="H2678" s="77">
        <f t="shared" si="419"/>
        <v>46760</v>
      </c>
      <c r="I2678" s="76">
        <v>0.3</v>
      </c>
    </row>
    <row r="2679" spans="3:9" x14ac:dyDescent="0.35">
      <c r="C2679" t="s">
        <v>312</v>
      </c>
      <c r="D2679" s="3">
        <v>2021</v>
      </c>
      <c r="E2679" s="78">
        <f t="shared" si="411"/>
        <v>9</v>
      </c>
      <c r="F2679" s="74" t="s">
        <v>313</v>
      </c>
      <c r="G2679" s="77">
        <f t="shared" si="418"/>
        <v>46760</v>
      </c>
      <c r="H2679" s="77">
        <f t="shared" si="419"/>
        <v>47060</v>
      </c>
      <c r="I2679" s="76">
        <v>0.2</v>
      </c>
    </row>
    <row r="2680" spans="3:9" x14ac:dyDescent="0.35">
      <c r="C2680" t="s">
        <v>312</v>
      </c>
      <c r="D2680" s="3">
        <v>2021</v>
      </c>
      <c r="E2680" s="78">
        <f t="shared" si="411"/>
        <v>9</v>
      </c>
      <c r="F2680" s="74" t="s">
        <v>313</v>
      </c>
      <c r="G2680" s="77">
        <f t="shared" si="418"/>
        <v>47060</v>
      </c>
      <c r="H2680" s="77">
        <f t="shared" si="419"/>
        <v>47360</v>
      </c>
      <c r="I2680" s="76">
        <v>0.1</v>
      </c>
    </row>
    <row r="2681" spans="3:9" x14ac:dyDescent="0.35">
      <c r="C2681" t="s">
        <v>312</v>
      </c>
      <c r="D2681" s="3">
        <v>2021</v>
      </c>
      <c r="E2681" s="78">
        <f t="shared" si="411"/>
        <v>9</v>
      </c>
      <c r="F2681" s="74" t="s">
        <v>313</v>
      </c>
      <c r="G2681" s="77">
        <f t="shared" si="418"/>
        <v>47360</v>
      </c>
      <c r="H2681" s="77"/>
      <c r="I2681" s="76">
        <v>0</v>
      </c>
    </row>
    <row r="2682" spans="3:9" x14ac:dyDescent="0.35">
      <c r="C2682" t="s">
        <v>312</v>
      </c>
      <c r="D2682" s="3">
        <v>2021</v>
      </c>
      <c r="E2682" s="73">
        <v>10</v>
      </c>
      <c r="F2682" s="74" t="s">
        <v>54</v>
      </c>
      <c r="G2682" s="77">
        <v>0</v>
      </c>
      <c r="H2682" s="75">
        <f>H2671</f>
        <v>44660</v>
      </c>
      <c r="I2682" s="76">
        <v>1</v>
      </c>
    </row>
    <row r="2683" spans="3:9" x14ac:dyDescent="0.35">
      <c r="C2683" t="s">
        <v>312</v>
      </c>
      <c r="D2683" s="3">
        <v>2021</v>
      </c>
      <c r="E2683" s="78">
        <f>E2682</f>
        <v>10</v>
      </c>
      <c r="F2683" s="74" t="s">
        <v>54</v>
      </c>
      <c r="G2683" s="77">
        <f>H2682</f>
        <v>44660</v>
      </c>
      <c r="H2683" s="77">
        <f>H2682+300</f>
        <v>44960</v>
      </c>
      <c r="I2683" s="76">
        <v>0.9</v>
      </c>
    </row>
    <row r="2684" spans="3:9" x14ac:dyDescent="0.35">
      <c r="C2684" t="s">
        <v>312</v>
      </c>
      <c r="D2684" s="3">
        <v>2021</v>
      </c>
      <c r="E2684" s="78">
        <f t="shared" ref="E2684:E2725" si="420">E2683</f>
        <v>10</v>
      </c>
      <c r="F2684" s="74" t="s">
        <v>54</v>
      </c>
      <c r="G2684" s="77">
        <f t="shared" ref="G2684:G2692" si="421">H2683</f>
        <v>44960</v>
      </c>
      <c r="H2684" s="77">
        <f t="shared" ref="H2684:H2691" si="422">H2683+300</f>
        <v>45260</v>
      </c>
      <c r="I2684" s="76">
        <v>0.8</v>
      </c>
    </row>
    <row r="2685" spans="3:9" x14ac:dyDescent="0.35">
      <c r="C2685" t="s">
        <v>312</v>
      </c>
      <c r="D2685" s="3">
        <v>2021</v>
      </c>
      <c r="E2685" s="78">
        <f t="shared" si="420"/>
        <v>10</v>
      </c>
      <c r="F2685" s="74" t="s">
        <v>54</v>
      </c>
      <c r="G2685" s="77">
        <f t="shared" si="421"/>
        <v>45260</v>
      </c>
      <c r="H2685" s="77">
        <f t="shared" si="422"/>
        <v>45560</v>
      </c>
      <c r="I2685" s="76">
        <v>0.7</v>
      </c>
    </row>
    <row r="2686" spans="3:9" x14ac:dyDescent="0.35">
      <c r="C2686" t="s">
        <v>312</v>
      </c>
      <c r="D2686" s="3">
        <v>2021</v>
      </c>
      <c r="E2686" s="78">
        <f t="shared" si="420"/>
        <v>10</v>
      </c>
      <c r="F2686" s="74" t="s">
        <v>54</v>
      </c>
      <c r="G2686" s="77">
        <f t="shared" si="421"/>
        <v>45560</v>
      </c>
      <c r="H2686" s="77">
        <f t="shared" si="422"/>
        <v>45860</v>
      </c>
      <c r="I2686" s="76">
        <v>0.6</v>
      </c>
    </row>
    <row r="2687" spans="3:9" x14ac:dyDescent="0.35">
      <c r="C2687" t="s">
        <v>312</v>
      </c>
      <c r="D2687" s="3">
        <v>2021</v>
      </c>
      <c r="E2687" s="78">
        <f t="shared" si="420"/>
        <v>10</v>
      </c>
      <c r="F2687" s="74" t="s">
        <v>54</v>
      </c>
      <c r="G2687" s="77">
        <f t="shared" si="421"/>
        <v>45860</v>
      </c>
      <c r="H2687" s="77">
        <f t="shared" si="422"/>
        <v>46160</v>
      </c>
      <c r="I2687" s="76">
        <v>0.5</v>
      </c>
    </row>
    <row r="2688" spans="3:9" x14ac:dyDescent="0.35">
      <c r="C2688" t="s">
        <v>312</v>
      </c>
      <c r="D2688" s="3">
        <v>2021</v>
      </c>
      <c r="E2688" s="78">
        <f t="shared" si="420"/>
        <v>10</v>
      </c>
      <c r="F2688" s="74" t="s">
        <v>54</v>
      </c>
      <c r="G2688" s="77">
        <f t="shared" si="421"/>
        <v>46160</v>
      </c>
      <c r="H2688" s="77">
        <f t="shared" si="422"/>
        <v>46460</v>
      </c>
      <c r="I2688" s="76">
        <v>0.4</v>
      </c>
    </row>
    <row r="2689" spans="3:9" x14ac:dyDescent="0.35">
      <c r="C2689" t="s">
        <v>312</v>
      </c>
      <c r="D2689" s="3">
        <v>2021</v>
      </c>
      <c r="E2689" s="78">
        <f t="shared" si="420"/>
        <v>10</v>
      </c>
      <c r="F2689" s="74" t="s">
        <v>54</v>
      </c>
      <c r="G2689" s="77">
        <f t="shared" si="421"/>
        <v>46460</v>
      </c>
      <c r="H2689" s="77">
        <f t="shared" si="422"/>
        <v>46760</v>
      </c>
      <c r="I2689" s="76">
        <v>0.3</v>
      </c>
    </row>
    <row r="2690" spans="3:9" x14ac:dyDescent="0.35">
      <c r="C2690" t="s">
        <v>312</v>
      </c>
      <c r="D2690" s="3">
        <v>2021</v>
      </c>
      <c r="E2690" s="78">
        <f t="shared" si="420"/>
        <v>10</v>
      </c>
      <c r="F2690" s="74" t="s">
        <v>54</v>
      </c>
      <c r="G2690" s="77">
        <f t="shared" si="421"/>
        <v>46760</v>
      </c>
      <c r="H2690" s="77">
        <f t="shared" si="422"/>
        <v>47060</v>
      </c>
      <c r="I2690" s="76">
        <v>0.2</v>
      </c>
    </row>
    <row r="2691" spans="3:9" x14ac:dyDescent="0.35">
      <c r="C2691" t="s">
        <v>312</v>
      </c>
      <c r="D2691" s="3">
        <v>2021</v>
      </c>
      <c r="E2691" s="78">
        <f t="shared" si="420"/>
        <v>10</v>
      </c>
      <c r="F2691" s="74" t="s">
        <v>54</v>
      </c>
      <c r="G2691" s="77">
        <f t="shared" si="421"/>
        <v>47060</v>
      </c>
      <c r="H2691" s="77">
        <f t="shared" si="422"/>
        <v>47360</v>
      </c>
      <c r="I2691" s="76">
        <v>0.1</v>
      </c>
    </row>
    <row r="2692" spans="3:9" x14ac:dyDescent="0.35">
      <c r="C2692" t="s">
        <v>312</v>
      </c>
      <c r="D2692" s="3">
        <v>2021</v>
      </c>
      <c r="E2692" s="78">
        <f t="shared" si="420"/>
        <v>10</v>
      </c>
      <c r="F2692" s="74" t="s">
        <v>54</v>
      </c>
      <c r="G2692" s="77">
        <f t="shared" si="421"/>
        <v>47360</v>
      </c>
      <c r="H2692" s="77"/>
      <c r="I2692" s="76">
        <v>0</v>
      </c>
    </row>
    <row r="2693" spans="3:9" x14ac:dyDescent="0.35">
      <c r="C2693" t="s">
        <v>312</v>
      </c>
      <c r="D2693" s="3">
        <v>2021</v>
      </c>
      <c r="E2693" s="78">
        <f t="shared" si="420"/>
        <v>10</v>
      </c>
      <c r="F2693" s="74" t="s">
        <v>34</v>
      </c>
      <c r="G2693" s="77">
        <v>0</v>
      </c>
      <c r="H2693" s="75">
        <f>H2682</f>
        <v>44660</v>
      </c>
      <c r="I2693" s="76">
        <v>1</v>
      </c>
    </row>
    <row r="2694" spans="3:9" x14ac:dyDescent="0.35">
      <c r="C2694" t="s">
        <v>312</v>
      </c>
      <c r="D2694" s="3">
        <v>2021</v>
      </c>
      <c r="E2694" s="78">
        <f t="shared" si="420"/>
        <v>10</v>
      </c>
      <c r="F2694" s="74" t="s">
        <v>34</v>
      </c>
      <c r="G2694" s="77">
        <f>H2693</f>
        <v>44660</v>
      </c>
      <c r="H2694" s="77">
        <f>H2693+300</f>
        <v>44960</v>
      </c>
      <c r="I2694" s="76">
        <v>0.9</v>
      </c>
    </row>
    <row r="2695" spans="3:9" x14ac:dyDescent="0.35">
      <c r="C2695" t="s">
        <v>312</v>
      </c>
      <c r="D2695" s="3">
        <v>2021</v>
      </c>
      <c r="E2695" s="78">
        <f t="shared" si="420"/>
        <v>10</v>
      </c>
      <c r="F2695" s="74" t="s">
        <v>34</v>
      </c>
      <c r="G2695" s="77">
        <f t="shared" ref="G2695:G2703" si="423">H2694</f>
        <v>44960</v>
      </c>
      <c r="H2695" s="77">
        <f t="shared" ref="H2695:H2702" si="424">H2694+300</f>
        <v>45260</v>
      </c>
      <c r="I2695" s="76">
        <v>0.8</v>
      </c>
    </row>
    <row r="2696" spans="3:9" x14ac:dyDescent="0.35">
      <c r="C2696" t="s">
        <v>312</v>
      </c>
      <c r="D2696" s="3">
        <v>2021</v>
      </c>
      <c r="E2696" s="78">
        <f t="shared" si="420"/>
        <v>10</v>
      </c>
      <c r="F2696" s="74" t="s">
        <v>34</v>
      </c>
      <c r="G2696" s="77">
        <f t="shared" si="423"/>
        <v>45260</v>
      </c>
      <c r="H2696" s="77">
        <f t="shared" si="424"/>
        <v>45560</v>
      </c>
      <c r="I2696" s="76">
        <v>0.7</v>
      </c>
    </row>
    <row r="2697" spans="3:9" x14ac:dyDescent="0.35">
      <c r="C2697" t="s">
        <v>312</v>
      </c>
      <c r="D2697" s="3">
        <v>2021</v>
      </c>
      <c r="E2697" s="78">
        <f t="shared" si="420"/>
        <v>10</v>
      </c>
      <c r="F2697" s="74" t="s">
        <v>34</v>
      </c>
      <c r="G2697" s="77">
        <f t="shared" si="423"/>
        <v>45560</v>
      </c>
      <c r="H2697" s="77">
        <f t="shared" si="424"/>
        <v>45860</v>
      </c>
      <c r="I2697" s="76">
        <v>0.6</v>
      </c>
    </row>
    <row r="2698" spans="3:9" x14ac:dyDescent="0.35">
      <c r="C2698" t="s">
        <v>312</v>
      </c>
      <c r="D2698" s="3">
        <v>2021</v>
      </c>
      <c r="E2698" s="78">
        <f t="shared" si="420"/>
        <v>10</v>
      </c>
      <c r="F2698" s="74" t="s">
        <v>34</v>
      </c>
      <c r="G2698" s="77">
        <f t="shared" si="423"/>
        <v>45860</v>
      </c>
      <c r="H2698" s="77">
        <f t="shared" si="424"/>
        <v>46160</v>
      </c>
      <c r="I2698" s="76">
        <v>0.5</v>
      </c>
    </row>
    <row r="2699" spans="3:9" x14ac:dyDescent="0.35">
      <c r="C2699" t="s">
        <v>312</v>
      </c>
      <c r="D2699" s="3">
        <v>2021</v>
      </c>
      <c r="E2699" s="78">
        <f t="shared" si="420"/>
        <v>10</v>
      </c>
      <c r="F2699" s="74" t="s">
        <v>34</v>
      </c>
      <c r="G2699" s="77">
        <f t="shared" si="423"/>
        <v>46160</v>
      </c>
      <c r="H2699" s="77">
        <f t="shared" si="424"/>
        <v>46460</v>
      </c>
      <c r="I2699" s="76">
        <v>0.4</v>
      </c>
    </row>
    <row r="2700" spans="3:9" x14ac:dyDescent="0.35">
      <c r="C2700" t="s">
        <v>312</v>
      </c>
      <c r="D2700" s="3">
        <v>2021</v>
      </c>
      <c r="E2700" s="78">
        <f t="shared" si="420"/>
        <v>10</v>
      </c>
      <c r="F2700" s="74" t="s">
        <v>34</v>
      </c>
      <c r="G2700" s="77">
        <f t="shared" si="423"/>
        <v>46460</v>
      </c>
      <c r="H2700" s="77">
        <f t="shared" si="424"/>
        <v>46760</v>
      </c>
      <c r="I2700" s="76">
        <v>0.3</v>
      </c>
    </row>
    <row r="2701" spans="3:9" x14ac:dyDescent="0.35">
      <c r="C2701" t="s">
        <v>312</v>
      </c>
      <c r="D2701" s="3">
        <v>2021</v>
      </c>
      <c r="E2701" s="78">
        <f t="shared" si="420"/>
        <v>10</v>
      </c>
      <c r="F2701" s="74" t="s">
        <v>34</v>
      </c>
      <c r="G2701" s="77">
        <f t="shared" si="423"/>
        <v>46760</v>
      </c>
      <c r="H2701" s="77">
        <f t="shared" si="424"/>
        <v>47060</v>
      </c>
      <c r="I2701" s="76">
        <v>0.2</v>
      </c>
    </row>
    <row r="2702" spans="3:9" x14ac:dyDescent="0.35">
      <c r="C2702" t="s">
        <v>312</v>
      </c>
      <c r="D2702" s="3">
        <v>2021</v>
      </c>
      <c r="E2702" s="78">
        <f t="shared" si="420"/>
        <v>10</v>
      </c>
      <c r="F2702" s="74" t="s">
        <v>34</v>
      </c>
      <c r="G2702" s="77">
        <f t="shared" si="423"/>
        <v>47060</v>
      </c>
      <c r="H2702" s="77">
        <f t="shared" si="424"/>
        <v>47360</v>
      </c>
      <c r="I2702" s="76">
        <v>0.1</v>
      </c>
    </row>
    <row r="2703" spans="3:9" x14ac:dyDescent="0.35">
      <c r="C2703" t="s">
        <v>312</v>
      </c>
      <c r="D2703" s="3">
        <v>2021</v>
      </c>
      <c r="E2703" s="78">
        <f t="shared" si="420"/>
        <v>10</v>
      </c>
      <c r="F2703" s="74" t="s">
        <v>34</v>
      </c>
      <c r="G2703" s="77">
        <f t="shared" si="423"/>
        <v>47360</v>
      </c>
      <c r="H2703" s="77"/>
      <c r="I2703" s="76">
        <v>0</v>
      </c>
    </row>
    <row r="2704" spans="3:9" x14ac:dyDescent="0.35">
      <c r="C2704" t="s">
        <v>312</v>
      </c>
      <c r="D2704" s="3">
        <v>2021</v>
      </c>
      <c r="E2704" s="78">
        <f t="shared" si="420"/>
        <v>10</v>
      </c>
      <c r="F2704" s="74" t="s">
        <v>40</v>
      </c>
      <c r="G2704" s="77">
        <v>0</v>
      </c>
      <c r="H2704" s="75">
        <f>H2693</f>
        <v>44660</v>
      </c>
      <c r="I2704" s="76">
        <v>1</v>
      </c>
    </row>
    <row r="2705" spans="3:9" x14ac:dyDescent="0.35">
      <c r="C2705" t="s">
        <v>312</v>
      </c>
      <c r="D2705" s="3">
        <v>2021</v>
      </c>
      <c r="E2705" s="78">
        <f t="shared" si="420"/>
        <v>10</v>
      </c>
      <c r="F2705" s="74" t="s">
        <v>40</v>
      </c>
      <c r="G2705" s="77">
        <f>H2704</f>
        <v>44660</v>
      </c>
      <c r="H2705" s="77">
        <f>H2704+300</f>
        <v>44960</v>
      </c>
      <c r="I2705" s="76">
        <v>0.9</v>
      </c>
    </row>
    <row r="2706" spans="3:9" x14ac:dyDescent="0.35">
      <c r="C2706" t="s">
        <v>312</v>
      </c>
      <c r="D2706" s="3">
        <v>2021</v>
      </c>
      <c r="E2706" s="78">
        <f t="shared" si="420"/>
        <v>10</v>
      </c>
      <c r="F2706" s="74" t="s">
        <v>40</v>
      </c>
      <c r="G2706" s="77">
        <f t="shared" ref="G2706:G2714" si="425">H2705</f>
        <v>44960</v>
      </c>
      <c r="H2706" s="77">
        <f t="shared" ref="H2706:H2713" si="426">H2705+300</f>
        <v>45260</v>
      </c>
      <c r="I2706" s="76">
        <v>0.8</v>
      </c>
    </row>
    <row r="2707" spans="3:9" x14ac:dyDescent="0.35">
      <c r="C2707" t="s">
        <v>312</v>
      </c>
      <c r="D2707" s="3">
        <v>2021</v>
      </c>
      <c r="E2707" s="78">
        <f t="shared" si="420"/>
        <v>10</v>
      </c>
      <c r="F2707" s="74" t="s">
        <v>40</v>
      </c>
      <c r="G2707" s="77">
        <f t="shared" si="425"/>
        <v>45260</v>
      </c>
      <c r="H2707" s="77">
        <f t="shared" si="426"/>
        <v>45560</v>
      </c>
      <c r="I2707" s="76">
        <v>0.7</v>
      </c>
    </row>
    <row r="2708" spans="3:9" x14ac:dyDescent="0.35">
      <c r="C2708" t="s">
        <v>312</v>
      </c>
      <c r="D2708" s="3">
        <v>2021</v>
      </c>
      <c r="E2708" s="78">
        <f t="shared" si="420"/>
        <v>10</v>
      </c>
      <c r="F2708" s="74" t="s">
        <v>40</v>
      </c>
      <c r="G2708" s="77">
        <f t="shared" si="425"/>
        <v>45560</v>
      </c>
      <c r="H2708" s="77">
        <f t="shared" si="426"/>
        <v>45860</v>
      </c>
      <c r="I2708" s="76">
        <v>0.6</v>
      </c>
    </row>
    <row r="2709" spans="3:9" x14ac:dyDescent="0.35">
      <c r="C2709" t="s">
        <v>312</v>
      </c>
      <c r="D2709" s="3">
        <v>2021</v>
      </c>
      <c r="E2709" s="78">
        <f t="shared" si="420"/>
        <v>10</v>
      </c>
      <c r="F2709" s="74" t="s">
        <v>40</v>
      </c>
      <c r="G2709" s="77">
        <f t="shared" si="425"/>
        <v>45860</v>
      </c>
      <c r="H2709" s="77">
        <f t="shared" si="426"/>
        <v>46160</v>
      </c>
      <c r="I2709" s="76">
        <v>0.5</v>
      </c>
    </row>
    <row r="2710" spans="3:9" x14ac:dyDescent="0.35">
      <c r="C2710" t="s">
        <v>312</v>
      </c>
      <c r="D2710" s="3">
        <v>2021</v>
      </c>
      <c r="E2710" s="78">
        <f t="shared" si="420"/>
        <v>10</v>
      </c>
      <c r="F2710" s="74" t="s">
        <v>40</v>
      </c>
      <c r="G2710" s="77">
        <f t="shared" si="425"/>
        <v>46160</v>
      </c>
      <c r="H2710" s="77">
        <f t="shared" si="426"/>
        <v>46460</v>
      </c>
      <c r="I2710" s="76">
        <v>0.4</v>
      </c>
    </row>
    <row r="2711" spans="3:9" x14ac:dyDescent="0.35">
      <c r="C2711" t="s">
        <v>312</v>
      </c>
      <c r="D2711" s="3">
        <v>2021</v>
      </c>
      <c r="E2711" s="78">
        <f t="shared" si="420"/>
        <v>10</v>
      </c>
      <c r="F2711" s="74" t="s">
        <v>40</v>
      </c>
      <c r="G2711" s="77">
        <f t="shared" si="425"/>
        <v>46460</v>
      </c>
      <c r="H2711" s="77">
        <f t="shared" si="426"/>
        <v>46760</v>
      </c>
      <c r="I2711" s="76">
        <v>0.3</v>
      </c>
    </row>
    <row r="2712" spans="3:9" x14ac:dyDescent="0.35">
      <c r="C2712" t="s">
        <v>312</v>
      </c>
      <c r="D2712" s="3">
        <v>2021</v>
      </c>
      <c r="E2712" s="78">
        <f t="shared" si="420"/>
        <v>10</v>
      </c>
      <c r="F2712" s="74" t="s">
        <v>40</v>
      </c>
      <c r="G2712" s="77">
        <f t="shared" si="425"/>
        <v>46760</v>
      </c>
      <c r="H2712" s="77">
        <f t="shared" si="426"/>
        <v>47060</v>
      </c>
      <c r="I2712" s="76">
        <v>0.2</v>
      </c>
    </row>
    <row r="2713" spans="3:9" x14ac:dyDescent="0.35">
      <c r="C2713" t="s">
        <v>312</v>
      </c>
      <c r="D2713" s="3">
        <v>2021</v>
      </c>
      <c r="E2713" s="78">
        <f t="shared" si="420"/>
        <v>10</v>
      </c>
      <c r="F2713" s="74" t="s">
        <v>40</v>
      </c>
      <c r="G2713" s="77">
        <f t="shared" si="425"/>
        <v>47060</v>
      </c>
      <c r="H2713" s="77">
        <f t="shared" si="426"/>
        <v>47360</v>
      </c>
      <c r="I2713" s="76">
        <v>0.1</v>
      </c>
    </row>
    <row r="2714" spans="3:9" x14ac:dyDescent="0.35">
      <c r="C2714" t="s">
        <v>312</v>
      </c>
      <c r="D2714" s="3">
        <v>2021</v>
      </c>
      <c r="E2714" s="78">
        <f t="shared" si="420"/>
        <v>10</v>
      </c>
      <c r="F2714" s="74" t="s">
        <v>40</v>
      </c>
      <c r="G2714" s="77">
        <f t="shared" si="425"/>
        <v>47360</v>
      </c>
      <c r="H2714" s="77"/>
      <c r="I2714" s="76">
        <v>0</v>
      </c>
    </row>
    <row r="2715" spans="3:9" x14ac:dyDescent="0.35">
      <c r="C2715" t="s">
        <v>312</v>
      </c>
      <c r="D2715" s="3">
        <v>2021</v>
      </c>
      <c r="E2715" s="78">
        <f t="shared" si="420"/>
        <v>10</v>
      </c>
      <c r="F2715" s="74" t="s">
        <v>313</v>
      </c>
      <c r="G2715" s="77">
        <v>0</v>
      </c>
      <c r="H2715" s="75">
        <f>H2704</f>
        <v>44660</v>
      </c>
      <c r="I2715" s="76">
        <v>1</v>
      </c>
    </row>
    <row r="2716" spans="3:9" x14ac:dyDescent="0.35">
      <c r="C2716" t="s">
        <v>312</v>
      </c>
      <c r="D2716" s="3">
        <v>2021</v>
      </c>
      <c r="E2716" s="78">
        <f t="shared" si="420"/>
        <v>10</v>
      </c>
      <c r="F2716" s="74" t="s">
        <v>313</v>
      </c>
      <c r="G2716" s="77">
        <f>H2715</f>
        <v>44660</v>
      </c>
      <c r="H2716" s="77">
        <f>H2715+300</f>
        <v>44960</v>
      </c>
      <c r="I2716" s="76">
        <v>0.9</v>
      </c>
    </row>
    <row r="2717" spans="3:9" x14ac:dyDescent="0.35">
      <c r="C2717" t="s">
        <v>312</v>
      </c>
      <c r="D2717" s="3">
        <v>2021</v>
      </c>
      <c r="E2717" s="78">
        <f t="shared" si="420"/>
        <v>10</v>
      </c>
      <c r="F2717" s="74" t="s">
        <v>313</v>
      </c>
      <c r="G2717" s="77">
        <f t="shared" ref="G2717:G2725" si="427">H2716</f>
        <v>44960</v>
      </c>
      <c r="H2717" s="77">
        <f t="shared" ref="H2717:H2724" si="428">H2716+300</f>
        <v>45260</v>
      </c>
      <c r="I2717" s="76">
        <v>0.8</v>
      </c>
    </row>
    <row r="2718" spans="3:9" x14ac:dyDescent="0.35">
      <c r="C2718" t="s">
        <v>312</v>
      </c>
      <c r="D2718" s="3">
        <v>2021</v>
      </c>
      <c r="E2718" s="78">
        <f t="shared" si="420"/>
        <v>10</v>
      </c>
      <c r="F2718" s="74" t="s">
        <v>313</v>
      </c>
      <c r="G2718" s="77">
        <f t="shared" si="427"/>
        <v>45260</v>
      </c>
      <c r="H2718" s="77">
        <f t="shared" si="428"/>
        <v>45560</v>
      </c>
      <c r="I2718" s="76">
        <v>0.7</v>
      </c>
    </row>
    <row r="2719" spans="3:9" x14ac:dyDescent="0.35">
      <c r="C2719" t="s">
        <v>312</v>
      </c>
      <c r="D2719" s="3">
        <v>2021</v>
      </c>
      <c r="E2719" s="78">
        <f t="shared" si="420"/>
        <v>10</v>
      </c>
      <c r="F2719" s="74" t="s">
        <v>313</v>
      </c>
      <c r="G2719" s="77">
        <f t="shared" si="427"/>
        <v>45560</v>
      </c>
      <c r="H2719" s="77">
        <f t="shared" si="428"/>
        <v>45860</v>
      </c>
      <c r="I2719" s="76">
        <v>0.6</v>
      </c>
    </row>
    <row r="2720" spans="3:9" x14ac:dyDescent="0.35">
      <c r="C2720" t="s">
        <v>312</v>
      </c>
      <c r="D2720" s="3">
        <v>2021</v>
      </c>
      <c r="E2720" s="78">
        <f t="shared" si="420"/>
        <v>10</v>
      </c>
      <c r="F2720" s="74" t="s">
        <v>313</v>
      </c>
      <c r="G2720" s="77">
        <f t="shared" si="427"/>
        <v>45860</v>
      </c>
      <c r="H2720" s="77">
        <f t="shared" si="428"/>
        <v>46160</v>
      </c>
      <c r="I2720" s="76">
        <v>0.5</v>
      </c>
    </row>
    <row r="2721" spans="3:9" x14ac:dyDescent="0.35">
      <c r="C2721" t="s">
        <v>312</v>
      </c>
      <c r="D2721" s="3">
        <v>2021</v>
      </c>
      <c r="E2721" s="78">
        <f t="shared" si="420"/>
        <v>10</v>
      </c>
      <c r="F2721" s="74" t="s">
        <v>313</v>
      </c>
      <c r="G2721" s="77">
        <f t="shared" si="427"/>
        <v>46160</v>
      </c>
      <c r="H2721" s="77">
        <f t="shared" si="428"/>
        <v>46460</v>
      </c>
      <c r="I2721" s="76">
        <v>0.4</v>
      </c>
    </row>
    <row r="2722" spans="3:9" x14ac:dyDescent="0.35">
      <c r="C2722" t="s">
        <v>312</v>
      </c>
      <c r="D2722" s="3">
        <v>2021</v>
      </c>
      <c r="E2722" s="78">
        <f t="shared" si="420"/>
        <v>10</v>
      </c>
      <c r="F2722" s="74" t="s">
        <v>313</v>
      </c>
      <c r="G2722" s="77">
        <f t="shared" si="427"/>
        <v>46460</v>
      </c>
      <c r="H2722" s="77">
        <f t="shared" si="428"/>
        <v>46760</v>
      </c>
      <c r="I2722" s="76">
        <v>0.3</v>
      </c>
    </row>
    <row r="2723" spans="3:9" x14ac:dyDescent="0.35">
      <c r="C2723" t="s">
        <v>312</v>
      </c>
      <c r="D2723" s="3">
        <v>2021</v>
      </c>
      <c r="E2723" s="78">
        <f t="shared" si="420"/>
        <v>10</v>
      </c>
      <c r="F2723" s="74" t="s">
        <v>313</v>
      </c>
      <c r="G2723" s="77">
        <f t="shared" si="427"/>
        <v>46760</v>
      </c>
      <c r="H2723" s="77">
        <f t="shared" si="428"/>
        <v>47060</v>
      </c>
      <c r="I2723" s="76">
        <v>0.2</v>
      </c>
    </row>
    <row r="2724" spans="3:9" x14ac:dyDescent="0.35">
      <c r="C2724" t="s">
        <v>312</v>
      </c>
      <c r="D2724" s="3">
        <v>2021</v>
      </c>
      <c r="E2724" s="78">
        <f t="shared" si="420"/>
        <v>10</v>
      </c>
      <c r="F2724" s="74" t="s">
        <v>313</v>
      </c>
      <c r="G2724" s="77">
        <f t="shared" si="427"/>
        <v>47060</v>
      </c>
      <c r="H2724" s="77">
        <f t="shared" si="428"/>
        <v>47360</v>
      </c>
      <c r="I2724" s="76">
        <v>0.1</v>
      </c>
    </row>
    <row r="2725" spans="3:9" x14ac:dyDescent="0.35">
      <c r="C2725" t="s">
        <v>312</v>
      </c>
      <c r="D2725" s="3">
        <v>2021</v>
      </c>
      <c r="E2725" s="78">
        <f t="shared" si="420"/>
        <v>10</v>
      </c>
      <c r="F2725" s="74" t="s">
        <v>313</v>
      </c>
      <c r="G2725" s="77">
        <f t="shared" si="427"/>
        <v>47360</v>
      </c>
      <c r="H2725" s="77"/>
      <c r="I2725" s="76">
        <v>0</v>
      </c>
    </row>
    <row r="2726" spans="3:9" x14ac:dyDescent="0.35">
      <c r="C2726" t="s">
        <v>312</v>
      </c>
      <c r="D2726" s="3">
        <v>2021</v>
      </c>
      <c r="E2726" s="73">
        <v>1</v>
      </c>
      <c r="F2726" s="74" t="s">
        <v>36</v>
      </c>
      <c r="G2726" s="75">
        <v>0</v>
      </c>
      <c r="H2726" s="75">
        <v>6440</v>
      </c>
      <c r="I2726" s="76">
        <v>1</v>
      </c>
    </row>
    <row r="2727" spans="3:9" x14ac:dyDescent="0.35">
      <c r="C2727" t="s">
        <v>312</v>
      </c>
      <c r="D2727" s="3">
        <v>2021</v>
      </c>
      <c r="E2727" s="73">
        <v>1</v>
      </c>
      <c r="F2727" s="74" t="s">
        <v>36</v>
      </c>
      <c r="G2727" s="77">
        <f>H2726</f>
        <v>6440</v>
      </c>
      <c r="H2727" s="77">
        <f>H2726+150</f>
        <v>6590</v>
      </c>
      <c r="I2727" s="76">
        <v>0.9</v>
      </c>
    </row>
    <row r="2728" spans="3:9" x14ac:dyDescent="0.35">
      <c r="C2728" t="s">
        <v>312</v>
      </c>
      <c r="D2728" s="3">
        <v>2021</v>
      </c>
      <c r="E2728" s="73">
        <v>1</v>
      </c>
      <c r="F2728" s="74" t="s">
        <v>36</v>
      </c>
      <c r="G2728" s="77">
        <f t="shared" ref="G2728:G2736" si="429">H2727</f>
        <v>6590</v>
      </c>
      <c r="H2728" s="77">
        <f t="shared" ref="H2728:H2734" si="430">H2727+150</f>
        <v>6740</v>
      </c>
      <c r="I2728" s="76">
        <v>0.8</v>
      </c>
    </row>
    <row r="2729" spans="3:9" x14ac:dyDescent="0.35">
      <c r="C2729" t="s">
        <v>312</v>
      </c>
      <c r="D2729" s="3">
        <v>2021</v>
      </c>
      <c r="E2729" s="73">
        <v>1</v>
      </c>
      <c r="F2729" s="74" t="s">
        <v>36</v>
      </c>
      <c r="G2729" s="77">
        <f t="shared" si="429"/>
        <v>6740</v>
      </c>
      <c r="H2729" s="77">
        <f t="shared" si="430"/>
        <v>6890</v>
      </c>
      <c r="I2729" s="76">
        <v>0.7</v>
      </c>
    </row>
    <row r="2730" spans="3:9" x14ac:dyDescent="0.35">
      <c r="C2730" t="s">
        <v>312</v>
      </c>
      <c r="D2730" s="3">
        <v>2021</v>
      </c>
      <c r="E2730" s="73">
        <v>1</v>
      </c>
      <c r="F2730" s="74" t="s">
        <v>36</v>
      </c>
      <c r="G2730" s="77">
        <f t="shared" si="429"/>
        <v>6890</v>
      </c>
      <c r="H2730" s="77">
        <f t="shared" si="430"/>
        <v>7040</v>
      </c>
      <c r="I2730" s="76">
        <v>0.6</v>
      </c>
    </row>
    <row r="2731" spans="3:9" x14ac:dyDescent="0.35">
      <c r="C2731" t="s">
        <v>312</v>
      </c>
      <c r="D2731" s="3">
        <v>2021</v>
      </c>
      <c r="E2731" s="73">
        <v>1</v>
      </c>
      <c r="F2731" s="74" t="s">
        <v>36</v>
      </c>
      <c r="G2731" s="77">
        <f t="shared" si="429"/>
        <v>7040</v>
      </c>
      <c r="H2731" s="77">
        <f t="shared" si="430"/>
        <v>7190</v>
      </c>
      <c r="I2731" s="76">
        <v>0.5</v>
      </c>
    </row>
    <row r="2732" spans="3:9" x14ac:dyDescent="0.35">
      <c r="C2732" t="s">
        <v>312</v>
      </c>
      <c r="D2732" s="3">
        <v>2021</v>
      </c>
      <c r="E2732" s="73">
        <v>1</v>
      </c>
      <c r="F2732" s="74" t="s">
        <v>36</v>
      </c>
      <c r="G2732" s="77">
        <f t="shared" si="429"/>
        <v>7190</v>
      </c>
      <c r="H2732" s="77">
        <f t="shared" si="430"/>
        <v>7340</v>
      </c>
      <c r="I2732" s="76">
        <v>0.4</v>
      </c>
    </row>
    <row r="2733" spans="3:9" x14ac:dyDescent="0.35">
      <c r="C2733" t="s">
        <v>312</v>
      </c>
      <c r="D2733" s="3">
        <v>2021</v>
      </c>
      <c r="E2733" s="73">
        <v>1</v>
      </c>
      <c r="F2733" s="74" t="s">
        <v>36</v>
      </c>
      <c r="G2733" s="77">
        <f t="shared" si="429"/>
        <v>7340</v>
      </c>
      <c r="H2733" s="77">
        <f t="shared" si="430"/>
        <v>7490</v>
      </c>
      <c r="I2733" s="76">
        <v>0.3</v>
      </c>
    </row>
    <row r="2734" spans="3:9" x14ac:dyDescent="0.35">
      <c r="C2734" t="s">
        <v>312</v>
      </c>
      <c r="D2734" s="3">
        <v>2021</v>
      </c>
      <c r="E2734" s="73">
        <v>1</v>
      </c>
      <c r="F2734" s="74" t="s">
        <v>36</v>
      </c>
      <c r="G2734" s="77">
        <f t="shared" si="429"/>
        <v>7490</v>
      </c>
      <c r="H2734" s="77">
        <f t="shared" si="430"/>
        <v>7640</v>
      </c>
      <c r="I2734" s="76">
        <v>0.2</v>
      </c>
    </row>
    <row r="2735" spans="3:9" x14ac:dyDescent="0.35">
      <c r="C2735" t="s">
        <v>312</v>
      </c>
      <c r="D2735" s="3">
        <v>2021</v>
      </c>
      <c r="E2735" s="73">
        <v>1</v>
      </c>
      <c r="F2735" s="74" t="s">
        <v>36</v>
      </c>
      <c r="G2735" s="77">
        <f t="shared" si="429"/>
        <v>7640</v>
      </c>
      <c r="H2735" s="77">
        <f>H2734+150</f>
        <v>7790</v>
      </c>
      <c r="I2735" s="76">
        <v>0.1</v>
      </c>
    </row>
    <row r="2736" spans="3:9" x14ac:dyDescent="0.35">
      <c r="C2736" t="s">
        <v>312</v>
      </c>
      <c r="D2736" s="3">
        <v>2021</v>
      </c>
      <c r="E2736" s="73">
        <v>1</v>
      </c>
      <c r="F2736" s="74" t="s">
        <v>36</v>
      </c>
      <c r="G2736" s="77">
        <f t="shared" si="429"/>
        <v>7790</v>
      </c>
      <c r="H2736" s="77"/>
      <c r="I2736" s="76">
        <v>0</v>
      </c>
    </row>
    <row r="2737" spans="3:9" x14ac:dyDescent="0.35">
      <c r="C2737" t="s">
        <v>312</v>
      </c>
      <c r="D2737" s="3">
        <v>2021</v>
      </c>
      <c r="E2737" s="73">
        <v>2</v>
      </c>
      <c r="F2737" s="74" t="s">
        <v>36</v>
      </c>
      <c r="G2737" s="77">
        <v>0</v>
      </c>
      <c r="H2737" s="77">
        <v>8710</v>
      </c>
      <c r="I2737" s="76">
        <v>1</v>
      </c>
    </row>
    <row r="2738" spans="3:9" x14ac:dyDescent="0.35">
      <c r="C2738" t="s">
        <v>312</v>
      </c>
      <c r="D2738" s="3">
        <v>2021</v>
      </c>
      <c r="E2738" s="78">
        <f>E2737</f>
        <v>2</v>
      </c>
      <c r="F2738" s="74" t="s">
        <v>36</v>
      </c>
      <c r="G2738" s="77">
        <f>H2737</f>
        <v>8710</v>
      </c>
      <c r="H2738" s="77">
        <f>H2737+150</f>
        <v>8860</v>
      </c>
      <c r="I2738" s="76">
        <v>0.9</v>
      </c>
    </row>
    <row r="2739" spans="3:9" x14ac:dyDescent="0.35">
      <c r="C2739" t="s">
        <v>312</v>
      </c>
      <c r="D2739" s="3">
        <v>2021</v>
      </c>
      <c r="E2739" s="78">
        <f t="shared" ref="E2739:E2747" si="431">E2738</f>
        <v>2</v>
      </c>
      <c r="F2739" s="74" t="s">
        <v>36</v>
      </c>
      <c r="G2739" s="77">
        <f t="shared" ref="G2739:G2747" si="432">H2738</f>
        <v>8860</v>
      </c>
      <c r="H2739" s="77">
        <f t="shared" ref="H2739:H2745" si="433">H2738+150</f>
        <v>9010</v>
      </c>
      <c r="I2739" s="76">
        <v>0.8</v>
      </c>
    </row>
    <row r="2740" spans="3:9" x14ac:dyDescent="0.35">
      <c r="C2740" t="s">
        <v>312</v>
      </c>
      <c r="D2740" s="3">
        <v>2021</v>
      </c>
      <c r="E2740" s="78">
        <f t="shared" si="431"/>
        <v>2</v>
      </c>
      <c r="F2740" s="74" t="s">
        <v>36</v>
      </c>
      <c r="G2740" s="77">
        <f t="shared" si="432"/>
        <v>9010</v>
      </c>
      <c r="H2740" s="77">
        <f t="shared" si="433"/>
        <v>9160</v>
      </c>
      <c r="I2740" s="76">
        <v>0.7</v>
      </c>
    </row>
    <row r="2741" spans="3:9" x14ac:dyDescent="0.35">
      <c r="C2741" t="s">
        <v>312</v>
      </c>
      <c r="D2741" s="3">
        <v>2021</v>
      </c>
      <c r="E2741" s="78">
        <f t="shared" si="431"/>
        <v>2</v>
      </c>
      <c r="F2741" s="74" t="s">
        <v>36</v>
      </c>
      <c r="G2741" s="77">
        <f t="shared" si="432"/>
        <v>9160</v>
      </c>
      <c r="H2741" s="77">
        <f t="shared" si="433"/>
        <v>9310</v>
      </c>
      <c r="I2741" s="76">
        <v>0.6</v>
      </c>
    </row>
    <row r="2742" spans="3:9" x14ac:dyDescent="0.35">
      <c r="C2742" t="s">
        <v>312</v>
      </c>
      <c r="D2742" s="3">
        <v>2021</v>
      </c>
      <c r="E2742" s="78">
        <f t="shared" si="431"/>
        <v>2</v>
      </c>
      <c r="F2742" s="74" t="s">
        <v>36</v>
      </c>
      <c r="G2742" s="77">
        <f t="shared" si="432"/>
        <v>9310</v>
      </c>
      <c r="H2742" s="77">
        <f t="shared" si="433"/>
        <v>9460</v>
      </c>
      <c r="I2742" s="76">
        <v>0.5</v>
      </c>
    </row>
    <row r="2743" spans="3:9" x14ac:dyDescent="0.35">
      <c r="C2743" t="s">
        <v>312</v>
      </c>
      <c r="D2743" s="3">
        <v>2021</v>
      </c>
      <c r="E2743" s="78">
        <f t="shared" si="431"/>
        <v>2</v>
      </c>
      <c r="F2743" s="74" t="s">
        <v>36</v>
      </c>
      <c r="G2743" s="77">
        <f t="shared" si="432"/>
        <v>9460</v>
      </c>
      <c r="H2743" s="77">
        <f t="shared" si="433"/>
        <v>9610</v>
      </c>
      <c r="I2743" s="76">
        <v>0.4</v>
      </c>
    </row>
    <row r="2744" spans="3:9" x14ac:dyDescent="0.35">
      <c r="C2744" t="s">
        <v>312</v>
      </c>
      <c r="D2744" s="3">
        <v>2021</v>
      </c>
      <c r="E2744" s="78">
        <f t="shared" si="431"/>
        <v>2</v>
      </c>
      <c r="F2744" s="74" t="s">
        <v>36</v>
      </c>
      <c r="G2744" s="77">
        <f t="shared" si="432"/>
        <v>9610</v>
      </c>
      <c r="H2744" s="77">
        <f t="shared" si="433"/>
        <v>9760</v>
      </c>
      <c r="I2744" s="76">
        <v>0.3</v>
      </c>
    </row>
    <row r="2745" spans="3:9" x14ac:dyDescent="0.35">
      <c r="C2745" t="s">
        <v>312</v>
      </c>
      <c r="D2745" s="3">
        <v>2021</v>
      </c>
      <c r="E2745" s="78">
        <f t="shared" si="431"/>
        <v>2</v>
      </c>
      <c r="F2745" s="74" t="s">
        <v>36</v>
      </c>
      <c r="G2745" s="77">
        <f t="shared" si="432"/>
        <v>9760</v>
      </c>
      <c r="H2745" s="77">
        <f t="shared" si="433"/>
        <v>9910</v>
      </c>
      <c r="I2745" s="76">
        <v>0.2</v>
      </c>
    </row>
    <row r="2746" spans="3:9" x14ac:dyDescent="0.35">
      <c r="C2746" t="s">
        <v>312</v>
      </c>
      <c r="D2746" s="3">
        <v>2021</v>
      </c>
      <c r="E2746" s="78">
        <f t="shared" si="431"/>
        <v>2</v>
      </c>
      <c r="F2746" s="74" t="s">
        <v>36</v>
      </c>
      <c r="G2746" s="77">
        <f t="shared" si="432"/>
        <v>9910</v>
      </c>
      <c r="H2746" s="77">
        <f>H2745+150</f>
        <v>10060</v>
      </c>
      <c r="I2746" s="76">
        <v>0.1</v>
      </c>
    </row>
    <row r="2747" spans="3:9" x14ac:dyDescent="0.35">
      <c r="C2747" t="s">
        <v>312</v>
      </c>
      <c r="D2747" s="3">
        <v>2021</v>
      </c>
      <c r="E2747" s="78">
        <f t="shared" si="431"/>
        <v>2</v>
      </c>
      <c r="F2747" s="74" t="s">
        <v>36</v>
      </c>
      <c r="G2747" s="77">
        <f t="shared" si="432"/>
        <v>10060</v>
      </c>
      <c r="H2747" s="77"/>
      <c r="I2747" s="76">
        <v>0</v>
      </c>
    </row>
    <row r="2748" spans="3:9" x14ac:dyDescent="0.35">
      <c r="C2748" t="s">
        <v>312</v>
      </c>
      <c r="D2748" s="3">
        <v>2021</v>
      </c>
      <c r="E2748" s="73">
        <v>3</v>
      </c>
      <c r="F2748" s="74" t="s">
        <v>36</v>
      </c>
      <c r="G2748" s="77">
        <v>0</v>
      </c>
      <c r="H2748" s="77">
        <v>10980</v>
      </c>
      <c r="I2748" s="76">
        <v>1</v>
      </c>
    </row>
    <row r="2749" spans="3:9" x14ac:dyDescent="0.35">
      <c r="C2749" t="s">
        <v>312</v>
      </c>
      <c r="D2749" s="3">
        <v>2021</v>
      </c>
      <c r="E2749" s="78">
        <f>E2748</f>
        <v>3</v>
      </c>
      <c r="F2749" s="74" t="s">
        <v>36</v>
      </c>
      <c r="G2749" s="77">
        <f>H2748</f>
        <v>10980</v>
      </c>
      <c r="H2749" s="77">
        <f>H2748+150</f>
        <v>11130</v>
      </c>
      <c r="I2749" s="76">
        <v>0.9</v>
      </c>
    </row>
    <row r="2750" spans="3:9" x14ac:dyDescent="0.35">
      <c r="C2750" t="s">
        <v>312</v>
      </c>
      <c r="D2750" s="3">
        <v>2021</v>
      </c>
      <c r="E2750" s="78">
        <f t="shared" ref="E2750:E2758" si="434">E2749</f>
        <v>3</v>
      </c>
      <c r="F2750" s="74" t="s">
        <v>36</v>
      </c>
      <c r="G2750" s="77">
        <f t="shared" ref="G2750:G2758" si="435">H2749</f>
        <v>11130</v>
      </c>
      <c r="H2750" s="77">
        <f t="shared" ref="H2750:H2756" si="436">H2749+150</f>
        <v>11280</v>
      </c>
      <c r="I2750" s="76">
        <v>0.8</v>
      </c>
    </row>
    <row r="2751" spans="3:9" x14ac:dyDescent="0.35">
      <c r="C2751" t="s">
        <v>312</v>
      </c>
      <c r="D2751" s="3">
        <v>2021</v>
      </c>
      <c r="E2751" s="78">
        <f t="shared" si="434"/>
        <v>3</v>
      </c>
      <c r="F2751" s="74" t="s">
        <v>36</v>
      </c>
      <c r="G2751" s="77">
        <f t="shared" si="435"/>
        <v>11280</v>
      </c>
      <c r="H2751" s="77">
        <f t="shared" si="436"/>
        <v>11430</v>
      </c>
      <c r="I2751" s="76">
        <v>0.7</v>
      </c>
    </row>
    <row r="2752" spans="3:9" x14ac:dyDescent="0.35">
      <c r="C2752" t="s">
        <v>312</v>
      </c>
      <c r="D2752" s="3">
        <v>2021</v>
      </c>
      <c r="E2752" s="78">
        <f t="shared" si="434"/>
        <v>3</v>
      </c>
      <c r="F2752" s="74" t="s">
        <v>36</v>
      </c>
      <c r="G2752" s="77">
        <f t="shared" si="435"/>
        <v>11430</v>
      </c>
      <c r="H2752" s="77">
        <f t="shared" si="436"/>
        <v>11580</v>
      </c>
      <c r="I2752" s="76">
        <v>0.6</v>
      </c>
    </row>
    <row r="2753" spans="3:9" x14ac:dyDescent="0.35">
      <c r="C2753" t="s">
        <v>312</v>
      </c>
      <c r="D2753" s="3">
        <v>2021</v>
      </c>
      <c r="E2753" s="78">
        <f t="shared" si="434"/>
        <v>3</v>
      </c>
      <c r="F2753" s="74" t="s">
        <v>36</v>
      </c>
      <c r="G2753" s="77">
        <f t="shared" si="435"/>
        <v>11580</v>
      </c>
      <c r="H2753" s="77">
        <f t="shared" si="436"/>
        <v>11730</v>
      </c>
      <c r="I2753" s="76">
        <v>0.5</v>
      </c>
    </row>
    <row r="2754" spans="3:9" x14ac:dyDescent="0.35">
      <c r="C2754" t="s">
        <v>312</v>
      </c>
      <c r="D2754" s="3">
        <v>2021</v>
      </c>
      <c r="E2754" s="78">
        <f t="shared" si="434"/>
        <v>3</v>
      </c>
      <c r="F2754" s="74" t="s">
        <v>36</v>
      </c>
      <c r="G2754" s="77">
        <f t="shared" si="435"/>
        <v>11730</v>
      </c>
      <c r="H2754" s="77">
        <f t="shared" si="436"/>
        <v>11880</v>
      </c>
      <c r="I2754" s="76">
        <v>0.4</v>
      </c>
    </row>
    <row r="2755" spans="3:9" x14ac:dyDescent="0.35">
      <c r="C2755" t="s">
        <v>312</v>
      </c>
      <c r="D2755" s="3">
        <v>2021</v>
      </c>
      <c r="E2755" s="78">
        <f t="shared" si="434"/>
        <v>3</v>
      </c>
      <c r="F2755" s="74" t="s">
        <v>36</v>
      </c>
      <c r="G2755" s="77">
        <f t="shared" si="435"/>
        <v>11880</v>
      </c>
      <c r="H2755" s="77">
        <f t="shared" si="436"/>
        <v>12030</v>
      </c>
      <c r="I2755" s="76">
        <v>0.3</v>
      </c>
    </row>
    <row r="2756" spans="3:9" x14ac:dyDescent="0.35">
      <c r="C2756" t="s">
        <v>312</v>
      </c>
      <c r="D2756" s="3">
        <v>2021</v>
      </c>
      <c r="E2756" s="78">
        <f t="shared" si="434"/>
        <v>3</v>
      </c>
      <c r="F2756" s="74" t="s">
        <v>36</v>
      </c>
      <c r="G2756" s="77">
        <f t="shared" si="435"/>
        <v>12030</v>
      </c>
      <c r="H2756" s="77">
        <f t="shared" si="436"/>
        <v>12180</v>
      </c>
      <c r="I2756" s="76">
        <v>0.2</v>
      </c>
    </row>
    <row r="2757" spans="3:9" x14ac:dyDescent="0.35">
      <c r="C2757" t="s">
        <v>312</v>
      </c>
      <c r="D2757" s="3">
        <v>2021</v>
      </c>
      <c r="E2757" s="78">
        <f t="shared" si="434"/>
        <v>3</v>
      </c>
      <c r="F2757" s="74" t="s">
        <v>36</v>
      </c>
      <c r="G2757" s="77">
        <f t="shared" si="435"/>
        <v>12180</v>
      </c>
      <c r="H2757" s="77">
        <f>H2756+150</f>
        <v>12330</v>
      </c>
      <c r="I2757" s="76">
        <v>0.1</v>
      </c>
    </row>
    <row r="2758" spans="3:9" x14ac:dyDescent="0.35">
      <c r="C2758" t="s">
        <v>312</v>
      </c>
      <c r="D2758" s="3">
        <v>2021</v>
      </c>
      <c r="E2758" s="78">
        <f t="shared" si="434"/>
        <v>3</v>
      </c>
      <c r="F2758" s="74" t="s">
        <v>36</v>
      </c>
      <c r="G2758" s="77">
        <f t="shared" si="435"/>
        <v>12330</v>
      </c>
      <c r="H2758" s="77"/>
      <c r="I2758" s="76">
        <v>0</v>
      </c>
    </row>
    <row r="2759" spans="3:9" x14ac:dyDescent="0.35">
      <c r="C2759" t="s">
        <v>312</v>
      </c>
      <c r="D2759" s="3">
        <v>2021</v>
      </c>
      <c r="E2759" s="73">
        <v>4</v>
      </c>
      <c r="F2759" s="74" t="s">
        <v>36</v>
      </c>
      <c r="G2759" s="77">
        <v>0</v>
      </c>
      <c r="H2759" s="77">
        <v>13250</v>
      </c>
      <c r="I2759" s="76">
        <v>1</v>
      </c>
    </row>
    <row r="2760" spans="3:9" x14ac:dyDescent="0.35">
      <c r="C2760" t="s">
        <v>312</v>
      </c>
      <c r="D2760" s="3">
        <v>2021</v>
      </c>
      <c r="E2760" s="78">
        <f>E2759</f>
        <v>4</v>
      </c>
      <c r="F2760" s="74" t="s">
        <v>36</v>
      </c>
      <c r="G2760" s="77">
        <f>H2759</f>
        <v>13250</v>
      </c>
      <c r="H2760" s="77">
        <f>H2759+150</f>
        <v>13400</v>
      </c>
      <c r="I2760" s="76">
        <v>0.9</v>
      </c>
    </row>
    <row r="2761" spans="3:9" x14ac:dyDescent="0.35">
      <c r="C2761" t="s">
        <v>312</v>
      </c>
      <c r="D2761" s="3">
        <v>2021</v>
      </c>
      <c r="E2761" s="78">
        <f t="shared" ref="E2761:E2769" si="437">E2760</f>
        <v>4</v>
      </c>
      <c r="F2761" s="74" t="s">
        <v>36</v>
      </c>
      <c r="G2761" s="77">
        <f t="shared" ref="G2761:G2769" si="438">H2760</f>
        <v>13400</v>
      </c>
      <c r="H2761" s="77">
        <f t="shared" ref="H2761:H2767" si="439">H2760+150</f>
        <v>13550</v>
      </c>
      <c r="I2761" s="76">
        <v>0.8</v>
      </c>
    </row>
    <row r="2762" spans="3:9" x14ac:dyDescent="0.35">
      <c r="C2762" t="s">
        <v>312</v>
      </c>
      <c r="D2762" s="3">
        <v>2021</v>
      </c>
      <c r="E2762" s="78">
        <f t="shared" si="437"/>
        <v>4</v>
      </c>
      <c r="F2762" s="74" t="s">
        <v>36</v>
      </c>
      <c r="G2762" s="77">
        <f t="shared" si="438"/>
        <v>13550</v>
      </c>
      <c r="H2762" s="77">
        <f t="shared" si="439"/>
        <v>13700</v>
      </c>
      <c r="I2762" s="76">
        <v>0.7</v>
      </c>
    </row>
    <row r="2763" spans="3:9" x14ac:dyDescent="0.35">
      <c r="C2763" t="s">
        <v>312</v>
      </c>
      <c r="D2763" s="3">
        <v>2021</v>
      </c>
      <c r="E2763" s="78">
        <f t="shared" si="437"/>
        <v>4</v>
      </c>
      <c r="F2763" s="74" t="s">
        <v>36</v>
      </c>
      <c r="G2763" s="77">
        <f t="shared" si="438"/>
        <v>13700</v>
      </c>
      <c r="H2763" s="77">
        <f t="shared" si="439"/>
        <v>13850</v>
      </c>
      <c r="I2763" s="76">
        <v>0.6</v>
      </c>
    </row>
    <row r="2764" spans="3:9" x14ac:dyDescent="0.35">
      <c r="C2764" t="s">
        <v>312</v>
      </c>
      <c r="D2764" s="3">
        <v>2021</v>
      </c>
      <c r="E2764" s="78">
        <f t="shared" si="437"/>
        <v>4</v>
      </c>
      <c r="F2764" s="74" t="s">
        <v>36</v>
      </c>
      <c r="G2764" s="77">
        <f t="shared" si="438"/>
        <v>13850</v>
      </c>
      <c r="H2764" s="77">
        <f t="shared" si="439"/>
        <v>14000</v>
      </c>
      <c r="I2764" s="76">
        <v>0.5</v>
      </c>
    </row>
    <row r="2765" spans="3:9" x14ac:dyDescent="0.35">
      <c r="C2765" t="s">
        <v>312</v>
      </c>
      <c r="D2765" s="3">
        <v>2021</v>
      </c>
      <c r="E2765" s="78">
        <f t="shared" si="437"/>
        <v>4</v>
      </c>
      <c r="F2765" s="74" t="s">
        <v>36</v>
      </c>
      <c r="G2765" s="77">
        <f t="shared" si="438"/>
        <v>14000</v>
      </c>
      <c r="H2765" s="77">
        <f t="shared" si="439"/>
        <v>14150</v>
      </c>
      <c r="I2765" s="76">
        <v>0.4</v>
      </c>
    </row>
    <row r="2766" spans="3:9" x14ac:dyDescent="0.35">
      <c r="C2766" t="s">
        <v>312</v>
      </c>
      <c r="D2766" s="3">
        <v>2021</v>
      </c>
      <c r="E2766" s="78">
        <f t="shared" si="437"/>
        <v>4</v>
      </c>
      <c r="F2766" s="74" t="s">
        <v>36</v>
      </c>
      <c r="G2766" s="77">
        <f t="shared" si="438"/>
        <v>14150</v>
      </c>
      <c r="H2766" s="77">
        <f t="shared" si="439"/>
        <v>14300</v>
      </c>
      <c r="I2766" s="76">
        <v>0.3</v>
      </c>
    </row>
    <row r="2767" spans="3:9" x14ac:dyDescent="0.35">
      <c r="C2767" t="s">
        <v>312</v>
      </c>
      <c r="D2767" s="3">
        <v>2021</v>
      </c>
      <c r="E2767" s="78">
        <f t="shared" si="437"/>
        <v>4</v>
      </c>
      <c r="F2767" s="74" t="s">
        <v>36</v>
      </c>
      <c r="G2767" s="77">
        <f t="shared" si="438"/>
        <v>14300</v>
      </c>
      <c r="H2767" s="77">
        <f t="shared" si="439"/>
        <v>14450</v>
      </c>
      <c r="I2767" s="76">
        <v>0.2</v>
      </c>
    </row>
    <row r="2768" spans="3:9" x14ac:dyDescent="0.35">
      <c r="C2768" t="s">
        <v>312</v>
      </c>
      <c r="D2768" s="3">
        <v>2021</v>
      </c>
      <c r="E2768" s="78">
        <f t="shared" si="437"/>
        <v>4</v>
      </c>
      <c r="F2768" s="74" t="s">
        <v>36</v>
      </c>
      <c r="G2768" s="77">
        <f t="shared" si="438"/>
        <v>14450</v>
      </c>
      <c r="H2768" s="77">
        <f>H2767+150</f>
        <v>14600</v>
      </c>
      <c r="I2768" s="76">
        <v>0.1</v>
      </c>
    </row>
    <row r="2769" spans="3:9" x14ac:dyDescent="0.35">
      <c r="C2769" t="s">
        <v>312</v>
      </c>
      <c r="D2769" s="3">
        <v>2021</v>
      </c>
      <c r="E2769" s="78">
        <f t="shared" si="437"/>
        <v>4</v>
      </c>
      <c r="F2769" s="74" t="s">
        <v>36</v>
      </c>
      <c r="G2769" s="77">
        <f t="shared" si="438"/>
        <v>14600</v>
      </c>
      <c r="H2769" s="77"/>
      <c r="I2769" s="76">
        <v>0</v>
      </c>
    </row>
    <row r="2770" spans="3:9" x14ac:dyDescent="0.35">
      <c r="C2770" t="s">
        <v>312</v>
      </c>
      <c r="D2770" s="3">
        <v>2021</v>
      </c>
      <c r="E2770" s="73">
        <v>5</v>
      </c>
      <c r="F2770" s="74" t="s">
        <v>36</v>
      </c>
      <c r="G2770" s="77">
        <v>0</v>
      </c>
      <c r="H2770" s="77">
        <v>15520</v>
      </c>
      <c r="I2770" s="76">
        <v>1</v>
      </c>
    </row>
    <row r="2771" spans="3:9" x14ac:dyDescent="0.35">
      <c r="C2771" t="s">
        <v>312</v>
      </c>
      <c r="D2771" s="3">
        <v>2021</v>
      </c>
      <c r="E2771" s="78">
        <f>E2770</f>
        <v>5</v>
      </c>
      <c r="F2771" s="74" t="s">
        <v>36</v>
      </c>
      <c r="G2771" s="77">
        <f>H2770</f>
        <v>15520</v>
      </c>
      <c r="H2771" s="77">
        <f>H2770+150</f>
        <v>15670</v>
      </c>
      <c r="I2771" s="76">
        <v>0.9</v>
      </c>
    </row>
    <row r="2772" spans="3:9" x14ac:dyDescent="0.35">
      <c r="C2772" t="s">
        <v>312</v>
      </c>
      <c r="D2772" s="3">
        <v>2021</v>
      </c>
      <c r="E2772" s="78">
        <f t="shared" ref="E2772:E2780" si="440">E2771</f>
        <v>5</v>
      </c>
      <c r="F2772" s="74" t="s">
        <v>36</v>
      </c>
      <c r="G2772" s="77">
        <f t="shared" ref="G2772:G2780" si="441">H2771</f>
        <v>15670</v>
      </c>
      <c r="H2772" s="77">
        <f t="shared" ref="H2772:H2778" si="442">H2771+150</f>
        <v>15820</v>
      </c>
      <c r="I2772" s="76">
        <v>0.8</v>
      </c>
    </row>
    <row r="2773" spans="3:9" x14ac:dyDescent="0.35">
      <c r="C2773" t="s">
        <v>312</v>
      </c>
      <c r="D2773" s="3">
        <v>2021</v>
      </c>
      <c r="E2773" s="78">
        <f t="shared" si="440"/>
        <v>5</v>
      </c>
      <c r="F2773" s="74" t="s">
        <v>36</v>
      </c>
      <c r="G2773" s="77">
        <f t="shared" si="441"/>
        <v>15820</v>
      </c>
      <c r="H2773" s="77">
        <f t="shared" si="442"/>
        <v>15970</v>
      </c>
      <c r="I2773" s="76">
        <v>0.7</v>
      </c>
    </row>
    <row r="2774" spans="3:9" x14ac:dyDescent="0.35">
      <c r="C2774" t="s">
        <v>312</v>
      </c>
      <c r="D2774" s="3">
        <v>2021</v>
      </c>
      <c r="E2774" s="78">
        <f t="shared" si="440"/>
        <v>5</v>
      </c>
      <c r="F2774" s="74" t="s">
        <v>36</v>
      </c>
      <c r="G2774" s="77">
        <f t="shared" si="441"/>
        <v>15970</v>
      </c>
      <c r="H2774" s="77">
        <f t="shared" si="442"/>
        <v>16120</v>
      </c>
      <c r="I2774" s="76">
        <v>0.6</v>
      </c>
    </row>
    <row r="2775" spans="3:9" x14ac:dyDescent="0.35">
      <c r="C2775" t="s">
        <v>312</v>
      </c>
      <c r="D2775" s="3">
        <v>2021</v>
      </c>
      <c r="E2775" s="78">
        <f t="shared" si="440"/>
        <v>5</v>
      </c>
      <c r="F2775" s="74" t="s">
        <v>36</v>
      </c>
      <c r="G2775" s="77">
        <f t="shared" si="441"/>
        <v>16120</v>
      </c>
      <c r="H2775" s="77">
        <f t="shared" si="442"/>
        <v>16270</v>
      </c>
      <c r="I2775" s="76">
        <v>0.5</v>
      </c>
    </row>
    <row r="2776" spans="3:9" x14ac:dyDescent="0.35">
      <c r="C2776" t="s">
        <v>312</v>
      </c>
      <c r="D2776" s="3">
        <v>2021</v>
      </c>
      <c r="E2776" s="78">
        <f t="shared" si="440"/>
        <v>5</v>
      </c>
      <c r="F2776" s="74" t="s">
        <v>36</v>
      </c>
      <c r="G2776" s="77">
        <f t="shared" si="441"/>
        <v>16270</v>
      </c>
      <c r="H2776" s="77">
        <f t="shared" si="442"/>
        <v>16420</v>
      </c>
      <c r="I2776" s="76">
        <v>0.4</v>
      </c>
    </row>
    <row r="2777" spans="3:9" x14ac:dyDescent="0.35">
      <c r="C2777" t="s">
        <v>312</v>
      </c>
      <c r="D2777" s="3">
        <v>2021</v>
      </c>
      <c r="E2777" s="78">
        <f t="shared" si="440"/>
        <v>5</v>
      </c>
      <c r="F2777" s="74" t="s">
        <v>36</v>
      </c>
      <c r="G2777" s="77">
        <f t="shared" si="441"/>
        <v>16420</v>
      </c>
      <c r="H2777" s="77">
        <f t="shared" si="442"/>
        <v>16570</v>
      </c>
      <c r="I2777" s="76">
        <v>0.3</v>
      </c>
    </row>
    <row r="2778" spans="3:9" x14ac:dyDescent="0.35">
      <c r="C2778" t="s">
        <v>312</v>
      </c>
      <c r="D2778" s="3">
        <v>2021</v>
      </c>
      <c r="E2778" s="78">
        <f t="shared" si="440"/>
        <v>5</v>
      </c>
      <c r="F2778" s="74" t="s">
        <v>36</v>
      </c>
      <c r="G2778" s="77">
        <f t="shared" si="441"/>
        <v>16570</v>
      </c>
      <c r="H2778" s="77">
        <f t="shared" si="442"/>
        <v>16720</v>
      </c>
      <c r="I2778" s="76">
        <v>0.2</v>
      </c>
    </row>
    <row r="2779" spans="3:9" x14ac:dyDescent="0.35">
      <c r="C2779" t="s">
        <v>312</v>
      </c>
      <c r="D2779" s="3">
        <v>2021</v>
      </c>
      <c r="E2779" s="78">
        <f t="shared" si="440"/>
        <v>5</v>
      </c>
      <c r="F2779" s="74" t="s">
        <v>36</v>
      </c>
      <c r="G2779" s="77">
        <f t="shared" si="441"/>
        <v>16720</v>
      </c>
      <c r="H2779" s="77">
        <f>H2778+150</f>
        <v>16870</v>
      </c>
      <c r="I2779" s="76">
        <v>0.1</v>
      </c>
    </row>
    <row r="2780" spans="3:9" x14ac:dyDescent="0.35">
      <c r="C2780" t="s">
        <v>312</v>
      </c>
      <c r="D2780" s="3">
        <v>2021</v>
      </c>
      <c r="E2780" s="78">
        <f t="shared" si="440"/>
        <v>5</v>
      </c>
      <c r="F2780" s="74" t="s">
        <v>36</v>
      </c>
      <c r="G2780" s="77">
        <f t="shared" si="441"/>
        <v>16870</v>
      </c>
      <c r="H2780" s="77"/>
      <c r="I2780" s="76">
        <v>0</v>
      </c>
    </row>
    <row r="2781" spans="3:9" x14ac:dyDescent="0.35">
      <c r="C2781" t="s">
        <v>312</v>
      </c>
      <c r="D2781" s="3">
        <v>2021</v>
      </c>
      <c r="E2781" s="73">
        <v>6</v>
      </c>
      <c r="F2781" s="74" t="s">
        <v>36</v>
      </c>
      <c r="G2781" s="77">
        <v>0</v>
      </c>
      <c r="H2781" s="77">
        <v>17790</v>
      </c>
      <c r="I2781" s="76">
        <v>1</v>
      </c>
    </row>
    <row r="2782" spans="3:9" x14ac:dyDescent="0.35">
      <c r="C2782" t="s">
        <v>312</v>
      </c>
      <c r="D2782" s="3">
        <v>2021</v>
      </c>
      <c r="E2782" s="78">
        <f>E2781</f>
        <v>6</v>
      </c>
      <c r="F2782" s="74" t="s">
        <v>36</v>
      </c>
      <c r="G2782" s="77">
        <f>H2781</f>
        <v>17790</v>
      </c>
      <c r="H2782" s="77">
        <f>H2781+150</f>
        <v>17940</v>
      </c>
      <c r="I2782" s="76">
        <v>0.9</v>
      </c>
    </row>
    <row r="2783" spans="3:9" x14ac:dyDescent="0.35">
      <c r="C2783" t="s">
        <v>312</v>
      </c>
      <c r="D2783" s="3">
        <v>2021</v>
      </c>
      <c r="E2783" s="78">
        <f t="shared" ref="E2783:E2791" si="443">E2782</f>
        <v>6</v>
      </c>
      <c r="F2783" s="74" t="s">
        <v>36</v>
      </c>
      <c r="G2783" s="77">
        <f t="shared" ref="G2783:G2791" si="444">H2782</f>
        <v>17940</v>
      </c>
      <c r="H2783" s="77">
        <f t="shared" ref="H2783:H2789" si="445">H2782+150</f>
        <v>18090</v>
      </c>
      <c r="I2783" s="76">
        <v>0.8</v>
      </c>
    </row>
    <row r="2784" spans="3:9" x14ac:dyDescent="0.35">
      <c r="C2784" t="s">
        <v>312</v>
      </c>
      <c r="D2784" s="3">
        <v>2021</v>
      </c>
      <c r="E2784" s="78">
        <f t="shared" si="443"/>
        <v>6</v>
      </c>
      <c r="F2784" s="74" t="s">
        <v>36</v>
      </c>
      <c r="G2784" s="77">
        <f t="shared" si="444"/>
        <v>18090</v>
      </c>
      <c r="H2784" s="77">
        <f t="shared" si="445"/>
        <v>18240</v>
      </c>
      <c r="I2784" s="76">
        <v>0.7</v>
      </c>
    </row>
    <row r="2785" spans="3:9" x14ac:dyDescent="0.35">
      <c r="C2785" t="s">
        <v>312</v>
      </c>
      <c r="D2785" s="3">
        <v>2021</v>
      </c>
      <c r="E2785" s="78">
        <f t="shared" si="443"/>
        <v>6</v>
      </c>
      <c r="F2785" s="74" t="s">
        <v>36</v>
      </c>
      <c r="G2785" s="77">
        <f t="shared" si="444"/>
        <v>18240</v>
      </c>
      <c r="H2785" s="77">
        <f t="shared" si="445"/>
        <v>18390</v>
      </c>
      <c r="I2785" s="76">
        <v>0.6</v>
      </c>
    </row>
    <row r="2786" spans="3:9" x14ac:dyDescent="0.35">
      <c r="C2786" t="s">
        <v>312</v>
      </c>
      <c r="D2786" s="3">
        <v>2021</v>
      </c>
      <c r="E2786" s="78">
        <f t="shared" si="443"/>
        <v>6</v>
      </c>
      <c r="F2786" s="74" t="s">
        <v>36</v>
      </c>
      <c r="G2786" s="77">
        <f t="shared" si="444"/>
        <v>18390</v>
      </c>
      <c r="H2786" s="77">
        <f t="shared" si="445"/>
        <v>18540</v>
      </c>
      <c r="I2786" s="76">
        <v>0.5</v>
      </c>
    </row>
    <row r="2787" spans="3:9" x14ac:dyDescent="0.35">
      <c r="C2787" t="s">
        <v>312</v>
      </c>
      <c r="D2787" s="3">
        <v>2021</v>
      </c>
      <c r="E2787" s="78">
        <f t="shared" si="443"/>
        <v>6</v>
      </c>
      <c r="F2787" s="74" t="s">
        <v>36</v>
      </c>
      <c r="G2787" s="77">
        <f t="shared" si="444"/>
        <v>18540</v>
      </c>
      <c r="H2787" s="77">
        <f t="shared" si="445"/>
        <v>18690</v>
      </c>
      <c r="I2787" s="76">
        <v>0.4</v>
      </c>
    </row>
    <row r="2788" spans="3:9" x14ac:dyDescent="0.35">
      <c r="C2788" t="s">
        <v>312</v>
      </c>
      <c r="D2788" s="3">
        <v>2021</v>
      </c>
      <c r="E2788" s="78">
        <f t="shared" si="443"/>
        <v>6</v>
      </c>
      <c r="F2788" s="74" t="s">
        <v>36</v>
      </c>
      <c r="G2788" s="77">
        <f t="shared" si="444"/>
        <v>18690</v>
      </c>
      <c r="H2788" s="77">
        <f t="shared" si="445"/>
        <v>18840</v>
      </c>
      <c r="I2788" s="76">
        <v>0.3</v>
      </c>
    </row>
    <row r="2789" spans="3:9" x14ac:dyDescent="0.35">
      <c r="C2789" t="s">
        <v>312</v>
      </c>
      <c r="D2789" s="3">
        <v>2021</v>
      </c>
      <c r="E2789" s="78">
        <f t="shared" si="443"/>
        <v>6</v>
      </c>
      <c r="F2789" s="74" t="s">
        <v>36</v>
      </c>
      <c r="G2789" s="77">
        <f t="shared" si="444"/>
        <v>18840</v>
      </c>
      <c r="H2789" s="77">
        <f t="shared" si="445"/>
        <v>18990</v>
      </c>
      <c r="I2789" s="76">
        <v>0.2</v>
      </c>
    </row>
    <row r="2790" spans="3:9" x14ac:dyDescent="0.35">
      <c r="C2790" t="s">
        <v>312</v>
      </c>
      <c r="D2790" s="3">
        <v>2021</v>
      </c>
      <c r="E2790" s="78">
        <f t="shared" si="443"/>
        <v>6</v>
      </c>
      <c r="F2790" s="74" t="s">
        <v>36</v>
      </c>
      <c r="G2790" s="77">
        <f t="shared" si="444"/>
        <v>18990</v>
      </c>
      <c r="H2790" s="77">
        <f>H2789+150</f>
        <v>19140</v>
      </c>
      <c r="I2790" s="76">
        <v>0.1</v>
      </c>
    </row>
    <row r="2791" spans="3:9" x14ac:dyDescent="0.35">
      <c r="C2791" t="s">
        <v>312</v>
      </c>
      <c r="D2791" s="3">
        <v>2021</v>
      </c>
      <c r="E2791" s="78">
        <f t="shared" si="443"/>
        <v>6</v>
      </c>
      <c r="F2791" s="74" t="s">
        <v>36</v>
      </c>
      <c r="G2791" s="77">
        <f t="shared" si="444"/>
        <v>19140</v>
      </c>
      <c r="H2791" s="77"/>
      <c r="I2791" s="76">
        <v>0</v>
      </c>
    </row>
    <row r="2792" spans="3:9" x14ac:dyDescent="0.35">
      <c r="C2792" t="s">
        <v>312</v>
      </c>
      <c r="D2792" s="3">
        <v>2021</v>
      </c>
      <c r="E2792" s="73">
        <v>7</v>
      </c>
      <c r="F2792" s="74" t="s">
        <v>36</v>
      </c>
      <c r="G2792" s="77">
        <v>0</v>
      </c>
      <c r="H2792" s="77">
        <v>20060</v>
      </c>
      <c r="I2792" s="76">
        <v>1</v>
      </c>
    </row>
    <row r="2793" spans="3:9" x14ac:dyDescent="0.35">
      <c r="C2793" t="s">
        <v>312</v>
      </c>
      <c r="D2793" s="3">
        <v>2021</v>
      </c>
      <c r="E2793" s="78">
        <f>E2792</f>
        <v>7</v>
      </c>
      <c r="F2793" s="74" t="s">
        <v>36</v>
      </c>
      <c r="G2793" s="77">
        <f>H2792</f>
        <v>20060</v>
      </c>
      <c r="H2793" s="77">
        <f>H2792+150</f>
        <v>20210</v>
      </c>
      <c r="I2793" s="76">
        <v>0.9</v>
      </c>
    </row>
    <row r="2794" spans="3:9" x14ac:dyDescent="0.35">
      <c r="C2794" t="s">
        <v>312</v>
      </c>
      <c r="D2794" s="3">
        <v>2021</v>
      </c>
      <c r="E2794" s="78">
        <f t="shared" ref="E2794:E2802" si="446">E2793</f>
        <v>7</v>
      </c>
      <c r="F2794" s="74" t="s">
        <v>36</v>
      </c>
      <c r="G2794" s="77">
        <f t="shared" ref="G2794:G2802" si="447">H2793</f>
        <v>20210</v>
      </c>
      <c r="H2794" s="77">
        <f t="shared" ref="H2794:H2800" si="448">H2793+150</f>
        <v>20360</v>
      </c>
      <c r="I2794" s="76">
        <v>0.8</v>
      </c>
    </row>
    <row r="2795" spans="3:9" x14ac:dyDescent="0.35">
      <c r="C2795" t="s">
        <v>312</v>
      </c>
      <c r="D2795" s="3">
        <v>2021</v>
      </c>
      <c r="E2795" s="78">
        <f t="shared" si="446"/>
        <v>7</v>
      </c>
      <c r="F2795" s="74" t="s">
        <v>36</v>
      </c>
      <c r="G2795" s="77">
        <f t="shared" si="447"/>
        <v>20360</v>
      </c>
      <c r="H2795" s="77">
        <f t="shared" si="448"/>
        <v>20510</v>
      </c>
      <c r="I2795" s="76">
        <v>0.7</v>
      </c>
    </row>
    <row r="2796" spans="3:9" x14ac:dyDescent="0.35">
      <c r="C2796" t="s">
        <v>312</v>
      </c>
      <c r="D2796" s="3">
        <v>2021</v>
      </c>
      <c r="E2796" s="78">
        <f t="shared" si="446"/>
        <v>7</v>
      </c>
      <c r="F2796" s="74" t="s">
        <v>36</v>
      </c>
      <c r="G2796" s="77">
        <f t="shared" si="447"/>
        <v>20510</v>
      </c>
      <c r="H2796" s="77">
        <f t="shared" si="448"/>
        <v>20660</v>
      </c>
      <c r="I2796" s="76">
        <v>0.6</v>
      </c>
    </row>
    <row r="2797" spans="3:9" x14ac:dyDescent="0.35">
      <c r="C2797" t="s">
        <v>312</v>
      </c>
      <c r="D2797" s="3">
        <v>2021</v>
      </c>
      <c r="E2797" s="78">
        <f t="shared" si="446"/>
        <v>7</v>
      </c>
      <c r="F2797" s="74" t="s">
        <v>36</v>
      </c>
      <c r="G2797" s="77">
        <f t="shared" si="447"/>
        <v>20660</v>
      </c>
      <c r="H2797" s="77">
        <f t="shared" si="448"/>
        <v>20810</v>
      </c>
      <c r="I2797" s="76">
        <v>0.5</v>
      </c>
    </row>
    <row r="2798" spans="3:9" x14ac:dyDescent="0.35">
      <c r="C2798" t="s">
        <v>312</v>
      </c>
      <c r="D2798" s="3">
        <v>2021</v>
      </c>
      <c r="E2798" s="78">
        <f t="shared" si="446"/>
        <v>7</v>
      </c>
      <c r="F2798" s="74" t="s">
        <v>36</v>
      </c>
      <c r="G2798" s="77">
        <f t="shared" si="447"/>
        <v>20810</v>
      </c>
      <c r="H2798" s="77">
        <f t="shared" si="448"/>
        <v>20960</v>
      </c>
      <c r="I2798" s="76">
        <v>0.4</v>
      </c>
    </row>
    <row r="2799" spans="3:9" x14ac:dyDescent="0.35">
      <c r="C2799" t="s">
        <v>312</v>
      </c>
      <c r="D2799" s="3">
        <v>2021</v>
      </c>
      <c r="E2799" s="78">
        <f t="shared" si="446"/>
        <v>7</v>
      </c>
      <c r="F2799" s="74" t="s">
        <v>36</v>
      </c>
      <c r="G2799" s="77">
        <f t="shared" si="447"/>
        <v>20960</v>
      </c>
      <c r="H2799" s="77">
        <f t="shared" si="448"/>
        <v>21110</v>
      </c>
      <c r="I2799" s="76">
        <v>0.3</v>
      </c>
    </row>
    <row r="2800" spans="3:9" x14ac:dyDescent="0.35">
      <c r="C2800" t="s">
        <v>312</v>
      </c>
      <c r="D2800" s="3">
        <v>2021</v>
      </c>
      <c r="E2800" s="78">
        <f t="shared" si="446"/>
        <v>7</v>
      </c>
      <c r="F2800" s="74" t="s">
        <v>36</v>
      </c>
      <c r="G2800" s="77">
        <f t="shared" si="447"/>
        <v>21110</v>
      </c>
      <c r="H2800" s="77">
        <f t="shared" si="448"/>
        <v>21260</v>
      </c>
      <c r="I2800" s="76">
        <v>0.2</v>
      </c>
    </row>
    <row r="2801" spans="3:9" x14ac:dyDescent="0.35">
      <c r="C2801" t="s">
        <v>312</v>
      </c>
      <c r="D2801" s="3">
        <v>2021</v>
      </c>
      <c r="E2801" s="78">
        <f t="shared" si="446"/>
        <v>7</v>
      </c>
      <c r="F2801" s="74" t="s">
        <v>36</v>
      </c>
      <c r="G2801" s="77">
        <f t="shared" si="447"/>
        <v>21260</v>
      </c>
      <c r="H2801" s="77">
        <f>H2800+150</f>
        <v>21410</v>
      </c>
      <c r="I2801" s="76">
        <v>0.1</v>
      </c>
    </row>
    <row r="2802" spans="3:9" x14ac:dyDescent="0.35">
      <c r="C2802" t="s">
        <v>312</v>
      </c>
      <c r="D2802" s="3">
        <v>2021</v>
      </c>
      <c r="E2802" s="78">
        <f t="shared" si="446"/>
        <v>7</v>
      </c>
      <c r="F2802" s="74" t="s">
        <v>36</v>
      </c>
      <c r="G2802" s="77">
        <f t="shared" si="447"/>
        <v>21410</v>
      </c>
      <c r="H2802" s="77"/>
      <c r="I2802" s="76">
        <v>0</v>
      </c>
    </row>
    <row r="2803" spans="3:9" x14ac:dyDescent="0.35">
      <c r="C2803" t="s">
        <v>312</v>
      </c>
      <c r="D2803" s="3">
        <v>2021</v>
      </c>
      <c r="E2803" s="73">
        <v>8</v>
      </c>
      <c r="F2803" s="74" t="s">
        <v>36</v>
      </c>
      <c r="G2803" s="77">
        <v>0</v>
      </c>
      <c r="H2803" s="77">
        <v>22330</v>
      </c>
      <c r="I2803" s="76">
        <v>1</v>
      </c>
    </row>
    <row r="2804" spans="3:9" x14ac:dyDescent="0.35">
      <c r="C2804" t="s">
        <v>312</v>
      </c>
      <c r="D2804" s="3">
        <v>2021</v>
      </c>
      <c r="E2804" s="78">
        <f>E2803</f>
        <v>8</v>
      </c>
      <c r="F2804" s="74" t="s">
        <v>36</v>
      </c>
      <c r="G2804" s="77">
        <f>H2803</f>
        <v>22330</v>
      </c>
      <c r="H2804" s="77">
        <f>H2803+150</f>
        <v>22480</v>
      </c>
      <c r="I2804" s="76">
        <v>0.9</v>
      </c>
    </row>
    <row r="2805" spans="3:9" x14ac:dyDescent="0.35">
      <c r="C2805" t="s">
        <v>312</v>
      </c>
      <c r="D2805" s="3">
        <v>2021</v>
      </c>
      <c r="E2805" s="78">
        <f t="shared" ref="E2805:E2813" si="449">E2804</f>
        <v>8</v>
      </c>
      <c r="F2805" s="74" t="s">
        <v>36</v>
      </c>
      <c r="G2805" s="77">
        <f t="shared" ref="G2805:G2813" si="450">H2804</f>
        <v>22480</v>
      </c>
      <c r="H2805" s="77">
        <f t="shared" ref="H2805:H2811" si="451">H2804+150</f>
        <v>22630</v>
      </c>
      <c r="I2805" s="76">
        <v>0.8</v>
      </c>
    </row>
    <row r="2806" spans="3:9" x14ac:dyDescent="0.35">
      <c r="C2806" t="s">
        <v>312</v>
      </c>
      <c r="D2806" s="3">
        <v>2021</v>
      </c>
      <c r="E2806" s="78">
        <f t="shared" si="449"/>
        <v>8</v>
      </c>
      <c r="F2806" s="74" t="s">
        <v>36</v>
      </c>
      <c r="G2806" s="77">
        <f t="shared" si="450"/>
        <v>22630</v>
      </c>
      <c r="H2806" s="77">
        <f t="shared" si="451"/>
        <v>22780</v>
      </c>
      <c r="I2806" s="76">
        <v>0.7</v>
      </c>
    </row>
    <row r="2807" spans="3:9" x14ac:dyDescent="0.35">
      <c r="C2807" t="s">
        <v>312</v>
      </c>
      <c r="D2807" s="3">
        <v>2021</v>
      </c>
      <c r="E2807" s="78">
        <f t="shared" si="449"/>
        <v>8</v>
      </c>
      <c r="F2807" s="74" t="s">
        <v>36</v>
      </c>
      <c r="G2807" s="77">
        <f t="shared" si="450"/>
        <v>22780</v>
      </c>
      <c r="H2807" s="77">
        <f t="shared" si="451"/>
        <v>22930</v>
      </c>
      <c r="I2807" s="76">
        <v>0.6</v>
      </c>
    </row>
    <row r="2808" spans="3:9" x14ac:dyDescent="0.35">
      <c r="C2808" t="s">
        <v>312</v>
      </c>
      <c r="D2808" s="3">
        <v>2021</v>
      </c>
      <c r="E2808" s="78">
        <f t="shared" si="449"/>
        <v>8</v>
      </c>
      <c r="F2808" s="74" t="s">
        <v>36</v>
      </c>
      <c r="G2808" s="77">
        <f t="shared" si="450"/>
        <v>22930</v>
      </c>
      <c r="H2808" s="77">
        <f t="shared" si="451"/>
        <v>23080</v>
      </c>
      <c r="I2808" s="76">
        <v>0.5</v>
      </c>
    </row>
    <row r="2809" spans="3:9" x14ac:dyDescent="0.35">
      <c r="C2809" t="s">
        <v>312</v>
      </c>
      <c r="D2809" s="3">
        <v>2021</v>
      </c>
      <c r="E2809" s="78">
        <f t="shared" si="449"/>
        <v>8</v>
      </c>
      <c r="F2809" s="74" t="s">
        <v>36</v>
      </c>
      <c r="G2809" s="77">
        <f t="shared" si="450"/>
        <v>23080</v>
      </c>
      <c r="H2809" s="77">
        <f t="shared" si="451"/>
        <v>23230</v>
      </c>
      <c r="I2809" s="76">
        <v>0.4</v>
      </c>
    </row>
    <row r="2810" spans="3:9" x14ac:dyDescent="0.35">
      <c r="C2810" t="s">
        <v>312</v>
      </c>
      <c r="D2810" s="3">
        <v>2021</v>
      </c>
      <c r="E2810" s="78">
        <f t="shared" si="449"/>
        <v>8</v>
      </c>
      <c r="F2810" s="74" t="s">
        <v>36</v>
      </c>
      <c r="G2810" s="77">
        <f t="shared" si="450"/>
        <v>23230</v>
      </c>
      <c r="H2810" s="77">
        <f t="shared" si="451"/>
        <v>23380</v>
      </c>
      <c r="I2810" s="76">
        <v>0.3</v>
      </c>
    </row>
    <row r="2811" spans="3:9" x14ac:dyDescent="0.35">
      <c r="C2811" t="s">
        <v>312</v>
      </c>
      <c r="D2811" s="3">
        <v>2021</v>
      </c>
      <c r="E2811" s="78">
        <f t="shared" si="449"/>
        <v>8</v>
      </c>
      <c r="F2811" s="74" t="s">
        <v>36</v>
      </c>
      <c r="G2811" s="77">
        <f t="shared" si="450"/>
        <v>23380</v>
      </c>
      <c r="H2811" s="77">
        <f t="shared" si="451"/>
        <v>23530</v>
      </c>
      <c r="I2811" s="76">
        <v>0.2</v>
      </c>
    </row>
    <row r="2812" spans="3:9" x14ac:dyDescent="0.35">
      <c r="C2812" t="s">
        <v>312</v>
      </c>
      <c r="D2812" s="3">
        <v>2021</v>
      </c>
      <c r="E2812" s="78">
        <f t="shared" si="449"/>
        <v>8</v>
      </c>
      <c r="F2812" s="74" t="s">
        <v>36</v>
      </c>
      <c r="G2812" s="77">
        <f t="shared" si="450"/>
        <v>23530</v>
      </c>
      <c r="H2812" s="77">
        <f>H2811+150</f>
        <v>23680</v>
      </c>
      <c r="I2812" s="76">
        <v>0.1</v>
      </c>
    </row>
    <row r="2813" spans="3:9" x14ac:dyDescent="0.35">
      <c r="C2813" t="s">
        <v>312</v>
      </c>
      <c r="D2813" s="3">
        <v>2021</v>
      </c>
      <c r="E2813" s="78">
        <f t="shared" si="449"/>
        <v>8</v>
      </c>
      <c r="F2813" s="74" t="s">
        <v>36</v>
      </c>
      <c r="G2813" s="77">
        <f t="shared" si="450"/>
        <v>23680</v>
      </c>
      <c r="H2813" s="77"/>
      <c r="I2813" s="76">
        <v>0</v>
      </c>
    </row>
    <row r="2814" spans="3:9" x14ac:dyDescent="0.35">
      <c r="C2814" t="s">
        <v>312</v>
      </c>
      <c r="D2814" s="3">
        <v>2021</v>
      </c>
      <c r="E2814" s="73">
        <v>9</v>
      </c>
      <c r="F2814" s="74" t="s">
        <v>36</v>
      </c>
      <c r="G2814" s="77">
        <v>0</v>
      </c>
      <c r="H2814" s="77">
        <f>H2803</f>
        <v>22330</v>
      </c>
      <c r="I2814" s="76">
        <v>1</v>
      </c>
    </row>
    <row r="2815" spans="3:9" x14ac:dyDescent="0.35">
      <c r="C2815" t="s">
        <v>312</v>
      </c>
      <c r="D2815" s="3">
        <v>2021</v>
      </c>
      <c r="E2815" s="78">
        <f>E2814</f>
        <v>9</v>
      </c>
      <c r="F2815" s="74" t="s">
        <v>36</v>
      </c>
      <c r="G2815" s="77">
        <f>H2814</f>
        <v>22330</v>
      </c>
      <c r="H2815" s="77">
        <f>H2814+150</f>
        <v>22480</v>
      </c>
      <c r="I2815" s="76">
        <v>0.9</v>
      </c>
    </row>
    <row r="2816" spans="3:9" x14ac:dyDescent="0.35">
      <c r="C2816" t="s">
        <v>312</v>
      </c>
      <c r="D2816" s="3">
        <v>2021</v>
      </c>
      <c r="E2816" s="78">
        <f t="shared" ref="E2816:E2824" si="452">E2815</f>
        <v>9</v>
      </c>
      <c r="F2816" s="74" t="s">
        <v>36</v>
      </c>
      <c r="G2816" s="77">
        <f t="shared" ref="G2816:G2824" si="453">H2815</f>
        <v>22480</v>
      </c>
      <c r="H2816" s="77">
        <f t="shared" ref="H2816:H2822" si="454">H2815+150</f>
        <v>22630</v>
      </c>
      <c r="I2816" s="76">
        <v>0.8</v>
      </c>
    </row>
    <row r="2817" spans="3:9" x14ac:dyDescent="0.35">
      <c r="C2817" t="s">
        <v>312</v>
      </c>
      <c r="D2817" s="3">
        <v>2021</v>
      </c>
      <c r="E2817" s="78">
        <f t="shared" si="452"/>
        <v>9</v>
      </c>
      <c r="F2817" s="74" t="s">
        <v>36</v>
      </c>
      <c r="G2817" s="77">
        <f t="shared" si="453"/>
        <v>22630</v>
      </c>
      <c r="H2817" s="77">
        <f t="shared" si="454"/>
        <v>22780</v>
      </c>
      <c r="I2817" s="76">
        <v>0.7</v>
      </c>
    </row>
    <row r="2818" spans="3:9" x14ac:dyDescent="0.35">
      <c r="C2818" t="s">
        <v>312</v>
      </c>
      <c r="D2818" s="3">
        <v>2021</v>
      </c>
      <c r="E2818" s="78">
        <f t="shared" si="452"/>
        <v>9</v>
      </c>
      <c r="F2818" s="74" t="s">
        <v>36</v>
      </c>
      <c r="G2818" s="77">
        <f t="shared" si="453"/>
        <v>22780</v>
      </c>
      <c r="H2818" s="77">
        <f t="shared" si="454"/>
        <v>22930</v>
      </c>
      <c r="I2818" s="76">
        <v>0.6</v>
      </c>
    </row>
    <row r="2819" spans="3:9" x14ac:dyDescent="0.35">
      <c r="C2819" t="s">
        <v>312</v>
      </c>
      <c r="D2819" s="3">
        <v>2021</v>
      </c>
      <c r="E2819" s="78">
        <f t="shared" si="452"/>
        <v>9</v>
      </c>
      <c r="F2819" s="74" t="s">
        <v>36</v>
      </c>
      <c r="G2819" s="77">
        <f t="shared" si="453"/>
        <v>22930</v>
      </c>
      <c r="H2819" s="77">
        <f t="shared" si="454"/>
        <v>23080</v>
      </c>
      <c r="I2819" s="76">
        <v>0.5</v>
      </c>
    </row>
    <row r="2820" spans="3:9" x14ac:dyDescent="0.35">
      <c r="C2820" t="s">
        <v>312</v>
      </c>
      <c r="D2820" s="3">
        <v>2021</v>
      </c>
      <c r="E2820" s="78">
        <f t="shared" si="452"/>
        <v>9</v>
      </c>
      <c r="F2820" s="74" t="s">
        <v>36</v>
      </c>
      <c r="G2820" s="77">
        <f t="shared" si="453"/>
        <v>23080</v>
      </c>
      <c r="H2820" s="77">
        <f t="shared" si="454"/>
        <v>23230</v>
      </c>
      <c r="I2820" s="76">
        <v>0.4</v>
      </c>
    </row>
    <row r="2821" spans="3:9" x14ac:dyDescent="0.35">
      <c r="C2821" t="s">
        <v>312</v>
      </c>
      <c r="D2821" s="3">
        <v>2021</v>
      </c>
      <c r="E2821" s="78">
        <f t="shared" si="452"/>
        <v>9</v>
      </c>
      <c r="F2821" s="74" t="s">
        <v>36</v>
      </c>
      <c r="G2821" s="77">
        <f t="shared" si="453"/>
        <v>23230</v>
      </c>
      <c r="H2821" s="77">
        <f t="shared" si="454"/>
        <v>23380</v>
      </c>
      <c r="I2821" s="76">
        <v>0.3</v>
      </c>
    </row>
    <row r="2822" spans="3:9" x14ac:dyDescent="0.35">
      <c r="C2822" t="s">
        <v>312</v>
      </c>
      <c r="D2822" s="3">
        <v>2021</v>
      </c>
      <c r="E2822" s="78">
        <f t="shared" si="452"/>
        <v>9</v>
      </c>
      <c r="F2822" s="74" t="s">
        <v>36</v>
      </c>
      <c r="G2822" s="77">
        <f t="shared" si="453"/>
        <v>23380</v>
      </c>
      <c r="H2822" s="77">
        <f t="shared" si="454"/>
        <v>23530</v>
      </c>
      <c r="I2822" s="76">
        <v>0.2</v>
      </c>
    </row>
    <row r="2823" spans="3:9" x14ac:dyDescent="0.35">
      <c r="C2823" t="s">
        <v>312</v>
      </c>
      <c r="D2823" s="3">
        <v>2021</v>
      </c>
      <c r="E2823" s="78">
        <f t="shared" si="452"/>
        <v>9</v>
      </c>
      <c r="F2823" s="74" t="s">
        <v>36</v>
      </c>
      <c r="G2823" s="77">
        <f t="shared" si="453"/>
        <v>23530</v>
      </c>
      <c r="H2823" s="77">
        <f>H2822+150</f>
        <v>23680</v>
      </c>
      <c r="I2823" s="76">
        <v>0.1</v>
      </c>
    </row>
    <row r="2824" spans="3:9" x14ac:dyDescent="0.35">
      <c r="C2824" t="s">
        <v>312</v>
      </c>
      <c r="D2824" s="3">
        <v>2021</v>
      </c>
      <c r="E2824" s="78">
        <f t="shared" si="452"/>
        <v>9</v>
      </c>
      <c r="F2824" s="74" t="s">
        <v>36</v>
      </c>
      <c r="G2824" s="77">
        <f t="shared" si="453"/>
        <v>23680</v>
      </c>
      <c r="H2824" s="77"/>
      <c r="I2824" s="76">
        <v>0</v>
      </c>
    </row>
    <row r="2825" spans="3:9" x14ac:dyDescent="0.35">
      <c r="C2825" t="s">
        <v>312</v>
      </c>
      <c r="D2825" s="3">
        <v>2021</v>
      </c>
      <c r="E2825" s="73">
        <v>10</v>
      </c>
      <c r="F2825" s="74" t="s">
        <v>36</v>
      </c>
      <c r="G2825" s="77">
        <v>0</v>
      </c>
      <c r="H2825" s="77">
        <f>H2814</f>
        <v>22330</v>
      </c>
      <c r="I2825" s="76">
        <v>1</v>
      </c>
    </row>
    <row r="2826" spans="3:9" x14ac:dyDescent="0.35">
      <c r="C2826" t="s">
        <v>312</v>
      </c>
      <c r="D2826" s="3">
        <v>2021</v>
      </c>
      <c r="E2826" s="78">
        <f>E2825</f>
        <v>10</v>
      </c>
      <c r="F2826" s="74" t="s">
        <v>36</v>
      </c>
      <c r="G2826" s="77">
        <f>H2825</f>
        <v>22330</v>
      </c>
      <c r="H2826" s="77">
        <f>H2825+150</f>
        <v>22480</v>
      </c>
      <c r="I2826" s="76">
        <v>0.9</v>
      </c>
    </row>
    <row r="2827" spans="3:9" x14ac:dyDescent="0.35">
      <c r="C2827" t="s">
        <v>312</v>
      </c>
      <c r="D2827" s="3">
        <v>2021</v>
      </c>
      <c r="E2827" s="78">
        <f t="shared" ref="E2827:E2835" si="455">E2826</f>
        <v>10</v>
      </c>
      <c r="F2827" s="74" t="s">
        <v>36</v>
      </c>
      <c r="G2827" s="77">
        <f t="shared" ref="G2827:G2835" si="456">H2826</f>
        <v>22480</v>
      </c>
      <c r="H2827" s="77">
        <f t="shared" ref="H2827:H2833" si="457">H2826+150</f>
        <v>22630</v>
      </c>
      <c r="I2827" s="76">
        <v>0.8</v>
      </c>
    </row>
    <row r="2828" spans="3:9" x14ac:dyDescent="0.35">
      <c r="C2828" t="s">
        <v>312</v>
      </c>
      <c r="D2828" s="3">
        <v>2021</v>
      </c>
      <c r="E2828" s="78">
        <f t="shared" si="455"/>
        <v>10</v>
      </c>
      <c r="F2828" s="74" t="s">
        <v>36</v>
      </c>
      <c r="G2828" s="77">
        <f t="shared" si="456"/>
        <v>22630</v>
      </c>
      <c r="H2828" s="77">
        <f t="shared" si="457"/>
        <v>22780</v>
      </c>
      <c r="I2828" s="76">
        <v>0.7</v>
      </c>
    </row>
    <row r="2829" spans="3:9" x14ac:dyDescent="0.35">
      <c r="C2829" t="s">
        <v>312</v>
      </c>
      <c r="D2829" s="3">
        <v>2021</v>
      </c>
      <c r="E2829" s="78">
        <f t="shared" si="455"/>
        <v>10</v>
      </c>
      <c r="F2829" s="74" t="s">
        <v>36</v>
      </c>
      <c r="G2829" s="77">
        <f t="shared" si="456"/>
        <v>22780</v>
      </c>
      <c r="H2829" s="77">
        <f t="shared" si="457"/>
        <v>22930</v>
      </c>
      <c r="I2829" s="76">
        <v>0.6</v>
      </c>
    </row>
    <row r="2830" spans="3:9" x14ac:dyDescent="0.35">
      <c r="C2830" t="s">
        <v>312</v>
      </c>
      <c r="D2830" s="3">
        <v>2021</v>
      </c>
      <c r="E2830" s="78">
        <f t="shared" si="455"/>
        <v>10</v>
      </c>
      <c r="F2830" s="74" t="s">
        <v>36</v>
      </c>
      <c r="G2830" s="77">
        <f t="shared" si="456"/>
        <v>22930</v>
      </c>
      <c r="H2830" s="77">
        <f t="shared" si="457"/>
        <v>23080</v>
      </c>
      <c r="I2830" s="76">
        <v>0.5</v>
      </c>
    </row>
    <row r="2831" spans="3:9" x14ac:dyDescent="0.35">
      <c r="C2831" t="s">
        <v>312</v>
      </c>
      <c r="D2831" s="3">
        <v>2021</v>
      </c>
      <c r="E2831" s="78">
        <f t="shared" si="455"/>
        <v>10</v>
      </c>
      <c r="F2831" s="74" t="s">
        <v>36</v>
      </c>
      <c r="G2831" s="77">
        <f t="shared" si="456"/>
        <v>23080</v>
      </c>
      <c r="H2831" s="77">
        <f t="shared" si="457"/>
        <v>23230</v>
      </c>
      <c r="I2831" s="76">
        <v>0.4</v>
      </c>
    </row>
    <row r="2832" spans="3:9" x14ac:dyDescent="0.35">
      <c r="C2832" t="s">
        <v>312</v>
      </c>
      <c r="D2832" s="3">
        <v>2021</v>
      </c>
      <c r="E2832" s="78">
        <f t="shared" si="455"/>
        <v>10</v>
      </c>
      <c r="F2832" s="74" t="s">
        <v>36</v>
      </c>
      <c r="G2832" s="77">
        <f t="shared" si="456"/>
        <v>23230</v>
      </c>
      <c r="H2832" s="77">
        <f t="shared" si="457"/>
        <v>23380</v>
      </c>
      <c r="I2832" s="76">
        <v>0.3</v>
      </c>
    </row>
    <row r="2833" spans="3:9" x14ac:dyDescent="0.35">
      <c r="C2833" t="s">
        <v>312</v>
      </c>
      <c r="D2833" s="3">
        <v>2021</v>
      </c>
      <c r="E2833" s="78">
        <f t="shared" si="455"/>
        <v>10</v>
      </c>
      <c r="F2833" s="74" t="s">
        <v>36</v>
      </c>
      <c r="G2833" s="77">
        <f t="shared" si="456"/>
        <v>23380</v>
      </c>
      <c r="H2833" s="77">
        <f t="shared" si="457"/>
        <v>23530</v>
      </c>
      <c r="I2833" s="76">
        <v>0.2</v>
      </c>
    </row>
    <row r="2834" spans="3:9" x14ac:dyDescent="0.35">
      <c r="C2834" t="s">
        <v>312</v>
      </c>
      <c r="D2834" s="3">
        <v>2021</v>
      </c>
      <c r="E2834" s="78">
        <f t="shared" si="455"/>
        <v>10</v>
      </c>
      <c r="F2834" s="74" t="s">
        <v>36</v>
      </c>
      <c r="G2834" s="77">
        <f t="shared" si="456"/>
        <v>23530</v>
      </c>
      <c r="H2834" s="77">
        <f>H2833+150</f>
        <v>23680</v>
      </c>
      <c r="I2834" s="76">
        <v>0.1</v>
      </c>
    </row>
    <row r="2835" spans="3:9" x14ac:dyDescent="0.35">
      <c r="C2835" t="s">
        <v>312</v>
      </c>
      <c r="D2835" s="3">
        <v>2021</v>
      </c>
      <c r="E2835" s="78">
        <f t="shared" si="455"/>
        <v>10</v>
      </c>
      <c r="F2835" s="74" t="s">
        <v>36</v>
      </c>
      <c r="G2835" s="77">
        <f t="shared" si="456"/>
        <v>23680</v>
      </c>
      <c r="H2835" s="77"/>
      <c r="I2835" s="76">
        <v>0</v>
      </c>
    </row>
    <row r="2836" spans="3:9" x14ac:dyDescent="0.35">
      <c r="C2836" t="s">
        <v>312</v>
      </c>
      <c r="D2836" s="3">
        <v>2022</v>
      </c>
      <c r="E2836" s="73">
        <v>1</v>
      </c>
      <c r="F2836" s="74" t="s">
        <v>54</v>
      </c>
      <c r="G2836" s="75">
        <v>0</v>
      </c>
      <c r="H2836" s="75">
        <v>13590</v>
      </c>
      <c r="I2836" s="76">
        <v>1</v>
      </c>
    </row>
    <row r="2837" spans="3:9" x14ac:dyDescent="0.35">
      <c r="C2837" t="s">
        <v>312</v>
      </c>
      <c r="D2837" s="3">
        <v>2022</v>
      </c>
      <c r="E2837" s="73">
        <v>1</v>
      </c>
      <c r="F2837" s="74" t="s">
        <v>54</v>
      </c>
      <c r="G2837" s="77">
        <f>H2836</f>
        <v>13590</v>
      </c>
      <c r="H2837" s="77">
        <f>H2836+300</f>
        <v>13890</v>
      </c>
      <c r="I2837" s="76">
        <v>0.9</v>
      </c>
    </row>
    <row r="2838" spans="3:9" x14ac:dyDescent="0.35">
      <c r="C2838" t="s">
        <v>312</v>
      </c>
      <c r="D2838" s="3">
        <v>2022</v>
      </c>
      <c r="E2838" s="73">
        <v>1</v>
      </c>
      <c r="F2838" s="74" t="s">
        <v>54</v>
      </c>
      <c r="G2838" s="77">
        <f t="shared" ref="G2838:G2846" si="458">H2837</f>
        <v>13890</v>
      </c>
      <c r="H2838" s="77">
        <f t="shared" ref="H2838:H2845" si="459">H2837+300</f>
        <v>14190</v>
      </c>
      <c r="I2838" s="76">
        <v>0.8</v>
      </c>
    </row>
    <row r="2839" spans="3:9" x14ac:dyDescent="0.35">
      <c r="C2839" t="s">
        <v>312</v>
      </c>
      <c r="D2839" s="3">
        <v>2022</v>
      </c>
      <c r="E2839" s="73">
        <v>1</v>
      </c>
      <c r="F2839" s="74" t="s">
        <v>54</v>
      </c>
      <c r="G2839" s="77">
        <f t="shared" si="458"/>
        <v>14190</v>
      </c>
      <c r="H2839" s="77">
        <f t="shared" si="459"/>
        <v>14490</v>
      </c>
      <c r="I2839" s="76">
        <v>0.7</v>
      </c>
    </row>
    <row r="2840" spans="3:9" x14ac:dyDescent="0.35">
      <c r="C2840" t="s">
        <v>312</v>
      </c>
      <c r="D2840" s="3">
        <v>2022</v>
      </c>
      <c r="E2840" s="73">
        <v>1</v>
      </c>
      <c r="F2840" s="74" t="s">
        <v>54</v>
      </c>
      <c r="G2840" s="77">
        <f t="shared" si="458"/>
        <v>14490</v>
      </c>
      <c r="H2840" s="77">
        <f t="shared" si="459"/>
        <v>14790</v>
      </c>
      <c r="I2840" s="76">
        <v>0.6</v>
      </c>
    </row>
    <row r="2841" spans="3:9" x14ac:dyDescent="0.35">
      <c r="C2841" t="s">
        <v>312</v>
      </c>
      <c r="D2841" s="3">
        <v>2022</v>
      </c>
      <c r="E2841" s="73">
        <v>1</v>
      </c>
      <c r="F2841" s="74" t="s">
        <v>54</v>
      </c>
      <c r="G2841" s="77">
        <f t="shared" si="458"/>
        <v>14790</v>
      </c>
      <c r="H2841" s="77">
        <f t="shared" si="459"/>
        <v>15090</v>
      </c>
      <c r="I2841" s="76">
        <v>0.5</v>
      </c>
    </row>
    <row r="2842" spans="3:9" x14ac:dyDescent="0.35">
      <c r="C2842" t="s">
        <v>312</v>
      </c>
      <c r="D2842" s="3">
        <v>2022</v>
      </c>
      <c r="E2842" s="73">
        <v>1</v>
      </c>
      <c r="F2842" s="74" t="s">
        <v>54</v>
      </c>
      <c r="G2842" s="77">
        <f t="shared" si="458"/>
        <v>15090</v>
      </c>
      <c r="H2842" s="77">
        <f t="shared" si="459"/>
        <v>15390</v>
      </c>
      <c r="I2842" s="76">
        <v>0.4</v>
      </c>
    </row>
    <row r="2843" spans="3:9" x14ac:dyDescent="0.35">
      <c r="C2843" t="s">
        <v>312</v>
      </c>
      <c r="D2843" s="3">
        <v>2022</v>
      </c>
      <c r="E2843" s="73">
        <v>1</v>
      </c>
      <c r="F2843" s="74" t="s">
        <v>54</v>
      </c>
      <c r="G2843" s="77">
        <f t="shared" si="458"/>
        <v>15390</v>
      </c>
      <c r="H2843" s="77">
        <f t="shared" si="459"/>
        <v>15690</v>
      </c>
      <c r="I2843" s="76">
        <v>0.3</v>
      </c>
    </row>
    <row r="2844" spans="3:9" x14ac:dyDescent="0.35">
      <c r="C2844" t="s">
        <v>312</v>
      </c>
      <c r="D2844" s="3">
        <v>2022</v>
      </c>
      <c r="E2844" s="73">
        <v>1</v>
      </c>
      <c r="F2844" s="74" t="s">
        <v>54</v>
      </c>
      <c r="G2844" s="77">
        <f t="shared" si="458"/>
        <v>15690</v>
      </c>
      <c r="H2844" s="77">
        <f t="shared" si="459"/>
        <v>15990</v>
      </c>
      <c r="I2844" s="76">
        <v>0.2</v>
      </c>
    </row>
    <row r="2845" spans="3:9" x14ac:dyDescent="0.35">
      <c r="C2845" t="s">
        <v>312</v>
      </c>
      <c r="D2845" s="3">
        <v>2022</v>
      </c>
      <c r="E2845" s="73">
        <v>1</v>
      </c>
      <c r="F2845" s="74" t="s">
        <v>54</v>
      </c>
      <c r="G2845" s="77">
        <f t="shared" si="458"/>
        <v>15990</v>
      </c>
      <c r="H2845" s="77">
        <f t="shared" si="459"/>
        <v>16290</v>
      </c>
      <c r="I2845" s="76">
        <v>0.1</v>
      </c>
    </row>
    <row r="2846" spans="3:9" x14ac:dyDescent="0.35">
      <c r="C2846" t="s">
        <v>312</v>
      </c>
      <c r="D2846" s="3">
        <v>2022</v>
      </c>
      <c r="E2846" s="73">
        <v>1</v>
      </c>
      <c r="F2846" s="74" t="s">
        <v>54</v>
      </c>
      <c r="G2846" s="77">
        <f t="shared" si="458"/>
        <v>16290</v>
      </c>
      <c r="H2846" s="77"/>
      <c r="I2846" s="76">
        <v>0</v>
      </c>
    </row>
    <row r="2847" spans="3:9" x14ac:dyDescent="0.35">
      <c r="C2847" t="s">
        <v>312</v>
      </c>
      <c r="D2847" s="3">
        <v>2022</v>
      </c>
      <c r="E2847" s="73">
        <v>1</v>
      </c>
      <c r="F2847" s="74" t="s">
        <v>34</v>
      </c>
      <c r="G2847" s="75">
        <v>0</v>
      </c>
      <c r="H2847" s="75">
        <f>H2836</f>
        <v>13590</v>
      </c>
      <c r="I2847" s="76">
        <v>1</v>
      </c>
    </row>
    <row r="2848" spans="3:9" x14ac:dyDescent="0.35">
      <c r="C2848" t="s">
        <v>312</v>
      </c>
      <c r="D2848" s="3">
        <v>2022</v>
      </c>
      <c r="E2848" s="73">
        <v>1</v>
      </c>
      <c r="F2848" s="74" t="s">
        <v>34</v>
      </c>
      <c r="G2848" s="77">
        <f>H2847</f>
        <v>13590</v>
      </c>
      <c r="H2848" s="77">
        <f>H2847+300</f>
        <v>13890</v>
      </c>
      <c r="I2848" s="76">
        <v>0.9</v>
      </c>
    </row>
    <row r="2849" spans="3:9" x14ac:dyDescent="0.35">
      <c r="C2849" t="s">
        <v>312</v>
      </c>
      <c r="D2849" s="3">
        <v>2022</v>
      </c>
      <c r="E2849" s="73">
        <v>1</v>
      </c>
      <c r="F2849" s="74" t="s">
        <v>34</v>
      </c>
      <c r="G2849" s="77">
        <f t="shared" ref="G2849:G2857" si="460">H2848</f>
        <v>13890</v>
      </c>
      <c r="H2849" s="77">
        <f t="shared" ref="H2849:H2856" si="461">H2848+300</f>
        <v>14190</v>
      </c>
      <c r="I2849" s="76">
        <v>0.8</v>
      </c>
    </row>
    <row r="2850" spans="3:9" x14ac:dyDescent="0.35">
      <c r="C2850" t="s">
        <v>312</v>
      </c>
      <c r="D2850" s="3">
        <v>2022</v>
      </c>
      <c r="E2850" s="73">
        <v>1</v>
      </c>
      <c r="F2850" s="74" t="s">
        <v>34</v>
      </c>
      <c r="G2850" s="77">
        <f t="shared" si="460"/>
        <v>14190</v>
      </c>
      <c r="H2850" s="77">
        <f t="shared" si="461"/>
        <v>14490</v>
      </c>
      <c r="I2850" s="76">
        <v>0.7</v>
      </c>
    </row>
    <row r="2851" spans="3:9" x14ac:dyDescent="0.35">
      <c r="C2851" t="s">
        <v>312</v>
      </c>
      <c r="D2851" s="3">
        <v>2022</v>
      </c>
      <c r="E2851" s="73">
        <v>1</v>
      </c>
      <c r="F2851" s="74" t="s">
        <v>34</v>
      </c>
      <c r="G2851" s="77">
        <f t="shared" si="460"/>
        <v>14490</v>
      </c>
      <c r="H2851" s="77">
        <f t="shared" si="461"/>
        <v>14790</v>
      </c>
      <c r="I2851" s="76">
        <v>0.6</v>
      </c>
    </row>
    <row r="2852" spans="3:9" x14ac:dyDescent="0.35">
      <c r="C2852" t="s">
        <v>312</v>
      </c>
      <c r="D2852" s="3">
        <v>2022</v>
      </c>
      <c r="E2852" s="73">
        <v>1</v>
      </c>
      <c r="F2852" s="74" t="s">
        <v>34</v>
      </c>
      <c r="G2852" s="77">
        <f t="shared" si="460"/>
        <v>14790</v>
      </c>
      <c r="H2852" s="77">
        <f t="shared" si="461"/>
        <v>15090</v>
      </c>
      <c r="I2852" s="76">
        <v>0.5</v>
      </c>
    </row>
    <row r="2853" spans="3:9" x14ac:dyDescent="0.35">
      <c r="C2853" t="s">
        <v>312</v>
      </c>
      <c r="D2853" s="3">
        <v>2022</v>
      </c>
      <c r="E2853" s="73">
        <v>1</v>
      </c>
      <c r="F2853" s="74" t="s">
        <v>34</v>
      </c>
      <c r="G2853" s="77">
        <f t="shared" si="460"/>
        <v>15090</v>
      </c>
      <c r="H2853" s="77">
        <f t="shared" si="461"/>
        <v>15390</v>
      </c>
      <c r="I2853" s="76">
        <v>0.4</v>
      </c>
    </row>
    <row r="2854" spans="3:9" x14ac:dyDescent="0.35">
      <c r="C2854" t="s">
        <v>312</v>
      </c>
      <c r="D2854" s="3">
        <v>2022</v>
      </c>
      <c r="E2854" s="73">
        <v>1</v>
      </c>
      <c r="F2854" s="74" t="s">
        <v>34</v>
      </c>
      <c r="G2854" s="77">
        <f t="shared" si="460"/>
        <v>15390</v>
      </c>
      <c r="H2854" s="77">
        <f t="shared" si="461"/>
        <v>15690</v>
      </c>
      <c r="I2854" s="76">
        <v>0.3</v>
      </c>
    </row>
    <row r="2855" spans="3:9" x14ac:dyDescent="0.35">
      <c r="C2855" t="s">
        <v>312</v>
      </c>
      <c r="D2855" s="3">
        <v>2022</v>
      </c>
      <c r="E2855" s="73">
        <v>1</v>
      </c>
      <c r="F2855" s="74" t="s">
        <v>34</v>
      </c>
      <c r="G2855" s="77">
        <f t="shared" si="460"/>
        <v>15690</v>
      </c>
      <c r="H2855" s="77">
        <f t="shared" si="461"/>
        <v>15990</v>
      </c>
      <c r="I2855" s="76">
        <v>0.2</v>
      </c>
    </row>
    <row r="2856" spans="3:9" x14ac:dyDescent="0.35">
      <c r="C2856" t="s">
        <v>312</v>
      </c>
      <c r="D2856" s="3">
        <v>2022</v>
      </c>
      <c r="E2856" s="73">
        <v>1</v>
      </c>
      <c r="F2856" s="74" t="s">
        <v>34</v>
      </c>
      <c r="G2856" s="77">
        <f t="shared" si="460"/>
        <v>15990</v>
      </c>
      <c r="H2856" s="77">
        <f t="shared" si="461"/>
        <v>16290</v>
      </c>
      <c r="I2856" s="76">
        <v>0.1</v>
      </c>
    </row>
    <row r="2857" spans="3:9" x14ac:dyDescent="0.35">
      <c r="C2857" t="s">
        <v>312</v>
      </c>
      <c r="D2857" s="3">
        <v>2022</v>
      </c>
      <c r="E2857" s="73">
        <v>1</v>
      </c>
      <c r="F2857" s="74" t="s">
        <v>34</v>
      </c>
      <c r="G2857" s="77">
        <f t="shared" si="460"/>
        <v>16290</v>
      </c>
      <c r="H2857" s="77"/>
      <c r="I2857" s="76">
        <v>0</v>
      </c>
    </row>
    <row r="2858" spans="3:9" x14ac:dyDescent="0.35">
      <c r="C2858" t="s">
        <v>312</v>
      </c>
      <c r="D2858" s="3">
        <v>2022</v>
      </c>
      <c r="E2858" s="73">
        <v>1</v>
      </c>
      <c r="F2858" s="74" t="s">
        <v>40</v>
      </c>
      <c r="G2858" s="75">
        <v>0</v>
      </c>
      <c r="H2858" s="75">
        <f>H2847</f>
        <v>13590</v>
      </c>
      <c r="I2858" s="76">
        <v>1</v>
      </c>
    </row>
    <row r="2859" spans="3:9" x14ac:dyDescent="0.35">
      <c r="C2859" t="s">
        <v>312</v>
      </c>
      <c r="D2859" s="3">
        <v>2022</v>
      </c>
      <c r="E2859" s="73">
        <v>1</v>
      </c>
      <c r="F2859" s="74" t="s">
        <v>40</v>
      </c>
      <c r="G2859" s="77">
        <f>H2858</f>
        <v>13590</v>
      </c>
      <c r="H2859" s="77">
        <f>H2858+300</f>
        <v>13890</v>
      </c>
      <c r="I2859" s="76">
        <v>0.9</v>
      </c>
    </row>
    <row r="2860" spans="3:9" x14ac:dyDescent="0.35">
      <c r="C2860" t="s">
        <v>312</v>
      </c>
      <c r="D2860" s="3">
        <v>2022</v>
      </c>
      <c r="E2860" s="73">
        <v>1</v>
      </c>
      <c r="F2860" s="74" t="s">
        <v>40</v>
      </c>
      <c r="G2860" s="77">
        <f t="shared" ref="G2860:G2868" si="462">H2859</f>
        <v>13890</v>
      </c>
      <c r="H2860" s="77">
        <f t="shared" ref="H2860:H2867" si="463">H2859+300</f>
        <v>14190</v>
      </c>
      <c r="I2860" s="76">
        <v>0.8</v>
      </c>
    </row>
    <row r="2861" spans="3:9" x14ac:dyDescent="0.35">
      <c r="C2861" t="s">
        <v>312</v>
      </c>
      <c r="D2861" s="3">
        <v>2022</v>
      </c>
      <c r="E2861" s="73">
        <v>1</v>
      </c>
      <c r="F2861" s="74" t="s">
        <v>40</v>
      </c>
      <c r="G2861" s="77">
        <f t="shared" si="462"/>
        <v>14190</v>
      </c>
      <c r="H2861" s="77">
        <f t="shared" si="463"/>
        <v>14490</v>
      </c>
      <c r="I2861" s="76">
        <v>0.7</v>
      </c>
    </row>
    <row r="2862" spans="3:9" x14ac:dyDescent="0.35">
      <c r="C2862" t="s">
        <v>312</v>
      </c>
      <c r="D2862" s="3">
        <v>2022</v>
      </c>
      <c r="E2862" s="73">
        <v>1</v>
      </c>
      <c r="F2862" s="74" t="s">
        <v>40</v>
      </c>
      <c r="G2862" s="77">
        <f t="shared" si="462"/>
        <v>14490</v>
      </c>
      <c r="H2862" s="77">
        <f t="shared" si="463"/>
        <v>14790</v>
      </c>
      <c r="I2862" s="76">
        <v>0.6</v>
      </c>
    </row>
    <row r="2863" spans="3:9" x14ac:dyDescent="0.35">
      <c r="C2863" t="s">
        <v>312</v>
      </c>
      <c r="D2863" s="3">
        <v>2022</v>
      </c>
      <c r="E2863" s="73">
        <v>1</v>
      </c>
      <c r="F2863" s="74" t="s">
        <v>40</v>
      </c>
      <c r="G2863" s="77">
        <f t="shared" si="462"/>
        <v>14790</v>
      </c>
      <c r="H2863" s="77">
        <f t="shared" si="463"/>
        <v>15090</v>
      </c>
      <c r="I2863" s="76">
        <v>0.5</v>
      </c>
    </row>
    <row r="2864" spans="3:9" x14ac:dyDescent="0.35">
      <c r="C2864" t="s">
        <v>312</v>
      </c>
      <c r="D2864" s="3">
        <v>2022</v>
      </c>
      <c r="E2864" s="73">
        <v>1</v>
      </c>
      <c r="F2864" s="74" t="s">
        <v>40</v>
      </c>
      <c r="G2864" s="77">
        <f t="shared" si="462"/>
        <v>15090</v>
      </c>
      <c r="H2864" s="77">
        <f t="shared" si="463"/>
        <v>15390</v>
      </c>
      <c r="I2864" s="76">
        <v>0.4</v>
      </c>
    </row>
    <row r="2865" spans="3:9" x14ac:dyDescent="0.35">
      <c r="C2865" t="s">
        <v>312</v>
      </c>
      <c r="D2865" s="3">
        <v>2022</v>
      </c>
      <c r="E2865" s="73">
        <v>1</v>
      </c>
      <c r="F2865" s="74" t="s">
        <v>40</v>
      </c>
      <c r="G2865" s="77">
        <f t="shared" si="462"/>
        <v>15390</v>
      </c>
      <c r="H2865" s="77">
        <f t="shared" si="463"/>
        <v>15690</v>
      </c>
      <c r="I2865" s="76">
        <v>0.3</v>
      </c>
    </row>
    <row r="2866" spans="3:9" x14ac:dyDescent="0.35">
      <c r="C2866" t="s">
        <v>312</v>
      </c>
      <c r="D2866" s="3">
        <v>2022</v>
      </c>
      <c r="E2866" s="73">
        <v>1</v>
      </c>
      <c r="F2866" s="74" t="s">
        <v>40</v>
      </c>
      <c r="G2866" s="77">
        <f t="shared" si="462"/>
        <v>15690</v>
      </c>
      <c r="H2866" s="77">
        <f t="shared" si="463"/>
        <v>15990</v>
      </c>
      <c r="I2866" s="76">
        <v>0.2</v>
      </c>
    </row>
    <row r="2867" spans="3:9" x14ac:dyDescent="0.35">
      <c r="C2867" t="s">
        <v>312</v>
      </c>
      <c r="D2867" s="3">
        <v>2022</v>
      </c>
      <c r="E2867" s="73">
        <v>1</v>
      </c>
      <c r="F2867" s="74" t="s">
        <v>40</v>
      </c>
      <c r="G2867" s="77">
        <f t="shared" si="462"/>
        <v>15990</v>
      </c>
      <c r="H2867" s="77">
        <f t="shared" si="463"/>
        <v>16290</v>
      </c>
      <c r="I2867" s="76">
        <v>0.1</v>
      </c>
    </row>
    <row r="2868" spans="3:9" x14ac:dyDescent="0.35">
      <c r="C2868" t="s">
        <v>312</v>
      </c>
      <c r="D2868" s="3">
        <v>2022</v>
      </c>
      <c r="E2868" s="73">
        <v>1</v>
      </c>
      <c r="F2868" s="74" t="s">
        <v>40</v>
      </c>
      <c r="G2868" s="77">
        <f t="shared" si="462"/>
        <v>16290</v>
      </c>
      <c r="H2868" s="77"/>
      <c r="I2868" s="76">
        <v>0</v>
      </c>
    </row>
    <row r="2869" spans="3:9" x14ac:dyDescent="0.35">
      <c r="C2869" t="s">
        <v>312</v>
      </c>
      <c r="D2869" s="3">
        <v>2022</v>
      </c>
      <c r="E2869" s="73">
        <v>1</v>
      </c>
      <c r="F2869" s="74" t="s">
        <v>313</v>
      </c>
      <c r="G2869" s="75">
        <v>0</v>
      </c>
      <c r="H2869" s="75">
        <f>H2858</f>
        <v>13590</v>
      </c>
      <c r="I2869" s="76">
        <v>1</v>
      </c>
    </row>
    <row r="2870" spans="3:9" x14ac:dyDescent="0.35">
      <c r="C2870" t="s">
        <v>312</v>
      </c>
      <c r="D2870" s="3">
        <v>2022</v>
      </c>
      <c r="E2870" s="73">
        <v>1</v>
      </c>
      <c r="F2870" s="74" t="s">
        <v>313</v>
      </c>
      <c r="G2870" s="77">
        <f>H2869</f>
        <v>13590</v>
      </c>
      <c r="H2870" s="77">
        <f>H2869+300</f>
        <v>13890</v>
      </c>
      <c r="I2870" s="76">
        <v>0.9</v>
      </c>
    </row>
    <row r="2871" spans="3:9" x14ac:dyDescent="0.35">
      <c r="C2871" t="s">
        <v>312</v>
      </c>
      <c r="D2871" s="3">
        <v>2022</v>
      </c>
      <c r="E2871" s="73">
        <v>1</v>
      </c>
      <c r="F2871" s="74" t="s">
        <v>313</v>
      </c>
      <c r="G2871" s="77">
        <f t="shared" ref="G2871:G2879" si="464">H2870</f>
        <v>13890</v>
      </c>
      <c r="H2871" s="77">
        <f t="shared" ref="H2871:H2878" si="465">H2870+300</f>
        <v>14190</v>
      </c>
      <c r="I2871" s="76">
        <v>0.8</v>
      </c>
    </row>
    <row r="2872" spans="3:9" x14ac:dyDescent="0.35">
      <c r="C2872" t="s">
        <v>312</v>
      </c>
      <c r="D2872" s="3">
        <v>2022</v>
      </c>
      <c r="E2872" s="73">
        <v>1</v>
      </c>
      <c r="F2872" s="74" t="s">
        <v>313</v>
      </c>
      <c r="G2872" s="77">
        <f t="shared" si="464"/>
        <v>14190</v>
      </c>
      <c r="H2872" s="77">
        <f t="shared" si="465"/>
        <v>14490</v>
      </c>
      <c r="I2872" s="76">
        <v>0.7</v>
      </c>
    </row>
    <row r="2873" spans="3:9" x14ac:dyDescent="0.35">
      <c r="C2873" t="s">
        <v>312</v>
      </c>
      <c r="D2873" s="3">
        <v>2022</v>
      </c>
      <c r="E2873" s="73">
        <v>1</v>
      </c>
      <c r="F2873" s="74" t="s">
        <v>313</v>
      </c>
      <c r="G2873" s="77">
        <f t="shared" si="464"/>
        <v>14490</v>
      </c>
      <c r="H2873" s="77">
        <f t="shared" si="465"/>
        <v>14790</v>
      </c>
      <c r="I2873" s="76">
        <v>0.6</v>
      </c>
    </row>
    <row r="2874" spans="3:9" x14ac:dyDescent="0.35">
      <c r="C2874" t="s">
        <v>312</v>
      </c>
      <c r="D2874" s="3">
        <v>2022</v>
      </c>
      <c r="E2874" s="73">
        <v>1</v>
      </c>
      <c r="F2874" s="74" t="s">
        <v>313</v>
      </c>
      <c r="G2874" s="77">
        <f t="shared" si="464"/>
        <v>14790</v>
      </c>
      <c r="H2874" s="77">
        <f t="shared" si="465"/>
        <v>15090</v>
      </c>
      <c r="I2874" s="76">
        <v>0.5</v>
      </c>
    </row>
    <row r="2875" spans="3:9" x14ac:dyDescent="0.35">
      <c r="C2875" t="s">
        <v>312</v>
      </c>
      <c r="D2875" s="3">
        <v>2022</v>
      </c>
      <c r="E2875" s="73">
        <v>1</v>
      </c>
      <c r="F2875" s="74" t="s">
        <v>313</v>
      </c>
      <c r="G2875" s="77">
        <f t="shared" si="464"/>
        <v>15090</v>
      </c>
      <c r="H2875" s="77">
        <f t="shared" si="465"/>
        <v>15390</v>
      </c>
      <c r="I2875" s="76">
        <v>0.4</v>
      </c>
    </row>
    <row r="2876" spans="3:9" x14ac:dyDescent="0.35">
      <c r="C2876" t="s">
        <v>312</v>
      </c>
      <c r="D2876" s="3">
        <v>2022</v>
      </c>
      <c r="E2876" s="73">
        <v>1</v>
      </c>
      <c r="F2876" s="74" t="s">
        <v>313</v>
      </c>
      <c r="G2876" s="77">
        <f t="shared" si="464"/>
        <v>15390</v>
      </c>
      <c r="H2876" s="77">
        <f t="shared" si="465"/>
        <v>15690</v>
      </c>
      <c r="I2876" s="76">
        <v>0.3</v>
      </c>
    </row>
    <row r="2877" spans="3:9" x14ac:dyDescent="0.35">
      <c r="C2877" t="s">
        <v>312</v>
      </c>
      <c r="D2877" s="3">
        <v>2022</v>
      </c>
      <c r="E2877" s="73">
        <v>1</v>
      </c>
      <c r="F2877" s="74" t="s">
        <v>313</v>
      </c>
      <c r="G2877" s="77">
        <f t="shared" si="464"/>
        <v>15690</v>
      </c>
      <c r="H2877" s="77">
        <f t="shared" si="465"/>
        <v>15990</v>
      </c>
      <c r="I2877" s="76">
        <v>0.2</v>
      </c>
    </row>
    <row r="2878" spans="3:9" x14ac:dyDescent="0.35">
      <c r="C2878" t="s">
        <v>312</v>
      </c>
      <c r="D2878" s="3">
        <v>2022</v>
      </c>
      <c r="E2878" s="73">
        <v>1</v>
      </c>
      <c r="F2878" s="74" t="s">
        <v>313</v>
      </c>
      <c r="G2878" s="77">
        <f t="shared" si="464"/>
        <v>15990</v>
      </c>
      <c r="H2878" s="77">
        <f t="shared" si="465"/>
        <v>16290</v>
      </c>
      <c r="I2878" s="76">
        <v>0.1</v>
      </c>
    </row>
    <row r="2879" spans="3:9" x14ac:dyDescent="0.35">
      <c r="C2879" t="s">
        <v>312</v>
      </c>
      <c r="D2879" s="3">
        <v>2022</v>
      </c>
      <c r="E2879" s="73">
        <v>1</v>
      </c>
      <c r="F2879" s="74" t="s">
        <v>313</v>
      </c>
      <c r="G2879" s="77">
        <f t="shared" si="464"/>
        <v>16290</v>
      </c>
      <c r="H2879" s="77"/>
      <c r="I2879" s="76">
        <v>0</v>
      </c>
    </row>
    <row r="2880" spans="3:9" x14ac:dyDescent="0.35">
      <c r="C2880" t="s">
        <v>312</v>
      </c>
      <c r="D2880" s="3">
        <v>2022</v>
      </c>
      <c r="E2880" s="73">
        <v>2</v>
      </c>
      <c r="F2880" s="74" t="s">
        <v>54</v>
      </c>
      <c r="G2880" s="77">
        <v>0</v>
      </c>
      <c r="H2880" s="77">
        <v>18310</v>
      </c>
      <c r="I2880" s="76">
        <v>1</v>
      </c>
    </row>
    <row r="2881" spans="3:9" x14ac:dyDescent="0.35">
      <c r="C2881" t="s">
        <v>312</v>
      </c>
      <c r="D2881" s="3">
        <v>2022</v>
      </c>
      <c r="E2881" s="78">
        <f>E2880</f>
        <v>2</v>
      </c>
      <c r="F2881" s="74" t="s">
        <v>54</v>
      </c>
      <c r="G2881" s="77">
        <f>H2880</f>
        <v>18310</v>
      </c>
      <c r="H2881" s="77">
        <f>H2880+300</f>
        <v>18610</v>
      </c>
      <c r="I2881" s="76">
        <v>0.9</v>
      </c>
    </row>
    <row r="2882" spans="3:9" x14ac:dyDescent="0.35">
      <c r="C2882" t="s">
        <v>312</v>
      </c>
      <c r="D2882" s="3">
        <v>2022</v>
      </c>
      <c r="E2882" s="78">
        <f t="shared" ref="E2882:E2923" si="466">E2881</f>
        <v>2</v>
      </c>
      <c r="F2882" s="74" t="s">
        <v>54</v>
      </c>
      <c r="G2882" s="77">
        <f t="shared" ref="G2882:G2890" si="467">H2881</f>
        <v>18610</v>
      </c>
      <c r="H2882" s="77">
        <f t="shared" ref="H2882:H2889" si="468">H2881+300</f>
        <v>18910</v>
      </c>
      <c r="I2882" s="76">
        <v>0.8</v>
      </c>
    </row>
    <row r="2883" spans="3:9" x14ac:dyDescent="0.35">
      <c r="C2883" t="s">
        <v>312</v>
      </c>
      <c r="D2883" s="3">
        <v>2022</v>
      </c>
      <c r="E2883" s="78">
        <f t="shared" si="466"/>
        <v>2</v>
      </c>
      <c r="F2883" s="74" t="s">
        <v>54</v>
      </c>
      <c r="G2883" s="77">
        <f t="shared" si="467"/>
        <v>18910</v>
      </c>
      <c r="H2883" s="77">
        <f t="shared" si="468"/>
        <v>19210</v>
      </c>
      <c r="I2883" s="76">
        <v>0.7</v>
      </c>
    </row>
    <row r="2884" spans="3:9" x14ac:dyDescent="0.35">
      <c r="C2884" t="s">
        <v>312</v>
      </c>
      <c r="D2884" s="3">
        <v>2022</v>
      </c>
      <c r="E2884" s="78">
        <f t="shared" si="466"/>
        <v>2</v>
      </c>
      <c r="F2884" s="74" t="s">
        <v>54</v>
      </c>
      <c r="G2884" s="77">
        <f t="shared" si="467"/>
        <v>19210</v>
      </c>
      <c r="H2884" s="77">
        <f t="shared" si="468"/>
        <v>19510</v>
      </c>
      <c r="I2884" s="76">
        <v>0.6</v>
      </c>
    </row>
    <row r="2885" spans="3:9" x14ac:dyDescent="0.35">
      <c r="C2885" t="s">
        <v>312</v>
      </c>
      <c r="D2885" s="3">
        <v>2022</v>
      </c>
      <c r="E2885" s="78">
        <f t="shared" si="466"/>
        <v>2</v>
      </c>
      <c r="F2885" s="74" t="s">
        <v>54</v>
      </c>
      <c r="G2885" s="77">
        <f t="shared" si="467"/>
        <v>19510</v>
      </c>
      <c r="H2885" s="77">
        <f t="shared" si="468"/>
        <v>19810</v>
      </c>
      <c r="I2885" s="76">
        <v>0.5</v>
      </c>
    </row>
    <row r="2886" spans="3:9" x14ac:dyDescent="0.35">
      <c r="C2886" t="s">
        <v>312</v>
      </c>
      <c r="D2886" s="3">
        <v>2022</v>
      </c>
      <c r="E2886" s="78">
        <f t="shared" si="466"/>
        <v>2</v>
      </c>
      <c r="F2886" s="74" t="s">
        <v>54</v>
      </c>
      <c r="G2886" s="77">
        <f t="shared" si="467"/>
        <v>19810</v>
      </c>
      <c r="H2886" s="77">
        <f t="shared" si="468"/>
        <v>20110</v>
      </c>
      <c r="I2886" s="76">
        <v>0.4</v>
      </c>
    </row>
    <row r="2887" spans="3:9" x14ac:dyDescent="0.35">
      <c r="C2887" t="s">
        <v>312</v>
      </c>
      <c r="D2887" s="3">
        <v>2022</v>
      </c>
      <c r="E2887" s="78">
        <f t="shared" si="466"/>
        <v>2</v>
      </c>
      <c r="F2887" s="74" t="s">
        <v>54</v>
      </c>
      <c r="G2887" s="77">
        <f t="shared" si="467"/>
        <v>20110</v>
      </c>
      <c r="H2887" s="77">
        <f t="shared" si="468"/>
        <v>20410</v>
      </c>
      <c r="I2887" s="76">
        <v>0.3</v>
      </c>
    </row>
    <row r="2888" spans="3:9" x14ac:dyDescent="0.35">
      <c r="C2888" t="s">
        <v>312</v>
      </c>
      <c r="D2888" s="3">
        <v>2022</v>
      </c>
      <c r="E2888" s="78">
        <f t="shared" si="466"/>
        <v>2</v>
      </c>
      <c r="F2888" s="74" t="s">
        <v>54</v>
      </c>
      <c r="G2888" s="77">
        <f t="shared" si="467"/>
        <v>20410</v>
      </c>
      <c r="H2888" s="77">
        <f t="shared" si="468"/>
        <v>20710</v>
      </c>
      <c r="I2888" s="76">
        <v>0.2</v>
      </c>
    </row>
    <row r="2889" spans="3:9" x14ac:dyDescent="0.35">
      <c r="C2889" t="s">
        <v>312</v>
      </c>
      <c r="D2889" s="3">
        <v>2022</v>
      </c>
      <c r="E2889" s="78">
        <f t="shared" si="466"/>
        <v>2</v>
      </c>
      <c r="F2889" s="74" t="s">
        <v>54</v>
      </c>
      <c r="G2889" s="77">
        <f t="shared" si="467"/>
        <v>20710</v>
      </c>
      <c r="H2889" s="77">
        <f t="shared" si="468"/>
        <v>21010</v>
      </c>
      <c r="I2889" s="76">
        <v>0.1</v>
      </c>
    </row>
    <row r="2890" spans="3:9" x14ac:dyDescent="0.35">
      <c r="C2890" t="s">
        <v>312</v>
      </c>
      <c r="D2890" s="3">
        <v>2022</v>
      </c>
      <c r="E2890" s="78">
        <f t="shared" si="466"/>
        <v>2</v>
      </c>
      <c r="F2890" s="74" t="s">
        <v>54</v>
      </c>
      <c r="G2890" s="77">
        <f t="shared" si="467"/>
        <v>21010</v>
      </c>
      <c r="H2890" s="77"/>
      <c r="I2890" s="76">
        <v>0</v>
      </c>
    </row>
    <row r="2891" spans="3:9" x14ac:dyDescent="0.35">
      <c r="C2891" t="s">
        <v>312</v>
      </c>
      <c r="D2891" s="3">
        <v>2022</v>
      </c>
      <c r="E2891" s="78">
        <f t="shared" si="466"/>
        <v>2</v>
      </c>
      <c r="F2891" s="74" t="s">
        <v>34</v>
      </c>
      <c r="G2891" s="77">
        <v>0</v>
      </c>
      <c r="H2891" s="75">
        <f>H2880</f>
        <v>18310</v>
      </c>
      <c r="I2891" s="76">
        <v>1</v>
      </c>
    </row>
    <row r="2892" spans="3:9" x14ac:dyDescent="0.35">
      <c r="C2892" t="s">
        <v>312</v>
      </c>
      <c r="D2892" s="3">
        <v>2022</v>
      </c>
      <c r="E2892" s="78">
        <f t="shared" si="466"/>
        <v>2</v>
      </c>
      <c r="F2892" s="74" t="s">
        <v>34</v>
      </c>
      <c r="G2892" s="77">
        <f>H2891</f>
        <v>18310</v>
      </c>
      <c r="H2892" s="77">
        <f>H2891+300</f>
        <v>18610</v>
      </c>
      <c r="I2892" s="76">
        <v>0.9</v>
      </c>
    </row>
    <row r="2893" spans="3:9" x14ac:dyDescent="0.35">
      <c r="C2893" t="s">
        <v>312</v>
      </c>
      <c r="D2893" s="3">
        <v>2022</v>
      </c>
      <c r="E2893" s="78">
        <f t="shared" si="466"/>
        <v>2</v>
      </c>
      <c r="F2893" s="74" t="s">
        <v>34</v>
      </c>
      <c r="G2893" s="77">
        <f t="shared" ref="G2893:G2901" si="469">H2892</f>
        <v>18610</v>
      </c>
      <c r="H2893" s="77">
        <f t="shared" ref="H2893:H2900" si="470">H2892+300</f>
        <v>18910</v>
      </c>
      <c r="I2893" s="76">
        <v>0.8</v>
      </c>
    </row>
    <row r="2894" spans="3:9" x14ac:dyDescent="0.35">
      <c r="C2894" t="s">
        <v>312</v>
      </c>
      <c r="D2894" s="3">
        <v>2022</v>
      </c>
      <c r="E2894" s="78">
        <f t="shared" si="466"/>
        <v>2</v>
      </c>
      <c r="F2894" s="74" t="s">
        <v>34</v>
      </c>
      <c r="G2894" s="77">
        <f t="shared" si="469"/>
        <v>18910</v>
      </c>
      <c r="H2894" s="77">
        <f t="shared" si="470"/>
        <v>19210</v>
      </c>
      <c r="I2894" s="76">
        <v>0.7</v>
      </c>
    </row>
    <row r="2895" spans="3:9" x14ac:dyDescent="0.35">
      <c r="C2895" t="s">
        <v>312</v>
      </c>
      <c r="D2895" s="3">
        <v>2022</v>
      </c>
      <c r="E2895" s="78">
        <f t="shared" si="466"/>
        <v>2</v>
      </c>
      <c r="F2895" s="74" t="s">
        <v>34</v>
      </c>
      <c r="G2895" s="77">
        <f t="shared" si="469"/>
        <v>19210</v>
      </c>
      <c r="H2895" s="77">
        <f t="shared" si="470"/>
        <v>19510</v>
      </c>
      <c r="I2895" s="76">
        <v>0.6</v>
      </c>
    </row>
    <row r="2896" spans="3:9" x14ac:dyDescent="0.35">
      <c r="C2896" t="s">
        <v>312</v>
      </c>
      <c r="D2896" s="3">
        <v>2022</v>
      </c>
      <c r="E2896" s="78">
        <f t="shared" si="466"/>
        <v>2</v>
      </c>
      <c r="F2896" s="74" t="s">
        <v>34</v>
      </c>
      <c r="G2896" s="77">
        <f t="shared" si="469"/>
        <v>19510</v>
      </c>
      <c r="H2896" s="77">
        <f t="shared" si="470"/>
        <v>19810</v>
      </c>
      <c r="I2896" s="76">
        <v>0.5</v>
      </c>
    </row>
    <row r="2897" spans="3:9" x14ac:dyDescent="0.35">
      <c r="C2897" t="s">
        <v>312</v>
      </c>
      <c r="D2897" s="3">
        <v>2022</v>
      </c>
      <c r="E2897" s="78">
        <f t="shared" si="466"/>
        <v>2</v>
      </c>
      <c r="F2897" s="74" t="s">
        <v>34</v>
      </c>
      <c r="G2897" s="77">
        <f t="shared" si="469"/>
        <v>19810</v>
      </c>
      <c r="H2897" s="77">
        <f t="shared" si="470"/>
        <v>20110</v>
      </c>
      <c r="I2897" s="76">
        <v>0.4</v>
      </c>
    </row>
    <row r="2898" spans="3:9" x14ac:dyDescent="0.35">
      <c r="C2898" t="s">
        <v>312</v>
      </c>
      <c r="D2898" s="3">
        <v>2022</v>
      </c>
      <c r="E2898" s="78">
        <f t="shared" si="466"/>
        <v>2</v>
      </c>
      <c r="F2898" s="74" t="s">
        <v>34</v>
      </c>
      <c r="G2898" s="77">
        <f t="shared" si="469"/>
        <v>20110</v>
      </c>
      <c r="H2898" s="77">
        <f t="shared" si="470"/>
        <v>20410</v>
      </c>
      <c r="I2898" s="76">
        <v>0.3</v>
      </c>
    </row>
    <row r="2899" spans="3:9" x14ac:dyDescent="0.35">
      <c r="C2899" t="s">
        <v>312</v>
      </c>
      <c r="D2899" s="3">
        <v>2022</v>
      </c>
      <c r="E2899" s="78">
        <f t="shared" si="466"/>
        <v>2</v>
      </c>
      <c r="F2899" s="74" t="s">
        <v>34</v>
      </c>
      <c r="G2899" s="77">
        <f t="shared" si="469"/>
        <v>20410</v>
      </c>
      <c r="H2899" s="77">
        <f t="shared" si="470"/>
        <v>20710</v>
      </c>
      <c r="I2899" s="76">
        <v>0.2</v>
      </c>
    </row>
    <row r="2900" spans="3:9" x14ac:dyDescent="0.35">
      <c r="C2900" t="s">
        <v>312</v>
      </c>
      <c r="D2900" s="3">
        <v>2022</v>
      </c>
      <c r="E2900" s="78">
        <f t="shared" si="466"/>
        <v>2</v>
      </c>
      <c r="F2900" s="74" t="s">
        <v>34</v>
      </c>
      <c r="G2900" s="77">
        <f t="shared" si="469"/>
        <v>20710</v>
      </c>
      <c r="H2900" s="77">
        <f t="shared" si="470"/>
        <v>21010</v>
      </c>
      <c r="I2900" s="76">
        <v>0.1</v>
      </c>
    </row>
    <row r="2901" spans="3:9" x14ac:dyDescent="0.35">
      <c r="C2901" t="s">
        <v>312</v>
      </c>
      <c r="D2901" s="3">
        <v>2022</v>
      </c>
      <c r="E2901" s="78">
        <f t="shared" si="466"/>
        <v>2</v>
      </c>
      <c r="F2901" s="74" t="s">
        <v>34</v>
      </c>
      <c r="G2901" s="77">
        <f t="shared" si="469"/>
        <v>21010</v>
      </c>
      <c r="H2901" s="77"/>
      <c r="I2901" s="76">
        <v>0</v>
      </c>
    </row>
    <row r="2902" spans="3:9" x14ac:dyDescent="0.35">
      <c r="C2902" t="s">
        <v>312</v>
      </c>
      <c r="D2902" s="3">
        <v>2022</v>
      </c>
      <c r="E2902" s="78">
        <f t="shared" si="466"/>
        <v>2</v>
      </c>
      <c r="F2902" s="74" t="s">
        <v>40</v>
      </c>
      <c r="G2902" s="77">
        <v>0</v>
      </c>
      <c r="H2902" s="75">
        <f>H2891</f>
        <v>18310</v>
      </c>
      <c r="I2902" s="76">
        <v>1</v>
      </c>
    </row>
    <row r="2903" spans="3:9" x14ac:dyDescent="0.35">
      <c r="C2903" t="s">
        <v>312</v>
      </c>
      <c r="D2903" s="3">
        <v>2022</v>
      </c>
      <c r="E2903" s="78">
        <f t="shared" si="466"/>
        <v>2</v>
      </c>
      <c r="F2903" s="74" t="s">
        <v>40</v>
      </c>
      <c r="G2903" s="77">
        <f>H2902</f>
        <v>18310</v>
      </c>
      <c r="H2903" s="77">
        <f>H2902+300</f>
        <v>18610</v>
      </c>
      <c r="I2903" s="76">
        <v>0.9</v>
      </c>
    </row>
    <row r="2904" spans="3:9" x14ac:dyDescent="0.35">
      <c r="C2904" t="s">
        <v>312</v>
      </c>
      <c r="D2904" s="3">
        <v>2022</v>
      </c>
      <c r="E2904" s="78">
        <f t="shared" si="466"/>
        <v>2</v>
      </c>
      <c r="F2904" s="74" t="s">
        <v>40</v>
      </c>
      <c r="G2904" s="77">
        <f t="shared" ref="G2904:G2912" si="471">H2903</f>
        <v>18610</v>
      </c>
      <c r="H2904" s="77">
        <f t="shared" ref="H2904:H2911" si="472">H2903+300</f>
        <v>18910</v>
      </c>
      <c r="I2904" s="76">
        <v>0.8</v>
      </c>
    </row>
    <row r="2905" spans="3:9" x14ac:dyDescent="0.35">
      <c r="C2905" t="s">
        <v>312</v>
      </c>
      <c r="D2905" s="3">
        <v>2022</v>
      </c>
      <c r="E2905" s="78">
        <f t="shared" si="466"/>
        <v>2</v>
      </c>
      <c r="F2905" s="74" t="s">
        <v>40</v>
      </c>
      <c r="G2905" s="77">
        <f t="shared" si="471"/>
        <v>18910</v>
      </c>
      <c r="H2905" s="77">
        <f t="shared" si="472"/>
        <v>19210</v>
      </c>
      <c r="I2905" s="76">
        <v>0.7</v>
      </c>
    </row>
    <row r="2906" spans="3:9" x14ac:dyDescent="0.35">
      <c r="C2906" t="s">
        <v>312</v>
      </c>
      <c r="D2906" s="3">
        <v>2022</v>
      </c>
      <c r="E2906" s="78">
        <f t="shared" si="466"/>
        <v>2</v>
      </c>
      <c r="F2906" s="74" t="s">
        <v>40</v>
      </c>
      <c r="G2906" s="77">
        <f t="shared" si="471"/>
        <v>19210</v>
      </c>
      <c r="H2906" s="77">
        <f t="shared" si="472"/>
        <v>19510</v>
      </c>
      <c r="I2906" s="76">
        <v>0.6</v>
      </c>
    </row>
    <row r="2907" spans="3:9" x14ac:dyDescent="0.35">
      <c r="C2907" t="s">
        <v>312</v>
      </c>
      <c r="D2907" s="3">
        <v>2022</v>
      </c>
      <c r="E2907" s="78">
        <f t="shared" si="466"/>
        <v>2</v>
      </c>
      <c r="F2907" s="74" t="s">
        <v>40</v>
      </c>
      <c r="G2907" s="77">
        <f t="shared" si="471"/>
        <v>19510</v>
      </c>
      <c r="H2907" s="77">
        <f t="shared" si="472"/>
        <v>19810</v>
      </c>
      <c r="I2907" s="76">
        <v>0.5</v>
      </c>
    </row>
    <row r="2908" spans="3:9" x14ac:dyDescent="0.35">
      <c r="C2908" t="s">
        <v>312</v>
      </c>
      <c r="D2908" s="3">
        <v>2022</v>
      </c>
      <c r="E2908" s="78">
        <f t="shared" si="466"/>
        <v>2</v>
      </c>
      <c r="F2908" s="74" t="s">
        <v>40</v>
      </c>
      <c r="G2908" s="77">
        <f t="shared" si="471"/>
        <v>19810</v>
      </c>
      <c r="H2908" s="77">
        <f t="shared" si="472"/>
        <v>20110</v>
      </c>
      <c r="I2908" s="76">
        <v>0.4</v>
      </c>
    </row>
    <row r="2909" spans="3:9" x14ac:dyDescent="0.35">
      <c r="C2909" t="s">
        <v>312</v>
      </c>
      <c r="D2909" s="3">
        <v>2022</v>
      </c>
      <c r="E2909" s="78">
        <f t="shared" si="466"/>
        <v>2</v>
      </c>
      <c r="F2909" s="74" t="s">
        <v>40</v>
      </c>
      <c r="G2909" s="77">
        <f t="shared" si="471"/>
        <v>20110</v>
      </c>
      <c r="H2909" s="77">
        <f t="shared" si="472"/>
        <v>20410</v>
      </c>
      <c r="I2909" s="76">
        <v>0.3</v>
      </c>
    </row>
    <row r="2910" spans="3:9" x14ac:dyDescent="0.35">
      <c r="C2910" t="s">
        <v>312</v>
      </c>
      <c r="D2910" s="3">
        <v>2022</v>
      </c>
      <c r="E2910" s="78">
        <f t="shared" si="466"/>
        <v>2</v>
      </c>
      <c r="F2910" s="74" t="s">
        <v>40</v>
      </c>
      <c r="G2910" s="77">
        <f t="shared" si="471"/>
        <v>20410</v>
      </c>
      <c r="H2910" s="77">
        <f t="shared" si="472"/>
        <v>20710</v>
      </c>
      <c r="I2910" s="76">
        <v>0.2</v>
      </c>
    </row>
    <row r="2911" spans="3:9" x14ac:dyDescent="0.35">
      <c r="C2911" t="s">
        <v>312</v>
      </c>
      <c r="D2911" s="3">
        <v>2022</v>
      </c>
      <c r="E2911" s="78">
        <f t="shared" si="466"/>
        <v>2</v>
      </c>
      <c r="F2911" s="74" t="s">
        <v>40</v>
      </c>
      <c r="G2911" s="77">
        <f t="shared" si="471"/>
        <v>20710</v>
      </c>
      <c r="H2911" s="77">
        <f t="shared" si="472"/>
        <v>21010</v>
      </c>
      <c r="I2911" s="76">
        <v>0.1</v>
      </c>
    </row>
    <row r="2912" spans="3:9" x14ac:dyDescent="0.35">
      <c r="C2912" t="s">
        <v>312</v>
      </c>
      <c r="D2912" s="3">
        <v>2022</v>
      </c>
      <c r="E2912" s="78">
        <f t="shared" si="466"/>
        <v>2</v>
      </c>
      <c r="F2912" s="74" t="s">
        <v>40</v>
      </c>
      <c r="G2912" s="77">
        <f t="shared" si="471"/>
        <v>21010</v>
      </c>
      <c r="H2912" s="77"/>
      <c r="I2912" s="76">
        <v>0</v>
      </c>
    </row>
    <row r="2913" spans="3:9" x14ac:dyDescent="0.35">
      <c r="C2913" t="s">
        <v>312</v>
      </c>
      <c r="D2913" s="3">
        <v>2022</v>
      </c>
      <c r="E2913" s="78">
        <f t="shared" si="466"/>
        <v>2</v>
      </c>
      <c r="F2913" s="74" t="s">
        <v>313</v>
      </c>
      <c r="G2913" s="77">
        <v>0</v>
      </c>
      <c r="H2913" s="75">
        <f>H2902</f>
        <v>18310</v>
      </c>
      <c r="I2913" s="76">
        <v>1</v>
      </c>
    </row>
    <row r="2914" spans="3:9" x14ac:dyDescent="0.35">
      <c r="C2914" t="s">
        <v>312</v>
      </c>
      <c r="D2914" s="3">
        <v>2022</v>
      </c>
      <c r="E2914" s="78">
        <f t="shared" si="466"/>
        <v>2</v>
      </c>
      <c r="F2914" s="74" t="s">
        <v>313</v>
      </c>
      <c r="G2914" s="77">
        <f>H2913</f>
        <v>18310</v>
      </c>
      <c r="H2914" s="77">
        <f>H2913+300</f>
        <v>18610</v>
      </c>
      <c r="I2914" s="76">
        <v>0.9</v>
      </c>
    </row>
    <row r="2915" spans="3:9" x14ac:dyDescent="0.35">
      <c r="C2915" t="s">
        <v>312</v>
      </c>
      <c r="D2915" s="3">
        <v>2022</v>
      </c>
      <c r="E2915" s="78">
        <f t="shared" si="466"/>
        <v>2</v>
      </c>
      <c r="F2915" s="74" t="s">
        <v>313</v>
      </c>
      <c r="G2915" s="77">
        <f t="shared" ref="G2915:G2923" si="473">H2914</f>
        <v>18610</v>
      </c>
      <c r="H2915" s="77">
        <f t="shared" ref="H2915:H2922" si="474">H2914+300</f>
        <v>18910</v>
      </c>
      <c r="I2915" s="76">
        <v>0.8</v>
      </c>
    </row>
    <row r="2916" spans="3:9" x14ac:dyDescent="0.35">
      <c r="C2916" t="s">
        <v>312</v>
      </c>
      <c r="D2916" s="3">
        <v>2022</v>
      </c>
      <c r="E2916" s="78">
        <f t="shared" si="466"/>
        <v>2</v>
      </c>
      <c r="F2916" s="74" t="s">
        <v>313</v>
      </c>
      <c r="G2916" s="77">
        <f t="shared" si="473"/>
        <v>18910</v>
      </c>
      <c r="H2916" s="77">
        <f t="shared" si="474"/>
        <v>19210</v>
      </c>
      <c r="I2916" s="76">
        <v>0.7</v>
      </c>
    </row>
    <row r="2917" spans="3:9" x14ac:dyDescent="0.35">
      <c r="C2917" t="s">
        <v>312</v>
      </c>
      <c r="D2917" s="3">
        <v>2022</v>
      </c>
      <c r="E2917" s="78">
        <f t="shared" si="466"/>
        <v>2</v>
      </c>
      <c r="F2917" s="74" t="s">
        <v>313</v>
      </c>
      <c r="G2917" s="77">
        <f t="shared" si="473"/>
        <v>19210</v>
      </c>
      <c r="H2917" s="77">
        <f t="shared" si="474"/>
        <v>19510</v>
      </c>
      <c r="I2917" s="76">
        <v>0.6</v>
      </c>
    </row>
    <row r="2918" spans="3:9" x14ac:dyDescent="0.35">
      <c r="C2918" t="s">
        <v>312</v>
      </c>
      <c r="D2918" s="3">
        <v>2022</v>
      </c>
      <c r="E2918" s="78">
        <f t="shared" si="466"/>
        <v>2</v>
      </c>
      <c r="F2918" s="74" t="s">
        <v>313</v>
      </c>
      <c r="G2918" s="77">
        <f t="shared" si="473"/>
        <v>19510</v>
      </c>
      <c r="H2918" s="77">
        <f t="shared" si="474"/>
        <v>19810</v>
      </c>
      <c r="I2918" s="76">
        <v>0.5</v>
      </c>
    </row>
    <row r="2919" spans="3:9" x14ac:dyDescent="0.35">
      <c r="C2919" t="s">
        <v>312</v>
      </c>
      <c r="D2919" s="3">
        <v>2022</v>
      </c>
      <c r="E2919" s="78">
        <f t="shared" si="466"/>
        <v>2</v>
      </c>
      <c r="F2919" s="74" t="s">
        <v>313</v>
      </c>
      <c r="G2919" s="77">
        <f t="shared" si="473"/>
        <v>19810</v>
      </c>
      <c r="H2919" s="77">
        <f t="shared" si="474"/>
        <v>20110</v>
      </c>
      <c r="I2919" s="76">
        <v>0.4</v>
      </c>
    </row>
    <row r="2920" spans="3:9" x14ac:dyDescent="0.35">
      <c r="C2920" t="s">
        <v>312</v>
      </c>
      <c r="D2920" s="3">
        <v>2022</v>
      </c>
      <c r="E2920" s="78">
        <f t="shared" si="466"/>
        <v>2</v>
      </c>
      <c r="F2920" s="74" t="s">
        <v>313</v>
      </c>
      <c r="G2920" s="77">
        <f t="shared" si="473"/>
        <v>20110</v>
      </c>
      <c r="H2920" s="77">
        <f t="shared" si="474"/>
        <v>20410</v>
      </c>
      <c r="I2920" s="76">
        <v>0.3</v>
      </c>
    </row>
    <row r="2921" spans="3:9" x14ac:dyDescent="0.35">
      <c r="C2921" t="s">
        <v>312</v>
      </c>
      <c r="D2921" s="3">
        <v>2022</v>
      </c>
      <c r="E2921" s="78">
        <f t="shared" si="466"/>
        <v>2</v>
      </c>
      <c r="F2921" s="74" t="s">
        <v>313</v>
      </c>
      <c r="G2921" s="77">
        <f t="shared" si="473"/>
        <v>20410</v>
      </c>
      <c r="H2921" s="77">
        <f t="shared" si="474"/>
        <v>20710</v>
      </c>
      <c r="I2921" s="76">
        <v>0.2</v>
      </c>
    </row>
    <row r="2922" spans="3:9" x14ac:dyDescent="0.35">
      <c r="C2922" t="s">
        <v>312</v>
      </c>
      <c r="D2922" s="3">
        <v>2022</v>
      </c>
      <c r="E2922" s="78">
        <f t="shared" si="466"/>
        <v>2</v>
      </c>
      <c r="F2922" s="74" t="s">
        <v>313</v>
      </c>
      <c r="G2922" s="77">
        <f t="shared" si="473"/>
        <v>20710</v>
      </c>
      <c r="H2922" s="77">
        <f t="shared" si="474"/>
        <v>21010</v>
      </c>
      <c r="I2922" s="76">
        <v>0.1</v>
      </c>
    </row>
    <row r="2923" spans="3:9" x14ac:dyDescent="0.35">
      <c r="C2923" t="s">
        <v>312</v>
      </c>
      <c r="D2923" s="3">
        <v>2022</v>
      </c>
      <c r="E2923" s="78">
        <f t="shared" si="466"/>
        <v>2</v>
      </c>
      <c r="F2923" s="74" t="s">
        <v>313</v>
      </c>
      <c r="G2923" s="77">
        <f t="shared" si="473"/>
        <v>21010</v>
      </c>
      <c r="H2923" s="77"/>
      <c r="I2923" s="76">
        <v>0</v>
      </c>
    </row>
    <row r="2924" spans="3:9" x14ac:dyDescent="0.35">
      <c r="C2924" t="s">
        <v>312</v>
      </c>
      <c r="D2924" s="3">
        <v>2022</v>
      </c>
      <c r="E2924" s="73">
        <v>3</v>
      </c>
      <c r="F2924" s="74" t="s">
        <v>54</v>
      </c>
      <c r="G2924" s="77">
        <v>0</v>
      </c>
      <c r="H2924" s="77">
        <v>23030</v>
      </c>
      <c r="I2924" s="76">
        <v>1</v>
      </c>
    </row>
    <row r="2925" spans="3:9" x14ac:dyDescent="0.35">
      <c r="C2925" t="s">
        <v>312</v>
      </c>
      <c r="D2925" s="3">
        <v>2022</v>
      </c>
      <c r="E2925" s="78">
        <f>E2924</f>
        <v>3</v>
      </c>
      <c r="F2925" s="74" t="s">
        <v>54</v>
      </c>
      <c r="G2925" s="77">
        <f>H2924</f>
        <v>23030</v>
      </c>
      <c r="H2925" s="77">
        <f>H2924+300</f>
        <v>23330</v>
      </c>
      <c r="I2925" s="76">
        <v>0.9</v>
      </c>
    </row>
    <row r="2926" spans="3:9" x14ac:dyDescent="0.35">
      <c r="C2926" t="s">
        <v>312</v>
      </c>
      <c r="D2926" s="3">
        <v>2022</v>
      </c>
      <c r="E2926" s="78">
        <f t="shared" ref="E2926:E2967" si="475">E2925</f>
        <v>3</v>
      </c>
      <c r="F2926" s="74" t="s">
        <v>54</v>
      </c>
      <c r="G2926" s="77">
        <f t="shared" ref="G2926:G2934" si="476">H2925</f>
        <v>23330</v>
      </c>
      <c r="H2926" s="77">
        <f t="shared" ref="H2926:H2933" si="477">H2925+300</f>
        <v>23630</v>
      </c>
      <c r="I2926" s="76">
        <v>0.8</v>
      </c>
    </row>
    <row r="2927" spans="3:9" x14ac:dyDescent="0.35">
      <c r="C2927" t="s">
        <v>312</v>
      </c>
      <c r="D2927" s="3">
        <v>2022</v>
      </c>
      <c r="E2927" s="78">
        <f t="shared" si="475"/>
        <v>3</v>
      </c>
      <c r="F2927" s="74" t="s">
        <v>54</v>
      </c>
      <c r="G2927" s="77">
        <f t="shared" si="476"/>
        <v>23630</v>
      </c>
      <c r="H2927" s="77">
        <f t="shared" si="477"/>
        <v>23930</v>
      </c>
      <c r="I2927" s="76">
        <v>0.7</v>
      </c>
    </row>
    <row r="2928" spans="3:9" x14ac:dyDescent="0.35">
      <c r="C2928" t="s">
        <v>312</v>
      </c>
      <c r="D2928" s="3">
        <v>2022</v>
      </c>
      <c r="E2928" s="78">
        <f t="shared" si="475"/>
        <v>3</v>
      </c>
      <c r="F2928" s="74" t="s">
        <v>54</v>
      </c>
      <c r="G2928" s="77">
        <f t="shared" si="476"/>
        <v>23930</v>
      </c>
      <c r="H2928" s="77">
        <f t="shared" si="477"/>
        <v>24230</v>
      </c>
      <c r="I2928" s="76">
        <v>0.6</v>
      </c>
    </row>
    <row r="2929" spans="3:9" x14ac:dyDescent="0.35">
      <c r="C2929" t="s">
        <v>312</v>
      </c>
      <c r="D2929" s="3">
        <v>2022</v>
      </c>
      <c r="E2929" s="78">
        <f t="shared" si="475"/>
        <v>3</v>
      </c>
      <c r="F2929" s="74" t="s">
        <v>54</v>
      </c>
      <c r="G2929" s="77">
        <f t="shared" si="476"/>
        <v>24230</v>
      </c>
      <c r="H2929" s="77">
        <f t="shared" si="477"/>
        <v>24530</v>
      </c>
      <c r="I2929" s="76">
        <v>0.5</v>
      </c>
    </row>
    <row r="2930" spans="3:9" x14ac:dyDescent="0.35">
      <c r="C2930" t="s">
        <v>312</v>
      </c>
      <c r="D2930" s="3">
        <v>2022</v>
      </c>
      <c r="E2930" s="78">
        <f t="shared" si="475"/>
        <v>3</v>
      </c>
      <c r="F2930" s="74" t="s">
        <v>54</v>
      </c>
      <c r="G2930" s="77">
        <f t="shared" si="476"/>
        <v>24530</v>
      </c>
      <c r="H2930" s="77">
        <f t="shared" si="477"/>
        <v>24830</v>
      </c>
      <c r="I2930" s="76">
        <v>0.4</v>
      </c>
    </row>
    <row r="2931" spans="3:9" x14ac:dyDescent="0.35">
      <c r="C2931" t="s">
        <v>312</v>
      </c>
      <c r="D2931" s="3">
        <v>2022</v>
      </c>
      <c r="E2931" s="78">
        <f t="shared" si="475"/>
        <v>3</v>
      </c>
      <c r="F2931" s="74" t="s">
        <v>54</v>
      </c>
      <c r="G2931" s="77">
        <f t="shared" si="476"/>
        <v>24830</v>
      </c>
      <c r="H2931" s="77">
        <f t="shared" si="477"/>
        <v>25130</v>
      </c>
      <c r="I2931" s="76">
        <v>0.3</v>
      </c>
    </row>
    <row r="2932" spans="3:9" x14ac:dyDescent="0.35">
      <c r="C2932" t="s">
        <v>312</v>
      </c>
      <c r="D2932" s="3">
        <v>2022</v>
      </c>
      <c r="E2932" s="78">
        <f t="shared" si="475"/>
        <v>3</v>
      </c>
      <c r="F2932" s="74" t="s">
        <v>54</v>
      </c>
      <c r="G2932" s="77">
        <f t="shared" si="476"/>
        <v>25130</v>
      </c>
      <c r="H2932" s="77">
        <f t="shared" si="477"/>
        <v>25430</v>
      </c>
      <c r="I2932" s="76">
        <v>0.2</v>
      </c>
    </row>
    <row r="2933" spans="3:9" x14ac:dyDescent="0.35">
      <c r="C2933" t="s">
        <v>312</v>
      </c>
      <c r="D2933" s="3">
        <v>2022</v>
      </c>
      <c r="E2933" s="78">
        <f t="shared" si="475"/>
        <v>3</v>
      </c>
      <c r="F2933" s="74" t="s">
        <v>54</v>
      </c>
      <c r="G2933" s="77">
        <f t="shared" si="476"/>
        <v>25430</v>
      </c>
      <c r="H2933" s="77">
        <f t="shared" si="477"/>
        <v>25730</v>
      </c>
      <c r="I2933" s="76">
        <v>0.1</v>
      </c>
    </row>
    <row r="2934" spans="3:9" x14ac:dyDescent="0.35">
      <c r="C2934" t="s">
        <v>312</v>
      </c>
      <c r="D2934" s="3">
        <v>2022</v>
      </c>
      <c r="E2934" s="78">
        <f t="shared" si="475"/>
        <v>3</v>
      </c>
      <c r="F2934" s="74" t="s">
        <v>54</v>
      </c>
      <c r="G2934" s="77">
        <f t="shared" si="476"/>
        <v>25730</v>
      </c>
      <c r="H2934" s="77"/>
      <c r="I2934" s="76">
        <v>0</v>
      </c>
    </row>
    <row r="2935" spans="3:9" x14ac:dyDescent="0.35">
      <c r="C2935" t="s">
        <v>312</v>
      </c>
      <c r="D2935" s="3">
        <v>2022</v>
      </c>
      <c r="E2935" s="78">
        <f t="shared" si="475"/>
        <v>3</v>
      </c>
      <c r="F2935" s="74" t="s">
        <v>34</v>
      </c>
      <c r="G2935" s="77">
        <v>0</v>
      </c>
      <c r="H2935" s="75">
        <f>H2924</f>
        <v>23030</v>
      </c>
      <c r="I2935" s="76">
        <v>1</v>
      </c>
    </row>
    <row r="2936" spans="3:9" x14ac:dyDescent="0.35">
      <c r="C2936" t="s">
        <v>312</v>
      </c>
      <c r="D2936" s="3">
        <v>2022</v>
      </c>
      <c r="E2936" s="78">
        <f t="shared" si="475"/>
        <v>3</v>
      </c>
      <c r="F2936" s="74" t="s">
        <v>34</v>
      </c>
      <c r="G2936" s="77">
        <f>H2935</f>
        <v>23030</v>
      </c>
      <c r="H2936" s="77">
        <f>H2935+300</f>
        <v>23330</v>
      </c>
      <c r="I2936" s="76">
        <v>0.9</v>
      </c>
    </row>
    <row r="2937" spans="3:9" x14ac:dyDescent="0.35">
      <c r="C2937" t="s">
        <v>312</v>
      </c>
      <c r="D2937" s="3">
        <v>2022</v>
      </c>
      <c r="E2937" s="78">
        <f t="shared" si="475"/>
        <v>3</v>
      </c>
      <c r="F2937" s="74" t="s">
        <v>34</v>
      </c>
      <c r="G2937" s="77">
        <f t="shared" ref="G2937:G2945" si="478">H2936</f>
        <v>23330</v>
      </c>
      <c r="H2937" s="77">
        <f t="shared" ref="H2937:H2944" si="479">H2936+300</f>
        <v>23630</v>
      </c>
      <c r="I2937" s="76">
        <v>0.8</v>
      </c>
    </row>
    <row r="2938" spans="3:9" x14ac:dyDescent="0.35">
      <c r="C2938" t="s">
        <v>312</v>
      </c>
      <c r="D2938" s="3">
        <v>2022</v>
      </c>
      <c r="E2938" s="78">
        <f t="shared" si="475"/>
        <v>3</v>
      </c>
      <c r="F2938" s="74" t="s">
        <v>34</v>
      </c>
      <c r="G2938" s="77">
        <f t="shared" si="478"/>
        <v>23630</v>
      </c>
      <c r="H2938" s="77">
        <f t="shared" si="479"/>
        <v>23930</v>
      </c>
      <c r="I2938" s="76">
        <v>0.7</v>
      </c>
    </row>
    <row r="2939" spans="3:9" x14ac:dyDescent="0.35">
      <c r="C2939" t="s">
        <v>312</v>
      </c>
      <c r="D2939" s="3">
        <v>2022</v>
      </c>
      <c r="E2939" s="78">
        <f t="shared" si="475"/>
        <v>3</v>
      </c>
      <c r="F2939" s="74" t="s">
        <v>34</v>
      </c>
      <c r="G2939" s="77">
        <f t="shared" si="478"/>
        <v>23930</v>
      </c>
      <c r="H2939" s="77">
        <f t="shared" si="479"/>
        <v>24230</v>
      </c>
      <c r="I2939" s="76">
        <v>0.6</v>
      </c>
    </row>
    <row r="2940" spans="3:9" x14ac:dyDescent="0.35">
      <c r="C2940" t="s">
        <v>312</v>
      </c>
      <c r="D2940" s="3">
        <v>2022</v>
      </c>
      <c r="E2940" s="78">
        <f t="shared" si="475"/>
        <v>3</v>
      </c>
      <c r="F2940" s="74" t="s">
        <v>34</v>
      </c>
      <c r="G2940" s="77">
        <f t="shared" si="478"/>
        <v>24230</v>
      </c>
      <c r="H2940" s="77">
        <f t="shared" si="479"/>
        <v>24530</v>
      </c>
      <c r="I2940" s="76">
        <v>0.5</v>
      </c>
    </row>
    <row r="2941" spans="3:9" x14ac:dyDescent="0.35">
      <c r="C2941" t="s">
        <v>312</v>
      </c>
      <c r="D2941" s="3">
        <v>2022</v>
      </c>
      <c r="E2941" s="78">
        <f t="shared" si="475"/>
        <v>3</v>
      </c>
      <c r="F2941" s="74" t="s">
        <v>34</v>
      </c>
      <c r="G2941" s="77">
        <f t="shared" si="478"/>
        <v>24530</v>
      </c>
      <c r="H2941" s="77">
        <f t="shared" si="479"/>
        <v>24830</v>
      </c>
      <c r="I2941" s="76">
        <v>0.4</v>
      </c>
    </row>
    <row r="2942" spans="3:9" x14ac:dyDescent="0.35">
      <c r="C2942" t="s">
        <v>312</v>
      </c>
      <c r="D2942" s="3">
        <v>2022</v>
      </c>
      <c r="E2942" s="78">
        <f t="shared" si="475"/>
        <v>3</v>
      </c>
      <c r="F2942" s="74" t="s">
        <v>34</v>
      </c>
      <c r="G2942" s="77">
        <f t="shared" si="478"/>
        <v>24830</v>
      </c>
      <c r="H2942" s="77">
        <f t="shared" si="479"/>
        <v>25130</v>
      </c>
      <c r="I2942" s="76">
        <v>0.3</v>
      </c>
    </row>
    <row r="2943" spans="3:9" x14ac:dyDescent="0.35">
      <c r="C2943" t="s">
        <v>312</v>
      </c>
      <c r="D2943" s="3">
        <v>2022</v>
      </c>
      <c r="E2943" s="78">
        <f t="shared" si="475"/>
        <v>3</v>
      </c>
      <c r="F2943" s="74" t="s">
        <v>34</v>
      </c>
      <c r="G2943" s="77">
        <f t="shared" si="478"/>
        <v>25130</v>
      </c>
      <c r="H2943" s="77">
        <f t="shared" si="479"/>
        <v>25430</v>
      </c>
      <c r="I2943" s="76">
        <v>0.2</v>
      </c>
    </row>
    <row r="2944" spans="3:9" x14ac:dyDescent="0.35">
      <c r="C2944" t="s">
        <v>312</v>
      </c>
      <c r="D2944" s="3">
        <v>2022</v>
      </c>
      <c r="E2944" s="78">
        <f t="shared" si="475"/>
        <v>3</v>
      </c>
      <c r="F2944" s="74" t="s">
        <v>34</v>
      </c>
      <c r="G2944" s="77">
        <f t="shared" si="478"/>
        <v>25430</v>
      </c>
      <c r="H2944" s="77">
        <f t="shared" si="479"/>
        <v>25730</v>
      </c>
      <c r="I2944" s="76">
        <v>0.1</v>
      </c>
    </row>
    <row r="2945" spans="3:9" x14ac:dyDescent="0.35">
      <c r="C2945" t="s">
        <v>312</v>
      </c>
      <c r="D2945" s="3">
        <v>2022</v>
      </c>
      <c r="E2945" s="78">
        <f t="shared" si="475"/>
        <v>3</v>
      </c>
      <c r="F2945" s="74" t="s">
        <v>34</v>
      </c>
      <c r="G2945" s="77">
        <f t="shared" si="478"/>
        <v>25730</v>
      </c>
      <c r="H2945" s="77"/>
      <c r="I2945" s="76">
        <v>0</v>
      </c>
    </row>
    <row r="2946" spans="3:9" x14ac:dyDescent="0.35">
      <c r="C2946" t="s">
        <v>312</v>
      </c>
      <c r="D2946" s="3">
        <v>2022</v>
      </c>
      <c r="E2946" s="78">
        <f t="shared" si="475"/>
        <v>3</v>
      </c>
      <c r="F2946" s="74" t="s">
        <v>40</v>
      </c>
      <c r="G2946" s="77">
        <v>0</v>
      </c>
      <c r="H2946" s="75">
        <f>H2935</f>
        <v>23030</v>
      </c>
      <c r="I2946" s="76">
        <v>1</v>
      </c>
    </row>
    <row r="2947" spans="3:9" x14ac:dyDescent="0.35">
      <c r="C2947" t="s">
        <v>312</v>
      </c>
      <c r="D2947" s="3">
        <v>2022</v>
      </c>
      <c r="E2947" s="78">
        <f t="shared" si="475"/>
        <v>3</v>
      </c>
      <c r="F2947" s="74" t="s">
        <v>40</v>
      </c>
      <c r="G2947" s="77">
        <f>H2946</f>
        <v>23030</v>
      </c>
      <c r="H2947" s="77">
        <f>H2946+300</f>
        <v>23330</v>
      </c>
      <c r="I2947" s="76">
        <v>0.9</v>
      </c>
    </row>
    <row r="2948" spans="3:9" x14ac:dyDescent="0.35">
      <c r="C2948" t="s">
        <v>312</v>
      </c>
      <c r="D2948" s="3">
        <v>2022</v>
      </c>
      <c r="E2948" s="78">
        <f t="shared" si="475"/>
        <v>3</v>
      </c>
      <c r="F2948" s="74" t="s">
        <v>40</v>
      </c>
      <c r="G2948" s="77">
        <f t="shared" ref="G2948:G2956" si="480">H2947</f>
        <v>23330</v>
      </c>
      <c r="H2948" s="77">
        <f t="shared" ref="H2948:H2955" si="481">H2947+300</f>
        <v>23630</v>
      </c>
      <c r="I2948" s="76">
        <v>0.8</v>
      </c>
    </row>
    <row r="2949" spans="3:9" x14ac:dyDescent="0.35">
      <c r="C2949" t="s">
        <v>312</v>
      </c>
      <c r="D2949" s="3">
        <v>2022</v>
      </c>
      <c r="E2949" s="78">
        <f t="shared" si="475"/>
        <v>3</v>
      </c>
      <c r="F2949" s="74" t="s">
        <v>40</v>
      </c>
      <c r="G2949" s="77">
        <f t="shared" si="480"/>
        <v>23630</v>
      </c>
      <c r="H2949" s="77">
        <f t="shared" si="481"/>
        <v>23930</v>
      </c>
      <c r="I2949" s="76">
        <v>0.7</v>
      </c>
    </row>
    <row r="2950" spans="3:9" x14ac:dyDescent="0.35">
      <c r="C2950" t="s">
        <v>312</v>
      </c>
      <c r="D2950" s="3">
        <v>2022</v>
      </c>
      <c r="E2950" s="78">
        <f t="shared" si="475"/>
        <v>3</v>
      </c>
      <c r="F2950" s="74" t="s">
        <v>40</v>
      </c>
      <c r="G2950" s="77">
        <f t="shared" si="480"/>
        <v>23930</v>
      </c>
      <c r="H2950" s="77">
        <f t="shared" si="481"/>
        <v>24230</v>
      </c>
      <c r="I2950" s="76">
        <v>0.6</v>
      </c>
    </row>
    <row r="2951" spans="3:9" x14ac:dyDescent="0.35">
      <c r="C2951" t="s">
        <v>312</v>
      </c>
      <c r="D2951" s="3">
        <v>2022</v>
      </c>
      <c r="E2951" s="78">
        <f t="shared" si="475"/>
        <v>3</v>
      </c>
      <c r="F2951" s="74" t="s">
        <v>40</v>
      </c>
      <c r="G2951" s="77">
        <f t="shared" si="480"/>
        <v>24230</v>
      </c>
      <c r="H2951" s="77">
        <f t="shared" si="481"/>
        <v>24530</v>
      </c>
      <c r="I2951" s="76">
        <v>0.5</v>
      </c>
    </row>
    <row r="2952" spans="3:9" x14ac:dyDescent="0.35">
      <c r="C2952" t="s">
        <v>312</v>
      </c>
      <c r="D2952" s="3">
        <v>2022</v>
      </c>
      <c r="E2952" s="78">
        <f t="shared" si="475"/>
        <v>3</v>
      </c>
      <c r="F2952" s="74" t="s">
        <v>40</v>
      </c>
      <c r="G2952" s="77">
        <f t="shared" si="480"/>
        <v>24530</v>
      </c>
      <c r="H2952" s="77">
        <f t="shared" si="481"/>
        <v>24830</v>
      </c>
      <c r="I2952" s="76">
        <v>0.4</v>
      </c>
    </row>
    <row r="2953" spans="3:9" x14ac:dyDescent="0.35">
      <c r="C2953" t="s">
        <v>312</v>
      </c>
      <c r="D2953" s="3">
        <v>2022</v>
      </c>
      <c r="E2953" s="78">
        <f t="shared" si="475"/>
        <v>3</v>
      </c>
      <c r="F2953" s="74" t="s">
        <v>40</v>
      </c>
      <c r="G2953" s="77">
        <f t="shared" si="480"/>
        <v>24830</v>
      </c>
      <c r="H2953" s="77">
        <f t="shared" si="481"/>
        <v>25130</v>
      </c>
      <c r="I2953" s="76">
        <v>0.3</v>
      </c>
    </row>
    <row r="2954" spans="3:9" x14ac:dyDescent="0.35">
      <c r="C2954" t="s">
        <v>312</v>
      </c>
      <c r="D2954" s="3">
        <v>2022</v>
      </c>
      <c r="E2954" s="78">
        <f t="shared" si="475"/>
        <v>3</v>
      </c>
      <c r="F2954" s="74" t="s">
        <v>40</v>
      </c>
      <c r="G2954" s="77">
        <f t="shared" si="480"/>
        <v>25130</v>
      </c>
      <c r="H2954" s="77">
        <f t="shared" si="481"/>
        <v>25430</v>
      </c>
      <c r="I2954" s="76">
        <v>0.2</v>
      </c>
    </row>
    <row r="2955" spans="3:9" x14ac:dyDescent="0.35">
      <c r="C2955" t="s">
        <v>312</v>
      </c>
      <c r="D2955" s="3">
        <v>2022</v>
      </c>
      <c r="E2955" s="78">
        <f t="shared" si="475"/>
        <v>3</v>
      </c>
      <c r="F2955" s="74" t="s">
        <v>40</v>
      </c>
      <c r="G2955" s="77">
        <f t="shared" si="480"/>
        <v>25430</v>
      </c>
      <c r="H2955" s="77">
        <f t="shared" si="481"/>
        <v>25730</v>
      </c>
      <c r="I2955" s="76">
        <v>0.1</v>
      </c>
    </row>
    <row r="2956" spans="3:9" x14ac:dyDescent="0.35">
      <c r="C2956" t="s">
        <v>312</v>
      </c>
      <c r="D2956" s="3">
        <v>2022</v>
      </c>
      <c r="E2956" s="78">
        <f t="shared" si="475"/>
        <v>3</v>
      </c>
      <c r="F2956" s="74" t="s">
        <v>40</v>
      </c>
      <c r="G2956" s="77">
        <f t="shared" si="480"/>
        <v>25730</v>
      </c>
      <c r="H2956" s="77"/>
      <c r="I2956" s="76">
        <v>0</v>
      </c>
    </row>
    <row r="2957" spans="3:9" x14ac:dyDescent="0.35">
      <c r="C2957" t="s">
        <v>312</v>
      </c>
      <c r="D2957" s="3">
        <v>2022</v>
      </c>
      <c r="E2957" s="78">
        <f t="shared" si="475"/>
        <v>3</v>
      </c>
      <c r="F2957" s="74" t="s">
        <v>313</v>
      </c>
      <c r="G2957" s="77">
        <v>0</v>
      </c>
      <c r="H2957" s="75">
        <f>H2946</f>
        <v>23030</v>
      </c>
      <c r="I2957" s="76">
        <v>1</v>
      </c>
    </row>
    <row r="2958" spans="3:9" x14ac:dyDescent="0.35">
      <c r="C2958" t="s">
        <v>312</v>
      </c>
      <c r="D2958" s="3">
        <v>2022</v>
      </c>
      <c r="E2958" s="78">
        <f t="shared" si="475"/>
        <v>3</v>
      </c>
      <c r="F2958" s="74" t="s">
        <v>313</v>
      </c>
      <c r="G2958" s="77">
        <f>H2957</f>
        <v>23030</v>
      </c>
      <c r="H2958" s="77">
        <f>H2957+300</f>
        <v>23330</v>
      </c>
      <c r="I2958" s="76">
        <v>0.9</v>
      </c>
    </row>
    <row r="2959" spans="3:9" x14ac:dyDescent="0.35">
      <c r="C2959" t="s">
        <v>312</v>
      </c>
      <c r="D2959" s="3">
        <v>2022</v>
      </c>
      <c r="E2959" s="78">
        <f t="shared" si="475"/>
        <v>3</v>
      </c>
      <c r="F2959" s="74" t="s">
        <v>313</v>
      </c>
      <c r="G2959" s="77">
        <f t="shared" ref="G2959:G2967" si="482">H2958</f>
        <v>23330</v>
      </c>
      <c r="H2959" s="77">
        <f t="shared" ref="H2959:H2966" si="483">H2958+300</f>
        <v>23630</v>
      </c>
      <c r="I2959" s="76">
        <v>0.8</v>
      </c>
    </row>
    <row r="2960" spans="3:9" x14ac:dyDescent="0.35">
      <c r="C2960" t="s">
        <v>312</v>
      </c>
      <c r="D2960" s="3">
        <v>2022</v>
      </c>
      <c r="E2960" s="78">
        <f t="shared" si="475"/>
        <v>3</v>
      </c>
      <c r="F2960" s="74" t="s">
        <v>313</v>
      </c>
      <c r="G2960" s="77">
        <f t="shared" si="482"/>
        <v>23630</v>
      </c>
      <c r="H2960" s="77">
        <f t="shared" si="483"/>
        <v>23930</v>
      </c>
      <c r="I2960" s="76">
        <v>0.7</v>
      </c>
    </row>
    <row r="2961" spans="3:9" x14ac:dyDescent="0.35">
      <c r="C2961" t="s">
        <v>312</v>
      </c>
      <c r="D2961" s="3">
        <v>2022</v>
      </c>
      <c r="E2961" s="78">
        <f t="shared" si="475"/>
        <v>3</v>
      </c>
      <c r="F2961" s="74" t="s">
        <v>313</v>
      </c>
      <c r="G2961" s="77">
        <f t="shared" si="482"/>
        <v>23930</v>
      </c>
      <c r="H2961" s="77">
        <f t="shared" si="483"/>
        <v>24230</v>
      </c>
      <c r="I2961" s="76">
        <v>0.6</v>
      </c>
    </row>
    <row r="2962" spans="3:9" x14ac:dyDescent="0.35">
      <c r="C2962" t="s">
        <v>312</v>
      </c>
      <c r="D2962" s="3">
        <v>2022</v>
      </c>
      <c r="E2962" s="78">
        <f t="shared" si="475"/>
        <v>3</v>
      </c>
      <c r="F2962" s="74" t="s">
        <v>313</v>
      </c>
      <c r="G2962" s="77">
        <f t="shared" si="482"/>
        <v>24230</v>
      </c>
      <c r="H2962" s="77">
        <f t="shared" si="483"/>
        <v>24530</v>
      </c>
      <c r="I2962" s="76">
        <v>0.5</v>
      </c>
    </row>
    <row r="2963" spans="3:9" x14ac:dyDescent="0.35">
      <c r="C2963" t="s">
        <v>312</v>
      </c>
      <c r="D2963" s="3">
        <v>2022</v>
      </c>
      <c r="E2963" s="78">
        <f t="shared" si="475"/>
        <v>3</v>
      </c>
      <c r="F2963" s="74" t="s">
        <v>313</v>
      </c>
      <c r="G2963" s="77">
        <f t="shared" si="482"/>
        <v>24530</v>
      </c>
      <c r="H2963" s="77">
        <f t="shared" si="483"/>
        <v>24830</v>
      </c>
      <c r="I2963" s="76">
        <v>0.4</v>
      </c>
    </row>
    <row r="2964" spans="3:9" x14ac:dyDescent="0.35">
      <c r="C2964" t="s">
        <v>312</v>
      </c>
      <c r="D2964" s="3">
        <v>2022</v>
      </c>
      <c r="E2964" s="78">
        <f t="shared" si="475"/>
        <v>3</v>
      </c>
      <c r="F2964" s="74" t="s">
        <v>313</v>
      </c>
      <c r="G2964" s="77">
        <f t="shared" si="482"/>
        <v>24830</v>
      </c>
      <c r="H2964" s="77">
        <f t="shared" si="483"/>
        <v>25130</v>
      </c>
      <c r="I2964" s="76">
        <v>0.3</v>
      </c>
    </row>
    <row r="2965" spans="3:9" x14ac:dyDescent="0.35">
      <c r="C2965" t="s">
        <v>312</v>
      </c>
      <c r="D2965" s="3">
        <v>2022</v>
      </c>
      <c r="E2965" s="78">
        <f t="shared" si="475"/>
        <v>3</v>
      </c>
      <c r="F2965" s="74" t="s">
        <v>313</v>
      </c>
      <c r="G2965" s="77">
        <f t="shared" si="482"/>
        <v>25130</v>
      </c>
      <c r="H2965" s="77">
        <f t="shared" si="483"/>
        <v>25430</v>
      </c>
      <c r="I2965" s="76">
        <v>0.2</v>
      </c>
    </row>
    <row r="2966" spans="3:9" x14ac:dyDescent="0.35">
      <c r="C2966" t="s">
        <v>312</v>
      </c>
      <c r="D2966" s="3">
        <v>2022</v>
      </c>
      <c r="E2966" s="78">
        <f t="shared" si="475"/>
        <v>3</v>
      </c>
      <c r="F2966" s="74" t="s">
        <v>313</v>
      </c>
      <c r="G2966" s="77">
        <f t="shared" si="482"/>
        <v>25430</v>
      </c>
      <c r="H2966" s="77">
        <f t="shared" si="483"/>
        <v>25730</v>
      </c>
      <c r="I2966" s="76">
        <v>0.1</v>
      </c>
    </row>
    <row r="2967" spans="3:9" x14ac:dyDescent="0.35">
      <c r="C2967" t="s">
        <v>312</v>
      </c>
      <c r="D2967" s="3">
        <v>2022</v>
      </c>
      <c r="E2967" s="78">
        <f t="shared" si="475"/>
        <v>3</v>
      </c>
      <c r="F2967" s="74" t="s">
        <v>313</v>
      </c>
      <c r="G2967" s="77">
        <f t="shared" si="482"/>
        <v>25730</v>
      </c>
      <c r="H2967" s="77"/>
      <c r="I2967" s="76">
        <v>0</v>
      </c>
    </row>
    <row r="2968" spans="3:9" x14ac:dyDescent="0.35">
      <c r="C2968" t="s">
        <v>312</v>
      </c>
      <c r="D2968" s="3">
        <v>2022</v>
      </c>
      <c r="E2968" s="73">
        <v>4</v>
      </c>
      <c r="F2968" s="74" t="s">
        <v>54</v>
      </c>
      <c r="G2968" s="77">
        <v>0</v>
      </c>
      <c r="H2968" s="77">
        <v>27750</v>
      </c>
      <c r="I2968" s="76">
        <v>1</v>
      </c>
    </row>
    <row r="2969" spans="3:9" x14ac:dyDescent="0.35">
      <c r="C2969" t="s">
        <v>312</v>
      </c>
      <c r="D2969" s="3">
        <v>2022</v>
      </c>
      <c r="E2969" s="78">
        <f>E2968</f>
        <v>4</v>
      </c>
      <c r="F2969" s="74" t="s">
        <v>54</v>
      </c>
      <c r="G2969" s="77">
        <f>H2968</f>
        <v>27750</v>
      </c>
      <c r="H2969" s="77">
        <f>H2968+300</f>
        <v>28050</v>
      </c>
      <c r="I2969" s="76">
        <v>0.9</v>
      </c>
    </row>
    <row r="2970" spans="3:9" x14ac:dyDescent="0.35">
      <c r="C2970" t="s">
        <v>312</v>
      </c>
      <c r="D2970" s="3">
        <v>2022</v>
      </c>
      <c r="E2970" s="78">
        <f t="shared" ref="E2970:E3011" si="484">E2969</f>
        <v>4</v>
      </c>
      <c r="F2970" s="74" t="s">
        <v>54</v>
      </c>
      <c r="G2970" s="77">
        <f t="shared" ref="G2970:G2978" si="485">H2969</f>
        <v>28050</v>
      </c>
      <c r="H2970" s="77">
        <f t="shared" ref="H2970:H2977" si="486">H2969+300</f>
        <v>28350</v>
      </c>
      <c r="I2970" s="76">
        <v>0.8</v>
      </c>
    </row>
    <row r="2971" spans="3:9" x14ac:dyDescent="0.35">
      <c r="C2971" t="s">
        <v>312</v>
      </c>
      <c r="D2971" s="3">
        <v>2022</v>
      </c>
      <c r="E2971" s="78">
        <f t="shared" si="484"/>
        <v>4</v>
      </c>
      <c r="F2971" s="74" t="s">
        <v>54</v>
      </c>
      <c r="G2971" s="77">
        <f t="shared" si="485"/>
        <v>28350</v>
      </c>
      <c r="H2971" s="77">
        <f t="shared" si="486"/>
        <v>28650</v>
      </c>
      <c r="I2971" s="76">
        <v>0.7</v>
      </c>
    </row>
    <row r="2972" spans="3:9" x14ac:dyDescent="0.35">
      <c r="C2972" t="s">
        <v>312</v>
      </c>
      <c r="D2972" s="3">
        <v>2022</v>
      </c>
      <c r="E2972" s="78">
        <f t="shared" si="484"/>
        <v>4</v>
      </c>
      <c r="F2972" s="74" t="s">
        <v>54</v>
      </c>
      <c r="G2972" s="77">
        <f t="shared" si="485"/>
        <v>28650</v>
      </c>
      <c r="H2972" s="77">
        <f t="shared" si="486"/>
        <v>28950</v>
      </c>
      <c r="I2972" s="76">
        <v>0.6</v>
      </c>
    </row>
    <row r="2973" spans="3:9" x14ac:dyDescent="0.35">
      <c r="C2973" t="s">
        <v>312</v>
      </c>
      <c r="D2973" s="3">
        <v>2022</v>
      </c>
      <c r="E2973" s="78">
        <f t="shared" si="484"/>
        <v>4</v>
      </c>
      <c r="F2973" s="74" t="s">
        <v>54</v>
      </c>
      <c r="G2973" s="77">
        <f t="shared" si="485"/>
        <v>28950</v>
      </c>
      <c r="H2973" s="77">
        <f t="shared" si="486"/>
        <v>29250</v>
      </c>
      <c r="I2973" s="76">
        <v>0.5</v>
      </c>
    </row>
    <row r="2974" spans="3:9" x14ac:dyDescent="0.35">
      <c r="C2974" t="s">
        <v>312</v>
      </c>
      <c r="D2974" s="3">
        <v>2022</v>
      </c>
      <c r="E2974" s="78">
        <f t="shared" si="484"/>
        <v>4</v>
      </c>
      <c r="F2974" s="74" t="s">
        <v>54</v>
      </c>
      <c r="G2974" s="77">
        <f t="shared" si="485"/>
        <v>29250</v>
      </c>
      <c r="H2974" s="77">
        <f t="shared" si="486"/>
        <v>29550</v>
      </c>
      <c r="I2974" s="76">
        <v>0.4</v>
      </c>
    </row>
    <row r="2975" spans="3:9" x14ac:dyDescent="0.35">
      <c r="C2975" t="s">
        <v>312</v>
      </c>
      <c r="D2975" s="3">
        <v>2022</v>
      </c>
      <c r="E2975" s="78">
        <f t="shared" si="484"/>
        <v>4</v>
      </c>
      <c r="F2975" s="74" t="s">
        <v>54</v>
      </c>
      <c r="G2975" s="77">
        <f t="shared" si="485"/>
        <v>29550</v>
      </c>
      <c r="H2975" s="77">
        <f t="shared" si="486"/>
        <v>29850</v>
      </c>
      <c r="I2975" s="76">
        <v>0.3</v>
      </c>
    </row>
    <row r="2976" spans="3:9" x14ac:dyDescent="0.35">
      <c r="C2976" t="s">
        <v>312</v>
      </c>
      <c r="D2976" s="3">
        <v>2022</v>
      </c>
      <c r="E2976" s="78">
        <f t="shared" si="484"/>
        <v>4</v>
      </c>
      <c r="F2976" s="74" t="s">
        <v>54</v>
      </c>
      <c r="G2976" s="77">
        <f t="shared" si="485"/>
        <v>29850</v>
      </c>
      <c r="H2976" s="77">
        <f t="shared" si="486"/>
        <v>30150</v>
      </c>
      <c r="I2976" s="76">
        <v>0.2</v>
      </c>
    </row>
    <row r="2977" spans="3:9" x14ac:dyDescent="0.35">
      <c r="C2977" t="s">
        <v>312</v>
      </c>
      <c r="D2977" s="3">
        <v>2022</v>
      </c>
      <c r="E2977" s="78">
        <f t="shared" si="484"/>
        <v>4</v>
      </c>
      <c r="F2977" s="74" t="s">
        <v>54</v>
      </c>
      <c r="G2977" s="77">
        <f t="shared" si="485"/>
        <v>30150</v>
      </c>
      <c r="H2977" s="77">
        <f t="shared" si="486"/>
        <v>30450</v>
      </c>
      <c r="I2977" s="76">
        <v>0.1</v>
      </c>
    </row>
    <row r="2978" spans="3:9" x14ac:dyDescent="0.35">
      <c r="C2978" t="s">
        <v>312</v>
      </c>
      <c r="D2978" s="3">
        <v>2022</v>
      </c>
      <c r="E2978" s="78">
        <f t="shared" si="484"/>
        <v>4</v>
      </c>
      <c r="F2978" s="74" t="s">
        <v>54</v>
      </c>
      <c r="G2978" s="77">
        <f t="shared" si="485"/>
        <v>30450</v>
      </c>
      <c r="H2978" s="77"/>
      <c r="I2978" s="76">
        <v>0</v>
      </c>
    </row>
    <row r="2979" spans="3:9" x14ac:dyDescent="0.35">
      <c r="C2979" t="s">
        <v>312</v>
      </c>
      <c r="D2979" s="3">
        <v>2022</v>
      </c>
      <c r="E2979" s="78">
        <f t="shared" si="484"/>
        <v>4</v>
      </c>
      <c r="F2979" s="74" t="s">
        <v>34</v>
      </c>
      <c r="G2979" s="77">
        <v>0</v>
      </c>
      <c r="H2979" s="75">
        <f>H2968</f>
        <v>27750</v>
      </c>
      <c r="I2979" s="76">
        <v>1</v>
      </c>
    </row>
    <row r="2980" spans="3:9" x14ac:dyDescent="0.35">
      <c r="C2980" t="s">
        <v>312</v>
      </c>
      <c r="D2980" s="3">
        <v>2022</v>
      </c>
      <c r="E2980" s="78">
        <f t="shared" si="484"/>
        <v>4</v>
      </c>
      <c r="F2980" s="74" t="s">
        <v>34</v>
      </c>
      <c r="G2980" s="77">
        <f>H2979</f>
        <v>27750</v>
      </c>
      <c r="H2980" s="77">
        <f>H2979+300</f>
        <v>28050</v>
      </c>
      <c r="I2980" s="76">
        <v>0.9</v>
      </c>
    </row>
    <row r="2981" spans="3:9" x14ac:dyDescent="0.35">
      <c r="C2981" t="s">
        <v>312</v>
      </c>
      <c r="D2981" s="3">
        <v>2022</v>
      </c>
      <c r="E2981" s="78">
        <f t="shared" si="484"/>
        <v>4</v>
      </c>
      <c r="F2981" s="74" t="s">
        <v>34</v>
      </c>
      <c r="G2981" s="77">
        <f t="shared" ref="G2981:G2989" si="487">H2980</f>
        <v>28050</v>
      </c>
      <c r="H2981" s="77">
        <f t="shared" ref="H2981:H2988" si="488">H2980+300</f>
        <v>28350</v>
      </c>
      <c r="I2981" s="76">
        <v>0.8</v>
      </c>
    </row>
    <row r="2982" spans="3:9" x14ac:dyDescent="0.35">
      <c r="C2982" t="s">
        <v>312</v>
      </c>
      <c r="D2982" s="3">
        <v>2022</v>
      </c>
      <c r="E2982" s="78">
        <f t="shared" si="484"/>
        <v>4</v>
      </c>
      <c r="F2982" s="74" t="s">
        <v>34</v>
      </c>
      <c r="G2982" s="77">
        <f t="shared" si="487"/>
        <v>28350</v>
      </c>
      <c r="H2982" s="77">
        <f t="shared" si="488"/>
        <v>28650</v>
      </c>
      <c r="I2982" s="76">
        <v>0.7</v>
      </c>
    </row>
    <row r="2983" spans="3:9" x14ac:dyDescent="0.35">
      <c r="C2983" t="s">
        <v>312</v>
      </c>
      <c r="D2983" s="3">
        <v>2022</v>
      </c>
      <c r="E2983" s="78">
        <f t="shared" si="484"/>
        <v>4</v>
      </c>
      <c r="F2983" s="74" t="s">
        <v>34</v>
      </c>
      <c r="G2983" s="77">
        <f t="shared" si="487"/>
        <v>28650</v>
      </c>
      <c r="H2983" s="77">
        <f t="shared" si="488"/>
        <v>28950</v>
      </c>
      <c r="I2983" s="76">
        <v>0.6</v>
      </c>
    </row>
    <row r="2984" spans="3:9" x14ac:dyDescent="0.35">
      <c r="C2984" t="s">
        <v>312</v>
      </c>
      <c r="D2984" s="3">
        <v>2022</v>
      </c>
      <c r="E2984" s="78">
        <f t="shared" si="484"/>
        <v>4</v>
      </c>
      <c r="F2984" s="74" t="s">
        <v>34</v>
      </c>
      <c r="G2984" s="77">
        <f t="shared" si="487"/>
        <v>28950</v>
      </c>
      <c r="H2984" s="77">
        <f t="shared" si="488"/>
        <v>29250</v>
      </c>
      <c r="I2984" s="76">
        <v>0.5</v>
      </c>
    </row>
    <row r="2985" spans="3:9" x14ac:dyDescent="0.35">
      <c r="C2985" t="s">
        <v>312</v>
      </c>
      <c r="D2985" s="3">
        <v>2022</v>
      </c>
      <c r="E2985" s="78">
        <f t="shared" si="484"/>
        <v>4</v>
      </c>
      <c r="F2985" s="74" t="s">
        <v>34</v>
      </c>
      <c r="G2985" s="77">
        <f t="shared" si="487"/>
        <v>29250</v>
      </c>
      <c r="H2985" s="77">
        <f t="shared" si="488"/>
        <v>29550</v>
      </c>
      <c r="I2985" s="76">
        <v>0.4</v>
      </c>
    </row>
    <row r="2986" spans="3:9" x14ac:dyDescent="0.35">
      <c r="C2986" t="s">
        <v>312</v>
      </c>
      <c r="D2986" s="3">
        <v>2022</v>
      </c>
      <c r="E2986" s="78">
        <f t="shared" si="484"/>
        <v>4</v>
      </c>
      <c r="F2986" s="74" t="s">
        <v>34</v>
      </c>
      <c r="G2986" s="77">
        <f t="shared" si="487"/>
        <v>29550</v>
      </c>
      <c r="H2986" s="77">
        <f t="shared" si="488"/>
        <v>29850</v>
      </c>
      <c r="I2986" s="76">
        <v>0.3</v>
      </c>
    </row>
    <row r="2987" spans="3:9" x14ac:dyDescent="0.35">
      <c r="C2987" t="s">
        <v>312</v>
      </c>
      <c r="D2987" s="3">
        <v>2022</v>
      </c>
      <c r="E2987" s="78">
        <f t="shared" si="484"/>
        <v>4</v>
      </c>
      <c r="F2987" s="74" t="s">
        <v>34</v>
      </c>
      <c r="G2987" s="77">
        <f t="shared" si="487"/>
        <v>29850</v>
      </c>
      <c r="H2987" s="77">
        <f t="shared" si="488"/>
        <v>30150</v>
      </c>
      <c r="I2987" s="76">
        <v>0.2</v>
      </c>
    </row>
    <row r="2988" spans="3:9" x14ac:dyDescent="0.35">
      <c r="C2988" t="s">
        <v>312</v>
      </c>
      <c r="D2988" s="3">
        <v>2022</v>
      </c>
      <c r="E2988" s="78">
        <f t="shared" si="484"/>
        <v>4</v>
      </c>
      <c r="F2988" s="74" t="s">
        <v>34</v>
      </c>
      <c r="G2988" s="77">
        <f t="shared" si="487"/>
        <v>30150</v>
      </c>
      <c r="H2988" s="77">
        <f t="shared" si="488"/>
        <v>30450</v>
      </c>
      <c r="I2988" s="76">
        <v>0.1</v>
      </c>
    </row>
    <row r="2989" spans="3:9" x14ac:dyDescent="0.35">
      <c r="C2989" t="s">
        <v>312</v>
      </c>
      <c r="D2989" s="3">
        <v>2022</v>
      </c>
      <c r="E2989" s="78">
        <f t="shared" si="484"/>
        <v>4</v>
      </c>
      <c r="F2989" s="74" t="s">
        <v>34</v>
      </c>
      <c r="G2989" s="77">
        <f t="shared" si="487"/>
        <v>30450</v>
      </c>
      <c r="H2989" s="77"/>
      <c r="I2989" s="76">
        <v>0</v>
      </c>
    </row>
    <row r="2990" spans="3:9" x14ac:dyDescent="0.35">
      <c r="C2990" t="s">
        <v>312</v>
      </c>
      <c r="D2990" s="3">
        <v>2022</v>
      </c>
      <c r="E2990" s="78">
        <f t="shared" si="484"/>
        <v>4</v>
      </c>
      <c r="F2990" s="74" t="s">
        <v>40</v>
      </c>
      <c r="G2990" s="77">
        <v>0</v>
      </c>
      <c r="H2990" s="75">
        <f>H2979</f>
        <v>27750</v>
      </c>
      <c r="I2990" s="76">
        <v>1</v>
      </c>
    </row>
    <row r="2991" spans="3:9" x14ac:dyDescent="0.35">
      <c r="C2991" t="s">
        <v>312</v>
      </c>
      <c r="D2991" s="3">
        <v>2022</v>
      </c>
      <c r="E2991" s="78">
        <f t="shared" si="484"/>
        <v>4</v>
      </c>
      <c r="F2991" s="74" t="s">
        <v>40</v>
      </c>
      <c r="G2991" s="77">
        <f>H2990</f>
        <v>27750</v>
      </c>
      <c r="H2991" s="77">
        <f>H2990+300</f>
        <v>28050</v>
      </c>
      <c r="I2991" s="76">
        <v>0.9</v>
      </c>
    </row>
    <row r="2992" spans="3:9" x14ac:dyDescent="0.35">
      <c r="C2992" t="s">
        <v>312</v>
      </c>
      <c r="D2992" s="3">
        <v>2022</v>
      </c>
      <c r="E2992" s="78">
        <f t="shared" si="484"/>
        <v>4</v>
      </c>
      <c r="F2992" s="74" t="s">
        <v>40</v>
      </c>
      <c r="G2992" s="77">
        <f t="shared" ref="G2992:G3000" si="489">H2991</f>
        <v>28050</v>
      </c>
      <c r="H2992" s="77">
        <f t="shared" ref="H2992:H2999" si="490">H2991+300</f>
        <v>28350</v>
      </c>
      <c r="I2992" s="76">
        <v>0.8</v>
      </c>
    </row>
    <row r="2993" spans="3:9" x14ac:dyDescent="0.35">
      <c r="C2993" t="s">
        <v>312</v>
      </c>
      <c r="D2993" s="3">
        <v>2022</v>
      </c>
      <c r="E2993" s="78">
        <f t="shared" si="484"/>
        <v>4</v>
      </c>
      <c r="F2993" s="74" t="s">
        <v>40</v>
      </c>
      <c r="G2993" s="77">
        <f t="shared" si="489"/>
        <v>28350</v>
      </c>
      <c r="H2993" s="77">
        <f t="shared" si="490"/>
        <v>28650</v>
      </c>
      <c r="I2993" s="76">
        <v>0.7</v>
      </c>
    </row>
    <row r="2994" spans="3:9" x14ac:dyDescent="0.35">
      <c r="C2994" t="s">
        <v>312</v>
      </c>
      <c r="D2994" s="3">
        <v>2022</v>
      </c>
      <c r="E2994" s="78">
        <f t="shared" si="484"/>
        <v>4</v>
      </c>
      <c r="F2994" s="74" t="s">
        <v>40</v>
      </c>
      <c r="G2994" s="77">
        <f t="shared" si="489"/>
        <v>28650</v>
      </c>
      <c r="H2994" s="77">
        <f t="shared" si="490"/>
        <v>28950</v>
      </c>
      <c r="I2994" s="76">
        <v>0.6</v>
      </c>
    </row>
    <row r="2995" spans="3:9" x14ac:dyDescent="0.35">
      <c r="C2995" t="s">
        <v>312</v>
      </c>
      <c r="D2995" s="3">
        <v>2022</v>
      </c>
      <c r="E2995" s="78">
        <f t="shared" si="484"/>
        <v>4</v>
      </c>
      <c r="F2995" s="74" t="s">
        <v>40</v>
      </c>
      <c r="G2995" s="77">
        <f t="shared" si="489"/>
        <v>28950</v>
      </c>
      <c r="H2995" s="77">
        <f t="shared" si="490"/>
        <v>29250</v>
      </c>
      <c r="I2995" s="76">
        <v>0.5</v>
      </c>
    </row>
    <row r="2996" spans="3:9" x14ac:dyDescent="0.35">
      <c r="C2996" t="s">
        <v>312</v>
      </c>
      <c r="D2996" s="3">
        <v>2022</v>
      </c>
      <c r="E2996" s="78">
        <f t="shared" si="484"/>
        <v>4</v>
      </c>
      <c r="F2996" s="74" t="s">
        <v>40</v>
      </c>
      <c r="G2996" s="77">
        <f t="shared" si="489"/>
        <v>29250</v>
      </c>
      <c r="H2996" s="77">
        <f t="shared" si="490"/>
        <v>29550</v>
      </c>
      <c r="I2996" s="76">
        <v>0.4</v>
      </c>
    </row>
    <row r="2997" spans="3:9" x14ac:dyDescent="0.35">
      <c r="C2997" t="s">
        <v>312</v>
      </c>
      <c r="D2997" s="3">
        <v>2022</v>
      </c>
      <c r="E2997" s="78">
        <f t="shared" si="484"/>
        <v>4</v>
      </c>
      <c r="F2997" s="74" t="s">
        <v>40</v>
      </c>
      <c r="G2997" s="77">
        <f t="shared" si="489"/>
        <v>29550</v>
      </c>
      <c r="H2997" s="77">
        <f t="shared" si="490"/>
        <v>29850</v>
      </c>
      <c r="I2997" s="76">
        <v>0.3</v>
      </c>
    </row>
    <row r="2998" spans="3:9" x14ac:dyDescent="0.35">
      <c r="C2998" t="s">
        <v>312</v>
      </c>
      <c r="D2998" s="3">
        <v>2022</v>
      </c>
      <c r="E2998" s="78">
        <f t="shared" si="484"/>
        <v>4</v>
      </c>
      <c r="F2998" s="74" t="s">
        <v>40</v>
      </c>
      <c r="G2998" s="77">
        <f t="shared" si="489"/>
        <v>29850</v>
      </c>
      <c r="H2998" s="77">
        <f t="shared" si="490"/>
        <v>30150</v>
      </c>
      <c r="I2998" s="76">
        <v>0.2</v>
      </c>
    </row>
    <row r="2999" spans="3:9" x14ac:dyDescent="0.35">
      <c r="C2999" t="s">
        <v>312</v>
      </c>
      <c r="D2999" s="3">
        <v>2022</v>
      </c>
      <c r="E2999" s="78">
        <f t="shared" si="484"/>
        <v>4</v>
      </c>
      <c r="F2999" s="74" t="s">
        <v>40</v>
      </c>
      <c r="G2999" s="77">
        <f t="shared" si="489"/>
        <v>30150</v>
      </c>
      <c r="H2999" s="77">
        <f t="shared" si="490"/>
        <v>30450</v>
      </c>
      <c r="I2999" s="76">
        <v>0.1</v>
      </c>
    </row>
    <row r="3000" spans="3:9" x14ac:dyDescent="0.35">
      <c r="C3000" t="s">
        <v>312</v>
      </c>
      <c r="D3000" s="3">
        <v>2022</v>
      </c>
      <c r="E3000" s="78">
        <f t="shared" si="484"/>
        <v>4</v>
      </c>
      <c r="F3000" s="74" t="s">
        <v>40</v>
      </c>
      <c r="G3000" s="77">
        <f t="shared" si="489"/>
        <v>30450</v>
      </c>
      <c r="H3000" s="77"/>
      <c r="I3000" s="76">
        <v>0</v>
      </c>
    </row>
    <row r="3001" spans="3:9" x14ac:dyDescent="0.35">
      <c r="C3001" t="s">
        <v>312</v>
      </c>
      <c r="D3001" s="3">
        <v>2022</v>
      </c>
      <c r="E3001" s="78">
        <f t="shared" si="484"/>
        <v>4</v>
      </c>
      <c r="F3001" s="74" t="s">
        <v>313</v>
      </c>
      <c r="G3001" s="77">
        <v>0</v>
      </c>
      <c r="H3001" s="75">
        <f>H2990</f>
        <v>27750</v>
      </c>
      <c r="I3001" s="76">
        <v>1</v>
      </c>
    </row>
    <row r="3002" spans="3:9" x14ac:dyDescent="0.35">
      <c r="C3002" t="s">
        <v>312</v>
      </c>
      <c r="D3002" s="3">
        <v>2022</v>
      </c>
      <c r="E3002" s="78">
        <f t="shared" si="484"/>
        <v>4</v>
      </c>
      <c r="F3002" s="74" t="s">
        <v>313</v>
      </c>
      <c r="G3002" s="77">
        <f>H3001</f>
        <v>27750</v>
      </c>
      <c r="H3002" s="77">
        <f>H3001+300</f>
        <v>28050</v>
      </c>
      <c r="I3002" s="76">
        <v>0.9</v>
      </c>
    </row>
    <row r="3003" spans="3:9" x14ac:dyDescent="0.35">
      <c r="C3003" t="s">
        <v>312</v>
      </c>
      <c r="D3003" s="3">
        <v>2022</v>
      </c>
      <c r="E3003" s="78">
        <f t="shared" si="484"/>
        <v>4</v>
      </c>
      <c r="F3003" s="74" t="s">
        <v>313</v>
      </c>
      <c r="G3003" s="77">
        <f t="shared" ref="G3003:G3011" si="491">H3002</f>
        <v>28050</v>
      </c>
      <c r="H3003" s="77">
        <f t="shared" ref="H3003:H3010" si="492">H3002+300</f>
        <v>28350</v>
      </c>
      <c r="I3003" s="76">
        <v>0.8</v>
      </c>
    </row>
    <row r="3004" spans="3:9" x14ac:dyDescent="0.35">
      <c r="C3004" t="s">
        <v>312</v>
      </c>
      <c r="D3004" s="3">
        <v>2022</v>
      </c>
      <c r="E3004" s="78">
        <f t="shared" si="484"/>
        <v>4</v>
      </c>
      <c r="F3004" s="74" t="s">
        <v>313</v>
      </c>
      <c r="G3004" s="77">
        <f t="shared" si="491"/>
        <v>28350</v>
      </c>
      <c r="H3004" s="77">
        <f t="shared" si="492"/>
        <v>28650</v>
      </c>
      <c r="I3004" s="76">
        <v>0.7</v>
      </c>
    </row>
    <row r="3005" spans="3:9" x14ac:dyDescent="0.35">
      <c r="C3005" t="s">
        <v>312</v>
      </c>
      <c r="D3005" s="3">
        <v>2022</v>
      </c>
      <c r="E3005" s="78">
        <f t="shared" si="484"/>
        <v>4</v>
      </c>
      <c r="F3005" s="74" t="s">
        <v>313</v>
      </c>
      <c r="G3005" s="77">
        <f t="shared" si="491"/>
        <v>28650</v>
      </c>
      <c r="H3005" s="77">
        <f t="shared" si="492"/>
        <v>28950</v>
      </c>
      <c r="I3005" s="76">
        <v>0.6</v>
      </c>
    </row>
    <row r="3006" spans="3:9" x14ac:dyDescent="0.35">
      <c r="C3006" t="s">
        <v>312</v>
      </c>
      <c r="D3006" s="3">
        <v>2022</v>
      </c>
      <c r="E3006" s="78">
        <f t="shared" si="484"/>
        <v>4</v>
      </c>
      <c r="F3006" s="74" t="s">
        <v>313</v>
      </c>
      <c r="G3006" s="77">
        <f t="shared" si="491"/>
        <v>28950</v>
      </c>
      <c r="H3006" s="77">
        <f t="shared" si="492"/>
        <v>29250</v>
      </c>
      <c r="I3006" s="76">
        <v>0.5</v>
      </c>
    </row>
    <row r="3007" spans="3:9" x14ac:dyDescent="0.35">
      <c r="C3007" t="s">
        <v>312</v>
      </c>
      <c r="D3007" s="3">
        <v>2022</v>
      </c>
      <c r="E3007" s="78">
        <f t="shared" si="484"/>
        <v>4</v>
      </c>
      <c r="F3007" s="74" t="s">
        <v>313</v>
      </c>
      <c r="G3007" s="77">
        <f t="shared" si="491"/>
        <v>29250</v>
      </c>
      <c r="H3007" s="77">
        <f t="shared" si="492"/>
        <v>29550</v>
      </c>
      <c r="I3007" s="76">
        <v>0.4</v>
      </c>
    </row>
    <row r="3008" spans="3:9" x14ac:dyDescent="0.35">
      <c r="C3008" t="s">
        <v>312</v>
      </c>
      <c r="D3008" s="3">
        <v>2022</v>
      </c>
      <c r="E3008" s="78">
        <f t="shared" si="484"/>
        <v>4</v>
      </c>
      <c r="F3008" s="74" t="s">
        <v>313</v>
      </c>
      <c r="G3008" s="77">
        <f t="shared" si="491"/>
        <v>29550</v>
      </c>
      <c r="H3008" s="77">
        <f t="shared" si="492"/>
        <v>29850</v>
      </c>
      <c r="I3008" s="76">
        <v>0.3</v>
      </c>
    </row>
    <row r="3009" spans="3:9" x14ac:dyDescent="0.35">
      <c r="C3009" t="s">
        <v>312</v>
      </c>
      <c r="D3009" s="3">
        <v>2022</v>
      </c>
      <c r="E3009" s="78">
        <f t="shared" si="484"/>
        <v>4</v>
      </c>
      <c r="F3009" s="74" t="s">
        <v>313</v>
      </c>
      <c r="G3009" s="77">
        <f t="shared" si="491"/>
        <v>29850</v>
      </c>
      <c r="H3009" s="77">
        <f t="shared" si="492"/>
        <v>30150</v>
      </c>
      <c r="I3009" s="76">
        <v>0.2</v>
      </c>
    </row>
    <row r="3010" spans="3:9" x14ac:dyDescent="0.35">
      <c r="C3010" t="s">
        <v>312</v>
      </c>
      <c r="D3010" s="3">
        <v>2022</v>
      </c>
      <c r="E3010" s="78">
        <f t="shared" si="484"/>
        <v>4</v>
      </c>
      <c r="F3010" s="74" t="s">
        <v>313</v>
      </c>
      <c r="G3010" s="77">
        <f t="shared" si="491"/>
        <v>30150</v>
      </c>
      <c r="H3010" s="77">
        <f t="shared" si="492"/>
        <v>30450</v>
      </c>
      <c r="I3010" s="76">
        <v>0.1</v>
      </c>
    </row>
    <row r="3011" spans="3:9" x14ac:dyDescent="0.35">
      <c r="C3011" t="s">
        <v>312</v>
      </c>
      <c r="D3011" s="3">
        <v>2022</v>
      </c>
      <c r="E3011" s="78">
        <f t="shared" si="484"/>
        <v>4</v>
      </c>
      <c r="F3011" s="74" t="s">
        <v>313</v>
      </c>
      <c r="G3011" s="77">
        <f t="shared" si="491"/>
        <v>30450</v>
      </c>
      <c r="H3011" s="77"/>
      <c r="I3011" s="76">
        <v>0</v>
      </c>
    </row>
    <row r="3012" spans="3:9" x14ac:dyDescent="0.35">
      <c r="C3012" t="s">
        <v>312</v>
      </c>
      <c r="D3012" s="3">
        <v>2022</v>
      </c>
      <c r="E3012" s="73">
        <v>5</v>
      </c>
      <c r="F3012" s="74" t="s">
        <v>54</v>
      </c>
      <c r="G3012" s="77">
        <v>0</v>
      </c>
      <c r="H3012" s="77">
        <v>32470</v>
      </c>
      <c r="I3012" s="76">
        <v>1</v>
      </c>
    </row>
    <row r="3013" spans="3:9" x14ac:dyDescent="0.35">
      <c r="C3013" t="s">
        <v>312</v>
      </c>
      <c r="D3013" s="3">
        <v>2022</v>
      </c>
      <c r="E3013" s="78">
        <f>E3012</f>
        <v>5</v>
      </c>
      <c r="F3013" s="74" t="s">
        <v>54</v>
      </c>
      <c r="G3013" s="77">
        <f>H3012</f>
        <v>32470</v>
      </c>
      <c r="H3013" s="77">
        <f>H3012+300</f>
        <v>32770</v>
      </c>
      <c r="I3013" s="76">
        <v>0.9</v>
      </c>
    </row>
    <row r="3014" spans="3:9" x14ac:dyDescent="0.35">
      <c r="C3014" t="s">
        <v>312</v>
      </c>
      <c r="D3014" s="3">
        <v>2022</v>
      </c>
      <c r="E3014" s="78">
        <f t="shared" ref="E3014:E3055" si="493">E3013</f>
        <v>5</v>
      </c>
      <c r="F3014" s="74" t="s">
        <v>54</v>
      </c>
      <c r="G3014" s="77">
        <f t="shared" ref="G3014:G3022" si="494">H3013</f>
        <v>32770</v>
      </c>
      <c r="H3014" s="77">
        <f t="shared" ref="H3014:H3021" si="495">H3013+300</f>
        <v>33070</v>
      </c>
      <c r="I3014" s="76">
        <v>0.8</v>
      </c>
    </row>
    <row r="3015" spans="3:9" x14ac:dyDescent="0.35">
      <c r="C3015" t="s">
        <v>312</v>
      </c>
      <c r="D3015" s="3">
        <v>2022</v>
      </c>
      <c r="E3015" s="78">
        <f t="shared" si="493"/>
        <v>5</v>
      </c>
      <c r="F3015" s="74" t="s">
        <v>54</v>
      </c>
      <c r="G3015" s="77">
        <f t="shared" si="494"/>
        <v>33070</v>
      </c>
      <c r="H3015" s="77">
        <f t="shared" si="495"/>
        <v>33370</v>
      </c>
      <c r="I3015" s="76">
        <v>0.7</v>
      </c>
    </row>
    <row r="3016" spans="3:9" x14ac:dyDescent="0.35">
      <c r="C3016" t="s">
        <v>312</v>
      </c>
      <c r="D3016" s="3">
        <v>2022</v>
      </c>
      <c r="E3016" s="78">
        <f t="shared" si="493"/>
        <v>5</v>
      </c>
      <c r="F3016" s="74" t="s">
        <v>54</v>
      </c>
      <c r="G3016" s="77">
        <f t="shared" si="494"/>
        <v>33370</v>
      </c>
      <c r="H3016" s="77">
        <f t="shared" si="495"/>
        <v>33670</v>
      </c>
      <c r="I3016" s="76">
        <v>0.6</v>
      </c>
    </row>
    <row r="3017" spans="3:9" x14ac:dyDescent="0.35">
      <c r="C3017" t="s">
        <v>312</v>
      </c>
      <c r="D3017" s="3">
        <v>2022</v>
      </c>
      <c r="E3017" s="78">
        <f t="shared" si="493"/>
        <v>5</v>
      </c>
      <c r="F3017" s="74" t="s">
        <v>54</v>
      </c>
      <c r="G3017" s="77">
        <f t="shared" si="494"/>
        <v>33670</v>
      </c>
      <c r="H3017" s="77">
        <f t="shared" si="495"/>
        <v>33970</v>
      </c>
      <c r="I3017" s="76">
        <v>0.5</v>
      </c>
    </row>
    <row r="3018" spans="3:9" x14ac:dyDescent="0.35">
      <c r="C3018" t="s">
        <v>312</v>
      </c>
      <c r="D3018" s="3">
        <v>2022</v>
      </c>
      <c r="E3018" s="78">
        <f t="shared" si="493"/>
        <v>5</v>
      </c>
      <c r="F3018" s="74" t="s">
        <v>54</v>
      </c>
      <c r="G3018" s="77">
        <f t="shared" si="494"/>
        <v>33970</v>
      </c>
      <c r="H3018" s="77">
        <f t="shared" si="495"/>
        <v>34270</v>
      </c>
      <c r="I3018" s="76">
        <v>0.4</v>
      </c>
    </row>
    <row r="3019" spans="3:9" x14ac:dyDescent="0.35">
      <c r="C3019" t="s">
        <v>312</v>
      </c>
      <c r="D3019" s="3">
        <v>2022</v>
      </c>
      <c r="E3019" s="78">
        <f t="shared" si="493"/>
        <v>5</v>
      </c>
      <c r="F3019" s="74" t="s">
        <v>54</v>
      </c>
      <c r="G3019" s="77">
        <f t="shared" si="494"/>
        <v>34270</v>
      </c>
      <c r="H3019" s="77">
        <f t="shared" si="495"/>
        <v>34570</v>
      </c>
      <c r="I3019" s="76">
        <v>0.3</v>
      </c>
    </row>
    <row r="3020" spans="3:9" x14ac:dyDescent="0.35">
      <c r="C3020" t="s">
        <v>312</v>
      </c>
      <c r="D3020" s="3">
        <v>2022</v>
      </c>
      <c r="E3020" s="78">
        <f t="shared" si="493"/>
        <v>5</v>
      </c>
      <c r="F3020" s="74" t="s">
        <v>54</v>
      </c>
      <c r="G3020" s="77">
        <f t="shared" si="494"/>
        <v>34570</v>
      </c>
      <c r="H3020" s="77">
        <f t="shared" si="495"/>
        <v>34870</v>
      </c>
      <c r="I3020" s="76">
        <v>0.2</v>
      </c>
    </row>
    <row r="3021" spans="3:9" x14ac:dyDescent="0.35">
      <c r="C3021" t="s">
        <v>312</v>
      </c>
      <c r="D3021" s="3">
        <v>2022</v>
      </c>
      <c r="E3021" s="78">
        <f t="shared" si="493"/>
        <v>5</v>
      </c>
      <c r="F3021" s="74" t="s">
        <v>54</v>
      </c>
      <c r="G3021" s="77">
        <f t="shared" si="494"/>
        <v>34870</v>
      </c>
      <c r="H3021" s="77">
        <f t="shared" si="495"/>
        <v>35170</v>
      </c>
      <c r="I3021" s="76">
        <v>0.1</v>
      </c>
    </row>
    <row r="3022" spans="3:9" x14ac:dyDescent="0.35">
      <c r="C3022" t="s">
        <v>312</v>
      </c>
      <c r="D3022" s="3">
        <v>2022</v>
      </c>
      <c r="E3022" s="78">
        <f t="shared" si="493"/>
        <v>5</v>
      </c>
      <c r="F3022" s="74" t="s">
        <v>54</v>
      </c>
      <c r="G3022" s="77">
        <f t="shared" si="494"/>
        <v>35170</v>
      </c>
      <c r="H3022" s="77"/>
      <c r="I3022" s="76">
        <v>0</v>
      </c>
    </row>
    <row r="3023" spans="3:9" x14ac:dyDescent="0.35">
      <c r="C3023" t="s">
        <v>312</v>
      </c>
      <c r="D3023" s="3">
        <v>2022</v>
      </c>
      <c r="E3023" s="78">
        <f t="shared" si="493"/>
        <v>5</v>
      </c>
      <c r="F3023" s="74" t="s">
        <v>34</v>
      </c>
      <c r="G3023" s="77">
        <v>0</v>
      </c>
      <c r="H3023" s="75">
        <f>H3012</f>
        <v>32470</v>
      </c>
      <c r="I3023" s="76">
        <v>1</v>
      </c>
    </row>
    <row r="3024" spans="3:9" x14ac:dyDescent="0.35">
      <c r="C3024" t="s">
        <v>312</v>
      </c>
      <c r="D3024" s="3">
        <v>2022</v>
      </c>
      <c r="E3024" s="78">
        <f t="shared" si="493"/>
        <v>5</v>
      </c>
      <c r="F3024" s="74" t="s">
        <v>34</v>
      </c>
      <c r="G3024" s="77">
        <f>H3023</f>
        <v>32470</v>
      </c>
      <c r="H3024" s="77">
        <f>H3023+300</f>
        <v>32770</v>
      </c>
      <c r="I3024" s="76">
        <v>0.9</v>
      </c>
    </row>
    <row r="3025" spans="3:9" x14ac:dyDescent="0.35">
      <c r="C3025" t="s">
        <v>312</v>
      </c>
      <c r="D3025" s="3">
        <v>2022</v>
      </c>
      <c r="E3025" s="78">
        <f t="shared" si="493"/>
        <v>5</v>
      </c>
      <c r="F3025" s="74" t="s">
        <v>34</v>
      </c>
      <c r="G3025" s="77">
        <f t="shared" ref="G3025:G3033" si="496">H3024</f>
        <v>32770</v>
      </c>
      <c r="H3025" s="77">
        <f t="shared" ref="H3025:H3032" si="497">H3024+300</f>
        <v>33070</v>
      </c>
      <c r="I3025" s="76">
        <v>0.8</v>
      </c>
    </row>
    <row r="3026" spans="3:9" x14ac:dyDescent="0.35">
      <c r="C3026" t="s">
        <v>312</v>
      </c>
      <c r="D3026" s="3">
        <v>2022</v>
      </c>
      <c r="E3026" s="78">
        <f t="shared" si="493"/>
        <v>5</v>
      </c>
      <c r="F3026" s="74" t="s">
        <v>34</v>
      </c>
      <c r="G3026" s="77">
        <f t="shared" si="496"/>
        <v>33070</v>
      </c>
      <c r="H3026" s="77">
        <f t="shared" si="497"/>
        <v>33370</v>
      </c>
      <c r="I3026" s="76">
        <v>0.7</v>
      </c>
    </row>
    <row r="3027" spans="3:9" x14ac:dyDescent="0.35">
      <c r="C3027" t="s">
        <v>312</v>
      </c>
      <c r="D3027" s="3">
        <v>2022</v>
      </c>
      <c r="E3027" s="78">
        <f t="shared" si="493"/>
        <v>5</v>
      </c>
      <c r="F3027" s="74" t="s">
        <v>34</v>
      </c>
      <c r="G3027" s="77">
        <f t="shared" si="496"/>
        <v>33370</v>
      </c>
      <c r="H3027" s="77">
        <f t="shared" si="497"/>
        <v>33670</v>
      </c>
      <c r="I3027" s="76">
        <v>0.6</v>
      </c>
    </row>
    <row r="3028" spans="3:9" x14ac:dyDescent="0.35">
      <c r="C3028" t="s">
        <v>312</v>
      </c>
      <c r="D3028" s="3">
        <v>2022</v>
      </c>
      <c r="E3028" s="78">
        <f t="shared" si="493"/>
        <v>5</v>
      </c>
      <c r="F3028" s="74" t="s">
        <v>34</v>
      </c>
      <c r="G3028" s="77">
        <f t="shared" si="496"/>
        <v>33670</v>
      </c>
      <c r="H3028" s="77">
        <f t="shared" si="497"/>
        <v>33970</v>
      </c>
      <c r="I3028" s="76">
        <v>0.5</v>
      </c>
    </row>
    <row r="3029" spans="3:9" x14ac:dyDescent="0.35">
      <c r="C3029" t="s">
        <v>312</v>
      </c>
      <c r="D3029" s="3">
        <v>2022</v>
      </c>
      <c r="E3029" s="78">
        <f t="shared" si="493"/>
        <v>5</v>
      </c>
      <c r="F3029" s="74" t="s">
        <v>34</v>
      </c>
      <c r="G3029" s="77">
        <f t="shared" si="496"/>
        <v>33970</v>
      </c>
      <c r="H3029" s="77">
        <f t="shared" si="497"/>
        <v>34270</v>
      </c>
      <c r="I3029" s="76">
        <v>0.4</v>
      </c>
    </row>
    <row r="3030" spans="3:9" x14ac:dyDescent="0.35">
      <c r="C3030" t="s">
        <v>312</v>
      </c>
      <c r="D3030" s="3">
        <v>2022</v>
      </c>
      <c r="E3030" s="78">
        <f t="shared" si="493"/>
        <v>5</v>
      </c>
      <c r="F3030" s="74" t="s">
        <v>34</v>
      </c>
      <c r="G3030" s="77">
        <f t="shared" si="496"/>
        <v>34270</v>
      </c>
      <c r="H3030" s="77">
        <f t="shared" si="497"/>
        <v>34570</v>
      </c>
      <c r="I3030" s="76">
        <v>0.3</v>
      </c>
    </row>
    <row r="3031" spans="3:9" x14ac:dyDescent="0.35">
      <c r="C3031" t="s">
        <v>312</v>
      </c>
      <c r="D3031" s="3">
        <v>2022</v>
      </c>
      <c r="E3031" s="78">
        <f t="shared" si="493"/>
        <v>5</v>
      </c>
      <c r="F3031" s="74" t="s">
        <v>34</v>
      </c>
      <c r="G3031" s="77">
        <f t="shared" si="496"/>
        <v>34570</v>
      </c>
      <c r="H3031" s="77">
        <f t="shared" si="497"/>
        <v>34870</v>
      </c>
      <c r="I3031" s="76">
        <v>0.2</v>
      </c>
    </row>
    <row r="3032" spans="3:9" x14ac:dyDescent="0.35">
      <c r="C3032" t="s">
        <v>312</v>
      </c>
      <c r="D3032" s="3">
        <v>2022</v>
      </c>
      <c r="E3032" s="78">
        <f t="shared" si="493"/>
        <v>5</v>
      </c>
      <c r="F3032" s="74" t="s">
        <v>34</v>
      </c>
      <c r="G3032" s="77">
        <f t="shared" si="496"/>
        <v>34870</v>
      </c>
      <c r="H3032" s="77">
        <f t="shared" si="497"/>
        <v>35170</v>
      </c>
      <c r="I3032" s="76">
        <v>0.1</v>
      </c>
    </row>
    <row r="3033" spans="3:9" x14ac:dyDescent="0.35">
      <c r="C3033" t="s">
        <v>312</v>
      </c>
      <c r="D3033" s="3">
        <v>2022</v>
      </c>
      <c r="E3033" s="78">
        <f t="shared" si="493"/>
        <v>5</v>
      </c>
      <c r="F3033" s="74" t="s">
        <v>34</v>
      </c>
      <c r="G3033" s="77">
        <f t="shared" si="496"/>
        <v>35170</v>
      </c>
      <c r="H3033" s="77"/>
      <c r="I3033" s="76">
        <v>0</v>
      </c>
    </row>
    <row r="3034" spans="3:9" x14ac:dyDescent="0.35">
      <c r="C3034" t="s">
        <v>312</v>
      </c>
      <c r="D3034" s="3">
        <v>2022</v>
      </c>
      <c r="E3034" s="78">
        <f t="shared" si="493"/>
        <v>5</v>
      </c>
      <c r="F3034" s="74" t="s">
        <v>40</v>
      </c>
      <c r="G3034" s="77">
        <v>0</v>
      </c>
      <c r="H3034" s="75">
        <f>H3023</f>
        <v>32470</v>
      </c>
      <c r="I3034" s="76">
        <v>1</v>
      </c>
    </row>
    <row r="3035" spans="3:9" x14ac:dyDescent="0.35">
      <c r="C3035" t="s">
        <v>312</v>
      </c>
      <c r="D3035" s="3">
        <v>2022</v>
      </c>
      <c r="E3035" s="78">
        <f t="shared" si="493"/>
        <v>5</v>
      </c>
      <c r="F3035" s="74" t="s">
        <v>40</v>
      </c>
      <c r="G3035" s="77">
        <f>H3034</f>
        <v>32470</v>
      </c>
      <c r="H3035" s="77">
        <f>H3034+300</f>
        <v>32770</v>
      </c>
      <c r="I3035" s="76">
        <v>0.9</v>
      </c>
    </row>
    <row r="3036" spans="3:9" x14ac:dyDescent="0.35">
      <c r="C3036" t="s">
        <v>312</v>
      </c>
      <c r="D3036" s="3">
        <v>2022</v>
      </c>
      <c r="E3036" s="78">
        <f t="shared" si="493"/>
        <v>5</v>
      </c>
      <c r="F3036" s="74" t="s">
        <v>40</v>
      </c>
      <c r="G3036" s="77">
        <f t="shared" ref="G3036:G3044" si="498">H3035</f>
        <v>32770</v>
      </c>
      <c r="H3036" s="77">
        <f t="shared" ref="H3036:H3043" si="499">H3035+300</f>
        <v>33070</v>
      </c>
      <c r="I3036" s="76">
        <v>0.8</v>
      </c>
    </row>
    <row r="3037" spans="3:9" x14ac:dyDescent="0.35">
      <c r="C3037" t="s">
        <v>312</v>
      </c>
      <c r="D3037" s="3">
        <v>2022</v>
      </c>
      <c r="E3037" s="78">
        <f t="shared" si="493"/>
        <v>5</v>
      </c>
      <c r="F3037" s="74" t="s">
        <v>40</v>
      </c>
      <c r="G3037" s="77">
        <f t="shared" si="498"/>
        <v>33070</v>
      </c>
      <c r="H3037" s="77">
        <f t="shared" si="499"/>
        <v>33370</v>
      </c>
      <c r="I3037" s="76">
        <v>0.7</v>
      </c>
    </row>
    <row r="3038" spans="3:9" x14ac:dyDescent="0.35">
      <c r="C3038" t="s">
        <v>312</v>
      </c>
      <c r="D3038" s="3">
        <v>2022</v>
      </c>
      <c r="E3038" s="78">
        <f t="shared" si="493"/>
        <v>5</v>
      </c>
      <c r="F3038" s="74" t="s">
        <v>40</v>
      </c>
      <c r="G3038" s="77">
        <f t="shared" si="498"/>
        <v>33370</v>
      </c>
      <c r="H3038" s="77">
        <f t="shared" si="499"/>
        <v>33670</v>
      </c>
      <c r="I3038" s="76">
        <v>0.6</v>
      </c>
    </row>
    <row r="3039" spans="3:9" x14ac:dyDescent="0.35">
      <c r="C3039" t="s">
        <v>312</v>
      </c>
      <c r="D3039" s="3">
        <v>2022</v>
      </c>
      <c r="E3039" s="78">
        <f t="shared" si="493"/>
        <v>5</v>
      </c>
      <c r="F3039" s="74" t="s">
        <v>40</v>
      </c>
      <c r="G3039" s="77">
        <f t="shared" si="498"/>
        <v>33670</v>
      </c>
      <c r="H3039" s="77">
        <f t="shared" si="499"/>
        <v>33970</v>
      </c>
      <c r="I3039" s="76">
        <v>0.5</v>
      </c>
    </row>
    <row r="3040" spans="3:9" x14ac:dyDescent="0.35">
      <c r="C3040" t="s">
        <v>312</v>
      </c>
      <c r="D3040" s="3">
        <v>2022</v>
      </c>
      <c r="E3040" s="78">
        <f t="shared" si="493"/>
        <v>5</v>
      </c>
      <c r="F3040" s="74" t="s">
        <v>40</v>
      </c>
      <c r="G3040" s="77">
        <f t="shared" si="498"/>
        <v>33970</v>
      </c>
      <c r="H3040" s="77">
        <f t="shared" si="499"/>
        <v>34270</v>
      </c>
      <c r="I3040" s="76">
        <v>0.4</v>
      </c>
    </row>
    <row r="3041" spans="3:9" x14ac:dyDescent="0.35">
      <c r="C3041" t="s">
        <v>312</v>
      </c>
      <c r="D3041" s="3">
        <v>2022</v>
      </c>
      <c r="E3041" s="78">
        <f t="shared" si="493"/>
        <v>5</v>
      </c>
      <c r="F3041" s="74" t="s">
        <v>40</v>
      </c>
      <c r="G3041" s="77">
        <f t="shared" si="498"/>
        <v>34270</v>
      </c>
      <c r="H3041" s="77">
        <f t="shared" si="499"/>
        <v>34570</v>
      </c>
      <c r="I3041" s="76">
        <v>0.3</v>
      </c>
    </row>
    <row r="3042" spans="3:9" x14ac:dyDescent="0.35">
      <c r="C3042" t="s">
        <v>312</v>
      </c>
      <c r="D3042" s="3">
        <v>2022</v>
      </c>
      <c r="E3042" s="78">
        <f t="shared" si="493"/>
        <v>5</v>
      </c>
      <c r="F3042" s="74" t="s">
        <v>40</v>
      </c>
      <c r="G3042" s="77">
        <f t="shared" si="498"/>
        <v>34570</v>
      </c>
      <c r="H3042" s="77">
        <f t="shared" si="499"/>
        <v>34870</v>
      </c>
      <c r="I3042" s="76">
        <v>0.2</v>
      </c>
    </row>
    <row r="3043" spans="3:9" x14ac:dyDescent="0.35">
      <c r="C3043" t="s">
        <v>312</v>
      </c>
      <c r="D3043" s="3">
        <v>2022</v>
      </c>
      <c r="E3043" s="78">
        <f t="shared" si="493"/>
        <v>5</v>
      </c>
      <c r="F3043" s="74" t="s">
        <v>40</v>
      </c>
      <c r="G3043" s="77">
        <f t="shared" si="498"/>
        <v>34870</v>
      </c>
      <c r="H3043" s="77">
        <f t="shared" si="499"/>
        <v>35170</v>
      </c>
      <c r="I3043" s="76">
        <v>0.1</v>
      </c>
    </row>
    <row r="3044" spans="3:9" x14ac:dyDescent="0.35">
      <c r="C3044" t="s">
        <v>312</v>
      </c>
      <c r="D3044" s="3">
        <v>2022</v>
      </c>
      <c r="E3044" s="78">
        <f t="shared" si="493"/>
        <v>5</v>
      </c>
      <c r="F3044" s="74" t="s">
        <v>40</v>
      </c>
      <c r="G3044" s="77">
        <f t="shared" si="498"/>
        <v>35170</v>
      </c>
      <c r="H3044" s="77"/>
      <c r="I3044" s="76">
        <v>0</v>
      </c>
    </row>
    <row r="3045" spans="3:9" x14ac:dyDescent="0.35">
      <c r="C3045" t="s">
        <v>312</v>
      </c>
      <c r="D3045" s="3">
        <v>2022</v>
      </c>
      <c r="E3045" s="78">
        <f t="shared" si="493"/>
        <v>5</v>
      </c>
      <c r="F3045" s="74" t="s">
        <v>313</v>
      </c>
      <c r="G3045" s="77">
        <v>0</v>
      </c>
      <c r="H3045" s="75">
        <f>H3034</f>
        <v>32470</v>
      </c>
      <c r="I3045" s="76">
        <v>1</v>
      </c>
    </row>
    <row r="3046" spans="3:9" x14ac:dyDescent="0.35">
      <c r="C3046" t="s">
        <v>312</v>
      </c>
      <c r="D3046" s="3">
        <v>2022</v>
      </c>
      <c r="E3046" s="78">
        <f t="shared" si="493"/>
        <v>5</v>
      </c>
      <c r="F3046" s="74" t="s">
        <v>313</v>
      </c>
      <c r="G3046" s="77">
        <f>H3045</f>
        <v>32470</v>
      </c>
      <c r="H3046" s="77">
        <f>H3045+300</f>
        <v>32770</v>
      </c>
      <c r="I3046" s="76">
        <v>0.9</v>
      </c>
    </row>
    <row r="3047" spans="3:9" x14ac:dyDescent="0.35">
      <c r="C3047" t="s">
        <v>312</v>
      </c>
      <c r="D3047" s="3">
        <v>2022</v>
      </c>
      <c r="E3047" s="78">
        <f t="shared" si="493"/>
        <v>5</v>
      </c>
      <c r="F3047" s="74" t="s">
        <v>313</v>
      </c>
      <c r="G3047" s="77">
        <f t="shared" ref="G3047:G3055" si="500">H3046</f>
        <v>32770</v>
      </c>
      <c r="H3047" s="77">
        <f t="shared" ref="H3047:H3054" si="501">H3046+300</f>
        <v>33070</v>
      </c>
      <c r="I3047" s="76">
        <v>0.8</v>
      </c>
    </row>
    <row r="3048" spans="3:9" x14ac:dyDescent="0.35">
      <c r="C3048" t="s">
        <v>312</v>
      </c>
      <c r="D3048" s="3">
        <v>2022</v>
      </c>
      <c r="E3048" s="78">
        <f t="shared" si="493"/>
        <v>5</v>
      </c>
      <c r="F3048" s="74" t="s">
        <v>313</v>
      </c>
      <c r="G3048" s="77">
        <f t="shared" si="500"/>
        <v>33070</v>
      </c>
      <c r="H3048" s="77">
        <f t="shared" si="501"/>
        <v>33370</v>
      </c>
      <c r="I3048" s="76">
        <v>0.7</v>
      </c>
    </row>
    <row r="3049" spans="3:9" x14ac:dyDescent="0.35">
      <c r="C3049" t="s">
        <v>312</v>
      </c>
      <c r="D3049" s="3">
        <v>2022</v>
      </c>
      <c r="E3049" s="78">
        <f t="shared" si="493"/>
        <v>5</v>
      </c>
      <c r="F3049" s="74" t="s">
        <v>313</v>
      </c>
      <c r="G3049" s="77">
        <f t="shared" si="500"/>
        <v>33370</v>
      </c>
      <c r="H3049" s="77">
        <f t="shared" si="501"/>
        <v>33670</v>
      </c>
      <c r="I3049" s="76">
        <v>0.6</v>
      </c>
    </row>
    <row r="3050" spans="3:9" x14ac:dyDescent="0.35">
      <c r="C3050" t="s">
        <v>312</v>
      </c>
      <c r="D3050" s="3">
        <v>2022</v>
      </c>
      <c r="E3050" s="78">
        <f t="shared" si="493"/>
        <v>5</v>
      </c>
      <c r="F3050" s="74" t="s">
        <v>313</v>
      </c>
      <c r="G3050" s="77">
        <f t="shared" si="500"/>
        <v>33670</v>
      </c>
      <c r="H3050" s="77">
        <f t="shared" si="501"/>
        <v>33970</v>
      </c>
      <c r="I3050" s="76">
        <v>0.5</v>
      </c>
    </row>
    <row r="3051" spans="3:9" x14ac:dyDescent="0.35">
      <c r="C3051" t="s">
        <v>312</v>
      </c>
      <c r="D3051" s="3">
        <v>2022</v>
      </c>
      <c r="E3051" s="78">
        <f t="shared" si="493"/>
        <v>5</v>
      </c>
      <c r="F3051" s="74" t="s">
        <v>313</v>
      </c>
      <c r="G3051" s="77">
        <f t="shared" si="500"/>
        <v>33970</v>
      </c>
      <c r="H3051" s="77">
        <f t="shared" si="501"/>
        <v>34270</v>
      </c>
      <c r="I3051" s="76">
        <v>0.4</v>
      </c>
    </row>
    <row r="3052" spans="3:9" x14ac:dyDescent="0.35">
      <c r="C3052" t="s">
        <v>312</v>
      </c>
      <c r="D3052" s="3">
        <v>2022</v>
      </c>
      <c r="E3052" s="78">
        <f t="shared" si="493"/>
        <v>5</v>
      </c>
      <c r="F3052" s="74" t="s">
        <v>313</v>
      </c>
      <c r="G3052" s="77">
        <f t="shared" si="500"/>
        <v>34270</v>
      </c>
      <c r="H3052" s="77">
        <f t="shared" si="501"/>
        <v>34570</v>
      </c>
      <c r="I3052" s="76">
        <v>0.3</v>
      </c>
    </row>
    <row r="3053" spans="3:9" x14ac:dyDescent="0.35">
      <c r="C3053" t="s">
        <v>312</v>
      </c>
      <c r="D3053" s="3">
        <v>2022</v>
      </c>
      <c r="E3053" s="78">
        <f t="shared" si="493"/>
        <v>5</v>
      </c>
      <c r="F3053" s="74" t="s">
        <v>313</v>
      </c>
      <c r="G3053" s="77">
        <f t="shared" si="500"/>
        <v>34570</v>
      </c>
      <c r="H3053" s="77">
        <f t="shared" si="501"/>
        <v>34870</v>
      </c>
      <c r="I3053" s="76">
        <v>0.2</v>
      </c>
    </row>
    <row r="3054" spans="3:9" x14ac:dyDescent="0.35">
      <c r="C3054" t="s">
        <v>312</v>
      </c>
      <c r="D3054" s="3">
        <v>2022</v>
      </c>
      <c r="E3054" s="78">
        <f t="shared" si="493"/>
        <v>5</v>
      </c>
      <c r="F3054" s="74" t="s">
        <v>313</v>
      </c>
      <c r="G3054" s="77">
        <f t="shared" si="500"/>
        <v>34870</v>
      </c>
      <c r="H3054" s="77">
        <f t="shared" si="501"/>
        <v>35170</v>
      </c>
      <c r="I3054" s="76">
        <v>0.1</v>
      </c>
    </row>
    <row r="3055" spans="3:9" x14ac:dyDescent="0.35">
      <c r="C3055" t="s">
        <v>312</v>
      </c>
      <c r="D3055" s="3">
        <v>2022</v>
      </c>
      <c r="E3055" s="78">
        <f t="shared" si="493"/>
        <v>5</v>
      </c>
      <c r="F3055" s="74" t="s">
        <v>313</v>
      </c>
      <c r="G3055" s="77">
        <f t="shared" si="500"/>
        <v>35170</v>
      </c>
      <c r="H3055" s="77"/>
      <c r="I3055" s="76">
        <v>0</v>
      </c>
    </row>
    <row r="3056" spans="3:9" x14ac:dyDescent="0.35">
      <c r="C3056" t="s">
        <v>312</v>
      </c>
      <c r="D3056" s="3">
        <v>2022</v>
      </c>
      <c r="E3056" s="73">
        <v>6</v>
      </c>
      <c r="F3056" s="74" t="s">
        <v>54</v>
      </c>
      <c r="G3056" s="77">
        <v>0</v>
      </c>
      <c r="H3056" s="77">
        <v>37190</v>
      </c>
      <c r="I3056" s="76">
        <v>1</v>
      </c>
    </row>
    <row r="3057" spans="3:9" x14ac:dyDescent="0.35">
      <c r="C3057" t="s">
        <v>312</v>
      </c>
      <c r="D3057" s="3">
        <v>2022</v>
      </c>
      <c r="E3057" s="78">
        <f>E3056</f>
        <v>6</v>
      </c>
      <c r="F3057" s="74" t="s">
        <v>54</v>
      </c>
      <c r="G3057" s="77">
        <f>H3056</f>
        <v>37190</v>
      </c>
      <c r="H3057" s="77">
        <f>H3056+300</f>
        <v>37490</v>
      </c>
      <c r="I3057" s="76">
        <v>0.9</v>
      </c>
    </row>
    <row r="3058" spans="3:9" x14ac:dyDescent="0.35">
      <c r="C3058" t="s">
        <v>312</v>
      </c>
      <c r="D3058" s="3">
        <v>2022</v>
      </c>
      <c r="E3058" s="78">
        <f t="shared" ref="E3058:E3099" si="502">E3057</f>
        <v>6</v>
      </c>
      <c r="F3058" s="74" t="s">
        <v>54</v>
      </c>
      <c r="G3058" s="77">
        <f t="shared" ref="G3058:G3066" si="503">H3057</f>
        <v>37490</v>
      </c>
      <c r="H3058" s="77">
        <f t="shared" ref="H3058:H3065" si="504">H3057+300</f>
        <v>37790</v>
      </c>
      <c r="I3058" s="76">
        <v>0.8</v>
      </c>
    </row>
    <row r="3059" spans="3:9" x14ac:dyDescent="0.35">
      <c r="C3059" t="s">
        <v>312</v>
      </c>
      <c r="D3059" s="3">
        <v>2022</v>
      </c>
      <c r="E3059" s="78">
        <f t="shared" si="502"/>
        <v>6</v>
      </c>
      <c r="F3059" s="74" t="s">
        <v>54</v>
      </c>
      <c r="G3059" s="77">
        <f t="shared" si="503"/>
        <v>37790</v>
      </c>
      <c r="H3059" s="77">
        <f t="shared" si="504"/>
        <v>38090</v>
      </c>
      <c r="I3059" s="76">
        <v>0.7</v>
      </c>
    </row>
    <row r="3060" spans="3:9" x14ac:dyDescent="0.35">
      <c r="C3060" t="s">
        <v>312</v>
      </c>
      <c r="D3060" s="3">
        <v>2022</v>
      </c>
      <c r="E3060" s="78">
        <f t="shared" si="502"/>
        <v>6</v>
      </c>
      <c r="F3060" s="74" t="s">
        <v>54</v>
      </c>
      <c r="G3060" s="77">
        <f t="shared" si="503"/>
        <v>38090</v>
      </c>
      <c r="H3060" s="77">
        <f t="shared" si="504"/>
        <v>38390</v>
      </c>
      <c r="I3060" s="76">
        <v>0.6</v>
      </c>
    </row>
    <row r="3061" spans="3:9" x14ac:dyDescent="0.35">
      <c r="C3061" t="s">
        <v>312</v>
      </c>
      <c r="D3061" s="3">
        <v>2022</v>
      </c>
      <c r="E3061" s="78">
        <f t="shared" si="502"/>
        <v>6</v>
      </c>
      <c r="F3061" s="74" t="s">
        <v>54</v>
      </c>
      <c r="G3061" s="77">
        <f t="shared" si="503"/>
        <v>38390</v>
      </c>
      <c r="H3061" s="77">
        <f t="shared" si="504"/>
        <v>38690</v>
      </c>
      <c r="I3061" s="76">
        <v>0.5</v>
      </c>
    </row>
    <row r="3062" spans="3:9" x14ac:dyDescent="0.35">
      <c r="C3062" t="s">
        <v>312</v>
      </c>
      <c r="D3062" s="3">
        <v>2022</v>
      </c>
      <c r="E3062" s="78">
        <f t="shared" si="502"/>
        <v>6</v>
      </c>
      <c r="F3062" s="74" t="s">
        <v>54</v>
      </c>
      <c r="G3062" s="77">
        <f t="shared" si="503"/>
        <v>38690</v>
      </c>
      <c r="H3062" s="77">
        <f t="shared" si="504"/>
        <v>38990</v>
      </c>
      <c r="I3062" s="76">
        <v>0.4</v>
      </c>
    </row>
    <row r="3063" spans="3:9" x14ac:dyDescent="0.35">
      <c r="C3063" t="s">
        <v>312</v>
      </c>
      <c r="D3063" s="3">
        <v>2022</v>
      </c>
      <c r="E3063" s="78">
        <f t="shared" si="502"/>
        <v>6</v>
      </c>
      <c r="F3063" s="74" t="s">
        <v>54</v>
      </c>
      <c r="G3063" s="77">
        <f t="shared" si="503"/>
        <v>38990</v>
      </c>
      <c r="H3063" s="77">
        <f t="shared" si="504"/>
        <v>39290</v>
      </c>
      <c r="I3063" s="76">
        <v>0.3</v>
      </c>
    </row>
    <row r="3064" spans="3:9" x14ac:dyDescent="0.35">
      <c r="C3064" t="s">
        <v>312</v>
      </c>
      <c r="D3064" s="3">
        <v>2022</v>
      </c>
      <c r="E3064" s="78">
        <f t="shared" si="502"/>
        <v>6</v>
      </c>
      <c r="F3064" s="74" t="s">
        <v>54</v>
      </c>
      <c r="G3064" s="77">
        <f t="shared" si="503"/>
        <v>39290</v>
      </c>
      <c r="H3064" s="77">
        <f t="shared" si="504"/>
        <v>39590</v>
      </c>
      <c r="I3064" s="76">
        <v>0.2</v>
      </c>
    </row>
    <row r="3065" spans="3:9" x14ac:dyDescent="0.35">
      <c r="C3065" t="s">
        <v>312</v>
      </c>
      <c r="D3065" s="3">
        <v>2022</v>
      </c>
      <c r="E3065" s="78">
        <f t="shared" si="502"/>
        <v>6</v>
      </c>
      <c r="F3065" s="74" t="s">
        <v>54</v>
      </c>
      <c r="G3065" s="77">
        <f t="shared" si="503"/>
        <v>39590</v>
      </c>
      <c r="H3065" s="77">
        <f t="shared" si="504"/>
        <v>39890</v>
      </c>
      <c r="I3065" s="76">
        <v>0.1</v>
      </c>
    </row>
    <row r="3066" spans="3:9" x14ac:dyDescent="0.35">
      <c r="C3066" t="s">
        <v>312</v>
      </c>
      <c r="D3066" s="3">
        <v>2022</v>
      </c>
      <c r="E3066" s="78">
        <f t="shared" si="502"/>
        <v>6</v>
      </c>
      <c r="F3066" s="74" t="s">
        <v>54</v>
      </c>
      <c r="G3066" s="77">
        <f t="shared" si="503"/>
        <v>39890</v>
      </c>
      <c r="H3066" s="77"/>
      <c r="I3066" s="76">
        <v>0</v>
      </c>
    </row>
    <row r="3067" spans="3:9" x14ac:dyDescent="0.35">
      <c r="C3067" t="s">
        <v>312</v>
      </c>
      <c r="D3067" s="3">
        <v>2022</v>
      </c>
      <c r="E3067" s="78">
        <f t="shared" si="502"/>
        <v>6</v>
      </c>
      <c r="F3067" s="74" t="s">
        <v>34</v>
      </c>
      <c r="G3067" s="77">
        <v>0</v>
      </c>
      <c r="H3067" s="75">
        <f>H3056</f>
        <v>37190</v>
      </c>
      <c r="I3067" s="76">
        <v>1</v>
      </c>
    </row>
    <row r="3068" spans="3:9" x14ac:dyDescent="0.35">
      <c r="C3068" t="s">
        <v>312</v>
      </c>
      <c r="D3068" s="3">
        <v>2022</v>
      </c>
      <c r="E3068" s="78">
        <f t="shared" si="502"/>
        <v>6</v>
      </c>
      <c r="F3068" s="74" t="s">
        <v>34</v>
      </c>
      <c r="G3068" s="77">
        <f>H3067</f>
        <v>37190</v>
      </c>
      <c r="H3068" s="77">
        <f>H3067+300</f>
        <v>37490</v>
      </c>
      <c r="I3068" s="76">
        <v>0.9</v>
      </c>
    </row>
    <row r="3069" spans="3:9" x14ac:dyDescent="0.35">
      <c r="C3069" t="s">
        <v>312</v>
      </c>
      <c r="D3069" s="3">
        <v>2022</v>
      </c>
      <c r="E3069" s="78">
        <f t="shared" si="502"/>
        <v>6</v>
      </c>
      <c r="F3069" s="74" t="s">
        <v>34</v>
      </c>
      <c r="G3069" s="77">
        <f t="shared" ref="G3069:G3077" si="505">H3068</f>
        <v>37490</v>
      </c>
      <c r="H3069" s="77">
        <f t="shared" ref="H3069:H3076" si="506">H3068+300</f>
        <v>37790</v>
      </c>
      <c r="I3069" s="76">
        <v>0.8</v>
      </c>
    </row>
    <row r="3070" spans="3:9" x14ac:dyDescent="0.35">
      <c r="C3070" t="s">
        <v>312</v>
      </c>
      <c r="D3070" s="3">
        <v>2022</v>
      </c>
      <c r="E3070" s="78">
        <f t="shared" si="502"/>
        <v>6</v>
      </c>
      <c r="F3070" s="74" t="s">
        <v>34</v>
      </c>
      <c r="G3070" s="77">
        <f t="shared" si="505"/>
        <v>37790</v>
      </c>
      <c r="H3070" s="77">
        <f t="shared" si="506"/>
        <v>38090</v>
      </c>
      <c r="I3070" s="76">
        <v>0.7</v>
      </c>
    </row>
    <row r="3071" spans="3:9" x14ac:dyDescent="0.35">
      <c r="C3071" t="s">
        <v>312</v>
      </c>
      <c r="D3071" s="3">
        <v>2022</v>
      </c>
      <c r="E3071" s="78">
        <f t="shared" si="502"/>
        <v>6</v>
      </c>
      <c r="F3071" s="74" t="s">
        <v>34</v>
      </c>
      <c r="G3071" s="77">
        <f t="shared" si="505"/>
        <v>38090</v>
      </c>
      <c r="H3071" s="77">
        <f t="shared" si="506"/>
        <v>38390</v>
      </c>
      <c r="I3071" s="76">
        <v>0.6</v>
      </c>
    </row>
    <row r="3072" spans="3:9" x14ac:dyDescent="0.35">
      <c r="C3072" t="s">
        <v>312</v>
      </c>
      <c r="D3072" s="3">
        <v>2022</v>
      </c>
      <c r="E3072" s="78">
        <f t="shared" si="502"/>
        <v>6</v>
      </c>
      <c r="F3072" s="74" t="s">
        <v>34</v>
      </c>
      <c r="G3072" s="77">
        <f t="shared" si="505"/>
        <v>38390</v>
      </c>
      <c r="H3072" s="77">
        <f t="shared" si="506"/>
        <v>38690</v>
      </c>
      <c r="I3072" s="76">
        <v>0.5</v>
      </c>
    </row>
    <row r="3073" spans="3:9" x14ac:dyDescent="0.35">
      <c r="C3073" t="s">
        <v>312</v>
      </c>
      <c r="D3073" s="3">
        <v>2022</v>
      </c>
      <c r="E3073" s="78">
        <f t="shared" si="502"/>
        <v>6</v>
      </c>
      <c r="F3073" s="74" t="s">
        <v>34</v>
      </c>
      <c r="G3073" s="77">
        <f t="shared" si="505"/>
        <v>38690</v>
      </c>
      <c r="H3073" s="77">
        <f t="shared" si="506"/>
        <v>38990</v>
      </c>
      <c r="I3073" s="76">
        <v>0.4</v>
      </c>
    </row>
    <row r="3074" spans="3:9" x14ac:dyDescent="0.35">
      <c r="C3074" t="s">
        <v>312</v>
      </c>
      <c r="D3074" s="3">
        <v>2022</v>
      </c>
      <c r="E3074" s="78">
        <f t="shared" si="502"/>
        <v>6</v>
      </c>
      <c r="F3074" s="74" t="s">
        <v>34</v>
      </c>
      <c r="G3074" s="77">
        <f t="shared" si="505"/>
        <v>38990</v>
      </c>
      <c r="H3074" s="77">
        <f t="shared" si="506"/>
        <v>39290</v>
      </c>
      <c r="I3074" s="76">
        <v>0.3</v>
      </c>
    </row>
    <row r="3075" spans="3:9" x14ac:dyDescent="0.35">
      <c r="C3075" t="s">
        <v>312</v>
      </c>
      <c r="D3075" s="3">
        <v>2022</v>
      </c>
      <c r="E3075" s="78">
        <f t="shared" si="502"/>
        <v>6</v>
      </c>
      <c r="F3075" s="74" t="s">
        <v>34</v>
      </c>
      <c r="G3075" s="77">
        <f t="shared" si="505"/>
        <v>39290</v>
      </c>
      <c r="H3075" s="77">
        <f t="shared" si="506"/>
        <v>39590</v>
      </c>
      <c r="I3075" s="76">
        <v>0.2</v>
      </c>
    </row>
    <row r="3076" spans="3:9" x14ac:dyDescent="0.35">
      <c r="C3076" t="s">
        <v>312</v>
      </c>
      <c r="D3076" s="3">
        <v>2022</v>
      </c>
      <c r="E3076" s="78">
        <f t="shared" si="502"/>
        <v>6</v>
      </c>
      <c r="F3076" s="74" t="s">
        <v>34</v>
      </c>
      <c r="G3076" s="77">
        <f t="shared" si="505"/>
        <v>39590</v>
      </c>
      <c r="H3076" s="77">
        <f t="shared" si="506"/>
        <v>39890</v>
      </c>
      <c r="I3076" s="76">
        <v>0.1</v>
      </c>
    </row>
    <row r="3077" spans="3:9" x14ac:dyDescent="0.35">
      <c r="C3077" t="s">
        <v>312</v>
      </c>
      <c r="D3077" s="3">
        <v>2022</v>
      </c>
      <c r="E3077" s="78">
        <f t="shared" si="502"/>
        <v>6</v>
      </c>
      <c r="F3077" s="74" t="s">
        <v>34</v>
      </c>
      <c r="G3077" s="77">
        <f t="shared" si="505"/>
        <v>39890</v>
      </c>
      <c r="H3077" s="77"/>
      <c r="I3077" s="76">
        <v>0</v>
      </c>
    </row>
    <row r="3078" spans="3:9" x14ac:dyDescent="0.35">
      <c r="C3078" t="s">
        <v>312</v>
      </c>
      <c r="D3078" s="3">
        <v>2022</v>
      </c>
      <c r="E3078" s="78">
        <f t="shared" si="502"/>
        <v>6</v>
      </c>
      <c r="F3078" s="74" t="s">
        <v>40</v>
      </c>
      <c r="G3078" s="77">
        <v>0</v>
      </c>
      <c r="H3078" s="75">
        <f>H3067</f>
        <v>37190</v>
      </c>
      <c r="I3078" s="76">
        <v>1</v>
      </c>
    </row>
    <row r="3079" spans="3:9" x14ac:dyDescent="0.35">
      <c r="C3079" t="s">
        <v>312</v>
      </c>
      <c r="D3079" s="3">
        <v>2022</v>
      </c>
      <c r="E3079" s="78">
        <f t="shared" si="502"/>
        <v>6</v>
      </c>
      <c r="F3079" s="74" t="s">
        <v>40</v>
      </c>
      <c r="G3079" s="77">
        <f>H3078</f>
        <v>37190</v>
      </c>
      <c r="H3079" s="77">
        <f>H3078+300</f>
        <v>37490</v>
      </c>
      <c r="I3079" s="76">
        <v>0.9</v>
      </c>
    </row>
    <row r="3080" spans="3:9" x14ac:dyDescent="0.35">
      <c r="C3080" t="s">
        <v>312</v>
      </c>
      <c r="D3080" s="3">
        <v>2022</v>
      </c>
      <c r="E3080" s="78">
        <f t="shared" si="502"/>
        <v>6</v>
      </c>
      <c r="F3080" s="74" t="s">
        <v>40</v>
      </c>
      <c r="G3080" s="77">
        <f t="shared" ref="G3080:G3088" si="507">H3079</f>
        <v>37490</v>
      </c>
      <c r="H3080" s="77">
        <f t="shared" ref="H3080:H3087" si="508">H3079+300</f>
        <v>37790</v>
      </c>
      <c r="I3080" s="76">
        <v>0.8</v>
      </c>
    </row>
    <row r="3081" spans="3:9" x14ac:dyDescent="0.35">
      <c r="C3081" t="s">
        <v>312</v>
      </c>
      <c r="D3081" s="3">
        <v>2022</v>
      </c>
      <c r="E3081" s="78">
        <f t="shared" si="502"/>
        <v>6</v>
      </c>
      <c r="F3081" s="74" t="s">
        <v>40</v>
      </c>
      <c r="G3081" s="77">
        <f t="shared" si="507"/>
        <v>37790</v>
      </c>
      <c r="H3081" s="77">
        <f t="shared" si="508"/>
        <v>38090</v>
      </c>
      <c r="I3081" s="76">
        <v>0.7</v>
      </c>
    </row>
    <row r="3082" spans="3:9" x14ac:dyDescent="0.35">
      <c r="C3082" t="s">
        <v>312</v>
      </c>
      <c r="D3082" s="3">
        <v>2022</v>
      </c>
      <c r="E3082" s="78">
        <f t="shared" si="502"/>
        <v>6</v>
      </c>
      <c r="F3082" s="74" t="s">
        <v>40</v>
      </c>
      <c r="G3082" s="77">
        <f t="shared" si="507"/>
        <v>38090</v>
      </c>
      <c r="H3082" s="77">
        <f t="shared" si="508"/>
        <v>38390</v>
      </c>
      <c r="I3082" s="76">
        <v>0.6</v>
      </c>
    </row>
    <row r="3083" spans="3:9" x14ac:dyDescent="0.35">
      <c r="C3083" t="s">
        <v>312</v>
      </c>
      <c r="D3083" s="3">
        <v>2022</v>
      </c>
      <c r="E3083" s="78">
        <f t="shared" si="502"/>
        <v>6</v>
      </c>
      <c r="F3083" s="74" t="s">
        <v>40</v>
      </c>
      <c r="G3083" s="77">
        <f t="shared" si="507"/>
        <v>38390</v>
      </c>
      <c r="H3083" s="77">
        <f t="shared" si="508"/>
        <v>38690</v>
      </c>
      <c r="I3083" s="76">
        <v>0.5</v>
      </c>
    </row>
    <row r="3084" spans="3:9" x14ac:dyDescent="0.35">
      <c r="C3084" t="s">
        <v>312</v>
      </c>
      <c r="D3084" s="3">
        <v>2022</v>
      </c>
      <c r="E3084" s="78">
        <f t="shared" si="502"/>
        <v>6</v>
      </c>
      <c r="F3084" s="74" t="s">
        <v>40</v>
      </c>
      <c r="G3084" s="77">
        <f t="shared" si="507"/>
        <v>38690</v>
      </c>
      <c r="H3084" s="77">
        <f t="shared" si="508"/>
        <v>38990</v>
      </c>
      <c r="I3084" s="76">
        <v>0.4</v>
      </c>
    </row>
    <row r="3085" spans="3:9" x14ac:dyDescent="0.35">
      <c r="C3085" t="s">
        <v>312</v>
      </c>
      <c r="D3085" s="3">
        <v>2022</v>
      </c>
      <c r="E3085" s="78">
        <f t="shared" si="502"/>
        <v>6</v>
      </c>
      <c r="F3085" s="74" t="s">
        <v>40</v>
      </c>
      <c r="G3085" s="77">
        <f t="shared" si="507"/>
        <v>38990</v>
      </c>
      <c r="H3085" s="77">
        <f t="shared" si="508"/>
        <v>39290</v>
      </c>
      <c r="I3085" s="76">
        <v>0.3</v>
      </c>
    </row>
    <row r="3086" spans="3:9" x14ac:dyDescent="0.35">
      <c r="C3086" t="s">
        <v>312</v>
      </c>
      <c r="D3086" s="3">
        <v>2022</v>
      </c>
      <c r="E3086" s="78">
        <f t="shared" si="502"/>
        <v>6</v>
      </c>
      <c r="F3086" s="74" t="s">
        <v>40</v>
      </c>
      <c r="G3086" s="77">
        <f t="shared" si="507"/>
        <v>39290</v>
      </c>
      <c r="H3086" s="77">
        <f t="shared" si="508"/>
        <v>39590</v>
      </c>
      <c r="I3086" s="76">
        <v>0.2</v>
      </c>
    </row>
    <row r="3087" spans="3:9" x14ac:dyDescent="0.35">
      <c r="C3087" t="s">
        <v>312</v>
      </c>
      <c r="D3087" s="3">
        <v>2022</v>
      </c>
      <c r="E3087" s="78">
        <f t="shared" si="502"/>
        <v>6</v>
      </c>
      <c r="F3087" s="74" t="s">
        <v>40</v>
      </c>
      <c r="G3087" s="77">
        <f t="shared" si="507"/>
        <v>39590</v>
      </c>
      <c r="H3087" s="77">
        <f t="shared" si="508"/>
        <v>39890</v>
      </c>
      <c r="I3087" s="76">
        <v>0.1</v>
      </c>
    </row>
    <row r="3088" spans="3:9" x14ac:dyDescent="0.35">
      <c r="C3088" t="s">
        <v>312</v>
      </c>
      <c r="D3088" s="3">
        <v>2022</v>
      </c>
      <c r="E3088" s="78">
        <f t="shared" si="502"/>
        <v>6</v>
      </c>
      <c r="F3088" s="74" t="s">
        <v>40</v>
      </c>
      <c r="G3088" s="77">
        <f t="shared" si="507"/>
        <v>39890</v>
      </c>
      <c r="H3088" s="77"/>
      <c r="I3088" s="76">
        <v>0</v>
      </c>
    </row>
    <row r="3089" spans="3:9" x14ac:dyDescent="0.35">
      <c r="C3089" t="s">
        <v>312</v>
      </c>
      <c r="D3089" s="3">
        <v>2022</v>
      </c>
      <c r="E3089" s="78">
        <f t="shared" si="502"/>
        <v>6</v>
      </c>
      <c r="F3089" s="74" t="s">
        <v>313</v>
      </c>
      <c r="G3089" s="77">
        <v>0</v>
      </c>
      <c r="H3089" s="75">
        <f>H3078</f>
        <v>37190</v>
      </c>
      <c r="I3089" s="76">
        <v>1</v>
      </c>
    </row>
    <row r="3090" spans="3:9" x14ac:dyDescent="0.35">
      <c r="C3090" t="s">
        <v>312</v>
      </c>
      <c r="D3090" s="3">
        <v>2022</v>
      </c>
      <c r="E3090" s="78">
        <f t="shared" si="502"/>
        <v>6</v>
      </c>
      <c r="F3090" s="74" t="s">
        <v>313</v>
      </c>
      <c r="G3090" s="77">
        <f>H3089</f>
        <v>37190</v>
      </c>
      <c r="H3090" s="77">
        <f>H3089+300</f>
        <v>37490</v>
      </c>
      <c r="I3090" s="76">
        <v>0.9</v>
      </c>
    </row>
    <row r="3091" spans="3:9" x14ac:dyDescent="0.35">
      <c r="C3091" t="s">
        <v>312</v>
      </c>
      <c r="D3091" s="3">
        <v>2022</v>
      </c>
      <c r="E3091" s="78">
        <f t="shared" si="502"/>
        <v>6</v>
      </c>
      <c r="F3091" s="74" t="s">
        <v>313</v>
      </c>
      <c r="G3091" s="77">
        <f t="shared" ref="G3091:G3099" si="509">H3090</f>
        <v>37490</v>
      </c>
      <c r="H3091" s="77">
        <f t="shared" ref="H3091:H3098" si="510">H3090+300</f>
        <v>37790</v>
      </c>
      <c r="I3091" s="76">
        <v>0.8</v>
      </c>
    </row>
    <row r="3092" spans="3:9" x14ac:dyDescent="0.35">
      <c r="C3092" t="s">
        <v>312</v>
      </c>
      <c r="D3092" s="3">
        <v>2022</v>
      </c>
      <c r="E3092" s="78">
        <f t="shared" si="502"/>
        <v>6</v>
      </c>
      <c r="F3092" s="74" t="s">
        <v>313</v>
      </c>
      <c r="G3092" s="77">
        <f t="shared" si="509"/>
        <v>37790</v>
      </c>
      <c r="H3092" s="77">
        <f t="shared" si="510"/>
        <v>38090</v>
      </c>
      <c r="I3092" s="76">
        <v>0.7</v>
      </c>
    </row>
    <row r="3093" spans="3:9" x14ac:dyDescent="0.35">
      <c r="C3093" t="s">
        <v>312</v>
      </c>
      <c r="D3093" s="3">
        <v>2022</v>
      </c>
      <c r="E3093" s="78">
        <f t="shared" si="502"/>
        <v>6</v>
      </c>
      <c r="F3093" s="74" t="s">
        <v>313</v>
      </c>
      <c r="G3093" s="77">
        <f t="shared" si="509"/>
        <v>38090</v>
      </c>
      <c r="H3093" s="77">
        <f t="shared" si="510"/>
        <v>38390</v>
      </c>
      <c r="I3093" s="76">
        <v>0.6</v>
      </c>
    </row>
    <row r="3094" spans="3:9" x14ac:dyDescent="0.35">
      <c r="C3094" t="s">
        <v>312</v>
      </c>
      <c r="D3094" s="3">
        <v>2022</v>
      </c>
      <c r="E3094" s="78">
        <f t="shared" si="502"/>
        <v>6</v>
      </c>
      <c r="F3094" s="74" t="s">
        <v>313</v>
      </c>
      <c r="G3094" s="77">
        <f t="shared" si="509"/>
        <v>38390</v>
      </c>
      <c r="H3094" s="77">
        <f t="shared" si="510"/>
        <v>38690</v>
      </c>
      <c r="I3094" s="76">
        <v>0.5</v>
      </c>
    </row>
    <row r="3095" spans="3:9" x14ac:dyDescent="0.35">
      <c r="C3095" t="s">
        <v>312</v>
      </c>
      <c r="D3095" s="3">
        <v>2022</v>
      </c>
      <c r="E3095" s="78">
        <f t="shared" si="502"/>
        <v>6</v>
      </c>
      <c r="F3095" s="74" t="s">
        <v>313</v>
      </c>
      <c r="G3095" s="77">
        <f t="shared" si="509"/>
        <v>38690</v>
      </c>
      <c r="H3095" s="77">
        <f t="shared" si="510"/>
        <v>38990</v>
      </c>
      <c r="I3095" s="76">
        <v>0.4</v>
      </c>
    </row>
    <row r="3096" spans="3:9" x14ac:dyDescent="0.35">
      <c r="C3096" t="s">
        <v>312</v>
      </c>
      <c r="D3096" s="3">
        <v>2022</v>
      </c>
      <c r="E3096" s="78">
        <f t="shared" si="502"/>
        <v>6</v>
      </c>
      <c r="F3096" s="74" t="s">
        <v>313</v>
      </c>
      <c r="G3096" s="77">
        <f t="shared" si="509"/>
        <v>38990</v>
      </c>
      <c r="H3096" s="77">
        <f t="shared" si="510"/>
        <v>39290</v>
      </c>
      <c r="I3096" s="76">
        <v>0.3</v>
      </c>
    </row>
    <row r="3097" spans="3:9" x14ac:dyDescent="0.35">
      <c r="C3097" t="s">
        <v>312</v>
      </c>
      <c r="D3097" s="3">
        <v>2022</v>
      </c>
      <c r="E3097" s="78">
        <f t="shared" si="502"/>
        <v>6</v>
      </c>
      <c r="F3097" s="74" t="s">
        <v>313</v>
      </c>
      <c r="G3097" s="77">
        <f t="shared" si="509"/>
        <v>39290</v>
      </c>
      <c r="H3097" s="77">
        <f t="shared" si="510"/>
        <v>39590</v>
      </c>
      <c r="I3097" s="76">
        <v>0.2</v>
      </c>
    </row>
    <row r="3098" spans="3:9" x14ac:dyDescent="0.35">
      <c r="C3098" t="s">
        <v>312</v>
      </c>
      <c r="D3098" s="3">
        <v>2022</v>
      </c>
      <c r="E3098" s="78">
        <f t="shared" si="502"/>
        <v>6</v>
      </c>
      <c r="F3098" s="74" t="s">
        <v>313</v>
      </c>
      <c r="G3098" s="77">
        <f t="shared" si="509"/>
        <v>39590</v>
      </c>
      <c r="H3098" s="77">
        <f t="shared" si="510"/>
        <v>39890</v>
      </c>
      <c r="I3098" s="76">
        <v>0.1</v>
      </c>
    </row>
    <row r="3099" spans="3:9" x14ac:dyDescent="0.35">
      <c r="C3099" t="s">
        <v>312</v>
      </c>
      <c r="D3099" s="3">
        <v>2022</v>
      </c>
      <c r="E3099" s="78">
        <f t="shared" si="502"/>
        <v>6</v>
      </c>
      <c r="F3099" s="74" t="s">
        <v>313</v>
      </c>
      <c r="G3099" s="77">
        <f t="shared" si="509"/>
        <v>39890</v>
      </c>
      <c r="H3099" s="77"/>
      <c r="I3099" s="76">
        <v>0</v>
      </c>
    </row>
    <row r="3100" spans="3:9" x14ac:dyDescent="0.35">
      <c r="C3100" t="s">
        <v>312</v>
      </c>
      <c r="D3100" s="3">
        <v>2022</v>
      </c>
      <c r="E3100" s="73">
        <v>7</v>
      </c>
      <c r="F3100" s="74" t="s">
        <v>54</v>
      </c>
      <c r="G3100" s="77">
        <v>0</v>
      </c>
      <c r="H3100" s="77">
        <v>41910</v>
      </c>
      <c r="I3100" s="76">
        <v>1</v>
      </c>
    </row>
    <row r="3101" spans="3:9" x14ac:dyDescent="0.35">
      <c r="C3101" t="s">
        <v>312</v>
      </c>
      <c r="D3101" s="3">
        <v>2022</v>
      </c>
      <c r="E3101" s="78">
        <f>E3100</f>
        <v>7</v>
      </c>
      <c r="F3101" s="74" t="s">
        <v>54</v>
      </c>
      <c r="G3101" s="77">
        <f>H3100</f>
        <v>41910</v>
      </c>
      <c r="H3101" s="77">
        <f>H3100+300</f>
        <v>42210</v>
      </c>
      <c r="I3101" s="76">
        <v>0.9</v>
      </c>
    </row>
    <row r="3102" spans="3:9" x14ac:dyDescent="0.35">
      <c r="C3102" t="s">
        <v>312</v>
      </c>
      <c r="D3102" s="3">
        <v>2022</v>
      </c>
      <c r="E3102" s="78">
        <f t="shared" ref="E3102:E3143" si="511">E3101</f>
        <v>7</v>
      </c>
      <c r="F3102" s="74" t="s">
        <v>54</v>
      </c>
      <c r="G3102" s="77">
        <f t="shared" ref="G3102:G3110" si="512">H3101</f>
        <v>42210</v>
      </c>
      <c r="H3102" s="77">
        <f t="shared" ref="H3102:H3109" si="513">H3101+300</f>
        <v>42510</v>
      </c>
      <c r="I3102" s="76">
        <v>0.8</v>
      </c>
    </row>
    <row r="3103" spans="3:9" x14ac:dyDescent="0.35">
      <c r="C3103" t="s">
        <v>312</v>
      </c>
      <c r="D3103" s="3">
        <v>2022</v>
      </c>
      <c r="E3103" s="78">
        <f t="shared" si="511"/>
        <v>7</v>
      </c>
      <c r="F3103" s="74" t="s">
        <v>54</v>
      </c>
      <c r="G3103" s="77">
        <f t="shared" si="512"/>
        <v>42510</v>
      </c>
      <c r="H3103" s="77">
        <f t="shared" si="513"/>
        <v>42810</v>
      </c>
      <c r="I3103" s="76">
        <v>0.7</v>
      </c>
    </row>
    <row r="3104" spans="3:9" x14ac:dyDescent="0.35">
      <c r="C3104" t="s">
        <v>312</v>
      </c>
      <c r="D3104" s="3">
        <v>2022</v>
      </c>
      <c r="E3104" s="78">
        <f t="shared" si="511"/>
        <v>7</v>
      </c>
      <c r="F3104" s="74" t="s">
        <v>54</v>
      </c>
      <c r="G3104" s="77">
        <f t="shared" si="512"/>
        <v>42810</v>
      </c>
      <c r="H3104" s="77">
        <f t="shared" si="513"/>
        <v>43110</v>
      </c>
      <c r="I3104" s="76">
        <v>0.6</v>
      </c>
    </row>
    <row r="3105" spans="3:9" x14ac:dyDescent="0.35">
      <c r="C3105" t="s">
        <v>312</v>
      </c>
      <c r="D3105" s="3">
        <v>2022</v>
      </c>
      <c r="E3105" s="78">
        <f t="shared" si="511"/>
        <v>7</v>
      </c>
      <c r="F3105" s="74" t="s">
        <v>54</v>
      </c>
      <c r="G3105" s="77">
        <f t="shared" si="512"/>
        <v>43110</v>
      </c>
      <c r="H3105" s="77">
        <f t="shared" si="513"/>
        <v>43410</v>
      </c>
      <c r="I3105" s="76">
        <v>0.5</v>
      </c>
    </row>
    <row r="3106" spans="3:9" x14ac:dyDescent="0.35">
      <c r="C3106" t="s">
        <v>312</v>
      </c>
      <c r="D3106" s="3">
        <v>2022</v>
      </c>
      <c r="E3106" s="78">
        <f t="shared" si="511"/>
        <v>7</v>
      </c>
      <c r="F3106" s="74" t="s">
        <v>54</v>
      </c>
      <c r="G3106" s="77">
        <f t="shared" si="512"/>
        <v>43410</v>
      </c>
      <c r="H3106" s="77">
        <f t="shared" si="513"/>
        <v>43710</v>
      </c>
      <c r="I3106" s="76">
        <v>0.4</v>
      </c>
    </row>
    <row r="3107" spans="3:9" x14ac:dyDescent="0.35">
      <c r="C3107" t="s">
        <v>312</v>
      </c>
      <c r="D3107" s="3">
        <v>2022</v>
      </c>
      <c r="E3107" s="78">
        <f t="shared" si="511"/>
        <v>7</v>
      </c>
      <c r="F3107" s="74" t="s">
        <v>54</v>
      </c>
      <c r="G3107" s="77">
        <f t="shared" si="512"/>
        <v>43710</v>
      </c>
      <c r="H3107" s="77">
        <f t="shared" si="513"/>
        <v>44010</v>
      </c>
      <c r="I3107" s="76">
        <v>0.3</v>
      </c>
    </row>
    <row r="3108" spans="3:9" x14ac:dyDescent="0.35">
      <c r="C3108" t="s">
        <v>312</v>
      </c>
      <c r="D3108" s="3">
        <v>2022</v>
      </c>
      <c r="E3108" s="78">
        <f t="shared" si="511"/>
        <v>7</v>
      </c>
      <c r="F3108" s="74" t="s">
        <v>54</v>
      </c>
      <c r="G3108" s="77">
        <f t="shared" si="512"/>
        <v>44010</v>
      </c>
      <c r="H3108" s="77">
        <f t="shared" si="513"/>
        <v>44310</v>
      </c>
      <c r="I3108" s="76">
        <v>0.2</v>
      </c>
    </row>
    <row r="3109" spans="3:9" x14ac:dyDescent="0.35">
      <c r="C3109" t="s">
        <v>312</v>
      </c>
      <c r="D3109" s="3">
        <v>2022</v>
      </c>
      <c r="E3109" s="78">
        <f t="shared" si="511"/>
        <v>7</v>
      </c>
      <c r="F3109" s="74" t="s">
        <v>54</v>
      </c>
      <c r="G3109" s="77">
        <f t="shared" si="512"/>
        <v>44310</v>
      </c>
      <c r="H3109" s="77">
        <f t="shared" si="513"/>
        <v>44610</v>
      </c>
      <c r="I3109" s="76">
        <v>0.1</v>
      </c>
    </row>
    <row r="3110" spans="3:9" x14ac:dyDescent="0.35">
      <c r="C3110" t="s">
        <v>312</v>
      </c>
      <c r="D3110" s="3">
        <v>2022</v>
      </c>
      <c r="E3110" s="78">
        <f t="shared" si="511"/>
        <v>7</v>
      </c>
      <c r="F3110" s="74" t="s">
        <v>54</v>
      </c>
      <c r="G3110" s="77">
        <f t="shared" si="512"/>
        <v>44610</v>
      </c>
      <c r="H3110" s="77"/>
      <c r="I3110" s="76">
        <v>0</v>
      </c>
    </row>
    <row r="3111" spans="3:9" x14ac:dyDescent="0.35">
      <c r="C3111" t="s">
        <v>312</v>
      </c>
      <c r="D3111" s="3">
        <v>2022</v>
      </c>
      <c r="E3111" s="78">
        <f t="shared" si="511"/>
        <v>7</v>
      </c>
      <c r="F3111" s="74" t="s">
        <v>34</v>
      </c>
      <c r="G3111" s="77">
        <v>0</v>
      </c>
      <c r="H3111" s="75">
        <f>H3100</f>
        <v>41910</v>
      </c>
      <c r="I3111" s="76">
        <v>1</v>
      </c>
    </row>
    <row r="3112" spans="3:9" x14ac:dyDescent="0.35">
      <c r="C3112" t="s">
        <v>312</v>
      </c>
      <c r="D3112" s="3">
        <v>2022</v>
      </c>
      <c r="E3112" s="78">
        <f t="shared" si="511"/>
        <v>7</v>
      </c>
      <c r="F3112" s="74" t="s">
        <v>34</v>
      </c>
      <c r="G3112" s="77">
        <f>H3111</f>
        <v>41910</v>
      </c>
      <c r="H3112" s="77">
        <f>H3111+300</f>
        <v>42210</v>
      </c>
      <c r="I3112" s="76">
        <v>0.9</v>
      </c>
    </row>
    <row r="3113" spans="3:9" x14ac:dyDescent="0.35">
      <c r="C3113" t="s">
        <v>312</v>
      </c>
      <c r="D3113" s="3">
        <v>2022</v>
      </c>
      <c r="E3113" s="78">
        <f t="shared" si="511"/>
        <v>7</v>
      </c>
      <c r="F3113" s="74" t="s">
        <v>34</v>
      </c>
      <c r="G3113" s="77">
        <f t="shared" ref="G3113:G3121" si="514">H3112</f>
        <v>42210</v>
      </c>
      <c r="H3113" s="77">
        <f t="shared" ref="H3113:H3120" si="515">H3112+300</f>
        <v>42510</v>
      </c>
      <c r="I3113" s="76">
        <v>0.8</v>
      </c>
    </row>
    <row r="3114" spans="3:9" x14ac:dyDescent="0.35">
      <c r="C3114" t="s">
        <v>312</v>
      </c>
      <c r="D3114" s="3">
        <v>2022</v>
      </c>
      <c r="E3114" s="78">
        <f t="shared" si="511"/>
        <v>7</v>
      </c>
      <c r="F3114" s="74" t="s">
        <v>34</v>
      </c>
      <c r="G3114" s="77">
        <f t="shared" si="514"/>
        <v>42510</v>
      </c>
      <c r="H3114" s="77">
        <f t="shared" si="515"/>
        <v>42810</v>
      </c>
      <c r="I3114" s="76">
        <v>0.7</v>
      </c>
    </row>
    <row r="3115" spans="3:9" x14ac:dyDescent="0.35">
      <c r="C3115" t="s">
        <v>312</v>
      </c>
      <c r="D3115" s="3">
        <v>2022</v>
      </c>
      <c r="E3115" s="78">
        <f t="shared" si="511"/>
        <v>7</v>
      </c>
      <c r="F3115" s="74" t="s">
        <v>34</v>
      </c>
      <c r="G3115" s="77">
        <f t="shared" si="514"/>
        <v>42810</v>
      </c>
      <c r="H3115" s="77">
        <f t="shared" si="515"/>
        <v>43110</v>
      </c>
      <c r="I3115" s="76">
        <v>0.6</v>
      </c>
    </row>
    <row r="3116" spans="3:9" x14ac:dyDescent="0.35">
      <c r="C3116" t="s">
        <v>312</v>
      </c>
      <c r="D3116" s="3">
        <v>2022</v>
      </c>
      <c r="E3116" s="78">
        <f t="shared" si="511"/>
        <v>7</v>
      </c>
      <c r="F3116" s="74" t="s">
        <v>34</v>
      </c>
      <c r="G3116" s="77">
        <f t="shared" si="514"/>
        <v>43110</v>
      </c>
      <c r="H3116" s="77">
        <f t="shared" si="515"/>
        <v>43410</v>
      </c>
      <c r="I3116" s="76">
        <v>0.5</v>
      </c>
    </row>
    <row r="3117" spans="3:9" x14ac:dyDescent="0.35">
      <c r="C3117" t="s">
        <v>312</v>
      </c>
      <c r="D3117" s="3">
        <v>2022</v>
      </c>
      <c r="E3117" s="78">
        <f t="shared" si="511"/>
        <v>7</v>
      </c>
      <c r="F3117" s="74" t="s">
        <v>34</v>
      </c>
      <c r="G3117" s="77">
        <f t="shared" si="514"/>
        <v>43410</v>
      </c>
      <c r="H3117" s="77">
        <f t="shared" si="515"/>
        <v>43710</v>
      </c>
      <c r="I3117" s="76">
        <v>0.4</v>
      </c>
    </row>
    <row r="3118" spans="3:9" x14ac:dyDescent="0.35">
      <c r="C3118" t="s">
        <v>312</v>
      </c>
      <c r="D3118" s="3">
        <v>2022</v>
      </c>
      <c r="E3118" s="78">
        <f t="shared" si="511"/>
        <v>7</v>
      </c>
      <c r="F3118" s="74" t="s">
        <v>34</v>
      </c>
      <c r="G3118" s="77">
        <f t="shared" si="514"/>
        <v>43710</v>
      </c>
      <c r="H3118" s="77">
        <f t="shared" si="515"/>
        <v>44010</v>
      </c>
      <c r="I3118" s="76">
        <v>0.3</v>
      </c>
    </row>
    <row r="3119" spans="3:9" x14ac:dyDescent="0.35">
      <c r="C3119" t="s">
        <v>312</v>
      </c>
      <c r="D3119" s="3">
        <v>2022</v>
      </c>
      <c r="E3119" s="78">
        <f t="shared" si="511"/>
        <v>7</v>
      </c>
      <c r="F3119" s="74" t="s">
        <v>34</v>
      </c>
      <c r="G3119" s="77">
        <f t="shared" si="514"/>
        <v>44010</v>
      </c>
      <c r="H3119" s="77">
        <f t="shared" si="515"/>
        <v>44310</v>
      </c>
      <c r="I3119" s="76">
        <v>0.2</v>
      </c>
    </row>
    <row r="3120" spans="3:9" x14ac:dyDescent="0.35">
      <c r="C3120" t="s">
        <v>312</v>
      </c>
      <c r="D3120" s="3">
        <v>2022</v>
      </c>
      <c r="E3120" s="78">
        <f t="shared" si="511"/>
        <v>7</v>
      </c>
      <c r="F3120" s="74" t="s">
        <v>34</v>
      </c>
      <c r="G3120" s="77">
        <f t="shared" si="514"/>
        <v>44310</v>
      </c>
      <c r="H3120" s="77">
        <f t="shared" si="515"/>
        <v>44610</v>
      </c>
      <c r="I3120" s="76">
        <v>0.1</v>
      </c>
    </row>
    <row r="3121" spans="3:9" x14ac:dyDescent="0.35">
      <c r="C3121" t="s">
        <v>312</v>
      </c>
      <c r="D3121" s="3">
        <v>2022</v>
      </c>
      <c r="E3121" s="78">
        <f t="shared" si="511"/>
        <v>7</v>
      </c>
      <c r="F3121" s="74" t="s">
        <v>34</v>
      </c>
      <c r="G3121" s="77">
        <f t="shared" si="514"/>
        <v>44610</v>
      </c>
      <c r="H3121" s="77"/>
      <c r="I3121" s="76">
        <v>0</v>
      </c>
    </row>
    <row r="3122" spans="3:9" x14ac:dyDescent="0.35">
      <c r="C3122" t="s">
        <v>312</v>
      </c>
      <c r="D3122" s="3">
        <v>2022</v>
      </c>
      <c r="E3122" s="78">
        <f t="shared" si="511"/>
        <v>7</v>
      </c>
      <c r="F3122" s="74" t="s">
        <v>40</v>
      </c>
      <c r="G3122" s="77">
        <v>0</v>
      </c>
      <c r="H3122" s="75">
        <f>H3111</f>
        <v>41910</v>
      </c>
      <c r="I3122" s="76">
        <v>1</v>
      </c>
    </row>
    <row r="3123" spans="3:9" x14ac:dyDescent="0.35">
      <c r="C3123" t="s">
        <v>312</v>
      </c>
      <c r="D3123" s="3">
        <v>2022</v>
      </c>
      <c r="E3123" s="78">
        <f t="shared" si="511"/>
        <v>7</v>
      </c>
      <c r="F3123" s="74" t="s">
        <v>40</v>
      </c>
      <c r="G3123" s="77">
        <f>H3122</f>
        <v>41910</v>
      </c>
      <c r="H3123" s="77">
        <f>H3122+300</f>
        <v>42210</v>
      </c>
      <c r="I3123" s="76">
        <v>0.9</v>
      </c>
    </row>
    <row r="3124" spans="3:9" x14ac:dyDescent="0.35">
      <c r="C3124" t="s">
        <v>312</v>
      </c>
      <c r="D3124" s="3">
        <v>2022</v>
      </c>
      <c r="E3124" s="78">
        <f t="shared" si="511"/>
        <v>7</v>
      </c>
      <c r="F3124" s="74" t="s">
        <v>40</v>
      </c>
      <c r="G3124" s="77">
        <f t="shared" ref="G3124:G3132" si="516">H3123</f>
        <v>42210</v>
      </c>
      <c r="H3124" s="77">
        <f t="shared" ref="H3124:H3131" si="517">H3123+300</f>
        <v>42510</v>
      </c>
      <c r="I3124" s="76">
        <v>0.8</v>
      </c>
    </row>
    <row r="3125" spans="3:9" x14ac:dyDescent="0.35">
      <c r="C3125" t="s">
        <v>312</v>
      </c>
      <c r="D3125" s="3">
        <v>2022</v>
      </c>
      <c r="E3125" s="78">
        <f t="shared" si="511"/>
        <v>7</v>
      </c>
      <c r="F3125" s="74" t="s">
        <v>40</v>
      </c>
      <c r="G3125" s="77">
        <f t="shared" si="516"/>
        <v>42510</v>
      </c>
      <c r="H3125" s="77">
        <f t="shared" si="517"/>
        <v>42810</v>
      </c>
      <c r="I3125" s="76">
        <v>0.7</v>
      </c>
    </row>
    <row r="3126" spans="3:9" x14ac:dyDescent="0.35">
      <c r="C3126" t="s">
        <v>312</v>
      </c>
      <c r="D3126" s="3">
        <v>2022</v>
      </c>
      <c r="E3126" s="78">
        <f t="shared" si="511"/>
        <v>7</v>
      </c>
      <c r="F3126" s="74" t="s">
        <v>40</v>
      </c>
      <c r="G3126" s="77">
        <f t="shared" si="516"/>
        <v>42810</v>
      </c>
      <c r="H3126" s="77">
        <f t="shared" si="517"/>
        <v>43110</v>
      </c>
      <c r="I3126" s="76">
        <v>0.6</v>
      </c>
    </row>
    <row r="3127" spans="3:9" x14ac:dyDescent="0.35">
      <c r="C3127" t="s">
        <v>312</v>
      </c>
      <c r="D3127" s="3">
        <v>2022</v>
      </c>
      <c r="E3127" s="78">
        <f t="shared" si="511"/>
        <v>7</v>
      </c>
      <c r="F3127" s="74" t="s">
        <v>40</v>
      </c>
      <c r="G3127" s="77">
        <f t="shared" si="516"/>
        <v>43110</v>
      </c>
      <c r="H3127" s="77">
        <f t="shared" si="517"/>
        <v>43410</v>
      </c>
      <c r="I3127" s="76">
        <v>0.5</v>
      </c>
    </row>
    <row r="3128" spans="3:9" x14ac:dyDescent="0.35">
      <c r="C3128" t="s">
        <v>312</v>
      </c>
      <c r="D3128" s="3">
        <v>2022</v>
      </c>
      <c r="E3128" s="78">
        <f t="shared" si="511"/>
        <v>7</v>
      </c>
      <c r="F3128" s="74" t="s">
        <v>40</v>
      </c>
      <c r="G3128" s="77">
        <f t="shared" si="516"/>
        <v>43410</v>
      </c>
      <c r="H3128" s="77">
        <f t="shared" si="517"/>
        <v>43710</v>
      </c>
      <c r="I3128" s="76">
        <v>0.4</v>
      </c>
    </row>
    <row r="3129" spans="3:9" x14ac:dyDescent="0.35">
      <c r="C3129" t="s">
        <v>312</v>
      </c>
      <c r="D3129" s="3">
        <v>2022</v>
      </c>
      <c r="E3129" s="78">
        <f t="shared" si="511"/>
        <v>7</v>
      </c>
      <c r="F3129" s="74" t="s">
        <v>40</v>
      </c>
      <c r="G3129" s="77">
        <f t="shared" si="516"/>
        <v>43710</v>
      </c>
      <c r="H3129" s="77">
        <f t="shared" si="517"/>
        <v>44010</v>
      </c>
      <c r="I3129" s="76">
        <v>0.3</v>
      </c>
    </row>
    <row r="3130" spans="3:9" x14ac:dyDescent="0.35">
      <c r="C3130" t="s">
        <v>312</v>
      </c>
      <c r="D3130" s="3">
        <v>2022</v>
      </c>
      <c r="E3130" s="78">
        <f t="shared" si="511"/>
        <v>7</v>
      </c>
      <c r="F3130" s="74" t="s">
        <v>40</v>
      </c>
      <c r="G3130" s="77">
        <f t="shared" si="516"/>
        <v>44010</v>
      </c>
      <c r="H3130" s="77">
        <f t="shared" si="517"/>
        <v>44310</v>
      </c>
      <c r="I3130" s="76">
        <v>0.2</v>
      </c>
    </row>
    <row r="3131" spans="3:9" x14ac:dyDescent="0.35">
      <c r="C3131" t="s">
        <v>312</v>
      </c>
      <c r="D3131" s="3">
        <v>2022</v>
      </c>
      <c r="E3131" s="78">
        <f t="shared" si="511"/>
        <v>7</v>
      </c>
      <c r="F3131" s="74" t="s">
        <v>40</v>
      </c>
      <c r="G3131" s="77">
        <f t="shared" si="516"/>
        <v>44310</v>
      </c>
      <c r="H3131" s="77">
        <f t="shared" si="517"/>
        <v>44610</v>
      </c>
      <c r="I3131" s="76">
        <v>0.1</v>
      </c>
    </row>
    <row r="3132" spans="3:9" x14ac:dyDescent="0.35">
      <c r="C3132" t="s">
        <v>312</v>
      </c>
      <c r="D3132" s="3">
        <v>2022</v>
      </c>
      <c r="E3132" s="78">
        <f t="shared" si="511"/>
        <v>7</v>
      </c>
      <c r="F3132" s="74" t="s">
        <v>40</v>
      </c>
      <c r="G3132" s="77">
        <f t="shared" si="516"/>
        <v>44610</v>
      </c>
      <c r="H3132" s="77"/>
      <c r="I3132" s="76">
        <v>0</v>
      </c>
    </row>
    <row r="3133" spans="3:9" x14ac:dyDescent="0.35">
      <c r="C3133" t="s">
        <v>312</v>
      </c>
      <c r="D3133" s="3">
        <v>2022</v>
      </c>
      <c r="E3133" s="78">
        <f t="shared" si="511"/>
        <v>7</v>
      </c>
      <c r="F3133" s="74" t="s">
        <v>313</v>
      </c>
      <c r="G3133" s="77">
        <v>0</v>
      </c>
      <c r="H3133" s="75">
        <f>H3122</f>
        <v>41910</v>
      </c>
      <c r="I3133" s="76">
        <v>1</v>
      </c>
    </row>
    <row r="3134" spans="3:9" x14ac:dyDescent="0.35">
      <c r="C3134" t="s">
        <v>312</v>
      </c>
      <c r="D3134" s="3">
        <v>2022</v>
      </c>
      <c r="E3134" s="78">
        <f t="shared" si="511"/>
        <v>7</v>
      </c>
      <c r="F3134" s="74" t="s">
        <v>313</v>
      </c>
      <c r="G3134" s="77">
        <f>H3133</f>
        <v>41910</v>
      </c>
      <c r="H3134" s="77">
        <f>H3133+300</f>
        <v>42210</v>
      </c>
      <c r="I3134" s="76">
        <v>0.9</v>
      </c>
    </row>
    <row r="3135" spans="3:9" x14ac:dyDescent="0.35">
      <c r="C3135" t="s">
        <v>312</v>
      </c>
      <c r="D3135" s="3">
        <v>2022</v>
      </c>
      <c r="E3135" s="78">
        <f t="shared" si="511"/>
        <v>7</v>
      </c>
      <c r="F3135" s="74" t="s">
        <v>313</v>
      </c>
      <c r="G3135" s="77">
        <f t="shared" ref="G3135:G3143" si="518">H3134</f>
        <v>42210</v>
      </c>
      <c r="H3135" s="77">
        <f t="shared" ref="H3135:H3142" si="519">H3134+300</f>
        <v>42510</v>
      </c>
      <c r="I3135" s="76">
        <v>0.8</v>
      </c>
    </row>
    <row r="3136" spans="3:9" x14ac:dyDescent="0.35">
      <c r="C3136" t="s">
        <v>312</v>
      </c>
      <c r="D3136" s="3">
        <v>2022</v>
      </c>
      <c r="E3136" s="78">
        <f t="shared" si="511"/>
        <v>7</v>
      </c>
      <c r="F3136" s="74" t="s">
        <v>313</v>
      </c>
      <c r="G3136" s="77">
        <f t="shared" si="518"/>
        <v>42510</v>
      </c>
      <c r="H3136" s="77">
        <f t="shared" si="519"/>
        <v>42810</v>
      </c>
      <c r="I3136" s="76">
        <v>0.7</v>
      </c>
    </row>
    <row r="3137" spans="3:9" x14ac:dyDescent="0.35">
      <c r="C3137" t="s">
        <v>312</v>
      </c>
      <c r="D3137" s="3">
        <v>2022</v>
      </c>
      <c r="E3137" s="78">
        <f t="shared" si="511"/>
        <v>7</v>
      </c>
      <c r="F3137" s="74" t="s">
        <v>313</v>
      </c>
      <c r="G3137" s="77">
        <f t="shared" si="518"/>
        <v>42810</v>
      </c>
      <c r="H3137" s="77">
        <f t="shared" si="519"/>
        <v>43110</v>
      </c>
      <c r="I3137" s="76">
        <v>0.6</v>
      </c>
    </row>
    <row r="3138" spans="3:9" x14ac:dyDescent="0.35">
      <c r="C3138" t="s">
        <v>312</v>
      </c>
      <c r="D3138" s="3">
        <v>2022</v>
      </c>
      <c r="E3138" s="78">
        <f t="shared" si="511"/>
        <v>7</v>
      </c>
      <c r="F3138" s="74" t="s">
        <v>313</v>
      </c>
      <c r="G3138" s="77">
        <f t="shared" si="518"/>
        <v>43110</v>
      </c>
      <c r="H3138" s="77">
        <f t="shared" si="519"/>
        <v>43410</v>
      </c>
      <c r="I3138" s="76">
        <v>0.5</v>
      </c>
    </row>
    <row r="3139" spans="3:9" x14ac:dyDescent="0.35">
      <c r="C3139" t="s">
        <v>312</v>
      </c>
      <c r="D3139" s="3">
        <v>2022</v>
      </c>
      <c r="E3139" s="78">
        <f t="shared" si="511"/>
        <v>7</v>
      </c>
      <c r="F3139" s="74" t="s">
        <v>313</v>
      </c>
      <c r="G3139" s="77">
        <f t="shared" si="518"/>
        <v>43410</v>
      </c>
      <c r="H3139" s="77">
        <f t="shared" si="519"/>
        <v>43710</v>
      </c>
      <c r="I3139" s="76">
        <v>0.4</v>
      </c>
    </row>
    <row r="3140" spans="3:9" x14ac:dyDescent="0.35">
      <c r="C3140" t="s">
        <v>312</v>
      </c>
      <c r="D3140" s="3">
        <v>2022</v>
      </c>
      <c r="E3140" s="78">
        <f t="shared" si="511"/>
        <v>7</v>
      </c>
      <c r="F3140" s="74" t="s">
        <v>313</v>
      </c>
      <c r="G3140" s="77">
        <f t="shared" si="518"/>
        <v>43710</v>
      </c>
      <c r="H3140" s="77">
        <f t="shared" si="519"/>
        <v>44010</v>
      </c>
      <c r="I3140" s="76">
        <v>0.3</v>
      </c>
    </row>
    <row r="3141" spans="3:9" x14ac:dyDescent="0.35">
      <c r="C3141" t="s">
        <v>312</v>
      </c>
      <c r="D3141" s="3">
        <v>2022</v>
      </c>
      <c r="E3141" s="78">
        <f t="shared" si="511"/>
        <v>7</v>
      </c>
      <c r="F3141" s="74" t="s">
        <v>313</v>
      </c>
      <c r="G3141" s="77">
        <f t="shared" si="518"/>
        <v>44010</v>
      </c>
      <c r="H3141" s="77">
        <f t="shared" si="519"/>
        <v>44310</v>
      </c>
      <c r="I3141" s="76">
        <v>0.2</v>
      </c>
    </row>
    <row r="3142" spans="3:9" x14ac:dyDescent="0.35">
      <c r="C3142" t="s">
        <v>312</v>
      </c>
      <c r="D3142" s="3">
        <v>2022</v>
      </c>
      <c r="E3142" s="78">
        <f t="shared" si="511"/>
        <v>7</v>
      </c>
      <c r="F3142" s="74" t="s">
        <v>313</v>
      </c>
      <c r="G3142" s="77">
        <f t="shared" si="518"/>
        <v>44310</v>
      </c>
      <c r="H3142" s="77">
        <f t="shared" si="519"/>
        <v>44610</v>
      </c>
      <c r="I3142" s="76">
        <v>0.1</v>
      </c>
    </row>
    <row r="3143" spans="3:9" x14ac:dyDescent="0.35">
      <c r="C3143" t="s">
        <v>312</v>
      </c>
      <c r="D3143" s="3">
        <v>2022</v>
      </c>
      <c r="E3143" s="78">
        <f t="shared" si="511"/>
        <v>7</v>
      </c>
      <c r="F3143" s="74" t="s">
        <v>313</v>
      </c>
      <c r="G3143" s="77">
        <f t="shared" si="518"/>
        <v>44610</v>
      </c>
      <c r="H3143" s="77"/>
      <c r="I3143" s="76">
        <v>0</v>
      </c>
    </row>
    <row r="3144" spans="3:9" x14ac:dyDescent="0.35">
      <c r="C3144" t="s">
        <v>312</v>
      </c>
      <c r="D3144" s="3">
        <v>2022</v>
      </c>
      <c r="E3144" s="73">
        <v>8</v>
      </c>
      <c r="F3144" s="74" t="s">
        <v>54</v>
      </c>
      <c r="G3144" s="77">
        <v>0</v>
      </c>
      <c r="H3144" s="77">
        <v>46630</v>
      </c>
      <c r="I3144" s="76">
        <v>1</v>
      </c>
    </row>
    <row r="3145" spans="3:9" x14ac:dyDescent="0.35">
      <c r="C3145" t="s">
        <v>312</v>
      </c>
      <c r="D3145" s="3">
        <v>2022</v>
      </c>
      <c r="E3145" s="78">
        <f>E3144</f>
        <v>8</v>
      </c>
      <c r="F3145" s="74" t="s">
        <v>54</v>
      </c>
      <c r="G3145" s="77">
        <f>H3144</f>
        <v>46630</v>
      </c>
      <c r="H3145" s="77">
        <f>H3144+300</f>
        <v>46930</v>
      </c>
      <c r="I3145" s="76">
        <v>0.9</v>
      </c>
    </row>
    <row r="3146" spans="3:9" x14ac:dyDescent="0.35">
      <c r="C3146" t="s">
        <v>312</v>
      </c>
      <c r="D3146" s="3">
        <v>2022</v>
      </c>
      <c r="E3146" s="78">
        <f t="shared" ref="E3146:E3187" si="520">E3145</f>
        <v>8</v>
      </c>
      <c r="F3146" s="74" t="s">
        <v>54</v>
      </c>
      <c r="G3146" s="77">
        <f t="shared" ref="G3146:G3154" si="521">H3145</f>
        <v>46930</v>
      </c>
      <c r="H3146" s="77">
        <f t="shared" ref="H3146:H3153" si="522">H3145+300</f>
        <v>47230</v>
      </c>
      <c r="I3146" s="76">
        <v>0.8</v>
      </c>
    </row>
    <row r="3147" spans="3:9" x14ac:dyDescent="0.35">
      <c r="C3147" t="s">
        <v>312</v>
      </c>
      <c r="D3147" s="3">
        <v>2022</v>
      </c>
      <c r="E3147" s="78">
        <f t="shared" si="520"/>
        <v>8</v>
      </c>
      <c r="F3147" s="74" t="s">
        <v>54</v>
      </c>
      <c r="G3147" s="77">
        <f t="shared" si="521"/>
        <v>47230</v>
      </c>
      <c r="H3147" s="77">
        <f t="shared" si="522"/>
        <v>47530</v>
      </c>
      <c r="I3147" s="76">
        <v>0.7</v>
      </c>
    </row>
    <row r="3148" spans="3:9" x14ac:dyDescent="0.35">
      <c r="C3148" t="s">
        <v>312</v>
      </c>
      <c r="D3148" s="3">
        <v>2022</v>
      </c>
      <c r="E3148" s="78">
        <f t="shared" si="520"/>
        <v>8</v>
      </c>
      <c r="F3148" s="74" t="s">
        <v>54</v>
      </c>
      <c r="G3148" s="77">
        <f t="shared" si="521"/>
        <v>47530</v>
      </c>
      <c r="H3148" s="77">
        <f t="shared" si="522"/>
        <v>47830</v>
      </c>
      <c r="I3148" s="76">
        <v>0.6</v>
      </c>
    </row>
    <row r="3149" spans="3:9" x14ac:dyDescent="0.35">
      <c r="C3149" t="s">
        <v>312</v>
      </c>
      <c r="D3149" s="3">
        <v>2022</v>
      </c>
      <c r="E3149" s="78">
        <f t="shared" si="520"/>
        <v>8</v>
      </c>
      <c r="F3149" s="74" t="s">
        <v>54</v>
      </c>
      <c r="G3149" s="77">
        <f t="shared" si="521"/>
        <v>47830</v>
      </c>
      <c r="H3149" s="77">
        <f t="shared" si="522"/>
        <v>48130</v>
      </c>
      <c r="I3149" s="76">
        <v>0.5</v>
      </c>
    </row>
    <row r="3150" spans="3:9" x14ac:dyDescent="0.35">
      <c r="C3150" t="s">
        <v>312</v>
      </c>
      <c r="D3150" s="3">
        <v>2022</v>
      </c>
      <c r="E3150" s="78">
        <f t="shared" si="520"/>
        <v>8</v>
      </c>
      <c r="F3150" s="74" t="s">
        <v>54</v>
      </c>
      <c r="G3150" s="77">
        <f t="shared" si="521"/>
        <v>48130</v>
      </c>
      <c r="H3150" s="77">
        <f t="shared" si="522"/>
        <v>48430</v>
      </c>
      <c r="I3150" s="76">
        <v>0.4</v>
      </c>
    </row>
    <row r="3151" spans="3:9" x14ac:dyDescent="0.35">
      <c r="C3151" t="s">
        <v>312</v>
      </c>
      <c r="D3151" s="3">
        <v>2022</v>
      </c>
      <c r="E3151" s="78">
        <f t="shared" si="520"/>
        <v>8</v>
      </c>
      <c r="F3151" s="74" t="s">
        <v>54</v>
      </c>
      <c r="G3151" s="77">
        <f t="shared" si="521"/>
        <v>48430</v>
      </c>
      <c r="H3151" s="77">
        <f t="shared" si="522"/>
        <v>48730</v>
      </c>
      <c r="I3151" s="76">
        <v>0.3</v>
      </c>
    </row>
    <row r="3152" spans="3:9" x14ac:dyDescent="0.35">
      <c r="C3152" t="s">
        <v>312</v>
      </c>
      <c r="D3152" s="3">
        <v>2022</v>
      </c>
      <c r="E3152" s="78">
        <f t="shared" si="520"/>
        <v>8</v>
      </c>
      <c r="F3152" s="74" t="s">
        <v>54</v>
      </c>
      <c r="G3152" s="77">
        <f t="shared" si="521"/>
        <v>48730</v>
      </c>
      <c r="H3152" s="77">
        <f t="shared" si="522"/>
        <v>49030</v>
      </c>
      <c r="I3152" s="76">
        <v>0.2</v>
      </c>
    </row>
    <row r="3153" spans="3:9" x14ac:dyDescent="0.35">
      <c r="C3153" t="s">
        <v>312</v>
      </c>
      <c r="D3153" s="3">
        <v>2022</v>
      </c>
      <c r="E3153" s="78">
        <f t="shared" si="520"/>
        <v>8</v>
      </c>
      <c r="F3153" s="74" t="s">
        <v>54</v>
      </c>
      <c r="G3153" s="77">
        <f t="shared" si="521"/>
        <v>49030</v>
      </c>
      <c r="H3153" s="77">
        <f t="shared" si="522"/>
        <v>49330</v>
      </c>
      <c r="I3153" s="76">
        <v>0.1</v>
      </c>
    </row>
    <row r="3154" spans="3:9" x14ac:dyDescent="0.35">
      <c r="C3154" t="s">
        <v>312</v>
      </c>
      <c r="D3154" s="3">
        <v>2022</v>
      </c>
      <c r="E3154" s="78">
        <f t="shared" si="520"/>
        <v>8</v>
      </c>
      <c r="F3154" s="74" t="s">
        <v>54</v>
      </c>
      <c r="G3154" s="77">
        <f t="shared" si="521"/>
        <v>49330</v>
      </c>
      <c r="H3154" s="77"/>
      <c r="I3154" s="76">
        <v>0</v>
      </c>
    </row>
    <row r="3155" spans="3:9" x14ac:dyDescent="0.35">
      <c r="C3155" t="s">
        <v>312</v>
      </c>
      <c r="D3155" s="3">
        <v>2022</v>
      </c>
      <c r="E3155" s="78">
        <f t="shared" si="520"/>
        <v>8</v>
      </c>
      <c r="F3155" s="74" t="s">
        <v>34</v>
      </c>
      <c r="G3155" s="77">
        <v>0</v>
      </c>
      <c r="H3155" s="75">
        <f>H3144</f>
        <v>46630</v>
      </c>
      <c r="I3155" s="76">
        <v>1</v>
      </c>
    </row>
    <row r="3156" spans="3:9" x14ac:dyDescent="0.35">
      <c r="C3156" t="s">
        <v>312</v>
      </c>
      <c r="D3156" s="3">
        <v>2022</v>
      </c>
      <c r="E3156" s="78">
        <f t="shared" si="520"/>
        <v>8</v>
      </c>
      <c r="F3156" s="74" t="s">
        <v>34</v>
      </c>
      <c r="G3156" s="77">
        <f>H3155</f>
        <v>46630</v>
      </c>
      <c r="H3156" s="77">
        <f>H3155+300</f>
        <v>46930</v>
      </c>
      <c r="I3156" s="76">
        <v>0.9</v>
      </c>
    </row>
    <row r="3157" spans="3:9" x14ac:dyDescent="0.35">
      <c r="C3157" t="s">
        <v>312</v>
      </c>
      <c r="D3157" s="3">
        <v>2022</v>
      </c>
      <c r="E3157" s="78">
        <f t="shared" si="520"/>
        <v>8</v>
      </c>
      <c r="F3157" s="74" t="s">
        <v>34</v>
      </c>
      <c r="G3157" s="77">
        <f t="shared" ref="G3157:G3165" si="523">H3156</f>
        <v>46930</v>
      </c>
      <c r="H3157" s="77">
        <f t="shared" ref="H3157:H3164" si="524">H3156+300</f>
        <v>47230</v>
      </c>
      <c r="I3157" s="76">
        <v>0.8</v>
      </c>
    </row>
    <row r="3158" spans="3:9" x14ac:dyDescent="0.35">
      <c r="C3158" t="s">
        <v>312</v>
      </c>
      <c r="D3158" s="3">
        <v>2022</v>
      </c>
      <c r="E3158" s="78">
        <f t="shared" si="520"/>
        <v>8</v>
      </c>
      <c r="F3158" s="74" t="s">
        <v>34</v>
      </c>
      <c r="G3158" s="77">
        <f t="shared" si="523"/>
        <v>47230</v>
      </c>
      <c r="H3158" s="77">
        <f t="shared" si="524"/>
        <v>47530</v>
      </c>
      <c r="I3158" s="76">
        <v>0.7</v>
      </c>
    </row>
    <row r="3159" spans="3:9" x14ac:dyDescent="0.35">
      <c r="C3159" t="s">
        <v>312</v>
      </c>
      <c r="D3159" s="3">
        <v>2022</v>
      </c>
      <c r="E3159" s="78">
        <f t="shared" si="520"/>
        <v>8</v>
      </c>
      <c r="F3159" s="74" t="s">
        <v>34</v>
      </c>
      <c r="G3159" s="77">
        <f t="shared" si="523"/>
        <v>47530</v>
      </c>
      <c r="H3159" s="77">
        <f t="shared" si="524"/>
        <v>47830</v>
      </c>
      <c r="I3159" s="76">
        <v>0.6</v>
      </c>
    </row>
    <row r="3160" spans="3:9" x14ac:dyDescent="0.35">
      <c r="C3160" t="s">
        <v>312</v>
      </c>
      <c r="D3160" s="3">
        <v>2022</v>
      </c>
      <c r="E3160" s="78">
        <f t="shared" si="520"/>
        <v>8</v>
      </c>
      <c r="F3160" s="74" t="s">
        <v>34</v>
      </c>
      <c r="G3160" s="77">
        <f t="shared" si="523"/>
        <v>47830</v>
      </c>
      <c r="H3160" s="77">
        <f t="shared" si="524"/>
        <v>48130</v>
      </c>
      <c r="I3160" s="76">
        <v>0.5</v>
      </c>
    </row>
    <row r="3161" spans="3:9" x14ac:dyDescent="0.35">
      <c r="C3161" t="s">
        <v>312</v>
      </c>
      <c r="D3161" s="3">
        <v>2022</v>
      </c>
      <c r="E3161" s="78">
        <f t="shared" si="520"/>
        <v>8</v>
      </c>
      <c r="F3161" s="74" t="s">
        <v>34</v>
      </c>
      <c r="G3161" s="77">
        <f t="shared" si="523"/>
        <v>48130</v>
      </c>
      <c r="H3161" s="77">
        <f t="shared" si="524"/>
        <v>48430</v>
      </c>
      <c r="I3161" s="76">
        <v>0.4</v>
      </c>
    </row>
    <row r="3162" spans="3:9" x14ac:dyDescent="0.35">
      <c r="C3162" t="s">
        <v>312</v>
      </c>
      <c r="D3162" s="3">
        <v>2022</v>
      </c>
      <c r="E3162" s="78">
        <f t="shared" si="520"/>
        <v>8</v>
      </c>
      <c r="F3162" s="74" t="s">
        <v>34</v>
      </c>
      <c r="G3162" s="77">
        <f t="shared" si="523"/>
        <v>48430</v>
      </c>
      <c r="H3162" s="77">
        <f t="shared" si="524"/>
        <v>48730</v>
      </c>
      <c r="I3162" s="76">
        <v>0.3</v>
      </c>
    </row>
    <row r="3163" spans="3:9" x14ac:dyDescent="0.35">
      <c r="C3163" t="s">
        <v>312</v>
      </c>
      <c r="D3163" s="3">
        <v>2022</v>
      </c>
      <c r="E3163" s="78">
        <f t="shared" si="520"/>
        <v>8</v>
      </c>
      <c r="F3163" s="74" t="s">
        <v>34</v>
      </c>
      <c r="G3163" s="77">
        <f t="shared" si="523"/>
        <v>48730</v>
      </c>
      <c r="H3163" s="77">
        <f t="shared" si="524"/>
        <v>49030</v>
      </c>
      <c r="I3163" s="76">
        <v>0.2</v>
      </c>
    </row>
    <row r="3164" spans="3:9" x14ac:dyDescent="0.35">
      <c r="C3164" t="s">
        <v>312</v>
      </c>
      <c r="D3164" s="3">
        <v>2022</v>
      </c>
      <c r="E3164" s="78">
        <f t="shared" si="520"/>
        <v>8</v>
      </c>
      <c r="F3164" s="74" t="s">
        <v>34</v>
      </c>
      <c r="G3164" s="77">
        <f t="shared" si="523"/>
        <v>49030</v>
      </c>
      <c r="H3164" s="77">
        <f t="shared" si="524"/>
        <v>49330</v>
      </c>
      <c r="I3164" s="76">
        <v>0.1</v>
      </c>
    </row>
    <row r="3165" spans="3:9" x14ac:dyDescent="0.35">
      <c r="C3165" t="s">
        <v>312</v>
      </c>
      <c r="D3165" s="3">
        <v>2022</v>
      </c>
      <c r="E3165" s="78">
        <f t="shared" si="520"/>
        <v>8</v>
      </c>
      <c r="F3165" s="74" t="s">
        <v>34</v>
      </c>
      <c r="G3165" s="77">
        <f t="shared" si="523"/>
        <v>49330</v>
      </c>
      <c r="H3165" s="77"/>
      <c r="I3165" s="76">
        <v>0</v>
      </c>
    </row>
    <row r="3166" spans="3:9" x14ac:dyDescent="0.35">
      <c r="C3166" t="s">
        <v>312</v>
      </c>
      <c r="D3166" s="3">
        <v>2022</v>
      </c>
      <c r="E3166" s="78">
        <f t="shared" si="520"/>
        <v>8</v>
      </c>
      <c r="F3166" s="74" t="s">
        <v>40</v>
      </c>
      <c r="G3166" s="77">
        <v>0</v>
      </c>
      <c r="H3166" s="75">
        <f>H3155</f>
        <v>46630</v>
      </c>
      <c r="I3166" s="76">
        <v>1</v>
      </c>
    </row>
    <row r="3167" spans="3:9" x14ac:dyDescent="0.35">
      <c r="C3167" t="s">
        <v>312</v>
      </c>
      <c r="D3167" s="3">
        <v>2022</v>
      </c>
      <c r="E3167" s="78">
        <f t="shared" si="520"/>
        <v>8</v>
      </c>
      <c r="F3167" s="74" t="s">
        <v>40</v>
      </c>
      <c r="G3167" s="77">
        <f>H3166</f>
        <v>46630</v>
      </c>
      <c r="H3167" s="77">
        <f>H3166+300</f>
        <v>46930</v>
      </c>
      <c r="I3167" s="76">
        <v>0.9</v>
      </c>
    </row>
    <row r="3168" spans="3:9" x14ac:dyDescent="0.35">
      <c r="C3168" t="s">
        <v>312</v>
      </c>
      <c r="D3168" s="3">
        <v>2022</v>
      </c>
      <c r="E3168" s="78">
        <f t="shared" si="520"/>
        <v>8</v>
      </c>
      <c r="F3168" s="74" t="s">
        <v>40</v>
      </c>
      <c r="G3168" s="77">
        <f t="shared" ref="G3168:G3176" si="525">H3167</f>
        <v>46930</v>
      </c>
      <c r="H3168" s="77">
        <f t="shared" ref="H3168:H3175" si="526">H3167+300</f>
        <v>47230</v>
      </c>
      <c r="I3168" s="76">
        <v>0.8</v>
      </c>
    </row>
    <row r="3169" spans="3:9" x14ac:dyDescent="0.35">
      <c r="C3169" t="s">
        <v>312</v>
      </c>
      <c r="D3169" s="3">
        <v>2022</v>
      </c>
      <c r="E3169" s="78">
        <f t="shared" si="520"/>
        <v>8</v>
      </c>
      <c r="F3169" s="74" t="s">
        <v>40</v>
      </c>
      <c r="G3169" s="77">
        <f t="shared" si="525"/>
        <v>47230</v>
      </c>
      <c r="H3169" s="77">
        <f t="shared" si="526"/>
        <v>47530</v>
      </c>
      <c r="I3169" s="76">
        <v>0.7</v>
      </c>
    </row>
    <row r="3170" spans="3:9" x14ac:dyDescent="0.35">
      <c r="C3170" t="s">
        <v>312</v>
      </c>
      <c r="D3170" s="3">
        <v>2022</v>
      </c>
      <c r="E3170" s="78">
        <f t="shared" si="520"/>
        <v>8</v>
      </c>
      <c r="F3170" s="74" t="s">
        <v>40</v>
      </c>
      <c r="G3170" s="77">
        <f t="shared" si="525"/>
        <v>47530</v>
      </c>
      <c r="H3170" s="77">
        <f t="shared" si="526"/>
        <v>47830</v>
      </c>
      <c r="I3170" s="76">
        <v>0.6</v>
      </c>
    </row>
    <row r="3171" spans="3:9" x14ac:dyDescent="0.35">
      <c r="C3171" t="s">
        <v>312</v>
      </c>
      <c r="D3171" s="3">
        <v>2022</v>
      </c>
      <c r="E3171" s="78">
        <f t="shared" si="520"/>
        <v>8</v>
      </c>
      <c r="F3171" s="74" t="s">
        <v>40</v>
      </c>
      <c r="G3171" s="77">
        <f t="shared" si="525"/>
        <v>47830</v>
      </c>
      <c r="H3171" s="77">
        <f t="shared" si="526"/>
        <v>48130</v>
      </c>
      <c r="I3171" s="76">
        <v>0.5</v>
      </c>
    </row>
    <row r="3172" spans="3:9" x14ac:dyDescent="0.35">
      <c r="C3172" t="s">
        <v>312</v>
      </c>
      <c r="D3172" s="3">
        <v>2022</v>
      </c>
      <c r="E3172" s="78">
        <f t="shared" si="520"/>
        <v>8</v>
      </c>
      <c r="F3172" s="74" t="s">
        <v>40</v>
      </c>
      <c r="G3172" s="77">
        <f t="shared" si="525"/>
        <v>48130</v>
      </c>
      <c r="H3172" s="77">
        <f t="shared" si="526"/>
        <v>48430</v>
      </c>
      <c r="I3172" s="76">
        <v>0.4</v>
      </c>
    </row>
    <row r="3173" spans="3:9" x14ac:dyDescent="0.35">
      <c r="C3173" t="s">
        <v>312</v>
      </c>
      <c r="D3173" s="3">
        <v>2022</v>
      </c>
      <c r="E3173" s="78">
        <f t="shared" si="520"/>
        <v>8</v>
      </c>
      <c r="F3173" s="74" t="s">
        <v>40</v>
      </c>
      <c r="G3173" s="77">
        <f t="shared" si="525"/>
        <v>48430</v>
      </c>
      <c r="H3173" s="77">
        <f t="shared" si="526"/>
        <v>48730</v>
      </c>
      <c r="I3173" s="76">
        <v>0.3</v>
      </c>
    </row>
    <row r="3174" spans="3:9" x14ac:dyDescent="0.35">
      <c r="C3174" t="s">
        <v>312</v>
      </c>
      <c r="D3174" s="3">
        <v>2022</v>
      </c>
      <c r="E3174" s="78">
        <f t="shared" si="520"/>
        <v>8</v>
      </c>
      <c r="F3174" s="74" t="s">
        <v>40</v>
      </c>
      <c r="G3174" s="77">
        <f t="shared" si="525"/>
        <v>48730</v>
      </c>
      <c r="H3174" s="77">
        <f t="shared" si="526"/>
        <v>49030</v>
      </c>
      <c r="I3174" s="76">
        <v>0.2</v>
      </c>
    </row>
    <row r="3175" spans="3:9" x14ac:dyDescent="0.35">
      <c r="C3175" t="s">
        <v>312</v>
      </c>
      <c r="D3175" s="3">
        <v>2022</v>
      </c>
      <c r="E3175" s="78">
        <f t="shared" si="520"/>
        <v>8</v>
      </c>
      <c r="F3175" s="74" t="s">
        <v>40</v>
      </c>
      <c r="G3175" s="77">
        <f t="shared" si="525"/>
        <v>49030</v>
      </c>
      <c r="H3175" s="77">
        <f t="shared" si="526"/>
        <v>49330</v>
      </c>
      <c r="I3175" s="76">
        <v>0.1</v>
      </c>
    </row>
    <row r="3176" spans="3:9" x14ac:dyDescent="0.35">
      <c r="C3176" t="s">
        <v>312</v>
      </c>
      <c r="D3176" s="3">
        <v>2022</v>
      </c>
      <c r="E3176" s="78">
        <f t="shared" si="520"/>
        <v>8</v>
      </c>
      <c r="F3176" s="74" t="s">
        <v>40</v>
      </c>
      <c r="G3176" s="77">
        <f t="shared" si="525"/>
        <v>49330</v>
      </c>
      <c r="H3176" s="77"/>
      <c r="I3176" s="76">
        <v>0</v>
      </c>
    </row>
    <row r="3177" spans="3:9" x14ac:dyDescent="0.35">
      <c r="C3177" t="s">
        <v>312</v>
      </c>
      <c r="D3177" s="3">
        <v>2022</v>
      </c>
      <c r="E3177" s="78">
        <f t="shared" si="520"/>
        <v>8</v>
      </c>
      <c r="F3177" s="74" t="s">
        <v>313</v>
      </c>
      <c r="G3177" s="77">
        <v>0</v>
      </c>
      <c r="H3177" s="75">
        <f>H3166</f>
        <v>46630</v>
      </c>
      <c r="I3177" s="76">
        <v>1</v>
      </c>
    </row>
    <row r="3178" spans="3:9" x14ac:dyDescent="0.35">
      <c r="C3178" t="s">
        <v>312</v>
      </c>
      <c r="D3178" s="3">
        <v>2022</v>
      </c>
      <c r="E3178" s="78">
        <f t="shared" si="520"/>
        <v>8</v>
      </c>
      <c r="F3178" s="74" t="s">
        <v>313</v>
      </c>
      <c r="G3178" s="77">
        <f>H3177</f>
        <v>46630</v>
      </c>
      <c r="H3178" s="77">
        <f>H3177+300</f>
        <v>46930</v>
      </c>
      <c r="I3178" s="76">
        <v>0.9</v>
      </c>
    </row>
    <row r="3179" spans="3:9" x14ac:dyDescent="0.35">
      <c r="C3179" t="s">
        <v>312</v>
      </c>
      <c r="D3179" s="3">
        <v>2022</v>
      </c>
      <c r="E3179" s="78">
        <f t="shared" si="520"/>
        <v>8</v>
      </c>
      <c r="F3179" s="74" t="s">
        <v>313</v>
      </c>
      <c r="G3179" s="77">
        <f t="shared" ref="G3179:G3187" si="527">H3178</f>
        <v>46930</v>
      </c>
      <c r="H3179" s="77">
        <f t="shared" ref="H3179:H3186" si="528">H3178+300</f>
        <v>47230</v>
      </c>
      <c r="I3179" s="76">
        <v>0.8</v>
      </c>
    </row>
    <row r="3180" spans="3:9" x14ac:dyDescent="0.35">
      <c r="C3180" t="s">
        <v>312</v>
      </c>
      <c r="D3180" s="3">
        <v>2022</v>
      </c>
      <c r="E3180" s="78">
        <f t="shared" si="520"/>
        <v>8</v>
      </c>
      <c r="F3180" s="74" t="s">
        <v>313</v>
      </c>
      <c r="G3180" s="77">
        <f t="shared" si="527"/>
        <v>47230</v>
      </c>
      <c r="H3180" s="77">
        <f t="shared" si="528"/>
        <v>47530</v>
      </c>
      <c r="I3180" s="76">
        <v>0.7</v>
      </c>
    </row>
    <row r="3181" spans="3:9" x14ac:dyDescent="0.35">
      <c r="C3181" t="s">
        <v>312</v>
      </c>
      <c r="D3181" s="3">
        <v>2022</v>
      </c>
      <c r="E3181" s="78">
        <f t="shared" si="520"/>
        <v>8</v>
      </c>
      <c r="F3181" s="74" t="s">
        <v>313</v>
      </c>
      <c r="G3181" s="77">
        <f t="shared" si="527"/>
        <v>47530</v>
      </c>
      <c r="H3181" s="77">
        <f t="shared" si="528"/>
        <v>47830</v>
      </c>
      <c r="I3181" s="76">
        <v>0.6</v>
      </c>
    </row>
    <row r="3182" spans="3:9" x14ac:dyDescent="0.35">
      <c r="C3182" t="s">
        <v>312</v>
      </c>
      <c r="D3182" s="3">
        <v>2022</v>
      </c>
      <c r="E3182" s="78">
        <f t="shared" si="520"/>
        <v>8</v>
      </c>
      <c r="F3182" s="74" t="s">
        <v>313</v>
      </c>
      <c r="G3182" s="77">
        <f t="shared" si="527"/>
        <v>47830</v>
      </c>
      <c r="H3182" s="77">
        <f t="shared" si="528"/>
        <v>48130</v>
      </c>
      <c r="I3182" s="76">
        <v>0.5</v>
      </c>
    </row>
    <row r="3183" spans="3:9" x14ac:dyDescent="0.35">
      <c r="C3183" t="s">
        <v>312</v>
      </c>
      <c r="D3183" s="3">
        <v>2022</v>
      </c>
      <c r="E3183" s="78">
        <f t="shared" si="520"/>
        <v>8</v>
      </c>
      <c r="F3183" s="74" t="s">
        <v>313</v>
      </c>
      <c r="G3183" s="77">
        <f t="shared" si="527"/>
        <v>48130</v>
      </c>
      <c r="H3183" s="77">
        <f t="shared" si="528"/>
        <v>48430</v>
      </c>
      <c r="I3183" s="76">
        <v>0.4</v>
      </c>
    </row>
    <row r="3184" spans="3:9" x14ac:dyDescent="0.35">
      <c r="C3184" t="s">
        <v>312</v>
      </c>
      <c r="D3184" s="3">
        <v>2022</v>
      </c>
      <c r="E3184" s="78">
        <f t="shared" si="520"/>
        <v>8</v>
      </c>
      <c r="F3184" s="74" t="s">
        <v>313</v>
      </c>
      <c r="G3184" s="77">
        <f t="shared" si="527"/>
        <v>48430</v>
      </c>
      <c r="H3184" s="77">
        <f t="shared" si="528"/>
        <v>48730</v>
      </c>
      <c r="I3184" s="76">
        <v>0.3</v>
      </c>
    </row>
    <row r="3185" spans="3:9" x14ac:dyDescent="0.35">
      <c r="C3185" t="s">
        <v>312</v>
      </c>
      <c r="D3185" s="3">
        <v>2022</v>
      </c>
      <c r="E3185" s="78">
        <f t="shared" si="520"/>
        <v>8</v>
      </c>
      <c r="F3185" s="74" t="s">
        <v>313</v>
      </c>
      <c r="G3185" s="77">
        <f t="shared" si="527"/>
        <v>48730</v>
      </c>
      <c r="H3185" s="77">
        <f t="shared" si="528"/>
        <v>49030</v>
      </c>
      <c r="I3185" s="76">
        <v>0.2</v>
      </c>
    </row>
    <row r="3186" spans="3:9" x14ac:dyDescent="0.35">
      <c r="C3186" t="s">
        <v>312</v>
      </c>
      <c r="D3186" s="3">
        <v>2022</v>
      </c>
      <c r="E3186" s="78">
        <f t="shared" si="520"/>
        <v>8</v>
      </c>
      <c r="F3186" s="74" t="s">
        <v>313</v>
      </c>
      <c r="G3186" s="77">
        <f t="shared" si="527"/>
        <v>49030</v>
      </c>
      <c r="H3186" s="77">
        <f t="shared" si="528"/>
        <v>49330</v>
      </c>
      <c r="I3186" s="76">
        <v>0.1</v>
      </c>
    </row>
    <row r="3187" spans="3:9" x14ac:dyDescent="0.35">
      <c r="C3187" t="s">
        <v>312</v>
      </c>
      <c r="D3187" s="3">
        <v>2022</v>
      </c>
      <c r="E3187" s="78">
        <f t="shared" si="520"/>
        <v>8</v>
      </c>
      <c r="F3187" s="74" t="s">
        <v>313</v>
      </c>
      <c r="G3187" s="77">
        <f t="shared" si="527"/>
        <v>49330</v>
      </c>
      <c r="H3187" s="77"/>
      <c r="I3187" s="76">
        <v>0</v>
      </c>
    </row>
    <row r="3188" spans="3:9" x14ac:dyDescent="0.35">
      <c r="C3188" t="s">
        <v>312</v>
      </c>
      <c r="D3188" s="3">
        <v>2022</v>
      </c>
      <c r="E3188" s="73">
        <v>9</v>
      </c>
      <c r="F3188" s="74" t="s">
        <v>54</v>
      </c>
      <c r="G3188" s="77">
        <v>0</v>
      </c>
      <c r="H3188" s="75">
        <f>H3177</f>
        <v>46630</v>
      </c>
      <c r="I3188" s="76">
        <v>1</v>
      </c>
    </row>
    <row r="3189" spans="3:9" x14ac:dyDescent="0.35">
      <c r="C3189" t="s">
        <v>312</v>
      </c>
      <c r="D3189" s="3">
        <v>2022</v>
      </c>
      <c r="E3189" s="78">
        <f>E3188</f>
        <v>9</v>
      </c>
      <c r="F3189" s="74" t="s">
        <v>54</v>
      </c>
      <c r="G3189" s="77">
        <f>H3188</f>
        <v>46630</v>
      </c>
      <c r="H3189" s="77">
        <f>H3188+300</f>
        <v>46930</v>
      </c>
      <c r="I3189" s="76">
        <v>0.9</v>
      </c>
    </row>
    <row r="3190" spans="3:9" x14ac:dyDescent="0.35">
      <c r="C3190" t="s">
        <v>312</v>
      </c>
      <c r="D3190" s="3">
        <v>2022</v>
      </c>
      <c r="E3190" s="78">
        <f t="shared" ref="E3190:E3231" si="529">E3189</f>
        <v>9</v>
      </c>
      <c r="F3190" s="74" t="s">
        <v>54</v>
      </c>
      <c r="G3190" s="77">
        <f t="shared" ref="G3190:G3198" si="530">H3189</f>
        <v>46930</v>
      </c>
      <c r="H3190" s="77">
        <f t="shared" ref="H3190:H3197" si="531">H3189+300</f>
        <v>47230</v>
      </c>
      <c r="I3190" s="76">
        <v>0.8</v>
      </c>
    </row>
    <row r="3191" spans="3:9" x14ac:dyDescent="0.35">
      <c r="C3191" t="s">
        <v>312</v>
      </c>
      <c r="D3191" s="3">
        <v>2022</v>
      </c>
      <c r="E3191" s="78">
        <f t="shared" si="529"/>
        <v>9</v>
      </c>
      <c r="F3191" s="74" t="s">
        <v>54</v>
      </c>
      <c r="G3191" s="77">
        <f t="shared" si="530"/>
        <v>47230</v>
      </c>
      <c r="H3191" s="77">
        <f t="shared" si="531"/>
        <v>47530</v>
      </c>
      <c r="I3191" s="76">
        <v>0.7</v>
      </c>
    </row>
    <row r="3192" spans="3:9" x14ac:dyDescent="0.35">
      <c r="C3192" t="s">
        <v>312</v>
      </c>
      <c r="D3192" s="3">
        <v>2022</v>
      </c>
      <c r="E3192" s="78">
        <f t="shared" si="529"/>
        <v>9</v>
      </c>
      <c r="F3192" s="74" t="s">
        <v>54</v>
      </c>
      <c r="G3192" s="77">
        <f t="shared" si="530"/>
        <v>47530</v>
      </c>
      <c r="H3192" s="77">
        <f t="shared" si="531"/>
        <v>47830</v>
      </c>
      <c r="I3192" s="76">
        <v>0.6</v>
      </c>
    </row>
    <row r="3193" spans="3:9" x14ac:dyDescent="0.35">
      <c r="C3193" t="s">
        <v>312</v>
      </c>
      <c r="D3193" s="3">
        <v>2022</v>
      </c>
      <c r="E3193" s="78">
        <f t="shared" si="529"/>
        <v>9</v>
      </c>
      <c r="F3193" s="74" t="s">
        <v>54</v>
      </c>
      <c r="G3193" s="77">
        <f t="shared" si="530"/>
        <v>47830</v>
      </c>
      <c r="H3193" s="77">
        <f t="shared" si="531"/>
        <v>48130</v>
      </c>
      <c r="I3193" s="76">
        <v>0.5</v>
      </c>
    </row>
    <row r="3194" spans="3:9" x14ac:dyDescent="0.35">
      <c r="C3194" t="s">
        <v>312</v>
      </c>
      <c r="D3194" s="3">
        <v>2022</v>
      </c>
      <c r="E3194" s="78">
        <f t="shared" si="529"/>
        <v>9</v>
      </c>
      <c r="F3194" s="74" t="s">
        <v>54</v>
      </c>
      <c r="G3194" s="77">
        <f t="shared" si="530"/>
        <v>48130</v>
      </c>
      <c r="H3194" s="77">
        <f t="shared" si="531"/>
        <v>48430</v>
      </c>
      <c r="I3194" s="76">
        <v>0.4</v>
      </c>
    </row>
    <row r="3195" spans="3:9" x14ac:dyDescent="0.35">
      <c r="C3195" t="s">
        <v>312</v>
      </c>
      <c r="D3195" s="3">
        <v>2022</v>
      </c>
      <c r="E3195" s="78">
        <f t="shared" si="529"/>
        <v>9</v>
      </c>
      <c r="F3195" s="74" t="s">
        <v>54</v>
      </c>
      <c r="G3195" s="77">
        <f t="shared" si="530"/>
        <v>48430</v>
      </c>
      <c r="H3195" s="77">
        <f t="shared" si="531"/>
        <v>48730</v>
      </c>
      <c r="I3195" s="76">
        <v>0.3</v>
      </c>
    </row>
    <row r="3196" spans="3:9" x14ac:dyDescent="0.35">
      <c r="C3196" t="s">
        <v>312</v>
      </c>
      <c r="D3196" s="3">
        <v>2022</v>
      </c>
      <c r="E3196" s="78">
        <f t="shared" si="529"/>
        <v>9</v>
      </c>
      <c r="F3196" s="74" t="s">
        <v>54</v>
      </c>
      <c r="G3196" s="77">
        <f t="shared" si="530"/>
        <v>48730</v>
      </c>
      <c r="H3196" s="77">
        <f t="shared" si="531"/>
        <v>49030</v>
      </c>
      <c r="I3196" s="76">
        <v>0.2</v>
      </c>
    </row>
    <row r="3197" spans="3:9" x14ac:dyDescent="0.35">
      <c r="C3197" t="s">
        <v>312</v>
      </c>
      <c r="D3197" s="3">
        <v>2022</v>
      </c>
      <c r="E3197" s="78">
        <f t="shared" si="529"/>
        <v>9</v>
      </c>
      <c r="F3197" s="74" t="s">
        <v>54</v>
      </c>
      <c r="G3197" s="77">
        <f t="shared" si="530"/>
        <v>49030</v>
      </c>
      <c r="H3197" s="77">
        <f t="shared" si="531"/>
        <v>49330</v>
      </c>
      <c r="I3197" s="76">
        <v>0.1</v>
      </c>
    </row>
    <row r="3198" spans="3:9" x14ac:dyDescent="0.35">
      <c r="C3198" t="s">
        <v>312</v>
      </c>
      <c r="D3198" s="3">
        <v>2022</v>
      </c>
      <c r="E3198" s="78">
        <f t="shared" si="529"/>
        <v>9</v>
      </c>
      <c r="F3198" s="74" t="s">
        <v>54</v>
      </c>
      <c r="G3198" s="77">
        <f t="shared" si="530"/>
        <v>49330</v>
      </c>
      <c r="H3198" s="77"/>
      <c r="I3198" s="76">
        <v>0</v>
      </c>
    </row>
    <row r="3199" spans="3:9" x14ac:dyDescent="0.35">
      <c r="C3199" t="s">
        <v>312</v>
      </c>
      <c r="D3199" s="3">
        <v>2022</v>
      </c>
      <c r="E3199" s="78">
        <f t="shared" si="529"/>
        <v>9</v>
      </c>
      <c r="F3199" s="74" t="s">
        <v>34</v>
      </c>
      <c r="G3199" s="77">
        <v>0</v>
      </c>
      <c r="H3199" s="75">
        <f>H3188</f>
        <v>46630</v>
      </c>
      <c r="I3199" s="76">
        <v>1</v>
      </c>
    </row>
    <row r="3200" spans="3:9" x14ac:dyDescent="0.35">
      <c r="C3200" t="s">
        <v>312</v>
      </c>
      <c r="D3200" s="3">
        <v>2022</v>
      </c>
      <c r="E3200" s="78">
        <f t="shared" si="529"/>
        <v>9</v>
      </c>
      <c r="F3200" s="74" t="s">
        <v>34</v>
      </c>
      <c r="G3200" s="77">
        <f>H3199</f>
        <v>46630</v>
      </c>
      <c r="H3200" s="77">
        <f>H3199+300</f>
        <v>46930</v>
      </c>
      <c r="I3200" s="76">
        <v>0.9</v>
      </c>
    </row>
    <row r="3201" spans="3:9" x14ac:dyDescent="0.35">
      <c r="C3201" t="s">
        <v>312</v>
      </c>
      <c r="D3201" s="3">
        <v>2022</v>
      </c>
      <c r="E3201" s="78">
        <f t="shared" si="529"/>
        <v>9</v>
      </c>
      <c r="F3201" s="74" t="s">
        <v>34</v>
      </c>
      <c r="G3201" s="77">
        <f t="shared" ref="G3201:G3209" si="532">H3200</f>
        <v>46930</v>
      </c>
      <c r="H3201" s="77">
        <f t="shared" ref="H3201:H3208" si="533">H3200+300</f>
        <v>47230</v>
      </c>
      <c r="I3201" s="76">
        <v>0.8</v>
      </c>
    </row>
    <row r="3202" spans="3:9" x14ac:dyDescent="0.35">
      <c r="C3202" t="s">
        <v>312</v>
      </c>
      <c r="D3202" s="3">
        <v>2022</v>
      </c>
      <c r="E3202" s="78">
        <f t="shared" si="529"/>
        <v>9</v>
      </c>
      <c r="F3202" s="74" t="s">
        <v>34</v>
      </c>
      <c r="G3202" s="77">
        <f t="shared" si="532"/>
        <v>47230</v>
      </c>
      <c r="H3202" s="77">
        <f t="shared" si="533"/>
        <v>47530</v>
      </c>
      <c r="I3202" s="76">
        <v>0.7</v>
      </c>
    </row>
    <row r="3203" spans="3:9" x14ac:dyDescent="0.35">
      <c r="C3203" t="s">
        <v>312</v>
      </c>
      <c r="D3203" s="3">
        <v>2022</v>
      </c>
      <c r="E3203" s="78">
        <f t="shared" si="529"/>
        <v>9</v>
      </c>
      <c r="F3203" s="74" t="s">
        <v>34</v>
      </c>
      <c r="G3203" s="77">
        <f t="shared" si="532"/>
        <v>47530</v>
      </c>
      <c r="H3203" s="77">
        <f t="shared" si="533"/>
        <v>47830</v>
      </c>
      <c r="I3203" s="76">
        <v>0.6</v>
      </c>
    </row>
    <row r="3204" spans="3:9" x14ac:dyDescent="0.35">
      <c r="C3204" t="s">
        <v>312</v>
      </c>
      <c r="D3204" s="3">
        <v>2022</v>
      </c>
      <c r="E3204" s="78">
        <f t="shared" si="529"/>
        <v>9</v>
      </c>
      <c r="F3204" s="74" t="s">
        <v>34</v>
      </c>
      <c r="G3204" s="77">
        <f t="shared" si="532"/>
        <v>47830</v>
      </c>
      <c r="H3204" s="77">
        <f t="shared" si="533"/>
        <v>48130</v>
      </c>
      <c r="I3204" s="76">
        <v>0.5</v>
      </c>
    </row>
    <row r="3205" spans="3:9" x14ac:dyDescent="0.35">
      <c r="C3205" t="s">
        <v>312</v>
      </c>
      <c r="D3205" s="3">
        <v>2022</v>
      </c>
      <c r="E3205" s="78">
        <f t="shared" si="529"/>
        <v>9</v>
      </c>
      <c r="F3205" s="74" t="s">
        <v>34</v>
      </c>
      <c r="G3205" s="77">
        <f t="shared" si="532"/>
        <v>48130</v>
      </c>
      <c r="H3205" s="77">
        <f t="shared" si="533"/>
        <v>48430</v>
      </c>
      <c r="I3205" s="76">
        <v>0.4</v>
      </c>
    </row>
    <row r="3206" spans="3:9" x14ac:dyDescent="0.35">
      <c r="C3206" t="s">
        <v>312</v>
      </c>
      <c r="D3206" s="3">
        <v>2022</v>
      </c>
      <c r="E3206" s="78">
        <f t="shared" si="529"/>
        <v>9</v>
      </c>
      <c r="F3206" s="74" t="s">
        <v>34</v>
      </c>
      <c r="G3206" s="77">
        <f t="shared" si="532"/>
        <v>48430</v>
      </c>
      <c r="H3206" s="77">
        <f t="shared" si="533"/>
        <v>48730</v>
      </c>
      <c r="I3206" s="76">
        <v>0.3</v>
      </c>
    </row>
    <row r="3207" spans="3:9" x14ac:dyDescent="0.35">
      <c r="C3207" t="s">
        <v>312</v>
      </c>
      <c r="D3207" s="3">
        <v>2022</v>
      </c>
      <c r="E3207" s="78">
        <f t="shared" si="529"/>
        <v>9</v>
      </c>
      <c r="F3207" s="74" t="s">
        <v>34</v>
      </c>
      <c r="G3207" s="77">
        <f t="shared" si="532"/>
        <v>48730</v>
      </c>
      <c r="H3207" s="77">
        <f t="shared" si="533"/>
        <v>49030</v>
      </c>
      <c r="I3207" s="76">
        <v>0.2</v>
      </c>
    </row>
    <row r="3208" spans="3:9" x14ac:dyDescent="0.35">
      <c r="C3208" t="s">
        <v>312</v>
      </c>
      <c r="D3208" s="3">
        <v>2022</v>
      </c>
      <c r="E3208" s="78">
        <f t="shared" si="529"/>
        <v>9</v>
      </c>
      <c r="F3208" s="74" t="s">
        <v>34</v>
      </c>
      <c r="G3208" s="77">
        <f t="shared" si="532"/>
        <v>49030</v>
      </c>
      <c r="H3208" s="77">
        <f t="shared" si="533"/>
        <v>49330</v>
      </c>
      <c r="I3208" s="76">
        <v>0.1</v>
      </c>
    </row>
    <row r="3209" spans="3:9" x14ac:dyDescent="0.35">
      <c r="C3209" t="s">
        <v>312</v>
      </c>
      <c r="D3209" s="3">
        <v>2022</v>
      </c>
      <c r="E3209" s="78">
        <f t="shared" si="529"/>
        <v>9</v>
      </c>
      <c r="F3209" s="74" t="s">
        <v>34</v>
      </c>
      <c r="G3209" s="77">
        <f t="shared" si="532"/>
        <v>49330</v>
      </c>
      <c r="H3209" s="77"/>
      <c r="I3209" s="76">
        <v>0</v>
      </c>
    </row>
    <row r="3210" spans="3:9" x14ac:dyDescent="0.35">
      <c r="C3210" t="s">
        <v>312</v>
      </c>
      <c r="D3210" s="3">
        <v>2022</v>
      </c>
      <c r="E3210" s="78">
        <f t="shared" si="529"/>
        <v>9</v>
      </c>
      <c r="F3210" s="74" t="s">
        <v>40</v>
      </c>
      <c r="G3210" s="77">
        <v>0</v>
      </c>
      <c r="H3210" s="75">
        <f>H3199</f>
        <v>46630</v>
      </c>
      <c r="I3210" s="76">
        <v>1</v>
      </c>
    </row>
    <row r="3211" spans="3:9" x14ac:dyDescent="0.35">
      <c r="C3211" t="s">
        <v>312</v>
      </c>
      <c r="D3211" s="3">
        <v>2022</v>
      </c>
      <c r="E3211" s="78">
        <f t="shared" si="529"/>
        <v>9</v>
      </c>
      <c r="F3211" s="74" t="s">
        <v>40</v>
      </c>
      <c r="G3211" s="77">
        <f>H3210</f>
        <v>46630</v>
      </c>
      <c r="H3211" s="77">
        <f>H3210+300</f>
        <v>46930</v>
      </c>
      <c r="I3211" s="76">
        <v>0.9</v>
      </c>
    </row>
    <row r="3212" spans="3:9" x14ac:dyDescent="0.35">
      <c r="C3212" t="s">
        <v>312</v>
      </c>
      <c r="D3212" s="3">
        <v>2022</v>
      </c>
      <c r="E3212" s="78">
        <f t="shared" si="529"/>
        <v>9</v>
      </c>
      <c r="F3212" s="74" t="s">
        <v>40</v>
      </c>
      <c r="G3212" s="77">
        <f t="shared" ref="G3212:G3220" si="534">H3211</f>
        <v>46930</v>
      </c>
      <c r="H3212" s="77">
        <f t="shared" ref="H3212:H3219" si="535">H3211+300</f>
        <v>47230</v>
      </c>
      <c r="I3212" s="76">
        <v>0.8</v>
      </c>
    </row>
    <row r="3213" spans="3:9" x14ac:dyDescent="0.35">
      <c r="C3213" t="s">
        <v>312</v>
      </c>
      <c r="D3213" s="3">
        <v>2022</v>
      </c>
      <c r="E3213" s="78">
        <f t="shared" si="529"/>
        <v>9</v>
      </c>
      <c r="F3213" s="74" t="s">
        <v>40</v>
      </c>
      <c r="G3213" s="77">
        <f t="shared" si="534"/>
        <v>47230</v>
      </c>
      <c r="H3213" s="77">
        <f t="shared" si="535"/>
        <v>47530</v>
      </c>
      <c r="I3213" s="76">
        <v>0.7</v>
      </c>
    </row>
    <row r="3214" spans="3:9" x14ac:dyDescent="0.35">
      <c r="C3214" t="s">
        <v>312</v>
      </c>
      <c r="D3214" s="3">
        <v>2022</v>
      </c>
      <c r="E3214" s="78">
        <f t="shared" si="529"/>
        <v>9</v>
      </c>
      <c r="F3214" s="74" t="s">
        <v>40</v>
      </c>
      <c r="G3214" s="77">
        <f t="shared" si="534"/>
        <v>47530</v>
      </c>
      <c r="H3214" s="77">
        <f t="shared" si="535"/>
        <v>47830</v>
      </c>
      <c r="I3214" s="76">
        <v>0.6</v>
      </c>
    </row>
    <row r="3215" spans="3:9" x14ac:dyDescent="0.35">
      <c r="C3215" t="s">
        <v>312</v>
      </c>
      <c r="D3215" s="3">
        <v>2022</v>
      </c>
      <c r="E3215" s="78">
        <f t="shared" si="529"/>
        <v>9</v>
      </c>
      <c r="F3215" s="74" t="s">
        <v>40</v>
      </c>
      <c r="G3215" s="77">
        <f t="shared" si="534"/>
        <v>47830</v>
      </c>
      <c r="H3215" s="77">
        <f t="shared" si="535"/>
        <v>48130</v>
      </c>
      <c r="I3215" s="76">
        <v>0.5</v>
      </c>
    </row>
    <row r="3216" spans="3:9" x14ac:dyDescent="0.35">
      <c r="C3216" t="s">
        <v>312</v>
      </c>
      <c r="D3216" s="3">
        <v>2022</v>
      </c>
      <c r="E3216" s="78">
        <f t="shared" si="529"/>
        <v>9</v>
      </c>
      <c r="F3216" s="74" t="s">
        <v>40</v>
      </c>
      <c r="G3216" s="77">
        <f t="shared" si="534"/>
        <v>48130</v>
      </c>
      <c r="H3216" s="77">
        <f t="shared" si="535"/>
        <v>48430</v>
      </c>
      <c r="I3216" s="76">
        <v>0.4</v>
      </c>
    </row>
    <row r="3217" spans="3:9" x14ac:dyDescent="0.35">
      <c r="C3217" t="s">
        <v>312</v>
      </c>
      <c r="D3217" s="3">
        <v>2022</v>
      </c>
      <c r="E3217" s="78">
        <f t="shared" si="529"/>
        <v>9</v>
      </c>
      <c r="F3217" s="74" t="s">
        <v>40</v>
      </c>
      <c r="G3217" s="77">
        <f t="shared" si="534"/>
        <v>48430</v>
      </c>
      <c r="H3217" s="77">
        <f t="shared" si="535"/>
        <v>48730</v>
      </c>
      <c r="I3217" s="76">
        <v>0.3</v>
      </c>
    </row>
    <row r="3218" spans="3:9" x14ac:dyDescent="0.35">
      <c r="C3218" t="s">
        <v>312</v>
      </c>
      <c r="D3218" s="3">
        <v>2022</v>
      </c>
      <c r="E3218" s="78">
        <f t="shared" si="529"/>
        <v>9</v>
      </c>
      <c r="F3218" s="74" t="s">
        <v>40</v>
      </c>
      <c r="G3218" s="77">
        <f t="shared" si="534"/>
        <v>48730</v>
      </c>
      <c r="H3218" s="77">
        <f t="shared" si="535"/>
        <v>49030</v>
      </c>
      <c r="I3218" s="76">
        <v>0.2</v>
      </c>
    </row>
    <row r="3219" spans="3:9" x14ac:dyDescent="0.35">
      <c r="C3219" t="s">
        <v>312</v>
      </c>
      <c r="D3219" s="3">
        <v>2022</v>
      </c>
      <c r="E3219" s="78">
        <f t="shared" si="529"/>
        <v>9</v>
      </c>
      <c r="F3219" s="74" t="s">
        <v>40</v>
      </c>
      <c r="G3219" s="77">
        <f t="shared" si="534"/>
        <v>49030</v>
      </c>
      <c r="H3219" s="77">
        <f t="shared" si="535"/>
        <v>49330</v>
      </c>
      <c r="I3219" s="76">
        <v>0.1</v>
      </c>
    </row>
    <row r="3220" spans="3:9" x14ac:dyDescent="0.35">
      <c r="C3220" t="s">
        <v>312</v>
      </c>
      <c r="D3220" s="3">
        <v>2022</v>
      </c>
      <c r="E3220" s="78">
        <f t="shared" si="529"/>
        <v>9</v>
      </c>
      <c r="F3220" s="74" t="s">
        <v>40</v>
      </c>
      <c r="G3220" s="77">
        <f t="shared" si="534"/>
        <v>49330</v>
      </c>
      <c r="H3220" s="77"/>
      <c r="I3220" s="76">
        <v>0</v>
      </c>
    </row>
    <row r="3221" spans="3:9" x14ac:dyDescent="0.35">
      <c r="C3221" t="s">
        <v>312</v>
      </c>
      <c r="D3221" s="3">
        <v>2022</v>
      </c>
      <c r="E3221" s="78">
        <f t="shared" si="529"/>
        <v>9</v>
      </c>
      <c r="F3221" s="74" t="s">
        <v>313</v>
      </c>
      <c r="G3221" s="77">
        <v>0</v>
      </c>
      <c r="H3221" s="75">
        <f>H3210</f>
        <v>46630</v>
      </c>
      <c r="I3221" s="76">
        <v>1</v>
      </c>
    </row>
    <row r="3222" spans="3:9" x14ac:dyDescent="0.35">
      <c r="C3222" t="s">
        <v>312</v>
      </c>
      <c r="D3222" s="3">
        <v>2022</v>
      </c>
      <c r="E3222" s="78">
        <f t="shared" si="529"/>
        <v>9</v>
      </c>
      <c r="F3222" s="74" t="s">
        <v>313</v>
      </c>
      <c r="G3222" s="77">
        <f>H3221</f>
        <v>46630</v>
      </c>
      <c r="H3222" s="77">
        <f>H3221+300</f>
        <v>46930</v>
      </c>
      <c r="I3222" s="76">
        <v>0.9</v>
      </c>
    </row>
    <row r="3223" spans="3:9" x14ac:dyDescent="0.35">
      <c r="C3223" t="s">
        <v>312</v>
      </c>
      <c r="D3223" s="3">
        <v>2022</v>
      </c>
      <c r="E3223" s="78">
        <f t="shared" si="529"/>
        <v>9</v>
      </c>
      <c r="F3223" s="74" t="s">
        <v>313</v>
      </c>
      <c r="G3223" s="77">
        <f t="shared" ref="G3223:G3231" si="536">H3222</f>
        <v>46930</v>
      </c>
      <c r="H3223" s="77">
        <f t="shared" ref="H3223:H3230" si="537">H3222+300</f>
        <v>47230</v>
      </c>
      <c r="I3223" s="76">
        <v>0.8</v>
      </c>
    </row>
    <row r="3224" spans="3:9" x14ac:dyDescent="0.35">
      <c r="C3224" t="s">
        <v>312</v>
      </c>
      <c r="D3224" s="3">
        <v>2022</v>
      </c>
      <c r="E3224" s="78">
        <f t="shared" si="529"/>
        <v>9</v>
      </c>
      <c r="F3224" s="74" t="s">
        <v>313</v>
      </c>
      <c r="G3224" s="77">
        <f t="shared" si="536"/>
        <v>47230</v>
      </c>
      <c r="H3224" s="77">
        <f t="shared" si="537"/>
        <v>47530</v>
      </c>
      <c r="I3224" s="76">
        <v>0.7</v>
      </c>
    </row>
    <row r="3225" spans="3:9" x14ac:dyDescent="0.35">
      <c r="C3225" t="s">
        <v>312</v>
      </c>
      <c r="D3225" s="3">
        <v>2022</v>
      </c>
      <c r="E3225" s="78">
        <f t="shared" si="529"/>
        <v>9</v>
      </c>
      <c r="F3225" s="74" t="s">
        <v>313</v>
      </c>
      <c r="G3225" s="77">
        <f t="shared" si="536"/>
        <v>47530</v>
      </c>
      <c r="H3225" s="77">
        <f t="shared" si="537"/>
        <v>47830</v>
      </c>
      <c r="I3225" s="76">
        <v>0.6</v>
      </c>
    </row>
    <row r="3226" spans="3:9" x14ac:dyDescent="0.35">
      <c r="C3226" t="s">
        <v>312</v>
      </c>
      <c r="D3226" s="3">
        <v>2022</v>
      </c>
      <c r="E3226" s="78">
        <f t="shared" si="529"/>
        <v>9</v>
      </c>
      <c r="F3226" s="74" t="s">
        <v>313</v>
      </c>
      <c r="G3226" s="77">
        <f t="shared" si="536"/>
        <v>47830</v>
      </c>
      <c r="H3226" s="77">
        <f t="shared" si="537"/>
        <v>48130</v>
      </c>
      <c r="I3226" s="76">
        <v>0.5</v>
      </c>
    </row>
    <row r="3227" spans="3:9" x14ac:dyDescent="0.35">
      <c r="C3227" t="s">
        <v>312</v>
      </c>
      <c r="D3227" s="3">
        <v>2022</v>
      </c>
      <c r="E3227" s="78">
        <f t="shared" si="529"/>
        <v>9</v>
      </c>
      <c r="F3227" s="74" t="s">
        <v>313</v>
      </c>
      <c r="G3227" s="77">
        <f t="shared" si="536"/>
        <v>48130</v>
      </c>
      <c r="H3227" s="77">
        <f t="shared" si="537"/>
        <v>48430</v>
      </c>
      <c r="I3227" s="76">
        <v>0.4</v>
      </c>
    </row>
    <row r="3228" spans="3:9" x14ac:dyDescent="0.35">
      <c r="C3228" t="s">
        <v>312</v>
      </c>
      <c r="D3228" s="3">
        <v>2022</v>
      </c>
      <c r="E3228" s="78">
        <f t="shared" si="529"/>
        <v>9</v>
      </c>
      <c r="F3228" s="74" t="s">
        <v>313</v>
      </c>
      <c r="G3228" s="77">
        <f t="shared" si="536"/>
        <v>48430</v>
      </c>
      <c r="H3228" s="77">
        <f t="shared" si="537"/>
        <v>48730</v>
      </c>
      <c r="I3228" s="76">
        <v>0.3</v>
      </c>
    </row>
    <row r="3229" spans="3:9" x14ac:dyDescent="0.35">
      <c r="C3229" t="s">
        <v>312</v>
      </c>
      <c r="D3229" s="3">
        <v>2022</v>
      </c>
      <c r="E3229" s="78">
        <f t="shared" si="529"/>
        <v>9</v>
      </c>
      <c r="F3229" s="74" t="s">
        <v>313</v>
      </c>
      <c r="G3229" s="77">
        <f t="shared" si="536"/>
        <v>48730</v>
      </c>
      <c r="H3229" s="77">
        <f t="shared" si="537"/>
        <v>49030</v>
      </c>
      <c r="I3229" s="76">
        <v>0.2</v>
      </c>
    </row>
    <row r="3230" spans="3:9" x14ac:dyDescent="0.35">
      <c r="C3230" t="s">
        <v>312</v>
      </c>
      <c r="D3230" s="3">
        <v>2022</v>
      </c>
      <c r="E3230" s="78">
        <f t="shared" si="529"/>
        <v>9</v>
      </c>
      <c r="F3230" s="74" t="s">
        <v>313</v>
      </c>
      <c r="G3230" s="77">
        <f t="shared" si="536"/>
        <v>49030</v>
      </c>
      <c r="H3230" s="77">
        <f t="shared" si="537"/>
        <v>49330</v>
      </c>
      <c r="I3230" s="76">
        <v>0.1</v>
      </c>
    </row>
    <row r="3231" spans="3:9" x14ac:dyDescent="0.35">
      <c r="C3231" t="s">
        <v>312</v>
      </c>
      <c r="D3231" s="3">
        <v>2022</v>
      </c>
      <c r="E3231" s="78">
        <f t="shared" si="529"/>
        <v>9</v>
      </c>
      <c r="F3231" s="74" t="s">
        <v>313</v>
      </c>
      <c r="G3231" s="77">
        <f t="shared" si="536"/>
        <v>49330</v>
      </c>
      <c r="H3231" s="77"/>
      <c r="I3231" s="76">
        <v>0</v>
      </c>
    </row>
    <row r="3232" spans="3:9" x14ac:dyDescent="0.35">
      <c r="C3232" t="s">
        <v>312</v>
      </c>
      <c r="D3232" s="3">
        <v>2022</v>
      </c>
      <c r="E3232" s="73">
        <v>10</v>
      </c>
      <c r="F3232" s="74" t="s">
        <v>54</v>
      </c>
      <c r="G3232" s="77">
        <v>0</v>
      </c>
      <c r="H3232" s="75">
        <f>H3221</f>
        <v>46630</v>
      </c>
      <c r="I3232" s="76">
        <v>1</v>
      </c>
    </row>
    <row r="3233" spans="3:9" x14ac:dyDescent="0.35">
      <c r="C3233" t="s">
        <v>312</v>
      </c>
      <c r="D3233" s="3">
        <v>2022</v>
      </c>
      <c r="E3233" s="78">
        <f>E3232</f>
        <v>10</v>
      </c>
      <c r="F3233" s="74" t="s">
        <v>54</v>
      </c>
      <c r="G3233" s="77">
        <f>H3232</f>
        <v>46630</v>
      </c>
      <c r="H3233" s="77">
        <f>H3232+300</f>
        <v>46930</v>
      </c>
      <c r="I3233" s="76">
        <v>0.9</v>
      </c>
    </row>
    <row r="3234" spans="3:9" x14ac:dyDescent="0.35">
      <c r="C3234" t="s">
        <v>312</v>
      </c>
      <c r="D3234" s="3">
        <v>2022</v>
      </c>
      <c r="E3234" s="78">
        <f t="shared" ref="E3234:E3275" si="538">E3233</f>
        <v>10</v>
      </c>
      <c r="F3234" s="74" t="s">
        <v>54</v>
      </c>
      <c r="G3234" s="77">
        <f t="shared" ref="G3234:G3242" si="539">H3233</f>
        <v>46930</v>
      </c>
      <c r="H3234" s="77">
        <f t="shared" ref="H3234:H3241" si="540">H3233+300</f>
        <v>47230</v>
      </c>
      <c r="I3234" s="76">
        <v>0.8</v>
      </c>
    </row>
    <row r="3235" spans="3:9" x14ac:dyDescent="0.35">
      <c r="C3235" t="s">
        <v>312</v>
      </c>
      <c r="D3235" s="3">
        <v>2022</v>
      </c>
      <c r="E3235" s="78">
        <f t="shared" si="538"/>
        <v>10</v>
      </c>
      <c r="F3235" s="74" t="s">
        <v>54</v>
      </c>
      <c r="G3235" s="77">
        <f t="shared" si="539"/>
        <v>47230</v>
      </c>
      <c r="H3235" s="77">
        <f t="shared" si="540"/>
        <v>47530</v>
      </c>
      <c r="I3235" s="76">
        <v>0.7</v>
      </c>
    </row>
    <row r="3236" spans="3:9" x14ac:dyDescent="0.35">
      <c r="C3236" t="s">
        <v>312</v>
      </c>
      <c r="D3236" s="3">
        <v>2022</v>
      </c>
      <c r="E3236" s="78">
        <f t="shared" si="538"/>
        <v>10</v>
      </c>
      <c r="F3236" s="74" t="s">
        <v>54</v>
      </c>
      <c r="G3236" s="77">
        <f t="shared" si="539"/>
        <v>47530</v>
      </c>
      <c r="H3236" s="77">
        <f t="shared" si="540"/>
        <v>47830</v>
      </c>
      <c r="I3236" s="76">
        <v>0.6</v>
      </c>
    </row>
    <row r="3237" spans="3:9" x14ac:dyDescent="0.35">
      <c r="C3237" t="s">
        <v>312</v>
      </c>
      <c r="D3237" s="3">
        <v>2022</v>
      </c>
      <c r="E3237" s="78">
        <f t="shared" si="538"/>
        <v>10</v>
      </c>
      <c r="F3237" s="74" t="s">
        <v>54</v>
      </c>
      <c r="G3237" s="77">
        <f t="shared" si="539"/>
        <v>47830</v>
      </c>
      <c r="H3237" s="77">
        <f t="shared" si="540"/>
        <v>48130</v>
      </c>
      <c r="I3237" s="76">
        <v>0.5</v>
      </c>
    </row>
    <row r="3238" spans="3:9" x14ac:dyDescent="0.35">
      <c r="C3238" t="s">
        <v>312</v>
      </c>
      <c r="D3238" s="3">
        <v>2022</v>
      </c>
      <c r="E3238" s="78">
        <f t="shared" si="538"/>
        <v>10</v>
      </c>
      <c r="F3238" s="74" t="s">
        <v>54</v>
      </c>
      <c r="G3238" s="77">
        <f t="shared" si="539"/>
        <v>48130</v>
      </c>
      <c r="H3238" s="77">
        <f t="shared" si="540"/>
        <v>48430</v>
      </c>
      <c r="I3238" s="76">
        <v>0.4</v>
      </c>
    </row>
    <row r="3239" spans="3:9" x14ac:dyDescent="0.35">
      <c r="C3239" t="s">
        <v>312</v>
      </c>
      <c r="D3239" s="3">
        <v>2022</v>
      </c>
      <c r="E3239" s="78">
        <f t="shared" si="538"/>
        <v>10</v>
      </c>
      <c r="F3239" s="74" t="s">
        <v>54</v>
      </c>
      <c r="G3239" s="77">
        <f t="shared" si="539"/>
        <v>48430</v>
      </c>
      <c r="H3239" s="77">
        <f t="shared" si="540"/>
        <v>48730</v>
      </c>
      <c r="I3239" s="76">
        <v>0.3</v>
      </c>
    </row>
    <row r="3240" spans="3:9" x14ac:dyDescent="0.35">
      <c r="C3240" t="s">
        <v>312</v>
      </c>
      <c r="D3240" s="3">
        <v>2022</v>
      </c>
      <c r="E3240" s="78">
        <f t="shared" si="538"/>
        <v>10</v>
      </c>
      <c r="F3240" s="74" t="s">
        <v>54</v>
      </c>
      <c r="G3240" s="77">
        <f t="shared" si="539"/>
        <v>48730</v>
      </c>
      <c r="H3240" s="77">
        <f t="shared" si="540"/>
        <v>49030</v>
      </c>
      <c r="I3240" s="76">
        <v>0.2</v>
      </c>
    </row>
    <row r="3241" spans="3:9" x14ac:dyDescent="0.35">
      <c r="C3241" t="s">
        <v>312</v>
      </c>
      <c r="D3241" s="3">
        <v>2022</v>
      </c>
      <c r="E3241" s="78">
        <f t="shared" si="538"/>
        <v>10</v>
      </c>
      <c r="F3241" s="74" t="s">
        <v>54</v>
      </c>
      <c r="G3241" s="77">
        <f t="shared" si="539"/>
        <v>49030</v>
      </c>
      <c r="H3241" s="77">
        <f t="shared" si="540"/>
        <v>49330</v>
      </c>
      <c r="I3241" s="76">
        <v>0.1</v>
      </c>
    </row>
    <row r="3242" spans="3:9" x14ac:dyDescent="0.35">
      <c r="C3242" t="s">
        <v>312</v>
      </c>
      <c r="D3242" s="3">
        <v>2022</v>
      </c>
      <c r="E3242" s="78">
        <f t="shared" si="538"/>
        <v>10</v>
      </c>
      <c r="F3242" s="74" t="s">
        <v>54</v>
      </c>
      <c r="G3242" s="77">
        <f t="shared" si="539"/>
        <v>49330</v>
      </c>
      <c r="H3242" s="77"/>
      <c r="I3242" s="76">
        <v>0</v>
      </c>
    </row>
    <row r="3243" spans="3:9" x14ac:dyDescent="0.35">
      <c r="C3243" t="s">
        <v>312</v>
      </c>
      <c r="D3243" s="3">
        <v>2022</v>
      </c>
      <c r="E3243" s="78">
        <f t="shared" si="538"/>
        <v>10</v>
      </c>
      <c r="F3243" s="74" t="s">
        <v>34</v>
      </c>
      <c r="G3243" s="77">
        <v>0</v>
      </c>
      <c r="H3243" s="75">
        <f>H3232</f>
        <v>46630</v>
      </c>
      <c r="I3243" s="76">
        <v>1</v>
      </c>
    </row>
    <row r="3244" spans="3:9" x14ac:dyDescent="0.35">
      <c r="C3244" t="s">
        <v>312</v>
      </c>
      <c r="D3244" s="3">
        <v>2022</v>
      </c>
      <c r="E3244" s="78">
        <f t="shared" si="538"/>
        <v>10</v>
      </c>
      <c r="F3244" s="74" t="s">
        <v>34</v>
      </c>
      <c r="G3244" s="77">
        <f>H3243</f>
        <v>46630</v>
      </c>
      <c r="H3244" s="77">
        <f>H3243+300</f>
        <v>46930</v>
      </c>
      <c r="I3244" s="76">
        <v>0.9</v>
      </c>
    </row>
    <row r="3245" spans="3:9" x14ac:dyDescent="0.35">
      <c r="C3245" t="s">
        <v>312</v>
      </c>
      <c r="D3245" s="3">
        <v>2022</v>
      </c>
      <c r="E3245" s="78">
        <f t="shared" si="538"/>
        <v>10</v>
      </c>
      <c r="F3245" s="74" t="s">
        <v>34</v>
      </c>
      <c r="G3245" s="77">
        <f t="shared" ref="G3245:G3253" si="541">H3244</f>
        <v>46930</v>
      </c>
      <c r="H3245" s="77">
        <f t="shared" ref="H3245:H3252" si="542">H3244+300</f>
        <v>47230</v>
      </c>
      <c r="I3245" s="76">
        <v>0.8</v>
      </c>
    </row>
    <row r="3246" spans="3:9" x14ac:dyDescent="0.35">
      <c r="C3246" t="s">
        <v>312</v>
      </c>
      <c r="D3246" s="3">
        <v>2022</v>
      </c>
      <c r="E3246" s="78">
        <f t="shared" si="538"/>
        <v>10</v>
      </c>
      <c r="F3246" s="74" t="s">
        <v>34</v>
      </c>
      <c r="G3246" s="77">
        <f t="shared" si="541"/>
        <v>47230</v>
      </c>
      <c r="H3246" s="77">
        <f t="shared" si="542"/>
        <v>47530</v>
      </c>
      <c r="I3246" s="76">
        <v>0.7</v>
      </c>
    </row>
    <row r="3247" spans="3:9" x14ac:dyDescent="0.35">
      <c r="C3247" t="s">
        <v>312</v>
      </c>
      <c r="D3247" s="3">
        <v>2022</v>
      </c>
      <c r="E3247" s="78">
        <f t="shared" si="538"/>
        <v>10</v>
      </c>
      <c r="F3247" s="74" t="s">
        <v>34</v>
      </c>
      <c r="G3247" s="77">
        <f t="shared" si="541"/>
        <v>47530</v>
      </c>
      <c r="H3247" s="77">
        <f t="shared" si="542"/>
        <v>47830</v>
      </c>
      <c r="I3247" s="76">
        <v>0.6</v>
      </c>
    </row>
    <row r="3248" spans="3:9" x14ac:dyDescent="0.35">
      <c r="C3248" t="s">
        <v>312</v>
      </c>
      <c r="D3248" s="3">
        <v>2022</v>
      </c>
      <c r="E3248" s="78">
        <f t="shared" si="538"/>
        <v>10</v>
      </c>
      <c r="F3248" s="74" t="s">
        <v>34</v>
      </c>
      <c r="G3248" s="77">
        <f t="shared" si="541"/>
        <v>47830</v>
      </c>
      <c r="H3248" s="77">
        <f t="shared" si="542"/>
        <v>48130</v>
      </c>
      <c r="I3248" s="76">
        <v>0.5</v>
      </c>
    </row>
    <row r="3249" spans="3:9" x14ac:dyDescent="0.35">
      <c r="C3249" t="s">
        <v>312</v>
      </c>
      <c r="D3249" s="3">
        <v>2022</v>
      </c>
      <c r="E3249" s="78">
        <f t="shared" si="538"/>
        <v>10</v>
      </c>
      <c r="F3249" s="74" t="s">
        <v>34</v>
      </c>
      <c r="G3249" s="77">
        <f t="shared" si="541"/>
        <v>48130</v>
      </c>
      <c r="H3249" s="77">
        <f t="shared" si="542"/>
        <v>48430</v>
      </c>
      <c r="I3249" s="76">
        <v>0.4</v>
      </c>
    </row>
    <row r="3250" spans="3:9" x14ac:dyDescent="0.35">
      <c r="C3250" t="s">
        <v>312</v>
      </c>
      <c r="D3250" s="3">
        <v>2022</v>
      </c>
      <c r="E3250" s="78">
        <f t="shared" si="538"/>
        <v>10</v>
      </c>
      <c r="F3250" s="74" t="s">
        <v>34</v>
      </c>
      <c r="G3250" s="77">
        <f t="shared" si="541"/>
        <v>48430</v>
      </c>
      <c r="H3250" s="77">
        <f t="shared" si="542"/>
        <v>48730</v>
      </c>
      <c r="I3250" s="76">
        <v>0.3</v>
      </c>
    </row>
    <row r="3251" spans="3:9" x14ac:dyDescent="0.35">
      <c r="C3251" t="s">
        <v>312</v>
      </c>
      <c r="D3251" s="3">
        <v>2022</v>
      </c>
      <c r="E3251" s="78">
        <f t="shared" si="538"/>
        <v>10</v>
      </c>
      <c r="F3251" s="74" t="s">
        <v>34</v>
      </c>
      <c r="G3251" s="77">
        <f t="shared" si="541"/>
        <v>48730</v>
      </c>
      <c r="H3251" s="77">
        <f t="shared" si="542"/>
        <v>49030</v>
      </c>
      <c r="I3251" s="76">
        <v>0.2</v>
      </c>
    </row>
    <row r="3252" spans="3:9" x14ac:dyDescent="0.35">
      <c r="C3252" t="s">
        <v>312</v>
      </c>
      <c r="D3252" s="3">
        <v>2022</v>
      </c>
      <c r="E3252" s="78">
        <f t="shared" si="538"/>
        <v>10</v>
      </c>
      <c r="F3252" s="74" t="s">
        <v>34</v>
      </c>
      <c r="G3252" s="77">
        <f t="shared" si="541"/>
        <v>49030</v>
      </c>
      <c r="H3252" s="77">
        <f t="shared" si="542"/>
        <v>49330</v>
      </c>
      <c r="I3252" s="76">
        <v>0.1</v>
      </c>
    </row>
    <row r="3253" spans="3:9" x14ac:dyDescent="0.35">
      <c r="C3253" t="s">
        <v>312</v>
      </c>
      <c r="D3253" s="3">
        <v>2022</v>
      </c>
      <c r="E3253" s="78">
        <f t="shared" si="538"/>
        <v>10</v>
      </c>
      <c r="F3253" s="74" t="s">
        <v>34</v>
      </c>
      <c r="G3253" s="77">
        <f t="shared" si="541"/>
        <v>49330</v>
      </c>
      <c r="H3253" s="77"/>
      <c r="I3253" s="76">
        <v>0</v>
      </c>
    </row>
    <row r="3254" spans="3:9" x14ac:dyDescent="0.35">
      <c r="C3254" t="s">
        <v>312</v>
      </c>
      <c r="D3254" s="3">
        <v>2022</v>
      </c>
      <c r="E3254" s="78">
        <f t="shared" si="538"/>
        <v>10</v>
      </c>
      <c r="F3254" s="74" t="s">
        <v>40</v>
      </c>
      <c r="G3254" s="77">
        <v>0</v>
      </c>
      <c r="H3254" s="75">
        <f>H3243</f>
        <v>46630</v>
      </c>
      <c r="I3254" s="76">
        <v>1</v>
      </c>
    </row>
    <row r="3255" spans="3:9" x14ac:dyDescent="0.35">
      <c r="C3255" t="s">
        <v>312</v>
      </c>
      <c r="D3255" s="3">
        <v>2022</v>
      </c>
      <c r="E3255" s="78">
        <f t="shared" si="538"/>
        <v>10</v>
      </c>
      <c r="F3255" s="74" t="s">
        <v>40</v>
      </c>
      <c r="G3255" s="77">
        <f>H3254</f>
        <v>46630</v>
      </c>
      <c r="H3255" s="77">
        <f>H3254+300</f>
        <v>46930</v>
      </c>
      <c r="I3255" s="76">
        <v>0.9</v>
      </c>
    </row>
    <row r="3256" spans="3:9" x14ac:dyDescent="0.35">
      <c r="C3256" t="s">
        <v>312</v>
      </c>
      <c r="D3256" s="3">
        <v>2022</v>
      </c>
      <c r="E3256" s="78">
        <f t="shared" si="538"/>
        <v>10</v>
      </c>
      <c r="F3256" s="74" t="s">
        <v>40</v>
      </c>
      <c r="G3256" s="77">
        <f t="shared" ref="G3256:G3264" si="543">H3255</f>
        <v>46930</v>
      </c>
      <c r="H3256" s="77">
        <f t="shared" ref="H3256:H3263" si="544">H3255+300</f>
        <v>47230</v>
      </c>
      <c r="I3256" s="76">
        <v>0.8</v>
      </c>
    </row>
    <row r="3257" spans="3:9" x14ac:dyDescent="0.35">
      <c r="C3257" t="s">
        <v>312</v>
      </c>
      <c r="D3257" s="3">
        <v>2022</v>
      </c>
      <c r="E3257" s="78">
        <f t="shared" si="538"/>
        <v>10</v>
      </c>
      <c r="F3257" s="74" t="s">
        <v>40</v>
      </c>
      <c r="G3257" s="77">
        <f t="shared" si="543"/>
        <v>47230</v>
      </c>
      <c r="H3257" s="77">
        <f t="shared" si="544"/>
        <v>47530</v>
      </c>
      <c r="I3257" s="76">
        <v>0.7</v>
      </c>
    </row>
    <row r="3258" spans="3:9" x14ac:dyDescent="0.35">
      <c r="C3258" t="s">
        <v>312</v>
      </c>
      <c r="D3258" s="3">
        <v>2022</v>
      </c>
      <c r="E3258" s="78">
        <f t="shared" si="538"/>
        <v>10</v>
      </c>
      <c r="F3258" s="74" t="s">
        <v>40</v>
      </c>
      <c r="G3258" s="77">
        <f t="shared" si="543"/>
        <v>47530</v>
      </c>
      <c r="H3258" s="77">
        <f t="shared" si="544"/>
        <v>47830</v>
      </c>
      <c r="I3258" s="76">
        <v>0.6</v>
      </c>
    </row>
    <row r="3259" spans="3:9" x14ac:dyDescent="0.35">
      <c r="C3259" t="s">
        <v>312</v>
      </c>
      <c r="D3259" s="3">
        <v>2022</v>
      </c>
      <c r="E3259" s="78">
        <f t="shared" si="538"/>
        <v>10</v>
      </c>
      <c r="F3259" s="74" t="s">
        <v>40</v>
      </c>
      <c r="G3259" s="77">
        <f t="shared" si="543"/>
        <v>47830</v>
      </c>
      <c r="H3259" s="77">
        <f t="shared" si="544"/>
        <v>48130</v>
      </c>
      <c r="I3259" s="76">
        <v>0.5</v>
      </c>
    </row>
    <row r="3260" spans="3:9" x14ac:dyDescent="0.35">
      <c r="C3260" t="s">
        <v>312</v>
      </c>
      <c r="D3260" s="3">
        <v>2022</v>
      </c>
      <c r="E3260" s="78">
        <f t="shared" si="538"/>
        <v>10</v>
      </c>
      <c r="F3260" s="74" t="s">
        <v>40</v>
      </c>
      <c r="G3260" s="77">
        <f t="shared" si="543"/>
        <v>48130</v>
      </c>
      <c r="H3260" s="77">
        <f t="shared" si="544"/>
        <v>48430</v>
      </c>
      <c r="I3260" s="76">
        <v>0.4</v>
      </c>
    </row>
    <row r="3261" spans="3:9" x14ac:dyDescent="0.35">
      <c r="C3261" t="s">
        <v>312</v>
      </c>
      <c r="D3261" s="3">
        <v>2022</v>
      </c>
      <c r="E3261" s="78">
        <f t="shared" si="538"/>
        <v>10</v>
      </c>
      <c r="F3261" s="74" t="s">
        <v>40</v>
      </c>
      <c r="G3261" s="77">
        <f t="shared" si="543"/>
        <v>48430</v>
      </c>
      <c r="H3261" s="77">
        <f t="shared" si="544"/>
        <v>48730</v>
      </c>
      <c r="I3261" s="76">
        <v>0.3</v>
      </c>
    </row>
    <row r="3262" spans="3:9" x14ac:dyDescent="0.35">
      <c r="C3262" t="s">
        <v>312</v>
      </c>
      <c r="D3262" s="3">
        <v>2022</v>
      </c>
      <c r="E3262" s="78">
        <f t="shared" si="538"/>
        <v>10</v>
      </c>
      <c r="F3262" s="74" t="s">
        <v>40</v>
      </c>
      <c r="G3262" s="77">
        <f t="shared" si="543"/>
        <v>48730</v>
      </c>
      <c r="H3262" s="77">
        <f t="shared" si="544"/>
        <v>49030</v>
      </c>
      <c r="I3262" s="76">
        <v>0.2</v>
      </c>
    </row>
    <row r="3263" spans="3:9" x14ac:dyDescent="0.35">
      <c r="C3263" t="s">
        <v>312</v>
      </c>
      <c r="D3263" s="3">
        <v>2022</v>
      </c>
      <c r="E3263" s="78">
        <f t="shared" si="538"/>
        <v>10</v>
      </c>
      <c r="F3263" s="74" t="s">
        <v>40</v>
      </c>
      <c r="G3263" s="77">
        <f t="shared" si="543"/>
        <v>49030</v>
      </c>
      <c r="H3263" s="77">
        <f t="shared" si="544"/>
        <v>49330</v>
      </c>
      <c r="I3263" s="76">
        <v>0.1</v>
      </c>
    </row>
    <row r="3264" spans="3:9" x14ac:dyDescent="0.35">
      <c r="C3264" t="s">
        <v>312</v>
      </c>
      <c r="D3264" s="3">
        <v>2022</v>
      </c>
      <c r="E3264" s="78">
        <f t="shared" si="538"/>
        <v>10</v>
      </c>
      <c r="F3264" s="74" t="s">
        <v>40</v>
      </c>
      <c r="G3264" s="77">
        <f t="shared" si="543"/>
        <v>49330</v>
      </c>
      <c r="H3264" s="77"/>
      <c r="I3264" s="76">
        <v>0</v>
      </c>
    </row>
    <row r="3265" spans="3:9" x14ac:dyDescent="0.35">
      <c r="C3265" t="s">
        <v>312</v>
      </c>
      <c r="D3265" s="3">
        <v>2022</v>
      </c>
      <c r="E3265" s="78">
        <f t="shared" si="538"/>
        <v>10</v>
      </c>
      <c r="F3265" s="74" t="s">
        <v>313</v>
      </c>
      <c r="G3265" s="77">
        <v>0</v>
      </c>
      <c r="H3265" s="75">
        <f>H3254</f>
        <v>46630</v>
      </c>
      <c r="I3265" s="76">
        <v>1</v>
      </c>
    </row>
    <row r="3266" spans="3:9" x14ac:dyDescent="0.35">
      <c r="C3266" t="s">
        <v>312</v>
      </c>
      <c r="D3266" s="3">
        <v>2022</v>
      </c>
      <c r="E3266" s="78">
        <f t="shared" si="538"/>
        <v>10</v>
      </c>
      <c r="F3266" s="74" t="s">
        <v>313</v>
      </c>
      <c r="G3266" s="77">
        <f>H3265</f>
        <v>46630</v>
      </c>
      <c r="H3266" s="77">
        <f>H3265+300</f>
        <v>46930</v>
      </c>
      <c r="I3266" s="76">
        <v>0.9</v>
      </c>
    </row>
    <row r="3267" spans="3:9" x14ac:dyDescent="0.35">
      <c r="C3267" t="s">
        <v>312</v>
      </c>
      <c r="D3267" s="3">
        <v>2022</v>
      </c>
      <c r="E3267" s="78">
        <f t="shared" si="538"/>
        <v>10</v>
      </c>
      <c r="F3267" s="74" t="s">
        <v>313</v>
      </c>
      <c r="G3267" s="77">
        <f t="shared" ref="G3267:G3275" si="545">H3266</f>
        <v>46930</v>
      </c>
      <c r="H3267" s="77">
        <f t="shared" ref="H3267:H3274" si="546">H3266+300</f>
        <v>47230</v>
      </c>
      <c r="I3267" s="76">
        <v>0.8</v>
      </c>
    </row>
    <row r="3268" spans="3:9" x14ac:dyDescent="0.35">
      <c r="C3268" t="s">
        <v>312</v>
      </c>
      <c r="D3268" s="3">
        <v>2022</v>
      </c>
      <c r="E3268" s="78">
        <f t="shared" si="538"/>
        <v>10</v>
      </c>
      <c r="F3268" s="74" t="s">
        <v>313</v>
      </c>
      <c r="G3268" s="77">
        <f t="shared" si="545"/>
        <v>47230</v>
      </c>
      <c r="H3268" s="77">
        <f t="shared" si="546"/>
        <v>47530</v>
      </c>
      <c r="I3268" s="76">
        <v>0.7</v>
      </c>
    </row>
    <row r="3269" spans="3:9" x14ac:dyDescent="0.35">
      <c r="C3269" t="s">
        <v>312</v>
      </c>
      <c r="D3269" s="3">
        <v>2022</v>
      </c>
      <c r="E3269" s="78">
        <f t="shared" si="538"/>
        <v>10</v>
      </c>
      <c r="F3269" s="74" t="s">
        <v>313</v>
      </c>
      <c r="G3269" s="77">
        <f t="shared" si="545"/>
        <v>47530</v>
      </c>
      <c r="H3269" s="77">
        <f t="shared" si="546"/>
        <v>47830</v>
      </c>
      <c r="I3269" s="76">
        <v>0.6</v>
      </c>
    </row>
    <row r="3270" spans="3:9" x14ac:dyDescent="0.35">
      <c r="C3270" t="s">
        <v>312</v>
      </c>
      <c r="D3270" s="3">
        <v>2022</v>
      </c>
      <c r="E3270" s="78">
        <f t="shared" si="538"/>
        <v>10</v>
      </c>
      <c r="F3270" s="74" t="s">
        <v>313</v>
      </c>
      <c r="G3270" s="77">
        <f t="shared" si="545"/>
        <v>47830</v>
      </c>
      <c r="H3270" s="77">
        <f t="shared" si="546"/>
        <v>48130</v>
      </c>
      <c r="I3270" s="76">
        <v>0.5</v>
      </c>
    </row>
    <row r="3271" spans="3:9" x14ac:dyDescent="0.35">
      <c r="C3271" t="s">
        <v>312</v>
      </c>
      <c r="D3271" s="3">
        <v>2022</v>
      </c>
      <c r="E3271" s="78">
        <f t="shared" si="538"/>
        <v>10</v>
      </c>
      <c r="F3271" s="74" t="s">
        <v>313</v>
      </c>
      <c r="G3271" s="77">
        <f t="shared" si="545"/>
        <v>48130</v>
      </c>
      <c r="H3271" s="77">
        <f t="shared" si="546"/>
        <v>48430</v>
      </c>
      <c r="I3271" s="76">
        <v>0.4</v>
      </c>
    </row>
    <row r="3272" spans="3:9" x14ac:dyDescent="0.35">
      <c r="C3272" t="s">
        <v>312</v>
      </c>
      <c r="D3272" s="3">
        <v>2022</v>
      </c>
      <c r="E3272" s="78">
        <f t="shared" si="538"/>
        <v>10</v>
      </c>
      <c r="F3272" s="74" t="s">
        <v>313</v>
      </c>
      <c r="G3272" s="77">
        <f t="shared" si="545"/>
        <v>48430</v>
      </c>
      <c r="H3272" s="77">
        <f t="shared" si="546"/>
        <v>48730</v>
      </c>
      <c r="I3272" s="76">
        <v>0.3</v>
      </c>
    </row>
    <row r="3273" spans="3:9" x14ac:dyDescent="0.35">
      <c r="C3273" t="s">
        <v>312</v>
      </c>
      <c r="D3273" s="3">
        <v>2022</v>
      </c>
      <c r="E3273" s="78">
        <f t="shared" si="538"/>
        <v>10</v>
      </c>
      <c r="F3273" s="74" t="s">
        <v>313</v>
      </c>
      <c r="G3273" s="77">
        <f t="shared" si="545"/>
        <v>48730</v>
      </c>
      <c r="H3273" s="77">
        <f t="shared" si="546"/>
        <v>49030</v>
      </c>
      <c r="I3273" s="76">
        <v>0.2</v>
      </c>
    </row>
    <row r="3274" spans="3:9" x14ac:dyDescent="0.35">
      <c r="C3274" t="s">
        <v>312</v>
      </c>
      <c r="D3274" s="3">
        <v>2022</v>
      </c>
      <c r="E3274" s="78">
        <f t="shared" si="538"/>
        <v>10</v>
      </c>
      <c r="F3274" s="74" t="s">
        <v>313</v>
      </c>
      <c r="G3274" s="77">
        <f t="shared" si="545"/>
        <v>49030</v>
      </c>
      <c r="H3274" s="77">
        <f t="shared" si="546"/>
        <v>49330</v>
      </c>
      <c r="I3274" s="76">
        <v>0.1</v>
      </c>
    </row>
    <row r="3275" spans="3:9" x14ac:dyDescent="0.35">
      <c r="C3275" t="s">
        <v>312</v>
      </c>
      <c r="D3275" s="3">
        <v>2022</v>
      </c>
      <c r="E3275" s="78">
        <f t="shared" si="538"/>
        <v>10</v>
      </c>
      <c r="F3275" s="74" t="s">
        <v>313</v>
      </c>
      <c r="G3275" s="77">
        <f t="shared" si="545"/>
        <v>49330</v>
      </c>
      <c r="H3275" s="77"/>
      <c r="I3275" s="76">
        <v>0</v>
      </c>
    </row>
    <row r="3276" spans="3:9" x14ac:dyDescent="0.35">
      <c r="C3276" t="s">
        <v>312</v>
      </c>
      <c r="D3276" s="3">
        <v>2022</v>
      </c>
      <c r="E3276" s="73">
        <v>1</v>
      </c>
      <c r="F3276" s="74" t="s">
        <v>36</v>
      </c>
      <c r="G3276" s="75">
        <v>0</v>
      </c>
      <c r="H3276" s="75">
        <v>6795</v>
      </c>
      <c r="I3276" s="76">
        <v>1</v>
      </c>
    </row>
    <row r="3277" spans="3:9" x14ac:dyDescent="0.35">
      <c r="C3277" t="s">
        <v>312</v>
      </c>
      <c r="D3277" s="3">
        <v>2022</v>
      </c>
      <c r="E3277" s="73">
        <v>1</v>
      </c>
      <c r="F3277" s="74" t="s">
        <v>36</v>
      </c>
      <c r="G3277" s="77">
        <f>H3276</f>
        <v>6795</v>
      </c>
      <c r="H3277" s="77">
        <f>H3276+150</f>
        <v>6945</v>
      </c>
      <c r="I3277" s="76">
        <v>0.9</v>
      </c>
    </row>
    <row r="3278" spans="3:9" x14ac:dyDescent="0.35">
      <c r="C3278" t="s">
        <v>312</v>
      </c>
      <c r="D3278" s="3">
        <v>2022</v>
      </c>
      <c r="E3278" s="73">
        <v>1</v>
      </c>
      <c r="F3278" s="74" t="s">
        <v>36</v>
      </c>
      <c r="G3278" s="77">
        <f t="shared" ref="G3278:G3286" si="547">H3277</f>
        <v>6945</v>
      </c>
      <c r="H3278" s="77">
        <f t="shared" ref="H3278:H3284" si="548">H3277+150</f>
        <v>7095</v>
      </c>
      <c r="I3278" s="76">
        <v>0.8</v>
      </c>
    </row>
    <row r="3279" spans="3:9" x14ac:dyDescent="0.35">
      <c r="C3279" t="s">
        <v>312</v>
      </c>
      <c r="D3279" s="3">
        <v>2022</v>
      </c>
      <c r="E3279" s="73">
        <v>1</v>
      </c>
      <c r="F3279" s="74" t="s">
        <v>36</v>
      </c>
      <c r="G3279" s="77">
        <f t="shared" si="547"/>
        <v>7095</v>
      </c>
      <c r="H3279" s="77">
        <f t="shared" si="548"/>
        <v>7245</v>
      </c>
      <c r="I3279" s="76">
        <v>0.7</v>
      </c>
    </row>
    <row r="3280" spans="3:9" x14ac:dyDescent="0.35">
      <c r="C3280" t="s">
        <v>312</v>
      </c>
      <c r="D3280" s="3">
        <v>2022</v>
      </c>
      <c r="E3280" s="73">
        <v>1</v>
      </c>
      <c r="F3280" s="74" t="s">
        <v>36</v>
      </c>
      <c r="G3280" s="77">
        <f t="shared" si="547"/>
        <v>7245</v>
      </c>
      <c r="H3280" s="77">
        <f t="shared" si="548"/>
        <v>7395</v>
      </c>
      <c r="I3280" s="76">
        <v>0.6</v>
      </c>
    </row>
    <row r="3281" spans="3:9" x14ac:dyDescent="0.35">
      <c r="C3281" t="s">
        <v>312</v>
      </c>
      <c r="D3281" s="3">
        <v>2022</v>
      </c>
      <c r="E3281" s="73">
        <v>1</v>
      </c>
      <c r="F3281" s="74" t="s">
        <v>36</v>
      </c>
      <c r="G3281" s="77">
        <f t="shared" si="547"/>
        <v>7395</v>
      </c>
      <c r="H3281" s="77">
        <f t="shared" si="548"/>
        <v>7545</v>
      </c>
      <c r="I3281" s="76">
        <v>0.5</v>
      </c>
    </row>
    <row r="3282" spans="3:9" x14ac:dyDescent="0.35">
      <c r="C3282" t="s">
        <v>312</v>
      </c>
      <c r="D3282" s="3">
        <v>2022</v>
      </c>
      <c r="E3282" s="73">
        <v>1</v>
      </c>
      <c r="F3282" s="74" t="s">
        <v>36</v>
      </c>
      <c r="G3282" s="77">
        <f t="shared" si="547"/>
        <v>7545</v>
      </c>
      <c r="H3282" s="77">
        <f t="shared" si="548"/>
        <v>7695</v>
      </c>
      <c r="I3282" s="76">
        <v>0.4</v>
      </c>
    </row>
    <row r="3283" spans="3:9" x14ac:dyDescent="0.35">
      <c r="C3283" t="s">
        <v>312</v>
      </c>
      <c r="D3283" s="3">
        <v>2022</v>
      </c>
      <c r="E3283" s="73">
        <v>1</v>
      </c>
      <c r="F3283" s="74" t="s">
        <v>36</v>
      </c>
      <c r="G3283" s="77">
        <f t="shared" si="547"/>
        <v>7695</v>
      </c>
      <c r="H3283" s="77">
        <f t="shared" si="548"/>
        <v>7845</v>
      </c>
      <c r="I3283" s="76">
        <v>0.3</v>
      </c>
    </row>
    <row r="3284" spans="3:9" x14ac:dyDescent="0.35">
      <c r="C3284" t="s">
        <v>312</v>
      </c>
      <c r="D3284" s="3">
        <v>2022</v>
      </c>
      <c r="E3284" s="73">
        <v>1</v>
      </c>
      <c r="F3284" s="74" t="s">
        <v>36</v>
      </c>
      <c r="G3284" s="77">
        <f t="shared" si="547"/>
        <v>7845</v>
      </c>
      <c r="H3284" s="77">
        <f t="shared" si="548"/>
        <v>7995</v>
      </c>
      <c r="I3284" s="76">
        <v>0.2</v>
      </c>
    </row>
    <row r="3285" spans="3:9" x14ac:dyDescent="0.35">
      <c r="C3285" t="s">
        <v>312</v>
      </c>
      <c r="D3285" s="3">
        <v>2022</v>
      </c>
      <c r="E3285" s="73">
        <v>1</v>
      </c>
      <c r="F3285" s="74" t="s">
        <v>36</v>
      </c>
      <c r="G3285" s="77">
        <f t="shared" si="547"/>
        <v>7995</v>
      </c>
      <c r="H3285" s="77">
        <f>H3284+150</f>
        <v>8145</v>
      </c>
      <c r="I3285" s="76">
        <v>0.1</v>
      </c>
    </row>
    <row r="3286" spans="3:9" x14ac:dyDescent="0.35">
      <c r="C3286" t="s">
        <v>312</v>
      </c>
      <c r="D3286" s="3">
        <v>2022</v>
      </c>
      <c r="E3286" s="73">
        <v>1</v>
      </c>
      <c r="F3286" s="74" t="s">
        <v>36</v>
      </c>
      <c r="G3286" s="77">
        <f t="shared" si="547"/>
        <v>8145</v>
      </c>
      <c r="H3286" s="77"/>
      <c r="I3286" s="76">
        <v>0</v>
      </c>
    </row>
    <row r="3287" spans="3:9" x14ac:dyDescent="0.35">
      <c r="C3287" t="s">
        <v>312</v>
      </c>
      <c r="D3287" s="3">
        <v>2022</v>
      </c>
      <c r="E3287" s="73">
        <v>2</v>
      </c>
      <c r="F3287" s="74" t="s">
        <v>36</v>
      </c>
      <c r="G3287" s="77">
        <v>0</v>
      </c>
      <c r="H3287" s="77">
        <v>9155</v>
      </c>
      <c r="I3287" s="76">
        <v>1</v>
      </c>
    </row>
    <row r="3288" spans="3:9" x14ac:dyDescent="0.35">
      <c r="C3288" t="s">
        <v>312</v>
      </c>
      <c r="D3288" s="3">
        <v>2022</v>
      </c>
      <c r="E3288" s="78">
        <f>E3287</f>
        <v>2</v>
      </c>
      <c r="F3288" s="74" t="s">
        <v>36</v>
      </c>
      <c r="G3288" s="77">
        <f>H3287</f>
        <v>9155</v>
      </c>
      <c r="H3288" s="77">
        <f>H3287+150</f>
        <v>9305</v>
      </c>
      <c r="I3288" s="76">
        <v>0.9</v>
      </c>
    </row>
    <row r="3289" spans="3:9" x14ac:dyDescent="0.35">
      <c r="C3289" t="s">
        <v>312</v>
      </c>
      <c r="D3289" s="3">
        <v>2022</v>
      </c>
      <c r="E3289" s="78">
        <f t="shared" ref="E3289:E3297" si="549">E3288</f>
        <v>2</v>
      </c>
      <c r="F3289" s="74" t="s">
        <v>36</v>
      </c>
      <c r="G3289" s="77">
        <f t="shared" ref="G3289:G3297" si="550">H3288</f>
        <v>9305</v>
      </c>
      <c r="H3289" s="77">
        <f t="shared" ref="H3289:H3295" si="551">H3288+150</f>
        <v>9455</v>
      </c>
      <c r="I3289" s="76">
        <v>0.8</v>
      </c>
    </row>
    <row r="3290" spans="3:9" x14ac:dyDescent="0.35">
      <c r="C3290" t="s">
        <v>312</v>
      </c>
      <c r="D3290" s="3">
        <v>2022</v>
      </c>
      <c r="E3290" s="78">
        <f t="shared" si="549"/>
        <v>2</v>
      </c>
      <c r="F3290" s="74" t="s">
        <v>36</v>
      </c>
      <c r="G3290" s="77">
        <f t="shared" si="550"/>
        <v>9455</v>
      </c>
      <c r="H3290" s="77">
        <f t="shared" si="551"/>
        <v>9605</v>
      </c>
      <c r="I3290" s="76">
        <v>0.7</v>
      </c>
    </row>
    <row r="3291" spans="3:9" x14ac:dyDescent="0.35">
      <c r="C3291" t="s">
        <v>312</v>
      </c>
      <c r="D3291" s="3">
        <v>2022</v>
      </c>
      <c r="E3291" s="78">
        <f t="shared" si="549"/>
        <v>2</v>
      </c>
      <c r="F3291" s="74" t="s">
        <v>36</v>
      </c>
      <c r="G3291" s="77">
        <f t="shared" si="550"/>
        <v>9605</v>
      </c>
      <c r="H3291" s="77">
        <f t="shared" si="551"/>
        <v>9755</v>
      </c>
      <c r="I3291" s="76">
        <v>0.6</v>
      </c>
    </row>
    <row r="3292" spans="3:9" x14ac:dyDescent="0.35">
      <c r="C3292" t="s">
        <v>312</v>
      </c>
      <c r="D3292" s="3">
        <v>2022</v>
      </c>
      <c r="E3292" s="78">
        <f t="shared" si="549"/>
        <v>2</v>
      </c>
      <c r="F3292" s="74" t="s">
        <v>36</v>
      </c>
      <c r="G3292" s="77">
        <f t="shared" si="550"/>
        <v>9755</v>
      </c>
      <c r="H3292" s="77">
        <f t="shared" si="551"/>
        <v>9905</v>
      </c>
      <c r="I3292" s="76">
        <v>0.5</v>
      </c>
    </row>
    <row r="3293" spans="3:9" x14ac:dyDescent="0.35">
      <c r="C3293" t="s">
        <v>312</v>
      </c>
      <c r="D3293" s="3">
        <v>2022</v>
      </c>
      <c r="E3293" s="78">
        <f t="shared" si="549"/>
        <v>2</v>
      </c>
      <c r="F3293" s="74" t="s">
        <v>36</v>
      </c>
      <c r="G3293" s="77">
        <f t="shared" si="550"/>
        <v>9905</v>
      </c>
      <c r="H3293" s="77">
        <f t="shared" si="551"/>
        <v>10055</v>
      </c>
      <c r="I3293" s="76">
        <v>0.4</v>
      </c>
    </row>
    <row r="3294" spans="3:9" x14ac:dyDescent="0.35">
      <c r="C3294" t="s">
        <v>312</v>
      </c>
      <c r="D3294" s="3">
        <v>2022</v>
      </c>
      <c r="E3294" s="78">
        <f t="shared" si="549"/>
        <v>2</v>
      </c>
      <c r="F3294" s="74" t="s">
        <v>36</v>
      </c>
      <c r="G3294" s="77">
        <f t="shared" si="550"/>
        <v>10055</v>
      </c>
      <c r="H3294" s="77">
        <f t="shared" si="551"/>
        <v>10205</v>
      </c>
      <c r="I3294" s="76">
        <v>0.3</v>
      </c>
    </row>
    <row r="3295" spans="3:9" x14ac:dyDescent="0.35">
      <c r="C3295" t="s">
        <v>312</v>
      </c>
      <c r="D3295" s="3">
        <v>2022</v>
      </c>
      <c r="E3295" s="78">
        <f t="shared" si="549"/>
        <v>2</v>
      </c>
      <c r="F3295" s="74" t="s">
        <v>36</v>
      </c>
      <c r="G3295" s="77">
        <f t="shared" si="550"/>
        <v>10205</v>
      </c>
      <c r="H3295" s="77">
        <f t="shared" si="551"/>
        <v>10355</v>
      </c>
      <c r="I3295" s="76">
        <v>0.2</v>
      </c>
    </row>
    <row r="3296" spans="3:9" x14ac:dyDescent="0.35">
      <c r="C3296" t="s">
        <v>312</v>
      </c>
      <c r="D3296" s="3">
        <v>2022</v>
      </c>
      <c r="E3296" s="78">
        <f t="shared" si="549"/>
        <v>2</v>
      </c>
      <c r="F3296" s="74" t="s">
        <v>36</v>
      </c>
      <c r="G3296" s="77">
        <f t="shared" si="550"/>
        <v>10355</v>
      </c>
      <c r="H3296" s="77">
        <f>H3295+150</f>
        <v>10505</v>
      </c>
      <c r="I3296" s="76">
        <v>0.1</v>
      </c>
    </row>
    <row r="3297" spans="3:9" x14ac:dyDescent="0.35">
      <c r="C3297" t="s">
        <v>312</v>
      </c>
      <c r="D3297" s="3">
        <v>2022</v>
      </c>
      <c r="E3297" s="78">
        <f t="shared" si="549"/>
        <v>2</v>
      </c>
      <c r="F3297" s="74" t="s">
        <v>36</v>
      </c>
      <c r="G3297" s="77">
        <f t="shared" si="550"/>
        <v>10505</v>
      </c>
      <c r="H3297" s="77"/>
      <c r="I3297" s="76">
        <v>0</v>
      </c>
    </row>
    <row r="3298" spans="3:9" x14ac:dyDescent="0.35">
      <c r="C3298" t="s">
        <v>312</v>
      </c>
      <c r="D3298" s="3">
        <v>2022</v>
      </c>
      <c r="E3298" s="73">
        <v>3</v>
      </c>
      <c r="F3298" s="74" t="s">
        <v>36</v>
      </c>
      <c r="G3298" s="77">
        <v>0</v>
      </c>
      <c r="H3298" s="77">
        <v>11515</v>
      </c>
      <c r="I3298" s="76">
        <v>1</v>
      </c>
    </row>
    <row r="3299" spans="3:9" x14ac:dyDescent="0.35">
      <c r="C3299" t="s">
        <v>312</v>
      </c>
      <c r="D3299" s="3">
        <v>2022</v>
      </c>
      <c r="E3299" s="78">
        <f>E3298</f>
        <v>3</v>
      </c>
      <c r="F3299" s="74" t="s">
        <v>36</v>
      </c>
      <c r="G3299" s="77">
        <f>H3298</f>
        <v>11515</v>
      </c>
      <c r="H3299" s="77">
        <f>H3298+150</f>
        <v>11665</v>
      </c>
      <c r="I3299" s="76">
        <v>0.9</v>
      </c>
    </row>
    <row r="3300" spans="3:9" x14ac:dyDescent="0.35">
      <c r="C3300" t="s">
        <v>312</v>
      </c>
      <c r="D3300" s="3">
        <v>2022</v>
      </c>
      <c r="E3300" s="78">
        <f t="shared" ref="E3300:E3308" si="552">E3299</f>
        <v>3</v>
      </c>
      <c r="F3300" s="74" t="s">
        <v>36</v>
      </c>
      <c r="G3300" s="77">
        <f t="shared" ref="G3300:G3308" si="553">H3299</f>
        <v>11665</v>
      </c>
      <c r="H3300" s="77">
        <f t="shared" ref="H3300:H3306" si="554">H3299+150</f>
        <v>11815</v>
      </c>
      <c r="I3300" s="76">
        <v>0.8</v>
      </c>
    </row>
    <row r="3301" spans="3:9" x14ac:dyDescent="0.35">
      <c r="C3301" t="s">
        <v>312</v>
      </c>
      <c r="D3301" s="3">
        <v>2022</v>
      </c>
      <c r="E3301" s="78">
        <f t="shared" si="552"/>
        <v>3</v>
      </c>
      <c r="F3301" s="74" t="s">
        <v>36</v>
      </c>
      <c r="G3301" s="77">
        <f t="shared" si="553"/>
        <v>11815</v>
      </c>
      <c r="H3301" s="77">
        <f t="shared" si="554"/>
        <v>11965</v>
      </c>
      <c r="I3301" s="76">
        <v>0.7</v>
      </c>
    </row>
    <row r="3302" spans="3:9" x14ac:dyDescent="0.35">
      <c r="C3302" t="s">
        <v>312</v>
      </c>
      <c r="D3302" s="3">
        <v>2022</v>
      </c>
      <c r="E3302" s="78">
        <f t="shared" si="552"/>
        <v>3</v>
      </c>
      <c r="F3302" s="74" t="s">
        <v>36</v>
      </c>
      <c r="G3302" s="77">
        <f t="shared" si="553"/>
        <v>11965</v>
      </c>
      <c r="H3302" s="77">
        <f t="shared" si="554"/>
        <v>12115</v>
      </c>
      <c r="I3302" s="76">
        <v>0.6</v>
      </c>
    </row>
    <row r="3303" spans="3:9" x14ac:dyDescent="0.35">
      <c r="C3303" t="s">
        <v>312</v>
      </c>
      <c r="D3303" s="3">
        <v>2022</v>
      </c>
      <c r="E3303" s="78">
        <f t="shared" si="552"/>
        <v>3</v>
      </c>
      <c r="F3303" s="74" t="s">
        <v>36</v>
      </c>
      <c r="G3303" s="77">
        <f t="shared" si="553"/>
        <v>12115</v>
      </c>
      <c r="H3303" s="77">
        <f t="shared" si="554"/>
        <v>12265</v>
      </c>
      <c r="I3303" s="76">
        <v>0.5</v>
      </c>
    </row>
    <row r="3304" spans="3:9" x14ac:dyDescent="0.35">
      <c r="C3304" t="s">
        <v>312</v>
      </c>
      <c r="D3304" s="3">
        <v>2022</v>
      </c>
      <c r="E3304" s="78">
        <f t="shared" si="552"/>
        <v>3</v>
      </c>
      <c r="F3304" s="74" t="s">
        <v>36</v>
      </c>
      <c r="G3304" s="77">
        <f t="shared" si="553"/>
        <v>12265</v>
      </c>
      <c r="H3304" s="77">
        <f t="shared" si="554"/>
        <v>12415</v>
      </c>
      <c r="I3304" s="76">
        <v>0.4</v>
      </c>
    </row>
    <row r="3305" spans="3:9" x14ac:dyDescent="0.35">
      <c r="C3305" t="s">
        <v>312</v>
      </c>
      <c r="D3305" s="3">
        <v>2022</v>
      </c>
      <c r="E3305" s="78">
        <f t="shared" si="552"/>
        <v>3</v>
      </c>
      <c r="F3305" s="74" t="s">
        <v>36</v>
      </c>
      <c r="G3305" s="77">
        <f t="shared" si="553"/>
        <v>12415</v>
      </c>
      <c r="H3305" s="77">
        <f t="shared" si="554"/>
        <v>12565</v>
      </c>
      <c r="I3305" s="76">
        <v>0.3</v>
      </c>
    </row>
    <row r="3306" spans="3:9" x14ac:dyDescent="0.35">
      <c r="C3306" t="s">
        <v>312</v>
      </c>
      <c r="D3306" s="3">
        <v>2022</v>
      </c>
      <c r="E3306" s="78">
        <f t="shared" si="552"/>
        <v>3</v>
      </c>
      <c r="F3306" s="74" t="s">
        <v>36</v>
      </c>
      <c r="G3306" s="77">
        <f t="shared" si="553"/>
        <v>12565</v>
      </c>
      <c r="H3306" s="77">
        <f t="shared" si="554"/>
        <v>12715</v>
      </c>
      <c r="I3306" s="76">
        <v>0.2</v>
      </c>
    </row>
    <row r="3307" spans="3:9" x14ac:dyDescent="0.35">
      <c r="C3307" t="s">
        <v>312</v>
      </c>
      <c r="D3307" s="3">
        <v>2022</v>
      </c>
      <c r="E3307" s="78">
        <f t="shared" si="552"/>
        <v>3</v>
      </c>
      <c r="F3307" s="74" t="s">
        <v>36</v>
      </c>
      <c r="G3307" s="77">
        <f t="shared" si="553"/>
        <v>12715</v>
      </c>
      <c r="H3307" s="77">
        <f>H3306+150</f>
        <v>12865</v>
      </c>
      <c r="I3307" s="76">
        <v>0.1</v>
      </c>
    </row>
    <row r="3308" spans="3:9" x14ac:dyDescent="0.35">
      <c r="C3308" t="s">
        <v>312</v>
      </c>
      <c r="D3308" s="3">
        <v>2022</v>
      </c>
      <c r="E3308" s="78">
        <f t="shared" si="552"/>
        <v>3</v>
      </c>
      <c r="F3308" s="74" t="s">
        <v>36</v>
      </c>
      <c r="G3308" s="77">
        <f t="shared" si="553"/>
        <v>12865</v>
      </c>
      <c r="H3308" s="77"/>
      <c r="I3308" s="76">
        <v>0</v>
      </c>
    </row>
    <row r="3309" spans="3:9" x14ac:dyDescent="0.35">
      <c r="C3309" t="s">
        <v>312</v>
      </c>
      <c r="D3309" s="3">
        <v>2022</v>
      </c>
      <c r="E3309" s="73">
        <v>4</v>
      </c>
      <c r="F3309" s="74" t="s">
        <v>36</v>
      </c>
      <c r="G3309" s="77">
        <v>0</v>
      </c>
      <c r="H3309" s="77">
        <v>13875</v>
      </c>
      <c r="I3309" s="76">
        <v>1</v>
      </c>
    </row>
    <row r="3310" spans="3:9" x14ac:dyDescent="0.35">
      <c r="C3310" t="s">
        <v>312</v>
      </c>
      <c r="D3310" s="3">
        <v>2022</v>
      </c>
      <c r="E3310" s="78">
        <f>E3309</f>
        <v>4</v>
      </c>
      <c r="F3310" s="74" t="s">
        <v>36</v>
      </c>
      <c r="G3310" s="77">
        <f>H3309</f>
        <v>13875</v>
      </c>
      <c r="H3310" s="77">
        <f>H3309+150</f>
        <v>14025</v>
      </c>
      <c r="I3310" s="76">
        <v>0.9</v>
      </c>
    </row>
    <row r="3311" spans="3:9" x14ac:dyDescent="0.35">
      <c r="C3311" t="s">
        <v>312</v>
      </c>
      <c r="D3311" s="3">
        <v>2022</v>
      </c>
      <c r="E3311" s="78">
        <f t="shared" ref="E3311:E3319" si="555">E3310</f>
        <v>4</v>
      </c>
      <c r="F3311" s="74" t="s">
        <v>36</v>
      </c>
      <c r="G3311" s="77">
        <f t="shared" ref="G3311:G3319" si="556">H3310</f>
        <v>14025</v>
      </c>
      <c r="H3311" s="77">
        <f t="shared" ref="H3311:H3317" si="557">H3310+150</f>
        <v>14175</v>
      </c>
      <c r="I3311" s="76">
        <v>0.8</v>
      </c>
    </row>
    <row r="3312" spans="3:9" x14ac:dyDescent="0.35">
      <c r="C3312" t="s">
        <v>312</v>
      </c>
      <c r="D3312" s="3">
        <v>2022</v>
      </c>
      <c r="E3312" s="78">
        <f t="shared" si="555"/>
        <v>4</v>
      </c>
      <c r="F3312" s="74" t="s">
        <v>36</v>
      </c>
      <c r="G3312" s="77">
        <f t="shared" si="556"/>
        <v>14175</v>
      </c>
      <c r="H3312" s="77">
        <f t="shared" si="557"/>
        <v>14325</v>
      </c>
      <c r="I3312" s="76">
        <v>0.7</v>
      </c>
    </row>
    <row r="3313" spans="3:9" x14ac:dyDescent="0.35">
      <c r="C3313" t="s">
        <v>312</v>
      </c>
      <c r="D3313" s="3">
        <v>2022</v>
      </c>
      <c r="E3313" s="78">
        <f t="shared" si="555"/>
        <v>4</v>
      </c>
      <c r="F3313" s="74" t="s">
        <v>36</v>
      </c>
      <c r="G3313" s="77">
        <f t="shared" si="556"/>
        <v>14325</v>
      </c>
      <c r="H3313" s="77">
        <f t="shared" si="557"/>
        <v>14475</v>
      </c>
      <c r="I3313" s="76">
        <v>0.6</v>
      </c>
    </row>
    <row r="3314" spans="3:9" x14ac:dyDescent="0.35">
      <c r="C3314" t="s">
        <v>312</v>
      </c>
      <c r="D3314" s="3">
        <v>2022</v>
      </c>
      <c r="E3314" s="78">
        <f t="shared" si="555"/>
        <v>4</v>
      </c>
      <c r="F3314" s="74" t="s">
        <v>36</v>
      </c>
      <c r="G3314" s="77">
        <f t="shared" si="556"/>
        <v>14475</v>
      </c>
      <c r="H3314" s="77">
        <f t="shared" si="557"/>
        <v>14625</v>
      </c>
      <c r="I3314" s="76">
        <v>0.5</v>
      </c>
    </row>
    <row r="3315" spans="3:9" x14ac:dyDescent="0.35">
      <c r="C3315" t="s">
        <v>312</v>
      </c>
      <c r="D3315" s="3">
        <v>2022</v>
      </c>
      <c r="E3315" s="78">
        <f t="shared" si="555"/>
        <v>4</v>
      </c>
      <c r="F3315" s="74" t="s">
        <v>36</v>
      </c>
      <c r="G3315" s="77">
        <f t="shared" si="556"/>
        <v>14625</v>
      </c>
      <c r="H3315" s="77">
        <f t="shared" si="557"/>
        <v>14775</v>
      </c>
      <c r="I3315" s="76">
        <v>0.4</v>
      </c>
    </row>
    <row r="3316" spans="3:9" x14ac:dyDescent="0.35">
      <c r="C3316" t="s">
        <v>312</v>
      </c>
      <c r="D3316" s="3">
        <v>2022</v>
      </c>
      <c r="E3316" s="78">
        <f t="shared" si="555"/>
        <v>4</v>
      </c>
      <c r="F3316" s="74" t="s">
        <v>36</v>
      </c>
      <c r="G3316" s="77">
        <f t="shared" si="556"/>
        <v>14775</v>
      </c>
      <c r="H3316" s="77">
        <f t="shared" si="557"/>
        <v>14925</v>
      </c>
      <c r="I3316" s="76">
        <v>0.3</v>
      </c>
    </row>
    <row r="3317" spans="3:9" x14ac:dyDescent="0.35">
      <c r="C3317" t="s">
        <v>312</v>
      </c>
      <c r="D3317" s="3">
        <v>2022</v>
      </c>
      <c r="E3317" s="78">
        <f t="shared" si="555"/>
        <v>4</v>
      </c>
      <c r="F3317" s="74" t="s">
        <v>36</v>
      </c>
      <c r="G3317" s="77">
        <f t="shared" si="556"/>
        <v>14925</v>
      </c>
      <c r="H3317" s="77">
        <f t="shared" si="557"/>
        <v>15075</v>
      </c>
      <c r="I3317" s="76">
        <v>0.2</v>
      </c>
    </row>
    <row r="3318" spans="3:9" x14ac:dyDescent="0.35">
      <c r="C3318" t="s">
        <v>312</v>
      </c>
      <c r="D3318" s="3">
        <v>2022</v>
      </c>
      <c r="E3318" s="78">
        <f t="shared" si="555"/>
        <v>4</v>
      </c>
      <c r="F3318" s="74" t="s">
        <v>36</v>
      </c>
      <c r="G3318" s="77">
        <f t="shared" si="556"/>
        <v>15075</v>
      </c>
      <c r="H3318" s="77">
        <f>H3317+150</f>
        <v>15225</v>
      </c>
      <c r="I3318" s="76">
        <v>0.1</v>
      </c>
    </row>
    <row r="3319" spans="3:9" x14ac:dyDescent="0.35">
      <c r="C3319" t="s">
        <v>312</v>
      </c>
      <c r="D3319" s="3">
        <v>2022</v>
      </c>
      <c r="E3319" s="78">
        <f t="shared" si="555"/>
        <v>4</v>
      </c>
      <c r="F3319" s="74" t="s">
        <v>36</v>
      </c>
      <c r="G3319" s="77">
        <f t="shared" si="556"/>
        <v>15225</v>
      </c>
      <c r="H3319" s="77"/>
      <c r="I3319" s="76">
        <v>0</v>
      </c>
    </row>
    <row r="3320" spans="3:9" x14ac:dyDescent="0.35">
      <c r="C3320" t="s">
        <v>312</v>
      </c>
      <c r="D3320" s="3">
        <v>2022</v>
      </c>
      <c r="E3320" s="73">
        <v>5</v>
      </c>
      <c r="F3320" s="74" t="s">
        <v>36</v>
      </c>
      <c r="G3320" s="77">
        <v>0</v>
      </c>
      <c r="H3320" s="77">
        <v>16235</v>
      </c>
      <c r="I3320" s="76">
        <v>1</v>
      </c>
    </row>
    <row r="3321" spans="3:9" x14ac:dyDescent="0.35">
      <c r="C3321" t="s">
        <v>312</v>
      </c>
      <c r="D3321" s="3">
        <v>2022</v>
      </c>
      <c r="E3321" s="78">
        <f>E3320</f>
        <v>5</v>
      </c>
      <c r="F3321" s="74" t="s">
        <v>36</v>
      </c>
      <c r="G3321" s="77">
        <f>H3320</f>
        <v>16235</v>
      </c>
      <c r="H3321" s="77">
        <f>H3320+150</f>
        <v>16385</v>
      </c>
      <c r="I3321" s="76">
        <v>0.9</v>
      </c>
    </row>
    <row r="3322" spans="3:9" x14ac:dyDescent="0.35">
      <c r="C3322" t="s">
        <v>312</v>
      </c>
      <c r="D3322" s="3">
        <v>2022</v>
      </c>
      <c r="E3322" s="78">
        <f t="shared" ref="E3322:E3330" si="558">E3321</f>
        <v>5</v>
      </c>
      <c r="F3322" s="74" t="s">
        <v>36</v>
      </c>
      <c r="G3322" s="77">
        <f t="shared" ref="G3322:G3330" si="559">H3321</f>
        <v>16385</v>
      </c>
      <c r="H3322" s="77">
        <f t="shared" ref="H3322:H3328" si="560">H3321+150</f>
        <v>16535</v>
      </c>
      <c r="I3322" s="76">
        <v>0.8</v>
      </c>
    </row>
    <row r="3323" spans="3:9" x14ac:dyDescent="0.35">
      <c r="C3323" t="s">
        <v>312</v>
      </c>
      <c r="D3323" s="3">
        <v>2022</v>
      </c>
      <c r="E3323" s="78">
        <f t="shared" si="558"/>
        <v>5</v>
      </c>
      <c r="F3323" s="74" t="s">
        <v>36</v>
      </c>
      <c r="G3323" s="77">
        <f t="shared" si="559"/>
        <v>16535</v>
      </c>
      <c r="H3323" s="77">
        <f t="shared" si="560"/>
        <v>16685</v>
      </c>
      <c r="I3323" s="76">
        <v>0.7</v>
      </c>
    </row>
    <row r="3324" spans="3:9" x14ac:dyDescent="0.35">
      <c r="C3324" t="s">
        <v>312</v>
      </c>
      <c r="D3324" s="3">
        <v>2022</v>
      </c>
      <c r="E3324" s="78">
        <f t="shared" si="558"/>
        <v>5</v>
      </c>
      <c r="F3324" s="74" t="s">
        <v>36</v>
      </c>
      <c r="G3324" s="77">
        <f t="shared" si="559"/>
        <v>16685</v>
      </c>
      <c r="H3324" s="77">
        <f t="shared" si="560"/>
        <v>16835</v>
      </c>
      <c r="I3324" s="76">
        <v>0.6</v>
      </c>
    </row>
    <row r="3325" spans="3:9" x14ac:dyDescent="0.35">
      <c r="C3325" t="s">
        <v>312</v>
      </c>
      <c r="D3325" s="3">
        <v>2022</v>
      </c>
      <c r="E3325" s="78">
        <f t="shared" si="558"/>
        <v>5</v>
      </c>
      <c r="F3325" s="74" t="s">
        <v>36</v>
      </c>
      <c r="G3325" s="77">
        <f t="shared" si="559"/>
        <v>16835</v>
      </c>
      <c r="H3325" s="77">
        <f t="shared" si="560"/>
        <v>16985</v>
      </c>
      <c r="I3325" s="76">
        <v>0.5</v>
      </c>
    </row>
    <row r="3326" spans="3:9" x14ac:dyDescent="0.35">
      <c r="C3326" t="s">
        <v>312</v>
      </c>
      <c r="D3326" s="3">
        <v>2022</v>
      </c>
      <c r="E3326" s="78">
        <f t="shared" si="558"/>
        <v>5</v>
      </c>
      <c r="F3326" s="74" t="s">
        <v>36</v>
      </c>
      <c r="G3326" s="77">
        <f t="shared" si="559"/>
        <v>16985</v>
      </c>
      <c r="H3326" s="77">
        <f t="shared" si="560"/>
        <v>17135</v>
      </c>
      <c r="I3326" s="76">
        <v>0.4</v>
      </c>
    </row>
    <row r="3327" spans="3:9" x14ac:dyDescent="0.35">
      <c r="C3327" t="s">
        <v>312</v>
      </c>
      <c r="D3327" s="3">
        <v>2022</v>
      </c>
      <c r="E3327" s="78">
        <f t="shared" si="558"/>
        <v>5</v>
      </c>
      <c r="F3327" s="74" t="s">
        <v>36</v>
      </c>
      <c r="G3327" s="77">
        <f t="shared" si="559"/>
        <v>17135</v>
      </c>
      <c r="H3327" s="77">
        <f t="shared" si="560"/>
        <v>17285</v>
      </c>
      <c r="I3327" s="76">
        <v>0.3</v>
      </c>
    </row>
    <row r="3328" spans="3:9" x14ac:dyDescent="0.35">
      <c r="C3328" t="s">
        <v>312</v>
      </c>
      <c r="D3328" s="3">
        <v>2022</v>
      </c>
      <c r="E3328" s="78">
        <f t="shared" si="558"/>
        <v>5</v>
      </c>
      <c r="F3328" s="74" t="s">
        <v>36</v>
      </c>
      <c r="G3328" s="77">
        <f t="shared" si="559"/>
        <v>17285</v>
      </c>
      <c r="H3328" s="77">
        <f t="shared" si="560"/>
        <v>17435</v>
      </c>
      <c r="I3328" s="76">
        <v>0.2</v>
      </c>
    </row>
    <row r="3329" spans="3:9" x14ac:dyDescent="0.35">
      <c r="C3329" t="s">
        <v>312</v>
      </c>
      <c r="D3329" s="3">
        <v>2022</v>
      </c>
      <c r="E3329" s="78">
        <f t="shared" si="558"/>
        <v>5</v>
      </c>
      <c r="F3329" s="74" t="s">
        <v>36</v>
      </c>
      <c r="G3329" s="77">
        <f t="shared" si="559"/>
        <v>17435</v>
      </c>
      <c r="H3329" s="77">
        <f>H3328+150</f>
        <v>17585</v>
      </c>
      <c r="I3329" s="76">
        <v>0.1</v>
      </c>
    </row>
    <row r="3330" spans="3:9" x14ac:dyDescent="0.35">
      <c r="C3330" t="s">
        <v>312</v>
      </c>
      <c r="D3330" s="3">
        <v>2022</v>
      </c>
      <c r="E3330" s="78">
        <f t="shared" si="558"/>
        <v>5</v>
      </c>
      <c r="F3330" s="74" t="s">
        <v>36</v>
      </c>
      <c r="G3330" s="77">
        <f t="shared" si="559"/>
        <v>17585</v>
      </c>
      <c r="H3330" s="77"/>
      <c r="I3330" s="76">
        <v>0</v>
      </c>
    </row>
    <row r="3331" spans="3:9" x14ac:dyDescent="0.35">
      <c r="C3331" t="s">
        <v>312</v>
      </c>
      <c r="D3331" s="3">
        <v>2022</v>
      </c>
      <c r="E3331" s="73">
        <v>6</v>
      </c>
      <c r="F3331" s="74" t="s">
        <v>36</v>
      </c>
      <c r="G3331" s="77">
        <v>0</v>
      </c>
      <c r="H3331" s="77">
        <v>18595</v>
      </c>
      <c r="I3331" s="76">
        <v>1</v>
      </c>
    </row>
    <row r="3332" spans="3:9" x14ac:dyDescent="0.35">
      <c r="C3332" t="s">
        <v>312</v>
      </c>
      <c r="D3332" s="3">
        <v>2022</v>
      </c>
      <c r="E3332" s="78">
        <f>E3331</f>
        <v>6</v>
      </c>
      <c r="F3332" s="74" t="s">
        <v>36</v>
      </c>
      <c r="G3332" s="77">
        <f>H3331</f>
        <v>18595</v>
      </c>
      <c r="H3332" s="77">
        <f>H3331+150</f>
        <v>18745</v>
      </c>
      <c r="I3332" s="76">
        <v>0.9</v>
      </c>
    </row>
    <row r="3333" spans="3:9" x14ac:dyDescent="0.35">
      <c r="C3333" t="s">
        <v>312</v>
      </c>
      <c r="D3333" s="3">
        <v>2022</v>
      </c>
      <c r="E3333" s="78">
        <f t="shared" ref="E3333:E3341" si="561">E3332</f>
        <v>6</v>
      </c>
      <c r="F3333" s="74" t="s">
        <v>36</v>
      </c>
      <c r="G3333" s="77">
        <f t="shared" ref="G3333:G3341" si="562">H3332</f>
        <v>18745</v>
      </c>
      <c r="H3333" s="77">
        <f t="shared" ref="H3333:H3339" si="563">H3332+150</f>
        <v>18895</v>
      </c>
      <c r="I3333" s="76">
        <v>0.8</v>
      </c>
    </row>
    <row r="3334" spans="3:9" x14ac:dyDescent="0.35">
      <c r="C3334" t="s">
        <v>312</v>
      </c>
      <c r="D3334" s="3">
        <v>2022</v>
      </c>
      <c r="E3334" s="78">
        <f t="shared" si="561"/>
        <v>6</v>
      </c>
      <c r="F3334" s="74" t="s">
        <v>36</v>
      </c>
      <c r="G3334" s="77">
        <f t="shared" si="562"/>
        <v>18895</v>
      </c>
      <c r="H3334" s="77">
        <f t="shared" si="563"/>
        <v>19045</v>
      </c>
      <c r="I3334" s="76">
        <v>0.7</v>
      </c>
    </row>
    <row r="3335" spans="3:9" x14ac:dyDescent="0.35">
      <c r="C3335" t="s">
        <v>312</v>
      </c>
      <c r="D3335" s="3">
        <v>2022</v>
      </c>
      <c r="E3335" s="78">
        <f t="shared" si="561"/>
        <v>6</v>
      </c>
      <c r="F3335" s="74" t="s">
        <v>36</v>
      </c>
      <c r="G3335" s="77">
        <f t="shared" si="562"/>
        <v>19045</v>
      </c>
      <c r="H3335" s="77">
        <f t="shared" si="563"/>
        <v>19195</v>
      </c>
      <c r="I3335" s="76">
        <v>0.6</v>
      </c>
    </row>
    <row r="3336" spans="3:9" x14ac:dyDescent="0.35">
      <c r="C3336" t="s">
        <v>312</v>
      </c>
      <c r="D3336" s="3">
        <v>2022</v>
      </c>
      <c r="E3336" s="78">
        <f t="shared" si="561"/>
        <v>6</v>
      </c>
      <c r="F3336" s="74" t="s">
        <v>36</v>
      </c>
      <c r="G3336" s="77">
        <f t="shared" si="562"/>
        <v>19195</v>
      </c>
      <c r="H3336" s="77">
        <f t="shared" si="563"/>
        <v>19345</v>
      </c>
      <c r="I3336" s="76">
        <v>0.5</v>
      </c>
    </row>
    <row r="3337" spans="3:9" x14ac:dyDescent="0.35">
      <c r="C3337" t="s">
        <v>312</v>
      </c>
      <c r="D3337" s="3">
        <v>2022</v>
      </c>
      <c r="E3337" s="78">
        <f t="shared" si="561"/>
        <v>6</v>
      </c>
      <c r="F3337" s="74" t="s">
        <v>36</v>
      </c>
      <c r="G3337" s="77">
        <f t="shared" si="562"/>
        <v>19345</v>
      </c>
      <c r="H3337" s="77">
        <f t="shared" si="563"/>
        <v>19495</v>
      </c>
      <c r="I3337" s="76">
        <v>0.4</v>
      </c>
    </row>
    <row r="3338" spans="3:9" x14ac:dyDescent="0.35">
      <c r="C3338" t="s">
        <v>312</v>
      </c>
      <c r="D3338" s="3">
        <v>2022</v>
      </c>
      <c r="E3338" s="78">
        <f t="shared" si="561"/>
        <v>6</v>
      </c>
      <c r="F3338" s="74" t="s">
        <v>36</v>
      </c>
      <c r="G3338" s="77">
        <f t="shared" si="562"/>
        <v>19495</v>
      </c>
      <c r="H3338" s="77">
        <f t="shared" si="563"/>
        <v>19645</v>
      </c>
      <c r="I3338" s="76">
        <v>0.3</v>
      </c>
    </row>
    <row r="3339" spans="3:9" x14ac:dyDescent="0.35">
      <c r="C3339" t="s">
        <v>312</v>
      </c>
      <c r="D3339" s="3">
        <v>2022</v>
      </c>
      <c r="E3339" s="78">
        <f t="shared" si="561"/>
        <v>6</v>
      </c>
      <c r="F3339" s="74" t="s">
        <v>36</v>
      </c>
      <c r="G3339" s="77">
        <f t="shared" si="562"/>
        <v>19645</v>
      </c>
      <c r="H3339" s="77">
        <f t="shared" si="563"/>
        <v>19795</v>
      </c>
      <c r="I3339" s="76">
        <v>0.2</v>
      </c>
    </row>
    <row r="3340" spans="3:9" x14ac:dyDescent="0.35">
      <c r="C3340" t="s">
        <v>312</v>
      </c>
      <c r="D3340" s="3">
        <v>2022</v>
      </c>
      <c r="E3340" s="78">
        <f t="shared" si="561"/>
        <v>6</v>
      </c>
      <c r="F3340" s="74" t="s">
        <v>36</v>
      </c>
      <c r="G3340" s="77">
        <f t="shared" si="562"/>
        <v>19795</v>
      </c>
      <c r="H3340" s="77">
        <f>H3339+150</f>
        <v>19945</v>
      </c>
      <c r="I3340" s="76">
        <v>0.1</v>
      </c>
    </row>
    <row r="3341" spans="3:9" x14ac:dyDescent="0.35">
      <c r="C3341" t="s">
        <v>312</v>
      </c>
      <c r="D3341" s="3">
        <v>2022</v>
      </c>
      <c r="E3341" s="78">
        <f t="shared" si="561"/>
        <v>6</v>
      </c>
      <c r="F3341" s="74" t="s">
        <v>36</v>
      </c>
      <c r="G3341" s="77">
        <f t="shared" si="562"/>
        <v>19945</v>
      </c>
      <c r="H3341" s="77"/>
      <c r="I3341" s="76">
        <v>0</v>
      </c>
    </row>
    <row r="3342" spans="3:9" x14ac:dyDescent="0.35">
      <c r="C3342" t="s">
        <v>312</v>
      </c>
      <c r="D3342" s="3">
        <v>2022</v>
      </c>
      <c r="E3342" s="73">
        <v>7</v>
      </c>
      <c r="F3342" s="74" t="s">
        <v>36</v>
      </c>
      <c r="G3342" s="77">
        <v>0</v>
      </c>
      <c r="H3342" s="77">
        <v>20955</v>
      </c>
      <c r="I3342" s="76">
        <v>1</v>
      </c>
    </row>
    <row r="3343" spans="3:9" x14ac:dyDescent="0.35">
      <c r="C3343" t="s">
        <v>312</v>
      </c>
      <c r="D3343" s="3">
        <v>2022</v>
      </c>
      <c r="E3343" s="78">
        <f>E3342</f>
        <v>7</v>
      </c>
      <c r="F3343" s="74" t="s">
        <v>36</v>
      </c>
      <c r="G3343" s="77">
        <f>H3342</f>
        <v>20955</v>
      </c>
      <c r="H3343" s="77">
        <f>H3342+150</f>
        <v>21105</v>
      </c>
      <c r="I3343" s="76">
        <v>0.9</v>
      </c>
    </row>
    <row r="3344" spans="3:9" x14ac:dyDescent="0.35">
      <c r="C3344" t="s">
        <v>312</v>
      </c>
      <c r="D3344" s="3">
        <v>2022</v>
      </c>
      <c r="E3344" s="78">
        <f t="shared" ref="E3344:E3352" si="564">E3343</f>
        <v>7</v>
      </c>
      <c r="F3344" s="74" t="s">
        <v>36</v>
      </c>
      <c r="G3344" s="77">
        <f t="shared" ref="G3344:G3352" si="565">H3343</f>
        <v>21105</v>
      </c>
      <c r="H3344" s="77">
        <f t="shared" ref="H3344:H3350" si="566">H3343+150</f>
        <v>21255</v>
      </c>
      <c r="I3344" s="76">
        <v>0.8</v>
      </c>
    </row>
    <row r="3345" spans="3:9" x14ac:dyDescent="0.35">
      <c r="C3345" t="s">
        <v>312</v>
      </c>
      <c r="D3345" s="3">
        <v>2022</v>
      </c>
      <c r="E3345" s="78">
        <f t="shared" si="564"/>
        <v>7</v>
      </c>
      <c r="F3345" s="74" t="s">
        <v>36</v>
      </c>
      <c r="G3345" s="77">
        <f t="shared" si="565"/>
        <v>21255</v>
      </c>
      <c r="H3345" s="77">
        <f t="shared" si="566"/>
        <v>21405</v>
      </c>
      <c r="I3345" s="76">
        <v>0.7</v>
      </c>
    </row>
    <row r="3346" spans="3:9" x14ac:dyDescent="0.35">
      <c r="C3346" t="s">
        <v>312</v>
      </c>
      <c r="D3346" s="3">
        <v>2022</v>
      </c>
      <c r="E3346" s="78">
        <f t="shared" si="564"/>
        <v>7</v>
      </c>
      <c r="F3346" s="74" t="s">
        <v>36</v>
      </c>
      <c r="G3346" s="77">
        <f t="shared" si="565"/>
        <v>21405</v>
      </c>
      <c r="H3346" s="77">
        <f t="shared" si="566"/>
        <v>21555</v>
      </c>
      <c r="I3346" s="76">
        <v>0.6</v>
      </c>
    </row>
    <row r="3347" spans="3:9" x14ac:dyDescent="0.35">
      <c r="C3347" t="s">
        <v>312</v>
      </c>
      <c r="D3347" s="3">
        <v>2022</v>
      </c>
      <c r="E3347" s="78">
        <f t="shared" si="564"/>
        <v>7</v>
      </c>
      <c r="F3347" s="74" t="s">
        <v>36</v>
      </c>
      <c r="G3347" s="77">
        <f t="shared" si="565"/>
        <v>21555</v>
      </c>
      <c r="H3347" s="77">
        <f t="shared" si="566"/>
        <v>21705</v>
      </c>
      <c r="I3347" s="76">
        <v>0.5</v>
      </c>
    </row>
    <row r="3348" spans="3:9" x14ac:dyDescent="0.35">
      <c r="C3348" t="s">
        <v>312</v>
      </c>
      <c r="D3348" s="3">
        <v>2022</v>
      </c>
      <c r="E3348" s="78">
        <f t="shared" si="564"/>
        <v>7</v>
      </c>
      <c r="F3348" s="74" t="s">
        <v>36</v>
      </c>
      <c r="G3348" s="77">
        <f t="shared" si="565"/>
        <v>21705</v>
      </c>
      <c r="H3348" s="77">
        <f t="shared" si="566"/>
        <v>21855</v>
      </c>
      <c r="I3348" s="76">
        <v>0.4</v>
      </c>
    </row>
    <row r="3349" spans="3:9" x14ac:dyDescent="0.35">
      <c r="C3349" t="s">
        <v>312</v>
      </c>
      <c r="D3349" s="3">
        <v>2022</v>
      </c>
      <c r="E3349" s="78">
        <f t="shared" si="564"/>
        <v>7</v>
      </c>
      <c r="F3349" s="74" t="s">
        <v>36</v>
      </c>
      <c r="G3349" s="77">
        <f t="shared" si="565"/>
        <v>21855</v>
      </c>
      <c r="H3349" s="77">
        <f t="shared" si="566"/>
        <v>22005</v>
      </c>
      <c r="I3349" s="76">
        <v>0.3</v>
      </c>
    </row>
    <row r="3350" spans="3:9" x14ac:dyDescent="0.35">
      <c r="C3350" t="s">
        <v>312</v>
      </c>
      <c r="D3350" s="3">
        <v>2022</v>
      </c>
      <c r="E3350" s="78">
        <f t="shared" si="564"/>
        <v>7</v>
      </c>
      <c r="F3350" s="74" t="s">
        <v>36</v>
      </c>
      <c r="G3350" s="77">
        <f t="shared" si="565"/>
        <v>22005</v>
      </c>
      <c r="H3350" s="77">
        <f t="shared" si="566"/>
        <v>22155</v>
      </c>
      <c r="I3350" s="76">
        <v>0.2</v>
      </c>
    </row>
    <row r="3351" spans="3:9" x14ac:dyDescent="0.35">
      <c r="C3351" t="s">
        <v>312</v>
      </c>
      <c r="D3351" s="3">
        <v>2022</v>
      </c>
      <c r="E3351" s="78">
        <f t="shared" si="564"/>
        <v>7</v>
      </c>
      <c r="F3351" s="74" t="s">
        <v>36</v>
      </c>
      <c r="G3351" s="77">
        <f t="shared" si="565"/>
        <v>22155</v>
      </c>
      <c r="H3351" s="77">
        <f>H3350+150</f>
        <v>22305</v>
      </c>
      <c r="I3351" s="76">
        <v>0.1</v>
      </c>
    </row>
    <row r="3352" spans="3:9" x14ac:dyDescent="0.35">
      <c r="C3352" t="s">
        <v>312</v>
      </c>
      <c r="D3352" s="3">
        <v>2022</v>
      </c>
      <c r="E3352" s="78">
        <f t="shared" si="564"/>
        <v>7</v>
      </c>
      <c r="F3352" s="74" t="s">
        <v>36</v>
      </c>
      <c r="G3352" s="77">
        <f t="shared" si="565"/>
        <v>22305</v>
      </c>
      <c r="H3352" s="77"/>
      <c r="I3352" s="76">
        <v>0</v>
      </c>
    </row>
    <row r="3353" spans="3:9" x14ac:dyDescent="0.35">
      <c r="C3353" t="s">
        <v>312</v>
      </c>
      <c r="D3353" s="3">
        <v>2022</v>
      </c>
      <c r="E3353" s="73">
        <v>8</v>
      </c>
      <c r="F3353" s="74" t="s">
        <v>36</v>
      </c>
      <c r="G3353" s="77">
        <v>0</v>
      </c>
      <c r="H3353" s="77">
        <v>23315</v>
      </c>
      <c r="I3353" s="76">
        <v>1</v>
      </c>
    </row>
    <row r="3354" spans="3:9" x14ac:dyDescent="0.35">
      <c r="C3354" t="s">
        <v>312</v>
      </c>
      <c r="D3354" s="3">
        <v>2022</v>
      </c>
      <c r="E3354" s="78">
        <f>E3353</f>
        <v>8</v>
      </c>
      <c r="F3354" s="74" t="s">
        <v>36</v>
      </c>
      <c r="G3354" s="77">
        <f>H3353</f>
        <v>23315</v>
      </c>
      <c r="H3354" s="77">
        <f>H3353+150</f>
        <v>23465</v>
      </c>
      <c r="I3354" s="76">
        <v>0.9</v>
      </c>
    </row>
    <row r="3355" spans="3:9" x14ac:dyDescent="0.35">
      <c r="C3355" t="s">
        <v>312</v>
      </c>
      <c r="D3355" s="3">
        <v>2022</v>
      </c>
      <c r="E3355" s="78">
        <f t="shared" ref="E3355:E3363" si="567">E3354</f>
        <v>8</v>
      </c>
      <c r="F3355" s="74" t="s">
        <v>36</v>
      </c>
      <c r="G3355" s="77">
        <f t="shared" ref="G3355:G3363" si="568">H3354</f>
        <v>23465</v>
      </c>
      <c r="H3355" s="77">
        <f t="shared" ref="H3355:H3361" si="569">H3354+150</f>
        <v>23615</v>
      </c>
      <c r="I3355" s="76">
        <v>0.8</v>
      </c>
    </row>
    <row r="3356" spans="3:9" x14ac:dyDescent="0.35">
      <c r="C3356" t="s">
        <v>312</v>
      </c>
      <c r="D3356" s="3">
        <v>2022</v>
      </c>
      <c r="E3356" s="78">
        <f t="shared" si="567"/>
        <v>8</v>
      </c>
      <c r="F3356" s="74" t="s">
        <v>36</v>
      </c>
      <c r="G3356" s="77">
        <f t="shared" si="568"/>
        <v>23615</v>
      </c>
      <c r="H3356" s="77">
        <f t="shared" si="569"/>
        <v>23765</v>
      </c>
      <c r="I3356" s="76">
        <v>0.7</v>
      </c>
    </row>
    <row r="3357" spans="3:9" x14ac:dyDescent="0.35">
      <c r="C3357" t="s">
        <v>312</v>
      </c>
      <c r="D3357" s="3">
        <v>2022</v>
      </c>
      <c r="E3357" s="78">
        <f t="shared" si="567"/>
        <v>8</v>
      </c>
      <c r="F3357" s="74" t="s">
        <v>36</v>
      </c>
      <c r="G3357" s="77">
        <f t="shared" si="568"/>
        <v>23765</v>
      </c>
      <c r="H3357" s="77">
        <f t="shared" si="569"/>
        <v>23915</v>
      </c>
      <c r="I3357" s="76">
        <v>0.6</v>
      </c>
    </row>
    <row r="3358" spans="3:9" x14ac:dyDescent="0.35">
      <c r="C3358" t="s">
        <v>312</v>
      </c>
      <c r="D3358" s="3">
        <v>2022</v>
      </c>
      <c r="E3358" s="78">
        <f t="shared" si="567"/>
        <v>8</v>
      </c>
      <c r="F3358" s="74" t="s">
        <v>36</v>
      </c>
      <c r="G3358" s="77">
        <f t="shared" si="568"/>
        <v>23915</v>
      </c>
      <c r="H3358" s="77">
        <f t="shared" si="569"/>
        <v>24065</v>
      </c>
      <c r="I3358" s="76">
        <v>0.5</v>
      </c>
    </row>
    <row r="3359" spans="3:9" x14ac:dyDescent="0.35">
      <c r="C3359" t="s">
        <v>312</v>
      </c>
      <c r="D3359" s="3">
        <v>2022</v>
      </c>
      <c r="E3359" s="78">
        <f t="shared" si="567"/>
        <v>8</v>
      </c>
      <c r="F3359" s="74" t="s">
        <v>36</v>
      </c>
      <c r="G3359" s="77">
        <f t="shared" si="568"/>
        <v>24065</v>
      </c>
      <c r="H3359" s="77">
        <f t="shared" si="569"/>
        <v>24215</v>
      </c>
      <c r="I3359" s="76">
        <v>0.4</v>
      </c>
    </row>
    <row r="3360" spans="3:9" x14ac:dyDescent="0.35">
      <c r="C3360" t="s">
        <v>312</v>
      </c>
      <c r="D3360" s="3">
        <v>2022</v>
      </c>
      <c r="E3360" s="78">
        <f t="shared" si="567"/>
        <v>8</v>
      </c>
      <c r="F3360" s="74" t="s">
        <v>36</v>
      </c>
      <c r="G3360" s="77">
        <f t="shared" si="568"/>
        <v>24215</v>
      </c>
      <c r="H3360" s="77">
        <f t="shared" si="569"/>
        <v>24365</v>
      </c>
      <c r="I3360" s="76">
        <v>0.3</v>
      </c>
    </row>
    <row r="3361" spans="3:9" x14ac:dyDescent="0.35">
      <c r="C3361" t="s">
        <v>312</v>
      </c>
      <c r="D3361" s="3">
        <v>2022</v>
      </c>
      <c r="E3361" s="78">
        <f t="shared" si="567"/>
        <v>8</v>
      </c>
      <c r="F3361" s="74" t="s">
        <v>36</v>
      </c>
      <c r="G3361" s="77">
        <f t="shared" si="568"/>
        <v>24365</v>
      </c>
      <c r="H3361" s="77">
        <f t="shared" si="569"/>
        <v>24515</v>
      </c>
      <c r="I3361" s="76">
        <v>0.2</v>
      </c>
    </row>
    <row r="3362" spans="3:9" x14ac:dyDescent="0.35">
      <c r="C3362" t="s">
        <v>312</v>
      </c>
      <c r="D3362" s="3">
        <v>2022</v>
      </c>
      <c r="E3362" s="78">
        <f t="shared" si="567"/>
        <v>8</v>
      </c>
      <c r="F3362" s="74" t="s">
        <v>36</v>
      </c>
      <c r="G3362" s="77">
        <f t="shared" si="568"/>
        <v>24515</v>
      </c>
      <c r="H3362" s="77">
        <f>H3361+150</f>
        <v>24665</v>
      </c>
      <c r="I3362" s="76">
        <v>0.1</v>
      </c>
    </row>
    <row r="3363" spans="3:9" x14ac:dyDescent="0.35">
      <c r="C3363" t="s">
        <v>312</v>
      </c>
      <c r="D3363" s="3">
        <v>2022</v>
      </c>
      <c r="E3363" s="78">
        <f t="shared" si="567"/>
        <v>8</v>
      </c>
      <c r="F3363" s="74" t="s">
        <v>36</v>
      </c>
      <c r="G3363" s="77">
        <f t="shared" si="568"/>
        <v>24665</v>
      </c>
      <c r="H3363" s="77"/>
      <c r="I3363" s="76">
        <v>0</v>
      </c>
    </row>
    <row r="3364" spans="3:9" x14ac:dyDescent="0.35">
      <c r="C3364" t="s">
        <v>312</v>
      </c>
      <c r="D3364" s="3">
        <v>2022</v>
      </c>
      <c r="E3364" s="73">
        <v>9</v>
      </c>
      <c r="F3364" s="74" t="s">
        <v>36</v>
      </c>
      <c r="G3364" s="77">
        <v>0</v>
      </c>
      <c r="H3364" s="75">
        <f>H3353</f>
        <v>23315</v>
      </c>
      <c r="I3364" s="76">
        <v>1</v>
      </c>
    </row>
    <row r="3365" spans="3:9" x14ac:dyDescent="0.35">
      <c r="C3365" t="s">
        <v>312</v>
      </c>
      <c r="D3365" s="3">
        <v>2022</v>
      </c>
      <c r="E3365" s="78">
        <f>E3364</f>
        <v>9</v>
      </c>
      <c r="F3365" s="74" t="s">
        <v>36</v>
      </c>
      <c r="G3365" s="77">
        <f>H3364</f>
        <v>23315</v>
      </c>
      <c r="H3365" s="77">
        <f>H3364+150</f>
        <v>23465</v>
      </c>
      <c r="I3365" s="76">
        <v>0.9</v>
      </c>
    </row>
    <row r="3366" spans="3:9" x14ac:dyDescent="0.35">
      <c r="C3366" t="s">
        <v>312</v>
      </c>
      <c r="D3366" s="3">
        <v>2022</v>
      </c>
      <c r="E3366" s="78">
        <f t="shared" ref="E3366:E3374" si="570">E3365</f>
        <v>9</v>
      </c>
      <c r="F3366" s="74" t="s">
        <v>36</v>
      </c>
      <c r="G3366" s="77">
        <f t="shared" ref="G3366:G3374" si="571">H3365</f>
        <v>23465</v>
      </c>
      <c r="H3366" s="77">
        <f t="shared" ref="H3366:H3372" si="572">H3365+150</f>
        <v>23615</v>
      </c>
      <c r="I3366" s="76">
        <v>0.8</v>
      </c>
    </row>
    <row r="3367" spans="3:9" x14ac:dyDescent="0.35">
      <c r="C3367" t="s">
        <v>312</v>
      </c>
      <c r="D3367" s="3">
        <v>2022</v>
      </c>
      <c r="E3367" s="78">
        <f t="shared" si="570"/>
        <v>9</v>
      </c>
      <c r="F3367" s="74" t="s">
        <v>36</v>
      </c>
      <c r="G3367" s="77">
        <f t="shared" si="571"/>
        <v>23615</v>
      </c>
      <c r="H3367" s="77">
        <f t="shared" si="572"/>
        <v>23765</v>
      </c>
      <c r="I3367" s="76">
        <v>0.7</v>
      </c>
    </row>
    <row r="3368" spans="3:9" x14ac:dyDescent="0.35">
      <c r="C3368" t="s">
        <v>312</v>
      </c>
      <c r="D3368" s="3">
        <v>2022</v>
      </c>
      <c r="E3368" s="78">
        <f t="shared" si="570"/>
        <v>9</v>
      </c>
      <c r="F3368" s="74" t="s">
        <v>36</v>
      </c>
      <c r="G3368" s="77">
        <f t="shared" si="571"/>
        <v>23765</v>
      </c>
      <c r="H3368" s="77">
        <f t="shared" si="572"/>
        <v>23915</v>
      </c>
      <c r="I3368" s="76">
        <v>0.6</v>
      </c>
    </row>
    <row r="3369" spans="3:9" x14ac:dyDescent="0.35">
      <c r="C3369" t="s">
        <v>312</v>
      </c>
      <c r="D3369" s="3">
        <v>2022</v>
      </c>
      <c r="E3369" s="78">
        <f t="shared" si="570"/>
        <v>9</v>
      </c>
      <c r="F3369" s="74" t="s">
        <v>36</v>
      </c>
      <c r="G3369" s="77">
        <f t="shared" si="571"/>
        <v>23915</v>
      </c>
      <c r="H3369" s="77">
        <f t="shared" si="572"/>
        <v>24065</v>
      </c>
      <c r="I3369" s="76">
        <v>0.5</v>
      </c>
    </row>
    <row r="3370" spans="3:9" x14ac:dyDescent="0.35">
      <c r="C3370" t="s">
        <v>312</v>
      </c>
      <c r="D3370" s="3">
        <v>2022</v>
      </c>
      <c r="E3370" s="78">
        <f t="shared" si="570"/>
        <v>9</v>
      </c>
      <c r="F3370" s="74" t="s">
        <v>36</v>
      </c>
      <c r="G3370" s="77">
        <f t="shared" si="571"/>
        <v>24065</v>
      </c>
      <c r="H3370" s="77">
        <f t="shared" si="572"/>
        <v>24215</v>
      </c>
      <c r="I3370" s="76">
        <v>0.4</v>
      </c>
    </row>
    <row r="3371" spans="3:9" x14ac:dyDescent="0.35">
      <c r="C3371" t="s">
        <v>312</v>
      </c>
      <c r="D3371" s="3">
        <v>2022</v>
      </c>
      <c r="E3371" s="78">
        <f t="shared" si="570"/>
        <v>9</v>
      </c>
      <c r="F3371" s="74" t="s">
        <v>36</v>
      </c>
      <c r="G3371" s="77">
        <f t="shared" si="571"/>
        <v>24215</v>
      </c>
      <c r="H3371" s="77">
        <f t="shared" si="572"/>
        <v>24365</v>
      </c>
      <c r="I3371" s="76">
        <v>0.3</v>
      </c>
    </row>
    <row r="3372" spans="3:9" x14ac:dyDescent="0.35">
      <c r="C3372" t="s">
        <v>312</v>
      </c>
      <c r="D3372" s="3">
        <v>2022</v>
      </c>
      <c r="E3372" s="78">
        <f t="shared" si="570"/>
        <v>9</v>
      </c>
      <c r="F3372" s="74" t="s">
        <v>36</v>
      </c>
      <c r="G3372" s="77">
        <f t="shared" si="571"/>
        <v>24365</v>
      </c>
      <c r="H3372" s="77">
        <f t="shared" si="572"/>
        <v>24515</v>
      </c>
      <c r="I3372" s="76">
        <v>0.2</v>
      </c>
    </row>
    <row r="3373" spans="3:9" x14ac:dyDescent="0.35">
      <c r="C3373" t="s">
        <v>312</v>
      </c>
      <c r="D3373" s="3">
        <v>2022</v>
      </c>
      <c r="E3373" s="78">
        <f t="shared" si="570"/>
        <v>9</v>
      </c>
      <c r="F3373" s="74" t="s">
        <v>36</v>
      </c>
      <c r="G3373" s="77">
        <f t="shared" si="571"/>
        <v>24515</v>
      </c>
      <c r="H3373" s="77">
        <f>H3372+150</f>
        <v>24665</v>
      </c>
      <c r="I3373" s="76">
        <v>0.1</v>
      </c>
    </row>
    <row r="3374" spans="3:9" x14ac:dyDescent="0.35">
      <c r="C3374" t="s">
        <v>312</v>
      </c>
      <c r="D3374" s="3">
        <v>2022</v>
      </c>
      <c r="E3374" s="78">
        <f t="shared" si="570"/>
        <v>9</v>
      </c>
      <c r="F3374" s="74" t="s">
        <v>36</v>
      </c>
      <c r="G3374" s="77">
        <f t="shared" si="571"/>
        <v>24665</v>
      </c>
      <c r="H3374" s="77"/>
      <c r="I3374" s="76">
        <v>0</v>
      </c>
    </row>
    <row r="3375" spans="3:9" x14ac:dyDescent="0.35">
      <c r="C3375" t="s">
        <v>312</v>
      </c>
      <c r="D3375" s="3">
        <v>2022</v>
      </c>
      <c r="E3375" s="73">
        <v>10</v>
      </c>
      <c r="F3375" s="74" t="s">
        <v>36</v>
      </c>
      <c r="G3375" s="77">
        <v>0</v>
      </c>
      <c r="H3375" s="75">
        <f>H3364</f>
        <v>23315</v>
      </c>
      <c r="I3375" s="76">
        <v>1</v>
      </c>
    </row>
    <row r="3376" spans="3:9" x14ac:dyDescent="0.35">
      <c r="C3376" t="s">
        <v>312</v>
      </c>
      <c r="D3376" s="3">
        <v>2022</v>
      </c>
      <c r="E3376" s="78">
        <f>E3375</f>
        <v>10</v>
      </c>
      <c r="F3376" s="74" t="s">
        <v>36</v>
      </c>
      <c r="G3376" s="77">
        <f>H3375</f>
        <v>23315</v>
      </c>
      <c r="H3376" s="77">
        <f>H3375+150</f>
        <v>23465</v>
      </c>
      <c r="I3376" s="76">
        <v>0.9</v>
      </c>
    </row>
    <row r="3377" spans="3:9" x14ac:dyDescent="0.35">
      <c r="C3377" t="s">
        <v>312</v>
      </c>
      <c r="D3377" s="3">
        <v>2022</v>
      </c>
      <c r="E3377" s="78">
        <f t="shared" ref="E3377:E3385" si="573">E3376</f>
        <v>10</v>
      </c>
      <c r="F3377" s="74" t="s">
        <v>36</v>
      </c>
      <c r="G3377" s="77">
        <f t="shared" ref="G3377:G3385" si="574">H3376</f>
        <v>23465</v>
      </c>
      <c r="H3377" s="77">
        <f t="shared" ref="H3377:H3383" si="575">H3376+150</f>
        <v>23615</v>
      </c>
      <c r="I3377" s="76">
        <v>0.8</v>
      </c>
    </row>
    <row r="3378" spans="3:9" x14ac:dyDescent="0.35">
      <c r="C3378" t="s">
        <v>312</v>
      </c>
      <c r="D3378" s="3">
        <v>2022</v>
      </c>
      <c r="E3378" s="78">
        <f t="shared" si="573"/>
        <v>10</v>
      </c>
      <c r="F3378" s="74" t="s">
        <v>36</v>
      </c>
      <c r="G3378" s="77">
        <f t="shared" si="574"/>
        <v>23615</v>
      </c>
      <c r="H3378" s="77">
        <f t="shared" si="575"/>
        <v>23765</v>
      </c>
      <c r="I3378" s="76">
        <v>0.7</v>
      </c>
    </row>
    <row r="3379" spans="3:9" x14ac:dyDescent="0.35">
      <c r="C3379" t="s">
        <v>312</v>
      </c>
      <c r="D3379" s="3">
        <v>2022</v>
      </c>
      <c r="E3379" s="78">
        <f t="shared" si="573"/>
        <v>10</v>
      </c>
      <c r="F3379" s="74" t="s">
        <v>36</v>
      </c>
      <c r="G3379" s="77">
        <f t="shared" si="574"/>
        <v>23765</v>
      </c>
      <c r="H3379" s="77">
        <f t="shared" si="575"/>
        <v>23915</v>
      </c>
      <c r="I3379" s="76">
        <v>0.6</v>
      </c>
    </row>
    <row r="3380" spans="3:9" x14ac:dyDescent="0.35">
      <c r="C3380" t="s">
        <v>312</v>
      </c>
      <c r="D3380" s="3">
        <v>2022</v>
      </c>
      <c r="E3380" s="78">
        <f t="shared" si="573"/>
        <v>10</v>
      </c>
      <c r="F3380" s="74" t="s">
        <v>36</v>
      </c>
      <c r="G3380" s="77">
        <f t="shared" si="574"/>
        <v>23915</v>
      </c>
      <c r="H3380" s="77">
        <f t="shared" si="575"/>
        <v>24065</v>
      </c>
      <c r="I3380" s="76">
        <v>0.5</v>
      </c>
    </row>
    <row r="3381" spans="3:9" x14ac:dyDescent="0.35">
      <c r="C3381" t="s">
        <v>312</v>
      </c>
      <c r="D3381" s="3">
        <v>2022</v>
      </c>
      <c r="E3381" s="78">
        <f t="shared" si="573"/>
        <v>10</v>
      </c>
      <c r="F3381" s="74" t="s">
        <v>36</v>
      </c>
      <c r="G3381" s="77">
        <f t="shared" si="574"/>
        <v>24065</v>
      </c>
      <c r="H3381" s="77">
        <f t="shared" si="575"/>
        <v>24215</v>
      </c>
      <c r="I3381" s="76">
        <v>0.4</v>
      </c>
    </row>
    <row r="3382" spans="3:9" x14ac:dyDescent="0.35">
      <c r="C3382" t="s">
        <v>312</v>
      </c>
      <c r="D3382" s="3">
        <v>2022</v>
      </c>
      <c r="E3382" s="78">
        <f t="shared" si="573"/>
        <v>10</v>
      </c>
      <c r="F3382" s="74" t="s">
        <v>36</v>
      </c>
      <c r="G3382" s="77">
        <f t="shared" si="574"/>
        <v>24215</v>
      </c>
      <c r="H3382" s="77">
        <f t="shared" si="575"/>
        <v>24365</v>
      </c>
      <c r="I3382" s="76">
        <v>0.3</v>
      </c>
    </row>
    <row r="3383" spans="3:9" x14ac:dyDescent="0.35">
      <c r="C3383" t="s">
        <v>312</v>
      </c>
      <c r="D3383" s="3">
        <v>2022</v>
      </c>
      <c r="E3383" s="78">
        <f t="shared" si="573"/>
        <v>10</v>
      </c>
      <c r="F3383" s="74" t="s">
        <v>36</v>
      </c>
      <c r="G3383" s="77">
        <f t="shared" si="574"/>
        <v>24365</v>
      </c>
      <c r="H3383" s="77">
        <f t="shared" si="575"/>
        <v>24515</v>
      </c>
      <c r="I3383" s="76">
        <v>0.2</v>
      </c>
    </row>
    <row r="3384" spans="3:9" x14ac:dyDescent="0.35">
      <c r="C3384" t="s">
        <v>312</v>
      </c>
      <c r="D3384" s="3">
        <v>2022</v>
      </c>
      <c r="E3384" s="78">
        <f t="shared" si="573"/>
        <v>10</v>
      </c>
      <c r="F3384" s="74" t="s">
        <v>36</v>
      </c>
      <c r="G3384" s="77">
        <f t="shared" si="574"/>
        <v>24515</v>
      </c>
      <c r="H3384" s="77">
        <f>H3383+150</f>
        <v>24665</v>
      </c>
      <c r="I3384" s="76">
        <v>0.1</v>
      </c>
    </row>
    <row r="3385" spans="3:9" x14ac:dyDescent="0.35">
      <c r="C3385" t="s">
        <v>312</v>
      </c>
      <c r="D3385" s="3">
        <v>2022</v>
      </c>
      <c r="E3385" s="78">
        <f t="shared" si="573"/>
        <v>10</v>
      </c>
      <c r="F3385" s="74" t="s">
        <v>36</v>
      </c>
      <c r="G3385" s="77">
        <f t="shared" si="574"/>
        <v>24665</v>
      </c>
      <c r="H3385" s="77"/>
      <c r="I3385" s="76">
        <v>0</v>
      </c>
    </row>
    <row r="3386" spans="3:9" x14ac:dyDescent="0.35">
      <c r="C3386" t="s">
        <v>312</v>
      </c>
      <c r="D3386" s="3">
        <v>2023</v>
      </c>
      <c r="E3386" s="73">
        <v>1</v>
      </c>
      <c r="F3386" s="74" t="s">
        <v>54</v>
      </c>
      <c r="G3386" s="75">
        <v>0</v>
      </c>
      <c r="H3386" s="75">
        <v>14580.000000000009</v>
      </c>
      <c r="I3386" s="76">
        <v>1</v>
      </c>
    </row>
    <row r="3387" spans="3:9" x14ac:dyDescent="0.35">
      <c r="C3387" t="s">
        <v>312</v>
      </c>
      <c r="D3387" s="3">
        <v>2023</v>
      </c>
      <c r="E3387" s="73">
        <v>1</v>
      </c>
      <c r="F3387" s="74" t="s">
        <v>54</v>
      </c>
      <c r="G3387" s="77">
        <v>14580.000000000009</v>
      </c>
      <c r="H3387" s="77">
        <v>14880.000000000009</v>
      </c>
      <c r="I3387" s="76">
        <v>0.9</v>
      </c>
    </row>
    <row r="3388" spans="3:9" x14ac:dyDescent="0.35">
      <c r="C3388" t="s">
        <v>312</v>
      </c>
      <c r="D3388" s="3">
        <v>2023</v>
      </c>
      <c r="E3388" s="73">
        <v>1</v>
      </c>
      <c r="F3388" s="74" t="s">
        <v>54</v>
      </c>
      <c r="G3388" s="77">
        <v>14880.000000000009</v>
      </c>
      <c r="H3388" s="77">
        <v>15180.000000000009</v>
      </c>
      <c r="I3388" s="76">
        <v>0.8</v>
      </c>
    </row>
    <row r="3389" spans="3:9" x14ac:dyDescent="0.35">
      <c r="C3389" t="s">
        <v>312</v>
      </c>
      <c r="D3389" s="3">
        <v>2023</v>
      </c>
      <c r="E3389" s="73">
        <v>1</v>
      </c>
      <c r="F3389" s="74" t="s">
        <v>54</v>
      </c>
      <c r="G3389" s="77">
        <v>15180.000000000009</v>
      </c>
      <c r="H3389" s="77">
        <v>15480.000000000009</v>
      </c>
      <c r="I3389" s="76">
        <v>0.7</v>
      </c>
    </row>
    <row r="3390" spans="3:9" x14ac:dyDescent="0.35">
      <c r="C3390" t="s">
        <v>312</v>
      </c>
      <c r="D3390" s="3">
        <v>2023</v>
      </c>
      <c r="E3390" s="73">
        <v>1</v>
      </c>
      <c r="F3390" s="74" t="s">
        <v>54</v>
      </c>
      <c r="G3390" s="77">
        <v>15480.000000000009</v>
      </c>
      <c r="H3390" s="77">
        <v>15780.000000000009</v>
      </c>
      <c r="I3390" s="76">
        <v>0.6</v>
      </c>
    </row>
    <row r="3391" spans="3:9" x14ac:dyDescent="0.35">
      <c r="C3391" t="s">
        <v>312</v>
      </c>
      <c r="D3391" s="3">
        <v>2023</v>
      </c>
      <c r="E3391" s="73">
        <v>1</v>
      </c>
      <c r="F3391" s="74" t="s">
        <v>54</v>
      </c>
      <c r="G3391" s="77">
        <v>15780.000000000009</v>
      </c>
      <c r="H3391" s="77">
        <v>16080.000000000009</v>
      </c>
      <c r="I3391" s="76">
        <v>0.5</v>
      </c>
    </row>
    <row r="3392" spans="3:9" x14ac:dyDescent="0.35">
      <c r="C3392" t="s">
        <v>312</v>
      </c>
      <c r="D3392" s="3">
        <v>2023</v>
      </c>
      <c r="E3392" s="73">
        <v>1</v>
      </c>
      <c r="F3392" s="74" t="s">
        <v>54</v>
      </c>
      <c r="G3392" s="77">
        <v>16080.000000000009</v>
      </c>
      <c r="H3392" s="77">
        <v>16380.000000000009</v>
      </c>
      <c r="I3392" s="76">
        <v>0.4</v>
      </c>
    </row>
    <row r="3393" spans="3:9" x14ac:dyDescent="0.35">
      <c r="C3393" t="s">
        <v>312</v>
      </c>
      <c r="D3393" s="3">
        <v>2023</v>
      </c>
      <c r="E3393" s="73">
        <v>1</v>
      </c>
      <c r="F3393" s="74" t="s">
        <v>54</v>
      </c>
      <c r="G3393" s="77">
        <v>16380.000000000009</v>
      </c>
      <c r="H3393" s="77">
        <v>16680.000000000007</v>
      </c>
      <c r="I3393" s="76">
        <v>0.3</v>
      </c>
    </row>
    <row r="3394" spans="3:9" x14ac:dyDescent="0.35">
      <c r="C3394" t="s">
        <v>312</v>
      </c>
      <c r="D3394" s="3">
        <v>2023</v>
      </c>
      <c r="E3394" s="73">
        <v>1</v>
      </c>
      <c r="F3394" s="74" t="s">
        <v>54</v>
      </c>
      <c r="G3394" s="77">
        <v>16680.000000000007</v>
      </c>
      <c r="H3394" s="77">
        <v>16980.000000000007</v>
      </c>
      <c r="I3394" s="76">
        <v>0.2</v>
      </c>
    </row>
    <row r="3395" spans="3:9" x14ac:dyDescent="0.35">
      <c r="C3395" t="s">
        <v>312</v>
      </c>
      <c r="D3395" s="3">
        <v>2023</v>
      </c>
      <c r="E3395" s="73">
        <v>1</v>
      </c>
      <c r="F3395" s="74" t="s">
        <v>54</v>
      </c>
      <c r="G3395" s="77">
        <v>16980.000000000007</v>
      </c>
      <c r="H3395" s="77">
        <v>17280.000000000007</v>
      </c>
      <c r="I3395" s="76">
        <v>0.1</v>
      </c>
    </row>
    <row r="3396" spans="3:9" x14ac:dyDescent="0.35">
      <c r="C3396" t="s">
        <v>312</v>
      </c>
      <c r="D3396" s="3">
        <v>2023</v>
      </c>
      <c r="E3396" s="73">
        <v>1</v>
      </c>
      <c r="F3396" s="74" t="s">
        <v>54</v>
      </c>
      <c r="G3396" s="77">
        <v>17280.000000000007</v>
      </c>
      <c r="H3396" s="77"/>
      <c r="I3396" s="76">
        <v>0</v>
      </c>
    </row>
    <row r="3397" spans="3:9" x14ac:dyDescent="0.35">
      <c r="C3397" t="s">
        <v>312</v>
      </c>
      <c r="D3397" s="3">
        <v>2023</v>
      </c>
      <c r="E3397" s="73">
        <v>1</v>
      </c>
      <c r="F3397" s="74" t="s">
        <v>34</v>
      </c>
      <c r="G3397" s="75">
        <v>0</v>
      </c>
      <c r="H3397" s="75">
        <v>14580.000000000009</v>
      </c>
      <c r="I3397" s="76">
        <v>1</v>
      </c>
    </row>
    <row r="3398" spans="3:9" x14ac:dyDescent="0.35">
      <c r="C3398" t="s">
        <v>312</v>
      </c>
      <c r="D3398" s="3">
        <v>2023</v>
      </c>
      <c r="E3398" s="73">
        <v>1</v>
      </c>
      <c r="F3398" s="74" t="s">
        <v>34</v>
      </c>
      <c r="G3398" s="77">
        <v>14580.000000000009</v>
      </c>
      <c r="H3398" s="77">
        <v>14880.000000000009</v>
      </c>
      <c r="I3398" s="76">
        <v>0.9</v>
      </c>
    </row>
    <row r="3399" spans="3:9" x14ac:dyDescent="0.35">
      <c r="C3399" t="s">
        <v>312</v>
      </c>
      <c r="D3399" s="3">
        <v>2023</v>
      </c>
      <c r="E3399" s="73">
        <v>1</v>
      </c>
      <c r="F3399" s="74" t="s">
        <v>34</v>
      </c>
      <c r="G3399" s="77">
        <v>14880.000000000009</v>
      </c>
      <c r="H3399" s="77">
        <v>15180.000000000009</v>
      </c>
      <c r="I3399" s="76">
        <v>0.8</v>
      </c>
    </row>
    <row r="3400" spans="3:9" x14ac:dyDescent="0.35">
      <c r="C3400" t="s">
        <v>312</v>
      </c>
      <c r="D3400" s="3">
        <v>2023</v>
      </c>
      <c r="E3400" s="73">
        <v>1</v>
      </c>
      <c r="F3400" s="74" t="s">
        <v>34</v>
      </c>
      <c r="G3400" s="77">
        <v>15180.000000000009</v>
      </c>
      <c r="H3400" s="77">
        <v>15480.000000000009</v>
      </c>
      <c r="I3400" s="76">
        <v>0.7</v>
      </c>
    </row>
    <row r="3401" spans="3:9" x14ac:dyDescent="0.35">
      <c r="C3401" t="s">
        <v>312</v>
      </c>
      <c r="D3401" s="3">
        <v>2023</v>
      </c>
      <c r="E3401" s="73">
        <v>1</v>
      </c>
      <c r="F3401" s="74" t="s">
        <v>34</v>
      </c>
      <c r="G3401" s="77">
        <v>15480.000000000009</v>
      </c>
      <c r="H3401" s="77">
        <v>15780.000000000009</v>
      </c>
      <c r="I3401" s="76">
        <v>0.6</v>
      </c>
    </row>
    <row r="3402" spans="3:9" x14ac:dyDescent="0.35">
      <c r="C3402" t="s">
        <v>312</v>
      </c>
      <c r="D3402" s="3">
        <v>2023</v>
      </c>
      <c r="E3402" s="73">
        <v>1</v>
      </c>
      <c r="F3402" s="74" t="s">
        <v>34</v>
      </c>
      <c r="G3402" s="77">
        <v>15780.000000000009</v>
      </c>
      <c r="H3402" s="77">
        <v>16080.000000000009</v>
      </c>
      <c r="I3402" s="76">
        <v>0.5</v>
      </c>
    </row>
    <row r="3403" spans="3:9" x14ac:dyDescent="0.35">
      <c r="C3403" t="s">
        <v>312</v>
      </c>
      <c r="D3403" s="3">
        <v>2023</v>
      </c>
      <c r="E3403" s="73">
        <v>1</v>
      </c>
      <c r="F3403" s="74" t="s">
        <v>34</v>
      </c>
      <c r="G3403" s="77">
        <v>16080.000000000009</v>
      </c>
      <c r="H3403" s="77">
        <v>16380.000000000009</v>
      </c>
      <c r="I3403" s="76">
        <v>0.4</v>
      </c>
    </row>
    <row r="3404" spans="3:9" x14ac:dyDescent="0.35">
      <c r="C3404" t="s">
        <v>312</v>
      </c>
      <c r="D3404" s="3">
        <v>2023</v>
      </c>
      <c r="E3404" s="73">
        <v>1</v>
      </c>
      <c r="F3404" s="74" t="s">
        <v>34</v>
      </c>
      <c r="G3404" s="77">
        <v>16380.000000000009</v>
      </c>
      <c r="H3404" s="77">
        <v>16680.000000000007</v>
      </c>
      <c r="I3404" s="76">
        <v>0.3</v>
      </c>
    </row>
    <row r="3405" spans="3:9" x14ac:dyDescent="0.35">
      <c r="C3405" t="s">
        <v>312</v>
      </c>
      <c r="D3405" s="3">
        <v>2023</v>
      </c>
      <c r="E3405" s="73">
        <v>1</v>
      </c>
      <c r="F3405" s="74" t="s">
        <v>34</v>
      </c>
      <c r="G3405" s="77">
        <v>16680.000000000007</v>
      </c>
      <c r="H3405" s="77">
        <v>16980.000000000007</v>
      </c>
      <c r="I3405" s="76">
        <v>0.2</v>
      </c>
    </row>
    <row r="3406" spans="3:9" x14ac:dyDescent="0.35">
      <c r="C3406" t="s">
        <v>312</v>
      </c>
      <c r="D3406" s="3">
        <v>2023</v>
      </c>
      <c r="E3406" s="73">
        <v>1</v>
      </c>
      <c r="F3406" s="74" t="s">
        <v>34</v>
      </c>
      <c r="G3406" s="77">
        <v>16980.000000000007</v>
      </c>
      <c r="H3406" s="77">
        <v>17280.000000000007</v>
      </c>
      <c r="I3406" s="76">
        <v>0.1</v>
      </c>
    </row>
    <row r="3407" spans="3:9" x14ac:dyDescent="0.35">
      <c r="C3407" t="s">
        <v>312</v>
      </c>
      <c r="D3407" s="3">
        <v>2023</v>
      </c>
      <c r="E3407" s="73">
        <v>1</v>
      </c>
      <c r="F3407" s="74" t="s">
        <v>34</v>
      </c>
      <c r="G3407" s="77">
        <v>17280.000000000007</v>
      </c>
      <c r="H3407" s="77"/>
      <c r="I3407" s="76">
        <v>0</v>
      </c>
    </row>
    <row r="3408" spans="3:9" x14ac:dyDescent="0.35">
      <c r="C3408" t="s">
        <v>312</v>
      </c>
      <c r="D3408" s="3">
        <v>2023</v>
      </c>
      <c r="E3408" s="73">
        <v>1</v>
      </c>
      <c r="F3408" s="74" t="s">
        <v>40</v>
      </c>
      <c r="G3408" s="75">
        <v>0</v>
      </c>
      <c r="H3408" s="75">
        <v>14580.000000000009</v>
      </c>
      <c r="I3408" s="76">
        <v>1</v>
      </c>
    </row>
    <row r="3409" spans="3:9" x14ac:dyDescent="0.35">
      <c r="C3409" t="s">
        <v>312</v>
      </c>
      <c r="D3409" s="3">
        <v>2023</v>
      </c>
      <c r="E3409" s="73">
        <v>1</v>
      </c>
      <c r="F3409" s="74" t="s">
        <v>40</v>
      </c>
      <c r="G3409" s="77">
        <v>14580.000000000009</v>
      </c>
      <c r="H3409" s="77">
        <v>14880.000000000009</v>
      </c>
      <c r="I3409" s="76">
        <v>0.9</v>
      </c>
    </row>
    <row r="3410" spans="3:9" x14ac:dyDescent="0.35">
      <c r="C3410" t="s">
        <v>312</v>
      </c>
      <c r="D3410" s="3">
        <v>2023</v>
      </c>
      <c r="E3410" s="73">
        <v>1</v>
      </c>
      <c r="F3410" s="74" t="s">
        <v>40</v>
      </c>
      <c r="G3410" s="77">
        <v>14880.000000000009</v>
      </c>
      <c r="H3410" s="77">
        <v>15180.000000000009</v>
      </c>
      <c r="I3410" s="76">
        <v>0.8</v>
      </c>
    </row>
    <row r="3411" spans="3:9" x14ac:dyDescent="0.35">
      <c r="C3411" t="s">
        <v>312</v>
      </c>
      <c r="D3411" s="3">
        <v>2023</v>
      </c>
      <c r="E3411" s="73">
        <v>1</v>
      </c>
      <c r="F3411" s="74" t="s">
        <v>40</v>
      </c>
      <c r="G3411" s="77">
        <v>15180.000000000009</v>
      </c>
      <c r="H3411" s="77">
        <v>15480.000000000009</v>
      </c>
      <c r="I3411" s="76">
        <v>0.7</v>
      </c>
    </row>
    <row r="3412" spans="3:9" x14ac:dyDescent="0.35">
      <c r="C3412" t="s">
        <v>312</v>
      </c>
      <c r="D3412" s="3">
        <v>2023</v>
      </c>
      <c r="E3412" s="73">
        <v>1</v>
      </c>
      <c r="F3412" s="74" t="s">
        <v>40</v>
      </c>
      <c r="G3412" s="77">
        <v>15480.000000000009</v>
      </c>
      <c r="H3412" s="77">
        <v>15780.000000000009</v>
      </c>
      <c r="I3412" s="76">
        <v>0.6</v>
      </c>
    </row>
    <row r="3413" spans="3:9" x14ac:dyDescent="0.35">
      <c r="C3413" t="s">
        <v>312</v>
      </c>
      <c r="D3413" s="3">
        <v>2023</v>
      </c>
      <c r="E3413" s="73">
        <v>1</v>
      </c>
      <c r="F3413" s="74" t="s">
        <v>40</v>
      </c>
      <c r="G3413" s="77">
        <v>15780.000000000009</v>
      </c>
      <c r="H3413" s="77">
        <v>16080.000000000009</v>
      </c>
      <c r="I3413" s="76">
        <v>0.5</v>
      </c>
    </row>
    <row r="3414" spans="3:9" x14ac:dyDescent="0.35">
      <c r="C3414" t="s">
        <v>312</v>
      </c>
      <c r="D3414" s="3">
        <v>2023</v>
      </c>
      <c r="E3414" s="73">
        <v>1</v>
      </c>
      <c r="F3414" s="74" t="s">
        <v>40</v>
      </c>
      <c r="G3414" s="77">
        <v>16080.000000000009</v>
      </c>
      <c r="H3414" s="77">
        <v>16380.000000000009</v>
      </c>
      <c r="I3414" s="76">
        <v>0.4</v>
      </c>
    </row>
    <row r="3415" spans="3:9" x14ac:dyDescent="0.35">
      <c r="C3415" t="s">
        <v>312</v>
      </c>
      <c r="D3415" s="3">
        <v>2023</v>
      </c>
      <c r="E3415" s="73">
        <v>1</v>
      </c>
      <c r="F3415" s="74" t="s">
        <v>40</v>
      </c>
      <c r="G3415" s="77">
        <v>16380.000000000009</v>
      </c>
      <c r="H3415" s="77">
        <v>16680.000000000007</v>
      </c>
      <c r="I3415" s="76">
        <v>0.3</v>
      </c>
    </row>
    <row r="3416" spans="3:9" x14ac:dyDescent="0.35">
      <c r="C3416" t="s">
        <v>312</v>
      </c>
      <c r="D3416" s="3">
        <v>2023</v>
      </c>
      <c r="E3416" s="73">
        <v>1</v>
      </c>
      <c r="F3416" s="74" t="s">
        <v>40</v>
      </c>
      <c r="G3416" s="77">
        <v>16680.000000000007</v>
      </c>
      <c r="H3416" s="77">
        <v>16980.000000000007</v>
      </c>
      <c r="I3416" s="76">
        <v>0.2</v>
      </c>
    </row>
    <row r="3417" spans="3:9" x14ac:dyDescent="0.35">
      <c r="C3417" t="s">
        <v>312</v>
      </c>
      <c r="D3417" s="3">
        <v>2023</v>
      </c>
      <c r="E3417" s="73">
        <v>1</v>
      </c>
      <c r="F3417" s="74" t="s">
        <v>40</v>
      </c>
      <c r="G3417" s="77">
        <v>16980.000000000007</v>
      </c>
      <c r="H3417" s="77">
        <v>17280.000000000007</v>
      </c>
      <c r="I3417" s="76">
        <v>0.1</v>
      </c>
    </row>
    <row r="3418" spans="3:9" x14ac:dyDescent="0.35">
      <c r="C3418" t="s">
        <v>312</v>
      </c>
      <c r="D3418" s="3">
        <v>2023</v>
      </c>
      <c r="E3418" s="73">
        <v>1</v>
      </c>
      <c r="F3418" s="74" t="s">
        <v>40</v>
      </c>
      <c r="G3418" s="77">
        <v>17280.000000000007</v>
      </c>
      <c r="H3418" s="77"/>
      <c r="I3418" s="76">
        <v>0</v>
      </c>
    </row>
    <row r="3419" spans="3:9" x14ac:dyDescent="0.35">
      <c r="C3419" t="s">
        <v>312</v>
      </c>
      <c r="D3419" s="3">
        <v>2023</v>
      </c>
      <c r="E3419" s="73">
        <v>1</v>
      </c>
      <c r="F3419" s="74" t="s">
        <v>313</v>
      </c>
      <c r="G3419" s="75">
        <v>0</v>
      </c>
      <c r="H3419" s="75">
        <v>14580.000000000009</v>
      </c>
      <c r="I3419" s="76">
        <v>1</v>
      </c>
    </row>
    <row r="3420" spans="3:9" x14ac:dyDescent="0.35">
      <c r="C3420" t="s">
        <v>312</v>
      </c>
      <c r="D3420" s="3">
        <v>2023</v>
      </c>
      <c r="E3420" s="73">
        <v>1</v>
      </c>
      <c r="F3420" s="74" t="s">
        <v>313</v>
      </c>
      <c r="G3420" s="77">
        <v>14580.000000000009</v>
      </c>
      <c r="H3420" s="77">
        <v>14880.000000000009</v>
      </c>
      <c r="I3420" s="76">
        <v>0.9</v>
      </c>
    </row>
    <row r="3421" spans="3:9" x14ac:dyDescent="0.35">
      <c r="C3421" t="s">
        <v>312</v>
      </c>
      <c r="D3421" s="3">
        <v>2023</v>
      </c>
      <c r="E3421" s="73">
        <v>1</v>
      </c>
      <c r="F3421" s="74" t="s">
        <v>313</v>
      </c>
      <c r="G3421" s="77">
        <v>14880.000000000009</v>
      </c>
      <c r="H3421" s="77">
        <v>15180.000000000009</v>
      </c>
      <c r="I3421" s="76">
        <v>0.8</v>
      </c>
    </row>
    <row r="3422" spans="3:9" x14ac:dyDescent="0.35">
      <c r="C3422" t="s">
        <v>312</v>
      </c>
      <c r="D3422" s="3">
        <v>2023</v>
      </c>
      <c r="E3422" s="73">
        <v>1</v>
      </c>
      <c r="F3422" s="74" t="s">
        <v>313</v>
      </c>
      <c r="G3422" s="77">
        <v>15180.000000000009</v>
      </c>
      <c r="H3422" s="77">
        <v>15480.000000000009</v>
      </c>
      <c r="I3422" s="76">
        <v>0.7</v>
      </c>
    </row>
    <row r="3423" spans="3:9" x14ac:dyDescent="0.35">
      <c r="C3423" t="s">
        <v>312</v>
      </c>
      <c r="D3423" s="3">
        <v>2023</v>
      </c>
      <c r="E3423" s="73">
        <v>1</v>
      </c>
      <c r="F3423" s="74" t="s">
        <v>313</v>
      </c>
      <c r="G3423" s="77">
        <v>15480.000000000009</v>
      </c>
      <c r="H3423" s="77">
        <v>15780.000000000009</v>
      </c>
      <c r="I3423" s="76">
        <v>0.6</v>
      </c>
    </row>
    <row r="3424" spans="3:9" x14ac:dyDescent="0.35">
      <c r="C3424" t="s">
        <v>312</v>
      </c>
      <c r="D3424" s="3">
        <v>2023</v>
      </c>
      <c r="E3424" s="73">
        <v>1</v>
      </c>
      <c r="F3424" s="74" t="s">
        <v>313</v>
      </c>
      <c r="G3424" s="77">
        <v>15780.000000000009</v>
      </c>
      <c r="H3424" s="77">
        <v>16080.000000000009</v>
      </c>
      <c r="I3424" s="76">
        <v>0.5</v>
      </c>
    </row>
    <row r="3425" spans="3:9" x14ac:dyDescent="0.35">
      <c r="C3425" t="s">
        <v>312</v>
      </c>
      <c r="D3425" s="3">
        <v>2023</v>
      </c>
      <c r="E3425" s="73">
        <v>1</v>
      </c>
      <c r="F3425" s="74" t="s">
        <v>313</v>
      </c>
      <c r="G3425" s="77">
        <v>16080.000000000009</v>
      </c>
      <c r="H3425" s="77">
        <v>16380.000000000009</v>
      </c>
      <c r="I3425" s="76">
        <v>0.4</v>
      </c>
    </row>
    <row r="3426" spans="3:9" x14ac:dyDescent="0.35">
      <c r="C3426" t="s">
        <v>312</v>
      </c>
      <c r="D3426" s="3">
        <v>2023</v>
      </c>
      <c r="E3426" s="73">
        <v>1</v>
      </c>
      <c r="F3426" s="74" t="s">
        <v>313</v>
      </c>
      <c r="G3426" s="77">
        <v>16380.000000000009</v>
      </c>
      <c r="H3426" s="77">
        <v>16680.000000000007</v>
      </c>
      <c r="I3426" s="76">
        <v>0.3</v>
      </c>
    </row>
    <row r="3427" spans="3:9" x14ac:dyDescent="0.35">
      <c r="C3427" t="s">
        <v>312</v>
      </c>
      <c r="D3427" s="3">
        <v>2023</v>
      </c>
      <c r="E3427" s="73">
        <v>1</v>
      </c>
      <c r="F3427" s="74" t="s">
        <v>313</v>
      </c>
      <c r="G3427" s="77">
        <v>16680.000000000007</v>
      </c>
      <c r="H3427" s="77">
        <v>16980.000000000007</v>
      </c>
      <c r="I3427" s="76">
        <v>0.2</v>
      </c>
    </row>
    <row r="3428" spans="3:9" x14ac:dyDescent="0.35">
      <c r="C3428" t="s">
        <v>312</v>
      </c>
      <c r="D3428" s="3">
        <v>2023</v>
      </c>
      <c r="E3428" s="73">
        <v>1</v>
      </c>
      <c r="F3428" s="74" t="s">
        <v>313</v>
      </c>
      <c r="G3428" s="77">
        <v>16980.000000000007</v>
      </c>
      <c r="H3428" s="77">
        <v>17280.000000000007</v>
      </c>
      <c r="I3428" s="76">
        <v>0.1</v>
      </c>
    </row>
    <row r="3429" spans="3:9" x14ac:dyDescent="0.35">
      <c r="C3429" t="s">
        <v>312</v>
      </c>
      <c r="D3429" s="3">
        <v>2023</v>
      </c>
      <c r="E3429" s="73">
        <v>1</v>
      </c>
      <c r="F3429" s="74" t="s">
        <v>313</v>
      </c>
      <c r="G3429" s="77">
        <v>17280.000000000007</v>
      </c>
      <c r="H3429" s="77"/>
      <c r="I3429" s="76">
        <v>0</v>
      </c>
    </row>
    <row r="3430" spans="3:9" x14ac:dyDescent="0.35">
      <c r="C3430" t="s">
        <v>312</v>
      </c>
      <c r="D3430" s="3">
        <v>2023</v>
      </c>
      <c r="E3430" s="73">
        <v>2</v>
      </c>
      <c r="F3430" s="74" t="s">
        <v>54</v>
      </c>
      <c r="G3430" s="77">
        <v>0</v>
      </c>
      <c r="H3430" s="77">
        <v>19720.000000000015</v>
      </c>
      <c r="I3430" s="76">
        <v>1</v>
      </c>
    </row>
    <row r="3431" spans="3:9" x14ac:dyDescent="0.35">
      <c r="C3431" t="s">
        <v>312</v>
      </c>
      <c r="D3431" s="3">
        <v>2023</v>
      </c>
      <c r="E3431" s="78">
        <f>E3430</f>
        <v>2</v>
      </c>
      <c r="F3431" s="74" t="s">
        <v>54</v>
      </c>
      <c r="G3431" s="77">
        <v>19720.000000000015</v>
      </c>
      <c r="H3431" s="77">
        <v>20020.000000000015</v>
      </c>
      <c r="I3431" s="76">
        <v>0.9</v>
      </c>
    </row>
    <row r="3432" spans="3:9" x14ac:dyDescent="0.35">
      <c r="C3432" t="s">
        <v>312</v>
      </c>
      <c r="D3432" s="3">
        <v>2023</v>
      </c>
      <c r="E3432" s="78">
        <f t="shared" ref="E3432:E3473" si="576">E3431</f>
        <v>2</v>
      </c>
      <c r="F3432" s="74" t="s">
        <v>54</v>
      </c>
      <c r="G3432" s="77">
        <v>20020.000000000015</v>
      </c>
      <c r="H3432" s="77">
        <v>20320.000000000015</v>
      </c>
      <c r="I3432" s="76">
        <v>0.8</v>
      </c>
    </row>
    <row r="3433" spans="3:9" x14ac:dyDescent="0.35">
      <c r="C3433" t="s">
        <v>312</v>
      </c>
      <c r="D3433" s="3">
        <v>2023</v>
      </c>
      <c r="E3433" s="78">
        <f t="shared" si="576"/>
        <v>2</v>
      </c>
      <c r="F3433" s="74" t="s">
        <v>54</v>
      </c>
      <c r="G3433" s="77">
        <v>20320.000000000015</v>
      </c>
      <c r="H3433" s="77">
        <v>20620.000000000015</v>
      </c>
      <c r="I3433" s="76">
        <v>0.7</v>
      </c>
    </row>
    <row r="3434" spans="3:9" x14ac:dyDescent="0.35">
      <c r="C3434" t="s">
        <v>312</v>
      </c>
      <c r="D3434" s="3">
        <v>2023</v>
      </c>
      <c r="E3434" s="78">
        <f t="shared" si="576"/>
        <v>2</v>
      </c>
      <c r="F3434" s="74" t="s">
        <v>54</v>
      </c>
      <c r="G3434" s="77">
        <v>20620.000000000015</v>
      </c>
      <c r="H3434" s="77">
        <v>20920.000000000015</v>
      </c>
      <c r="I3434" s="76">
        <v>0.6</v>
      </c>
    </row>
    <row r="3435" spans="3:9" x14ac:dyDescent="0.35">
      <c r="C3435" t="s">
        <v>312</v>
      </c>
      <c r="D3435" s="3">
        <v>2023</v>
      </c>
      <c r="E3435" s="78">
        <f t="shared" si="576"/>
        <v>2</v>
      </c>
      <c r="F3435" s="74" t="s">
        <v>54</v>
      </c>
      <c r="G3435" s="77">
        <v>20920.000000000015</v>
      </c>
      <c r="H3435" s="77">
        <v>21220.000000000015</v>
      </c>
      <c r="I3435" s="76">
        <v>0.5</v>
      </c>
    </row>
    <row r="3436" spans="3:9" x14ac:dyDescent="0.35">
      <c r="C3436" t="s">
        <v>312</v>
      </c>
      <c r="D3436" s="3">
        <v>2023</v>
      </c>
      <c r="E3436" s="78">
        <f t="shared" si="576"/>
        <v>2</v>
      </c>
      <c r="F3436" s="74" t="s">
        <v>54</v>
      </c>
      <c r="G3436" s="77">
        <v>21220.000000000015</v>
      </c>
      <c r="H3436" s="77">
        <v>21520.000000000015</v>
      </c>
      <c r="I3436" s="76">
        <v>0.4</v>
      </c>
    </row>
    <row r="3437" spans="3:9" x14ac:dyDescent="0.35">
      <c r="C3437" t="s">
        <v>312</v>
      </c>
      <c r="D3437" s="3">
        <v>2023</v>
      </c>
      <c r="E3437" s="78">
        <f t="shared" si="576"/>
        <v>2</v>
      </c>
      <c r="F3437" s="74" t="s">
        <v>54</v>
      </c>
      <c r="G3437" s="77">
        <v>21520.000000000015</v>
      </c>
      <c r="H3437" s="77">
        <v>21820.000000000015</v>
      </c>
      <c r="I3437" s="76">
        <v>0.3</v>
      </c>
    </row>
    <row r="3438" spans="3:9" x14ac:dyDescent="0.35">
      <c r="C3438" t="s">
        <v>312</v>
      </c>
      <c r="D3438" s="3">
        <v>2023</v>
      </c>
      <c r="E3438" s="78">
        <f t="shared" si="576"/>
        <v>2</v>
      </c>
      <c r="F3438" s="74" t="s">
        <v>54</v>
      </c>
      <c r="G3438" s="77">
        <v>21820.000000000015</v>
      </c>
      <c r="H3438" s="77">
        <v>22120.000000000015</v>
      </c>
      <c r="I3438" s="76">
        <v>0.2</v>
      </c>
    </row>
    <row r="3439" spans="3:9" x14ac:dyDescent="0.35">
      <c r="C3439" t="s">
        <v>312</v>
      </c>
      <c r="D3439" s="3">
        <v>2023</v>
      </c>
      <c r="E3439" s="78">
        <f t="shared" si="576"/>
        <v>2</v>
      </c>
      <c r="F3439" s="74" t="s">
        <v>54</v>
      </c>
      <c r="G3439" s="77">
        <v>22120.000000000015</v>
      </c>
      <c r="H3439" s="77">
        <v>22420.000000000015</v>
      </c>
      <c r="I3439" s="76">
        <v>0.1</v>
      </c>
    </row>
    <row r="3440" spans="3:9" x14ac:dyDescent="0.35">
      <c r="C3440" t="s">
        <v>312</v>
      </c>
      <c r="D3440" s="3">
        <v>2023</v>
      </c>
      <c r="E3440" s="78">
        <f t="shared" si="576"/>
        <v>2</v>
      </c>
      <c r="F3440" s="74" t="s">
        <v>54</v>
      </c>
      <c r="G3440" s="77">
        <v>22420.000000000015</v>
      </c>
      <c r="H3440" s="77"/>
      <c r="I3440" s="76">
        <v>0</v>
      </c>
    </row>
    <row r="3441" spans="3:9" x14ac:dyDescent="0.35">
      <c r="C3441" t="s">
        <v>312</v>
      </c>
      <c r="D3441" s="3">
        <v>2023</v>
      </c>
      <c r="E3441" s="78">
        <f t="shared" si="576"/>
        <v>2</v>
      </c>
      <c r="F3441" s="74" t="s">
        <v>34</v>
      </c>
      <c r="G3441" s="77">
        <v>0</v>
      </c>
      <c r="H3441" s="75">
        <v>19720.000000000015</v>
      </c>
      <c r="I3441" s="76">
        <v>1</v>
      </c>
    </row>
    <row r="3442" spans="3:9" x14ac:dyDescent="0.35">
      <c r="C3442" t="s">
        <v>312</v>
      </c>
      <c r="D3442" s="3">
        <v>2023</v>
      </c>
      <c r="E3442" s="78">
        <f t="shared" si="576"/>
        <v>2</v>
      </c>
      <c r="F3442" s="74" t="s">
        <v>34</v>
      </c>
      <c r="G3442" s="77">
        <v>19720.000000000015</v>
      </c>
      <c r="H3442" s="77">
        <v>20020.000000000015</v>
      </c>
      <c r="I3442" s="76">
        <v>0.9</v>
      </c>
    </row>
    <row r="3443" spans="3:9" x14ac:dyDescent="0.35">
      <c r="C3443" t="s">
        <v>312</v>
      </c>
      <c r="D3443" s="3">
        <v>2023</v>
      </c>
      <c r="E3443" s="78">
        <f t="shared" si="576"/>
        <v>2</v>
      </c>
      <c r="F3443" s="74" t="s">
        <v>34</v>
      </c>
      <c r="G3443" s="77">
        <v>20020.000000000015</v>
      </c>
      <c r="H3443" s="77">
        <v>20320.000000000015</v>
      </c>
      <c r="I3443" s="76">
        <v>0.8</v>
      </c>
    </row>
    <row r="3444" spans="3:9" x14ac:dyDescent="0.35">
      <c r="C3444" t="s">
        <v>312</v>
      </c>
      <c r="D3444" s="3">
        <v>2023</v>
      </c>
      <c r="E3444" s="78">
        <f t="shared" si="576"/>
        <v>2</v>
      </c>
      <c r="F3444" s="74" t="s">
        <v>34</v>
      </c>
      <c r="G3444" s="77">
        <v>20320.000000000015</v>
      </c>
      <c r="H3444" s="77">
        <v>20620.000000000015</v>
      </c>
      <c r="I3444" s="76">
        <v>0.7</v>
      </c>
    </row>
    <row r="3445" spans="3:9" x14ac:dyDescent="0.35">
      <c r="C3445" t="s">
        <v>312</v>
      </c>
      <c r="D3445" s="3">
        <v>2023</v>
      </c>
      <c r="E3445" s="78">
        <f t="shared" si="576"/>
        <v>2</v>
      </c>
      <c r="F3445" s="74" t="s">
        <v>34</v>
      </c>
      <c r="G3445" s="77">
        <v>20620.000000000015</v>
      </c>
      <c r="H3445" s="77">
        <v>20920.000000000015</v>
      </c>
      <c r="I3445" s="76">
        <v>0.6</v>
      </c>
    </row>
    <row r="3446" spans="3:9" x14ac:dyDescent="0.35">
      <c r="C3446" t="s">
        <v>312</v>
      </c>
      <c r="D3446" s="3">
        <v>2023</v>
      </c>
      <c r="E3446" s="78">
        <f t="shared" si="576"/>
        <v>2</v>
      </c>
      <c r="F3446" s="74" t="s">
        <v>34</v>
      </c>
      <c r="G3446" s="77">
        <v>20920.000000000015</v>
      </c>
      <c r="H3446" s="77">
        <v>21220.000000000015</v>
      </c>
      <c r="I3446" s="76">
        <v>0.5</v>
      </c>
    </row>
    <row r="3447" spans="3:9" x14ac:dyDescent="0.35">
      <c r="C3447" t="s">
        <v>312</v>
      </c>
      <c r="D3447" s="3">
        <v>2023</v>
      </c>
      <c r="E3447" s="78">
        <f t="shared" si="576"/>
        <v>2</v>
      </c>
      <c r="F3447" s="74" t="s">
        <v>34</v>
      </c>
      <c r="G3447" s="77">
        <v>21220.000000000015</v>
      </c>
      <c r="H3447" s="77">
        <v>21520.000000000015</v>
      </c>
      <c r="I3447" s="76">
        <v>0.4</v>
      </c>
    </row>
    <row r="3448" spans="3:9" x14ac:dyDescent="0.35">
      <c r="C3448" t="s">
        <v>312</v>
      </c>
      <c r="D3448" s="3">
        <v>2023</v>
      </c>
      <c r="E3448" s="78">
        <f t="shared" si="576"/>
        <v>2</v>
      </c>
      <c r="F3448" s="74" t="s">
        <v>34</v>
      </c>
      <c r="G3448" s="77">
        <v>21520.000000000015</v>
      </c>
      <c r="H3448" s="77">
        <v>21820.000000000015</v>
      </c>
      <c r="I3448" s="76">
        <v>0.3</v>
      </c>
    </row>
    <row r="3449" spans="3:9" x14ac:dyDescent="0.35">
      <c r="C3449" t="s">
        <v>312</v>
      </c>
      <c r="D3449" s="3">
        <v>2023</v>
      </c>
      <c r="E3449" s="78">
        <f t="shared" si="576"/>
        <v>2</v>
      </c>
      <c r="F3449" s="74" t="s">
        <v>34</v>
      </c>
      <c r="G3449" s="77">
        <v>21820.000000000015</v>
      </c>
      <c r="H3449" s="77">
        <v>22120.000000000015</v>
      </c>
      <c r="I3449" s="76">
        <v>0.2</v>
      </c>
    </row>
    <row r="3450" spans="3:9" x14ac:dyDescent="0.35">
      <c r="C3450" t="s">
        <v>312</v>
      </c>
      <c r="D3450" s="3">
        <v>2023</v>
      </c>
      <c r="E3450" s="78">
        <f t="shared" si="576"/>
        <v>2</v>
      </c>
      <c r="F3450" s="74" t="s">
        <v>34</v>
      </c>
      <c r="G3450" s="77">
        <v>22120.000000000015</v>
      </c>
      <c r="H3450" s="77">
        <v>22420.000000000015</v>
      </c>
      <c r="I3450" s="76">
        <v>0.1</v>
      </c>
    </row>
    <row r="3451" spans="3:9" x14ac:dyDescent="0.35">
      <c r="C3451" t="s">
        <v>312</v>
      </c>
      <c r="D3451" s="3">
        <v>2023</v>
      </c>
      <c r="E3451" s="78">
        <f t="shared" si="576"/>
        <v>2</v>
      </c>
      <c r="F3451" s="74" t="s">
        <v>34</v>
      </c>
      <c r="G3451" s="77">
        <v>22420.000000000015</v>
      </c>
      <c r="H3451" s="77"/>
      <c r="I3451" s="76">
        <v>0</v>
      </c>
    </row>
    <row r="3452" spans="3:9" x14ac:dyDescent="0.35">
      <c r="C3452" t="s">
        <v>312</v>
      </c>
      <c r="D3452" s="3">
        <v>2023</v>
      </c>
      <c r="E3452" s="78">
        <f t="shared" si="576"/>
        <v>2</v>
      </c>
      <c r="F3452" s="74" t="s">
        <v>40</v>
      </c>
      <c r="G3452" s="77">
        <v>0</v>
      </c>
      <c r="H3452" s="75">
        <v>19720.000000000015</v>
      </c>
      <c r="I3452" s="76">
        <v>1</v>
      </c>
    </row>
    <row r="3453" spans="3:9" x14ac:dyDescent="0.35">
      <c r="C3453" t="s">
        <v>312</v>
      </c>
      <c r="D3453" s="3">
        <v>2023</v>
      </c>
      <c r="E3453" s="78">
        <f t="shared" si="576"/>
        <v>2</v>
      </c>
      <c r="F3453" s="74" t="s">
        <v>40</v>
      </c>
      <c r="G3453" s="77">
        <v>19720.000000000015</v>
      </c>
      <c r="H3453" s="77">
        <v>20020.000000000015</v>
      </c>
      <c r="I3453" s="76">
        <v>0.9</v>
      </c>
    </row>
    <row r="3454" spans="3:9" x14ac:dyDescent="0.35">
      <c r="C3454" t="s">
        <v>312</v>
      </c>
      <c r="D3454" s="3">
        <v>2023</v>
      </c>
      <c r="E3454" s="78">
        <f t="shared" si="576"/>
        <v>2</v>
      </c>
      <c r="F3454" s="74" t="s">
        <v>40</v>
      </c>
      <c r="G3454" s="77">
        <v>20020.000000000015</v>
      </c>
      <c r="H3454" s="77">
        <v>20320.000000000015</v>
      </c>
      <c r="I3454" s="76">
        <v>0.8</v>
      </c>
    </row>
    <row r="3455" spans="3:9" x14ac:dyDescent="0.35">
      <c r="C3455" t="s">
        <v>312</v>
      </c>
      <c r="D3455" s="3">
        <v>2023</v>
      </c>
      <c r="E3455" s="78">
        <f t="shared" si="576"/>
        <v>2</v>
      </c>
      <c r="F3455" s="74" t="s">
        <v>40</v>
      </c>
      <c r="G3455" s="77">
        <v>20320.000000000015</v>
      </c>
      <c r="H3455" s="77">
        <v>20620.000000000015</v>
      </c>
      <c r="I3455" s="76">
        <v>0.7</v>
      </c>
    </row>
    <row r="3456" spans="3:9" x14ac:dyDescent="0.35">
      <c r="C3456" t="s">
        <v>312</v>
      </c>
      <c r="D3456" s="3">
        <v>2023</v>
      </c>
      <c r="E3456" s="78">
        <f t="shared" si="576"/>
        <v>2</v>
      </c>
      <c r="F3456" s="74" t="s">
        <v>40</v>
      </c>
      <c r="G3456" s="77">
        <v>20620.000000000015</v>
      </c>
      <c r="H3456" s="77">
        <v>20920.000000000015</v>
      </c>
      <c r="I3456" s="76">
        <v>0.6</v>
      </c>
    </row>
    <row r="3457" spans="3:9" x14ac:dyDescent="0.35">
      <c r="C3457" t="s">
        <v>312</v>
      </c>
      <c r="D3457" s="3">
        <v>2023</v>
      </c>
      <c r="E3457" s="78">
        <f t="shared" si="576"/>
        <v>2</v>
      </c>
      <c r="F3457" s="74" t="s">
        <v>40</v>
      </c>
      <c r="G3457" s="77">
        <v>20920.000000000015</v>
      </c>
      <c r="H3457" s="77">
        <v>21220.000000000015</v>
      </c>
      <c r="I3457" s="76">
        <v>0.5</v>
      </c>
    </row>
    <row r="3458" spans="3:9" x14ac:dyDescent="0.35">
      <c r="C3458" t="s">
        <v>312</v>
      </c>
      <c r="D3458" s="3">
        <v>2023</v>
      </c>
      <c r="E3458" s="78">
        <f t="shared" si="576"/>
        <v>2</v>
      </c>
      <c r="F3458" s="74" t="s">
        <v>40</v>
      </c>
      <c r="G3458" s="77">
        <v>21220.000000000015</v>
      </c>
      <c r="H3458" s="77">
        <v>21520.000000000015</v>
      </c>
      <c r="I3458" s="76">
        <v>0.4</v>
      </c>
    </row>
    <row r="3459" spans="3:9" x14ac:dyDescent="0.35">
      <c r="C3459" t="s">
        <v>312</v>
      </c>
      <c r="D3459" s="3">
        <v>2023</v>
      </c>
      <c r="E3459" s="78">
        <f t="shared" si="576"/>
        <v>2</v>
      </c>
      <c r="F3459" s="74" t="s">
        <v>40</v>
      </c>
      <c r="G3459" s="77">
        <v>21520.000000000015</v>
      </c>
      <c r="H3459" s="77">
        <v>21820.000000000015</v>
      </c>
      <c r="I3459" s="76">
        <v>0.3</v>
      </c>
    </row>
    <row r="3460" spans="3:9" x14ac:dyDescent="0.35">
      <c r="C3460" t="s">
        <v>312</v>
      </c>
      <c r="D3460" s="3">
        <v>2023</v>
      </c>
      <c r="E3460" s="78">
        <f t="shared" si="576"/>
        <v>2</v>
      </c>
      <c r="F3460" s="74" t="s">
        <v>40</v>
      </c>
      <c r="G3460" s="77">
        <v>21820.000000000015</v>
      </c>
      <c r="H3460" s="77">
        <v>22120.000000000015</v>
      </c>
      <c r="I3460" s="76">
        <v>0.2</v>
      </c>
    </row>
    <row r="3461" spans="3:9" x14ac:dyDescent="0.35">
      <c r="C3461" t="s">
        <v>312</v>
      </c>
      <c r="D3461" s="3">
        <v>2023</v>
      </c>
      <c r="E3461" s="78">
        <f t="shared" si="576"/>
        <v>2</v>
      </c>
      <c r="F3461" s="74" t="s">
        <v>40</v>
      </c>
      <c r="G3461" s="77">
        <v>22120.000000000015</v>
      </c>
      <c r="H3461" s="77">
        <v>22420.000000000015</v>
      </c>
      <c r="I3461" s="76">
        <v>0.1</v>
      </c>
    </row>
    <row r="3462" spans="3:9" x14ac:dyDescent="0.35">
      <c r="C3462" t="s">
        <v>312</v>
      </c>
      <c r="D3462" s="3">
        <v>2023</v>
      </c>
      <c r="E3462" s="78">
        <f t="shared" si="576"/>
        <v>2</v>
      </c>
      <c r="F3462" s="74" t="s">
        <v>40</v>
      </c>
      <c r="G3462" s="77">
        <v>22420.000000000015</v>
      </c>
      <c r="H3462" s="77"/>
      <c r="I3462" s="76">
        <v>0</v>
      </c>
    </row>
    <row r="3463" spans="3:9" x14ac:dyDescent="0.35">
      <c r="C3463" t="s">
        <v>312</v>
      </c>
      <c r="D3463" s="3">
        <v>2023</v>
      </c>
      <c r="E3463" s="78">
        <f t="shared" si="576"/>
        <v>2</v>
      </c>
      <c r="F3463" s="74" t="s">
        <v>313</v>
      </c>
      <c r="G3463" s="77">
        <v>0</v>
      </c>
      <c r="H3463" s="75">
        <v>19720.000000000015</v>
      </c>
      <c r="I3463" s="76">
        <v>1</v>
      </c>
    </row>
    <row r="3464" spans="3:9" x14ac:dyDescent="0.35">
      <c r="C3464" t="s">
        <v>312</v>
      </c>
      <c r="D3464" s="3">
        <v>2023</v>
      </c>
      <c r="E3464" s="78">
        <f t="shared" si="576"/>
        <v>2</v>
      </c>
      <c r="F3464" s="74" t="s">
        <v>313</v>
      </c>
      <c r="G3464" s="77">
        <v>19720.000000000015</v>
      </c>
      <c r="H3464" s="77">
        <v>20020.000000000015</v>
      </c>
      <c r="I3464" s="76">
        <v>0.9</v>
      </c>
    </row>
    <row r="3465" spans="3:9" x14ac:dyDescent="0.35">
      <c r="C3465" t="s">
        <v>312</v>
      </c>
      <c r="D3465" s="3">
        <v>2023</v>
      </c>
      <c r="E3465" s="78">
        <f t="shared" si="576"/>
        <v>2</v>
      </c>
      <c r="F3465" s="74" t="s">
        <v>313</v>
      </c>
      <c r="G3465" s="77">
        <v>20020.000000000015</v>
      </c>
      <c r="H3465" s="77">
        <v>20320.000000000015</v>
      </c>
      <c r="I3465" s="76">
        <v>0.8</v>
      </c>
    </row>
    <row r="3466" spans="3:9" x14ac:dyDescent="0.35">
      <c r="C3466" t="s">
        <v>312</v>
      </c>
      <c r="D3466" s="3">
        <v>2023</v>
      </c>
      <c r="E3466" s="78">
        <f t="shared" si="576"/>
        <v>2</v>
      </c>
      <c r="F3466" s="74" t="s">
        <v>313</v>
      </c>
      <c r="G3466" s="77">
        <v>20320.000000000015</v>
      </c>
      <c r="H3466" s="77">
        <v>20620.000000000015</v>
      </c>
      <c r="I3466" s="76">
        <v>0.7</v>
      </c>
    </row>
    <row r="3467" spans="3:9" x14ac:dyDescent="0.35">
      <c r="C3467" t="s">
        <v>312</v>
      </c>
      <c r="D3467" s="3">
        <v>2023</v>
      </c>
      <c r="E3467" s="78">
        <f t="shared" si="576"/>
        <v>2</v>
      </c>
      <c r="F3467" s="74" t="s">
        <v>313</v>
      </c>
      <c r="G3467" s="77">
        <v>20620.000000000015</v>
      </c>
      <c r="H3467" s="77">
        <v>20920.000000000015</v>
      </c>
      <c r="I3467" s="76">
        <v>0.6</v>
      </c>
    </row>
    <row r="3468" spans="3:9" x14ac:dyDescent="0.35">
      <c r="C3468" t="s">
        <v>312</v>
      </c>
      <c r="D3468" s="3">
        <v>2023</v>
      </c>
      <c r="E3468" s="78">
        <f t="shared" si="576"/>
        <v>2</v>
      </c>
      <c r="F3468" s="74" t="s">
        <v>313</v>
      </c>
      <c r="G3468" s="77">
        <v>20920.000000000015</v>
      </c>
      <c r="H3468" s="77">
        <v>21220.000000000015</v>
      </c>
      <c r="I3468" s="76">
        <v>0.5</v>
      </c>
    </row>
    <row r="3469" spans="3:9" x14ac:dyDescent="0.35">
      <c r="C3469" t="s">
        <v>312</v>
      </c>
      <c r="D3469" s="3">
        <v>2023</v>
      </c>
      <c r="E3469" s="78">
        <f t="shared" si="576"/>
        <v>2</v>
      </c>
      <c r="F3469" s="74" t="s">
        <v>313</v>
      </c>
      <c r="G3469" s="77">
        <v>21220.000000000015</v>
      </c>
      <c r="H3469" s="77">
        <v>21520.000000000015</v>
      </c>
      <c r="I3469" s="76">
        <v>0.4</v>
      </c>
    </row>
    <row r="3470" spans="3:9" x14ac:dyDescent="0.35">
      <c r="C3470" t="s">
        <v>312</v>
      </c>
      <c r="D3470" s="3">
        <v>2023</v>
      </c>
      <c r="E3470" s="78">
        <f t="shared" si="576"/>
        <v>2</v>
      </c>
      <c r="F3470" s="74" t="s">
        <v>313</v>
      </c>
      <c r="G3470" s="77">
        <v>21520.000000000015</v>
      </c>
      <c r="H3470" s="77">
        <v>21820.000000000015</v>
      </c>
      <c r="I3470" s="76">
        <v>0.3</v>
      </c>
    </row>
    <row r="3471" spans="3:9" x14ac:dyDescent="0.35">
      <c r="C3471" t="s">
        <v>312</v>
      </c>
      <c r="D3471" s="3">
        <v>2023</v>
      </c>
      <c r="E3471" s="78">
        <f t="shared" si="576"/>
        <v>2</v>
      </c>
      <c r="F3471" s="74" t="s">
        <v>313</v>
      </c>
      <c r="G3471" s="77">
        <v>21820.000000000015</v>
      </c>
      <c r="H3471" s="77">
        <v>22120.000000000015</v>
      </c>
      <c r="I3471" s="76">
        <v>0.2</v>
      </c>
    </row>
    <row r="3472" spans="3:9" x14ac:dyDescent="0.35">
      <c r="C3472" t="s">
        <v>312</v>
      </c>
      <c r="D3472" s="3">
        <v>2023</v>
      </c>
      <c r="E3472" s="78">
        <f t="shared" si="576"/>
        <v>2</v>
      </c>
      <c r="F3472" s="74" t="s">
        <v>313</v>
      </c>
      <c r="G3472" s="77">
        <v>22120.000000000015</v>
      </c>
      <c r="H3472" s="77">
        <v>22420.000000000015</v>
      </c>
      <c r="I3472" s="76">
        <v>0.1</v>
      </c>
    </row>
    <row r="3473" spans="3:9" x14ac:dyDescent="0.35">
      <c r="C3473" t="s">
        <v>312</v>
      </c>
      <c r="D3473" s="3">
        <v>2023</v>
      </c>
      <c r="E3473" s="78">
        <f t="shared" si="576"/>
        <v>2</v>
      </c>
      <c r="F3473" s="74" t="s">
        <v>313</v>
      </c>
      <c r="G3473" s="77">
        <v>22420.000000000015</v>
      </c>
      <c r="H3473" s="77"/>
      <c r="I3473" s="76">
        <v>0</v>
      </c>
    </row>
    <row r="3474" spans="3:9" x14ac:dyDescent="0.35">
      <c r="C3474" t="s">
        <v>312</v>
      </c>
      <c r="D3474" s="3">
        <v>2023</v>
      </c>
      <c r="E3474" s="73">
        <v>3</v>
      </c>
      <c r="F3474" s="74" t="s">
        <v>54</v>
      </c>
      <c r="G3474" s="77">
        <v>0</v>
      </c>
      <c r="H3474" s="77">
        <v>24860.000000000018</v>
      </c>
      <c r="I3474" s="76">
        <v>1</v>
      </c>
    </row>
    <row r="3475" spans="3:9" x14ac:dyDescent="0.35">
      <c r="C3475" t="s">
        <v>312</v>
      </c>
      <c r="D3475" s="3">
        <v>2023</v>
      </c>
      <c r="E3475" s="78">
        <f>E3474</f>
        <v>3</v>
      </c>
      <c r="F3475" s="74" t="s">
        <v>54</v>
      </c>
      <c r="G3475" s="77">
        <v>24860.000000000018</v>
      </c>
      <c r="H3475" s="77">
        <v>25160.000000000018</v>
      </c>
      <c r="I3475" s="76">
        <v>0.9</v>
      </c>
    </row>
    <row r="3476" spans="3:9" x14ac:dyDescent="0.35">
      <c r="C3476" t="s">
        <v>312</v>
      </c>
      <c r="D3476" s="3">
        <v>2023</v>
      </c>
      <c r="E3476" s="78">
        <f t="shared" ref="E3476:E3517" si="577">E3475</f>
        <v>3</v>
      </c>
      <c r="F3476" s="74" t="s">
        <v>54</v>
      </c>
      <c r="G3476" s="77">
        <v>25160.000000000018</v>
      </c>
      <c r="H3476" s="77">
        <v>25460.000000000018</v>
      </c>
      <c r="I3476" s="76">
        <v>0.8</v>
      </c>
    </row>
    <row r="3477" spans="3:9" x14ac:dyDescent="0.35">
      <c r="C3477" t="s">
        <v>312</v>
      </c>
      <c r="D3477" s="3">
        <v>2023</v>
      </c>
      <c r="E3477" s="78">
        <f t="shared" si="577"/>
        <v>3</v>
      </c>
      <c r="F3477" s="74" t="s">
        <v>54</v>
      </c>
      <c r="G3477" s="77">
        <v>25460.000000000018</v>
      </c>
      <c r="H3477" s="77">
        <v>25760.000000000018</v>
      </c>
      <c r="I3477" s="76">
        <v>0.7</v>
      </c>
    </row>
    <row r="3478" spans="3:9" x14ac:dyDescent="0.35">
      <c r="C3478" t="s">
        <v>312</v>
      </c>
      <c r="D3478" s="3">
        <v>2023</v>
      </c>
      <c r="E3478" s="78">
        <f t="shared" si="577"/>
        <v>3</v>
      </c>
      <c r="F3478" s="74" t="s">
        <v>54</v>
      </c>
      <c r="G3478" s="77">
        <v>25760.000000000018</v>
      </c>
      <c r="H3478" s="77">
        <v>26060.000000000018</v>
      </c>
      <c r="I3478" s="76">
        <v>0.6</v>
      </c>
    </row>
    <row r="3479" spans="3:9" x14ac:dyDescent="0.35">
      <c r="C3479" t="s">
        <v>312</v>
      </c>
      <c r="D3479" s="3">
        <v>2023</v>
      </c>
      <c r="E3479" s="78">
        <f t="shared" si="577"/>
        <v>3</v>
      </c>
      <c r="F3479" s="74" t="s">
        <v>54</v>
      </c>
      <c r="G3479" s="77">
        <v>26060.000000000018</v>
      </c>
      <c r="H3479" s="77">
        <v>26360.000000000018</v>
      </c>
      <c r="I3479" s="76">
        <v>0.5</v>
      </c>
    </row>
    <row r="3480" spans="3:9" x14ac:dyDescent="0.35">
      <c r="C3480" t="s">
        <v>312</v>
      </c>
      <c r="D3480" s="3">
        <v>2023</v>
      </c>
      <c r="E3480" s="78">
        <f t="shared" si="577"/>
        <v>3</v>
      </c>
      <c r="F3480" s="74" t="s">
        <v>54</v>
      </c>
      <c r="G3480" s="77">
        <v>26360.000000000018</v>
      </c>
      <c r="H3480" s="77">
        <v>26660.000000000018</v>
      </c>
      <c r="I3480" s="76">
        <v>0.4</v>
      </c>
    </row>
    <row r="3481" spans="3:9" x14ac:dyDescent="0.35">
      <c r="C3481" t="s">
        <v>312</v>
      </c>
      <c r="D3481" s="3">
        <v>2023</v>
      </c>
      <c r="E3481" s="78">
        <f t="shared" si="577"/>
        <v>3</v>
      </c>
      <c r="F3481" s="74" t="s">
        <v>54</v>
      </c>
      <c r="G3481" s="77">
        <v>26660.000000000018</v>
      </c>
      <c r="H3481" s="77">
        <v>26960.000000000018</v>
      </c>
      <c r="I3481" s="76">
        <v>0.3</v>
      </c>
    </row>
    <row r="3482" spans="3:9" x14ac:dyDescent="0.35">
      <c r="C3482" t="s">
        <v>312</v>
      </c>
      <c r="D3482" s="3">
        <v>2023</v>
      </c>
      <c r="E3482" s="78">
        <f t="shared" si="577"/>
        <v>3</v>
      </c>
      <c r="F3482" s="74" t="s">
        <v>54</v>
      </c>
      <c r="G3482" s="77">
        <v>26960.000000000018</v>
      </c>
      <c r="H3482" s="77">
        <v>27260.000000000018</v>
      </c>
      <c r="I3482" s="76">
        <v>0.2</v>
      </c>
    </row>
    <row r="3483" spans="3:9" x14ac:dyDescent="0.35">
      <c r="C3483" t="s">
        <v>312</v>
      </c>
      <c r="D3483" s="3">
        <v>2023</v>
      </c>
      <c r="E3483" s="78">
        <f t="shared" si="577"/>
        <v>3</v>
      </c>
      <c r="F3483" s="74" t="s">
        <v>54</v>
      </c>
      <c r="G3483" s="77">
        <v>27260.000000000018</v>
      </c>
      <c r="H3483" s="77">
        <v>27560.000000000018</v>
      </c>
      <c r="I3483" s="76">
        <v>0.1</v>
      </c>
    </row>
    <row r="3484" spans="3:9" x14ac:dyDescent="0.35">
      <c r="C3484" t="s">
        <v>312</v>
      </c>
      <c r="D3484" s="3">
        <v>2023</v>
      </c>
      <c r="E3484" s="78">
        <f t="shared" si="577"/>
        <v>3</v>
      </c>
      <c r="F3484" s="74" t="s">
        <v>54</v>
      </c>
      <c r="G3484" s="77">
        <v>27560.000000000018</v>
      </c>
      <c r="H3484" s="77"/>
      <c r="I3484" s="76">
        <v>0</v>
      </c>
    </row>
    <row r="3485" spans="3:9" x14ac:dyDescent="0.35">
      <c r="C3485" t="s">
        <v>312</v>
      </c>
      <c r="D3485" s="3">
        <v>2023</v>
      </c>
      <c r="E3485" s="78">
        <f t="shared" si="577"/>
        <v>3</v>
      </c>
      <c r="F3485" s="74" t="s">
        <v>34</v>
      </c>
      <c r="G3485" s="77">
        <v>0</v>
      </c>
      <c r="H3485" s="75">
        <v>24860.000000000018</v>
      </c>
      <c r="I3485" s="76">
        <v>1</v>
      </c>
    </row>
    <row r="3486" spans="3:9" x14ac:dyDescent="0.35">
      <c r="C3486" t="s">
        <v>312</v>
      </c>
      <c r="D3486" s="3">
        <v>2023</v>
      </c>
      <c r="E3486" s="78">
        <f t="shared" si="577"/>
        <v>3</v>
      </c>
      <c r="F3486" s="74" t="s">
        <v>34</v>
      </c>
      <c r="G3486" s="77">
        <v>24860.000000000018</v>
      </c>
      <c r="H3486" s="77">
        <v>25160.000000000018</v>
      </c>
      <c r="I3486" s="76">
        <v>0.9</v>
      </c>
    </row>
    <row r="3487" spans="3:9" x14ac:dyDescent="0.35">
      <c r="C3487" t="s">
        <v>312</v>
      </c>
      <c r="D3487" s="3">
        <v>2023</v>
      </c>
      <c r="E3487" s="78">
        <f t="shared" si="577"/>
        <v>3</v>
      </c>
      <c r="F3487" s="74" t="s">
        <v>34</v>
      </c>
      <c r="G3487" s="77">
        <v>25160.000000000018</v>
      </c>
      <c r="H3487" s="77">
        <v>25460.000000000018</v>
      </c>
      <c r="I3487" s="76">
        <v>0.8</v>
      </c>
    </row>
    <row r="3488" spans="3:9" x14ac:dyDescent="0.35">
      <c r="C3488" t="s">
        <v>312</v>
      </c>
      <c r="D3488" s="3">
        <v>2023</v>
      </c>
      <c r="E3488" s="78">
        <f t="shared" si="577"/>
        <v>3</v>
      </c>
      <c r="F3488" s="74" t="s">
        <v>34</v>
      </c>
      <c r="G3488" s="77">
        <v>25460.000000000018</v>
      </c>
      <c r="H3488" s="77">
        <v>25760.000000000018</v>
      </c>
      <c r="I3488" s="76">
        <v>0.7</v>
      </c>
    </row>
    <row r="3489" spans="3:9" x14ac:dyDescent="0.35">
      <c r="C3489" t="s">
        <v>312</v>
      </c>
      <c r="D3489" s="3">
        <v>2023</v>
      </c>
      <c r="E3489" s="78">
        <f t="shared" si="577"/>
        <v>3</v>
      </c>
      <c r="F3489" s="74" t="s">
        <v>34</v>
      </c>
      <c r="G3489" s="77">
        <v>25760.000000000018</v>
      </c>
      <c r="H3489" s="77">
        <v>26060.000000000018</v>
      </c>
      <c r="I3489" s="76">
        <v>0.6</v>
      </c>
    </row>
    <row r="3490" spans="3:9" x14ac:dyDescent="0.35">
      <c r="C3490" t="s">
        <v>312</v>
      </c>
      <c r="D3490" s="3">
        <v>2023</v>
      </c>
      <c r="E3490" s="78">
        <f t="shared" si="577"/>
        <v>3</v>
      </c>
      <c r="F3490" s="74" t="s">
        <v>34</v>
      </c>
      <c r="G3490" s="77">
        <v>26060.000000000018</v>
      </c>
      <c r="H3490" s="77">
        <v>26360.000000000018</v>
      </c>
      <c r="I3490" s="76">
        <v>0.5</v>
      </c>
    </row>
    <row r="3491" spans="3:9" x14ac:dyDescent="0.35">
      <c r="C3491" t="s">
        <v>312</v>
      </c>
      <c r="D3491" s="3">
        <v>2023</v>
      </c>
      <c r="E3491" s="78">
        <f t="shared" si="577"/>
        <v>3</v>
      </c>
      <c r="F3491" s="74" t="s">
        <v>34</v>
      </c>
      <c r="G3491" s="77">
        <v>26360.000000000018</v>
      </c>
      <c r="H3491" s="77">
        <v>26660.000000000018</v>
      </c>
      <c r="I3491" s="76">
        <v>0.4</v>
      </c>
    </row>
    <row r="3492" spans="3:9" x14ac:dyDescent="0.35">
      <c r="C3492" t="s">
        <v>312</v>
      </c>
      <c r="D3492" s="3">
        <v>2023</v>
      </c>
      <c r="E3492" s="78">
        <f t="shared" si="577"/>
        <v>3</v>
      </c>
      <c r="F3492" s="74" t="s">
        <v>34</v>
      </c>
      <c r="G3492" s="77">
        <v>26660.000000000018</v>
      </c>
      <c r="H3492" s="77">
        <v>26960.000000000018</v>
      </c>
      <c r="I3492" s="76">
        <v>0.3</v>
      </c>
    </row>
    <row r="3493" spans="3:9" x14ac:dyDescent="0.35">
      <c r="C3493" t="s">
        <v>312</v>
      </c>
      <c r="D3493" s="3">
        <v>2023</v>
      </c>
      <c r="E3493" s="78">
        <f t="shared" si="577"/>
        <v>3</v>
      </c>
      <c r="F3493" s="74" t="s">
        <v>34</v>
      </c>
      <c r="G3493" s="77">
        <v>26960.000000000018</v>
      </c>
      <c r="H3493" s="77">
        <v>27260.000000000018</v>
      </c>
      <c r="I3493" s="76">
        <v>0.2</v>
      </c>
    </row>
    <row r="3494" spans="3:9" x14ac:dyDescent="0.35">
      <c r="C3494" t="s">
        <v>312</v>
      </c>
      <c r="D3494" s="3">
        <v>2023</v>
      </c>
      <c r="E3494" s="78">
        <f t="shared" si="577"/>
        <v>3</v>
      </c>
      <c r="F3494" s="74" t="s">
        <v>34</v>
      </c>
      <c r="G3494" s="77">
        <v>27260.000000000018</v>
      </c>
      <c r="H3494" s="77">
        <v>27560.000000000018</v>
      </c>
      <c r="I3494" s="76">
        <v>0.1</v>
      </c>
    </row>
    <row r="3495" spans="3:9" x14ac:dyDescent="0.35">
      <c r="C3495" t="s">
        <v>312</v>
      </c>
      <c r="D3495" s="3">
        <v>2023</v>
      </c>
      <c r="E3495" s="78">
        <f t="shared" si="577"/>
        <v>3</v>
      </c>
      <c r="F3495" s="74" t="s">
        <v>34</v>
      </c>
      <c r="G3495" s="77">
        <v>27560.000000000018</v>
      </c>
      <c r="H3495" s="77"/>
      <c r="I3495" s="76">
        <v>0</v>
      </c>
    </row>
    <row r="3496" spans="3:9" x14ac:dyDescent="0.35">
      <c r="C3496" t="s">
        <v>312</v>
      </c>
      <c r="D3496" s="3">
        <v>2023</v>
      </c>
      <c r="E3496" s="78">
        <f t="shared" si="577"/>
        <v>3</v>
      </c>
      <c r="F3496" s="74" t="s">
        <v>40</v>
      </c>
      <c r="G3496" s="77">
        <v>0</v>
      </c>
      <c r="H3496" s="75">
        <v>24860.000000000018</v>
      </c>
      <c r="I3496" s="76">
        <v>1</v>
      </c>
    </row>
    <row r="3497" spans="3:9" x14ac:dyDescent="0.35">
      <c r="C3497" t="s">
        <v>312</v>
      </c>
      <c r="D3497" s="3">
        <v>2023</v>
      </c>
      <c r="E3497" s="78">
        <f t="shared" si="577"/>
        <v>3</v>
      </c>
      <c r="F3497" s="74" t="s">
        <v>40</v>
      </c>
      <c r="G3497" s="77">
        <v>24860.000000000018</v>
      </c>
      <c r="H3497" s="77">
        <v>25160.000000000018</v>
      </c>
      <c r="I3497" s="76">
        <v>0.9</v>
      </c>
    </row>
    <row r="3498" spans="3:9" x14ac:dyDescent="0.35">
      <c r="C3498" t="s">
        <v>312</v>
      </c>
      <c r="D3498" s="3">
        <v>2023</v>
      </c>
      <c r="E3498" s="78">
        <f t="shared" si="577"/>
        <v>3</v>
      </c>
      <c r="F3498" s="74" t="s">
        <v>40</v>
      </c>
      <c r="G3498" s="77">
        <v>25160.000000000018</v>
      </c>
      <c r="H3498" s="77">
        <v>25460.000000000018</v>
      </c>
      <c r="I3498" s="76">
        <v>0.8</v>
      </c>
    </row>
    <row r="3499" spans="3:9" x14ac:dyDescent="0.35">
      <c r="C3499" t="s">
        <v>312</v>
      </c>
      <c r="D3499" s="3">
        <v>2023</v>
      </c>
      <c r="E3499" s="78">
        <f t="shared" si="577"/>
        <v>3</v>
      </c>
      <c r="F3499" s="74" t="s">
        <v>40</v>
      </c>
      <c r="G3499" s="77">
        <v>25460.000000000018</v>
      </c>
      <c r="H3499" s="77">
        <v>25760.000000000018</v>
      </c>
      <c r="I3499" s="76">
        <v>0.7</v>
      </c>
    </row>
    <row r="3500" spans="3:9" x14ac:dyDescent="0.35">
      <c r="C3500" t="s">
        <v>312</v>
      </c>
      <c r="D3500" s="3">
        <v>2023</v>
      </c>
      <c r="E3500" s="78">
        <f t="shared" si="577"/>
        <v>3</v>
      </c>
      <c r="F3500" s="74" t="s">
        <v>40</v>
      </c>
      <c r="G3500" s="77">
        <v>25760.000000000018</v>
      </c>
      <c r="H3500" s="77">
        <v>26060.000000000018</v>
      </c>
      <c r="I3500" s="76">
        <v>0.6</v>
      </c>
    </row>
    <row r="3501" spans="3:9" x14ac:dyDescent="0.35">
      <c r="C3501" t="s">
        <v>312</v>
      </c>
      <c r="D3501" s="3">
        <v>2023</v>
      </c>
      <c r="E3501" s="78">
        <f t="shared" si="577"/>
        <v>3</v>
      </c>
      <c r="F3501" s="74" t="s">
        <v>40</v>
      </c>
      <c r="G3501" s="77">
        <v>26060.000000000018</v>
      </c>
      <c r="H3501" s="77">
        <v>26360.000000000018</v>
      </c>
      <c r="I3501" s="76">
        <v>0.5</v>
      </c>
    </row>
    <row r="3502" spans="3:9" x14ac:dyDescent="0.35">
      <c r="C3502" t="s">
        <v>312</v>
      </c>
      <c r="D3502" s="3">
        <v>2023</v>
      </c>
      <c r="E3502" s="78">
        <f t="shared" si="577"/>
        <v>3</v>
      </c>
      <c r="F3502" s="74" t="s">
        <v>40</v>
      </c>
      <c r="G3502" s="77">
        <v>26360.000000000018</v>
      </c>
      <c r="H3502" s="77">
        <v>26660.000000000018</v>
      </c>
      <c r="I3502" s="76">
        <v>0.4</v>
      </c>
    </row>
    <row r="3503" spans="3:9" x14ac:dyDescent="0.35">
      <c r="C3503" t="s">
        <v>312</v>
      </c>
      <c r="D3503" s="3">
        <v>2023</v>
      </c>
      <c r="E3503" s="78">
        <f t="shared" si="577"/>
        <v>3</v>
      </c>
      <c r="F3503" s="74" t="s">
        <v>40</v>
      </c>
      <c r="G3503" s="77">
        <v>26660.000000000018</v>
      </c>
      <c r="H3503" s="77">
        <v>26960.000000000018</v>
      </c>
      <c r="I3503" s="76">
        <v>0.3</v>
      </c>
    </row>
    <row r="3504" spans="3:9" x14ac:dyDescent="0.35">
      <c r="C3504" t="s">
        <v>312</v>
      </c>
      <c r="D3504" s="3">
        <v>2023</v>
      </c>
      <c r="E3504" s="78">
        <f t="shared" si="577"/>
        <v>3</v>
      </c>
      <c r="F3504" s="74" t="s">
        <v>40</v>
      </c>
      <c r="G3504" s="77">
        <v>26960.000000000018</v>
      </c>
      <c r="H3504" s="77">
        <v>27260.000000000018</v>
      </c>
      <c r="I3504" s="76">
        <v>0.2</v>
      </c>
    </row>
    <row r="3505" spans="3:9" x14ac:dyDescent="0.35">
      <c r="C3505" t="s">
        <v>312</v>
      </c>
      <c r="D3505" s="3">
        <v>2023</v>
      </c>
      <c r="E3505" s="78">
        <f t="shared" si="577"/>
        <v>3</v>
      </c>
      <c r="F3505" s="74" t="s">
        <v>40</v>
      </c>
      <c r="G3505" s="77">
        <v>27260.000000000018</v>
      </c>
      <c r="H3505" s="77">
        <v>27560.000000000018</v>
      </c>
      <c r="I3505" s="76">
        <v>0.1</v>
      </c>
    </row>
    <row r="3506" spans="3:9" x14ac:dyDescent="0.35">
      <c r="C3506" t="s">
        <v>312</v>
      </c>
      <c r="D3506" s="3">
        <v>2023</v>
      </c>
      <c r="E3506" s="78">
        <f t="shared" si="577"/>
        <v>3</v>
      </c>
      <c r="F3506" s="74" t="s">
        <v>40</v>
      </c>
      <c r="G3506" s="77">
        <v>27560.000000000018</v>
      </c>
      <c r="H3506" s="77"/>
      <c r="I3506" s="76">
        <v>0</v>
      </c>
    </row>
    <row r="3507" spans="3:9" x14ac:dyDescent="0.35">
      <c r="C3507" t="s">
        <v>312</v>
      </c>
      <c r="D3507" s="3">
        <v>2023</v>
      </c>
      <c r="E3507" s="78">
        <f t="shared" si="577"/>
        <v>3</v>
      </c>
      <c r="F3507" s="74" t="s">
        <v>313</v>
      </c>
      <c r="G3507" s="77">
        <v>0</v>
      </c>
      <c r="H3507" s="75">
        <v>24860.000000000018</v>
      </c>
      <c r="I3507" s="76">
        <v>1</v>
      </c>
    </row>
    <row r="3508" spans="3:9" x14ac:dyDescent="0.35">
      <c r="C3508" t="s">
        <v>312</v>
      </c>
      <c r="D3508" s="3">
        <v>2023</v>
      </c>
      <c r="E3508" s="78">
        <f t="shared" si="577"/>
        <v>3</v>
      </c>
      <c r="F3508" s="74" t="s">
        <v>313</v>
      </c>
      <c r="G3508" s="77">
        <v>24860.000000000018</v>
      </c>
      <c r="H3508" s="77">
        <v>25160.000000000018</v>
      </c>
      <c r="I3508" s="76">
        <v>0.9</v>
      </c>
    </row>
    <row r="3509" spans="3:9" x14ac:dyDescent="0.35">
      <c r="C3509" t="s">
        <v>312</v>
      </c>
      <c r="D3509" s="3">
        <v>2023</v>
      </c>
      <c r="E3509" s="78">
        <f t="shared" si="577"/>
        <v>3</v>
      </c>
      <c r="F3509" s="74" t="s">
        <v>313</v>
      </c>
      <c r="G3509" s="77">
        <v>25160.000000000018</v>
      </c>
      <c r="H3509" s="77">
        <v>25460.000000000018</v>
      </c>
      <c r="I3509" s="76">
        <v>0.8</v>
      </c>
    </row>
    <row r="3510" spans="3:9" x14ac:dyDescent="0.35">
      <c r="C3510" t="s">
        <v>312</v>
      </c>
      <c r="D3510" s="3">
        <v>2023</v>
      </c>
      <c r="E3510" s="78">
        <f t="shared" si="577"/>
        <v>3</v>
      </c>
      <c r="F3510" s="74" t="s">
        <v>313</v>
      </c>
      <c r="G3510" s="77">
        <v>25460.000000000018</v>
      </c>
      <c r="H3510" s="77">
        <v>25760.000000000018</v>
      </c>
      <c r="I3510" s="76">
        <v>0.7</v>
      </c>
    </row>
    <row r="3511" spans="3:9" x14ac:dyDescent="0.35">
      <c r="C3511" t="s">
        <v>312</v>
      </c>
      <c r="D3511" s="3">
        <v>2023</v>
      </c>
      <c r="E3511" s="78">
        <f t="shared" si="577"/>
        <v>3</v>
      </c>
      <c r="F3511" s="74" t="s">
        <v>313</v>
      </c>
      <c r="G3511" s="77">
        <v>25760.000000000018</v>
      </c>
      <c r="H3511" s="77">
        <v>26060.000000000018</v>
      </c>
      <c r="I3511" s="76">
        <v>0.6</v>
      </c>
    </row>
    <row r="3512" spans="3:9" x14ac:dyDescent="0.35">
      <c r="C3512" t="s">
        <v>312</v>
      </c>
      <c r="D3512" s="3">
        <v>2023</v>
      </c>
      <c r="E3512" s="78">
        <f t="shared" si="577"/>
        <v>3</v>
      </c>
      <c r="F3512" s="74" t="s">
        <v>313</v>
      </c>
      <c r="G3512" s="77">
        <v>26060.000000000018</v>
      </c>
      <c r="H3512" s="77">
        <v>26360.000000000018</v>
      </c>
      <c r="I3512" s="76">
        <v>0.5</v>
      </c>
    </row>
    <row r="3513" spans="3:9" x14ac:dyDescent="0.35">
      <c r="C3513" t="s">
        <v>312</v>
      </c>
      <c r="D3513" s="3">
        <v>2023</v>
      </c>
      <c r="E3513" s="78">
        <f t="shared" si="577"/>
        <v>3</v>
      </c>
      <c r="F3513" s="74" t="s">
        <v>313</v>
      </c>
      <c r="G3513" s="77">
        <v>26360.000000000018</v>
      </c>
      <c r="H3513" s="77">
        <v>26660.000000000018</v>
      </c>
      <c r="I3513" s="76">
        <v>0.4</v>
      </c>
    </row>
    <row r="3514" spans="3:9" x14ac:dyDescent="0.35">
      <c r="C3514" t="s">
        <v>312</v>
      </c>
      <c r="D3514" s="3">
        <v>2023</v>
      </c>
      <c r="E3514" s="78">
        <f t="shared" si="577"/>
        <v>3</v>
      </c>
      <c r="F3514" s="74" t="s">
        <v>313</v>
      </c>
      <c r="G3514" s="77">
        <v>26660.000000000018</v>
      </c>
      <c r="H3514" s="77">
        <v>26960.000000000018</v>
      </c>
      <c r="I3514" s="76">
        <v>0.3</v>
      </c>
    </row>
    <row r="3515" spans="3:9" x14ac:dyDescent="0.35">
      <c r="C3515" t="s">
        <v>312</v>
      </c>
      <c r="D3515" s="3">
        <v>2023</v>
      </c>
      <c r="E3515" s="78">
        <f t="shared" si="577"/>
        <v>3</v>
      </c>
      <c r="F3515" s="74" t="s">
        <v>313</v>
      </c>
      <c r="G3515" s="77">
        <v>26960.000000000018</v>
      </c>
      <c r="H3515" s="77">
        <v>27260.000000000018</v>
      </c>
      <c r="I3515" s="76">
        <v>0.2</v>
      </c>
    </row>
    <row r="3516" spans="3:9" x14ac:dyDescent="0.35">
      <c r="C3516" t="s">
        <v>312</v>
      </c>
      <c r="D3516" s="3">
        <v>2023</v>
      </c>
      <c r="E3516" s="78">
        <f t="shared" si="577"/>
        <v>3</v>
      </c>
      <c r="F3516" s="74" t="s">
        <v>313</v>
      </c>
      <c r="G3516" s="77">
        <v>27260.000000000018</v>
      </c>
      <c r="H3516" s="77">
        <v>27560.000000000018</v>
      </c>
      <c r="I3516" s="76">
        <v>0.1</v>
      </c>
    </row>
    <row r="3517" spans="3:9" x14ac:dyDescent="0.35">
      <c r="C3517" t="s">
        <v>312</v>
      </c>
      <c r="D3517" s="3">
        <v>2023</v>
      </c>
      <c r="E3517" s="78">
        <f t="shared" si="577"/>
        <v>3</v>
      </c>
      <c r="F3517" s="74" t="s">
        <v>313</v>
      </c>
      <c r="G3517" s="77">
        <v>27560.000000000018</v>
      </c>
      <c r="H3517" s="77"/>
      <c r="I3517" s="76">
        <v>0</v>
      </c>
    </row>
    <row r="3518" spans="3:9" x14ac:dyDescent="0.35">
      <c r="C3518" t="s">
        <v>312</v>
      </c>
      <c r="D3518" s="3">
        <v>2023</v>
      </c>
      <c r="E3518" s="73">
        <v>4</v>
      </c>
      <c r="F3518" s="74" t="s">
        <v>54</v>
      </c>
      <c r="G3518" s="77">
        <v>0</v>
      </c>
      <c r="H3518" s="77">
        <v>30000.000000000018</v>
      </c>
      <c r="I3518" s="76">
        <v>1</v>
      </c>
    </row>
    <row r="3519" spans="3:9" x14ac:dyDescent="0.35">
      <c r="C3519" t="s">
        <v>312</v>
      </c>
      <c r="D3519" s="3">
        <v>2023</v>
      </c>
      <c r="E3519" s="78">
        <f>E3518</f>
        <v>4</v>
      </c>
      <c r="F3519" s="74" t="s">
        <v>54</v>
      </c>
      <c r="G3519" s="77">
        <v>30000.000000000018</v>
      </c>
      <c r="H3519" s="77">
        <v>30300.000000000018</v>
      </c>
      <c r="I3519" s="76">
        <v>0.9</v>
      </c>
    </row>
    <row r="3520" spans="3:9" x14ac:dyDescent="0.35">
      <c r="C3520" t="s">
        <v>312</v>
      </c>
      <c r="D3520" s="3">
        <v>2023</v>
      </c>
      <c r="E3520" s="78">
        <f t="shared" ref="E3520:E3561" si="578">E3519</f>
        <v>4</v>
      </c>
      <c r="F3520" s="74" t="s">
        <v>54</v>
      </c>
      <c r="G3520" s="77">
        <v>30300.000000000018</v>
      </c>
      <c r="H3520" s="77">
        <v>30600.000000000018</v>
      </c>
      <c r="I3520" s="76">
        <v>0.8</v>
      </c>
    </row>
    <row r="3521" spans="3:9" x14ac:dyDescent="0.35">
      <c r="C3521" t="s">
        <v>312</v>
      </c>
      <c r="D3521" s="3">
        <v>2023</v>
      </c>
      <c r="E3521" s="78">
        <f t="shared" si="578"/>
        <v>4</v>
      </c>
      <c r="F3521" s="74" t="s">
        <v>54</v>
      </c>
      <c r="G3521" s="77">
        <v>30600.000000000018</v>
      </c>
      <c r="H3521" s="77">
        <v>30900.000000000018</v>
      </c>
      <c r="I3521" s="76">
        <v>0.7</v>
      </c>
    </row>
    <row r="3522" spans="3:9" x14ac:dyDescent="0.35">
      <c r="C3522" t="s">
        <v>312</v>
      </c>
      <c r="D3522" s="3">
        <v>2023</v>
      </c>
      <c r="E3522" s="78">
        <f t="shared" si="578"/>
        <v>4</v>
      </c>
      <c r="F3522" s="74" t="s">
        <v>54</v>
      </c>
      <c r="G3522" s="77">
        <v>30900.000000000018</v>
      </c>
      <c r="H3522" s="77">
        <v>31200.000000000018</v>
      </c>
      <c r="I3522" s="76">
        <v>0.6</v>
      </c>
    </row>
    <row r="3523" spans="3:9" x14ac:dyDescent="0.35">
      <c r="C3523" t="s">
        <v>312</v>
      </c>
      <c r="D3523" s="3">
        <v>2023</v>
      </c>
      <c r="E3523" s="78">
        <f t="shared" si="578"/>
        <v>4</v>
      </c>
      <c r="F3523" s="74" t="s">
        <v>54</v>
      </c>
      <c r="G3523" s="77">
        <v>31200.000000000018</v>
      </c>
      <c r="H3523" s="77">
        <v>31500.000000000018</v>
      </c>
      <c r="I3523" s="76">
        <v>0.5</v>
      </c>
    </row>
    <row r="3524" spans="3:9" x14ac:dyDescent="0.35">
      <c r="C3524" t="s">
        <v>312</v>
      </c>
      <c r="D3524" s="3">
        <v>2023</v>
      </c>
      <c r="E3524" s="78">
        <f t="shared" si="578"/>
        <v>4</v>
      </c>
      <c r="F3524" s="74" t="s">
        <v>54</v>
      </c>
      <c r="G3524" s="77">
        <v>31500.000000000018</v>
      </c>
      <c r="H3524" s="77">
        <v>31800.000000000018</v>
      </c>
      <c r="I3524" s="76">
        <v>0.4</v>
      </c>
    </row>
    <row r="3525" spans="3:9" x14ac:dyDescent="0.35">
      <c r="C3525" t="s">
        <v>312</v>
      </c>
      <c r="D3525" s="3">
        <v>2023</v>
      </c>
      <c r="E3525" s="78">
        <f t="shared" si="578"/>
        <v>4</v>
      </c>
      <c r="F3525" s="74" t="s">
        <v>54</v>
      </c>
      <c r="G3525" s="77">
        <v>31800.000000000018</v>
      </c>
      <c r="H3525" s="77">
        <v>32100.000000000018</v>
      </c>
      <c r="I3525" s="76">
        <v>0.3</v>
      </c>
    </row>
    <row r="3526" spans="3:9" x14ac:dyDescent="0.35">
      <c r="C3526" t="s">
        <v>312</v>
      </c>
      <c r="D3526" s="3">
        <v>2023</v>
      </c>
      <c r="E3526" s="78">
        <f t="shared" si="578"/>
        <v>4</v>
      </c>
      <c r="F3526" s="74" t="s">
        <v>54</v>
      </c>
      <c r="G3526" s="77">
        <v>32100.000000000018</v>
      </c>
      <c r="H3526" s="77">
        <v>32400.000000000018</v>
      </c>
      <c r="I3526" s="76">
        <v>0.2</v>
      </c>
    </row>
    <row r="3527" spans="3:9" x14ac:dyDescent="0.35">
      <c r="C3527" t="s">
        <v>312</v>
      </c>
      <c r="D3527" s="3">
        <v>2023</v>
      </c>
      <c r="E3527" s="78">
        <f t="shared" si="578"/>
        <v>4</v>
      </c>
      <c r="F3527" s="74" t="s">
        <v>54</v>
      </c>
      <c r="G3527" s="77">
        <v>32400.000000000018</v>
      </c>
      <c r="H3527" s="77">
        <v>32700.000000000018</v>
      </c>
      <c r="I3527" s="76">
        <v>0.1</v>
      </c>
    </row>
    <row r="3528" spans="3:9" x14ac:dyDescent="0.35">
      <c r="C3528" t="s">
        <v>312</v>
      </c>
      <c r="D3528" s="3">
        <v>2023</v>
      </c>
      <c r="E3528" s="78">
        <f t="shared" si="578"/>
        <v>4</v>
      </c>
      <c r="F3528" s="74" t="s">
        <v>54</v>
      </c>
      <c r="G3528" s="77">
        <v>32700.000000000018</v>
      </c>
      <c r="H3528" s="77"/>
      <c r="I3528" s="76">
        <v>0</v>
      </c>
    </row>
    <row r="3529" spans="3:9" x14ac:dyDescent="0.35">
      <c r="C3529" t="s">
        <v>312</v>
      </c>
      <c r="D3529" s="3">
        <v>2023</v>
      </c>
      <c r="E3529" s="78">
        <f t="shared" si="578"/>
        <v>4</v>
      </c>
      <c r="F3529" s="74" t="s">
        <v>34</v>
      </c>
      <c r="G3529" s="77">
        <v>0</v>
      </c>
      <c r="H3529" s="75">
        <v>30000.000000000018</v>
      </c>
      <c r="I3529" s="76">
        <v>1</v>
      </c>
    </row>
    <row r="3530" spans="3:9" x14ac:dyDescent="0.35">
      <c r="C3530" t="s">
        <v>312</v>
      </c>
      <c r="D3530" s="3">
        <v>2023</v>
      </c>
      <c r="E3530" s="78">
        <f t="shared" si="578"/>
        <v>4</v>
      </c>
      <c r="F3530" s="74" t="s">
        <v>34</v>
      </c>
      <c r="G3530" s="77">
        <v>30000.000000000018</v>
      </c>
      <c r="H3530" s="77">
        <v>30300.000000000018</v>
      </c>
      <c r="I3530" s="76">
        <v>0.9</v>
      </c>
    </row>
    <row r="3531" spans="3:9" x14ac:dyDescent="0.35">
      <c r="C3531" t="s">
        <v>312</v>
      </c>
      <c r="D3531" s="3">
        <v>2023</v>
      </c>
      <c r="E3531" s="78">
        <f t="shared" si="578"/>
        <v>4</v>
      </c>
      <c r="F3531" s="74" t="s">
        <v>34</v>
      </c>
      <c r="G3531" s="77">
        <v>30300.000000000018</v>
      </c>
      <c r="H3531" s="77">
        <v>30600.000000000018</v>
      </c>
      <c r="I3531" s="76">
        <v>0.8</v>
      </c>
    </row>
    <row r="3532" spans="3:9" x14ac:dyDescent="0.35">
      <c r="C3532" t="s">
        <v>312</v>
      </c>
      <c r="D3532" s="3">
        <v>2023</v>
      </c>
      <c r="E3532" s="78">
        <f t="shared" si="578"/>
        <v>4</v>
      </c>
      <c r="F3532" s="74" t="s">
        <v>34</v>
      </c>
      <c r="G3532" s="77">
        <v>30600.000000000018</v>
      </c>
      <c r="H3532" s="77">
        <v>30900.000000000018</v>
      </c>
      <c r="I3532" s="76">
        <v>0.7</v>
      </c>
    </row>
    <row r="3533" spans="3:9" x14ac:dyDescent="0.35">
      <c r="C3533" t="s">
        <v>312</v>
      </c>
      <c r="D3533" s="3">
        <v>2023</v>
      </c>
      <c r="E3533" s="78">
        <f t="shared" si="578"/>
        <v>4</v>
      </c>
      <c r="F3533" s="74" t="s">
        <v>34</v>
      </c>
      <c r="G3533" s="77">
        <v>30900.000000000018</v>
      </c>
      <c r="H3533" s="77">
        <v>31200.000000000018</v>
      </c>
      <c r="I3533" s="76">
        <v>0.6</v>
      </c>
    </row>
    <row r="3534" spans="3:9" x14ac:dyDescent="0.35">
      <c r="C3534" t="s">
        <v>312</v>
      </c>
      <c r="D3534" s="3">
        <v>2023</v>
      </c>
      <c r="E3534" s="78">
        <f t="shared" si="578"/>
        <v>4</v>
      </c>
      <c r="F3534" s="74" t="s">
        <v>34</v>
      </c>
      <c r="G3534" s="77">
        <v>31200.000000000018</v>
      </c>
      <c r="H3534" s="77">
        <v>31500.000000000018</v>
      </c>
      <c r="I3534" s="76">
        <v>0.5</v>
      </c>
    </row>
    <row r="3535" spans="3:9" x14ac:dyDescent="0.35">
      <c r="C3535" t="s">
        <v>312</v>
      </c>
      <c r="D3535" s="3">
        <v>2023</v>
      </c>
      <c r="E3535" s="78">
        <f t="shared" si="578"/>
        <v>4</v>
      </c>
      <c r="F3535" s="74" t="s">
        <v>34</v>
      </c>
      <c r="G3535" s="77">
        <v>31500.000000000018</v>
      </c>
      <c r="H3535" s="77">
        <v>31800.000000000018</v>
      </c>
      <c r="I3535" s="76">
        <v>0.4</v>
      </c>
    </row>
    <row r="3536" spans="3:9" x14ac:dyDescent="0.35">
      <c r="C3536" t="s">
        <v>312</v>
      </c>
      <c r="D3536" s="3">
        <v>2023</v>
      </c>
      <c r="E3536" s="78">
        <f t="shared" si="578"/>
        <v>4</v>
      </c>
      <c r="F3536" s="74" t="s">
        <v>34</v>
      </c>
      <c r="G3536" s="77">
        <v>31800.000000000018</v>
      </c>
      <c r="H3536" s="77">
        <v>32100.000000000018</v>
      </c>
      <c r="I3536" s="76">
        <v>0.3</v>
      </c>
    </row>
    <row r="3537" spans="3:9" x14ac:dyDescent="0.35">
      <c r="C3537" t="s">
        <v>312</v>
      </c>
      <c r="D3537" s="3">
        <v>2023</v>
      </c>
      <c r="E3537" s="78">
        <f t="shared" si="578"/>
        <v>4</v>
      </c>
      <c r="F3537" s="74" t="s">
        <v>34</v>
      </c>
      <c r="G3537" s="77">
        <v>32100.000000000018</v>
      </c>
      <c r="H3537" s="77">
        <v>32400.000000000018</v>
      </c>
      <c r="I3537" s="76">
        <v>0.2</v>
      </c>
    </row>
    <row r="3538" spans="3:9" x14ac:dyDescent="0.35">
      <c r="C3538" t="s">
        <v>312</v>
      </c>
      <c r="D3538" s="3">
        <v>2023</v>
      </c>
      <c r="E3538" s="78">
        <f t="shared" si="578"/>
        <v>4</v>
      </c>
      <c r="F3538" s="74" t="s">
        <v>34</v>
      </c>
      <c r="G3538" s="77">
        <v>32400.000000000018</v>
      </c>
      <c r="H3538" s="77">
        <v>32700.000000000018</v>
      </c>
      <c r="I3538" s="76">
        <v>0.1</v>
      </c>
    </row>
    <row r="3539" spans="3:9" x14ac:dyDescent="0.35">
      <c r="C3539" t="s">
        <v>312</v>
      </c>
      <c r="D3539" s="3">
        <v>2023</v>
      </c>
      <c r="E3539" s="78">
        <f t="shared" si="578"/>
        <v>4</v>
      </c>
      <c r="F3539" s="74" t="s">
        <v>34</v>
      </c>
      <c r="G3539" s="77">
        <v>32700.000000000018</v>
      </c>
      <c r="H3539" s="77"/>
      <c r="I3539" s="76">
        <v>0</v>
      </c>
    </row>
    <row r="3540" spans="3:9" x14ac:dyDescent="0.35">
      <c r="C3540" t="s">
        <v>312</v>
      </c>
      <c r="D3540" s="3">
        <v>2023</v>
      </c>
      <c r="E3540" s="78">
        <f t="shared" si="578"/>
        <v>4</v>
      </c>
      <c r="F3540" s="74" t="s">
        <v>40</v>
      </c>
      <c r="G3540" s="77">
        <v>0</v>
      </c>
      <c r="H3540" s="75">
        <v>30000.000000000018</v>
      </c>
      <c r="I3540" s="76">
        <v>1</v>
      </c>
    </row>
    <row r="3541" spans="3:9" x14ac:dyDescent="0.35">
      <c r="C3541" t="s">
        <v>312</v>
      </c>
      <c r="D3541" s="3">
        <v>2023</v>
      </c>
      <c r="E3541" s="78">
        <f t="shared" si="578"/>
        <v>4</v>
      </c>
      <c r="F3541" s="74" t="s">
        <v>40</v>
      </c>
      <c r="G3541" s="77">
        <v>30000.000000000018</v>
      </c>
      <c r="H3541" s="77">
        <v>30300.000000000018</v>
      </c>
      <c r="I3541" s="76">
        <v>0.9</v>
      </c>
    </row>
    <row r="3542" spans="3:9" x14ac:dyDescent="0.35">
      <c r="C3542" t="s">
        <v>312</v>
      </c>
      <c r="D3542" s="3">
        <v>2023</v>
      </c>
      <c r="E3542" s="78">
        <f t="shared" si="578"/>
        <v>4</v>
      </c>
      <c r="F3542" s="74" t="s">
        <v>40</v>
      </c>
      <c r="G3542" s="77">
        <v>30300.000000000018</v>
      </c>
      <c r="H3542" s="77">
        <v>30600.000000000018</v>
      </c>
      <c r="I3542" s="76">
        <v>0.8</v>
      </c>
    </row>
    <row r="3543" spans="3:9" x14ac:dyDescent="0.35">
      <c r="C3543" t="s">
        <v>312</v>
      </c>
      <c r="D3543" s="3">
        <v>2023</v>
      </c>
      <c r="E3543" s="78">
        <f t="shared" si="578"/>
        <v>4</v>
      </c>
      <c r="F3543" s="74" t="s">
        <v>40</v>
      </c>
      <c r="G3543" s="77">
        <v>30600.000000000018</v>
      </c>
      <c r="H3543" s="77">
        <v>30900.000000000018</v>
      </c>
      <c r="I3543" s="76">
        <v>0.7</v>
      </c>
    </row>
    <row r="3544" spans="3:9" x14ac:dyDescent="0.35">
      <c r="C3544" t="s">
        <v>312</v>
      </c>
      <c r="D3544" s="3">
        <v>2023</v>
      </c>
      <c r="E3544" s="78">
        <f t="shared" si="578"/>
        <v>4</v>
      </c>
      <c r="F3544" s="74" t="s">
        <v>40</v>
      </c>
      <c r="G3544" s="77">
        <v>30900.000000000018</v>
      </c>
      <c r="H3544" s="77">
        <v>31200.000000000018</v>
      </c>
      <c r="I3544" s="76">
        <v>0.6</v>
      </c>
    </row>
    <row r="3545" spans="3:9" x14ac:dyDescent="0.35">
      <c r="C3545" t="s">
        <v>312</v>
      </c>
      <c r="D3545" s="3">
        <v>2023</v>
      </c>
      <c r="E3545" s="78">
        <f t="shared" si="578"/>
        <v>4</v>
      </c>
      <c r="F3545" s="74" t="s">
        <v>40</v>
      </c>
      <c r="G3545" s="77">
        <v>31200.000000000018</v>
      </c>
      <c r="H3545" s="77">
        <v>31500.000000000018</v>
      </c>
      <c r="I3545" s="76">
        <v>0.5</v>
      </c>
    </row>
    <row r="3546" spans="3:9" x14ac:dyDescent="0.35">
      <c r="C3546" t="s">
        <v>312</v>
      </c>
      <c r="D3546" s="3">
        <v>2023</v>
      </c>
      <c r="E3546" s="78">
        <f t="shared" si="578"/>
        <v>4</v>
      </c>
      <c r="F3546" s="74" t="s">
        <v>40</v>
      </c>
      <c r="G3546" s="77">
        <v>31500.000000000018</v>
      </c>
      <c r="H3546" s="77">
        <v>31800.000000000018</v>
      </c>
      <c r="I3546" s="76">
        <v>0.4</v>
      </c>
    </row>
    <row r="3547" spans="3:9" x14ac:dyDescent="0.35">
      <c r="C3547" t="s">
        <v>312</v>
      </c>
      <c r="D3547" s="3">
        <v>2023</v>
      </c>
      <c r="E3547" s="78">
        <f t="shared" si="578"/>
        <v>4</v>
      </c>
      <c r="F3547" s="74" t="s">
        <v>40</v>
      </c>
      <c r="G3547" s="77">
        <v>31800.000000000018</v>
      </c>
      <c r="H3547" s="77">
        <v>32100.000000000018</v>
      </c>
      <c r="I3547" s="76">
        <v>0.3</v>
      </c>
    </row>
    <row r="3548" spans="3:9" x14ac:dyDescent="0.35">
      <c r="C3548" t="s">
        <v>312</v>
      </c>
      <c r="D3548" s="3">
        <v>2023</v>
      </c>
      <c r="E3548" s="78">
        <f t="shared" si="578"/>
        <v>4</v>
      </c>
      <c r="F3548" s="74" t="s">
        <v>40</v>
      </c>
      <c r="G3548" s="77">
        <v>32100.000000000018</v>
      </c>
      <c r="H3548" s="77">
        <v>32400.000000000018</v>
      </c>
      <c r="I3548" s="76">
        <v>0.2</v>
      </c>
    </row>
    <row r="3549" spans="3:9" x14ac:dyDescent="0.35">
      <c r="C3549" t="s">
        <v>312</v>
      </c>
      <c r="D3549" s="3">
        <v>2023</v>
      </c>
      <c r="E3549" s="78">
        <f t="shared" si="578"/>
        <v>4</v>
      </c>
      <c r="F3549" s="74" t="s">
        <v>40</v>
      </c>
      <c r="G3549" s="77">
        <v>32400.000000000018</v>
      </c>
      <c r="H3549" s="77">
        <v>32700.000000000018</v>
      </c>
      <c r="I3549" s="76">
        <v>0.1</v>
      </c>
    </row>
    <row r="3550" spans="3:9" x14ac:dyDescent="0.35">
      <c r="C3550" t="s">
        <v>312</v>
      </c>
      <c r="D3550" s="3">
        <v>2023</v>
      </c>
      <c r="E3550" s="78">
        <f t="shared" si="578"/>
        <v>4</v>
      </c>
      <c r="F3550" s="74" t="s">
        <v>40</v>
      </c>
      <c r="G3550" s="77">
        <v>32700.000000000018</v>
      </c>
      <c r="H3550" s="77"/>
      <c r="I3550" s="76">
        <v>0</v>
      </c>
    </row>
    <row r="3551" spans="3:9" x14ac:dyDescent="0.35">
      <c r="C3551" t="s">
        <v>312</v>
      </c>
      <c r="D3551" s="3">
        <v>2023</v>
      </c>
      <c r="E3551" s="78">
        <f t="shared" si="578"/>
        <v>4</v>
      </c>
      <c r="F3551" s="74" t="s">
        <v>313</v>
      </c>
      <c r="G3551" s="77">
        <v>0</v>
      </c>
      <c r="H3551" s="75">
        <v>30000.000000000018</v>
      </c>
      <c r="I3551" s="76">
        <v>1</v>
      </c>
    </row>
    <row r="3552" spans="3:9" x14ac:dyDescent="0.35">
      <c r="C3552" t="s">
        <v>312</v>
      </c>
      <c r="D3552" s="3">
        <v>2023</v>
      </c>
      <c r="E3552" s="78">
        <f t="shared" si="578"/>
        <v>4</v>
      </c>
      <c r="F3552" s="74" t="s">
        <v>313</v>
      </c>
      <c r="G3552" s="77">
        <v>30000.000000000018</v>
      </c>
      <c r="H3552" s="77">
        <v>30300.000000000018</v>
      </c>
      <c r="I3552" s="76">
        <v>0.9</v>
      </c>
    </row>
    <row r="3553" spans="3:9" x14ac:dyDescent="0.35">
      <c r="C3553" t="s">
        <v>312</v>
      </c>
      <c r="D3553" s="3">
        <v>2023</v>
      </c>
      <c r="E3553" s="78">
        <f t="shared" si="578"/>
        <v>4</v>
      </c>
      <c r="F3553" s="74" t="s">
        <v>313</v>
      </c>
      <c r="G3553" s="77">
        <v>30300.000000000018</v>
      </c>
      <c r="H3553" s="77">
        <v>30600.000000000018</v>
      </c>
      <c r="I3553" s="76">
        <v>0.8</v>
      </c>
    </row>
    <row r="3554" spans="3:9" x14ac:dyDescent="0.35">
      <c r="C3554" t="s">
        <v>312</v>
      </c>
      <c r="D3554" s="3">
        <v>2023</v>
      </c>
      <c r="E3554" s="78">
        <f t="shared" si="578"/>
        <v>4</v>
      </c>
      <c r="F3554" s="74" t="s">
        <v>313</v>
      </c>
      <c r="G3554" s="77">
        <v>30600.000000000018</v>
      </c>
      <c r="H3554" s="77">
        <v>30900.000000000018</v>
      </c>
      <c r="I3554" s="76">
        <v>0.7</v>
      </c>
    </row>
    <row r="3555" spans="3:9" x14ac:dyDescent="0.35">
      <c r="C3555" t="s">
        <v>312</v>
      </c>
      <c r="D3555" s="3">
        <v>2023</v>
      </c>
      <c r="E3555" s="78">
        <f t="shared" si="578"/>
        <v>4</v>
      </c>
      <c r="F3555" s="74" t="s">
        <v>313</v>
      </c>
      <c r="G3555" s="77">
        <v>30900.000000000018</v>
      </c>
      <c r="H3555" s="77">
        <v>31200.000000000018</v>
      </c>
      <c r="I3555" s="76">
        <v>0.6</v>
      </c>
    </row>
    <row r="3556" spans="3:9" x14ac:dyDescent="0.35">
      <c r="C3556" t="s">
        <v>312</v>
      </c>
      <c r="D3556" s="3">
        <v>2023</v>
      </c>
      <c r="E3556" s="78">
        <f t="shared" si="578"/>
        <v>4</v>
      </c>
      <c r="F3556" s="74" t="s">
        <v>313</v>
      </c>
      <c r="G3556" s="77">
        <v>31200.000000000018</v>
      </c>
      <c r="H3556" s="77">
        <v>31500.000000000018</v>
      </c>
      <c r="I3556" s="76">
        <v>0.5</v>
      </c>
    </row>
    <row r="3557" spans="3:9" x14ac:dyDescent="0.35">
      <c r="C3557" t="s">
        <v>312</v>
      </c>
      <c r="D3557" s="3">
        <v>2023</v>
      </c>
      <c r="E3557" s="78">
        <f t="shared" si="578"/>
        <v>4</v>
      </c>
      <c r="F3557" s="74" t="s">
        <v>313</v>
      </c>
      <c r="G3557" s="77">
        <v>31500.000000000018</v>
      </c>
      <c r="H3557" s="77">
        <v>31800.000000000018</v>
      </c>
      <c r="I3557" s="76">
        <v>0.4</v>
      </c>
    </row>
    <row r="3558" spans="3:9" x14ac:dyDescent="0.35">
      <c r="C3558" t="s">
        <v>312</v>
      </c>
      <c r="D3558" s="3">
        <v>2023</v>
      </c>
      <c r="E3558" s="78">
        <f t="shared" si="578"/>
        <v>4</v>
      </c>
      <c r="F3558" s="74" t="s">
        <v>313</v>
      </c>
      <c r="G3558" s="77">
        <v>31800.000000000018</v>
      </c>
      <c r="H3558" s="77">
        <v>32100.000000000018</v>
      </c>
      <c r="I3558" s="76">
        <v>0.3</v>
      </c>
    </row>
    <row r="3559" spans="3:9" x14ac:dyDescent="0.35">
      <c r="C3559" t="s">
        <v>312</v>
      </c>
      <c r="D3559" s="3">
        <v>2023</v>
      </c>
      <c r="E3559" s="78">
        <f t="shared" si="578"/>
        <v>4</v>
      </c>
      <c r="F3559" s="74" t="s">
        <v>313</v>
      </c>
      <c r="G3559" s="77">
        <v>32100.000000000018</v>
      </c>
      <c r="H3559" s="77">
        <v>32400.000000000018</v>
      </c>
      <c r="I3559" s="76">
        <v>0.2</v>
      </c>
    </row>
    <row r="3560" spans="3:9" x14ac:dyDescent="0.35">
      <c r="C3560" t="s">
        <v>312</v>
      </c>
      <c r="D3560" s="3">
        <v>2023</v>
      </c>
      <c r="E3560" s="78">
        <f t="shared" si="578"/>
        <v>4</v>
      </c>
      <c r="F3560" s="74" t="s">
        <v>313</v>
      </c>
      <c r="G3560" s="77">
        <v>32400.000000000018</v>
      </c>
      <c r="H3560" s="77">
        <v>32700.000000000018</v>
      </c>
      <c r="I3560" s="76">
        <v>0.1</v>
      </c>
    </row>
    <row r="3561" spans="3:9" x14ac:dyDescent="0.35">
      <c r="C3561" t="s">
        <v>312</v>
      </c>
      <c r="D3561" s="3">
        <v>2023</v>
      </c>
      <c r="E3561" s="78">
        <f t="shared" si="578"/>
        <v>4</v>
      </c>
      <c r="F3561" s="74" t="s">
        <v>313</v>
      </c>
      <c r="G3561" s="77">
        <v>32700.000000000018</v>
      </c>
      <c r="H3561" s="77"/>
      <c r="I3561" s="76">
        <v>0</v>
      </c>
    </row>
    <row r="3562" spans="3:9" x14ac:dyDescent="0.35">
      <c r="C3562" t="s">
        <v>312</v>
      </c>
      <c r="D3562" s="3">
        <v>2023</v>
      </c>
      <c r="E3562" s="73">
        <v>5</v>
      </c>
      <c r="F3562" s="74" t="s">
        <v>54</v>
      </c>
      <c r="G3562" s="77">
        <v>0</v>
      </c>
      <c r="H3562" s="77">
        <v>35140.000000000022</v>
      </c>
      <c r="I3562" s="76">
        <v>1</v>
      </c>
    </row>
    <row r="3563" spans="3:9" x14ac:dyDescent="0.35">
      <c r="C3563" t="s">
        <v>312</v>
      </c>
      <c r="D3563" s="3">
        <v>2023</v>
      </c>
      <c r="E3563" s="78">
        <f>E3562</f>
        <v>5</v>
      </c>
      <c r="F3563" s="74" t="s">
        <v>54</v>
      </c>
      <c r="G3563" s="77">
        <v>35140.000000000022</v>
      </c>
      <c r="H3563" s="77">
        <v>35440.000000000022</v>
      </c>
      <c r="I3563" s="76">
        <v>0.9</v>
      </c>
    </row>
    <row r="3564" spans="3:9" x14ac:dyDescent="0.35">
      <c r="C3564" t="s">
        <v>312</v>
      </c>
      <c r="D3564" s="3">
        <v>2023</v>
      </c>
      <c r="E3564" s="78">
        <f t="shared" ref="E3564:E3605" si="579">E3563</f>
        <v>5</v>
      </c>
      <c r="F3564" s="74" t="s">
        <v>54</v>
      </c>
      <c r="G3564" s="77">
        <v>35440.000000000022</v>
      </c>
      <c r="H3564" s="77">
        <v>35740.000000000022</v>
      </c>
      <c r="I3564" s="76">
        <v>0.8</v>
      </c>
    </row>
    <row r="3565" spans="3:9" x14ac:dyDescent="0.35">
      <c r="C3565" t="s">
        <v>312</v>
      </c>
      <c r="D3565" s="3">
        <v>2023</v>
      </c>
      <c r="E3565" s="78">
        <f t="shared" si="579"/>
        <v>5</v>
      </c>
      <c r="F3565" s="74" t="s">
        <v>54</v>
      </c>
      <c r="G3565" s="77">
        <v>35740.000000000022</v>
      </c>
      <c r="H3565" s="77">
        <v>36040.000000000022</v>
      </c>
      <c r="I3565" s="76">
        <v>0.7</v>
      </c>
    </row>
    <row r="3566" spans="3:9" x14ac:dyDescent="0.35">
      <c r="C3566" t="s">
        <v>312</v>
      </c>
      <c r="D3566" s="3">
        <v>2023</v>
      </c>
      <c r="E3566" s="78">
        <f t="shared" si="579"/>
        <v>5</v>
      </c>
      <c r="F3566" s="74" t="s">
        <v>54</v>
      </c>
      <c r="G3566" s="77">
        <v>36040.000000000022</v>
      </c>
      <c r="H3566" s="77">
        <v>36340.000000000022</v>
      </c>
      <c r="I3566" s="76">
        <v>0.6</v>
      </c>
    </row>
    <row r="3567" spans="3:9" x14ac:dyDescent="0.35">
      <c r="C3567" t="s">
        <v>312</v>
      </c>
      <c r="D3567" s="3">
        <v>2023</v>
      </c>
      <c r="E3567" s="78">
        <f t="shared" si="579"/>
        <v>5</v>
      </c>
      <c r="F3567" s="74" t="s">
        <v>54</v>
      </c>
      <c r="G3567" s="77">
        <v>36340.000000000022</v>
      </c>
      <c r="H3567" s="77">
        <v>36640.000000000022</v>
      </c>
      <c r="I3567" s="76">
        <v>0.5</v>
      </c>
    </row>
    <row r="3568" spans="3:9" x14ac:dyDescent="0.35">
      <c r="C3568" t="s">
        <v>312</v>
      </c>
      <c r="D3568" s="3">
        <v>2023</v>
      </c>
      <c r="E3568" s="78">
        <f t="shared" si="579"/>
        <v>5</v>
      </c>
      <c r="F3568" s="74" t="s">
        <v>54</v>
      </c>
      <c r="G3568" s="77">
        <v>36640.000000000022</v>
      </c>
      <c r="H3568" s="77">
        <v>36940.000000000022</v>
      </c>
      <c r="I3568" s="76">
        <v>0.4</v>
      </c>
    </row>
    <row r="3569" spans="3:9" x14ac:dyDescent="0.35">
      <c r="C3569" t="s">
        <v>312</v>
      </c>
      <c r="D3569" s="3">
        <v>2023</v>
      </c>
      <c r="E3569" s="78">
        <f t="shared" si="579"/>
        <v>5</v>
      </c>
      <c r="F3569" s="74" t="s">
        <v>54</v>
      </c>
      <c r="G3569" s="77">
        <v>36940.000000000022</v>
      </c>
      <c r="H3569" s="77">
        <v>37240.000000000022</v>
      </c>
      <c r="I3569" s="76">
        <v>0.3</v>
      </c>
    </row>
    <row r="3570" spans="3:9" x14ac:dyDescent="0.35">
      <c r="C3570" t="s">
        <v>312</v>
      </c>
      <c r="D3570" s="3">
        <v>2023</v>
      </c>
      <c r="E3570" s="78">
        <f t="shared" si="579"/>
        <v>5</v>
      </c>
      <c r="F3570" s="74" t="s">
        <v>54</v>
      </c>
      <c r="G3570" s="77">
        <v>37240.000000000022</v>
      </c>
      <c r="H3570" s="77">
        <v>37540.000000000022</v>
      </c>
      <c r="I3570" s="76">
        <v>0.2</v>
      </c>
    </row>
    <row r="3571" spans="3:9" x14ac:dyDescent="0.35">
      <c r="C3571" t="s">
        <v>312</v>
      </c>
      <c r="D3571" s="3">
        <v>2023</v>
      </c>
      <c r="E3571" s="78">
        <f t="shared" si="579"/>
        <v>5</v>
      </c>
      <c r="F3571" s="74" t="s">
        <v>54</v>
      </c>
      <c r="G3571" s="77">
        <v>37540.000000000022</v>
      </c>
      <c r="H3571" s="77">
        <v>37840.000000000022</v>
      </c>
      <c r="I3571" s="76">
        <v>0.1</v>
      </c>
    </row>
    <row r="3572" spans="3:9" x14ac:dyDescent="0.35">
      <c r="C3572" t="s">
        <v>312</v>
      </c>
      <c r="D3572" s="3">
        <v>2023</v>
      </c>
      <c r="E3572" s="78">
        <f t="shared" si="579"/>
        <v>5</v>
      </c>
      <c r="F3572" s="74" t="s">
        <v>54</v>
      </c>
      <c r="G3572" s="77">
        <v>37840.000000000022</v>
      </c>
      <c r="H3572" s="77"/>
      <c r="I3572" s="76">
        <v>0</v>
      </c>
    </row>
    <row r="3573" spans="3:9" x14ac:dyDescent="0.35">
      <c r="C3573" t="s">
        <v>312</v>
      </c>
      <c r="D3573" s="3">
        <v>2023</v>
      </c>
      <c r="E3573" s="78">
        <f t="shared" si="579"/>
        <v>5</v>
      </c>
      <c r="F3573" s="74" t="s">
        <v>34</v>
      </c>
      <c r="G3573" s="77">
        <v>0</v>
      </c>
      <c r="H3573" s="75">
        <v>35140.000000000022</v>
      </c>
      <c r="I3573" s="76">
        <v>1</v>
      </c>
    </row>
    <row r="3574" spans="3:9" x14ac:dyDescent="0.35">
      <c r="C3574" t="s">
        <v>312</v>
      </c>
      <c r="D3574" s="3">
        <v>2023</v>
      </c>
      <c r="E3574" s="78">
        <f t="shared" si="579"/>
        <v>5</v>
      </c>
      <c r="F3574" s="74" t="s">
        <v>34</v>
      </c>
      <c r="G3574" s="77">
        <v>35140.000000000022</v>
      </c>
      <c r="H3574" s="77">
        <v>35440.000000000022</v>
      </c>
      <c r="I3574" s="76">
        <v>0.9</v>
      </c>
    </row>
    <row r="3575" spans="3:9" x14ac:dyDescent="0.35">
      <c r="C3575" t="s">
        <v>312</v>
      </c>
      <c r="D3575" s="3">
        <v>2023</v>
      </c>
      <c r="E3575" s="78">
        <f t="shared" si="579"/>
        <v>5</v>
      </c>
      <c r="F3575" s="74" t="s">
        <v>34</v>
      </c>
      <c r="G3575" s="77">
        <v>35440.000000000022</v>
      </c>
      <c r="H3575" s="77">
        <v>35740.000000000022</v>
      </c>
      <c r="I3575" s="76">
        <v>0.8</v>
      </c>
    </row>
    <row r="3576" spans="3:9" x14ac:dyDescent="0.35">
      <c r="C3576" t="s">
        <v>312</v>
      </c>
      <c r="D3576" s="3">
        <v>2023</v>
      </c>
      <c r="E3576" s="78">
        <f t="shared" si="579"/>
        <v>5</v>
      </c>
      <c r="F3576" s="74" t="s">
        <v>34</v>
      </c>
      <c r="G3576" s="77">
        <v>35740.000000000022</v>
      </c>
      <c r="H3576" s="77">
        <v>36040.000000000022</v>
      </c>
      <c r="I3576" s="76">
        <v>0.7</v>
      </c>
    </row>
    <row r="3577" spans="3:9" x14ac:dyDescent="0.35">
      <c r="C3577" t="s">
        <v>312</v>
      </c>
      <c r="D3577" s="3">
        <v>2023</v>
      </c>
      <c r="E3577" s="78">
        <f t="shared" si="579"/>
        <v>5</v>
      </c>
      <c r="F3577" s="74" t="s">
        <v>34</v>
      </c>
      <c r="G3577" s="77">
        <v>36040.000000000022</v>
      </c>
      <c r="H3577" s="77">
        <v>36340.000000000022</v>
      </c>
      <c r="I3577" s="76">
        <v>0.6</v>
      </c>
    </row>
    <row r="3578" spans="3:9" x14ac:dyDescent="0.35">
      <c r="C3578" t="s">
        <v>312</v>
      </c>
      <c r="D3578" s="3">
        <v>2023</v>
      </c>
      <c r="E3578" s="78">
        <f t="shared" si="579"/>
        <v>5</v>
      </c>
      <c r="F3578" s="74" t="s">
        <v>34</v>
      </c>
      <c r="G3578" s="77">
        <v>36340.000000000022</v>
      </c>
      <c r="H3578" s="77">
        <v>36640.000000000022</v>
      </c>
      <c r="I3578" s="76">
        <v>0.5</v>
      </c>
    </row>
    <row r="3579" spans="3:9" x14ac:dyDescent="0.35">
      <c r="C3579" t="s">
        <v>312</v>
      </c>
      <c r="D3579" s="3">
        <v>2023</v>
      </c>
      <c r="E3579" s="78">
        <f t="shared" si="579"/>
        <v>5</v>
      </c>
      <c r="F3579" s="74" t="s">
        <v>34</v>
      </c>
      <c r="G3579" s="77">
        <v>36640.000000000022</v>
      </c>
      <c r="H3579" s="77">
        <v>36940.000000000022</v>
      </c>
      <c r="I3579" s="76">
        <v>0.4</v>
      </c>
    </row>
    <row r="3580" spans="3:9" x14ac:dyDescent="0.35">
      <c r="C3580" t="s">
        <v>312</v>
      </c>
      <c r="D3580" s="3">
        <v>2023</v>
      </c>
      <c r="E3580" s="78">
        <f t="shared" si="579"/>
        <v>5</v>
      </c>
      <c r="F3580" s="74" t="s">
        <v>34</v>
      </c>
      <c r="G3580" s="77">
        <v>36940.000000000022</v>
      </c>
      <c r="H3580" s="77">
        <v>37240.000000000022</v>
      </c>
      <c r="I3580" s="76">
        <v>0.3</v>
      </c>
    </row>
    <row r="3581" spans="3:9" x14ac:dyDescent="0.35">
      <c r="C3581" t="s">
        <v>312</v>
      </c>
      <c r="D3581" s="3">
        <v>2023</v>
      </c>
      <c r="E3581" s="78">
        <f t="shared" si="579"/>
        <v>5</v>
      </c>
      <c r="F3581" s="74" t="s">
        <v>34</v>
      </c>
      <c r="G3581" s="77">
        <v>37240.000000000022</v>
      </c>
      <c r="H3581" s="77">
        <v>37540.000000000022</v>
      </c>
      <c r="I3581" s="76">
        <v>0.2</v>
      </c>
    </row>
    <row r="3582" spans="3:9" x14ac:dyDescent="0.35">
      <c r="C3582" t="s">
        <v>312</v>
      </c>
      <c r="D3582" s="3">
        <v>2023</v>
      </c>
      <c r="E3582" s="78">
        <f t="shared" si="579"/>
        <v>5</v>
      </c>
      <c r="F3582" s="74" t="s">
        <v>34</v>
      </c>
      <c r="G3582" s="77">
        <v>37540.000000000022</v>
      </c>
      <c r="H3582" s="77">
        <v>37840.000000000022</v>
      </c>
      <c r="I3582" s="76">
        <v>0.1</v>
      </c>
    </row>
    <row r="3583" spans="3:9" x14ac:dyDescent="0.35">
      <c r="C3583" t="s">
        <v>312</v>
      </c>
      <c r="D3583" s="3">
        <v>2023</v>
      </c>
      <c r="E3583" s="78">
        <f t="shared" si="579"/>
        <v>5</v>
      </c>
      <c r="F3583" s="74" t="s">
        <v>34</v>
      </c>
      <c r="G3583" s="77">
        <v>37840.000000000022</v>
      </c>
      <c r="H3583" s="77"/>
      <c r="I3583" s="76">
        <v>0</v>
      </c>
    </row>
    <row r="3584" spans="3:9" x14ac:dyDescent="0.35">
      <c r="C3584" t="s">
        <v>312</v>
      </c>
      <c r="D3584" s="3">
        <v>2023</v>
      </c>
      <c r="E3584" s="78">
        <f t="shared" si="579"/>
        <v>5</v>
      </c>
      <c r="F3584" s="74" t="s">
        <v>40</v>
      </c>
      <c r="G3584" s="77">
        <v>0</v>
      </c>
      <c r="H3584" s="75">
        <v>35140.000000000022</v>
      </c>
      <c r="I3584" s="76">
        <v>1</v>
      </c>
    </row>
    <row r="3585" spans="3:9" x14ac:dyDescent="0.35">
      <c r="C3585" t="s">
        <v>312</v>
      </c>
      <c r="D3585" s="3">
        <v>2023</v>
      </c>
      <c r="E3585" s="78">
        <f t="shared" si="579"/>
        <v>5</v>
      </c>
      <c r="F3585" s="74" t="s">
        <v>40</v>
      </c>
      <c r="G3585" s="77">
        <v>35140.000000000022</v>
      </c>
      <c r="H3585" s="77">
        <v>35440.000000000022</v>
      </c>
      <c r="I3585" s="76">
        <v>0.9</v>
      </c>
    </row>
    <row r="3586" spans="3:9" x14ac:dyDescent="0.35">
      <c r="C3586" t="s">
        <v>312</v>
      </c>
      <c r="D3586" s="3">
        <v>2023</v>
      </c>
      <c r="E3586" s="78">
        <f t="shared" si="579"/>
        <v>5</v>
      </c>
      <c r="F3586" s="74" t="s">
        <v>40</v>
      </c>
      <c r="G3586" s="77">
        <v>35440.000000000022</v>
      </c>
      <c r="H3586" s="77">
        <v>35740.000000000022</v>
      </c>
      <c r="I3586" s="76">
        <v>0.8</v>
      </c>
    </row>
    <row r="3587" spans="3:9" x14ac:dyDescent="0.35">
      <c r="C3587" t="s">
        <v>312</v>
      </c>
      <c r="D3587" s="3">
        <v>2023</v>
      </c>
      <c r="E3587" s="78">
        <f t="shared" si="579"/>
        <v>5</v>
      </c>
      <c r="F3587" s="74" t="s">
        <v>40</v>
      </c>
      <c r="G3587" s="77">
        <v>35740.000000000022</v>
      </c>
      <c r="H3587" s="77">
        <v>36040.000000000022</v>
      </c>
      <c r="I3587" s="76">
        <v>0.7</v>
      </c>
    </row>
    <row r="3588" spans="3:9" x14ac:dyDescent="0.35">
      <c r="C3588" t="s">
        <v>312</v>
      </c>
      <c r="D3588" s="3">
        <v>2023</v>
      </c>
      <c r="E3588" s="78">
        <f t="shared" si="579"/>
        <v>5</v>
      </c>
      <c r="F3588" s="74" t="s">
        <v>40</v>
      </c>
      <c r="G3588" s="77">
        <v>36040.000000000022</v>
      </c>
      <c r="H3588" s="77">
        <v>36340.000000000022</v>
      </c>
      <c r="I3588" s="76">
        <v>0.6</v>
      </c>
    </row>
    <row r="3589" spans="3:9" x14ac:dyDescent="0.35">
      <c r="C3589" t="s">
        <v>312</v>
      </c>
      <c r="D3589" s="3">
        <v>2023</v>
      </c>
      <c r="E3589" s="78">
        <f t="shared" si="579"/>
        <v>5</v>
      </c>
      <c r="F3589" s="74" t="s">
        <v>40</v>
      </c>
      <c r="G3589" s="77">
        <v>36340.000000000022</v>
      </c>
      <c r="H3589" s="77">
        <v>36640.000000000022</v>
      </c>
      <c r="I3589" s="76">
        <v>0.5</v>
      </c>
    </row>
    <row r="3590" spans="3:9" x14ac:dyDescent="0.35">
      <c r="C3590" t="s">
        <v>312</v>
      </c>
      <c r="D3590" s="3">
        <v>2023</v>
      </c>
      <c r="E3590" s="78">
        <f t="shared" si="579"/>
        <v>5</v>
      </c>
      <c r="F3590" s="74" t="s">
        <v>40</v>
      </c>
      <c r="G3590" s="77">
        <v>36640.000000000022</v>
      </c>
      <c r="H3590" s="77">
        <v>36940.000000000022</v>
      </c>
      <c r="I3590" s="76">
        <v>0.4</v>
      </c>
    </row>
    <row r="3591" spans="3:9" x14ac:dyDescent="0.35">
      <c r="C3591" t="s">
        <v>312</v>
      </c>
      <c r="D3591" s="3">
        <v>2023</v>
      </c>
      <c r="E3591" s="78">
        <f t="shared" si="579"/>
        <v>5</v>
      </c>
      <c r="F3591" s="74" t="s">
        <v>40</v>
      </c>
      <c r="G3591" s="77">
        <v>36940.000000000022</v>
      </c>
      <c r="H3591" s="77">
        <v>37240.000000000022</v>
      </c>
      <c r="I3591" s="76">
        <v>0.3</v>
      </c>
    </row>
    <row r="3592" spans="3:9" x14ac:dyDescent="0.35">
      <c r="C3592" t="s">
        <v>312</v>
      </c>
      <c r="D3592" s="3">
        <v>2023</v>
      </c>
      <c r="E3592" s="78">
        <f t="shared" si="579"/>
        <v>5</v>
      </c>
      <c r="F3592" s="74" t="s">
        <v>40</v>
      </c>
      <c r="G3592" s="77">
        <v>37240.000000000022</v>
      </c>
      <c r="H3592" s="77">
        <v>37540.000000000022</v>
      </c>
      <c r="I3592" s="76">
        <v>0.2</v>
      </c>
    </row>
    <row r="3593" spans="3:9" x14ac:dyDescent="0.35">
      <c r="C3593" t="s">
        <v>312</v>
      </c>
      <c r="D3593" s="3">
        <v>2023</v>
      </c>
      <c r="E3593" s="78">
        <f t="shared" si="579"/>
        <v>5</v>
      </c>
      <c r="F3593" s="74" t="s">
        <v>40</v>
      </c>
      <c r="G3593" s="77">
        <v>37540.000000000022</v>
      </c>
      <c r="H3593" s="77">
        <v>37840.000000000022</v>
      </c>
      <c r="I3593" s="76">
        <v>0.1</v>
      </c>
    </row>
    <row r="3594" spans="3:9" x14ac:dyDescent="0.35">
      <c r="C3594" t="s">
        <v>312</v>
      </c>
      <c r="D3594" s="3">
        <v>2023</v>
      </c>
      <c r="E3594" s="78">
        <f t="shared" si="579"/>
        <v>5</v>
      </c>
      <c r="F3594" s="74" t="s">
        <v>40</v>
      </c>
      <c r="G3594" s="77">
        <v>37840.000000000022</v>
      </c>
      <c r="H3594" s="77"/>
      <c r="I3594" s="76">
        <v>0</v>
      </c>
    </row>
    <row r="3595" spans="3:9" x14ac:dyDescent="0.35">
      <c r="C3595" t="s">
        <v>312</v>
      </c>
      <c r="D3595" s="3">
        <v>2023</v>
      </c>
      <c r="E3595" s="78">
        <f t="shared" si="579"/>
        <v>5</v>
      </c>
      <c r="F3595" s="74" t="s">
        <v>313</v>
      </c>
      <c r="G3595" s="77">
        <v>0</v>
      </c>
      <c r="H3595" s="75">
        <v>35140.000000000022</v>
      </c>
      <c r="I3595" s="76">
        <v>1</v>
      </c>
    </row>
    <row r="3596" spans="3:9" x14ac:dyDescent="0.35">
      <c r="C3596" t="s">
        <v>312</v>
      </c>
      <c r="D3596" s="3">
        <v>2023</v>
      </c>
      <c r="E3596" s="78">
        <f t="shared" si="579"/>
        <v>5</v>
      </c>
      <c r="F3596" s="74" t="s">
        <v>313</v>
      </c>
      <c r="G3596" s="77">
        <v>35140.000000000022</v>
      </c>
      <c r="H3596" s="77">
        <v>35440.000000000022</v>
      </c>
      <c r="I3596" s="76">
        <v>0.9</v>
      </c>
    </row>
    <row r="3597" spans="3:9" x14ac:dyDescent="0.35">
      <c r="C3597" t="s">
        <v>312</v>
      </c>
      <c r="D3597" s="3">
        <v>2023</v>
      </c>
      <c r="E3597" s="78">
        <f t="shared" si="579"/>
        <v>5</v>
      </c>
      <c r="F3597" s="74" t="s">
        <v>313</v>
      </c>
      <c r="G3597" s="77">
        <v>35440.000000000022</v>
      </c>
      <c r="H3597" s="77">
        <v>35740.000000000022</v>
      </c>
      <c r="I3597" s="76">
        <v>0.8</v>
      </c>
    </row>
    <row r="3598" spans="3:9" x14ac:dyDescent="0.35">
      <c r="C3598" t="s">
        <v>312</v>
      </c>
      <c r="D3598" s="3">
        <v>2023</v>
      </c>
      <c r="E3598" s="78">
        <f t="shared" si="579"/>
        <v>5</v>
      </c>
      <c r="F3598" s="74" t="s">
        <v>313</v>
      </c>
      <c r="G3598" s="77">
        <v>35740.000000000022</v>
      </c>
      <c r="H3598" s="77">
        <v>36040.000000000022</v>
      </c>
      <c r="I3598" s="76">
        <v>0.7</v>
      </c>
    </row>
    <row r="3599" spans="3:9" x14ac:dyDescent="0.35">
      <c r="C3599" t="s">
        <v>312</v>
      </c>
      <c r="D3599" s="3">
        <v>2023</v>
      </c>
      <c r="E3599" s="78">
        <f t="shared" si="579"/>
        <v>5</v>
      </c>
      <c r="F3599" s="74" t="s">
        <v>313</v>
      </c>
      <c r="G3599" s="77">
        <v>36040.000000000022</v>
      </c>
      <c r="H3599" s="77">
        <v>36340.000000000022</v>
      </c>
      <c r="I3599" s="76">
        <v>0.6</v>
      </c>
    </row>
    <row r="3600" spans="3:9" x14ac:dyDescent="0.35">
      <c r="C3600" t="s">
        <v>312</v>
      </c>
      <c r="D3600" s="3">
        <v>2023</v>
      </c>
      <c r="E3600" s="78">
        <f t="shared" si="579"/>
        <v>5</v>
      </c>
      <c r="F3600" s="74" t="s">
        <v>313</v>
      </c>
      <c r="G3600" s="77">
        <v>36340.000000000022</v>
      </c>
      <c r="H3600" s="77">
        <v>36640.000000000022</v>
      </c>
      <c r="I3600" s="76">
        <v>0.5</v>
      </c>
    </row>
    <row r="3601" spans="3:9" x14ac:dyDescent="0.35">
      <c r="C3601" t="s">
        <v>312</v>
      </c>
      <c r="D3601" s="3">
        <v>2023</v>
      </c>
      <c r="E3601" s="78">
        <f t="shared" si="579"/>
        <v>5</v>
      </c>
      <c r="F3601" s="74" t="s">
        <v>313</v>
      </c>
      <c r="G3601" s="77">
        <v>36640.000000000022</v>
      </c>
      <c r="H3601" s="77">
        <v>36940.000000000022</v>
      </c>
      <c r="I3601" s="76">
        <v>0.4</v>
      </c>
    </row>
    <row r="3602" spans="3:9" x14ac:dyDescent="0.35">
      <c r="C3602" t="s">
        <v>312</v>
      </c>
      <c r="D3602" s="3">
        <v>2023</v>
      </c>
      <c r="E3602" s="78">
        <f t="shared" si="579"/>
        <v>5</v>
      </c>
      <c r="F3602" s="74" t="s">
        <v>313</v>
      </c>
      <c r="G3602" s="77">
        <v>36940.000000000022</v>
      </c>
      <c r="H3602" s="77">
        <v>37240.000000000022</v>
      </c>
      <c r="I3602" s="76">
        <v>0.3</v>
      </c>
    </row>
    <row r="3603" spans="3:9" x14ac:dyDescent="0.35">
      <c r="C3603" t="s">
        <v>312</v>
      </c>
      <c r="D3603" s="3">
        <v>2023</v>
      </c>
      <c r="E3603" s="78">
        <f t="shared" si="579"/>
        <v>5</v>
      </c>
      <c r="F3603" s="74" t="s">
        <v>313</v>
      </c>
      <c r="G3603" s="77">
        <v>37240.000000000022</v>
      </c>
      <c r="H3603" s="77">
        <v>37540.000000000022</v>
      </c>
      <c r="I3603" s="76">
        <v>0.2</v>
      </c>
    </row>
    <row r="3604" spans="3:9" x14ac:dyDescent="0.35">
      <c r="C3604" t="s">
        <v>312</v>
      </c>
      <c r="D3604" s="3">
        <v>2023</v>
      </c>
      <c r="E3604" s="78">
        <f t="shared" si="579"/>
        <v>5</v>
      </c>
      <c r="F3604" s="74" t="s">
        <v>313</v>
      </c>
      <c r="G3604" s="77">
        <v>37540.000000000022</v>
      </c>
      <c r="H3604" s="77">
        <v>37840.000000000022</v>
      </c>
      <c r="I3604" s="76">
        <v>0.1</v>
      </c>
    </row>
    <row r="3605" spans="3:9" x14ac:dyDescent="0.35">
      <c r="C3605" t="s">
        <v>312</v>
      </c>
      <c r="D3605" s="3">
        <v>2023</v>
      </c>
      <c r="E3605" s="78">
        <f t="shared" si="579"/>
        <v>5</v>
      </c>
      <c r="F3605" s="74" t="s">
        <v>313</v>
      </c>
      <c r="G3605" s="77">
        <v>37840.000000000022</v>
      </c>
      <c r="H3605" s="77"/>
      <c r="I3605" s="76">
        <v>0</v>
      </c>
    </row>
    <row r="3606" spans="3:9" x14ac:dyDescent="0.35">
      <c r="C3606" t="s">
        <v>312</v>
      </c>
      <c r="D3606" s="3">
        <v>2023</v>
      </c>
      <c r="E3606" s="73">
        <v>6</v>
      </c>
      <c r="F3606" s="74" t="s">
        <v>54</v>
      </c>
      <c r="G3606" s="77">
        <v>0</v>
      </c>
      <c r="H3606" s="77">
        <v>40280.000000000029</v>
      </c>
      <c r="I3606" s="76">
        <v>1</v>
      </c>
    </row>
    <row r="3607" spans="3:9" x14ac:dyDescent="0.35">
      <c r="C3607" t="s">
        <v>312</v>
      </c>
      <c r="D3607" s="3">
        <v>2023</v>
      </c>
      <c r="E3607" s="78">
        <f>E3606</f>
        <v>6</v>
      </c>
      <c r="F3607" s="74" t="s">
        <v>54</v>
      </c>
      <c r="G3607" s="77">
        <v>40280.000000000029</v>
      </c>
      <c r="H3607" s="77">
        <v>40580.000000000029</v>
      </c>
      <c r="I3607" s="76">
        <v>0.9</v>
      </c>
    </row>
    <row r="3608" spans="3:9" x14ac:dyDescent="0.35">
      <c r="C3608" t="s">
        <v>312</v>
      </c>
      <c r="D3608" s="3">
        <v>2023</v>
      </c>
      <c r="E3608" s="78">
        <f t="shared" ref="E3608:E3649" si="580">E3607</f>
        <v>6</v>
      </c>
      <c r="F3608" s="74" t="s">
        <v>54</v>
      </c>
      <c r="G3608" s="77">
        <v>40580.000000000029</v>
      </c>
      <c r="H3608" s="77">
        <v>40880.000000000029</v>
      </c>
      <c r="I3608" s="76">
        <v>0.8</v>
      </c>
    </row>
    <row r="3609" spans="3:9" x14ac:dyDescent="0.35">
      <c r="C3609" t="s">
        <v>312</v>
      </c>
      <c r="D3609" s="3">
        <v>2023</v>
      </c>
      <c r="E3609" s="78">
        <f t="shared" si="580"/>
        <v>6</v>
      </c>
      <c r="F3609" s="74" t="s">
        <v>54</v>
      </c>
      <c r="G3609" s="77">
        <v>40880.000000000029</v>
      </c>
      <c r="H3609" s="77">
        <v>41180.000000000029</v>
      </c>
      <c r="I3609" s="76">
        <v>0.7</v>
      </c>
    </row>
    <row r="3610" spans="3:9" x14ac:dyDescent="0.35">
      <c r="C3610" t="s">
        <v>312</v>
      </c>
      <c r="D3610" s="3">
        <v>2023</v>
      </c>
      <c r="E3610" s="78">
        <f t="shared" si="580"/>
        <v>6</v>
      </c>
      <c r="F3610" s="74" t="s">
        <v>54</v>
      </c>
      <c r="G3610" s="77">
        <v>41180.000000000029</v>
      </c>
      <c r="H3610" s="77">
        <v>41480.000000000029</v>
      </c>
      <c r="I3610" s="76">
        <v>0.6</v>
      </c>
    </row>
    <row r="3611" spans="3:9" x14ac:dyDescent="0.35">
      <c r="C3611" t="s">
        <v>312</v>
      </c>
      <c r="D3611" s="3">
        <v>2023</v>
      </c>
      <c r="E3611" s="78">
        <f t="shared" si="580"/>
        <v>6</v>
      </c>
      <c r="F3611" s="74" t="s">
        <v>54</v>
      </c>
      <c r="G3611" s="77">
        <v>41480.000000000029</v>
      </c>
      <c r="H3611" s="77">
        <v>41780.000000000029</v>
      </c>
      <c r="I3611" s="76">
        <v>0.5</v>
      </c>
    </row>
    <row r="3612" spans="3:9" x14ac:dyDescent="0.35">
      <c r="C3612" t="s">
        <v>312</v>
      </c>
      <c r="D3612" s="3">
        <v>2023</v>
      </c>
      <c r="E3612" s="78">
        <f t="shared" si="580"/>
        <v>6</v>
      </c>
      <c r="F3612" s="74" t="s">
        <v>54</v>
      </c>
      <c r="G3612" s="77">
        <v>41780.000000000029</v>
      </c>
      <c r="H3612" s="77">
        <v>42080.000000000029</v>
      </c>
      <c r="I3612" s="76">
        <v>0.4</v>
      </c>
    </row>
    <row r="3613" spans="3:9" x14ac:dyDescent="0.35">
      <c r="C3613" t="s">
        <v>312</v>
      </c>
      <c r="D3613" s="3">
        <v>2023</v>
      </c>
      <c r="E3613" s="78">
        <f t="shared" si="580"/>
        <v>6</v>
      </c>
      <c r="F3613" s="74" t="s">
        <v>54</v>
      </c>
      <c r="G3613" s="77">
        <v>42080.000000000029</v>
      </c>
      <c r="H3613" s="77">
        <v>42380.000000000029</v>
      </c>
      <c r="I3613" s="76">
        <v>0.3</v>
      </c>
    </row>
    <row r="3614" spans="3:9" x14ac:dyDescent="0.35">
      <c r="C3614" t="s">
        <v>312</v>
      </c>
      <c r="D3614" s="3">
        <v>2023</v>
      </c>
      <c r="E3614" s="78">
        <f t="shared" si="580"/>
        <v>6</v>
      </c>
      <c r="F3614" s="74" t="s">
        <v>54</v>
      </c>
      <c r="G3614" s="77">
        <v>42380.000000000029</v>
      </c>
      <c r="H3614" s="77">
        <v>42680.000000000029</v>
      </c>
      <c r="I3614" s="76">
        <v>0.2</v>
      </c>
    </row>
    <row r="3615" spans="3:9" x14ac:dyDescent="0.35">
      <c r="C3615" t="s">
        <v>312</v>
      </c>
      <c r="D3615" s="3">
        <v>2023</v>
      </c>
      <c r="E3615" s="78">
        <f t="shared" si="580"/>
        <v>6</v>
      </c>
      <c r="F3615" s="74" t="s">
        <v>54</v>
      </c>
      <c r="G3615" s="77">
        <v>42680.000000000029</v>
      </c>
      <c r="H3615" s="77">
        <v>42980.000000000029</v>
      </c>
      <c r="I3615" s="76">
        <v>0.1</v>
      </c>
    </row>
    <row r="3616" spans="3:9" x14ac:dyDescent="0.35">
      <c r="C3616" t="s">
        <v>312</v>
      </c>
      <c r="D3616" s="3">
        <v>2023</v>
      </c>
      <c r="E3616" s="78">
        <f t="shared" si="580"/>
        <v>6</v>
      </c>
      <c r="F3616" s="74" t="s">
        <v>54</v>
      </c>
      <c r="G3616" s="77">
        <v>42980.000000000029</v>
      </c>
      <c r="H3616" s="77"/>
      <c r="I3616" s="76">
        <v>0</v>
      </c>
    </row>
    <row r="3617" spans="3:9" x14ac:dyDescent="0.35">
      <c r="C3617" t="s">
        <v>312</v>
      </c>
      <c r="D3617" s="3">
        <v>2023</v>
      </c>
      <c r="E3617" s="78">
        <f t="shared" si="580"/>
        <v>6</v>
      </c>
      <c r="F3617" s="74" t="s">
        <v>34</v>
      </c>
      <c r="G3617" s="77">
        <v>0</v>
      </c>
      <c r="H3617" s="75">
        <v>40280.000000000029</v>
      </c>
      <c r="I3617" s="76">
        <v>1</v>
      </c>
    </row>
    <row r="3618" spans="3:9" x14ac:dyDescent="0.35">
      <c r="C3618" t="s">
        <v>312</v>
      </c>
      <c r="D3618" s="3">
        <v>2023</v>
      </c>
      <c r="E3618" s="78">
        <f t="shared" si="580"/>
        <v>6</v>
      </c>
      <c r="F3618" s="74" t="s">
        <v>34</v>
      </c>
      <c r="G3618" s="77">
        <v>40280.000000000029</v>
      </c>
      <c r="H3618" s="77">
        <v>40580.000000000029</v>
      </c>
      <c r="I3618" s="76">
        <v>0.9</v>
      </c>
    </row>
    <row r="3619" spans="3:9" x14ac:dyDescent="0.35">
      <c r="C3619" t="s">
        <v>312</v>
      </c>
      <c r="D3619" s="3">
        <v>2023</v>
      </c>
      <c r="E3619" s="78">
        <f t="shared" si="580"/>
        <v>6</v>
      </c>
      <c r="F3619" s="74" t="s">
        <v>34</v>
      </c>
      <c r="G3619" s="77">
        <v>40580.000000000029</v>
      </c>
      <c r="H3619" s="77">
        <v>40880.000000000029</v>
      </c>
      <c r="I3619" s="76">
        <v>0.8</v>
      </c>
    </row>
    <row r="3620" spans="3:9" x14ac:dyDescent="0.35">
      <c r="C3620" t="s">
        <v>312</v>
      </c>
      <c r="D3620" s="3">
        <v>2023</v>
      </c>
      <c r="E3620" s="78">
        <f t="shared" si="580"/>
        <v>6</v>
      </c>
      <c r="F3620" s="74" t="s">
        <v>34</v>
      </c>
      <c r="G3620" s="77">
        <v>40880.000000000029</v>
      </c>
      <c r="H3620" s="77">
        <v>41180.000000000029</v>
      </c>
      <c r="I3620" s="76">
        <v>0.7</v>
      </c>
    </row>
    <row r="3621" spans="3:9" x14ac:dyDescent="0.35">
      <c r="C3621" t="s">
        <v>312</v>
      </c>
      <c r="D3621" s="3">
        <v>2023</v>
      </c>
      <c r="E3621" s="78">
        <f t="shared" si="580"/>
        <v>6</v>
      </c>
      <c r="F3621" s="74" t="s">
        <v>34</v>
      </c>
      <c r="G3621" s="77">
        <v>41180.000000000029</v>
      </c>
      <c r="H3621" s="77">
        <v>41480.000000000029</v>
      </c>
      <c r="I3621" s="76">
        <v>0.6</v>
      </c>
    </row>
    <row r="3622" spans="3:9" x14ac:dyDescent="0.35">
      <c r="C3622" t="s">
        <v>312</v>
      </c>
      <c r="D3622" s="3">
        <v>2023</v>
      </c>
      <c r="E3622" s="78">
        <f t="shared" si="580"/>
        <v>6</v>
      </c>
      <c r="F3622" s="74" t="s">
        <v>34</v>
      </c>
      <c r="G3622" s="77">
        <v>41480.000000000029</v>
      </c>
      <c r="H3622" s="77">
        <v>41780.000000000029</v>
      </c>
      <c r="I3622" s="76">
        <v>0.5</v>
      </c>
    </row>
    <row r="3623" spans="3:9" x14ac:dyDescent="0.35">
      <c r="C3623" t="s">
        <v>312</v>
      </c>
      <c r="D3623" s="3">
        <v>2023</v>
      </c>
      <c r="E3623" s="78">
        <f t="shared" si="580"/>
        <v>6</v>
      </c>
      <c r="F3623" s="74" t="s">
        <v>34</v>
      </c>
      <c r="G3623" s="77">
        <v>41780.000000000029</v>
      </c>
      <c r="H3623" s="77">
        <v>42080.000000000029</v>
      </c>
      <c r="I3623" s="76">
        <v>0.4</v>
      </c>
    </row>
    <row r="3624" spans="3:9" x14ac:dyDescent="0.35">
      <c r="C3624" t="s">
        <v>312</v>
      </c>
      <c r="D3624" s="3">
        <v>2023</v>
      </c>
      <c r="E3624" s="78">
        <f t="shared" si="580"/>
        <v>6</v>
      </c>
      <c r="F3624" s="74" t="s">
        <v>34</v>
      </c>
      <c r="G3624" s="77">
        <v>42080.000000000029</v>
      </c>
      <c r="H3624" s="77">
        <v>42380.000000000029</v>
      </c>
      <c r="I3624" s="76">
        <v>0.3</v>
      </c>
    </row>
    <row r="3625" spans="3:9" x14ac:dyDescent="0.35">
      <c r="C3625" t="s">
        <v>312</v>
      </c>
      <c r="D3625" s="3">
        <v>2023</v>
      </c>
      <c r="E3625" s="78">
        <f t="shared" si="580"/>
        <v>6</v>
      </c>
      <c r="F3625" s="74" t="s">
        <v>34</v>
      </c>
      <c r="G3625" s="77">
        <v>42380.000000000029</v>
      </c>
      <c r="H3625" s="77">
        <v>42680.000000000029</v>
      </c>
      <c r="I3625" s="76">
        <v>0.2</v>
      </c>
    </row>
    <row r="3626" spans="3:9" x14ac:dyDescent="0.35">
      <c r="C3626" t="s">
        <v>312</v>
      </c>
      <c r="D3626" s="3">
        <v>2023</v>
      </c>
      <c r="E3626" s="78">
        <f t="shared" si="580"/>
        <v>6</v>
      </c>
      <c r="F3626" s="74" t="s">
        <v>34</v>
      </c>
      <c r="G3626" s="77">
        <v>42680.000000000029</v>
      </c>
      <c r="H3626" s="77">
        <v>42980.000000000029</v>
      </c>
      <c r="I3626" s="76">
        <v>0.1</v>
      </c>
    </row>
    <row r="3627" spans="3:9" x14ac:dyDescent="0.35">
      <c r="C3627" t="s">
        <v>312</v>
      </c>
      <c r="D3627" s="3">
        <v>2023</v>
      </c>
      <c r="E3627" s="78">
        <f t="shared" si="580"/>
        <v>6</v>
      </c>
      <c r="F3627" s="74" t="s">
        <v>34</v>
      </c>
      <c r="G3627" s="77">
        <v>42980.000000000029</v>
      </c>
      <c r="H3627" s="77"/>
      <c r="I3627" s="76">
        <v>0</v>
      </c>
    </row>
    <row r="3628" spans="3:9" x14ac:dyDescent="0.35">
      <c r="C3628" t="s">
        <v>312</v>
      </c>
      <c r="D3628" s="3">
        <v>2023</v>
      </c>
      <c r="E3628" s="78">
        <f t="shared" si="580"/>
        <v>6</v>
      </c>
      <c r="F3628" s="74" t="s">
        <v>40</v>
      </c>
      <c r="G3628" s="77">
        <v>0</v>
      </c>
      <c r="H3628" s="75">
        <v>40280.000000000029</v>
      </c>
      <c r="I3628" s="76">
        <v>1</v>
      </c>
    </row>
    <row r="3629" spans="3:9" x14ac:dyDescent="0.35">
      <c r="C3629" t="s">
        <v>312</v>
      </c>
      <c r="D3629" s="3">
        <v>2023</v>
      </c>
      <c r="E3629" s="78">
        <f t="shared" si="580"/>
        <v>6</v>
      </c>
      <c r="F3629" s="74" t="s">
        <v>40</v>
      </c>
      <c r="G3629" s="77">
        <v>40280.000000000029</v>
      </c>
      <c r="H3629" s="77">
        <v>40580.000000000029</v>
      </c>
      <c r="I3629" s="76">
        <v>0.9</v>
      </c>
    </row>
    <row r="3630" spans="3:9" x14ac:dyDescent="0.35">
      <c r="C3630" t="s">
        <v>312</v>
      </c>
      <c r="D3630" s="3">
        <v>2023</v>
      </c>
      <c r="E3630" s="78">
        <f t="shared" si="580"/>
        <v>6</v>
      </c>
      <c r="F3630" s="74" t="s">
        <v>40</v>
      </c>
      <c r="G3630" s="77">
        <v>40580.000000000029</v>
      </c>
      <c r="H3630" s="77">
        <v>40880.000000000029</v>
      </c>
      <c r="I3630" s="76">
        <v>0.8</v>
      </c>
    </row>
    <row r="3631" spans="3:9" x14ac:dyDescent="0.35">
      <c r="C3631" t="s">
        <v>312</v>
      </c>
      <c r="D3631" s="3">
        <v>2023</v>
      </c>
      <c r="E3631" s="78">
        <f t="shared" si="580"/>
        <v>6</v>
      </c>
      <c r="F3631" s="74" t="s">
        <v>40</v>
      </c>
      <c r="G3631" s="77">
        <v>40880.000000000029</v>
      </c>
      <c r="H3631" s="77">
        <v>41180.000000000029</v>
      </c>
      <c r="I3631" s="76">
        <v>0.7</v>
      </c>
    </row>
    <row r="3632" spans="3:9" x14ac:dyDescent="0.35">
      <c r="C3632" t="s">
        <v>312</v>
      </c>
      <c r="D3632" s="3">
        <v>2023</v>
      </c>
      <c r="E3632" s="78">
        <f t="shared" si="580"/>
        <v>6</v>
      </c>
      <c r="F3632" s="74" t="s">
        <v>40</v>
      </c>
      <c r="G3632" s="77">
        <v>41180.000000000029</v>
      </c>
      <c r="H3632" s="77">
        <v>41480.000000000029</v>
      </c>
      <c r="I3632" s="76">
        <v>0.6</v>
      </c>
    </row>
    <row r="3633" spans="3:9" x14ac:dyDescent="0.35">
      <c r="C3633" t="s">
        <v>312</v>
      </c>
      <c r="D3633" s="3">
        <v>2023</v>
      </c>
      <c r="E3633" s="78">
        <f t="shared" si="580"/>
        <v>6</v>
      </c>
      <c r="F3633" s="74" t="s">
        <v>40</v>
      </c>
      <c r="G3633" s="77">
        <v>41480.000000000029</v>
      </c>
      <c r="H3633" s="77">
        <v>41780.000000000029</v>
      </c>
      <c r="I3633" s="76">
        <v>0.5</v>
      </c>
    </row>
    <row r="3634" spans="3:9" x14ac:dyDescent="0.35">
      <c r="C3634" t="s">
        <v>312</v>
      </c>
      <c r="D3634" s="3">
        <v>2023</v>
      </c>
      <c r="E3634" s="78">
        <f t="shared" si="580"/>
        <v>6</v>
      </c>
      <c r="F3634" s="74" t="s">
        <v>40</v>
      </c>
      <c r="G3634" s="77">
        <v>41780.000000000029</v>
      </c>
      <c r="H3634" s="77">
        <v>42080.000000000029</v>
      </c>
      <c r="I3634" s="76">
        <v>0.4</v>
      </c>
    </row>
    <row r="3635" spans="3:9" x14ac:dyDescent="0.35">
      <c r="C3635" t="s">
        <v>312</v>
      </c>
      <c r="D3635" s="3">
        <v>2023</v>
      </c>
      <c r="E3635" s="78">
        <f t="shared" si="580"/>
        <v>6</v>
      </c>
      <c r="F3635" s="74" t="s">
        <v>40</v>
      </c>
      <c r="G3635" s="77">
        <v>42080.000000000029</v>
      </c>
      <c r="H3635" s="77">
        <v>42380.000000000029</v>
      </c>
      <c r="I3635" s="76">
        <v>0.3</v>
      </c>
    </row>
    <row r="3636" spans="3:9" x14ac:dyDescent="0.35">
      <c r="C3636" t="s">
        <v>312</v>
      </c>
      <c r="D3636" s="3">
        <v>2023</v>
      </c>
      <c r="E3636" s="78">
        <f t="shared" si="580"/>
        <v>6</v>
      </c>
      <c r="F3636" s="74" t="s">
        <v>40</v>
      </c>
      <c r="G3636" s="77">
        <v>42380.000000000029</v>
      </c>
      <c r="H3636" s="77">
        <v>42680.000000000029</v>
      </c>
      <c r="I3636" s="76">
        <v>0.2</v>
      </c>
    </row>
    <row r="3637" spans="3:9" x14ac:dyDescent="0.35">
      <c r="C3637" t="s">
        <v>312</v>
      </c>
      <c r="D3637" s="3">
        <v>2023</v>
      </c>
      <c r="E3637" s="78">
        <f t="shared" si="580"/>
        <v>6</v>
      </c>
      <c r="F3637" s="74" t="s">
        <v>40</v>
      </c>
      <c r="G3637" s="77">
        <v>42680.000000000029</v>
      </c>
      <c r="H3637" s="77">
        <v>42980.000000000029</v>
      </c>
      <c r="I3637" s="76">
        <v>0.1</v>
      </c>
    </row>
    <row r="3638" spans="3:9" x14ac:dyDescent="0.35">
      <c r="C3638" t="s">
        <v>312</v>
      </c>
      <c r="D3638" s="3">
        <v>2023</v>
      </c>
      <c r="E3638" s="78">
        <f t="shared" si="580"/>
        <v>6</v>
      </c>
      <c r="F3638" s="74" t="s">
        <v>40</v>
      </c>
      <c r="G3638" s="77">
        <v>42980.000000000029</v>
      </c>
      <c r="H3638" s="77"/>
      <c r="I3638" s="76">
        <v>0</v>
      </c>
    </row>
    <row r="3639" spans="3:9" x14ac:dyDescent="0.35">
      <c r="C3639" t="s">
        <v>312</v>
      </c>
      <c r="D3639" s="3">
        <v>2023</v>
      </c>
      <c r="E3639" s="78">
        <f t="shared" si="580"/>
        <v>6</v>
      </c>
      <c r="F3639" s="74" t="s">
        <v>313</v>
      </c>
      <c r="G3639" s="77">
        <v>0</v>
      </c>
      <c r="H3639" s="75">
        <v>40280.000000000029</v>
      </c>
      <c r="I3639" s="76">
        <v>1</v>
      </c>
    </row>
    <row r="3640" spans="3:9" x14ac:dyDescent="0.35">
      <c r="C3640" t="s">
        <v>312</v>
      </c>
      <c r="D3640" s="3">
        <v>2023</v>
      </c>
      <c r="E3640" s="78">
        <f t="shared" si="580"/>
        <v>6</v>
      </c>
      <c r="F3640" s="74" t="s">
        <v>313</v>
      </c>
      <c r="G3640" s="77">
        <v>40280.000000000029</v>
      </c>
      <c r="H3640" s="77">
        <v>40580.000000000029</v>
      </c>
      <c r="I3640" s="76">
        <v>0.9</v>
      </c>
    </row>
    <row r="3641" spans="3:9" x14ac:dyDescent="0.35">
      <c r="C3641" t="s">
        <v>312</v>
      </c>
      <c r="D3641" s="3">
        <v>2023</v>
      </c>
      <c r="E3641" s="78">
        <f t="shared" si="580"/>
        <v>6</v>
      </c>
      <c r="F3641" s="74" t="s">
        <v>313</v>
      </c>
      <c r="G3641" s="77">
        <v>40580.000000000029</v>
      </c>
      <c r="H3641" s="77">
        <v>40880.000000000029</v>
      </c>
      <c r="I3641" s="76">
        <v>0.8</v>
      </c>
    </row>
    <row r="3642" spans="3:9" x14ac:dyDescent="0.35">
      <c r="C3642" t="s">
        <v>312</v>
      </c>
      <c r="D3642" s="3">
        <v>2023</v>
      </c>
      <c r="E3642" s="78">
        <f t="shared" si="580"/>
        <v>6</v>
      </c>
      <c r="F3642" s="74" t="s">
        <v>313</v>
      </c>
      <c r="G3642" s="77">
        <v>40880.000000000029</v>
      </c>
      <c r="H3642" s="77">
        <v>41180.000000000029</v>
      </c>
      <c r="I3642" s="76">
        <v>0.7</v>
      </c>
    </row>
    <row r="3643" spans="3:9" x14ac:dyDescent="0.35">
      <c r="C3643" t="s">
        <v>312</v>
      </c>
      <c r="D3643" s="3">
        <v>2023</v>
      </c>
      <c r="E3643" s="78">
        <f t="shared" si="580"/>
        <v>6</v>
      </c>
      <c r="F3643" s="74" t="s">
        <v>313</v>
      </c>
      <c r="G3643" s="77">
        <v>41180.000000000029</v>
      </c>
      <c r="H3643" s="77">
        <v>41480.000000000029</v>
      </c>
      <c r="I3643" s="76">
        <v>0.6</v>
      </c>
    </row>
    <row r="3644" spans="3:9" x14ac:dyDescent="0.35">
      <c r="C3644" t="s">
        <v>312</v>
      </c>
      <c r="D3644" s="3">
        <v>2023</v>
      </c>
      <c r="E3644" s="78">
        <f t="shared" si="580"/>
        <v>6</v>
      </c>
      <c r="F3644" s="74" t="s">
        <v>313</v>
      </c>
      <c r="G3644" s="77">
        <v>41480.000000000029</v>
      </c>
      <c r="H3644" s="77">
        <v>41780.000000000029</v>
      </c>
      <c r="I3644" s="76">
        <v>0.5</v>
      </c>
    </row>
    <row r="3645" spans="3:9" x14ac:dyDescent="0.35">
      <c r="C3645" t="s">
        <v>312</v>
      </c>
      <c r="D3645" s="3">
        <v>2023</v>
      </c>
      <c r="E3645" s="78">
        <f t="shared" si="580"/>
        <v>6</v>
      </c>
      <c r="F3645" s="74" t="s">
        <v>313</v>
      </c>
      <c r="G3645" s="77">
        <v>41780.000000000029</v>
      </c>
      <c r="H3645" s="77">
        <v>42080.000000000029</v>
      </c>
      <c r="I3645" s="76">
        <v>0.4</v>
      </c>
    </row>
    <row r="3646" spans="3:9" x14ac:dyDescent="0.35">
      <c r="C3646" t="s">
        <v>312</v>
      </c>
      <c r="D3646" s="3">
        <v>2023</v>
      </c>
      <c r="E3646" s="78">
        <f t="shared" si="580"/>
        <v>6</v>
      </c>
      <c r="F3646" s="74" t="s">
        <v>313</v>
      </c>
      <c r="G3646" s="77">
        <v>42080.000000000029</v>
      </c>
      <c r="H3646" s="77">
        <v>42380.000000000029</v>
      </c>
      <c r="I3646" s="76">
        <v>0.3</v>
      </c>
    </row>
    <row r="3647" spans="3:9" x14ac:dyDescent="0.35">
      <c r="C3647" t="s">
        <v>312</v>
      </c>
      <c r="D3647" s="3">
        <v>2023</v>
      </c>
      <c r="E3647" s="78">
        <f t="shared" si="580"/>
        <v>6</v>
      </c>
      <c r="F3647" s="74" t="s">
        <v>313</v>
      </c>
      <c r="G3647" s="77">
        <v>42380.000000000029</v>
      </c>
      <c r="H3647" s="77">
        <v>42680.000000000029</v>
      </c>
      <c r="I3647" s="76">
        <v>0.2</v>
      </c>
    </row>
    <row r="3648" spans="3:9" x14ac:dyDescent="0.35">
      <c r="C3648" t="s">
        <v>312</v>
      </c>
      <c r="D3648" s="3">
        <v>2023</v>
      </c>
      <c r="E3648" s="78">
        <f t="shared" si="580"/>
        <v>6</v>
      </c>
      <c r="F3648" s="74" t="s">
        <v>313</v>
      </c>
      <c r="G3648" s="77">
        <v>42680.000000000029</v>
      </c>
      <c r="H3648" s="77">
        <v>42980.000000000029</v>
      </c>
      <c r="I3648" s="76">
        <v>0.1</v>
      </c>
    </row>
    <row r="3649" spans="3:9" x14ac:dyDescent="0.35">
      <c r="C3649" t="s">
        <v>312</v>
      </c>
      <c r="D3649" s="3">
        <v>2023</v>
      </c>
      <c r="E3649" s="78">
        <f t="shared" si="580"/>
        <v>6</v>
      </c>
      <c r="F3649" s="74" t="s">
        <v>313</v>
      </c>
      <c r="G3649" s="77">
        <v>42980.000000000029</v>
      </c>
      <c r="H3649" s="77"/>
      <c r="I3649" s="76">
        <v>0</v>
      </c>
    </row>
    <row r="3650" spans="3:9" x14ac:dyDescent="0.35">
      <c r="C3650" t="s">
        <v>312</v>
      </c>
      <c r="D3650" s="3">
        <v>2023</v>
      </c>
      <c r="E3650" s="73">
        <v>7</v>
      </c>
      <c r="F3650" s="74" t="s">
        <v>54</v>
      </c>
      <c r="G3650" s="77">
        <v>0</v>
      </c>
      <c r="H3650" s="77">
        <v>45420.000000000029</v>
      </c>
      <c r="I3650" s="76">
        <v>1</v>
      </c>
    </row>
    <row r="3651" spans="3:9" x14ac:dyDescent="0.35">
      <c r="C3651" t="s">
        <v>312</v>
      </c>
      <c r="D3651" s="3">
        <v>2023</v>
      </c>
      <c r="E3651" s="78">
        <f>E3650</f>
        <v>7</v>
      </c>
      <c r="F3651" s="74" t="s">
        <v>54</v>
      </c>
      <c r="G3651" s="77">
        <v>45420.000000000029</v>
      </c>
      <c r="H3651" s="77">
        <v>45720.000000000029</v>
      </c>
      <c r="I3651" s="76">
        <v>0.9</v>
      </c>
    </row>
    <row r="3652" spans="3:9" x14ac:dyDescent="0.35">
      <c r="C3652" t="s">
        <v>312</v>
      </c>
      <c r="D3652" s="3">
        <v>2023</v>
      </c>
      <c r="E3652" s="78">
        <f t="shared" ref="E3652:E3693" si="581">E3651</f>
        <v>7</v>
      </c>
      <c r="F3652" s="74" t="s">
        <v>54</v>
      </c>
      <c r="G3652" s="77">
        <v>45720.000000000029</v>
      </c>
      <c r="H3652" s="77">
        <v>46020.000000000029</v>
      </c>
      <c r="I3652" s="76">
        <v>0.8</v>
      </c>
    </row>
    <row r="3653" spans="3:9" x14ac:dyDescent="0.35">
      <c r="C3653" t="s">
        <v>312</v>
      </c>
      <c r="D3653" s="3">
        <v>2023</v>
      </c>
      <c r="E3653" s="78">
        <f t="shared" si="581"/>
        <v>7</v>
      </c>
      <c r="F3653" s="74" t="s">
        <v>54</v>
      </c>
      <c r="G3653" s="77">
        <v>46020.000000000029</v>
      </c>
      <c r="H3653" s="77">
        <v>46320.000000000029</v>
      </c>
      <c r="I3653" s="76">
        <v>0.7</v>
      </c>
    </row>
    <row r="3654" spans="3:9" x14ac:dyDescent="0.35">
      <c r="C3654" t="s">
        <v>312</v>
      </c>
      <c r="D3654" s="3">
        <v>2023</v>
      </c>
      <c r="E3654" s="78">
        <f t="shared" si="581"/>
        <v>7</v>
      </c>
      <c r="F3654" s="74" t="s">
        <v>54</v>
      </c>
      <c r="G3654" s="77">
        <v>46320.000000000029</v>
      </c>
      <c r="H3654" s="77">
        <v>46620.000000000029</v>
      </c>
      <c r="I3654" s="76">
        <v>0.6</v>
      </c>
    </row>
    <row r="3655" spans="3:9" x14ac:dyDescent="0.35">
      <c r="C3655" t="s">
        <v>312</v>
      </c>
      <c r="D3655" s="3">
        <v>2023</v>
      </c>
      <c r="E3655" s="78">
        <f t="shared" si="581"/>
        <v>7</v>
      </c>
      <c r="F3655" s="74" t="s">
        <v>54</v>
      </c>
      <c r="G3655" s="77">
        <v>46620.000000000029</v>
      </c>
      <c r="H3655" s="77">
        <v>46920.000000000029</v>
      </c>
      <c r="I3655" s="76">
        <v>0.5</v>
      </c>
    </row>
    <row r="3656" spans="3:9" x14ac:dyDescent="0.35">
      <c r="C3656" t="s">
        <v>312</v>
      </c>
      <c r="D3656" s="3">
        <v>2023</v>
      </c>
      <c r="E3656" s="78">
        <f t="shared" si="581"/>
        <v>7</v>
      </c>
      <c r="F3656" s="74" t="s">
        <v>54</v>
      </c>
      <c r="G3656" s="77">
        <v>46920.000000000029</v>
      </c>
      <c r="H3656" s="77">
        <v>47220.000000000029</v>
      </c>
      <c r="I3656" s="76">
        <v>0.4</v>
      </c>
    </row>
    <row r="3657" spans="3:9" x14ac:dyDescent="0.35">
      <c r="C3657" t="s">
        <v>312</v>
      </c>
      <c r="D3657" s="3">
        <v>2023</v>
      </c>
      <c r="E3657" s="78">
        <f t="shared" si="581"/>
        <v>7</v>
      </c>
      <c r="F3657" s="74" t="s">
        <v>54</v>
      </c>
      <c r="G3657" s="77">
        <v>47220.000000000029</v>
      </c>
      <c r="H3657" s="77">
        <v>47520.000000000029</v>
      </c>
      <c r="I3657" s="76">
        <v>0.3</v>
      </c>
    </row>
    <row r="3658" spans="3:9" x14ac:dyDescent="0.35">
      <c r="C3658" t="s">
        <v>312</v>
      </c>
      <c r="D3658" s="3">
        <v>2023</v>
      </c>
      <c r="E3658" s="78">
        <f t="shared" si="581"/>
        <v>7</v>
      </c>
      <c r="F3658" s="74" t="s">
        <v>54</v>
      </c>
      <c r="G3658" s="77">
        <v>47520.000000000029</v>
      </c>
      <c r="H3658" s="77">
        <v>47820.000000000029</v>
      </c>
      <c r="I3658" s="76">
        <v>0.2</v>
      </c>
    </row>
    <row r="3659" spans="3:9" x14ac:dyDescent="0.35">
      <c r="C3659" t="s">
        <v>312</v>
      </c>
      <c r="D3659" s="3">
        <v>2023</v>
      </c>
      <c r="E3659" s="78">
        <f t="shared" si="581"/>
        <v>7</v>
      </c>
      <c r="F3659" s="74" t="s">
        <v>54</v>
      </c>
      <c r="G3659" s="77">
        <v>47820.000000000029</v>
      </c>
      <c r="H3659" s="77">
        <v>48120.000000000029</v>
      </c>
      <c r="I3659" s="76">
        <v>0.1</v>
      </c>
    </row>
    <row r="3660" spans="3:9" x14ac:dyDescent="0.35">
      <c r="C3660" t="s">
        <v>312</v>
      </c>
      <c r="D3660" s="3">
        <v>2023</v>
      </c>
      <c r="E3660" s="78">
        <f t="shared" si="581"/>
        <v>7</v>
      </c>
      <c r="F3660" s="74" t="s">
        <v>54</v>
      </c>
      <c r="G3660" s="77">
        <v>48120.000000000029</v>
      </c>
      <c r="H3660" s="77"/>
      <c r="I3660" s="76">
        <v>0</v>
      </c>
    </row>
    <row r="3661" spans="3:9" x14ac:dyDescent="0.35">
      <c r="C3661" t="s">
        <v>312</v>
      </c>
      <c r="D3661" s="3">
        <v>2023</v>
      </c>
      <c r="E3661" s="78">
        <f t="shared" si="581"/>
        <v>7</v>
      </c>
      <c r="F3661" s="74" t="s">
        <v>34</v>
      </c>
      <c r="G3661" s="77">
        <v>0</v>
      </c>
      <c r="H3661" s="75">
        <v>45420.000000000029</v>
      </c>
      <c r="I3661" s="76">
        <v>1</v>
      </c>
    </row>
    <row r="3662" spans="3:9" x14ac:dyDescent="0.35">
      <c r="C3662" t="s">
        <v>312</v>
      </c>
      <c r="D3662" s="3">
        <v>2023</v>
      </c>
      <c r="E3662" s="78">
        <f t="shared" si="581"/>
        <v>7</v>
      </c>
      <c r="F3662" s="74" t="s">
        <v>34</v>
      </c>
      <c r="G3662" s="77">
        <v>45420.000000000029</v>
      </c>
      <c r="H3662" s="77">
        <v>45720.000000000029</v>
      </c>
      <c r="I3662" s="76">
        <v>0.9</v>
      </c>
    </row>
    <row r="3663" spans="3:9" x14ac:dyDescent="0.35">
      <c r="C3663" t="s">
        <v>312</v>
      </c>
      <c r="D3663" s="3">
        <v>2023</v>
      </c>
      <c r="E3663" s="78">
        <f t="shared" si="581"/>
        <v>7</v>
      </c>
      <c r="F3663" s="74" t="s">
        <v>34</v>
      </c>
      <c r="G3663" s="77">
        <v>45720.000000000029</v>
      </c>
      <c r="H3663" s="77">
        <v>46020.000000000029</v>
      </c>
      <c r="I3663" s="76">
        <v>0.8</v>
      </c>
    </row>
    <row r="3664" spans="3:9" x14ac:dyDescent="0.35">
      <c r="C3664" t="s">
        <v>312</v>
      </c>
      <c r="D3664" s="3">
        <v>2023</v>
      </c>
      <c r="E3664" s="78">
        <f t="shared" si="581"/>
        <v>7</v>
      </c>
      <c r="F3664" s="74" t="s">
        <v>34</v>
      </c>
      <c r="G3664" s="77">
        <v>46020.000000000029</v>
      </c>
      <c r="H3664" s="77">
        <v>46320.000000000029</v>
      </c>
      <c r="I3664" s="76">
        <v>0.7</v>
      </c>
    </row>
    <row r="3665" spans="3:9" x14ac:dyDescent="0.35">
      <c r="C3665" t="s">
        <v>312</v>
      </c>
      <c r="D3665" s="3">
        <v>2023</v>
      </c>
      <c r="E3665" s="78">
        <f t="shared" si="581"/>
        <v>7</v>
      </c>
      <c r="F3665" s="74" t="s">
        <v>34</v>
      </c>
      <c r="G3665" s="77">
        <v>46320.000000000029</v>
      </c>
      <c r="H3665" s="77">
        <v>46620.000000000029</v>
      </c>
      <c r="I3665" s="76">
        <v>0.6</v>
      </c>
    </row>
    <row r="3666" spans="3:9" x14ac:dyDescent="0.35">
      <c r="C3666" t="s">
        <v>312</v>
      </c>
      <c r="D3666" s="3">
        <v>2023</v>
      </c>
      <c r="E3666" s="78">
        <f t="shared" si="581"/>
        <v>7</v>
      </c>
      <c r="F3666" s="74" t="s">
        <v>34</v>
      </c>
      <c r="G3666" s="77">
        <v>46620.000000000029</v>
      </c>
      <c r="H3666" s="77">
        <v>46920.000000000029</v>
      </c>
      <c r="I3666" s="76">
        <v>0.5</v>
      </c>
    </row>
    <row r="3667" spans="3:9" x14ac:dyDescent="0.35">
      <c r="C3667" t="s">
        <v>312</v>
      </c>
      <c r="D3667" s="3">
        <v>2023</v>
      </c>
      <c r="E3667" s="78">
        <f t="shared" si="581"/>
        <v>7</v>
      </c>
      <c r="F3667" s="74" t="s">
        <v>34</v>
      </c>
      <c r="G3667" s="77">
        <v>46920.000000000029</v>
      </c>
      <c r="H3667" s="77">
        <v>47220.000000000029</v>
      </c>
      <c r="I3667" s="76">
        <v>0.4</v>
      </c>
    </row>
    <row r="3668" spans="3:9" x14ac:dyDescent="0.35">
      <c r="C3668" t="s">
        <v>312</v>
      </c>
      <c r="D3668" s="3">
        <v>2023</v>
      </c>
      <c r="E3668" s="78">
        <f t="shared" si="581"/>
        <v>7</v>
      </c>
      <c r="F3668" s="74" t="s">
        <v>34</v>
      </c>
      <c r="G3668" s="77">
        <v>47220.000000000029</v>
      </c>
      <c r="H3668" s="77">
        <v>47520.000000000029</v>
      </c>
      <c r="I3668" s="76">
        <v>0.3</v>
      </c>
    </row>
    <row r="3669" spans="3:9" x14ac:dyDescent="0.35">
      <c r="C3669" t="s">
        <v>312</v>
      </c>
      <c r="D3669" s="3">
        <v>2023</v>
      </c>
      <c r="E3669" s="78">
        <f t="shared" si="581"/>
        <v>7</v>
      </c>
      <c r="F3669" s="74" t="s">
        <v>34</v>
      </c>
      <c r="G3669" s="77">
        <v>47520.000000000029</v>
      </c>
      <c r="H3669" s="77">
        <v>47820.000000000029</v>
      </c>
      <c r="I3669" s="76">
        <v>0.2</v>
      </c>
    </row>
    <row r="3670" spans="3:9" x14ac:dyDescent="0.35">
      <c r="C3670" t="s">
        <v>312</v>
      </c>
      <c r="D3670" s="3">
        <v>2023</v>
      </c>
      <c r="E3670" s="78">
        <f t="shared" si="581"/>
        <v>7</v>
      </c>
      <c r="F3670" s="74" t="s">
        <v>34</v>
      </c>
      <c r="G3670" s="77">
        <v>47820.000000000029</v>
      </c>
      <c r="H3670" s="77">
        <v>48120.000000000029</v>
      </c>
      <c r="I3670" s="76">
        <v>0.1</v>
      </c>
    </row>
    <row r="3671" spans="3:9" x14ac:dyDescent="0.35">
      <c r="C3671" t="s">
        <v>312</v>
      </c>
      <c r="D3671" s="3">
        <v>2023</v>
      </c>
      <c r="E3671" s="78">
        <f t="shared" si="581"/>
        <v>7</v>
      </c>
      <c r="F3671" s="74" t="s">
        <v>34</v>
      </c>
      <c r="G3671" s="77">
        <v>48120.000000000029</v>
      </c>
      <c r="H3671" s="77"/>
      <c r="I3671" s="76">
        <v>0</v>
      </c>
    </row>
    <row r="3672" spans="3:9" x14ac:dyDescent="0.35">
      <c r="C3672" t="s">
        <v>312</v>
      </c>
      <c r="D3672" s="3">
        <v>2023</v>
      </c>
      <c r="E3672" s="78">
        <f t="shared" si="581"/>
        <v>7</v>
      </c>
      <c r="F3672" s="74" t="s">
        <v>40</v>
      </c>
      <c r="G3672" s="77">
        <v>0</v>
      </c>
      <c r="H3672" s="75">
        <v>45420.000000000029</v>
      </c>
      <c r="I3672" s="76">
        <v>1</v>
      </c>
    </row>
    <row r="3673" spans="3:9" x14ac:dyDescent="0.35">
      <c r="C3673" t="s">
        <v>312</v>
      </c>
      <c r="D3673" s="3">
        <v>2023</v>
      </c>
      <c r="E3673" s="78">
        <f t="shared" si="581"/>
        <v>7</v>
      </c>
      <c r="F3673" s="74" t="s">
        <v>40</v>
      </c>
      <c r="G3673" s="77">
        <v>45420.000000000029</v>
      </c>
      <c r="H3673" s="77">
        <v>45720.000000000029</v>
      </c>
      <c r="I3673" s="76">
        <v>0.9</v>
      </c>
    </row>
    <row r="3674" spans="3:9" x14ac:dyDescent="0.35">
      <c r="C3674" t="s">
        <v>312</v>
      </c>
      <c r="D3674" s="3">
        <v>2023</v>
      </c>
      <c r="E3674" s="78">
        <f t="shared" si="581"/>
        <v>7</v>
      </c>
      <c r="F3674" s="74" t="s">
        <v>40</v>
      </c>
      <c r="G3674" s="77">
        <v>45720.000000000029</v>
      </c>
      <c r="H3674" s="77">
        <v>46020.000000000029</v>
      </c>
      <c r="I3674" s="76">
        <v>0.8</v>
      </c>
    </row>
    <row r="3675" spans="3:9" x14ac:dyDescent="0.35">
      <c r="C3675" t="s">
        <v>312</v>
      </c>
      <c r="D3675" s="3">
        <v>2023</v>
      </c>
      <c r="E3675" s="78">
        <f t="shared" si="581"/>
        <v>7</v>
      </c>
      <c r="F3675" s="74" t="s">
        <v>40</v>
      </c>
      <c r="G3675" s="77">
        <v>46020.000000000029</v>
      </c>
      <c r="H3675" s="77">
        <v>46320.000000000029</v>
      </c>
      <c r="I3675" s="76">
        <v>0.7</v>
      </c>
    </row>
    <row r="3676" spans="3:9" x14ac:dyDescent="0.35">
      <c r="C3676" t="s">
        <v>312</v>
      </c>
      <c r="D3676" s="3">
        <v>2023</v>
      </c>
      <c r="E3676" s="78">
        <f t="shared" si="581"/>
        <v>7</v>
      </c>
      <c r="F3676" s="74" t="s">
        <v>40</v>
      </c>
      <c r="G3676" s="77">
        <v>46320.000000000029</v>
      </c>
      <c r="H3676" s="77">
        <v>46620.000000000029</v>
      </c>
      <c r="I3676" s="76">
        <v>0.6</v>
      </c>
    </row>
    <row r="3677" spans="3:9" x14ac:dyDescent="0.35">
      <c r="C3677" t="s">
        <v>312</v>
      </c>
      <c r="D3677" s="3">
        <v>2023</v>
      </c>
      <c r="E3677" s="78">
        <f t="shared" si="581"/>
        <v>7</v>
      </c>
      <c r="F3677" s="74" t="s">
        <v>40</v>
      </c>
      <c r="G3677" s="77">
        <v>46620.000000000029</v>
      </c>
      <c r="H3677" s="77">
        <v>46920.000000000029</v>
      </c>
      <c r="I3677" s="76">
        <v>0.5</v>
      </c>
    </row>
    <row r="3678" spans="3:9" x14ac:dyDescent="0.35">
      <c r="C3678" t="s">
        <v>312</v>
      </c>
      <c r="D3678" s="3">
        <v>2023</v>
      </c>
      <c r="E3678" s="78">
        <f t="shared" si="581"/>
        <v>7</v>
      </c>
      <c r="F3678" s="74" t="s">
        <v>40</v>
      </c>
      <c r="G3678" s="77">
        <v>46920.000000000029</v>
      </c>
      <c r="H3678" s="77">
        <v>47220.000000000029</v>
      </c>
      <c r="I3678" s="76">
        <v>0.4</v>
      </c>
    </row>
    <row r="3679" spans="3:9" x14ac:dyDescent="0.35">
      <c r="C3679" t="s">
        <v>312</v>
      </c>
      <c r="D3679" s="3">
        <v>2023</v>
      </c>
      <c r="E3679" s="78">
        <f t="shared" si="581"/>
        <v>7</v>
      </c>
      <c r="F3679" s="74" t="s">
        <v>40</v>
      </c>
      <c r="G3679" s="77">
        <v>47220.000000000029</v>
      </c>
      <c r="H3679" s="77">
        <v>47520.000000000029</v>
      </c>
      <c r="I3679" s="76">
        <v>0.3</v>
      </c>
    </row>
    <row r="3680" spans="3:9" x14ac:dyDescent="0.35">
      <c r="C3680" t="s">
        <v>312</v>
      </c>
      <c r="D3680" s="3">
        <v>2023</v>
      </c>
      <c r="E3680" s="78">
        <f t="shared" si="581"/>
        <v>7</v>
      </c>
      <c r="F3680" s="74" t="s">
        <v>40</v>
      </c>
      <c r="G3680" s="77">
        <v>47520.000000000029</v>
      </c>
      <c r="H3680" s="77">
        <v>47820.000000000029</v>
      </c>
      <c r="I3680" s="76">
        <v>0.2</v>
      </c>
    </row>
    <row r="3681" spans="3:9" x14ac:dyDescent="0.35">
      <c r="C3681" t="s">
        <v>312</v>
      </c>
      <c r="D3681" s="3">
        <v>2023</v>
      </c>
      <c r="E3681" s="78">
        <f t="shared" si="581"/>
        <v>7</v>
      </c>
      <c r="F3681" s="74" t="s">
        <v>40</v>
      </c>
      <c r="G3681" s="77">
        <v>47820.000000000029</v>
      </c>
      <c r="H3681" s="77">
        <v>48120.000000000029</v>
      </c>
      <c r="I3681" s="76">
        <v>0.1</v>
      </c>
    </row>
    <row r="3682" spans="3:9" x14ac:dyDescent="0.35">
      <c r="C3682" t="s">
        <v>312</v>
      </c>
      <c r="D3682" s="3">
        <v>2023</v>
      </c>
      <c r="E3682" s="78">
        <f t="shared" si="581"/>
        <v>7</v>
      </c>
      <c r="F3682" s="74" t="s">
        <v>40</v>
      </c>
      <c r="G3682" s="77">
        <v>48120.000000000029</v>
      </c>
      <c r="H3682" s="77"/>
      <c r="I3682" s="76">
        <v>0</v>
      </c>
    </row>
    <row r="3683" spans="3:9" x14ac:dyDescent="0.35">
      <c r="C3683" t="s">
        <v>312</v>
      </c>
      <c r="D3683" s="3">
        <v>2023</v>
      </c>
      <c r="E3683" s="78">
        <f t="shared" si="581"/>
        <v>7</v>
      </c>
      <c r="F3683" s="74" t="s">
        <v>313</v>
      </c>
      <c r="G3683" s="77">
        <v>0</v>
      </c>
      <c r="H3683" s="75">
        <v>45420.000000000029</v>
      </c>
      <c r="I3683" s="76">
        <v>1</v>
      </c>
    </row>
    <row r="3684" spans="3:9" x14ac:dyDescent="0.35">
      <c r="C3684" t="s">
        <v>312</v>
      </c>
      <c r="D3684" s="3">
        <v>2023</v>
      </c>
      <c r="E3684" s="78">
        <f t="shared" si="581"/>
        <v>7</v>
      </c>
      <c r="F3684" s="74" t="s">
        <v>313</v>
      </c>
      <c r="G3684" s="77">
        <v>45420.000000000029</v>
      </c>
      <c r="H3684" s="77">
        <v>45720.000000000029</v>
      </c>
      <c r="I3684" s="76">
        <v>0.9</v>
      </c>
    </row>
    <row r="3685" spans="3:9" x14ac:dyDescent="0.35">
      <c r="C3685" t="s">
        <v>312</v>
      </c>
      <c r="D3685" s="3">
        <v>2023</v>
      </c>
      <c r="E3685" s="78">
        <f t="shared" si="581"/>
        <v>7</v>
      </c>
      <c r="F3685" s="74" t="s">
        <v>313</v>
      </c>
      <c r="G3685" s="77">
        <v>45720.000000000029</v>
      </c>
      <c r="H3685" s="77">
        <v>46020.000000000029</v>
      </c>
      <c r="I3685" s="76">
        <v>0.8</v>
      </c>
    </row>
    <row r="3686" spans="3:9" x14ac:dyDescent="0.35">
      <c r="C3686" t="s">
        <v>312</v>
      </c>
      <c r="D3686" s="3">
        <v>2023</v>
      </c>
      <c r="E3686" s="78">
        <f t="shared" si="581"/>
        <v>7</v>
      </c>
      <c r="F3686" s="74" t="s">
        <v>313</v>
      </c>
      <c r="G3686" s="77">
        <v>46020.000000000029</v>
      </c>
      <c r="H3686" s="77">
        <v>46320.000000000029</v>
      </c>
      <c r="I3686" s="76">
        <v>0.7</v>
      </c>
    </row>
    <row r="3687" spans="3:9" x14ac:dyDescent="0.35">
      <c r="C3687" t="s">
        <v>312</v>
      </c>
      <c r="D3687" s="3">
        <v>2023</v>
      </c>
      <c r="E3687" s="78">
        <f t="shared" si="581"/>
        <v>7</v>
      </c>
      <c r="F3687" s="74" t="s">
        <v>313</v>
      </c>
      <c r="G3687" s="77">
        <v>46320.000000000029</v>
      </c>
      <c r="H3687" s="77">
        <v>46620.000000000029</v>
      </c>
      <c r="I3687" s="76">
        <v>0.6</v>
      </c>
    </row>
    <row r="3688" spans="3:9" x14ac:dyDescent="0.35">
      <c r="C3688" t="s">
        <v>312</v>
      </c>
      <c r="D3688" s="3">
        <v>2023</v>
      </c>
      <c r="E3688" s="78">
        <f t="shared" si="581"/>
        <v>7</v>
      </c>
      <c r="F3688" s="74" t="s">
        <v>313</v>
      </c>
      <c r="G3688" s="77">
        <v>46620.000000000029</v>
      </c>
      <c r="H3688" s="77">
        <v>46920.000000000029</v>
      </c>
      <c r="I3688" s="76">
        <v>0.5</v>
      </c>
    </row>
    <row r="3689" spans="3:9" x14ac:dyDescent="0.35">
      <c r="C3689" t="s">
        <v>312</v>
      </c>
      <c r="D3689" s="3">
        <v>2023</v>
      </c>
      <c r="E3689" s="78">
        <f t="shared" si="581"/>
        <v>7</v>
      </c>
      <c r="F3689" s="74" t="s">
        <v>313</v>
      </c>
      <c r="G3689" s="77">
        <v>46920.000000000029</v>
      </c>
      <c r="H3689" s="77">
        <v>47220.000000000029</v>
      </c>
      <c r="I3689" s="76">
        <v>0.4</v>
      </c>
    </row>
    <row r="3690" spans="3:9" x14ac:dyDescent="0.35">
      <c r="C3690" t="s">
        <v>312</v>
      </c>
      <c r="D3690" s="3">
        <v>2023</v>
      </c>
      <c r="E3690" s="78">
        <f t="shared" si="581"/>
        <v>7</v>
      </c>
      <c r="F3690" s="74" t="s">
        <v>313</v>
      </c>
      <c r="G3690" s="77">
        <v>47220.000000000029</v>
      </c>
      <c r="H3690" s="77">
        <v>47520.000000000029</v>
      </c>
      <c r="I3690" s="76">
        <v>0.3</v>
      </c>
    </row>
    <row r="3691" spans="3:9" x14ac:dyDescent="0.35">
      <c r="C3691" t="s">
        <v>312</v>
      </c>
      <c r="D3691" s="3">
        <v>2023</v>
      </c>
      <c r="E3691" s="78">
        <f t="shared" si="581"/>
        <v>7</v>
      </c>
      <c r="F3691" s="74" t="s">
        <v>313</v>
      </c>
      <c r="G3691" s="77">
        <v>47520.000000000029</v>
      </c>
      <c r="H3691" s="77">
        <v>47820.000000000029</v>
      </c>
      <c r="I3691" s="76">
        <v>0.2</v>
      </c>
    </row>
    <row r="3692" spans="3:9" x14ac:dyDescent="0.35">
      <c r="C3692" t="s">
        <v>312</v>
      </c>
      <c r="D3692" s="3">
        <v>2023</v>
      </c>
      <c r="E3692" s="78">
        <f t="shared" si="581"/>
        <v>7</v>
      </c>
      <c r="F3692" s="74" t="s">
        <v>313</v>
      </c>
      <c r="G3692" s="77">
        <v>47820.000000000029</v>
      </c>
      <c r="H3692" s="77">
        <v>48120.000000000029</v>
      </c>
      <c r="I3692" s="76">
        <v>0.1</v>
      </c>
    </row>
    <row r="3693" spans="3:9" x14ac:dyDescent="0.35">
      <c r="C3693" t="s">
        <v>312</v>
      </c>
      <c r="D3693" s="3">
        <v>2023</v>
      </c>
      <c r="E3693" s="78">
        <f t="shared" si="581"/>
        <v>7</v>
      </c>
      <c r="F3693" s="74" t="s">
        <v>313</v>
      </c>
      <c r="G3693" s="77">
        <v>48120.000000000029</v>
      </c>
      <c r="H3693" s="77"/>
      <c r="I3693" s="76">
        <v>0</v>
      </c>
    </row>
    <row r="3694" spans="3:9" x14ac:dyDescent="0.35">
      <c r="C3694" t="s">
        <v>312</v>
      </c>
      <c r="D3694" s="3">
        <v>2023</v>
      </c>
      <c r="E3694" s="73">
        <v>8</v>
      </c>
      <c r="F3694" s="74" t="s">
        <v>54</v>
      </c>
      <c r="G3694" s="77">
        <v>0</v>
      </c>
      <c r="H3694" s="77">
        <v>50560.000000000036</v>
      </c>
      <c r="I3694" s="76">
        <v>1</v>
      </c>
    </row>
    <row r="3695" spans="3:9" x14ac:dyDescent="0.35">
      <c r="C3695" t="s">
        <v>312</v>
      </c>
      <c r="D3695" s="3">
        <v>2023</v>
      </c>
      <c r="E3695" s="78">
        <f>E3694</f>
        <v>8</v>
      </c>
      <c r="F3695" s="74" t="s">
        <v>54</v>
      </c>
      <c r="G3695" s="77">
        <v>50560.000000000036</v>
      </c>
      <c r="H3695" s="77">
        <v>50860.000000000036</v>
      </c>
      <c r="I3695" s="76">
        <v>0.9</v>
      </c>
    </row>
    <row r="3696" spans="3:9" x14ac:dyDescent="0.35">
      <c r="C3696" t="s">
        <v>312</v>
      </c>
      <c r="D3696" s="3">
        <v>2023</v>
      </c>
      <c r="E3696" s="78">
        <f t="shared" ref="E3696:E3737" si="582">E3695</f>
        <v>8</v>
      </c>
      <c r="F3696" s="74" t="s">
        <v>54</v>
      </c>
      <c r="G3696" s="77">
        <v>50860.000000000036</v>
      </c>
      <c r="H3696" s="77">
        <v>51160.000000000036</v>
      </c>
      <c r="I3696" s="76">
        <v>0.8</v>
      </c>
    </row>
    <row r="3697" spans="3:9" x14ac:dyDescent="0.35">
      <c r="C3697" t="s">
        <v>312</v>
      </c>
      <c r="D3697" s="3">
        <v>2023</v>
      </c>
      <c r="E3697" s="78">
        <f t="shared" si="582"/>
        <v>8</v>
      </c>
      <c r="F3697" s="74" t="s">
        <v>54</v>
      </c>
      <c r="G3697" s="77">
        <v>51160.000000000036</v>
      </c>
      <c r="H3697" s="77">
        <v>51460.000000000036</v>
      </c>
      <c r="I3697" s="76">
        <v>0.7</v>
      </c>
    </row>
    <row r="3698" spans="3:9" x14ac:dyDescent="0.35">
      <c r="C3698" t="s">
        <v>312</v>
      </c>
      <c r="D3698" s="3">
        <v>2023</v>
      </c>
      <c r="E3698" s="78">
        <f t="shared" si="582"/>
        <v>8</v>
      </c>
      <c r="F3698" s="74" t="s">
        <v>54</v>
      </c>
      <c r="G3698" s="77">
        <v>51460.000000000036</v>
      </c>
      <c r="H3698" s="77">
        <v>51760.000000000036</v>
      </c>
      <c r="I3698" s="76">
        <v>0.6</v>
      </c>
    </row>
    <row r="3699" spans="3:9" x14ac:dyDescent="0.35">
      <c r="C3699" t="s">
        <v>312</v>
      </c>
      <c r="D3699" s="3">
        <v>2023</v>
      </c>
      <c r="E3699" s="78">
        <f t="shared" si="582"/>
        <v>8</v>
      </c>
      <c r="F3699" s="74" t="s">
        <v>54</v>
      </c>
      <c r="G3699" s="77">
        <v>51760.000000000036</v>
      </c>
      <c r="H3699" s="77">
        <v>52060.000000000036</v>
      </c>
      <c r="I3699" s="76">
        <v>0.5</v>
      </c>
    </row>
    <row r="3700" spans="3:9" x14ac:dyDescent="0.35">
      <c r="C3700" t="s">
        <v>312</v>
      </c>
      <c r="D3700" s="3">
        <v>2023</v>
      </c>
      <c r="E3700" s="78">
        <f t="shared" si="582"/>
        <v>8</v>
      </c>
      <c r="F3700" s="74" t="s">
        <v>54</v>
      </c>
      <c r="G3700" s="77">
        <v>52060.000000000036</v>
      </c>
      <c r="H3700" s="77">
        <v>52360.000000000036</v>
      </c>
      <c r="I3700" s="76">
        <v>0.4</v>
      </c>
    </row>
    <row r="3701" spans="3:9" x14ac:dyDescent="0.35">
      <c r="C3701" t="s">
        <v>312</v>
      </c>
      <c r="D3701" s="3">
        <v>2023</v>
      </c>
      <c r="E3701" s="78">
        <f t="shared" si="582"/>
        <v>8</v>
      </c>
      <c r="F3701" s="74" t="s">
        <v>54</v>
      </c>
      <c r="G3701" s="77">
        <v>52360.000000000036</v>
      </c>
      <c r="H3701" s="77">
        <v>52660.000000000036</v>
      </c>
      <c r="I3701" s="76">
        <v>0.3</v>
      </c>
    </row>
    <row r="3702" spans="3:9" x14ac:dyDescent="0.35">
      <c r="C3702" t="s">
        <v>312</v>
      </c>
      <c r="D3702" s="3">
        <v>2023</v>
      </c>
      <c r="E3702" s="78">
        <f t="shared" si="582"/>
        <v>8</v>
      </c>
      <c r="F3702" s="74" t="s">
        <v>54</v>
      </c>
      <c r="G3702" s="77">
        <v>52660.000000000036</v>
      </c>
      <c r="H3702" s="77">
        <v>52960.000000000036</v>
      </c>
      <c r="I3702" s="76">
        <v>0.2</v>
      </c>
    </row>
    <row r="3703" spans="3:9" x14ac:dyDescent="0.35">
      <c r="C3703" t="s">
        <v>312</v>
      </c>
      <c r="D3703" s="3">
        <v>2023</v>
      </c>
      <c r="E3703" s="78">
        <f t="shared" si="582"/>
        <v>8</v>
      </c>
      <c r="F3703" s="74" t="s">
        <v>54</v>
      </c>
      <c r="G3703" s="77">
        <v>52960.000000000036</v>
      </c>
      <c r="H3703" s="77">
        <v>53260.000000000036</v>
      </c>
      <c r="I3703" s="76">
        <v>0.1</v>
      </c>
    </row>
    <row r="3704" spans="3:9" x14ac:dyDescent="0.35">
      <c r="C3704" t="s">
        <v>312</v>
      </c>
      <c r="D3704" s="3">
        <v>2023</v>
      </c>
      <c r="E3704" s="78">
        <f t="shared" si="582"/>
        <v>8</v>
      </c>
      <c r="F3704" s="74" t="s">
        <v>54</v>
      </c>
      <c r="G3704" s="77">
        <v>53260.000000000036</v>
      </c>
      <c r="H3704" s="77"/>
      <c r="I3704" s="76">
        <v>0</v>
      </c>
    </row>
    <row r="3705" spans="3:9" x14ac:dyDescent="0.35">
      <c r="C3705" t="s">
        <v>312</v>
      </c>
      <c r="D3705" s="3">
        <v>2023</v>
      </c>
      <c r="E3705" s="78">
        <f t="shared" si="582"/>
        <v>8</v>
      </c>
      <c r="F3705" s="74" t="s">
        <v>34</v>
      </c>
      <c r="G3705" s="77">
        <v>0</v>
      </c>
      <c r="H3705" s="75">
        <v>50560.000000000036</v>
      </c>
      <c r="I3705" s="76">
        <v>1</v>
      </c>
    </row>
    <row r="3706" spans="3:9" x14ac:dyDescent="0.35">
      <c r="C3706" t="s">
        <v>312</v>
      </c>
      <c r="D3706" s="3">
        <v>2023</v>
      </c>
      <c r="E3706" s="78">
        <f t="shared" si="582"/>
        <v>8</v>
      </c>
      <c r="F3706" s="74" t="s">
        <v>34</v>
      </c>
      <c r="G3706" s="77">
        <v>50560.000000000036</v>
      </c>
      <c r="H3706" s="77">
        <v>50860.000000000036</v>
      </c>
      <c r="I3706" s="76">
        <v>0.9</v>
      </c>
    </row>
    <row r="3707" spans="3:9" x14ac:dyDescent="0.35">
      <c r="C3707" t="s">
        <v>312</v>
      </c>
      <c r="D3707" s="3">
        <v>2023</v>
      </c>
      <c r="E3707" s="78">
        <f t="shared" si="582"/>
        <v>8</v>
      </c>
      <c r="F3707" s="74" t="s">
        <v>34</v>
      </c>
      <c r="G3707" s="77">
        <v>50860.000000000036</v>
      </c>
      <c r="H3707" s="77">
        <v>51160.000000000036</v>
      </c>
      <c r="I3707" s="76">
        <v>0.8</v>
      </c>
    </row>
    <row r="3708" spans="3:9" x14ac:dyDescent="0.35">
      <c r="C3708" t="s">
        <v>312</v>
      </c>
      <c r="D3708" s="3">
        <v>2023</v>
      </c>
      <c r="E3708" s="78">
        <f t="shared" si="582"/>
        <v>8</v>
      </c>
      <c r="F3708" s="74" t="s">
        <v>34</v>
      </c>
      <c r="G3708" s="77">
        <v>51160.000000000036</v>
      </c>
      <c r="H3708" s="77">
        <v>51460.000000000036</v>
      </c>
      <c r="I3708" s="76">
        <v>0.7</v>
      </c>
    </row>
    <row r="3709" spans="3:9" x14ac:dyDescent="0.35">
      <c r="C3709" t="s">
        <v>312</v>
      </c>
      <c r="D3709" s="3">
        <v>2023</v>
      </c>
      <c r="E3709" s="78">
        <f t="shared" si="582"/>
        <v>8</v>
      </c>
      <c r="F3709" s="74" t="s">
        <v>34</v>
      </c>
      <c r="G3709" s="77">
        <v>51460.000000000036</v>
      </c>
      <c r="H3709" s="77">
        <v>51760.000000000036</v>
      </c>
      <c r="I3709" s="76">
        <v>0.6</v>
      </c>
    </row>
    <row r="3710" spans="3:9" x14ac:dyDescent="0.35">
      <c r="C3710" t="s">
        <v>312</v>
      </c>
      <c r="D3710" s="3">
        <v>2023</v>
      </c>
      <c r="E3710" s="78">
        <f t="shared" si="582"/>
        <v>8</v>
      </c>
      <c r="F3710" s="74" t="s">
        <v>34</v>
      </c>
      <c r="G3710" s="77">
        <v>51760.000000000036</v>
      </c>
      <c r="H3710" s="77">
        <v>52060.000000000036</v>
      </c>
      <c r="I3710" s="76">
        <v>0.5</v>
      </c>
    </row>
    <row r="3711" spans="3:9" x14ac:dyDescent="0.35">
      <c r="C3711" t="s">
        <v>312</v>
      </c>
      <c r="D3711" s="3">
        <v>2023</v>
      </c>
      <c r="E3711" s="78">
        <f t="shared" si="582"/>
        <v>8</v>
      </c>
      <c r="F3711" s="74" t="s">
        <v>34</v>
      </c>
      <c r="G3711" s="77">
        <v>52060.000000000036</v>
      </c>
      <c r="H3711" s="77">
        <v>52360.000000000036</v>
      </c>
      <c r="I3711" s="76">
        <v>0.4</v>
      </c>
    </row>
    <row r="3712" spans="3:9" x14ac:dyDescent="0.35">
      <c r="C3712" t="s">
        <v>312</v>
      </c>
      <c r="D3712" s="3">
        <v>2023</v>
      </c>
      <c r="E3712" s="78">
        <f t="shared" si="582"/>
        <v>8</v>
      </c>
      <c r="F3712" s="74" t="s">
        <v>34</v>
      </c>
      <c r="G3712" s="77">
        <v>52360.000000000036</v>
      </c>
      <c r="H3712" s="77">
        <v>52660.000000000036</v>
      </c>
      <c r="I3712" s="76">
        <v>0.3</v>
      </c>
    </row>
    <row r="3713" spans="3:9" x14ac:dyDescent="0.35">
      <c r="C3713" t="s">
        <v>312</v>
      </c>
      <c r="D3713" s="3">
        <v>2023</v>
      </c>
      <c r="E3713" s="78">
        <f t="shared" si="582"/>
        <v>8</v>
      </c>
      <c r="F3713" s="74" t="s">
        <v>34</v>
      </c>
      <c r="G3713" s="77">
        <v>52660.000000000036</v>
      </c>
      <c r="H3713" s="77">
        <v>52960.000000000036</v>
      </c>
      <c r="I3713" s="76">
        <v>0.2</v>
      </c>
    </row>
    <row r="3714" spans="3:9" x14ac:dyDescent="0.35">
      <c r="C3714" t="s">
        <v>312</v>
      </c>
      <c r="D3714" s="3">
        <v>2023</v>
      </c>
      <c r="E3714" s="78">
        <f t="shared" si="582"/>
        <v>8</v>
      </c>
      <c r="F3714" s="74" t="s">
        <v>34</v>
      </c>
      <c r="G3714" s="77">
        <v>52960.000000000036</v>
      </c>
      <c r="H3714" s="77">
        <v>53260.000000000036</v>
      </c>
      <c r="I3714" s="76">
        <v>0.1</v>
      </c>
    </row>
    <row r="3715" spans="3:9" x14ac:dyDescent="0.35">
      <c r="C3715" t="s">
        <v>312</v>
      </c>
      <c r="D3715" s="3">
        <v>2023</v>
      </c>
      <c r="E3715" s="78">
        <f t="shared" si="582"/>
        <v>8</v>
      </c>
      <c r="F3715" s="74" t="s">
        <v>34</v>
      </c>
      <c r="G3715" s="77">
        <v>53260.000000000036</v>
      </c>
      <c r="H3715" s="77"/>
      <c r="I3715" s="76">
        <v>0</v>
      </c>
    </row>
    <row r="3716" spans="3:9" x14ac:dyDescent="0.35">
      <c r="C3716" t="s">
        <v>312</v>
      </c>
      <c r="D3716" s="3">
        <v>2023</v>
      </c>
      <c r="E3716" s="78">
        <f t="shared" si="582"/>
        <v>8</v>
      </c>
      <c r="F3716" s="74" t="s">
        <v>40</v>
      </c>
      <c r="G3716" s="77">
        <v>0</v>
      </c>
      <c r="H3716" s="75">
        <v>50560.000000000036</v>
      </c>
      <c r="I3716" s="76">
        <v>1</v>
      </c>
    </row>
    <row r="3717" spans="3:9" x14ac:dyDescent="0.35">
      <c r="C3717" t="s">
        <v>312</v>
      </c>
      <c r="D3717" s="3">
        <v>2023</v>
      </c>
      <c r="E3717" s="78">
        <f t="shared" si="582"/>
        <v>8</v>
      </c>
      <c r="F3717" s="74" t="s">
        <v>40</v>
      </c>
      <c r="G3717" s="77">
        <v>50560.000000000036</v>
      </c>
      <c r="H3717" s="77">
        <v>50860.000000000036</v>
      </c>
      <c r="I3717" s="76">
        <v>0.9</v>
      </c>
    </row>
    <row r="3718" spans="3:9" x14ac:dyDescent="0.35">
      <c r="C3718" t="s">
        <v>312</v>
      </c>
      <c r="D3718" s="3">
        <v>2023</v>
      </c>
      <c r="E3718" s="78">
        <f t="shared" si="582"/>
        <v>8</v>
      </c>
      <c r="F3718" s="74" t="s">
        <v>40</v>
      </c>
      <c r="G3718" s="77">
        <v>50860.000000000036</v>
      </c>
      <c r="H3718" s="77">
        <v>51160.000000000036</v>
      </c>
      <c r="I3718" s="76">
        <v>0.8</v>
      </c>
    </row>
    <row r="3719" spans="3:9" x14ac:dyDescent="0.35">
      <c r="C3719" t="s">
        <v>312</v>
      </c>
      <c r="D3719" s="3">
        <v>2023</v>
      </c>
      <c r="E3719" s="78">
        <f t="shared" si="582"/>
        <v>8</v>
      </c>
      <c r="F3719" s="74" t="s">
        <v>40</v>
      </c>
      <c r="G3719" s="77">
        <v>51160.000000000036</v>
      </c>
      <c r="H3719" s="77">
        <v>51460.000000000036</v>
      </c>
      <c r="I3719" s="76">
        <v>0.7</v>
      </c>
    </row>
    <row r="3720" spans="3:9" x14ac:dyDescent="0.35">
      <c r="C3720" t="s">
        <v>312</v>
      </c>
      <c r="D3720" s="3">
        <v>2023</v>
      </c>
      <c r="E3720" s="78">
        <f t="shared" si="582"/>
        <v>8</v>
      </c>
      <c r="F3720" s="74" t="s">
        <v>40</v>
      </c>
      <c r="G3720" s="77">
        <v>51460.000000000036</v>
      </c>
      <c r="H3720" s="77">
        <v>51760.000000000036</v>
      </c>
      <c r="I3720" s="76">
        <v>0.6</v>
      </c>
    </row>
    <row r="3721" spans="3:9" x14ac:dyDescent="0.35">
      <c r="C3721" t="s">
        <v>312</v>
      </c>
      <c r="D3721" s="3">
        <v>2023</v>
      </c>
      <c r="E3721" s="78">
        <f t="shared" si="582"/>
        <v>8</v>
      </c>
      <c r="F3721" s="74" t="s">
        <v>40</v>
      </c>
      <c r="G3721" s="77">
        <v>51760.000000000036</v>
      </c>
      <c r="H3721" s="77">
        <v>52060.000000000036</v>
      </c>
      <c r="I3721" s="76">
        <v>0.5</v>
      </c>
    </row>
    <row r="3722" spans="3:9" x14ac:dyDescent="0.35">
      <c r="C3722" t="s">
        <v>312</v>
      </c>
      <c r="D3722" s="3">
        <v>2023</v>
      </c>
      <c r="E3722" s="78">
        <f t="shared" si="582"/>
        <v>8</v>
      </c>
      <c r="F3722" s="74" t="s">
        <v>40</v>
      </c>
      <c r="G3722" s="77">
        <v>52060.000000000036</v>
      </c>
      <c r="H3722" s="77">
        <v>52360.000000000036</v>
      </c>
      <c r="I3722" s="76">
        <v>0.4</v>
      </c>
    </row>
    <row r="3723" spans="3:9" x14ac:dyDescent="0.35">
      <c r="C3723" t="s">
        <v>312</v>
      </c>
      <c r="D3723" s="3">
        <v>2023</v>
      </c>
      <c r="E3723" s="78">
        <f t="shared" si="582"/>
        <v>8</v>
      </c>
      <c r="F3723" s="74" t="s">
        <v>40</v>
      </c>
      <c r="G3723" s="77">
        <v>52360.000000000036</v>
      </c>
      <c r="H3723" s="77">
        <v>52660.000000000036</v>
      </c>
      <c r="I3723" s="76">
        <v>0.3</v>
      </c>
    </row>
    <row r="3724" spans="3:9" x14ac:dyDescent="0.35">
      <c r="C3724" t="s">
        <v>312</v>
      </c>
      <c r="D3724" s="3">
        <v>2023</v>
      </c>
      <c r="E3724" s="78">
        <f t="shared" si="582"/>
        <v>8</v>
      </c>
      <c r="F3724" s="74" t="s">
        <v>40</v>
      </c>
      <c r="G3724" s="77">
        <v>52660.000000000036</v>
      </c>
      <c r="H3724" s="77">
        <v>52960.000000000036</v>
      </c>
      <c r="I3724" s="76">
        <v>0.2</v>
      </c>
    </row>
    <row r="3725" spans="3:9" x14ac:dyDescent="0.35">
      <c r="C3725" t="s">
        <v>312</v>
      </c>
      <c r="D3725" s="3">
        <v>2023</v>
      </c>
      <c r="E3725" s="78">
        <f t="shared" si="582"/>
        <v>8</v>
      </c>
      <c r="F3725" s="74" t="s">
        <v>40</v>
      </c>
      <c r="G3725" s="77">
        <v>52960.000000000036</v>
      </c>
      <c r="H3725" s="77">
        <v>53260.000000000036</v>
      </c>
      <c r="I3725" s="76">
        <v>0.1</v>
      </c>
    </row>
    <row r="3726" spans="3:9" x14ac:dyDescent="0.35">
      <c r="C3726" t="s">
        <v>312</v>
      </c>
      <c r="D3726" s="3">
        <v>2023</v>
      </c>
      <c r="E3726" s="78">
        <f t="shared" si="582"/>
        <v>8</v>
      </c>
      <c r="F3726" s="74" t="s">
        <v>40</v>
      </c>
      <c r="G3726" s="77">
        <v>53260.000000000036</v>
      </c>
      <c r="H3726" s="77"/>
      <c r="I3726" s="76">
        <v>0</v>
      </c>
    </row>
    <row r="3727" spans="3:9" x14ac:dyDescent="0.35">
      <c r="C3727" t="s">
        <v>312</v>
      </c>
      <c r="D3727" s="3">
        <v>2023</v>
      </c>
      <c r="E3727" s="78">
        <f t="shared" si="582"/>
        <v>8</v>
      </c>
      <c r="F3727" s="74" t="s">
        <v>313</v>
      </c>
      <c r="G3727" s="77">
        <v>0</v>
      </c>
      <c r="H3727" s="75">
        <v>50560.000000000036</v>
      </c>
      <c r="I3727" s="76">
        <v>1</v>
      </c>
    </row>
    <row r="3728" spans="3:9" x14ac:dyDescent="0.35">
      <c r="C3728" t="s">
        <v>312</v>
      </c>
      <c r="D3728" s="3">
        <v>2023</v>
      </c>
      <c r="E3728" s="78">
        <f t="shared" si="582"/>
        <v>8</v>
      </c>
      <c r="F3728" s="74" t="s">
        <v>313</v>
      </c>
      <c r="G3728" s="77">
        <v>50560.000000000036</v>
      </c>
      <c r="H3728" s="77">
        <v>50860.000000000036</v>
      </c>
      <c r="I3728" s="76">
        <v>0.9</v>
      </c>
    </row>
    <row r="3729" spans="3:9" x14ac:dyDescent="0.35">
      <c r="C3729" t="s">
        <v>312</v>
      </c>
      <c r="D3729" s="3">
        <v>2023</v>
      </c>
      <c r="E3729" s="78">
        <f t="shared" si="582"/>
        <v>8</v>
      </c>
      <c r="F3729" s="74" t="s">
        <v>313</v>
      </c>
      <c r="G3729" s="77">
        <v>50860.000000000036</v>
      </c>
      <c r="H3729" s="77">
        <v>51160.000000000036</v>
      </c>
      <c r="I3729" s="76">
        <v>0.8</v>
      </c>
    </row>
    <row r="3730" spans="3:9" x14ac:dyDescent="0.35">
      <c r="C3730" t="s">
        <v>312</v>
      </c>
      <c r="D3730" s="3">
        <v>2023</v>
      </c>
      <c r="E3730" s="78">
        <f t="shared" si="582"/>
        <v>8</v>
      </c>
      <c r="F3730" s="74" t="s">
        <v>313</v>
      </c>
      <c r="G3730" s="77">
        <v>51160.000000000036</v>
      </c>
      <c r="H3730" s="77">
        <v>51460.000000000036</v>
      </c>
      <c r="I3730" s="76">
        <v>0.7</v>
      </c>
    </row>
    <row r="3731" spans="3:9" x14ac:dyDescent="0.35">
      <c r="C3731" t="s">
        <v>312</v>
      </c>
      <c r="D3731" s="3">
        <v>2023</v>
      </c>
      <c r="E3731" s="78">
        <f t="shared" si="582"/>
        <v>8</v>
      </c>
      <c r="F3731" s="74" t="s">
        <v>313</v>
      </c>
      <c r="G3731" s="77">
        <v>51460.000000000036</v>
      </c>
      <c r="H3731" s="77">
        <v>51760.000000000036</v>
      </c>
      <c r="I3731" s="76">
        <v>0.6</v>
      </c>
    </row>
    <row r="3732" spans="3:9" x14ac:dyDescent="0.35">
      <c r="C3732" t="s">
        <v>312</v>
      </c>
      <c r="D3732" s="3">
        <v>2023</v>
      </c>
      <c r="E3732" s="78">
        <f t="shared" si="582"/>
        <v>8</v>
      </c>
      <c r="F3732" s="74" t="s">
        <v>313</v>
      </c>
      <c r="G3732" s="77">
        <v>51760.000000000036</v>
      </c>
      <c r="H3732" s="77">
        <v>52060.000000000036</v>
      </c>
      <c r="I3732" s="76">
        <v>0.5</v>
      </c>
    </row>
    <row r="3733" spans="3:9" x14ac:dyDescent="0.35">
      <c r="C3733" t="s">
        <v>312</v>
      </c>
      <c r="D3733" s="3">
        <v>2023</v>
      </c>
      <c r="E3733" s="78">
        <f t="shared" si="582"/>
        <v>8</v>
      </c>
      <c r="F3733" s="74" t="s">
        <v>313</v>
      </c>
      <c r="G3733" s="77">
        <v>52060.000000000036</v>
      </c>
      <c r="H3733" s="77">
        <v>52360.000000000036</v>
      </c>
      <c r="I3733" s="76">
        <v>0.4</v>
      </c>
    </row>
    <row r="3734" spans="3:9" x14ac:dyDescent="0.35">
      <c r="C3734" t="s">
        <v>312</v>
      </c>
      <c r="D3734" s="3">
        <v>2023</v>
      </c>
      <c r="E3734" s="78">
        <f t="shared" si="582"/>
        <v>8</v>
      </c>
      <c r="F3734" s="74" t="s">
        <v>313</v>
      </c>
      <c r="G3734" s="77">
        <v>52360.000000000036</v>
      </c>
      <c r="H3734" s="77">
        <v>52660.000000000036</v>
      </c>
      <c r="I3734" s="76">
        <v>0.3</v>
      </c>
    </row>
    <row r="3735" spans="3:9" x14ac:dyDescent="0.35">
      <c r="C3735" t="s">
        <v>312</v>
      </c>
      <c r="D3735" s="3">
        <v>2023</v>
      </c>
      <c r="E3735" s="78">
        <f t="shared" si="582"/>
        <v>8</v>
      </c>
      <c r="F3735" s="74" t="s">
        <v>313</v>
      </c>
      <c r="G3735" s="77">
        <v>52660.000000000036</v>
      </c>
      <c r="H3735" s="77">
        <v>52960.000000000036</v>
      </c>
      <c r="I3735" s="76">
        <v>0.2</v>
      </c>
    </row>
    <row r="3736" spans="3:9" x14ac:dyDescent="0.35">
      <c r="C3736" t="s">
        <v>312</v>
      </c>
      <c r="D3736" s="3">
        <v>2023</v>
      </c>
      <c r="E3736" s="78">
        <f t="shared" si="582"/>
        <v>8</v>
      </c>
      <c r="F3736" s="74" t="s">
        <v>313</v>
      </c>
      <c r="G3736" s="77">
        <v>52960.000000000036</v>
      </c>
      <c r="H3736" s="77">
        <v>53260.000000000036</v>
      </c>
      <c r="I3736" s="76">
        <v>0.1</v>
      </c>
    </row>
    <row r="3737" spans="3:9" x14ac:dyDescent="0.35">
      <c r="C3737" t="s">
        <v>312</v>
      </c>
      <c r="D3737" s="3">
        <v>2023</v>
      </c>
      <c r="E3737" s="78">
        <f t="shared" si="582"/>
        <v>8</v>
      </c>
      <c r="F3737" s="74" t="s">
        <v>313</v>
      </c>
      <c r="G3737" s="77">
        <v>53260.000000000036</v>
      </c>
      <c r="H3737" s="77"/>
      <c r="I3737" s="76">
        <v>0</v>
      </c>
    </row>
    <row r="3738" spans="3:9" x14ac:dyDescent="0.35">
      <c r="C3738" t="s">
        <v>312</v>
      </c>
      <c r="D3738" s="3">
        <v>2023</v>
      </c>
      <c r="E3738" s="73">
        <v>9</v>
      </c>
      <c r="F3738" s="74" t="s">
        <v>54</v>
      </c>
      <c r="G3738" s="77">
        <v>0</v>
      </c>
      <c r="H3738" s="75">
        <v>55700.000000000044</v>
      </c>
      <c r="I3738" s="76">
        <v>1</v>
      </c>
    </row>
    <row r="3739" spans="3:9" x14ac:dyDescent="0.35">
      <c r="C3739" t="s">
        <v>312</v>
      </c>
      <c r="D3739" s="3">
        <v>2023</v>
      </c>
      <c r="E3739" s="78">
        <f>E3738</f>
        <v>9</v>
      </c>
      <c r="F3739" s="74" t="s">
        <v>54</v>
      </c>
      <c r="G3739" s="77">
        <v>55700.000000000044</v>
      </c>
      <c r="H3739" s="77">
        <v>56000.000000000044</v>
      </c>
      <c r="I3739" s="76">
        <v>0.9</v>
      </c>
    </row>
    <row r="3740" spans="3:9" x14ac:dyDescent="0.35">
      <c r="C3740" t="s">
        <v>312</v>
      </c>
      <c r="D3740" s="3">
        <v>2023</v>
      </c>
      <c r="E3740" s="78">
        <f t="shared" ref="E3740:E3781" si="583">E3739</f>
        <v>9</v>
      </c>
      <c r="F3740" s="74" t="s">
        <v>54</v>
      </c>
      <c r="G3740" s="77">
        <v>56000.000000000044</v>
      </c>
      <c r="H3740" s="77">
        <v>56300.000000000044</v>
      </c>
      <c r="I3740" s="76">
        <v>0.8</v>
      </c>
    </row>
    <row r="3741" spans="3:9" x14ac:dyDescent="0.35">
      <c r="C3741" t="s">
        <v>312</v>
      </c>
      <c r="D3741" s="3">
        <v>2023</v>
      </c>
      <c r="E3741" s="78">
        <f t="shared" si="583"/>
        <v>9</v>
      </c>
      <c r="F3741" s="74" t="s">
        <v>54</v>
      </c>
      <c r="G3741" s="77">
        <v>56300.000000000044</v>
      </c>
      <c r="H3741" s="77">
        <v>56600.000000000044</v>
      </c>
      <c r="I3741" s="76">
        <v>0.7</v>
      </c>
    </row>
    <row r="3742" spans="3:9" x14ac:dyDescent="0.35">
      <c r="C3742" t="s">
        <v>312</v>
      </c>
      <c r="D3742" s="3">
        <v>2023</v>
      </c>
      <c r="E3742" s="78">
        <f t="shared" si="583"/>
        <v>9</v>
      </c>
      <c r="F3742" s="74" t="s">
        <v>54</v>
      </c>
      <c r="G3742" s="77">
        <v>56600.000000000044</v>
      </c>
      <c r="H3742" s="77">
        <v>56900.000000000044</v>
      </c>
      <c r="I3742" s="76">
        <v>0.6</v>
      </c>
    </row>
    <row r="3743" spans="3:9" x14ac:dyDescent="0.35">
      <c r="C3743" t="s">
        <v>312</v>
      </c>
      <c r="D3743" s="3">
        <v>2023</v>
      </c>
      <c r="E3743" s="78">
        <f t="shared" si="583"/>
        <v>9</v>
      </c>
      <c r="F3743" s="74" t="s">
        <v>54</v>
      </c>
      <c r="G3743" s="77">
        <v>56900.000000000044</v>
      </c>
      <c r="H3743" s="77">
        <v>57200.000000000044</v>
      </c>
      <c r="I3743" s="76">
        <v>0.5</v>
      </c>
    </row>
    <row r="3744" spans="3:9" x14ac:dyDescent="0.35">
      <c r="C3744" t="s">
        <v>312</v>
      </c>
      <c r="D3744" s="3">
        <v>2023</v>
      </c>
      <c r="E3744" s="78">
        <f t="shared" si="583"/>
        <v>9</v>
      </c>
      <c r="F3744" s="74" t="s">
        <v>54</v>
      </c>
      <c r="G3744" s="77">
        <v>57200.000000000044</v>
      </c>
      <c r="H3744" s="77">
        <v>57500.000000000044</v>
      </c>
      <c r="I3744" s="76">
        <v>0.4</v>
      </c>
    </row>
    <row r="3745" spans="3:9" x14ac:dyDescent="0.35">
      <c r="C3745" t="s">
        <v>312</v>
      </c>
      <c r="D3745" s="3">
        <v>2023</v>
      </c>
      <c r="E3745" s="78">
        <f t="shared" si="583"/>
        <v>9</v>
      </c>
      <c r="F3745" s="74" t="s">
        <v>54</v>
      </c>
      <c r="G3745" s="77">
        <v>57500.000000000044</v>
      </c>
      <c r="H3745" s="77">
        <v>57800.000000000044</v>
      </c>
      <c r="I3745" s="76">
        <v>0.3</v>
      </c>
    </row>
    <row r="3746" spans="3:9" x14ac:dyDescent="0.35">
      <c r="C3746" t="s">
        <v>312</v>
      </c>
      <c r="D3746" s="3">
        <v>2023</v>
      </c>
      <c r="E3746" s="78">
        <f t="shared" si="583"/>
        <v>9</v>
      </c>
      <c r="F3746" s="74" t="s">
        <v>54</v>
      </c>
      <c r="G3746" s="77">
        <v>57800.000000000044</v>
      </c>
      <c r="H3746" s="77">
        <v>58100.000000000044</v>
      </c>
      <c r="I3746" s="76">
        <v>0.2</v>
      </c>
    </row>
    <row r="3747" spans="3:9" x14ac:dyDescent="0.35">
      <c r="C3747" t="s">
        <v>312</v>
      </c>
      <c r="D3747" s="3">
        <v>2023</v>
      </c>
      <c r="E3747" s="78">
        <f t="shared" si="583"/>
        <v>9</v>
      </c>
      <c r="F3747" s="74" t="s">
        <v>54</v>
      </c>
      <c r="G3747" s="77">
        <v>58100.000000000044</v>
      </c>
      <c r="H3747" s="77">
        <v>58400.000000000044</v>
      </c>
      <c r="I3747" s="76">
        <v>0.1</v>
      </c>
    </row>
    <row r="3748" spans="3:9" x14ac:dyDescent="0.35">
      <c r="C3748" t="s">
        <v>312</v>
      </c>
      <c r="D3748" s="3">
        <v>2023</v>
      </c>
      <c r="E3748" s="78">
        <f t="shared" si="583"/>
        <v>9</v>
      </c>
      <c r="F3748" s="74" t="s">
        <v>54</v>
      </c>
      <c r="G3748" s="77">
        <v>58400.000000000044</v>
      </c>
      <c r="H3748" s="77"/>
      <c r="I3748" s="76">
        <v>0</v>
      </c>
    </row>
    <row r="3749" spans="3:9" x14ac:dyDescent="0.35">
      <c r="C3749" t="s">
        <v>312</v>
      </c>
      <c r="D3749" s="3">
        <v>2023</v>
      </c>
      <c r="E3749" s="78">
        <f t="shared" si="583"/>
        <v>9</v>
      </c>
      <c r="F3749" s="74" t="s">
        <v>34</v>
      </c>
      <c r="G3749" s="77">
        <v>0</v>
      </c>
      <c r="H3749" s="75">
        <v>55700.000000000044</v>
      </c>
      <c r="I3749" s="76">
        <v>1</v>
      </c>
    </row>
    <row r="3750" spans="3:9" x14ac:dyDescent="0.35">
      <c r="C3750" t="s">
        <v>312</v>
      </c>
      <c r="D3750" s="3">
        <v>2023</v>
      </c>
      <c r="E3750" s="78">
        <f t="shared" si="583"/>
        <v>9</v>
      </c>
      <c r="F3750" s="74" t="s">
        <v>34</v>
      </c>
      <c r="G3750" s="77">
        <v>55700.000000000044</v>
      </c>
      <c r="H3750" s="77">
        <v>56000.000000000044</v>
      </c>
      <c r="I3750" s="76">
        <v>0.9</v>
      </c>
    </row>
    <row r="3751" spans="3:9" x14ac:dyDescent="0.35">
      <c r="C3751" t="s">
        <v>312</v>
      </c>
      <c r="D3751" s="3">
        <v>2023</v>
      </c>
      <c r="E3751" s="78">
        <f t="shared" si="583"/>
        <v>9</v>
      </c>
      <c r="F3751" s="74" t="s">
        <v>34</v>
      </c>
      <c r="G3751" s="77">
        <v>56000.000000000044</v>
      </c>
      <c r="H3751" s="77">
        <v>56300.000000000044</v>
      </c>
      <c r="I3751" s="76">
        <v>0.8</v>
      </c>
    </row>
    <row r="3752" spans="3:9" x14ac:dyDescent="0.35">
      <c r="C3752" t="s">
        <v>312</v>
      </c>
      <c r="D3752" s="3">
        <v>2023</v>
      </c>
      <c r="E3752" s="78">
        <f t="shared" si="583"/>
        <v>9</v>
      </c>
      <c r="F3752" s="74" t="s">
        <v>34</v>
      </c>
      <c r="G3752" s="77">
        <v>56300.000000000044</v>
      </c>
      <c r="H3752" s="77">
        <v>56600.000000000044</v>
      </c>
      <c r="I3752" s="76">
        <v>0.7</v>
      </c>
    </row>
    <row r="3753" spans="3:9" x14ac:dyDescent="0.35">
      <c r="C3753" t="s">
        <v>312</v>
      </c>
      <c r="D3753" s="3">
        <v>2023</v>
      </c>
      <c r="E3753" s="78">
        <f t="shared" si="583"/>
        <v>9</v>
      </c>
      <c r="F3753" s="74" t="s">
        <v>34</v>
      </c>
      <c r="G3753" s="77">
        <v>56600.000000000044</v>
      </c>
      <c r="H3753" s="77">
        <v>56900.000000000044</v>
      </c>
      <c r="I3753" s="76">
        <v>0.6</v>
      </c>
    </row>
    <row r="3754" spans="3:9" x14ac:dyDescent="0.35">
      <c r="C3754" t="s">
        <v>312</v>
      </c>
      <c r="D3754" s="3">
        <v>2023</v>
      </c>
      <c r="E3754" s="78">
        <f t="shared" si="583"/>
        <v>9</v>
      </c>
      <c r="F3754" s="74" t="s">
        <v>34</v>
      </c>
      <c r="G3754" s="77">
        <v>56900.000000000044</v>
      </c>
      <c r="H3754" s="77">
        <v>57200.000000000044</v>
      </c>
      <c r="I3754" s="76">
        <v>0.5</v>
      </c>
    </row>
    <row r="3755" spans="3:9" x14ac:dyDescent="0.35">
      <c r="C3755" t="s">
        <v>312</v>
      </c>
      <c r="D3755" s="3">
        <v>2023</v>
      </c>
      <c r="E3755" s="78">
        <f t="shared" si="583"/>
        <v>9</v>
      </c>
      <c r="F3755" s="74" t="s">
        <v>34</v>
      </c>
      <c r="G3755" s="77">
        <v>57200.000000000044</v>
      </c>
      <c r="H3755" s="77">
        <v>57500.000000000044</v>
      </c>
      <c r="I3755" s="76">
        <v>0.4</v>
      </c>
    </row>
    <row r="3756" spans="3:9" x14ac:dyDescent="0.35">
      <c r="C3756" t="s">
        <v>312</v>
      </c>
      <c r="D3756" s="3">
        <v>2023</v>
      </c>
      <c r="E3756" s="78">
        <f t="shared" si="583"/>
        <v>9</v>
      </c>
      <c r="F3756" s="74" t="s">
        <v>34</v>
      </c>
      <c r="G3756" s="77">
        <v>57500.000000000044</v>
      </c>
      <c r="H3756" s="77">
        <v>57800.000000000044</v>
      </c>
      <c r="I3756" s="76">
        <v>0.3</v>
      </c>
    </row>
    <row r="3757" spans="3:9" x14ac:dyDescent="0.35">
      <c r="C3757" t="s">
        <v>312</v>
      </c>
      <c r="D3757" s="3">
        <v>2023</v>
      </c>
      <c r="E3757" s="78">
        <f t="shared" si="583"/>
        <v>9</v>
      </c>
      <c r="F3757" s="74" t="s">
        <v>34</v>
      </c>
      <c r="G3757" s="77">
        <v>57800.000000000044</v>
      </c>
      <c r="H3757" s="77">
        <v>58100.000000000044</v>
      </c>
      <c r="I3757" s="76">
        <v>0.2</v>
      </c>
    </row>
    <row r="3758" spans="3:9" x14ac:dyDescent="0.35">
      <c r="C3758" t="s">
        <v>312</v>
      </c>
      <c r="D3758" s="3">
        <v>2023</v>
      </c>
      <c r="E3758" s="78">
        <f t="shared" si="583"/>
        <v>9</v>
      </c>
      <c r="F3758" s="74" t="s">
        <v>34</v>
      </c>
      <c r="G3758" s="77">
        <v>58100.000000000044</v>
      </c>
      <c r="H3758" s="77">
        <v>58400.000000000044</v>
      </c>
      <c r="I3758" s="76">
        <v>0.1</v>
      </c>
    </row>
    <row r="3759" spans="3:9" x14ac:dyDescent="0.35">
      <c r="C3759" t="s">
        <v>312</v>
      </c>
      <c r="D3759" s="3">
        <v>2023</v>
      </c>
      <c r="E3759" s="78">
        <f t="shared" si="583"/>
        <v>9</v>
      </c>
      <c r="F3759" s="74" t="s">
        <v>34</v>
      </c>
      <c r="G3759" s="77">
        <v>58400.000000000044</v>
      </c>
      <c r="H3759" s="77"/>
      <c r="I3759" s="76">
        <v>0</v>
      </c>
    </row>
    <row r="3760" spans="3:9" x14ac:dyDescent="0.35">
      <c r="C3760" t="s">
        <v>312</v>
      </c>
      <c r="D3760" s="3">
        <v>2023</v>
      </c>
      <c r="E3760" s="78">
        <f t="shared" si="583"/>
        <v>9</v>
      </c>
      <c r="F3760" s="74" t="s">
        <v>40</v>
      </c>
      <c r="G3760" s="77">
        <v>0</v>
      </c>
      <c r="H3760" s="75">
        <v>55700.000000000044</v>
      </c>
      <c r="I3760" s="76">
        <v>1</v>
      </c>
    </row>
    <row r="3761" spans="3:9" x14ac:dyDescent="0.35">
      <c r="C3761" t="s">
        <v>312</v>
      </c>
      <c r="D3761" s="3">
        <v>2023</v>
      </c>
      <c r="E3761" s="78">
        <f t="shared" si="583"/>
        <v>9</v>
      </c>
      <c r="F3761" s="74" t="s">
        <v>40</v>
      </c>
      <c r="G3761" s="77">
        <v>55700.000000000044</v>
      </c>
      <c r="H3761" s="77">
        <v>56000.000000000044</v>
      </c>
      <c r="I3761" s="76">
        <v>0.9</v>
      </c>
    </row>
    <row r="3762" spans="3:9" x14ac:dyDescent="0.35">
      <c r="C3762" t="s">
        <v>312</v>
      </c>
      <c r="D3762" s="3">
        <v>2023</v>
      </c>
      <c r="E3762" s="78">
        <f t="shared" si="583"/>
        <v>9</v>
      </c>
      <c r="F3762" s="74" t="s">
        <v>40</v>
      </c>
      <c r="G3762" s="77">
        <v>56000.000000000044</v>
      </c>
      <c r="H3762" s="77">
        <v>56300.000000000044</v>
      </c>
      <c r="I3762" s="76">
        <v>0.8</v>
      </c>
    </row>
    <row r="3763" spans="3:9" x14ac:dyDescent="0.35">
      <c r="C3763" t="s">
        <v>312</v>
      </c>
      <c r="D3763" s="3">
        <v>2023</v>
      </c>
      <c r="E3763" s="78">
        <f t="shared" si="583"/>
        <v>9</v>
      </c>
      <c r="F3763" s="74" t="s">
        <v>40</v>
      </c>
      <c r="G3763" s="77">
        <v>56300.000000000044</v>
      </c>
      <c r="H3763" s="77">
        <v>56600.000000000044</v>
      </c>
      <c r="I3763" s="76">
        <v>0.7</v>
      </c>
    </row>
    <row r="3764" spans="3:9" x14ac:dyDescent="0.35">
      <c r="C3764" t="s">
        <v>312</v>
      </c>
      <c r="D3764" s="3">
        <v>2023</v>
      </c>
      <c r="E3764" s="78">
        <f t="shared" si="583"/>
        <v>9</v>
      </c>
      <c r="F3764" s="74" t="s">
        <v>40</v>
      </c>
      <c r="G3764" s="77">
        <v>56600.000000000044</v>
      </c>
      <c r="H3764" s="77">
        <v>56900.000000000044</v>
      </c>
      <c r="I3764" s="76">
        <v>0.6</v>
      </c>
    </row>
    <row r="3765" spans="3:9" x14ac:dyDescent="0.35">
      <c r="C3765" t="s">
        <v>312</v>
      </c>
      <c r="D3765" s="3">
        <v>2023</v>
      </c>
      <c r="E3765" s="78">
        <f t="shared" si="583"/>
        <v>9</v>
      </c>
      <c r="F3765" s="74" t="s">
        <v>40</v>
      </c>
      <c r="G3765" s="77">
        <v>56900.000000000044</v>
      </c>
      <c r="H3765" s="77">
        <v>57200.000000000044</v>
      </c>
      <c r="I3765" s="76">
        <v>0.5</v>
      </c>
    </row>
    <row r="3766" spans="3:9" x14ac:dyDescent="0.35">
      <c r="C3766" t="s">
        <v>312</v>
      </c>
      <c r="D3766" s="3">
        <v>2023</v>
      </c>
      <c r="E3766" s="78">
        <f t="shared" si="583"/>
        <v>9</v>
      </c>
      <c r="F3766" s="74" t="s">
        <v>40</v>
      </c>
      <c r="G3766" s="77">
        <v>57200.000000000044</v>
      </c>
      <c r="H3766" s="77">
        <v>57500.000000000044</v>
      </c>
      <c r="I3766" s="76">
        <v>0.4</v>
      </c>
    </row>
    <row r="3767" spans="3:9" x14ac:dyDescent="0.35">
      <c r="C3767" t="s">
        <v>312</v>
      </c>
      <c r="D3767" s="3">
        <v>2023</v>
      </c>
      <c r="E3767" s="78">
        <f t="shared" si="583"/>
        <v>9</v>
      </c>
      <c r="F3767" s="74" t="s">
        <v>40</v>
      </c>
      <c r="G3767" s="77">
        <v>57500.000000000044</v>
      </c>
      <c r="H3767" s="77">
        <v>57800.000000000044</v>
      </c>
      <c r="I3767" s="76">
        <v>0.3</v>
      </c>
    </row>
    <row r="3768" spans="3:9" x14ac:dyDescent="0.35">
      <c r="C3768" t="s">
        <v>312</v>
      </c>
      <c r="D3768" s="3">
        <v>2023</v>
      </c>
      <c r="E3768" s="78">
        <f t="shared" si="583"/>
        <v>9</v>
      </c>
      <c r="F3768" s="74" t="s">
        <v>40</v>
      </c>
      <c r="G3768" s="77">
        <v>57800.000000000044</v>
      </c>
      <c r="H3768" s="77">
        <v>58100.000000000044</v>
      </c>
      <c r="I3768" s="76">
        <v>0.2</v>
      </c>
    </row>
    <row r="3769" spans="3:9" x14ac:dyDescent="0.35">
      <c r="C3769" t="s">
        <v>312</v>
      </c>
      <c r="D3769" s="3">
        <v>2023</v>
      </c>
      <c r="E3769" s="78">
        <f t="shared" si="583"/>
        <v>9</v>
      </c>
      <c r="F3769" s="74" t="s">
        <v>40</v>
      </c>
      <c r="G3769" s="77">
        <v>58100.000000000044</v>
      </c>
      <c r="H3769" s="77">
        <v>58400.000000000044</v>
      </c>
      <c r="I3769" s="76">
        <v>0.1</v>
      </c>
    </row>
    <row r="3770" spans="3:9" x14ac:dyDescent="0.35">
      <c r="C3770" t="s">
        <v>312</v>
      </c>
      <c r="D3770" s="3">
        <v>2023</v>
      </c>
      <c r="E3770" s="78">
        <f t="shared" si="583"/>
        <v>9</v>
      </c>
      <c r="F3770" s="74" t="s">
        <v>40</v>
      </c>
      <c r="G3770" s="77">
        <v>58400.000000000044</v>
      </c>
      <c r="H3770" s="77"/>
      <c r="I3770" s="76">
        <v>0</v>
      </c>
    </row>
    <row r="3771" spans="3:9" x14ac:dyDescent="0.35">
      <c r="C3771" t="s">
        <v>312</v>
      </c>
      <c r="D3771" s="3">
        <v>2023</v>
      </c>
      <c r="E3771" s="78">
        <f t="shared" si="583"/>
        <v>9</v>
      </c>
      <c r="F3771" s="74" t="s">
        <v>313</v>
      </c>
      <c r="G3771" s="77">
        <v>0</v>
      </c>
      <c r="H3771" s="75">
        <v>55700.000000000044</v>
      </c>
      <c r="I3771" s="76">
        <v>1</v>
      </c>
    </row>
    <row r="3772" spans="3:9" x14ac:dyDescent="0.35">
      <c r="C3772" t="s">
        <v>312</v>
      </c>
      <c r="D3772" s="3">
        <v>2023</v>
      </c>
      <c r="E3772" s="78">
        <f t="shared" si="583"/>
        <v>9</v>
      </c>
      <c r="F3772" s="74" t="s">
        <v>313</v>
      </c>
      <c r="G3772" s="77">
        <v>55700.000000000044</v>
      </c>
      <c r="H3772" s="77">
        <v>56000.000000000044</v>
      </c>
      <c r="I3772" s="76">
        <v>0.9</v>
      </c>
    </row>
    <row r="3773" spans="3:9" x14ac:dyDescent="0.35">
      <c r="C3773" t="s">
        <v>312</v>
      </c>
      <c r="D3773" s="3">
        <v>2023</v>
      </c>
      <c r="E3773" s="78">
        <f t="shared" si="583"/>
        <v>9</v>
      </c>
      <c r="F3773" s="74" t="s">
        <v>313</v>
      </c>
      <c r="G3773" s="77">
        <v>56000.000000000044</v>
      </c>
      <c r="H3773" s="77">
        <v>56300.000000000044</v>
      </c>
      <c r="I3773" s="76">
        <v>0.8</v>
      </c>
    </row>
    <row r="3774" spans="3:9" x14ac:dyDescent="0.35">
      <c r="C3774" t="s">
        <v>312</v>
      </c>
      <c r="D3774" s="3">
        <v>2023</v>
      </c>
      <c r="E3774" s="78">
        <f t="shared" si="583"/>
        <v>9</v>
      </c>
      <c r="F3774" s="74" t="s">
        <v>313</v>
      </c>
      <c r="G3774" s="77">
        <v>56300.000000000044</v>
      </c>
      <c r="H3774" s="77">
        <v>56600.000000000044</v>
      </c>
      <c r="I3774" s="76">
        <v>0.7</v>
      </c>
    </row>
    <row r="3775" spans="3:9" x14ac:dyDescent="0.35">
      <c r="C3775" t="s">
        <v>312</v>
      </c>
      <c r="D3775" s="3">
        <v>2023</v>
      </c>
      <c r="E3775" s="78">
        <f t="shared" si="583"/>
        <v>9</v>
      </c>
      <c r="F3775" s="74" t="s">
        <v>313</v>
      </c>
      <c r="G3775" s="77">
        <v>56600.000000000044</v>
      </c>
      <c r="H3775" s="77">
        <v>56900.000000000044</v>
      </c>
      <c r="I3775" s="76">
        <v>0.6</v>
      </c>
    </row>
    <row r="3776" spans="3:9" x14ac:dyDescent="0.35">
      <c r="C3776" t="s">
        <v>312</v>
      </c>
      <c r="D3776" s="3">
        <v>2023</v>
      </c>
      <c r="E3776" s="78">
        <f t="shared" si="583"/>
        <v>9</v>
      </c>
      <c r="F3776" s="74" t="s">
        <v>313</v>
      </c>
      <c r="G3776" s="77">
        <v>56900.000000000044</v>
      </c>
      <c r="H3776" s="77">
        <v>57200.000000000044</v>
      </c>
      <c r="I3776" s="76">
        <v>0.5</v>
      </c>
    </row>
    <row r="3777" spans="3:9" x14ac:dyDescent="0.35">
      <c r="C3777" t="s">
        <v>312</v>
      </c>
      <c r="D3777" s="3">
        <v>2023</v>
      </c>
      <c r="E3777" s="78">
        <f t="shared" si="583"/>
        <v>9</v>
      </c>
      <c r="F3777" s="74" t="s">
        <v>313</v>
      </c>
      <c r="G3777" s="77">
        <v>57200.000000000044</v>
      </c>
      <c r="H3777" s="77">
        <v>57500.000000000044</v>
      </c>
      <c r="I3777" s="76">
        <v>0.4</v>
      </c>
    </row>
    <row r="3778" spans="3:9" x14ac:dyDescent="0.35">
      <c r="C3778" t="s">
        <v>312</v>
      </c>
      <c r="D3778" s="3">
        <v>2023</v>
      </c>
      <c r="E3778" s="78">
        <f t="shared" si="583"/>
        <v>9</v>
      </c>
      <c r="F3778" s="74" t="s">
        <v>313</v>
      </c>
      <c r="G3778" s="77">
        <v>57500.000000000044</v>
      </c>
      <c r="H3778" s="77">
        <v>57800.000000000044</v>
      </c>
      <c r="I3778" s="76">
        <v>0.3</v>
      </c>
    </row>
    <row r="3779" spans="3:9" x14ac:dyDescent="0.35">
      <c r="C3779" t="s">
        <v>312</v>
      </c>
      <c r="D3779" s="3">
        <v>2023</v>
      </c>
      <c r="E3779" s="78">
        <f t="shared" si="583"/>
        <v>9</v>
      </c>
      <c r="F3779" s="74" t="s">
        <v>313</v>
      </c>
      <c r="G3779" s="77">
        <v>57800.000000000044</v>
      </c>
      <c r="H3779" s="77">
        <v>58100.000000000044</v>
      </c>
      <c r="I3779" s="76">
        <v>0.2</v>
      </c>
    </row>
    <row r="3780" spans="3:9" x14ac:dyDescent="0.35">
      <c r="C3780" t="s">
        <v>312</v>
      </c>
      <c r="D3780" s="3">
        <v>2023</v>
      </c>
      <c r="E3780" s="78">
        <f t="shared" si="583"/>
        <v>9</v>
      </c>
      <c r="F3780" s="74" t="s">
        <v>313</v>
      </c>
      <c r="G3780" s="77">
        <v>58100.000000000044</v>
      </c>
      <c r="H3780" s="77">
        <v>58400.000000000044</v>
      </c>
      <c r="I3780" s="76">
        <v>0.1</v>
      </c>
    </row>
    <row r="3781" spans="3:9" x14ac:dyDescent="0.35">
      <c r="C3781" t="s">
        <v>312</v>
      </c>
      <c r="D3781" s="3">
        <v>2023</v>
      </c>
      <c r="E3781" s="78">
        <f t="shared" si="583"/>
        <v>9</v>
      </c>
      <c r="F3781" s="74" t="s">
        <v>313</v>
      </c>
      <c r="G3781" s="77">
        <v>58400.000000000044</v>
      </c>
      <c r="H3781" s="77"/>
      <c r="I3781" s="76">
        <v>0</v>
      </c>
    </row>
    <row r="3782" spans="3:9" x14ac:dyDescent="0.35">
      <c r="C3782" t="s">
        <v>312</v>
      </c>
      <c r="D3782" s="3">
        <v>2023</v>
      </c>
      <c r="E3782" s="73">
        <v>10</v>
      </c>
      <c r="F3782" s="74" t="s">
        <v>54</v>
      </c>
      <c r="G3782" s="77">
        <v>0</v>
      </c>
      <c r="H3782" s="75">
        <v>60840.000000000044</v>
      </c>
      <c r="I3782" s="76">
        <v>1</v>
      </c>
    </row>
    <row r="3783" spans="3:9" x14ac:dyDescent="0.35">
      <c r="C3783" t="s">
        <v>312</v>
      </c>
      <c r="D3783" s="3">
        <v>2023</v>
      </c>
      <c r="E3783" s="78">
        <f>E3782</f>
        <v>10</v>
      </c>
      <c r="F3783" s="74" t="s">
        <v>54</v>
      </c>
      <c r="G3783" s="77">
        <v>60840.000000000044</v>
      </c>
      <c r="H3783" s="77">
        <v>61140.000000000044</v>
      </c>
      <c r="I3783" s="76">
        <v>0.9</v>
      </c>
    </row>
    <row r="3784" spans="3:9" x14ac:dyDescent="0.35">
      <c r="C3784" t="s">
        <v>312</v>
      </c>
      <c r="D3784" s="3">
        <v>2023</v>
      </c>
      <c r="E3784" s="78">
        <f t="shared" ref="E3784:E3825" si="584">E3783</f>
        <v>10</v>
      </c>
      <c r="F3784" s="74" t="s">
        <v>54</v>
      </c>
      <c r="G3784" s="77">
        <v>61140.000000000044</v>
      </c>
      <c r="H3784" s="77">
        <v>61440.000000000044</v>
      </c>
      <c r="I3784" s="76">
        <v>0.8</v>
      </c>
    </row>
    <row r="3785" spans="3:9" x14ac:dyDescent="0.35">
      <c r="C3785" t="s">
        <v>312</v>
      </c>
      <c r="D3785" s="3">
        <v>2023</v>
      </c>
      <c r="E3785" s="78">
        <f t="shared" si="584"/>
        <v>10</v>
      </c>
      <c r="F3785" s="74" t="s">
        <v>54</v>
      </c>
      <c r="G3785" s="77">
        <v>61440.000000000044</v>
      </c>
      <c r="H3785" s="77">
        <v>61740.000000000044</v>
      </c>
      <c r="I3785" s="76">
        <v>0.7</v>
      </c>
    </row>
    <row r="3786" spans="3:9" x14ac:dyDescent="0.35">
      <c r="C3786" t="s">
        <v>312</v>
      </c>
      <c r="D3786" s="3">
        <v>2023</v>
      </c>
      <c r="E3786" s="78">
        <f t="shared" si="584"/>
        <v>10</v>
      </c>
      <c r="F3786" s="74" t="s">
        <v>54</v>
      </c>
      <c r="G3786" s="77">
        <v>61740.000000000044</v>
      </c>
      <c r="H3786" s="77">
        <v>62040.000000000044</v>
      </c>
      <c r="I3786" s="76">
        <v>0.6</v>
      </c>
    </row>
    <row r="3787" spans="3:9" x14ac:dyDescent="0.35">
      <c r="C3787" t="s">
        <v>312</v>
      </c>
      <c r="D3787" s="3">
        <v>2023</v>
      </c>
      <c r="E3787" s="78">
        <f t="shared" si="584"/>
        <v>10</v>
      </c>
      <c r="F3787" s="74" t="s">
        <v>54</v>
      </c>
      <c r="G3787" s="77">
        <v>62040.000000000044</v>
      </c>
      <c r="H3787" s="77">
        <v>62340.000000000044</v>
      </c>
      <c r="I3787" s="76">
        <v>0.5</v>
      </c>
    </row>
    <row r="3788" spans="3:9" x14ac:dyDescent="0.35">
      <c r="C3788" t="s">
        <v>312</v>
      </c>
      <c r="D3788" s="3">
        <v>2023</v>
      </c>
      <c r="E3788" s="78">
        <f t="shared" si="584"/>
        <v>10</v>
      </c>
      <c r="F3788" s="74" t="s">
        <v>54</v>
      </c>
      <c r="G3788" s="77">
        <v>62340.000000000044</v>
      </c>
      <c r="H3788" s="77">
        <v>62640.000000000044</v>
      </c>
      <c r="I3788" s="76">
        <v>0.4</v>
      </c>
    </row>
    <row r="3789" spans="3:9" x14ac:dyDescent="0.35">
      <c r="C3789" t="s">
        <v>312</v>
      </c>
      <c r="D3789" s="3">
        <v>2023</v>
      </c>
      <c r="E3789" s="78">
        <f t="shared" si="584"/>
        <v>10</v>
      </c>
      <c r="F3789" s="74" t="s">
        <v>54</v>
      </c>
      <c r="G3789" s="77">
        <v>62640.000000000044</v>
      </c>
      <c r="H3789" s="77">
        <v>62940.000000000044</v>
      </c>
      <c r="I3789" s="76">
        <v>0.3</v>
      </c>
    </row>
    <row r="3790" spans="3:9" x14ac:dyDescent="0.35">
      <c r="C3790" t="s">
        <v>312</v>
      </c>
      <c r="D3790" s="3">
        <v>2023</v>
      </c>
      <c r="E3790" s="78">
        <f t="shared" si="584"/>
        <v>10</v>
      </c>
      <c r="F3790" s="74" t="s">
        <v>54</v>
      </c>
      <c r="G3790" s="77">
        <v>62940.000000000044</v>
      </c>
      <c r="H3790" s="77">
        <v>63240.000000000044</v>
      </c>
      <c r="I3790" s="76">
        <v>0.2</v>
      </c>
    </row>
    <row r="3791" spans="3:9" x14ac:dyDescent="0.35">
      <c r="C3791" t="s">
        <v>312</v>
      </c>
      <c r="D3791" s="3">
        <v>2023</v>
      </c>
      <c r="E3791" s="78">
        <f t="shared" si="584"/>
        <v>10</v>
      </c>
      <c r="F3791" s="74" t="s">
        <v>54</v>
      </c>
      <c r="G3791" s="77">
        <v>63240.000000000044</v>
      </c>
      <c r="H3791" s="77">
        <v>63540.000000000044</v>
      </c>
      <c r="I3791" s="76">
        <v>0.1</v>
      </c>
    </row>
    <row r="3792" spans="3:9" x14ac:dyDescent="0.35">
      <c r="C3792" t="s">
        <v>312</v>
      </c>
      <c r="D3792" s="3">
        <v>2023</v>
      </c>
      <c r="E3792" s="78">
        <f t="shared" si="584"/>
        <v>10</v>
      </c>
      <c r="F3792" s="74" t="s">
        <v>54</v>
      </c>
      <c r="G3792" s="77">
        <v>63540.000000000044</v>
      </c>
      <c r="H3792" s="77"/>
      <c r="I3792" s="76">
        <v>0</v>
      </c>
    </row>
    <row r="3793" spans="3:9" x14ac:dyDescent="0.35">
      <c r="C3793" t="s">
        <v>312</v>
      </c>
      <c r="D3793" s="3">
        <v>2023</v>
      </c>
      <c r="E3793" s="78">
        <f t="shared" si="584"/>
        <v>10</v>
      </c>
      <c r="F3793" s="74" t="s">
        <v>34</v>
      </c>
      <c r="G3793" s="77">
        <v>0</v>
      </c>
      <c r="H3793" s="75">
        <v>60840.000000000044</v>
      </c>
      <c r="I3793" s="76">
        <v>1</v>
      </c>
    </row>
    <row r="3794" spans="3:9" x14ac:dyDescent="0.35">
      <c r="C3794" t="s">
        <v>312</v>
      </c>
      <c r="D3794" s="3">
        <v>2023</v>
      </c>
      <c r="E3794" s="78">
        <f t="shared" si="584"/>
        <v>10</v>
      </c>
      <c r="F3794" s="74" t="s">
        <v>34</v>
      </c>
      <c r="G3794" s="77">
        <v>60840.000000000044</v>
      </c>
      <c r="H3794" s="77">
        <v>61140.000000000044</v>
      </c>
      <c r="I3794" s="76">
        <v>0.9</v>
      </c>
    </row>
    <row r="3795" spans="3:9" x14ac:dyDescent="0.35">
      <c r="C3795" t="s">
        <v>312</v>
      </c>
      <c r="D3795" s="3">
        <v>2023</v>
      </c>
      <c r="E3795" s="78">
        <f t="shared" si="584"/>
        <v>10</v>
      </c>
      <c r="F3795" s="74" t="s">
        <v>34</v>
      </c>
      <c r="G3795" s="77">
        <v>61140.000000000044</v>
      </c>
      <c r="H3795" s="77">
        <v>61440.000000000044</v>
      </c>
      <c r="I3795" s="76">
        <v>0.8</v>
      </c>
    </row>
    <row r="3796" spans="3:9" x14ac:dyDescent="0.35">
      <c r="C3796" t="s">
        <v>312</v>
      </c>
      <c r="D3796" s="3">
        <v>2023</v>
      </c>
      <c r="E3796" s="78">
        <f t="shared" si="584"/>
        <v>10</v>
      </c>
      <c r="F3796" s="74" t="s">
        <v>34</v>
      </c>
      <c r="G3796" s="77">
        <v>61440.000000000044</v>
      </c>
      <c r="H3796" s="77">
        <v>61740.000000000044</v>
      </c>
      <c r="I3796" s="76">
        <v>0.7</v>
      </c>
    </row>
    <row r="3797" spans="3:9" x14ac:dyDescent="0.35">
      <c r="C3797" t="s">
        <v>312</v>
      </c>
      <c r="D3797" s="3">
        <v>2023</v>
      </c>
      <c r="E3797" s="78">
        <f t="shared" si="584"/>
        <v>10</v>
      </c>
      <c r="F3797" s="74" t="s">
        <v>34</v>
      </c>
      <c r="G3797" s="77">
        <v>61740.000000000044</v>
      </c>
      <c r="H3797" s="77">
        <v>62040.000000000044</v>
      </c>
      <c r="I3797" s="76">
        <v>0.6</v>
      </c>
    </row>
    <row r="3798" spans="3:9" x14ac:dyDescent="0.35">
      <c r="C3798" t="s">
        <v>312</v>
      </c>
      <c r="D3798" s="3">
        <v>2023</v>
      </c>
      <c r="E3798" s="78">
        <f t="shared" si="584"/>
        <v>10</v>
      </c>
      <c r="F3798" s="74" t="s">
        <v>34</v>
      </c>
      <c r="G3798" s="77">
        <v>62040.000000000044</v>
      </c>
      <c r="H3798" s="77">
        <v>62340.000000000044</v>
      </c>
      <c r="I3798" s="76">
        <v>0.5</v>
      </c>
    </row>
    <row r="3799" spans="3:9" x14ac:dyDescent="0.35">
      <c r="C3799" t="s">
        <v>312</v>
      </c>
      <c r="D3799" s="3">
        <v>2023</v>
      </c>
      <c r="E3799" s="78">
        <f t="shared" si="584"/>
        <v>10</v>
      </c>
      <c r="F3799" s="74" t="s">
        <v>34</v>
      </c>
      <c r="G3799" s="77">
        <v>62340.000000000044</v>
      </c>
      <c r="H3799" s="77">
        <v>62640.000000000044</v>
      </c>
      <c r="I3799" s="76">
        <v>0.4</v>
      </c>
    </row>
    <row r="3800" spans="3:9" x14ac:dyDescent="0.35">
      <c r="C3800" t="s">
        <v>312</v>
      </c>
      <c r="D3800" s="3">
        <v>2023</v>
      </c>
      <c r="E3800" s="78">
        <f t="shared" si="584"/>
        <v>10</v>
      </c>
      <c r="F3800" s="74" t="s">
        <v>34</v>
      </c>
      <c r="G3800" s="77">
        <v>62640.000000000044</v>
      </c>
      <c r="H3800" s="77">
        <v>62940.000000000044</v>
      </c>
      <c r="I3800" s="76">
        <v>0.3</v>
      </c>
    </row>
    <row r="3801" spans="3:9" x14ac:dyDescent="0.35">
      <c r="C3801" t="s">
        <v>312</v>
      </c>
      <c r="D3801" s="3">
        <v>2023</v>
      </c>
      <c r="E3801" s="78">
        <f t="shared" si="584"/>
        <v>10</v>
      </c>
      <c r="F3801" s="74" t="s">
        <v>34</v>
      </c>
      <c r="G3801" s="77">
        <v>62940.000000000044</v>
      </c>
      <c r="H3801" s="77">
        <v>63240.000000000044</v>
      </c>
      <c r="I3801" s="76">
        <v>0.2</v>
      </c>
    </row>
    <row r="3802" spans="3:9" x14ac:dyDescent="0.35">
      <c r="C3802" t="s">
        <v>312</v>
      </c>
      <c r="D3802" s="3">
        <v>2023</v>
      </c>
      <c r="E3802" s="78">
        <f t="shared" si="584"/>
        <v>10</v>
      </c>
      <c r="F3802" s="74" t="s">
        <v>34</v>
      </c>
      <c r="G3802" s="77">
        <v>63240.000000000044</v>
      </c>
      <c r="H3802" s="77">
        <v>63540.000000000044</v>
      </c>
      <c r="I3802" s="76">
        <v>0.1</v>
      </c>
    </row>
    <row r="3803" spans="3:9" x14ac:dyDescent="0.35">
      <c r="C3803" t="s">
        <v>312</v>
      </c>
      <c r="D3803" s="3">
        <v>2023</v>
      </c>
      <c r="E3803" s="78">
        <f t="shared" si="584"/>
        <v>10</v>
      </c>
      <c r="F3803" s="74" t="s">
        <v>34</v>
      </c>
      <c r="G3803" s="77">
        <v>63540.000000000044</v>
      </c>
      <c r="H3803" s="77"/>
      <c r="I3803" s="76">
        <v>0</v>
      </c>
    </row>
    <row r="3804" spans="3:9" x14ac:dyDescent="0.35">
      <c r="C3804" t="s">
        <v>312</v>
      </c>
      <c r="D3804" s="3">
        <v>2023</v>
      </c>
      <c r="E3804" s="78">
        <f t="shared" si="584"/>
        <v>10</v>
      </c>
      <c r="F3804" s="74" t="s">
        <v>40</v>
      </c>
      <c r="G3804" s="77">
        <v>0</v>
      </c>
      <c r="H3804" s="75">
        <v>60840.000000000044</v>
      </c>
      <c r="I3804" s="76">
        <v>1</v>
      </c>
    </row>
    <row r="3805" spans="3:9" x14ac:dyDescent="0.35">
      <c r="C3805" t="s">
        <v>312</v>
      </c>
      <c r="D3805" s="3">
        <v>2023</v>
      </c>
      <c r="E3805" s="78">
        <f t="shared" si="584"/>
        <v>10</v>
      </c>
      <c r="F3805" s="74" t="s">
        <v>40</v>
      </c>
      <c r="G3805" s="77">
        <v>60840.000000000044</v>
      </c>
      <c r="H3805" s="77">
        <v>61140.000000000044</v>
      </c>
      <c r="I3805" s="76">
        <v>0.9</v>
      </c>
    </row>
    <row r="3806" spans="3:9" x14ac:dyDescent="0.35">
      <c r="C3806" t="s">
        <v>312</v>
      </c>
      <c r="D3806" s="3">
        <v>2023</v>
      </c>
      <c r="E3806" s="78">
        <f t="shared" si="584"/>
        <v>10</v>
      </c>
      <c r="F3806" s="74" t="s">
        <v>40</v>
      </c>
      <c r="G3806" s="77">
        <v>61140.000000000044</v>
      </c>
      <c r="H3806" s="77">
        <v>61440.000000000044</v>
      </c>
      <c r="I3806" s="76">
        <v>0.8</v>
      </c>
    </row>
    <row r="3807" spans="3:9" x14ac:dyDescent="0.35">
      <c r="C3807" t="s">
        <v>312</v>
      </c>
      <c r="D3807" s="3">
        <v>2023</v>
      </c>
      <c r="E3807" s="78">
        <f t="shared" si="584"/>
        <v>10</v>
      </c>
      <c r="F3807" s="74" t="s">
        <v>40</v>
      </c>
      <c r="G3807" s="77">
        <v>61440.000000000044</v>
      </c>
      <c r="H3807" s="77">
        <v>61740.000000000044</v>
      </c>
      <c r="I3807" s="76">
        <v>0.7</v>
      </c>
    </row>
    <row r="3808" spans="3:9" x14ac:dyDescent="0.35">
      <c r="C3808" t="s">
        <v>312</v>
      </c>
      <c r="D3808" s="3">
        <v>2023</v>
      </c>
      <c r="E3808" s="78">
        <f t="shared" si="584"/>
        <v>10</v>
      </c>
      <c r="F3808" s="74" t="s">
        <v>40</v>
      </c>
      <c r="G3808" s="77">
        <v>61740.000000000044</v>
      </c>
      <c r="H3808" s="77">
        <v>62040.000000000044</v>
      </c>
      <c r="I3808" s="76">
        <v>0.6</v>
      </c>
    </row>
    <row r="3809" spans="3:9" x14ac:dyDescent="0.35">
      <c r="C3809" t="s">
        <v>312</v>
      </c>
      <c r="D3809" s="3">
        <v>2023</v>
      </c>
      <c r="E3809" s="78">
        <f t="shared" si="584"/>
        <v>10</v>
      </c>
      <c r="F3809" s="74" t="s">
        <v>40</v>
      </c>
      <c r="G3809" s="77">
        <v>62040.000000000044</v>
      </c>
      <c r="H3809" s="77">
        <v>62340.000000000044</v>
      </c>
      <c r="I3809" s="76">
        <v>0.5</v>
      </c>
    </row>
    <row r="3810" spans="3:9" x14ac:dyDescent="0.35">
      <c r="C3810" t="s">
        <v>312</v>
      </c>
      <c r="D3810" s="3">
        <v>2023</v>
      </c>
      <c r="E3810" s="78">
        <f t="shared" si="584"/>
        <v>10</v>
      </c>
      <c r="F3810" s="74" t="s">
        <v>40</v>
      </c>
      <c r="G3810" s="77">
        <v>62340.000000000044</v>
      </c>
      <c r="H3810" s="77">
        <v>62640.000000000044</v>
      </c>
      <c r="I3810" s="76">
        <v>0.4</v>
      </c>
    </row>
    <row r="3811" spans="3:9" x14ac:dyDescent="0.35">
      <c r="C3811" t="s">
        <v>312</v>
      </c>
      <c r="D3811" s="3">
        <v>2023</v>
      </c>
      <c r="E3811" s="78">
        <f t="shared" si="584"/>
        <v>10</v>
      </c>
      <c r="F3811" s="74" t="s">
        <v>40</v>
      </c>
      <c r="G3811" s="77">
        <v>62640.000000000044</v>
      </c>
      <c r="H3811" s="77">
        <v>62940.000000000044</v>
      </c>
      <c r="I3811" s="76">
        <v>0.3</v>
      </c>
    </row>
    <row r="3812" spans="3:9" x14ac:dyDescent="0.35">
      <c r="C3812" t="s">
        <v>312</v>
      </c>
      <c r="D3812" s="3">
        <v>2023</v>
      </c>
      <c r="E3812" s="78">
        <f t="shared" si="584"/>
        <v>10</v>
      </c>
      <c r="F3812" s="74" t="s">
        <v>40</v>
      </c>
      <c r="G3812" s="77">
        <v>62940.000000000044</v>
      </c>
      <c r="H3812" s="77">
        <v>63240.000000000044</v>
      </c>
      <c r="I3812" s="76">
        <v>0.2</v>
      </c>
    </row>
    <row r="3813" spans="3:9" x14ac:dyDescent="0.35">
      <c r="C3813" t="s">
        <v>312</v>
      </c>
      <c r="D3813" s="3">
        <v>2023</v>
      </c>
      <c r="E3813" s="78">
        <f t="shared" si="584"/>
        <v>10</v>
      </c>
      <c r="F3813" s="74" t="s">
        <v>40</v>
      </c>
      <c r="G3813" s="77">
        <v>63240.000000000044</v>
      </c>
      <c r="H3813" s="77">
        <v>63540.000000000044</v>
      </c>
      <c r="I3813" s="76">
        <v>0.1</v>
      </c>
    </row>
    <row r="3814" spans="3:9" x14ac:dyDescent="0.35">
      <c r="C3814" t="s">
        <v>312</v>
      </c>
      <c r="D3814" s="3">
        <v>2023</v>
      </c>
      <c r="E3814" s="78">
        <f t="shared" si="584"/>
        <v>10</v>
      </c>
      <c r="F3814" s="74" t="s">
        <v>40</v>
      </c>
      <c r="G3814" s="77">
        <v>63540.000000000044</v>
      </c>
      <c r="H3814" s="77"/>
      <c r="I3814" s="76">
        <v>0</v>
      </c>
    </row>
    <row r="3815" spans="3:9" x14ac:dyDescent="0.35">
      <c r="C3815" t="s">
        <v>312</v>
      </c>
      <c r="D3815" s="3">
        <v>2023</v>
      </c>
      <c r="E3815" s="78">
        <f t="shared" si="584"/>
        <v>10</v>
      </c>
      <c r="F3815" s="74" t="s">
        <v>313</v>
      </c>
      <c r="G3815" s="77">
        <v>0</v>
      </c>
      <c r="H3815" s="75">
        <v>60840.000000000044</v>
      </c>
      <c r="I3815" s="76">
        <v>1</v>
      </c>
    </row>
    <row r="3816" spans="3:9" x14ac:dyDescent="0.35">
      <c r="C3816" t="s">
        <v>312</v>
      </c>
      <c r="D3816" s="3">
        <v>2023</v>
      </c>
      <c r="E3816" s="78">
        <f t="shared" si="584"/>
        <v>10</v>
      </c>
      <c r="F3816" s="74" t="s">
        <v>313</v>
      </c>
      <c r="G3816" s="77">
        <v>60840.000000000044</v>
      </c>
      <c r="H3816" s="77">
        <v>61140.000000000044</v>
      </c>
      <c r="I3816" s="76">
        <v>0.9</v>
      </c>
    </row>
    <row r="3817" spans="3:9" x14ac:dyDescent="0.35">
      <c r="C3817" t="s">
        <v>312</v>
      </c>
      <c r="D3817" s="3">
        <v>2023</v>
      </c>
      <c r="E3817" s="78">
        <f t="shared" si="584"/>
        <v>10</v>
      </c>
      <c r="F3817" s="74" t="s">
        <v>313</v>
      </c>
      <c r="G3817" s="77">
        <v>61140.000000000044</v>
      </c>
      <c r="H3817" s="77">
        <v>61440.000000000044</v>
      </c>
      <c r="I3817" s="76">
        <v>0.8</v>
      </c>
    </row>
    <row r="3818" spans="3:9" x14ac:dyDescent="0.35">
      <c r="C3818" t="s">
        <v>312</v>
      </c>
      <c r="D3818" s="3">
        <v>2023</v>
      </c>
      <c r="E3818" s="78">
        <f t="shared" si="584"/>
        <v>10</v>
      </c>
      <c r="F3818" s="74" t="s">
        <v>313</v>
      </c>
      <c r="G3818" s="77">
        <v>61440.000000000044</v>
      </c>
      <c r="H3818" s="77">
        <v>61740.000000000044</v>
      </c>
      <c r="I3818" s="76">
        <v>0.7</v>
      </c>
    </row>
    <row r="3819" spans="3:9" x14ac:dyDescent="0.35">
      <c r="C3819" t="s">
        <v>312</v>
      </c>
      <c r="D3819" s="3">
        <v>2023</v>
      </c>
      <c r="E3819" s="78">
        <f t="shared" si="584"/>
        <v>10</v>
      </c>
      <c r="F3819" s="74" t="s">
        <v>313</v>
      </c>
      <c r="G3819" s="77">
        <v>61740.000000000044</v>
      </c>
      <c r="H3819" s="77">
        <v>62040.000000000044</v>
      </c>
      <c r="I3819" s="76">
        <v>0.6</v>
      </c>
    </row>
    <row r="3820" spans="3:9" x14ac:dyDescent="0.35">
      <c r="C3820" t="s">
        <v>312</v>
      </c>
      <c r="D3820" s="3">
        <v>2023</v>
      </c>
      <c r="E3820" s="78">
        <f t="shared" si="584"/>
        <v>10</v>
      </c>
      <c r="F3820" s="74" t="s">
        <v>313</v>
      </c>
      <c r="G3820" s="77">
        <v>62040.000000000044</v>
      </c>
      <c r="H3820" s="77">
        <v>62340.000000000044</v>
      </c>
      <c r="I3820" s="76">
        <v>0.5</v>
      </c>
    </row>
    <row r="3821" spans="3:9" x14ac:dyDescent="0.35">
      <c r="C3821" t="s">
        <v>312</v>
      </c>
      <c r="D3821" s="3">
        <v>2023</v>
      </c>
      <c r="E3821" s="78">
        <f t="shared" si="584"/>
        <v>10</v>
      </c>
      <c r="F3821" s="74" t="s">
        <v>313</v>
      </c>
      <c r="G3821" s="77">
        <v>62340.000000000044</v>
      </c>
      <c r="H3821" s="77">
        <v>62640.000000000044</v>
      </c>
      <c r="I3821" s="76">
        <v>0.4</v>
      </c>
    </row>
    <row r="3822" spans="3:9" x14ac:dyDescent="0.35">
      <c r="C3822" t="s">
        <v>312</v>
      </c>
      <c r="D3822" s="3">
        <v>2023</v>
      </c>
      <c r="E3822" s="78">
        <f t="shared" si="584"/>
        <v>10</v>
      </c>
      <c r="F3822" s="74" t="s">
        <v>313</v>
      </c>
      <c r="G3822" s="77">
        <v>62640.000000000044</v>
      </c>
      <c r="H3822" s="77">
        <v>62940.000000000044</v>
      </c>
      <c r="I3822" s="76">
        <v>0.3</v>
      </c>
    </row>
    <row r="3823" spans="3:9" x14ac:dyDescent="0.35">
      <c r="C3823" t="s">
        <v>312</v>
      </c>
      <c r="D3823" s="3">
        <v>2023</v>
      </c>
      <c r="E3823" s="78">
        <f t="shared" si="584"/>
        <v>10</v>
      </c>
      <c r="F3823" s="74" t="s">
        <v>313</v>
      </c>
      <c r="G3823" s="77">
        <v>62940.000000000044</v>
      </c>
      <c r="H3823" s="77">
        <v>63240.000000000044</v>
      </c>
      <c r="I3823" s="76">
        <v>0.2</v>
      </c>
    </row>
    <row r="3824" spans="3:9" x14ac:dyDescent="0.35">
      <c r="C3824" t="s">
        <v>312</v>
      </c>
      <c r="D3824" s="3">
        <v>2023</v>
      </c>
      <c r="E3824" s="78">
        <f t="shared" si="584"/>
        <v>10</v>
      </c>
      <c r="F3824" s="74" t="s">
        <v>313</v>
      </c>
      <c r="G3824" s="77">
        <v>63240.000000000044</v>
      </c>
      <c r="H3824" s="77">
        <v>63540.000000000044</v>
      </c>
      <c r="I3824" s="76">
        <v>0.1</v>
      </c>
    </row>
    <row r="3825" spans="3:9" x14ac:dyDescent="0.35">
      <c r="C3825" t="s">
        <v>312</v>
      </c>
      <c r="D3825" s="3">
        <v>2023</v>
      </c>
      <c r="E3825" s="78">
        <f t="shared" si="584"/>
        <v>10</v>
      </c>
      <c r="F3825" s="74" t="s">
        <v>313</v>
      </c>
      <c r="G3825" s="77">
        <v>63540.000000000044</v>
      </c>
      <c r="H3825" s="77"/>
      <c r="I3825" s="76">
        <v>0</v>
      </c>
    </row>
    <row r="3826" spans="3:9" x14ac:dyDescent="0.35">
      <c r="C3826" t="s">
        <v>312</v>
      </c>
      <c r="D3826" s="3">
        <v>2023</v>
      </c>
      <c r="E3826" s="73">
        <v>1</v>
      </c>
      <c r="F3826" s="74" t="s">
        <v>36</v>
      </c>
      <c r="G3826" s="75">
        <v>0</v>
      </c>
      <c r="H3826" s="75">
        <v>7290.0000000000045</v>
      </c>
      <c r="I3826" s="76">
        <v>1</v>
      </c>
    </row>
    <row r="3827" spans="3:9" x14ac:dyDescent="0.35">
      <c r="C3827" t="s">
        <v>312</v>
      </c>
      <c r="D3827" s="3">
        <v>2023</v>
      </c>
      <c r="E3827" s="73">
        <v>1</v>
      </c>
      <c r="F3827" s="74" t="s">
        <v>36</v>
      </c>
      <c r="G3827" s="77">
        <v>7290.0000000000045</v>
      </c>
      <c r="H3827" s="77">
        <v>7440.0000000000045</v>
      </c>
      <c r="I3827" s="76">
        <v>0.9</v>
      </c>
    </row>
    <row r="3828" spans="3:9" x14ac:dyDescent="0.35">
      <c r="C3828" t="s">
        <v>312</v>
      </c>
      <c r="D3828" s="3">
        <v>2023</v>
      </c>
      <c r="E3828" s="73">
        <v>1</v>
      </c>
      <c r="F3828" s="74" t="s">
        <v>36</v>
      </c>
      <c r="G3828" s="77">
        <v>7440.0000000000045</v>
      </c>
      <c r="H3828" s="77">
        <v>7590.0000000000045</v>
      </c>
      <c r="I3828" s="76">
        <v>0.8</v>
      </c>
    </row>
    <row r="3829" spans="3:9" x14ac:dyDescent="0.35">
      <c r="C3829" t="s">
        <v>312</v>
      </c>
      <c r="D3829" s="3">
        <v>2023</v>
      </c>
      <c r="E3829" s="73">
        <v>1</v>
      </c>
      <c r="F3829" s="74" t="s">
        <v>36</v>
      </c>
      <c r="G3829" s="77">
        <v>7590.0000000000045</v>
      </c>
      <c r="H3829" s="77">
        <v>7740.0000000000045</v>
      </c>
      <c r="I3829" s="76">
        <v>0.7</v>
      </c>
    </row>
    <row r="3830" spans="3:9" x14ac:dyDescent="0.35">
      <c r="C3830" t="s">
        <v>312</v>
      </c>
      <c r="D3830" s="3">
        <v>2023</v>
      </c>
      <c r="E3830" s="73">
        <v>1</v>
      </c>
      <c r="F3830" s="74" t="s">
        <v>36</v>
      </c>
      <c r="G3830" s="77">
        <v>7740.0000000000045</v>
      </c>
      <c r="H3830" s="77">
        <v>7890.0000000000045</v>
      </c>
      <c r="I3830" s="76">
        <v>0.6</v>
      </c>
    </row>
    <row r="3831" spans="3:9" x14ac:dyDescent="0.35">
      <c r="C3831" t="s">
        <v>312</v>
      </c>
      <c r="D3831" s="3">
        <v>2023</v>
      </c>
      <c r="E3831" s="73">
        <v>1</v>
      </c>
      <c r="F3831" s="74" t="s">
        <v>36</v>
      </c>
      <c r="G3831" s="77">
        <v>7890.0000000000045</v>
      </c>
      <c r="H3831" s="77">
        <v>8040.0000000000045</v>
      </c>
      <c r="I3831" s="76">
        <v>0.5</v>
      </c>
    </row>
    <row r="3832" spans="3:9" x14ac:dyDescent="0.35">
      <c r="C3832" t="s">
        <v>312</v>
      </c>
      <c r="D3832" s="3">
        <v>2023</v>
      </c>
      <c r="E3832" s="73">
        <v>1</v>
      </c>
      <c r="F3832" s="74" t="s">
        <v>36</v>
      </c>
      <c r="G3832" s="77">
        <v>8040.0000000000045</v>
      </c>
      <c r="H3832" s="77">
        <v>8190.0000000000045</v>
      </c>
      <c r="I3832" s="76">
        <v>0.4</v>
      </c>
    </row>
    <row r="3833" spans="3:9" x14ac:dyDescent="0.35">
      <c r="C3833" t="s">
        <v>312</v>
      </c>
      <c r="D3833" s="3">
        <v>2023</v>
      </c>
      <c r="E3833" s="73">
        <v>1</v>
      </c>
      <c r="F3833" s="74" t="s">
        <v>36</v>
      </c>
      <c r="G3833" s="77">
        <v>8190.0000000000045</v>
      </c>
      <c r="H3833" s="77">
        <v>8340.0000000000036</v>
      </c>
      <c r="I3833" s="76">
        <v>0.3</v>
      </c>
    </row>
    <row r="3834" spans="3:9" x14ac:dyDescent="0.35">
      <c r="C3834" t="s">
        <v>312</v>
      </c>
      <c r="D3834" s="3">
        <v>2023</v>
      </c>
      <c r="E3834" s="73">
        <v>1</v>
      </c>
      <c r="F3834" s="74" t="s">
        <v>36</v>
      </c>
      <c r="G3834" s="77">
        <v>8340.0000000000036</v>
      </c>
      <c r="H3834" s="77">
        <v>8490.0000000000036</v>
      </c>
      <c r="I3834" s="76">
        <v>0.2</v>
      </c>
    </row>
    <row r="3835" spans="3:9" x14ac:dyDescent="0.35">
      <c r="C3835" t="s">
        <v>312</v>
      </c>
      <c r="D3835" s="3">
        <v>2023</v>
      </c>
      <c r="E3835" s="73">
        <v>1</v>
      </c>
      <c r="F3835" s="74" t="s">
        <v>36</v>
      </c>
      <c r="G3835" s="77">
        <v>8490.0000000000036</v>
      </c>
      <c r="H3835" s="77">
        <v>8640.0000000000036</v>
      </c>
      <c r="I3835" s="76">
        <v>0.1</v>
      </c>
    </row>
    <row r="3836" spans="3:9" x14ac:dyDescent="0.35">
      <c r="C3836" t="s">
        <v>312</v>
      </c>
      <c r="D3836" s="3">
        <v>2023</v>
      </c>
      <c r="E3836" s="73">
        <v>1</v>
      </c>
      <c r="F3836" s="74" t="s">
        <v>36</v>
      </c>
      <c r="G3836" s="77">
        <v>8640.0000000000036</v>
      </c>
      <c r="H3836" s="77"/>
      <c r="I3836" s="76">
        <v>0</v>
      </c>
    </row>
    <row r="3837" spans="3:9" x14ac:dyDescent="0.35">
      <c r="C3837" t="s">
        <v>312</v>
      </c>
      <c r="D3837" s="3">
        <v>2023</v>
      </c>
      <c r="E3837" s="73">
        <v>2</v>
      </c>
      <c r="F3837" s="74" t="s">
        <v>36</v>
      </c>
      <c r="G3837" s="77">
        <v>0</v>
      </c>
      <c r="H3837" s="77">
        <v>9860.0000000000073</v>
      </c>
      <c r="I3837" s="76">
        <v>1</v>
      </c>
    </row>
    <row r="3838" spans="3:9" x14ac:dyDescent="0.35">
      <c r="C3838" t="s">
        <v>312</v>
      </c>
      <c r="D3838" s="3">
        <v>2023</v>
      </c>
      <c r="E3838" s="78">
        <f>E3837</f>
        <v>2</v>
      </c>
      <c r="F3838" s="74" t="s">
        <v>36</v>
      </c>
      <c r="G3838" s="77">
        <v>9860.0000000000073</v>
      </c>
      <c r="H3838" s="77">
        <v>10010.000000000007</v>
      </c>
      <c r="I3838" s="76">
        <v>0.9</v>
      </c>
    </row>
    <row r="3839" spans="3:9" x14ac:dyDescent="0.35">
      <c r="C3839" t="s">
        <v>312</v>
      </c>
      <c r="D3839" s="3">
        <v>2023</v>
      </c>
      <c r="E3839" s="78">
        <f t="shared" ref="E3839:E3847" si="585">E3838</f>
        <v>2</v>
      </c>
      <c r="F3839" s="74" t="s">
        <v>36</v>
      </c>
      <c r="G3839" s="77">
        <v>10010.000000000007</v>
      </c>
      <c r="H3839" s="77">
        <v>10160.000000000007</v>
      </c>
      <c r="I3839" s="76">
        <v>0.8</v>
      </c>
    </row>
    <row r="3840" spans="3:9" x14ac:dyDescent="0.35">
      <c r="C3840" t="s">
        <v>312</v>
      </c>
      <c r="D3840" s="3">
        <v>2023</v>
      </c>
      <c r="E3840" s="78">
        <f t="shared" si="585"/>
        <v>2</v>
      </c>
      <c r="F3840" s="74" t="s">
        <v>36</v>
      </c>
      <c r="G3840" s="77">
        <v>10160.000000000007</v>
      </c>
      <c r="H3840" s="77">
        <v>10310.000000000007</v>
      </c>
      <c r="I3840" s="76">
        <v>0.7</v>
      </c>
    </row>
    <row r="3841" spans="3:9" x14ac:dyDescent="0.35">
      <c r="C3841" t="s">
        <v>312</v>
      </c>
      <c r="D3841" s="3">
        <v>2023</v>
      </c>
      <c r="E3841" s="78">
        <f t="shared" si="585"/>
        <v>2</v>
      </c>
      <c r="F3841" s="74" t="s">
        <v>36</v>
      </c>
      <c r="G3841" s="77">
        <v>10310.000000000007</v>
      </c>
      <c r="H3841" s="77">
        <v>10460.000000000007</v>
      </c>
      <c r="I3841" s="76">
        <v>0.6</v>
      </c>
    </row>
    <row r="3842" spans="3:9" x14ac:dyDescent="0.35">
      <c r="C3842" t="s">
        <v>312</v>
      </c>
      <c r="D3842" s="3">
        <v>2023</v>
      </c>
      <c r="E3842" s="78">
        <f t="shared" si="585"/>
        <v>2</v>
      </c>
      <c r="F3842" s="74" t="s">
        <v>36</v>
      </c>
      <c r="G3842" s="77">
        <v>10460.000000000007</v>
      </c>
      <c r="H3842" s="77">
        <v>10610.000000000007</v>
      </c>
      <c r="I3842" s="76">
        <v>0.5</v>
      </c>
    </row>
    <row r="3843" spans="3:9" x14ac:dyDescent="0.35">
      <c r="C3843" t="s">
        <v>312</v>
      </c>
      <c r="D3843" s="3">
        <v>2023</v>
      </c>
      <c r="E3843" s="78">
        <f t="shared" si="585"/>
        <v>2</v>
      </c>
      <c r="F3843" s="74" t="s">
        <v>36</v>
      </c>
      <c r="G3843" s="77">
        <v>10610.000000000007</v>
      </c>
      <c r="H3843" s="77">
        <v>10760.000000000007</v>
      </c>
      <c r="I3843" s="76">
        <v>0.4</v>
      </c>
    </row>
    <row r="3844" spans="3:9" x14ac:dyDescent="0.35">
      <c r="C3844" t="s">
        <v>312</v>
      </c>
      <c r="D3844" s="3">
        <v>2023</v>
      </c>
      <c r="E3844" s="78">
        <f t="shared" si="585"/>
        <v>2</v>
      </c>
      <c r="F3844" s="74" t="s">
        <v>36</v>
      </c>
      <c r="G3844" s="77">
        <v>10760.000000000007</v>
      </c>
      <c r="H3844" s="77">
        <v>10910.000000000007</v>
      </c>
      <c r="I3844" s="76">
        <v>0.3</v>
      </c>
    </row>
    <row r="3845" spans="3:9" x14ac:dyDescent="0.35">
      <c r="C3845" t="s">
        <v>312</v>
      </c>
      <c r="D3845" s="3">
        <v>2023</v>
      </c>
      <c r="E3845" s="78">
        <f t="shared" si="585"/>
        <v>2</v>
      </c>
      <c r="F3845" s="74" t="s">
        <v>36</v>
      </c>
      <c r="G3845" s="77">
        <v>10910.000000000007</v>
      </c>
      <c r="H3845" s="77">
        <v>11060.000000000007</v>
      </c>
      <c r="I3845" s="76">
        <v>0.2</v>
      </c>
    </row>
    <row r="3846" spans="3:9" x14ac:dyDescent="0.35">
      <c r="C3846" t="s">
        <v>312</v>
      </c>
      <c r="D3846" s="3">
        <v>2023</v>
      </c>
      <c r="E3846" s="78">
        <f t="shared" si="585"/>
        <v>2</v>
      </c>
      <c r="F3846" s="74" t="s">
        <v>36</v>
      </c>
      <c r="G3846" s="77">
        <v>11060.000000000007</v>
      </c>
      <c r="H3846" s="77">
        <v>11210.000000000007</v>
      </c>
      <c r="I3846" s="76">
        <v>0.1</v>
      </c>
    </row>
    <row r="3847" spans="3:9" x14ac:dyDescent="0.35">
      <c r="C3847" t="s">
        <v>312</v>
      </c>
      <c r="D3847" s="3">
        <v>2023</v>
      </c>
      <c r="E3847" s="78">
        <f t="shared" si="585"/>
        <v>2</v>
      </c>
      <c r="F3847" s="74" t="s">
        <v>36</v>
      </c>
      <c r="G3847" s="77">
        <v>11210.000000000007</v>
      </c>
      <c r="H3847" s="77"/>
      <c r="I3847" s="76">
        <v>0</v>
      </c>
    </row>
    <row r="3848" spans="3:9" x14ac:dyDescent="0.35">
      <c r="C3848" t="s">
        <v>312</v>
      </c>
      <c r="D3848" s="3">
        <v>2023</v>
      </c>
      <c r="E3848" s="73">
        <v>3</v>
      </c>
      <c r="F3848" s="74" t="s">
        <v>36</v>
      </c>
      <c r="G3848" s="77">
        <v>0</v>
      </c>
      <c r="H3848" s="77">
        <v>12430.000000000009</v>
      </c>
      <c r="I3848" s="76">
        <v>1</v>
      </c>
    </row>
    <row r="3849" spans="3:9" x14ac:dyDescent="0.35">
      <c r="C3849" t="s">
        <v>312</v>
      </c>
      <c r="D3849" s="3">
        <v>2023</v>
      </c>
      <c r="E3849" s="78">
        <f>E3848</f>
        <v>3</v>
      </c>
      <c r="F3849" s="74" t="s">
        <v>36</v>
      </c>
      <c r="G3849" s="77">
        <v>12430.000000000009</v>
      </c>
      <c r="H3849" s="77">
        <v>12580.000000000009</v>
      </c>
      <c r="I3849" s="76">
        <v>0.9</v>
      </c>
    </row>
    <row r="3850" spans="3:9" x14ac:dyDescent="0.35">
      <c r="C3850" t="s">
        <v>312</v>
      </c>
      <c r="D3850" s="3">
        <v>2023</v>
      </c>
      <c r="E3850" s="78">
        <f t="shared" ref="E3850:E3858" si="586">E3849</f>
        <v>3</v>
      </c>
      <c r="F3850" s="74" t="s">
        <v>36</v>
      </c>
      <c r="G3850" s="77">
        <v>12580.000000000009</v>
      </c>
      <c r="H3850" s="77">
        <v>12730.000000000009</v>
      </c>
      <c r="I3850" s="76">
        <v>0.8</v>
      </c>
    </row>
    <row r="3851" spans="3:9" x14ac:dyDescent="0.35">
      <c r="C3851" t="s">
        <v>312</v>
      </c>
      <c r="D3851" s="3">
        <v>2023</v>
      </c>
      <c r="E3851" s="78">
        <f t="shared" si="586"/>
        <v>3</v>
      </c>
      <c r="F3851" s="74" t="s">
        <v>36</v>
      </c>
      <c r="G3851" s="77">
        <v>12730.000000000009</v>
      </c>
      <c r="H3851" s="77">
        <v>12880.000000000009</v>
      </c>
      <c r="I3851" s="76">
        <v>0.7</v>
      </c>
    </row>
    <row r="3852" spans="3:9" x14ac:dyDescent="0.35">
      <c r="C3852" t="s">
        <v>312</v>
      </c>
      <c r="D3852" s="3">
        <v>2023</v>
      </c>
      <c r="E3852" s="78">
        <f t="shared" si="586"/>
        <v>3</v>
      </c>
      <c r="F3852" s="74" t="s">
        <v>36</v>
      </c>
      <c r="G3852" s="77">
        <v>12880.000000000009</v>
      </c>
      <c r="H3852" s="77">
        <v>13030.000000000009</v>
      </c>
      <c r="I3852" s="76">
        <v>0.6</v>
      </c>
    </row>
    <row r="3853" spans="3:9" x14ac:dyDescent="0.35">
      <c r="C3853" t="s">
        <v>312</v>
      </c>
      <c r="D3853" s="3">
        <v>2023</v>
      </c>
      <c r="E3853" s="78">
        <f t="shared" si="586"/>
        <v>3</v>
      </c>
      <c r="F3853" s="74" t="s">
        <v>36</v>
      </c>
      <c r="G3853" s="77">
        <v>13030.000000000009</v>
      </c>
      <c r="H3853" s="77">
        <v>13180.000000000009</v>
      </c>
      <c r="I3853" s="76">
        <v>0.5</v>
      </c>
    </row>
    <row r="3854" spans="3:9" x14ac:dyDescent="0.35">
      <c r="C3854" t="s">
        <v>312</v>
      </c>
      <c r="D3854" s="3">
        <v>2023</v>
      </c>
      <c r="E3854" s="78">
        <f t="shared" si="586"/>
        <v>3</v>
      </c>
      <c r="F3854" s="74" t="s">
        <v>36</v>
      </c>
      <c r="G3854" s="77">
        <v>13180.000000000009</v>
      </c>
      <c r="H3854" s="77">
        <v>13330.000000000009</v>
      </c>
      <c r="I3854" s="76">
        <v>0.4</v>
      </c>
    </row>
    <row r="3855" spans="3:9" x14ac:dyDescent="0.35">
      <c r="C3855" t="s">
        <v>312</v>
      </c>
      <c r="D3855" s="3">
        <v>2023</v>
      </c>
      <c r="E3855" s="78">
        <f t="shared" si="586"/>
        <v>3</v>
      </c>
      <c r="F3855" s="74" t="s">
        <v>36</v>
      </c>
      <c r="G3855" s="77">
        <v>13330.000000000009</v>
      </c>
      <c r="H3855" s="77">
        <v>13480.000000000009</v>
      </c>
      <c r="I3855" s="76">
        <v>0.3</v>
      </c>
    </row>
    <row r="3856" spans="3:9" x14ac:dyDescent="0.35">
      <c r="C3856" t="s">
        <v>312</v>
      </c>
      <c r="D3856" s="3">
        <v>2023</v>
      </c>
      <c r="E3856" s="78">
        <f t="shared" si="586"/>
        <v>3</v>
      </c>
      <c r="F3856" s="74" t="s">
        <v>36</v>
      </c>
      <c r="G3856" s="77">
        <v>13480.000000000009</v>
      </c>
      <c r="H3856" s="77">
        <v>13630.000000000009</v>
      </c>
      <c r="I3856" s="76">
        <v>0.2</v>
      </c>
    </row>
    <row r="3857" spans="3:9" x14ac:dyDescent="0.35">
      <c r="C3857" t="s">
        <v>312</v>
      </c>
      <c r="D3857" s="3">
        <v>2023</v>
      </c>
      <c r="E3857" s="78">
        <f t="shared" si="586"/>
        <v>3</v>
      </c>
      <c r="F3857" s="74" t="s">
        <v>36</v>
      </c>
      <c r="G3857" s="77">
        <v>13630.000000000009</v>
      </c>
      <c r="H3857" s="77">
        <v>13780.000000000009</v>
      </c>
      <c r="I3857" s="76">
        <v>0.1</v>
      </c>
    </row>
    <row r="3858" spans="3:9" x14ac:dyDescent="0.35">
      <c r="C3858" t="s">
        <v>312</v>
      </c>
      <c r="D3858" s="3">
        <v>2023</v>
      </c>
      <c r="E3858" s="78">
        <f t="shared" si="586"/>
        <v>3</v>
      </c>
      <c r="F3858" s="74" t="s">
        <v>36</v>
      </c>
      <c r="G3858" s="77">
        <v>13780.000000000009</v>
      </c>
      <c r="H3858" s="77"/>
      <c r="I3858" s="76">
        <v>0</v>
      </c>
    </row>
    <row r="3859" spans="3:9" x14ac:dyDescent="0.35">
      <c r="C3859" t="s">
        <v>312</v>
      </c>
      <c r="D3859" s="3">
        <v>2023</v>
      </c>
      <c r="E3859" s="73">
        <v>4</v>
      </c>
      <c r="F3859" s="74" t="s">
        <v>36</v>
      </c>
      <c r="G3859" s="77">
        <v>0</v>
      </c>
      <c r="H3859" s="77">
        <v>15000.000000000009</v>
      </c>
      <c r="I3859" s="76">
        <v>1</v>
      </c>
    </row>
    <row r="3860" spans="3:9" x14ac:dyDescent="0.35">
      <c r="C3860" t="s">
        <v>312</v>
      </c>
      <c r="D3860" s="3">
        <v>2023</v>
      </c>
      <c r="E3860" s="78">
        <f>E3859</f>
        <v>4</v>
      </c>
      <c r="F3860" s="74" t="s">
        <v>36</v>
      </c>
      <c r="G3860" s="77">
        <v>15000.000000000009</v>
      </c>
      <c r="H3860" s="77">
        <v>15150.000000000009</v>
      </c>
      <c r="I3860" s="76">
        <v>0.9</v>
      </c>
    </row>
    <row r="3861" spans="3:9" x14ac:dyDescent="0.35">
      <c r="C3861" t="s">
        <v>312</v>
      </c>
      <c r="D3861" s="3">
        <v>2023</v>
      </c>
      <c r="E3861" s="78">
        <f t="shared" ref="E3861:E3869" si="587">E3860</f>
        <v>4</v>
      </c>
      <c r="F3861" s="74" t="s">
        <v>36</v>
      </c>
      <c r="G3861" s="77">
        <v>15150.000000000009</v>
      </c>
      <c r="H3861" s="77">
        <v>15300.000000000009</v>
      </c>
      <c r="I3861" s="76">
        <v>0.8</v>
      </c>
    </row>
    <row r="3862" spans="3:9" x14ac:dyDescent="0.35">
      <c r="C3862" t="s">
        <v>312</v>
      </c>
      <c r="D3862" s="3">
        <v>2023</v>
      </c>
      <c r="E3862" s="78">
        <f t="shared" si="587"/>
        <v>4</v>
      </c>
      <c r="F3862" s="74" t="s">
        <v>36</v>
      </c>
      <c r="G3862" s="77">
        <v>15300.000000000009</v>
      </c>
      <c r="H3862" s="77">
        <v>15450.000000000009</v>
      </c>
      <c r="I3862" s="76">
        <v>0.7</v>
      </c>
    </row>
    <row r="3863" spans="3:9" x14ac:dyDescent="0.35">
      <c r="C3863" t="s">
        <v>312</v>
      </c>
      <c r="D3863" s="3">
        <v>2023</v>
      </c>
      <c r="E3863" s="78">
        <f t="shared" si="587"/>
        <v>4</v>
      </c>
      <c r="F3863" s="74" t="s">
        <v>36</v>
      </c>
      <c r="G3863" s="77">
        <v>15450.000000000009</v>
      </c>
      <c r="H3863" s="77">
        <v>15600.000000000009</v>
      </c>
      <c r="I3863" s="76">
        <v>0.6</v>
      </c>
    </row>
    <row r="3864" spans="3:9" x14ac:dyDescent="0.35">
      <c r="C3864" t="s">
        <v>312</v>
      </c>
      <c r="D3864" s="3">
        <v>2023</v>
      </c>
      <c r="E3864" s="78">
        <f t="shared" si="587"/>
        <v>4</v>
      </c>
      <c r="F3864" s="74" t="s">
        <v>36</v>
      </c>
      <c r="G3864" s="77">
        <v>15600.000000000009</v>
      </c>
      <c r="H3864" s="77">
        <v>15750.000000000009</v>
      </c>
      <c r="I3864" s="76">
        <v>0.5</v>
      </c>
    </row>
    <row r="3865" spans="3:9" x14ac:dyDescent="0.35">
      <c r="C3865" t="s">
        <v>312</v>
      </c>
      <c r="D3865" s="3">
        <v>2023</v>
      </c>
      <c r="E3865" s="78">
        <f t="shared" si="587"/>
        <v>4</v>
      </c>
      <c r="F3865" s="74" t="s">
        <v>36</v>
      </c>
      <c r="G3865" s="77">
        <v>15750.000000000009</v>
      </c>
      <c r="H3865" s="77">
        <v>15900.000000000009</v>
      </c>
      <c r="I3865" s="76">
        <v>0.4</v>
      </c>
    </row>
    <row r="3866" spans="3:9" x14ac:dyDescent="0.35">
      <c r="C3866" t="s">
        <v>312</v>
      </c>
      <c r="D3866" s="3">
        <v>2023</v>
      </c>
      <c r="E3866" s="78">
        <f t="shared" si="587"/>
        <v>4</v>
      </c>
      <c r="F3866" s="74" t="s">
        <v>36</v>
      </c>
      <c r="G3866" s="77">
        <v>15900.000000000009</v>
      </c>
      <c r="H3866" s="77">
        <v>16050.000000000009</v>
      </c>
      <c r="I3866" s="76">
        <v>0.3</v>
      </c>
    </row>
    <row r="3867" spans="3:9" x14ac:dyDescent="0.35">
      <c r="C3867" t="s">
        <v>312</v>
      </c>
      <c r="D3867" s="3">
        <v>2023</v>
      </c>
      <c r="E3867" s="78">
        <f t="shared" si="587"/>
        <v>4</v>
      </c>
      <c r="F3867" s="74" t="s">
        <v>36</v>
      </c>
      <c r="G3867" s="77">
        <v>16050.000000000009</v>
      </c>
      <c r="H3867" s="77">
        <v>16200.000000000009</v>
      </c>
      <c r="I3867" s="76">
        <v>0.2</v>
      </c>
    </row>
    <row r="3868" spans="3:9" x14ac:dyDescent="0.35">
      <c r="C3868" t="s">
        <v>312</v>
      </c>
      <c r="D3868" s="3">
        <v>2023</v>
      </c>
      <c r="E3868" s="78">
        <f t="shared" si="587"/>
        <v>4</v>
      </c>
      <c r="F3868" s="74" t="s">
        <v>36</v>
      </c>
      <c r="G3868" s="77">
        <v>16200.000000000009</v>
      </c>
      <c r="H3868" s="77">
        <v>16350.000000000009</v>
      </c>
      <c r="I3868" s="76">
        <v>0.1</v>
      </c>
    </row>
    <row r="3869" spans="3:9" x14ac:dyDescent="0.35">
      <c r="C3869" t="s">
        <v>312</v>
      </c>
      <c r="D3869" s="3">
        <v>2023</v>
      </c>
      <c r="E3869" s="78">
        <f t="shared" si="587"/>
        <v>4</v>
      </c>
      <c r="F3869" s="74" t="s">
        <v>36</v>
      </c>
      <c r="G3869" s="77">
        <v>16350.000000000009</v>
      </c>
      <c r="H3869" s="77"/>
      <c r="I3869" s="76">
        <v>0</v>
      </c>
    </row>
    <row r="3870" spans="3:9" x14ac:dyDescent="0.35">
      <c r="C3870" t="s">
        <v>312</v>
      </c>
      <c r="D3870" s="3">
        <v>2023</v>
      </c>
      <c r="E3870" s="73">
        <v>5</v>
      </c>
      <c r="F3870" s="74" t="s">
        <v>36</v>
      </c>
      <c r="G3870" s="77">
        <v>0</v>
      </c>
      <c r="H3870" s="77">
        <v>17570.000000000011</v>
      </c>
      <c r="I3870" s="76">
        <v>1</v>
      </c>
    </row>
    <row r="3871" spans="3:9" x14ac:dyDescent="0.35">
      <c r="C3871" t="s">
        <v>312</v>
      </c>
      <c r="D3871" s="3">
        <v>2023</v>
      </c>
      <c r="E3871" s="78">
        <f>E3870</f>
        <v>5</v>
      </c>
      <c r="F3871" s="74" t="s">
        <v>36</v>
      </c>
      <c r="G3871" s="77">
        <v>17570.000000000011</v>
      </c>
      <c r="H3871" s="77">
        <v>17720.000000000011</v>
      </c>
      <c r="I3871" s="76">
        <v>0.9</v>
      </c>
    </row>
    <row r="3872" spans="3:9" x14ac:dyDescent="0.35">
      <c r="C3872" t="s">
        <v>312</v>
      </c>
      <c r="D3872" s="3">
        <v>2023</v>
      </c>
      <c r="E3872" s="78">
        <f t="shared" ref="E3872:E3880" si="588">E3871</f>
        <v>5</v>
      </c>
      <c r="F3872" s="74" t="s">
        <v>36</v>
      </c>
      <c r="G3872" s="77">
        <v>17720.000000000011</v>
      </c>
      <c r="H3872" s="77">
        <v>17870.000000000011</v>
      </c>
      <c r="I3872" s="76">
        <v>0.8</v>
      </c>
    </row>
    <row r="3873" spans="3:9" x14ac:dyDescent="0.35">
      <c r="C3873" t="s">
        <v>312</v>
      </c>
      <c r="D3873" s="3">
        <v>2023</v>
      </c>
      <c r="E3873" s="78">
        <f t="shared" si="588"/>
        <v>5</v>
      </c>
      <c r="F3873" s="74" t="s">
        <v>36</v>
      </c>
      <c r="G3873" s="77">
        <v>17870.000000000011</v>
      </c>
      <c r="H3873" s="77">
        <v>18020.000000000011</v>
      </c>
      <c r="I3873" s="76">
        <v>0.7</v>
      </c>
    </row>
    <row r="3874" spans="3:9" x14ac:dyDescent="0.35">
      <c r="C3874" t="s">
        <v>312</v>
      </c>
      <c r="D3874" s="3">
        <v>2023</v>
      </c>
      <c r="E3874" s="78">
        <f t="shared" si="588"/>
        <v>5</v>
      </c>
      <c r="F3874" s="74" t="s">
        <v>36</v>
      </c>
      <c r="G3874" s="77">
        <v>18020.000000000011</v>
      </c>
      <c r="H3874" s="77">
        <v>18170.000000000011</v>
      </c>
      <c r="I3874" s="76">
        <v>0.6</v>
      </c>
    </row>
    <row r="3875" spans="3:9" x14ac:dyDescent="0.35">
      <c r="C3875" t="s">
        <v>312</v>
      </c>
      <c r="D3875" s="3">
        <v>2023</v>
      </c>
      <c r="E3875" s="78">
        <f t="shared" si="588"/>
        <v>5</v>
      </c>
      <c r="F3875" s="74" t="s">
        <v>36</v>
      </c>
      <c r="G3875" s="77">
        <v>18170.000000000011</v>
      </c>
      <c r="H3875" s="77">
        <v>18320.000000000011</v>
      </c>
      <c r="I3875" s="76">
        <v>0.5</v>
      </c>
    </row>
    <row r="3876" spans="3:9" x14ac:dyDescent="0.35">
      <c r="C3876" t="s">
        <v>312</v>
      </c>
      <c r="D3876" s="3">
        <v>2023</v>
      </c>
      <c r="E3876" s="78">
        <f t="shared" si="588"/>
        <v>5</v>
      </c>
      <c r="F3876" s="74" t="s">
        <v>36</v>
      </c>
      <c r="G3876" s="77">
        <v>18320.000000000011</v>
      </c>
      <c r="H3876" s="77">
        <v>18470.000000000011</v>
      </c>
      <c r="I3876" s="76">
        <v>0.4</v>
      </c>
    </row>
    <row r="3877" spans="3:9" x14ac:dyDescent="0.35">
      <c r="C3877" t="s">
        <v>312</v>
      </c>
      <c r="D3877" s="3">
        <v>2023</v>
      </c>
      <c r="E3877" s="78">
        <f t="shared" si="588"/>
        <v>5</v>
      </c>
      <c r="F3877" s="74" t="s">
        <v>36</v>
      </c>
      <c r="G3877" s="77">
        <v>18470.000000000011</v>
      </c>
      <c r="H3877" s="77">
        <v>18620.000000000011</v>
      </c>
      <c r="I3877" s="76">
        <v>0.3</v>
      </c>
    </row>
    <row r="3878" spans="3:9" x14ac:dyDescent="0.35">
      <c r="C3878" t="s">
        <v>312</v>
      </c>
      <c r="D3878" s="3">
        <v>2023</v>
      </c>
      <c r="E3878" s="78">
        <f t="shared" si="588"/>
        <v>5</v>
      </c>
      <c r="F3878" s="74" t="s">
        <v>36</v>
      </c>
      <c r="G3878" s="77">
        <v>18620.000000000011</v>
      </c>
      <c r="H3878" s="77">
        <v>18770.000000000011</v>
      </c>
      <c r="I3878" s="76">
        <v>0.2</v>
      </c>
    </row>
    <row r="3879" spans="3:9" x14ac:dyDescent="0.35">
      <c r="C3879" t="s">
        <v>312</v>
      </c>
      <c r="D3879" s="3">
        <v>2023</v>
      </c>
      <c r="E3879" s="78">
        <f t="shared" si="588"/>
        <v>5</v>
      </c>
      <c r="F3879" s="74" t="s">
        <v>36</v>
      </c>
      <c r="G3879" s="77">
        <v>18770.000000000011</v>
      </c>
      <c r="H3879" s="77">
        <v>18920.000000000011</v>
      </c>
      <c r="I3879" s="76">
        <v>0.1</v>
      </c>
    </row>
    <row r="3880" spans="3:9" x14ac:dyDescent="0.35">
      <c r="C3880" t="s">
        <v>312</v>
      </c>
      <c r="D3880" s="3">
        <v>2023</v>
      </c>
      <c r="E3880" s="78">
        <f t="shared" si="588"/>
        <v>5</v>
      </c>
      <c r="F3880" s="74" t="s">
        <v>36</v>
      </c>
      <c r="G3880" s="77">
        <v>18920.000000000011</v>
      </c>
      <c r="H3880" s="77"/>
      <c r="I3880" s="76">
        <v>0</v>
      </c>
    </row>
    <row r="3881" spans="3:9" x14ac:dyDescent="0.35">
      <c r="C3881" t="s">
        <v>312</v>
      </c>
      <c r="D3881" s="3">
        <v>2023</v>
      </c>
      <c r="E3881" s="73">
        <v>6</v>
      </c>
      <c r="F3881" s="74" t="s">
        <v>36</v>
      </c>
      <c r="G3881" s="77">
        <v>0</v>
      </c>
      <c r="H3881" s="77">
        <v>20140.000000000015</v>
      </c>
      <c r="I3881" s="76">
        <v>1</v>
      </c>
    </row>
    <row r="3882" spans="3:9" x14ac:dyDescent="0.35">
      <c r="C3882" t="s">
        <v>312</v>
      </c>
      <c r="D3882" s="3">
        <v>2023</v>
      </c>
      <c r="E3882" s="78">
        <f>E3881</f>
        <v>6</v>
      </c>
      <c r="F3882" s="74" t="s">
        <v>36</v>
      </c>
      <c r="G3882" s="77">
        <v>20140.000000000015</v>
      </c>
      <c r="H3882" s="77">
        <v>20290.000000000015</v>
      </c>
      <c r="I3882" s="76">
        <v>0.9</v>
      </c>
    </row>
    <row r="3883" spans="3:9" x14ac:dyDescent="0.35">
      <c r="C3883" t="s">
        <v>312</v>
      </c>
      <c r="D3883" s="3">
        <v>2023</v>
      </c>
      <c r="E3883" s="78">
        <f t="shared" ref="E3883:E3891" si="589">E3882</f>
        <v>6</v>
      </c>
      <c r="F3883" s="74" t="s">
        <v>36</v>
      </c>
      <c r="G3883" s="77">
        <v>20290.000000000015</v>
      </c>
      <c r="H3883" s="77">
        <v>20440.000000000015</v>
      </c>
      <c r="I3883" s="76">
        <v>0.8</v>
      </c>
    </row>
    <row r="3884" spans="3:9" x14ac:dyDescent="0.35">
      <c r="C3884" t="s">
        <v>312</v>
      </c>
      <c r="D3884" s="3">
        <v>2023</v>
      </c>
      <c r="E3884" s="78">
        <f t="shared" si="589"/>
        <v>6</v>
      </c>
      <c r="F3884" s="74" t="s">
        <v>36</v>
      </c>
      <c r="G3884" s="77">
        <v>20440.000000000015</v>
      </c>
      <c r="H3884" s="77">
        <v>20590.000000000015</v>
      </c>
      <c r="I3884" s="76">
        <v>0.7</v>
      </c>
    </row>
    <row r="3885" spans="3:9" x14ac:dyDescent="0.35">
      <c r="C3885" t="s">
        <v>312</v>
      </c>
      <c r="D3885" s="3">
        <v>2023</v>
      </c>
      <c r="E3885" s="78">
        <f t="shared" si="589"/>
        <v>6</v>
      </c>
      <c r="F3885" s="74" t="s">
        <v>36</v>
      </c>
      <c r="G3885" s="77">
        <v>20590.000000000015</v>
      </c>
      <c r="H3885" s="77">
        <v>20740.000000000015</v>
      </c>
      <c r="I3885" s="76">
        <v>0.6</v>
      </c>
    </row>
    <row r="3886" spans="3:9" x14ac:dyDescent="0.35">
      <c r="C3886" t="s">
        <v>312</v>
      </c>
      <c r="D3886" s="3">
        <v>2023</v>
      </c>
      <c r="E3886" s="78">
        <f t="shared" si="589"/>
        <v>6</v>
      </c>
      <c r="F3886" s="74" t="s">
        <v>36</v>
      </c>
      <c r="G3886" s="77">
        <v>20740.000000000015</v>
      </c>
      <c r="H3886" s="77">
        <v>20890.000000000015</v>
      </c>
      <c r="I3886" s="76">
        <v>0.5</v>
      </c>
    </row>
    <row r="3887" spans="3:9" x14ac:dyDescent="0.35">
      <c r="C3887" t="s">
        <v>312</v>
      </c>
      <c r="D3887" s="3">
        <v>2023</v>
      </c>
      <c r="E3887" s="78">
        <f t="shared" si="589"/>
        <v>6</v>
      </c>
      <c r="F3887" s="74" t="s">
        <v>36</v>
      </c>
      <c r="G3887" s="77">
        <v>20890.000000000015</v>
      </c>
      <c r="H3887" s="77">
        <v>21040.000000000015</v>
      </c>
      <c r="I3887" s="76">
        <v>0.4</v>
      </c>
    </row>
    <row r="3888" spans="3:9" x14ac:dyDescent="0.35">
      <c r="C3888" t="s">
        <v>312</v>
      </c>
      <c r="D3888" s="3">
        <v>2023</v>
      </c>
      <c r="E3888" s="78">
        <f t="shared" si="589"/>
        <v>6</v>
      </c>
      <c r="F3888" s="74" t="s">
        <v>36</v>
      </c>
      <c r="G3888" s="77">
        <v>21040.000000000015</v>
      </c>
      <c r="H3888" s="77">
        <v>21190.000000000015</v>
      </c>
      <c r="I3888" s="76">
        <v>0.3</v>
      </c>
    </row>
    <row r="3889" spans="3:9" x14ac:dyDescent="0.35">
      <c r="C3889" t="s">
        <v>312</v>
      </c>
      <c r="D3889" s="3">
        <v>2023</v>
      </c>
      <c r="E3889" s="78">
        <f t="shared" si="589"/>
        <v>6</v>
      </c>
      <c r="F3889" s="74" t="s">
        <v>36</v>
      </c>
      <c r="G3889" s="77">
        <v>21190.000000000015</v>
      </c>
      <c r="H3889" s="77">
        <v>21340.000000000015</v>
      </c>
      <c r="I3889" s="76">
        <v>0.2</v>
      </c>
    </row>
    <row r="3890" spans="3:9" x14ac:dyDescent="0.35">
      <c r="C3890" t="s">
        <v>312</v>
      </c>
      <c r="D3890" s="3">
        <v>2023</v>
      </c>
      <c r="E3890" s="78">
        <f t="shared" si="589"/>
        <v>6</v>
      </c>
      <c r="F3890" s="74" t="s">
        <v>36</v>
      </c>
      <c r="G3890" s="77">
        <v>21340.000000000015</v>
      </c>
      <c r="H3890" s="77">
        <v>21490.000000000015</v>
      </c>
      <c r="I3890" s="76">
        <v>0.1</v>
      </c>
    </row>
    <row r="3891" spans="3:9" x14ac:dyDescent="0.35">
      <c r="C3891" t="s">
        <v>312</v>
      </c>
      <c r="D3891" s="3">
        <v>2023</v>
      </c>
      <c r="E3891" s="78">
        <f t="shared" si="589"/>
        <v>6</v>
      </c>
      <c r="F3891" s="74" t="s">
        <v>36</v>
      </c>
      <c r="G3891" s="77">
        <v>21490.000000000015</v>
      </c>
      <c r="H3891" s="77"/>
      <c r="I3891" s="76">
        <v>0</v>
      </c>
    </row>
    <row r="3892" spans="3:9" x14ac:dyDescent="0.35">
      <c r="C3892" t="s">
        <v>312</v>
      </c>
      <c r="D3892" s="3">
        <v>2023</v>
      </c>
      <c r="E3892" s="73">
        <v>7</v>
      </c>
      <c r="F3892" s="74" t="s">
        <v>36</v>
      </c>
      <c r="G3892" s="77">
        <v>0</v>
      </c>
      <c r="H3892" s="77">
        <v>22710.000000000015</v>
      </c>
      <c r="I3892" s="76">
        <v>1</v>
      </c>
    </row>
    <row r="3893" spans="3:9" x14ac:dyDescent="0.35">
      <c r="C3893" t="s">
        <v>312</v>
      </c>
      <c r="D3893" s="3">
        <v>2023</v>
      </c>
      <c r="E3893" s="78">
        <f>E3892</f>
        <v>7</v>
      </c>
      <c r="F3893" s="74" t="s">
        <v>36</v>
      </c>
      <c r="G3893" s="77">
        <v>22710.000000000015</v>
      </c>
      <c r="H3893" s="77">
        <v>22860.000000000015</v>
      </c>
      <c r="I3893" s="76">
        <v>0.9</v>
      </c>
    </row>
    <row r="3894" spans="3:9" x14ac:dyDescent="0.35">
      <c r="C3894" t="s">
        <v>312</v>
      </c>
      <c r="D3894" s="3">
        <v>2023</v>
      </c>
      <c r="E3894" s="78">
        <f t="shared" ref="E3894:E3902" si="590">E3893</f>
        <v>7</v>
      </c>
      <c r="F3894" s="74" t="s">
        <v>36</v>
      </c>
      <c r="G3894" s="77">
        <v>22860.000000000015</v>
      </c>
      <c r="H3894" s="77">
        <v>23010.000000000015</v>
      </c>
      <c r="I3894" s="76">
        <v>0.8</v>
      </c>
    </row>
    <row r="3895" spans="3:9" x14ac:dyDescent="0.35">
      <c r="C3895" t="s">
        <v>312</v>
      </c>
      <c r="D3895" s="3">
        <v>2023</v>
      </c>
      <c r="E3895" s="78">
        <f t="shared" si="590"/>
        <v>7</v>
      </c>
      <c r="F3895" s="74" t="s">
        <v>36</v>
      </c>
      <c r="G3895" s="77">
        <v>23010.000000000015</v>
      </c>
      <c r="H3895" s="77">
        <v>23160.000000000015</v>
      </c>
      <c r="I3895" s="76">
        <v>0.7</v>
      </c>
    </row>
    <row r="3896" spans="3:9" x14ac:dyDescent="0.35">
      <c r="C3896" t="s">
        <v>312</v>
      </c>
      <c r="D3896" s="3">
        <v>2023</v>
      </c>
      <c r="E3896" s="78">
        <f t="shared" si="590"/>
        <v>7</v>
      </c>
      <c r="F3896" s="74" t="s">
        <v>36</v>
      </c>
      <c r="G3896" s="77">
        <v>23160.000000000015</v>
      </c>
      <c r="H3896" s="77">
        <v>23310.000000000015</v>
      </c>
      <c r="I3896" s="76">
        <v>0.6</v>
      </c>
    </row>
    <row r="3897" spans="3:9" x14ac:dyDescent="0.35">
      <c r="C3897" t="s">
        <v>312</v>
      </c>
      <c r="D3897" s="3">
        <v>2023</v>
      </c>
      <c r="E3897" s="78">
        <f t="shared" si="590"/>
        <v>7</v>
      </c>
      <c r="F3897" s="74" t="s">
        <v>36</v>
      </c>
      <c r="G3897" s="77">
        <v>23310.000000000015</v>
      </c>
      <c r="H3897" s="77">
        <v>23460.000000000015</v>
      </c>
      <c r="I3897" s="76">
        <v>0.5</v>
      </c>
    </row>
    <row r="3898" spans="3:9" x14ac:dyDescent="0.35">
      <c r="C3898" t="s">
        <v>312</v>
      </c>
      <c r="D3898" s="3">
        <v>2023</v>
      </c>
      <c r="E3898" s="78">
        <f t="shared" si="590"/>
        <v>7</v>
      </c>
      <c r="F3898" s="74" t="s">
        <v>36</v>
      </c>
      <c r="G3898" s="77">
        <v>23460.000000000015</v>
      </c>
      <c r="H3898" s="77">
        <v>23610.000000000015</v>
      </c>
      <c r="I3898" s="76">
        <v>0.4</v>
      </c>
    </row>
    <row r="3899" spans="3:9" x14ac:dyDescent="0.35">
      <c r="C3899" t="s">
        <v>312</v>
      </c>
      <c r="D3899" s="3">
        <v>2023</v>
      </c>
      <c r="E3899" s="78">
        <f t="shared" si="590"/>
        <v>7</v>
      </c>
      <c r="F3899" s="74" t="s">
        <v>36</v>
      </c>
      <c r="G3899" s="77">
        <v>23610.000000000015</v>
      </c>
      <c r="H3899" s="77">
        <v>23760.000000000015</v>
      </c>
      <c r="I3899" s="76">
        <v>0.3</v>
      </c>
    </row>
    <row r="3900" spans="3:9" x14ac:dyDescent="0.35">
      <c r="C3900" t="s">
        <v>312</v>
      </c>
      <c r="D3900" s="3">
        <v>2023</v>
      </c>
      <c r="E3900" s="78">
        <f t="shared" si="590"/>
        <v>7</v>
      </c>
      <c r="F3900" s="74" t="s">
        <v>36</v>
      </c>
      <c r="G3900" s="77">
        <v>23760.000000000015</v>
      </c>
      <c r="H3900" s="77">
        <v>23910.000000000015</v>
      </c>
      <c r="I3900" s="76">
        <v>0.2</v>
      </c>
    </row>
    <row r="3901" spans="3:9" x14ac:dyDescent="0.35">
      <c r="C3901" t="s">
        <v>312</v>
      </c>
      <c r="D3901" s="3">
        <v>2023</v>
      </c>
      <c r="E3901" s="78">
        <f t="shared" si="590"/>
        <v>7</v>
      </c>
      <c r="F3901" s="74" t="s">
        <v>36</v>
      </c>
      <c r="G3901" s="77">
        <v>23910.000000000015</v>
      </c>
      <c r="H3901" s="77">
        <v>24060.000000000015</v>
      </c>
      <c r="I3901" s="76">
        <v>0.1</v>
      </c>
    </row>
    <row r="3902" spans="3:9" x14ac:dyDescent="0.35">
      <c r="C3902" t="s">
        <v>312</v>
      </c>
      <c r="D3902" s="3">
        <v>2023</v>
      </c>
      <c r="E3902" s="78">
        <f t="shared" si="590"/>
        <v>7</v>
      </c>
      <c r="F3902" s="74" t="s">
        <v>36</v>
      </c>
      <c r="G3902" s="77">
        <v>24060.000000000015</v>
      </c>
      <c r="H3902" s="77"/>
      <c r="I3902" s="76">
        <v>0</v>
      </c>
    </row>
    <row r="3903" spans="3:9" x14ac:dyDescent="0.35">
      <c r="C3903" t="s">
        <v>312</v>
      </c>
      <c r="D3903" s="3">
        <v>2023</v>
      </c>
      <c r="E3903" s="73">
        <v>8</v>
      </c>
      <c r="F3903" s="74" t="s">
        <v>36</v>
      </c>
      <c r="G3903" s="77">
        <v>0</v>
      </c>
      <c r="H3903" s="77">
        <v>25280.000000000018</v>
      </c>
      <c r="I3903" s="76">
        <v>1</v>
      </c>
    </row>
    <row r="3904" spans="3:9" x14ac:dyDescent="0.35">
      <c r="C3904" t="s">
        <v>312</v>
      </c>
      <c r="D3904" s="3">
        <v>2023</v>
      </c>
      <c r="E3904" s="78">
        <f>E3903</f>
        <v>8</v>
      </c>
      <c r="F3904" s="74" t="s">
        <v>36</v>
      </c>
      <c r="G3904" s="77">
        <v>25280.000000000018</v>
      </c>
      <c r="H3904" s="77">
        <v>25430.000000000018</v>
      </c>
      <c r="I3904" s="76">
        <v>0.9</v>
      </c>
    </row>
    <row r="3905" spans="3:9" x14ac:dyDescent="0.35">
      <c r="C3905" t="s">
        <v>312</v>
      </c>
      <c r="D3905" s="3">
        <v>2023</v>
      </c>
      <c r="E3905" s="78">
        <f t="shared" ref="E3905:E3913" si="591">E3904</f>
        <v>8</v>
      </c>
      <c r="F3905" s="74" t="s">
        <v>36</v>
      </c>
      <c r="G3905" s="77">
        <v>25430.000000000018</v>
      </c>
      <c r="H3905" s="77">
        <v>25580.000000000018</v>
      </c>
      <c r="I3905" s="76">
        <v>0.8</v>
      </c>
    </row>
    <row r="3906" spans="3:9" x14ac:dyDescent="0.35">
      <c r="C3906" t="s">
        <v>312</v>
      </c>
      <c r="D3906" s="3">
        <v>2023</v>
      </c>
      <c r="E3906" s="78">
        <f t="shared" si="591"/>
        <v>8</v>
      </c>
      <c r="F3906" s="74" t="s">
        <v>36</v>
      </c>
      <c r="G3906" s="77">
        <v>25580.000000000018</v>
      </c>
      <c r="H3906" s="77">
        <v>25730.000000000018</v>
      </c>
      <c r="I3906" s="76">
        <v>0.7</v>
      </c>
    </row>
    <row r="3907" spans="3:9" x14ac:dyDescent="0.35">
      <c r="C3907" t="s">
        <v>312</v>
      </c>
      <c r="D3907" s="3">
        <v>2023</v>
      </c>
      <c r="E3907" s="78">
        <f t="shared" si="591"/>
        <v>8</v>
      </c>
      <c r="F3907" s="74" t="s">
        <v>36</v>
      </c>
      <c r="G3907" s="77">
        <v>25730.000000000018</v>
      </c>
      <c r="H3907" s="77">
        <v>25880.000000000018</v>
      </c>
      <c r="I3907" s="76">
        <v>0.6</v>
      </c>
    </row>
    <row r="3908" spans="3:9" x14ac:dyDescent="0.35">
      <c r="C3908" t="s">
        <v>312</v>
      </c>
      <c r="D3908" s="3">
        <v>2023</v>
      </c>
      <c r="E3908" s="78">
        <f t="shared" si="591"/>
        <v>8</v>
      </c>
      <c r="F3908" s="74" t="s">
        <v>36</v>
      </c>
      <c r="G3908" s="77">
        <v>25880.000000000018</v>
      </c>
      <c r="H3908" s="77">
        <v>26030.000000000018</v>
      </c>
      <c r="I3908" s="76">
        <v>0.5</v>
      </c>
    </row>
    <row r="3909" spans="3:9" x14ac:dyDescent="0.35">
      <c r="C3909" t="s">
        <v>312</v>
      </c>
      <c r="D3909" s="3">
        <v>2023</v>
      </c>
      <c r="E3909" s="78">
        <f t="shared" si="591"/>
        <v>8</v>
      </c>
      <c r="F3909" s="74" t="s">
        <v>36</v>
      </c>
      <c r="G3909" s="77">
        <v>26030.000000000018</v>
      </c>
      <c r="H3909" s="77">
        <v>26180.000000000018</v>
      </c>
      <c r="I3909" s="76">
        <v>0.4</v>
      </c>
    </row>
    <row r="3910" spans="3:9" x14ac:dyDescent="0.35">
      <c r="C3910" t="s">
        <v>312</v>
      </c>
      <c r="D3910" s="3">
        <v>2023</v>
      </c>
      <c r="E3910" s="78">
        <f t="shared" si="591"/>
        <v>8</v>
      </c>
      <c r="F3910" s="74" t="s">
        <v>36</v>
      </c>
      <c r="G3910" s="77">
        <v>26180.000000000018</v>
      </c>
      <c r="H3910" s="77">
        <v>26330.000000000018</v>
      </c>
      <c r="I3910" s="76">
        <v>0.3</v>
      </c>
    </row>
    <row r="3911" spans="3:9" x14ac:dyDescent="0.35">
      <c r="C3911" t="s">
        <v>312</v>
      </c>
      <c r="D3911" s="3">
        <v>2023</v>
      </c>
      <c r="E3911" s="78">
        <f t="shared" si="591"/>
        <v>8</v>
      </c>
      <c r="F3911" s="74" t="s">
        <v>36</v>
      </c>
      <c r="G3911" s="77">
        <v>26330.000000000018</v>
      </c>
      <c r="H3911" s="77">
        <v>26480.000000000018</v>
      </c>
      <c r="I3911" s="76">
        <v>0.2</v>
      </c>
    </row>
    <row r="3912" spans="3:9" x14ac:dyDescent="0.35">
      <c r="C3912" t="s">
        <v>312</v>
      </c>
      <c r="D3912" s="3">
        <v>2023</v>
      </c>
      <c r="E3912" s="78">
        <f t="shared" si="591"/>
        <v>8</v>
      </c>
      <c r="F3912" s="74" t="s">
        <v>36</v>
      </c>
      <c r="G3912" s="77">
        <v>26480.000000000018</v>
      </c>
      <c r="H3912" s="77">
        <v>26630.000000000018</v>
      </c>
      <c r="I3912" s="76">
        <v>0.1</v>
      </c>
    </row>
    <row r="3913" spans="3:9" x14ac:dyDescent="0.35">
      <c r="C3913" t="s">
        <v>312</v>
      </c>
      <c r="D3913" s="3">
        <v>2023</v>
      </c>
      <c r="E3913" s="78">
        <f t="shared" si="591"/>
        <v>8</v>
      </c>
      <c r="F3913" s="74" t="s">
        <v>36</v>
      </c>
      <c r="G3913" s="77">
        <v>26630.000000000018</v>
      </c>
      <c r="H3913" s="77"/>
      <c r="I3913" s="76">
        <v>0</v>
      </c>
    </row>
    <row r="3914" spans="3:9" x14ac:dyDescent="0.35">
      <c r="C3914" t="s">
        <v>312</v>
      </c>
      <c r="D3914" s="3">
        <v>2023</v>
      </c>
      <c r="E3914" s="73">
        <v>9</v>
      </c>
      <c r="F3914" s="74" t="s">
        <v>36</v>
      </c>
      <c r="G3914" s="77">
        <v>0</v>
      </c>
      <c r="H3914" s="75">
        <v>27850.000000000022</v>
      </c>
      <c r="I3914" s="76">
        <v>1</v>
      </c>
    </row>
    <row r="3915" spans="3:9" x14ac:dyDescent="0.35">
      <c r="C3915" t="s">
        <v>312</v>
      </c>
      <c r="D3915" s="3">
        <v>2023</v>
      </c>
      <c r="E3915" s="78">
        <f>E3914</f>
        <v>9</v>
      </c>
      <c r="F3915" s="74" t="s">
        <v>36</v>
      </c>
      <c r="G3915" s="77">
        <v>27850.000000000022</v>
      </c>
      <c r="H3915" s="77">
        <v>28000.000000000022</v>
      </c>
      <c r="I3915" s="76">
        <v>0.9</v>
      </c>
    </row>
    <row r="3916" spans="3:9" x14ac:dyDescent="0.35">
      <c r="C3916" t="s">
        <v>312</v>
      </c>
      <c r="D3916" s="3">
        <v>2023</v>
      </c>
      <c r="E3916" s="78">
        <f t="shared" ref="E3916:E3924" si="592">E3915</f>
        <v>9</v>
      </c>
      <c r="F3916" s="74" t="s">
        <v>36</v>
      </c>
      <c r="G3916" s="77">
        <v>28000.000000000022</v>
      </c>
      <c r="H3916" s="77">
        <v>28150.000000000022</v>
      </c>
      <c r="I3916" s="76">
        <v>0.8</v>
      </c>
    </row>
    <row r="3917" spans="3:9" x14ac:dyDescent="0.35">
      <c r="C3917" t="s">
        <v>312</v>
      </c>
      <c r="D3917" s="3">
        <v>2023</v>
      </c>
      <c r="E3917" s="78">
        <f t="shared" si="592"/>
        <v>9</v>
      </c>
      <c r="F3917" s="74" t="s">
        <v>36</v>
      </c>
      <c r="G3917" s="77">
        <v>28150.000000000022</v>
      </c>
      <c r="H3917" s="77">
        <v>28300.000000000022</v>
      </c>
      <c r="I3917" s="76">
        <v>0.7</v>
      </c>
    </row>
    <row r="3918" spans="3:9" x14ac:dyDescent="0.35">
      <c r="C3918" t="s">
        <v>312</v>
      </c>
      <c r="D3918" s="3">
        <v>2023</v>
      </c>
      <c r="E3918" s="78">
        <f t="shared" si="592"/>
        <v>9</v>
      </c>
      <c r="F3918" s="74" t="s">
        <v>36</v>
      </c>
      <c r="G3918" s="77">
        <v>28300.000000000022</v>
      </c>
      <c r="H3918" s="77">
        <v>28450.000000000022</v>
      </c>
      <c r="I3918" s="76">
        <v>0.6</v>
      </c>
    </row>
    <row r="3919" spans="3:9" x14ac:dyDescent="0.35">
      <c r="C3919" t="s">
        <v>312</v>
      </c>
      <c r="D3919" s="3">
        <v>2023</v>
      </c>
      <c r="E3919" s="78">
        <f t="shared" si="592"/>
        <v>9</v>
      </c>
      <c r="F3919" s="74" t="s">
        <v>36</v>
      </c>
      <c r="G3919" s="77">
        <v>28450.000000000022</v>
      </c>
      <c r="H3919" s="77">
        <v>28600.000000000022</v>
      </c>
      <c r="I3919" s="76">
        <v>0.5</v>
      </c>
    </row>
    <row r="3920" spans="3:9" x14ac:dyDescent="0.35">
      <c r="C3920" t="s">
        <v>312</v>
      </c>
      <c r="D3920" s="3">
        <v>2023</v>
      </c>
      <c r="E3920" s="78">
        <f t="shared" si="592"/>
        <v>9</v>
      </c>
      <c r="F3920" s="74" t="s">
        <v>36</v>
      </c>
      <c r="G3920" s="77">
        <v>28600.000000000022</v>
      </c>
      <c r="H3920" s="77">
        <v>28750.000000000022</v>
      </c>
      <c r="I3920" s="76">
        <v>0.4</v>
      </c>
    </row>
    <row r="3921" spans="3:9" x14ac:dyDescent="0.35">
      <c r="C3921" t="s">
        <v>312</v>
      </c>
      <c r="D3921" s="3">
        <v>2023</v>
      </c>
      <c r="E3921" s="78">
        <f t="shared" si="592"/>
        <v>9</v>
      </c>
      <c r="F3921" s="74" t="s">
        <v>36</v>
      </c>
      <c r="G3921" s="77">
        <v>28750.000000000022</v>
      </c>
      <c r="H3921" s="77">
        <v>28900.000000000022</v>
      </c>
      <c r="I3921" s="76">
        <v>0.3</v>
      </c>
    </row>
    <row r="3922" spans="3:9" x14ac:dyDescent="0.35">
      <c r="C3922" t="s">
        <v>312</v>
      </c>
      <c r="D3922" s="3">
        <v>2023</v>
      </c>
      <c r="E3922" s="78">
        <f t="shared" si="592"/>
        <v>9</v>
      </c>
      <c r="F3922" s="74" t="s">
        <v>36</v>
      </c>
      <c r="G3922" s="77">
        <v>28900.000000000022</v>
      </c>
      <c r="H3922" s="77">
        <v>29050.000000000022</v>
      </c>
      <c r="I3922" s="76">
        <v>0.2</v>
      </c>
    </row>
    <row r="3923" spans="3:9" x14ac:dyDescent="0.35">
      <c r="C3923" t="s">
        <v>312</v>
      </c>
      <c r="D3923" s="3">
        <v>2023</v>
      </c>
      <c r="E3923" s="78">
        <f t="shared" si="592"/>
        <v>9</v>
      </c>
      <c r="F3923" s="74" t="s">
        <v>36</v>
      </c>
      <c r="G3923" s="77">
        <v>29050.000000000022</v>
      </c>
      <c r="H3923" s="77">
        <v>29200.000000000022</v>
      </c>
      <c r="I3923" s="76">
        <v>0.1</v>
      </c>
    </row>
    <row r="3924" spans="3:9" x14ac:dyDescent="0.35">
      <c r="C3924" t="s">
        <v>312</v>
      </c>
      <c r="D3924" s="3">
        <v>2023</v>
      </c>
      <c r="E3924" s="78">
        <f t="shared" si="592"/>
        <v>9</v>
      </c>
      <c r="F3924" s="74" t="s">
        <v>36</v>
      </c>
      <c r="G3924" s="77">
        <v>29200.000000000022</v>
      </c>
      <c r="H3924" s="77"/>
      <c r="I3924" s="76">
        <v>0</v>
      </c>
    </row>
    <row r="3925" spans="3:9" x14ac:dyDescent="0.35">
      <c r="C3925" t="s">
        <v>312</v>
      </c>
      <c r="D3925" s="3">
        <v>2023</v>
      </c>
      <c r="E3925" s="73">
        <v>10</v>
      </c>
      <c r="F3925" s="74" t="s">
        <v>36</v>
      </c>
      <c r="G3925" s="77">
        <v>0</v>
      </c>
      <c r="H3925" s="75">
        <v>30420.000000000022</v>
      </c>
      <c r="I3925" s="76">
        <v>1</v>
      </c>
    </row>
    <row r="3926" spans="3:9" x14ac:dyDescent="0.35">
      <c r="C3926" t="s">
        <v>312</v>
      </c>
      <c r="D3926" s="3">
        <v>2023</v>
      </c>
      <c r="E3926" s="78">
        <f>E3925</f>
        <v>10</v>
      </c>
      <c r="F3926" s="74" t="s">
        <v>36</v>
      </c>
      <c r="G3926" s="77">
        <v>30420.000000000022</v>
      </c>
      <c r="H3926" s="77">
        <v>30570.000000000022</v>
      </c>
      <c r="I3926" s="76">
        <v>0.9</v>
      </c>
    </row>
    <row r="3927" spans="3:9" x14ac:dyDescent="0.35">
      <c r="C3927" t="s">
        <v>312</v>
      </c>
      <c r="D3927" s="3">
        <v>2023</v>
      </c>
      <c r="E3927" s="78">
        <f t="shared" ref="E3927:E3935" si="593">E3926</f>
        <v>10</v>
      </c>
      <c r="F3927" s="74" t="s">
        <v>36</v>
      </c>
      <c r="G3927" s="77">
        <v>30570.000000000022</v>
      </c>
      <c r="H3927" s="77">
        <v>30720.000000000022</v>
      </c>
      <c r="I3927" s="76">
        <v>0.8</v>
      </c>
    </row>
    <row r="3928" spans="3:9" x14ac:dyDescent="0.35">
      <c r="C3928" t="s">
        <v>312</v>
      </c>
      <c r="D3928" s="3">
        <v>2023</v>
      </c>
      <c r="E3928" s="78">
        <f t="shared" si="593"/>
        <v>10</v>
      </c>
      <c r="F3928" s="74" t="s">
        <v>36</v>
      </c>
      <c r="G3928" s="77">
        <v>30720.000000000022</v>
      </c>
      <c r="H3928" s="77">
        <v>30870.000000000022</v>
      </c>
      <c r="I3928" s="76">
        <v>0.7</v>
      </c>
    </row>
    <row r="3929" spans="3:9" x14ac:dyDescent="0.35">
      <c r="C3929" t="s">
        <v>312</v>
      </c>
      <c r="D3929" s="3">
        <v>2023</v>
      </c>
      <c r="E3929" s="78">
        <f t="shared" si="593"/>
        <v>10</v>
      </c>
      <c r="F3929" s="74" t="s">
        <v>36</v>
      </c>
      <c r="G3929" s="77">
        <v>30870.000000000022</v>
      </c>
      <c r="H3929" s="77">
        <v>31020.000000000022</v>
      </c>
      <c r="I3929" s="76">
        <v>0.6</v>
      </c>
    </row>
    <row r="3930" spans="3:9" x14ac:dyDescent="0.35">
      <c r="C3930" t="s">
        <v>312</v>
      </c>
      <c r="D3930" s="3">
        <v>2023</v>
      </c>
      <c r="E3930" s="78">
        <f t="shared" si="593"/>
        <v>10</v>
      </c>
      <c r="F3930" s="74" t="s">
        <v>36</v>
      </c>
      <c r="G3930" s="77">
        <v>31020.000000000022</v>
      </c>
      <c r="H3930" s="77">
        <v>31170.000000000022</v>
      </c>
      <c r="I3930" s="76">
        <v>0.5</v>
      </c>
    </row>
    <row r="3931" spans="3:9" x14ac:dyDescent="0.35">
      <c r="C3931" t="s">
        <v>312</v>
      </c>
      <c r="D3931" s="3">
        <v>2023</v>
      </c>
      <c r="E3931" s="78">
        <f t="shared" si="593"/>
        <v>10</v>
      </c>
      <c r="F3931" s="74" t="s">
        <v>36</v>
      </c>
      <c r="G3931" s="77">
        <v>31170.000000000022</v>
      </c>
      <c r="H3931" s="77">
        <v>31320.000000000022</v>
      </c>
      <c r="I3931" s="76">
        <v>0.4</v>
      </c>
    </row>
    <row r="3932" spans="3:9" x14ac:dyDescent="0.35">
      <c r="C3932" t="s">
        <v>312</v>
      </c>
      <c r="D3932" s="3">
        <v>2023</v>
      </c>
      <c r="E3932" s="78">
        <f t="shared" si="593"/>
        <v>10</v>
      </c>
      <c r="F3932" s="74" t="s">
        <v>36</v>
      </c>
      <c r="G3932" s="77">
        <v>31320.000000000022</v>
      </c>
      <c r="H3932" s="77">
        <v>31470.000000000022</v>
      </c>
      <c r="I3932" s="76">
        <v>0.3</v>
      </c>
    </row>
    <row r="3933" spans="3:9" x14ac:dyDescent="0.35">
      <c r="C3933" t="s">
        <v>312</v>
      </c>
      <c r="D3933" s="3">
        <v>2023</v>
      </c>
      <c r="E3933" s="78">
        <f t="shared" si="593"/>
        <v>10</v>
      </c>
      <c r="F3933" s="74" t="s">
        <v>36</v>
      </c>
      <c r="G3933" s="77">
        <v>31470.000000000022</v>
      </c>
      <c r="H3933" s="77">
        <v>31620.000000000022</v>
      </c>
      <c r="I3933" s="76">
        <v>0.2</v>
      </c>
    </row>
    <row r="3934" spans="3:9" x14ac:dyDescent="0.35">
      <c r="C3934" t="s">
        <v>312</v>
      </c>
      <c r="D3934" s="3">
        <v>2023</v>
      </c>
      <c r="E3934" s="78">
        <f t="shared" si="593"/>
        <v>10</v>
      </c>
      <c r="F3934" s="74" t="s">
        <v>36</v>
      </c>
      <c r="G3934" s="77">
        <v>31620.000000000022</v>
      </c>
      <c r="H3934" s="77">
        <v>31770.000000000022</v>
      </c>
      <c r="I3934" s="76">
        <v>0.1</v>
      </c>
    </row>
    <row r="3935" spans="3:9" x14ac:dyDescent="0.35">
      <c r="C3935" t="s">
        <v>312</v>
      </c>
      <c r="D3935" s="3">
        <v>2023</v>
      </c>
      <c r="E3935" s="78">
        <f t="shared" si="593"/>
        <v>10</v>
      </c>
      <c r="F3935" s="74" t="s">
        <v>36</v>
      </c>
      <c r="G3935" s="77">
        <v>31770.000000000022</v>
      </c>
      <c r="H3935" s="77"/>
      <c r="I3935" s="76">
        <v>0</v>
      </c>
    </row>
    <row r="3937" spans="2:10" x14ac:dyDescent="0.35">
      <c r="B3937" s="2" t="s">
        <v>147</v>
      </c>
    </row>
    <row r="3940" spans="2:10" x14ac:dyDescent="0.35">
      <c r="B3940" s="2" t="s">
        <v>148</v>
      </c>
    </row>
    <row r="3941" spans="2:10" x14ac:dyDescent="0.35">
      <c r="C3941" s="25" t="s">
        <v>5</v>
      </c>
      <c r="D3941" s="25" t="s">
        <v>53</v>
      </c>
      <c r="E3941" s="26" t="s">
        <v>84</v>
      </c>
      <c r="F3941" s="26" t="s">
        <v>253</v>
      </c>
      <c r="G3941" s="26" t="s">
        <v>89</v>
      </c>
      <c r="H3941" s="26" t="s">
        <v>149</v>
      </c>
      <c r="I3941" s="27" t="s">
        <v>150</v>
      </c>
      <c r="J3941" s="26" t="s">
        <v>151</v>
      </c>
    </row>
    <row r="3942" spans="2:10" x14ac:dyDescent="0.35">
      <c r="C3942" t="s">
        <v>11</v>
      </c>
      <c r="D3942" t="s">
        <v>40</v>
      </c>
      <c r="E3942" s="3" t="s">
        <v>85</v>
      </c>
      <c r="F3942" s="3">
        <v>2018</v>
      </c>
      <c r="G3942" s="12">
        <v>0</v>
      </c>
      <c r="H3942" s="12">
        <v>1000</v>
      </c>
      <c r="I3942" s="28">
        <v>0.02</v>
      </c>
      <c r="J3942" s="12">
        <v>0</v>
      </c>
    </row>
    <row r="3943" spans="2:10" x14ac:dyDescent="0.35">
      <c r="C3943" t="s">
        <v>11</v>
      </c>
      <c r="D3943" t="s">
        <v>40</v>
      </c>
      <c r="E3943" s="3" t="s">
        <v>87</v>
      </c>
      <c r="F3943" s="3">
        <v>2018</v>
      </c>
      <c r="G3943" s="12">
        <v>1000</v>
      </c>
      <c r="H3943" s="12">
        <v>6000</v>
      </c>
      <c r="I3943" s="28">
        <v>0.04</v>
      </c>
      <c r="J3943" s="12">
        <v>20</v>
      </c>
    </row>
    <row r="3944" spans="2:10" x14ac:dyDescent="0.35">
      <c r="C3944" t="s">
        <v>11</v>
      </c>
      <c r="D3944" t="s">
        <v>40</v>
      </c>
      <c r="E3944" s="3" t="s">
        <v>88</v>
      </c>
      <c r="F3944" s="3">
        <v>2018</v>
      </c>
      <c r="G3944" s="12">
        <v>6000</v>
      </c>
      <c r="H3944" s="12"/>
      <c r="I3944" s="28">
        <v>0.05</v>
      </c>
      <c r="J3944" s="12">
        <v>220</v>
      </c>
    </row>
    <row r="3945" spans="2:10" x14ac:dyDescent="0.35">
      <c r="C3945" t="s">
        <v>11</v>
      </c>
      <c r="D3945" t="s">
        <v>39</v>
      </c>
      <c r="E3945" s="3" t="s">
        <v>85</v>
      </c>
      <c r="F3945" s="3">
        <v>2018</v>
      </c>
      <c r="G3945" s="12">
        <v>0</v>
      </c>
      <c r="H3945" s="12">
        <v>500</v>
      </c>
      <c r="I3945" s="28">
        <v>0.02</v>
      </c>
      <c r="J3945" s="12">
        <v>0</v>
      </c>
    </row>
    <row r="3946" spans="2:10" x14ac:dyDescent="0.35">
      <c r="C3946" t="s">
        <v>11</v>
      </c>
      <c r="D3946" t="s">
        <v>39</v>
      </c>
      <c r="E3946" s="3" t="s">
        <v>87</v>
      </c>
      <c r="F3946" s="3">
        <v>2018</v>
      </c>
      <c r="G3946" s="12">
        <v>500</v>
      </c>
      <c r="H3946" s="12">
        <v>3000</v>
      </c>
      <c r="I3946" s="28">
        <v>0.04</v>
      </c>
      <c r="J3946" s="12">
        <v>10</v>
      </c>
    </row>
    <row r="3947" spans="2:10" x14ac:dyDescent="0.35">
      <c r="C3947" t="s">
        <v>11</v>
      </c>
      <c r="D3947" t="s">
        <v>39</v>
      </c>
      <c r="E3947" s="3" t="s">
        <v>88</v>
      </c>
      <c r="F3947" s="3">
        <v>2018</v>
      </c>
      <c r="G3947" s="12">
        <v>3000</v>
      </c>
      <c r="H3947" s="12"/>
      <c r="I3947" s="28">
        <v>0.05</v>
      </c>
      <c r="J3947" s="12">
        <v>110</v>
      </c>
    </row>
    <row r="3948" spans="2:10" x14ac:dyDescent="0.35">
      <c r="C3948" t="s">
        <v>11</v>
      </c>
      <c r="D3948" t="s">
        <v>33</v>
      </c>
      <c r="E3948" s="3" t="s">
        <v>85</v>
      </c>
      <c r="F3948" s="3">
        <v>2018</v>
      </c>
      <c r="G3948" s="12">
        <v>0</v>
      </c>
      <c r="H3948" s="12">
        <v>500</v>
      </c>
      <c r="I3948" s="28">
        <v>0.02</v>
      </c>
      <c r="J3948" s="12">
        <v>0</v>
      </c>
    </row>
    <row r="3949" spans="2:10" x14ac:dyDescent="0.35">
      <c r="C3949" t="s">
        <v>11</v>
      </c>
      <c r="D3949" t="s">
        <v>33</v>
      </c>
      <c r="E3949" s="3" t="s">
        <v>87</v>
      </c>
      <c r="F3949" s="3">
        <v>2018</v>
      </c>
      <c r="G3949" s="12">
        <v>500</v>
      </c>
      <c r="H3949" s="12">
        <v>3000</v>
      </c>
      <c r="I3949" s="28">
        <v>0.04</v>
      </c>
      <c r="J3949" s="12">
        <v>10</v>
      </c>
    </row>
    <row r="3950" spans="2:10" x14ac:dyDescent="0.35">
      <c r="C3950" t="s">
        <v>11</v>
      </c>
      <c r="D3950" t="s">
        <v>33</v>
      </c>
      <c r="E3950" s="3" t="s">
        <v>88</v>
      </c>
      <c r="F3950" s="3">
        <v>2018</v>
      </c>
      <c r="G3950" s="12">
        <v>3000</v>
      </c>
      <c r="H3950" s="12"/>
      <c r="I3950" s="28">
        <v>0.05</v>
      </c>
      <c r="J3950" s="12">
        <v>110</v>
      </c>
    </row>
    <row r="3951" spans="2:10" x14ac:dyDescent="0.35">
      <c r="C3951" t="s">
        <v>11</v>
      </c>
      <c r="D3951" t="s">
        <v>36</v>
      </c>
      <c r="E3951" s="3" t="s">
        <v>85</v>
      </c>
      <c r="F3951" s="3">
        <v>2018</v>
      </c>
      <c r="G3951" s="12">
        <v>0</v>
      </c>
      <c r="H3951" s="12">
        <v>500</v>
      </c>
      <c r="I3951" s="28">
        <v>0.02</v>
      </c>
      <c r="J3951" s="12">
        <v>0</v>
      </c>
    </row>
    <row r="3952" spans="2:10" x14ac:dyDescent="0.35">
      <c r="C3952" t="s">
        <v>11</v>
      </c>
      <c r="D3952" t="s">
        <v>36</v>
      </c>
      <c r="E3952" s="3" t="s">
        <v>87</v>
      </c>
      <c r="F3952" s="3">
        <v>2018</v>
      </c>
      <c r="G3952" s="12">
        <v>500</v>
      </c>
      <c r="H3952" s="12">
        <v>3000</v>
      </c>
      <c r="I3952" s="28">
        <v>0.04</v>
      </c>
      <c r="J3952" s="12">
        <v>10</v>
      </c>
    </row>
    <row r="3953" spans="3:10" x14ac:dyDescent="0.35">
      <c r="C3953" t="s">
        <v>11</v>
      </c>
      <c r="D3953" t="s">
        <v>36</v>
      </c>
      <c r="E3953" s="3" t="s">
        <v>88</v>
      </c>
      <c r="F3953" s="3">
        <v>2018</v>
      </c>
      <c r="G3953" s="12">
        <v>3000</v>
      </c>
      <c r="H3953" s="12"/>
      <c r="I3953" s="28">
        <v>0.05</v>
      </c>
      <c r="J3953" s="12">
        <v>110</v>
      </c>
    </row>
    <row r="3954" spans="3:10" x14ac:dyDescent="0.35">
      <c r="C3954" t="s">
        <v>11</v>
      </c>
      <c r="D3954" t="s">
        <v>40</v>
      </c>
      <c r="E3954" s="3" t="s">
        <v>85</v>
      </c>
      <c r="F3954" s="3">
        <v>2019</v>
      </c>
      <c r="G3954" s="12">
        <v>0</v>
      </c>
      <c r="H3954" s="12">
        <v>1000</v>
      </c>
      <c r="I3954" s="28">
        <v>0.02</v>
      </c>
      <c r="J3954" s="12">
        <v>0</v>
      </c>
    </row>
    <row r="3955" spans="3:10" x14ac:dyDescent="0.35">
      <c r="C3955" t="s">
        <v>11</v>
      </c>
      <c r="D3955" t="s">
        <v>40</v>
      </c>
      <c r="E3955" s="3" t="s">
        <v>87</v>
      </c>
      <c r="F3955" s="3">
        <v>2019</v>
      </c>
      <c r="G3955" s="12">
        <v>1000</v>
      </c>
      <c r="H3955" s="12">
        <v>6000</v>
      </c>
      <c r="I3955" s="28">
        <v>0.04</v>
      </c>
      <c r="J3955" s="12">
        <v>20</v>
      </c>
    </row>
    <row r="3956" spans="3:10" x14ac:dyDescent="0.35">
      <c r="C3956" t="s">
        <v>11</v>
      </c>
      <c r="D3956" t="s">
        <v>40</v>
      </c>
      <c r="E3956" s="3" t="s">
        <v>88</v>
      </c>
      <c r="F3956" s="3">
        <v>2019</v>
      </c>
      <c r="G3956" s="12">
        <v>6000</v>
      </c>
      <c r="H3956" s="12"/>
      <c r="I3956" s="28">
        <v>0.05</v>
      </c>
      <c r="J3956" s="12">
        <v>220</v>
      </c>
    </row>
    <row r="3957" spans="3:10" x14ac:dyDescent="0.35">
      <c r="C3957" t="s">
        <v>11</v>
      </c>
      <c r="D3957" t="s">
        <v>39</v>
      </c>
      <c r="E3957" s="3" t="s">
        <v>85</v>
      </c>
      <c r="F3957" s="3">
        <v>2019</v>
      </c>
      <c r="G3957" s="12">
        <v>0</v>
      </c>
      <c r="H3957" s="12">
        <v>500</v>
      </c>
      <c r="I3957" s="28">
        <v>0.02</v>
      </c>
      <c r="J3957" s="12">
        <v>0</v>
      </c>
    </row>
    <row r="3958" spans="3:10" x14ac:dyDescent="0.35">
      <c r="C3958" t="s">
        <v>11</v>
      </c>
      <c r="D3958" t="s">
        <v>39</v>
      </c>
      <c r="E3958" s="3" t="s">
        <v>87</v>
      </c>
      <c r="F3958" s="3">
        <v>2019</v>
      </c>
      <c r="G3958" s="12">
        <v>500</v>
      </c>
      <c r="H3958" s="12">
        <v>3000</v>
      </c>
      <c r="I3958" s="28">
        <v>0.04</v>
      </c>
      <c r="J3958" s="12">
        <v>10</v>
      </c>
    </row>
    <row r="3959" spans="3:10" x14ac:dyDescent="0.35">
      <c r="C3959" t="s">
        <v>11</v>
      </c>
      <c r="D3959" t="s">
        <v>39</v>
      </c>
      <c r="E3959" s="3" t="s">
        <v>88</v>
      </c>
      <c r="F3959" s="3">
        <v>2019</v>
      </c>
      <c r="G3959" s="12">
        <v>3000</v>
      </c>
      <c r="H3959" s="12"/>
      <c r="I3959" s="28">
        <v>0.05</v>
      </c>
      <c r="J3959" s="12">
        <v>110</v>
      </c>
    </row>
    <row r="3960" spans="3:10" x14ac:dyDescent="0.35">
      <c r="C3960" t="s">
        <v>11</v>
      </c>
      <c r="D3960" t="s">
        <v>33</v>
      </c>
      <c r="E3960" s="3" t="s">
        <v>85</v>
      </c>
      <c r="F3960" s="3">
        <v>2019</v>
      </c>
      <c r="G3960" s="12">
        <v>0</v>
      </c>
      <c r="H3960" s="12">
        <v>500</v>
      </c>
      <c r="I3960" s="28">
        <v>0.02</v>
      </c>
      <c r="J3960" s="12">
        <v>0</v>
      </c>
    </row>
    <row r="3961" spans="3:10" x14ac:dyDescent="0.35">
      <c r="C3961" t="s">
        <v>11</v>
      </c>
      <c r="D3961" t="s">
        <v>33</v>
      </c>
      <c r="E3961" s="3" t="s">
        <v>87</v>
      </c>
      <c r="F3961" s="3">
        <v>2019</v>
      </c>
      <c r="G3961" s="12">
        <v>500</v>
      </c>
      <c r="H3961" s="12">
        <v>3000</v>
      </c>
      <c r="I3961" s="28">
        <v>0.04</v>
      </c>
      <c r="J3961" s="12">
        <v>10</v>
      </c>
    </row>
    <row r="3962" spans="3:10" x14ac:dyDescent="0.35">
      <c r="C3962" t="s">
        <v>11</v>
      </c>
      <c r="D3962" t="s">
        <v>33</v>
      </c>
      <c r="E3962" s="3" t="s">
        <v>88</v>
      </c>
      <c r="F3962" s="3">
        <v>2019</v>
      </c>
      <c r="G3962" s="12">
        <v>3000</v>
      </c>
      <c r="H3962" s="12"/>
      <c r="I3962" s="28">
        <v>0.05</v>
      </c>
      <c r="J3962" s="12">
        <v>110</v>
      </c>
    </row>
    <row r="3963" spans="3:10" x14ac:dyDescent="0.35">
      <c r="C3963" t="s">
        <v>11</v>
      </c>
      <c r="D3963" t="s">
        <v>36</v>
      </c>
      <c r="E3963" s="3" t="s">
        <v>85</v>
      </c>
      <c r="F3963" s="3">
        <v>2019</v>
      </c>
      <c r="G3963" s="12">
        <v>0</v>
      </c>
      <c r="H3963" s="12">
        <v>500</v>
      </c>
      <c r="I3963" s="28">
        <v>0.02</v>
      </c>
      <c r="J3963" s="12">
        <v>0</v>
      </c>
    </row>
    <row r="3964" spans="3:10" x14ac:dyDescent="0.35">
      <c r="C3964" t="s">
        <v>11</v>
      </c>
      <c r="D3964" t="s">
        <v>36</v>
      </c>
      <c r="E3964" s="3" t="s">
        <v>87</v>
      </c>
      <c r="F3964" s="3">
        <v>2019</v>
      </c>
      <c r="G3964" s="12">
        <v>500</v>
      </c>
      <c r="H3964" s="12">
        <v>3000</v>
      </c>
      <c r="I3964" s="28">
        <v>0.04</v>
      </c>
      <c r="J3964" s="12">
        <v>10</v>
      </c>
    </row>
    <row r="3965" spans="3:10" x14ac:dyDescent="0.35">
      <c r="C3965" t="s">
        <v>11</v>
      </c>
      <c r="D3965" t="s">
        <v>36</v>
      </c>
      <c r="E3965" s="3" t="s">
        <v>88</v>
      </c>
      <c r="F3965" s="3">
        <v>2019</v>
      </c>
      <c r="G3965" s="12">
        <v>3000</v>
      </c>
      <c r="H3965" s="12"/>
      <c r="I3965" s="28">
        <v>0.05</v>
      </c>
      <c r="J3965" s="12">
        <v>110</v>
      </c>
    </row>
    <row r="3966" spans="3:10" x14ac:dyDescent="0.35">
      <c r="C3966" t="s">
        <v>11</v>
      </c>
      <c r="D3966" t="s">
        <v>40</v>
      </c>
      <c r="E3966" s="3" t="s">
        <v>85</v>
      </c>
      <c r="F3966" s="3">
        <v>2020</v>
      </c>
      <c r="G3966" s="12">
        <v>0</v>
      </c>
      <c r="H3966" s="12">
        <v>1000</v>
      </c>
      <c r="I3966" s="28">
        <v>0.02</v>
      </c>
      <c r="J3966" s="12">
        <v>0</v>
      </c>
    </row>
    <row r="3967" spans="3:10" x14ac:dyDescent="0.35">
      <c r="C3967" t="s">
        <v>11</v>
      </c>
      <c r="D3967" t="s">
        <v>40</v>
      </c>
      <c r="E3967" s="3" t="s">
        <v>87</v>
      </c>
      <c r="F3967" s="3">
        <v>2020</v>
      </c>
      <c r="G3967" s="12">
        <v>1000</v>
      </c>
      <c r="H3967" s="12">
        <v>6000</v>
      </c>
      <c r="I3967" s="28">
        <v>0.04</v>
      </c>
      <c r="J3967" s="12">
        <v>20</v>
      </c>
    </row>
    <row r="3968" spans="3:10" x14ac:dyDescent="0.35">
      <c r="C3968" t="s">
        <v>11</v>
      </c>
      <c r="D3968" t="s">
        <v>40</v>
      </c>
      <c r="E3968" s="3" t="s">
        <v>88</v>
      </c>
      <c r="F3968" s="3">
        <v>2020</v>
      </c>
      <c r="G3968" s="12">
        <v>6000</v>
      </c>
      <c r="H3968" s="12"/>
      <c r="I3968" s="28">
        <v>0.05</v>
      </c>
      <c r="J3968" s="12">
        <v>220</v>
      </c>
    </row>
    <row r="3969" spans="3:10" x14ac:dyDescent="0.35">
      <c r="C3969" t="s">
        <v>11</v>
      </c>
      <c r="D3969" t="s">
        <v>39</v>
      </c>
      <c r="E3969" s="3" t="s">
        <v>85</v>
      </c>
      <c r="F3969" s="3">
        <v>2020</v>
      </c>
      <c r="G3969" s="12">
        <v>0</v>
      </c>
      <c r="H3969" s="12">
        <v>500</v>
      </c>
      <c r="I3969" s="28">
        <v>0.02</v>
      </c>
      <c r="J3969" s="12">
        <v>0</v>
      </c>
    </row>
    <row r="3970" spans="3:10" x14ac:dyDescent="0.35">
      <c r="C3970" t="s">
        <v>11</v>
      </c>
      <c r="D3970" t="s">
        <v>39</v>
      </c>
      <c r="E3970" s="3" t="s">
        <v>87</v>
      </c>
      <c r="F3970" s="3">
        <v>2020</v>
      </c>
      <c r="G3970" s="12">
        <v>500</v>
      </c>
      <c r="H3970" s="12">
        <v>3000</v>
      </c>
      <c r="I3970" s="28">
        <v>0.04</v>
      </c>
      <c r="J3970" s="12">
        <v>10</v>
      </c>
    </row>
    <row r="3971" spans="3:10" x14ac:dyDescent="0.35">
      <c r="C3971" t="s">
        <v>11</v>
      </c>
      <c r="D3971" t="s">
        <v>39</v>
      </c>
      <c r="E3971" s="3" t="s">
        <v>88</v>
      </c>
      <c r="F3971" s="3">
        <v>2020</v>
      </c>
      <c r="G3971" s="12">
        <v>3000</v>
      </c>
      <c r="H3971" s="12"/>
      <c r="I3971" s="28">
        <v>0.05</v>
      </c>
      <c r="J3971" s="12">
        <v>110</v>
      </c>
    </row>
    <row r="3972" spans="3:10" x14ac:dyDescent="0.35">
      <c r="C3972" t="s">
        <v>11</v>
      </c>
      <c r="D3972" t="s">
        <v>33</v>
      </c>
      <c r="E3972" s="3" t="s">
        <v>85</v>
      </c>
      <c r="F3972" s="3">
        <v>2020</v>
      </c>
      <c r="G3972" s="12">
        <v>0</v>
      </c>
      <c r="H3972" s="12">
        <v>500</v>
      </c>
      <c r="I3972" s="28">
        <v>0.02</v>
      </c>
      <c r="J3972" s="12">
        <v>0</v>
      </c>
    </row>
    <row r="3973" spans="3:10" x14ac:dyDescent="0.35">
      <c r="C3973" t="s">
        <v>11</v>
      </c>
      <c r="D3973" t="s">
        <v>33</v>
      </c>
      <c r="E3973" s="3" t="s">
        <v>87</v>
      </c>
      <c r="F3973" s="3">
        <v>2020</v>
      </c>
      <c r="G3973" s="12">
        <v>500</v>
      </c>
      <c r="H3973" s="12">
        <v>3000</v>
      </c>
      <c r="I3973" s="28">
        <v>0.04</v>
      </c>
      <c r="J3973" s="12">
        <v>10</v>
      </c>
    </row>
    <row r="3974" spans="3:10" x14ac:dyDescent="0.35">
      <c r="C3974" t="s">
        <v>11</v>
      </c>
      <c r="D3974" t="s">
        <v>33</v>
      </c>
      <c r="E3974" s="3" t="s">
        <v>88</v>
      </c>
      <c r="F3974" s="3">
        <v>2020</v>
      </c>
      <c r="G3974" s="12">
        <v>3000</v>
      </c>
      <c r="H3974" s="12"/>
      <c r="I3974" s="28">
        <v>0.05</v>
      </c>
      <c r="J3974" s="12">
        <v>110</v>
      </c>
    </row>
    <row r="3975" spans="3:10" x14ac:dyDescent="0.35">
      <c r="C3975" t="s">
        <v>11</v>
      </c>
      <c r="D3975" t="s">
        <v>36</v>
      </c>
      <c r="E3975" s="3" t="s">
        <v>85</v>
      </c>
      <c r="F3975" s="3">
        <v>2020</v>
      </c>
      <c r="G3975" s="12">
        <v>0</v>
      </c>
      <c r="H3975" s="12">
        <v>500</v>
      </c>
      <c r="I3975" s="28">
        <v>0.02</v>
      </c>
      <c r="J3975" s="12">
        <v>0</v>
      </c>
    </row>
    <row r="3976" spans="3:10" x14ac:dyDescent="0.35">
      <c r="C3976" t="s">
        <v>11</v>
      </c>
      <c r="D3976" t="s">
        <v>36</v>
      </c>
      <c r="E3976" s="3" t="s">
        <v>87</v>
      </c>
      <c r="F3976" s="3">
        <v>2020</v>
      </c>
      <c r="G3976" s="12">
        <v>500</v>
      </c>
      <c r="H3976" s="12">
        <v>3000</v>
      </c>
      <c r="I3976" s="28">
        <v>0.04</v>
      </c>
      <c r="J3976" s="12">
        <v>10</v>
      </c>
    </row>
    <row r="3977" spans="3:10" x14ac:dyDescent="0.35">
      <c r="C3977" t="s">
        <v>11</v>
      </c>
      <c r="D3977" t="s">
        <v>36</v>
      </c>
      <c r="E3977" s="3" t="s">
        <v>88</v>
      </c>
      <c r="F3977" s="3">
        <v>2020</v>
      </c>
      <c r="G3977" s="12">
        <v>3000</v>
      </c>
      <c r="H3977" s="12"/>
      <c r="I3977" s="28">
        <v>0.05</v>
      </c>
      <c r="J3977" s="12">
        <v>110</v>
      </c>
    </row>
    <row r="3978" spans="3:10" x14ac:dyDescent="0.35">
      <c r="C3978" t="s">
        <v>11</v>
      </c>
      <c r="D3978" t="s">
        <v>40</v>
      </c>
      <c r="E3978" s="3" t="s">
        <v>85</v>
      </c>
      <c r="F3978" s="3">
        <v>2021</v>
      </c>
      <c r="G3978" s="12">
        <v>0</v>
      </c>
      <c r="H3978" s="12">
        <v>1000</v>
      </c>
      <c r="I3978" s="28">
        <v>0.02</v>
      </c>
      <c r="J3978" s="12">
        <v>0</v>
      </c>
    </row>
    <row r="3979" spans="3:10" x14ac:dyDescent="0.35">
      <c r="C3979" t="s">
        <v>11</v>
      </c>
      <c r="D3979" t="s">
        <v>40</v>
      </c>
      <c r="E3979" s="3" t="s">
        <v>87</v>
      </c>
      <c r="F3979" s="3">
        <v>2021</v>
      </c>
      <c r="G3979" s="12">
        <v>1000</v>
      </c>
      <c r="H3979" s="12">
        <v>6000</v>
      </c>
      <c r="I3979" s="28">
        <v>0.04</v>
      </c>
      <c r="J3979" s="12">
        <v>20</v>
      </c>
    </row>
    <row r="3980" spans="3:10" x14ac:dyDescent="0.35">
      <c r="C3980" t="s">
        <v>11</v>
      </c>
      <c r="D3980" t="s">
        <v>40</v>
      </c>
      <c r="E3980" s="3" t="s">
        <v>88</v>
      </c>
      <c r="F3980" s="3">
        <v>2021</v>
      </c>
      <c r="G3980" s="12">
        <v>6000</v>
      </c>
      <c r="H3980" s="12"/>
      <c r="I3980" s="28">
        <v>0.05</v>
      </c>
      <c r="J3980" s="12">
        <v>220</v>
      </c>
    </row>
    <row r="3981" spans="3:10" x14ac:dyDescent="0.35">
      <c r="C3981" t="s">
        <v>11</v>
      </c>
      <c r="D3981" t="s">
        <v>39</v>
      </c>
      <c r="E3981" s="3" t="s">
        <v>85</v>
      </c>
      <c r="F3981" s="3">
        <v>2021</v>
      </c>
      <c r="G3981" s="12">
        <v>0</v>
      </c>
      <c r="H3981" s="12">
        <v>500</v>
      </c>
      <c r="I3981" s="28">
        <v>0.02</v>
      </c>
      <c r="J3981" s="12">
        <v>0</v>
      </c>
    </row>
    <row r="3982" spans="3:10" x14ac:dyDescent="0.35">
      <c r="C3982" t="s">
        <v>11</v>
      </c>
      <c r="D3982" t="s">
        <v>39</v>
      </c>
      <c r="E3982" s="3" t="s">
        <v>87</v>
      </c>
      <c r="F3982" s="3">
        <v>2021</v>
      </c>
      <c r="G3982" s="12">
        <v>500</v>
      </c>
      <c r="H3982" s="12">
        <v>3000</v>
      </c>
      <c r="I3982" s="28">
        <v>0.04</v>
      </c>
      <c r="J3982" s="12">
        <v>10</v>
      </c>
    </row>
    <row r="3983" spans="3:10" x14ac:dyDescent="0.35">
      <c r="C3983" t="s">
        <v>11</v>
      </c>
      <c r="D3983" t="s">
        <v>39</v>
      </c>
      <c r="E3983" s="3" t="s">
        <v>88</v>
      </c>
      <c r="F3983" s="3">
        <v>2021</v>
      </c>
      <c r="G3983" s="12">
        <v>3000</v>
      </c>
      <c r="H3983" s="12"/>
      <c r="I3983" s="28">
        <v>0.05</v>
      </c>
      <c r="J3983" s="12">
        <v>110</v>
      </c>
    </row>
    <row r="3984" spans="3:10" x14ac:dyDescent="0.35">
      <c r="C3984" t="s">
        <v>11</v>
      </c>
      <c r="D3984" t="s">
        <v>33</v>
      </c>
      <c r="E3984" s="3" t="s">
        <v>85</v>
      </c>
      <c r="F3984" s="3">
        <v>2021</v>
      </c>
      <c r="G3984" s="12">
        <v>0</v>
      </c>
      <c r="H3984" s="12">
        <v>500</v>
      </c>
      <c r="I3984" s="28">
        <v>0.02</v>
      </c>
      <c r="J3984" s="12">
        <v>0</v>
      </c>
    </row>
    <row r="3985" spans="3:10" x14ac:dyDescent="0.35">
      <c r="C3985" t="s">
        <v>11</v>
      </c>
      <c r="D3985" t="s">
        <v>33</v>
      </c>
      <c r="E3985" s="3" t="s">
        <v>87</v>
      </c>
      <c r="F3985" s="3">
        <v>2021</v>
      </c>
      <c r="G3985" s="12">
        <v>500</v>
      </c>
      <c r="H3985" s="12">
        <v>3000</v>
      </c>
      <c r="I3985" s="28">
        <v>0.04</v>
      </c>
      <c r="J3985" s="12">
        <v>10</v>
      </c>
    </row>
    <row r="3986" spans="3:10" x14ac:dyDescent="0.35">
      <c r="C3986" t="s">
        <v>11</v>
      </c>
      <c r="D3986" t="s">
        <v>33</v>
      </c>
      <c r="E3986" s="3" t="s">
        <v>88</v>
      </c>
      <c r="F3986" s="3">
        <v>2021</v>
      </c>
      <c r="G3986" s="12">
        <v>3000</v>
      </c>
      <c r="H3986" s="12"/>
      <c r="I3986" s="28">
        <v>0.05</v>
      </c>
      <c r="J3986" s="12">
        <v>110</v>
      </c>
    </row>
    <row r="3987" spans="3:10" x14ac:dyDescent="0.35">
      <c r="C3987" t="s">
        <v>11</v>
      </c>
      <c r="D3987" t="s">
        <v>36</v>
      </c>
      <c r="E3987" s="3" t="s">
        <v>85</v>
      </c>
      <c r="F3987" s="3">
        <v>2021</v>
      </c>
      <c r="G3987" s="12">
        <v>0</v>
      </c>
      <c r="H3987" s="12">
        <v>500</v>
      </c>
      <c r="I3987" s="28">
        <v>0.02</v>
      </c>
      <c r="J3987" s="12">
        <v>0</v>
      </c>
    </row>
    <row r="3988" spans="3:10" x14ac:dyDescent="0.35">
      <c r="C3988" t="s">
        <v>11</v>
      </c>
      <c r="D3988" t="s">
        <v>36</v>
      </c>
      <c r="E3988" s="3" t="s">
        <v>87</v>
      </c>
      <c r="F3988" s="3">
        <v>2021</v>
      </c>
      <c r="G3988" s="12">
        <v>500</v>
      </c>
      <c r="H3988" s="12">
        <v>3000</v>
      </c>
      <c r="I3988" s="28">
        <v>0.04</v>
      </c>
      <c r="J3988" s="12">
        <v>10</v>
      </c>
    </row>
    <row r="3989" spans="3:10" x14ac:dyDescent="0.35">
      <c r="C3989" t="s">
        <v>11</v>
      </c>
      <c r="D3989" t="s">
        <v>36</v>
      </c>
      <c r="E3989" s="3" t="s">
        <v>88</v>
      </c>
      <c r="F3989" s="3">
        <v>2021</v>
      </c>
      <c r="G3989" s="12">
        <v>3000</v>
      </c>
      <c r="H3989" s="12"/>
      <c r="I3989" s="28">
        <v>0.05</v>
      </c>
      <c r="J3989" s="12">
        <v>110</v>
      </c>
    </row>
    <row r="3990" spans="3:10" x14ac:dyDescent="0.35">
      <c r="C3990" t="s">
        <v>11</v>
      </c>
      <c r="D3990" t="s">
        <v>40</v>
      </c>
      <c r="E3990" s="3" t="s">
        <v>85</v>
      </c>
      <c r="F3990" s="3">
        <v>2022</v>
      </c>
      <c r="G3990" s="12">
        <v>0</v>
      </c>
      <c r="H3990" s="12">
        <v>1000</v>
      </c>
      <c r="I3990" s="28">
        <v>0.02</v>
      </c>
      <c r="J3990" s="12">
        <v>0</v>
      </c>
    </row>
    <row r="3991" spans="3:10" x14ac:dyDescent="0.35">
      <c r="C3991" t="s">
        <v>11</v>
      </c>
      <c r="D3991" t="s">
        <v>40</v>
      </c>
      <c r="E3991" s="3" t="s">
        <v>87</v>
      </c>
      <c r="F3991" s="3">
        <v>2022</v>
      </c>
      <c r="G3991" s="12">
        <v>1000</v>
      </c>
      <c r="H3991" s="12">
        <v>6000</v>
      </c>
      <c r="I3991" s="28">
        <v>0.04</v>
      </c>
      <c r="J3991" s="12">
        <v>20</v>
      </c>
    </row>
    <row r="3992" spans="3:10" x14ac:dyDescent="0.35">
      <c r="C3992" t="s">
        <v>11</v>
      </c>
      <c r="D3992" t="s">
        <v>40</v>
      </c>
      <c r="E3992" s="3" t="s">
        <v>88</v>
      </c>
      <c r="F3992" s="3">
        <v>2022</v>
      </c>
      <c r="G3992" s="12">
        <v>6000</v>
      </c>
      <c r="H3992" s="12"/>
      <c r="I3992" s="28">
        <v>0.05</v>
      </c>
      <c r="J3992" s="12">
        <v>220</v>
      </c>
    </row>
    <row r="3993" spans="3:10" x14ac:dyDescent="0.35">
      <c r="C3993" t="s">
        <v>11</v>
      </c>
      <c r="D3993" t="s">
        <v>39</v>
      </c>
      <c r="E3993" s="3" t="s">
        <v>85</v>
      </c>
      <c r="F3993" s="3">
        <v>2022</v>
      </c>
      <c r="G3993" s="12">
        <v>0</v>
      </c>
      <c r="H3993" s="12">
        <v>500</v>
      </c>
      <c r="I3993" s="28">
        <v>0.02</v>
      </c>
      <c r="J3993" s="12">
        <v>0</v>
      </c>
    </row>
    <row r="3994" spans="3:10" x14ac:dyDescent="0.35">
      <c r="C3994" t="s">
        <v>11</v>
      </c>
      <c r="D3994" t="s">
        <v>39</v>
      </c>
      <c r="E3994" s="3" t="s">
        <v>87</v>
      </c>
      <c r="F3994" s="3">
        <v>2022</v>
      </c>
      <c r="G3994" s="12">
        <v>500</v>
      </c>
      <c r="H3994" s="12">
        <v>3000</v>
      </c>
      <c r="I3994" s="28">
        <v>0.04</v>
      </c>
      <c r="J3994" s="12">
        <v>10</v>
      </c>
    </row>
    <row r="3995" spans="3:10" x14ac:dyDescent="0.35">
      <c r="C3995" t="s">
        <v>11</v>
      </c>
      <c r="D3995" t="s">
        <v>39</v>
      </c>
      <c r="E3995" s="3" t="s">
        <v>88</v>
      </c>
      <c r="F3995" s="3">
        <v>2022</v>
      </c>
      <c r="G3995" s="12">
        <v>3000</v>
      </c>
      <c r="H3995" s="12"/>
      <c r="I3995" s="28">
        <v>0.05</v>
      </c>
      <c r="J3995" s="12">
        <v>110</v>
      </c>
    </row>
    <row r="3996" spans="3:10" x14ac:dyDescent="0.35">
      <c r="C3996" t="s">
        <v>11</v>
      </c>
      <c r="D3996" t="s">
        <v>33</v>
      </c>
      <c r="E3996" s="3" t="s">
        <v>85</v>
      </c>
      <c r="F3996" s="3">
        <v>2022</v>
      </c>
      <c r="G3996" s="12">
        <v>0</v>
      </c>
      <c r="H3996" s="12">
        <v>500</v>
      </c>
      <c r="I3996" s="28">
        <v>0.02</v>
      </c>
      <c r="J3996" s="12">
        <v>0</v>
      </c>
    </row>
    <row r="3997" spans="3:10" x14ac:dyDescent="0.35">
      <c r="C3997" t="s">
        <v>11</v>
      </c>
      <c r="D3997" t="s">
        <v>33</v>
      </c>
      <c r="E3997" s="3" t="s">
        <v>87</v>
      </c>
      <c r="F3997" s="3">
        <v>2022</v>
      </c>
      <c r="G3997" s="12">
        <v>500</v>
      </c>
      <c r="H3997" s="12">
        <v>3000</v>
      </c>
      <c r="I3997" s="28">
        <v>0.04</v>
      </c>
      <c r="J3997" s="12">
        <v>10</v>
      </c>
    </row>
    <row r="3998" spans="3:10" x14ac:dyDescent="0.35">
      <c r="C3998" t="s">
        <v>11</v>
      </c>
      <c r="D3998" t="s">
        <v>33</v>
      </c>
      <c r="E3998" s="3" t="s">
        <v>88</v>
      </c>
      <c r="F3998" s="3">
        <v>2022</v>
      </c>
      <c r="G3998" s="12">
        <v>3000</v>
      </c>
      <c r="H3998" s="12"/>
      <c r="I3998" s="28">
        <v>0.05</v>
      </c>
      <c r="J3998" s="12">
        <v>110</v>
      </c>
    </row>
    <row r="3999" spans="3:10" x14ac:dyDescent="0.35">
      <c r="C3999" t="s">
        <v>11</v>
      </c>
      <c r="D3999" t="s">
        <v>36</v>
      </c>
      <c r="E3999" s="3" t="s">
        <v>85</v>
      </c>
      <c r="F3999" s="3">
        <v>2022</v>
      </c>
      <c r="G3999" s="12">
        <v>0</v>
      </c>
      <c r="H3999" s="12">
        <v>500</v>
      </c>
      <c r="I3999" s="28">
        <v>0.02</v>
      </c>
      <c r="J3999" s="12">
        <v>0</v>
      </c>
    </row>
    <row r="4000" spans="3:10" x14ac:dyDescent="0.35">
      <c r="C4000" t="s">
        <v>11</v>
      </c>
      <c r="D4000" t="s">
        <v>36</v>
      </c>
      <c r="E4000" s="3" t="s">
        <v>87</v>
      </c>
      <c r="F4000" s="3">
        <v>2022</v>
      </c>
      <c r="G4000" s="12">
        <v>500</v>
      </c>
      <c r="H4000" s="12">
        <v>3000</v>
      </c>
      <c r="I4000" s="28">
        <v>0.04</v>
      </c>
      <c r="J4000" s="12">
        <v>10</v>
      </c>
    </row>
    <row r="4001" spans="3:10" x14ac:dyDescent="0.35">
      <c r="C4001" t="s">
        <v>11</v>
      </c>
      <c r="D4001" t="s">
        <v>36</v>
      </c>
      <c r="E4001" s="3" t="s">
        <v>88</v>
      </c>
      <c r="F4001" s="3">
        <v>2022</v>
      </c>
      <c r="G4001" s="12">
        <v>3000</v>
      </c>
      <c r="H4001" s="12"/>
      <c r="I4001" s="28">
        <v>0.05</v>
      </c>
      <c r="J4001" s="12">
        <v>110</v>
      </c>
    </row>
    <row r="4002" spans="3:10" x14ac:dyDescent="0.35">
      <c r="C4002" t="s">
        <v>11</v>
      </c>
      <c r="D4002" t="s">
        <v>40</v>
      </c>
      <c r="E4002" s="3" t="s">
        <v>85</v>
      </c>
      <c r="F4002" s="3">
        <v>2023</v>
      </c>
      <c r="G4002" s="12">
        <v>0</v>
      </c>
      <c r="H4002" s="12">
        <v>1000</v>
      </c>
      <c r="I4002" s="28">
        <v>0.02</v>
      </c>
      <c r="J4002" s="12">
        <v>0</v>
      </c>
    </row>
    <row r="4003" spans="3:10" x14ac:dyDescent="0.35">
      <c r="C4003" t="s">
        <v>11</v>
      </c>
      <c r="D4003" t="s">
        <v>40</v>
      </c>
      <c r="E4003" s="3" t="s">
        <v>87</v>
      </c>
      <c r="F4003" s="3">
        <v>2023</v>
      </c>
      <c r="G4003" s="12">
        <v>1000</v>
      </c>
      <c r="H4003" s="12">
        <v>6000</v>
      </c>
      <c r="I4003" s="28">
        <v>0.04</v>
      </c>
      <c r="J4003" s="12">
        <v>20</v>
      </c>
    </row>
    <row r="4004" spans="3:10" x14ac:dyDescent="0.35">
      <c r="C4004" t="s">
        <v>11</v>
      </c>
      <c r="D4004" t="s">
        <v>40</v>
      </c>
      <c r="E4004" s="3" t="s">
        <v>88</v>
      </c>
      <c r="F4004" s="3">
        <v>2023</v>
      </c>
      <c r="G4004" s="12">
        <v>6000</v>
      </c>
      <c r="H4004" s="12"/>
      <c r="I4004" s="28">
        <v>0.05</v>
      </c>
      <c r="J4004" s="12">
        <v>220</v>
      </c>
    </row>
    <row r="4005" spans="3:10" x14ac:dyDescent="0.35">
      <c r="C4005" t="s">
        <v>11</v>
      </c>
      <c r="D4005" t="s">
        <v>39</v>
      </c>
      <c r="E4005" s="3" t="s">
        <v>85</v>
      </c>
      <c r="F4005" s="3">
        <v>2023</v>
      </c>
      <c r="G4005" s="12">
        <v>0</v>
      </c>
      <c r="H4005" s="12">
        <v>500</v>
      </c>
      <c r="I4005" s="28">
        <v>0.02</v>
      </c>
      <c r="J4005" s="12">
        <v>0</v>
      </c>
    </row>
    <row r="4006" spans="3:10" x14ac:dyDescent="0.35">
      <c r="C4006" t="s">
        <v>11</v>
      </c>
      <c r="D4006" t="s">
        <v>39</v>
      </c>
      <c r="E4006" s="3" t="s">
        <v>87</v>
      </c>
      <c r="F4006" s="3">
        <v>2023</v>
      </c>
      <c r="G4006" s="12">
        <v>500</v>
      </c>
      <c r="H4006" s="12">
        <v>3000</v>
      </c>
      <c r="I4006" s="28">
        <v>0.04</v>
      </c>
      <c r="J4006" s="12">
        <v>10</v>
      </c>
    </row>
    <row r="4007" spans="3:10" x14ac:dyDescent="0.35">
      <c r="C4007" t="s">
        <v>11</v>
      </c>
      <c r="D4007" t="s">
        <v>39</v>
      </c>
      <c r="E4007" s="3" t="s">
        <v>88</v>
      </c>
      <c r="F4007" s="3">
        <v>2023</v>
      </c>
      <c r="G4007" s="12">
        <v>3000</v>
      </c>
      <c r="H4007" s="12"/>
      <c r="I4007" s="28">
        <v>0.05</v>
      </c>
      <c r="J4007" s="12">
        <v>110</v>
      </c>
    </row>
    <row r="4008" spans="3:10" x14ac:dyDescent="0.35">
      <c r="C4008" t="s">
        <v>11</v>
      </c>
      <c r="D4008" t="s">
        <v>33</v>
      </c>
      <c r="E4008" s="3" t="s">
        <v>85</v>
      </c>
      <c r="F4008" s="3">
        <v>2023</v>
      </c>
      <c r="G4008" s="12">
        <v>0</v>
      </c>
      <c r="H4008" s="12">
        <v>500</v>
      </c>
      <c r="I4008" s="28">
        <v>0.02</v>
      </c>
      <c r="J4008" s="12">
        <v>0</v>
      </c>
    </row>
    <row r="4009" spans="3:10" x14ac:dyDescent="0.35">
      <c r="C4009" t="s">
        <v>11</v>
      </c>
      <c r="D4009" t="s">
        <v>33</v>
      </c>
      <c r="E4009" s="3" t="s">
        <v>87</v>
      </c>
      <c r="F4009" s="3">
        <v>2023</v>
      </c>
      <c r="G4009" s="12">
        <v>500</v>
      </c>
      <c r="H4009" s="12">
        <v>3000</v>
      </c>
      <c r="I4009" s="28">
        <v>0.04</v>
      </c>
      <c r="J4009" s="12">
        <v>10</v>
      </c>
    </row>
    <row r="4010" spans="3:10" x14ac:dyDescent="0.35">
      <c r="C4010" t="s">
        <v>11</v>
      </c>
      <c r="D4010" t="s">
        <v>33</v>
      </c>
      <c r="E4010" s="3" t="s">
        <v>88</v>
      </c>
      <c r="F4010" s="3">
        <v>2023</v>
      </c>
      <c r="G4010" s="12">
        <v>3000</v>
      </c>
      <c r="H4010" s="12"/>
      <c r="I4010" s="28">
        <v>0.05</v>
      </c>
      <c r="J4010" s="12">
        <v>110</v>
      </c>
    </row>
    <row r="4011" spans="3:10" x14ac:dyDescent="0.35">
      <c r="C4011" t="s">
        <v>11</v>
      </c>
      <c r="D4011" t="s">
        <v>36</v>
      </c>
      <c r="E4011" s="3" t="s">
        <v>85</v>
      </c>
      <c r="F4011" s="3">
        <v>2023</v>
      </c>
      <c r="G4011" s="12">
        <v>0</v>
      </c>
      <c r="H4011" s="12">
        <v>500</v>
      </c>
      <c r="I4011" s="28">
        <v>0.02</v>
      </c>
      <c r="J4011" s="12">
        <v>0</v>
      </c>
    </row>
    <row r="4012" spans="3:10" x14ac:dyDescent="0.35">
      <c r="C4012" t="s">
        <v>11</v>
      </c>
      <c r="D4012" t="s">
        <v>36</v>
      </c>
      <c r="E4012" s="3" t="s">
        <v>87</v>
      </c>
      <c r="F4012" s="3">
        <v>2023</v>
      </c>
      <c r="G4012" s="12">
        <v>500</v>
      </c>
      <c r="H4012" s="12">
        <v>3000</v>
      </c>
      <c r="I4012" s="28">
        <v>0.04</v>
      </c>
      <c r="J4012" s="12">
        <v>10</v>
      </c>
    </row>
    <row r="4013" spans="3:10" x14ac:dyDescent="0.35">
      <c r="C4013" t="s">
        <v>11</v>
      </c>
      <c r="D4013" t="s">
        <v>36</v>
      </c>
      <c r="E4013" s="3" t="s">
        <v>88</v>
      </c>
      <c r="F4013" s="3">
        <v>2023</v>
      </c>
      <c r="G4013" s="12">
        <v>3000</v>
      </c>
      <c r="H4013" s="12"/>
      <c r="I4013" s="28">
        <v>0.05</v>
      </c>
      <c r="J4013" s="12">
        <v>110</v>
      </c>
    </row>
    <row r="4014" spans="3:10" x14ac:dyDescent="0.35">
      <c r="C4014" t="s">
        <v>12</v>
      </c>
      <c r="D4014" t="s">
        <v>33</v>
      </c>
      <c r="E4014" s="3" t="s">
        <v>85</v>
      </c>
      <c r="F4014" s="71">
        <v>2018</v>
      </c>
      <c r="G4014" s="12">
        <v>0</v>
      </c>
      <c r="H4014" s="12">
        <v>4599</v>
      </c>
      <c r="I4014" s="28">
        <v>0</v>
      </c>
      <c r="J4014" s="12">
        <v>0</v>
      </c>
    </row>
    <row r="4015" spans="3:10" x14ac:dyDescent="0.35">
      <c r="C4015" t="s">
        <v>12</v>
      </c>
      <c r="D4015" t="s">
        <v>33</v>
      </c>
      <c r="E4015" s="3" t="s">
        <v>87</v>
      </c>
      <c r="F4015" s="71">
        <v>2018</v>
      </c>
      <c r="G4015" s="12">
        <v>4599</v>
      </c>
      <c r="H4015" s="12">
        <v>9099</v>
      </c>
      <c r="I4015" s="28">
        <v>0.02</v>
      </c>
      <c r="J4015" s="12">
        <v>-91.98</v>
      </c>
    </row>
    <row r="4016" spans="3:10" x14ac:dyDescent="0.35">
      <c r="C4016" t="s">
        <v>12</v>
      </c>
      <c r="D4016" t="s">
        <v>33</v>
      </c>
      <c r="E4016" s="3" t="s">
        <v>88</v>
      </c>
      <c r="F4016" s="71">
        <v>2018</v>
      </c>
      <c r="G4016" s="12">
        <v>9099</v>
      </c>
      <c r="H4016" s="12">
        <v>13699</v>
      </c>
      <c r="I4016" s="28">
        <v>0.03</v>
      </c>
      <c r="J4016" s="12">
        <v>-182.97</v>
      </c>
    </row>
    <row r="4017" spans="3:10" x14ac:dyDescent="0.35">
      <c r="C4017" t="s">
        <v>12</v>
      </c>
      <c r="D4017" t="s">
        <v>33</v>
      </c>
      <c r="E4017" s="3" t="s">
        <v>105</v>
      </c>
      <c r="F4017" s="71">
        <v>2018</v>
      </c>
      <c r="G4017" s="12">
        <v>13699</v>
      </c>
      <c r="H4017" s="12">
        <v>22599</v>
      </c>
      <c r="I4017" s="28">
        <v>3.4000000000000002E-2</v>
      </c>
      <c r="J4017" s="12">
        <v>-237.77</v>
      </c>
    </row>
    <row r="4018" spans="3:10" x14ac:dyDescent="0.35">
      <c r="C4018" t="s">
        <v>12</v>
      </c>
      <c r="D4018" t="s">
        <v>33</v>
      </c>
      <c r="E4018" s="3" t="s">
        <v>106</v>
      </c>
      <c r="F4018" s="71">
        <v>2018</v>
      </c>
      <c r="G4018" s="12">
        <v>22599</v>
      </c>
      <c r="H4018" s="12">
        <v>37899</v>
      </c>
      <c r="I4018" s="28">
        <v>0.05</v>
      </c>
      <c r="J4018" s="12">
        <v>-421.46</v>
      </c>
    </row>
    <row r="4019" spans="3:10" x14ac:dyDescent="0.35">
      <c r="C4019" t="s">
        <v>12</v>
      </c>
      <c r="D4019" t="s">
        <v>33</v>
      </c>
      <c r="E4019" s="3" t="s">
        <v>107</v>
      </c>
      <c r="F4019" s="71">
        <v>2018</v>
      </c>
      <c r="G4019" s="12">
        <v>37899</v>
      </c>
      <c r="H4019" s="12">
        <v>80800</v>
      </c>
      <c r="I4019" s="28">
        <v>0.06</v>
      </c>
      <c r="J4019" s="12">
        <v>-800.45</v>
      </c>
    </row>
    <row r="4020" spans="3:10" x14ac:dyDescent="0.35">
      <c r="C4020" t="s">
        <v>12</v>
      </c>
      <c r="D4020" t="s">
        <v>33</v>
      </c>
      <c r="E4020" s="3" t="s">
        <v>108</v>
      </c>
      <c r="F4020" s="71">
        <v>2018</v>
      </c>
      <c r="G4020" s="12">
        <v>80800</v>
      </c>
      <c r="H4020" s="12">
        <v>81800</v>
      </c>
      <c r="I4020" s="28">
        <v>6.9000000000000006E-2</v>
      </c>
      <c r="J4020" s="12">
        <v>-1421.64</v>
      </c>
    </row>
    <row r="4021" spans="3:10" x14ac:dyDescent="0.35">
      <c r="C4021" t="s">
        <v>12</v>
      </c>
      <c r="D4021" t="s">
        <v>33</v>
      </c>
      <c r="E4021" s="3" t="s">
        <v>152</v>
      </c>
      <c r="F4021" s="71">
        <v>2018</v>
      </c>
      <c r="G4021" s="12">
        <v>81800</v>
      </c>
      <c r="H4021" s="12">
        <v>82800</v>
      </c>
      <c r="I4021" s="28">
        <v>6.9000000000000006E-2</v>
      </c>
      <c r="J4021" s="12">
        <v>-1321.64</v>
      </c>
    </row>
    <row r="4022" spans="3:10" x14ac:dyDescent="0.35">
      <c r="C4022" t="s">
        <v>12</v>
      </c>
      <c r="D4022" t="s">
        <v>33</v>
      </c>
      <c r="E4022" s="3" t="s">
        <v>153</v>
      </c>
      <c r="F4022" s="71">
        <v>2018</v>
      </c>
      <c r="G4022" s="12">
        <v>82800</v>
      </c>
      <c r="H4022" s="12">
        <v>84100</v>
      </c>
      <c r="I4022" s="28">
        <v>6.9000000000000006E-2</v>
      </c>
      <c r="J4022" s="12">
        <v>-1221.6400000000001</v>
      </c>
    </row>
    <row r="4023" spans="3:10" x14ac:dyDescent="0.35">
      <c r="C4023" t="s">
        <v>12</v>
      </c>
      <c r="D4023" t="s">
        <v>33</v>
      </c>
      <c r="E4023" s="3" t="s">
        <v>154</v>
      </c>
      <c r="F4023" s="71">
        <v>2018</v>
      </c>
      <c r="G4023" s="12">
        <v>84100</v>
      </c>
      <c r="H4023" s="12">
        <v>85200</v>
      </c>
      <c r="I4023" s="28">
        <v>6.9000000000000006E-2</v>
      </c>
      <c r="J4023" s="12">
        <v>-1121.6400000000001</v>
      </c>
    </row>
    <row r="4024" spans="3:10" x14ac:dyDescent="0.35">
      <c r="C4024" t="s">
        <v>12</v>
      </c>
      <c r="D4024" t="s">
        <v>33</v>
      </c>
      <c r="E4024" s="3" t="s">
        <v>155</v>
      </c>
      <c r="F4024" s="71">
        <v>2018</v>
      </c>
      <c r="G4024" s="12">
        <v>85200</v>
      </c>
      <c r="H4024" s="12">
        <v>86200</v>
      </c>
      <c r="I4024" s="28">
        <v>6.9000000000000006E-2</v>
      </c>
      <c r="J4024" s="12">
        <v>-1021.64</v>
      </c>
    </row>
    <row r="4025" spans="3:10" x14ac:dyDescent="0.35">
      <c r="C4025" t="s">
        <v>12</v>
      </c>
      <c r="D4025" t="s">
        <v>33</v>
      </c>
      <c r="E4025" s="3" t="s">
        <v>156</v>
      </c>
      <c r="F4025" s="71">
        <v>2018</v>
      </c>
      <c r="G4025" s="12">
        <v>86200</v>
      </c>
      <c r="H4025" s="12"/>
      <c r="I4025" s="28">
        <v>6.9000000000000006E-2</v>
      </c>
      <c r="J4025" s="12">
        <v>-981.64</v>
      </c>
    </row>
    <row r="4026" spans="3:10" x14ac:dyDescent="0.35">
      <c r="C4026" t="s">
        <v>12</v>
      </c>
      <c r="D4026" t="s">
        <v>40</v>
      </c>
      <c r="E4026" s="3" t="s">
        <v>85</v>
      </c>
      <c r="F4026" s="71">
        <v>2018</v>
      </c>
      <c r="G4026" s="12">
        <v>0</v>
      </c>
      <c r="H4026" s="12">
        <v>4599</v>
      </c>
      <c r="I4026" s="28">
        <v>0</v>
      </c>
      <c r="J4026" s="12">
        <v>0</v>
      </c>
    </row>
    <row r="4027" spans="3:10" x14ac:dyDescent="0.35">
      <c r="C4027" t="s">
        <v>12</v>
      </c>
      <c r="D4027" t="s">
        <v>40</v>
      </c>
      <c r="E4027" s="3" t="s">
        <v>87</v>
      </c>
      <c r="F4027" s="71">
        <v>2018</v>
      </c>
      <c r="G4027" s="12">
        <v>4599</v>
      </c>
      <c r="H4027" s="12">
        <v>9099</v>
      </c>
      <c r="I4027" s="28">
        <v>0.02</v>
      </c>
      <c r="J4027" s="12">
        <v>-91.98</v>
      </c>
    </row>
    <row r="4028" spans="3:10" x14ac:dyDescent="0.35">
      <c r="C4028" t="s">
        <v>12</v>
      </c>
      <c r="D4028" t="s">
        <v>40</v>
      </c>
      <c r="E4028" s="3" t="s">
        <v>88</v>
      </c>
      <c r="F4028" s="71">
        <v>2018</v>
      </c>
      <c r="G4028" s="12">
        <v>9099</v>
      </c>
      <c r="H4028" s="12">
        <v>13699</v>
      </c>
      <c r="I4028" s="28">
        <v>0.03</v>
      </c>
      <c r="J4028" s="12">
        <v>-182.97</v>
      </c>
    </row>
    <row r="4029" spans="3:10" x14ac:dyDescent="0.35">
      <c r="C4029" t="s">
        <v>12</v>
      </c>
      <c r="D4029" t="s">
        <v>40</v>
      </c>
      <c r="E4029" s="3" t="s">
        <v>105</v>
      </c>
      <c r="F4029" s="71">
        <v>2018</v>
      </c>
      <c r="G4029" s="12">
        <v>13699</v>
      </c>
      <c r="H4029" s="12">
        <v>22599</v>
      </c>
      <c r="I4029" s="28">
        <v>3.4000000000000002E-2</v>
      </c>
      <c r="J4029" s="12">
        <v>-237.77</v>
      </c>
    </row>
    <row r="4030" spans="3:10" x14ac:dyDescent="0.35">
      <c r="C4030" t="s">
        <v>12</v>
      </c>
      <c r="D4030" t="s">
        <v>40</v>
      </c>
      <c r="E4030" s="3" t="s">
        <v>106</v>
      </c>
      <c r="F4030" s="71">
        <v>2018</v>
      </c>
      <c r="G4030" s="12">
        <v>22599</v>
      </c>
      <c r="H4030" s="12">
        <v>37899</v>
      </c>
      <c r="I4030" s="28">
        <v>0.05</v>
      </c>
      <c r="J4030" s="12">
        <v>-421.46</v>
      </c>
    </row>
    <row r="4031" spans="3:10" x14ac:dyDescent="0.35">
      <c r="C4031" t="s">
        <v>12</v>
      </c>
      <c r="D4031" t="s">
        <v>40</v>
      </c>
      <c r="E4031" s="3" t="s">
        <v>107</v>
      </c>
      <c r="F4031" s="71">
        <v>2018</v>
      </c>
      <c r="G4031" s="12">
        <v>37899</v>
      </c>
      <c r="H4031" s="12">
        <v>80800</v>
      </c>
      <c r="I4031" s="28">
        <v>0.06</v>
      </c>
      <c r="J4031" s="12">
        <v>-800.45</v>
      </c>
    </row>
    <row r="4032" spans="3:10" x14ac:dyDescent="0.35">
      <c r="C4032" t="s">
        <v>12</v>
      </c>
      <c r="D4032" t="s">
        <v>40</v>
      </c>
      <c r="E4032" s="3" t="s">
        <v>108</v>
      </c>
      <c r="F4032" s="71">
        <v>2018</v>
      </c>
      <c r="G4032" s="12">
        <v>80800</v>
      </c>
      <c r="H4032" s="12">
        <v>81800</v>
      </c>
      <c r="I4032" s="28">
        <v>6.9000000000000006E-2</v>
      </c>
      <c r="J4032" s="12">
        <v>-1421.64</v>
      </c>
    </row>
    <row r="4033" spans="3:10" x14ac:dyDescent="0.35">
      <c r="C4033" t="s">
        <v>12</v>
      </c>
      <c r="D4033" t="s">
        <v>40</v>
      </c>
      <c r="E4033" s="3" t="s">
        <v>152</v>
      </c>
      <c r="F4033" s="71">
        <v>2018</v>
      </c>
      <c r="G4033" s="12">
        <v>81800</v>
      </c>
      <c r="H4033" s="12">
        <v>82800</v>
      </c>
      <c r="I4033" s="28">
        <v>6.9000000000000006E-2</v>
      </c>
      <c r="J4033" s="12">
        <v>-1321.64</v>
      </c>
    </row>
    <row r="4034" spans="3:10" x14ac:dyDescent="0.35">
      <c r="C4034" t="s">
        <v>12</v>
      </c>
      <c r="D4034" t="s">
        <v>40</v>
      </c>
      <c r="E4034" s="3" t="s">
        <v>153</v>
      </c>
      <c r="F4034" s="71">
        <v>2018</v>
      </c>
      <c r="G4034" s="12">
        <v>82800</v>
      </c>
      <c r="H4034" s="12">
        <v>84100</v>
      </c>
      <c r="I4034" s="28">
        <v>6.9000000000000006E-2</v>
      </c>
      <c r="J4034" s="12">
        <v>-1221.6400000000001</v>
      </c>
    </row>
    <row r="4035" spans="3:10" x14ac:dyDescent="0.35">
      <c r="C4035" t="s">
        <v>12</v>
      </c>
      <c r="D4035" t="s">
        <v>40</v>
      </c>
      <c r="E4035" s="3" t="s">
        <v>154</v>
      </c>
      <c r="F4035" s="71">
        <v>2018</v>
      </c>
      <c r="G4035" s="12">
        <v>84100</v>
      </c>
      <c r="H4035" s="12">
        <v>85200</v>
      </c>
      <c r="I4035" s="28">
        <v>6.9000000000000006E-2</v>
      </c>
      <c r="J4035" s="12">
        <v>-1121.6400000000001</v>
      </c>
    </row>
    <row r="4036" spans="3:10" x14ac:dyDescent="0.35">
      <c r="C4036" t="s">
        <v>12</v>
      </c>
      <c r="D4036" t="s">
        <v>40</v>
      </c>
      <c r="E4036" s="3" t="s">
        <v>155</v>
      </c>
      <c r="F4036" s="71">
        <v>2018</v>
      </c>
      <c r="G4036" s="12">
        <v>85200</v>
      </c>
      <c r="H4036" s="12">
        <v>86200</v>
      </c>
      <c r="I4036" s="28">
        <v>6.9000000000000006E-2</v>
      </c>
      <c r="J4036" s="12">
        <v>-1021.64</v>
      </c>
    </row>
    <row r="4037" spans="3:10" x14ac:dyDescent="0.35">
      <c r="C4037" t="s">
        <v>12</v>
      </c>
      <c r="D4037" t="s">
        <v>40</v>
      </c>
      <c r="E4037" s="3" t="s">
        <v>156</v>
      </c>
      <c r="F4037" s="71">
        <v>2018</v>
      </c>
      <c r="G4037" s="12">
        <v>86200</v>
      </c>
      <c r="H4037" s="12"/>
      <c r="I4037" s="28">
        <v>6.9000000000000006E-2</v>
      </c>
      <c r="J4037" s="12">
        <v>-981.64</v>
      </c>
    </row>
    <row r="4038" spans="3:10" x14ac:dyDescent="0.35">
      <c r="C4038" t="s">
        <v>12</v>
      </c>
      <c r="D4038" t="s">
        <v>34</v>
      </c>
      <c r="E4038" s="3" t="s">
        <v>85</v>
      </c>
      <c r="F4038" s="71">
        <v>2018</v>
      </c>
      <c r="G4038" s="12">
        <v>0</v>
      </c>
      <c r="H4038" s="12">
        <v>4599</v>
      </c>
      <c r="I4038" s="28">
        <v>0</v>
      </c>
      <c r="J4038" s="12">
        <v>0</v>
      </c>
    </row>
    <row r="4039" spans="3:10" x14ac:dyDescent="0.35">
      <c r="C4039" t="s">
        <v>12</v>
      </c>
      <c r="D4039" t="s">
        <v>34</v>
      </c>
      <c r="E4039" s="3" t="s">
        <v>87</v>
      </c>
      <c r="F4039" s="71">
        <v>2018</v>
      </c>
      <c r="G4039" s="12">
        <v>4599</v>
      </c>
      <c r="H4039" s="12">
        <v>9099</v>
      </c>
      <c r="I4039" s="28">
        <v>0.02</v>
      </c>
      <c r="J4039" s="12">
        <v>-91.98</v>
      </c>
    </row>
    <row r="4040" spans="3:10" x14ac:dyDescent="0.35">
      <c r="C4040" t="s">
        <v>12</v>
      </c>
      <c r="D4040" t="s">
        <v>34</v>
      </c>
      <c r="E4040" s="3" t="s">
        <v>88</v>
      </c>
      <c r="F4040" s="71">
        <v>2018</v>
      </c>
      <c r="G4040" s="12">
        <v>9099</v>
      </c>
      <c r="H4040" s="12">
        <v>13699</v>
      </c>
      <c r="I4040" s="28">
        <v>0.03</v>
      </c>
      <c r="J4040" s="12">
        <v>-182.97</v>
      </c>
    </row>
    <row r="4041" spans="3:10" x14ac:dyDescent="0.35">
      <c r="C4041" t="s">
        <v>12</v>
      </c>
      <c r="D4041" t="s">
        <v>34</v>
      </c>
      <c r="E4041" s="3" t="s">
        <v>105</v>
      </c>
      <c r="F4041" s="71">
        <v>2018</v>
      </c>
      <c r="G4041" s="12">
        <v>13699</v>
      </c>
      <c r="H4041" s="12">
        <v>22599</v>
      </c>
      <c r="I4041" s="28">
        <v>3.4000000000000002E-2</v>
      </c>
      <c r="J4041" s="12">
        <v>-237.77</v>
      </c>
    </row>
    <row r="4042" spans="3:10" x14ac:dyDescent="0.35">
      <c r="C4042" t="s">
        <v>12</v>
      </c>
      <c r="D4042" t="s">
        <v>34</v>
      </c>
      <c r="E4042" s="3" t="s">
        <v>106</v>
      </c>
      <c r="F4042" s="71">
        <v>2018</v>
      </c>
      <c r="G4042" s="12">
        <v>22599</v>
      </c>
      <c r="H4042" s="12">
        <v>37899</v>
      </c>
      <c r="I4042" s="28">
        <v>0.05</v>
      </c>
      <c r="J4042" s="12">
        <v>-421.46</v>
      </c>
    </row>
    <row r="4043" spans="3:10" x14ac:dyDescent="0.35">
      <c r="C4043" t="s">
        <v>12</v>
      </c>
      <c r="D4043" t="s">
        <v>34</v>
      </c>
      <c r="E4043" s="3" t="s">
        <v>107</v>
      </c>
      <c r="F4043" s="71">
        <v>2018</v>
      </c>
      <c r="G4043" s="12">
        <v>37899</v>
      </c>
      <c r="H4043" s="12">
        <v>80800</v>
      </c>
      <c r="I4043" s="28">
        <v>0.06</v>
      </c>
      <c r="J4043" s="12">
        <v>-800.45</v>
      </c>
    </row>
    <row r="4044" spans="3:10" x14ac:dyDescent="0.35">
      <c r="C4044" t="s">
        <v>12</v>
      </c>
      <c r="D4044" t="s">
        <v>34</v>
      </c>
      <c r="E4044" s="3" t="s">
        <v>108</v>
      </c>
      <c r="F4044" s="71">
        <v>2018</v>
      </c>
      <c r="G4044" s="12">
        <v>80800</v>
      </c>
      <c r="H4044" s="12">
        <v>81800</v>
      </c>
      <c r="I4044" s="28">
        <v>6.9000000000000006E-2</v>
      </c>
      <c r="J4044" s="12">
        <v>-1421.64</v>
      </c>
    </row>
    <row r="4045" spans="3:10" x14ac:dyDescent="0.35">
      <c r="C4045" t="s">
        <v>12</v>
      </c>
      <c r="D4045" t="s">
        <v>34</v>
      </c>
      <c r="E4045" s="3" t="s">
        <v>152</v>
      </c>
      <c r="F4045" s="71">
        <v>2018</v>
      </c>
      <c r="G4045" s="12">
        <v>81800</v>
      </c>
      <c r="H4045" s="12">
        <v>82800</v>
      </c>
      <c r="I4045" s="28">
        <v>6.9000000000000006E-2</v>
      </c>
      <c r="J4045" s="12">
        <v>-1321.64</v>
      </c>
    </row>
    <row r="4046" spans="3:10" x14ac:dyDescent="0.35">
      <c r="C4046" t="s">
        <v>12</v>
      </c>
      <c r="D4046" t="s">
        <v>34</v>
      </c>
      <c r="E4046" s="3" t="s">
        <v>153</v>
      </c>
      <c r="F4046" s="71">
        <v>2018</v>
      </c>
      <c r="G4046" s="12">
        <v>82800</v>
      </c>
      <c r="H4046" s="12">
        <v>84100</v>
      </c>
      <c r="I4046" s="28">
        <v>6.9000000000000006E-2</v>
      </c>
      <c r="J4046" s="12">
        <v>-1221.6400000000001</v>
      </c>
    </row>
    <row r="4047" spans="3:10" x14ac:dyDescent="0.35">
      <c r="C4047" t="s">
        <v>12</v>
      </c>
      <c r="D4047" t="s">
        <v>34</v>
      </c>
      <c r="E4047" s="3" t="s">
        <v>154</v>
      </c>
      <c r="F4047" s="71">
        <v>2018</v>
      </c>
      <c r="G4047" s="12">
        <v>84100</v>
      </c>
      <c r="H4047" s="12">
        <v>85200</v>
      </c>
      <c r="I4047" s="28">
        <v>6.9000000000000006E-2</v>
      </c>
      <c r="J4047" s="12">
        <v>-1121.6400000000001</v>
      </c>
    </row>
    <row r="4048" spans="3:10" x14ac:dyDescent="0.35">
      <c r="C4048" t="s">
        <v>12</v>
      </c>
      <c r="D4048" t="s">
        <v>34</v>
      </c>
      <c r="E4048" s="3" t="s">
        <v>155</v>
      </c>
      <c r="F4048" s="71">
        <v>2018</v>
      </c>
      <c r="G4048" s="12">
        <v>85200</v>
      </c>
      <c r="H4048" s="12">
        <v>86200</v>
      </c>
      <c r="I4048" s="28">
        <v>6.9000000000000006E-2</v>
      </c>
      <c r="J4048" s="12">
        <v>-1021.64</v>
      </c>
    </row>
    <row r="4049" spans="3:10" x14ac:dyDescent="0.35">
      <c r="C4049" t="s">
        <v>12</v>
      </c>
      <c r="D4049" t="s">
        <v>34</v>
      </c>
      <c r="E4049" s="3" t="s">
        <v>156</v>
      </c>
      <c r="F4049" s="71">
        <v>2018</v>
      </c>
      <c r="G4049" s="12">
        <v>86200</v>
      </c>
      <c r="H4049" s="12"/>
      <c r="I4049" s="28">
        <v>6.9000000000000006E-2</v>
      </c>
      <c r="J4049" s="12">
        <v>-981.64</v>
      </c>
    </row>
    <row r="4050" spans="3:10" x14ac:dyDescent="0.35">
      <c r="C4050" t="s">
        <v>12</v>
      </c>
      <c r="D4050" t="s">
        <v>41</v>
      </c>
      <c r="E4050" s="3" t="s">
        <v>85</v>
      </c>
      <c r="F4050" s="71">
        <v>2018</v>
      </c>
      <c r="G4050" s="12">
        <v>0</v>
      </c>
      <c r="H4050" s="12">
        <v>4599</v>
      </c>
      <c r="I4050" s="28">
        <v>0</v>
      </c>
      <c r="J4050" s="12">
        <v>0</v>
      </c>
    </row>
    <row r="4051" spans="3:10" x14ac:dyDescent="0.35">
      <c r="C4051" t="s">
        <v>12</v>
      </c>
      <c r="D4051" t="s">
        <v>41</v>
      </c>
      <c r="E4051" s="3" t="s">
        <v>87</v>
      </c>
      <c r="F4051" s="71">
        <v>2018</v>
      </c>
      <c r="G4051" s="12">
        <v>4599</v>
      </c>
      <c r="H4051" s="12">
        <v>9099</v>
      </c>
      <c r="I4051" s="28">
        <v>0.02</v>
      </c>
      <c r="J4051" s="12">
        <v>-91.98</v>
      </c>
    </row>
    <row r="4052" spans="3:10" x14ac:dyDescent="0.35">
      <c r="C4052" t="s">
        <v>12</v>
      </c>
      <c r="D4052" t="s">
        <v>41</v>
      </c>
      <c r="E4052" s="3" t="s">
        <v>88</v>
      </c>
      <c r="F4052" s="71">
        <v>2018</v>
      </c>
      <c r="G4052" s="12">
        <v>9099</v>
      </c>
      <c r="H4052" s="12">
        <v>13699</v>
      </c>
      <c r="I4052" s="28">
        <v>0.03</v>
      </c>
      <c r="J4052" s="12">
        <v>-182.97</v>
      </c>
    </row>
    <row r="4053" spans="3:10" x14ac:dyDescent="0.35">
      <c r="C4053" t="s">
        <v>12</v>
      </c>
      <c r="D4053" t="s">
        <v>41</v>
      </c>
      <c r="E4053" s="3" t="s">
        <v>105</v>
      </c>
      <c r="F4053" s="71">
        <v>2018</v>
      </c>
      <c r="G4053" s="12">
        <v>13699</v>
      </c>
      <c r="H4053" s="12">
        <v>22599</v>
      </c>
      <c r="I4053" s="28">
        <v>3.4000000000000002E-2</v>
      </c>
      <c r="J4053" s="12">
        <v>-237.77</v>
      </c>
    </row>
    <row r="4054" spans="3:10" x14ac:dyDescent="0.35">
      <c r="C4054" t="s">
        <v>12</v>
      </c>
      <c r="D4054" t="s">
        <v>41</v>
      </c>
      <c r="E4054" s="3" t="s">
        <v>106</v>
      </c>
      <c r="F4054" s="71">
        <v>2018</v>
      </c>
      <c r="G4054" s="12">
        <v>22599</v>
      </c>
      <c r="H4054" s="12">
        <v>37899</v>
      </c>
      <c r="I4054" s="28">
        <v>0.05</v>
      </c>
      <c r="J4054" s="12">
        <v>-421.46</v>
      </c>
    </row>
    <row r="4055" spans="3:10" x14ac:dyDescent="0.35">
      <c r="C4055" t="s">
        <v>12</v>
      </c>
      <c r="D4055" t="s">
        <v>41</v>
      </c>
      <c r="E4055" s="3" t="s">
        <v>107</v>
      </c>
      <c r="F4055" s="71">
        <v>2018</v>
      </c>
      <c r="G4055" s="12">
        <v>37899</v>
      </c>
      <c r="H4055" s="12">
        <v>80800</v>
      </c>
      <c r="I4055" s="28">
        <v>0.06</v>
      </c>
      <c r="J4055" s="12">
        <v>-800.45</v>
      </c>
    </row>
    <row r="4056" spans="3:10" x14ac:dyDescent="0.35">
      <c r="C4056" t="s">
        <v>12</v>
      </c>
      <c r="D4056" t="s">
        <v>41</v>
      </c>
      <c r="E4056" s="3" t="s">
        <v>108</v>
      </c>
      <c r="F4056" s="71">
        <v>2018</v>
      </c>
      <c r="G4056" s="12">
        <v>80800</v>
      </c>
      <c r="H4056" s="12">
        <v>81800</v>
      </c>
      <c r="I4056" s="28">
        <v>6.9000000000000006E-2</v>
      </c>
      <c r="J4056" s="12">
        <v>-1421.64</v>
      </c>
    </row>
    <row r="4057" spans="3:10" x14ac:dyDescent="0.35">
      <c r="C4057" t="s">
        <v>12</v>
      </c>
      <c r="D4057" t="s">
        <v>41</v>
      </c>
      <c r="E4057" s="3" t="s">
        <v>152</v>
      </c>
      <c r="F4057" s="71">
        <v>2018</v>
      </c>
      <c r="G4057" s="12">
        <v>81800</v>
      </c>
      <c r="H4057" s="12">
        <v>82800</v>
      </c>
      <c r="I4057" s="28">
        <v>6.9000000000000006E-2</v>
      </c>
      <c r="J4057" s="12">
        <v>-1321.64</v>
      </c>
    </row>
    <row r="4058" spans="3:10" x14ac:dyDescent="0.35">
      <c r="C4058" t="s">
        <v>12</v>
      </c>
      <c r="D4058" t="s">
        <v>41</v>
      </c>
      <c r="E4058" s="3" t="s">
        <v>153</v>
      </c>
      <c r="F4058" s="71">
        <v>2018</v>
      </c>
      <c r="G4058" s="12">
        <v>82800</v>
      </c>
      <c r="H4058" s="12">
        <v>84100</v>
      </c>
      <c r="I4058" s="28">
        <v>6.9000000000000006E-2</v>
      </c>
      <c r="J4058" s="12">
        <v>-1221.6400000000001</v>
      </c>
    </row>
    <row r="4059" spans="3:10" x14ac:dyDescent="0.35">
      <c r="C4059" t="s">
        <v>12</v>
      </c>
      <c r="D4059" t="s">
        <v>41</v>
      </c>
      <c r="E4059" s="3" t="s">
        <v>154</v>
      </c>
      <c r="F4059" s="71">
        <v>2018</v>
      </c>
      <c r="G4059" s="12">
        <v>84100</v>
      </c>
      <c r="H4059" s="12">
        <v>85200</v>
      </c>
      <c r="I4059" s="28">
        <v>6.9000000000000006E-2</v>
      </c>
      <c r="J4059" s="12">
        <v>-1121.6400000000001</v>
      </c>
    </row>
    <row r="4060" spans="3:10" x14ac:dyDescent="0.35">
      <c r="C4060" t="s">
        <v>12</v>
      </c>
      <c r="D4060" t="s">
        <v>41</v>
      </c>
      <c r="E4060" s="3" t="s">
        <v>155</v>
      </c>
      <c r="F4060" s="71">
        <v>2018</v>
      </c>
      <c r="G4060" s="12">
        <v>85200</v>
      </c>
      <c r="H4060" s="12">
        <v>86200</v>
      </c>
      <c r="I4060" s="28">
        <v>6.9000000000000006E-2</v>
      </c>
      <c r="J4060" s="12">
        <v>-1021.64</v>
      </c>
    </row>
    <row r="4061" spans="3:10" x14ac:dyDescent="0.35">
      <c r="C4061" t="s">
        <v>12</v>
      </c>
      <c r="D4061" t="s">
        <v>41</v>
      </c>
      <c r="E4061" s="3" t="s">
        <v>156</v>
      </c>
      <c r="F4061" s="71">
        <v>2018</v>
      </c>
      <c r="G4061" s="12">
        <v>86200</v>
      </c>
      <c r="H4061" s="12"/>
      <c r="I4061" s="28">
        <v>6.9000000000000006E-2</v>
      </c>
      <c r="J4061" s="12">
        <v>-981.64</v>
      </c>
    </row>
    <row r="4062" spans="3:10" x14ac:dyDescent="0.35">
      <c r="C4062" t="s">
        <v>12</v>
      </c>
      <c r="D4062" t="s">
        <v>33</v>
      </c>
      <c r="E4062" s="3" t="s">
        <v>85</v>
      </c>
      <c r="F4062" s="71">
        <v>2019</v>
      </c>
      <c r="G4062" s="12">
        <v>0</v>
      </c>
      <c r="H4062" s="12">
        <v>4599</v>
      </c>
      <c r="I4062" s="28">
        <v>0</v>
      </c>
      <c r="J4062" s="12">
        <v>0</v>
      </c>
    </row>
    <row r="4063" spans="3:10" x14ac:dyDescent="0.35">
      <c r="C4063" t="s">
        <v>12</v>
      </c>
      <c r="D4063" t="s">
        <v>33</v>
      </c>
      <c r="E4063" s="3" t="s">
        <v>87</v>
      </c>
      <c r="F4063" s="71">
        <v>2019</v>
      </c>
      <c r="G4063" s="12">
        <v>4599</v>
      </c>
      <c r="H4063" s="12">
        <v>9099</v>
      </c>
      <c r="I4063" s="28">
        <v>0.02</v>
      </c>
      <c r="J4063" s="12">
        <v>-91.98</v>
      </c>
    </row>
    <row r="4064" spans="3:10" x14ac:dyDescent="0.35">
      <c r="C4064" t="s">
        <v>12</v>
      </c>
      <c r="D4064" t="s">
        <v>33</v>
      </c>
      <c r="E4064" s="3" t="s">
        <v>88</v>
      </c>
      <c r="F4064" s="71">
        <v>2019</v>
      </c>
      <c r="G4064" s="12">
        <v>9099</v>
      </c>
      <c r="H4064" s="12">
        <v>13699</v>
      </c>
      <c r="I4064" s="28">
        <v>0.03</v>
      </c>
      <c r="J4064" s="12">
        <v>-182.97</v>
      </c>
    </row>
    <row r="4065" spans="3:10" x14ac:dyDescent="0.35">
      <c r="C4065" t="s">
        <v>12</v>
      </c>
      <c r="D4065" t="s">
        <v>33</v>
      </c>
      <c r="E4065" s="3" t="s">
        <v>105</v>
      </c>
      <c r="F4065" s="71">
        <v>2019</v>
      </c>
      <c r="G4065" s="12">
        <v>13699</v>
      </c>
      <c r="H4065" s="12">
        <v>22599</v>
      </c>
      <c r="I4065" s="28">
        <v>3.4000000000000002E-2</v>
      </c>
      <c r="J4065" s="12">
        <v>-237.77</v>
      </c>
    </row>
    <row r="4066" spans="3:10" x14ac:dyDescent="0.35">
      <c r="C4066" t="s">
        <v>12</v>
      </c>
      <c r="D4066" t="s">
        <v>33</v>
      </c>
      <c r="E4066" s="3" t="s">
        <v>106</v>
      </c>
      <c r="F4066" s="71">
        <v>2019</v>
      </c>
      <c r="G4066" s="12">
        <v>22599</v>
      </c>
      <c r="H4066" s="12">
        <v>37899</v>
      </c>
      <c r="I4066" s="28">
        <v>0.05</v>
      </c>
      <c r="J4066" s="12">
        <v>-421.46</v>
      </c>
    </row>
    <row r="4067" spans="3:10" x14ac:dyDescent="0.35">
      <c r="C4067" t="s">
        <v>12</v>
      </c>
      <c r="D4067" t="s">
        <v>33</v>
      </c>
      <c r="E4067" s="3" t="s">
        <v>107</v>
      </c>
      <c r="F4067" s="71">
        <v>2019</v>
      </c>
      <c r="G4067" s="12">
        <v>37899</v>
      </c>
      <c r="H4067" s="12">
        <v>80800</v>
      </c>
      <c r="I4067" s="28">
        <v>0.06</v>
      </c>
      <c r="J4067" s="12">
        <v>-800.45</v>
      </c>
    </row>
    <row r="4068" spans="3:10" x14ac:dyDescent="0.35">
      <c r="C4068" t="s">
        <v>12</v>
      </c>
      <c r="D4068" t="s">
        <v>33</v>
      </c>
      <c r="E4068" s="3" t="s">
        <v>108</v>
      </c>
      <c r="F4068" s="71">
        <v>2019</v>
      </c>
      <c r="G4068" s="12">
        <v>80800</v>
      </c>
      <c r="H4068" s="12">
        <v>81800</v>
      </c>
      <c r="I4068" s="28">
        <v>6.9000000000000006E-2</v>
      </c>
      <c r="J4068" s="12">
        <v>-1421.64</v>
      </c>
    </row>
    <row r="4069" spans="3:10" x14ac:dyDescent="0.35">
      <c r="C4069" t="s">
        <v>12</v>
      </c>
      <c r="D4069" t="s">
        <v>33</v>
      </c>
      <c r="E4069" s="3" t="s">
        <v>152</v>
      </c>
      <c r="F4069" s="71">
        <v>2019</v>
      </c>
      <c r="G4069" s="12">
        <v>81800</v>
      </c>
      <c r="H4069" s="12">
        <v>82800</v>
      </c>
      <c r="I4069" s="28">
        <v>6.9000000000000006E-2</v>
      </c>
      <c r="J4069" s="12">
        <v>-1321.64</v>
      </c>
    </row>
    <row r="4070" spans="3:10" x14ac:dyDescent="0.35">
      <c r="C4070" t="s">
        <v>12</v>
      </c>
      <c r="D4070" t="s">
        <v>33</v>
      </c>
      <c r="E4070" s="3" t="s">
        <v>153</v>
      </c>
      <c r="F4070" s="71">
        <v>2019</v>
      </c>
      <c r="G4070" s="12">
        <v>82800</v>
      </c>
      <c r="H4070" s="12">
        <v>84100</v>
      </c>
      <c r="I4070" s="28">
        <v>6.9000000000000006E-2</v>
      </c>
      <c r="J4070" s="12">
        <v>-1221.6400000000001</v>
      </c>
    </row>
    <row r="4071" spans="3:10" x14ac:dyDescent="0.35">
      <c r="C4071" t="s">
        <v>12</v>
      </c>
      <c r="D4071" t="s">
        <v>33</v>
      </c>
      <c r="E4071" s="3" t="s">
        <v>154</v>
      </c>
      <c r="F4071" s="71">
        <v>2019</v>
      </c>
      <c r="G4071" s="12">
        <v>84100</v>
      </c>
      <c r="H4071" s="12">
        <v>85200</v>
      </c>
      <c r="I4071" s="28">
        <v>6.9000000000000006E-2</v>
      </c>
      <c r="J4071" s="12">
        <v>-1121.6400000000001</v>
      </c>
    </row>
    <row r="4072" spans="3:10" x14ac:dyDescent="0.35">
      <c r="C4072" t="s">
        <v>12</v>
      </c>
      <c r="D4072" t="s">
        <v>33</v>
      </c>
      <c r="E4072" s="3" t="s">
        <v>155</v>
      </c>
      <c r="F4072" s="71">
        <v>2019</v>
      </c>
      <c r="G4072" s="12">
        <v>85200</v>
      </c>
      <c r="H4072" s="12">
        <v>86200</v>
      </c>
      <c r="I4072" s="28">
        <v>6.9000000000000006E-2</v>
      </c>
      <c r="J4072" s="12">
        <v>-1021.64</v>
      </c>
    </row>
    <row r="4073" spans="3:10" x14ac:dyDescent="0.35">
      <c r="C4073" t="s">
        <v>12</v>
      </c>
      <c r="D4073" t="s">
        <v>33</v>
      </c>
      <c r="E4073" s="3" t="s">
        <v>156</v>
      </c>
      <c r="F4073" s="71">
        <v>2019</v>
      </c>
      <c r="G4073" s="12">
        <v>86200</v>
      </c>
      <c r="H4073" s="12"/>
      <c r="I4073" s="28">
        <v>6.9000000000000006E-2</v>
      </c>
      <c r="J4073" s="12">
        <v>-981.64</v>
      </c>
    </row>
    <row r="4074" spans="3:10" x14ac:dyDescent="0.35">
      <c r="C4074" t="s">
        <v>12</v>
      </c>
      <c r="D4074" t="s">
        <v>40</v>
      </c>
      <c r="E4074" s="3" t="s">
        <v>85</v>
      </c>
      <c r="F4074" s="71">
        <v>2019</v>
      </c>
      <c r="G4074" s="12">
        <v>0</v>
      </c>
      <c r="H4074" s="12">
        <v>4599</v>
      </c>
      <c r="I4074" s="28">
        <v>0</v>
      </c>
      <c r="J4074" s="12">
        <v>0</v>
      </c>
    </row>
    <row r="4075" spans="3:10" x14ac:dyDescent="0.35">
      <c r="C4075" t="s">
        <v>12</v>
      </c>
      <c r="D4075" t="s">
        <v>40</v>
      </c>
      <c r="E4075" s="3" t="s">
        <v>87</v>
      </c>
      <c r="F4075" s="71">
        <v>2019</v>
      </c>
      <c r="G4075" s="12">
        <v>4599</v>
      </c>
      <c r="H4075" s="12">
        <v>9099</v>
      </c>
      <c r="I4075" s="28">
        <v>0.02</v>
      </c>
      <c r="J4075" s="12">
        <v>-91.98</v>
      </c>
    </row>
    <row r="4076" spans="3:10" x14ac:dyDescent="0.35">
      <c r="C4076" t="s">
        <v>12</v>
      </c>
      <c r="D4076" t="s">
        <v>40</v>
      </c>
      <c r="E4076" s="3" t="s">
        <v>88</v>
      </c>
      <c r="F4076" s="71">
        <v>2019</v>
      </c>
      <c r="G4076" s="12">
        <v>9099</v>
      </c>
      <c r="H4076" s="12">
        <v>13699</v>
      </c>
      <c r="I4076" s="28">
        <v>0.03</v>
      </c>
      <c r="J4076" s="12">
        <v>-182.97</v>
      </c>
    </row>
    <row r="4077" spans="3:10" x14ac:dyDescent="0.35">
      <c r="C4077" t="s">
        <v>12</v>
      </c>
      <c r="D4077" t="s">
        <v>40</v>
      </c>
      <c r="E4077" s="3" t="s">
        <v>105</v>
      </c>
      <c r="F4077" s="71">
        <v>2019</v>
      </c>
      <c r="G4077" s="12">
        <v>13699</v>
      </c>
      <c r="H4077" s="12">
        <v>22599</v>
      </c>
      <c r="I4077" s="28">
        <v>3.4000000000000002E-2</v>
      </c>
      <c r="J4077" s="12">
        <v>-237.77</v>
      </c>
    </row>
    <row r="4078" spans="3:10" x14ac:dyDescent="0.35">
      <c r="C4078" t="s">
        <v>12</v>
      </c>
      <c r="D4078" t="s">
        <v>40</v>
      </c>
      <c r="E4078" s="3" t="s">
        <v>106</v>
      </c>
      <c r="F4078" s="71">
        <v>2019</v>
      </c>
      <c r="G4078" s="12">
        <v>22599</v>
      </c>
      <c r="H4078" s="12">
        <v>37899</v>
      </c>
      <c r="I4078" s="28">
        <v>0.05</v>
      </c>
      <c r="J4078" s="12">
        <v>-421.46</v>
      </c>
    </row>
    <row r="4079" spans="3:10" x14ac:dyDescent="0.35">
      <c r="C4079" t="s">
        <v>12</v>
      </c>
      <c r="D4079" t="s">
        <v>40</v>
      </c>
      <c r="E4079" s="3" t="s">
        <v>107</v>
      </c>
      <c r="F4079" s="71">
        <v>2019</v>
      </c>
      <c r="G4079" s="12">
        <v>37899</v>
      </c>
      <c r="H4079" s="12">
        <v>80800</v>
      </c>
      <c r="I4079" s="28">
        <v>0.06</v>
      </c>
      <c r="J4079" s="12">
        <v>-800.45</v>
      </c>
    </row>
    <row r="4080" spans="3:10" x14ac:dyDescent="0.35">
      <c r="C4080" t="s">
        <v>12</v>
      </c>
      <c r="D4080" t="s">
        <v>40</v>
      </c>
      <c r="E4080" s="3" t="s">
        <v>108</v>
      </c>
      <c r="F4080" s="71">
        <v>2019</v>
      </c>
      <c r="G4080" s="12">
        <v>80800</v>
      </c>
      <c r="H4080" s="12">
        <v>81800</v>
      </c>
      <c r="I4080" s="28">
        <v>6.9000000000000006E-2</v>
      </c>
      <c r="J4080" s="12">
        <v>-1421.64</v>
      </c>
    </row>
    <row r="4081" spans="3:10" x14ac:dyDescent="0.35">
      <c r="C4081" t="s">
        <v>12</v>
      </c>
      <c r="D4081" t="s">
        <v>40</v>
      </c>
      <c r="E4081" s="3" t="s">
        <v>152</v>
      </c>
      <c r="F4081" s="71">
        <v>2019</v>
      </c>
      <c r="G4081" s="12">
        <v>81800</v>
      </c>
      <c r="H4081" s="12">
        <v>82800</v>
      </c>
      <c r="I4081" s="28">
        <v>6.9000000000000006E-2</v>
      </c>
      <c r="J4081" s="12">
        <v>-1321.64</v>
      </c>
    </row>
    <row r="4082" spans="3:10" x14ac:dyDescent="0.35">
      <c r="C4082" t="s">
        <v>12</v>
      </c>
      <c r="D4082" t="s">
        <v>40</v>
      </c>
      <c r="E4082" s="3" t="s">
        <v>153</v>
      </c>
      <c r="F4082" s="71">
        <v>2019</v>
      </c>
      <c r="G4082" s="12">
        <v>82800</v>
      </c>
      <c r="H4082" s="12">
        <v>84100</v>
      </c>
      <c r="I4082" s="28">
        <v>6.9000000000000006E-2</v>
      </c>
      <c r="J4082" s="12">
        <v>-1221.6400000000001</v>
      </c>
    </row>
    <row r="4083" spans="3:10" x14ac:dyDescent="0.35">
      <c r="C4083" t="s">
        <v>12</v>
      </c>
      <c r="D4083" t="s">
        <v>40</v>
      </c>
      <c r="E4083" s="3" t="s">
        <v>154</v>
      </c>
      <c r="F4083" s="71">
        <v>2019</v>
      </c>
      <c r="G4083" s="12">
        <v>84100</v>
      </c>
      <c r="H4083" s="12">
        <v>85200</v>
      </c>
      <c r="I4083" s="28">
        <v>6.9000000000000006E-2</v>
      </c>
      <c r="J4083" s="12">
        <v>-1121.6400000000001</v>
      </c>
    </row>
    <row r="4084" spans="3:10" x14ac:dyDescent="0.35">
      <c r="C4084" t="s">
        <v>12</v>
      </c>
      <c r="D4084" t="s">
        <v>40</v>
      </c>
      <c r="E4084" s="3" t="s">
        <v>155</v>
      </c>
      <c r="F4084" s="71">
        <v>2019</v>
      </c>
      <c r="G4084" s="12">
        <v>85200</v>
      </c>
      <c r="H4084" s="12">
        <v>86200</v>
      </c>
      <c r="I4084" s="28">
        <v>6.9000000000000006E-2</v>
      </c>
      <c r="J4084" s="12">
        <v>-1021.64</v>
      </c>
    </row>
    <row r="4085" spans="3:10" x14ac:dyDescent="0.35">
      <c r="C4085" t="s">
        <v>12</v>
      </c>
      <c r="D4085" t="s">
        <v>40</v>
      </c>
      <c r="E4085" s="3" t="s">
        <v>156</v>
      </c>
      <c r="F4085" s="71">
        <v>2019</v>
      </c>
      <c r="G4085" s="12">
        <v>86200</v>
      </c>
      <c r="H4085" s="12"/>
      <c r="I4085" s="28">
        <v>6.9000000000000006E-2</v>
      </c>
      <c r="J4085" s="12">
        <v>-981.64</v>
      </c>
    </row>
    <row r="4086" spans="3:10" x14ac:dyDescent="0.35">
      <c r="C4086" t="s">
        <v>12</v>
      </c>
      <c r="D4086" t="s">
        <v>34</v>
      </c>
      <c r="E4086" s="3" t="s">
        <v>85</v>
      </c>
      <c r="F4086" s="71">
        <v>2019</v>
      </c>
      <c r="G4086" s="12">
        <v>0</v>
      </c>
      <c r="H4086" s="12">
        <v>4599</v>
      </c>
      <c r="I4086" s="28">
        <v>0</v>
      </c>
      <c r="J4086" s="12">
        <v>0</v>
      </c>
    </row>
    <row r="4087" spans="3:10" x14ac:dyDescent="0.35">
      <c r="C4087" t="s">
        <v>12</v>
      </c>
      <c r="D4087" t="s">
        <v>34</v>
      </c>
      <c r="E4087" s="3" t="s">
        <v>87</v>
      </c>
      <c r="F4087" s="71">
        <v>2019</v>
      </c>
      <c r="G4087" s="12">
        <v>4599</v>
      </c>
      <c r="H4087" s="12">
        <v>9099</v>
      </c>
      <c r="I4087" s="28">
        <v>0.02</v>
      </c>
      <c r="J4087" s="12">
        <v>-91.98</v>
      </c>
    </row>
    <row r="4088" spans="3:10" x14ac:dyDescent="0.35">
      <c r="C4088" t="s">
        <v>12</v>
      </c>
      <c r="D4088" t="s">
        <v>34</v>
      </c>
      <c r="E4088" s="3" t="s">
        <v>88</v>
      </c>
      <c r="F4088" s="71">
        <v>2019</v>
      </c>
      <c r="G4088" s="12">
        <v>9099</v>
      </c>
      <c r="H4088" s="12">
        <v>13699</v>
      </c>
      <c r="I4088" s="28">
        <v>0.03</v>
      </c>
      <c r="J4088" s="12">
        <v>-182.97</v>
      </c>
    </row>
    <row r="4089" spans="3:10" x14ac:dyDescent="0.35">
      <c r="C4089" t="s">
        <v>12</v>
      </c>
      <c r="D4089" t="s">
        <v>34</v>
      </c>
      <c r="E4089" s="3" t="s">
        <v>105</v>
      </c>
      <c r="F4089" s="71">
        <v>2019</v>
      </c>
      <c r="G4089" s="12">
        <v>13699</v>
      </c>
      <c r="H4089" s="12">
        <v>22599</v>
      </c>
      <c r="I4089" s="28">
        <v>3.4000000000000002E-2</v>
      </c>
      <c r="J4089" s="12">
        <v>-237.77</v>
      </c>
    </row>
    <row r="4090" spans="3:10" x14ac:dyDescent="0.35">
      <c r="C4090" t="s">
        <v>12</v>
      </c>
      <c r="D4090" t="s">
        <v>34</v>
      </c>
      <c r="E4090" s="3" t="s">
        <v>106</v>
      </c>
      <c r="F4090" s="71">
        <v>2019</v>
      </c>
      <c r="G4090" s="12">
        <v>22599</v>
      </c>
      <c r="H4090" s="12">
        <v>37899</v>
      </c>
      <c r="I4090" s="28">
        <v>0.05</v>
      </c>
      <c r="J4090" s="12">
        <v>-421.46</v>
      </c>
    </row>
    <row r="4091" spans="3:10" x14ac:dyDescent="0.35">
      <c r="C4091" t="s">
        <v>12</v>
      </c>
      <c r="D4091" t="s">
        <v>34</v>
      </c>
      <c r="E4091" s="3" t="s">
        <v>107</v>
      </c>
      <c r="F4091" s="71">
        <v>2019</v>
      </c>
      <c r="G4091" s="12">
        <v>37899</v>
      </c>
      <c r="H4091" s="12">
        <v>80800</v>
      </c>
      <c r="I4091" s="28">
        <v>0.06</v>
      </c>
      <c r="J4091" s="12">
        <v>-800.45</v>
      </c>
    </row>
    <row r="4092" spans="3:10" x14ac:dyDescent="0.35">
      <c r="C4092" t="s">
        <v>12</v>
      </c>
      <c r="D4092" t="s">
        <v>34</v>
      </c>
      <c r="E4092" s="3" t="s">
        <v>108</v>
      </c>
      <c r="F4092" s="71">
        <v>2019</v>
      </c>
      <c r="G4092" s="12">
        <v>80800</v>
      </c>
      <c r="H4092" s="12">
        <v>81800</v>
      </c>
      <c r="I4092" s="28">
        <v>6.9000000000000006E-2</v>
      </c>
      <c r="J4092" s="12">
        <v>-1421.64</v>
      </c>
    </row>
    <row r="4093" spans="3:10" x14ac:dyDescent="0.35">
      <c r="C4093" t="s">
        <v>12</v>
      </c>
      <c r="D4093" t="s">
        <v>34</v>
      </c>
      <c r="E4093" s="3" t="s">
        <v>152</v>
      </c>
      <c r="F4093" s="71">
        <v>2019</v>
      </c>
      <c r="G4093" s="12">
        <v>81800</v>
      </c>
      <c r="H4093" s="12">
        <v>82800</v>
      </c>
      <c r="I4093" s="28">
        <v>6.9000000000000006E-2</v>
      </c>
      <c r="J4093" s="12">
        <v>-1321.64</v>
      </c>
    </row>
    <row r="4094" spans="3:10" x14ac:dyDescent="0.35">
      <c r="C4094" t="s">
        <v>12</v>
      </c>
      <c r="D4094" t="s">
        <v>34</v>
      </c>
      <c r="E4094" s="3" t="s">
        <v>153</v>
      </c>
      <c r="F4094" s="71">
        <v>2019</v>
      </c>
      <c r="G4094" s="12">
        <v>82800</v>
      </c>
      <c r="H4094" s="12">
        <v>84100</v>
      </c>
      <c r="I4094" s="28">
        <v>6.9000000000000006E-2</v>
      </c>
      <c r="J4094" s="12">
        <v>-1221.6400000000001</v>
      </c>
    </row>
    <row r="4095" spans="3:10" x14ac:dyDescent="0.35">
      <c r="C4095" t="s">
        <v>12</v>
      </c>
      <c r="D4095" t="s">
        <v>34</v>
      </c>
      <c r="E4095" s="3" t="s">
        <v>154</v>
      </c>
      <c r="F4095" s="71">
        <v>2019</v>
      </c>
      <c r="G4095" s="12">
        <v>84100</v>
      </c>
      <c r="H4095" s="12">
        <v>85200</v>
      </c>
      <c r="I4095" s="28">
        <v>6.9000000000000006E-2</v>
      </c>
      <c r="J4095" s="12">
        <v>-1121.6400000000001</v>
      </c>
    </row>
    <row r="4096" spans="3:10" x14ac:dyDescent="0.35">
      <c r="C4096" t="s">
        <v>12</v>
      </c>
      <c r="D4096" t="s">
        <v>34</v>
      </c>
      <c r="E4096" s="3" t="s">
        <v>155</v>
      </c>
      <c r="F4096" s="71">
        <v>2019</v>
      </c>
      <c r="G4096" s="12">
        <v>85200</v>
      </c>
      <c r="H4096" s="12">
        <v>86200</v>
      </c>
      <c r="I4096" s="28">
        <v>6.9000000000000006E-2</v>
      </c>
      <c r="J4096" s="12">
        <v>-1021.64</v>
      </c>
    </row>
    <row r="4097" spans="3:10" x14ac:dyDescent="0.35">
      <c r="C4097" t="s">
        <v>12</v>
      </c>
      <c r="D4097" t="s">
        <v>34</v>
      </c>
      <c r="E4097" s="3" t="s">
        <v>156</v>
      </c>
      <c r="F4097" s="71">
        <v>2019</v>
      </c>
      <c r="G4097" s="12">
        <v>86200</v>
      </c>
      <c r="H4097" s="12"/>
      <c r="I4097" s="28">
        <v>6.9000000000000006E-2</v>
      </c>
      <c r="J4097" s="12">
        <v>-981.64</v>
      </c>
    </row>
    <row r="4098" spans="3:10" x14ac:dyDescent="0.35">
      <c r="C4098" t="s">
        <v>12</v>
      </c>
      <c r="D4098" t="s">
        <v>41</v>
      </c>
      <c r="E4098" s="3" t="s">
        <v>85</v>
      </c>
      <c r="F4098" s="71">
        <v>2019</v>
      </c>
      <c r="G4098" s="12">
        <v>0</v>
      </c>
      <c r="H4098" s="12">
        <v>4599</v>
      </c>
      <c r="I4098" s="28">
        <v>0</v>
      </c>
      <c r="J4098" s="12">
        <v>0</v>
      </c>
    </row>
    <row r="4099" spans="3:10" x14ac:dyDescent="0.35">
      <c r="C4099" t="s">
        <v>12</v>
      </c>
      <c r="D4099" t="s">
        <v>41</v>
      </c>
      <c r="E4099" s="3" t="s">
        <v>87</v>
      </c>
      <c r="F4099" s="71">
        <v>2019</v>
      </c>
      <c r="G4099" s="12">
        <v>4599</v>
      </c>
      <c r="H4099" s="12">
        <v>9099</v>
      </c>
      <c r="I4099" s="28">
        <v>0.02</v>
      </c>
      <c r="J4099" s="12">
        <v>-91.98</v>
      </c>
    </row>
    <row r="4100" spans="3:10" x14ac:dyDescent="0.35">
      <c r="C4100" t="s">
        <v>12</v>
      </c>
      <c r="D4100" t="s">
        <v>41</v>
      </c>
      <c r="E4100" s="3" t="s">
        <v>88</v>
      </c>
      <c r="F4100" s="71">
        <v>2019</v>
      </c>
      <c r="G4100" s="12">
        <v>9099</v>
      </c>
      <c r="H4100" s="12">
        <v>13699</v>
      </c>
      <c r="I4100" s="28">
        <v>0.03</v>
      </c>
      <c r="J4100" s="12">
        <v>-182.97</v>
      </c>
    </row>
    <row r="4101" spans="3:10" x14ac:dyDescent="0.35">
      <c r="C4101" t="s">
        <v>12</v>
      </c>
      <c r="D4101" t="s">
        <v>41</v>
      </c>
      <c r="E4101" s="3" t="s">
        <v>105</v>
      </c>
      <c r="F4101" s="71">
        <v>2019</v>
      </c>
      <c r="G4101" s="12">
        <v>13699</v>
      </c>
      <c r="H4101" s="12">
        <v>22599</v>
      </c>
      <c r="I4101" s="28">
        <v>3.4000000000000002E-2</v>
      </c>
      <c r="J4101" s="12">
        <v>-237.77</v>
      </c>
    </row>
    <row r="4102" spans="3:10" x14ac:dyDescent="0.35">
      <c r="C4102" t="s">
        <v>12</v>
      </c>
      <c r="D4102" t="s">
        <v>41</v>
      </c>
      <c r="E4102" s="3" t="s">
        <v>106</v>
      </c>
      <c r="F4102" s="71">
        <v>2019</v>
      </c>
      <c r="G4102" s="12">
        <v>22599</v>
      </c>
      <c r="H4102" s="12">
        <v>37899</v>
      </c>
      <c r="I4102" s="28">
        <v>0.05</v>
      </c>
      <c r="J4102" s="12">
        <v>-421.46</v>
      </c>
    </row>
    <row r="4103" spans="3:10" x14ac:dyDescent="0.35">
      <c r="C4103" t="s">
        <v>12</v>
      </c>
      <c r="D4103" t="s">
        <v>41</v>
      </c>
      <c r="E4103" s="3" t="s">
        <v>107</v>
      </c>
      <c r="F4103" s="71">
        <v>2019</v>
      </c>
      <c r="G4103" s="12">
        <v>37899</v>
      </c>
      <c r="H4103" s="12">
        <v>80800</v>
      </c>
      <c r="I4103" s="28">
        <v>0.06</v>
      </c>
      <c r="J4103" s="12">
        <v>-800.45</v>
      </c>
    </row>
    <row r="4104" spans="3:10" x14ac:dyDescent="0.35">
      <c r="C4104" t="s">
        <v>12</v>
      </c>
      <c r="D4104" t="s">
        <v>41</v>
      </c>
      <c r="E4104" s="3" t="s">
        <v>108</v>
      </c>
      <c r="F4104" s="71">
        <v>2019</v>
      </c>
      <c r="G4104" s="12">
        <v>80800</v>
      </c>
      <c r="H4104" s="12">
        <v>81800</v>
      </c>
      <c r="I4104" s="28">
        <v>6.9000000000000006E-2</v>
      </c>
      <c r="J4104" s="12">
        <v>-1421.64</v>
      </c>
    </row>
    <row r="4105" spans="3:10" x14ac:dyDescent="0.35">
      <c r="C4105" t="s">
        <v>12</v>
      </c>
      <c r="D4105" t="s">
        <v>41</v>
      </c>
      <c r="E4105" s="3" t="s">
        <v>152</v>
      </c>
      <c r="F4105" s="71">
        <v>2019</v>
      </c>
      <c r="G4105" s="12">
        <v>81800</v>
      </c>
      <c r="H4105" s="12">
        <v>82800</v>
      </c>
      <c r="I4105" s="28">
        <v>6.9000000000000006E-2</v>
      </c>
      <c r="J4105" s="12">
        <v>-1321.64</v>
      </c>
    </row>
    <row r="4106" spans="3:10" x14ac:dyDescent="0.35">
      <c r="C4106" t="s">
        <v>12</v>
      </c>
      <c r="D4106" t="s">
        <v>41</v>
      </c>
      <c r="E4106" s="3" t="s">
        <v>153</v>
      </c>
      <c r="F4106" s="71">
        <v>2019</v>
      </c>
      <c r="G4106" s="12">
        <v>82800</v>
      </c>
      <c r="H4106" s="12">
        <v>84100</v>
      </c>
      <c r="I4106" s="28">
        <v>6.9000000000000006E-2</v>
      </c>
      <c r="J4106" s="12">
        <v>-1221.6400000000001</v>
      </c>
    </row>
    <row r="4107" spans="3:10" x14ac:dyDescent="0.35">
      <c r="C4107" t="s">
        <v>12</v>
      </c>
      <c r="D4107" t="s">
        <v>41</v>
      </c>
      <c r="E4107" s="3" t="s">
        <v>154</v>
      </c>
      <c r="F4107" s="71">
        <v>2019</v>
      </c>
      <c r="G4107" s="12">
        <v>84100</v>
      </c>
      <c r="H4107" s="12">
        <v>85200</v>
      </c>
      <c r="I4107" s="28">
        <v>6.9000000000000006E-2</v>
      </c>
      <c r="J4107" s="12">
        <v>-1121.6400000000001</v>
      </c>
    </row>
    <row r="4108" spans="3:10" x14ac:dyDescent="0.35">
      <c r="C4108" t="s">
        <v>12</v>
      </c>
      <c r="D4108" t="s">
        <v>41</v>
      </c>
      <c r="E4108" s="3" t="s">
        <v>155</v>
      </c>
      <c r="F4108" s="71">
        <v>2019</v>
      </c>
      <c r="G4108" s="12">
        <v>85200</v>
      </c>
      <c r="H4108" s="12">
        <v>86200</v>
      </c>
      <c r="I4108" s="28">
        <v>6.9000000000000006E-2</v>
      </c>
      <c r="J4108" s="12">
        <v>-1021.64</v>
      </c>
    </row>
    <row r="4109" spans="3:10" x14ac:dyDescent="0.35">
      <c r="C4109" t="s">
        <v>12</v>
      </c>
      <c r="D4109" t="s">
        <v>41</v>
      </c>
      <c r="E4109" s="3" t="s">
        <v>156</v>
      </c>
      <c r="F4109" s="71">
        <v>2019</v>
      </c>
      <c r="G4109" s="12">
        <v>86200</v>
      </c>
      <c r="H4109" s="12"/>
      <c r="I4109" s="28">
        <v>6.9000000000000006E-2</v>
      </c>
      <c r="J4109" s="12">
        <v>-981.64</v>
      </c>
    </row>
    <row r="4110" spans="3:10" x14ac:dyDescent="0.35">
      <c r="C4110" t="s">
        <v>12</v>
      </c>
      <c r="D4110" t="s">
        <v>33</v>
      </c>
      <c r="E4110" s="3" t="s">
        <v>85</v>
      </c>
      <c r="F4110" s="71">
        <v>2020</v>
      </c>
      <c r="G4110" s="12">
        <v>0</v>
      </c>
      <c r="H4110" s="12">
        <v>4699</v>
      </c>
      <c r="I4110" s="72">
        <v>0</v>
      </c>
      <c r="J4110" s="12">
        <v>0</v>
      </c>
    </row>
    <row r="4111" spans="3:10" x14ac:dyDescent="0.35">
      <c r="C4111" t="s">
        <v>12</v>
      </c>
      <c r="D4111" t="s">
        <v>33</v>
      </c>
      <c r="E4111" s="3" t="s">
        <v>87</v>
      </c>
      <c r="F4111" s="71">
        <v>2020</v>
      </c>
      <c r="G4111" s="12">
        <v>4699</v>
      </c>
      <c r="H4111" s="12">
        <v>9199</v>
      </c>
      <c r="I4111" s="72">
        <v>0.02</v>
      </c>
      <c r="J4111" s="12">
        <v>-93.98</v>
      </c>
    </row>
    <row r="4112" spans="3:10" x14ac:dyDescent="0.35">
      <c r="C4112" t="s">
        <v>12</v>
      </c>
      <c r="D4112" t="s">
        <v>33</v>
      </c>
      <c r="E4112" s="3" t="s">
        <v>88</v>
      </c>
      <c r="F4112" s="71">
        <v>2020</v>
      </c>
      <c r="G4112" s="12">
        <v>9199</v>
      </c>
      <c r="H4112" s="12">
        <v>13899</v>
      </c>
      <c r="I4112" s="72">
        <v>0.03</v>
      </c>
      <c r="J4112" s="12">
        <v>-185.97</v>
      </c>
    </row>
    <row r="4113" spans="3:10" x14ac:dyDescent="0.35">
      <c r="C4113" t="s">
        <v>12</v>
      </c>
      <c r="D4113" t="s">
        <v>33</v>
      </c>
      <c r="E4113" s="3" t="s">
        <v>105</v>
      </c>
      <c r="F4113" s="71">
        <v>2020</v>
      </c>
      <c r="G4113" s="12">
        <v>13899</v>
      </c>
      <c r="H4113" s="12">
        <v>22899</v>
      </c>
      <c r="I4113" s="72">
        <v>3.4000000000000002E-2</v>
      </c>
      <c r="J4113" s="12">
        <v>-241.57</v>
      </c>
    </row>
    <row r="4114" spans="3:10" x14ac:dyDescent="0.35">
      <c r="C4114" t="s">
        <v>12</v>
      </c>
      <c r="D4114" t="s">
        <v>33</v>
      </c>
      <c r="E4114" s="3" t="s">
        <v>106</v>
      </c>
      <c r="F4114" s="71">
        <v>2020</v>
      </c>
      <c r="G4114" s="12">
        <v>22899</v>
      </c>
      <c r="H4114" s="12">
        <v>38499</v>
      </c>
      <c r="I4114" s="72">
        <v>0.05</v>
      </c>
      <c r="J4114" s="12">
        <v>-427.71</v>
      </c>
    </row>
    <row r="4115" spans="3:10" x14ac:dyDescent="0.35">
      <c r="C4115" t="s">
        <v>12</v>
      </c>
      <c r="D4115" t="s">
        <v>33</v>
      </c>
      <c r="E4115" s="3" t="s">
        <v>107</v>
      </c>
      <c r="F4115" s="71">
        <v>2020</v>
      </c>
      <c r="G4115" s="12">
        <v>38499</v>
      </c>
      <c r="H4115" s="12">
        <v>82000</v>
      </c>
      <c r="I4115" s="72">
        <v>5.8999999999999997E-2</v>
      </c>
      <c r="J4115" s="12">
        <v>-774.2</v>
      </c>
    </row>
    <row r="4116" spans="3:10" x14ac:dyDescent="0.35">
      <c r="C4116" t="s">
        <v>12</v>
      </c>
      <c r="D4116" t="s">
        <v>33</v>
      </c>
      <c r="E4116" s="3" t="s">
        <v>108</v>
      </c>
      <c r="F4116" s="71">
        <v>2020</v>
      </c>
      <c r="G4116" s="12">
        <v>82000</v>
      </c>
      <c r="H4116" s="12">
        <v>83000</v>
      </c>
      <c r="I4116" s="72">
        <v>6.6000000000000003E-2</v>
      </c>
      <c r="J4116" s="12">
        <v>-1255.7</v>
      </c>
    </row>
    <row r="4117" spans="3:10" x14ac:dyDescent="0.35">
      <c r="C4117" t="s">
        <v>12</v>
      </c>
      <c r="D4117" t="s">
        <v>33</v>
      </c>
      <c r="E4117" s="3" t="s">
        <v>152</v>
      </c>
      <c r="F4117" s="71">
        <v>2020</v>
      </c>
      <c r="G4117" s="12">
        <v>83000</v>
      </c>
      <c r="H4117" s="12">
        <v>84000</v>
      </c>
      <c r="I4117" s="72">
        <v>6.6000000000000003E-2</v>
      </c>
      <c r="J4117" s="12">
        <v>-1155.7</v>
      </c>
    </row>
    <row r="4118" spans="3:10" x14ac:dyDescent="0.35">
      <c r="C4118" t="s">
        <v>12</v>
      </c>
      <c r="D4118" t="s">
        <v>33</v>
      </c>
      <c r="E4118" s="3" t="s">
        <v>153</v>
      </c>
      <c r="F4118" s="71">
        <v>2020</v>
      </c>
      <c r="G4118" s="12">
        <v>84000</v>
      </c>
      <c r="H4118" s="12">
        <v>85300</v>
      </c>
      <c r="I4118" s="72">
        <v>6.6000000000000003E-2</v>
      </c>
      <c r="J4118" s="12">
        <v>-1055.7</v>
      </c>
    </row>
    <row r="4119" spans="3:10" x14ac:dyDescent="0.35">
      <c r="C4119" t="s">
        <v>12</v>
      </c>
      <c r="D4119" t="s">
        <v>33</v>
      </c>
      <c r="E4119" s="3" t="s">
        <v>154</v>
      </c>
      <c r="F4119" s="71">
        <v>2020</v>
      </c>
      <c r="G4119" s="12">
        <v>85300</v>
      </c>
      <c r="H4119" s="12">
        <v>86400</v>
      </c>
      <c r="I4119" s="72">
        <v>6.6000000000000003E-2</v>
      </c>
      <c r="J4119" s="12">
        <v>-955.7</v>
      </c>
    </row>
    <row r="4120" spans="3:10" x14ac:dyDescent="0.35">
      <c r="C4120" t="s">
        <v>12</v>
      </c>
      <c r="D4120" t="s">
        <v>33</v>
      </c>
      <c r="E4120" s="3" t="s">
        <v>155</v>
      </c>
      <c r="F4120" s="71">
        <v>2020</v>
      </c>
      <c r="G4120" s="12">
        <v>86400</v>
      </c>
      <c r="H4120" s="12">
        <v>87500</v>
      </c>
      <c r="I4120" s="72">
        <v>6.6000000000000003E-2</v>
      </c>
      <c r="J4120" s="12">
        <v>-855.7</v>
      </c>
    </row>
    <row r="4121" spans="3:10" x14ac:dyDescent="0.35">
      <c r="C4121" t="s">
        <v>12</v>
      </c>
      <c r="D4121" t="s">
        <v>33</v>
      </c>
      <c r="E4121" s="3" t="s">
        <v>156</v>
      </c>
      <c r="F4121" s="71">
        <v>2020</v>
      </c>
      <c r="G4121" s="12">
        <v>87500</v>
      </c>
      <c r="H4121" s="12"/>
      <c r="I4121" s="31">
        <v>6.6000000000000003E-2</v>
      </c>
      <c r="J4121" s="12">
        <v>-815.7</v>
      </c>
    </row>
    <row r="4122" spans="3:10" x14ac:dyDescent="0.35">
      <c r="C4122" t="s">
        <v>12</v>
      </c>
      <c r="D4122" t="s">
        <v>40</v>
      </c>
      <c r="E4122" s="3" t="s">
        <v>85</v>
      </c>
      <c r="F4122" s="71">
        <v>2020</v>
      </c>
      <c r="G4122" s="12">
        <v>0</v>
      </c>
      <c r="H4122" s="12">
        <v>4699</v>
      </c>
      <c r="I4122" s="72">
        <v>0</v>
      </c>
      <c r="J4122" s="12">
        <v>0</v>
      </c>
    </row>
    <row r="4123" spans="3:10" x14ac:dyDescent="0.35">
      <c r="C4123" t="s">
        <v>12</v>
      </c>
      <c r="D4123" t="s">
        <v>40</v>
      </c>
      <c r="E4123" s="3" t="s">
        <v>87</v>
      </c>
      <c r="F4123" s="71">
        <v>2020</v>
      </c>
      <c r="G4123" s="12">
        <v>4699</v>
      </c>
      <c r="H4123" s="12">
        <v>9199</v>
      </c>
      <c r="I4123" s="72">
        <v>0.02</v>
      </c>
      <c r="J4123" s="12">
        <v>-93.98</v>
      </c>
    </row>
    <row r="4124" spans="3:10" x14ac:dyDescent="0.35">
      <c r="C4124" t="s">
        <v>12</v>
      </c>
      <c r="D4124" t="s">
        <v>40</v>
      </c>
      <c r="E4124" s="3" t="s">
        <v>88</v>
      </c>
      <c r="F4124" s="71">
        <v>2020</v>
      </c>
      <c r="G4124" s="12">
        <v>9199</v>
      </c>
      <c r="H4124" s="12">
        <v>13899</v>
      </c>
      <c r="I4124" s="72">
        <v>0.03</v>
      </c>
      <c r="J4124" s="12">
        <v>-185.97</v>
      </c>
    </row>
    <row r="4125" spans="3:10" x14ac:dyDescent="0.35">
      <c r="C4125" t="s">
        <v>12</v>
      </c>
      <c r="D4125" t="s">
        <v>40</v>
      </c>
      <c r="E4125" s="3" t="s">
        <v>105</v>
      </c>
      <c r="F4125" s="71">
        <v>2020</v>
      </c>
      <c r="G4125" s="12">
        <v>13899</v>
      </c>
      <c r="H4125" s="12">
        <v>22899</v>
      </c>
      <c r="I4125" s="72">
        <v>3.4000000000000002E-2</v>
      </c>
      <c r="J4125" s="12">
        <v>-241.57</v>
      </c>
    </row>
    <row r="4126" spans="3:10" x14ac:dyDescent="0.35">
      <c r="C4126" t="s">
        <v>12</v>
      </c>
      <c r="D4126" t="s">
        <v>40</v>
      </c>
      <c r="E4126" s="3" t="s">
        <v>106</v>
      </c>
      <c r="F4126" s="71">
        <v>2020</v>
      </c>
      <c r="G4126" s="12">
        <v>22899</v>
      </c>
      <c r="H4126" s="12">
        <v>38499</v>
      </c>
      <c r="I4126" s="72">
        <v>0.05</v>
      </c>
      <c r="J4126" s="12">
        <v>-427.71</v>
      </c>
    </row>
    <row r="4127" spans="3:10" x14ac:dyDescent="0.35">
      <c r="C4127" t="s">
        <v>12</v>
      </c>
      <c r="D4127" t="s">
        <v>40</v>
      </c>
      <c r="E4127" s="3" t="s">
        <v>107</v>
      </c>
      <c r="F4127" s="71">
        <v>2020</v>
      </c>
      <c r="G4127" s="12">
        <v>38499</v>
      </c>
      <c r="H4127" s="12">
        <v>82000</v>
      </c>
      <c r="I4127" s="72">
        <v>5.8999999999999997E-2</v>
      </c>
      <c r="J4127" s="12">
        <v>-774.2</v>
      </c>
    </row>
    <row r="4128" spans="3:10" x14ac:dyDescent="0.35">
      <c r="C4128" t="s">
        <v>12</v>
      </c>
      <c r="D4128" t="s">
        <v>40</v>
      </c>
      <c r="E4128" s="3" t="s">
        <v>108</v>
      </c>
      <c r="F4128" s="71">
        <v>2020</v>
      </c>
      <c r="G4128" s="12">
        <v>82000</v>
      </c>
      <c r="H4128" s="12">
        <v>83000</v>
      </c>
      <c r="I4128" s="72">
        <v>6.6000000000000003E-2</v>
      </c>
      <c r="J4128" s="12">
        <v>-1255.7</v>
      </c>
    </row>
    <row r="4129" spans="3:10" x14ac:dyDescent="0.35">
      <c r="C4129" t="s">
        <v>12</v>
      </c>
      <c r="D4129" t="s">
        <v>40</v>
      </c>
      <c r="E4129" s="3" t="s">
        <v>152</v>
      </c>
      <c r="F4129" s="71">
        <v>2020</v>
      </c>
      <c r="G4129" s="12">
        <v>83000</v>
      </c>
      <c r="H4129" s="12">
        <v>84000</v>
      </c>
      <c r="I4129" s="72">
        <v>6.6000000000000003E-2</v>
      </c>
      <c r="J4129" s="12">
        <v>-1155.7</v>
      </c>
    </row>
    <row r="4130" spans="3:10" x14ac:dyDescent="0.35">
      <c r="C4130" t="s">
        <v>12</v>
      </c>
      <c r="D4130" t="s">
        <v>40</v>
      </c>
      <c r="E4130" s="3" t="s">
        <v>153</v>
      </c>
      <c r="F4130" s="71">
        <v>2020</v>
      </c>
      <c r="G4130" s="12">
        <v>84000</v>
      </c>
      <c r="H4130" s="12">
        <v>85300</v>
      </c>
      <c r="I4130" s="72">
        <v>6.6000000000000003E-2</v>
      </c>
      <c r="J4130" s="12">
        <v>-1055.7</v>
      </c>
    </row>
    <row r="4131" spans="3:10" x14ac:dyDescent="0.35">
      <c r="C4131" t="s">
        <v>12</v>
      </c>
      <c r="D4131" t="s">
        <v>40</v>
      </c>
      <c r="E4131" s="3" t="s">
        <v>154</v>
      </c>
      <c r="F4131" s="71">
        <v>2020</v>
      </c>
      <c r="G4131" s="12">
        <v>85300</v>
      </c>
      <c r="H4131" s="12">
        <v>86400</v>
      </c>
      <c r="I4131" s="72">
        <v>6.6000000000000003E-2</v>
      </c>
      <c r="J4131" s="12">
        <v>-955.7</v>
      </c>
    </row>
    <row r="4132" spans="3:10" x14ac:dyDescent="0.35">
      <c r="C4132" t="s">
        <v>12</v>
      </c>
      <c r="D4132" t="s">
        <v>40</v>
      </c>
      <c r="E4132" s="3" t="s">
        <v>155</v>
      </c>
      <c r="F4132" s="71">
        <v>2020</v>
      </c>
      <c r="G4132" s="12">
        <v>86400</v>
      </c>
      <c r="H4132" s="12">
        <v>87500</v>
      </c>
      <c r="I4132" s="72">
        <v>6.6000000000000003E-2</v>
      </c>
      <c r="J4132" s="12">
        <v>-855.7</v>
      </c>
    </row>
    <row r="4133" spans="3:10" x14ac:dyDescent="0.35">
      <c r="C4133" t="s">
        <v>12</v>
      </c>
      <c r="D4133" t="s">
        <v>40</v>
      </c>
      <c r="E4133" s="3" t="s">
        <v>156</v>
      </c>
      <c r="F4133" s="71">
        <v>2020</v>
      </c>
      <c r="G4133" s="12">
        <v>87500</v>
      </c>
      <c r="H4133" s="12"/>
      <c r="I4133" s="31">
        <v>6.6000000000000003E-2</v>
      </c>
      <c r="J4133" s="12">
        <v>-815.7</v>
      </c>
    </row>
    <row r="4134" spans="3:10" x14ac:dyDescent="0.35">
      <c r="C4134" t="s">
        <v>12</v>
      </c>
      <c r="D4134" t="s">
        <v>34</v>
      </c>
      <c r="E4134" s="3" t="s">
        <v>85</v>
      </c>
      <c r="F4134" s="71">
        <v>2020</v>
      </c>
      <c r="G4134" s="12">
        <v>0</v>
      </c>
      <c r="H4134" s="12">
        <v>4699</v>
      </c>
      <c r="I4134" s="72">
        <v>0</v>
      </c>
      <c r="J4134" s="12">
        <v>0</v>
      </c>
    </row>
    <row r="4135" spans="3:10" x14ac:dyDescent="0.35">
      <c r="C4135" t="s">
        <v>12</v>
      </c>
      <c r="D4135" t="s">
        <v>34</v>
      </c>
      <c r="E4135" s="3" t="s">
        <v>87</v>
      </c>
      <c r="F4135" s="71">
        <v>2020</v>
      </c>
      <c r="G4135" s="12">
        <v>4699</v>
      </c>
      <c r="H4135" s="12">
        <v>9199</v>
      </c>
      <c r="I4135" s="72">
        <v>0.02</v>
      </c>
      <c r="J4135" s="12">
        <v>-93.98</v>
      </c>
    </row>
    <row r="4136" spans="3:10" x14ac:dyDescent="0.35">
      <c r="C4136" t="s">
        <v>12</v>
      </c>
      <c r="D4136" t="s">
        <v>34</v>
      </c>
      <c r="E4136" s="3" t="s">
        <v>88</v>
      </c>
      <c r="F4136" s="71">
        <v>2020</v>
      </c>
      <c r="G4136" s="12">
        <v>9199</v>
      </c>
      <c r="H4136" s="12">
        <v>13899</v>
      </c>
      <c r="I4136" s="72">
        <v>0.03</v>
      </c>
      <c r="J4136" s="12">
        <v>-185.97</v>
      </c>
    </row>
    <row r="4137" spans="3:10" x14ac:dyDescent="0.35">
      <c r="C4137" t="s">
        <v>12</v>
      </c>
      <c r="D4137" t="s">
        <v>34</v>
      </c>
      <c r="E4137" s="3" t="s">
        <v>105</v>
      </c>
      <c r="F4137" s="71">
        <v>2020</v>
      </c>
      <c r="G4137" s="12">
        <v>13899</v>
      </c>
      <c r="H4137" s="12">
        <v>22899</v>
      </c>
      <c r="I4137" s="72">
        <v>3.4000000000000002E-2</v>
      </c>
      <c r="J4137" s="12">
        <v>-241.57</v>
      </c>
    </row>
    <row r="4138" spans="3:10" x14ac:dyDescent="0.35">
      <c r="C4138" t="s">
        <v>12</v>
      </c>
      <c r="D4138" t="s">
        <v>34</v>
      </c>
      <c r="E4138" s="3" t="s">
        <v>106</v>
      </c>
      <c r="F4138" s="71">
        <v>2020</v>
      </c>
      <c r="G4138" s="12">
        <v>22899</v>
      </c>
      <c r="H4138" s="12">
        <v>38499</v>
      </c>
      <c r="I4138" s="72">
        <v>0.05</v>
      </c>
      <c r="J4138" s="12">
        <v>-427.71</v>
      </c>
    </row>
    <row r="4139" spans="3:10" x14ac:dyDescent="0.35">
      <c r="C4139" t="s">
        <v>12</v>
      </c>
      <c r="D4139" t="s">
        <v>34</v>
      </c>
      <c r="E4139" s="3" t="s">
        <v>107</v>
      </c>
      <c r="F4139" s="71">
        <v>2020</v>
      </c>
      <c r="G4139" s="12">
        <v>38499</v>
      </c>
      <c r="H4139" s="12">
        <v>82000</v>
      </c>
      <c r="I4139" s="72">
        <v>5.8999999999999997E-2</v>
      </c>
      <c r="J4139" s="12">
        <v>-774.2</v>
      </c>
    </row>
    <row r="4140" spans="3:10" x14ac:dyDescent="0.35">
      <c r="C4140" t="s">
        <v>12</v>
      </c>
      <c r="D4140" t="s">
        <v>34</v>
      </c>
      <c r="E4140" s="3" t="s">
        <v>108</v>
      </c>
      <c r="F4140" s="71">
        <v>2020</v>
      </c>
      <c r="G4140" s="12">
        <v>82000</v>
      </c>
      <c r="H4140" s="12">
        <v>83000</v>
      </c>
      <c r="I4140" s="72">
        <v>6.6000000000000003E-2</v>
      </c>
      <c r="J4140" s="12">
        <v>-1255.7</v>
      </c>
    </row>
    <row r="4141" spans="3:10" x14ac:dyDescent="0.35">
      <c r="C4141" t="s">
        <v>12</v>
      </c>
      <c r="D4141" t="s">
        <v>34</v>
      </c>
      <c r="E4141" s="3" t="s">
        <v>152</v>
      </c>
      <c r="F4141" s="71">
        <v>2020</v>
      </c>
      <c r="G4141" s="12">
        <v>83000</v>
      </c>
      <c r="H4141" s="12">
        <v>84000</v>
      </c>
      <c r="I4141" s="72">
        <v>6.6000000000000003E-2</v>
      </c>
      <c r="J4141" s="12">
        <v>-1155.7</v>
      </c>
    </row>
    <row r="4142" spans="3:10" x14ac:dyDescent="0.35">
      <c r="C4142" t="s">
        <v>12</v>
      </c>
      <c r="D4142" t="s">
        <v>34</v>
      </c>
      <c r="E4142" s="3" t="s">
        <v>153</v>
      </c>
      <c r="F4142" s="71">
        <v>2020</v>
      </c>
      <c r="G4142" s="12">
        <v>84000</v>
      </c>
      <c r="H4142" s="12">
        <v>85300</v>
      </c>
      <c r="I4142" s="72">
        <v>6.6000000000000003E-2</v>
      </c>
      <c r="J4142" s="12">
        <v>-1055.7</v>
      </c>
    </row>
    <row r="4143" spans="3:10" x14ac:dyDescent="0.35">
      <c r="C4143" t="s">
        <v>12</v>
      </c>
      <c r="D4143" t="s">
        <v>34</v>
      </c>
      <c r="E4143" s="3" t="s">
        <v>154</v>
      </c>
      <c r="F4143" s="71">
        <v>2020</v>
      </c>
      <c r="G4143" s="12">
        <v>85300</v>
      </c>
      <c r="H4143" s="12">
        <v>86400</v>
      </c>
      <c r="I4143" s="72">
        <v>6.6000000000000003E-2</v>
      </c>
      <c r="J4143" s="12">
        <v>-955.7</v>
      </c>
    </row>
    <row r="4144" spans="3:10" x14ac:dyDescent="0.35">
      <c r="C4144" t="s">
        <v>12</v>
      </c>
      <c r="D4144" t="s">
        <v>34</v>
      </c>
      <c r="E4144" s="3" t="s">
        <v>155</v>
      </c>
      <c r="F4144" s="71">
        <v>2020</v>
      </c>
      <c r="G4144" s="12">
        <v>86400</v>
      </c>
      <c r="H4144" s="12">
        <v>87500</v>
      </c>
      <c r="I4144" s="72">
        <v>6.6000000000000003E-2</v>
      </c>
      <c r="J4144" s="12">
        <v>-855.7</v>
      </c>
    </row>
    <row r="4145" spans="3:10" x14ac:dyDescent="0.35">
      <c r="C4145" t="s">
        <v>12</v>
      </c>
      <c r="D4145" t="s">
        <v>34</v>
      </c>
      <c r="E4145" s="3" t="s">
        <v>156</v>
      </c>
      <c r="F4145" s="71">
        <v>2020</v>
      </c>
      <c r="G4145" s="12">
        <v>87500</v>
      </c>
      <c r="H4145" s="12"/>
      <c r="I4145" s="31">
        <v>6.6000000000000003E-2</v>
      </c>
      <c r="J4145" s="12">
        <v>-815.7</v>
      </c>
    </row>
    <row r="4146" spans="3:10" x14ac:dyDescent="0.35">
      <c r="C4146" t="s">
        <v>12</v>
      </c>
      <c r="D4146" t="s">
        <v>41</v>
      </c>
      <c r="E4146" s="3" t="s">
        <v>85</v>
      </c>
      <c r="F4146" s="71">
        <v>2020</v>
      </c>
      <c r="G4146" s="12">
        <v>0</v>
      </c>
      <c r="H4146" s="12">
        <v>4699</v>
      </c>
      <c r="I4146" s="72">
        <v>0</v>
      </c>
      <c r="J4146" s="12">
        <v>0</v>
      </c>
    </row>
    <row r="4147" spans="3:10" x14ac:dyDescent="0.35">
      <c r="C4147" t="s">
        <v>12</v>
      </c>
      <c r="D4147" t="s">
        <v>41</v>
      </c>
      <c r="E4147" s="3" t="s">
        <v>87</v>
      </c>
      <c r="F4147" s="71">
        <v>2020</v>
      </c>
      <c r="G4147" s="12">
        <v>4699</v>
      </c>
      <c r="H4147" s="12">
        <v>9199</v>
      </c>
      <c r="I4147" s="72">
        <v>0.02</v>
      </c>
      <c r="J4147" s="12">
        <v>-93.98</v>
      </c>
    </row>
    <row r="4148" spans="3:10" x14ac:dyDescent="0.35">
      <c r="C4148" t="s">
        <v>12</v>
      </c>
      <c r="D4148" t="s">
        <v>41</v>
      </c>
      <c r="E4148" s="3" t="s">
        <v>88</v>
      </c>
      <c r="F4148" s="71">
        <v>2020</v>
      </c>
      <c r="G4148" s="12">
        <v>9199</v>
      </c>
      <c r="H4148" s="12">
        <v>13899</v>
      </c>
      <c r="I4148" s="72">
        <v>0.03</v>
      </c>
      <c r="J4148" s="12">
        <v>-185.97</v>
      </c>
    </row>
    <row r="4149" spans="3:10" x14ac:dyDescent="0.35">
      <c r="C4149" t="s">
        <v>12</v>
      </c>
      <c r="D4149" t="s">
        <v>41</v>
      </c>
      <c r="E4149" s="3" t="s">
        <v>105</v>
      </c>
      <c r="F4149" s="71">
        <v>2020</v>
      </c>
      <c r="G4149" s="12">
        <v>13899</v>
      </c>
      <c r="H4149" s="12">
        <v>22899</v>
      </c>
      <c r="I4149" s="72">
        <v>3.4000000000000002E-2</v>
      </c>
      <c r="J4149" s="12">
        <v>-241.57</v>
      </c>
    </row>
    <row r="4150" spans="3:10" x14ac:dyDescent="0.35">
      <c r="C4150" t="s">
        <v>12</v>
      </c>
      <c r="D4150" t="s">
        <v>41</v>
      </c>
      <c r="E4150" s="3" t="s">
        <v>106</v>
      </c>
      <c r="F4150" s="71">
        <v>2020</v>
      </c>
      <c r="G4150" s="12">
        <v>22899</v>
      </c>
      <c r="H4150" s="12">
        <v>38499</v>
      </c>
      <c r="I4150" s="72">
        <v>0.05</v>
      </c>
      <c r="J4150" s="12">
        <v>-427.71</v>
      </c>
    </row>
    <row r="4151" spans="3:10" x14ac:dyDescent="0.35">
      <c r="C4151" t="s">
        <v>12</v>
      </c>
      <c r="D4151" t="s">
        <v>41</v>
      </c>
      <c r="E4151" s="3" t="s">
        <v>107</v>
      </c>
      <c r="F4151" s="71">
        <v>2020</v>
      </c>
      <c r="G4151" s="12">
        <v>38499</v>
      </c>
      <c r="H4151" s="12">
        <v>82000</v>
      </c>
      <c r="I4151" s="72">
        <v>5.8999999999999997E-2</v>
      </c>
      <c r="J4151" s="12">
        <v>-774.2</v>
      </c>
    </row>
    <row r="4152" spans="3:10" x14ac:dyDescent="0.35">
      <c r="C4152" t="s">
        <v>12</v>
      </c>
      <c r="D4152" t="s">
        <v>41</v>
      </c>
      <c r="E4152" s="3" t="s">
        <v>108</v>
      </c>
      <c r="F4152" s="71">
        <v>2020</v>
      </c>
      <c r="G4152" s="12">
        <v>82000</v>
      </c>
      <c r="H4152" s="12">
        <v>83000</v>
      </c>
      <c r="I4152" s="72">
        <v>6.6000000000000003E-2</v>
      </c>
      <c r="J4152" s="12">
        <v>-1255.7</v>
      </c>
    </row>
    <row r="4153" spans="3:10" x14ac:dyDescent="0.35">
      <c r="C4153" t="s">
        <v>12</v>
      </c>
      <c r="D4153" t="s">
        <v>41</v>
      </c>
      <c r="E4153" s="3" t="s">
        <v>152</v>
      </c>
      <c r="F4153" s="71">
        <v>2020</v>
      </c>
      <c r="G4153" s="12">
        <v>83000</v>
      </c>
      <c r="H4153" s="12">
        <v>84000</v>
      </c>
      <c r="I4153" s="72">
        <v>6.6000000000000003E-2</v>
      </c>
      <c r="J4153" s="12">
        <v>-1155.7</v>
      </c>
    </row>
    <row r="4154" spans="3:10" x14ac:dyDescent="0.35">
      <c r="C4154" t="s">
        <v>12</v>
      </c>
      <c r="D4154" t="s">
        <v>41</v>
      </c>
      <c r="E4154" s="3" t="s">
        <v>153</v>
      </c>
      <c r="F4154" s="71">
        <v>2020</v>
      </c>
      <c r="G4154" s="12">
        <v>84000</v>
      </c>
      <c r="H4154" s="12">
        <v>85300</v>
      </c>
      <c r="I4154" s="72">
        <v>6.6000000000000003E-2</v>
      </c>
      <c r="J4154" s="12">
        <v>-1055.7</v>
      </c>
    </row>
    <row r="4155" spans="3:10" x14ac:dyDescent="0.35">
      <c r="C4155" t="s">
        <v>12</v>
      </c>
      <c r="D4155" t="s">
        <v>41</v>
      </c>
      <c r="E4155" s="3" t="s">
        <v>154</v>
      </c>
      <c r="F4155" s="71">
        <v>2020</v>
      </c>
      <c r="G4155" s="12">
        <v>85300</v>
      </c>
      <c r="H4155" s="12">
        <v>86400</v>
      </c>
      <c r="I4155" s="72">
        <v>6.6000000000000003E-2</v>
      </c>
      <c r="J4155" s="12">
        <v>-955.7</v>
      </c>
    </row>
    <row r="4156" spans="3:10" x14ac:dyDescent="0.35">
      <c r="C4156" t="s">
        <v>12</v>
      </c>
      <c r="D4156" t="s">
        <v>41</v>
      </c>
      <c r="E4156" s="3" t="s">
        <v>155</v>
      </c>
      <c r="F4156" s="71">
        <v>2020</v>
      </c>
      <c r="G4156" s="12">
        <v>86400</v>
      </c>
      <c r="H4156" s="12">
        <v>87500</v>
      </c>
      <c r="I4156" s="72">
        <v>6.6000000000000003E-2</v>
      </c>
      <c r="J4156" s="12">
        <v>-855.7</v>
      </c>
    </row>
    <row r="4157" spans="3:10" x14ac:dyDescent="0.35">
      <c r="C4157" t="s">
        <v>12</v>
      </c>
      <c r="D4157" t="s">
        <v>41</v>
      </c>
      <c r="E4157" s="3" t="s">
        <v>156</v>
      </c>
      <c r="F4157" s="71">
        <v>2020</v>
      </c>
      <c r="G4157" s="12">
        <v>87500</v>
      </c>
      <c r="H4157" s="12"/>
      <c r="I4157" s="31">
        <v>6.6000000000000003E-2</v>
      </c>
      <c r="J4157" s="12">
        <v>-815.7</v>
      </c>
    </row>
    <row r="4158" spans="3:10" x14ac:dyDescent="0.35">
      <c r="C4158" t="s">
        <v>12</v>
      </c>
      <c r="D4158" t="s">
        <v>33</v>
      </c>
      <c r="E4158" s="3" t="s">
        <v>85</v>
      </c>
      <c r="F4158" s="71">
        <v>2021</v>
      </c>
      <c r="G4158" s="12">
        <v>0</v>
      </c>
      <c r="H4158" s="12">
        <v>4799</v>
      </c>
      <c r="I4158" s="72">
        <v>0</v>
      </c>
      <c r="J4158" s="12">
        <v>0</v>
      </c>
    </row>
    <row r="4159" spans="3:10" x14ac:dyDescent="0.35">
      <c r="C4159" t="s">
        <v>12</v>
      </c>
      <c r="D4159" t="s">
        <v>33</v>
      </c>
      <c r="E4159" s="3" t="s">
        <v>87</v>
      </c>
      <c r="F4159" s="71">
        <v>2021</v>
      </c>
      <c r="G4159" s="12">
        <v>4799</v>
      </c>
      <c r="H4159" s="12">
        <v>9499</v>
      </c>
      <c r="I4159" s="72">
        <v>0.02</v>
      </c>
      <c r="J4159" s="12">
        <v>-95.98</v>
      </c>
    </row>
    <row r="4160" spans="3:10" x14ac:dyDescent="0.35">
      <c r="C4160" t="s">
        <v>12</v>
      </c>
      <c r="D4160" t="s">
        <v>33</v>
      </c>
      <c r="E4160" s="3" t="s">
        <v>88</v>
      </c>
      <c r="F4160" s="71">
        <v>2021</v>
      </c>
      <c r="G4160" s="12">
        <v>9499</v>
      </c>
      <c r="H4160" s="12">
        <v>14299</v>
      </c>
      <c r="I4160" s="72">
        <v>0.03</v>
      </c>
      <c r="J4160" s="12">
        <v>-190.97</v>
      </c>
    </row>
    <row r="4161" spans="3:10" x14ac:dyDescent="0.35">
      <c r="C4161" t="s">
        <v>12</v>
      </c>
      <c r="D4161" t="s">
        <v>33</v>
      </c>
      <c r="E4161" s="3" t="s">
        <v>105</v>
      </c>
      <c r="F4161" s="71">
        <v>2021</v>
      </c>
      <c r="G4161" s="12">
        <v>14299</v>
      </c>
      <c r="H4161" s="12">
        <v>23599</v>
      </c>
      <c r="I4161" s="72">
        <v>3.4000000000000002E-2</v>
      </c>
      <c r="J4161" s="12">
        <v>-248.17</v>
      </c>
    </row>
    <row r="4162" spans="3:10" x14ac:dyDescent="0.35">
      <c r="C4162" t="s">
        <v>12</v>
      </c>
      <c r="D4162" t="s">
        <v>33</v>
      </c>
      <c r="E4162" s="3" t="s">
        <v>106</v>
      </c>
      <c r="F4162" s="71">
        <v>2021</v>
      </c>
      <c r="G4162" s="12">
        <v>23599</v>
      </c>
      <c r="H4162" s="12">
        <v>39699</v>
      </c>
      <c r="I4162" s="72">
        <v>0.05</v>
      </c>
      <c r="J4162" s="12">
        <v>-439.96</v>
      </c>
    </row>
    <row r="4163" spans="3:10" x14ac:dyDescent="0.35">
      <c r="C4163" t="s">
        <v>12</v>
      </c>
      <c r="D4163" t="s">
        <v>33</v>
      </c>
      <c r="E4163" s="3" t="s">
        <v>107</v>
      </c>
      <c r="F4163" s="71">
        <v>2021</v>
      </c>
      <c r="G4163" s="12">
        <v>39699</v>
      </c>
      <c r="H4163" s="12">
        <v>84500</v>
      </c>
      <c r="I4163" s="72">
        <v>5.8999999999999997E-2</v>
      </c>
      <c r="J4163" s="12">
        <v>-797.25</v>
      </c>
    </row>
    <row r="4164" spans="3:10" x14ac:dyDescent="0.35">
      <c r="C4164" t="s">
        <v>12</v>
      </c>
      <c r="D4164" t="s">
        <v>33</v>
      </c>
      <c r="E4164" s="3" t="s">
        <v>108</v>
      </c>
      <c r="F4164" s="71">
        <v>2021</v>
      </c>
      <c r="G4164" s="12">
        <v>84500</v>
      </c>
      <c r="H4164" s="12">
        <v>85500</v>
      </c>
      <c r="I4164" s="72">
        <v>5.8999999999999997E-2</v>
      </c>
      <c r="J4164" s="12">
        <v>-687.5</v>
      </c>
    </row>
    <row r="4165" spans="3:10" x14ac:dyDescent="0.35">
      <c r="C4165" t="s">
        <v>12</v>
      </c>
      <c r="D4165" t="s">
        <v>33</v>
      </c>
      <c r="E4165" s="3" t="s">
        <v>152</v>
      </c>
      <c r="F4165" s="71">
        <v>2021</v>
      </c>
      <c r="G4165" s="12">
        <v>85500</v>
      </c>
      <c r="H4165" s="12">
        <v>86500</v>
      </c>
      <c r="I4165" s="72">
        <v>5.8999999999999997E-2</v>
      </c>
      <c r="J4165" s="12">
        <v>-587.5</v>
      </c>
    </row>
    <row r="4166" spans="3:10" x14ac:dyDescent="0.35">
      <c r="C4166" t="s">
        <v>12</v>
      </c>
      <c r="D4166" t="s">
        <v>33</v>
      </c>
      <c r="E4166" s="3" t="s">
        <v>153</v>
      </c>
      <c r="F4166" s="71">
        <v>2021</v>
      </c>
      <c r="G4166" s="12">
        <v>86500</v>
      </c>
      <c r="H4166" s="12">
        <v>87900</v>
      </c>
      <c r="I4166" s="72">
        <v>5.8999999999999997E-2</v>
      </c>
      <c r="J4166" s="12">
        <v>-487.5</v>
      </c>
    </row>
    <row r="4167" spans="3:10" x14ac:dyDescent="0.35">
      <c r="C4167" t="s">
        <v>12</v>
      </c>
      <c r="D4167" t="s">
        <v>33</v>
      </c>
      <c r="E4167" s="3" t="s">
        <v>154</v>
      </c>
      <c r="F4167" s="71">
        <v>2021</v>
      </c>
      <c r="G4167" s="12">
        <v>87900</v>
      </c>
      <c r="H4167" s="12">
        <v>89000</v>
      </c>
      <c r="I4167" s="72">
        <v>5.8999999999999997E-2</v>
      </c>
      <c r="J4167" s="12">
        <v>-387.5</v>
      </c>
    </row>
    <row r="4168" spans="3:10" x14ac:dyDescent="0.35">
      <c r="C4168" t="s">
        <v>12</v>
      </c>
      <c r="D4168" t="s">
        <v>33</v>
      </c>
      <c r="E4168" s="3" t="s">
        <v>155</v>
      </c>
      <c r="F4168" s="71">
        <v>2021</v>
      </c>
      <c r="G4168" s="12">
        <v>89000</v>
      </c>
      <c r="H4168" s="12">
        <v>90100</v>
      </c>
      <c r="I4168" s="72">
        <v>5.8999999999999997E-2</v>
      </c>
      <c r="J4168" s="12">
        <v>-287.5</v>
      </c>
    </row>
    <row r="4169" spans="3:10" x14ac:dyDescent="0.35">
      <c r="C4169" t="s">
        <v>12</v>
      </c>
      <c r="D4169" t="s">
        <v>33</v>
      </c>
      <c r="E4169" s="3" t="s">
        <v>156</v>
      </c>
      <c r="F4169" s="71">
        <v>2021</v>
      </c>
      <c r="G4169" s="12">
        <v>90100</v>
      </c>
      <c r="H4169" s="12"/>
      <c r="I4169" s="31">
        <v>5.8999999999999997E-2</v>
      </c>
      <c r="J4169" s="12">
        <v>-247.5</v>
      </c>
    </row>
    <row r="4170" spans="3:10" x14ac:dyDescent="0.35">
      <c r="C4170" t="s">
        <v>12</v>
      </c>
      <c r="D4170" t="s">
        <v>40</v>
      </c>
      <c r="E4170" s="3" t="s">
        <v>85</v>
      </c>
      <c r="F4170" s="71">
        <v>2021</v>
      </c>
      <c r="G4170" s="12">
        <v>0</v>
      </c>
      <c r="H4170" s="12">
        <v>4799</v>
      </c>
      <c r="I4170" s="72">
        <v>0</v>
      </c>
      <c r="J4170" s="12">
        <v>0</v>
      </c>
    </row>
    <row r="4171" spans="3:10" x14ac:dyDescent="0.35">
      <c r="C4171" t="s">
        <v>12</v>
      </c>
      <c r="D4171" t="s">
        <v>40</v>
      </c>
      <c r="E4171" s="3" t="s">
        <v>87</v>
      </c>
      <c r="F4171" s="71">
        <v>2021</v>
      </c>
      <c r="G4171" s="12">
        <v>4799</v>
      </c>
      <c r="H4171" s="12">
        <v>9499</v>
      </c>
      <c r="I4171" s="72">
        <v>0.02</v>
      </c>
      <c r="J4171" s="12">
        <v>-95.98</v>
      </c>
    </row>
    <row r="4172" spans="3:10" x14ac:dyDescent="0.35">
      <c r="C4172" t="s">
        <v>12</v>
      </c>
      <c r="D4172" t="s">
        <v>40</v>
      </c>
      <c r="E4172" s="3" t="s">
        <v>88</v>
      </c>
      <c r="F4172" s="71">
        <v>2021</v>
      </c>
      <c r="G4172" s="12">
        <v>9499</v>
      </c>
      <c r="H4172" s="12">
        <v>14299</v>
      </c>
      <c r="I4172" s="72">
        <v>0.03</v>
      </c>
      <c r="J4172" s="12">
        <v>-190.97</v>
      </c>
    </row>
    <row r="4173" spans="3:10" x14ac:dyDescent="0.35">
      <c r="C4173" t="s">
        <v>12</v>
      </c>
      <c r="D4173" t="s">
        <v>40</v>
      </c>
      <c r="E4173" s="3" t="s">
        <v>105</v>
      </c>
      <c r="F4173" s="71">
        <v>2021</v>
      </c>
      <c r="G4173" s="12">
        <v>14299</v>
      </c>
      <c r="H4173" s="12">
        <v>23599</v>
      </c>
      <c r="I4173" s="72">
        <v>3.4000000000000002E-2</v>
      </c>
      <c r="J4173" s="12">
        <v>-248.17</v>
      </c>
    </row>
    <row r="4174" spans="3:10" x14ac:dyDescent="0.35">
      <c r="C4174" t="s">
        <v>12</v>
      </c>
      <c r="D4174" t="s">
        <v>40</v>
      </c>
      <c r="E4174" s="3" t="s">
        <v>106</v>
      </c>
      <c r="F4174" s="71">
        <v>2021</v>
      </c>
      <c r="G4174" s="12">
        <v>23599</v>
      </c>
      <c r="H4174" s="12">
        <v>39699</v>
      </c>
      <c r="I4174" s="72">
        <v>0.05</v>
      </c>
      <c r="J4174" s="12">
        <v>-439.96</v>
      </c>
    </row>
    <row r="4175" spans="3:10" x14ac:dyDescent="0.35">
      <c r="C4175" t="s">
        <v>12</v>
      </c>
      <c r="D4175" t="s">
        <v>40</v>
      </c>
      <c r="E4175" s="3" t="s">
        <v>107</v>
      </c>
      <c r="F4175" s="71">
        <v>2021</v>
      </c>
      <c r="G4175" s="12">
        <v>39699</v>
      </c>
      <c r="H4175" s="12">
        <v>84500</v>
      </c>
      <c r="I4175" s="72">
        <v>5.8999999999999997E-2</v>
      </c>
      <c r="J4175" s="12">
        <v>-797.25</v>
      </c>
    </row>
    <row r="4176" spans="3:10" x14ac:dyDescent="0.35">
      <c r="C4176" t="s">
        <v>12</v>
      </c>
      <c r="D4176" t="s">
        <v>40</v>
      </c>
      <c r="E4176" s="3" t="s">
        <v>108</v>
      </c>
      <c r="F4176" s="71">
        <v>2021</v>
      </c>
      <c r="G4176" s="12">
        <v>84500</v>
      </c>
      <c r="H4176" s="12">
        <v>85500</v>
      </c>
      <c r="I4176" s="72">
        <v>5.8999999999999997E-2</v>
      </c>
      <c r="J4176" s="12">
        <v>-687.5</v>
      </c>
    </row>
    <row r="4177" spans="3:10" x14ac:dyDescent="0.35">
      <c r="C4177" t="s">
        <v>12</v>
      </c>
      <c r="D4177" t="s">
        <v>40</v>
      </c>
      <c r="E4177" s="3" t="s">
        <v>152</v>
      </c>
      <c r="F4177" s="71">
        <v>2021</v>
      </c>
      <c r="G4177" s="12">
        <v>85500</v>
      </c>
      <c r="H4177" s="12">
        <v>86500</v>
      </c>
      <c r="I4177" s="72">
        <v>5.8999999999999997E-2</v>
      </c>
      <c r="J4177" s="12">
        <v>-587.5</v>
      </c>
    </row>
    <row r="4178" spans="3:10" x14ac:dyDescent="0.35">
      <c r="C4178" t="s">
        <v>12</v>
      </c>
      <c r="D4178" t="s">
        <v>40</v>
      </c>
      <c r="E4178" s="3" t="s">
        <v>153</v>
      </c>
      <c r="F4178" s="71">
        <v>2021</v>
      </c>
      <c r="G4178" s="12">
        <v>86500</v>
      </c>
      <c r="H4178" s="12">
        <v>87900</v>
      </c>
      <c r="I4178" s="72">
        <v>5.8999999999999997E-2</v>
      </c>
      <c r="J4178" s="12">
        <v>-487.5</v>
      </c>
    </row>
    <row r="4179" spans="3:10" x14ac:dyDescent="0.35">
      <c r="C4179" t="s">
        <v>12</v>
      </c>
      <c r="D4179" t="s">
        <v>40</v>
      </c>
      <c r="E4179" s="3" t="s">
        <v>154</v>
      </c>
      <c r="F4179" s="71">
        <v>2021</v>
      </c>
      <c r="G4179" s="12">
        <v>87900</v>
      </c>
      <c r="H4179" s="12">
        <v>89000</v>
      </c>
      <c r="I4179" s="72">
        <v>5.8999999999999997E-2</v>
      </c>
      <c r="J4179" s="12">
        <v>-387.5</v>
      </c>
    </row>
    <row r="4180" spans="3:10" x14ac:dyDescent="0.35">
      <c r="C4180" t="s">
        <v>12</v>
      </c>
      <c r="D4180" t="s">
        <v>40</v>
      </c>
      <c r="E4180" s="3" t="s">
        <v>155</v>
      </c>
      <c r="F4180" s="71">
        <v>2021</v>
      </c>
      <c r="G4180" s="12">
        <v>89000</v>
      </c>
      <c r="H4180" s="12">
        <v>90100</v>
      </c>
      <c r="I4180" s="72">
        <v>5.8999999999999997E-2</v>
      </c>
      <c r="J4180" s="12">
        <v>-287.5</v>
      </c>
    </row>
    <row r="4181" spans="3:10" x14ac:dyDescent="0.35">
      <c r="C4181" t="s">
        <v>12</v>
      </c>
      <c r="D4181" t="s">
        <v>40</v>
      </c>
      <c r="E4181" s="3" t="s">
        <v>156</v>
      </c>
      <c r="F4181" s="71">
        <v>2021</v>
      </c>
      <c r="G4181" s="12">
        <v>90100</v>
      </c>
      <c r="H4181" s="12"/>
      <c r="I4181" s="31">
        <v>5.8999999999999997E-2</v>
      </c>
      <c r="J4181" s="12">
        <v>-247.5</v>
      </c>
    </row>
    <row r="4182" spans="3:10" x14ac:dyDescent="0.35">
      <c r="C4182" t="s">
        <v>12</v>
      </c>
      <c r="D4182" t="s">
        <v>34</v>
      </c>
      <c r="E4182" s="3" t="s">
        <v>85</v>
      </c>
      <c r="F4182" s="71">
        <v>2021</v>
      </c>
      <c r="G4182" s="12">
        <v>0</v>
      </c>
      <c r="H4182" s="12">
        <v>4799</v>
      </c>
      <c r="I4182" s="72">
        <v>0</v>
      </c>
      <c r="J4182" s="12">
        <v>0</v>
      </c>
    </row>
    <row r="4183" spans="3:10" x14ac:dyDescent="0.35">
      <c r="C4183" t="s">
        <v>12</v>
      </c>
      <c r="D4183" t="s">
        <v>34</v>
      </c>
      <c r="E4183" s="3" t="s">
        <v>87</v>
      </c>
      <c r="F4183" s="71">
        <v>2021</v>
      </c>
      <c r="G4183" s="12">
        <v>4799</v>
      </c>
      <c r="H4183" s="12">
        <v>9499</v>
      </c>
      <c r="I4183" s="72">
        <v>0.02</v>
      </c>
      <c r="J4183" s="12">
        <v>-95.98</v>
      </c>
    </row>
    <row r="4184" spans="3:10" x14ac:dyDescent="0.35">
      <c r="C4184" t="s">
        <v>12</v>
      </c>
      <c r="D4184" t="s">
        <v>34</v>
      </c>
      <c r="E4184" s="3" t="s">
        <v>88</v>
      </c>
      <c r="F4184" s="71">
        <v>2021</v>
      </c>
      <c r="G4184" s="12">
        <v>9499</v>
      </c>
      <c r="H4184" s="12">
        <v>14299</v>
      </c>
      <c r="I4184" s="72">
        <v>0.03</v>
      </c>
      <c r="J4184" s="12">
        <v>-190.97</v>
      </c>
    </row>
    <row r="4185" spans="3:10" x14ac:dyDescent="0.35">
      <c r="C4185" t="s">
        <v>12</v>
      </c>
      <c r="D4185" t="s">
        <v>34</v>
      </c>
      <c r="E4185" s="3" t="s">
        <v>105</v>
      </c>
      <c r="F4185" s="71">
        <v>2021</v>
      </c>
      <c r="G4185" s="12">
        <v>14299</v>
      </c>
      <c r="H4185" s="12">
        <v>23599</v>
      </c>
      <c r="I4185" s="72">
        <v>3.4000000000000002E-2</v>
      </c>
      <c r="J4185" s="12">
        <v>-248.17</v>
      </c>
    </row>
    <row r="4186" spans="3:10" x14ac:dyDescent="0.35">
      <c r="C4186" t="s">
        <v>12</v>
      </c>
      <c r="D4186" t="s">
        <v>34</v>
      </c>
      <c r="E4186" s="3" t="s">
        <v>106</v>
      </c>
      <c r="F4186" s="71">
        <v>2021</v>
      </c>
      <c r="G4186" s="12">
        <v>23599</v>
      </c>
      <c r="H4186" s="12">
        <v>39699</v>
      </c>
      <c r="I4186" s="72">
        <v>0.05</v>
      </c>
      <c r="J4186" s="12">
        <v>-439.96</v>
      </c>
    </row>
    <row r="4187" spans="3:10" x14ac:dyDescent="0.35">
      <c r="C4187" t="s">
        <v>12</v>
      </c>
      <c r="D4187" t="s">
        <v>34</v>
      </c>
      <c r="E4187" s="3" t="s">
        <v>107</v>
      </c>
      <c r="F4187" s="71">
        <v>2021</v>
      </c>
      <c r="G4187" s="12">
        <v>39699</v>
      </c>
      <c r="H4187" s="12">
        <v>84500</v>
      </c>
      <c r="I4187" s="72">
        <v>5.8999999999999997E-2</v>
      </c>
      <c r="J4187" s="12">
        <v>-797.25</v>
      </c>
    </row>
    <row r="4188" spans="3:10" x14ac:dyDescent="0.35">
      <c r="C4188" t="s">
        <v>12</v>
      </c>
      <c r="D4188" t="s">
        <v>34</v>
      </c>
      <c r="E4188" s="3" t="s">
        <v>108</v>
      </c>
      <c r="F4188" s="71">
        <v>2021</v>
      </c>
      <c r="G4188" s="12">
        <v>84500</v>
      </c>
      <c r="H4188" s="12">
        <v>85500</v>
      </c>
      <c r="I4188" s="72">
        <v>5.8999999999999997E-2</v>
      </c>
      <c r="J4188" s="12">
        <v>-687.5</v>
      </c>
    </row>
    <row r="4189" spans="3:10" x14ac:dyDescent="0.35">
      <c r="C4189" t="s">
        <v>12</v>
      </c>
      <c r="D4189" t="s">
        <v>34</v>
      </c>
      <c r="E4189" s="3" t="s">
        <v>152</v>
      </c>
      <c r="F4189" s="71">
        <v>2021</v>
      </c>
      <c r="G4189" s="12">
        <v>85500</v>
      </c>
      <c r="H4189" s="12">
        <v>86500</v>
      </c>
      <c r="I4189" s="72">
        <v>5.8999999999999997E-2</v>
      </c>
      <c r="J4189" s="12">
        <v>-587.5</v>
      </c>
    </row>
    <row r="4190" spans="3:10" x14ac:dyDescent="0.35">
      <c r="C4190" t="s">
        <v>12</v>
      </c>
      <c r="D4190" t="s">
        <v>34</v>
      </c>
      <c r="E4190" s="3" t="s">
        <v>153</v>
      </c>
      <c r="F4190" s="71">
        <v>2021</v>
      </c>
      <c r="G4190" s="12">
        <v>86500</v>
      </c>
      <c r="H4190" s="12">
        <v>87900</v>
      </c>
      <c r="I4190" s="72">
        <v>5.8999999999999997E-2</v>
      </c>
      <c r="J4190" s="12">
        <v>-487.5</v>
      </c>
    </row>
    <row r="4191" spans="3:10" x14ac:dyDescent="0.35">
      <c r="C4191" t="s">
        <v>12</v>
      </c>
      <c r="D4191" t="s">
        <v>34</v>
      </c>
      <c r="E4191" s="3" t="s">
        <v>154</v>
      </c>
      <c r="F4191" s="71">
        <v>2021</v>
      </c>
      <c r="G4191" s="12">
        <v>87900</v>
      </c>
      <c r="H4191" s="12">
        <v>89000</v>
      </c>
      <c r="I4191" s="72">
        <v>5.8999999999999997E-2</v>
      </c>
      <c r="J4191" s="12">
        <v>-387.5</v>
      </c>
    </row>
    <row r="4192" spans="3:10" x14ac:dyDescent="0.35">
      <c r="C4192" t="s">
        <v>12</v>
      </c>
      <c r="D4192" t="s">
        <v>34</v>
      </c>
      <c r="E4192" s="3" t="s">
        <v>155</v>
      </c>
      <c r="F4192" s="71">
        <v>2021</v>
      </c>
      <c r="G4192" s="12">
        <v>89000</v>
      </c>
      <c r="H4192" s="12">
        <v>90100</v>
      </c>
      <c r="I4192" s="72">
        <v>5.8999999999999997E-2</v>
      </c>
      <c r="J4192" s="12">
        <v>-287.5</v>
      </c>
    </row>
    <row r="4193" spans="3:10" x14ac:dyDescent="0.35">
      <c r="C4193" t="s">
        <v>12</v>
      </c>
      <c r="D4193" t="s">
        <v>34</v>
      </c>
      <c r="E4193" s="3" t="s">
        <v>156</v>
      </c>
      <c r="F4193" s="71">
        <v>2021</v>
      </c>
      <c r="G4193" s="12">
        <v>90100</v>
      </c>
      <c r="H4193" s="12"/>
      <c r="I4193" s="31">
        <v>5.8999999999999997E-2</v>
      </c>
      <c r="J4193" s="12">
        <v>-247.5</v>
      </c>
    </row>
    <row r="4194" spans="3:10" x14ac:dyDescent="0.35">
      <c r="C4194" t="s">
        <v>12</v>
      </c>
      <c r="D4194" t="s">
        <v>41</v>
      </c>
      <c r="E4194" s="3" t="s">
        <v>85</v>
      </c>
      <c r="F4194" s="71">
        <v>2021</v>
      </c>
      <c r="G4194" s="12">
        <v>0</v>
      </c>
      <c r="H4194" s="12">
        <v>4799</v>
      </c>
      <c r="I4194" s="72">
        <v>0</v>
      </c>
      <c r="J4194" s="12">
        <v>0</v>
      </c>
    </row>
    <row r="4195" spans="3:10" x14ac:dyDescent="0.35">
      <c r="C4195" t="s">
        <v>12</v>
      </c>
      <c r="D4195" t="s">
        <v>41</v>
      </c>
      <c r="E4195" s="3" t="s">
        <v>87</v>
      </c>
      <c r="F4195" s="71">
        <v>2021</v>
      </c>
      <c r="G4195" s="12">
        <v>4799</v>
      </c>
      <c r="H4195" s="12">
        <v>9499</v>
      </c>
      <c r="I4195" s="72">
        <v>0.02</v>
      </c>
      <c r="J4195" s="12">
        <v>-95.98</v>
      </c>
    </row>
    <row r="4196" spans="3:10" x14ac:dyDescent="0.35">
      <c r="C4196" t="s">
        <v>12</v>
      </c>
      <c r="D4196" t="s">
        <v>41</v>
      </c>
      <c r="E4196" s="3" t="s">
        <v>88</v>
      </c>
      <c r="F4196" s="71">
        <v>2021</v>
      </c>
      <c r="G4196" s="12">
        <v>9499</v>
      </c>
      <c r="H4196" s="12">
        <v>14299</v>
      </c>
      <c r="I4196" s="72">
        <v>0.03</v>
      </c>
      <c r="J4196" s="12">
        <v>-190.97</v>
      </c>
    </row>
    <row r="4197" spans="3:10" x14ac:dyDescent="0.35">
      <c r="C4197" t="s">
        <v>12</v>
      </c>
      <c r="D4197" t="s">
        <v>41</v>
      </c>
      <c r="E4197" s="3" t="s">
        <v>105</v>
      </c>
      <c r="F4197" s="71">
        <v>2021</v>
      </c>
      <c r="G4197" s="12">
        <v>14299</v>
      </c>
      <c r="H4197" s="12">
        <v>23599</v>
      </c>
      <c r="I4197" s="72">
        <v>3.4000000000000002E-2</v>
      </c>
      <c r="J4197" s="12">
        <v>-248.17</v>
      </c>
    </row>
    <row r="4198" spans="3:10" x14ac:dyDescent="0.35">
      <c r="C4198" t="s">
        <v>12</v>
      </c>
      <c r="D4198" t="s">
        <v>41</v>
      </c>
      <c r="E4198" s="3" t="s">
        <v>106</v>
      </c>
      <c r="F4198" s="71">
        <v>2021</v>
      </c>
      <c r="G4198" s="12">
        <v>23599</v>
      </c>
      <c r="H4198" s="12">
        <v>39699</v>
      </c>
      <c r="I4198" s="72">
        <v>0.05</v>
      </c>
      <c r="J4198" s="12">
        <v>-439.96</v>
      </c>
    </row>
    <row r="4199" spans="3:10" x14ac:dyDescent="0.35">
      <c r="C4199" t="s">
        <v>12</v>
      </c>
      <c r="D4199" t="s">
        <v>41</v>
      </c>
      <c r="E4199" s="3" t="s">
        <v>107</v>
      </c>
      <c r="F4199" s="71">
        <v>2021</v>
      </c>
      <c r="G4199" s="12">
        <v>39699</v>
      </c>
      <c r="H4199" s="12">
        <v>84500</v>
      </c>
      <c r="I4199" s="72">
        <v>5.8999999999999997E-2</v>
      </c>
      <c r="J4199" s="12">
        <v>-797.25</v>
      </c>
    </row>
    <row r="4200" spans="3:10" x14ac:dyDescent="0.35">
      <c r="C4200" t="s">
        <v>12</v>
      </c>
      <c r="D4200" t="s">
        <v>41</v>
      </c>
      <c r="E4200" s="3" t="s">
        <v>108</v>
      </c>
      <c r="F4200" s="71">
        <v>2021</v>
      </c>
      <c r="G4200" s="12">
        <v>84500</v>
      </c>
      <c r="H4200" s="12">
        <v>85500</v>
      </c>
      <c r="I4200" s="72">
        <v>5.8999999999999997E-2</v>
      </c>
      <c r="J4200" s="12">
        <v>-687.5</v>
      </c>
    </row>
    <row r="4201" spans="3:10" x14ac:dyDescent="0.35">
      <c r="C4201" t="s">
        <v>12</v>
      </c>
      <c r="D4201" t="s">
        <v>41</v>
      </c>
      <c r="E4201" s="3" t="s">
        <v>152</v>
      </c>
      <c r="F4201" s="71">
        <v>2021</v>
      </c>
      <c r="G4201" s="12">
        <v>85500</v>
      </c>
      <c r="H4201" s="12">
        <v>86500</v>
      </c>
      <c r="I4201" s="72">
        <v>5.8999999999999997E-2</v>
      </c>
      <c r="J4201" s="12">
        <v>-587.5</v>
      </c>
    </row>
    <row r="4202" spans="3:10" x14ac:dyDescent="0.35">
      <c r="C4202" t="s">
        <v>12</v>
      </c>
      <c r="D4202" t="s">
        <v>41</v>
      </c>
      <c r="E4202" s="3" t="s">
        <v>153</v>
      </c>
      <c r="F4202" s="71">
        <v>2021</v>
      </c>
      <c r="G4202" s="12">
        <v>86500</v>
      </c>
      <c r="H4202" s="12">
        <v>87900</v>
      </c>
      <c r="I4202" s="72">
        <v>5.8999999999999997E-2</v>
      </c>
      <c r="J4202" s="12">
        <v>-487.5</v>
      </c>
    </row>
    <row r="4203" spans="3:10" x14ac:dyDescent="0.35">
      <c r="C4203" t="s">
        <v>12</v>
      </c>
      <c r="D4203" t="s">
        <v>41</v>
      </c>
      <c r="E4203" s="3" t="s">
        <v>154</v>
      </c>
      <c r="F4203" s="71">
        <v>2021</v>
      </c>
      <c r="G4203" s="12">
        <v>87900</v>
      </c>
      <c r="H4203" s="12">
        <v>89000</v>
      </c>
      <c r="I4203" s="72">
        <v>5.8999999999999997E-2</v>
      </c>
      <c r="J4203" s="12">
        <v>-387.5</v>
      </c>
    </row>
    <row r="4204" spans="3:10" x14ac:dyDescent="0.35">
      <c r="C4204" t="s">
        <v>12</v>
      </c>
      <c r="D4204" t="s">
        <v>41</v>
      </c>
      <c r="E4204" s="3" t="s">
        <v>155</v>
      </c>
      <c r="F4204" s="71">
        <v>2021</v>
      </c>
      <c r="G4204" s="12">
        <v>89000</v>
      </c>
      <c r="H4204" s="12">
        <v>90100</v>
      </c>
      <c r="I4204" s="72">
        <v>5.8999999999999997E-2</v>
      </c>
      <c r="J4204" s="12">
        <v>-287.5</v>
      </c>
    </row>
    <row r="4205" spans="3:10" x14ac:dyDescent="0.35">
      <c r="C4205" t="s">
        <v>12</v>
      </c>
      <c r="D4205" t="s">
        <v>41</v>
      </c>
      <c r="E4205" s="3" t="s">
        <v>156</v>
      </c>
      <c r="F4205" s="71">
        <v>2021</v>
      </c>
      <c r="G4205" s="12">
        <v>90100</v>
      </c>
      <c r="H4205" s="12"/>
      <c r="I4205" s="31">
        <v>5.8999999999999997E-2</v>
      </c>
      <c r="J4205" s="12">
        <v>-247.5</v>
      </c>
    </row>
    <row r="4206" spans="3:10" x14ac:dyDescent="0.35">
      <c r="C4206" t="s">
        <v>12</v>
      </c>
      <c r="D4206" t="s">
        <v>33</v>
      </c>
      <c r="E4206" s="3" t="s">
        <v>85</v>
      </c>
      <c r="F4206" s="71">
        <v>2022</v>
      </c>
      <c r="G4206" s="12">
        <v>0</v>
      </c>
      <c r="H4206" s="12">
        <v>5099</v>
      </c>
      <c r="I4206" s="72">
        <v>0</v>
      </c>
      <c r="J4206" s="12">
        <v>0</v>
      </c>
    </row>
    <row r="4207" spans="3:10" x14ac:dyDescent="0.35">
      <c r="C4207" t="s">
        <v>12</v>
      </c>
      <c r="D4207" t="s">
        <v>33</v>
      </c>
      <c r="E4207" s="3" t="s">
        <v>87</v>
      </c>
      <c r="F4207" s="71">
        <v>2022</v>
      </c>
      <c r="G4207" s="12">
        <v>5099</v>
      </c>
      <c r="H4207" s="12">
        <v>10299</v>
      </c>
      <c r="I4207" s="72">
        <v>0.02</v>
      </c>
      <c r="J4207" s="12">
        <v>-101.98</v>
      </c>
    </row>
    <row r="4208" spans="3:10" x14ac:dyDescent="0.35">
      <c r="C4208" t="s">
        <v>12</v>
      </c>
      <c r="D4208" t="s">
        <v>33</v>
      </c>
      <c r="E4208" s="3" t="s">
        <v>88</v>
      </c>
      <c r="F4208" s="71">
        <v>2022</v>
      </c>
      <c r="G4208" s="12">
        <v>10299</v>
      </c>
      <c r="H4208" s="12">
        <v>14699</v>
      </c>
      <c r="I4208" s="72">
        <v>0.03</v>
      </c>
      <c r="J4208" s="12">
        <v>-204.97</v>
      </c>
    </row>
    <row r="4209" spans="3:10" x14ac:dyDescent="0.35">
      <c r="C4209" t="s">
        <v>12</v>
      </c>
      <c r="D4209" t="s">
        <v>33</v>
      </c>
      <c r="E4209" s="3" t="s">
        <v>105</v>
      </c>
      <c r="F4209" s="71">
        <v>2022</v>
      </c>
      <c r="G4209" s="12">
        <v>14699</v>
      </c>
      <c r="H4209" s="12">
        <v>24299</v>
      </c>
      <c r="I4209" s="72">
        <v>3.4000000000000002E-2</v>
      </c>
      <c r="J4209" s="12">
        <v>-263.77</v>
      </c>
    </row>
    <row r="4210" spans="3:10" x14ac:dyDescent="0.35">
      <c r="C4210" t="s">
        <v>12</v>
      </c>
      <c r="D4210" t="s">
        <v>33</v>
      </c>
      <c r="E4210" s="3" t="s">
        <v>106</v>
      </c>
      <c r="F4210" s="71">
        <v>2022</v>
      </c>
      <c r="G4210" s="12">
        <v>24299</v>
      </c>
      <c r="H4210" s="12">
        <v>87000</v>
      </c>
      <c r="I4210" s="72">
        <v>4.9000000000000002E-2</v>
      </c>
      <c r="J4210" s="12">
        <v>-628.25</v>
      </c>
    </row>
    <row r="4211" spans="3:10" x14ac:dyDescent="0.35">
      <c r="C4211" t="s">
        <v>12</v>
      </c>
      <c r="D4211" t="s">
        <v>33</v>
      </c>
      <c r="E4211" s="3" t="s">
        <v>107</v>
      </c>
      <c r="F4211" s="71">
        <v>2022</v>
      </c>
      <c r="G4211" s="12">
        <v>87000</v>
      </c>
      <c r="H4211" s="12">
        <v>87100</v>
      </c>
      <c r="I4211" s="72">
        <v>4.9000000000000002E-2</v>
      </c>
      <c r="J4211" s="12">
        <v>-627.20000000000005</v>
      </c>
    </row>
    <row r="4212" spans="3:10" x14ac:dyDescent="0.35">
      <c r="C4212" t="s">
        <v>12</v>
      </c>
      <c r="D4212" t="s">
        <v>33</v>
      </c>
      <c r="E4212" s="3" t="s">
        <v>108</v>
      </c>
      <c r="F4212" s="71">
        <v>2022</v>
      </c>
      <c r="G4212" s="12">
        <v>87100</v>
      </c>
      <c r="H4212" s="12">
        <v>87200</v>
      </c>
      <c r="I4212" s="72">
        <v>4.9000000000000002E-2</v>
      </c>
      <c r="J4212" s="12">
        <v>-617.20000000000005</v>
      </c>
    </row>
    <row r="4213" spans="3:10" x14ac:dyDescent="0.35">
      <c r="C4213" t="s">
        <v>12</v>
      </c>
      <c r="D4213" t="s">
        <v>33</v>
      </c>
      <c r="E4213" s="3" t="s">
        <v>152</v>
      </c>
      <c r="F4213" s="71">
        <v>2022</v>
      </c>
      <c r="G4213" s="12">
        <v>87200</v>
      </c>
      <c r="H4213" s="12">
        <v>87300</v>
      </c>
      <c r="I4213" s="72">
        <v>4.9000000000000002E-2</v>
      </c>
      <c r="J4213" s="12">
        <v>-607.20000000000005</v>
      </c>
    </row>
    <row r="4214" spans="3:10" x14ac:dyDescent="0.35">
      <c r="C4214" t="s">
        <v>12</v>
      </c>
      <c r="D4214" t="s">
        <v>33</v>
      </c>
      <c r="E4214" s="3" t="s">
        <v>153</v>
      </c>
      <c r="F4214" s="71">
        <v>2022</v>
      </c>
      <c r="G4214" s="12">
        <v>87300</v>
      </c>
      <c r="H4214" s="12">
        <v>87400</v>
      </c>
      <c r="I4214" s="72">
        <v>4.9000000000000002E-2</v>
      </c>
      <c r="J4214" s="12">
        <v>-597.20000000000005</v>
      </c>
    </row>
    <row r="4215" spans="3:10" x14ac:dyDescent="0.35">
      <c r="C4215" t="s">
        <v>12</v>
      </c>
      <c r="D4215" t="s">
        <v>33</v>
      </c>
      <c r="E4215" s="3" t="s">
        <v>154</v>
      </c>
      <c r="F4215" s="71">
        <v>2022</v>
      </c>
      <c r="G4215" s="12">
        <v>87400</v>
      </c>
      <c r="H4215" s="12">
        <v>87600</v>
      </c>
      <c r="I4215" s="72">
        <v>4.9000000000000002E-2</v>
      </c>
      <c r="J4215" s="12">
        <v>-587.20000000000005</v>
      </c>
    </row>
    <row r="4216" spans="3:10" x14ac:dyDescent="0.35">
      <c r="C4216" t="s">
        <v>12</v>
      </c>
      <c r="D4216" t="s">
        <v>33</v>
      </c>
      <c r="E4216" s="3" t="s">
        <v>155</v>
      </c>
      <c r="F4216" s="71">
        <v>2022</v>
      </c>
      <c r="G4216" s="12">
        <v>87600</v>
      </c>
      <c r="H4216" s="12">
        <v>87700</v>
      </c>
      <c r="I4216" s="72">
        <v>4.9000000000000002E-2</v>
      </c>
      <c r="J4216" s="12">
        <v>-577.20000000000005</v>
      </c>
    </row>
    <row r="4217" spans="3:10" x14ac:dyDescent="0.35">
      <c r="C4217" t="s">
        <v>12</v>
      </c>
      <c r="D4217" t="s">
        <v>33</v>
      </c>
      <c r="E4217" s="3" t="s">
        <v>156</v>
      </c>
      <c r="F4217" s="71">
        <v>2022</v>
      </c>
      <c r="G4217" s="12">
        <v>87700</v>
      </c>
      <c r="H4217" s="12">
        <v>87800</v>
      </c>
      <c r="I4217" s="72">
        <v>4.9000000000000002E-2</v>
      </c>
      <c r="J4217" s="12">
        <v>-567.20000000000005</v>
      </c>
    </row>
    <row r="4218" spans="3:10" x14ac:dyDescent="0.35">
      <c r="C4218" t="s">
        <v>12</v>
      </c>
      <c r="D4218" t="s">
        <v>33</v>
      </c>
      <c r="E4218" s="3" t="s">
        <v>157</v>
      </c>
      <c r="F4218" s="71">
        <v>2022</v>
      </c>
      <c r="G4218" s="12">
        <v>87800</v>
      </c>
      <c r="H4218" s="12">
        <v>87900</v>
      </c>
      <c r="I4218" s="72">
        <v>4.9000000000000002E-2</v>
      </c>
      <c r="J4218" s="12">
        <v>-557.20000000000005</v>
      </c>
    </row>
    <row r="4219" spans="3:10" x14ac:dyDescent="0.35">
      <c r="C4219" t="s">
        <v>12</v>
      </c>
      <c r="D4219" t="s">
        <v>33</v>
      </c>
      <c r="E4219" s="3" t="s">
        <v>158</v>
      </c>
      <c r="F4219" s="71">
        <v>2022</v>
      </c>
      <c r="G4219" s="12">
        <v>87900</v>
      </c>
      <c r="H4219" s="12">
        <v>88000</v>
      </c>
      <c r="I4219" s="72">
        <v>4.9000000000000002E-2</v>
      </c>
      <c r="J4219" s="12">
        <v>-547.20000000000005</v>
      </c>
    </row>
    <row r="4220" spans="3:10" x14ac:dyDescent="0.35">
      <c r="C4220" t="s">
        <v>12</v>
      </c>
      <c r="D4220" t="s">
        <v>33</v>
      </c>
      <c r="E4220" s="3" t="s">
        <v>159</v>
      </c>
      <c r="F4220" s="71">
        <v>2022</v>
      </c>
      <c r="G4220" s="12">
        <v>88000</v>
      </c>
      <c r="H4220" s="12">
        <v>88100</v>
      </c>
      <c r="I4220" s="72">
        <v>4.9000000000000002E-2</v>
      </c>
      <c r="J4220" s="12">
        <v>-537.20000000000005</v>
      </c>
    </row>
    <row r="4221" spans="3:10" x14ac:dyDescent="0.35">
      <c r="C4221" t="s">
        <v>12</v>
      </c>
      <c r="D4221" t="s">
        <v>33</v>
      </c>
      <c r="E4221" s="3" t="s">
        <v>160</v>
      </c>
      <c r="F4221" s="71">
        <v>2022</v>
      </c>
      <c r="G4221" s="12">
        <v>88100</v>
      </c>
      <c r="H4221" s="12">
        <v>88200</v>
      </c>
      <c r="I4221" s="72">
        <v>4.9000000000000002E-2</v>
      </c>
      <c r="J4221" s="12">
        <v>-527.20000000000005</v>
      </c>
    </row>
    <row r="4222" spans="3:10" x14ac:dyDescent="0.35">
      <c r="C4222" t="s">
        <v>12</v>
      </c>
      <c r="D4222" t="s">
        <v>33</v>
      </c>
      <c r="E4222" s="3" t="s">
        <v>161</v>
      </c>
      <c r="F4222" s="71">
        <v>2022</v>
      </c>
      <c r="G4222" s="12">
        <v>88200</v>
      </c>
      <c r="H4222" s="12">
        <v>88300</v>
      </c>
      <c r="I4222" s="72">
        <v>4.9000000000000002E-2</v>
      </c>
      <c r="J4222" s="12">
        <v>-517.20000000000005</v>
      </c>
    </row>
    <row r="4223" spans="3:10" x14ac:dyDescent="0.35">
      <c r="C4223" t="s">
        <v>12</v>
      </c>
      <c r="D4223" t="s">
        <v>33</v>
      </c>
      <c r="E4223" s="3" t="s">
        <v>162</v>
      </c>
      <c r="F4223" s="71">
        <v>2022</v>
      </c>
      <c r="G4223" s="12">
        <v>88300</v>
      </c>
      <c r="H4223" s="12">
        <v>88400</v>
      </c>
      <c r="I4223" s="72">
        <v>4.9000000000000002E-2</v>
      </c>
      <c r="J4223" s="12">
        <v>-507.2</v>
      </c>
    </row>
    <row r="4224" spans="3:10" x14ac:dyDescent="0.35">
      <c r="C4224" t="s">
        <v>12</v>
      </c>
      <c r="D4224" t="s">
        <v>33</v>
      </c>
      <c r="E4224" s="3" t="s">
        <v>163</v>
      </c>
      <c r="F4224" s="71">
        <v>2022</v>
      </c>
      <c r="G4224" s="12">
        <v>88400</v>
      </c>
      <c r="H4224" s="12">
        <v>88500</v>
      </c>
      <c r="I4224" s="72">
        <v>4.9000000000000002E-2</v>
      </c>
      <c r="J4224" s="12">
        <v>-497.2</v>
      </c>
    </row>
    <row r="4225" spans="3:10" x14ac:dyDescent="0.35">
      <c r="C4225" t="s">
        <v>12</v>
      </c>
      <c r="D4225" t="s">
        <v>33</v>
      </c>
      <c r="E4225" s="3" t="s">
        <v>164</v>
      </c>
      <c r="F4225" s="71">
        <v>2022</v>
      </c>
      <c r="G4225" s="12">
        <v>88500</v>
      </c>
      <c r="H4225" s="12">
        <v>88600</v>
      </c>
      <c r="I4225" s="72">
        <v>4.9000000000000002E-2</v>
      </c>
      <c r="J4225" s="12">
        <v>-487.2</v>
      </c>
    </row>
    <row r="4226" spans="3:10" x14ac:dyDescent="0.35">
      <c r="C4226" t="s">
        <v>12</v>
      </c>
      <c r="D4226" t="s">
        <v>33</v>
      </c>
      <c r="E4226" s="3" t="s">
        <v>165</v>
      </c>
      <c r="F4226" s="71">
        <v>2022</v>
      </c>
      <c r="G4226" s="12">
        <v>88600</v>
      </c>
      <c r="H4226" s="12">
        <v>88700</v>
      </c>
      <c r="I4226" s="72">
        <v>4.9000000000000002E-2</v>
      </c>
      <c r="J4226" s="12">
        <v>-477.2</v>
      </c>
    </row>
    <row r="4227" spans="3:10" x14ac:dyDescent="0.35">
      <c r="C4227" t="s">
        <v>12</v>
      </c>
      <c r="D4227" t="s">
        <v>33</v>
      </c>
      <c r="E4227" s="3" t="s">
        <v>166</v>
      </c>
      <c r="F4227" s="71">
        <v>2022</v>
      </c>
      <c r="G4227" s="12">
        <v>88700</v>
      </c>
      <c r="H4227" s="12">
        <v>88800</v>
      </c>
      <c r="I4227" s="72">
        <v>4.9000000000000002E-2</v>
      </c>
      <c r="J4227" s="12">
        <v>-467.2</v>
      </c>
    </row>
    <row r="4228" spans="3:10" x14ac:dyDescent="0.35">
      <c r="C4228" t="s">
        <v>12</v>
      </c>
      <c r="D4228" t="s">
        <v>33</v>
      </c>
      <c r="E4228" s="3" t="s">
        <v>167</v>
      </c>
      <c r="F4228" s="71">
        <v>2022</v>
      </c>
      <c r="G4228" s="12">
        <v>88800</v>
      </c>
      <c r="H4228" s="12">
        <v>88900</v>
      </c>
      <c r="I4228" s="72">
        <v>4.9000000000000002E-2</v>
      </c>
      <c r="J4228" s="12">
        <v>-457.2</v>
      </c>
    </row>
    <row r="4229" spans="3:10" x14ac:dyDescent="0.35">
      <c r="C4229" t="s">
        <v>12</v>
      </c>
      <c r="D4229" t="s">
        <v>33</v>
      </c>
      <c r="E4229" s="3" t="s">
        <v>168</v>
      </c>
      <c r="F4229" s="71">
        <v>2022</v>
      </c>
      <c r="G4229" s="12">
        <v>88900</v>
      </c>
      <c r="H4229" s="12">
        <v>89000</v>
      </c>
      <c r="I4229" s="72">
        <v>4.9000000000000002E-2</v>
      </c>
      <c r="J4229" s="12">
        <v>-447.2</v>
      </c>
    </row>
    <row r="4230" spans="3:10" x14ac:dyDescent="0.35">
      <c r="C4230" t="s">
        <v>12</v>
      </c>
      <c r="D4230" t="s">
        <v>33</v>
      </c>
      <c r="E4230" s="3" t="s">
        <v>169</v>
      </c>
      <c r="F4230" s="71">
        <v>2022</v>
      </c>
      <c r="G4230" s="12">
        <v>89000</v>
      </c>
      <c r="H4230" s="12">
        <v>89100</v>
      </c>
      <c r="I4230" s="72">
        <v>4.9000000000000002E-2</v>
      </c>
      <c r="J4230" s="12">
        <v>-437.2</v>
      </c>
    </row>
    <row r="4231" spans="3:10" x14ac:dyDescent="0.35">
      <c r="C4231" t="s">
        <v>12</v>
      </c>
      <c r="D4231" t="s">
        <v>33</v>
      </c>
      <c r="E4231" s="3" t="s">
        <v>170</v>
      </c>
      <c r="F4231" s="71">
        <v>2022</v>
      </c>
      <c r="G4231" s="12">
        <v>89100</v>
      </c>
      <c r="H4231" s="12">
        <v>89200</v>
      </c>
      <c r="I4231" s="72">
        <v>4.9000000000000002E-2</v>
      </c>
      <c r="J4231" s="12">
        <v>-427.2</v>
      </c>
    </row>
    <row r="4232" spans="3:10" x14ac:dyDescent="0.35">
      <c r="C4232" t="s">
        <v>12</v>
      </c>
      <c r="D4232" t="s">
        <v>33</v>
      </c>
      <c r="E4232" s="3" t="s">
        <v>171</v>
      </c>
      <c r="F4232" s="71">
        <v>2022</v>
      </c>
      <c r="G4232" s="12">
        <v>89200</v>
      </c>
      <c r="H4232" s="12">
        <v>89300</v>
      </c>
      <c r="I4232" s="72">
        <v>4.9000000000000002E-2</v>
      </c>
      <c r="J4232" s="12">
        <v>-417.2</v>
      </c>
    </row>
    <row r="4233" spans="3:10" x14ac:dyDescent="0.35">
      <c r="C4233" t="s">
        <v>12</v>
      </c>
      <c r="D4233" t="s">
        <v>33</v>
      </c>
      <c r="E4233" s="3" t="s">
        <v>172</v>
      </c>
      <c r="F4233" s="71">
        <v>2022</v>
      </c>
      <c r="G4233" s="12">
        <v>89300</v>
      </c>
      <c r="H4233" s="12">
        <v>89400</v>
      </c>
      <c r="I4233" s="72">
        <v>4.9000000000000002E-2</v>
      </c>
      <c r="J4233" s="12">
        <v>-407.2</v>
      </c>
    </row>
    <row r="4234" spans="3:10" x14ac:dyDescent="0.35">
      <c r="C4234" t="s">
        <v>12</v>
      </c>
      <c r="D4234" t="s">
        <v>33</v>
      </c>
      <c r="E4234" s="3" t="s">
        <v>173</v>
      </c>
      <c r="F4234" s="71">
        <v>2022</v>
      </c>
      <c r="G4234" s="12">
        <v>89400</v>
      </c>
      <c r="H4234" s="12">
        <v>89500</v>
      </c>
      <c r="I4234" s="72">
        <v>4.9000000000000002E-2</v>
      </c>
      <c r="J4234" s="12">
        <v>-397.2</v>
      </c>
    </row>
    <row r="4235" spans="3:10" x14ac:dyDescent="0.35">
      <c r="C4235" t="s">
        <v>12</v>
      </c>
      <c r="D4235" t="s">
        <v>33</v>
      </c>
      <c r="E4235" s="3" t="s">
        <v>174</v>
      </c>
      <c r="F4235" s="71">
        <v>2022</v>
      </c>
      <c r="G4235" s="12">
        <v>89500</v>
      </c>
      <c r="H4235" s="12">
        <v>89600</v>
      </c>
      <c r="I4235" s="72">
        <v>4.9000000000000002E-2</v>
      </c>
      <c r="J4235" s="12">
        <v>-387.2</v>
      </c>
    </row>
    <row r="4236" spans="3:10" x14ac:dyDescent="0.35">
      <c r="C4236" t="s">
        <v>12</v>
      </c>
      <c r="D4236" t="s">
        <v>33</v>
      </c>
      <c r="E4236" s="3" t="s">
        <v>175</v>
      </c>
      <c r="F4236" s="71">
        <v>2022</v>
      </c>
      <c r="G4236" s="12">
        <v>89600</v>
      </c>
      <c r="H4236" s="12">
        <v>89700</v>
      </c>
      <c r="I4236" s="72">
        <v>4.9000000000000002E-2</v>
      </c>
      <c r="J4236" s="12">
        <v>-377.2</v>
      </c>
    </row>
    <row r="4237" spans="3:10" x14ac:dyDescent="0.35">
      <c r="C4237" t="s">
        <v>12</v>
      </c>
      <c r="D4237" t="s">
        <v>33</v>
      </c>
      <c r="E4237" s="3" t="s">
        <v>176</v>
      </c>
      <c r="F4237" s="71">
        <v>2022</v>
      </c>
      <c r="G4237" s="12">
        <v>89700</v>
      </c>
      <c r="H4237" s="12">
        <v>89800</v>
      </c>
      <c r="I4237" s="72">
        <v>4.9000000000000002E-2</v>
      </c>
      <c r="J4237" s="12">
        <v>-367.2</v>
      </c>
    </row>
    <row r="4238" spans="3:10" x14ac:dyDescent="0.35">
      <c r="C4238" t="s">
        <v>12</v>
      </c>
      <c r="D4238" t="s">
        <v>33</v>
      </c>
      <c r="E4238" s="3" t="s">
        <v>177</v>
      </c>
      <c r="F4238" s="71">
        <v>2022</v>
      </c>
      <c r="G4238" s="12">
        <v>89800</v>
      </c>
      <c r="H4238" s="12">
        <v>89900</v>
      </c>
      <c r="I4238" s="72">
        <v>4.9000000000000002E-2</v>
      </c>
      <c r="J4238" s="12">
        <v>-357.2</v>
      </c>
    </row>
    <row r="4239" spans="3:10" x14ac:dyDescent="0.35">
      <c r="C4239" t="s">
        <v>12</v>
      </c>
      <c r="D4239" t="s">
        <v>33</v>
      </c>
      <c r="E4239" s="3" t="s">
        <v>178</v>
      </c>
      <c r="F4239" s="71">
        <v>2022</v>
      </c>
      <c r="G4239" s="12">
        <v>89900</v>
      </c>
      <c r="H4239" s="12">
        <v>90000</v>
      </c>
      <c r="I4239" s="72">
        <v>4.9000000000000002E-2</v>
      </c>
      <c r="J4239" s="12">
        <v>-347.2</v>
      </c>
    </row>
    <row r="4240" spans="3:10" x14ac:dyDescent="0.35">
      <c r="C4240" t="s">
        <v>12</v>
      </c>
      <c r="D4240" t="s">
        <v>33</v>
      </c>
      <c r="E4240" s="3" t="s">
        <v>179</v>
      </c>
      <c r="F4240" s="71">
        <v>2022</v>
      </c>
      <c r="G4240" s="12">
        <v>90000</v>
      </c>
      <c r="H4240" s="12">
        <v>90100</v>
      </c>
      <c r="I4240" s="72">
        <v>4.9000000000000002E-2</v>
      </c>
      <c r="J4240" s="12">
        <v>-337.2</v>
      </c>
    </row>
    <row r="4241" spans="3:10" x14ac:dyDescent="0.35">
      <c r="C4241" t="s">
        <v>12</v>
      </c>
      <c r="D4241" t="s">
        <v>33</v>
      </c>
      <c r="E4241" s="3" t="s">
        <v>180</v>
      </c>
      <c r="F4241" s="71">
        <v>2022</v>
      </c>
      <c r="G4241" s="12">
        <v>90100</v>
      </c>
      <c r="H4241" s="12">
        <v>90200</v>
      </c>
      <c r="I4241" s="72">
        <v>4.9000000000000002E-2</v>
      </c>
      <c r="J4241" s="12">
        <v>-327.2</v>
      </c>
    </row>
    <row r="4242" spans="3:10" x14ac:dyDescent="0.35">
      <c r="C4242" t="s">
        <v>12</v>
      </c>
      <c r="D4242" t="s">
        <v>33</v>
      </c>
      <c r="E4242" s="3" t="s">
        <v>181</v>
      </c>
      <c r="F4242" s="71">
        <v>2022</v>
      </c>
      <c r="G4242" s="12">
        <v>90200</v>
      </c>
      <c r="H4242" s="12">
        <v>90300</v>
      </c>
      <c r="I4242" s="72">
        <v>4.9000000000000002E-2</v>
      </c>
      <c r="J4242" s="12">
        <v>-317.2</v>
      </c>
    </row>
    <row r="4243" spans="3:10" x14ac:dyDescent="0.35">
      <c r="C4243" t="s">
        <v>12</v>
      </c>
      <c r="D4243" t="s">
        <v>33</v>
      </c>
      <c r="E4243" s="3" t="s">
        <v>182</v>
      </c>
      <c r="F4243" s="71">
        <v>2022</v>
      </c>
      <c r="G4243" s="12">
        <v>90300</v>
      </c>
      <c r="H4243" s="12">
        <v>90400</v>
      </c>
      <c r="I4243" s="72">
        <v>4.9000000000000002E-2</v>
      </c>
      <c r="J4243" s="12">
        <v>-307.2</v>
      </c>
    </row>
    <row r="4244" spans="3:10" x14ac:dyDescent="0.35">
      <c r="C4244" t="s">
        <v>12</v>
      </c>
      <c r="D4244" t="s">
        <v>33</v>
      </c>
      <c r="E4244" s="3" t="s">
        <v>183</v>
      </c>
      <c r="F4244" s="71">
        <v>2022</v>
      </c>
      <c r="G4244" s="12">
        <v>90400</v>
      </c>
      <c r="H4244" s="12">
        <v>90500</v>
      </c>
      <c r="I4244" s="72">
        <v>4.9000000000000002E-2</v>
      </c>
      <c r="J4244" s="12">
        <v>-297.2</v>
      </c>
    </row>
    <row r="4245" spans="3:10" x14ac:dyDescent="0.35">
      <c r="C4245" t="s">
        <v>12</v>
      </c>
      <c r="D4245" t="s">
        <v>33</v>
      </c>
      <c r="E4245" s="3" t="s">
        <v>184</v>
      </c>
      <c r="F4245" s="71">
        <v>2022</v>
      </c>
      <c r="G4245" s="12">
        <v>90500</v>
      </c>
      <c r="H4245" s="12">
        <v>90600</v>
      </c>
      <c r="I4245" s="72">
        <v>4.9000000000000002E-2</v>
      </c>
      <c r="J4245" s="12">
        <v>-287.2</v>
      </c>
    </row>
    <row r="4246" spans="3:10" x14ac:dyDescent="0.35">
      <c r="C4246" t="s">
        <v>12</v>
      </c>
      <c r="D4246" t="s">
        <v>33</v>
      </c>
      <c r="E4246" s="3" t="s">
        <v>185</v>
      </c>
      <c r="F4246" s="71">
        <v>2022</v>
      </c>
      <c r="G4246" s="12">
        <v>90600</v>
      </c>
      <c r="H4246" s="12">
        <v>90700</v>
      </c>
      <c r="I4246" s="72">
        <v>4.9000000000000002E-2</v>
      </c>
      <c r="J4246" s="12">
        <v>-277.2</v>
      </c>
    </row>
    <row r="4247" spans="3:10" x14ac:dyDescent="0.35">
      <c r="C4247" t="s">
        <v>12</v>
      </c>
      <c r="D4247" t="s">
        <v>33</v>
      </c>
      <c r="E4247" s="3" t="s">
        <v>186</v>
      </c>
      <c r="F4247" s="71">
        <v>2022</v>
      </c>
      <c r="G4247" s="12">
        <v>90700</v>
      </c>
      <c r="H4247" s="12">
        <v>90800</v>
      </c>
      <c r="I4247" s="72">
        <v>4.9000000000000002E-2</v>
      </c>
      <c r="J4247" s="12">
        <v>-267.2</v>
      </c>
    </row>
    <row r="4248" spans="3:10" x14ac:dyDescent="0.35">
      <c r="C4248" t="s">
        <v>12</v>
      </c>
      <c r="D4248" t="s">
        <v>33</v>
      </c>
      <c r="E4248" s="3" t="s">
        <v>187</v>
      </c>
      <c r="F4248" s="71">
        <v>2022</v>
      </c>
      <c r="G4248" s="12">
        <v>90800</v>
      </c>
      <c r="H4248" s="12">
        <v>90900</v>
      </c>
      <c r="I4248" s="72">
        <v>4.9000000000000002E-2</v>
      </c>
      <c r="J4248" s="12">
        <v>-257.2</v>
      </c>
    </row>
    <row r="4249" spans="3:10" x14ac:dyDescent="0.35">
      <c r="C4249" t="s">
        <v>12</v>
      </c>
      <c r="D4249" t="s">
        <v>33</v>
      </c>
      <c r="E4249" s="3" t="s">
        <v>188</v>
      </c>
      <c r="F4249" s="71">
        <v>2022</v>
      </c>
      <c r="G4249" s="12">
        <v>90900</v>
      </c>
      <c r="H4249" s="12">
        <v>91100</v>
      </c>
      <c r="I4249" s="72">
        <v>4.9000000000000002E-2</v>
      </c>
      <c r="J4249" s="12">
        <v>-247.2</v>
      </c>
    </row>
    <row r="4250" spans="3:10" x14ac:dyDescent="0.35">
      <c r="C4250" t="s">
        <v>12</v>
      </c>
      <c r="D4250" t="s">
        <v>33</v>
      </c>
      <c r="E4250" s="3" t="s">
        <v>189</v>
      </c>
      <c r="F4250" s="71">
        <v>2022</v>
      </c>
      <c r="G4250" s="12">
        <v>91100</v>
      </c>
      <c r="H4250" s="12">
        <v>91200</v>
      </c>
      <c r="I4250" s="72">
        <v>4.9000000000000002E-2</v>
      </c>
      <c r="J4250" s="12">
        <v>-237.2</v>
      </c>
    </row>
    <row r="4251" spans="3:10" x14ac:dyDescent="0.35">
      <c r="C4251" t="s">
        <v>12</v>
      </c>
      <c r="D4251" t="s">
        <v>33</v>
      </c>
      <c r="E4251" s="3" t="s">
        <v>190</v>
      </c>
      <c r="F4251" s="71">
        <v>2022</v>
      </c>
      <c r="G4251" s="12">
        <v>91200</v>
      </c>
      <c r="H4251" s="12">
        <v>91300</v>
      </c>
      <c r="I4251" s="72">
        <v>4.9000000000000002E-2</v>
      </c>
      <c r="J4251" s="12">
        <v>-227.2</v>
      </c>
    </row>
    <row r="4252" spans="3:10" x14ac:dyDescent="0.35">
      <c r="C4252" t="s">
        <v>12</v>
      </c>
      <c r="D4252" t="s">
        <v>33</v>
      </c>
      <c r="E4252" s="3" t="s">
        <v>191</v>
      </c>
      <c r="F4252" s="71">
        <v>2022</v>
      </c>
      <c r="G4252" s="12">
        <v>91300</v>
      </c>
      <c r="H4252" s="12">
        <v>91400</v>
      </c>
      <c r="I4252" s="72">
        <v>4.9000000000000002E-2</v>
      </c>
      <c r="J4252" s="12">
        <v>-217.2</v>
      </c>
    </row>
    <row r="4253" spans="3:10" x14ac:dyDescent="0.35">
      <c r="C4253" t="s">
        <v>12</v>
      </c>
      <c r="D4253" t="s">
        <v>33</v>
      </c>
      <c r="E4253" s="3" t="s">
        <v>192</v>
      </c>
      <c r="F4253" s="71">
        <v>2022</v>
      </c>
      <c r="G4253" s="12">
        <v>91400</v>
      </c>
      <c r="H4253" s="12">
        <v>91500</v>
      </c>
      <c r="I4253" s="72">
        <v>4.9000000000000002E-2</v>
      </c>
      <c r="J4253" s="12">
        <v>-207.2</v>
      </c>
    </row>
    <row r="4254" spans="3:10" x14ac:dyDescent="0.35">
      <c r="C4254" t="s">
        <v>12</v>
      </c>
      <c r="D4254" t="s">
        <v>33</v>
      </c>
      <c r="E4254" s="3" t="s">
        <v>193</v>
      </c>
      <c r="F4254" s="71">
        <v>2022</v>
      </c>
      <c r="G4254" s="12">
        <v>91500</v>
      </c>
      <c r="H4254" s="12">
        <v>91600</v>
      </c>
      <c r="I4254" s="72">
        <v>4.9000000000000002E-2</v>
      </c>
      <c r="J4254" s="12">
        <v>-197.2</v>
      </c>
    </row>
    <row r="4255" spans="3:10" x14ac:dyDescent="0.35">
      <c r="C4255" t="s">
        <v>12</v>
      </c>
      <c r="D4255" t="s">
        <v>33</v>
      </c>
      <c r="E4255" s="3" t="s">
        <v>194</v>
      </c>
      <c r="F4255" s="71">
        <v>2022</v>
      </c>
      <c r="G4255" s="12">
        <v>91600</v>
      </c>
      <c r="H4255" s="12">
        <v>91700</v>
      </c>
      <c r="I4255" s="72">
        <v>4.9000000000000002E-2</v>
      </c>
      <c r="J4255" s="12">
        <v>-187.2</v>
      </c>
    </row>
    <row r="4256" spans="3:10" x14ac:dyDescent="0.35">
      <c r="C4256" t="s">
        <v>12</v>
      </c>
      <c r="D4256" t="s">
        <v>33</v>
      </c>
      <c r="E4256" s="3" t="s">
        <v>195</v>
      </c>
      <c r="F4256" s="71">
        <v>2022</v>
      </c>
      <c r="G4256" s="12">
        <v>91700</v>
      </c>
      <c r="H4256" s="12">
        <v>91800</v>
      </c>
      <c r="I4256" s="72">
        <v>4.9000000000000002E-2</v>
      </c>
      <c r="J4256" s="12">
        <v>-177.2</v>
      </c>
    </row>
    <row r="4257" spans="3:10" x14ac:dyDescent="0.35">
      <c r="C4257" t="s">
        <v>12</v>
      </c>
      <c r="D4257" t="s">
        <v>33</v>
      </c>
      <c r="E4257" s="3" t="s">
        <v>196</v>
      </c>
      <c r="F4257" s="71">
        <v>2022</v>
      </c>
      <c r="G4257" s="12">
        <v>91800</v>
      </c>
      <c r="H4257" s="12"/>
      <c r="I4257" s="31">
        <v>4.9000000000000002E-2</v>
      </c>
      <c r="J4257" s="12">
        <v>-167.2</v>
      </c>
    </row>
    <row r="4258" spans="3:10" x14ac:dyDescent="0.35">
      <c r="C4258" t="s">
        <v>12</v>
      </c>
      <c r="D4258" t="s">
        <v>40</v>
      </c>
      <c r="E4258" s="3" t="s">
        <v>85</v>
      </c>
      <c r="F4258" s="71">
        <v>2022</v>
      </c>
      <c r="G4258" s="12">
        <v>0</v>
      </c>
      <c r="H4258" s="12">
        <v>5099</v>
      </c>
      <c r="I4258" s="72">
        <v>0</v>
      </c>
      <c r="J4258" s="12">
        <v>0</v>
      </c>
    </row>
    <row r="4259" spans="3:10" x14ac:dyDescent="0.35">
      <c r="C4259" t="s">
        <v>12</v>
      </c>
      <c r="D4259" t="s">
        <v>40</v>
      </c>
      <c r="E4259" s="3" t="s">
        <v>87</v>
      </c>
      <c r="F4259" s="71">
        <v>2022</v>
      </c>
      <c r="G4259" s="12">
        <v>5099</v>
      </c>
      <c r="H4259" s="12">
        <v>10299</v>
      </c>
      <c r="I4259" s="72">
        <v>0.02</v>
      </c>
      <c r="J4259" s="12">
        <v>-101.98</v>
      </c>
    </row>
    <row r="4260" spans="3:10" x14ac:dyDescent="0.35">
      <c r="C4260" t="s">
        <v>12</v>
      </c>
      <c r="D4260" t="s">
        <v>40</v>
      </c>
      <c r="E4260" s="3" t="s">
        <v>88</v>
      </c>
      <c r="F4260" s="71">
        <v>2022</v>
      </c>
      <c r="G4260" s="12">
        <v>10299</v>
      </c>
      <c r="H4260" s="12">
        <v>14699</v>
      </c>
      <c r="I4260" s="72">
        <v>0.03</v>
      </c>
      <c r="J4260" s="12">
        <v>-204.97</v>
      </c>
    </row>
    <row r="4261" spans="3:10" x14ac:dyDescent="0.35">
      <c r="C4261" t="s">
        <v>12</v>
      </c>
      <c r="D4261" t="s">
        <v>40</v>
      </c>
      <c r="E4261" s="3" t="s">
        <v>105</v>
      </c>
      <c r="F4261" s="71">
        <v>2022</v>
      </c>
      <c r="G4261" s="12">
        <v>14699</v>
      </c>
      <c r="H4261" s="12">
        <v>24299</v>
      </c>
      <c r="I4261" s="72">
        <v>3.4000000000000002E-2</v>
      </c>
      <c r="J4261" s="12">
        <v>-263.77</v>
      </c>
    </row>
    <row r="4262" spans="3:10" x14ac:dyDescent="0.35">
      <c r="C4262" t="s">
        <v>12</v>
      </c>
      <c r="D4262" t="s">
        <v>40</v>
      </c>
      <c r="E4262" s="3" t="s">
        <v>106</v>
      </c>
      <c r="F4262" s="71">
        <v>2022</v>
      </c>
      <c r="G4262" s="12">
        <v>24299</v>
      </c>
      <c r="H4262" s="12">
        <v>87000</v>
      </c>
      <c r="I4262" s="72">
        <v>4.9000000000000002E-2</v>
      </c>
      <c r="J4262" s="12">
        <v>-628.25</v>
      </c>
    </row>
    <row r="4263" spans="3:10" x14ac:dyDescent="0.35">
      <c r="C4263" t="s">
        <v>12</v>
      </c>
      <c r="D4263" t="s">
        <v>40</v>
      </c>
      <c r="E4263" s="3" t="s">
        <v>107</v>
      </c>
      <c r="F4263" s="71">
        <v>2022</v>
      </c>
      <c r="G4263" s="12">
        <v>87000</v>
      </c>
      <c r="H4263" s="12">
        <v>87100</v>
      </c>
      <c r="I4263" s="72">
        <v>4.9000000000000002E-2</v>
      </c>
      <c r="J4263" s="12">
        <v>-627.20000000000005</v>
      </c>
    </row>
    <row r="4264" spans="3:10" x14ac:dyDescent="0.35">
      <c r="C4264" t="s">
        <v>12</v>
      </c>
      <c r="D4264" t="s">
        <v>40</v>
      </c>
      <c r="E4264" s="3" t="s">
        <v>108</v>
      </c>
      <c r="F4264" s="71">
        <v>2022</v>
      </c>
      <c r="G4264" s="12">
        <v>87100</v>
      </c>
      <c r="H4264" s="12">
        <v>87200</v>
      </c>
      <c r="I4264" s="72">
        <v>4.9000000000000002E-2</v>
      </c>
      <c r="J4264" s="12">
        <v>-617.20000000000005</v>
      </c>
    </row>
    <row r="4265" spans="3:10" x14ac:dyDescent="0.35">
      <c r="C4265" t="s">
        <v>12</v>
      </c>
      <c r="D4265" t="s">
        <v>40</v>
      </c>
      <c r="E4265" s="3" t="s">
        <v>152</v>
      </c>
      <c r="F4265" s="71">
        <v>2022</v>
      </c>
      <c r="G4265" s="12">
        <v>87200</v>
      </c>
      <c r="H4265" s="12">
        <v>87300</v>
      </c>
      <c r="I4265" s="72">
        <v>4.9000000000000002E-2</v>
      </c>
      <c r="J4265" s="12">
        <v>-607.20000000000005</v>
      </c>
    </row>
    <row r="4266" spans="3:10" x14ac:dyDescent="0.35">
      <c r="C4266" t="s">
        <v>12</v>
      </c>
      <c r="D4266" t="s">
        <v>40</v>
      </c>
      <c r="E4266" s="3" t="s">
        <v>153</v>
      </c>
      <c r="F4266" s="71">
        <v>2022</v>
      </c>
      <c r="G4266" s="12">
        <v>87300</v>
      </c>
      <c r="H4266" s="12">
        <v>87400</v>
      </c>
      <c r="I4266" s="72">
        <v>4.9000000000000002E-2</v>
      </c>
      <c r="J4266" s="12">
        <v>-597.20000000000005</v>
      </c>
    </row>
    <row r="4267" spans="3:10" x14ac:dyDescent="0.35">
      <c r="C4267" t="s">
        <v>12</v>
      </c>
      <c r="D4267" t="s">
        <v>40</v>
      </c>
      <c r="E4267" s="3" t="s">
        <v>154</v>
      </c>
      <c r="F4267" s="71">
        <v>2022</v>
      </c>
      <c r="G4267" s="12">
        <v>87400</v>
      </c>
      <c r="H4267" s="12">
        <v>87600</v>
      </c>
      <c r="I4267" s="72">
        <v>4.9000000000000002E-2</v>
      </c>
      <c r="J4267" s="12">
        <v>-587.20000000000005</v>
      </c>
    </row>
    <row r="4268" spans="3:10" x14ac:dyDescent="0.35">
      <c r="C4268" t="s">
        <v>12</v>
      </c>
      <c r="D4268" t="s">
        <v>40</v>
      </c>
      <c r="E4268" s="3" t="s">
        <v>155</v>
      </c>
      <c r="F4268" s="71">
        <v>2022</v>
      </c>
      <c r="G4268" s="12">
        <v>87600</v>
      </c>
      <c r="H4268" s="12">
        <v>87700</v>
      </c>
      <c r="I4268" s="72">
        <v>4.9000000000000002E-2</v>
      </c>
      <c r="J4268" s="12">
        <v>-577.20000000000005</v>
      </c>
    </row>
    <row r="4269" spans="3:10" x14ac:dyDescent="0.35">
      <c r="C4269" t="s">
        <v>12</v>
      </c>
      <c r="D4269" t="s">
        <v>40</v>
      </c>
      <c r="E4269" s="3" t="s">
        <v>156</v>
      </c>
      <c r="F4269" s="71">
        <v>2022</v>
      </c>
      <c r="G4269" s="12">
        <v>87700</v>
      </c>
      <c r="H4269" s="12">
        <v>87800</v>
      </c>
      <c r="I4269" s="72">
        <v>4.9000000000000002E-2</v>
      </c>
      <c r="J4269" s="12">
        <v>-567.20000000000005</v>
      </c>
    </row>
    <row r="4270" spans="3:10" x14ac:dyDescent="0.35">
      <c r="C4270" t="s">
        <v>12</v>
      </c>
      <c r="D4270" t="s">
        <v>40</v>
      </c>
      <c r="E4270" s="3" t="s">
        <v>157</v>
      </c>
      <c r="F4270" s="71">
        <v>2022</v>
      </c>
      <c r="G4270" s="12">
        <v>87800</v>
      </c>
      <c r="H4270" s="12">
        <v>87900</v>
      </c>
      <c r="I4270" s="72">
        <v>4.9000000000000002E-2</v>
      </c>
      <c r="J4270" s="12">
        <v>-557.20000000000005</v>
      </c>
    </row>
    <row r="4271" spans="3:10" x14ac:dyDescent="0.35">
      <c r="C4271" t="s">
        <v>12</v>
      </c>
      <c r="D4271" t="s">
        <v>40</v>
      </c>
      <c r="E4271" s="3" t="s">
        <v>158</v>
      </c>
      <c r="F4271" s="71">
        <v>2022</v>
      </c>
      <c r="G4271" s="12">
        <v>87900</v>
      </c>
      <c r="H4271" s="12">
        <v>88000</v>
      </c>
      <c r="I4271" s="72">
        <v>4.9000000000000002E-2</v>
      </c>
      <c r="J4271" s="12">
        <v>-547.20000000000005</v>
      </c>
    </row>
    <row r="4272" spans="3:10" x14ac:dyDescent="0.35">
      <c r="C4272" t="s">
        <v>12</v>
      </c>
      <c r="D4272" t="s">
        <v>40</v>
      </c>
      <c r="E4272" s="3" t="s">
        <v>159</v>
      </c>
      <c r="F4272" s="71">
        <v>2022</v>
      </c>
      <c r="G4272" s="12">
        <v>88000</v>
      </c>
      <c r="H4272" s="12">
        <v>88100</v>
      </c>
      <c r="I4272" s="72">
        <v>4.9000000000000002E-2</v>
      </c>
      <c r="J4272" s="12">
        <v>-537.20000000000005</v>
      </c>
    </row>
    <row r="4273" spans="3:10" x14ac:dyDescent="0.35">
      <c r="C4273" t="s">
        <v>12</v>
      </c>
      <c r="D4273" t="s">
        <v>40</v>
      </c>
      <c r="E4273" s="3" t="s">
        <v>160</v>
      </c>
      <c r="F4273" s="71">
        <v>2022</v>
      </c>
      <c r="G4273" s="12">
        <v>88100</v>
      </c>
      <c r="H4273" s="12">
        <v>88200</v>
      </c>
      <c r="I4273" s="72">
        <v>4.9000000000000002E-2</v>
      </c>
      <c r="J4273" s="12">
        <v>-527.20000000000005</v>
      </c>
    </row>
    <row r="4274" spans="3:10" x14ac:dyDescent="0.35">
      <c r="C4274" t="s">
        <v>12</v>
      </c>
      <c r="D4274" t="s">
        <v>40</v>
      </c>
      <c r="E4274" s="3" t="s">
        <v>161</v>
      </c>
      <c r="F4274" s="71">
        <v>2022</v>
      </c>
      <c r="G4274" s="12">
        <v>88200</v>
      </c>
      <c r="H4274" s="12">
        <v>88300</v>
      </c>
      <c r="I4274" s="72">
        <v>4.9000000000000002E-2</v>
      </c>
      <c r="J4274" s="12">
        <v>-517.20000000000005</v>
      </c>
    </row>
    <row r="4275" spans="3:10" x14ac:dyDescent="0.35">
      <c r="C4275" t="s">
        <v>12</v>
      </c>
      <c r="D4275" t="s">
        <v>40</v>
      </c>
      <c r="E4275" s="3" t="s">
        <v>162</v>
      </c>
      <c r="F4275" s="71">
        <v>2022</v>
      </c>
      <c r="G4275" s="12">
        <v>88300</v>
      </c>
      <c r="H4275" s="12">
        <v>88400</v>
      </c>
      <c r="I4275" s="72">
        <v>4.9000000000000002E-2</v>
      </c>
      <c r="J4275" s="12">
        <v>-507.2</v>
      </c>
    </row>
    <row r="4276" spans="3:10" x14ac:dyDescent="0.35">
      <c r="C4276" t="s">
        <v>12</v>
      </c>
      <c r="D4276" t="s">
        <v>40</v>
      </c>
      <c r="E4276" s="3" t="s">
        <v>163</v>
      </c>
      <c r="F4276" s="71">
        <v>2022</v>
      </c>
      <c r="G4276" s="12">
        <v>88400</v>
      </c>
      <c r="H4276" s="12">
        <v>88500</v>
      </c>
      <c r="I4276" s="72">
        <v>4.9000000000000002E-2</v>
      </c>
      <c r="J4276" s="12">
        <v>-497.2</v>
      </c>
    </row>
    <row r="4277" spans="3:10" x14ac:dyDescent="0.35">
      <c r="C4277" t="s">
        <v>12</v>
      </c>
      <c r="D4277" t="s">
        <v>40</v>
      </c>
      <c r="E4277" s="3" t="s">
        <v>164</v>
      </c>
      <c r="F4277" s="71">
        <v>2022</v>
      </c>
      <c r="G4277" s="12">
        <v>88500</v>
      </c>
      <c r="H4277" s="12">
        <v>88600</v>
      </c>
      <c r="I4277" s="72">
        <v>4.9000000000000002E-2</v>
      </c>
      <c r="J4277" s="12">
        <v>-487.2</v>
      </c>
    </row>
    <row r="4278" spans="3:10" x14ac:dyDescent="0.35">
      <c r="C4278" t="s">
        <v>12</v>
      </c>
      <c r="D4278" t="s">
        <v>40</v>
      </c>
      <c r="E4278" s="3" t="s">
        <v>165</v>
      </c>
      <c r="F4278" s="71">
        <v>2022</v>
      </c>
      <c r="G4278" s="12">
        <v>88600</v>
      </c>
      <c r="H4278" s="12">
        <v>88700</v>
      </c>
      <c r="I4278" s="72">
        <v>4.9000000000000002E-2</v>
      </c>
      <c r="J4278" s="12">
        <v>-477.2</v>
      </c>
    </row>
    <row r="4279" spans="3:10" x14ac:dyDescent="0.35">
      <c r="C4279" t="s">
        <v>12</v>
      </c>
      <c r="D4279" t="s">
        <v>40</v>
      </c>
      <c r="E4279" s="3" t="s">
        <v>166</v>
      </c>
      <c r="F4279" s="71">
        <v>2022</v>
      </c>
      <c r="G4279" s="12">
        <v>88700</v>
      </c>
      <c r="H4279" s="12">
        <v>88800</v>
      </c>
      <c r="I4279" s="72">
        <v>4.9000000000000002E-2</v>
      </c>
      <c r="J4279" s="12">
        <v>-467.2</v>
      </c>
    </row>
    <row r="4280" spans="3:10" x14ac:dyDescent="0.35">
      <c r="C4280" t="s">
        <v>12</v>
      </c>
      <c r="D4280" t="s">
        <v>40</v>
      </c>
      <c r="E4280" s="3" t="s">
        <v>167</v>
      </c>
      <c r="F4280" s="71">
        <v>2022</v>
      </c>
      <c r="G4280" s="12">
        <v>88800</v>
      </c>
      <c r="H4280" s="12">
        <v>88900</v>
      </c>
      <c r="I4280" s="72">
        <v>4.9000000000000002E-2</v>
      </c>
      <c r="J4280" s="12">
        <v>-457.2</v>
      </c>
    </row>
    <row r="4281" spans="3:10" x14ac:dyDescent="0.35">
      <c r="C4281" t="s">
        <v>12</v>
      </c>
      <c r="D4281" t="s">
        <v>40</v>
      </c>
      <c r="E4281" s="3" t="s">
        <v>168</v>
      </c>
      <c r="F4281" s="71">
        <v>2022</v>
      </c>
      <c r="G4281" s="12">
        <v>88900</v>
      </c>
      <c r="H4281" s="12">
        <v>89000</v>
      </c>
      <c r="I4281" s="72">
        <v>4.9000000000000002E-2</v>
      </c>
      <c r="J4281" s="12">
        <v>-447.2</v>
      </c>
    </row>
    <row r="4282" spans="3:10" x14ac:dyDescent="0.35">
      <c r="C4282" t="s">
        <v>12</v>
      </c>
      <c r="D4282" t="s">
        <v>40</v>
      </c>
      <c r="E4282" s="3" t="s">
        <v>169</v>
      </c>
      <c r="F4282" s="71">
        <v>2022</v>
      </c>
      <c r="G4282" s="12">
        <v>89000</v>
      </c>
      <c r="H4282" s="12">
        <v>89100</v>
      </c>
      <c r="I4282" s="72">
        <v>4.9000000000000002E-2</v>
      </c>
      <c r="J4282" s="12">
        <v>-437.2</v>
      </c>
    </row>
    <row r="4283" spans="3:10" x14ac:dyDescent="0.35">
      <c r="C4283" t="s">
        <v>12</v>
      </c>
      <c r="D4283" t="s">
        <v>40</v>
      </c>
      <c r="E4283" s="3" t="s">
        <v>170</v>
      </c>
      <c r="F4283" s="71">
        <v>2022</v>
      </c>
      <c r="G4283" s="12">
        <v>89100</v>
      </c>
      <c r="H4283" s="12">
        <v>89200</v>
      </c>
      <c r="I4283" s="72">
        <v>4.9000000000000002E-2</v>
      </c>
      <c r="J4283" s="12">
        <v>-427.2</v>
      </c>
    </row>
    <row r="4284" spans="3:10" x14ac:dyDescent="0.35">
      <c r="C4284" t="s">
        <v>12</v>
      </c>
      <c r="D4284" t="s">
        <v>40</v>
      </c>
      <c r="E4284" s="3" t="s">
        <v>171</v>
      </c>
      <c r="F4284" s="71">
        <v>2022</v>
      </c>
      <c r="G4284" s="12">
        <v>89200</v>
      </c>
      <c r="H4284" s="12">
        <v>89300</v>
      </c>
      <c r="I4284" s="72">
        <v>4.9000000000000002E-2</v>
      </c>
      <c r="J4284" s="12">
        <v>-417.2</v>
      </c>
    </row>
    <row r="4285" spans="3:10" x14ac:dyDescent="0.35">
      <c r="C4285" t="s">
        <v>12</v>
      </c>
      <c r="D4285" t="s">
        <v>40</v>
      </c>
      <c r="E4285" s="3" t="s">
        <v>172</v>
      </c>
      <c r="F4285" s="71">
        <v>2022</v>
      </c>
      <c r="G4285" s="12">
        <v>89300</v>
      </c>
      <c r="H4285" s="12">
        <v>89400</v>
      </c>
      <c r="I4285" s="72">
        <v>4.9000000000000002E-2</v>
      </c>
      <c r="J4285" s="12">
        <v>-407.2</v>
      </c>
    </row>
    <row r="4286" spans="3:10" x14ac:dyDescent="0.35">
      <c r="C4286" t="s">
        <v>12</v>
      </c>
      <c r="D4286" t="s">
        <v>40</v>
      </c>
      <c r="E4286" s="3" t="s">
        <v>173</v>
      </c>
      <c r="F4286" s="71">
        <v>2022</v>
      </c>
      <c r="G4286" s="12">
        <v>89400</v>
      </c>
      <c r="H4286" s="12">
        <v>89500</v>
      </c>
      <c r="I4286" s="72">
        <v>4.9000000000000002E-2</v>
      </c>
      <c r="J4286" s="12">
        <v>-397.2</v>
      </c>
    </row>
    <row r="4287" spans="3:10" x14ac:dyDescent="0.35">
      <c r="C4287" t="s">
        <v>12</v>
      </c>
      <c r="D4287" t="s">
        <v>40</v>
      </c>
      <c r="E4287" s="3" t="s">
        <v>174</v>
      </c>
      <c r="F4287" s="71">
        <v>2022</v>
      </c>
      <c r="G4287" s="12">
        <v>89500</v>
      </c>
      <c r="H4287" s="12">
        <v>89600</v>
      </c>
      <c r="I4287" s="72">
        <v>4.9000000000000002E-2</v>
      </c>
      <c r="J4287" s="12">
        <v>-387.2</v>
      </c>
    </row>
    <row r="4288" spans="3:10" x14ac:dyDescent="0.35">
      <c r="C4288" t="s">
        <v>12</v>
      </c>
      <c r="D4288" t="s">
        <v>40</v>
      </c>
      <c r="E4288" s="3" t="s">
        <v>175</v>
      </c>
      <c r="F4288" s="71">
        <v>2022</v>
      </c>
      <c r="G4288" s="12">
        <v>89600</v>
      </c>
      <c r="H4288" s="12">
        <v>89700</v>
      </c>
      <c r="I4288" s="72">
        <v>4.9000000000000002E-2</v>
      </c>
      <c r="J4288" s="12">
        <v>-377.2</v>
      </c>
    </row>
    <row r="4289" spans="3:10" x14ac:dyDescent="0.35">
      <c r="C4289" t="s">
        <v>12</v>
      </c>
      <c r="D4289" t="s">
        <v>40</v>
      </c>
      <c r="E4289" s="3" t="s">
        <v>176</v>
      </c>
      <c r="F4289" s="71">
        <v>2022</v>
      </c>
      <c r="G4289" s="12">
        <v>89700</v>
      </c>
      <c r="H4289" s="12">
        <v>89800</v>
      </c>
      <c r="I4289" s="72">
        <v>4.9000000000000002E-2</v>
      </c>
      <c r="J4289" s="12">
        <v>-367.2</v>
      </c>
    </row>
    <row r="4290" spans="3:10" x14ac:dyDescent="0.35">
      <c r="C4290" t="s">
        <v>12</v>
      </c>
      <c r="D4290" t="s">
        <v>40</v>
      </c>
      <c r="E4290" s="3" t="s">
        <v>177</v>
      </c>
      <c r="F4290" s="71">
        <v>2022</v>
      </c>
      <c r="G4290" s="12">
        <v>89800</v>
      </c>
      <c r="H4290" s="12">
        <v>89900</v>
      </c>
      <c r="I4290" s="72">
        <v>4.9000000000000002E-2</v>
      </c>
      <c r="J4290" s="12">
        <v>-357.2</v>
      </c>
    </row>
    <row r="4291" spans="3:10" x14ac:dyDescent="0.35">
      <c r="C4291" t="s">
        <v>12</v>
      </c>
      <c r="D4291" t="s">
        <v>40</v>
      </c>
      <c r="E4291" s="3" t="s">
        <v>178</v>
      </c>
      <c r="F4291" s="71">
        <v>2022</v>
      </c>
      <c r="G4291" s="12">
        <v>89900</v>
      </c>
      <c r="H4291" s="12">
        <v>90000</v>
      </c>
      <c r="I4291" s="72">
        <v>4.9000000000000002E-2</v>
      </c>
      <c r="J4291" s="12">
        <v>-347.2</v>
      </c>
    </row>
    <row r="4292" spans="3:10" x14ac:dyDescent="0.35">
      <c r="C4292" t="s">
        <v>12</v>
      </c>
      <c r="D4292" t="s">
        <v>40</v>
      </c>
      <c r="E4292" s="3" t="s">
        <v>179</v>
      </c>
      <c r="F4292" s="71">
        <v>2022</v>
      </c>
      <c r="G4292" s="12">
        <v>90000</v>
      </c>
      <c r="H4292" s="12">
        <v>90100</v>
      </c>
      <c r="I4292" s="72">
        <v>4.9000000000000002E-2</v>
      </c>
      <c r="J4292" s="12">
        <v>-337.2</v>
      </c>
    </row>
    <row r="4293" spans="3:10" x14ac:dyDescent="0.35">
      <c r="C4293" t="s">
        <v>12</v>
      </c>
      <c r="D4293" t="s">
        <v>40</v>
      </c>
      <c r="E4293" s="3" t="s">
        <v>180</v>
      </c>
      <c r="F4293" s="71">
        <v>2022</v>
      </c>
      <c r="G4293" s="12">
        <v>90100</v>
      </c>
      <c r="H4293" s="12">
        <v>90200</v>
      </c>
      <c r="I4293" s="72">
        <v>4.9000000000000002E-2</v>
      </c>
      <c r="J4293" s="12">
        <v>-327.2</v>
      </c>
    </row>
    <row r="4294" spans="3:10" x14ac:dyDescent="0.35">
      <c r="C4294" t="s">
        <v>12</v>
      </c>
      <c r="D4294" t="s">
        <v>40</v>
      </c>
      <c r="E4294" s="3" t="s">
        <v>181</v>
      </c>
      <c r="F4294" s="71">
        <v>2022</v>
      </c>
      <c r="G4294" s="12">
        <v>90200</v>
      </c>
      <c r="H4294" s="12">
        <v>90300</v>
      </c>
      <c r="I4294" s="72">
        <v>4.9000000000000002E-2</v>
      </c>
      <c r="J4294" s="12">
        <v>-317.2</v>
      </c>
    </row>
    <row r="4295" spans="3:10" x14ac:dyDescent="0.35">
      <c r="C4295" t="s">
        <v>12</v>
      </c>
      <c r="D4295" t="s">
        <v>40</v>
      </c>
      <c r="E4295" s="3" t="s">
        <v>182</v>
      </c>
      <c r="F4295" s="71">
        <v>2022</v>
      </c>
      <c r="G4295" s="12">
        <v>90300</v>
      </c>
      <c r="H4295" s="12">
        <v>90400</v>
      </c>
      <c r="I4295" s="72">
        <v>4.9000000000000002E-2</v>
      </c>
      <c r="J4295" s="12">
        <v>-307.2</v>
      </c>
    </row>
    <row r="4296" spans="3:10" x14ac:dyDescent="0.35">
      <c r="C4296" t="s">
        <v>12</v>
      </c>
      <c r="D4296" t="s">
        <v>40</v>
      </c>
      <c r="E4296" s="3" t="s">
        <v>183</v>
      </c>
      <c r="F4296" s="71">
        <v>2022</v>
      </c>
      <c r="G4296" s="12">
        <v>90400</v>
      </c>
      <c r="H4296" s="12">
        <v>90500</v>
      </c>
      <c r="I4296" s="72">
        <v>4.9000000000000002E-2</v>
      </c>
      <c r="J4296" s="12">
        <v>-297.2</v>
      </c>
    </row>
    <row r="4297" spans="3:10" x14ac:dyDescent="0.35">
      <c r="C4297" t="s">
        <v>12</v>
      </c>
      <c r="D4297" t="s">
        <v>40</v>
      </c>
      <c r="E4297" s="3" t="s">
        <v>184</v>
      </c>
      <c r="F4297" s="71">
        <v>2022</v>
      </c>
      <c r="G4297" s="12">
        <v>90500</v>
      </c>
      <c r="H4297" s="12">
        <v>90600</v>
      </c>
      <c r="I4297" s="72">
        <v>4.9000000000000002E-2</v>
      </c>
      <c r="J4297" s="12">
        <v>-287.2</v>
      </c>
    </row>
    <row r="4298" spans="3:10" x14ac:dyDescent="0.35">
      <c r="C4298" t="s">
        <v>12</v>
      </c>
      <c r="D4298" t="s">
        <v>40</v>
      </c>
      <c r="E4298" s="3" t="s">
        <v>185</v>
      </c>
      <c r="F4298" s="71">
        <v>2022</v>
      </c>
      <c r="G4298" s="12">
        <v>90600</v>
      </c>
      <c r="H4298" s="12">
        <v>90700</v>
      </c>
      <c r="I4298" s="72">
        <v>4.9000000000000002E-2</v>
      </c>
      <c r="J4298" s="12">
        <v>-277.2</v>
      </c>
    </row>
    <row r="4299" spans="3:10" x14ac:dyDescent="0.35">
      <c r="C4299" t="s">
        <v>12</v>
      </c>
      <c r="D4299" t="s">
        <v>40</v>
      </c>
      <c r="E4299" s="3" t="s">
        <v>186</v>
      </c>
      <c r="F4299" s="71">
        <v>2022</v>
      </c>
      <c r="G4299" s="12">
        <v>90700</v>
      </c>
      <c r="H4299" s="12">
        <v>90800</v>
      </c>
      <c r="I4299" s="72">
        <v>4.9000000000000002E-2</v>
      </c>
      <c r="J4299" s="12">
        <v>-267.2</v>
      </c>
    </row>
    <row r="4300" spans="3:10" x14ac:dyDescent="0.35">
      <c r="C4300" t="s">
        <v>12</v>
      </c>
      <c r="D4300" t="s">
        <v>40</v>
      </c>
      <c r="E4300" s="3" t="s">
        <v>187</v>
      </c>
      <c r="F4300" s="71">
        <v>2022</v>
      </c>
      <c r="G4300" s="12">
        <v>90800</v>
      </c>
      <c r="H4300" s="12">
        <v>90900</v>
      </c>
      <c r="I4300" s="72">
        <v>4.9000000000000002E-2</v>
      </c>
      <c r="J4300" s="12">
        <v>-257.2</v>
      </c>
    </row>
    <row r="4301" spans="3:10" x14ac:dyDescent="0.35">
      <c r="C4301" t="s">
        <v>12</v>
      </c>
      <c r="D4301" t="s">
        <v>40</v>
      </c>
      <c r="E4301" s="3" t="s">
        <v>188</v>
      </c>
      <c r="F4301" s="71">
        <v>2022</v>
      </c>
      <c r="G4301" s="12">
        <v>90900</v>
      </c>
      <c r="H4301" s="12">
        <v>91100</v>
      </c>
      <c r="I4301" s="72">
        <v>4.9000000000000002E-2</v>
      </c>
      <c r="J4301" s="12">
        <v>-247.2</v>
      </c>
    </row>
    <row r="4302" spans="3:10" x14ac:dyDescent="0.35">
      <c r="C4302" t="s">
        <v>12</v>
      </c>
      <c r="D4302" t="s">
        <v>40</v>
      </c>
      <c r="E4302" s="3" t="s">
        <v>189</v>
      </c>
      <c r="F4302" s="71">
        <v>2022</v>
      </c>
      <c r="G4302" s="12">
        <v>91100</v>
      </c>
      <c r="H4302" s="12">
        <v>91200</v>
      </c>
      <c r="I4302" s="72">
        <v>4.9000000000000002E-2</v>
      </c>
      <c r="J4302" s="12">
        <v>-237.2</v>
      </c>
    </row>
    <row r="4303" spans="3:10" x14ac:dyDescent="0.35">
      <c r="C4303" t="s">
        <v>12</v>
      </c>
      <c r="D4303" t="s">
        <v>40</v>
      </c>
      <c r="E4303" s="3" t="s">
        <v>190</v>
      </c>
      <c r="F4303" s="71">
        <v>2022</v>
      </c>
      <c r="G4303" s="12">
        <v>91200</v>
      </c>
      <c r="H4303" s="12">
        <v>91300</v>
      </c>
      <c r="I4303" s="72">
        <v>4.9000000000000002E-2</v>
      </c>
      <c r="J4303" s="12">
        <v>-227.2</v>
      </c>
    </row>
    <row r="4304" spans="3:10" x14ac:dyDescent="0.35">
      <c r="C4304" t="s">
        <v>12</v>
      </c>
      <c r="D4304" t="s">
        <v>40</v>
      </c>
      <c r="E4304" s="3" t="s">
        <v>191</v>
      </c>
      <c r="F4304" s="71">
        <v>2022</v>
      </c>
      <c r="G4304" s="12">
        <v>91300</v>
      </c>
      <c r="H4304" s="12">
        <v>91400</v>
      </c>
      <c r="I4304" s="72">
        <v>4.9000000000000002E-2</v>
      </c>
      <c r="J4304" s="12">
        <v>-217.2</v>
      </c>
    </row>
    <row r="4305" spans="3:10" x14ac:dyDescent="0.35">
      <c r="C4305" t="s">
        <v>12</v>
      </c>
      <c r="D4305" t="s">
        <v>40</v>
      </c>
      <c r="E4305" s="3" t="s">
        <v>192</v>
      </c>
      <c r="F4305" s="71">
        <v>2022</v>
      </c>
      <c r="G4305" s="12">
        <v>91400</v>
      </c>
      <c r="H4305" s="12">
        <v>91500</v>
      </c>
      <c r="I4305" s="72">
        <v>4.9000000000000002E-2</v>
      </c>
      <c r="J4305" s="12">
        <v>-207.2</v>
      </c>
    </row>
    <row r="4306" spans="3:10" x14ac:dyDescent="0.35">
      <c r="C4306" t="s">
        <v>12</v>
      </c>
      <c r="D4306" t="s">
        <v>40</v>
      </c>
      <c r="E4306" s="3" t="s">
        <v>193</v>
      </c>
      <c r="F4306" s="71">
        <v>2022</v>
      </c>
      <c r="G4306" s="12">
        <v>91500</v>
      </c>
      <c r="H4306" s="12">
        <v>91600</v>
      </c>
      <c r="I4306" s="72">
        <v>4.9000000000000002E-2</v>
      </c>
      <c r="J4306" s="12">
        <v>-197.2</v>
      </c>
    </row>
    <row r="4307" spans="3:10" x14ac:dyDescent="0.35">
      <c r="C4307" t="s">
        <v>12</v>
      </c>
      <c r="D4307" t="s">
        <v>40</v>
      </c>
      <c r="E4307" s="3" t="s">
        <v>194</v>
      </c>
      <c r="F4307" s="71">
        <v>2022</v>
      </c>
      <c r="G4307" s="12">
        <v>91600</v>
      </c>
      <c r="H4307" s="12">
        <v>91700</v>
      </c>
      <c r="I4307" s="72">
        <v>4.9000000000000002E-2</v>
      </c>
      <c r="J4307" s="12">
        <v>-187.2</v>
      </c>
    </row>
    <row r="4308" spans="3:10" x14ac:dyDescent="0.35">
      <c r="C4308" t="s">
        <v>12</v>
      </c>
      <c r="D4308" t="s">
        <v>40</v>
      </c>
      <c r="E4308" s="3" t="s">
        <v>195</v>
      </c>
      <c r="F4308" s="71">
        <v>2022</v>
      </c>
      <c r="G4308" s="12">
        <v>91700</v>
      </c>
      <c r="H4308" s="12">
        <v>91800</v>
      </c>
      <c r="I4308" s="72">
        <v>4.9000000000000002E-2</v>
      </c>
      <c r="J4308" s="12">
        <v>-177.2</v>
      </c>
    </row>
    <row r="4309" spans="3:10" x14ac:dyDescent="0.35">
      <c r="C4309" t="s">
        <v>12</v>
      </c>
      <c r="D4309" t="s">
        <v>40</v>
      </c>
      <c r="E4309" s="3" t="s">
        <v>196</v>
      </c>
      <c r="F4309" s="71">
        <v>2022</v>
      </c>
      <c r="G4309" s="12">
        <v>91800</v>
      </c>
      <c r="H4309" s="12"/>
      <c r="I4309" s="31">
        <v>4.9000000000000002E-2</v>
      </c>
      <c r="J4309" s="12">
        <v>-167.2</v>
      </c>
    </row>
    <row r="4310" spans="3:10" x14ac:dyDescent="0.35">
      <c r="C4310" t="s">
        <v>12</v>
      </c>
      <c r="D4310" t="s">
        <v>34</v>
      </c>
      <c r="E4310" s="3" t="s">
        <v>85</v>
      </c>
      <c r="F4310" s="71">
        <v>2022</v>
      </c>
      <c r="G4310" s="12">
        <v>0</v>
      </c>
      <c r="H4310" s="12">
        <v>5099</v>
      </c>
      <c r="I4310" s="72">
        <v>0</v>
      </c>
      <c r="J4310" s="12">
        <v>0</v>
      </c>
    </row>
    <row r="4311" spans="3:10" x14ac:dyDescent="0.35">
      <c r="C4311" t="s">
        <v>12</v>
      </c>
      <c r="D4311" t="s">
        <v>34</v>
      </c>
      <c r="E4311" s="3" t="s">
        <v>87</v>
      </c>
      <c r="F4311" s="71">
        <v>2022</v>
      </c>
      <c r="G4311" s="12">
        <v>5099</v>
      </c>
      <c r="H4311" s="12">
        <v>10299</v>
      </c>
      <c r="I4311" s="72">
        <v>0.02</v>
      </c>
      <c r="J4311" s="12">
        <v>-101.98</v>
      </c>
    </row>
    <row r="4312" spans="3:10" x14ac:dyDescent="0.35">
      <c r="C4312" t="s">
        <v>12</v>
      </c>
      <c r="D4312" t="s">
        <v>34</v>
      </c>
      <c r="E4312" s="3" t="s">
        <v>88</v>
      </c>
      <c r="F4312" s="71">
        <v>2022</v>
      </c>
      <c r="G4312" s="12">
        <v>10299</v>
      </c>
      <c r="H4312" s="12">
        <v>14699</v>
      </c>
      <c r="I4312" s="72">
        <v>0.03</v>
      </c>
      <c r="J4312" s="12">
        <v>-204.97</v>
      </c>
    </row>
    <row r="4313" spans="3:10" x14ac:dyDescent="0.35">
      <c r="C4313" t="s">
        <v>12</v>
      </c>
      <c r="D4313" t="s">
        <v>34</v>
      </c>
      <c r="E4313" s="3" t="s">
        <v>105</v>
      </c>
      <c r="F4313" s="71">
        <v>2022</v>
      </c>
      <c r="G4313" s="12">
        <v>14699</v>
      </c>
      <c r="H4313" s="12">
        <v>24299</v>
      </c>
      <c r="I4313" s="72">
        <v>3.4000000000000002E-2</v>
      </c>
      <c r="J4313" s="12">
        <v>-263.77</v>
      </c>
    </row>
    <row r="4314" spans="3:10" x14ac:dyDescent="0.35">
      <c r="C4314" t="s">
        <v>12</v>
      </c>
      <c r="D4314" t="s">
        <v>34</v>
      </c>
      <c r="E4314" s="3" t="s">
        <v>106</v>
      </c>
      <c r="F4314" s="71">
        <v>2022</v>
      </c>
      <c r="G4314" s="12">
        <v>24299</v>
      </c>
      <c r="H4314" s="12">
        <v>87000</v>
      </c>
      <c r="I4314" s="72">
        <v>4.9000000000000002E-2</v>
      </c>
      <c r="J4314" s="12">
        <v>-628.25</v>
      </c>
    </row>
    <row r="4315" spans="3:10" x14ac:dyDescent="0.35">
      <c r="C4315" t="s">
        <v>12</v>
      </c>
      <c r="D4315" t="s">
        <v>34</v>
      </c>
      <c r="E4315" s="3" t="s">
        <v>107</v>
      </c>
      <c r="F4315" s="71">
        <v>2022</v>
      </c>
      <c r="G4315" s="12">
        <v>87000</v>
      </c>
      <c r="H4315" s="12">
        <v>87100</v>
      </c>
      <c r="I4315" s="72">
        <v>4.9000000000000002E-2</v>
      </c>
      <c r="J4315" s="12">
        <v>-627.20000000000005</v>
      </c>
    </row>
    <row r="4316" spans="3:10" x14ac:dyDescent="0.35">
      <c r="C4316" t="s">
        <v>12</v>
      </c>
      <c r="D4316" t="s">
        <v>34</v>
      </c>
      <c r="E4316" s="3" t="s">
        <v>108</v>
      </c>
      <c r="F4316" s="71">
        <v>2022</v>
      </c>
      <c r="G4316" s="12">
        <v>87100</v>
      </c>
      <c r="H4316" s="12">
        <v>87200</v>
      </c>
      <c r="I4316" s="72">
        <v>4.9000000000000002E-2</v>
      </c>
      <c r="J4316" s="12">
        <v>-617.20000000000005</v>
      </c>
    </row>
    <row r="4317" spans="3:10" x14ac:dyDescent="0.35">
      <c r="C4317" t="s">
        <v>12</v>
      </c>
      <c r="D4317" t="s">
        <v>34</v>
      </c>
      <c r="E4317" s="3" t="s">
        <v>152</v>
      </c>
      <c r="F4317" s="71">
        <v>2022</v>
      </c>
      <c r="G4317" s="12">
        <v>87200</v>
      </c>
      <c r="H4317" s="12">
        <v>87300</v>
      </c>
      <c r="I4317" s="72">
        <v>4.9000000000000002E-2</v>
      </c>
      <c r="J4317" s="12">
        <v>-607.20000000000005</v>
      </c>
    </row>
    <row r="4318" spans="3:10" x14ac:dyDescent="0.35">
      <c r="C4318" t="s">
        <v>12</v>
      </c>
      <c r="D4318" t="s">
        <v>34</v>
      </c>
      <c r="E4318" s="3" t="s">
        <v>153</v>
      </c>
      <c r="F4318" s="71">
        <v>2022</v>
      </c>
      <c r="G4318" s="12">
        <v>87300</v>
      </c>
      <c r="H4318" s="12">
        <v>87400</v>
      </c>
      <c r="I4318" s="72">
        <v>4.9000000000000002E-2</v>
      </c>
      <c r="J4318" s="12">
        <v>-597.20000000000005</v>
      </c>
    </row>
    <row r="4319" spans="3:10" x14ac:dyDescent="0.35">
      <c r="C4319" t="s">
        <v>12</v>
      </c>
      <c r="D4319" t="s">
        <v>34</v>
      </c>
      <c r="E4319" s="3" t="s">
        <v>154</v>
      </c>
      <c r="F4319" s="71">
        <v>2022</v>
      </c>
      <c r="G4319" s="12">
        <v>87400</v>
      </c>
      <c r="H4319" s="12">
        <v>87600</v>
      </c>
      <c r="I4319" s="72">
        <v>4.9000000000000002E-2</v>
      </c>
      <c r="J4319" s="12">
        <v>-587.20000000000005</v>
      </c>
    </row>
    <row r="4320" spans="3:10" x14ac:dyDescent="0.35">
      <c r="C4320" t="s">
        <v>12</v>
      </c>
      <c r="D4320" t="s">
        <v>34</v>
      </c>
      <c r="E4320" s="3" t="s">
        <v>155</v>
      </c>
      <c r="F4320" s="71">
        <v>2022</v>
      </c>
      <c r="G4320" s="12">
        <v>87600</v>
      </c>
      <c r="H4320" s="12">
        <v>87700</v>
      </c>
      <c r="I4320" s="72">
        <v>4.9000000000000002E-2</v>
      </c>
      <c r="J4320" s="12">
        <v>-577.20000000000005</v>
      </c>
    </row>
    <row r="4321" spans="3:10" x14ac:dyDescent="0.35">
      <c r="C4321" t="s">
        <v>12</v>
      </c>
      <c r="D4321" t="s">
        <v>34</v>
      </c>
      <c r="E4321" s="3" t="s">
        <v>156</v>
      </c>
      <c r="F4321" s="71">
        <v>2022</v>
      </c>
      <c r="G4321" s="12">
        <v>87700</v>
      </c>
      <c r="H4321" s="12">
        <v>87800</v>
      </c>
      <c r="I4321" s="72">
        <v>4.9000000000000002E-2</v>
      </c>
      <c r="J4321" s="12">
        <v>-567.20000000000005</v>
      </c>
    </row>
    <row r="4322" spans="3:10" x14ac:dyDescent="0.35">
      <c r="C4322" t="s">
        <v>12</v>
      </c>
      <c r="D4322" t="s">
        <v>34</v>
      </c>
      <c r="E4322" s="3" t="s">
        <v>157</v>
      </c>
      <c r="F4322" s="71">
        <v>2022</v>
      </c>
      <c r="G4322" s="12">
        <v>87800</v>
      </c>
      <c r="H4322" s="12">
        <v>87900</v>
      </c>
      <c r="I4322" s="72">
        <v>4.9000000000000002E-2</v>
      </c>
      <c r="J4322" s="12">
        <v>-557.20000000000005</v>
      </c>
    </row>
    <row r="4323" spans="3:10" x14ac:dyDescent="0.35">
      <c r="C4323" t="s">
        <v>12</v>
      </c>
      <c r="D4323" t="s">
        <v>34</v>
      </c>
      <c r="E4323" s="3" t="s">
        <v>158</v>
      </c>
      <c r="F4323" s="71">
        <v>2022</v>
      </c>
      <c r="G4323" s="12">
        <v>87900</v>
      </c>
      <c r="H4323" s="12">
        <v>88000</v>
      </c>
      <c r="I4323" s="72">
        <v>4.9000000000000002E-2</v>
      </c>
      <c r="J4323" s="12">
        <v>-547.20000000000005</v>
      </c>
    </row>
    <row r="4324" spans="3:10" x14ac:dyDescent="0.35">
      <c r="C4324" t="s">
        <v>12</v>
      </c>
      <c r="D4324" t="s">
        <v>34</v>
      </c>
      <c r="E4324" s="3" t="s">
        <v>159</v>
      </c>
      <c r="F4324" s="71">
        <v>2022</v>
      </c>
      <c r="G4324" s="12">
        <v>88000</v>
      </c>
      <c r="H4324" s="12">
        <v>88100</v>
      </c>
      <c r="I4324" s="72">
        <v>4.9000000000000002E-2</v>
      </c>
      <c r="J4324" s="12">
        <v>-537.20000000000005</v>
      </c>
    </row>
    <row r="4325" spans="3:10" x14ac:dyDescent="0.35">
      <c r="C4325" t="s">
        <v>12</v>
      </c>
      <c r="D4325" t="s">
        <v>34</v>
      </c>
      <c r="E4325" s="3" t="s">
        <v>160</v>
      </c>
      <c r="F4325" s="71">
        <v>2022</v>
      </c>
      <c r="G4325" s="12">
        <v>88100</v>
      </c>
      <c r="H4325" s="12">
        <v>88200</v>
      </c>
      <c r="I4325" s="72">
        <v>4.9000000000000002E-2</v>
      </c>
      <c r="J4325" s="12">
        <v>-527.20000000000005</v>
      </c>
    </row>
    <row r="4326" spans="3:10" x14ac:dyDescent="0.35">
      <c r="C4326" t="s">
        <v>12</v>
      </c>
      <c r="D4326" t="s">
        <v>34</v>
      </c>
      <c r="E4326" s="3" t="s">
        <v>161</v>
      </c>
      <c r="F4326" s="71">
        <v>2022</v>
      </c>
      <c r="G4326" s="12">
        <v>88200</v>
      </c>
      <c r="H4326" s="12">
        <v>88300</v>
      </c>
      <c r="I4326" s="72">
        <v>4.9000000000000002E-2</v>
      </c>
      <c r="J4326" s="12">
        <v>-517.20000000000005</v>
      </c>
    </row>
    <row r="4327" spans="3:10" x14ac:dyDescent="0.35">
      <c r="C4327" t="s">
        <v>12</v>
      </c>
      <c r="D4327" t="s">
        <v>34</v>
      </c>
      <c r="E4327" s="3" t="s">
        <v>162</v>
      </c>
      <c r="F4327" s="71">
        <v>2022</v>
      </c>
      <c r="G4327" s="12">
        <v>88300</v>
      </c>
      <c r="H4327" s="12">
        <v>88400</v>
      </c>
      <c r="I4327" s="72">
        <v>4.9000000000000002E-2</v>
      </c>
      <c r="J4327" s="12">
        <v>-507.2</v>
      </c>
    </row>
    <row r="4328" spans="3:10" x14ac:dyDescent="0.35">
      <c r="C4328" t="s">
        <v>12</v>
      </c>
      <c r="D4328" t="s">
        <v>34</v>
      </c>
      <c r="E4328" s="3" t="s">
        <v>163</v>
      </c>
      <c r="F4328" s="71">
        <v>2022</v>
      </c>
      <c r="G4328" s="12">
        <v>88400</v>
      </c>
      <c r="H4328" s="12">
        <v>88500</v>
      </c>
      <c r="I4328" s="72">
        <v>4.9000000000000002E-2</v>
      </c>
      <c r="J4328" s="12">
        <v>-497.2</v>
      </c>
    </row>
    <row r="4329" spans="3:10" x14ac:dyDescent="0.35">
      <c r="C4329" t="s">
        <v>12</v>
      </c>
      <c r="D4329" t="s">
        <v>34</v>
      </c>
      <c r="E4329" s="3" t="s">
        <v>164</v>
      </c>
      <c r="F4329" s="71">
        <v>2022</v>
      </c>
      <c r="G4329" s="12">
        <v>88500</v>
      </c>
      <c r="H4329" s="12">
        <v>88600</v>
      </c>
      <c r="I4329" s="72">
        <v>4.9000000000000002E-2</v>
      </c>
      <c r="J4329" s="12">
        <v>-487.2</v>
      </c>
    </row>
    <row r="4330" spans="3:10" x14ac:dyDescent="0.35">
      <c r="C4330" t="s">
        <v>12</v>
      </c>
      <c r="D4330" t="s">
        <v>34</v>
      </c>
      <c r="E4330" s="3" t="s">
        <v>165</v>
      </c>
      <c r="F4330" s="71">
        <v>2022</v>
      </c>
      <c r="G4330" s="12">
        <v>88600</v>
      </c>
      <c r="H4330" s="12">
        <v>88700</v>
      </c>
      <c r="I4330" s="72">
        <v>4.9000000000000002E-2</v>
      </c>
      <c r="J4330" s="12">
        <v>-477.2</v>
      </c>
    </row>
    <row r="4331" spans="3:10" x14ac:dyDescent="0.35">
      <c r="C4331" t="s">
        <v>12</v>
      </c>
      <c r="D4331" t="s">
        <v>34</v>
      </c>
      <c r="E4331" s="3" t="s">
        <v>166</v>
      </c>
      <c r="F4331" s="71">
        <v>2022</v>
      </c>
      <c r="G4331" s="12">
        <v>88700</v>
      </c>
      <c r="H4331" s="12">
        <v>88800</v>
      </c>
      <c r="I4331" s="72">
        <v>4.9000000000000002E-2</v>
      </c>
      <c r="J4331" s="12">
        <v>-467.2</v>
      </c>
    </row>
    <row r="4332" spans="3:10" x14ac:dyDescent="0.35">
      <c r="C4332" t="s">
        <v>12</v>
      </c>
      <c r="D4332" t="s">
        <v>34</v>
      </c>
      <c r="E4332" s="3" t="s">
        <v>167</v>
      </c>
      <c r="F4332" s="71">
        <v>2022</v>
      </c>
      <c r="G4332" s="12">
        <v>88800</v>
      </c>
      <c r="H4332" s="12">
        <v>88900</v>
      </c>
      <c r="I4332" s="72">
        <v>4.9000000000000002E-2</v>
      </c>
      <c r="J4332" s="12">
        <v>-457.2</v>
      </c>
    </row>
    <row r="4333" spans="3:10" x14ac:dyDescent="0.35">
      <c r="C4333" t="s">
        <v>12</v>
      </c>
      <c r="D4333" t="s">
        <v>34</v>
      </c>
      <c r="E4333" s="3" t="s">
        <v>168</v>
      </c>
      <c r="F4333" s="71">
        <v>2022</v>
      </c>
      <c r="G4333" s="12">
        <v>88900</v>
      </c>
      <c r="H4333" s="12">
        <v>89000</v>
      </c>
      <c r="I4333" s="72">
        <v>4.9000000000000002E-2</v>
      </c>
      <c r="J4333" s="12">
        <v>-447.2</v>
      </c>
    </row>
    <row r="4334" spans="3:10" x14ac:dyDescent="0.35">
      <c r="C4334" t="s">
        <v>12</v>
      </c>
      <c r="D4334" t="s">
        <v>34</v>
      </c>
      <c r="E4334" s="3" t="s">
        <v>169</v>
      </c>
      <c r="F4334" s="71">
        <v>2022</v>
      </c>
      <c r="G4334" s="12">
        <v>89000</v>
      </c>
      <c r="H4334" s="12">
        <v>89100</v>
      </c>
      <c r="I4334" s="72">
        <v>4.9000000000000002E-2</v>
      </c>
      <c r="J4334" s="12">
        <v>-437.2</v>
      </c>
    </row>
    <row r="4335" spans="3:10" x14ac:dyDescent="0.35">
      <c r="C4335" t="s">
        <v>12</v>
      </c>
      <c r="D4335" t="s">
        <v>34</v>
      </c>
      <c r="E4335" s="3" t="s">
        <v>170</v>
      </c>
      <c r="F4335" s="71">
        <v>2022</v>
      </c>
      <c r="G4335" s="12">
        <v>89100</v>
      </c>
      <c r="H4335" s="12">
        <v>89200</v>
      </c>
      <c r="I4335" s="72">
        <v>4.9000000000000002E-2</v>
      </c>
      <c r="J4335" s="12">
        <v>-427.2</v>
      </c>
    </row>
    <row r="4336" spans="3:10" x14ac:dyDescent="0.35">
      <c r="C4336" t="s">
        <v>12</v>
      </c>
      <c r="D4336" t="s">
        <v>34</v>
      </c>
      <c r="E4336" s="3" t="s">
        <v>171</v>
      </c>
      <c r="F4336" s="71">
        <v>2022</v>
      </c>
      <c r="G4336" s="12">
        <v>89200</v>
      </c>
      <c r="H4336" s="12">
        <v>89300</v>
      </c>
      <c r="I4336" s="72">
        <v>4.9000000000000002E-2</v>
      </c>
      <c r="J4336" s="12">
        <v>-417.2</v>
      </c>
    </row>
    <row r="4337" spans="3:10" x14ac:dyDescent="0.35">
      <c r="C4337" t="s">
        <v>12</v>
      </c>
      <c r="D4337" t="s">
        <v>34</v>
      </c>
      <c r="E4337" s="3" t="s">
        <v>172</v>
      </c>
      <c r="F4337" s="71">
        <v>2022</v>
      </c>
      <c r="G4337" s="12">
        <v>89300</v>
      </c>
      <c r="H4337" s="12">
        <v>89400</v>
      </c>
      <c r="I4337" s="72">
        <v>4.9000000000000002E-2</v>
      </c>
      <c r="J4337" s="12">
        <v>-407.2</v>
      </c>
    </row>
    <row r="4338" spans="3:10" x14ac:dyDescent="0.35">
      <c r="C4338" t="s">
        <v>12</v>
      </c>
      <c r="D4338" t="s">
        <v>34</v>
      </c>
      <c r="E4338" s="3" t="s">
        <v>173</v>
      </c>
      <c r="F4338" s="71">
        <v>2022</v>
      </c>
      <c r="G4338" s="12">
        <v>89400</v>
      </c>
      <c r="H4338" s="12">
        <v>89500</v>
      </c>
      <c r="I4338" s="72">
        <v>4.9000000000000002E-2</v>
      </c>
      <c r="J4338" s="12">
        <v>-397.2</v>
      </c>
    </row>
    <row r="4339" spans="3:10" x14ac:dyDescent="0.35">
      <c r="C4339" t="s">
        <v>12</v>
      </c>
      <c r="D4339" t="s">
        <v>34</v>
      </c>
      <c r="E4339" s="3" t="s">
        <v>174</v>
      </c>
      <c r="F4339" s="71">
        <v>2022</v>
      </c>
      <c r="G4339" s="12">
        <v>89500</v>
      </c>
      <c r="H4339" s="12">
        <v>89600</v>
      </c>
      <c r="I4339" s="72">
        <v>4.9000000000000002E-2</v>
      </c>
      <c r="J4339" s="12">
        <v>-387.2</v>
      </c>
    </row>
    <row r="4340" spans="3:10" x14ac:dyDescent="0.35">
      <c r="C4340" t="s">
        <v>12</v>
      </c>
      <c r="D4340" t="s">
        <v>34</v>
      </c>
      <c r="E4340" s="3" t="s">
        <v>175</v>
      </c>
      <c r="F4340" s="71">
        <v>2022</v>
      </c>
      <c r="G4340" s="12">
        <v>89600</v>
      </c>
      <c r="H4340" s="12">
        <v>89700</v>
      </c>
      <c r="I4340" s="72">
        <v>4.9000000000000002E-2</v>
      </c>
      <c r="J4340" s="12">
        <v>-377.2</v>
      </c>
    </row>
    <row r="4341" spans="3:10" x14ac:dyDescent="0.35">
      <c r="C4341" t="s">
        <v>12</v>
      </c>
      <c r="D4341" t="s">
        <v>34</v>
      </c>
      <c r="E4341" s="3" t="s">
        <v>176</v>
      </c>
      <c r="F4341" s="71">
        <v>2022</v>
      </c>
      <c r="G4341" s="12">
        <v>89700</v>
      </c>
      <c r="H4341" s="12">
        <v>89800</v>
      </c>
      <c r="I4341" s="72">
        <v>4.9000000000000002E-2</v>
      </c>
      <c r="J4341" s="12">
        <v>-367.2</v>
      </c>
    </row>
    <row r="4342" spans="3:10" x14ac:dyDescent="0.35">
      <c r="C4342" t="s">
        <v>12</v>
      </c>
      <c r="D4342" t="s">
        <v>34</v>
      </c>
      <c r="E4342" s="3" t="s">
        <v>177</v>
      </c>
      <c r="F4342" s="71">
        <v>2022</v>
      </c>
      <c r="G4342" s="12">
        <v>89800</v>
      </c>
      <c r="H4342" s="12">
        <v>89900</v>
      </c>
      <c r="I4342" s="72">
        <v>4.9000000000000002E-2</v>
      </c>
      <c r="J4342" s="12">
        <v>-357.2</v>
      </c>
    </row>
    <row r="4343" spans="3:10" x14ac:dyDescent="0.35">
      <c r="C4343" t="s">
        <v>12</v>
      </c>
      <c r="D4343" t="s">
        <v>34</v>
      </c>
      <c r="E4343" s="3" t="s">
        <v>178</v>
      </c>
      <c r="F4343" s="71">
        <v>2022</v>
      </c>
      <c r="G4343" s="12">
        <v>89900</v>
      </c>
      <c r="H4343" s="12">
        <v>90000</v>
      </c>
      <c r="I4343" s="72">
        <v>4.9000000000000002E-2</v>
      </c>
      <c r="J4343" s="12">
        <v>-347.2</v>
      </c>
    </row>
    <row r="4344" spans="3:10" x14ac:dyDescent="0.35">
      <c r="C4344" t="s">
        <v>12</v>
      </c>
      <c r="D4344" t="s">
        <v>34</v>
      </c>
      <c r="E4344" s="3" t="s">
        <v>179</v>
      </c>
      <c r="F4344" s="71">
        <v>2022</v>
      </c>
      <c r="G4344" s="12">
        <v>90000</v>
      </c>
      <c r="H4344" s="12">
        <v>90100</v>
      </c>
      <c r="I4344" s="72">
        <v>4.9000000000000002E-2</v>
      </c>
      <c r="J4344" s="12">
        <v>-337.2</v>
      </c>
    </row>
    <row r="4345" spans="3:10" x14ac:dyDescent="0.35">
      <c r="C4345" t="s">
        <v>12</v>
      </c>
      <c r="D4345" t="s">
        <v>34</v>
      </c>
      <c r="E4345" s="3" t="s">
        <v>180</v>
      </c>
      <c r="F4345" s="71">
        <v>2022</v>
      </c>
      <c r="G4345" s="12">
        <v>90100</v>
      </c>
      <c r="H4345" s="12">
        <v>90200</v>
      </c>
      <c r="I4345" s="72">
        <v>4.9000000000000002E-2</v>
      </c>
      <c r="J4345" s="12">
        <v>-327.2</v>
      </c>
    </row>
    <row r="4346" spans="3:10" x14ac:dyDescent="0.35">
      <c r="C4346" t="s">
        <v>12</v>
      </c>
      <c r="D4346" t="s">
        <v>34</v>
      </c>
      <c r="E4346" s="3" t="s">
        <v>181</v>
      </c>
      <c r="F4346" s="71">
        <v>2022</v>
      </c>
      <c r="G4346" s="12">
        <v>90200</v>
      </c>
      <c r="H4346" s="12">
        <v>90300</v>
      </c>
      <c r="I4346" s="72">
        <v>4.9000000000000002E-2</v>
      </c>
      <c r="J4346" s="12">
        <v>-317.2</v>
      </c>
    </row>
    <row r="4347" spans="3:10" x14ac:dyDescent="0.35">
      <c r="C4347" t="s">
        <v>12</v>
      </c>
      <c r="D4347" t="s">
        <v>34</v>
      </c>
      <c r="E4347" s="3" t="s">
        <v>182</v>
      </c>
      <c r="F4347" s="71">
        <v>2022</v>
      </c>
      <c r="G4347" s="12">
        <v>90300</v>
      </c>
      <c r="H4347" s="12">
        <v>90400</v>
      </c>
      <c r="I4347" s="72">
        <v>4.9000000000000002E-2</v>
      </c>
      <c r="J4347" s="12">
        <v>-307.2</v>
      </c>
    </row>
    <row r="4348" spans="3:10" x14ac:dyDescent="0.35">
      <c r="C4348" t="s">
        <v>12</v>
      </c>
      <c r="D4348" t="s">
        <v>34</v>
      </c>
      <c r="E4348" s="3" t="s">
        <v>183</v>
      </c>
      <c r="F4348" s="71">
        <v>2022</v>
      </c>
      <c r="G4348" s="12">
        <v>90400</v>
      </c>
      <c r="H4348" s="12">
        <v>90500</v>
      </c>
      <c r="I4348" s="72">
        <v>4.9000000000000002E-2</v>
      </c>
      <c r="J4348" s="12">
        <v>-297.2</v>
      </c>
    </row>
    <row r="4349" spans="3:10" x14ac:dyDescent="0.35">
      <c r="C4349" t="s">
        <v>12</v>
      </c>
      <c r="D4349" t="s">
        <v>34</v>
      </c>
      <c r="E4349" s="3" t="s">
        <v>184</v>
      </c>
      <c r="F4349" s="71">
        <v>2022</v>
      </c>
      <c r="G4349" s="12">
        <v>90500</v>
      </c>
      <c r="H4349" s="12">
        <v>90600</v>
      </c>
      <c r="I4349" s="72">
        <v>4.9000000000000002E-2</v>
      </c>
      <c r="J4349" s="12">
        <v>-287.2</v>
      </c>
    </row>
    <row r="4350" spans="3:10" x14ac:dyDescent="0.35">
      <c r="C4350" t="s">
        <v>12</v>
      </c>
      <c r="D4350" t="s">
        <v>34</v>
      </c>
      <c r="E4350" s="3" t="s">
        <v>185</v>
      </c>
      <c r="F4350" s="71">
        <v>2022</v>
      </c>
      <c r="G4350" s="12">
        <v>90600</v>
      </c>
      <c r="H4350" s="12">
        <v>90700</v>
      </c>
      <c r="I4350" s="72">
        <v>4.9000000000000002E-2</v>
      </c>
      <c r="J4350" s="12">
        <v>-277.2</v>
      </c>
    </row>
    <row r="4351" spans="3:10" x14ac:dyDescent="0.35">
      <c r="C4351" t="s">
        <v>12</v>
      </c>
      <c r="D4351" t="s">
        <v>34</v>
      </c>
      <c r="E4351" s="3" t="s">
        <v>186</v>
      </c>
      <c r="F4351" s="71">
        <v>2022</v>
      </c>
      <c r="G4351" s="12">
        <v>90700</v>
      </c>
      <c r="H4351" s="12">
        <v>90800</v>
      </c>
      <c r="I4351" s="72">
        <v>4.9000000000000002E-2</v>
      </c>
      <c r="J4351" s="12">
        <v>-267.2</v>
      </c>
    </row>
    <row r="4352" spans="3:10" x14ac:dyDescent="0.35">
      <c r="C4352" t="s">
        <v>12</v>
      </c>
      <c r="D4352" t="s">
        <v>34</v>
      </c>
      <c r="E4352" s="3" t="s">
        <v>187</v>
      </c>
      <c r="F4352" s="71">
        <v>2022</v>
      </c>
      <c r="G4352" s="12">
        <v>90800</v>
      </c>
      <c r="H4352" s="12">
        <v>90900</v>
      </c>
      <c r="I4352" s="72">
        <v>4.9000000000000002E-2</v>
      </c>
      <c r="J4352" s="12">
        <v>-257.2</v>
      </c>
    </row>
    <row r="4353" spans="3:10" x14ac:dyDescent="0.35">
      <c r="C4353" t="s">
        <v>12</v>
      </c>
      <c r="D4353" t="s">
        <v>34</v>
      </c>
      <c r="E4353" s="3" t="s">
        <v>188</v>
      </c>
      <c r="F4353" s="71">
        <v>2022</v>
      </c>
      <c r="G4353" s="12">
        <v>90900</v>
      </c>
      <c r="H4353" s="12">
        <v>91100</v>
      </c>
      <c r="I4353" s="72">
        <v>4.9000000000000002E-2</v>
      </c>
      <c r="J4353" s="12">
        <v>-247.2</v>
      </c>
    </row>
    <row r="4354" spans="3:10" x14ac:dyDescent="0.35">
      <c r="C4354" t="s">
        <v>12</v>
      </c>
      <c r="D4354" t="s">
        <v>34</v>
      </c>
      <c r="E4354" s="3" t="s">
        <v>189</v>
      </c>
      <c r="F4354" s="71">
        <v>2022</v>
      </c>
      <c r="G4354" s="12">
        <v>91100</v>
      </c>
      <c r="H4354" s="12">
        <v>91200</v>
      </c>
      <c r="I4354" s="72">
        <v>4.9000000000000002E-2</v>
      </c>
      <c r="J4354" s="12">
        <v>-237.2</v>
      </c>
    </row>
    <row r="4355" spans="3:10" x14ac:dyDescent="0.35">
      <c r="C4355" t="s">
        <v>12</v>
      </c>
      <c r="D4355" t="s">
        <v>34</v>
      </c>
      <c r="E4355" s="3" t="s">
        <v>190</v>
      </c>
      <c r="F4355" s="71">
        <v>2022</v>
      </c>
      <c r="G4355" s="12">
        <v>91200</v>
      </c>
      <c r="H4355" s="12">
        <v>91300</v>
      </c>
      <c r="I4355" s="72">
        <v>4.9000000000000002E-2</v>
      </c>
      <c r="J4355" s="12">
        <v>-227.2</v>
      </c>
    </row>
    <row r="4356" spans="3:10" x14ac:dyDescent="0.35">
      <c r="C4356" t="s">
        <v>12</v>
      </c>
      <c r="D4356" t="s">
        <v>34</v>
      </c>
      <c r="E4356" s="3" t="s">
        <v>191</v>
      </c>
      <c r="F4356" s="71">
        <v>2022</v>
      </c>
      <c r="G4356" s="12">
        <v>91300</v>
      </c>
      <c r="H4356" s="12">
        <v>91400</v>
      </c>
      <c r="I4356" s="72">
        <v>4.9000000000000002E-2</v>
      </c>
      <c r="J4356" s="12">
        <v>-217.2</v>
      </c>
    </row>
    <row r="4357" spans="3:10" x14ac:dyDescent="0.35">
      <c r="C4357" t="s">
        <v>12</v>
      </c>
      <c r="D4357" t="s">
        <v>34</v>
      </c>
      <c r="E4357" s="3" t="s">
        <v>192</v>
      </c>
      <c r="F4357" s="71">
        <v>2022</v>
      </c>
      <c r="G4357" s="12">
        <v>91400</v>
      </c>
      <c r="H4357" s="12">
        <v>91500</v>
      </c>
      <c r="I4357" s="72">
        <v>4.9000000000000002E-2</v>
      </c>
      <c r="J4357" s="12">
        <v>-207.2</v>
      </c>
    </row>
    <row r="4358" spans="3:10" x14ac:dyDescent="0.35">
      <c r="C4358" t="s">
        <v>12</v>
      </c>
      <c r="D4358" t="s">
        <v>34</v>
      </c>
      <c r="E4358" s="3" t="s">
        <v>193</v>
      </c>
      <c r="F4358" s="71">
        <v>2022</v>
      </c>
      <c r="G4358" s="12">
        <v>91500</v>
      </c>
      <c r="H4358" s="12">
        <v>91600</v>
      </c>
      <c r="I4358" s="72">
        <v>4.9000000000000002E-2</v>
      </c>
      <c r="J4358" s="12">
        <v>-197.2</v>
      </c>
    </row>
    <row r="4359" spans="3:10" x14ac:dyDescent="0.35">
      <c r="C4359" t="s">
        <v>12</v>
      </c>
      <c r="D4359" t="s">
        <v>34</v>
      </c>
      <c r="E4359" s="3" t="s">
        <v>194</v>
      </c>
      <c r="F4359" s="71">
        <v>2022</v>
      </c>
      <c r="G4359" s="12">
        <v>91600</v>
      </c>
      <c r="H4359" s="12">
        <v>91700</v>
      </c>
      <c r="I4359" s="72">
        <v>4.9000000000000002E-2</v>
      </c>
      <c r="J4359" s="12">
        <v>-187.2</v>
      </c>
    </row>
    <row r="4360" spans="3:10" x14ac:dyDescent="0.35">
      <c r="C4360" t="s">
        <v>12</v>
      </c>
      <c r="D4360" t="s">
        <v>34</v>
      </c>
      <c r="E4360" s="3" t="s">
        <v>195</v>
      </c>
      <c r="F4360" s="71">
        <v>2022</v>
      </c>
      <c r="G4360" s="12">
        <v>91700</v>
      </c>
      <c r="H4360" s="12">
        <v>91800</v>
      </c>
      <c r="I4360" s="72">
        <v>4.9000000000000002E-2</v>
      </c>
      <c r="J4360" s="12">
        <v>-177.2</v>
      </c>
    </row>
    <row r="4361" spans="3:10" x14ac:dyDescent="0.35">
      <c r="C4361" t="s">
        <v>12</v>
      </c>
      <c r="D4361" t="s">
        <v>34</v>
      </c>
      <c r="E4361" s="3" t="s">
        <v>196</v>
      </c>
      <c r="F4361" s="71">
        <v>2022</v>
      </c>
      <c r="G4361" s="12">
        <v>91800</v>
      </c>
      <c r="H4361" s="12"/>
      <c r="I4361" s="31">
        <v>4.9000000000000002E-2</v>
      </c>
      <c r="J4361" s="12">
        <v>-167.2</v>
      </c>
    </row>
    <row r="4362" spans="3:10" x14ac:dyDescent="0.35">
      <c r="C4362" t="s">
        <v>12</v>
      </c>
      <c r="D4362" t="s">
        <v>41</v>
      </c>
      <c r="E4362" s="3" t="s">
        <v>85</v>
      </c>
      <c r="F4362" s="71">
        <v>2022</v>
      </c>
      <c r="G4362" s="12">
        <v>0</v>
      </c>
      <c r="H4362" s="12">
        <v>5099</v>
      </c>
      <c r="I4362" s="72">
        <v>0</v>
      </c>
      <c r="J4362" s="12">
        <v>0</v>
      </c>
    </row>
    <row r="4363" spans="3:10" x14ac:dyDescent="0.35">
      <c r="C4363" t="s">
        <v>12</v>
      </c>
      <c r="D4363" t="s">
        <v>41</v>
      </c>
      <c r="E4363" s="3" t="s">
        <v>87</v>
      </c>
      <c r="F4363" s="71">
        <v>2022</v>
      </c>
      <c r="G4363" s="12">
        <v>5099</v>
      </c>
      <c r="H4363" s="12">
        <v>10299</v>
      </c>
      <c r="I4363" s="72">
        <v>0.02</v>
      </c>
      <c r="J4363" s="12">
        <v>-101.98</v>
      </c>
    </row>
    <row r="4364" spans="3:10" x14ac:dyDescent="0.35">
      <c r="C4364" t="s">
        <v>12</v>
      </c>
      <c r="D4364" t="s">
        <v>41</v>
      </c>
      <c r="E4364" s="3" t="s">
        <v>88</v>
      </c>
      <c r="F4364" s="71">
        <v>2022</v>
      </c>
      <c r="G4364" s="12">
        <v>10299</v>
      </c>
      <c r="H4364" s="12">
        <v>14699</v>
      </c>
      <c r="I4364" s="72">
        <v>0.03</v>
      </c>
      <c r="J4364" s="12">
        <v>-204.97</v>
      </c>
    </row>
    <row r="4365" spans="3:10" x14ac:dyDescent="0.35">
      <c r="C4365" t="s">
        <v>12</v>
      </c>
      <c r="D4365" t="s">
        <v>41</v>
      </c>
      <c r="E4365" s="3" t="s">
        <v>105</v>
      </c>
      <c r="F4365" s="71">
        <v>2022</v>
      </c>
      <c r="G4365" s="12">
        <v>14699</v>
      </c>
      <c r="H4365" s="12">
        <v>24299</v>
      </c>
      <c r="I4365" s="72">
        <v>3.4000000000000002E-2</v>
      </c>
      <c r="J4365" s="12">
        <v>-263.77</v>
      </c>
    </row>
    <row r="4366" spans="3:10" x14ac:dyDescent="0.35">
      <c r="C4366" t="s">
        <v>12</v>
      </c>
      <c r="D4366" t="s">
        <v>41</v>
      </c>
      <c r="E4366" s="3" t="s">
        <v>106</v>
      </c>
      <c r="F4366" s="71">
        <v>2022</v>
      </c>
      <c r="G4366" s="12">
        <v>24299</v>
      </c>
      <c r="H4366" s="12">
        <v>87000</v>
      </c>
      <c r="I4366" s="72">
        <v>4.9000000000000002E-2</v>
      </c>
      <c r="J4366" s="12">
        <v>-628.25</v>
      </c>
    </row>
    <row r="4367" spans="3:10" x14ac:dyDescent="0.35">
      <c r="C4367" t="s">
        <v>12</v>
      </c>
      <c r="D4367" t="s">
        <v>41</v>
      </c>
      <c r="E4367" s="3" t="s">
        <v>107</v>
      </c>
      <c r="F4367" s="71">
        <v>2022</v>
      </c>
      <c r="G4367" s="12">
        <v>87000</v>
      </c>
      <c r="H4367" s="12">
        <v>87100</v>
      </c>
      <c r="I4367" s="72">
        <v>4.9000000000000002E-2</v>
      </c>
      <c r="J4367" s="12">
        <v>-627.20000000000005</v>
      </c>
    </row>
    <row r="4368" spans="3:10" x14ac:dyDescent="0.35">
      <c r="C4368" t="s">
        <v>12</v>
      </c>
      <c r="D4368" t="s">
        <v>41</v>
      </c>
      <c r="E4368" s="3" t="s">
        <v>108</v>
      </c>
      <c r="F4368" s="71">
        <v>2022</v>
      </c>
      <c r="G4368" s="12">
        <v>87100</v>
      </c>
      <c r="H4368" s="12">
        <v>87200</v>
      </c>
      <c r="I4368" s="72">
        <v>4.9000000000000002E-2</v>
      </c>
      <c r="J4368" s="12">
        <v>-617.20000000000005</v>
      </c>
    </row>
    <row r="4369" spans="3:10" x14ac:dyDescent="0.35">
      <c r="C4369" t="s">
        <v>12</v>
      </c>
      <c r="D4369" t="s">
        <v>41</v>
      </c>
      <c r="E4369" s="3" t="s">
        <v>152</v>
      </c>
      <c r="F4369" s="71">
        <v>2022</v>
      </c>
      <c r="G4369" s="12">
        <v>87200</v>
      </c>
      <c r="H4369" s="12">
        <v>87300</v>
      </c>
      <c r="I4369" s="72">
        <v>4.9000000000000002E-2</v>
      </c>
      <c r="J4369" s="12">
        <v>-607.20000000000005</v>
      </c>
    </row>
    <row r="4370" spans="3:10" x14ac:dyDescent="0.35">
      <c r="C4370" t="s">
        <v>12</v>
      </c>
      <c r="D4370" t="s">
        <v>41</v>
      </c>
      <c r="E4370" s="3" t="s">
        <v>153</v>
      </c>
      <c r="F4370" s="71">
        <v>2022</v>
      </c>
      <c r="G4370" s="12">
        <v>87300</v>
      </c>
      <c r="H4370" s="12">
        <v>87400</v>
      </c>
      <c r="I4370" s="72">
        <v>4.9000000000000002E-2</v>
      </c>
      <c r="J4370" s="12">
        <v>-597.20000000000005</v>
      </c>
    </row>
    <row r="4371" spans="3:10" x14ac:dyDescent="0.35">
      <c r="C4371" t="s">
        <v>12</v>
      </c>
      <c r="D4371" t="s">
        <v>41</v>
      </c>
      <c r="E4371" s="3" t="s">
        <v>154</v>
      </c>
      <c r="F4371" s="71">
        <v>2022</v>
      </c>
      <c r="G4371" s="12">
        <v>87400</v>
      </c>
      <c r="H4371" s="12">
        <v>87600</v>
      </c>
      <c r="I4371" s="72">
        <v>4.9000000000000002E-2</v>
      </c>
      <c r="J4371" s="12">
        <v>-587.20000000000005</v>
      </c>
    </row>
    <row r="4372" spans="3:10" x14ac:dyDescent="0.35">
      <c r="C4372" t="s">
        <v>12</v>
      </c>
      <c r="D4372" t="s">
        <v>41</v>
      </c>
      <c r="E4372" s="3" t="s">
        <v>155</v>
      </c>
      <c r="F4372" s="71">
        <v>2022</v>
      </c>
      <c r="G4372" s="12">
        <v>87600</v>
      </c>
      <c r="H4372" s="12">
        <v>87700</v>
      </c>
      <c r="I4372" s="72">
        <v>4.9000000000000002E-2</v>
      </c>
      <c r="J4372" s="12">
        <v>-577.20000000000005</v>
      </c>
    </row>
    <row r="4373" spans="3:10" x14ac:dyDescent="0.35">
      <c r="C4373" t="s">
        <v>12</v>
      </c>
      <c r="D4373" t="s">
        <v>41</v>
      </c>
      <c r="E4373" s="3" t="s">
        <v>156</v>
      </c>
      <c r="F4373" s="71">
        <v>2022</v>
      </c>
      <c r="G4373" s="12">
        <v>87700</v>
      </c>
      <c r="H4373" s="12">
        <v>87800</v>
      </c>
      <c r="I4373" s="72">
        <v>4.9000000000000002E-2</v>
      </c>
      <c r="J4373" s="12">
        <v>-567.20000000000005</v>
      </c>
    </row>
    <row r="4374" spans="3:10" x14ac:dyDescent="0.35">
      <c r="C4374" t="s">
        <v>12</v>
      </c>
      <c r="D4374" t="s">
        <v>41</v>
      </c>
      <c r="E4374" s="3" t="s">
        <v>157</v>
      </c>
      <c r="F4374" s="71">
        <v>2022</v>
      </c>
      <c r="G4374" s="12">
        <v>87800</v>
      </c>
      <c r="H4374" s="12">
        <v>87900</v>
      </c>
      <c r="I4374" s="72">
        <v>4.9000000000000002E-2</v>
      </c>
      <c r="J4374" s="12">
        <v>-557.20000000000005</v>
      </c>
    </row>
    <row r="4375" spans="3:10" x14ac:dyDescent="0.35">
      <c r="C4375" t="s">
        <v>12</v>
      </c>
      <c r="D4375" t="s">
        <v>41</v>
      </c>
      <c r="E4375" s="3" t="s">
        <v>158</v>
      </c>
      <c r="F4375" s="71">
        <v>2022</v>
      </c>
      <c r="G4375" s="12">
        <v>87900</v>
      </c>
      <c r="H4375" s="12">
        <v>88000</v>
      </c>
      <c r="I4375" s="72">
        <v>4.9000000000000002E-2</v>
      </c>
      <c r="J4375" s="12">
        <v>-547.20000000000005</v>
      </c>
    </row>
    <row r="4376" spans="3:10" x14ac:dyDescent="0.35">
      <c r="C4376" t="s">
        <v>12</v>
      </c>
      <c r="D4376" t="s">
        <v>41</v>
      </c>
      <c r="E4376" s="3" t="s">
        <v>159</v>
      </c>
      <c r="F4376" s="71">
        <v>2022</v>
      </c>
      <c r="G4376" s="12">
        <v>88000</v>
      </c>
      <c r="H4376" s="12">
        <v>88100</v>
      </c>
      <c r="I4376" s="72">
        <v>4.9000000000000002E-2</v>
      </c>
      <c r="J4376" s="12">
        <v>-537.20000000000005</v>
      </c>
    </row>
    <row r="4377" spans="3:10" x14ac:dyDescent="0.35">
      <c r="C4377" t="s">
        <v>12</v>
      </c>
      <c r="D4377" t="s">
        <v>41</v>
      </c>
      <c r="E4377" s="3" t="s">
        <v>160</v>
      </c>
      <c r="F4377" s="71">
        <v>2022</v>
      </c>
      <c r="G4377" s="12">
        <v>88100</v>
      </c>
      <c r="H4377" s="12">
        <v>88200</v>
      </c>
      <c r="I4377" s="72">
        <v>4.9000000000000002E-2</v>
      </c>
      <c r="J4377" s="12">
        <v>-527.20000000000005</v>
      </c>
    </row>
    <row r="4378" spans="3:10" x14ac:dyDescent="0.35">
      <c r="C4378" t="s">
        <v>12</v>
      </c>
      <c r="D4378" t="s">
        <v>41</v>
      </c>
      <c r="E4378" s="3" t="s">
        <v>161</v>
      </c>
      <c r="F4378" s="71">
        <v>2022</v>
      </c>
      <c r="G4378" s="12">
        <v>88200</v>
      </c>
      <c r="H4378" s="12">
        <v>88300</v>
      </c>
      <c r="I4378" s="72">
        <v>4.9000000000000002E-2</v>
      </c>
      <c r="J4378" s="12">
        <v>-517.20000000000005</v>
      </c>
    </row>
    <row r="4379" spans="3:10" x14ac:dyDescent="0.35">
      <c r="C4379" t="s">
        <v>12</v>
      </c>
      <c r="D4379" t="s">
        <v>41</v>
      </c>
      <c r="E4379" s="3" t="s">
        <v>162</v>
      </c>
      <c r="F4379" s="71">
        <v>2022</v>
      </c>
      <c r="G4379" s="12">
        <v>88300</v>
      </c>
      <c r="H4379" s="12">
        <v>88400</v>
      </c>
      <c r="I4379" s="72">
        <v>4.9000000000000002E-2</v>
      </c>
      <c r="J4379" s="12">
        <v>-507.2</v>
      </c>
    </row>
    <row r="4380" spans="3:10" x14ac:dyDescent="0.35">
      <c r="C4380" t="s">
        <v>12</v>
      </c>
      <c r="D4380" t="s">
        <v>41</v>
      </c>
      <c r="E4380" s="3" t="s">
        <v>163</v>
      </c>
      <c r="F4380" s="71">
        <v>2022</v>
      </c>
      <c r="G4380" s="12">
        <v>88400</v>
      </c>
      <c r="H4380" s="12">
        <v>88500</v>
      </c>
      <c r="I4380" s="72">
        <v>4.9000000000000002E-2</v>
      </c>
      <c r="J4380" s="12">
        <v>-497.2</v>
      </c>
    </row>
    <row r="4381" spans="3:10" x14ac:dyDescent="0.35">
      <c r="C4381" t="s">
        <v>12</v>
      </c>
      <c r="D4381" t="s">
        <v>41</v>
      </c>
      <c r="E4381" s="3" t="s">
        <v>164</v>
      </c>
      <c r="F4381" s="71">
        <v>2022</v>
      </c>
      <c r="G4381" s="12">
        <v>88500</v>
      </c>
      <c r="H4381" s="12">
        <v>88600</v>
      </c>
      <c r="I4381" s="72">
        <v>4.9000000000000002E-2</v>
      </c>
      <c r="J4381" s="12">
        <v>-487.2</v>
      </c>
    </row>
    <row r="4382" spans="3:10" x14ac:dyDescent="0.35">
      <c r="C4382" t="s">
        <v>12</v>
      </c>
      <c r="D4382" t="s">
        <v>41</v>
      </c>
      <c r="E4382" s="3" t="s">
        <v>165</v>
      </c>
      <c r="F4382" s="71">
        <v>2022</v>
      </c>
      <c r="G4382" s="12">
        <v>88600</v>
      </c>
      <c r="H4382" s="12">
        <v>88700</v>
      </c>
      <c r="I4382" s="72">
        <v>4.9000000000000002E-2</v>
      </c>
      <c r="J4382" s="12">
        <v>-477.2</v>
      </c>
    </row>
    <row r="4383" spans="3:10" x14ac:dyDescent="0.35">
      <c r="C4383" t="s">
        <v>12</v>
      </c>
      <c r="D4383" t="s">
        <v>41</v>
      </c>
      <c r="E4383" s="3" t="s">
        <v>166</v>
      </c>
      <c r="F4383" s="71">
        <v>2022</v>
      </c>
      <c r="G4383" s="12">
        <v>88700</v>
      </c>
      <c r="H4383" s="12">
        <v>88800</v>
      </c>
      <c r="I4383" s="72">
        <v>4.9000000000000002E-2</v>
      </c>
      <c r="J4383" s="12">
        <v>-467.2</v>
      </c>
    </row>
    <row r="4384" spans="3:10" x14ac:dyDescent="0.35">
      <c r="C4384" t="s">
        <v>12</v>
      </c>
      <c r="D4384" t="s">
        <v>41</v>
      </c>
      <c r="E4384" s="3" t="s">
        <v>167</v>
      </c>
      <c r="F4384" s="71">
        <v>2022</v>
      </c>
      <c r="G4384" s="12">
        <v>88800</v>
      </c>
      <c r="H4384" s="12">
        <v>88900</v>
      </c>
      <c r="I4384" s="72">
        <v>4.9000000000000002E-2</v>
      </c>
      <c r="J4384" s="12">
        <v>-457.2</v>
      </c>
    </row>
    <row r="4385" spans="3:10" x14ac:dyDescent="0.35">
      <c r="C4385" t="s">
        <v>12</v>
      </c>
      <c r="D4385" t="s">
        <v>41</v>
      </c>
      <c r="E4385" s="3" t="s">
        <v>168</v>
      </c>
      <c r="F4385" s="71">
        <v>2022</v>
      </c>
      <c r="G4385" s="12">
        <v>88900</v>
      </c>
      <c r="H4385" s="12">
        <v>89000</v>
      </c>
      <c r="I4385" s="72">
        <v>4.9000000000000002E-2</v>
      </c>
      <c r="J4385" s="12">
        <v>-447.2</v>
      </c>
    </row>
    <row r="4386" spans="3:10" x14ac:dyDescent="0.35">
      <c r="C4386" t="s">
        <v>12</v>
      </c>
      <c r="D4386" t="s">
        <v>41</v>
      </c>
      <c r="E4386" s="3" t="s">
        <v>169</v>
      </c>
      <c r="F4386" s="71">
        <v>2022</v>
      </c>
      <c r="G4386" s="12">
        <v>89000</v>
      </c>
      <c r="H4386" s="12">
        <v>89100</v>
      </c>
      <c r="I4386" s="72">
        <v>4.9000000000000002E-2</v>
      </c>
      <c r="J4386" s="12">
        <v>-437.2</v>
      </c>
    </row>
    <row r="4387" spans="3:10" x14ac:dyDescent="0.35">
      <c r="C4387" t="s">
        <v>12</v>
      </c>
      <c r="D4387" t="s">
        <v>41</v>
      </c>
      <c r="E4387" s="3" t="s">
        <v>170</v>
      </c>
      <c r="F4387" s="71">
        <v>2022</v>
      </c>
      <c r="G4387" s="12">
        <v>89100</v>
      </c>
      <c r="H4387" s="12">
        <v>89200</v>
      </c>
      <c r="I4387" s="72">
        <v>4.9000000000000002E-2</v>
      </c>
      <c r="J4387" s="12">
        <v>-427.2</v>
      </c>
    </row>
    <row r="4388" spans="3:10" x14ac:dyDescent="0.35">
      <c r="C4388" t="s">
        <v>12</v>
      </c>
      <c r="D4388" t="s">
        <v>41</v>
      </c>
      <c r="E4388" s="3" t="s">
        <v>171</v>
      </c>
      <c r="F4388" s="71">
        <v>2022</v>
      </c>
      <c r="G4388" s="12">
        <v>89200</v>
      </c>
      <c r="H4388" s="12">
        <v>89300</v>
      </c>
      <c r="I4388" s="72">
        <v>4.9000000000000002E-2</v>
      </c>
      <c r="J4388" s="12">
        <v>-417.2</v>
      </c>
    </row>
    <row r="4389" spans="3:10" x14ac:dyDescent="0.35">
      <c r="C4389" t="s">
        <v>12</v>
      </c>
      <c r="D4389" t="s">
        <v>41</v>
      </c>
      <c r="E4389" s="3" t="s">
        <v>172</v>
      </c>
      <c r="F4389" s="71">
        <v>2022</v>
      </c>
      <c r="G4389" s="12">
        <v>89300</v>
      </c>
      <c r="H4389" s="12">
        <v>89400</v>
      </c>
      <c r="I4389" s="72">
        <v>4.9000000000000002E-2</v>
      </c>
      <c r="J4389" s="12">
        <v>-407.2</v>
      </c>
    </row>
    <row r="4390" spans="3:10" x14ac:dyDescent="0.35">
      <c r="C4390" t="s">
        <v>12</v>
      </c>
      <c r="D4390" t="s">
        <v>41</v>
      </c>
      <c r="E4390" s="3" t="s">
        <v>173</v>
      </c>
      <c r="F4390" s="71">
        <v>2022</v>
      </c>
      <c r="G4390" s="12">
        <v>89400</v>
      </c>
      <c r="H4390" s="12">
        <v>89500</v>
      </c>
      <c r="I4390" s="72">
        <v>4.9000000000000002E-2</v>
      </c>
      <c r="J4390" s="12">
        <v>-397.2</v>
      </c>
    </row>
    <row r="4391" spans="3:10" x14ac:dyDescent="0.35">
      <c r="C4391" t="s">
        <v>12</v>
      </c>
      <c r="D4391" t="s">
        <v>41</v>
      </c>
      <c r="E4391" s="3" t="s">
        <v>174</v>
      </c>
      <c r="F4391" s="71">
        <v>2022</v>
      </c>
      <c r="G4391" s="12">
        <v>89500</v>
      </c>
      <c r="H4391" s="12">
        <v>89600</v>
      </c>
      <c r="I4391" s="72">
        <v>4.9000000000000002E-2</v>
      </c>
      <c r="J4391" s="12">
        <v>-387.2</v>
      </c>
    </row>
    <row r="4392" spans="3:10" x14ac:dyDescent="0.35">
      <c r="C4392" t="s">
        <v>12</v>
      </c>
      <c r="D4392" t="s">
        <v>41</v>
      </c>
      <c r="E4392" s="3" t="s">
        <v>175</v>
      </c>
      <c r="F4392" s="71">
        <v>2022</v>
      </c>
      <c r="G4392" s="12">
        <v>89600</v>
      </c>
      <c r="H4392" s="12">
        <v>89700</v>
      </c>
      <c r="I4392" s="72">
        <v>4.9000000000000002E-2</v>
      </c>
      <c r="J4392" s="12">
        <v>-377.2</v>
      </c>
    </row>
    <row r="4393" spans="3:10" x14ac:dyDescent="0.35">
      <c r="C4393" t="s">
        <v>12</v>
      </c>
      <c r="D4393" t="s">
        <v>41</v>
      </c>
      <c r="E4393" s="3" t="s">
        <v>176</v>
      </c>
      <c r="F4393" s="71">
        <v>2022</v>
      </c>
      <c r="G4393" s="12">
        <v>89700</v>
      </c>
      <c r="H4393" s="12">
        <v>89800</v>
      </c>
      <c r="I4393" s="72">
        <v>4.9000000000000002E-2</v>
      </c>
      <c r="J4393" s="12">
        <v>-367.2</v>
      </c>
    </row>
    <row r="4394" spans="3:10" x14ac:dyDescent="0.35">
      <c r="C4394" t="s">
        <v>12</v>
      </c>
      <c r="D4394" t="s">
        <v>41</v>
      </c>
      <c r="E4394" s="3" t="s">
        <v>177</v>
      </c>
      <c r="F4394" s="71">
        <v>2022</v>
      </c>
      <c r="G4394" s="12">
        <v>89800</v>
      </c>
      <c r="H4394" s="12">
        <v>89900</v>
      </c>
      <c r="I4394" s="72">
        <v>4.9000000000000002E-2</v>
      </c>
      <c r="J4394" s="12">
        <v>-357.2</v>
      </c>
    </row>
    <row r="4395" spans="3:10" x14ac:dyDescent="0.35">
      <c r="C4395" t="s">
        <v>12</v>
      </c>
      <c r="D4395" t="s">
        <v>41</v>
      </c>
      <c r="E4395" s="3" t="s">
        <v>178</v>
      </c>
      <c r="F4395" s="71">
        <v>2022</v>
      </c>
      <c r="G4395" s="12">
        <v>89900</v>
      </c>
      <c r="H4395" s="12">
        <v>90000</v>
      </c>
      <c r="I4395" s="72">
        <v>4.9000000000000002E-2</v>
      </c>
      <c r="J4395" s="12">
        <v>-347.2</v>
      </c>
    </row>
    <row r="4396" spans="3:10" x14ac:dyDescent="0.35">
      <c r="C4396" t="s">
        <v>12</v>
      </c>
      <c r="D4396" t="s">
        <v>41</v>
      </c>
      <c r="E4396" s="3" t="s">
        <v>179</v>
      </c>
      <c r="F4396" s="71">
        <v>2022</v>
      </c>
      <c r="G4396" s="12">
        <v>90000</v>
      </c>
      <c r="H4396" s="12">
        <v>90100</v>
      </c>
      <c r="I4396" s="72">
        <v>4.9000000000000002E-2</v>
      </c>
      <c r="J4396" s="12">
        <v>-337.2</v>
      </c>
    </row>
    <row r="4397" spans="3:10" x14ac:dyDescent="0.35">
      <c r="C4397" t="s">
        <v>12</v>
      </c>
      <c r="D4397" t="s">
        <v>41</v>
      </c>
      <c r="E4397" s="3" t="s">
        <v>180</v>
      </c>
      <c r="F4397" s="71">
        <v>2022</v>
      </c>
      <c r="G4397" s="12">
        <v>90100</v>
      </c>
      <c r="H4397" s="12">
        <v>90200</v>
      </c>
      <c r="I4397" s="72">
        <v>4.9000000000000002E-2</v>
      </c>
      <c r="J4397" s="12">
        <v>-327.2</v>
      </c>
    </row>
    <row r="4398" spans="3:10" x14ac:dyDescent="0.35">
      <c r="C4398" t="s">
        <v>12</v>
      </c>
      <c r="D4398" t="s">
        <v>41</v>
      </c>
      <c r="E4398" s="3" t="s">
        <v>181</v>
      </c>
      <c r="F4398" s="71">
        <v>2022</v>
      </c>
      <c r="G4398" s="12">
        <v>90200</v>
      </c>
      <c r="H4398" s="12">
        <v>90300</v>
      </c>
      <c r="I4398" s="72">
        <v>4.9000000000000002E-2</v>
      </c>
      <c r="J4398" s="12">
        <v>-317.2</v>
      </c>
    </row>
    <row r="4399" spans="3:10" x14ac:dyDescent="0.35">
      <c r="C4399" t="s">
        <v>12</v>
      </c>
      <c r="D4399" t="s">
        <v>41</v>
      </c>
      <c r="E4399" s="3" t="s">
        <v>182</v>
      </c>
      <c r="F4399" s="71">
        <v>2022</v>
      </c>
      <c r="G4399" s="12">
        <v>90300</v>
      </c>
      <c r="H4399" s="12">
        <v>90400</v>
      </c>
      <c r="I4399" s="72">
        <v>4.9000000000000002E-2</v>
      </c>
      <c r="J4399" s="12">
        <v>-307.2</v>
      </c>
    </row>
    <row r="4400" spans="3:10" x14ac:dyDescent="0.35">
      <c r="C4400" t="s">
        <v>12</v>
      </c>
      <c r="D4400" t="s">
        <v>41</v>
      </c>
      <c r="E4400" s="3" t="s">
        <v>183</v>
      </c>
      <c r="F4400" s="71">
        <v>2022</v>
      </c>
      <c r="G4400" s="12">
        <v>90400</v>
      </c>
      <c r="H4400" s="12">
        <v>90500</v>
      </c>
      <c r="I4400" s="72">
        <v>4.9000000000000002E-2</v>
      </c>
      <c r="J4400" s="12">
        <v>-297.2</v>
      </c>
    </row>
    <row r="4401" spans="3:10" x14ac:dyDescent="0.35">
      <c r="C4401" t="s">
        <v>12</v>
      </c>
      <c r="D4401" t="s">
        <v>41</v>
      </c>
      <c r="E4401" s="3" t="s">
        <v>184</v>
      </c>
      <c r="F4401" s="71">
        <v>2022</v>
      </c>
      <c r="G4401" s="12">
        <v>90500</v>
      </c>
      <c r="H4401" s="12">
        <v>90600</v>
      </c>
      <c r="I4401" s="72">
        <v>4.9000000000000002E-2</v>
      </c>
      <c r="J4401" s="12">
        <v>-287.2</v>
      </c>
    </row>
    <row r="4402" spans="3:10" x14ac:dyDescent="0.35">
      <c r="C4402" t="s">
        <v>12</v>
      </c>
      <c r="D4402" t="s">
        <v>41</v>
      </c>
      <c r="E4402" s="3" t="s">
        <v>185</v>
      </c>
      <c r="F4402" s="71">
        <v>2022</v>
      </c>
      <c r="G4402" s="12">
        <v>90600</v>
      </c>
      <c r="H4402" s="12">
        <v>90700</v>
      </c>
      <c r="I4402" s="72">
        <v>4.9000000000000002E-2</v>
      </c>
      <c r="J4402" s="12">
        <v>-277.2</v>
      </c>
    </row>
    <row r="4403" spans="3:10" x14ac:dyDescent="0.35">
      <c r="C4403" t="s">
        <v>12</v>
      </c>
      <c r="D4403" t="s">
        <v>41</v>
      </c>
      <c r="E4403" s="3" t="s">
        <v>186</v>
      </c>
      <c r="F4403" s="71">
        <v>2022</v>
      </c>
      <c r="G4403" s="12">
        <v>90700</v>
      </c>
      <c r="H4403" s="12">
        <v>90800</v>
      </c>
      <c r="I4403" s="72">
        <v>4.9000000000000002E-2</v>
      </c>
      <c r="J4403" s="12">
        <v>-267.2</v>
      </c>
    </row>
    <row r="4404" spans="3:10" x14ac:dyDescent="0.35">
      <c r="C4404" t="s">
        <v>12</v>
      </c>
      <c r="D4404" t="s">
        <v>41</v>
      </c>
      <c r="E4404" s="3" t="s">
        <v>187</v>
      </c>
      <c r="F4404" s="71">
        <v>2022</v>
      </c>
      <c r="G4404" s="12">
        <v>90800</v>
      </c>
      <c r="H4404" s="12">
        <v>90900</v>
      </c>
      <c r="I4404" s="72">
        <v>4.9000000000000002E-2</v>
      </c>
      <c r="J4404" s="12">
        <v>-257.2</v>
      </c>
    </row>
    <row r="4405" spans="3:10" x14ac:dyDescent="0.35">
      <c r="C4405" t="s">
        <v>12</v>
      </c>
      <c r="D4405" t="s">
        <v>41</v>
      </c>
      <c r="E4405" s="3" t="s">
        <v>188</v>
      </c>
      <c r="F4405" s="71">
        <v>2022</v>
      </c>
      <c r="G4405" s="12">
        <v>90900</v>
      </c>
      <c r="H4405" s="12">
        <v>91100</v>
      </c>
      <c r="I4405" s="72">
        <v>4.9000000000000002E-2</v>
      </c>
      <c r="J4405" s="12">
        <v>-247.2</v>
      </c>
    </row>
    <row r="4406" spans="3:10" x14ac:dyDescent="0.35">
      <c r="C4406" t="s">
        <v>12</v>
      </c>
      <c r="D4406" t="s">
        <v>41</v>
      </c>
      <c r="E4406" s="3" t="s">
        <v>189</v>
      </c>
      <c r="F4406" s="71">
        <v>2022</v>
      </c>
      <c r="G4406" s="12">
        <v>91100</v>
      </c>
      <c r="H4406" s="12">
        <v>91200</v>
      </c>
      <c r="I4406" s="72">
        <v>4.9000000000000002E-2</v>
      </c>
      <c r="J4406" s="12">
        <v>-237.2</v>
      </c>
    </row>
    <row r="4407" spans="3:10" x14ac:dyDescent="0.35">
      <c r="C4407" t="s">
        <v>12</v>
      </c>
      <c r="D4407" t="s">
        <v>41</v>
      </c>
      <c r="E4407" s="3" t="s">
        <v>190</v>
      </c>
      <c r="F4407" s="71">
        <v>2022</v>
      </c>
      <c r="G4407" s="12">
        <v>91200</v>
      </c>
      <c r="H4407" s="12">
        <v>91300</v>
      </c>
      <c r="I4407" s="72">
        <v>4.9000000000000002E-2</v>
      </c>
      <c r="J4407" s="12">
        <v>-227.2</v>
      </c>
    </row>
    <row r="4408" spans="3:10" x14ac:dyDescent="0.35">
      <c r="C4408" t="s">
        <v>12</v>
      </c>
      <c r="D4408" t="s">
        <v>41</v>
      </c>
      <c r="E4408" s="3" t="s">
        <v>191</v>
      </c>
      <c r="F4408" s="71">
        <v>2022</v>
      </c>
      <c r="G4408" s="12">
        <v>91300</v>
      </c>
      <c r="H4408" s="12">
        <v>91400</v>
      </c>
      <c r="I4408" s="72">
        <v>4.9000000000000002E-2</v>
      </c>
      <c r="J4408" s="12">
        <v>-217.2</v>
      </c>
    </row>
    <row r="4409" spans="3:10" x14ac:dyDescent="0.35">
      <c r="C4409" t="s">
        <v>12</v>
      </c>
      <c r="D4409" t="s">
        <v>41</v>
      </c>
      <c r="E4409" s="3" t="s">
        <v>192</v>
      </c>
      <c r="F4409" s="71">
        <v>2022</v>
      </c>
      <c r="G4409" s="12">
        <v>91400</v>
      </c>
      <c r="H4409" s="12">
        <v>91500</v>
      </c>
      <c r="I4409" s="72">
        <v>4.9000000000000002E-2</v>
      </c>
      <c r="J4409" s="12">
        <v>-207.2</v>
      </c>
    </row>
    <row r="4410" spans="3:10" x14ac:dyDescent="0.35">
      <c r="C4410" t="s">
        <v>12</v>
      </c>
      <c r="D4410" t="s">
        <v>41</v>
      </c>
      <c r="E4410" s="3" t="s">
        <v>193</v>
      </c>
      <c r="F4410" s="71">
        <v>2022</v>
      </c>
      <c r="G4410" s="12">
        <v>91500</v>
      </c>
      <c r="H4410" s="12">
        <v>91600</v>
      </c>
      <c r="I4410" s="72">
        <v>4.9000000000000002E-2</v>
      </c>
      <c r="J4410" s="12">
        <v>-197.2</v>
      </c>
    </row>
    <row r="4411" spans="3:10" x14ac:dyDescent="0.35">
      <c r="C4411" t="s">
        <v>12</v>
      </c>
      <c r="D4411" t="s">
        <v>41</v>
      </c>
      <c r="E4411" s="3" t="s">
        <v>194</v>
      </c>
      <c r="F4411" s="71">
        <v>2022</v>
      </c>
      <c r="G4411" s="12">
        <v>91600</v>
      </c>
      <c r="H4411" s="12">
        <v>91700</v>
      </c>
      <c r="I4411" s="72">
        <v>4.9000000000000002E-2</v>
      </c>
      <c r="J4411" s="12">
        <v>-187.2</v>
      </c>
    </row>
    <row r="4412" spans="3:10" x14ac:dyDescent="0.35">
      <c r="C4412" t="s">
        <v>12</v>
      </c>
      <c r="D4412" t="s">
        <v>41</v>
      </c>
      <c r="E4412" s="3" t="s">
        <v>195</v>
      </c>
      <c r="F4412" s="71">
        <v>2022</v>
      </c>
      <c r="G4412" s="12">
        <v>91700</v>
      </c>
      <c r="H4412" s="12">
        <v>91800</v>
      </c>
      <c r="I4412" s="72">
        <v>4.9000000000000002E-2</v>
      </c>
      <c r="J4412" s="12">
        <v>-177.2</v>
      </c>
    </row>
    <row r="4413" spans="3:10" x14ac:dyDescent="0.35">
      <c r="C4413" t="s">
        <v>12</v>
      </c>
      <c r="D4413" t="s">
        <v>41</v>
      </c>
      <c r="E4413" s="3" t="s">
        <v>196</v>
      </c>
      <c r="F4413" s="71">
        <v>2022</v>
      </c>
      <c r="G4413" s="12">
        <v>91800</v>
      </c>
      <c r="H4413" s="12"/>
      <c r="I4413" s="31">
        <v>4.9000000000000002E-2</v>
      </c>
      <c r="J4413" s="12">
        <v>-167.2</v>
      </c>
    </row>
    <row r="4414" spans="3:10" x14ac:dyDescent="0.35">
      <c r="C4414" t="s">
        <v>12</v>
      </c>
      <c r="D4414" t="s">
        <v>33</v>
      </c>
      <c r="E4414" s="3" t="s">
        <v>85</v>
      </c>
      <c r="F4414" s="71">
        <v>2023</v>
      </c>
      <c r="G4414" s="12">
        <v>0</v>
      </c>
      <c r="H4414" s="12">
        <v>5099</v>
      </c>
      <c r="I4414" s="72">
        <v>0</v>
      </c>
      <c r="J4414" s="12">
        <v>0</v>
      </c>
    </row>
    <row r="4415" spans="3:10" x14ac:dyDescent="0.35">
      <c r="C4415" t="s">
        <v>12</v>
      </c>
      <c r="D4415" t="s">
        <v>33</v>
      </c>
      <c r="E4415" s="3" t="s">
        <v>87</v>
      </c>
      <c r="F4415" s="71">
        <v>2023</v>
      </c>
      <c r="G4415" s="12">
        <v>5099</v>
      </c>
      <c r="H4415" s="12">
        <v>10299</v>
      </c>
      <c r="I4415" s="72">
        <v>0.02</v>
      </c>
      <c r="J4415" s="12">
        <v>-101.98</v>
      </c>
    </row>
    <row r="4416" spans="3:10" x14ac:dyDescent="0.35">
      <c r="C4416" t="s">
        <v>12</v>
      </c>
      <c r="D4416" t="s">
        <v>33</v>
      </c>
      <c r="E4416" s="3" t="s">
        <v>88</v>
      </c>
      <c r="F4416" s="71">
        <v>2023</v>
      </c>
      <c r="G4416" s="12">
        <v>10299</v>
      </c>
      <c r="H4416" s="12">
        <v>14699</v>
      </c>
      <c r="I4416" s="72">
        <v>0.03</v>
      </c>
      <c r="J4416" s="12">
        <v>-204.97</v>
      </c>
    </row>
    <row r="4417" spans="3:10" x14ac:dyDescent="0.35">
      <c r="C4417" t="s">
        <v>12</v>
      </c>
      <c r="D4417" t="s">
        <v>33</v>
      </c>
      <c r="E4417" s="3" t="s">
        <v>105</v>
      </c>
      <c r="F4417" s="71">
        <v>2023</v>
      </c>
      <c r="G4417" s="12">
        <v>14699</v>
      </c>
      <c r="H4417" s="12">
        <v>24299</v>
      </c>
      <c r="I4417" s="72">
        <v>3.4000000000000002E-2</v>
      </c>
      <c r="J4417" s="12">
        <v>-263.77</v>
      </c>
    </row>
    <row r="4418" spans="3:10" x14ac:dyDescent="0.35">
      <c r="C4418" t="s">
        <v>12</v>
      </c>
      <c r="D4418" t="s">
        <v>33</v>
      </c>
      <c r="E4418" s="3" t="s">
        <v>106</v>
      </c>
      <c r="F4418" s="71">
        <v>2023</v>
      </c>
      <c r="G4418" s="12">
        <v>24299</v>
      </c>
      <c r="H4418" s="12">
        <v>87000</v>
      </c>
      <c r="I4418" s="72">
        <v>4.9000000000000002E-2</v>
      </c>
      <c r="J4418" s="12">
        <v>-628.25</v>
      </c>
    </row>
    <row r="4419" spans="3:10" x14ac:dyDescent="0.35">
      <c r="C4419" t="s">
        <v>12</v>
      </c>
      <c r="D4419" t="s">
        <v>33</v>
      </c>
      <c r="E4419" s="3" t="s">
        <v>107</v>
      </c>
      <c r="F4419" s="71">
        <v>2023</v>
      </c>
      <c r="G4419" s="12">
        <v>87000</v>
      </c>
      <c r="H4419" s="12">
        <v>87100</v>
      </c>
      <c r="I4419" s="72">
        <v>4.9000000000000002E-2</v>
      </c>
      <c r="J4419" s="12">
        <v>-627.20000000000005</v>
      </c>
    </row>
    <row r="4420" spans="3:10" x14ac:dyDescent="0.35">
      <c r="C4420" t="s">
        <v>12</v>
      </c>
      <c r="D4420" t="s">
        <v>33</v>
      </c>
      <c r="E4420" s="3" t="s">
        <v>108</v>
      </c>
      <c r="F4420" s="71">
        <v>2023</v>
      </c>
      <c r="G4420" s="12">
        <v>87100</v>
      </c>
      <c r="H4420" s="12">
        <v>87200</v>
      </c>
      <c r="I4420" s="72">
        <v>4.9000000000000002E-2</v>
      </c>
      <c r="J4420" s="12">
        <v>-617.20000000000005</v>
      </c>
    </row>
    <row r="4421" spans="3:10" x14ac:dyDescent="0.35">
      <c r="C4421" t="s">
        <v>12</v>
      </c>
      <c r="D4421" t="s">
        <v>33</v>
      </c>
      <c r="E4421" s="3" t="s">
        <v>152</v>
      </c>
      <c r="F4421" s="71">
        <v>2023</v>
      </c>
      <c r="G4421" s="12">
        <v>87200</v>
      </c>
      <c r="H4421" s="12">
        <v>87300</v>
      </c>
      <c r="I4421" s="72">
        <v>4.9000000000000002E-2</v>
      </c>
      <c r="J4421" s="12">
        <v>-607.20000000000005</v>
      </c>
    </row>
    <row r="4422" spans="3:10" x14ac:dyDescent="0.35">
      <c r="C4422" t="s">
        <v>12</v>
      </c>
      <c r="D4422" t="s">
        <v>33</v>
      </c>
      <c r="E4422" s="3" t="s">
        <v>153</v>
      </c>
      <c r="F4422" s="71">
        <v>2023</v>
      </c>
      <c r="G4422" s="12">
        <v>87300</v>
      </c>
      <c r="H4422" s="12">
        <v>87400</v>
      </c>
      <c r="I4422" s="72">
        <v>4.9000000000000002E-2</v>
      </c>
      <c r="J4422" s="12">
        <v>-597.20000000000005</v>
      </c>
    </row>
    <row r="4423" spans="3:10" x14ac:dyDescent="0.35">
      <c r="C4423" t="s">
        <v>12</v>
      </c>
      <c r="D4423" t="s">
        <v>33</v>
      </c>
      <c r="E4423" s="3" t="s">
        <v>154</v>
      </c>
      <c r="F4423" s="71">
        <v>2023</v>
      </c>
      <c r="G4423" s="12">
        <v>87400</v>
      </c>
      <c r="H4423" s="12">
        <v>87600</v>
      </c>
      <c r="I4423" s="72">
        <v>4.9000000000000002E-2</v>
      </c>
      <c r="J4423" s="12">
        <v>-587.20000000000005</v>
      </c>
    </row>
    <row r="4424" spans="3:10" x14ac:dyDescent="0.35">
      <c r="C4424" t="s">
        <v>12</v>
      </c>
      <c r="D4424" t="s">
        <v>33</v>
      </c>
      <c r="E4424" s="3" t="s">
        <v>155</v>
      </c>
      <c r="F4424" s="71">
        <v>2023</v>
      </c>
      <c r="G4424" s="12">
        <v>87600</v>
      </c>
      <c r="H4424" s="12">
        <v>87700</v>
      </c>
      <c r="I4424" s="72">
        <v>4.9000000000000002E-2</v>
      </c>
      <c r="J4424" s="12">
        <v>-577.20000000000005</v>
      </c>
    </row>
    <row r="4425" spans="3:10" x14ac:dyDescent="0.35">
      <c r="C4425" t="s">
        <v>12</v>
      </c>
      <c r="D4425" t="s">
        <v>33</v>
      </c>
      <c r="E4425" s="3" t="s">
        <v>156</v>
      </c>
      <c r="F4425" s="71">
        <v>2023</v>
      </c>
      <c r="G4425" s="12">
        <v>87700</v>
      </c>
      <c r="H4425" s="12">
        <v>87800</v>
      </c>
      <c r="I4425" s="72">
        <v>4.9000000000000002E-2</v>
      </c>
      <c r="J4425" s="12">
        <v>-567.20000000000005</v>
      </c>
    </row>
    <row r="4426" spans="3:10" x14ac:dyDescent="0.35">
      <c r="C4426" t="s">
        <v>12</v>
      </c>
      <c r="D4426" t="s">
        <v>33</v>
      </c>
      <c r="E4426" s="3" t="s">
        <v>157</v>
      </c>
      <c r="F4426" s="71">
        <v>2023</v>
      </c>
      <c r="G4426" s="12">
        <v>87800</v>
      </c>
      <c r="H4426" s="12">
        <v>87900</v>
      </c>
      <c r="I4426" s="72">
        <v>4.9000000000000002E-2</v>
      </c>
      <c r="J4426" s="12">
        <v>-557.20000000000005</v>
      </c>
    </row>
    <row r="4427" spans="3:10" x14ac:dyDescent="0.35">
      <c r="C4427" t="s">
        <v>12</v>
      </c>
      <c r="D4427" t="s">
        <v>33</v>
      </c>
      <c r="E4427" s="3" t="s">
        <v>158</v>
      </c>
      <c r="F4427" s="71">
        <v>2023</v>
      </c>
      <c r="G4427" s="12">
        <v>87900</v>
      </c>
      <c r="H4427" s="12">
        <v>88000</v>
      </c>
      <c r="I4427" s="72">
        <v>4.9000000000000002E-2</v>
      </c>
      <c r="J4427" s="12">
        <v>-547.20000000000005</v>
      </c>
    </row>
    <row r="4428" spans="3:10" x14ac:dyDescent="0.35">
      <c r="C4428" t="s">
        <v>12</v>
      </c>
      <c r="D4428" t="s">
        <v>33</v>
      </c>
      <c r="E4428" s="3" t="s">
        <v>159</v>
      </c>
      <c r="F4428" s="71">
        <v>2023</v>
      </c>
      <c r="G4428" s="12">
        <v>88000</v>
      </c>
      <c r="H4428" s="12">
        <v>88100</v>
      </c>
      <c r="I4428" s="72">
        <v>4.9000000000000002E-2</v>
      </c>
      <c r="J4428" s="12">
        <v>-537.20000000000005</v>
      </c>
    </row>
    <row r="4429" spans="3:10" x14ac:dyDescent="0.35">
      <c r="C4429" t="s">
        <v>12</v>
      </c>
      <c r="D4429" t="s">
        <v>33</v>
      </c>
      <c r="E4429" s="3" t="s">
        <v>160</v>
      </c>
      <c r="F4429" s="71">
        <v>2023</v>
      </c>
      <c r="G4429" s="12">
        <v>88100</v>
      </c>
      <c r="H4429" s="12">
        <v>88200</v>
      </c>
      <c r="I4429" s="72">
        <v>4.9000000000000002E-2</v>
      </c>
      <c r="J4429" s="12">
        <v>-527.20000000000005</v>
      </c>
    </row>
    <row r="4430" spans="3:10" x14ac:dyDescent="0.35">
      <c r="C4430" t="s">
        <v>12</v>
      </c>
      <c r="D4430" t="s">
        <v>33</v>
      </c>
      <c r="E4430" s="3" t="s">
        <v>161</v>
      </c>
      <c r="F4430" s="71">
        <v>2023</v>
      </c>
      <c r="G4430" s="12">
        <v>88200</v>
      </c>
      <c r="H4430" s="12">
        <v>88300</v>
      </c>
      <c r="I4430" s="72">
        <v>4.9000000000000002E-2</v>
      </c>
      <c r="J4430" s="12">
        <v>-517.20000000000005</v>
      </c>
    </row>
    <row r="4431" spans="3:10" x14ac:dyDescent="0.35">
      <c r="C4431" t="s">
        <v>12</v>
      </c>
      <c r="D4431" t="s">
        <v>33</v>
      </c>
      <c r="E4431" s="3" t="s">
        <v>162</v>
      </c>
      <c r="F4431" s="71">
        <v>2023</v>
      </c>
      <c r="G4431" s="12">
        <v>88300</v>
      </c>
      <c r="H4431" s="12">
        <v>88400</v>
      </c>
      <c r="I4431" s="72">
        <v>4.9000000000000002E-2</v>
      </c>
      <c r="J4431" s="12">
        <v>-507.2</v>
      </c>
    </row>
    <row r="4432" spans="3:10" x14ac:dyDescent="0.35">
      <c r="C4432" t="s">
        <v>12</v>
      </c>
      <c r="D4432" t="s">
        <v>33</v>
      </c>
      <c r="E4432" s="3" t="s">
        <v>163</v>
      </c>
      <c r="F4432" s="71">
        <v>2023</v>
      </c>
      <c r="G4432" s="12">
        <v>88400</v>
      </c>
      <c r="H4432" s="12">
        <v>88500</v>
      </c>
      <c r="I4432" s="72">
        <v>4.9000000000000002E-2</v>
      </c>
      <c r="J4432" s="12">
        <v>-497.2</v>
      </c>
    </row>
    <row r="4433" spans="3:10" x14ac:dyDescent="0.35">
      <c r="C4433" t="s">
        <v>12</v>
      </c>
      <c r="D4433" t="s">
        <v>33</v>
      </c>
      <c r="E4433" s="3" t="s">
        <v>164</v>
      </c>
      <c r="F4433" s="71">
        <v>2023</v>
      </c>
      <c r="G4433" s="12">
        <v>88500</v>
      </c>
      <c r="H4433" s="12">
        <v>88600</v>
      </c>
      <c r="I4433" s="72">
        <v>4.9000000000000002E-2</v>
      </c>
      <c r="J4433" s="12">
        <v>-487.2</v>
      </c>
    </row>
    <row r="4434" spans="3:10" x14ac:dyDescent="0.35">
      <c r="C4434" t="s">
        <v>12</v>
      </c>
      <c r="D4434" t="s">
        <v>33</v>
      </c>
      <c r="E4434" s="3" t="s">
        <v>165</v>
      </c>
      <c r="F4434" s="71">
        <v>2023</v>
      </c>
      <c r="G4434" s="12">
        <v>88600</v>
      </c>
      <c r="H4434" s="12">
        <v>88700</v>
      </c>
      <c r="I4434" s="72">
        <v>4.9000000000000002E-2</v>
      </c>
      <c r="J4434" s="12">
        <v>-477.2</v>
      </c>
    </row>
    <row r="4435" spans="3:10" x14ac:dyDescent="0.35">
      <c r="C4435" t="s">
        <v>12</v>
      </c>
      <c r="D4435" t="s">
        <v>33</v>
      </c>
      <c r="E4435" s="3" t="s">
        <v>166</v>
      </c>
      <c r="F4435" s="71">
        <v>2023</v>
      </c>
      <c r="G4435" s="12">
        <v>88700</v>
      </c>
      <c r="H4435" s="12">
        <v>88800</v>
      </c>
      <c r="I4435" s="72">
        <v>4.9000000000000002E-2</v>
      </c>
      <c r="J4435" s="12">
        <v>-467.2</v>
      </c>
    </row>
    <row r="4436" spans="3:10" x14ac:dyDescent="0.35">
      <c r="C4436" t="s">
        <v>12</v>
      </c>
      <c r="D4436" t="s">
        <v>33</v>
      </c>
      <c r="E4436" s="3" t="s">
        <v>167</v>
      </c>
      <c r="F4436" s="71">
        <v>2023</v>
      </c>
      <c r="G4436" s="12">
        <v>88800</v>
      </c>
      <c r="H4436" s="12">
        <v>88900</v>
      </c>
      <c r="I4436" s="72">
        <v>4.9000000000000002E-2</v>
      </c>
      <c r="J4436" s="12">
        <v>-457.2</v>
      </c>
    </row>
    <row r="4437" spans="3:10" x14ac:dyDescent="0.35">
      <c r="C4437" t="s">
        <v>12</v>
      </c>
      <c r="D4437" t="s">
        <v>33</v>
      </c>
      <c r="E4437" s="3" t="s">
        <v>168</v>
      </c>
      <c r="F4437" s="71">
        <v>2023</v>
      </c>
      <c r="G4437" s="12">
        <v>88900</v>
      </c>
      <c r="H4437" s="12">
        <v>89000</v>
      </c>
      <c r="I4437" s="72">
        <v>4.9000000000000002E-2</v>
      </c>
      <c r="J4437" s="12">
        <v>-447.2</v>
      </c>
    </row>
    <row r="4438" spans="3:10" x14ac:dyDescent="0.35">
      <c r="C4438" t="s">
        <v>12</v>
      </c>
      <c r="D4438" t="s">
        <v>33</v>
      </c>
      <c r="E4438" s="3" t="s">
        <v>169</v>
      </c>
      <c r="F4438" s="71">
        <v>2023</v>
      </c>
      <c r="G4438" s="12">
        <v>89000</v>
      </c>
      <c r="H4438" s="12">
        <v>89100</v>
      </c>
      <c r="I4438" s="72">
        <v>4.9000000000000002E-2</v>
      </c>
      <c r="J4438" s="12">
        <v>-437.2</v>
      </c>
    </row>
    <row r="4439" spans="3:10" x14ac:dyDescent="0.35">
      <c r="C4439" t="s">
        <v>12</v>
      </c>
      <c r="D4439" t="s">
        <v>33</v>
      </c>
      <c r="E4439" s="3" t="s">
        <v>170</v>
      </c>
      <c r="F4439" s="71">
        <v>2023</v>
      </c>
      <c r="G4439" s="12">
        <v>89100</v>
      </c>
      <c r="H4439" s="12">
        <v>89200</v>
      </c>
      <c r="I4439" s="72">
        <v>4.9000000000000002E-2</v>
      </c>
      <c r="J4439" s="12">
        <v>-427.2</v>
      </c>
    </row>
    <row r="4440" spans="3:10" x14ac:dyDescent="0.35">
      <c r="C4440" t="s">
        <v>12</v>
      </c>
      <c r="D4440" t="s">
        <v>33</v>
      </c>
      <c r="E4440" s="3" t="s">
        <v>171</v>
      </c>
      <c r="F4440" s="71">
        <v>2023</v>
      </c>
      <c r="G4440" s="12">
        <v>89200</v>
      </c>
      <c r="H4440" s="12">
        <v>89300</v>
      </c>
      <c r="I4440" s="72">
        <v>4.9000000000000002E-2</v>
      </c>
      <c r="J4440" s="12">
        <v>-417.2</v>
      </c>
    </row>
    <row r="4441" spans="3:10" x14ac:dyDescent="0.35">
      <c r="C4441" t="s">
        <v>12</v>
      </c>
      <c r="D4441" t="s">
        <v>33</v>
      </c>
      <c r="E4441" s="3" t="s">
        <v>172</v>
      </c>
      <c r="F4441" s="71">
        <v>2023</v>
      </c>
      <c r="G4441" s="12">
        <v>89300</v>
      </c>
      <c r="H4441" s="12">
        <v>89400</v>
      </c>
      <c r="I4441" s="72">
        <v>4.9000000000000002E-2</v>
      </c>
      <c r="J4441" s="12">
        <v>-407.2</v>
      </c>
    </row>
    <row r="4442" spans="3:10" x14ac:dyDescent="0.35">
      <c r="C4442" t="s">
        <v>12</v>
      </c>
      <c r="D4442" t="s">
        <v>33</v>
      </c>
      <c r="E4442" s="3" t="s">
        <v>173</v>
      </c>
      <c r="F4442" s="71">
        <v>2023</v>
      </c>
      <c r="G4442" s="12">
        <v>89400</v>
      </c>
      <c r="H4442" s="12">
        <v>89500</v>
      </c>
      <c r="I4442" s="72">
        <v>4.9000000000000002E-2</v>
      </c>
      <c r="J4442" s="12">
        <v>-397.2</v>
      </c>
    </row>
    <row r="4443" spans="3:10" x14ac:dyDescent="0.35">
      <c r="C4443" t="s">
        <v>12</v>
      </c>
      <c r="D4443" t="s">
        <v>33</v>
      </c>
      <c r="E4443" s="3" t="s">
        <v>174</v>
      </c>
      <c r="F4443" s="71">
        <v>2023</v>
      </c>
      <c r="G4443" s="12">
        <v>89500</v>
      </c>
      <c r="H4443" s="12">
        <v>89600</v>
      </c>
      <c r="I4443" s="72">
        <v>4.9000000000000002E-2</v>
      </c>
      <c r="J4443" s="12">
        <v>-387.2</v>
      </c>
    </row>
    <row r="4444" spans="3:10" x14ac:dyDescent="0.35">
      <c r="C4444" t="s">
        <v>12</v>
      </c>
      <c r="D4444" t="s">
        <v>33</v>
      </c>
      <c r="E4444" s="3" t="s">
        <v>175</v>
      </c>
      <c r="F4444" s="71">
        <v>2023</v>
      </c>
      <c r="G4444" s="12">
        <v>89600</v>
      </c>
      <c r="H4444" s="12">
        <v>89700</v>
      </c>
      <c r="I4444" s="72">
        <v>4.9000000000000002E-2</v>
      </c>
      <c r="J4444" s="12">
        <v>-377.2</v>
      </c>
    </row>
    <row r="4445" spans="3:10" x14ac:dyDescent="0.35">
      <c r="C4445" t="s">
        <v>12</v>
      </c>
      <c r="D4445" t="s">
        <v>33</v>
      </c>
      <c r="E4445" s="3" t="s">
        <v>176</v>
      </c>
      <c r="F4445" s="71">
        <v>2023</v>
      </c>
      <c r="G4445" s="12">
        <v>89700</v>
      </c>
      <c r="H4445" s="12">
        <v>89800</v>
      </c>
      <c r="I4445" s="72">
        <v>4.9000000000000002E-2</v>
      </c>
      <c r="J4445" s="12">
        <v>-367.2</v>
      </c>
    </row>
    <row r="4446" spans="3:10" x14ac:dyDescent="0.35">
      <c r="C4446" t="s">
        <v>12</v>
      </c>
      <c r="D4446" t="s">
        <v>33</v>
      </c>
      <c r="E4446" s="3" t="s">
        <v>177</v>
      </c>
      <c r="F4446" s="71">
        <v>2023</v>
      </c>
      <c r="G4446" s="12">
        <v>89800</v>
      </c>
      <c r="H4446" s="12">
        <v>89900</v>
      </c>
      <c r="I4446" s="72">
        <v>4.9000000000000002E-2</v>
      </c>
      <c r="J4446" s="12">
        <v>-357.2</v>
      </c>
    </row>
    <row r="4447" spans="3:10" x14ac:dyDescent="0.35">
      <c r="C4447" t="s">
        <v>12</v>
      </c>
      <c r="D4447" t="s">
        <v>33</v>
      </c>
      <c r="E4447" s="3" t="s">
        <v>178</v>
      </c>
      <c r="F4447" s="71">
        <v>2023</v>
      </c>
      <c r="G4447" s="12">
        <v>89900</v>
      </c>
      <c r="H4447" s="12">
        <v>90000</v>
      </c>
      <c r="I4447" s="72">
        <v>4.9000000000000002E-2</v>
      </c>
      <c r="J4447" s="12">
        <v>-347.2</v>
      </c>
    </row>
    <row r="4448" spans="3:10" x14ac:dyDescent="0.35">
      <c r="C4448" t="s">
        <v>12</v>
      </c>
      <c r="D4448" t="s">
        <v>33</v>
      </c>
      <c r="E4448" s="3" t="s">
        <v>179</v>
      </c>
      <c r="F4448" s="71">
        <v>2023</v>
      </c>
      <c r="G4448" s="12">
        <v>90000</v>
      </c>
      <c r="H4448" s="12">
        <v>90100</v>
      </c>
      <c r="I4448" s="72">
        <v>4.9000000000000002E-2</v>
      </c>
      <c r="J4448" s="12">
        <v>-337.2</v>
      </c>
    </row>
    <row r="4449" spans="3:10" x14ac:dyDescent="0.35">
      <c r="C4449" t="s">
        <v>12</v>
      </c>
      <c r="D4449" t="s">
        <v>33</v>
      </c>
      <c r="E4449" s="3" t="s">
        <v>180</v>
      </c>
      <c r="F4449" s="71">
        <v>2023</v>
      </c>
      <c r="G4449" s="12">
        <v>90100</v>
      </c>
      <c r="H4449" s="12">
        <v>90200</v>
      </c>
      <c r="I4449" s="72">
        <v>4.9000000000000002E-2</v>
      </c>
      <c r="J4449" s="12">
        <v>-327.2</v>
      </c>
    </row>
    <row r="4450" spans="3:10" x14ac:dyDescent="0.35">
      <c r="C4450" t="s">
        <v>12</v>
      </c>
      <c r="D4450" t="s">
        <v>33</v>
      </c>
      <c r="E4450" s="3" t="s">
        <v>181</v>
      </c>
      <c r="F4450" s="71">
        <v>2023</v>
      </c>
      <c r="G4450" s="12">
        <v>90200</v>
      </c>
      <c r="H4450" s="12">
        <v>90300</v>
      </c>
      <c r="I4450" s="72">
        <v>4.9000000000000002E-2</v>
      </c>
      <c r="J4450" s="12">
        <v>-317.2</v>
      </c>
    </row>
    <row r="4451" spans="3:10" x14ac:dyDescent="0.35">
      <c r="C4451" t="s">
        <v>12</v>
      </c>
      <c r="D4451" t="s">
        <v>33</v>
      </c>
      <c r="E4451" s="3" t="s">
        <v>182</v>
      </c>
      <c r="F4451" s="71">
        <v>2023</v>
      </c>
      <c r="G4451" s="12">
        <v>90300</v>
      </c>
      <c r="H4451" s="12">
        <v>90400</v>
      </c>
      <c r="I4451" s="72">
        <v>4.9000000000000002E-2</v>
      </c>
      <c r="J4451" s="12">
        <v>-307.2</v>
      </c>
    </row>
    <row r="4452" spans="3:10" x14ac:dyDescent="0.35">
      <c r="C4452" t="s">
        <v>12</v>
      </c>
      <c r="D4452" t="s">
        <v>33</v>
      </c>
      <c r="E4452" s="3" t="s">
        <v>183</v>
      </c>
      <c r="F4452" s="71">
        <v>2023</v>
      </c>
      <c r="G4452" s="12">
        <v>90400</v>
      </c>
      <c r="H4452" s="12">
        <v>90500</v>
      </c>
      <c r="I4452" s="72">
        <v>4.9000000000000002E-2</v>
      </c>
      <c r="J4452" s="12">
        <v>-297.2</v>
      </c>
    </row>
    <row r="4453" spans="3:10" x14ac:dyDescent="0.35">
      <c r="C4453" t="s">
        <v>12</v>
      </c>
      <c r="D4453" t="s">
        <v>33</v>
      </c>
      <c r="E4453" s="3" t="s">
        <v>184</v>
      </c>
      <c r="F4453" s="71">
        <v>2023</v>
      </c>
      <c r="G4453" s="12">
        <v>90500</v>
      </c>
      <c r="H4453" s="12">
        <v>90600</v>
      </c>
      <c r="I4453" s="72">
        <v>4.9000000000000002E-2</v>
      </c>
      <c r="J4453" s="12">
        <v>-287.2</v>
      </c>
    </row>
    <row r="4454" spans="3:10" x14ac:dyDescent="0.35">
      <c r="C4454" t="s">
        <v>12</v>
      </c>
      <c r="D4454" t="s">
        <v>33</v>
      </c>
      <c r="E4454" s="3" t="s">
        <v>185</v>
      </c>
      <c r="F4454" s="71">
        <v>2023</v>
      </c>
      <c r="G4454" s="12">
        <v>90600</v>
      </c>
      <c r="H4454" s="12">
        <v>90700</v>
      </c>
      <c r="I4454" s="72">
        <v>4.9000000000000002E-2</v>
      </c>
      <c r="J4454" s="12">
        <v>-277.2</v>
      </c>
    </row>
    <row r="4455" spans="3:10" x14ac:dyDescent="0.35">
      <c r="C4455" t="s">
        <v>12</v>
      </c>
      <c r="D4455" t="s">
        <v>33</v>
      </c>
      <c r="E4455" s="3" t="s">
        <v>186</v>
      </c>
      <c r="F4455" s="71">
        <v>2023</v>
      </c>
      <c r="G4455" s="12">
        <v>90700</v>
      </c>
      <c r="H4455" s="12">
        <v>90800</v>
      </c>
      <c r="I4455" s="72">
        <v>4.9000000000000002E-2</v>
      </c>
      <c r="J4455" s="12">
        <v>-267.2</v>
      </c>
    </row>
    <row r="4456" spans="3:10" x14ac:dyDescent="0.35">
      <c r="C4456" t="s">
        <v>12</v>
      </c>
      <c r="D4456" t="s">
        <v>33</v>
      </c>
      <c r="E4456" s="3" t="s">
        <v>187</v>
      </c>
      <c r="F4456" s="71">
        <v>2023</v>
      </c>
      <c r="G4456" s="12">
        <v>90800</v>
      </c>
      <c r="H4456" s="12">
        <v>90900</v>
      </c>
      <c r="I4456" s="72">
        <v>4.9000000000000002E-2</v>
      </c>
      <c r="J4456" s="12">
        <v>-257.2</v>
      </c>
    </row>
    <row r="4457" spans="3:10" x14ac:dyDescent="0.35">
      <c r="C4457" t="s">
        <v>12</v>
      </c>
      <c r="D4457" t="s">
        <v>33</v>
      </c>
      <c r="E4457" s="3" t="s">
        <v>188</v>
      </c>
      <c r="F4457" s="71">
        <v>2023</v>
      </c>
      <c r="G4457" s="12">
        <v>90900</v>
      </c>
      <c r="H4457" s="12">
        <v>91100</v>
      </c>
      <c r="I4457" s="72">
        <v>4.9000000000000002E-2</v>
      </c>
      <c r="J4457" s="12">
        <v>-247.2</v>
      </c>
    </row>
    <row r="4458" spans="3:10" x14ac:dyDescent="0.35">
      <c r="C4458" t="s">
        <v>12</v>
      </c>
      <c r="D4458" t="s">
        <v>33</v>
      </c>
      <c r="E4458" s="3" t="s">
        <v>189</v>
      </c>
      <c r="F4458" s="71">
        <v>2023</v>
      </c>
      <c r="G4458" s="12">
        <v>91100</v>
      </c>
      <c r="H4458" s="12">
        <v>91200</v>
      </c>
      <c r="I4458" s="72">
        <v>4.9000000000000002E-2</v>
      </c>
      <c r="J4458" s="12">
        <v>-237.2</v>
      </c>
    </row>
    <row r="4459" spans="3:10" x14ac:dyDescent="0.35">
      <c r="C4459" t="s">
        <v>12</v>
      </c>
      <c r="D4459" t="s">
        <v>33</v>
      </c>
      <c r="E4459" s="3" t="s">
        <v>190</v>
      </c>
      <c r="F4459" s="71">
        <v>2023</v>
      </c>
      <c r="G4459" s="12">
        <v>91200</v>
      </c>
      <c r="H4459" s="12">
        <v>91300</v>
      </c>
      <c r="I4459" s="72">
        <v>4.9000000000000002E-2</v>
      </c>
      <c r="J4459" s="12">
        <v>-227.2</v>
      </c>
    </row>
    <row r="4460" spans="3:10" x14ac:dyDescent="0.35">
      <c r="C4460" t="s">
        <v>12</v>
      </c>
      <c r="D4460" t="s">
        <v>33</v>
      </c>
      <c r="E4460" s="3" t="s">
        <v>191</v>
      </c>
      <c r="F4460" s="71">
        <v>2023</v>
      </c>
      <c r="G4460" s="12">
        <v>91300</v>
      </c>
      <c r="H4460" s="12">
        <v>91400</v>
      </c>
      <c r="I4460" s="72">
        <v>4.9000000000000002E-2</v>
      </c>
      <c r="J4460" s="12">
        <v>-217.2</v>
      </c>
    </row>
    <row r="4461" spans="3:10" x14ac:dyDescent="0.35">
      <c r="C4461" t="s">
        <v>12</v>
      </c>
      <c r="D4461" t="s">
        <v>33</v>
      </c>
      <c r="E4461" s="3" t="s">
        <v>192</v>
      </c>
      <c r="F4461" s="71">
        <v>2023</v>
      </c>
      <c r="G4461" s="12">
        <v>91400</v>
      </c>
      <c r="H4461" s="12">
        <v>91500</v>
      </c>
      <c r="I4461" s="72">
        <v>4.9000000000000002E-2</v>
      </c>
      <c r="J4461" s="12">
        <v>-207.2</v>
      </c>
    </row>
    <row r="4462" spans="3:10" x14ac:dyDescent="0.35">
      <c r="C4462" t="s">
        <v>12</v>
      </c>
      <c r="D4462" t="s">
        <v>33</v>
      </c>
      <c r="E4462" s="3" t="s">
        <v>193</v>
      </c>
      <c r="F4462" s="71">
        <v>2023</v>
      </c>
      <c r="G4462" s="12">
        <v>91500</v>
      </c>
      <c r="H4462" s="12">
        <v>91600</v>
      </c>
      <c r="I4462" s="72">
        <v>4.9000000000000002E-2</v>
      </c>
      <c r="J4462" s="12">
        <v>-197.2</v>
      </c>
    </row>
    <row r="4463" spans="3:10" x14ac:dyDescent="0.35">
      <c r="C4463" t="s">
        <v>12</v>
      </c>
      <c r="D4463" t="s">
        <v>33</v>
      </c>
      <c r="E4463" s="3" t="s">
        <v>194</v>
      </c>
      <c r="F4463" s="71">
        <v>2023</v>
      </c>
      <c r="G4463" s="12">
        <v>91600</v>
      </c>
      <c r="H4463" s="12">
        <v>91700</v>
      </c>
      <c r="I4463" s="72">
        <v>4.9000000000000002E-2</v>
      </c>
      <c r="J4463" s="12">
        <v>-187.2</v>
      </c>
    </row>
    <row r="4464" spans="3:10" x14ac:dyDescent="0.35">
      <c r="C4464" t="s">
        <v>12</v>
      </c>
      <c r="D4464" t="s">
        <v>33</v>
      </c>
      <c r="E4464" s="3" t="s">
        <v>195</v>
      </c>
      <c r="F4464" s="71">
        <v>2023</v>
      </c>
      <c r="G4464" s="12">
        <v>91700</v>
      </c>
      <c r="H4464" s="12">
        <v>91800</v>
      </c>
      <c r="I4464" s="72">
        <v>4.9000000000000002E-2</v>
      </c>
      <c r="J4464" s="12">
        <v>-177.2</v>
      </c>
    </row>
    <row r="4465" spans="3:10" x14ac:dyDescent="0.35">
      <c r="C4465" t="s">
        <v>12</v>
      </c>
      <c r="D4465" t="s">
        <v>33</v>
      </c>
      <c r="E4465" s="3" t="s">
        <v>196</v>
      </c>
      <c r="F4465" s="71">
        <v>2023</v>
      </c>
      <c r="G4465" s="12">
        <v>91800</v>
      </c>
      <c r="H4465" s="12"/>
      <c r="I4465" s="31">
        <v>4.9000000000000002E-2</v>
      </c>
      <c r="J4465" s="12">
        <v>-167.2</v>
      </c>
    </row>
    <row r="4466" spans="3:10" x14ac:dyDescent="0.35">
      <c r="C4466" t="s">
        <v>12</v>
      </c>
      <c r="D4466" t="s">
        <v>40</v>
      </c>
      <c r="E4466" s="3" t="s">
        <v>85</v>
      </c>
      <c r="F4466" s="71">
        <v>2023</v>
      </c>
      <c r="G4466" s="12">
        <v>0</v>
      </c>
      <c r="H4466" s="12">
        <v>5099</v>
      </c>
      <c r="I4466" s="72">
        <v>0</v>
      </c>
      <c r="J4466" s="12">
        <v>0</v>
      </c>
    </row>
    <row r="4467" spans="3:10" x14ac:dyDescent="0.35">
      <c r="C4467" t="s">
        <v>12</v>
      </c>
      <c r="D4467" t="s">
        <v>40</v>
      </c>
      <c r="E4467" s="3" t="s">
        <v>87</v>
      </c>
      <c r="F4467" s="71">
        <v>2023</v>
      </c>
      <c r="G4467" s="12">
        <v>5099</v>
      </c>
      <c r="H4467" s="12">
        <v>10299</v>
      </c>
      <c r="I4467" s="72">
        <v>0.02</v>
      </c>
      <c r="J4467" s="12">
        <v>-101.98</v>
      </c>
    </row>
    <row r="4468" spans="3:10" x14ac:dyDescent="0.35">
      <c r="C4468" t="s">
        <v>12</v>
      </c>
      <c r="D4468" t="s">
        <v>40</v>
      </c>
      <c r="E4468" s="3" t="s">
        <v>88</v>
      </c>
      <c r="F4468" s="71">
        <v>2023</v>
      </c>
      <c r="G4468" s="12">
        <v>10299</v>
      </c>
      <c r="H4468" s="12">
        <v>14699</v>
      </c>
      <c r="I4468" s="72">
        <v>0.03</v>
      </c>
      <c r="J4468" s="12">
        <v>-204.97</v>
      </c>
    </row>
    <row r="4469" spans="3:10" x14ac:dyDescent="0.35">
      <c r="C4469" t="s">
        <v>12</v>
      </c>
      <c r="D4469" t="s">
        <v>40</v>
      </c>
      <c r="E4469" s="3" t="s">
        <v>105</v>
      </c>
      <c r="F4469" s="71">
        <v>2023</v>
      </c>
      <c r="G4469" s="12">
        <v>14699</v>
      </c>
      <c r="H4469" s="12">
        <v>24299</v>
      </c>
      <c r="I4469" s="72">
        <v>3.4000000000000002E-2</v>
      </c>
      <c r="J4469" s="12">
        <v>-263.77</v>
      </c>
    </row>
    <row r="4470" spans="3:10" x14ac:dyDescent="0.35">
      <c r="C4470" t="s">
        <v>12</v>
      </c>
      <c r="D4470" t="s">
        <v>40</v>
      </c>
      <c r="E4470" s="3" t="s">
        <v>106</v>
      </c>
      <c r="F4470" s="71">
        <v>2023</v>
      </c>
      <c r="G4470" s="12">
        <v>24299</v>
      </c>
      <c r="H4470" s="12">
        <v>87000</v>
      </c>
      <c r="I4470" s="72">
        <v>4.9000000000000002E-2</v>
      </c>
      <c r="J4470" s="12">
        <v>-628.25</v>
      </c>
    </row>
    <row r="4471" spans="3:10" x14ac:dyDescent="0.35">
      <c r="C4471" t="s">
        <v>12</v>
      </c>
      <c r="D4471" t="s">
        <v>40</v>
      </c>
      <c r="E4471" s="3" t="s">
        <v>107</v>
      </c>
      <c r="F4471" s="71">
        <v>2023</v>
      </c>
      <c r="G4471" s="12">
        <v>87000</v>
      </c>
      <c r="H4471" s="12">
        <v>87100</v>
      </c>
      <c r="I4471" s="72">
        <v>4.9000000000000002E-2</v>
      </c>
      <c r="J4471" s="12">
        <v>-627.20000000000005</v>
      </c>
    </row>
    <row r="4472" spans="3:10" x14ac:dyDescent="0.35">
      <c r="C4472" t="s">
        <v>12</v>
      </c>
      <c r="D4472" t="s">
        <v>40</v>
      </c>
      <c r="E4472" s="3" t="s">
        <v>108</v>
      </c>
      <c r="F4472" s="71">
        <v>2023</v>
      </c>
      <c r="G4472" s="12">
        <v>87100</v>
      </c>
      <c r="H4472" s="12">
        <v>87200</v>
      </c>
      <c r="I4472" s="72">
        <v>4.9000000000000002E-2</v>
      </c>
      <c r="J4472" s="12">
        <v>-617.20000000000005</v>
      </c>
    </row>
    <row r="4473" spans="3:10" x14ac:dyDescent="0.35">
      <c r="C4473" t="s">
        <v>12</v>
      </c>
      <c r="D4473" t="s">
        <v>40</v>
      </c>
      <c r="E4473" s="3" t="s">
        <v>152</v>
      </c>
      <c r="F4473" s="71">
        <v>2023</v>
      </c>
      <c r="G4473" s="12">
        <v>87200</v>
      </c>
      <c r="H4473" s="12">
        <v>87300</v>
      </c>
      <c r="I4473" s="72">
        <v>4.9000000000000002E-2</v>
      </c>
      <c r="J4473" s="12">
        <v>-607.20000000000005</v>
      </c>
    </row>
    <row r="4474" spans="3:10" x14ac:dyDescent="0.35">
      <c r="C4474" t="s">
        <v>12</v>
      </c>
      <c r="D4474" t="s">
        <v>40</v>
      </c>
      <c r="E4474" s="3" t="s">
        <v>153</v>
      </c>
      <c r="F4474" s="71">
        <v>2023</v>
      </c>
      <c r="G4474" s="12">
        <v>87300</v>
      </c>
      <c r="H4474" s="12">
        <v>87400</v>
      </c>
      <c r="I4474" s="72">
        <v>4.9000000000000002E-2</v>
      </c>
      <c r="J4474" s="12">
        <v>-597.20000000000005</v>
      </c>
    </row>
    <row r="4475" spans="3:10" x14ac:dyDescent="0.35">
      <c r="C4475" t="s">
        <v>12</v>
      </c>
      <c r="D4475" t="s">
        <v>40</v>
      </c>
      <c r="E4475" s="3" t="s">
        <v>154</v>
      </c>
      <c r="F4475" s="71">
        <v>2023</v>
      </c>
      <c r="G4475" s="12">
        <v>87400</v>
      </c>
      <c r="H4475" s="12">
        <v>87600</v>
      </c>
      <c r="I4475" s="72">
        <v>4.9000000000000002E-2</v>
      </c>
      <c r="J4475" s="12">
        <v>-587.20000000000005</v>
      </c>
    </row>
    <row r="4476" spans="3:10" x14ac:dyDescent="0.35">
      <c r="C4476" t="s">
        <v>12</v>
      </c>
      <c r="D4476" t="s">
        <v>40</v>
      </c>
      <c r="E4476" s="3" t="s">
        <v>155</v>
      </c>
      <c r="F4476" s="71">
        <v>2023</v>
      </c>
      <c r="G4476" s="12">
        <v>87600</v>
      </c>
      <c r="H4476" s="12">
        <v>87700</v>
      </c>
      <c r="I4476" s="72">
        <v>4.9000000000000002E-2</v>
      </c>
      <c r="J4476" s="12">
        <v>-577.20000000000005</v>
      </c>
    </row>
    <row r="4477" spans="3:10" x14ac:dyDescent="0.35">
      <c r="C4477" t="s">
        <v>12</v>
      </c>
      <c r="D4477" t="s">
        <v>40</v>
      </c>
      <c r="E4477" s="3" t="s">
        <v>156</v>
      </c>
      <c r="F4477" s="71">
        <v>2023</v>
      </c>
      <c r="G4477" s="12">
        <v>87700</v>
      </c>
      <c r="H4477" s="12">
        <v>87800</v>
      </c>
      <c r="I4477" s="72">
        <v>4.9000000000000002E-2</v>
      </c>
      <c r="J4477" s="12">
        <v>-567.20000000000005</v>
      </c>
    </row>
    <row r="4478" spans="3:10" x14ac:dyDescent="0.35">
      <c r="C4478" t="s">
        <v>12</v>
      </c>
      <c r="D4478" t="s">
        <v>40</v>
      </c>
      <c r="E4478" s="3" t="s">
        <v>157</v>
      </c>
      <c r="F4478" s="71">
        <v>2023</v>
      </c>
      <c r="G4478" s="12">
        <v>87800</v>
      </c>
      <c r="H4478" s="12">
        <v>87900</v>
      </c>
      <c r="I4478" s="72">
        <v>4.9000000000000002E-2</v>
      </c>
      <c r="J4478" s="12">
        <v>-557.20000000000005</v>
      </c>
    </row>
    <row r="4479" spans="3:10" x14ac:dyDescent="0.35">
      <c r="C4479" t="s">
        <v>12</v>
      </c>
      <c r="D4479" t="s">
        <v>40</v>
      </c>
      <c r="E4479" s="3" t="s">
        <v>158</v>
      </c>
      <c r="F4479" s="71">
        <v>2023</v>
      </c>
      <c r="G4479" s="12">
        <v>87900</v>
      </c>
      <c r="H4479" s="12">
        <v>88000</v>
      </c>
      <c r="I4479" s="72">
        <v>4.9000000000000002E-2</v>
      </c>
      <c r="J4479" s="12">
        <v>-547.20000000000005</v>
      </c>
    </row>
    <row r="4480" spans="3:10" x14ac:dyDescent="0.35">
      <c r="C4480" t="s">
        <v>12</v>
      </c>
      <c r="D4480" t="s">
        <v>40</v>
      </c>
      <c r="E4480" s="3" t="s">
        <v>159</v>
      </c>
      <c r="F4480" s="71">
        <v>2023</v>
      </c>
      <c r="G4480" s="12">
        <v>88000</v>
      </c>
      <c r="H4480" s="12">
        <v>88100</v>
      </c>
      <c r="I4480" s="72">
        <v>4.9000000000000002E-2</v>
      </c>
      <c r="J4480" s="12">
        <v>-537.20000000000005</v>
      </c>
    </row>
    <row r="4481" spans="3:10" x14ac:dyDescent="0.35">
      <c r="C4481" t="s">
        <v>12</v>
      </c>
      <c r="D4481" t="s">
        <v>40</v>
      </c>
      <c r="E4481" s="3" t="s">
        <v>160</v>
      </c>
      <c r="F4481" s="71">
        <v>2023</v>
      </c>
      <c r="G4481" s="12">
        <v>88100</v>
      </c>
      <c r="H4481" s="12">
        <v>88200</v>
      </c>
      <c r="I4481" s="72">
        <v>4.9000000000000002E-2</v>
      </c>
      <c r="J4481" s="12">
        <v>-527.20000000000005</v>
      </c>
    </row>
    <row r="4482" spans="3:10" x14ac:dyDescent="0.35">
      <c r="C4482" t="s">
        <v>12</v>
      </c>
      <c r="D4482" t="s">
        <v>40</v>
      </c>
      <c r="E4482" s="3" t="s">
        <v>161</v>
      </c>
      <c r="F4482" s="71">
        <v>2023</v>
      </c>
      <c r="G4482" s="12">
        <v>88200</v>
      </c>
      <c r="H4482" s="12">
        <v>88300</v>
      </c>
      <c r="I4482" s="72">
        <v>4.9000000000000002E-2</v>
      </c>
      <c r="J4482" s="12">
        <v>-517.20000000000005</v>
      </c>
    </row>
    <row r="4483" spans="3:10" x14ac:dyDescent="0.35">
      <c r="C4483" t="s">
        <v>12</v>
      </c>
      <c r="D4483" t="s">
        <v>40</v>
      </c>
      <c r="E4483" s="3" t="s">
        <v>162</v>
      </c>
      <c r="F4483" s="71">
        <v>2023</v>
      </c>
      <c r="G4483" s="12">
        <v>88300</v>
      </c>
      <c r="H4483" s="12">
        <v>88400</v>
      </c>
      <c r="I4483" s="72">
        <v>4.9000000000000002E-2</v>
      </c>
      <c r="J4483" s="12">
        <v>-507.2</v>
      </c>
    </row>
    <row r="4484" spans="3:10" x14ac:dyDescent="0.35">
      <c r="C4484" t="s">
        <v>12</v>
      </c>
      <c r="D4484" t="s">
        <v>40</v>
      </c>
      <c r="E4484" s="3" t="s">
        <v>163</v>
      </c>
      <c r="F4484" s="71">
        <v>2023</v>
      </c>
      <c r="G4484" s="12">
        <v>88400</v>
      </c>
      <c r="H4484" s="12">
        <v>88500</v>
      </c>
      <c r="I4484" s="72">
        <v>4.9000000000000002E-2</v>
      </c>
      <c r="J4484" s="12">
        <v>-497.2</v>
      </c>
    </row>
    <row r="4485" spans="3:10" x14ac:dyDescent="0.35">
      <c r="C4485" t="s">
        <v>12</v>
      </c>
      <c r="D4485" t="s">
        <v>40</v>
      </c>
      <c r="E4485" s="3" t="s">
        <v>164</v>
      </c>
      <c r="F4485" s="71">
        <v>2023</v>
      </c>
      <c r="G4485" s="12">
        <v>88500</v>
      </c>
      <c r="H4485" s="12">
        <v>88600</v>
      </c>
      <c r="I4485" s="72">
        <v>4.9000000000000002E-2</v>
      </c>
      <c r="J4485" s="12">
        <v>-487.2</v>
      </c>
    </row>
    <row r="4486" spans="3:10" x14ac:dyDescent="0.35">
      <c r="C4486" t="s">
        <v>12</v>
      </c>
      <c r="D4486" t="s">
        <v>40</v>
      </c>
      <c r="E4486" s="3" t="s">
        <v>165</v>
      </c>
      <c r="F4486" s="71">
        <v>2023</v>
      </c>
      <c r="G4486" s="12">
        <v>88600</v>
      </c>
      <c r="H4486" s="12">
        <v>88700</v>
      </c>
      <c r="I4486" s="72">
        <v>4.9000000000000002E-2</v>
      </c>
      <c r="J4486" s="12">
        <v>-477.2</v>
      </c>
    </row>
    <row r="4487" spans="3:10" x14ac:dyDescent="0.35">
      <c r="C4487" t="s">
        <v>12</v>
      </c>
      <c r="D4487" t="s">
        <v>40</v>
      </c>
      <c r="E4487" s="3" t="s">
        <v>166</v>
      </c>
      <c r="F4487" s="71">
        <v>2023</v>
      </c>
      <c r="G4487" s="12">
        <v>88700</v>
      </c>
      <c r="H4487" s="12">
        <v>88800</v>
      </c>
      <c r="I4487" s="72">
        <v>4.9000000000000002E-2</v>
      </c>
      <c r="J4487" s="12">
        <v>-467.2</v>
      </c>
    </row>
    <row r="4488" spans="3:10" x14ac:dyDescent="0.35">
      <c r="C4488" t="s">
        <v>12</v>
      </c>
      <c r="D4488" t="s">
        <v>40</v>
      </c>
      <c r="E4488" s="3" t="s">
        <v>167</v>
      </c>
      <c r="F4488" s="71">
        <v>2023</v>
      </c>
      <c r="G4488" s="12">
        <v>88800</v>
      </c>
      <c r="H4488" s="12">
        <v>88900</v>
      </c>
      <c r="I4488" s="72">
        <v>4.9000000000000002E-2</v>
      </c>
      <c r="J4488" s="12">
        <v>-457.2</v>
      </c>
    </row>
    <row r="4489" spans="3:10" x14ac:dyDescent="0.35">
      <c r="C4489" t="s">
        <v>12</v>
      </c>
      <c r="D4489" t="s">
        <v>40</v>
      </c>
      <c r="E4489" s="3" t="s">
        <v>168</v>
      </c>
      <c r="F4489" s="71">
        <v>2023</v>
      </c>
      <c r="G4489" s="12">
        <v>88900</v>
      </c>
      <c r="H4489" s="12">
        <v>89000</v>
      </c>
      <c r="I4489" s="72">
        <v>4.9000000000000002E-2</v>
      </c>
      <c r="J4489" s="12">
        <v>-447.2</v>
      </c>
    </row>
    <row r="4490" spans="3:10" x14ac:dyDescent="0.35">
      <c r="C4490" t="s">
        <v>12</v>
      </c>
      <c r="D4490" t="s">
        <v>40</v>
      </c>
      <c r="E4490" s="3" t="s">
        <v>169</v>
      </c>
      <c r="F4490" s="71">
        <v>2023</v>
      </c>
      <c r="G4490" s="12">
        <v>89000</v>
      </c>
      <c r="H4490" s="12">
        <v>89100</v>
      </c>
      <c r="I4490" s="72">
        <v>4.9000000000000002E-2</v>
      </c>
      <c r="J4490" s="12">
        <v>-437.2</v>
      </c>
    </row>
    <row r="4491" spans="3:10" x14ac:dyDescent="0.35">
      <c r="C4491" t="s">
        <v>12</v>
      </c>
      <c r="D4491" t="s">
        <v>40</v>
      </c>
      <c r="E4491" s="3" t="s">
        <v>170</v>
      </c>
      <c r="F4491" s="71">
        <v>2023</v>
      </c>
      <c r="G4491" s="12">
        <v>89100</v>
      </c>
      <c r="H4491" s="12">
        <v>89200</v>
      </c>
      <c r="I4491" s="72">
        <v>4.9000000000000002E-2</v>
      </c>
      <c r="J4491" s="12">
        <v>-427.2</v>
      </c>
    </row>
    <row r="4492" spans="3:10" x14ac:dyDescent="0.35">
      <c r="C4492" t="s">
        <v>12</v>
      </c>
      <c r="D4492" t="s">
        <v>40</v>
      </c>
      <c r="E4492" s="3" t="s">
        <v>171</v>
      </c>
      <c r="F4492" s="71">
        <v>2023</v>
      </c>
      <c r="G4492" s="12">
        <v>89200</v>
      </c>
      <c r="H4492" s="12">
        <v>89300</v>
      </c>
      <c r="I4492" s="72">
        <v>4.9000000000000002E-2</v>
      </c>
      <c r="J4492" s="12">
        <v>-417.2</v>
      </c>
    </row>
    <row r="4493" spans="3:10" x14ac:dyDescent="0.35">
      <c r="C4493" t="s">
        <v>12</v>
      </c>
      <c r="D4493" t="s">
        <v>40</v>
      </c>
      <c r="E4493" s="3" t="s">
        <v>172</v>
      </c>
      <c r="F4493" s="71">
        <v>2023</v>
      </c>
      <c r="G4493" s="12">
        <v>89300</v>
      </c>
      <c r="H4493" s="12">
        <v>89400</v>
      </c>
      <c r="I4493" s="72">
        <v>4.9000000000000002E-2</v>
      </c>
      <c r="J4493" s="12">
        <v>-407.2</v>
      </c>
    </row>
    <row r="4494" spans="3:10" x14ac:dyDescent="0.35">
      <c r="C4494" t="s">
        <v>12</v>
      </c>
      <c r="D4494" t="s">
        <v>40</v>
      </c>
      <c r="E4494" s="3" t="s">
        <v>173</v>
      </c>
      <c r="F4494" s="71">
        <v>2023</v>
      </c>
      <c r="G4494" s="12">
        <v>89400</v>
      </c>
      <c r="H4494" s="12">
        <v>89500</v>
      </c>
      <c r="I4494" s="72">
        <v>4.9000000000000002E-2</v>
      </c>
      <c r="J4494" s="12">
        <v>-397.2</v>
      </c>
    </row>
    <row r="4495" spans="3:10" x14ac:dyDescent="0.35">
      <c r="C4495" t="s">
        <v>12</v>
      </c>
      <c r="D4495" t="s">
        <v>40</v>
      </c>
      <c r="E4495" s="3" t="s">
        <v>174</v>
      </c>
      <c r="F4495" s="71">
        <v>2023</v>
      </c>
      <c r="G4495" s="12">
        <v>89500</v>
      </c>
      <c r="H4495" s="12">
        <v>89600</v>
      </c>
      <c r="I4495" s="72">
        <v>4.9000000000000002E-2</v>
      </c>
      <c r="J4495" s="12">
        <v>-387.2</v>
      </c>
    </row>
    <row r="4496" spans="3:10" x14ac:dyDescent="0.35">
      <c r="C4496" t="s">
        <v>12</v>
      </c>
      <c r="D4496" t="s">
        <v>40</v>
      </c>
      <c r="E4496" s="3" t="s">
        <v>175</v>
      </c>
      <c r="F4496" s="71">
        <v>2023</v>
      </c>
      <c r="G4496" s="12">
        <v>89600</v>
      </c>
      <c r="H4496" s="12">
        <v>89700</v>
      </c>
      <c r="I4496" s="72">
        <v>4.9000000000000002E-2</v>
      </c>
      <c r="J4496" s="12">
        <v>-377.2</v>
      </c>
    </row>
    <row r="4497" spans="3:10" x14ac:dyDescent="0.35">
      <c r="C4497" t="s">
        <v>12</v>
      </c>
      <c r="D4497" t="s">
        <v>40</v>
      </c>
      <c r="E4497" s="3" t="s">
        <v>176</v>
      </c>
      <c r="F4497" s="71">
        <v>2023</v>
      </c>
      <c r="G4497" s="12">
        <v>89700</v>
      </c>
      <c r="H4497" s="12">
        <v>89800</v>
      </c>
      <c r="I4497" s="72">
        <v>4.9000000000000002E-2</v>
      </c>
      <c r="J4497" s="12">
        <v>-367.2</v>
      </c>
    </row>
    <row r="4498" spans="3:10" x14ac:dyDescent="0.35">
      <c r="C4498" t="s">
        <v>12</v>
      </c>
      <c r="D4498" t="s">
        <v>40</v>
      </c>
      <c r="E4498" s="3" t="s">
        <v>177</v>
      </c>
      <c r="F4498" s="71">
        <v>2023</v>
      </c>
      <c r="G4498" s="12">
        <v>89800</v>
      </c>
      <c r="H4498" s="12">
        <v>89900</v>
      </c>
      <c r="I4498" s="72">
        <v>4.9000000000000002E-2</v>
      </c>
      <c r="J4498" s="12">
        <v>-357.2</v>
      </c>
    </row>
    <row r="4499" spans="3:10" x14ac:dyDescent="0.35">
      <c r="C4499" t="s">
        <v>12</v>
      </c>
      <c r="D4499" t="s">
        <v>40</v>
      </c>
      <c r="E4499" s="3" t="s">
        <v>178</v>
      </c>
      <c r="F4499" s="71">
        <v>2023</v>
      </c>
      <c r="G4499" s="12">
        <v>89900</v>
      </c>
      <c r="H4499" s="12">
        <v>90000</v>
      </c>
      <c r="I4499" s="72">
        <v>4.9000000000000002E-2</v>
      </c>
      <c r="J4499" s="12">
        <v>-347.2</v>
      </c>
    </row>
    <row r="4500" spans="3:10" x14ac:dyDescent="0.35">
      <c r="C4500" t="s">
        <v>12</v>
      </c>
      <c r="D4500" t="s">
        <v>40</v>
      </c>
      <c r="E4500" s="3" t="s">
        <v>179</v>
      </c>
      <c r="F4500" s="71">
        <v>2023</v>
      </c>
      <c r="G4500" s="12">
        <v>90000</v>
      </c>
      <c r="H4500" s="12">
        <v>90100</v>
      </c>
      <c r="I4500" s="72">
        <v>4.9000000000000002E-2</v>
      </c>
      <c r="J4500" s="12">
        <v>-337.2</v>
      </c>
    </row>
    <row r="4501" spans="3:10" x14ac:dyDescent="0.35">
      <c r="C4501" t="s">
        <v>12</v>
      </c>
      <c r="D4501" t="s">
        <v>40</v>
      </c>
      <c r="E4501" s="3" t="s">
        <v>180</v>
      </c>
      <c r="F4501" s="71">
        <v>2023</v>
      </c>
      <c r="G4501" s="12">
        <v>90100</v>
      </c>
      <c r="H4501" s="12">
        <v>90200</v>
      </c>
      <c r="I4501" s="72">
        <v>4.9000000000000002E-2</v>
      </c>
      <c r="J4501" s="12">
        <v>-327.2</v>
      </c>
    </row>
    <row r="4502" spans="3:10" x14ac:dyDescent="0.35">
      <c r="C4502" t="s">
        <v>12</v>
      </c>
      <c r="D4502" t="s">
        <v>40</v>
      </c>
      <c r="E4502" s="3" t="s">
        <v>181</v>
      </c>
      <c r="F4502" s="71">
        <v>2023</v>
      </c>
      <c r="G4502" s="12">
        <v>90200</v>
      </c>
      <c r="H4502" s="12">
        <v>90300</v>
      </c>
      <c r="I4502" s="72">
        <v>4.9000000000000002E-2</v>
      </c>
      <c r="J4502" s="12">
        <v>-317.2</v>
      </c>
    </row>
    <row r="4503" spans="3:10" x14ac:dyDescent="0.35">
      <c r="C4503" t="s">
        <v>12</v>
      </c>
      <c r="D4503" t="s">
        <v>40</v>
      </c>
      <c r="E4503" s="3" t="s">
        <v>182</v>
      </c>
      <c r="F4503" s="71">
        <v>2023</v>
      </c>
      <c r="G4503" s="12">
        <v>90300</v>
      </c>
      <c r="H4503" s="12">
        <v>90400</v>
      </c>
      <c r="I4503" s="72">
        <v>4.9000000000000002E-2</v>
      </c>
      <c r="J4503" s="12">
        <v>-307.2</v>
      </c>
    </row>
    <row r="4504" spans="3:10" x14ac:dyDescent="0.35">
      <c r="C4504" t="s">
        <v>12</v>
      </c>
      <c r="D4504" t="s">
        <v>40</v>
      </c>
      <c r="E4504" s="3" t="s">
        <v>183</v>
      </c>
      <c r="F4504" s="71">
        <v>2023</v>
      </c>
      <c r="G4504" s="12">
        <v>90400</v>
      </c>
      <c r="H4504" s="12">
        <v>90500</v>
      </c>
      <c r="I4504" s="72">
        <v>4.9000000000000002E-2</v>
      </c>
      <c r="J4504" s="12">
        <v>-297.2</v>
      </c>
    </row>
    <row r="4505" spans="3:10" x14ac:dyDescent="0.35">
      <c r="C4505" t="s">
        <v>12</v>
      </c>
      <c r="D4505" t="s">
        <v>40</v>
      </c>
      <c r="E4505" s="3" t="s">
        <v>184</v>
      </c>
      <c r="F4505" s="71">
        <v>2023</v>
      </c>
      <c r="G4505" s="12">
        <v>90500</v>
      </c>
      <c r="H4505" s="12">
        <v>90600</v>
      </c>
      <c r="I4505" s="72">
        <v>4.9000000000000002E-2</v>
      </c>
      <c r="J4505" s="12">
        <v>-287.2</v>
      </c>
    </row>
    <row r="4506" spans="3:10" x14ac:dyDescent="0.35">
      <c r="C4506" t="s">
        <v>12</v>
      </c>
      <c r="D4506" t="s">
        <v>40</v>
      </c>
      <c r="E4506" s="3" t="s">
        <v>185</v>
      </c>
      <c r="F4506" s="71">
        <v>2023</v>
      </c>
      <c r="G4506" s="12">
        <v>90600</v>
      </c>
      <c r="H4506" s="12">
        <v>90700</v>
      </c>
      <c r="I4506" s="72">
        <v>4.9000000000000002E-2</v>
      </c>
      <c r="J4506" s="12">
        <v>-277.2</v>
      </c>
    </row>
    <row r="4507" spans="3:10" x14ac:dyDescent="0.35">
      <c r="C4507" t="s">
        <v>12</v>
      </c>
      <c r="D4507" t="s">
        <v>40</v>
      </c>
      <c r="E4507" s="3" t="s">
        <v>186</v>
      </c>
      <c r="F4507" s="71">
        <v>2023</v>
      </c>
      <c r="G4507" s="12">
        <v>90700</v>
      </c>
      <c r="H4507" s="12">
        <v>90800</v>
      </c>
      <c r="I4507" s="72">
        <v>4.9000000000000002E-2</v>
      </c>
      <c r="J4507" s="12">
        <v>-267.2</v>
      </c>
    </row>
    <row r="4508" spans="3:10" x14ac:dyDescent="0.35">
      <c r="C4508" t="s">
        <v>12</v>
      </c>
      <c r="D4508" t="s">
        <v>40</v>
      </c>
      <c r="E4508" s="3" t="s">
        <v>187</v>
      </c>
      <c r="F4508" s="71">
        <v>2023</v>
      </c>
      <c r="G4508" s="12">
        <v>90800</v>
      </c>
      <c r="H4508" s="12">
        <v>90900</v>
      </c>
      <c r="I4508" s="72">
        <v>4.9000000000000002E-2</v>
      </c>
      <c r="J4508" s="12">
        <v>-257.2</v>
      </c>
    </row>
    <row r="4509" spans="3:10" x14ac:dyDescent="0.35">
      <c r="C4509" t="s">
        <v>12</v>
      </c>
      <c r="D4509" t="s">
        <v>40</v>
      </c>
      <c r="E4509" s="3" t="s">
        <v>188</v>
      </c>
      <c r="F4509" s="71">
        <v>2023</v>
      </c>
      <c r="G4509" s="12">
        <v>90900</v>
      </c>
      <c r="H4509" s="12">
        <v>91100</v>
      </c>
      <c r="I4509" s="72">
        <v>4.9000000000000002E-2</v>
      </c>
      <c r="J4509" s="12">
        <v>-247.2</v>
      </c>
    </row>
    <row r="4510" spans="3:10" x14ac:dyDescent="0.35">
      <c r="C4510" t="s">
        <v>12</v>
      </c>
      <c r="D4510" t="s">
        <v>40</v>
      </c>
      <c r="E4510" s="3" t="s">
        <v>189</v>
      </c>
      <c r="F4510" s="71">
        <v>2023</v>
      </c>
      <c r="G4510" s="12">
        <v>91100</v>
      </c>
      <c r="H4510" s="12">
        <v>91200</v>
      </c>
      <c r="I4510" s="72">
        <v>4.9000000000000002E-2</v>
      </c>
      <c r="J4510" s="12">
        <v>-237.2</v>
      </c>
    </row>
    <row r="4511" spans="3:10" x14ac:dyDescent="0.35">
      <c r="C4511" t="s">
        <v>12</v>
      </c>
      <c r="D4511" t="s">
        <v>40</v>
      </c>
      <c r="E4511" s="3" t="s">
        <v>190</v>
      </c>
      <c r="F4511" s="71">
        <v>2023</v>
      </c>
      <c r="G4511" s="12">
        <v>91200</v>
      </c>
      <c r="H4511" s="12">
        <v>91300</v>
      </c>
      <c r="I4511" s="72">
        <v>4.9000000000000002E-2</v>
      </c>
      <c r="J4511" s="12">
        <v>-227.2</v>
      </c>
    </row>
    <row r="4512" spans="3:10" x14ac:dyDescent="0.35">
      <c r="C4512" t="s">
        <v>12</v>
      </c>
      <c r="D4512" t="s">
        <v>40</v>
      </c>
      <c r="E4512" s="3" t="s">
        <v>191</v>
      </c>
      <c r="F4512" s="71">
        <v>2023</v>
      </c>
      <c r="G4512" s="12">
        <v>91300</v>
      </c>
      <c r="H4512" s="12">
        <v>91400</v>
      </c>
      <c r="I4512" s="72">
        <v>4.9000000000000002E-2</v>
      </c>
      <c r="J4512" s="12">
        <v>-217.2</v>
      </c>
    </row>
    <row r="4513" spans="3:10" x14ac:dyDescent="0.35">
      <c r="C4513" t="s">
        <v>12</v>
      </c>
      <c r="D4513" t="s">
        <v>40</v>
      </c>
      <c r="E4513" s="3" t="s">
        <v>192</v>
      </c>
      <c r="F4513" s="71">
        <v>2023</v>
      </c>
      <c r="G4513" s="12">
        <v>91400</v>
      </c>
      <c r="H4513" s="12">
        <v>91500</v>
      </c>
      <c r="I4513" s="72">
        <v>4.9000000000000002E-2</v>
      </c>
      <c r="J4513" s="12">
        <v>-207.2</v>
      </c>
    </row>
    <row r="4514" spans="3:10" x14ac:dyDescent="0.35">
      <c r="C4514" t="s">
        <v>12</v>
      </c>
      <c r="D4514" t="s">
        <v>40</v>
      </c>
      <c r="E4514" s="3" t="s">
        <v>193</v>
      </c>
      <c r="F4514" s="71">
        <v>2023</v>
      </c>
      <c r="G4514" s="12">
        <v>91500</v>
      </c>
      <c r="H4514" s="12">
        <v>91600</v>
      </c>
      <c r="I4514" s="72">
        <v>4.9000000000000002E-2</v>
      </c>
      <c r="J4514" s="12">
        <v>-197.2</v>
      </c>
    </row>
    <row r="4515" spans="3:10" x14ac:dyDescent="0.35">
      <c r="C4515" t="s">
        <v>12</v>
      </c>
      <c r="D4515" t="s">
        <v>40</v>
      </c>
      <c r="E4515" s="3" t="s">
        <v>194</v>
      </c>
      <c r="F4515" s="71">
        <v>2023</v>
      </c>
      <c r="G4515" s="12">
        <v>91600</v>
      </c>
      <c r="H4515" s="12">
        <v>91700</v>
      </c>
      <c r="I4515" s="72">
        <v>4.9000000000000002E-2</v>
      </c>
      <c r="J4515" s="12">
        <v>-187.2</v>
      </c>
    </row>
    <row r="4516" spans="3:10" x14ac:dyDescent="0.35">
      <c r="C4516" t="s">
        <v>12</v>
      </c>
      <c r="D4516" t="s">
        <v>40</v>
      </c>
      <c r="E4516" s="3" t="s">
        <v>195</v>
      </c>
      <c r="F4516" s="71">
        <v>2023</v>
      </c>
      <c r="G4516" s="12">
        <v>91700</v>
      </c>
      <c r="H4516" s="12">
        <v>91800</v>
      </c>
      <c r="I4516" s="72">
        <v>4.9000000000000002E-2</v>
      </c>
      <c r="J4516" s="12">
        <v>-177.2</v>
      </c>
    </row>
    <row r="4517" spans="3:10" x14ac:dyDescent="0.35">
      <c r="C4517" t="s">
        <v>12</v>
      </c>
      <c r="D4517" t="s">
        <v>40</v>
      </c>
      <c r="E4517" s="3" t="s">
        <v>196</v>
      </c>
      <c r="F4517" s="71">
        <v>2023</v>
      </c>
      <c r="G4517" s="12">
        <v>91800</v>
      </c>
      <c r="H4517" s="12"/>
      <c r="I4517" s="31">
        <v>4.9000000000000002E-2</v>
      </c>
      <c r="J4517" s="12">
        <v>-167.2</v>
      </c>
    </row>
    <row r="4518" spans="3:10" x14ac:dyDescent="0.35">
      <c r="C4518" t="s">
        <v>12</v>
      </c>
      <c r="D4518" t="s">
        <v>34</v>
      </c>
      <c r="E4518" s="3" t="s">
        <v>85</v>
      </c>
      <c r="F4518" s="71">
        <v>2023</v>
      </c>
      <c r="G4518" s="12">
        <v>0</v>
      </c>
      <c r="H4518" s="12">
        <v>5099</v>
      </c>
      <c r="I4518" s="72">
        <v>0</v>
      </c>
      <c r="J4518" s="12">
        <v>0</v>
      </c>
    </row>
    <row r="4519" spans="3:10" x14ac:dyDescent="0.35">
      <c r="C4519" t="s">
        <v>12</v>
      </c>
      <c r="D4519" t="s">
        <v>34</v>
      </c>
      <c r="E4519" s="3" t="s">
        <v>87</v>
      </c>
      <c r="F4519" s="71">
        <v>2023</v>
      </c>
      <c r="G4519" s="12">
        <v>5099</v>
      </c>
      <c r="H4519" s="12">
        <v>10299</v>
      </c>
      <c r="I4519" s="72">
        <v>0.02</v>
      </c>
      <c r="J4519" s="12">
        <v>-101.98</v>
      </c>
    </row>
    <row r="4520" spans="3:10" x14ac:dyDescent="0.35">
      <c r="C4520" t="s">
        <v>12</v>
      </c>
      <c r="D4520" t="s">
        <v>34</v>
      </c>
      <c r="E4520" s="3" t="s">
        <v>88</v>
      </c>
      <c r="F4520" s="71">
        <v>2023</v>
      </c>
      <c r="G4520" s="12">
        <v>10299</v>
      </c>
      <c r="H4520" s="12">
        <v>14699</v>
      </c>
      <c r="I4520" s="72">
        <v>0.03</v>
      </c>
      <c r="J4520" s="12">
        <v>-204.97</v>
      </c>
    </row>
    <row r="4521" spans="3:10" x14ac:dyDescent="0.35">
      <c r="C4521" t="s">
        <v>12</v>
      </c>
      <c r="D4521" t="s">
        <v>34</v>
      </c>
      <c r="E4521" s="3" t="s">
        <v>105</v>
      </c>
      <c r="F4521" s="71">
        <v>2023</v>
      </c>
      <c r="G4521" s="12">
        <v>14699</v>
      </c>
      <c r="H4521" s="12">
        <v>24299</v>
      </c>
      <c r="I4521" s="72">
        <v>3.4000000000000002E-2</v>
      </c>
      <c r="J4521" s="12">
        <v>-263.77</v>
      </c>
    </row>
    <row r="4522" spans="3:10" x14ac:dyDescent="0.35">
      <c r="C4522" t="s">
        <v>12</v>
      </c>
      <c r="D4522" t="s">
        <v>34</v>
      </c>
      <c r="E4522" s="3" t="s">
        <v>106</v>
      </c>
      <c r="F4522" s="71">
        <v>2023</v>
      </c>
      <c r="G4522" s="12">
        <v>24299</v>
      </c>
      <c r="H4522" s="12">
        <v>87000</v>
      </c>
      <c r="I4522" s="72">
        <v>4.9000000000000002E-2</v>
      </c>
      <c r="J4522" s="12">
        <v>-628.25</v>
      </c>
    </row>
    <row r="4523" spans="3:10" x14ac:dyDescent="0.35">
      <c r="C4523" t="s">
        <v>12</v>
      </c>
      <c r="D4523" t="s">
        <v>34</v>
      </c>
      <c r="E4523" s="3" t="s">
        <v>107</v>
      </c>
      <c r="F4523" s="71">
        <v>2023</v>
      </c>
      <c r="G4523" s="12">
        <v>87000</v>
      </c>
      <c r="H4523" s="12">
        <v>87100</v>
      </c>
      <c r="I4523" s="72">
        <v>4.9000000000000002E-2</v>
      </c>
      <c r="J4523" s="12">
        <v>-627.20000000000005</v>
      </c>
    </row>
    <row r="4524" spans="3:10" x14ac:dyDescent="0.35">
      <c r="C4524" t="s">
        <v>12</v>
      </c>
      <c r="D4524" t="s">
        <v>34</v>
      </c>
      <c r="E4524" s="3" t="s">
        <v>108</v>
      </c>
      <c r="F4524" s="71">
        <v>2023</v>
      </c>
      <c r="G4524" s="12">
        <v>87100</v>
      </c>
      <c r="H4524" s="12">
        <v>87200</v>
      </c>
      <c r="I4524" s="72">
        <v>4.9000000000000002E-2</v>
      </c>
      <c r="J4524" s="12">
        <v>-617.20000000000005</v>
      </c>
    </row>
    <row r="4525" spans="3:10" x14ac:dyDescent="0.35">
      <c r="C4525" t="s">
        <v>12</v>
      </c>
      <c r="D4525" t="s">
        <v>34</v>
      </c>
      <c r="E4525" s="3" t="s">
        <v>152</v>
      </c>
      <c r="F4525" s="71">
        <v>2023</v>
      </c>
      <c r="G4525" s="12">
        <v>87200</v>
      </c>
      <c r="H4525" s="12">
        <v>87300</v>
      </c>
      <c r="I4525" s="72">
        <v>4.9000000000000002E-2</v>
      </c>
      <c r="J4525" s="12">
        <v>-607.20000000000005</v>
      </c>
    </row>
    <row r="4526" spans="3:10" x14ac:dyDescent="0.35">
      <c r="C4526" t="s">
        <v>12</v>
      </c>
      <c r="D4526" t="s">
        <v>34</v>
      </c>
      <c r="E4526" s="3" t="s">
        <v>153</v>
      </c>
      <c r="F4526" s="71">
        <v>2023</v>
      </c>
      <c r="G4526" s="12">
        <v>87300</v>
      </c>
      <c r="H4526" s="12">
        <v>87400</v>
      </c>
      <c r="I4526" s="72">
        <v>4.9000000000000002E-2</v>
      </c>
      <c r="J4526" s="12">
        <v>-597.20000000000005</v>
      </c>
    </row>
    <row r="4527" spans="3:10" x14ac:dyDescent="0.35">
      <c r="C4527" t="s">
        <v>12</v>
      </c>
      <c r="D4527" t="s">
        <v>34</v>
      </c>
      <c r="E4527" s="3" t="s">
        <v>154</v>
      </c>
      <c r="F4527" s="71">
        <v>2023</v>
      </c>
      <c r="G4527" s="12">
        <v>87400</v>
      </c>
      <c r="H4527" s="12">
        <v>87600</v>
      </c>
      <c r="I4527" s="72">
        <v>4.9000000000000002E-2</v>
      </c>
      <c r="J4527" s="12">
        <v>-587.20000000000005</v>
      </c>
    </row>
    <row r="4528" spans="3:10" x14ac:dyDescent="0.35">
      <c r="C4528" t="s">
        <v>12</v>
      </c>
      <c r="D4528" t="s">
        <v>34</v>
      </c>
      <c r="E4528" s="3" t="s">
        <v>155</v>
      </c>
      <c r="F4528" s="71">
        <v>2023</v>
      </c>
      <c r="G4528" s="12">
        <v>87600</v>
      </c>
      <c r="H4528" s="12">
        <v>87700</v>
      </c>
      <c r="I4528" s="72">
        <v>4.9000000000000002E-2</v>
      </c>
      <c r="J4528" s="12">
        <v>-577.20000000000005</v>
      </c>
    </row>
    <row r="4529" spans="3:10" x14ac:dyDescent="0.35">
      <c r="C4529" t="s">
        <v>12</v>
      </c>
      <c r="D4529" t="s">
        <v>34</v>
      </c>
      <c r="E4529" s="3" t="s">
        <v>156</v>
      </c>
      <c r="F4529" s="71">
        <v>2023</v>
      </c>
      <c r="G4529" s="12">
        <v>87700</v>
      </c>
      <c r="H4529" s="12">
        <v>87800</v>
      </c>
      <c r="I4529" s="72">
        <v>4.9000000000000002E-2</v>
      </c>
      <c r="J4529" s="12">
        <v>-567.20000000000005</v>
      </c>
    </row>
    <row r="4530" spans="3:10" x14ac:dyDescent="0.35">
      <c r="C4530" t="s">
        <v>12</v>
      </c>
      <c r="D4530" t="s">
        <v>34</v>
      </c>
      <c r="E4530" s="3" t="s">
        <v>157</v>
      </c>
      <c r="F4530" s="71">
        <v>2023</v>
      </c>
      <c r="G4530" s="12">
        <v>87800</v>
      </c>
      <c r="H4530" s="12">
        <v>87900</v>
      </c>
      <c r="I4530" s="72">
        <v>4.9000000000000002E-2</v>
      </c>
      <c r="J4530" s="12">
        <v>-557.20000000000005</v>
      </c>
    </row>
    <row r="4531" spans="3:10" x14ac:dyDescent="0.35">
      <c r="C4531" t="s">
        <v>12</v>
      </c>
      <c r="D4531" t="s">
        <v>34</v>
      </c>
      <c r="E4531" s="3" t="s">
        <v>158</v>
      </c>
      <c r="F4531" s="71">
        <v>2023</v>
      </c>
      <c r="G4531" s="12">
        <v>87900</v>
      </c>
      <c r="H4531" s="12">
        <v>88000</v>
      </c>
      <c r="I4531" s="72">
        <v>4.9000000000000002E-2</v>
      </c>
      <c r="J4531" s="12">
        <v>-547.20000000000005</v>
      </c>
    </row>
    <row r="4532" spans="3:10" x14ac:dyDescent="0.35">
      <c r="C4532" t="s">
        <v>12</v>
      </c>
      <c r="D4532" t="s">
        <v>34</v>
      </c>
      <c r="E4532" s="3" t="s">
        <v>159</v>
      </c>
      <c r="F4532" s="71">
        <v>2023</v>
      </c>
      <c r="G4532" s="12">
        <v>88000</v>
      </c>
      <c r="H4532" s="12">
        <v>88100</v>
      </c>
      <c r="I4532" s="72">
        <v>4.9000000000000002E-2</v>
      </c>
      <c r="J4532" s="12">
        <v>-537.20000000000005</v>
      </c>
    </row>
    <row r="4533" spans="3:10" x14ac:dyDescent="0.35">
      <c r="C4533" t="s">
        <v>12</v>
      </c>
      <c r="D4533" t="s">
        <v>34</v>
      </c>
      <c r="E4533" s="3" t="s">
        <v>160</v>
      </c>
      <c r="F4533" s="71">
        <v>2023</v>
      </c>
      <c r="G4533" s="12">
        <v>88100</v>
      </c>
      <c r="H4533" s="12">
        <v>88200</v>
      </c>
      <c r="I4533" s="72">
        <v>4.9000000000000002E-2</v>
      </c>
      <c r="J4533" s="12">
        <v>-527.20000000000005</v>
      </c>
    </row>
    <row r="4534" spans="3:10" x14ac:dyDescent="0.35">
      <c r="C4534" t="s">
        <v>12</v>
      </c>
      <c r="D4534" t="s">
        <v>34</v>
      </c>
      <c r="E4534" s="3" t="s">
        <v>161</v>
      </c>
      <c r="F4534" s="71">
        <v>2023</v>
      </c>
      <c r="G4534" s="12">
        <v>88200</v>
      </c>
      <c r="H4534" s="12">
        <v>88300</v>
      </c>
      <c r="I4534" s="72">
        <v>4.9000000000000002E-2</v>
      </c>
      <c r="J4534" s="12">
        <v>-517.20000000000005</v>
      </c>
    </row>
    <row r="4535" spans="3:10" x14ac:dyDescent="0.35">
      <c r="C4535" t="s">
        <v>12</v>
      </c>
      <c r="D4535" t="s">
        <v>34</v>
      </c>
      <c r="E4535" s="3" t="s">
        <v>162</v>
      </c>
      <c r="F4535" s="71">
        <v>2023</v>
      </c>
      <c r="G4535" s="12">
        <v>88300</v>
      </c>
      <c r="H4535" s="12">
        <v>88400</v>
      </c>
      <c r="I4535" s="72">
        <v>4.9000000000000002E-2</v>
      </c>
      <c r="J4535" s="12">
        <v>-507.2</v>
      </c>
    </row>
    <row r="4536" spans="3:10" x14ac:dyDescent="0.35">
      <c r="C4536" t="s">
        <v>12</v>
      </c>
      <c r="D4536" t="s">
        <v>34</v>
      </c>
      <c r="E4536" s="3" t="s">
        <v>163</v>
      </c>
      <c r="F4536" s="71">
        <v>2023</v>
      </c>
      <c r="G4536" s="12">
        <v>88400</v>
      </c>
      <c r="H4536" s="12">
        <v>88500</v>
      </c>
      <c r="I4536" s="72">
        <v>4.9000000000000002E-2</v>
      </c>
      <c r="J4536" s="12">
        <v>-497.2</v>
      </c>
    </row>
    <row r="4537" spans="3:10" x14ac:dyDescent="0.35">
      <c r="C4537" t="s">
        <v>12</v>
      </c>
      <c r="D4537" t="s">
        <v>34</v>
      </c>
      <c r="E4537" s="3" t="s">
        <v>164</v>
      </c>
      <c r="F4537" s="71">
        <v>2023</v>
      </c>
      <c r="G4537" s="12">
        <v>88500</v>
      </c>
      <c r="H4537" s="12">
        <v>88600</v>
      </c>
      <c r="I4537" s="72">
        <v>4.9000000000000002E-2</v>
      </c>
      <c r="J4537" s="12">
        <v>-487.2</v>
      </c>
    </row>
    <row r="4538" spans="3:10" x14ac:dyDescent="0.35">
      <c r="C4538" t="s">
        <v>12</v>
      </c>
      <c r="D4538" t="s">
        <v>34</v>
      </c>
      <c r="E4538" s="3" t="s">
        <v>165</v>
      </c>
      <c r="F4538" s="71">
        <v>2023</v>
      </c>
      <c r="G4538" s="12">
        <v>88600</v>
      </c>
      <c r="H4538" s="12">
        <v>88700</v>
      </c>
      <c r="I4538" s="72">
        <v>4.9000000000000002E-2</v>
      </c>
      <c r="J4538" s="12">
        <v>-477.2</v>
      </c>
    </row>
    <row r="4539" spans="3:10" x14ac:dyDescent="0.35">
      <c r="C4539" t="s">
        <v>12</v>
      </c>
      <c r="D4539" t="s">
        <v>34</v>
      </c>
      <c r="E4539" s="3" t="s">
        <v>166</v>
      </c>
      <c r="F4539" s="71">
        <v>2023</v>
      </c>
      <c r="G4539" s="12">
        <v>88700</v>
      </c>
      <c r="H4539" s="12">
        <v>88800</v>
      </c>
      <c r="I4539" s="72">
        <v>4.9000000000000002E-2</v>
      </c>
      <c r="J4539" s="12">
        <v>-467.2</v>
      </c>
    </row>
    <row r="4540" spans="3:10" x14ac:dyDescent="0.35">
      <c r="C4540" t="s">
        <v>12</v>
      </c>
      <c r="D4540" t="s">
        <v>34</v>
      </c>
      <c r="E4540" s="3" t="s">
        <v>167</v>
      </c>
      <c r="F4540" s="71">
        <v>2023</v>
      </c>
      <c r="G4540" s="12">
        <v>88800</v>
      </c>
      <c r="H4540" s="12">
        <v>88900</v>
      </c>
      <c r="I4540" s="72">
        <v>4.9000000000000002E-2</v>
      </c>
      <c r="J4540" s="12">
        <v>-457.2</v>
      </c>
    </row>
    <row r="4541" spans="3:10" x14ac:dyDescent="0.35">
      <c r="C4541" t="s">
        <v>12</v>
      </c>
      <c r="D4541" t="s">
        <v>34</v>
      </c>
      <c r="E4541" s="3" t="s">
        <v>168</v>
      </c>
      <c r="F4541" s="71">
        <v>2023</v>
      </c>
      <c r="G4541" s="12">
        <v>88900</v>
      </c>
      <c r="H4541" s="12">
        <v>89000</v>
      </c>
      <c r="I4541" s="72">
        <v>4.9000000000000002E-2</v>
      </c>
      <c r="J4541" s="12">
        <v>-447.2</v>
      </c>
    </row>
    <row r="4542" spans="3:10" x14ac:dyDescent="0.35">
      <c r="C4542" t="s">
        <v>12</v>
      </c>
      <c r="D4542" t="s">
        <v>34</v>
      </c>
      <c r="E4542" s="3" t="s">
        <v>169</v>
      </c>
      <c r="F4542" s="71">
        <v>2023</v>
      </c>
      <c r="G4542" s="12">
        <v>89000</v>
      </c>
      <c r="H4542" s="12">
        <v>89100</v>
      </c>
      <c r="I4542" s="72">
        <v>4.9000000000000002E-2</v>
      </c>
      <c r="J4542" s="12">
        <v>-437.2</v>
      </c>
    </row>
    <row r="4543" spans="3:10" x14ac:dyDescent="0.35">
      <c r="C4543" t="s">
        <v>12</v>
      </c>
      <c r="D4543" t="s">
        <v>34</v>
      </c>
      <c r="E4543" s="3" t="s">
        <v>170</v>
      </c>
      <c r="F4543" s="71">
        <v>2023</v>
      </c>
      <c r="G4543" s="12">
        <v>89100</v>
      </c>
      <c r="H4543" s="12">
        <v>89200</v>
      </c>
      <c r="I4543" s="72">
        <v>4.9000000000000002E-2</v>
      </c>
      <c r="J4543" s="12">
        <v>-427.2</v>
      </c>
    </row>
    <row r="4544" spans="3:10" x14ac:dyDescent="0.35">
      <c r="C4544" t="s">
        <v>12</v>
      </c>
      <c r="D4544" t="s">
        <v>34</v>
      </c>
      <c r="E4544" s="3" t="s">
        <v>171</v>
      </c>
      <c r="F4544" s="71">
        <v>2023</v>
      </c>
      <c r="G4544" s="12">
        <v>89200</v>
      </c>
      <c r="H4544" s="12">
        <v>89300</v>
      </c>
      <c r="I4544" s="72">
        <v>4.9000000000000002E-2</v>
      </c>
      <c r="J4544" s="12">
        <v>-417.2</v>
      </c>
    </row>
    <row r="4545" spans="3:10" x14ac:dyDescent="0.35">
      <c r="C4545" t="s">
        <v>12</v>
      </c>
      <c r="D4545" t="s">
        <v>34</v>
      </c>
      <c r="E4545" s="3" t="s">
        <v>172</v>
      </c>
      <c r="F4545" s="71">
        <v>2023</v>
      </c>
      <c r="G4545" s="12">
        <v>89300</v>
      </c>
      <c r="H4545" s="12">
        <v>89400</v>
      </c>
      <c r="I4545" s="72">
        <v>4.9000000000000002E-2</v>
      </c>
      <c r="J4545" s="12">
        <v>-407.2</v>
      </c>
    </row>
    <row r="4546" spans="3:10" x14ac:dyDescent="0.35">
      <c r="C4546" t="s">
        <v>12</v>
      </c>
      <c r="D4546" t="s">
        <v>34</v>
      </c>
      <c r="E4546" s="3" t="s">
        <v>173</v>
      </c>
      <c r="F4546" s="71">
        <v>2023</v>
      </c>
      <c r="G4546" s="12">
        <v>89400</v>
      </c>
      <c r="H4546" s="12">
        <v>89500</v>
      </c>
      <c r="I4546" s="72">
        <v>4.9000000000000002E-2</v>
      </c>
      <c r="J4546" s="12">
        <v>-397.2</v>
      </c>
    </row>
    <row r="4547" spans="3:10" x14ac:dyDescent="0.35">
      <c r="C4547" t="s">
        <v>12</v>
      </c>
      <c r="D4547" t="s">
        <v>34</v>
      </c>
      <c r="E4547" s="3" t="s">
        <v>174</v>
      </c>
      <c r="F4547" s="71">
        <v>2023</v>
      </c>
      <c r="G4547" s="12">
        <v>89500</v>
      </c>
      <c r="H4547" s="12">
        <v>89600</v>
      </c>
      <c r="I4547" s="72">
        <v>4.9000000000000002E-2</v>
      </c>
      <c r="J4547" s="12">
        <v>-387.2</v>
      </c>
    </row>
    <row r="4548" spans="3:10" x14ac:dyDescent="0.35">
      <c r="C4548" t="s">
        <v>12</v>
      </c>
      <c r="D4548" t="s">
        <v>34</v>
      </c>
      <c r="E4548" s="3" t="s">
        <v>175</v>
      </c>
      <c r="F4548" s="71">
        <v>2023</v>
      </c>
      <c r="G4548" s="12">
        <v>89600</v>
      </c>
      <c r="H4548" s="12">
        <v>89700</v>
      </c>
      <c r="I4548" s="72">
        <v>4.9000000000000002E-2</v>
      </c>
      <c r="J4548" s="12">
        <v>-377.2</v>
      </c>
    </row>
    <row r="4549" spans="3:10" x14ac:dyDescent="0.35">
      <c r="C4549" t="s">
        <v>12</v>
      </c>
      <c r="D4549" t="s">
        <v>34</v>
      </c>
      <c r="E4549" s="3" t="s">
        <v>176</v>
      </c>
      <c r="F4549" s="71">
        <v>2023</v>
      </c>
      <c r="G4549" s="12">
        <v>89700</v>
      </c>
      <c r="H4549" s="12">
        <v>89800</v>
      </c>
      <c r="I4549" s="72">
        <v>4.9000000000000002E-2</v>
      </c>
      <c r="J4549" s="12">
        <v>-367.2</v>
      </c>
    </row>
    <row r="4550" spans="3:10" x14ac:dyDescent="0.35">
      <c r="C4550" t="s">
        <v>12</v>
      </c>
      <c r="D4550" t="s">
        <v>34</v>
      </c>
      <c r="E4550" s="3" t="s">
        <v>177</v>
      </c>
      <c r="F4550" s="71">
        <v>2023</v>
      </c>
      <c r="G4550" s="12">
        <v>89800</v>
      </c>
      <c r="H4550" s="12">
        <v>89900</v>
      </c>
      <c r="I4550" s="72">
        <v>4.9000000000000002E-2</v>
      </c>
      <c r="J4550" s="12">
        <v>-357.2</v>
      </c>
    </row>
    <row r="4551" spans="3:10" x14ac:dyDescent="0.35">
      <c r="C4551" t="s">
        <v>12</v>
      </c>
      <c r="D4551" t="s">
        <v>34</v>
      </c>
      <c r="E4551" s="3" t="s">
        <v>178</v>
      </c>
      <c r="F4551" s="71">
        <v>2023</v>
      </c>
      <c r="G4551" s="12">
        <v>89900</v>
      </c>
      <c r="H4551" s="12">
        <v>90000</v>
      </c>
      <c r="I4551" s="72">
        <v>4.9000000000000002E-2</v>
      </c>
      <c r="J4551" s="12">
        <v>-347.2</v>
      </c>
    </row>
    <row r="4552" spans="3:10" x14ac:dyDescent="0.35">
      <c r="C4552" t="s">
        <v>12</v>
      </c>
      <c r="D4552" t="s">
        <v>34</v>
      </c>
      <c r="E4552" s="3" t="s">
        <v>179</v>
      </c>
      <c r="F4552" s="71">
        <v>2023</v>
      </c>
      <c r="G4552" s="12">
        <v>90000</v>
      </c>
      <c r="H4552" s="12">
        <v>90100</v>
      </c>
      <c r="I4552" s="72">
        <v>4.9000000000000002E-2</v>
      </c>
      <c r="J4552" s="12">
        <v>-337.2</v>
      </c>
    </row>
    <row r="4553" spans="3:10" x14ac:dyDescent="0.35">
      <c r="C4553" t="s">
        <v>12</v>
      </c>
      <c r="D4553" t="s">
        <v>34</v>
      </c>
      <c r="E4553" s="3" t="s">
        <v>180</v>
      </c>
      <c r="F4553" s="71">
        <v>2023</v>
      </c>
      <c r="G4553" s="12">
        <v>90100</v>
      </c>
      <c r="H4553" s="12">
        <v>90200</v>
      </c>
      <c r="I4553" s="72">
        <v>4.9000000000000002E-2</v>
      </c>
      <c r="J4553" s="12">
        <v>-327.2</v>
      </c>
    </row>
    <row r="4554" spans="3:10" x14ac:dyDescent="0.35">
      <c r="C4554" t="s">
        <v>12</v>
      </c>
      <c r="D4554" t="s">
        <v>34</v>
      </c>
      <c r="E4554" s="3" t="s">
        <v>181</v>
      </c>
      <c r="F4554" s="71">
        <v>2023</v>
      </c>
      <c r="G4554" s="12">
        <v>90200</v>
      </c>
      <c r="H4554" s="12">
        <v>90300</v>
      </c>
      <c r="I4554" s="72">
        <v>4.9000000000000002E-2</v>
      </c>
      <c r="J4554" s="12">
        <v>-317.2</v>
      </c>
    </row>
    <row r="4555" spans="3:10" x14ac:dyDescent="0.35">
      <c r="C4555" t="s">
        <v>12</v>
      </c>
      <c r="D4555" t="s">
        <v>34</v>
      </c>
      <c r="E4555" s="3" t="s">
        <v>182</v>
      </c>
      <c r="F4555" s="71">
        <v>2023</v>
      </c>
      <c r="G4555" s="12">
        <v>90300</v>
      </c>
      <c r="H4555" s="12">
        <v>90400</v>
      </c>
      <c r="I4555" s="72">
        <v>4.9000000000000002E-2</v>
      </c>
      <c r="J4555" s="12">
        <v>-307.2</v>
      </c>
    </row>
    <row r="4556" spans="3:10" x14ac:dyDescent="0.35">
      <c r="C4556" t="s">
        <v>12</v>
      </c>
      <c r="D4556" t="s">
        <v>34</v>
      </c>
      <c r="E4556" s="3" t="s">
        <v>183</v>
      </c>
      <c r="F4556" s="71">
        <v>2023</v>
      </c>
      <c r="G4556" s="12">
        <v>90400</v>
      </c>
      <c r="H4556" s="12">
        <v>90500</v>
      </c>
      <c r="I4556" s="72">
        <v>4.9000000000000002E-2</v>
      </c>
      <c r="J4556" s="12">
        <v>-297.2</v>
      </c>
    </row>
    <row r="4557" spans="3:10" x14ac:dyDescent="0.35">
      <c r="C4557" t="s">
        <v>12</v>
      </c>
      <c r="D4557" t="s">
        <v>34</v>
      </c>
      <c r="E4557" s="3" t="s">
        <v>184</v>
      </c>
      <c r="F4557" s="71">
        <v>2023</v>
      </c>
      <c r="G4557" s="12">
        <v>90500</v>
      </c>
      <c r="H4557" s="12">
        <v>90600</v>
      </c>
      <c r="I4557" s="72">
        <v>4.9000000000000002E-2</v>
      </c>
      <c r="J4557" s="12">
        <v>-287.2</v>
      </c>
    </row>
    <row r="4558" spans="3:10" x14ac:dyDescent="0.35">
      <c r="C4558" t="s">
        <v>12</v>
      </c>
      <c r="D4558" t="s">
        <v>34</v>
      </c>
      <c r="E4558" s="3" t="s">
        <v>185</v>
      </c>
      <c r="F4558" s="71">
        <v>2023</v>
      </c>
      <c r="G4558" s="12">
        <v>90600</v>
      </c>
      <c r="H4558" s="12">
        <v>90700</v>
      </c>
      <c r="I4558" s="72">
        <v>4.9000000000000002E-2</v>
      </c>
      <c r="J4558" s="12">
        <v>-277.2</v>
      </c>
    </row>
    <row r="4559" spans="3:10" x14ac:dyDescent="0.35">
      <c r="C4559" t="s">
        <v>12</v>
      </c>
      <c r="D4559" t="s">
        <v>34</v>
      </c>
      <c r="E4559" s="3" t="s">
        <v>186</v>
      </c>
      <c r="F4559" s="71">
        <v>2023</v>
      </c>
      <c r="G4559" s="12">
        <v>90700</v>
      </c>
      <c r="H4559" s="12">
        <v>90800</v>
      </c>
      <c r="I4559" s="72">
        <v>4.9000000000000002E-2</v>
      </c>
      <c r="J4559" s="12">
        <v>-267.2</v>
      </c>
    </row>
    <row r="4560" spans="3:10" x14ac:dyDescent="0.35">
      <c r="C4560" t="s">
        <v>12</v>
      </c>
      <c r="D4560" t="s">
        <v>34</v>
      </c>
      <c r="E4560" s="3" t="s">
        <v>187</v>
      </c>
      <c r="F4560" s="71">
        <v>2023</v>
      </c>
      <c r="G4560" s="12">
        <v>90800</v>
      </c>
      <c r="H4560" s="12">
        <v>90900</v>
      </c>
      <c r="I4560" s="72">
        <v>4.9000000000000002E-2</v>
      </c>
      <c r="J4560" s="12">
        <v>-257.2</v>
      </c>
    </row>
    <row r="4561" spans="3:10" x14ac:dyDescent="0.35">
      <c r="C4561" t="s">
        <v>12</v>
      </c>
      <c r="D4561" t="s">
        <v>34</v>
      </c>
      <c r="E4561" s="3" t="s">
        <v>188</v>
      </c>
      <c r="F4561" s="71">
        <v>2023</v>
      </c>
      <c r="G4561" s="12">
        <v>90900</v>
      </c>
      <c r="H4561" s="12">
        <v>91100</v>
      </c>
      <c r="I4561" s="72">
        <v>4.9000000000000002E-2</v>
      </c>
      <c r="J4561" s="12">
        <v>-247.2</v>
      </c>
    </row>
    <row r="4562" spans="3:10" x14ac:dyDescent="0.35">
      <c r="C4562" t="s">
        <v>12</v>
      </c>
      <c r="D4562" t="s">
        <v>34</v>
      </c>
      <c r="E4562" s="3" t="s">
        <v>189</v>
      </c>
      <c r="F4562" s="71">
        <v>2023</v>
      </c>
      <c r="G4562" s="12">
        <v>91100</v>
      </c>
      <c r="H4562" s="12">
        <v>91200</v>
      </c>
      <c r="I4562" s="72">
        <v>4.9000000000000002E-2</v>
      </c>
      <c r="J4562" s="12">
        <v>-237.2</v>
      </c>
    </row>
    <row r="4563" spans="3:10" x14ac:dyDescent="0.35">
      <c r="C4563" t="s">
        <v>12</v>
      </c>
      <c r="D4563" t="s">
        <v>34</v>
      </c>
      <c r="E4563" s="3" t="s">
        <v>190</v>
      </c>
      <c r="F4563" s="71">
        <v>2023</v>
      </c>
      <c r="G4563" s="12">
        <v>91200</v>
      </c>
      <c r="H4563" s="12">
        <v>91300</v>
      </c>
      <c r="I4563" s="72">
        <v>4.9000000000000002E-2</v>
      </c>
      <c r="J4563" s="12">
        <v>-227.2</v>
      </c>
    </row>
    <row r="4564" spans="3:10" x14ac:dyDescent="0.35">
      <c r="C4564" t="s">
        <v>12</v>
      </c>
      <c r="D4564" t="s">
        <v>34</v>
      </c>
      <c r="E4564" s="3" t="s">
        <v>191</v>
      </c>
      <c r="F4564" s="71">
        <v>2023</v>
      </c>
      <c r="G4564" s="12">
        <v>91300</v>
      </c>
      <c r="H4564" s="12">
        <v>91400</v>
      </c>
      <c r="I4564" s="72">
        <v>4.9000000000000002E-2</v>
      </c>
      <c r="J4564" s="12">
        <v>-217.2</v>
      </c>
    </row>
    <row r="4565" spans="3:10" x14ac:dyDescent="0.35">
      <c r="C4565" t="s">
        <v>12</v>
      </c>
      <c r="D4565" t="s">
        <v>34</v>
      </c>
      <c r="E4565" s="3" t="s">
        <v>192</v>
      </c>
      <c r="F4565" s="71">
        <v>2023</v>
      </c>
      <c r="G4565" s="12">
        <v>91400</v>
      </c>
      <c r="H4565" s="12">
        <v>91500</v>
      </c>
      <c r="I4565" s="72">
        <v>4.9000000000000002E-2</v>
      </c>
      <c r="J4565" s="12">
        <v>-207.2</v>
      </c>
    </row>
    <row r="4566" spans="3:10" x14ac:dyDescent="0.35">
      <c r="C4566" t="s">
        <v>12</v>
      </c>
      <c r="D4566" t="s">
        <v>34</v>
      </c>
      <c r="E4566" s="3" t="s">
        <v>193</v>
      </c>
      <c r="F4566" s="71">
        <v>2023</v>
      </c>
      <c r="G4566" s="12">
        <v>91500</v>
      </c>
      <c r="H4566" s="12">
        <v>91600</v>
      </c>
      <c r="I4566" s="72">
        <v>4.9000000000000002E-2</v>
      </c>
      <c r="J4566" s="12">
        <v>-197.2</v>
      </c>
    </row>
    <row r="4567" spans="3:10" x14ac:dyDescent="0.35">
      <c r="C4567" t="s">
        <v>12</v>
      </c>
      <c r="D4567" t="s">
        <v>34</v>
      </c>
      <c r="E4567" s="3" t="s">
        <v>194</v>
      </c>
      <c r="F4567" s="71">
        <v>2023</v>
      </c>
      <c r="G4567" s="12">
        <v>91600</v>
      </c>
      <c r="H4567" s="12">
        <v>91700</v>
      </c>
      <c r="I4567" s="72">
        <v>4.9000000000000002E-2</v>
      </c>
      <c r="J4567" s="12">
        <v>-187.2</v>
      </c>
    </row>
    <row r="4568" spans="3:10" x14ac:dyDescent="0.35">
      <c r="C4568" t="s">
        <v>12</v>
      </c>
      <c r="D4568" t="s">
        <v>34</v>
      </c>
      <c r="E4568" s="3" t="s">
        <v>195</v>
      </c>
      <c r="F4568" s="71">
        <v>2023</v>
      </c>
      <c r="G4568" s="12">
        <v>91700</v>
      </c>
      <c r="H4568" s="12">
        <v>91800</v>
      </c>
      <c r="I4568" s="72">
        <v>4.9000000000000002E-2</v>
      </c>
      <c r="J4568" s="12">
        <v>-177.2</v>
      </c>
    </row>
    <row r="4569" spans="3:10" x14ac:dyDescent="0.35">
      <c r="C4569" t="s">
        <v>12</v>
      </c>
      <c r="D4569" t="s">
        <v>34</v>
      </c>
      <c r="E4569" s="3" t="s">
        <v>196</v>
      </c>
      <c r="F4569" s="71">
        <v>2023</v>
      </c>
      <c r="G4569" s="12">
        <v>91800</v>
      </c>
      <c r="H4569" s="12"/>
      <c r="I4569" s="31">
        <v>4.9000000000000002E-2</v>
      </c>
      <c r="J4569" s="12">
        <v>-167.2</v>
      </c>
    </row>
    <row r="4570" spans="3:10" x14ac:dyDescent="0.35">
      <c r="C4570" t="s">
        <v>12</v>
      </c>
      <c r="D4570" t="s">
        <v>41</v>
      </c>
      <c r="E4570" s="3" t="s">
        <v>85</v>
      </c>
      <c r="F4570" s="71">
        <v>2023</v>
      </c>
      <c r="G4570" s="12">
        <v>0</v>
      </c>
      <c r="H4570" s="12">
        <v>5099</v>
      </c>
      <c r="I4570" s="72">
        <v>0</v>
      </c>
      <c r="J4570" s="12">
        <v>0</v>
      </c>
    </row>
    <row r="4571" spans="3:10" x14ac:dyDescent="0.35">
      <c r="C4571" t="s">
        <v>12</v>
      </c>
      <c r="D4571" t="s">
        <v>41</v>
      </c>
      <c r="E4571" s="3" t="s">
        <v>87</v>
      </c>
      <c r="F4571" s="71">
        <v>2023</v>
      </c>
      <c r="G4571" s="12">
        <v>5099</v>
      </c>
      <c r="H4571" s="12">
        <v>10299</v>
      </c>
      <c r="I4571" s="72">
        <v>0.02</v>
      </c>
      <c r="J4571" s="12">
        <v>-101.98</v>
      </c>
    </row>
    <row r="4572" spans="3:10" x14ac:dyDescent="0.35">
      <c r="C4572" t="s">
        <v>12</v>
      </c>
      <c r="D4572" t="s">
        <v>41</v>
      </c>
      <c r="E4572" s="3" t="s">
        <v>88</v>
      </c>
      <c r="F4572" s="71">
        <v>2023</v>
      </c>
      <c r="G4572" s="12">
        <v>10299</v>
      </c>
      <c r="H4572" s="12">
        <v>14699</v>
      </c>
      <c r="I4572" s="72">
        <v>0.03</v>
      </c>
      <c r="J4572" s="12">
        <v>-204.97</v>
      </c>
    </row>
    <row r="4573" spans="3:10" x14ac:dyDescent="0.35">
      <c r="C4573" t="s">
        <v>12</v>
      </c>
      <c r="D4573" t="s">
        <v>41</v>
      </c>
      <c r="E4573" s="3" t="s">
        <v>105</v>
      </c>
      <c r="F4573" s="71">
        <v>2023</v>
      </c>
      <c r="G4573" s="12">
        <v>14699</v>
      </c>
      <c r="H4573" s="12">
        <v>24299</v>
      </c>
      <c r="I4573" s="72">
        <v>3.4000000000000002E-2</v>
      </c>
      <c r="J4573" s="12">
        <v>-263.77</v>
      </c>
    </row>
    <row r="4574" spans="3:10" x14ac:dyDescent="0.35">
      <c r="C4574" t="s">
        <v>12</v>
      </c>
      <c r="D4574" t="s">
        <v>41</v>
      </c>
      <c r="E4574" s="3" t="s">
        <v>106</v>
      </c>
      <c r="F4574" s="71">
        <v>2023</v>
      </c>
      <c r="G4574" s="12">
        <v>24299</v>
      </c>
      <c r="H4574" s="12">
        <v>87000</v>
      </c>
      <c r="I4574" s="72">
        <v>4.9000000000000002E-2</v>
      </c>
      <c r="J4574" s="12">
        <v>-628.25</v>
      </c>
    </row>
    <row r="4575" spans="3:10" x14ac:dyDescent="0.35">
      <c r="C4575" t="s">
        <v>12</v>
      </c>
      <c r="D4575" t="s">
        <v>41</v>
      </c>
      <c r="E4575" s="3" t="s">
        <v>107</v>
      </c>
      <c r="F4575" s="71">
        <v>2023</v>
      </c>
      <c r="G4575" s="12">
        <v>87000</v>
      </c>
      <c r="H4575" s="12">
        <v>87100</v>
      </c>
      <c r="I4575" s="72">
        <v>4.9000000000000002E-2</v>
      </c>
      <c r="J4575" s="12">
        <v>-627.20000000000005</v>
      </c>
    </row>
    <row r="4576" spans="3:10" x14ac:dyDescent="0.35">
      <c r="C4576" t="s">
        <v>12</v>
      </c>
      <c r="D4576" t="s">
        <v>41</v>
      </c>
      <c r="E4576" s="3" t="s">
        <v>108</v>
      </c>
      <c r="F4576" s="71">
        <v>2023</v>
      </c>
      <c r="G4576" s="12">
        <v>87100</v>
      </c>
      <c r="H4576" s="12">
        <v>87200</v>
      </c>
      <c r="I4576" s="72">
        <v>4.9000000000000002E-2</v>
      </c>
      <c r="J4576" s="12">
        <v>-617.20000000000005</v>
      </c>
    </row>
    <row r="4577" spans="3:10" x14ac:dyDescent="0.35">
      <c r="C4577" t="s">
        <v>12</v>
      </c>
      <c r="D4577" t="s">
        <v>41</v>
      </c>
      <c r="E4577" s="3" t="s">
        <v>152</v>
      </c>
      <c r="F4577" s="71">
        <v>2023</v>
      </c>
      <c r="G4577" s="12">
        <v>87200</v>
      </c>
      <c r="H4577" s="12">
        <v>87300</v>
      </c>
      <c r="I4577" s="72">
        <v>4.9000000000000002E-2</v>
      </c>
      <c r="J4577" s="12">
        <v>-607.20000000000005</v>
      </c>
    </row>
    <row r="4578" spans="3:10" x14ac:dyDescent="0.35">
      <c r="C4578" t="s">
        <v>12</v>
      </c>
      <c r="D4578" t="s">
        <v>41</v>
      </c>
      <c r="E4578" s="3" t="s">
        <v>153</v>
      </c>
      <c r="F4578" s="71">
        <v>2023</v>
      </c>
      <c r="G4578" s="12">
        <v>87300</v>
      </c>
      <c r="H4578" s="12">
        <v>87400</v>
      </c>
      <c r="I4578" s="72">
        <v>4.9000000000000002E-2</v>
      </c>
      <c r="J4578" s="12">
        <v>-597.20000000000005</v>
      </c>
    </row>
    <row r="4579" spans="3:10" x14ac:dyDescent="0.35">
      <c r="C4579" t="s">
        <v>12</v>
      </c>
      <c r="D4579" t="s">
        <v>41</v>
      </c>
      <c r="E4579" s="3" t="s">
        <v>154</v>
      </c>
      <c r="F4579" s="71">
        <v>2023</v>
      </c>
      <c r="G4579" s="12">
        <v>87400</v>
      </c>
      <c r="H4579" s="12">
        <v>87600</v>
      </c>
      <c r="I4579" s="72">
        <v>4.9000000000000002E-2</v>
      </c>
      <c r="J4579" s="12">
        <v>-587.20000000000005</v>
      </c>
    </row>
    <row r="4580" spans="3:10" x14ac:dyDescent="0.35">
      <c r="C4580" t="s">
        <v>12</v>
      </c>
      <c r="D4580" t="s">
        <v>41</v>
      </c>
      <c r="E4580" s="3" t="s">
        <v>155</v>
      </c>
      <c r="F4580" s="71">
        <v>2023</v>
      </c>
      <c r="G4580" s="12">
        <v>87600</v>
      </c>
      <c r="H4580" s="12">
        <v>87700</v>
      </c>
      <c r="I4580" s="72">
        <v>4.9000000000000002E-2</v>
      </c>
      <c r="J4580" s="12">
        <v>-577.20000000000005</v>
      </c>
    </row>
    <row r="4581" spans="3:10" x14ac:dyDescent="0.35">
      <c r="C4581" t="s">
        <v>12</v>
      </c>
      <c r="D4581" t="s">
        <v>41</v>
      </c>
      <c r="E4581" s="3" t="s">
        <v>156</v>
      </c>
      <c r="F4581" s="71">
        <v>2023</v>
      </c>
      <c r="G4581" s="12">
        <v>87700</v>
      </c>
      <c r="H4581" s="12">
        <v>87800</v>
      </c>
      <c r="I4581" s="72">
        <v>4.9000000000000002E-2</v>
      </c>
      <c r="J4581" s="12">
        <v>-567.20000000000005</v>
      </c>
    </row>
    <row r="4582" spans="3:10" x14ac:dyDescent="0.35">
      <c r="C4582" t="s">
        <v>12</v>
      </c>
      <c r="D4582" t="s">
        <v>41</v>
      </c>
      <c r="E4582" s="3" t="s">
        <v>157</v>
      </c>
      <c r="F4582" s="71">
        <v>2023</v>
      </c>
      <c r="G4582" s="12">
        <v>87800</v>
      </c>
      <c r="H4582" s="12">
        <v>87900</v>
      </c>
      <c r="I4582" s="72">
        <v>4.9000000000000002E-2</v>
      </c>
      <c r="J4582" s="12">
        <v>-557.20000000000005</v>
      </c>
    </row>
    <row r="4583" spans="3:10" x14ac:dyDescent="0.35">
      <c r="C4583" t="s">
        <v>12</v>
      </c>
      <c r="D4583" t="s">
        <v>41</v>
      </c>
      <c r="E4583" s="3" t="s">
        <v>158</v>
      </c>
      <c r="F4583" s="71">
        <v>2023</v>
      </c>
      <c r="G4583" s="12">
        <v>87900</v>
      </c>
      <c r="H4583" s="12">
        <v>88000</v>
      </c>
      <c r="I4583" s="72">
        <v>4.9000000000000002E-2</v>
      </c>
      <c r="J4583" s="12">
        <v>-547.20000000000005</v>
      </c>
    </row>
    <row r="4584" spans="3:10" x14ac:dyDescent="0.35">
      <c r="C4584" t="s">
        <v>12</v>
      </c>
      <c r="D4584" t="s">
        <v>41</v>
      </c>
      <c r="E4584" s="3" t="s">
        <v>159</v>
      </c>
      <c r="F4584" s="71">
        <v>2023</v>
      </c>
      <c r="G4584" s="12">
        <v>88000</v>
      </c>
      <c r="H4584" s="12">
        <v>88100</v>
      </c>
      <c r="I4584" s="72">
        <v>4.9000000000000002E-2</v>
      </c>
      <c r="J4584" s="12">
        <v>-537.20000000000005</v>
      </c>
    </row>
    <row r="4585" spans="3:10" x14ac:dyDescent="0.35">
      <c r="C4585" t="s">
        <v>12</v>
      </c>
      <c r="D4585" t="s">
        <v>41</v>
      </c>
      <c r="E4585" s="3" t="s">
        <v>160</v>
      </c>
      <c r="F4585" s="71">
        <v>2023</v>
      </c>
      <c r="G4585" s="12">
        <v>88100</v>
      </c>
      <c r="H4585" s="12">
        <v>88200</v>
      </c>
      <c r="I4585" s="72">
        <v>4.9000000000000002E-2</v>
      </c>
      <c r="J4585" s="12">
        <v>-527.20000000000005</v>
      </c>
    </row>
    <row r="4586" spans="3:10" x14ac:dyDescent="0.35">
      <c r="C4586" t="s">
        <v>12</v>
      </c>
      <c r="D4586" t="s">
        <v>41</v>
      </c>
      <c r="E4586" s="3" t="s">
        <v>161</v>
      </c>
      <c r="F4586" s="71">
        <v>2023</v>
      </c>
      <c r="G4586" s="12">
        <v>88200</v>
      </c>
      <c r="H4586" s="12">
        <v>88300</v>
      </c>
      <c r="I4586" s="72">
        <v>4.9000000000000002E-2</v>
      </c>
      <c r="J4586" s="12">
        <v>-517.20000000000005</v>
      </c>
    </row>
    <row r="4587" spans="3:10" x14ac:dyDescent="0.35">
      <c r="C4587" t="s">
        <v>12</v>
      </c>
      <c r="D4587" t="s">
        <v>41</v>
      </c>
      <c r="E4587" s="3" t="s">
        <v>162</v>
      </c>
      <c r="F4587" s="71">
        <v>2023</v>
      </c>
      <c r="G4587" s="12">
        <v>88300</v>
      </c>
      <c r="H4587" s="12">
        <v>88400</v>
      </c>
      <c r="I4587" s="72">
        <v>4.9000000000000002E-2</v>
      </c>
      <c r="J4587" s="12">
        <v>-507.2</v>
      </c>
    </row>
    <row r="4588" spans="3:10" x14ac:dyDescent="0.35">
      <c r="C4588" t="s">
        <v>12</v>
      </c>
      <c r="D4588" t="s">
        <v>41</v>
      </c>
      <c r="E4588" s="3" t="s">
        <v>163</v>
      </c>
      <c r="F4588" s="71">
        <v>2023</v>
      </c>
      <c r="G4588" s="12">
        <v>88400</v>
      </c>
      <c r="H4588" s="12">
        <v>88500</v>
      </c>
      <c r="I4588" s="72">
        <v>4.9000000000000002E-2</v>
      </c>
      <c r="J4588" s="12">
        <v>-497.2</v>
      </c>
    </row>
    <row r="4589" spans="3:10" x14ac:dyDescent="0.35">
      <c r="C4589" t="s">
        <v>12</v>
      </c>
      <c r="D4589" t="s">
        <v>41</v>
      </c>
      <c r="E4589" s="3" t="s">
        <v>164</v>
      </c>
      <c r="F4589" s="71">
        <v>2023</v>
      </c>
      <c r="G4589" s="12">
        <v>88500</v>
      </c>
      <c r="H4589" s="12">
        <v>88600</v>
      </c>
      <c r="I4589" s="72">
        <v>4.9000000000000002E-2</v>
      </c>
      <c r="J4589" s="12">
        <v>-487.2</v>
      </c>
    </row>
    <row r="4590" spans="3:10" x14ac:dyDescent="0.35">
      <c r="C4590" t="s">
        <v>12</v>
      </c>
      <c r="D4590" t="s">
        <v>41</v>
      </c>
      <c r="E4590" s="3" t="s">
        <v>165</v>
      </c>
      <c r="F4590" s="71">
        <v>2023</v>
      </c>
      <c r="G4590" s="12">
        <v>88600</v>
      </c>
      <c r="H4590" s="12">
        <v>88700</v>
      </c>
      <c r="I4590" s="72">
        <v>4.9000000000000002E-2</v>
      </c>
      <c r="J4590" s="12">
        <v>-477.2</v>
      </c>
    </row>
    <row r="4591" spans="3:10" x14ac:dyDescent="0.35">
      <c r="C4591" t="s">
        <v>12</v>
      </c>
      <c r="D4591" t="s">
        <v>41</v>
      </c>
      <c r="E4591" s="3" t="s">
        <v>166</v>
      </c>
      <c r="F4591" s="71">
        <v>2023</v>
      </c>
      <c r="G4591" s="12">
        <v>88700</v>
      </c>
      <c r="H4591" s="12">
        <v>88800</v>
      </c>
      <c r="I4591" s="72">
        <v>4.9000000000000002E-2</v>
      </c>
      <c r="J4591" s="12">
        <v>-467.2</v>
      </c>
    </row>
    <row r="4592" spans="3:10" x14ac:dyDescent="0.35">
      <c r="C4592" t="s">
        <v>12</v>
      </c>
      <c r="D4592" t="s">
        <v>41</v>
      </c>
      <c r="E4592" s="3" t="s">
        <v>167</v>
      </c>
      <c r="F4592" s="71">
        <v>2023</v>
      </c>
      <c r="G4592" s="12">
        <v>88800</v>
      </c>
      <c r="H4592" s="12">
        <v>88900</v>
      </c>
      <c r="I4592" s="72">
        <v>4.9000000000000002E-2</v>
      </c>
      <c r="J4592" s="12">
        <v>-457.2</v>
      </c>
    </row>
    <row r="4593" spans="3:10" x14ac:dyDescent="0.35">
      <c r="C4593" t="s">
        <v>12</v>
      </c>
      <c r="D4593" t="s">
        <v>41</v>
      </c>
      <c r="E4593" s="3" t="s">
        <v>168</v>
      </c>
      <c r="F4593" s="71">
        <v>2023</v>
      </c>
      <c r="G4593" s="12">
        <v>88900</v>
      </c>
      <c r="H4593" s="12">
        <v>89000</v>
      </c>
      <c r="I4593" s="72">
        <v>4.9000000000000002E-2</v>
      </c>
      <c r="J4593" s="12">
        <v>-447.2</v>
      </c>
    </row>
    <row r="4594" spans="3:10" x14ac:dyDescent="0.35">
      <c r="C4594" t="s">
        <v>12</v>
      </c>
      <c r="D4594" t="s">
        <v>41</v>
      </c>
      <c r="E4594" s="3" t="s">
        <v>169</v>
      </c>
      <c r="F4594" s="71">
        <v>2023</v>
      </c>
      <c r="G4594" s="12">
        <v>89000</v>
      </c>
      <c r="H4594" s="12">
        <v>89100</v>
      </c>
      <c r="I4594" s="72">
        <v>4.9000000000000002E-2</v>
      </c>
      <c r="J4594" s="12">
        <v>-437.2</v>
      </c>
    </row>
    <row r="4595" spans="3:10" x14ac:dyDescent="0.35">
      <c r="C4595" t="s">
        <v>12</v>
      </c>
      <c r="D4595" t="s">
        <v>41</v>
      </c>
      <c r="E4595" s="3" t="s">
        <v>170</v>
      </c>
      <c r="F4595" s="71">
        <v>2023</v>
      </c>
      <c r="G4595" s="12">
        <v>89100</v>
      </c>
      <c r="H4595" s="12">
        <v>89200</v>
      </c>
      <c r="I4595" s="72">
        <v>4.9000000000000002E-2</v>
      </c>
      <c r="J4595" s="12">
        <v>-427.2</v>
      </c>
    </row>
    <row r="4596" spans="3:10" x14ac:dyDescent="0.35">
      <c r="C4596" t="s">
        <v>12</v>
      </c>
      <c r="D4596" t="s">
        <v>41</v>
      </c>
      <c r="E4596" s="3" t="s">
        <v>171</v>
      </c>
      <c r="F4596" s="71">
        <v>2023</v>
      </c>
      <c r="G4596" s="12">
        <v>89200</v>
      </c>
      <c r="H4596" s="12">
        <v>89300</v>
      </c>
      <c r="I4596" s="72">
        <v>4.9000000000000002E-2</v>
      </c>
      <c r="J4596" s="12">
        <v>-417.2</v>
      </c>
    </row>
    <row r="4597" spans="3:10" x14ac:dyDescent="0.35">
      <c r="C4597" t="s">
        <v>12</v>
      </c>
      <c r="D4597" t="s">
        <v>41</v>
      </c>
      <c r="E4597" s="3" t="s">
        <v>172</v>
      </c>
      <c r="F4597" s="71">
        <v>2023</v>
      </c>
      <c r="G4597" s="12">
        <v>89300</v>
      </c>
      <c r="H4597" s="12">
        <v>89400</v>
      </c>
      <c r="I4597" s="72">
        <v>4.9000000000000002E-2</v>
      </c>
      <c r="J4597" s="12">
        <v>-407.2</v>
      </c>
    </row>
    <row r="4598" spans="3:10" x14ac:dyDescent="0.35">
      <c r="C4598" t="s">
        <v>12</v>
      </c>
      <c r="D4598" t="s">
        <v>41</v>
      </c>
      <c r="E4598" s="3" t="s">
        <v>173</v>
      </c>
      <c r="F4598" s="71">
        <v>2023</v>
      </c>
      <c r="G4598" s="12">
        <v>89400</v>
      </c>
      <c r="H4598" s="12">
        <v>89500</v>
      </c>
      <c r="I4598" s="72">
        <v>4.9000000000000002E-2</v>
      </c>
      <c r="J4598" s="12">
        <v>-397.2</v>
      </c>
    </row>
    <row r="4599" spans="3:10" x14ac:dyDescent="0.35">
      <c r="C4599" t="s">
        <v>12</v>
      </c>
      <c r="D4599" t="s">
        <v>41</v>
      </c>
      <c r="E4599" s="3" t="s">
        <v>174</v>
      </c>
      <c r="F4599" s="71">
        <v>2023</v>
      </c>
      <c r="G4599" s="12">
        <v>89500</v>
      </c>
      <c r="H4599" s="12">
        <v>89600</v>
      </c>
      <c r="I4599" s="72">
        <v>4.9000000000000002E-2</v>
      </c>
      <c r="J4599" s="12">
        <v>-387.2</v>
      </c>
    </row>
    <row r="4600" spans="3:10" x14ac:dyDescent="0.35">
      <c r="C4600" t="s">
        <v>12</v>
      </c>
      <c r="D4600" t="s">
        <v>41</v>
      </c>
      <c r="E4600" s="3" t="s">
        <v>175</v>
      </c>
      <c r="F4600" s="71">
        <v>2023</v>
      </c>
      <c r="G4600" s="12">
        <v>89600</v>
      </c>
      <c r="H4600" s="12">
        <v>89700</v>
      </c>
      <c r="I4600" s="72">
        <v>4.9000000000000002E-2</v>
      </c>
      <c r="J4600" s="12">
        <v>-377.2</v>
      </c>
    </row>
    <row r="4601" spans="3:10" x14ac:dyDescent="0.35">
      <c r="C4601" t="s">
        <v>12</v>
      </c>
      <c r="D4601" t="s">
        <v>41</v>
      </c>
      <c r="E4601" s="3" t="s">
        <v>176</v>
      </c>
      <c r="F4601" s="71">
        <v>2023</v>
      </c>
      <c r="G4601" s="12">
        <v>89700</v>
      </c>
      <c r="H4601" s="12">
        <v>89800</v>
      </c>
      <c r="I4601" s="72">
        <v>4.9000000000000002E-2</v>
      </c>
      <c r="J4601" s="12">
        <v>-367.2</v>
      </c>
    </row>
    <row r="4602" spans="3:10" x14ac:dyDescent="0.35">
      <c r="C4602" t="s">
        <v>12</v>
      </c>
      <c r="D4602" t="s">
        <v>41</v>
      </c>
      <c r="E4602" s="3" t="s">
        <v>177</v>
      </c>
      <c r="F4602" s="71">
        <v>2023</v>
      </c>
      <c r="G4602" s="12">
        <v>89800</v>
      </c>
      <c r="H4602" s="12">
        <v>89900</v>
      </c>
      <c r="I4602" s="72">
        <v>4.9000000000000002E-2</v>
      </c>
      <c r="J4602" s="12">
        <v>-357.2</v>
      </c>
    </row>
    <row r="4603" spans="3:10" x14ac:dyDescent="0.35">
      <c r="C4603" t="s">
        <v>12</v>
      </c>
      <c r="D4603" t="s">
        <v>41</v>
      </c>
      <c r="E4603" s="3" t="s">
        <v>178</v>
      </c>
      <c r="F4603" s="71">
        <v>2023</v>
      </c>
      <c r="G4603" s="12">
        <v>89900</v>
      </c>
      <c r="H4603" s="12">
        <v>90000</v>
      </c>
      <c r="I4603" s="72">
        <v>4.9000000000000002E-2</v>
      </c>
      <c r="J4603" s="12">
        <v>-347.2</v>
      </c>
    </row>
    <row r="4604" spans="3:10" x14ac:dyDescent="0.35">
      <c r="C4604" t="s">
        <v>12</v>
      </c>
      <c r="D4604" t="s">
        <v>41</v>
      </c>
      <c r="E4604" s="3" t="s">
        <v>179</v>
      </c>
      <c r="F4604" s="71">
        <v>2023</v>
      </c>
      <c r="G4604" s="12">
        <v>90000</v>
      </c>
      <c r="H4604" s="12">
        <v>90100</v>
      </c>
      <c r="I4604" s="72">
        <v>4.9000000000000002E-2</v>
      </c>
      <c r="J4604" s="12">
        <v>-337.2</v>
      </c>
    </row>
    <row r="4605" spans="3:10" x14ac:dyDescent="0.35">
      <c r="C4605" t="s">
        <v>12</v>
      </c>
      <c r="D4605" t="s">
        <v>41</v>
      </c>
      <c r="E4605" s="3" t="s">
        <v>180</v>
      </c>
      <c r="F4605" s="71">
        <v>2023</v>
      </c>
      <c r="G4605" s="12">
        <v>90100</v>
      </c>
      <c r="H4605" s="12">
        <v>90200</v>
      </c>
      <c r="I4605" s="72">
        <v>4.9000000000000002E-2</v>
      </c>
      <c r="J4605" s="12">
        <v>-327.2</v>
      </c>
    </row>
    <row r="4606" spans="3:10" x14ac:dyDescent="0.35">
      <c r="C4606" t="s">
        <v>12</v>
      </c>
      <c r="D4606" t="s">
        <v>41</v>
      </c>
      <c r="E4606" s="3" t="s">
        <v>181</v>
      </c>
      <c r="F4606" s="71">
        <v>2023</v>
      </c>
      <c r="G4606" s="12">
        <v>90200</v>
      </c>
      <c r="H4606" s="12">
        <v>90300</v>
      </c>
      <c r="I4606" s="72">
        <v>4.9000000000000002E-2</v>
      </c>
      <c r="J4606" s="12">
        <v>-317.2</v>
      </c>
    </row>
    <row r="4607" spans="3:10" x14ac:dyDescent="0.35">
      <c r="C4607" t="s">
        <v>12</v>
      </c>
      <c r="D4607" t="s">
        <v>41</v>
      </c>
      <c r="E4607" s="3" t="s">
        <v>182</v>
      </c>
      <c r="F4607" s="71">
        <v>2023</v>
      </c>
      <c r="G4607" s="12">
        <v>90300</v>
      </c>
      <c r="H4607" s="12">
        <v>90400</v>
      </c>
      <c r="I4607" s="72">
        <v>4.9000000000000002E-2</v>
      </c>
      <c r="J4607" s="12">
        <v>-307.2</v>
      </c>
    </row>
    <row r="4608" spans="3:10" x14ac:dyDescent="0.35">
      <c r="C4608" t="s">
        <v>12</v>
      </c>
      <c r="D4608" t="s">
        <v>41</v>
      </c>
      <c r="E4608" s="3" t="s">
        <v>183</v>
      </c>
      <c r="F4608" s="71">
        <v>2023</v>
      </c>
      <c r="G4608" s="12">
        <v>90400</v>
      </c>
      <c r="H4608" s="12">
        <v>90500</v>
      </c>
      <c r="I4608" s="72">
        <v>4.9000000000000002E-2</v>
      </c>
      <c r="J4608" s="12">
        <v>-297.2</v>
      </c>
    </row>
    <row r="4609" spans="3:10" x14ac:dyDescent="0.35">
      <c r="C4609" t="s">
        <v>12</v>
      </c>
      <c r="D4609" t="s">
        <v>41</v>
      </c>
      <c r="E4609" s="3" t="s">
        <v>184</v>
      </c>
      <c r="F4609" s="71">
        <v>2023</v>
      </c>
      <c r="G4609" s="12">
        <v>90500</v>
      </c>
      <c r="H4609" s="12">
        <v>90600</v>
      </c>
      <c r="I4609" s="72">
        <v>4.9000000000000002E-2</v>
      </c>
      <c r="J4609" s="12">
        <v>-287.2</v>
      </c>
    </row>
    <row r="4610" spans="3:10" x14ac:dyDescent="0.35">
      <c r="C4610" t="s">
        <v>12</v>
      </c>
      <c r="D4610" t="s">
        <v>41</v>
      </c>
      <c r="E4610" s="3" t="s">
        <v>185</v>
      </c>
      <c r="F4610" s="71">
        <v>2023</v>
      </c>
      <c r="G4610" s="12">
        <v>90600</v>
      </c>
      <c r="H4610" s="12">
        <v>90700</v>
      </c>
      <c r="I4610" s="72">
        <v>4.9000000000000002E-2</v>
      </c>
      <c r="J4610" s="12">
        <v>-277.2</v>
      </c>
    </row>
    <row r="4611" spans="3:10" x14ac:dyDescent="0.35">
      <c r="C4611" t="s">
        <v>12</v>
      </c>
      <c r="D4611" t="s">
        <v>41</v>
      </c>
      <c r="E4611" s="3" t="s">
        <v>186</v>
      </c>
      <c r="F4611" s="71">
        <v>2023</v>
      </c>
      <c r="G4611" s="12">
        <v>90700</v>
      </c>
      <c r="H4611" s="12">
        <v>90800</v>
      </c>
      <c r="I4611" s="72">
        <v>4.9000000000000002E-2</v>
      </c>
      <c r="J4611" s="12">
        <v>-267.2</v>
      </c>
    </row>
    <row r="4612" spans="3:10" x14ac:dyDescent="0.35">
      <c r="C4612" t="s">
        <v>12</v>
      </c>
      <c r="D4612" t="s">
        <v>41</v>
      </c>
      <c r="E4612" s="3" t="s">
        <v>187</v>
      </c>
      <c r="F4612" s="71">
        <v>2023</v>
      </c>
      <c r="G4612" s="12">
        <v>90800</v>
      </c>
      <c r="H4612" s="12">
        <v>90900</v>
      </c>
      <c r="I4612" s="72">
        <v>4.9000000000000002E-2</v>
      </c>
      <c r="J4612" s="12">
        <v>-257.2</v>
      </c>
    </row>
    <row r="4613" spans="3:10" x14ac:dyDescent="0.35">
      <c r="C4613" t="s">
        <v>12</v>
      </c>
      <c r="D4613" t="s">
        <v>41</v>
      </c>
      <c r="E4613" s="3" t="s">
        <v>188</v>
      </c>
      <c r="F4613" s="71">
        <v>2023</v>
      </c>
      <c r="G4613" s="12">
        <v>90900</v>
      </c>
      <c r="H4613" s="12">
        <v>91100</v>
      </c>
      <c r="I4613" s="72">
        <v>4.9000000000000002E-2</v>
      </c>
      <c r="J4613" s="12">
        <v>-247.2</v>
      </c>
    </row>
    <row r="4614" spans="3:10" x14ac:dyDescent="0.35">
      <c r="C4614" t="s">
        <v>12</v>
      </c>
      <c r="D4614" t="s">
        <v>41</v>
      </c>
      <c r="E4614" s="3" t="s">
        <v>189</v>
      </c>
      <c r="F4614" s="71">
        <v>2023</v>
      </c>
      <c r="G4614" s="12">
        <v>91100</v>
      </c>
      <c r="H4614" s="12">
        <v>91200</v>
      </c>
      <c r="I4614" s="72">
        <v>4.9000000000000002E-2</v>
      </c>
      <c r="J4614" s="12">
        <v>-237.2</v>
      </c>
    </row>
    <row r="4615" spans="3:10" x14ac:dyDescent="0.35">
      <c r="C4615" t="s">
        <v>12</v>
      </c>
      <c r="D4615" t="s">
        <v>41</v>
      </c>
      <c r="E4615" s="3" t="s">
        <v>190</v>
      </c>
      <c r="F4615" s="71">
        <v>2023</v>
      </c>
      <c r="G4615" s="12">
        <v>91200</v>
      </c>
      <c r="H4615" s="12">
        <v>91300</v>
      </c>
      <c r="I4615" s="72">
        <v>4.9000000000000002E-2</v>
      </c>
      <c r="J4615" s="12">
        <v>-227.2</v>
      </c>
    </row>
    <row r="4616" spans="3:10" x14ac:dyDescent="0.35">
      <c r="C4616" t="s">
        <v>12</v>
      </c>
      <c r="D4616" t="s">
        <v>41</v>
      </c>
      <c r="E4616" s="3" t="s">
        <v>191</v>
      </c>
      <c r="F4616" s="71">
        <v>2023</v>
      </c>
      <c r="G4616" s="12">
        <v>91300</v>
      </c>
      <c r="H4616" s="12">
        <v>91400</v>
      </c>
      <c r="I4616" s="72">
        <v>4.9000000000000002E-2</v>
      </c>
      <c r="J4616" s="12">
        <v>-217.2</v>
      </c>
    </row>
    <row r="4617" spans="3:10" x14ac:dyDescent="0.35">
      <c r="C4617" t="s">
        <v>12</v>
      </c>
      <c r="D4617" t="s">
        <v>41</v>
      </c>
      <c r="E4617" s="3" t="s">
        <v>192</v>
      </c>
      <c r="F4617" s="71">
        <v>2023</v>
      </c>
      <c r="G4617" s="12">
        <v>91400</v>
      </c>
      <c r="H4617" s="12">
        <v>91500</v>
      </c>
      <c r="I4617" s="72">
        <v>4.9000000000000002E-2</v>
      </c>
      <c r="J4617" s="12">
        <v>-207.2</v>
      </c>
    </row>
    <row r="4618" spans="3:10" x14ac:dyDescent="0.35">
      <c r="C4618" t="s">
        <v>12</v>
      </c>
      <c r="D4618" t="s">
        <v>41</v>
      </c>
      <c r="E4618" s="3" t="s">
        <v>193</v>
      </c>
      <c r="F4618" s="71">
        <v>2023</v>
      </c>
      <c r="G4618" s="12">
        <v>91500</v>
      </c>
      <c r="H4618" s="12">
        <v>91600</v>
      </c>
      <c r="I4618" s="72">
        <v>4.9000000000000002E-2</v>
      </c>
      <c r="J4618" s="12">
        <v>-197.2</v>
      </c>
    </row>
    <row r="4619" spans="3:10" x14ac:dyDescent="0.35">
      <c r="C4619" t="s">
        <v>12</v>
      </c>
      <c r="D4619" t="s">
        <v>41</v>
      </c>
      <c r="E4619" s="3" t="s">
        <v>194</v>
      </c>
      <c r="F4619" s="71">
        <v>2023</v>
      </c>
      <c r="G4619" s="12">
        <v>91600</v>
      </c>
      <c r="H4619" s="12">
        <v>91700</v>
      </c>
      <c r="I4619" s="72">
        <v>4.9000000000000002E-2</v>
      </c>
      <c r="J4619" s="12">
        <v>-187.2</v>
      </c>
    </row>
    <row r="4620" spans="3:10" x14ac:dyDescent="0.35">
      <c r="C4620" t="s">
        <v>12</v>
      </c>
      <c r="D4620" t="s">
        <v>41</v>
      </c>
      <c r="E4620" s="3" t="s">
        <v>195</v>
      </c>
      <c r="F4620" s="71">
        <v>2023</v>
      </c>
      <c r="G4620" s="12">
        <v>91700</v>
      </c>
      <c r="H4620" s="12">
        <v>91800</v>
      </c>
      <c r="I4620" s="72">
        <v>4.9000000000000002E-2</v>
      </c>
      <c r="J4620" s="12">
        <v>-177.2</v>
      </c>
    </row>
    <row r="4621" spans="3:10" x14ac:dyDescent="0.35">
      <c r="C4621" t="s">
        <v>12</v>
      </c>
      <c r="D4621" t="s">
        <v>41</v>
      </c>
      <c r="E4621" s="3" t="s">
        <v>196</v>
      </c>
      <c r="F4621" s="71">
        <v>2023</v>
      </c>
      <c r="G4621" s="12">
        <v>91800</v>
      </c>
      <c r="H4621" s="12"/>
      <c r="I4621" s="31">
        <v>4.9000000000000002E-2</v>
      </c>
      <c r="J4621" s="12">
        <v>-167.2</v>
      </c>
    </row>
    <row r="4622" spans="3:10" x14ac:dyDescent="0.35">
      <c r="C4622" t="s">
        <v>14</v>
      </c>
      <c r="D4622" t="s">
        <v>33</v>
      </c>
      <c r="E4622" s="3" t="s">
        <v>85</v>
      </c>
      <c r="F4622" s="3">
        <v>2018</v>
      </c>
      <c r="G4622" s="12">
        <v>0</v>
      </c>
      <c r="H4622" s="12">
        <v>750</v>
      </c>
      <c r="I4622" s="72">
        <v>0.01</v>
      </c>
      <c r="J4622" s="12">
        <v>0</v>
      </c>
    </row>
    <row r="4623" spans="3:10" x14ac:dyDescent="0.35">
      <c r="C4623" t="s">
        <v>14</v>
      </c>
      <c r="D4623" t="s">
        <v>33</v>
      </c>
      <c r="E4623" s="3" t="s">
        <v>87</v>
      </c>
      <c r="F4623" s="3">
        <v>2018</v>
      </c>
      <c r="G4623" s="12">
        <v>750</v>
      </c>
      <c r="H4623" s="12">
        <v>2250</v>
      </c>
      <c r="I4623" s="72">
        <v>0.02</v>
      </c>
      <c r="J4623" s="12">
        <v>8</v>
      </c>
    </row>
    <row r="4624" spans="3:10" x14ac:dyDescent="0.35">
      <c r="C4624" t="s">
        <v>14</v>
      </c>
      <c r="D4624" t="s">
        <v>33</v>
      </c>
      <c r="E4624" s="3" t="s">
        <v>88</v>
      </c>
      <c r="F4624" s="3">
        <v>2018</v>
      </c>
      <c r="G4624" s="12">
        <v>2250</v>
      </c>
      <c r="H4624" s="12">
        <v>3750</v>
      </c>
      <c r="I4624" s="72">
        <v>0.03</v>
      </c>
      <c r="J4624" s="12">
        <v>38</v>
      </c>
    </row>
    <row r="4625" spans="3:10" x14ac:dyDescent="0.35">
      <c r="C4625" t="s">
        <v>14</v>
      </c>
      <c r="D4625" t="s">
        <v>33</v>
      </c>
      <c r="E4625" s="3" t="s">
        <v>105</v>
      </c>
      <c r="F4625" s="3">
        <v>2018</v>
      </c>
      <c r="G4625" s="12">
        <v>3750</v>
      </c>
      <c r="H4625" s="12">
        <v>5250</v>
      </c>
      <c r="I4625" s="72">
        <v>0.04</v>
      </c>
      <c r="J4625" s="12">
        <v>83</v>
      </c>
    </row>
    <row r="4626" spans="3:10" x14ac:dyDescent="0.35">
      <c r="C4626" t="s">
        <v>14</v>
      </c>
      <c r="D4626" t="s">
        <v>33</v>
      </c>
      <c r="E4626" s="3" t="s">
        <v>106</v>
      </c>
      <c r="F4626" s="3">
        <v>2018</v>
      </c>
      <c r="G4626" s="12">
        <v>5250</v>
      </c>
      <c r="H4626" s="12">
        <v>7000</v>
      </c>
      <c r="I4626" s="72">
        <v>0.05</v>
      </c>
      <c r="J4626" s="12">
        <v>143</v>
      </c>
    </row>
    <row r="4627" spans="3:10" x14ac:dyDescent="0.35">
      <c r="C4627" t="s">
        <v>14</v>
      </c>
      <c r="D4627" t="s">
        <v>33</v>
      </c>
      <c r="E4627" s="3" t="s">
        <v>107</v>
      </c>
      <c r="F4627" s="3">
        <v>2018</v>
      </c>
      <c r="G4627" s="12">
        <v>7000</v>
      </c>
      <c r="H4627" s="12"/>
      <c r="I4627" s="72">
        <v>5.7500000000000002E-2</v>
      </c>
      <c r="J4627" s="12">
        <v>230</v>
      </c>
    </row>
    <row r="4628" spans="3:10" x14ac:dyDescent="0.35">
      <c r="C4628" t="s">
        <v>14</v>
      </c>
      <c r="D4628" t="s">
        <v>40</v>
      </c>
      <c r="E4628" s="3" t="s">
        <v>85</v>
      </c>
      <c r="F4628" s="3">
        <v>2018</v>
      </c>
      <c r="G4628" s="12">
        <v>0</v>
      </c>
      <c r="H4628" s="12">
        <v>1000</v>
      </c>
      <c r="I4628" s="72">
        <v>0.01</v>
      </c>
      <c r="J4628" s="12">
        <v>0</v>
      </c>
    </row>
    <row r="4629" spans="3:10" x14ac:dyDescent="0.35">
      <c r="C4629" t="s">
        <v>14</v>
      </c>
      <c r="D4629" t="s">
        <v>40</v>
      </c>
      <c r="E4629" s="3" t="s">
        <v>87</v>
      </c>
      <c r="F4629" s="3">
        <v>2018</v>
      </c>
      <c r="G4629" s="12">
        <v>1000</v>
      </c>
      <c r="H4629" s="12">
        <v>3000</v>
      </c>
      <c r="I4629" s="72">
        <v>0.02</v>
      </c>
      <c r="J4629" s="12">
        <v>10</v>
      </c>
    </row>
    <row r="4630" spans="3:10" x14ac:dyDescent="0.35">
      <c r="C4630" t="s">
        <v>14</v>
      </c>
      <c r="D4630" t="s">
        <v>40</v>
      </c>
      <c r="E4630" s="3" t="s">
        <v>88</v>
      </c>
      <c r="F4630" s="3">
        <v>2018</v>
      </c>
      <c r="G4630" s="12">
        <v>3000</v>
      </c>
      <c r="H4630" s="12">
        <v>5000</v>
      </c>
      <c r="I4630" s="72">
        <v>0.03</v>
      </c>
      <c r="J4630" s="12">
        <v>50</v>
      </c>
    </row>
    <row r="4631" spans="3:10" x14ac:dyDescent="0.35">
      <c r="C4631" t="s">
        <v>14</v>
      </c>
      <c r="D4631" t="s">
        <v>40</v>
      </c>
      <c r="E4631" s="3" t="s">
        <v>105</v>
      </c>
      <c r="F4631" s="3">
        <v>2018</v>
      </c>
      <c r="G4631" s="12">
        <v>5000</v>
      </c>
      <c r="H4631" s="12">
        <v>7000</v>
      </c>
      <c r="I4631" s="72">
        <v>0.04</v>
      </c>
      <c r="J4631" s="12">
        <v>110</v>
      </c>
    </row>
    <row r="4632" spans="3:10" x14ac:dyDescent="0.35">
      <c r="C4632" t="s">
        <v>14</v>
      </c>
      <c r="D4632" t="s">
        <v>40</v>
      </c>
      <c r="E4632" s="3" t="s">
        <v>106</v>
      </c>
      <c r="F4632" s="3">
        <v>2018</v>
      </c>
      <c r="G4632" s="12">
        <v>7000</v>
      </c>
      <c r="H4632" s="12">
        <v>10000</v>
      </c>
      <c r="I4632" s="72">
        <v>0.05</v>
      </c>
      <c r="J4632" s="12">
        <v>190</v>
      </c>
    </row>
    <row r="4633" spans="3:10" x14ac:dyDescent="0.35">
      <c r="C4633" t="s">
        <v>14</v>
      </c>
      <c r="D4633" t="s">
        <v>40</v>
      </c>
      <c r="E4633" s="3" t="s">
        <v>107</v>
      </c>
      <c r="F4633" s="3">
        <v>2018</v>
      </c>
      <c r="G4633" s="12">
        <v>10000</v>
      </c>
      <c r="H4633" s="29"/>
      <c r="I4633" s="31">
        <v>5.7500000000000002E-2</v>
      </c>
      <c r="J4633" s="29">
        <v>340</v>
      </c>
    </row>
    <row r="4634" spans="3:10" x14ac:dyDescent="0.35">
      <c r="C4634" t="s">
        <v>14</v>
      </c>
      <c r="D4634" t="s">
        <v>34</v>
      </c>
      <c r="E4634" s="3" t="s">
        <v>85</v>
      </c>
      <c r="F4634" s="3">
        <v>2018</v>
      </c>
      <c r="G4634" s="12">
        <v>0</v>
      </c>
      <c r="H4634" s="12">
        <v>1000</v>
      </c>
      <c r="I4634" s="72">
        <v>0.01</v>
      </c>
      <c r="J4634" s="12">
        <v>0</v>
      </c>
    </row>
    <row r="4635" spans="3:10" x14ac:dyDescent="0.35">
      <c r="C4635" t="s">
        <v>14</v>
      </c>
      <c r="D4635" t="s">
        <v>34</v>
      </c>
      <c r="E4635" s="3" t="s">
        <v>87</v>
      </c>
      <c r="F4635" s="3">
        <v>2018</v>
      </c>
      <c r="G4635" s="12">
        <v>1000</v>
      </c>
      <c r="H4635" s="12">
        <v>3000</v>
      </c>
      <c r="I4635" s="72">
        <v>0.02</v>
      </c>
      <c r="J4635" s="12">
        <v>10</v>
      </c>
    </row>
    <row r="4636" spans="3:10" x14ac:dyDescent="0.35">
      <c r="C4636" t="s">
        <v>14</v>
      </c>
      <c r="D4636" t="s">
        <v>34</v>
      </c>
      <c r="E4636" s="3" t="s">
        <v>88</v>
      </c>
      <c r="F4636" s="3">
        <v>2018</v>
      </c>
      <c r="G4636" s="12">
        <v>3000</v>
      </c>
      <c r="H4636" s="12">
        <v>5000</v>
      </c>
      <c r="I4636" s="72">
        <v>0.03</v>
      </c>
      <c r="J4636" s="12">
        <v>50</v>
      </c>
    </row>
    <row r="4637" spans="3:10" x14ac:dyDescent="0.35">
      <c r="C4637" t="s">
        <v>14</v>
      </c>
      <c r="D4637" t="s">
        <v>34</v>
      </c>
      <c r="E4637" s="3" t="s">
        <v>105</v>
      </c>
      <c r="F4637" s="3">
        <v>2018</v>
      </c>
      <c r="G4637" s="12">
        <v>5000</v>
      </c>
      <c r="H4637" s="12">
        <v>7000</v>
      </c>
      <c r="I4637" s="72">
        <v>0.04</v>
      </c>
      <c r="J4637" s="12">
        <v>110</v>
      </c>
    </row>
    <row r="4638" spans="3:10" x14ac:dyDescent="0.35">
      <c r="C4638" t="s">
        <v>14</v>
      </c>
      <c r="D4638" t="s">
        <v>34</v>
      </c>
      <c r="E4638" s="3" t="s">
        <v>106</v>
      </c>
      <c r="F4638" s="3">
        <v>2018</v>
      </c>
      <c r="G4638" s="12">
        <v>7000</v>
      </c>
      <c r="H4638" s="12">
        <v>10000</v>
      </c>
      <c r="I4638" s="72">
        <v>0.05</v>
      </c>
      <c r="J4638" s="12">
        <v>190</v>
      </c>
    </row>
    <row r="4639" spans="3:10" x14ac:dyDescent="0.35">
      <c r="C4639" t="s">
        <v>14</v>
      </c>
      <c r="D4639" t="s">
        <v>34</v>
      </c>
      <c r="E4639" s="3" t="s">
        <v>107</v>
      </c>
      <c r="F4639" s="3">
        <v>2018</v>
      </c>
      <c r="G4639" s="12">
        <v>10000</v>
      </c>
      <c r="H4639" s="29"/>
      <c r="I4639" s="31">
        <v>5.7500000000000002E-2</v>
      </c>
      <c r="J4639" s="29">
        <v>340</v>
      </c>
    </row>
    <row r="4640" spans="3:10" x14ac:dyDescent="0.35">
      <c r="C4640" t="s">
        <v>14</v>
      </c>
      <c r="D4640" t="s">
        <v>36</v>
      </c>
      <c r="E4640" s="3" t="s">
        <v>85</v>
      </c>
      <c r="F4640" s="3">
        <v>2018</v>
      </c>
      <c r="G4640" s="29">
        <v>0</v>
      </c>
      <c r="H4640" s="12">
        <v>500</v>
      </c>
      <c r="I4640" s="72">
        <v>0.01</v>
      </c>
      <c r="J4640" s="12">
        <v>0</v>
      </c>
    </row>
    <row r="4641" spans="3:10" x14ac:dyDescent="0.35">
      <c r="C4641" t="s">
        <v>14</v>
      </c>
      <c r="D4641" t="s">
        <v>36</v>
      </c>
      <c r="E4641" s="3" t="s">
        <v>87</v>
      </c>
      <c r="F4641" s="3">
        <v>2018</v>
      </c>
      <c r="G4641" s="29">
        <v>500</v>
      </c>
      <c r="H4641" s="12">
        <v>1500</v>
      </c>
      <c r="I4641" s="72">
        <v>0.02</v>
      </c>
      <c r="J4641" s="12">
        <v>5</v>
      </c>
    </row>
    <row r="4642" spans="3:10" x14ac:dyDescent="0.35">
      <c r="C4642" t="s">
        <v>14</v>
      </c>
      <c r="D4642" t="s">
        <v>36</v>
      </c>
      <c r="E4642" s="3" t="s">
        <v>88</v>
      </c>
      <c r="F4642" s="3">
        <v>2018</v>
      </c>
      <c r="G4642" s="29">
        <v>1500</v>
      </c>
      <c r="H4642" s="12">
        <v>2500</v>
      </c>
      <c r="I4642" s="72">
        <v>0.03</v>
      </c>
      <c r="J4642" s="12">
        <v>25</v>
      </c>
    </row>
    <row r="4643" spans="3:10" x14ac:dyDescent="0.35">
      <c r="C4643" t="s">
        <v>14</v>
      </c>
      <c r="D4643" t="s">
        <v>36</v>
      </c>
      <c r="E4643" s="3" t="s">
        <v>105</v>
      </c>
      <c r="F4643" s="3">
        <v>2018</v>
      </c>
      <c r="G4643" s="29">
        <v>2500</v>
      </c>
      <c r="H4643" s="12">
        <v>3500</v>
      </c>
      <c r="I4643" s="72">
        <v>0.04</v>
      </c>
      <c r="J4643" s="12">
        <v>55</v>
      </c>
    </row>
    <row r="4644" spans="3:10" x14ac:dyDescent="0.35">
      <c r="C4644" t="s">
        <v>14</v>
      </c>
      <c r="D4644" t="s">
        <v>36</v>
      </c>
      <c r="E4644" s="3" t="s">
        <v>106</v>
      </c>
      <c r="F4644" s="3">
        <v>2018</v>
      </c>
      <c r="G4644" s="29">
        <v>3500</v>
      </c>
      <c r="H4644" s="12">
        <v>5000</v>
      </c>
      <c r="I4644" s="72">
        <v>0.05</v>
      </c>
      <c r="J4644" s="12">
        <v>95</v>
      </c>
    </row>
    <row r="4645" spans="3:10" x14ac:dyDescent="0.35">
      <c r="C4645" t="s">
        <v>14</v>
      </c>
      <c r="D4645" t="s">
        <v>36</v>
      </c>
      <c r="E4645" s="3" t="s">
        <v>107</v>
      </c>
      <c r="F4645" s="3">
        <v>2018</v>
      </c>
      <c r="G4645" s="29">
        <v>5000</v>
      </c>
      <c r="H4645" s="29"/>
      <c r="I4645" s="31">
        <v>5.7500000000000002E-2</v>
      </c>
      <c r="J4645" s="29">
        <v>170</v>
      </c>
    </row>
    <row r="4646" spans="3:10" x14ac:dyDescent="0.35">
      <c r="C4646" t="s">
        <v>14</v>
      </c>
      <c r="D4646" t="s">
        <v>33</v>
      </c>
      <c r="E4646" s="3" t="s">
        <v>85</v>
      </c>
      <c r="F4646" s="3">
        <v>2019</v>
      </c>
      <c r="G4646" s="12">
        <v>0</v>
      </c>
      <c r="H4646" s="12">
        <v>750</v>
      </c>
      <c r="I4646" s="72">
        <v>0.01</v>
      </c>
      <c r="J4646" s="12">
        <v>0</v>
      </c>
    </row>
    <row r="4647" spans="3:10" x14ac:dyDescent="0.35">
      <c r="C4647" t="s">
        <v>14</v>
      </c>
      <c r="D4647" t="s">
        <v>33</v>
      </c>
      <c r="E4647" s="3" t="s">
        <v>87</v>
      </c>
      <c r="F4647" s="3">
        <v>2019</v>
      </c>
      <c r="G4647" s="12">
        <v>750</v>
      </c>
      <c r="H4647" s="12">
        <v>2250</v>
      </c>
      <c r="I4647" s="72">
        <v>0.02</v>
      </c>
      <c r="J4647" s="12">
        <v>8</v>
      </c>
    </row>
    <row r="4648" spans="3:10" x14ac:dyDescent="0.35">
      <c r="C4648" t="s">
        <v>14</v>
      </c>
      <c r="D4648" t="s">
        <v>33</v>
      </c>
      <c r="E4648" s="3" t="s">
        <v>88</v>
      </c>
      <c r="F4648" s="3">
        <v>2019</v>
      </c>
      <c r="G4648" s="12">
        <v>2250</v>
      </c>
      <c r="H4648" s="12">
        <v>3750</v>
      </c>
      <c r="I4648" s="72">
        <v>0.03</v>
      </c>
      <c r="J4648" s="12">
        <v>38</v>
      </c>
    </row>
    <row r="4649" spans="3:10" x14ac:dyDescent="0.35">
      <c r="C4649" t="s">
        <v>14</v>
      </c>
      <c r="D4649" t="s">
        <v>33</v>
      </c>
      <c r="E4649" s="3" t="s">
        <v>105</v>
      </c>
      <c r="F4649" s="3">
        <v>2019</v>
      </c>
      <c r="G4649" s="12">
        <v>3750</v>
      </c>
      <c r="H4649" s="12">
        <v>5250</v>
      </c>
      <c r="I4649" s="72">
        <v>0.04</v>
      </c>
      <c r="J4649" s="12">
        <v>83</v>
      </c>
    </row>
    <row r="4650" spans="3:10" x14ac:dyDescent="0.35">
      <c r="C4650" t="s">
        <v>14</v>
      </c>
      <c r="D4650" t="s">
        <v>33</v>
      </c>
      <c r="E4650" s="3" t="s">
        <v>106</v>
      </c>
      <c r="F4650" s="3">
        <v>2019</v>
      </c>
      <c r="G4650" s="12">
        <v>5250</v>
      </c>
      <c r="H4650" s="12">
        <v>7000</v>
      </c>
      <c r="I4650" s="72">
        <v>0.05</v>
      </c>
      <c r="J4650" s="12">
        <v>143</v>
      </c>
    </row>
    <row r="4651" spans="3:10" x14ac:dyDescent="0.35">
      <c r="C4651" t="s">
        <v>14</v>
      </c>
      <c r="D4651" t="s">
        <v>33</v>
      </c>
      <c r="E4651" s="3" t="s">
        <v>107</v>
      </c>
      <c r="F4651" s="3">
        <v>2019</v>
      </c>
      <c r="G4651" s="12">
        <v>7000</v>
      </c>
      <c r="H4651" s="12"/>
      <c r="I4651" s="72">
        <v>5.7500000000000002E-2</v>
      </c>
      <c r="J4651" s="12">
        <v>230</v>
      </c>
    </row>
    <row r="4652" spans="3:10" x14ac:dyDescent="0.35">
      <c r="C4652" t="s">
        <v>14</v>
      </c>
      <c r="D4652" t="s">
        <v>40</v>
      </c>
      <c r="E4652" s="3" t="s">
        <v>85</v>
      </c>
      <c r="F4652" s="3">
        <v>2019</v>
      </c>
      <c r="G4652" s="12">
        <v>0</v>
      </c>
      <c r="H4652" s="12">
        <v>1000</v>
      </c>
      <c r="I4652" s="72">
        <v>0.01</v>
      </c>
      <c r="J4652" s="12">
        <v>0</v>
      </c>
    </row>
    <row r="4653" spans="3:10" x14ac:dyDescent="0.35">
      <c r="C4653" t="s">
        <v>14</v>
      </c>
      <c r="D4653" t="s">
        <v>40</v>
      </c>
      <c r="E4653" s="3" t="s">
        <v>87</v>
      </c>
      <c r="F4653" s="3">
        <v>2019</v>
      </c>
      <c r="G4653" s="12">
        <v>1000</v>
      </c>
      <c r="H4653" s="12">
        <v>3000</v>
      </c>
      <c r="I4653" s="72">
        <v>0.02</v>
      </c>
      <c r="J4653" s="12">
        <v>10</v>
      </c>
    </row>
    <row r="4654" spans="3:10" x14ac:dyDescent="0.35">
      <c r="C4654" t="s">
        <v>14</v>
      </c>
      <c r="D4654" t="s">
        <v>40</v>
      </c>
      <c r="E4654" s="3" t="s">
        <v>88</v>
      </c>
      <c r="F4654" s="3">
        <v>2019</v>
      </c>
      <c r="G4654" s="12">
        <v>3000</v>
      </c>
      <c r="H4654" s="12">
        <v>5000</v>
      </c>
      <c r="I4654" s="72">
        <v>0.03</v>
      </c>
      <c r="J4654" s="12">
        <v>50</v>
      </c>
    </row>
    <row r="4655" spans="3:10" x14ac:dyDescent="0.35">
      <c r="C4655" t="s">
        <v>14</v>
      </c>
      <c r="D4655" t="s">
        <v>40</v>
      </c>
      <c r="E4655" s="3" t="s">
        <v>105</v>
      </c>
      <c r="F4655" s="3">
        <v>2019</v>
      </c>
      <c r="G4655" s="12">
        <v>5000</v>
      </c>
      <c r="H4655" s="12">
        <v>7000</v>
      </c>
      <c r="I4655" s="72">
        <v>0.04</v>
      </c>
      <c r="J4655" s="12">
        <v>110</v>
      </c>
    </row>
    <row r="4656" spans="3:10" x14ac:dyDescent="0.35">
      <c r="C4656" t="s">
        <v>14</v>
      </c>
      <c r="D4656" t="s">
        <v>40</v>
      </c>
      <c r="E4656" s="3" t="s">
        <v>106</v>
      </c>
      <c r="F4656" s="3">
        <v>2019</v>
      </c>
      <c r="G4656" s="12">
        <v>7000</v>
      </c>
      <c r="H4656" s="12">
        <v>10000</v>
      </c>
      <c r="I4656" s="72">
        <v>0.05</v>
      </c>
      <c r="J4656" s="12">
        <v>190</v>
      </c>
    </row>
    <row r="4657" spans="3:10" x14ac:dyDescent="0.35">
      <c r="C4657" t="s">
        <v>14</v>
      </c>
      <c r="D4657" t="s">
        <v>40</v>
      </c>
      <c r="E4657" s="3" t="s">
        <v>107</v>
      </c>
      <c r="F4657" s="3">
        <v>2019</v>
      </c>
      <c r="G4657" s="12">
        <v>10000</v>
      </c>
      <c r="H4657" s="29"/>
      <c r="I4657" s="31">
        <v>5.7500000000000002E-2</v>
      </c>
      <c r="J4657" s="29">
        <v>340</v>
      </c>
    </row>
    <row r="4658" spans="3:10" x14ac:dyDescent="0.35">
      <c r="C4658" t="s">
        <v>14</v>
      </c>
      <c r="D4658" t="s">
        <v>34</v>
      </c>
      <c r="E4658" s="3" t="s">
        <v>85</v>
      </c>
      <c r="F4658" s="3">
        <v>2019</v>
      </c>
      <c r="G4658" s="12">
        <v>0</v>
      </c>
      <c r="H4658" s="12">
        <v>1000</v>
      </c>
      <c r="I4658" s="72">
        <v>0.01</v>
      </c>
      <c r="J4658" s="12">
        <v>0</v>
      </c>
    </row>
    <row r="4659" spans="3:10" x14ac:dyDescent="0.35">
      <c r="C4659" t="s">
        <v>14</v>
      </c>
      <c r="D4659" t="s">
        <v>34</v>
      </c>
      <c r="E4659" s="3" t="s">
        <v>87</v>
      </c>
      <c r="F4659" s="3">
        <v>2019</v>
      </c>
      <c r="G4659" s="12">
        <v>1000</v>
      </c>
      <c r="H4659" s="12">
        <v>3000</v>
      </c>
      <c r="I4659" s="72">
        <v>0.02</v>
      </c>
      <c r="J4659" s="12">
        <v>10</v>
      </c>
    </row>
    <row r="4660" spans="3:10" x14ac:dyDescent="0.35">
      <c r="C4660" t="s">
        <v>14</v>
      </c>
      <c r="D4660" t="s">
        <v>34</v>
      </c>
      <c r="E4660" s="3" t="s">
        <v>88</v>
      </c>
      <c r="F4660" s="3">
        <v>2019</v>
      </c>
      <c r="G4660" s="12">
        <v>3000</v>
      </c>
      <c r="H4660" s="12">
        <v>5000</v>
      </c>
      <c r="I4660" s="72">
        <v>0.03</v>
      </c>
      <c r="J4660" s="12">
        <v>50</v>
      </c>
    </row>
    <row r="4661" spans="3:10" x14ac:dyDescent="0.35">
      <c r="C4661" t="s">
        <v>14</v>
      </c>
      <c r="D4661" t="s">
        <v>34</v>
      </c>
      <c r="E4661" s="3" t="s">
        <v>105</v>
      </c>
      <c r="F4661" s="3">
        <v>2019</v>
      </c>
      <c r="G4661" s="12">
        <v>5000</v>
      </c>
      <c r="H4661" s="12">
        <v>7000</v>
      </c>
      <c r="I4661" s="72">
        <v>0.04</v>
      </c>
      <c r="J4661" s="12">
        <v>110</v>
      </c>
    </row>
    <row r="4662" spans="3:10" x14ac:dyDescent="0.35">
      <c r="C4662" t="s">
        <v>14</v>
      </c>
      <c r="D4662" t="s">
        <v>34</v>
      </c>
      <c r="E4662" s="3" t="s">
        <v>106</v>
      </c>
      <c r="F4662" s="3">
        <v>2019</v>
      </c>
      <c r="G4662" s="12">
        <v>7000</v>
      </c>
      <c r="H4662" s="12">
        <v>10000</v>
      </c>
      <c r="I4662" s="72">
        <v>0.05</v>
      </c>
      <c r="J4662" s="12">
        <v>190</v>
      </c>
    </row>
    <row r="4663" spans="3:10" x14ac:dyDescent="0.35">
      <c r="C4663" t="s">
        <v>14</v>
      </c>
      <c r="D4663" t="s">
        <v>34</v>
      </c>
      <c r="E4663" s="3" t="s">
        <v>107</v>
      </c>
      <c r="F4663" s="3">
        <v>2019</v>
      </c>
      <c r="G4663" s="12">
        <v>10000</v>
      </c>
      <c r="H4663" s="29"/>
      <c r="I4663" s="31">
        <v>5.7500000000000002E-2</v>
      </c>
      <c r="J4663" s="29">
        <v>340</v>
      </c>
    </row>
    <row r="4664" spans="3:10" x14ac:dyDescent="0.35">
      <c r="C4664" t="s">
        <v>14</v>
      </c>
      <c r="D4664" t="s">
        <v>36</v>
      </c>
      <c r="E4664" s="3" t="s">
        <v>85</v>
      </c>
      <c r="F4664" s="3">
        <v>2019</v>
      </c>
      <c r="G4664" s="29">
        <v>0</v>
      </c>
      <c r="H4664" s="12">
        <v>500</v>
      </c>
      <c r="I4664" s="72">
        <v>0.01</v>
      </c>
      <c r="J4664" s="12">
        <v>0</v>
      </c>
    </row>
    <row r="4665" spans="3:10" x14ac:dyDescent="0.35">
      <c r="C4665" t="s">
        <v>14</v>
      </c>
      <c r="D4665" t="s">
        <v>36</v>
      </c>
      <c r="E4665" s="3" t="s">
        <v>87</v>
      </c>
      <c r="F4665" s="3">
        <v>2019</v>
      </c>
      <c r="G4665" s="29">
        <v>500</v>
      </c>
      <c r="H4665" s="12">
        <v>1500</v>
      </c>
      <c r="I4665" s="72">
        <v>0.02</v>
      </c>
      <c r="J4665" s="12">
        <v>5</v>
      </c>
    </row>
    <row r="4666" spans="3:10" x14ac:dyDescent="0.35">
      <c r="C4666" t="s">
        <v>14</v>
      </c>
      <c r="D4666" t="s">
        <v>36</v>
      </c>
      <c r="E4666" s="3" t="s">
        <v>88</v>
      </c>
      <c r="F4666" s="3">
        <v>2019</v>
      </c>
      <c r="G4666" s="29">
        <v>1500</v>
      </c>
      <c r="H4666" s="12">
        <v>2500</v>
      </c>
      <c r="I4666" s="72">
        <v>0.03</v>
      </c>
      <c r="J4666" s="12">
        <v>25</v>
      </c>
    </row>
    <row r="4667" spans="3:10" x14ac:dyDescent="0.35">
      <c r="C4667" t="s">
        <v>14</v>
      </c>
      <c r="D4667" t="s">
        <v>36</v>
      </c>
      <c r="E4667" s="3" t="s">
        <v>105</v>
      </c>
      <c r="F4667" s="3">
        <v>2019</v>
      </c>
      <c r="G4667" s="29">
        <v>2500</v>
      </c>
      <c r="H4667" s="12">
        <v>3500</v>
      </c>
      <c r="I4667" s="72">
        <v>0.04</v>
      </c>
      <c r="J4667" s="12">
        <v>55</v>
      </c>
    </row>
    <row r="4668" spans="3:10" x14ac:dyDescent="0.35">
      <c r="C4668" t="s">
        <v>14</v>
      </c>
      <c r="D4668" t="s">
        <v>36</v>
      </c>
      <c r="E4668" s="3" t="s">
        <v>106</v>
      </c>
      <c r="F4668" s="3">
        <v>2019</v>
      </c>
      <c r="G4668" s="29">
        <v>3500</v>
      </c>
      <c r="H4668" s="12">
        <v>5000</v>
      </c>
      <c r="I4668" s="72">
        <v>0.05</v>
      </c>
      <c r="J4668" s="12">
        <v>95</v>
      </c>
    </row>
    <row r="4669" spans="3:10" x14ac:dyDescent="0.35">
      <c r="C4669" t="s">
        <v>14</v>
      </c>
      <c r="D4669" t="s">
        <v>36</v>
      </c>
      <c r="E4669" s="3" t="s">
        <v>107</v>
      </c>
      <c r="F4669" s="3">
        <v>2019</v>
      </c>
      <c r="G4669" s="29">
        <v>5000</v>
      </c>
      <c r="H4669" s="29"/>
      <c r="I4669" s="31">
        <v>5.7500000000000002E-2</v>
      </c>
      <c r="J4669" s="29">
        <v>170</v>
      </c>
    </row>
    <row r="4670" spans="3:10" x14ac:dyDescent="0.35">
      <c r="C4670" t="s">
        <v>14</v>
      </c>
      <c r="D4670" t="s">
        <v>33</v>
      </c>
      <c r="E4670" s="3" t="s">
        <v>85</v>
      </c>
      <c r="F4670" s="3">
        <v>2020</v>
      </c>
      <c r="G4670" s="12">
        <v>0</v>
      </c>
      <c r="H4670" s="12">
        <v>750</v>
      </c>
      <c r="I4670" s="72">
        <v>0.01</v>
      </c>
      <c r="J4670" s="12">
        <v>0</v>
      </c>
    </row>
    <row r="4671" spans="3:10" x14ac:dyDescent="0.35">
      <c r="C4671" t="s">
        <v>14</v>
      </c>
      <c r="D4671" t="s">
        <v>33</v>
      </c>
      <c r="E4671" s="3" t="s">
        <v>87</v>
      </c>
      <c r="F4671" s="3">
        <v>2020</v>
      </c>
      <c r="G4671" s="12">
        <v>750</v>
      </c>
      <c r="H4671" s="12">
        <v>2250</v>
      </c>
      <c r="I4671" s="72">
        <v>0.02</v>
      </c>
      <c r="J4671" s="12">
        <v>8</v>
      </c>
    </row>
    <row r="4672" spans="3:10" x14ac:dyDescent="0.35">
      <c r="C4672" t="s">
        <v>14</v>
      </c>
      <c r="D4672" t="s">
        <v>33</v>
      </c>
      <c r="E4672" s="3" t="s">
        <v>88</v>
      </c>
      <c r="F4672" s="3">
        <v>2020</v>
      </c>
      <c r="G4672" s="12">
        <v>2250</v>
      </c>
      <c r="H4672" s="12">
        <v>3750</v>
      </c>
      <c r="I4672" s="72">
        <v>0.03</v>
      </c>
      <c r="J4672" s="12">
        <v>38</v>
      </c>
    </row>
    <row r="4673" spans="3:10" x14ac:dyDescent="0.35">
      <c r="C4673" t="s">
        <v>14</v>
      </c>
      <c r="D4673" t="s">
        <v>33</v>
      </c>
      <c r="E4673" s="3" t="s">
        <v>105</v>
      </c>
      <c r="F4673" s="3">
        <v>2020</v>
      </c>
      <c r="G4673" s="12">
        <v>3750</v>
      </c>
      <c r="H4673" s="12">
        <v>5250</v>
      </c>
      <c r="I4673" s="72">
        <v>0.04</v>
      </c>
      <c r="J4673" s="12">
        <v>83</v>
      </c>
    </row>
    <row r="4674" spans="3:10" x14ac:dyDescent="0.35">
      <c r="C4674" t="s">
        <v>14</v>
      </c>
      <c r="D4674" t="s">
        <v>33</v>
      </c>
      <c r="E4674" s="3" t="s">
        <v>106</v>
      </c>
      <c r="F4674" s="3">
        <v>2020</v>
      </c>
      <c r="G4674" s="12">
        <v>5250</v>
      </c>
      <c r="H4674" s="12">
        <v>7000</v>
      </c>
      <c r="I4674" s="72">
        <v>0.05</v>
      </c>
      <c r="J4674" s="12">
        <v>143</v>
      </c>
    </row>
    <row r="4675" spans="3:10" x14ac:dyDescent="0.35">
      <c r="C4675" t="s">
        <v>14</v>
      </c>
      <c r="D4675" t="s">
        <v>33</v>
      </c>
      <c r="E4675" s="3" t="s">
        <v>107</v>
      </c>
      <c r="F4675" s="3">
        <v>2020</v>
      </c>
      <c r="G4675" s="12">
        <v>7000</v>
      </c>
      <c r="H4675" s="12"/>
      <c r="I4675" s="72">
        <v>5.7500000000000002E-2</v>
      </c>
      <c r="J4675" s="12">
        <v>230</v>
      </c>
    </row>
    <row r="4676" spans="3:10" x14ac:dyDescent="0.35">
      <c r="C4676" t="s">
        <v>14</v>
      </c>
      <c r="D4676" t="s">
        <v>40</v>
      </c>
      <c r="E4676" s="3" t="s">
        <v>85</v>
      </c>
      <c r="F4676" s="3">
        <v>2020</v>
      </c>
      <c r="G4676" s="12">
        <v>0</v>
      </c>
      <c r="H4676" s="12">
        <v>1000</v>
      </c>
      <c r="I4676" s="72">
        <v>0.01</v>
      </c>
      <c r="J4676" s="12">
        <v>0</v>
      </c>
    </row>
    <row r="4677" spans="3:10" x14ac:dyDescent="0.35">
      <c r="C4677" t="s">
        <v>14</v>
      </c>
      <c r="D4677" t="s">
        <v>40</v>
      </c>
      <c r="E4677" s="3" t="s">
        <v>87</v>
      </c>
      <c r="F4677" s="3">
        <v>2020</v>
      </c>
      <c r="G4677" s="12">
        <v>1000</v>
      </c>
      <c r="H4677" s="12">
        <v>3000</v>
      </c>
      <c r="I4677" s="72">
        <v>0.02</v>
      </c>
      <c r="J4677" s="12">
        <v>10</v>
      </c>
    </row>
    <row r="4678" spans="3:10" x14ac:dyDescent="0.35">
      <c r="C4678" t="s">
        <v>14</v>
      </c>
      <c r="D4678" t="s">
        <v>40</v>
      </c>
      <c r="E4678" s="3" t="s">
        <v>88</v>
      </c>
      <c r="F4678" s="3">
        <v>2020</v>
      </c>
      <c r="G4678" s="12">
        <v>3000</v>
      </c>
      <c r="H4678" s="12">
        <v>5000</v>
      </c>
      <c r="I4678" s="72">
        <v>0.03</v>
      </c>
      <c r="J4678" s="12">
        <v>50</v>
      </c>
    </row>
    <row r="4679" spans="3:10" x14ac:dyDescent="0.35">
      <c r="C4679" t="s">
        <v>14</v>
      </c>
      <c r="D4679" t="s">
        <v>40</v>
      </c>
      <c r="E4679" s="3" t="s">
        <v>105</v>
      </c>
      <c r="F4679" s="3">
        <v>2020</v>
      </c>
      <c r="G4679" s="12">
        <v>5000</v>
      </c>
      <c r="H4679" s="12">
        <v>7000</v>
      </c>
      <c r="I4679" s="72">
        <v>0.04</v>
      </c>
      <c r="J4679" s="12">
        <v>110</v>
      </c>
    </row>
    <row r="4680" spans="3:10" x14ac:dyDescent="0.35">
      <c r="C4680" t="s">
        <v>14</v>
      </c>
      <c r="D4680" t="s">
        <v>40</v>
      </c>
      <c r="E4680" s="3" t="s">
        <v>106</v>
      </c>
      <c r="F4680" s="3">
        <v>2020</v>
      </c>
      <c r="G4680" s="12">
        <v>7000</v>
      </c>
      <c r="H4680" s="12">
        <v>10000</v>
      </c>
      <c r="I4680" s="72">
        <v>0.05</v>
      </c>
      <c r="J4680" s="12">
        <v>190</v>
      </c>
    </row>
    <row r="4681" spans="3:10" x14ac:dyDescent="0.35">
      <c r="C4681" t="s">
        <v>14</v>
      </c>
      <c r="D4681" t="s">
        <v>40</v>
      </c>
      <c r="E4681" s="3" t="s">
        <v>107</v>
      </c>
      <c r="F4681" s="3">
        <v>2020</v>
      </c>
      <c r="G4681" s="12">
        <v>10000</v>
      </c>
      <c r="H4681" s="29"/>
      <c r="I4681" s="31">
        <v>5.7500000000000002E-2</v>
      </c>
      <c r="J4681" s="29">
        <v>340</v>
      </c>
    </row>
    <row r="4682" spans="3:10" x14ac:dyDescent="0.35">
      <c r="C4682" t="s">
        <v>14</v>
      </c>
      <c r="D4682" t="s">
        <v>34</v>
      </c>
      <c r="E4682" s="3" t="s">
        <v>85</v>
      </c>
      <c r="F4682" s="3">
        <v>2020</v>
      </c>
      <c r="G4682" s="12">
        <v>0</v>
      </c>
      <c r="H4682" s="12">
        <v>1000</v>
      </c>
      <c r="I4682" s="72">
        <v>0.01</v>
      </c>
      <c r="J4682" s="12">
        <v>0</v>
      </c>
    </row>
    <row r="4683" spans="3:10" x14ac:dyDescent="0.35">
      <c r="C4683" t="s">
        <v>14</v>
      </c>
      <c r="D4683" t="s">
        <v>34</v>
      </c>
      <c r="E4683" s="3" t="s">
        <v>87</v>
      </c>
      <c r="F4683" s="3">
        <v>2020</v>
      </c>
      <c r="G4683" s="12">
        <v>1000</v>
      </c>
      <c r="H4683" s="12">
        <v>3000</v>
      </c>
      <c r="I4683" s="72">
        <v>0.02</v>
      </c>
      <c r="J4683" s="12">
        <v>10</v>
      </c>
    </row>
    <row r="4684" spans="3:10" x14ac:dyDescent="0.35">
      <c r="C4684" t="s">
        <v>14</v>
      </c>
      <c r="D4684" t="s">
        <v>34</v>
      </c>
      <c r="E4684" s="3" t="s">
        <v>88</v>
      </c>
      <c r="F4684" s="3">
        <v>2020</v>
      </c>
      <c r="G4684" s="12">
        <v>3000</v>
      </c>
      <c r="H4684" s="12">
        <v>5000</v>
      </c>
      <c r="I4684" s="72">
        <v>0.03</v>
      </c>
      <c r="J4684" s="12">
        <v>50</v>
      </c>
    </row>
    <row r="4685" spans="3:10" x14ac:dyDescent="0.35">
      <c r="C4685" t="s">
        <v>14</v>
      </c>
      <c r="D4685" t="s">
        <v>34</v>
      </c>
      <c r="E4685" s="3" t="s">
        <v>105</v>
      </c>
      <c r="F4685" s="3">
        <v>2020</v>
      </c>
      <c r="G4685" s="12">
        <v>5000</v>
      </c>
      <c r="H4685" s="12">
        <v>7000</v>
      </c>
      <c r="I4685" s="72">
        <v>0.04</v>
      </c>
      <c r="J4685" s="12">
        <v>110</v>
      </c>
    </row>
    <row r="4686" spans="3:10" x14ac:dyDescent="0.35">
      <c r="C4686" t="s">
        <v>14</v>
      </c>
      <c r="D4686" t="s">
        <v>34</v>
      </c>
      <c r="E4686" s="3" t="s">
        <v>106</v>
      </c>
      <c r="F4686" s="3">
        <v>2020</v>
      </c>
      <c r="G4686" s="12">
        <v>7000</v>
      </c>
      <c r="H4686" s="12">
        <v>10000</v>
      </c>
      <c r="I4686" s="72">
        <v>0.05</v>
      </c>
      <c r="J4686" s="12">
        <v>190</v>
      </c>
    </row>
    <row r="4687" spans="3:10" x14ac:dyDescent="0.35">
      <c r="C4687" t="s">
        <v>14</v>
      </c>
      <c r="D4687" t="s">
        <v>34</v>
      </c>
      <c r="E4687" s="3" t="s">
        <v>107</v>
      </c>
      <c r="F4687" s="3">
        <v>2020</v>
      </c>
      <c r="G4687" s="12">
        <v>10000</v>
      </c>
      <c r="H4687" s="29"/>
      <c r="I4687" s="31">
        <v>5.7500000000000002E-2</v>
      </c>
      <c r="J4687" s="29">
        <v>340</v>
      </c>
    </row>
    <row r="4688" spans="3:10" x14ac:dyDescent="0.35">
      <c r="C4688" t="s">
        <v>14</v>
      </c>
      <c r="D4688" t="s">
        <v>36</v>
      </c>
      <c r="E4688" s="3" t="s">
        <v>85</v>
      </c>
      <c r="F4688" s="3">
        <v>2020</v>
      </c>
      <c r="G4688" s="29">
        <v>0</v>
      </c>
      <c r="H4688" s="12">
        <v>500</v>
      </c>
      <c r="I4688" s="72">
        <v>0.01</v>
      </c>
      <c r="J4688" s="12">
        <v>0</v>
      </c>
    </row>
    <row r="4689" spans="3:10" x14ac:dyDescent="0.35">
      <c r="C4689" t="s">
        <v>14</v>
      </c>
      <c r="D4689" t="s">
        <v>36</v>
      </c>
      <c r="E4689" s="3" t="s">
        <v>87</v>
      </c>
      <c r="F4689" s="3">
        <v>2020</v>
      </c>
      <c r="G4689" s="29">
        <v>500</v>
      </c>
      <c r="H4689" s="12">
        <v>1500</v>
      </c>
      <c r="I4689" s="72">
        <v>0.02</v>
      </c>
      <c r="J4689" s="12">
        <v>5</v>
      </c>
    </row>
    <row r="4690" spans="3:10" x14ac:dyDescent="0.35">
      <c r="C4690" t="s">
        <v>14</v>
      </c>
      <c r="D4690" t="s">
        <v>36</v>
      </c>
      <c r="E4690" s="3" t="s">
        <v>88</v>
      </c>
      <c r="F4690" s="3">
        <v>2020</v>
      </c>
      <c r="G4690" s="29">
        <v>1500</v>
      </c>
      <c r="H4690" s="12">
        <v>2500</v>
      </c>
      <c r="I4690" s="72">
        <v>0.03</v>
      </c>
      <c r="J4690" s="12">
        <v>25</v>
      </c>
    </row>
    <row r="4691" spans="3:10" x14ac:dyDescent="0.35">
      <c r="C4691" t="s">
        <v>14</v>
      </c>
      <c r="D4691" t="s">
        <v>36</v>
      </c>
      <c r="E4691" s="3" t="s">
        <v>105</v>
      </c>
      <c r="F4691" s="3">
        <v>2020</v>
      </c>
      <c r="G4691" s="29">
        <v>2500</v>
      </c>
      <c r="H4691" s="12">
        <v>3500</v>
      </c>
      <c r="I4691" s="72">
        <v>0.04</v>
      </c>
      <c r="J4691" s="12">
        <v>55</v>
      </c>
    </row>
    <row r="4692" spans="3:10" x14ac:dyDescent="0.35">
      <c r="C4692" t="s">
        <v>14</v>
      </c>
      <c r="D4692" t="s">
        <v>36</v>
      </c>
      <c r="E4692" s="3" t="s">
        <v>106</v>
      </c>
      <c r="F4692" s="3">
        <v>2020</v>
      </c>
      <c r="G4692" s="29">
        <v>3500</v>
      </c>
      <c r="H4692" s="12">
        <v>5000</v>
      </c>
      <c r="I4692" s="72">
        <v>0.05</v>
      </c>
      <c r="J4692" s="12">
        <v>95</v>
      </c>
    </row>
    <row r="4693" spans="3:10" x14ac:dyDescent="0.35">
      <c r="C4693" t="s">
        <v>14</v>
      </c>
      <c r="D4693" t="s">
        <v>36</v>
      </c>
      <c r="E4693" s="3" t="s">
        <v>107</v>
      </c>
      <c r="F4693" s="3">
        <v>2020</v>
      </c>
      <c r="G4693" s="29">
        <v>5000</v>
      </c>
      <c r="H4693" s="29"/>
      <c r="I4693" s="31">
        <v>5.7500000000000002E-2</v>
      </c>
      <c r="J4693" s="29">
        <v>170</v>
      </c>
    </row>
    <row r="4694" spans="3:10" x14ac:dyDescent="0.35">
      <c r="C4694" t="s">
        <v>14</v>
      </c>
      <c r="D4694" t="s">
        <v>33</v>
      </c>
      <c r="E4694" s="3" t="s">
        <v>85</v>
      </c>
      <c r="F4694" s="3">
        <v>2021</v>
      </c>
      <c r="G4694" s="12">
        <v>0</v>
      </c>
      <c r="H4694" s="12">
        <v>750</v>
      </c>
      <c r="I4694" s="72">
        <v>0.01</v>
      </c>
      <c r="J4694" s="12">
        <v>0</v>
      </c>
    </row>
    <row r="4695" spans="3:10" x14ac:dyDescent="0.35">
      <c r="C4695" t="s">
        <v>14</v>
      </c>
      <c r="D4695" t="s">
        <v>33</v>
      </c>
      <c r="E4695" s="3" t="s">
        <v>87</v>
      </c>
      <c r="F4695" s="3">
        <v>2021</v>
      </c>
      <c r="G4695" s="12">
        <v>750</v>
      </c>
      <c r="H4695" s="12">
        <v>2250</v>
      </c>
      <c r="I4695" s="72">
        <v>0.02</v>
      </c>
      <c r="J4695" s="12">
        <v>8</v>
      </c>
    </row>
    <row r="4696" spans="3:10" x14ac:dyDescent="0.35">
      <c r="C4696" t="s">
        <v>14</v>
      </c>
      <c r="D4696" t="s">
        <v>33</v>
      </c>
      <c r="E4696" s="3" t="s">
        <v>88</v>
      </c>
      <c r="F4696" s="3">
        <v>2021</v>
      </c>
      <c r="G4696" s="12">
        <v>2250</v>
      </c>
      <c r="H4696" s="12">
        <v>3750</v>
      </c>
      <c r="I4696" s="72">
        <v>0.03</v>
      </c>
      <c r="J4696" s="12">
        <v>38</v>
      </c>
    </row>
    <row r="4697" spans="3:10" x14ac:dyDescent="0.35">
      <c r="C4697" t="s">
        <v>14</v>
      </c>
      <c r="D4697" t="s">
        <v>33</v>
      </c>
      <c r="E4697" s="3" t="s">
        <v>105</v>
      </c>
      <c r="F4697" s="3">
        <v>2021</v>
      </c>
      <c r="G4697" s="12">
        <v>3750</v>
      </c>
      <c r="H4697" s="12">
        <v>5250</v>
      </c>
      <c r="I4697" s="72">
        <v>0.04</v>
      </c>
      <c r="J4697" s="12">
        <v>83</v>
      </c>
    </row>
    <row r="4698" spans="3:10" x14ac:dyDescent="0.35">
      <c r="C4698" t="s">
        <v>14</v>
      </c>
      <c r="D4698" t="s">
        <v>33</v>
      </c>
      <c r="E4698" s="3" t="s">
        <v>106</v>
      </c>
      <c r="F4698" s="3">
        <v>2021</v>
      </c>
      <c r="G4698" s="12">
        <v>5250</v>
      </c>
      <c r="H4698" s="12">
        <v>7000</v>
      </c>
      <c r="I4698" s="72">
        <v>0.05</v>
      </c>
      <c r="J4698" s="12">
        <v>143</v>
      </c>
    </row>
    <row r="4699" spans="3:10" x14ac:dyDescent="0.35">
      <c r="C4699" t="s">
        <v>14</v>
      </c>
      <c r="D4699" t="s">
        <v>33</v>
      </c>
      <c r="E4699" s="3" t="s">
        <v>107</v>
      </c>
      <c r="F4699" s="3">
        <v>2021</v>
      </c>
      <c r="G4699" s="12">
        <v>7000</v>
      </c>
      <c r="H4699" s="12"/>
      <c r="I4699" s="72">
        <v>5.7500000000000002E-2</v>
      </c>
      <c r="J4699" s="12">
        <v>230</v>
      </c>
    </row>
    <row r="4700" spans="3:10" x14ac:dyDescent="0.35">
      <c r="C4700" t="s">
        <v>14</v>
      </c>
      <c r="D4700" t="s">
        <v>40</v>
      </c>
      <c r="E4700" s="3" t="s">
        <v>85</v>
      </c>
      <c r="F4700" s="3">
        <v>2021</v>
      </c>
      <c r="G4700" s="12">
        <v>0</v>
      </c>
      <c r="H4700" s="12">
        <v>1000</v>
      </c>
      <c r="I4700" s="72">
        <v>0.01</v>
      </c>
      <c r="J4700" s="12">
        <v>0</v>
      </c>
    </row>
    <row r="4701" spans="3:10" x14ac:dyDescent="0.35">
      <c r="C4701" t="s">
        <v>14</v>
      </c>
      <c r="D4701" t="s">
        <v>40</v>
      </c>
      <c r="E4701" s="3" t="s">
        <v>87</v>
      </c>
      <c r="F4701" s="3">
        <v>2021</v>
      </c>
      <c r="G4701" s="12">
        <v>1000</v>
      </c>
      <c r="H4701" s="12">
        <v>3000</v>
      </c>
      <c r="I4701" s="72">
        <v>0.02</v>
      </c>
      <c r="J4701" s="12">
        <v>10</v>
      </c>
    </row>
    <row r="4702" spans="3:10" x14ac:dyDescent="0.35">
      <c r="C4702" t="s">
        <v>14</v>
      </c>
      <c r="D4702" t="s">
        <v>40</v>
      </c>
      <c r="E4702" s="3" t="s">
        <v>88</v>
      </c>
      <c r="F4702" s="3">
        <v>2021</v>
      </c>
      <c r="G4702" s="12">
        <v>3000</v>
      </c>
      <c r="H4702" s="12">
        <v>5000</v>
      </c>
      <c r="I4702" s="72">
        <v>0.03</v>
      </c>
      <c r="J4702" s="12">
        <v>50</v>
      </c>
    </row>
    <row r="4703" spans="3:10" x14ac:dyDescent="0.35">
      <c r="C4703" t="s">
        <v>14</v>
      </c>
      <c r="D4703" t="s">
        <v>40</v>
      </c>
      <c r="E4703" s="3" t="s">
        <v>105</v>
      </c>
      <c r="F4703" s="3">
        <v>2021</v>
      </c>
      <c r="G4703" s="12">
        <v>5000</v>
      </c>
      <c r="H4703" s="12">
        <v>7000</v>
      </c>
      <c r="I4703" s="72">
        <v>0.04</v>
      </c>
      <c r="J4703" s="12">
        <v>110</v>
      </c>
    </row>
    <row r="4704" spans="3:10" x14ac:dyDescent="0.35">
      <c r="C4704" t="s">
        <v>14</v>
      </c>
      <c r="D4704" t="s">
        <v>40</v>
      </c>
      <c r="E4704" s="3" t="s">
        <v>106</v>
      </c>
      <c r="F4704" s="3">
        <v>2021</v>
      </c>
      <c r="G4704" s="12">
        <v>7000</v>
      </c>
      <c r="H4704" s="12">
        <v>10000</v>
      </c>
      <c r="I4704" s="72">
        <v>0.05</v>
      </c>
      <c r="J4704" s="12">
        <v>190</v>
      </c>
    </row>
    <row r="4705" spans="3:10" x14ac:dyDescent="0.35">
      <c r="C4705" t="s">
        <v>14</v>
      </c>
      <c r="D4705" t="s">
        <v>40</v>
      </c>
      <c r="E4705" s="3" t="s">
        <v>107</v>
      </c>
      <c r="F4705" s="3">
        <v>2021</v>
      </c>
      <c r="G4705" s="12">
        <v>10000</v>
      </c>
      <c r="H4705" s="29"/>
      <c r="I4705" s="31">
        <v>5.7500000000000002E-2</v>
      </c>
      <c r="J4705" s="29">
        <v>340</v>
      </c>
    </row>
    <row r="4706" spans="3:10" x14ac:dyDescent="0.35">
      <c r="C4706" t="s">
        <v>14</v>
      </c>
      <c r="D4706" t="s">
        <v>34</v>
      </c>
      <c r="E4706" s="3" t="s">
        <v>85</v>
      </c>
      <c r="F4706" s="3">
        <v>2021</v>
      </c>
      <c r="G4706" s="12">
        <v>0</v>
      </c>
      <c r="H4706" s="12">
        <v>1000</v>
      </c>
      <c r="I4706" s="72">
        <v>0.01</v>
      </c>
      <c r="J4706" s="12">
        <v>0</v>
      </c>
    </row>
    <row r="4707" spans="3:10" x14ac:dyDescent="0.35">
      <c r="C4707" t="s">
        <v>14</v>
      </c>
      <c r="D4707" t="s">
        <v>34</v>
      </c>
      <c r="E4707" s="3" t="s">
        <v>87</v>
      </c>
      <c r="F4707" s="3">
        <v>2021</v>
      </c>
      <c r="G4707" s="12">
        <v>1000</v>
      </c>
      <c r="H4707" s="12">
        <v>3000</v>
      </c>
      <c r="I4707" s="72">
        <v>0.02</v>
      </c>
      <c r="J4707" s="12">
        <v>10</v>
      </c>
    </row>
    <row r="4708" spans="3:10" x14ac:dyDescent="0.35">
      <c r="C4708" t="s">
        <v>14</v>
      </c>
      <c r="D4708" t="s">
        <v>34</v>
      </c>
      <c r="E4708" s="3" t="s">
        <v>88</v>
      </c>
      <c r="F4708" s="3">
        <v>2021</v>
      </c>
      <c r="G4708" s="12">
        <v>3000</v>
      </c>
      <c r="H4708" s="12">
        <v>5000</v>
      </c>
      <c r="I4708" s="72">
        <v>0.03</v>
      </c>
      <c r="J4708" s="12">
        <v>50</v>
      </c>
    </row>
    <row r="4709" spans="3:10" x14ac:dyDescent="0.35">
      <c r="C4709" t="s">
        <v>14</v>
      </c>
      <c r="D4709" t="s">
        <v>34</v>
      </c>
      <c r="E4709" s="3" t="s">
        <v>105</v>
      </c>
      <c r="F4709" s="3">
        <v>2021</v>
      </c>
      <c r="G4709" s="12">
        <v>5000</v>
      </c>
      <c r="H4709" s="12">
        <v>7000</v>
      </c>
      <c r="I4709" s="72">
        <v>0.04</v>
      </c>
      <c r="J4709" s="12">
        <v>110</v>
      </c>
    </row>
    <row r="4710" spans="3:10" x14ac:dyDescent="0.35">
      <c r="C4710" t="s">
        <v>14</v>
      </c>
      <c r="D4710" t="s">
        <v>34</v>
      </c>
      <c r="E4710" s="3" t="s">
        <v>106</v>
      </c>
      <c r="F4710" s="3">
        <v>2021</v>
      </c>
      <c r="G4710" s="12">
        <v>7000</v>
      </c>
      <c r="H4710" s="12">
        <v>10000</v>
      </c>
      <c r="I4710" s="72">
        <v>0.05</v>
      </c>
      <c r="J4710" s="12">
        <v>190</v>
      </c>
    </row>
    <row r="4711" spans="3:10" x14ac:dyDescent="0.35">
      <c r="C4711" t="s">
        <v>14</v>
      </c>
      <c r="D4711" t="s">
        <v>34</v>
      </c>
      <c r="E4711" s="3" t="s">
        <v>107</v>
      </c>
      <c r="F4711" s="3">
        <v>2021</v>
      </c>
      <c r="G4711" s="12">
        <v>10000</v>
      </c>
      <c r="H4711" s="29"/>
      <c r="I4711" s="31">
        <v>5.7500000000000002E-2</v>
      </c>
      <c r="J4711" s="29">
        <v>340</v>
      </c>
    </row>
    <row r="4712" spans="3:10" x14ac:dyDescent="0.35">
      <c r="C4712" t="s">
        <v>14</v>
      </c>
      <c r="D4712" t="s">
        <v>36</v>
      </c>
      <c r="E4712" s="3" t="s">
        <v>85</v>
      </c>
      <c r="F4712" s="3">
        <v>2021</v>
      </c>
      <c r="G4712" s="29">
        <v>0</v>
      </c>
      <c r="H4712" s="12">
        <v>500</v>
      </c>
      <c r="I4712" s="72">
        <v>0.01</v>
      </c>
      <c r="J4712" s="12">
        <v>0</v>
      </c>
    </row>
    <row r="4713" spans="3:10" x14ac:dyDescent="0.35">
      <c r="C4713" t="s">
        <v>14</v>
      </c>
      <c r="D4713" t="s">
        <v>36</v>
      </c>
      <c r="E4713" s="3" t="s">
        <v>87</v>
      </c>
      <c r="F4713" s="3">
        <v>2021</v>
      </c>
      <c r="G4713" s="29">
        <v>500</v>
      </c>
      <c r="H4713" s="12">
        <v>1500</v>
      </c>
      <c r="I4713" s="72">
        <v>0.02</v>
      </c>
      <c r="J4713" s="12">
        <v>5</v>
      </c>
    </row>
    <row r="4714" spans="3:10" x14ac:dyDescent="0.35">
      <c r="C4714" t="s">
        <v>14</v>
      </c>
      <c r="D4714" t="s">
        <v>36</v>
      </c>
      <c r="E4714" s="3" t="s">
        <v>88</v>
      </c>
      <c r="F4714" s="3">
        <v>2021</v>
      </c>
      <c r="G4714" s="29">
        <v>1500</v>
      </c>
      <c r="H4714" s="12">
        <v>2500</v>
      </c>
      <c r="I4714" s="72">
        <v>0.03</v>
      </c>
      <c r="J4714" s="12">
        <v>25</v>
      </c>
    </row>
    <row r="4715" spans="3:10" x14ac:dyDescent="0.35">
      <c r="C4715" t="s">
        <v>14</v>
      </c>
      <c r="D4715" t="s">
        <v>36</v>
      </c>
      <c r="E4715" s="3" t="s">
        <v>105</v>
      </c>
      <c r="F4715" s="3">
        <v>2021</v>
      </c>
      <c r="G4715" s="29">
        <v>2500</v>
      </c>
      <c r="H4715" s="12">
        <v>3500</v>
      </c>
      <c r="I4715" s="72">
        <v>0.04</v>
      </c>
      <c r="J4715" s="12">
        <v>55</v>
      </c>
    </row>
    <row r="4716" spans="3:10" x14ac:dyDescent="0.35">
      <c r="C4716" t="s">
        <v>14</v>
      </c>
      <c r="D4716" t="s">
        <v>36</v>
      </c>
      <c r="E4716" s="3" t="s">
        <v>106</v>
      </c>
      <c r="F4716" s="3">
        <v>2021</v>
      </c>
      <c r="G4716" s="29">
        <v>3500</v>
      </c>
      <c r="H4716" s="12">
        <v>5000</v>
      </c>
      <c r="I4716" s="72">
        <v>0.05</v>
      </c>
      <c r="J4716" s="12">
        <v>95</v>
      </c>
    </row>
    <row r="4717" spans="3:10" x14ac:dyDescent="0.35">
      <c r="C4717" t="s">
        <v>14</v>
      </c>
      <c r="D4717" t="s">
        <v>36</v>
      </c>
      <c r="E4717" s="3" t="s">
        <v>107</v>
      </c>
      <c r="F4717" s="3">
        <v>2021</v>
      </c>
      <c r="G4717" s="29">
        <v>5000</v>
      </c>
      <c r="H4717" s="29"/>
      <c r="I4717" s="31">
        <v>5.7500000000000002E-2</v>
      </c>
      <c r="J4717" s="29">
        <v>170</v>
      </c>
    </row>
    <row r="4718" spans="3:10" x14ac:dyDescent="0.35">
      <c r="C4718" t="s">
        <v>14</v>
      </c>
      <c r="D4718" t="s">
        <v>33</v>
      </c>
      <c r="E4718" s="3" t="s">
        <v>85</v>
      </c>
      <c r="F4718" s="3">
        <v>2022</v>
      </c>
      <c r="G4718" s="12">
        <v>0</v>
      </c>
      <c r="H4718" s="12">
        <v>750</v>
      </c>
      <c r="I4718" s="72">
        <v>0.01</v>
      </c>
      <c r="J4718" s="12">
        <v>0</v>
      </c>
    </row>
    <row r="4719" spans="3:10" x14ac:dyDescent="0.35">
      <c r="C4719" t="s">
        <v>14</v>
      </c>
      <c r="D4719" t="s">
        <v>33</v>
      </c>
      <c r="E4719" s="3" t="s">
        <v>87</v>
      </c>
      <c r="F4719" s="3">
        <v>2022</v>
      </c>
      <c r="G4719" s="12">
        <v>750</v>
      </c>
      <c r="H4719" s="12">
        <v>2250</v>
      </c>
      <c r="I4719" s="72">
        <v>0.02</v>
      </c>
      <c r="J4719" s="12">
        <v>8</v>
      </c>
    </row>
    <row r="4720" spans="3:10" x14ac:dyDescent="0.35">
      <c r="C4720" t="s">
        <v>14</v>
      </c>
      <c r="D4720" t="s">
        <v>33</v>
      </c>
      <c r="E4720" s="3" t="s">
        <v>88</v>
      </c>
      <c r="F4720" s="3">
        <v>2022</v>
      </c>
      <c r="G4720" s="12">
        <v>2250</v>
      </c>
      <c r="H4720" s="12">
        <v>3750</v>
      </c>
      <c r="I4720" s="72">
        <v>0.03</v>
      </c>
      <c r="J4720" s="12">
        <v>38</v>
      </c>
    </row>
    <row r="4721" spans="3:10" x14ac:dyDescent="0.35">
      <c r="C4721" t="s">
        <v>14</v>
      </c>
      <c r="D4721" t="s">
        <v>33</v>
      </c>
      <c r="E4721" s="3" t="s">
        <v>105</v>
      </c>
      <c r="F4721" s="3">
        <v>2022</v>
      </c>
      <c r="G4721" s="12">
        <v>3750</v>
      </c>
      <c r="H4721" s="12">
        <v>5250</v>
      </c>
      <c r="I4721" s="72">
        <v>0.04</v>
      </c>
      <c r="J4721" s="12">
        <v>83</v>
      </c>
    </row>
    <row r="4722" spans="3:10" x14ac:dyDescent="0.35">
      <c r="C4722" t="s">
        <v>14</v>
      </c>
      <c r="D4722" t="s">
        <v>33</v>
      </c>
      <c r="E4722" s="3" t="s">
        <v>106</v>
      </c>
      <c r="F4722" s="3">
        <v>2022</v>
      </c>
      <c r="G4722" s="12">
        <v>5250</v>
      </c>
      <c r="H4722" s="12">
        <v>7000</v>
      </c>
      <c r="I4722" s="72">
        <v>0.05</v>
      </c>
      <c r="J4722" s="12">
        <v>143</v>
      </c>
    </row>
    <row r="4723" spans="3:10" x14ac:dyDescent="0.35">
      <c r="C4723" t="s">
        <v>14</v>
      </c>
      <c r="D4723" t="s">
        <v>33</v>
      </c>
      <c r="E4723" s="3" t="s">
        <v>107</v>
      </c>
      <c r="F4723" s="3">
        <v>2022</v>
      </c>
      <c r="G4723" s="12">
        <v>7000</v>
      </c>
      <c r="H4723" s="12"/>
      <c r="I4723" s="72">
        <v>5.7500000000000002E-2</v>
      </c>
      <c r="J4723" s="12">
        <v>230</v>
      </c>
    </row>
    <row r="4724" spans="3:10" x14ac:dyDescent="0.35">
      <c r="C4724" t="s">
        <v>14</v>
      </c>
      <c r="D4724" t="s">
        <v>40</v>
      </c>
      <c r="E4724" s="3" t="s">
        <v>85</v>
      </c>
      <c r="F4724" s="3">
        <v>2022</v>
      </c>
      <c r="G4724" s="12">
        <v>0</v>
      </c>
      <c r="H4724" s="12">
        <v>1000</v>
      </c>
      <c r="I4724" s="72">
        <v>0.01</v>
      </c>
      <c r="J4724" s="12">
        <v>0</v>
      </c>
    </row>
    <row r="4725" spans="3:10" x14ac:dyDescent="0.35">
      <c r="C4725" t="s">
        <v>14</v>
      </c>
      <c r="D4725" t="s">
        <v>40</v>
      </c>
      <c r="E4725" s="3" t="s">
        <v>87</v>
      </c>
      <c r="F4725" s="3">
        <v>2022</v>
      </c>
      <c r="G4725" s="12">
        <v>1000</v>
      </c>
      <c r="H4725" s="12">
        <v>3000</v>
      </c>
      <c r="I4725" s="72">
        <v>0.02</v>
      </c>
      <c r="J4725" s="12">
        <v>10</v>
      </c>
    </row>
    <row r="4726" spans="3:10" x14ac:dyDescent="0.35">
      <c r="C4726" t="s">
        <v>14</v>
      </c>
      <c r="D4726" t="s">
        <v>40</v>
      </c>
      <c r="E4726" s="3" t="s">
        <v>88</v>
      </c>
      <c r="F4726" s="3">
        <v>2022</v>
      </c>
      <c r="G4726" s="12">
        <v>3000</v>
      </c>
      <c r="H4726" s="12">
        <v>5000</v>
      </c>
      <c r="I4726" s="72">
        <v>0.03</v>
      </c>
      <c r="J4726" s="12">
        <v>50</v>
      </c>
    </row>
    <row r="4727" spans="3:10" x14ac:dyDescent="0.35">
      <c r="C4727" t="s">
        <v>14</v>
      </c>
      <c r="D4727" t="s">
        <v>40</v>
      </c>
      <c r="E4727" s="3" t="s">
        <v>105</v>
      </c>
      <c r="F4727" s="3">
        <v>2022</v>
      </c>
      <c r="G4727" s="12">
        <v>5000</v>
      </c>
      <c r="H4727" s="12">
        <v>7000</v>
      </c>
      <c r="I4727" s="72">
        <v>0.04</v>
      </c>
      <c r="J4727" s="12">
        <v>110</v>
      </c>
    </row>
    <row r="4728" spans="3:10" x14ac:dyDescent="0.35">
      <c r="C4728" t="s">
        <v>14</v>
      </c>
      <c r="D4728" t="s">
        <v>40</v>
      </c>
      <c r="E4728" s="3" t="s">
        <v>106</v>
      </c>
      <c r="F4728" s="3">
        <v>2022</v>
      </c>
      <c r="G4728" s="12">
        <v>7000</v>
      </c>
      <c r="H4728" s="12">
        <v>10000</v>
      </c>
      <c r="I4728" s="72">
        <v>0.05</v>
      </c>
      <c r="J4728" s="12">
        <v>190</v>
      </c>
    </row>
    <row r="4729" spans="3:10" x14ac:dyDescent="0.35">
      <c r="C4729" t="s">
        <v>14</v>
      </c>
      <c r="D4729" t="s">
        <v>40</v>
      </c>
      <c r="E4729" s="3" t="s">
        <v>107</v>
      </c>
      <c r="F4729" s="3">
        <v>2022</v>
      </c>
      <c r="G4729" s="12">
        <v>10000</v>
      </c>
      <c r="H4729" s="29"/>
      <c r="I4729" s="31">
        <v>5.7500000000000002E-2</v>
      </c>
      <c r="J4729" s="29">
        <v>340</v>
      </c>
    </row>
    <row r="4730" spans="3:10" x14ac:dyDescent="0.35">
      <c r="C4730" t="s">
        <v>14</v>
      </c>
      <c r="D4730" t="s">
        <v>34</v>
      </c>
      <c r="E4730" s="3" t="s">
        <v>85</v>
      </c>
      <c r="F4730" s="3">
        <v>2022</v>
      </c>
      <c r="G4730" s="12">
        <v>0</v>
      </c>
      <c r="H4730" s="12">
        <v>1000</v>
      </c>
      <c r="I4730" s="72">
        <v>0.01</v>
      </c>
      <c r="J4730" s="12">
        <v>0</v>
      </c>
    </row>
    <row r="4731" spans="3:10" x14ac:dyDescent="0.35">
      <c r="C4731" t="s">
        <v>14</v>
      </c>
      <c r="D4731" t="s">
        <v>34</v>
      </c>
      <c r="E4731" s="3" t="s">
        <v>87</v>
      </c>
      <c r="F4731" s="3">
        <v>2022</v>
      </c>
      <c r="G4731" s="12">
        <v>1000</v>
      </c>
      <c r="H4731" s="12">
        <v>3000</v>
      </c>
      <c r="I4731" s="72">
        <v>0.02</v>
      </c>
      <c r="J4731" s="12">
        <v>10</v>
      </c>
    </row>
    <row r="4732" spans="3:10" x14ac:dyDescent="0.35">
      <c r="C4732" t="s">
        <v>14</v>
      </c>
      <c r="D4732" t="s">
        <v>34</v>
      </c>
      <c r="E4732" s="3" t="s">
        <v>88</v>
      </c>
      <c r="F4732" s="3">
        <v>2022</v>
      </c>
      <c r="G4732" s="12">
        <v>3000</v>
      </c>
      <c r="H4732" s="12">
        <v>5000</v>
      </c>
      <c r="I4732" s="72">
        <v>0.03</v>
      </c>
      <c r="J4732" s="12">
        <v>50</v>
      </c>
    </row>
    <row r="4733" spans="3:10" x14ac:dyDescent="0.35">
      <c r="C4733" t="s">
        <v>14</v>
      </c>
      <c r="D4733" t="s">
        <v>34</v>
      </c>
      <c r="E4733" s="3" t="s">
        <v>105</v>
      </c>
      <c r="F4733" s="3">
        <v>2022</v>
      </c>
      <c r="G4733" s="12">
        <v>5000</v>
      </c>
      <c r="H4733" s="12">
        <v>7000</v>
      </c>
      <c r="I4733" s="72">
        <v>0.04</v>
      </c>
      <c r="J4733" s="12">
        <v>110</v>
      </c>
    </row>
    <row r="4734" spans="3:10" x14ac:dyDescent="0.35">
      <c r="C4734" t="s">
        <v>14</v>
      </c>
      <c r="D4734" t="s">
        <v>34</v>
      </c>
      <c r="E4734" s="3" t="s">
        <v>106</v>
      </c>
      <c r="F4734" s="3">
        <v>2022</v>
      </c>
      <c r="G4734" s="12">
        <v>7000</v>
      </c>
      <c r="H4734" s="12">
        <v>10000</v>
      </c>
      <c r="I4734" s="72">
        <v>0.05</v>
      </c>
      <c r="J4734" s="12">
        <v>190</v>
      </c>
    </row>
    <row r="4735" spans="3:10" x14ac:dyDescent="0.35">
      <c r="C4735" t="s">
        <v>14</v>
      </c>
      <c r="D4735" t="s">
        <v>34</v>
      </c>
      <c r="E4735" s="3" t="s">
        <v>107</v>
      </c>
      <c r="F4735" s="3">
        <v>2022</v>
      </c>
      <c r="G4735" s="12">
        <v>10000</v>
      </c>
      <c r="H4735" s="29"/>
      <c r="I4735" s="31">
        <v>5.7500000000000002E-2</v>
      </c>
      <c r="J4735" s="29">
        <v>340</v>
      </c>
    </row>
    <row r="4736" spans="3:10" x14ac:dyDescent="0.35">
      <c r="C4736" t="s">
        <v>14</v>
      </c>
      <c r="D4736" t="s">
        <v>36</v>
      </c>
      <c r="E4736" s="3" t="s">
        <v>85</v>
      </c>
      <c r="F4736" s="3">
        <v>2022</v>
      </c>
      <c r="G4736" s="29">
        <v>0</v>
      </c>
      <c r="H4736" s="12">
        <v>500</v>
      </c>
      <c r="I4736" s="72">
        <v>0.01</v>
      </c>
      <c r="J4736" s="12">
        <v>0</v>
      </c>
    </row>
    <row r="4737" spans="3:10" x14ac:dyDescent="0.35">
      <c r="C4737" t="s">
        <v>14</v>
      </c>
      <c r="D4737" t="s">
        <v>36</v>
      </c>
      <c r="E4737" s="3" t="s">
        <v>87</v>
      </c>
      <c r="F4737" s="3">
        <v>2022</v>
      </c>
      <c r="G4737" s="29">
        <v>500</v>
      </c>
      <c r="H4737" s="12">
        <v>1500</v>
      </c>
      <c r="I4737" s="72">
        <v>0.02</v>
      </c>
      <c r="J4737" s="12">
        <v>5</v>
      </c>
    </row>
    <row r="4738" spans="3:10" x14ac:dyDescent="0.35">
      <c r="C4738" t="s">
        <v>14</v>
      </c>
      <c r="D4738" t="s">
        <v>36</v>
      </c>
      <c r="E4738" s="3" t="s">
        <v>88</v>
      </c>
      <c r="F4738" s="3">
        <v>2022</v>
      </c>
      <c r="G4738" s="29">
        <v>1500</v>
      </c>
      <c r="H4738" s="12">
        <v>2500</v>
      </c>
      <c r="I4738" s="72">
        <v>0.03</v>
      </c>
      <c r="J4738" s="12">
        <v>25</v>
      </c>
    </row>
    <row r="4739" spans="3:10" x14ac:dyDescent="0.35">
      <c r="C4739" t="s">
        <v>14</v>
      </c>
      <c r="D4739" t="s">
        <v>36</v>
      </c>
      <c r="E4739" s="3" t="s">
        <v>105</v>
      </c>
      <c r="F4739" s="3">
        <v>2022</v>
      </c>
      <c r="G4739" s="29">
        <v>2500</v>
      </c>
      <c r="H4739" s="12">
        <v>3500</v>
      </c>
      <c r="I4739" s="72">
        <v>0.04</v>
      </c>
      <c r="J4739" s="12">
        <v>55</v>
      </c>
    </row>
    <row r="4740" spans="3:10" x14ac:dyDescent="0.35">
      <c r="C4740" t="s">
        <v>14</v>
      </c>
      <c r="D4740" t="s">
        <v>36</v>
      </c>
      <c r="E4740" s="3" t="s">
        <v>106</v>
      </c>
      <c r="F4740" s="3">
        <v>2022</v>
      </c>
      <c r="G4740" s="29">
        <v>3500</v>
      </c>
      <c r="H4740" s="12">
        <v>5000</v>
      </c>
      <c r="I4740" s="72">
        <v>0.05</v>
      </c>
      <c r="J4740" s="12">
        <v>95</v>
      </c>
    </row>
    <row r="4741" spans="3:10" x14ac:dyDescent="0.35">
      <c r="C4741" t="s">
        <v>14</v>
      </c>
      <c r="D4741" t="s">
        <v>36</v>
      </c>
      <c r="E4741" s="3" t="s">
        <v>107</v>
      </c>
      <c r="F4741" s="3">
        <v>2022</v>
      </c>
      <c r="G4741" s="29">
        <v>5000</v>
      </c>
      <c r="H4741" s="29"/>
      <c r="I4741" s="31">
        <v>5.7500000000000002E-2</v>
      </c>
      <c r="J4741" s="29">
        <v>170</v>
      </c>
    </row>
    <row r="4742" spans="3:10" x14ac:dyDescent="0.35">
      <c r="C4742" t="s">
        <v>14</v>
      </c>
      <c r="D4742" t="s">
        <v>33</v>
      </c>
      <c r="E4742" s="3" t="s">
        <v>85</v>
      </c>
      <c r="F4742" s="3">
        <v>2023</v>
      </c>
      <c r="G4742" s="12">
        <v>0</v>
      </c>
      <c r="H4742" s="12">
        <v>750</v>
      </c>
      <c r="I4742" s="72">
        <v>0.01</v>
      </c>
      <c r="J4742" s="12">
        <v>0</v>
      </c>
    </row>
    <row r="4743" spans="3:10" x14ac:dyDescent="0.35">
      <c r="C4743" t="s">
        <v>14</v>
      </c>
      <c r="D4743" t="s">
        <v>33</v>
      </c>
      <c r="E4743" s="3" t="s">
        <v>87</v>
      </c>
      <c r="F4743" s="3">
        <v>2023</v>
      </c>
      <c r="G4743" s="12">
        <v>750</v>
      </c>
      <c r="H4743" s="12">
        <v>2250</v>
      </c>
      <c r="I4743" s="72">
        <v>0.02</v>
      </c>
      <c r="J4743" s="12">
        <v>8</v>
      </c>
    </row>
    <row r="4744" spans="3:10" x14ac:dyDescent="0.35">
      <c r="C4744" t="s">
        <v>14</v>
      </c>
      <c r="D4744" t="s">
        <v>33</v>
      </c>
      <c r="E4744" s="3" t="s">
        <v>88</v>
      </c>
      <c r="F4744" s="3">
        <v>2023</v>
      </c>
      <c r="G4744" s="12">
        <v>2250</v>
      </c>
      <c r="H4744" s="12">
        <v>3750</v>
      </c>
      <c r="I4744" s="72">
        <v>0.03</v>
      </c>
      <c r="J4744" s="12">
        <v>38</v>
      </c>
    </row>
    <row r="4745" spans="3:10" x14ac:dyDescent="0.35">
      <c r="C4745" t="s">
        <v>14</v>
      </c>
      <c r="D4745" t="s">
        <v>33</v>
      </c>
      <c r="E4745" s="3" t="s">
        <v>105</v>
      </c>
      <c r="F4745" s="3">
        <v>2023</v>
      </c>
      <c r="G4745" s="12">
        <v>3750</v>
      </c>
      <c r="H4745" s="12">
        <v>5250</v>
      </c>
      <c r="I4745" s="72">
        <v>0.04</v>
      </c>
      <c r="J4745" s="12">
        <v>83</v>
      </c>
    </row>
    <row r="4746" spans="3:10" x14ac:dyDescent="0.35">
      <c r="C4746" t="s">
        <v>14</v>
      </c>
      <c r="D4746" t="s">
        <v>33</v>
      </c>
      <c r="E4746" s="3" t="s">
        <v>106</v>
      </c>
      <c r="F4746" s="3">
        <v>2023</v>
      </c>
      <c r="G4746" s="12">
        <v>5250</v>
      </c>
      <c r="H4746" s="12">
        <v>7000</v>
      </c>
      <c r="I4746" s="72">
        <v>0.05</v>
      </c>
      <c r="J4746" s="12">
        <v>143</v>
      </c>
    </row>
    <row r="4747" spans="3:10" x14ac:dyDescent="0.35">
      <c r="C4747" t="s">
        <v>14</v>
      </c>
      <c r="D4747" t="s">
        <v>33</v>
      </c>
      <c r="E4747" s="3" t="s">
        <v>107</v>
      </c>
      <c r="F4747" s="3">
        <v>2023</v>
      </c>
      <c r="G4747" s="12">
        <v>7000</v>
      </c>
      <c r="H4747" s="12"/>
      <c r="I4747" s="72">
        <v>5.7500000000000002E-2</v>
      </c>
      <c r="J4747" s="12">
        <v>230</v>
      </c>
    </row>
    <row r="4748" spans="3:10" x14ac:dyDescent="0.35">
      <c r="C4748" t="s">
        <v>14</v>
      </c>
      <c r="D4748" t="s">
        <v>40</v>
      </c>
      <c r="E4748" s="3" t="s">
        <v>85</v>
      </c>
      <c r="F4748" s="3">
        <v>2023</v>
      </c>
      <c r="G4748" s="12">
        <v>0</v>
      </c>
      <c r="H4748" s="12">
        <v>1000</v>
      </c>
      <c r="I4748" s="72">
        <v>0.01</v>
      </c>
      <c r="J4748" s="12">
        <v>0</v>
      </c>
    </row>
    <row r="4749" spans="3:10" x14ac:dyDescent="0.35">
      <c r="C4749" t="s">
        <v>14</v>
      </c>
      <c r="D4749" t="s">
        <v>40</v>
      </c>
      <c r="E4749" s="3" t="s">
        <v>87</v>
      </c>
      <c r="F4749" s="3">
        <v>2023</v>
      </c>
      <c r="G4749" s="12">
        <v>1000</v>
      </c>
      <c r="H4749" s="12">
        <v>3000</v>
      </c>
      <c r="I4749" s="72">
        <v>0.02</v>
      </c>
      <c r="J4749" s="12">
        <v>10</v>
      </c>
    </row>
    <row r="4750" spans="3:10" x14ac:dyDescent="0.35">
      <c r="C4750" t="s">
        <v>14</v>
      </c>
      <c r="D4750" t="s">
        <v>40</v>
      </c>
      <c r="E4750" s="3" t="s">
        <v>88</v>
      </c>
      <c r="F4750" s="3">
        <v>2023</v>
      </c>
      <c r="G4750" s="12">
        <v>3000</v>
      </c>
      <c r="H4750" s="12">
        <v>5000</v>
      </c>
      <c r="I4750" s="72">
        <v>0.03</v>
      </c>
      <c r="J4750" s="12">
        <v>50</v>
      </c>
    </row>
    <row r="4751" spans="3:10" x14ac:dyDescent="0.35">
      <c r="C4751" t="s">
        <v>14</v>
      </c>
      <c r="D4751" t="s">
        <v>40</v>
      </c>
      <c r="E4751" s="3" t="s">
        <v>105</v>
      </c>
      <c r="F4751" s="3">
        <v>2023</v>
      </c>
      <c r="G4751" s="12">
        <v>5000</v>
      </c>
      <c r="H4751" s="12">
        <v>7000</v>
      </c>
      <c r="I4751" s="72">
        <v>0.04</v>
      </c>
      <c r="J4751" s="12">
        <v>110</v>
      </c>
    </row>
    <row r="4752" spans="3:10" x14ac:dyDescent="0.35">
      <c r="C4752" t="s">
        <v>14</v>
      </c>
      <c r="D4752" t="s">
        <v>40</v>
      </c>
      <c r="E4752" s="3" t="s">
        <v>106</v>
      </c>
      <c r="F4752" s="3">
        <v>2023</v>
      </c>
      <c r="G4752" s="12">
        <v>7000</v>
      </c>
      <c r="H4752" s="12">
        <v>10000</v>
      </c>
      <c r="I4752" s="72">
        <v>0.05</v>
      </c>
      <c r="J4752" s="12">
        <v>190</v>
      </c>
    </row>
    <row r="4753" spans="3:10" x14ac:dyDescent="0.35">
      <c r="C4753" t="s">
        <v>14</v>
      </c>
      <c r="D4753" t="s">
        <v>40</v>
      </c>
      <c r="E4753" s="3" t="s">
        <v>107</v>
      </c>
      <c r="F4753" s="3">
        <v>2023</v>
      </c>
      <c r="G4753" s="12">
        <v>10000</v>
      </c>
      <c r="H4753" s="29"/>
      <c r="I4753" s="31">
        <v>5.7500000000000002E-2</v>
      </c>
      <c r="J4753" s="29">
        <v>340</v>
      </c>
    </row>
    <row r="4754" spans="3:10" x14ac:dyDescent="0.35">
      <c r="C4754" t="s">
        <v>14</v>
      </c>
      <c r="D4754" t="s">
        <v>34</v>
      </c>
      <c r="E4754" s="3" t="s">
        <v>85</v>
      </c>
      <c r="F4754" s="3">
        <v>2023</v>
      </c>
      <c r="G4754" s="12">
        <v>0</v>
      </c>
      <c r="H4754" s="12">
        <v>1000</v>
      </c>
      <c r="I4754" s="72">
        <v>0.01</v>
      </c>
      <c r="J4754" s="12">
        <v>0</v>
      </c>
    </row>
    <row r="4755" spans="3:10" x14ac:dyDescent="0.35">
      <c r="C4755" t="s">
        <v>14</v>
      </c>
      <c r="D4755" t="s">
        <v>34</v>
      </c>
      <c r="E4755" s="3" t="s">
        <v>87</v>
      </c>
      <c r="F4755" s="3">
        <v>2023</v>
      </c>
      <c r="G4755" s="12">
        <v>1000</v>
      </c>
      <c r="H4755" s="12">
        <v>3000</v>
      </c>
      <c r="I4755" s="72">
        <v>0.02</v>
      </c>
      <c r="J4755" s="12">
        <v>10</v>
      </c>
    </row>
    <row r="4756" spans="3:10" x14ac:dyDescent="0.35">
      <c r="C4756" t="s">
        <v>14</v>
      </c>
      <c r="D4756" t="s">
        <v>34</v>
      </c>
      <c r="E4756" s="3" t="s">
        <v>88</v>
      </c>
      <c r="F4756" s="3">
        <v>2023</v>
      </c>
      <c r="G4756" s="12">
        <v>3000</v>
      </c>
      <c r="H4756" s="12">
        <v>5000</v>
      </c>
      <c r="I4756" s="72">
        <v>0.03</v>
      </c>
      <c r="J4756" s="12">
        <v>50</v>
      </c>
    </row>
    <row r="4757" spans="3:10" x14ac:dyDescent="0.35">
      <c r="C4757" t="s">
        <v>14</v>
      </c>
      <c r="D4757" t="s">
        <v>34</v>
      </c>
      <c r="E4757" s="3" t="s">
        <v>105</v>
      </c>
      <c r="F4757" s="3">
        <v>2023</v>
      </c>
      <c r="G4757" s="12">
        <v>5000</v>
      </c>
      <c r="H4757" s="12">
        <v>7000</v>
      </c>
      <c r="I4757" s="72">
        <v>0.04</v>
      </c>
      <c r="J4757" s="12">
        <v>110</v>
      </c>
    </row>
    <row r="4758" spans="3:10" x14ac:dyDescent="0.35">
      <c r="C4758" t="s">
        <v>14</v>
      </c>
      <c r="D4758" t="s">
        <v>34</v>
      </c>
      <c r="E4758" s="3" t="s">
        <v>106</v>
      </c>
      <c r="F4758" s="3">
        <v>2023</v>
      </c>
      <c r="G4758" s="12">
        <v>7000</v>
      </c>
      <c r="H4758" s="12">
        <v>10000</v>
      </c>
      <c r="I4758" s="72">
        <v>0.05</v>
      </c>
      <c r="J4758" s="12">
        <v>190</v>
      </c>
    </row>
    <row r="4759" spans="3:10" x14ac:dyDescent="0.35">
      <c r="C4759" t="s">
        <v>14</v>
      </c>
      <c r="D4759" t="s">
        <v>34</v>
      </c>
      <c r="E4759" s="3" t="s">
        <v>107</v>
      </c>
      <c r="F4759" s="3">
        <v>2023</v>
      </c>
      <c r="G4759" s="12">
        <v>10000</v>
      </c>
      <c r="H4759" s="29"/>
      <c r="I4759" s="31">
        <v>5.7500000000000002E-2</v>
      </c>
      <c r="J4759" s="29">
        <v>340</v>
      </c>
    </row>
    <row r="4760" spans="3:10" x14ac:dyDescent="0.35">
      <c r="C4760" t="s">
        <v>14</v>
      </c>
      <c r="D4760" t="s">
        <v>36</v>
      </c>
      <c r="E4760" s="3" t="s">
        <v>85</v>
      </c>
      <c r="F4760" s="3">
        <v>2023</v>
      </c>
      <c r="G4760" s="29">
        <v>0</v>
      </c>
      <c r="H4760" s="12">
        <v>500</v>
      </c>
      <c r="I4760" s="72">
        <v>0.01</v>
      </c>
      <c r="J4760" s="12">
        <v>0</v>
      </c>
    </row>
    <row r="4761" spans="3:10" x14ac:dyDescent="0.35">
      <c r="C4761" t="s">
        <v>14</v>
      </c>
      <c r="D4761" t="s">
        <v>36</v>
      </c>
      <c r="E4761" s="3" t="s">
        <v>87</v>
      </c>
      <c r="F4761" s="3">
        <v>2023</v>
      </c>
      <c r="G4761" s="29">
        <v>500</v>
      </c>
      <c r="H4761" s="12">
        <v>1500</v>
      </c>
      <c r="I4761" s="72">
        <v>0.02</v>
      </c>
      <c r="J4761" s="12">
        <v>5</v>
      </c>
    </row>
    <row r="4762" spans="3:10" x14ac:dyDescent="0.35">
      <c r="C4762" t="s">
        <v>14</v>
      </c>
      <c r="D4762" t="s">
        <v>36</v>
      </c>
      <c r="E4762" s="3" t="s">
        <v>88</v>
      </c>
      <c r="F4762" s="3">
        <v>2023</v>
      </c>
      <c r="G4762" s="29">
        <v>1500</v>
      </c>
      <c r="H4762" s="12">
        <v>2500</v>
      </c>
      <c r="I4762" s="72">
        <v>0.03</v>
      </c>
      <c r="J4762" s="12">
        <v>25</v>
      </c>
    </row>
    <row r="4763" spans="3:10" x14ac:dyDescent="0.35">
      <c r="C4763" t="s">
        <v>14</v>
      </c>
      <c r="D4763" t="s">
        <v>36</v>
      </c>
      <c r="E4763" s="3" t="s">
        <v>105</v>
      </c>
      <c r="F4763" s="3">
        <v>2023</v>
      </c>
      <c r="G4763" s="29">
        <v>2500</v>
      </c>
      <c r="H4763" s="12">
        <v>3500</v>
      </c>
      <c r="I4763" s="72">
        <v>0.04</v>
      </c>
      <c r="J4763" s="12">
        <v>55</v>
      </c>
    </row>
    <row r="4764" spans="3:10" x14ac:dyDescent="0.35">
      <c r="C4764" t="s">
        <v>14</v>
      </c>
      <c r="D4764" t="s">
        <v>36</v>
      </c>
      <c r="E4764" s="3" t="s">
        <v>106</v>
      </c>
      <c r="F4764" s="3">
        <v>2023</v>
      </c>
      <c r="G4764" s="29">
        <v>3500</v>
      </c>
      <c r="H4764" s="12">
        <v>5000</v>
      </c>
      <c r="I4764" s="72">
        <v>0.05</v>
      </c>
      <c r="J4764" s="12">
        <v>95</v>
      </c>
    </row>
    <row r="4765" spans="3:10" x14ac:dyDescent="0.35">
      <c r="C4765" t="s">
        <v>14</v>
      </c>
      <c r="D4765" t="s">
        <v>36</v>
      </c>
      <c r="E4765" s="3" t="s">
        <v>107</v>
      </c>
      <c r="F4765" s="3">
        <v>2023</v>
      </c>
      <c r="G4765" s="29">
        <v>5000</v>
      </c>
      <c r="H4765" s="29"/>
      <c r="I4765" s="31">
        <v>5.7500000000000002E-2</v>
      </c>
      <c r="J4765" s="29">
        <v>170</v>
      </c>
    </row>
    <row r="4766" spans="3:10" x14ac:dyDescent="0.35">
      <c r="C4766" t="s">
        <v>15</v>
      </c>
      <c r="D4766" t="s">
        <v>40</v>
      </c>
      <c r="E4766" s="3" t="s">
        <v>85</v>
      </c>
      <c r="F4766" s="3">
        <v>2018</v>
      </c>
      <c r="G4766" s="12">
        <v>0</v>
      </c>
      <c r="H4766" s="12">
        <v>16000</v>
      </c>
      <c r="I4766" s="72">
        <v>0.02</v>
      </c>
      <c r="J4766" s="29">
        <v>0</v>
      </c>
    </row>
    <row r="4767" spans="3:10" x14ac:dyDescent="0.35">
      <c r="C4767" t="s">
        <v>15</v>
      </c>
      <c r="D4767" t="s">
        <v>40</v>
      </c>
      <c r="E4767" s="3" t="s">
        <v>87</v>
      </c>
      <c r="F4767" s="3">
        <v>2018</v>
      </c>
      <c r="G4767" s="12">
        <v>16000</v>
      </c>
      <c r="H4767" s="12">
        <v>91000</v>
      </c>
      <c r="I4767" s="72">
        <v>0.04</v>
      </c>
      <c r="J4767" s="29">
        <v>320</v>
      </c>
    </row>
    <row r="4768" spans="3:10" x14ac:dyDescent="0.35">
      <c r="C4768" t="s">
        <v>15</v>
      </c>
      <c r="D4768" t="s">
        <v>40</v>
      </c>
      <c r="E4768" s="3" t="s">
        <v>88</v>
      </c>
      <c r="F4768" s="3">
        <v>2018</v>
      </c>
      <c r="G4768" s="12">
        <v>91000</v>
      </c>
      <c r="H4768" s="12"/>
      <c r="I4768" s="72">
        <v>0.06</v>
      </c>
      <c r="J4768" s="29">
        <v>3320</v>
      </c>
    </row>
    <row r="4769" spans="3:10" x14ac:dyDescent="0.35">
      <c r="C4769" t="s">
        <v>15</v>
      </c>
      <c r="D4769" t="s">
        <v>34</v>
      </c>
      <c r="E4769" s="3" t="s">
        <v>85</v>
      </c>
      <c r="F4769" s="3">
        <v>2018</v>
      </c>
      <c r="G4769" s="12">
        <v>0</v>
      </c>
      <c r="H4769" s="12">
        <v>3500</v>
      </c>
      <c r="I4769" s="72">
        <v>0.02</v>
      </c>
      <c r="J4769" s="29">
        <v>0</v>
      </c>
    </row>
    <row r="4770" spans="3:10" x14ac:dyDescent="0.35">
      <c r="C4770" t="s">
        <v>15</v>
      </c>
      <c r="D4770" t="s">
        <v>34</v>
      </c>
      <c r="E4770" s="3" t="s">
        <v>87</v>
      </c>
      <c r="F4770" s="3">
        <v>2018</v>
      </c>
      <c r="G4770" s="12">
        <v>3500</v>
      </c>
      <c r="H4770" s="12">
        <v>41000</v>
      </c>
      <c r="I4770" s="72">
        <v>0.04</v>
      </c>
      <c r="J4770" s="29">
        <v>70</v>
      </c>
    </row>
    <row r="4771" spans="3:10" x14ac:dyDescent="0.35">
      <c r="C4771" t="s">
        <v>15</v>
      </c>
      <c r="D4771" t="s">
        <v>34</v>
      </c>
      <c r="E4771" s="3" t="s">
        <v>88</v>
      </c>
      <c r="F4771" s="3">
        <v>2018</v>
      </c>
      <c r="G4771" s="12">
        <v>41000</v>
      </c>
      <c r="H4771" s="12"/>
      <c r="I4771" s="72">
        <v>0.06</v>
      </c>
      <c r="J4771" s="29">
        <v>1570</v>
      </c>
    </row>
    <row r="4772" spans="3:10" x14ac:dyDescent="0.35">
      <c r="C4772" t="s">
        <v>15</v>
      </c>
      <c r="D4772" t="s">
        <v>33</v>
      </c>
      <c r="E4772" s="3" t="s">
        <v>85</v>
      </c>
      <c r="F4772" s="3">
        <v>2018</v>
      </c>
      <c r="G4772" s="12">
        <v>0</v>
      </c>
      <c r="H4772" s="12">
        <v>8000</v>
      </c>
      <c r="I4772" s="72">
        <v>0.02</v>
      </c>
      <c r="J4772" s="29">
        <v>0</v>
      </c>
    </row>
    <row r="4773" spans="3:10" x14ac:dyDescent="0.35">
      <c r="C4773" t="s">
        <v>15</v>
      </c>
      <c r="D4773" t="s">
        <v>33</v>
      </c>
      <c r="E4773" s="3" t="s">
        <v>87</v>
      </c>
      <c r="F4773" s="3">
        <v>2018</v>
      </c>
      <c r="G4773" s="12">
        <v>8000</v>
      </c>
      <c r="H4773" s="12">
        <v>45500</v>
      </c>
      <c r="I4773" s="72">
        <v>0.04</v>
      </c>
      <c r="J4773" s="29">
        <v>160</v>
      </c>
    </row>
    <row r="4774" spans="3:10" x14ac:dyDescent="0.35">
      <c r="C4774" t="s">
        <v>15</v>
      </c>
      <c r="D4774" t="s">
        <v>33</v>
      </c>
      <c r="E4774" s="3" t="s">
        <v>88</v>
      </c>
      <c r="F4774" s="3">
        <v>2018</v>
      </c>
      <c r="G4774" s="12">
        <v>45500</v>
      </c>
      <c r="H4774" s="12"/>
      <c r="I4774" s="72">
        <v>0.06</v>
      </c>
      <c r="J4774" s="29">
        <v>1660</v>
      </c>
    </row>
    <row r="4775" spans="3:10" x14ac:dyDescent="0.35">
      <c r="C4775" t="s">
        <v>15</v>
      </c>
      <c r="D4775" t="s">
        <v>36</v>
      </c>
      <c r="E4775" s="3" t="s">
        <v>85</v>
      </c>
      <c r="F4775" s="3">
        <v>2018</v>
      </c>
      <c r="G4775" s="12">
        <v>0</v>
      </c>
      <c r="H4775" s="12">
        <v>8000</v>
      </c>
      <c r="I4775" s="72">
        <v>0.02</v>
      </c>
      <c r="J4775" s="29">
        <v>0</v>
      </c>
    </row>
    <row r="4776" spans="3:10" x14ac:dyDescent="0.35">
      <c r="C4776" t="s">
        <v>15</v>
      </c>
      <c r="D4776" t="s">
        <v>36</v>
      </c>
      <c r="E4776" s="3" t="s">
        <v>87</v>
      </c>
      <c r="F4776" s="3">
        <v>2018</v>
      </c>
      <c r="G4776" s="12">
        <v>8000</v>
      </c>
      <c r="H4776" s="12">
        <v>45500</v>
      </c>
      <c r="I4776" s="72">
        <v>0.04</v>
      </c>
      <c r="J4776" s="29">
        <v>160</v>
      </c>
    </row>
    <row r="4777" spans="3:10" x14ac:dyDescent="0.35">
      <c r="C4777" t="s">
        <v>15</v>
      </c>
      <c r="D4777" t="s">
        <v>36</v>
      </c>
      <c r="E4777" s="3" t="s">
        <v>88</v>
      </c>
      <c r="F4777" s="3">
        <v>2018</v>
      </c>
      <c r="G4777" s="12">
        <v>45500</v>
      </c>
      <c r="H4777" s="12"/>
      <c r="I4777" s="72">
        <v>0.06</v>
      </c>
      <c r="J4777" s="29">
        <v>1660</v>
      </c>
    </row>
    <row r="4778" spans="3:10" x14ac:dyDescent="0.35">
      <c r="C4778" t="s">
        <v>15</v>
      </c>
      <c r="D4778" t="s">
        <v>40</v>
      </c>
      <c r="E4778" s="3" t="s">
        <v>85</v>
      </c>
      <c r="F4778" s="3">
        <v>2019</v>
      </c>
      <c r="G4778" s="12">
        <v>0</v>
      </c>
      <c r="H4778" s="12">
        <v>16000</v>
      </c>
      <c r="I4778" s="72">
        <v>0.02</v>
      </c>
      <c r="J4778" s="29">
        <v>0</v>
      </c>
    </row>
    <row r="4779" spans="3:10" x14ac:dyDescent="0.35">
      <c r="C4779" t="s">
        <v>15</v>
      </c>
      <c r="D4779" t="s">
        <v>40</v>
      </c>
      <c r="E4779" s="3" t="s">
        <v>87</v>
      </c>
      <c r="F4779" s="3">
        <v>2019</v>
      </c>
      <c r="G4779" s="12">
        <v>16000</v>
      </c>
      <c r="H4779" s="12">
        <v>91000</v>
      </c>
      <c r="I4779" s="72">
        <v>0.04</v>
      </c>
      <c r="J4779" s="29">
        <v>320</v>
      </c>
    </row>
    <row r="4780" spans="3:10" x14ac:dyDescent="0.35">
      <c r="C4780" t="s">
        <v>15</v>
      </c>
      <c r="D4780" t="s">
        <v>40</v>
      </c>
      <c r="E4780" s="3" t="s">
        <v>88</v>
      </c>
      <c r="F4780" s="3">
        <v>2019</v>
      </c>
      <c r="G4780" s="12">
        <v>91000</v>
      </c>
      <c r="H4780" s="12"/>
      <c r="I4780" s="72">
        <v>0.06</v>
      </c>
      <c r="J4780" s="29">
        <v>3320</v>
      </c>
    </row>
    <row r="4781" spans="3:10" x14ac:dyDescent="0.35">
      <c r="C4781" t="s">
        <v>15</v>
      </c>
      <c r="D4781" t="s">
        <v>34</v>
      </c>
      <c r="E4781" s="3" t="s">
        <v>85</v>
      </c>
      <c r="F4781" s="3">
        <v>2019</v>
      </c>
      <c r="G4781" s="12">
        <v>0</v>
      </c>
      <c r="H4781" s="12">
        <v>3500</v>
      </c>
      <c r="I4781" s="72">
        <v>0.02</v>
      </c>
      <c r="J4781" s="29">
        <v>0</v>
      </c>
    </row>
    <row r="4782" spans="3:10" x14ac:dyDescent="0.35">
      <c r="C4782" t="s">
        <v>15</v>
      </c>
      <c r="D4782" t="s">
        <v>34</v>
      </c>
      <c r="E4782" s="3" t="s">
        <v>87</v>
      </c>
      <c r="F4782" s="3">
        <v>2019</v>
      </c>
      <c r="G4782" s="12">
        <v>3500</v>
      </c>
      <c r="H4782" s="12">
        <v>41000</v>
      </c>
      <c r="I4782" s="72">
        <v>0.04</v>
      </c>
      <c r="J4782" s="29">
        <v>70</v>
      </c>
    </row>
    <row r="4783" spans="3:10" x14ac:dyDescent="0.35">
      <c r="C4783" t="s">
        <v>15</v>
      </c>
      <c r="D4783" t="s">
        <v>34</v>
      </c>
      <c r="E4783" s="3" t="s">
        <v>88</v>
      </c>
      <c r="F4783" s="3">
        <v>2019</v>
      </c>
      <c r="G4783" s="12">
        <v>41000</v>
      </c>
      <c r="H4783" s="12"/>
      <c r="I4783" s="72">
        <v>0.06</v>
      </c>
      <c r="J4783" s="29">
        <v>1570</v>
      </c>
    </row>
    <row r="4784" spans="3:10" x14ac:dyDescent="0.35">
      <c r="C4784" t="s">
        <v>15</v>
      </c>
      <c r="D4784" t="s">
        <v>33</v>
      </c>
      <c r="E4784" s="3" t="s">
        <v>85</v>
      </c>
      <c r="F4784" s="3">
        <v>2019</v>
      </c>
      <c r="G4784" s="12">
        <v>0</v>
      </c>
      <c r="H4784" s="12">
        <v>8000</v>
      </c>
      <c r="I4784" s="72">
        <v>0.02</v>
      </c>
      <c r="J4784" s="29">
        <v>0</v>
      </c>
    </row>
    <row r="4785" spans="3:10" x14ac:dyDescent="0.35">
      <c r="C4785" t="s">
        <v>15</v>
      </c>
      <c r="D4785" t="s">
        <v>33</v>
      </c>
      <c r="E4785" s="3" t="s">
        <v>87</v>
      </c>
      <c r="F4785" s="3">
        <v>2019</v>
      </c>
      <c r="G4785" s="12">
        <v>8000</v>
      </c>
      <c r="H4785" s="12">
        <v>45500</v>
      </c>
      <c r="I4785" s="72">
        <v>0.04</v>
      </c>
      <c r="J4785" s="29">
        <v>160</v>
      </c>
    </row>
    <row r="4786" spans="3:10" x14ac:dyDescent="0.35">
      <c r="C4786" t="s">
        <v>15</v>
      </c>
      <c r="D4786" t="s">
        <v>33</v>
      </c>
      <c r="E4786" s="3" t="s">
        <v>88</v>
      </c>
      <c r="F4786" s="3">
        <v>2019</v>
      </c>
      <c r="G4786" s="12">
        <v>45500</v>
      </c>
      <c r="H4786" s="12"/>
      <c r="I4786" s="72">
        <v>0.06</v>
      </c>
      <c r="J4786" s="29">
        <v>1660</v>
      </c>
    </row>
    <row r="4787" spans="3:10" x14ac:dyDescent="0.35">
      <c r="C4787" t="s">
        <v>15</v>
      </c>
      <c r="D4787" t="s">
        <v>36</v>
      </c>
      <c r="E4787" s="3" t="s">
        <v>85</v>
      </c>
      <c r="F4787" s="3">
        <v>2019</v>
      </c>
      <c r="G4787" s="12">
        <v>0</v>
      </c>
      <c r="H4787" s="12">
        <v>8000</v>
      </c>
      <c r="I4787" s="72">
        <v>0.02</v>
      </c>
      <c r="J4787" s="29">
        <v>0</v>
      </c>
    </row>
    <row r="4788" spans="3:10" x14ac:dyDescent="0.35">
      <c r="C4788" t="s">
        <v>15</v>
      </c>
      <c r="D4788" t="s">
        <v>36</v>
      </c>
      <c r="E4788" s="3" t="s">
        <v>87</v>
      </c>
      <c r="F4788" s="3">
        <v>2019</v>
      </c>
      <c r="G4788" s="12">
        <v>8000</v>
      </c>
      <c r="H4788" s="12">
        <v>45500</v>
      </c>
      <c r="I4788" s="72">
        <v>0.04</v>
      </c>
      <c r="J4788" s="29">
        <v>160</v>
      </c>
    </row>
    <row r="4789" spans="3:10" x14ac:dyDescent="0.35">
      <c r="C4789" t="s">
        <v>15</v>
      </c>
      <c r="D4789" t="s">
        <v>36</v>
      </c>
      <c r="E4789" s="3" t="s">
        <v>88</v>
      </c>
      <c r="F4789" s="3">
        <v>2019</v>
      </c>
      <c r="G4789" s="12">
        <v>45500</v>
      </c>
      <c r="H4789" s="12"/>
      <c r="I4789" s="72">
        <v>0.06</v>
      </c>
      <c r="J4789" s="29">
        <v>1660</v>
      </c>
    </row>
    <row r="4790" spans="3:10" x14ac:dyDescent="0.35">
      <c r="C4790" t="s">
        <v>15</v>
      </c>
      <c r="D4790" t="s">
        <v>40</v>
      </c>
      <c r="E4790" s="3" t="s">
        <v>85</v>
      </c>
      <c r="F4790" s="3">
        <v>2020</v>
      </c>
      <c r="G4790" s="12">
        <v>0</v>
      </c>
      <c r="H4790" s="12">
        <v>16000</v>
      </c>
      <c r="I4790" s="72">
        <v>0.02</v>
      </c>
      <c r="J4790" s="29">
        <v>0</v>
      </c>
    </row>
    <row r="4791" spans="3:10" x14ac:dyDescent="0.35">
      <c r="C4791" t="s">
        <v>15</v>
      </c>
      <c r="D4791" t="s">
        <v>40</v>
      </c>
      <c r="E4791" s="3" t="s">
        <v>87</v>
      </c>
      <c r="F4791" s="3">
        <v>2020</v>
      </c>
      <c r="G4791" s="12">
        <v>16000</v>
      </c>
      <c r="H4791" s="12">
        <v>91000</v>
      </c>
      <c r="I4791" s="72">
        <v>0.04</v>
      </c>
      <c r="J4791" s="29">
        <v>320</v>
      </c>
    </row>
    <row r="4792" spans="3:10" x14ac:dyDescent="0.35">
      <c r="C4792" t="s">
        <v>15</v>
      </c>
      <c r="D4792" t="s">
        <v>40</v>
      </c>
      <c r="E4792" s="3" t="s">
        <v>88</v>
      </c>
      <c r="F4792" s="3">
        <v>2020</v>
      </c>
      <c r="G4792" s="12">
        <v>91000</v>
      </c>
      <c r="H4792" s="12"/>
      <c r="I4792" s="72">
        <v>0.06</v>
      </c>
      <c r="J4792" s="29">
        <v>3320</v>
      </c>
    </row>
    <row r="4793" spans="3:10" x14ac:dyDescent="0.35">
      <c r="C4793" t="s">
        <v>15</v>
      </c>
      <c r="D4793" t="s">
        <v>34</v>
      </c>
      <c r="E4793" s="3" t="s">
        <v>85</v>
      </c>
      <c r="F4793" s="3">
        <v>2020</v>
      </c>
      <c r="G4793" s="12">
        <v>0</v>
      </c>
      <c r="H4793" s="12">
        <v>3500</v>
      </c>
      <c r="I4793" s="72">
        <v>0.02</v>
      </c>
      <c r="J4793" s="29">
        <v>0</v>
      </c>
    </row>
    <row r="4794" spans="3:10" x14ac:dyDescent="0.35">
      <c r="C4794" t="s">
        <v>15</v>
      </c>
      <c r="D4794" t="s">
        <v>34</v>
      </c>
      <c r="E4794" s="3" t="s">
        <v>87</v>
      </c>
      <c r="F4794" s="3">
        <v>2020</v>
      </c>
      <c r="G4794" s="12">
        <v>3500</v>
      </c>
      <c r="H4794" s="12">
        <v>41000</v>
      </c>
      <c r="I4794" s="72">
        <v>0.04</v>
      </c>
      <c r="J4794" s="29">
        <v>70</v>
      </c>
    </row>
    <row r="4795" spans="3:10" x14ac:dyDescent="0.35">
      <c r="C4795" t="s">
        <v>15</v>
      </c>
      <c r="D4795" t="s">
        <v>34</v>
      </c>
      <c r="E4795" s="3" t="s">
        <v>88</v>
      </c>
      <c r="F4795" s="3">
        <v>2020</v>
      </c>
      <c r="G4795" s="12">
        <v>41000</v>
      </c>
      <c r="H4795" s="12"/>
      <c r="I4795" s="72">
        <v>0.06</v>
      </c>
      <c r="J4795" s="29">
        <v>1570</v>
      </c>
    </row>
    <row r="4796" spans="3:10" x14ac:dyDescent="0.35">
      <c r="C4796" t="s">
        <v>15</v>
      </c>
      <c r="D4796" t="s">
        <v>33</v>
      </c>
      <c r="E4796" s="3" t="s">
        <v>85</v>
      </c>
      <c r="F4796" s="3">
        <v>2020</v>
      </c>
      <c r="G4796" s="12">
        <v>0</v>
      </c>
      <c r="H4796" s="12">
        <v>8000</v>
      </c>
      <c r="I4796" s="72">
        <v>0.02</v>
      </c>
      <c r="J4796" s="29">
        <v>0</v>
      </c>
    </row>
    <row r="4797" spans="3:10" x14ac:dyDescent="0.35">
      <c r="C4797" t="s">
        <v>15</v>
      </c>
      <c r="D4797" t="s">
        <v>33</v>
      </c>
      <c r="E4797" s="3" t="s">
        <v>87</v>
      </c>
      <c r="F4797" s="3">
        <v>2020</v>
      </c>
      <c r="G4797" s="12">
        <v>8000</v>
      </c>
      <c r="H4797" s="12">
        <v>45500</v>
      </c>
      <c r="I4797" s="72">
        <v>0.04</v>
      </c>
      <c r="J4797" s="29">
        <v>160</v>
      </c>
    </row>
    <row r="4798" spans="3:10" x14ac:dyDescent="0.35">
      <c r="C4798" t="s">
        <v>15</v>
      </c>
      <c r="D4798" t="s">
        <v>33</v>
      </c>
      <c r="E4798" s="3" t="s">
        <v>88</v>
      </c>
      <c r="F4798" s="3">
        <v>2020</v>
      </c>
      <c r="G4798" s="12">
        <v>45500</v>
      </c>
      <c r="H4798" s="12"/>
      <c r="I4798" s="72">
        <v>0.06</v>
      </c>
      <c r="J4798" s="29">
        <v>1660</v>
      </c>
    </row>
    <row r="4799" spans="3:10" x14ac:dyDescent="0.35">
      <c r="C4799" t="s">
        <v>15</v>
      </c>
      <c r="D4799" t="s">
        <v>36</v>
      </c>
      <c r="E4799" s="3" t="s">
        <v>85</v>
      </c>
      <c r="F4799" s="3">
        <v>2020</v>
      </c>
      <c r="G4799" s="12">
        <v>0</v>
      </c>
      <c r="H4799" s="12">
        <v>8000</v>
      </c>
      <c r="I4799" s="72">
        <v>0.02</v>
      </c>
      <c r="J4799" s="29">
        <v>0</v>
      </c>
    </row>
    <row r="4800" spans="3:10" x14ac:dyDescent="0.35">
      <c r="C4800" t="s">
        <v>15</v>
      </c>
      <c r="D4800" t="s">
        <v>36</v>
      </c>
      <c r="E4800" s="3" t="s">
        <v>87</v>
      </c>
      <c r="F4800" s="3">
        <v>2020</v>
      </c>
      <c r="G4800" s="12">
        <v>8000</v>
      </c>
      <c r="H4800" s="12">
        <v>45500</v>
      </c>
      <c r="I4800" s="72">
        <v>0.04</v>
      </c>
      <c r="J4800" s="29">
        <v>160</v>
      </c>
    </row>
    <row r="4801" spans="3:10" x14ac:dyDescent="0.35">
      <c r="C4801" t="s">
        <v>15</v>
      </c>
      <c r="D4801" t="s">
        <v>36</v>
      </c>
      <c r="E4801" s="3" t="s">
        <v>88</v>
      </c>
      <c r="F4801" s="3">
        <v>2020</v>
      </c>
      <c r="G4801" s="12">
        <v>45500</v>
      </c>
      <c r="H4801" s="12"/>
      <c r="I4801" s="72">
        <v>0.06</v>
      </c>
      <c r="J4801" s="29">
        <v>1660</v>
      </c>
    </row>
    <row r="4802" spans="3:10" x14ac:dyDescent="0.35">
      <c r="C4802" t="s">
        <v>15</v>
      </c>
      <c r="D4802" t="s">
        <v>40</v>
      </c>
      <c r="E4802" s="3" t="s">
        <v>85</v>
      </c>
      <c r="F4802" s="3">
        <v>2021</v>
      </c>
      <c r="G4802" s="29">
        <v>0</v>
      </c>
      <c r="H4802" s="12">
        <v>25000</v>
      </c>
      <c r="I4802" s="72">
        <v>0.02</v>
      </c>
      <c r="J4802" s="29">
        <v>0</v>
      </c>
    </row>
    <row r="4803" spans="3:10" x14ac:dyDescent="0.35">
      <c r="C4803" t="s">
        <v>15</v>
      </c>
      <c r="D4803" t="s">
        <v>40</v>
      </c>
      <c r="E4803" s="3" t="s">
        <v>87</v>
      </c>
      <c r="F4803" s="3">
        <v>2021</v>
      </c>
      <c r="G4803" s="29">
        <v>25000</v>
      </c>
      <c r="H4803" s="12">
        <v>100000</v>
      </c>
      <c r="I4803" s="72">
        <v>0.04</v>
      </c>
      <c r="J4803" s="29">
        <v>500</v>
      </c>
    </row>
    <row r="4804" spans="3:10" x14ac:dyDescent="0.35">
      <c r="C4804" t="s">
        <v>15</v>
      </c>
      <c r="D4804" t="s">
        <v>40</v>
      </c>
      <c r="E4804" s="3" t="s">
        <v>88</v>
      </c>
      <c r="F4804" s="3">
        <v>2021</v>
      </c>
      <c r="G4804" s="29">
        <v>100000</v>
      </c>
      <c r="H4804" s="12"/>
      <c r="I4804" s="72">
        <v>0.06</v>
      </c>
      <c r="J4804" s="29">
        <v>3500</v>
      </c>
    </row>
    <row r="4805" spans="3:10" x14ac:dyDescent="0.35">
      <c r="C4805" t="s">
        <v>15</v>
      </c>
      <c r="D4805" t="s">
        <v>34</v>
      </c>
      <c r="E4805" s="3" t="s">
        <v>85</v>
      </c>
      <c r="F4805" s="3">
        <v>2021</v>
      </c>
      <c r="G4805" s="29">
        <v>0</v>
      </c>
      <c r="H4805" s="12">
        <v>12500</v>
      </c>
      <c r="I4805" s="72">
        <v>0.02</v>
      </c>
      <c r="J4805" s="29">
        <v>0</v>
      </c>
    </row>
    <row r="4806" spans="3:10" x14ac:dyDescent="0.35">
      <c r="C4806" t="s">
        <v>15</v>
      </c>
      <c r="D4806" t="s">
        <v>34</v>
      </c>
      <c r="E4806" s="3" t="s">
        <v>87</v>
      </c>
      <c r="F4806" s="3">
        <v>2021</v>
      </c>
      <c r="G4806" s="29">
        <v>12500</v>
      </c>
      <c r="H4806" s="12">
        <v>50000</v>
      </c>
      <c r="I4806" s="72">
        <v>0.04</v>
      </c>
      <c r="J4806" s="29">
        <v>250</v>
      </c>
    </row>
    <row r="4807" spans="3:10" x14ac:dyDescent="0.35">
      <c r="C4807" t="s">
        <v>15</v>
      </c>
      <c r="D4807" t="s">
        <v>34</v>
      </c>
      <c r="E4807" s="3" t="s">
        <v>88</v>
      </c>
      <c r="F4807" s="3">
        <v>2021</v>
      </c>
      <c r="G4807" s="29">
        <v>50000</v>
      </c>
      <c r="H4807" s="12"/>
      <c r="I4807" s="72">
        <v>0.06</v>
      </c>
      <c r="J4807" s="29">
        <v>1750</v>
      </c>
    </row>
    <row r="4808" spans="3:10" x14ac:dyDescent="0.35">
      <c r="C4808" t="s">
        <v>15</v>
      </c>
      <c r="D4808" t="s">
        <v>33</v>
      </c>
      <c r="E4808" s="3" t="s">
        <v>85</v>
      </c>
      <c r="F4808" s="3">
        <v>2021</v>
      </c>
      <c r="G4808" s="29">
        <v>0</v>
      </c>
      <c r="H4808" s="12">
        <v>12500</v>
      </c>
      <c r="I4808" s="72">
        <v>0.02</v>
      </c>
      <c r="J4808" s="29">
        <v>0</v>
      </c>
    </row>
    <row r="4809" spans="3:10" x14ac:dyDescent="0.35">
      <c r="C4809" t="s">
        <v>15</v>
      </c>
      <c r="D4809" t="s">
        <v>33</v>
      </c>
      <c r="E4809" s="3" t="s">
        <v>87</v>
      </c>
      <c r="F4809" s="3">
        <v>2021</v>
      </c>
      <c r="G4809" s="29">
        <v>12500</v>
      </c>
      <c r="H4809" s="12">
        <v>50000</v>
      </c>
      <c r="I4809" s="72">
        <v>0.04</v>
      </c>
      <c r="J4809" s="29">
        <v>250</v>
      </c>
    </row>
    <row r="4810" spans="3:10" x14ac:dyDescent="0.35">
      <c r="C4810" t="s">
        <v>15</v>
      </c>
      <c r="D4810" t="s">
        <v>33</v>
      </c>
      <c r="E4810" s="3" t="s">
        <v>88</v>
      </c>
      <c r="F4810" s="3">
        <v>2021</v>
      </c>
      <c r="G4810" s="29">
        <v>50000</v>
      </c>
      <c r="H4810" s="12"/>
      <c r="I4810" s="72">
        <v>0.06</v>
      </c>
      <c r="J4810" s="29">
        <v>1750</v>
      </c>
    </row>
    <row r="4811" spans="3:10" x14ac:dyDescent="0.35">
      <c r="C4811" t="s">
        <v>15</v>
      </c>
      <c r="D4811" t="s">
        <v>36</v>
      </c>
      <c r="E4811" s="3" t="s">
        <v>85</v>
      </c>
      <c r="F4811" s="3">
        <v>2021</v>
      </c>
      <c r="G4811" s="29">
        <v>0</v>
      </c>
      <c r="H4811" s="12">
        <v>12500</v>
      </c>
      <c r="I4811" s="72">
        <v>0.02</v>
      </c>
      <c r="J4811" s="29">
        <v>0</v>
      </c>
    </row>
    <row r="4812" spans="3:10" x14ac:dyDescent="0.35">
      <c r="C4812" t="s">
        <v>15</v>
      </c>
      <c r="D4812" t="s">
        <v>36</v>
      </c>
      <c r="E4812" s="3" t="s">
        <v>87</v>
      </c>
      <c r="F4812" s="3">
        <v>2021</v>
      </c>
      <c r="G4812" s="29">
        <v>12500</v>
      </c>
      <c r="H4812" s="12">
        <v>50000</v>
      </c>
      <c r="I4812" s="72">
        <v>0.04</v>
      </c>
      <c r="J4812" s="29">
        <v>250</v>
      </c>
    </row>
    <row r="4813" spans="3:10" x14ac:dyDescent="0.35">
      <c r="C4813" t="s">
        <v>15</v>
      </c>
      <c r="D4813" t="s">
        <v>36</v>
      </c>
      <c r="E4813" s="3" t="s">
        <v>88</v>
      </c>
      <c r="F4813" s="3">
        <v>2021</v>
      </c>
      <c r="G4813" s="29">
        <v>50000</v>
      </c>
      <c r="H4813" s="12"/>
      <c r="I4813" s="72">
        <v>0.06</v>
      </c>
      <c r="J4813" s="29">
        <v>1750</v>
      </c>
    </row>
    <row r="4814" spans="3:10" x14ac:dyDescent="0.35">
      <c r="C4814" t="s">
        <v>15</v>
      </c>
      <c r="D4814" t="s">
        <v>40</v>
      </c>
      <c r="E4814" s="3" t="s">
        <v>85</v>
      </c>
      <c r="F4814" s="3">
        <v>2022</v>
      </c>
      <c r="G4814" s="29">
        <v>0</v>
      </c>
      <c r="H4814" s="12">
        <v>25000</v>
      </c>
      <c r="I4814" s="72">
        <v>1.8499999999999999E-2</v>
      </c>
      <c r="J4814" s="29">
        <v>0</v>
      </c>
    </row>
    <row r="4815" spans="3:10" x14ac:dyDescent="0.35">
      <c r="C4815" t="s">
        <v>15</v>
      </c>
      <c r="D4815" t="s">
        <v>40</v>
      </c>
      <c r="E4815" s="3" t="s">
        <v>87</v>
      </c>
      <c r="F4815" s="3">
        <v>2022</v>
      </c>
      <c r="G4815" s="29">
        <v>25000</v>
      </c>
      <c r="H4815" s="12">
        <v>100000</v>
      </c>
      <c r="I4815" s="72">
        <v>3.5000000000000003E-2</v>
      </c>
      <c r="J4815" s="29">
        <v>462.5</v>
      </c>
    </row>
    <row r="4816" spans="3:10" x14ac:dyDescent="0.35">
      <c r="C4816" t="s">
        <v>15</v>
      </c>
      <c r="D4816" t="s">
        <v>40</v>
      </c>
      <c r="E4816" s="3" t="s">
        <v>88</v>
      </c>
      <c r="F4816" s="3">
        <v>2022</v>
      </c>
      <c r="G4816" s="29">
        <v>100000</v>
      </c>
      <c r="H4816" s="12"/>
      <c r="I4816" s="72">
        <v>4.2500000000000003E-2</v>
      </c>
      <c r="J4816" s="29">
        <v>3087.5000000000005</v>
      </c>
    </row>
    <row r="4817" spans="3:10" x14ac:dyDescent="0.35">
      <c r="C4817" t="s">
        <v>15</v>
      </c>
      <c r="D4817" t="s">
        <v>34</v>
      </c>
      <c r="E4817" s="3" t="s">
        <v>85</v>
      </c>
      <c r="F4817" s="3">
        <v>2022</v>
      </c>
      <c r="G4817" s="29">
        <v>0</v>
      </c>
      <c r="H4817" s="12">
        <v>12500</v>
      </c>
      <c r="I4817" s="72">
        <v>1.8499999999999999E-2</v>
      </c>
      <c r="J4817" s="29">
        <v>0</v>
      </c>
    </row>
    <row r="4818" spans="3:10" x14ac:dyDescent="0.35">
      <c r="C4818" t="s">
        <v>15</v>
      </c>
      <c r="D4818" t="s">
        <v>34</v>
      </c>
      <c r="E4818" s="3" t="s">
        <v>87</v>
      </c>
      <c r="F4818" s="3">
        <v>2022</v>
      </c>
      <c r="G4818" s="29">
        <v>12500</v>
      </c>
      <c r="H4818" s="12">
        <v>50000</v>
      </c>
      <c r="I4818" s="72">
        <v>3.5000000000000003E-2</v>
      </c>
      <c r="J4818" s="29">
        <v>231.25</v>
      </c>
    </row>
    <row r="4819" spans="3:10" x14ac:dyDescent="0.35">
      <c r="C4819" t="s">
        <v>15</v>
      </c>
      <c r="D4819" t="s">
        <v>34</v>
      </c>
      <c r="E4819" s="3" t="s">
        <v>88</v>
      </c>
      <c r="F4819" s="3">
        <v>2022</v>
      </c>
      <c r="G4819" s="29">
        <v>50000</v>
      </c>
      <c r="H4819" s="12"/>
      <c r="I4819" s="72">
        <v>4.2500000000000003E-2</v>
      </c>
      <c r="J4819" s="29">
        <v>1543.7500000000002</v>
      </c>
    </row>
    <row r="4820" spans="3:10" x14ac:dyDescent="0.35">
      <c r="C4820" t="s">
        <v>15</v>
      </c>
      <c r="D4820" t="s">
        <v>33</v>
      </c>
      <c r="E4820" s="3" t="s">
        <v>85</v>
      </c>
      <c r="F4820" s="3">
        <v>2022</v>
      </c>
      <c r="G4820" s="29">
        <v>0</v>
      </c>
      <c r="H4820" s="12">
        <v>12500</v>
      </c>
      <c r="I4820" s="72">
        <v>1.8499999999999999E-2</v>
      </c>
      <c r="J4820" s="29">
        <v>0</v>
      </c>
    </row>
    <row r="4821" spans="3:10" x14ac:dyDescent="0.35">
      <c r="C4821" t="s">
        <v>15</v>
      </c>
      <c r="D4821" t="s">
        <v>33</v>
      </c>
      <c r="E4821" s="3" t="s">
        <v>87</v>
      </c>
      <c r="F4821" s="3">
        <v>2022</v>
      </c>
      <c r="G4821" s="29">
        <v>12500</v>
      </c>
      <c r="H4821" s="12">
        <v>50000</v>
      </c>
      <c r="I4821" s="72">
        <v>3.5000000000000003E-2</v>
      </c>
      <c r="J4821" s="29">
        <v>231.25</v>
      </c>
    </row>
    <row r="4822" spans="3:10" x14ac:dyDescent="0.35">
      <c r="C4822" t="s">
        <v>15</v>
      </c>
      <c r="D4822" t="s">
        <v>33</v>
      </c>
      <c r="E4822" s="3" t="s">
        <v>88</v>
      </c>
      <c r="F4822" s="3">
        <v>2022</v>
      </c>
      <c r="G4822" s="29">
        <v>50000</v>
      </c>
      <c r="H4822" s="12"/>
      <c r="I4822" s="72">
        <v>4.2500000000000003E-2</v>
      </c>
      <c r="J4822" s="29">
        <v>1543.7500000000002</v>
      </c>
    </row>
    <row r="4823" spans="3:10" x14ac:dyDescent="0.35">
      <c r="C4823" t="s">
        <v>15</v>
      </c>
      <c r="D4823" t="s">
        <v>36</v>
      </c>
      <c r="E4823" s="3" t="s">
        <v>85</v>
      </c>
      <c r="F4823" s="3">
        <v>2022</v>
      </c>
      <c r="G4823" s="29">
        <v>0</v>
      </c>
      <c r="H4823" s="12">
        <v>12500</v>
      </c>
      <c r="I4823" s="72">
        <v>1.8499999999999999E-2</v>
      </c>
      <c r="J4823" s="29">
        <v>0</v>
      </c>
    </row>
    <row r="4824" spans="3:10" x14ac:dyDescent="0.35">
      <c r="C4824" t="s">
        <v>15</v>
      </c>
      <c r="D4824" t="s">
        <v>36</v>
      </c>
      <c r="E4824" s="3" t="s">
        <v>87</v>
      </c>
      <c r="F4824" s="3">
        <v>2022</v>
      </c>
      <c r="G4824" s="29">
        <v>12500</v>
      </c>
      <c r="H4824" s="12">
        <v>50000</v>
      </c>
      <c r="I4824" s="72">
        <v>3.5000000000000003E-2</v>
      </c>
      <c r="J4824" s="29">
        <v>231.25</v>
      </c>
    </row>
    <row r="4825" spans="3:10" x14ac:dyDescent="0.35">
      <c r="C4825" t="s">
        <v>15</v>
      </c>
      <c r="D4825" t="s">
        <v>36</v>
      </c>
      <c r="E4825" s="3" t="s">
        <v>88</v>
      </c>
      <c r="F4825" s="3">
        <v>2022</v>
      </c>
      <c r="G4825" s="29">
        <v>50000</v>
      </c>
      <c r="H4825" s="12"/>
      <c r="I4825" s="72">
        <v>4.2500000000000003E-2</v>
      </c>
      <c r="J4825" s="29">
        <v>1543.7500000000002</v>
      </c>
    </row>
    <row r="4826" spans="3:10" x14ac:dyDescent="0.35">
      <c r="C4826" t="s">
        <v>15</v>
      </c>
      <c r="D4826" t="s">
        <v>40</v>
      </c>
      <c r="E4826" s="3" t="s">
        <v>85</v>
      </c>
      <c r="F4826" s="3">
        <v>2023</v>
      </c>
      <c r="G4826" s="29">
        <v>0</v>
      </c>
      <c r="H4826" s="12">
        <v>25000</v>
      </c>
      <c r="I4826" s="72">
        <v>1.8499999999999999E-2</v>
      </c>
      <c r="J4826" s="29">
        <v>0</v>
      </c>
    </row>
    <row r="4827" spans="3:10" x14ac:dyDescent="0.35">
      <c r="C4827" t="s">
        <v>15</v>
      </c>
      <c r="D4827" t="s">
        <v>40</v>
      </c>
      <c r="E4827" s="3" t="s">
        <v>87</v>
      </c>
      <c r="F4827" s="3">
        <v>2023</v>
      </c>
      <c r="G4827" s="29">
        <v>25000</v>
      </c>
      <c r="H4827" s="12">
        <v>100000</v>
      </c>
      <c r="I4827" s="72">
        <v>3.5000000000000003E-2</v>
      </c>
      <c r="J4827" s="29">
        <v>462.5</v>
      </c>
    </row>
    <row r="4828" spans="3:10" x14ac:dyDescent="0.35">
      <c r="C4828" t="s">
        <v>15</v>
      </c>
      <c r="D4828" t="s">
        <v>40</v>
      </c>
      <c r="E4828" s="3" t="s">
        <v>88</v>
      </c>
      <c r="F4828" s="3">
        <v>2023</v>
      </c>
      <c r="G4828" s="29">
        <v>100000</v>
      </c>
      <c r="H4828" s="12"/>
      <c r="I4828" s="72">
        <v>4.2500000000000003E-2</v>
      </c>
      <c r="J4828" s="29">
        <v>3087.5000000000005</v>
      </c>
    </row>
    <row r="4829" spans="3:10" x14ac:dyDescent="0.35">
      <c r="C4829" t="s">
        <v>15</v>
      </c>
      <c r="D4829" t="s">
        <v>34</v>
      </c>
      <c r="E4829" s="3" t="s">
        <v>85</v>
      </c>
      <c r="F4829" s="3">
        <v>2023</v>
      </c>
      <c r="G4829" s="29">
        <v>0</v>
      </c>
      <c r="H4829" s="12">
        <v>12500</v>
      </c>
      <c r="I4829" s="72">
        <v>1.8499999999999999E-2</v>
      </c>
      <c r="J4829" s="29">
        <v>0</v>
      </c>
    </row>
    <row r="4830" spans="3:10" x14ac:dyDescent="0.35">
      <c r="C4830" t="s">
        <v>15</v>
      </c>
      <c r="D4830" t="s">
        <v>34</v>
      </c>
      <c r="E4830" s="3" t="s">
        <v>87</v>
      </c>
      <c r="F4830" s="3">
        <v>2023</v>
      </c>
      <c r="G4830" s="29">
        <v>12500</v>
      </c>
      <c r="H4830" s="12">
        <v>50000</v>
      </c>
      <c r="I4830" s="72">
        <v>3.5000000000000003E-2</v>
      </c>
      <c r="J4830" s="29">
        <v>231.25</v>
      </c>
    </row>
    <row r="4831" spans="3:10" x14ac:dyDescent="0.35">
      <c r="C4831" t="s">
        <v>15</v>
      </c>
      <c r="D4831" t="s">
        <v>34</v>
      </c>
      <c r="E4831" s="3" t="s">
        <v>88</v>
      </c>
      <c r="F4831" s="3">
        <v>2023</v>
      </c>
      <c r="G4831" s="29">
        <v>50000</v>
      </c>
      <c r="H4831" s="12"/>
      <c r="I4831" s="72">
        <v>4.2500000000000003E-2</v>
      </c>
      <c r="J4831" s="29">
        <v>1543.7500000000002</v>
      </c>
    </row>
    <row r="4832" spans="3:10" x14ac:dyDescent="0.35">
      <c r="C4832" t="s">
        <v>15</v>
      </c>
      <c r="D4832" t="s">
        <v>33</v>
      </c>
      <c r="E4832" s="3" t="s">
        <v>85</v>
      </c>
      <c r="F4832" s="3">
        <v>2023</v>
      </c>
      <c r="G4832" s="29">
        <v>0</v>
      </c>
      <c r="H4832" s="12">
        <v>12500</v>
      </c>
      <c r="I4832" s="72">
        <v>1.8499999999999999E-2</v>
      </c>
      <c r="J4832" s="29">
        <v>0</v>
      </c>
    </row>
    <row r="4833" spans="3:10" x14ac:dyDescent="0.35">
      <c r="C4833" t="s">
        <v>15</v>
      </c>
      <c r="D4833" t="s">
        <v>33</v>
      </c>
      <c r="E4833" s="3" t="s">
        <v>87</v>
      </c>
      <c r="F4833" s="3">
        <v>2023</v>
      </c>
      <c r="G4833" s="29">
        <v>12500</v>
      </c>
      <c r="H4833" s="12">
        <v>50000</v>
      </c>
      <c r="I4833" s="72">
        <v>3.5000000000000003E-2</v>
      </c>
      <c r="J4833" s="29">
        <v>231.25</v>
      </c>
    </row>
    <row r="4834" spans="3:10" x14ac:dyDescent="0.35">
      <c r="C4834" t="s">
        <v>15</v>
      </c>
      <c r="D4834" t="s">
        <v>33</v>
      </c>
      <c r="E4834" s="3" t="s">
        <v>88</v>
      </c>
      <c r="F4834" s="3">
        <v>2023</v>
      </c>
      <c r="G4834" s="29">
        <v>50000</v>
      </c>
      <c r="H4834" s="12"/>
      <c r="I4834" s="72">
        <v>4.2500000000000003E-2</v>
      </c>
      <c r="J4834" s="29">
        <v>1543.7500000000002</v>
      </c>
    </row>
    <row r="4835" spans="3:10" x14ac:dyDescent="0.35">
      <c r="C4835" t="s">
        <v>15</v>
      </c>
      <c r="D4835" t="s">
        <v>36</v>
      </c>
      <c r="E4835" s="3" t="s">
        <v>85</v>
      </c>
      <c r="F4835" s="3">
        <v>2023</v>
      </c>
      <c r="G4835" s="29">
        <v>0</v>
      </c>
      <c r="H4835" s="12">
        <v>12500</v>
      </c>
      <c r="I4835" s="72">
        <v>1.8499999999999999E-2</v>
      </c>
      <c r="J4835" s="29">
        <v>0</v>
      </c>
    </row>
    <row r="4836" spans="3:10" x14ac:dyDescent="0.35">
      <c r="C4836" t="s">
        <v>15</v>
      </c>
      <c r="D4836" t="s">
        <v>36</v>
      </c>
      <c r="E4836" s="3" t="s">
        <v>87</v>
      </c>
      <c r="F4836" s="3">
        <v>2023</v>
      </c>
      <c r="G4836" s="29">
        <v>12500</v>
      </c>
      <c r="H4836" s="12">
        <v>50000</v>
      </c>
      <c r="I4836" s="72">
        <v>3.5000000000000003E-2</v>
      </c>
      <c r="J4836" s="29">
        <v>231.25</v>
      </c>
    </row>
    <row r="4837" spans="3:10" x14ac:dyDescent="0.35">
      <c r="C4837" t="s">
        <v>15</v>
      </c>
      <c r="D4837" t="s">
        <v>36</v>
      </c>
      <c r="E4837" s="3" t="s">
        <v>88</v>
      </c>
      <c r="F4837" s="3">
        <v>2023</v>
      </c>
      <c r="G4837" s="29">
        <v>50000</v>
      </c>
      <c r="H4837" s="12"/>
      <c r="I4837" s="72">
        <v>4.2500000000000003E-2</v>
      </c>
      <c r="J4837" s="29">
        <v>1543.7500000000002</v>
      </c>
    </row>
    <row r="4838" spans="3:10" x14ac:dyDescent="0.35">
      <c r="C4838" t="s">
        <v>16</v>
      </c>
      <c r="D4838" t="s">
        <v>44</v>
      </c>
      <c r="E4838" s="3" t="s">
        <v>85</v>
      </c>
      <c r="F4838" s="3">
        <v>2018</v>
      </c>
      <c r="G4838" s="12">
        <v>0</v>
      </c>
      <c r="H4838" s="12">
        <v>1000</v>
      </c>
      <c r="I4838" s="72">
        <v>0</v>
      </c>
      <c r="J4838" s="12">
        <v>0</v>
      </c>
    </row>
    <row r="4839" spans="3:10" x14ac:dyDescent="0.35">
      <c r="C4839" t="s">
        <v>16</v>
      </c>
      <c r="D4839" t="s">
        <v>44</v>
      </c>
      <c r="E4839" s="3" t="s">
        <v>87</v>
      </c>
      <c r="F4839" s="3">
        <v>2018</v>
      </c>
      <c r="G4839" s="12">
        <v>1000</v>
      </c>
      <c r="H4839" s="12">
        <v>5000</v>
      </c>
      <c r="I4839" s="72">
        <v>0.03</v>
      </c>
      <c r="J4839" s="12">
        <v>0</v>
      </c>
    </row>
    <row r="4840" spans="3:10" x14ac:dyDescent="0.35">
      <c r="C4840" t="s">
        <v>16</v>
      </c>
      <c r="D4840" t="s">
        <v>44</v>
      </c>
      <c r="E4840" s="3" t="s">
        <v>88</v>
      </c>
      <c r="F4840" s="3">
        <v>2018</v>
      </c>
      <c r="G4840" s="12">
        <v>5000</v>
      </c>
      <c r="H4840" s="12">
        <v>10000</v>
      </c>
      <c r="I4840" s="72">
        <v>0.04</v>
      </c>
      <c r="J4840" s="12">
        <v>150</v>
      </c>
    </row>
    <row r="4841" spans="3:10" x14ac:dyDescent="0.35">
      <c r="C4841" t="s">
        <v>16</v>
      </c>
      <c r="D4841" t="s">
        <v>44</v>
      </c>
      <c r="E4841" s="3" t="s">
        <v>105</v>
      </c>
      <c r="F4841" s="3">
        <v>2018</v>
      </c>
      <c r="G4841" s="12">
        <v>10000</v>
      </c>
      <c r="H4841" s="12"/>
      <c r="I4841" s="72">
        <v>0.05</v>
      </c>
      <c r="J4841" s="12">
        <v>350</v>
      </c>
    </row>
    <row r="4842" spans="3:10" x14ac:dyDescent="0.35">
      <c r="C4842" t="s">
        <v>16</v>
      </c>
      <c r="D4842" t="s">
        <v>39</v>
      </c>
      <c r="E4842" s="3" t="s">
        <v>85</v>
      </c>
      <c r="F4842" s="3">
        <v>2018</v>
      </c>
      <c r="G4842" s="12">
        <v>0</v>
      </c>
      <c r="H4842" s="12">
        <v>1000</v>
      </c>
      <c r="I4842" s="72">
        <v>0</v>
      </c>
      <c r="J4842" s="12">
        <v>0</v>
      </c>
    </row>
    <row r="4843" spans="3:10" x14ac:dyDescent="0.35">
      <c r="C4843" t="s">
        <v>16</v>
      </c>
      <c r="D4843" t="s">
        <v>39</v>
      </c>
      <c r="E4843" s="3" t="s">
        <v>87</v>
      </c>
      <c r="F4843" s="3">
        <v>2018</v>
      </c>
      <c r="G4843" s="12">
        <v>1000</v>
      </c>
      <c r="H4843" s="12">
        <v>5000</v>
      </c>
      <c r="I4843" s="72">
        <v>0.03</v>
      </c>
      <c r="J4843" s="12">
        <v>0</v>
      </c>
    </row>
    <row r="4844" spans="3:10" x14ac:dyDescent="0.35">
      <c r="C4844" t="s">
        <v>16</v>
      </c>
      <c r="D4844" t="s">
        <v>39</v>
      </c>
      <c r="E4844" s="3" t="s">
        <v>88</v>
      </c>
      <c r="F4844" s="3">
        <v>2018</v>
      </c>
      <c r="G4844" s="12">
        <v>5000</v>
      </c>
      <c r="H4844" s="12">
        <v>10000</v>
      </c>
      <c r="I4844" s="72">
        <v>0.04</v>
      </c>
      <c r="J4844" s="12">
        <v>150</v>
      </c>
    </row>
    <row r="4845" spans="3:10" x14ac:dyDescent="0.35">
      <c r="C4845" t="s">
        <v>16</v>
      </c>
      <c r="D4845" t="s">
        <v>39</v>
      </c>
      <c r="E4845" s="3" t="s">
        <v>105</v>
      </c>
      <c r="F4845" s="3">
        <v>2018</v>
      </c>
      <c r="G4845" s="12">
        <v>10000</v>
      </c>
      <c r="H4845" s="12"/>
      <c r="I4845" s="72">
        <v>0.05</v>
      </c>
      <c r="J4845" s="12">
        <v>350</v>
      </c>
    </row>
    <row r="4846" spans="3:10" x14ac:dyDescent="0.35">
      <c r="C4846" t="s">
        <v>16</v>
      </c>
      <c r="D4846" t="s">
        <v>33</v>
      </c>
      <c r="E4846" s="3" t="s">
        <v>85</v>
      </c>
      <c r="F4846" s="3">
        <v>2018</v>
      </c>
      <c r="G4846" s="12">
        <v>0</v>
      </c>
      <c r="H4846" s="12">
        <v>1000</v>
      </c>
      <c r="I4846" s="72">
        <v>0</v>
      </c>
      <c r="J4846" s="12">
        <v>0</v>
      </c>
    </row>
    <row r="4847" spans="3:10" x14ac:dyDescent="0.35">
      <c r="C4847" t="s">
        <v>16</v>
      </c>
      <c r="D4847" t="s">
        <v>33</v>
      </c>
      <c r="E4847" s="3" t="s">
        <v>87</v>
      </c>
      <c r="F4847" s="3">
        <v>2018</v>
      </c>
      <c r="G4847" s="12">
        <v>1000</v>
      </c>
      <c r="H4847" s="12">
        <v>5000</v>
      </c>
      <c r="I4847" s="72">
        <v>0.03</v>
      </c>
      <c r="J4847" s="12">
        <v>0</v>
      </c>
    </row>
    <row r="4848" spans="3:10" x14ac:dyDescent="0.35">
      <c r="C4848" t="s">
        <v>16</v>
      </c>
      <c r="D4848" t="s">
        <v>33</v>
      </c>
      <c r="E4848" s="3" t="s">
        <v>88</v>
      </c>
      <c r="F4848" s="3">
        <v>2018</v>
      </c>
      <c r="G4848" s="12">
        <v>5000</v>
      </c>
      <c r="H4848" s="12">
        <v>10000</v>
      </c>
      <c r="I4848" s="72">
        <v>0.04</v>
      </c>
      <c r="J4848" s="12">
        <v>150</v>
      </c>
    </row>
    <row r="4849" spans="3:10" x14ac:dyDescent="0.35">
      <c r="C4849" t="s">
        <v>16</v>
      </c>
      <c r="D4849" t="s">
        <v>33</v>
      </c>
      <c r="E4849" s="3" t="s">
        <v>105</v>
      </c>
      <c r="F4849" s="3">
        <v>2018</v>
      </c>
      <c r="G4849" s="12">
        <v>10000</v>
      </c>
      <c r="H4849" s="12"/>
      <c r="I4849" s="72">
        <v>0.05</v>
      </c>
      <c r="J4849" s="12">
        <v>350</v>
      </c>
    </row>
    <row r="4850" spans="3:10" x14ac:dyDescent="0.35">
      <c r="C4850" t="s">
        <v>16</v>
      </c>
      <c r="D4850" t="s">
        <v>36</v>
      </c>
      <c r="E4850" s="3" t="s">
        <v>85</v>
      </c>
      <c r="F4850" s="3">
        <v>2018</v>
      </c>
      <c r="G4850" s="12">
        <v>0</v>
      </c>
      <c r="H4850" s="12">
        <v>1000</v>
      </c>
      <c r="I4850" s="72">
        <v>0</v>
      </c>
      <c r="J4850" s="12">
        <v>0</v>
      </c>
    </row>
    <row r="4851" spans="3:10" x14ac:dyDescent="0.35">
      <c r="C4851" t="s">
        <v>16</v>
      </c>
      <c r="D4851" t="s">
        <v>36</v>
      </c>
      <c r="E4851" s="3" t="s">
        <v>87</v>
      </c>
      <c r="F4851" s="3">
        <v>2018</v>
      </c>
      <c r="G4851" s="12">
        <v>1000</v>
      </c>
      <c r="H4851" s="12">
        <v>5000</v>
      </c>
      <c r="I4851" s="72">
        <v>0.03</v>
      </c>
      <c r="J4851" s="12">
        <v>0</v>
      </c>
    </row>
    <row r="4852" spans="3:10" x14ac:dyDescent="0.35">
      <c r="C4852" t="s">
        <v>16</v>
      </c>
      <c r="D4852" t="s">
        <v>36</v>
      </c>
      <c r="E4852" s="3" t="s">
        <v>88</v>
      </c>
      <c r="F4852" s="3">
        <v>2018</v>
      </c>
      <c r="G4852" s="12">
        <v>5000</v>
      </c>
      <c r="H4852" s="12">
        <v>10000</v>
      </c>
      <c r="I4852" s="72">
        <v>0.04</v>
      </c>
      <c r="J4852" s="12">
        <v>150</v>
      </c>
    </row>
    <row r="4853" spans="3:10" x14ac:dyDescent="0.35">
      <c r="C4853" t="s">
        <v>16</v>
      </c>
      <c r="D4853" t="s">
        <v>36</v>
      </c>
      <c r="E4853" s="3" t="s">
        <v>105</v>
      </c>
      <c r="F4853" s="3">
        <v>2018</v>
      </c>
      <c r="G4853" s="12">
        <v>10000</v>
      </c>
      <c r="H4853" s="12"/>
      <c r="I4853" s="72">
        <v>0.05</v>
      </c>
      <c r="J4853" s="12">
        <v>350</v>
      </c>
    </row>
    <row r="4854" spans="3:10" x14ac:dyDescent="0.35">
      <c r="C4854" t="s">
        <v>16</v>
      </c>
      <c r="D4854" t="s">
        <v>44</v>
      </c>
      <c r="E4854" s="3" t="s">
        <v>85</v>
      </c>
      <c r="F4854" s="3">
        <v>2019</v>
      </c>
      <c r="G4854" s="12">
        <v>0</v>
      </c>
      <c r="H4854" s="12">
        <v>2000</v>
      </c>
      <c r="I4854" s="72">
        <v>0</v>
      </c>
      <c r="J4854" s="12">
        <v>0</v>
      </c>
    </row>
    <row r="4855" spans="3:10" x14ac:dyDescent="0.35">
      <c r="C4855" t="s">
        <v>16</v>
      </c>
      <c r="D4855" t="s">
        <v>44</v>
      </c>
      <c r="E4855" s="3" t="s">
        <v>87</v>
      </c>
      <c r="F4855" s="3">
        <v>2019</v>
      </c>
      <c r="G4855" s="12">
        <v>2000</v>
      </c>
      <c r="H4855" s="12">
        <v>5000</v>
      </c>
      <c r="I4855" s="72">
        <v>0.03</v>
      </c>
      <c r="J4855" s="12">
        <v>0</v>
      </c>
    </row>
    <row r="4856" spans="3:10" x14ac:dyDescent="0.35">
      <c r="C4856" t="s">
        <v>16</v>
      </c>
      <c r="D4856" t="s">
        <v>44</v>
      </c>
      <c r="E4856" s="3" t="s">
        <v>88</v>
      </c>
      <c r="F4856" s="3">
        <v>2019</v>
      </c>
      <c r="G4856" s="12">
        <v>5000</v>
      </c>
      <c r="H4856" s="12">
        <v>10000</v>
      </c>
      <c r="I4856" s="72">
        <v>0.04</v>
      </c>
      <c r="J4856" s="12">
        <v>150</v>
      </c>
    </row>
    <row r="4857" spans="3:10" x14ac:dyDescent="0.35">
      <c r="C4857" t="s">
        <v>16</v>
      </c>
      <c r="D4857" t="s">
        <v>44</v>
      </c>
      <c r="E4857" s="3" t="s">
        <v>105</v>
      </c>
      <c r="F4857" s="3">
        <v>2019</v>
      </c>
      <c r="G4857" s="12">
        <v>10000</v>
      </c>
      <c r="H4857" s="12"/>
      <c r="I4857" s="72">
        <v>0.05</v>
      </c>
      <c r="J4857" s="12">
        <v>350</v>
      </c>
    </row>
    <row r="4858" spans="3:10" x14ac:dyDescent="0.35">
      <c r="C4858" t="s">
        <v>16</v>
      </c>
      <c r="D4858" t="s">
        <v>39</v>
      </c>
      <c r="E4858" s="3" t="s">
        <v>85</v>
      </c>
      <c r="F4858" s="3">
        <v>2019</v>
      </c>
      <c r="G4858" s="12">
        <v>0</v>
      </c>
      <c r="H4858" s="12">
        <v>2000</v>
      </c>
      <c r="I4858" s="72">
        <v>0</v>
      </c>
      <c r="J4858" s="12">
        <v>0</v>
      </c>
    </row>
    <row r="4859" spans="3:10" x14ac:dyDescent="0.35">
      <c r="C4859" t="s">
        <v>16</v>
      </c>
      <c r="D4859" t="s">
        <v>39</v>
      </c>
      <c r="E4859" s="3" t="s">
        <v>87</v>
      </c>
      <c r="F4859" s="3">
        <v>2019</v>
      </c>
      <c r="G4859" s="12">
        <v>2000</v>
      </c>
      <c r="H4859" s="12">
        <v>5000</v>
      </c>
      <c r="I4859" s="72">
        <v>0.03</v>
      </c>
      <c r="J4859" s="12">
        <v>0</v>
      </c>
    </row>
    <row r="4860" spans="3:10" x14ac:dyDescent="0.35">
      <c r="C4860" t="s">
        <v>16</v>
      </c>
      <c r="D4860" t="s">
        <v>39</v>
      </c>
      <c r="E4860" s="3" t="s">
        <v>88</v>
      </c>
      <c r="F4860" s="3">
        <v>2019</v>
      </c>
      <c r="G4860" s="12">
        <v>5000</v>
      </c>
      <c r="H4860" s="12">
        <v>10000</v>
      </c>
      <c r="I4860" s="72">
        <v>0.04</v>
      </c>
      <c r="J4860" s="12">
        <v>150</v>
      </c>
    </row>
    <row r="4861" spans="3:10" x14ac:dyDescent="0.35">
      <c r="C4861" t="s">
        <v>16</v>
      </c>
      <c r="D4861" t="s">
        <v>39</v>
      </c>
      <c r="E4861" s="3" t="s">
        <v>105</v>
      </c>
      <c r="F4861" s="3">
        <v>2019</v>
      </c>
      <c r="G4861" s="12">
        <v>10000</v>
      </c>
      <c r="H4861" s="12"/>
      <c r="I4861" s="72">
        <v>0.05</v>
      </c>
      <c r="J4861" s="12">
        <v>350</v>
      </c>
    </row>
    <row r="4862" spans="3:10" x14ac:dyDescent="0.35">
      <c r="C4862" t="s">
        <v>16</v>
      </c>
      <c r="D4862" t="s">
        <v>33</v>
      </c>
      <c r="E4862" s="3" t="s">
        <v>85</v>
      </c>
      <c r="F4862" s="3">
        <v>2019</v>
      </c>
      <c r="G4862" s="12">
        <v>0</v>
      </c>
      <c r="H4862" s="12">
        <v>2000</v>
      </c>
      <c r="I4862" s="72">
        <v>0</v>
      </c>
      <c r="J4862" s="12">
        <v>0</v>
      </c>
    </row>
    <row r="4863" spans="3:10" x14ac:dyDescent="0.35">
      <c r="C4863" t="s">
        <v>16</v>
      </c>
      <c r="D4863" t="s">
        <v>33</v>
      </c>
      <c r="E4863" s="3" t="s">
        <v>87</v>
      </c>
      <c r="F4863" s="3">
        <v>2019</v>
      </c>
      <c r="G4863" s="12">
        <v>2000</v>
      </c>
      <c r="H4863" s="12">
        <v>5000</v>
      </c>
      <c r="I4863" s="72">
        <v>0.03</v>
      </c>
      <c r="J4863" s="12">
        <v>0</v>
      </c>
    </row>
    <row r="4864" spans="3:10" x14ac:dyDescent="0.35">
      <c r="C4864" t="s">
        <v>16</v>
      </c>
      <c r="D4864" t="s">
        <v>33</v>
      </c>
      <c r="E4864" s="3" t="s">
        <v>88</v>
      </c>
      <c r="F4864" s="3">
        <v>2019</v>
      </c>
      <c r="G4864" s="12">
        <v>5000</v>
      </c>
      <c r="H4864" s="12">
        <v>10000</v>
      </c>
      <c r="I4864" s="72">
        <v>0.04</v>
      </c>
      <c r="J4864" s="12">
        <v>150</v>
      </c>
    </row>
    <row r="4865" spans="3:10" x14ac:dyDescent="0.35">
      <c r="C4865" t="s">
        <v>16</v>
      </c>
      <c r="D4865" t="s">
        <v>33</v>
      </c>
      <c r="E4865" s="3" t="s">
        <v>105</v>
      </c>
      <c r="F4865" s="3">
        <v>2019</v>
      </c>
      <c r="G4865" s="12">
        <v>10000</v>
      </c>
      <c r="H4865" s="12"/>
      <c r="I4865" s="72">
        <v>0.05</v>
      </c>
      <c r="J4865" s="12">
        <v>350</v>
      </c>
    </row>
    <row r="4866" spans="3:10" x14ac:dyDescent="0.35">
      <c r="C4866" t="s">
        <v>16</v>
      </c>
      <c r="D4866" t="s">
        <v>36</v>
      </c>
      <c r="E4866" s="3" t="s">
        <v>85</v>
      </c>
      <c r="F4866" s="3">
        <v>2019</v>
      </c>
      <c r="G4866" s="12">
        <v>0</v>
      </c>
      <c r="H4866" s="12">
        <v>2000</v>
      </c>
      <c r="I4866" s="72">
        <v>0</v>
      </c>
      <c r="J4866" s="12">
        <v>0</v>
      </c>
    </row>
    <row r="4867" spans="3:10" x14ac:dyDescent="0.35">
      <c r="C4867" t="s">
        <v>16</v>
      </c>
      <c r="D4867" t="s">
        <v>36</v>
      </c>
      <c r="E4867" s="3" t="s">
        <v>87</v>
      </c>
      <c r="F4867" s="3">
        <v>2019</v>
      </c>
      <c r="G4867" s="12">
        <v>2000</v>
      </c>
      <c r="H4867" s="12">
        <v>5000</v>
      </c>
      <c r="I4867" s="72">
        <v>0.03</v>
      </c>
      <c r="J4867" s="12">
        <v>0</v>
      </c>
    </row>
    <row r="4868" spans="3:10" x14ac:dyDescent="0.35">
      <c r="C4868" t="s">
        <v>16</v>
      </c>
      <c r="D4868" t="s">
        <v>36</v>
      </c>
      <c r="E4868" s="3" t="s">
        <v>88</v>
      </c>
      <c r="F4868" s="3">
        <v>2019</v>
      </c>
      <c r="G4868" s="12">
        <v>5000</v>
      </c>
      <c r="H4868" s="12">
        <v>10000</v>
      </c>
      <c r="I4868" s="72">
        <v>0.04</v>
      </c>
      <c r="J4868" s="12">
        <v>150</v>
      </c>
    </row>
    <row r="4869" spans="3:10" x14ac:dyDescent="0.35">
      <c r="C4869" t="s">
        <v>16</v>
      </c>
      <c r="D4869" t="s">
        <v>36</v>
      </c>
      <c r="E4869" s="3" t="s">
        <v>105</v>
      </c>
      <c r="F4869" s="3">
        <v>2019</v>
      </c>
      <c r="G4869" s="12">
        <v>10000</v>
      </c>
      <c r="H4869" s="12"/>
      <c r="I4869" s="72">
        <v>0.05</v>
      </c>
      <c r="J4869" s="12">
        <v>350</v>
      </c>
    </row>
    <row r="4870" spans="3:10" x14ac:dyDescent="0.35">
      <c r="C4870" t="s">
        <v>16</v>
      </c>
      <c r="D4870" t="s">
        <v>44</v>
      </c>
      <c r="E4870" s="3" t="s">
        <v>85</v>
      </c>
      <c r="F4870" s="3">
        <v>2020</v>
      </c>
      <c r="G4870" s="12">
        <v>0</v>
      </c>
      <c r="H4870" s="12">
        <v>3000</v>
      </c>
      <c r="I4870" s="72">
        <v>0</v>
      </c>
      <c r="J4870" s="12">
        <v>0</v>
      </c>
    </row>
    <row r="4871" spans="3:10" x14ac:dyDescent="0.35">
      <c r="C4871" t="s">
        <v>16</v>
      </c>
      <c r="D4871" t="s">
        <v>44</v>
      </c>
      <c r="E4871" s="3" t="s">
        <v>87</v>
      </c>
      <c r="F4871" s="3">
        <v>2020</v>
      </c>
      <c r="G4871" s="12">
        <v>3000</v>
      </c>
      <c r="H4871" s="12">
        <v>5000</v>
      </c>
      <c r="I4871" s="72">
        <v>0.03</v>
      </c>
      <c r="J4871" s="12">
        <v>0</v>
      </c>
    </row>
    <row r="4872" spans="3:10" x14ac:dyDescent="0.35">
      <c r="C4872" t="s">
        <v>16</v>
      </c>
      <c r="D4872" t="s">
        <v>44</v>
      </c>
      <c r="E4872" s="3" t="s">
        <v>88</v>
      </c>
      <c r="F4872" s="3">
        <v>2020</v>
      </c>
      <c r="G4872" s="12">
        <v>5000</v>
      </c>
      <c r="H4872" s="12">
        <v>10000</v>
      </c>
      <c r="I4872" s="72">
        <v>0.04</v>
      </c>
      <c r="J4872" s="12">
        <v>150</v>
      </c>
    </row>
    <row r="4873" spans="3:10" x14ac:dyDescent="0.35">
      <c r="C4873" t="s">
        <v>16</v>
      </c>
      <c r="D4873" t="s">
        <v>44</v>
      </c>
      <c r="E4873" s="3" t="s">
        <v>105</v>
      </c>
      <c r="F4873" s="3">
        <v>2020</v>
      </c>
      <c r="G4873" s="12">
        <v>10000</v>
      </c>
      <c r="H4873" s="12"/>
      <c r="I4873" s="72">
        <v>0.05</v>
      </c>
      <c r="J4873" s="12">
        <v>350</v>
      </c>
    </row>
    <row r="4874" spans="3:10" x14ac:dyDescent="0.35">
      <c r="C4874" t="s">
        <v>16</v>
      </c>
      <c r="D4874" t="s">
        <v>39</v>
      </c>
      <c r="E4874" s="3" t="s">
        <v>85</v>
      </c>
      <c r="F4874" s="3">
        <v>2020</v>
      </c>
      <c r="G4874" s="12">
        <v>0</v>
      </c>
      <c r="H4874" s="12">
        <v>3000</v>
      </c>
      <c r="I4874" s="72">
        <v>0</v>
      </c>
      <c r="J4874" s="12">
        <v>0</v>
      </c>
    </row>
    <row r="4875" spans="3:10" x14ac:dyDescent="0.35">
      <c r="C4875" t="s">
        <v>16</v>
      </c>
      <c r="D4875" t="s">
        <v>39</v>
      </c>
      <c r="E4875" s="3" t="s">
        <v>87</v>
      </c>
      <c r="F4875" s="3">
        <v>2020</v>
      </c>
      <c r="G4875" s="12">
        <v>3000</v>
      </c>
      <c r="H4875" s="12">
        <v>5000</v>
      </c>
      <c r="I4875" s="72">
        <v>0.03</v>
      </c>
      <c r="J4875" s="12">
        <v>0</v>
      </c>
    </row>
    <row r="4876" spans="3:10" x14ac:dyDescent="0.35">
      <c r="C4876" t="s">
        <v>16</v>
      </c>
      <c r="D4876" t="s">
        <v>39</v>
      </c>
      <c r="E4876" s="3" t="s">
        <v>88</v>
      </c>
      <c r="F4876" s="3">
        <v>2020</v>
      </c>
      <c r="G4876" s="12">
        <v>5000</v>
      </c>
      <c r="H4876" s="12">
        <v>10000</v>
      </c>
      <c r="I4876" s="72">
        <v>0.04</v>
      </c>
      <c r="J4876" s="12">
        <v>150</v>
      </c>
    </row>
    <row r="4877" spans="3:10" x14ac:dyDescent="0.35">
      <c r="C4877" t="s">
        <v>16</v>
      </c>
      <c r="D4877" t="s">
        <v>39</v>
      </c>
      <c r="E4877" s="3" t="s">
        <v>105</v>
      </c>
      <c r="F4877" s="3">
        <v>2020</v>
      </c>
      <c r="G4877" s="12">
        <v>10000</v>
      </c>
      <c r="H4877" s="12"/>
      <c r="I4877" s="72">
        <v>0.05</v>
      </c>
      <c r="J4877" s="12">
        <v>350</v>
      </c>
    </row>
    <row r="4878" spans="3:10" x14ac:dyDescent="0.35">
      <c r="C4878" t="s">
        <v>16</v>
      </c>
      <c r="D4878" t="s">
        <v>33</v>
      </c>
      <c r="E4878" s="3" t="s">
        <v>85</v>
      </c>
      <c r="F4878" s="3">
        <v>2020</v>
      </c>
      <c r="G4878" s="12">
        <v>0</v>
      </c>
      <c r="H4878" s="12">
        <v>3000</v>
      </c>
      <c r="I4878" s="72">
        <v>0</v>
      </c>
      <c r="J4878" s="12">
        <v>0</v>
      </c>
    </row>
    <row r="4879" spans="3:10" x14ac:dyDescent="0.35">
      <c r="C4879" t="s">
        <v>16</v>
      </c>
      <c r="D4879" t="s">
        <v>33</v>
      </c>
      <c r="E4879" s="3" t="s">
        <v>87</v>
      </c>
      <c r="F4879" s="3">
        <v>2020</v>
      </c>
      <c r="G4879" s="12">
        <v>3000</v>
      </c>
      <c r="H4879" s="12">
        <v>5000</v>
      </c>
      <c r="I4879" s="72">
        <v>0.03</v>
      </c>
      <c r="J4879" s="12">
        <v>0</v>
      </c>
    </row>
    <row r="4880" spans="3:10" x14ac:dyDescent="0.35">
      <c r="C4880" t="s">
        <v>16</v>
      </c>
      <c r="D4880" t="s">
        <v>33</v>
      </c>
      <c r="E4880" s="3" t="s">
        <v>88</v>
      </c>
      <c r="F4880" s="3">
        <v>2020</v>
      </c>
      <c r="G4880" s="12">
        <v>5000</v>
      </c>
      <c r="H4880" s="12">
        <v>10000</v>
      </c>
      <c r="I4880" s="72">
        <v>0.04</v>
      </c>
      <c r="J4880" s="12">
        <v>150</v>
      </c>
    </row>
    <row r="4881" spans="3:10" x14ac:dyDescent="0.35">
      <c r="C4881" t="s">
        <v>16</v>
      </c>
      <c r="D4881" t="s">
        <v>33</v>
      </c>
      <c r="E4881" s="3" t="s">
        <v>105</v>
      </c>
      <c r="F4881" s="3">
        <v>2020</v>
      </c>
      <c r="G4881" s="12">
        <v>10000</v>
      </c>
      <c r="H4881" s="12"/>
      <c r="I4881" s="72">
        <v>0.05</v>
      </c>
      <c r="J4881" s="12">
        <v>350</v>
      </c>
    </row>
    <row r="4882" spans="3:10" x14ac:dyDescent="0.35">
      <c r="C4882" t="s">
        <v>16</v>
      </c>
      <c r="D4882" t="s">
        <v>36</v>
      </c>
      <c r="E4882" s="3" t="s">
        <v>85</v>
      </c>
      <c r="F4882" s="3">
        <v>2020</v>
      </c>
      <c r="G4882" s="12">
        <v>0</v>
      </c>
      <c r="H4882" s="12">
        <v>3000</v>
      </c>
      <c r="I4882" s="72">
        <v>0</v>
      </c>
      <c r="J4882" s="12">
        <v>0</v>
      </c>
    </row>
    <row r="4883" spans="3:10" x14ac:dyDescent="0.35">
      <c r="C4883" t="s">
        <v>16</v>
      </c>
      <c r="D4883" t="s">
        <v>36</v>
      </c>
      <c r="E4883" s="3" t="s">
        <v>87</v>
      </c>
      <c r="F4883" s="3">
        <v>2020</v>
      </c>
      <c r="G4883" s="12">
        <v>3000</v>
      </c>
      <c r="H4883" s="12">
        <v>5000</v>
      </c>
      <c r="I4883" s="72">
        <v>0.03</v>
      </c>
      <c r="J4883" s="12">
        <v>0</v>
      </c>
    </row>
    <row r="4884" spans="3:10" x14ac:dyDescent="0.35">
      <c r="C4884" t="s">
        <v>16</v>
      </c>
      <c r="D4884" t="s">
        <v>36</v>
      </c>
      <c r="E4884" s="3" t="s">
        <v>88</v>
      </c>
      <c r="F4884" s="3">
        <v>2020</v>
      </c>
      <c r="G4884" s="12">
        <v>5000</v>
      </c>
      <c r="H4884" s="12">
        <v>10000</v>
      </c>
      <c r="I4884" s="72">
        <v>0.04</v>
      </c>
      <c r="J4884" s="12">
        <v>150</v>
      </c>
    </row>
    <row r="4885" spans="3:10" x14ac:dyDescent="0.35">
      <c r="C4885" t="s">
        <v>16</v>
      </c>
      <c r="D4885" t="s">
        <v>36</v>
      </c>
      <c r="E4885" s="3" t="s">
        <v>105</v>
      </c>
      <c r="F4885" s="3">
        <v>2020</v>
      </c>
      <c r="G4885" s="12">
        <v>10000</v>
      </c>
      <c r="H4885" s="12"/>
      <c r="I4885" s="72">
        <v>0.05</v>
      </c>
      <c r="J4885" s="12">
        <v>350</v>
      </c>
    </row>
    <row r="4886" spans="3:10" x14ac:dyDescent="0.35">
      <c r="C4886" t="s">
        <v>16</v>
      </c>
      <c r="D4886" t="s">
        <v>44</v>
      </c>
      <c r="E4886" s="3" t="s">
        <v>85</v>
      </c>
      <c r="F4886" s="3">
        <v>2021</v>
      </c>
      <c r="G4886" s="12">
        <v>0</v>
      </c>
      <c r="H4886" s="12">
        <v>4000</v>
      </c>
      <c r="I4886" s="72">
        <v>0</v>
      </c>
      <c r="J4886" s="12">
        <v>0</v>
      </c>
    </row>
    <row r="4887" spans="3:10" x14ac:dyDescent="0.35">
      <c r="C4887" t="s">
        <v>16</v>
      </c>
      <c r="D4887" t="s">
        <v>44</v>
      </c>
      <c r="E4887" s="3" t="s">
        <v>87</v>
      </c>
      <c r="F4887" s="3">
        <v>2021</v>
      </c>
      <c r="G4887" s="12">
        <v>4000</v>
      </c>
      <c r="H4887" s="12">
        <v>5000</v>
      </c>
      <c r="I4887" s="72">
        <v>0.03</v>
      </c>
      <c r="J4887" s="12">
        <v>0</v>
      </c>
    </row>
    <row r="4888" spans="3:10" x14ac:dyDescent="0.35">
      <c r="C4888" t="s">
        <v>16</v>
      </c>
      <c r="D4888" t="s">
        <v>44</v>
      </c>
      <c r="E4888" s="3" t="s">
        <v>88</v>
      </c>
      <c r="F4888" s="3">
        <v>2021</v>
      </c>
      <c r="G4888" s="12">
        <v>5000</v>
      </c>
      <c r="H4888" s="12">
        <v>10000</v>
      </c>
      <c r="I4888" s="72">
        <v>0.04</v>
      </c>
      <c r="J4888" s="12">
        <v>150</v>
      </c>
    </row>
    <row r="4889" spans="3:10" x14ac:dyDescent="0.35">
      <c r="C4889" t="s">
        <v>16</v>
      </c>
      <c r="D4889" t="s">
        <v>44</v>
      </c>
      <c r="E4889" s="3" t="s">
        <v>105</v>
      </c>
      <c r="F4889" s="3">
        <v>2021</v>
      </c>
      <c r="G4889" s="12">
        <v>10000</v>
      </c>
      <c r="H4889" s="12"/>
      <c r="I4889" s="72">
        <v>0.05</v>
      </c>
      <c r="J4889" s="12">
        <v>350</v>
      </c>
    </row>
    <row r="4890" spans="3:10" x14ac:dyDescent="0.35">
      <c r="C4890" t="s">
        <v>16</v>
      </c>
      <c r="D4890" t="s">
        <v>39</v>
      </c>
      <c r="E4890" s="3" t="s">
        <v>85</v>
      </c>
      <c r="F4890" s="3">
        <v>2021</v>
      </c>
      <c r="G4890" s="12">
        <v>0</v>
      </c>
      <c r="H4890" s="12">
        <v>4000</v>
      </c>
      <c r="I4890" s="72">
        <v>0</v>
      </c>
      <c r="J4890" s="12">
        <v>0</v>
      </c>
    </row>
    <row r="4891" spans="3:10" x14ac:dyDescent="0.35">
      <c r="C4891" t="s">
        <v>16</v>
      </c>
      <c r="D4891" t="s">
        <v>39</v>
      </c>
      <c r="E4891" s="3" t="s">
        <v>87</v>
      </c>
      <c r="F4891" s="3">
        <v>2021</v>
      </c>
      <c r="G4891" s="12">
        <v>4000</v>
      </c>
      <c r="H4891" s="12">
        <v>5000</v>
      </c>
      <c r="I4891" s="72">
        <v>0.03</v>
      </c>
      <c r="J4891" s="12">
        <v>0</v>
      </c>
    </row>
    <row r="4892" spans="3:10" x14ac:dyDescent="0.35">
      <c r="C4892" t="s">
        <v>16</v>
      </c>
      <c r="D4892" t="s">
        <v>39</v>
      </c>
      <c r="E4892" s="3" t="s">
        <v>88</v>
      </c>
      <c r="F4892" s="3">
        <v>2021</v>
      </c>
      <c r="G4892" s="12">
        <v>5000</v>
      </c>
      <c r="H4892" s="12">
        <v>10000</v>
      </c>
      <c r="I4892" s="72">
        <v>0.04</v>
      </c>
      <c r="J4892" s="12">
        <v>150</v>
      </c>
    </row>
    <row r="4893" spans="3:10" x14ac:dyDescent="0.35">
      <c r="C4893" t="s">
        <v>16</v>
      </c>
      <c r="D4893" t="s">
        <v>39</v>
      </c>
      <c r="E4893" s="3" t="s">
        <v>105</v>
      </c>
      <c r="F4893" s="3">
        <v>2021</v>
      </c>
      <c r="G4893" s="12">
        <v>10000</v>
      </c>
      <c r="H4893" s="12"/>
      <c r="I4893" s="72">
        <v>0.05</v>
      </c>
      <c r="J4893" s="12">
        <v>350</v>
      </c>
    </row>
    <row r="4894" spans="3:10" x14ac:dyDescent="0.35">
      <c r="C4894" t="s">
        <v>16</v>
      </c>
      <c r="D4894" t="s">
        <v>33</v>
      </c>
      <c r="E4894" s="3" t="s">
        <v>85</v>
      </c>
      <c r="F4894" s="3">
        <v>2021</v>
      </c>
      <c r="G4894" s="12">
        <v>0</v>
      </c>
      <c r="H4894" s="12">
        <v>4000</v>
      </c>
      <c r="I4894" s="72">
        <v>0</v>
      </c>
      <c r="J4894" s="12">
        <v>0</v>
      </c>
    </row>
    <row r="4895" spans="3:10" x14ac:dyDescent="0.35">
      <c r="C4895" t="s">
        <v>16</v>
      </c>
      <c r="D4895" t="s">
        <v>33</v>
      </c>
      <c r="E4895" s="3" t="s">
        <v>87</v>
      </c>
      <c r="F4895" s="3">
        <v>2021</v>
      </c>
      <c r="G4895" s="12">
        <v>4000</v>
      </c>
      <c r="H4895" s="12">
        <v>5000</v>
      </c>
      <c r="I4895" s="72">
        <v>0.03</v>
      </c>
      <c r="J4895" s="12">
        <v>0</v>
      </c>
    </row>
    <row r="4896" spans="3:10" x14ac:dyDescent="0.35">
      <c r="C4896" t="s">
        <v>16</v>
      </c>
      <c r="D4896" t="s">
        <v>33</v>
      </c>
      <c r="E4896" s="3" t="s">
        <v>88</v>
      </c>
      <c r="F4896" s="3">
        <v>2021</v>
      </c>
      <c r="G4896" s="12">
        <v>5000</v>
      </c>
      <c r="H4896" s="12">
        <v>10000</v>
      </c>
      <c r="I4896" s="72">
        <v>0.04</v>
      </c>
      <c r="J4896" s="12">
        <v>150</v>
      </c>
    </row>
    <row r="4897" spans="3:10" x14ac:dyDescent="0.35">
      <c r="C4897" t="s">
        <v>16</v>
      </c>
      <c r="D4897" t="s">
        <v>33</v>
      </c>
      <c r="E4897" s="3" t="s">
        <v>105</v>
      </c>
      <c r="F4897" s="3">
        <v>2021</v>
      </c>
      <c r="G4897" s="12">
        <v>10000</v>
      </c>
      <c r="H4897" s="12"/>
      <c r="I4897" s="72">
        <v>0.05</v>
      </c>
      <c r="J4897" s="12">
        <v>350</v>
      </c>
    </row>
    <row r="4898" spans="3:10" x14ac:dyDescent="0.35">
      <c r="C4898" t="s">
        <v>16</v>
      </c>
      <c r="D4898" t="s">
        <v>36</v>
      </c>
      <c r="E4898" s="3" t="s">
        <v>85</v>
      </c>
      <c r="F4898" s="3">
        <v>2021</v>
      </c>
      <c r="G4898" s="12">
        <v>0</v>
      </c>
      <c r="H4898" s="12">
        <v>4000</v>
      </c>
      <c r="I4898" s="72">
        <v>0</v>
      </c>
      <c r="J4898" s="12">
        <v>0</v>
      </c>
    </row>
    <row r="4899" spans="3:10" x14ac:dyDescent="0.35">
      <c r="C4899" t="s">
        <v>16</v>
      </c>
      <c r="D4899" t="s">
        <v>36</v>
      </c>
      <c r="E4899" s="3" t="s">
        <v>87</v>
      </c>
      <c r="F4899" s="3">
        <v>2021</v>
      </c>
      <c r="G4899" s="12">
        <v>4000</v>
      </c>
      <c r="H4899" s="12">
        <v>5000</v>
      </c>
      <c r="I4899" s="72">
        <v>0.03</v>
      </c>
      <c r="J4899" s="12">
        <v>0</v>
      </c>
    </row>
    <row r="4900" spans="3:10" x14ac:dyDescent="0.35">
      <c r="C4900" t="s">
        <v>16</v>
      </c>
      <c r="D4900" t="s">
        <v>36</v>
      </c>
      <c r="E4900" s="3" t="s">
        <v>88</v>
      </c>
      <c r="F4900" s="3">
        <v>2021</v>
      </c>
      <c r="G4900" s="12">
        <v>5000</v>
      </c>
      <c r="H4900" s="12">
        <v>10000</v>
      </c>
      <c r="I4900" s="72">
        <v>0.04</v>
      </c>
      <c r="J4900" s="12">
        <v>150</v>
      </c>
    </row>
    <row r="4901" spans="3:10" x14ac:dyDescent="0.35">
      <c r="C4901" t="s">
        <v>16</v>
      </c>
      <c r="D4901" t="s">
        <v>36</v>
      </c>
      <c r="E4901" s="3" t="s">
        <v>105</v>
      </c>
      <c r="F4901" s="3">
        <v>2021</v>
      </c>
      <c r="G4901" s="12">
        <v>10000</v>
      </c>
      <c r="H4901" s="12"/>
      <c r="I4901" s="72">
        <v>0.05</v>
      </c>
      <c r="J4901" s="12">
        <v>350</v>
      </c>
    </row>
    <row r="4902" spans="3:10" x14ac:dyDescent="0.35">
      <c r="C4902" t="s">
        <v>16</v>
      </c>
      <c r="D4902" t="s">
        <v>44</v>
      </c>
      <c r="E4902" s="3" t="s">
        <v>85</v>
      </c>
      <c r="F4902" s="3">
        <v>2022</v>
      </c>
      <c r="G4902" s="12">
        <v>0</v>
      </c>
      <c r="H4902" s="12">
        <v>5000</v>
      </c>
      <c r="I4902" s="72">
        <v>0</v>
      </c>
      <c r="J4902" s="12">
        <v>0</v>
      </c>
    </row>
    <row r="4903" spans="3:10" x14ac:dyDescent="0.35">
      <c r="C4903" t="s">
        <v>16</v>
      </c>
      <c r="D4903" t="s">
        <v>44</v>
      </c>
      <c r="E4903" s="3" t="s">
        <v>87</v>
      </c>
      <c r="F4903" s="3">
        <v>2022</v>
      </c>
      <c r="G4903" s="12">
        <v>5000</v>
      </c>
      <c r="H4903" s="12">
        <v>10000</v>
      </c>
      <c r="I4903" s="72">
        <v>0.04</v>
      </c>
      <c r="J4903" s="12">
        <v>0</v>
      </c>
    </row>
    <row r="4904" spans="3:10" x14ac:dyDescent="0.35">
      <c r="C4904" t="s">
        <v>16</v>
      </c>
      <c r="D4904" t="s">
        <v>44</v>
      </c>
      <c r="E4904" s="3" t="s">
        <v>88</v>
      </c>
      <c r="F4904" s="3">
        <v>2022</v>
      </c>
      <c r="G4904" s="12">
        <v>10000</v>
      </c>
      <c r="H4904" s="12"/>
      <c r="I4904" s="72">
        <v>0.05</v>
      </c>
      <c r="J4904" s="12">
        <v>200</v>
      </c>
    </row>
    <row r="4905" spans="3:10" x14ac:dyDescent="0.35">
      <c r="C4905" t="s">
        <v>16</v>
      </c>
      <c r="D4905" t="s">
        <v>39</v>
      </c>
      <c r="E4905" s="3" t="s">
        <v>85</v>
      </c>
      <c r="F4905" s="3">
        <v>2022</v>
      </c>
      <c r="G4905" s="12">
        <v>0</v>
      </c>
      <c r="H4905" s="12">
        <v>5000</v>
      </c>
      <c r="I4905" s="72">
        <v>0</v>
      </c>
      <c r="J4905" s="12">
        <v>0</v>
      </c>
    </row>
    <row r="4906" spans="3:10" x14ac:dyDescent="0.35">
      <c r="C4906" t="s">
        <v>16</v>
      </c>
      <c r="D4906" t="s">
        <v>39</v>
      </c>
      <c r="E4906" s="3" t="s">
        <v>87</v>
      </c>
      <c r="F4906" s="3">
        <v>2022</v>
      </c>
      <c r="G4906" s="12">
        <v>5000</v>
      </c>
      <c r="H4906" s="12">
        <v>10000</v>
      </c>
      <c r="I4906" s="72">
        <v>0.04</v>
      </c>
      <c r="J4906" s="12">
        <v>0</v>
      </c>
    </row>
    <row r="4907" spans="3:10" x14ac:dyDescent="0.35">
      <c r="C4907" t="s">
        <v>16</v>
      </c>
      <c r="D4907" t="s">
        <v>39</v>
      </c>
      <c r="E4907" s="3" t="s">
        <v>88</v>
      </c>
      <c r="F4907" s="3">
        <v>2022</v>
      </c>
      <c r="G4907" s="12">
        <v>10000</v>
      </c>
      <c r="H4907" s="12"/>
      <c r="I4907" s="72">
        <v>0.05</v>
      </c>
      <c r="J4907" s="12">
        <v>200</v>
      </c>
    </row>
    <row r="4908" spans="3:10" x14ac:dyDescent="0.35">
      <c r="C4908" t="s">
        <v>16</v>
      </c>
      <c r="D4908" t="s">
        <v>33</v>
      </c>
      <c r="E4908" s="3" t="s">
        <v>85</v>
      </c>
      <c r="F4908" s="3">
        <v>2022</v>
      </c>
      <c r="G4908" s="12">
        <v>0</v>
      </c>
      <c r="H4908" s="12">
        <v>5000</v>
      </c>
      <c r="I4908" s="72">
        <v>0</v>
      </c>
      <c r="J4908" s="12">
        <v>0</v>
      </c>
    </row>
    <row r="4909" spans="3:10" x14ac:dyDescent="0.35">
      <c r="C4909" t="s">
        <v>16</v>
      </c>
      <c r="D4909" t="s">
        <v>33</v>
      </c>
      <c r="E4909" s="3" t="s">
        <v>87</v>
      </c>
      <c r="F4909" s="3">
        <v>2022</v>
      </c>
      <c r="G4909" s="12">
        <v>5000</v>
      </c>
      <c r="H4909" s="12">
        <v>10000</v>
      </c>
      <c r="I4909" s="72">
        <v>0.04</v>
      </c>
      <c r="J4909" s="12">
        <v>0</v>
      </c>
    </row>
    <row r="4910" spans="3:10" x14ac:dyDescent="0.35">
      <c r="C4910" t="s">
        <v>16</v>
      </c>
      <c r="D4910" t="s">
        <v>33</v>
      </c>
      <c r="E4910" s="3" t="s">
        <v>88</v>
      </c>
      <c r="F4910" s="3">
        <v>2022</v>
      </c>
      <c r="G4910" s="12">
        <v>10000</v>
      </c>
      <c r="H4910" s="12"/>
      <c r="I4910" s="72">
        <v>0.05</v>
      </c>
      <c r="J4910" s="12">
        <v>200</v>
      </c>
    </row>
    <row r="4911" spans="3:10" x14ac:dyDescent="0.35">
      <c r="C4911" t="s">
        <v>16</v>
      </c>
      <c r="D4911" t="s">
        <v>36</v>
      </c>
      <c r="E4911" s="3" t="s">
        <v>85</v>
      </c>
      <c r="F4911" s="3">
        <v>2022</v>
      </c>
      <c r="G4911" s="12">
        <v>0</v>
      </c>
      <c r="H4911" s="12">
        <v>5000</v>
      </c>
      <c r="I4911" s="72">
        <v>0</v>
      </c>
      <c r="J4911" s="12">
        <v>0</v>
      </c>
    </row>
    <row r="4912" spans="3:10" x14ac:dyDescent="0.35">
      <c r="C4912" t="s">
        <v>16</v>
      </c>
      <c r="D4912" t="s">
        <v>36</v>
      </c>
      <c r="E4912" s="3" t="s">
        <v>87</v>
      </c>
      <c r="F4912" s="3">
        <v>2022</v>
      </c>
      <c r="G4912" s="12">
        <v>5000</v>
      </c>
      <c r="H4912" s="12">
        <v>10000</v>
      </c>
      <c r="I4912" s="72">
        <v>0.04</v>
      </c>
      <c r="J4912" s="12">
        <v>0</v>
      </c>
    </row>
    <row r="4913" spans="3:10" x14ac:dyDescent="0.35">
      <c r="C4913" t="s">
        <v>16</v>
      </c>
      <c r="D4913" t="s">
        <v>36</v>
      </c>
      <c r="E4913" s="3" t="s">
        <v>88</v>
      </c>
      <c r="F4913" s="3">
        <v>2022</v>
      </c>
      <c r="G4913" s="12">
        <v>10000</v>
      </c>
      <c r="H4913" s="12"/>
      <c r="I4913" s="72">
        <v>0.05</v>
      </c>
      <c r="J4913" s="12">
        <v>200</v>
      </c>
    </row>
    <row r="4914" spans="3:10" x14ac:dyDescent="0.35">
      <c r="C4914" t="s">
        <v>16</v>
      </c>
      <c r="D4914" t="s">
        <v>44</v>
      </c>
      <c r="E4914" s="3" t="s">
        <v>85</v>
      </c>
      <c r="F4914" s="3">
        <v>2023</v>
      </c>
      <c r="G4914" s="12">
        <v>0</v>
      </c>
      <c r="H4914" s="12">
        <v>5000</v>
      </c>
      <c r="I4914" s="72">
        <v>0</v>
      </c>
      <c r="J4914" s="12">
        <v>0</v>
      </c>
    </row>
    <row r="4915" spans="3:10" x14ac:dyDescent="0.35">
      <c r="C4915" t="s">
        <v>16</v>
      </c>
      <c r="D4915" t="s">
        <v>44</v>
      </c>
      <c r="E4915" s="3" t="s">
        <v>87</v>
      </c>
      <c r="F4915" s="3">
        <v>2023</v>
      </c>
      <c r="G4915" s="12">
        <v>5000</v>
      </c>
      <c r="H4915" s="12">
        <v>10000</v>
      </c>
      <c r="I4915" s="72">
        <v>0.04</v>
      </c>
      <c r="J4915" s="12">
        <v>0</v>
      </c>
    </row>
    <row r="4916" spans="3:10" x14ac:dyDescent="0.35">
      <c r="C4916" t="s">
        <v>16</v>
      </c>
      <c r="D4916" t="s">
        <v>44</v>
      </c>
      <c r="E4916" s="3" t="s">
        <v>88</v>
      </c>
      <c r="F4916" s="3">
        <v>2023</v>
      </c>
      <c r="G4916" s="12">
        <v>10000</v>
      </c>
      <c r="H4916" s="12"/>
      <c r="I4916" s="72">
        <v>0.05</v>
      </c>
      <c r="J4916" s="12">
        <v>200</v>
      </c>
    </row>
    <row r="4917" spans="3:10" x14ac:dyDescent="0.35">
      <c r="C4917" t="s">
        <v>16</v>
      </c>
      <c r="D4917" t="s">
        <v>39</v>
      </c>
      <c r="E4917" s="3" t="s">
        <v>85</v>
      </c>
      <c r="F4917" s="3">
        <v>2023</v>
      </c>
      <c r="G4917" s="12">
        <v>0</v>
      </c>
      <c r="H4917" s="12">
        <v>5000</v>
      </c>
      <c r="I4917" s="72">
        <v>0</v>
      </c>
      <c r="J4917" s="12">
        <v>0</v>
      </c>
    </row>
    <row r="4918" spans="3:10" x14ac:dyDescent="0.35">
      <c r="C4918" t="s">
        <v>16</v>
      </c>
      <c r="D4918" t="s">
        <v>39</v>
      </c>
      <c r="E4918" s="3" t="s">
        <v>87</v>
      </c>
      <c r="F4918" s="3">
        <v>2023</v>
      </c>
      <c r="G4918" s="12">
        <v>5000</v>
      </c>
      <c r="H4918" s="12">
        <v>10000</v>
      </c>
      <c r="I4918" s="72">
        <v>0.04</v>
      </c>
      <c r="J4918" s="12">
        <v>0</v>
      </c>
    </row>
    <row r="4919" spans="3:10" x14ac:dyDescent="0.35">
      <c r="C4919" t="s">
        <v>16</v>
      </c>
      <c r="D4919" t="s">
        <v>39</v>
      </c>
      <c r="E4919" s="3" t="s">
        <v>88</v>
      </c>
      <c r="F4919" s="3">
        <v>2023</v>
      </c>
      <c r="G4919" s="12">
        <v>10000</v>
      </c>
      <c r="H4919" s="12"/>
      <c r="I4919" s="72">
        <v>0.05</v>
      </c>
      <c r="J4919" s="12">
        <v>200</v>
      </c>
    </row>
    <row r="4920" spans="3:10" x14ac:dyDescent="0.35">
      <c r="C4920" t="s">
        <v>16</v>
      </c>
      <c r="D4920" t="s">
        <v>33</v>
      </c>
      <c r="E4920" s="3" t="s">
        <v>85</v>
      </c>
      <c r="F4920" s="3">
        <v>2023</v>
      </c>
      <c r="G4920" s="12">
        <v>0</v>
      </c>
      <c r="H4920" s="12">
        <v>5000</v>
      </c>
      <c r="I4920" s="72">
        <v>0</v>
      </c>
      <c r="J4920" s="12">
        <v>0</v>
      </c>
    </row>
    <row r="4921" spans="3:10" x14ac:dyDescent="0.35">
      <c r="C4921" t="s">
        <v>16</v>
      </c>
      <c r="D4921" t="s">
        <v>33</v>
      </c>
      <c r="E4921" s="3" t="s">
        <v>87</v>
      </c>
      <c r="F4921" s="3">
        <v>2023</v>
      </c>
      <c r="G4921" s="12">
        <v>5000</v>
      </c>
      <c r="H4921" s="12">
        <v>10000</v>
      </c>
      <c r="I4921" s="72">
        <v>0.04</v>
      </c>
      <c r="J4921" s="12">
        <v>0</v>
      </c>
    </row>
    <row r="4922" spans="3:10" x14ac:dyDescent="0.35">
      <c r="C4922" t="s">
        <v>16</v>
      </c>
      <c r="D4922" t="s">
        <v>33</v>
      </c>
      <c r="E4922" s="3" t="s">
        <v>88</v>
      </c>
      <c r="F4922" s="3">
        <v>2023</v>
      </c>
      <c r="G4922" s="12">
        <v>10000</v>
      </c>
      <c r="H4922" s="12"/>
      <c r="I4922" s="72">
        <v>0.05</v>
      </c>
      <c r="J4922" s="12">
        <v>200</v>
      </c>
    </row>
    <row r="4923" spans="3:10" x14ac:dyDescent="0.35">
      <c r="C4923" t="s">
        <v>16</v>
      </c>
      <c r="D4923" t="s">
        <v>36</v>
      </c>
      <c r="E4923" s="3" t="s">
        <v>85</v>
      </c>
      <c r="F4923" s="3">
        <v>2023</v>
      </c>
      <c r="G4923" s="12">
        <v>0</v>
      </c>
      <c r="H4923" s="12">
        <v>5000</v>
      </c>
      <c r="I4923" s="72">
        <v>0</v>
      </c>
      <c r="J4923" s="12">
        <v>0</v>
      </c>
    </row>
    <row r="4924" spans="3:10" x14ac:dyDescent="0.35">
      <c r="C4924" t="s">
        <v>16</v>
      </c>
      <c r="D4924" t="s">
        <v>36</v>
      </c>
      <c r="E4924" s="3" t="s">
        <v>87</v>
      </c>
      <c r="F4924" s="3">
        <v>2023</v>
      </c>
      <c r="G4924" s="12">
        <v>5000</v>
      </c>
      <c r="H4924" s="12">
        <v>10000</v>
      </c>
      <c r="I4924" s="72">
        <v>0.04</v>
      </c>
      <c r="J4924" s="12">
        <v>0</v>
      </c>
    </row>
    <row r="4925" spans="3:10" x14ac:dyDescent="0.35">
      <c r="C4925" t="s">
        <v>16</v>
      </c>
      <c r="D4925" t="s">
        <v>36</v>
      </c>
      <c r="E4925" s="3" t="s">
        <v>88</v>
      </c>
      <c r="F4925" s="3">
        <v>2023</v>
      </c>
      <c r="G4925" s="12">
        <v>10000</v>
      </c>
      <c r="H4925" s="12"/>
      <c r="I4925" s="72">
        <v>0.05</v>
      </c>
      <c r="J4925" s="12">
        <v>200</v>
      </c>
    </row>
    <row r="4926" spans="3:10" x14ac:dyDescent="0.35">
      <c r="C4926" t="s">
        <v>259</v>
      </c>
      <c r="D4926" t="s">
        <v>33</v>
      </c>
      <c r="E4926" s="3" t="s">
        <v>85</v>
      </c>
      <c r="F4926" s="3">
        <v>2018</v>
      </c>
      <c r="G4926" s="12">
        <v>0</v>
      </c>
      <c r="H4926" s="12">
        <v>102</v>
      </c>
      <c r="I4926" s="72">
        <v>0</v>
      </c>
      <c r="J4926" s="12">
        <v>0</v>
      </c>
    </row>
    <row r="4927" spans="3:10" x14ac:dyDescent="0.35">
      <c r="C4927" t="s">
        <v>259</v>
      </c>
      <c r="D4927" t="s">
        <v>33</v>
      </c>
      <c r="E4927" s="3" t="s">
        <v>87</v>
      </c>
      <c r="F4927" s="3">
        <v>2018</v>
      </c>
      <c r="G4927" s="12">
        <v>102</v>
      </c>
      <c r="H4927" s="12">
        <v>1028</v>
      </c>
      <c r="I4927" s="72">
        <v>1.4999999999999999E-2</v>
      </c>
      <c r="J4927" s="12">
        <v>0</v>
      </c>
    </row>
    <row r="4928" spans="3:10" x14ac:dyDescent="0.35">
      <c r="C4928" t="s">
        <v>259</v>
      </c>
      <c r="D4928" t="s">
        <v>33</v>
      </c>
      <c r="E4928" s="3" t="s">
        <v>88</v>
      </c>
      <c r="F4928" s="3">
        <v>2018</v>
      </c>
      <c r="G4928" s="12">
        <v>1028</v>
      </c>
      <c r="H4928" s="12">
        <v>2056</v>
      </c>
      <c r="I4928" s="72">
        <v>0.02</v>
      </c>
      <c r="J4928" s="12">
        <v>15</v>
      </c>
    </row>
    <row r="4929" spans="3:10" x14ac:dyDescent="0.35">
      <c r="C4929" t="s">
        <v>259</v>
      </c>
      <c r="D4929" t="s">
        <v>33</v>
      </c>
      <c r="E4929" s="3" t="s">
        <v>105</v>
      </c>
      <c r="F4929" s="3">
        <v>2018</v>
      </c>
      <c r="G4929" s="12">
        <v>2056</v>
      </c>
      <c r="H4929" s="12">
        <v>3084</v>
      </c>
      <c r="I4929" s="72">
        <v>2.5000000000000001E-2</v>
      </c>
      <c r="J4929" s="12">
        <v>36</v>
      </c>
    </row>
    <row r="4930" spans="3:10" x14ac:dyDescent="0.35">
      <c r="C4930" t="s">
        <v>259</v>
      </c>
      <c r="D4930" t="s">
        <v>33</v>
      </c>
      <c r="E4930" s="3" t="s">
        <v>106</v>
      </c>
      <c r="F4930" s="3">
        <v>2018</v>
      </c>
      <c r="G4930" s="12">
        <v>3084</v>
      </c>
      <c r="H4930" s="12">
        <v>4113</v>
      </c>
      <c r="I4930" s="72">
        <v>0.03</v>
      </c>
      <c r="J4930" s="12">
        <v>62</v>
      </c>
    </row>
    <row r="4931" spans="3:10" x14ac:dyDescent="0.35">
      <c r="C4931" t="s">
        <v>259</v>
      </c>
      <c r="D4931" t="s">
        <v>33</v>
      </c>
      <c r="E4931" s="3" t="s">
        <v>107</v>
      </c>
      <c r="F4931" s="3">
        <v>2018</v>
      </c>
      <c r="G4931" s="12">
        <v>4113</v>
      </c>
      <c r="H4931" s="12">
        <v>5141</v>
      </c>
      <c r="I4931" s="72">
        <v>3.5000000000000003E-2</v>
      </c>
      <c r="J4931" s="12">
        <v>93</v>
      </c>
    </row>
    <row r="4932" spans="3:10" x14ac:dyDescent="0.35">
      <c r="C4932" t="s">
        <v>259</v>
      </c>
      <c r="D4932" t="s">
        <v>33</v>
      </c>
      <c r="E4932" s="3" t="s">
        <v>108</v>
      </c>
      <c r="F4932" s="3">
        <v>2018</v>
      </c>
      <c r="G4932" s="12">
        <v>5141</v>
      </c>
      <c r="H4932" s="12">
        <v>6169</v>
      </c>
      <c r="I4932" s="72">
        <v>0.04</v>
      </c>
      <c r="J4932" s="12">
        <v>129</v>
      </c>
    </row>
    <row r="4933" spans="3:10" x14ac:dyDescent="0.35">
      <c r="C4933" t="s">
        <v>259</v>
      </c>
      <c r="D4933" t="s">
        <v>33</v>
      </c>
      <c r="E4933" s="3" t="s">
        <v>152</v>
      </c>
      <c r="F4933" s="3">
        <v>2018</v>
      </c>
      <c r="G4933" s="12">
        <v>6169</v>
      </c>
      <c r="H4933" s="12">
        <v>7197</v>
      </c>
      <c r="I4933" s="72">
        <v>4.4999999999999998E-2</v>
      </c>
      <c r="J4933" s="12">
        <v>170</v>
      </c>
    </row>
    <row r="4934" spans="3:10" x14ac:dyDescent="0.35">
      <c r="C4934" t="s">
        <v>259</v>
      </c>
      <c r="D4934" t="s">
        <v>33</v>
      </c>
      <c r="E4934" s="3" t="s">
        <v>153</v>
      </c>
      <c r="F4934" s="3">
        <v>2018</v>
      </c>
      <c r="G4934" s="12">
        <v>7197</v>
      </c>
      <c r="H4934" s="12">
        <v>8225</v>
      </c>
      <c r="I4934" s="72">
        <v>0.05</v>
      </c>
      <c r="J4934" s="12">
        <v>216</v>
      </c>
    </row>
    <row r="4935" spans="3:10" x14ac:dyDescent="0.35">
      <c r="C4935" t="s">
        <v>259</v>
      </c>
      <c r="D4935" t="s">
        <v>33</v>
      </c>
      <c r="E4935" s="3" t="s">
        <v>154</v>
      </c>
      <c r="F4935" s="3">
        <v>2018</v>
      </c>
      <c r="G4935" s="12">
        <v>8225</v>
      </c>
      <c r="H4935" s="12">
        <v>9253</v>
      </c>
      <c r="I4935" s="72">
        <v>5.5E-2</v>
      </c>
      <c r="J4935" s="12">
        <v>267</v>
      </c>
    </row>
    <row r="4936" spans="3:10" x14ac:dyDescent="0.35">
      <c r="C4936" t="s">
        <v>259</v>
      </c>
      <c r="D4936" t="s">
        <v>33</v>
      </c>
      <c r="E4936" s="3" t="s">
        <v>155</v>
      </c>
      <c r="F4936" s="3">
        <v>2018</v>
      </c>
      <c r="G4936" s="12">
        <v>9253</v>
      </c>
      <c r="H4936" s="12"/>
      <c r="I4936" s="72">
        <v>5.8999999999999997E-2</v>
      </c>
      <c r="J4936" s="12">
        <v>324</v>
      </c>
    </row>
    <row r="4937" spans="3:10" x14ac:dyDescent="0.35">
      <c r="C4937" t="s">
        <v>259</v>
      </c>
      <c r="D4937" t="s">
        <v>34</v>
      </c>
      <c r="E4937" s="3" t="s">
        <v>85</v>
      </c>
      <c r="F4937" s="3">
        <v>2018</v>
      </c>
      <c r="G4937" s="12">
        <v>0</v>
      </c>
      <c r="H4937" s="12">
        <v>102</v>
      </c>
      <c r="I4937" s="72">
        <v>0</v>
      </c>
      <c r="J4937" s="12">
        <v>0</v>
      </c>
    </row>
    <row r="4938" spans="3:10" x14ac:dyDescent="0.35">
      <c r="C4938" t="s">
        <v>259</v>
      </c>
      <c r="D4938" t="s">
        <v>34</v>
      </c>
      <c r="E4938" s="3" t="s">
        <v>87</v>
      </c>
      <c r="F4938" s="3">
        <v>2018</v>
      </c>
      <c r="G4938" s="12">
        <v>102</v>
      </c>
      <c r="H4938" s="12">
        <v>1028</v>
      </c>
      <c r="I4938" s="72">
        <v>1.4999999999999999E-2</v>
      </c>
      <c r="J4938" s="12">
        <v>0</v>
      </c>
    </row>
    <row r="4939" spans="3:10" x14ac:dyDescent="0.35">
      <c r="C4939" t="s">
        <v>259</v>
      </c>
      <c r="D4939" t="s">
        <v>34</v>
      </c>
      <c r="E4939" s="3" t="s">
        <v>88</v>
      </c>
      <c r="F4939" s="3">
        <v>2018</v>
      </c>
      <c r="G4939" s="12">
        <v>1028</v>
      </c>
      <c r="H4939" s="12">
        <v>2056</v>
      </c>
      <c r="I4939" s="72">
        <v>0.02</v>
      </c>
      <c r="J4939" s="12">
        <v>15</v>
      </c>
    </row>
    <row r="4940" spans="3:10" x14ac:dyDescent="0.35">
      <c r="C4940" t="s">
        <v>259</v>
      </c>
      <c r="D4940" t="s">
        <v>34</v>
      </c>
      <c r="E4940" s="3" t="s">
        <v>105</v>
      </c>
      <c r="F4940" s="3">
        <v>2018</v>
      </c>
      <c r="G4940" s="12">
        <v>2056</v>
      </c>
      <c r="H4940" s="12">
        <v>3084</v>
      </c>
      <c r="I4940" s="72">
        <v>2.5000000000000001E-2</v>
      </c>
      <c r="J4940" s="12">
        <v>36</v>
      </c>
    </row>
    <row r="4941" spans="3:10" x14ac:dyDescent="0.35">
      <c r="C4941" t="s">
        <v>259</v>
      </c>
      <c r="D4941" t="s">
        <v>34</v>
      </c>
      <c r="E4941" s="3" t="s">
        <v>106</v>
      </c>
      <c r="F4941" s="3">
        <v>2018</v>
      </c>
      <c r="G4941" s="12">
        <v>3084</v>
      </c>
      <c r="H4941" s="12">
        <v>4113</v>
      </c>
      <c r="I4941" s="72">
        <v>0.03</v>
      </c>
      <c r="J4941" s="12">
        <v>62</v>
      </c>
    </row>
    <row r="4942" spans="3:10" x14ac:dyDescent="0.35">
      <c r="C4942" t="s">
        <v>259</v>
      </c>
      <c r="D4942" t="s">
        <v>34</v>
      </c>
      <c r="E4942" s="3" t="s">
        <v>107</v>
      </c>
      <c r="F4942" s="3">
        <v>2018</v>
      </c>
      <c r="G4942" s="12">
        <v>4113</v>
      </c>
      <c r="H4942" s="12">
        <v>5141</v>
      </c>
      <c r="I4942" s="72">
        <v>3.5000000000000003E-2</v>
      </c>
      <c r="J4942" s="12">
        <v>93</v>
      </c>
    </row>
    <row r="4943" spans="3:10" x14ac:dyDescent="0.35">
      <c r="C4943" t="s">
        <v>259</v>
      </c>
      <c r="D4943" t="s">
        <v>34</v>
      </c>
      <c r="E4943" s="3" t="s">
        <v>108</v>
      </c>
      <c r="F4943" s="3">
        <v>2018</v>
      </c>
      <c r="G4943" s="12">
        <v>5141</v>
      </c>
      <c r="H4943" s="12">
        <v>6169</v>
      </c>
      <c r="I4943" s="72">
        <v>0.04</v>
      </c>
      <c r="J4943" s="12">
        <v>129</v>
      </c>
    </row>
    <row r="4944" spans="3:10" x14ac:dyDescent="0.35">
      <c r="C4944" t="s">
        <v>259</v>
      </c>
      <c r="D4944" t="s">
        <v>34</v>
      </c>
      <c r="E4944" s="3" t="s">
        <v>152</v>
      </c>
      <c r="F4944" s="3">
        <v>2018</v>
      </c>
      <c r="G4944" s="12">
        <v>6169</v>
      </c>
      <c r="H4944" s="12">
        <v>7197</v>
      </c>
      <c r="I4944" s="72">
        <v>4.4999999999999998E-2</v>
      </c>
      <c r="J4944" s="12">
        <v>170</v>
      </c>
    </row>
    <row r="4945" spans="3:10" x14ac:dyDescent="0.35">
      <c r="C4945" t="s">
        <v>259</v>
      </c>
      <c r="D4945" t="s">
        <v>34</v>
      </c>
      <c r="E4945" s="3" t="s">
        <v>153</v>
      </c>
      <c r="F4945" s="3">
        <v>2018</v>
      </c>
      <c r="G4945" s="12">
        <v>7197</v>
      </c>
      <c r="H4945" s="12">
        <v>8225</v>
      </c>
      <c r="I4945" s="72">
        <v>0.05</v>
      </c>
      <c r="J4945" s="12">
        <v>216</v>
      </c>
    </row>
    <row r="4946" spans="3:10" x14ac:dyDescent="0.35">
      <c r="C4946" t="s">
        <v>259</v>
      </c>
      <c r="D4946" t="s">
        <v>34</v>
      </c>
      <c r="E4946" s="3" t="s">
        <v>154</v>
      </c>
      <c r="F4946" s="3">
        <v>2018</v>
      </c>
      <c r="G4946" s="12">
        <v>8225</v>
      </c>
      <c r="H4946" s="12">
        <v>9253</v>
      </c>
      <c r="I4946" s="72">
        <v>5.5E-2</v>
      </c>
      <c r="J4946" s="12">
        <v>267</v>
      </c>
    </row>
    <row r="4947" spans="3:10" x14ac:dyDescent="0.35">
      <c r="C4947" t="s">
        <v>259</v>
      </c>
      <c r="D4947" t="s">
        <v>34</v>
      </c>
      <c r="E4947" s="3" t="s">
        <v>155</v>
      </c>
      <c r="F4947" s="3">
        <v>2018</v>
      </c>
      <c r="G4947" s="12">
        <v>9253</v>
      </c>
      <c r="H4947" s="12"/>
      <c r="I4947" s="72">
        <v>5.8999999999999997E-2</v>
      </c>
      <c r="J4947" s="12">
        <v>324</v>
      </c>
    </row>
    <row r="4948" spans="3:10" x14ac:dyDescent="0.35">
      <c r="C4948" t="s">
        <v>259</v>
      </c>
      <c r="D4948" t="s">
        <v>35</v>
      </c>
      <c r="E4948" s="3" t="s">
        <v>85</v>
      </c>
      <c r="F4948" s="3">
        <v>2018</v>
      </c>
      <c r="G4948" s="12">
        <v>0</v>
      </c>
      <c r="H4948" s="12">
        <v>102</v>
      </c>
      <c r="I4948" s="72">
        <v>0</v>
      </c>
      <c r="J4948" s="12">
        <v>0</v>
      </c>
    </row>
    <row r="4949" spans="3:10" x14ac:dyDescent="0.35">
      <c r="C4949" t="s">
        <v>259</v>
      </c>
      <c r="D4949" t="s">
        <v>35</v>
      </c>
      <c r="E4949" s="3" t="s">
        <v>87</v>
      </c>
      <c r="F4949" s="3">
        <v>2018</v>
      </c>
      <c r="G4949" s="12">
        <v>102</v>
      </c>
      <c r="H4949" s="12">
        <v>1028</v>
      </c>
      <c r="I4949" s="72">
        <v>1.4999999999999999E-2</v>
      </c>
      <c r="J4949" s="12">
        <v>0</v>
      </c>
    </row>
    <row r="4950" spans="3:10" x14ac:dyDescent="0.35">
      <c r="C4950" t="s">
        <v>259</v>
      </c>
      <c r="D4950" t="s">
        <v>35</v>
      </c>
      <c r="E4950" s="3" t="s">
        <v>88</v>
      </c>
      <c r="F4950" s="3">
        <v>2018</v>
      </c>
      <c r="G4950" s="12">
        <v>1028</v>
      </c>
      <c r="H4950" s="12">
        <v>2056</v>
      </c>
      <c r="I4950" s="72">
        <v>0.02</v>
      </c>
      <c r="J4950" s="12">
        <v>15</v>
      </c>
    </row>
    <row r="4951" spans="3:10" x14ac:dyDescent="0.35">
      <c r="C4951" t="s">
        <v>259</v>
      </c>
      <c r="D4951" t="s">
        <v>35</v>
      </c>
      <c r="E4951" s="3" t="s">
        <v>105</v>
      </c>
      <c r="F4951" s="3">
        <v>2018</v>
      </c>
      <c r="G4951" s="12">
        <v>2056</v>
      </c>
      <c r="H4951" s="12">
        <v>3084</v>
      </c>
      <c r="I4951" s="72">
        <v>2.5000000000000001E-2</v>
      </c>
      <c r="J4951" s="12">
        <v>36</v>
      </c>
    </row>
    <row r="4952" spans="3:10" x14ac:dyDescent="0.35">
      <c r="C4952" t="s">
        <v>259</v>
      </c>
      <c r="D4952" t="s">
        <v>35</v>
      </c>
      <c r="E4952" s="3" t="s">
        <v>106</v>
      </c>
      <c r="F4952" s="3">
        <v>2018</v>
      </c>
      <c r="G4952" s="12">
        <v>3084</v>
      </c>
      <c r="H4952" s="12">
        <v>4113</v>
      </c>
      <c r="I4952" s="72">
        <v>0.03</v>
      </c>
      <c r="J4952" s="12">
        <v>62</v>
      </c>
    </row>
    <row r="4953" spans="3:10" x14ac:dyDescent="0.35">
      <c r="C4953" t="s">
        <v>259</v>
      </c>
      <c r="D4953" t="s">
        <v>35</v>
      </c>
      <c r="E4953" s="3" t="s">
        <v>107</v>
      </c>
      <c r="F4953" s="3">
        <v>2018</v>
      </c>
      <c r="G4953" s="12">
        <v>4113</v>
      </c>
      <c r="H4953" s="12">
        <v>5141</v>
      </c>
      <c r="I4953" s="72">
        <v>3.5000000000000003E-2</v>
      </c>
      <c r="J4953" s="12">
        <v>93</v>
      </c>
    </row>
    <row r="4954" spans="3:10" x14ac:dyDescent="0.35">
      <c r="C4954" t="s">
        <v>259</v>
      </c>
      <c r="D4954" t="s">
        <v>35</v>
      </c>
      <c r="E4954" s="3" t="s">
        <v>108</v>
      </c>
      <c r="F4954" s="3">
        <v>2018</v>
      </c>
      <c r="G4954" s="12">
        <v>5141</v>
      </c>
      <c r="H4954" s="12">
        <v>6169</v>
      </c>
      <c r="I4954" s="72">
        <v>0.04</v>
      </c>
      <c r="J4954" s="12">
        <v>129</v>
      </c>
    </row>
    <row r="4955" spans="3:10" x14ac:dyDescent="0.35">
      <c r="C4955" t="s">
        <v>259</v>
      </c>
      <c r="D4955" t="s">
        <v>35</v>
      </c>
      <c r="E4955" s="3" t="s">
        <v>152</v>
      </c>
      <c r="F4955" s="3">
        <v>2018</v>
      </c>
      <c r="G4955" s="12">
        <v>6169</v>
      </c>
      <c r="H4955" s="12">
        <v>7197</v>
      </c>
      <c r="I4955" s="72">
        <v>4.4999999999999998E-2</v>
      </c>
      <c r="J4955" s="12">
        <v>170</v>
      </c>
    </row>
    <row r="4956" spans="3:10" x14ac:dyDescent="0.35">
      <c r="C4956" t="s">
        <v>259</v>
      </c>
      <c r="D4956" t="s">
        <v>35</v>
      </c>
      <c r="E4956" s="3" t="s">
        <v>153</v>
      </c>
      <c r="F4956" s="3">
        <v>2018</v>
      </c>
      <c r="G4956" s="12">
        <v>7197</v>
      </c>
      <c r="H4956" s="12">
        <v>8225</v>
      </c>
      <c r="I4956" s="72">
        <v>0.05</v>
      </c>
      <c r="J4956" s="12">
        <v>216</v>
      </c>
    </row>
    <row r="4957" spans="3:10" x14ac:dyDescent="0.35">
      <c r="C4957" t="s">
        <v>259</v>
      </c>
      <c r="D4957" t="s">
        <v>35</v>
      </c>
      <c r="E4957" s="3" t="s">
        <v>154</v>
      </c>
      <c r="F4957" s="3">
        <v>2018</v>
      </c>
      <c r="G4957" s="12">
        <v>8225</v>
      </c>
      <c r="H4957" s="12">
        <v>9253</v>
      </c>
      <c r="I4957" s="72">
        <v>5.5E-2</v>
      </c>
      <c r="J4957" s="12">
        <v>267</v>
      </c>
    </row>
    <row r="4958" spans="3:10" x14ac:dyDescent="0.35">
      <c r="C4958" t="s">
        <v>259</v>
      </c>
      <c r="D4958" t="s">
        <v>35</v>
      </c>
      <c r="E4958" s="3" t="s">
        <v>155</v>
      </c>
      <c r="F4958" s="3">
        <v>2018</v>
      </c>
      <c r="G4958" s="12">
        <v>9253</v>
      </c>
      <c r="H4958" s="12"/>
      <c r="I4958" s="72">
        <v>5.8999999999999997E-2</v>
      </c>
      <c r="J4958" s="12">
        <v>324</v>
      </c>
    </row>
    <row r="4959" spans="3:10" x14ac:dyDescent="0.35">
      <c r="C4959" t="s">
        <v>259</v>
      </c>
      <c r="D4959" t="s">
        <v>41</v>
      </c>
      <c r="E4959" s="3" t="s">
        <v>85</v>
      </c>
      <c r="F4959" s="3">
        <v>2018</v>
      </c>
      <c r="G4959" s="12">
        <v>0</v>
      </c>
      <c r="H4959" s="12">
        <v>102</v>
      </c>
      <c r="I4959" s="72">
        <v>0</v>
      </c>
      <c r="J4959" s="12">
        <v>0</v>
      </c>
    </row>
    <row r="4960" spans="3:10" x14ac:dyDescent="0.35">
      <c r="C4960" t="s">
        <v>259</v>
      </c>
      <c r="D4960" t="s">
        <v>41</v>
      </c>
      <c r="E4960" s="3" t="s">
        <v>87</v>
      </c>
      <c r="F4960" s="3">
        <v>2018</v>
      </c>
      <c r="G4960" s="12">
        <v>102</v>
      </c>
      <c r="H4960" s="12">
        <v>1028</v>
      </c>
      <c r="I4960" s="72">
        <v>1.4999999999999999E-2</v>
      </c>
      <c r="J4960" s="12">
        <v>0</v>
      </c>
    </row>
    <row r="4961" spans="3:10" x14ac:dyDescent="0.35">
      <c r="C4961" t="s">
        <v>259</v>
      </c>
      <c r="D4961" t="s">
        <v>41</v>
      </c>
      <c r="E4961" s="3" t="s">
        <v>88</v>
      </c>
      <c r="F4961" s="3">
        <v>2018</v>
      </c>
      <c r="G4961" s="12">
        <v>1028</v>
      </c>
      <c r="H4961" s="12">
        <v>2056</v>
      </c>
      <c r="I4961" s="72">
        <v>0.02</v>
      </c>
      <c r="J4961" s="12">
        <v>15</v>
      </c>
    </row>
    <row r="4962" spans="3:10" x14ac:dyDescent="0.35">
      <c r="C4962" t="s">
        <v>259</v>
      </c>
      <c r="D4962" t="s">
        <v>41</v>
      </c>
      <c r="E4962" s="3" t="s">
        <v>105</v>
      </c>
      <c r="F4962" s="3">
        <v>2018</v>
      </c>
      <c r="G4962" s="12">
        <v>2056</v>
      </c>
      <c r="H4962" s="12">
        <v>3084</v>
      </c>
      <c r="I4962" s="72">
        <v>2.5000000000000001E-2</v>
      </c>
      <c r="J4962" s="12">
        <v>36</v>
      </c>
    </row>
    <row r="4963" spans="3:10" x14ac:dyDescent="0.35">
      <c r="C4963" t="s">
        <v>259</v>
      </c>
      <c r="D4963" t="s">
        <v>41</v>
      </c>
      <c r="E4963" s="3" t="s">
        <v>106</v>
      </c>
      <c r="F4963" s="3">
        <v>2018</v>
      </c>
      <c r="G4963" s="12">
        <v>3084</v>
      </c>
      <c r="H4963" s="12">
        <v>4113</v>
      </c>
      <c r="I4963" s="72">
        <v>0.03</v>
      </c>
      <c r="J4963" s="12">
        <v>62</v>
      </c>
    </row>
    <row r="4964" spans="3:10" x14ac:dyDescent="0.35">
      <c r="C4964" t="s">
        <v>259</v>
      </c>
      <c r="D4964" t="s">
        <v>41</v>
      </c>
      <c r="E4964" s="3" t="s">
        <v>107</v>
      </c>
      <c r="F4964" s="3">
        <v>2018</v>
      </c>
      <c r="G4964" s="12">
        <v>4113</v>
      </c>
      <c r="H4964" s="12">
        <v>5141</v>
      </c>
      <c r="I4964" s="72">
        <v>3.5000000000000003E-2</v>
      </c>
      <c r="J4964" s="12">
        <v>93</v>
      </c>
    </row>
    <row r="4965" spans="3:10" x14ac:dyDescent="0.35">
      <c r="C4965" t="s">
        <v>259</v>
      </c>
      <c r="D4965" t="s">
        <v>41</v>
      </c>
      <c r="E4965" s="3" t="s">
        <v>108</v>
      </c>
      <c r="F4965" s="3">
        <v>2018</v>
      </c>
      <c r="G4965" s="12">
        <v>5141</v>
      </c>
      <c r="H4965" s="12">
        <v>6169</v>
      </c>
      <c r="I4965" s="72">
        <v>0.04</v>
      </c>
      <c r="J4965" s="12">
        <v>129</v>
      </c>
    </row>
    <row r="4966" spans="3:10" x14ac:dyDescent="0.35">
      <c r="C4966" t="s">
        <v>259</v>
      </c>
      <c r="D4966" t="s">
        <v>41</v>
      </c>
      <c r="E4966" s="3" t="s">
        <v>152</v>
      </c>
      <c r="F4966" s="3">
        <v>2018</v>
      </c>
      <c r="G4966" s="12">
        <v>6169</v>
      </c>
      <c r="H4966" s="12">
        <v>7197</v>
      </c>
      <c r="I4966" s="72">
        <v>4.4999999999999998E-2</v>
      </c>
      <c r="J4966" s="12">
        <v>170</v>
      </c>
    </row>
    <row r="4967" spans="3:10" x14ac:dyDescent="0.35">
      <c r="C4967" t="s">
        <v>259</v>
      </c>
      <c r="D4967" t="s">
        <v>41</v>
      </c>
      <c r="E4967" s="3" t="s">
        <v>153</v>
      </c>
      <c r="F4967" s="3">
        <v>2018</v>
      </c>
      <c r="G4967" s="12">
        <v>7197</v>
      </c>
      <c r="H4967" s="12">
        <v>8225</v>
      </c>
      <c r="I4967" s="72">
        <v>0.05</v>
      </c>
      <c r="J4967" s="12">
        <v>216</v>
      </c>
    </row>
    <row r="4968" spans="3:10" x14ac:dyDescent="0.35">
      <c r="C4968" t="s">
        <v>259</v>
      </c>
      <c r="D4968" t="s">
        <v>41</v>
      </c>
      <c r="E4968" s="3" t="s">
        <v>154</v>
      </c>
      <c r="F4968" s="3">
        <v>2018</v>
      </c>
      <c r="G4968" s="12">
        <v>8225</v>
      </c>
      <c r="H4968" s="12">
        <v>9253</v>
      </c>
      <c r="I4968" s="72">
        <v>5.5E-2</v>
      </c>
      <c r="J4968" s="12">
        <v>267</v>
      </c>
    </row>
    <row r="4969" spans="3:10" x14ac:dyDescent="0.35">
      <c r="C4969" t="s">
        <v>259</v>
      </c>
      <c r="D4969" t="s">
        <v>41</v>
      </c>
      <c r="E4969" s="3" t="s">
        <v>155</v>
      </c>
      <c r="F4969" s="3">
        <v>2018</v>
      </c>
      <c r="G4969" s="12">
        <v>9253</v>
      </c>
      <c r="H4969" s="12"/>
      <c r="I4969" s="72">
        <v>5.8999999999999997E-2</v>
      </c>
      <c r="J4969" s="12">
        <v>324</v>
      </c>
    </row>
    <row r="4970" spans="3:10" x14ac:dyDescent="0.35">
      <c r="C4970" t="s">
        <v>259</v>
      </c>
      <c r="D4970" t="s">
        <v>33</v>
      </c>
      <c r="E4970" s="3" t="s">
        <v>85</v>
      </c>
      <c r="F4970" s="3">
        <v>2019</v>
      </c>
      <c r="G4970" s="12">
        <v>0</v>
      </c>
      <c r="H4970" s="12">
        <v>104</v>
      </c>
      <c r="I4970" s="72">
        <v>0</v>
      </c>
      <c r="J4970" s="12">
        <v>0</v>
      </c>
    </row>
    <row r="4971" spans="3:10" x14ac:dyDescent="0.35">
      <c r="C4971" t="s">
        <v>259</v>
      </c>
      <c r="D4971" t="s">
        <v>33</v>
      </c>
      <c r="E4971" s="3" t="s">
        <v>87</v>
      </c>
      <c r="F4971" s="3">
        <v>2019</v>
      </c>
      <c r="G4971" s="12">
        <v>104</v>
      </c>
      <c r="H4971" s="12">
        <v>1053</v>
      </c>
      <c r="I4971" s="72">
        <v>1.4999999999999999E-2</v>
      </c>
      <c r="J4971" s="12">
        <v>0</v>
      </c>
    </row>
    <row r="4972" spans="3:10" x14ac:dyDescent="0.35">
      <c r="C4972" t="s">
        <v>259</v>
      </c>
      <c r="D4972" t="s">
        <v>33</v>
      </c>
      <c r="E4972" s="3" t="s">
        <v>88</v>
      </c>
      <c r="F4972" s="3">
        <v>2019</v>
      </c>
      <c r="G4972" s="12">
        <v>1053</v>
      </c>
      <c r="H4972" s="12">
        <v>2106</v>
      </c>
      <c r="I4972" s="72">
        <v>0.02</v>
      </c>
      <c r="J4972" s="12">
        <v>16</v>
      </c>
    </row>
    <row r="4973" spans="3:10" x14ac:dyDescent="0.35">
      <c r="C4973" t="s">
        <v>259</v>
      </c>
      <c r="D4973" t="s">
        <v>33</v>
      </c>
      <c r="E4973" s="3" t="s">
        <v>105</v>
      </c>
      <c r="F4973" s="3">
        <v>2019</v>
      </c>
      <c r="G4973" s="12">
        <v>2106</v>
      </c>
      <c r="H4973" s="12">
        <v>3159</v>
      </c>
      <c r="I4973" s="72">
        <v>2.5000000000000001E-2</v>
      </c>
      <c r="J4973" s="12">
        <v>37</v>
      </c>
    </row>
    <row r="4974" spans="3:10" x14ac:dyDescent="0.35">
      <c r="C4974" t="s">
        <v>259</v>
      </c>
      <c r="D4974" t="s">
        <v>33</v>
      </c>
      <c r="E4974" s="3" t="s">
        <v>106</v>
      </c>
      <c r="F4974" s="3">
        <v>2019</v>
      </c>
      <c r="G4974" s="12">
        <v>3159</v>
      </c>
      <c r="H4974" s="12">
        <v>4212</v>
      </c>
      <c r="I4974" s="72">
        <v>0.03</v>
      </c>
      <c r="J4974" s="12">
        <v>63</v>
      </c>
    </row>
    <row r="4975" spans="3:10" x14ac:dyDescent="0.35">
      <c r="C4975" t="s">
        <v>259</v>
      </c>
      <c r="D4975" t="s">
        <v>33</v>
      </c>
      <c r="E4975" s="3" t="s">
        <v>107</v>
      </c>
      <c r="F4975" s="3">
        <v>2019</v>
      </c>
      <c r="G4975" s="12">
        <v>4212</v>
      </c>
      <c r="H4975" s="12">
        <v>5265</v>
      </c>
      <c r="I4975" s="72">
        <v>3.5000000000000003E-2</v>
      </c>
      <c r="J4975" s="12">
        <v>95</v>
      </c>
    </row>
    <row r="4976" spans="3:10" x14ac:dyDescent="0.35">
      <c r="C4976" t="s">
        <v>259</v>
      </c>
      <c r="D4976" t="s">
        <v>33</v>
      </c>
      <c r="E4976" s="3" t="s">
        <v>108</v>
      </c>
      <c r="F4976" s="3">
        <v>2019</v>
      </c>
      <c r="G4976" s="12">
        <v>5265</v>
      </c>
      <c r="H4976" s="12">
        <v>6318</v>
      </c>
      <c r="I4976" s="72">
        <v>0.04</v>
      </c>
      <c r="J4976" s="12">
        <v>132</v>
      </c>
    </row>
    <row r="4977" spans="3:10" x14ac:dyDescent="0.35">
      <c r="C4977" t="s">
        <v>259</v>
      </c>
      <c r="D4977" t="s">
        <v>33</v>
      </c>
      <c r="E4977" s="3" t="s">
        <v>152</v>
      </c>
      <c r="F4977" s="3">
        <v>2019</v>
      </c>
      <c r="G4977" s="12">
        <v>6318</v>
      </c>
      <c r="H4977" s="12">
        <v>7371</v>
      </c>
      <c r="I4977" s="72">
        <v>4.4999999999999998E-2</v>
      </c>
      <c r="J4977" s="12">
        <v>174</v>
      </c>
    </row>
    <row r="4978" spans="3:10" x14ac:dyDescent="0.35">
      <c r="C4978" t="s">
        <v>259</v>
      </c>
      <c r="D4978" t="s">
        <v>33</v>
      </c>
      <c r="E4978" s="3" t="s">
        <v>153</v>
      </c>
      <c r="F4978" s="3">
        <v>2019</v>
      </c>
      <c r="G4978" s="12">
        <v>7371</v>
      </c>
      <c r="H4978" s="12">
        <v>8424</v>
      </c>
      <c r="I4978" s="72">
        <v>0.05</v>
      </c>
      <c r="J4978" s="12">
        <v>221</v>
      </c>
    </row>
    <row r="4979" spans="3:10" x14ac:dyDescent="0.35">
      <c r="C4979" t="s">
        <v>259</v>
      </c>
      <c r="D4979" t="s">
        <v>33</v>
      </c>
      <c r="E4979" s="3" t="s">
        <v>154</v>
      </c>
      <c r="F4979" s="3">
        <v>2019</v>
      </c>
      <c r="G4979" s="12">
        <v>8424</v>
      </c>
      <c r="H4979" s="12"/>
      <c r="I4979" s="72">
        <v>5.3999999999999999E-2</v>
      </c>
      <c r="J4979" s="12">
        <v>274</v>
      </c>
    </row>
    <row r="4980" spans="3:10" x14ac:dyDescent="0.35">
      <c r="C4980" t="s">
        <v>259</v>
      </c>
      <c r="D4980" t="s">
        <v>34</v>
      </c>
      <c r="E4980" s="3" t="s">
        <v>85</v>
      </c>
      <c r="F4980" s="3">
        <v>2019</v>
      </c>
      <c r="G4980" s="12">
        <v>0</v>
      </c>
      <c r="H4980" s="12">
        <v>104</v>
      </c>
      <c r="I4980" s="72">
        <v>0</v>
      </c>
      <c r="J4980" s="12">
        <v>0</v>
      </c>
    </row>
    <row r="4981" spans="3:10" x14ac:dyDescent="0.35">
      <c r="C4981" t="s">
        <v>259</v>
      </c>
      <c r="D4981" t="s">
        <v>34</v>
      </c>
      <c r="E4981" s="3" t="s">
        <v>87</v>
      </c>
      <c r="F4981" s="3">
        <v>2019</v>
      </c>
      <c r="G4981" s="12">
        <v>104</v>
      </c>
      <c r="H4981" s="12">
        <v>1053</v>
      </c>
      <c r="I4981" s="72">
        <v>1.4999999999999999E-2</v>
      </c>
      <c r="J4981" s="12">
        <v>0</v>
      </c>
    </row>
    <row r="4982" spans="3:10" x14ac:dyDescent="0.35">
      <c r="C4982" t="s">
        <v>259</v>
      </c>
      <c r="D4982" t="s">
        <v>34</v>
      </c>
      <c r="E4982" s="3" t="s">
        <v>88</v>
      </c>
      <c r="F4982" s="3">
        <v>2019</v>
      </c>
      <c r="G4982" s="12">
        <v>1053</v>
      </c>
      <c r="H4982" s="12">
        <v>2106</v>
      </c>
      <c r="I4982" s="72">
        <v>0.02</v>
      </c>
      <c r="J4982" s="12">
        <v>16</v>
      </c>
    </row>
    <row r="4983" spans="3:10" x14ac:dyDescent="0.35">
      <c r="C4983" t="s">
        <v>259</v>
      </c>
      <c r="D4983" t="s">
        <v>34</v>
      </c>
      <c r="E4983" s="3" t="s">
        <v>105</v>
      </c>
      <c r="F4983" s="3">
        <v>2019</v>
      </c>
      <c r="G4983" s="12">
        <v>2106</v>
      </c>
      <c r="H4983" s="12">
        <v>3159</v>
      </c>
      <c r="I4983" s="72">
        <v>2.5000000000000001E-2</v>
      </c>
      <c r="J4983" s="12">
        <v>37</v>
      </c>
    </row>
    <row r="4984" spans="3:10" x14ac:dyDescent="0.35">
      <c r="C4984" t="s">
        <v>259</v>
      </c>
      <c r="D4984" t="s">
        <v>34</v>
      </c>
      <c r="E4984" s="3" t="s">
        <v>106</v>
      </c>
      <c r="F4984" s="3">
        <v>2019</v>
      </c>
      <c r="G4984" s="12">
        <v>3159</v>
      </c>
      <c r="H4984" s="12">
        <v>4212</v>
      </c>
      <c r="I4984" s="72">
        <v>0.03</v>
      </c>
      <c r="J4984" s="12">
        <v>63</v>
      </c>
    </row>
    <row r="4985" spans="3:10" x14ac:dyDescent="0.35">
      <c r="C4985" t="s">
        <v>259</v>
      </c>
      <c r="D4985" t="s">
        <v>34</v>
      </c>
      <c r="E4985" s="3" t="s">
        <v>107</v>
      </c>
      <c r="F4985" s="3">
        <v>2019</v>
      </c>
      <c r="G4985" s="12">
        <v>4212</v>
      </c>
      <c r="H4985" s="12">
        <v>5265</v>
      </c>
      <c r="I4985" s="72">
        <v>3.5000000000000003E-2</v>
      </c>
      <c r="J4985" s="12">
        <v>95</v>
      </c>
    </row>
    <row r="4986" spans="3:10" x14ac:dyDescent="0.35">
      <c r="C4986" t="s">
        <v>259</v>
      </c>
      <c r="D4986" t="s">
        <v>34</v>
      </c>
      <c r="E4986" s="3" t="s">
        <v>108</v>
      </c>
      <c r="F4986" s="3">
        <v>2019</v>
      </c>
      <c r="G4986" s="12">
        <v>5265</v>
      </c>
      <c r="H4986" s="12">
        <v>6318</v>
      </c>
      <c r="I4986" s="72">
        <v>0.04</v>
      </c>
      <c r="J4986" s="12">
        <v>132</v>
      </c>
    </row>
    <row r="4987" spans="3:10" x14ac:dyDescent="0.35">
      <c r="C4987" t="s">
        <v>259</v>
      </c>
      <c r="D4987" t="s">
        <v>34</v>
      </c>
      <c r="E4987" s="3" t="s">
        <v>152</v>
      </c>
      <c r="F4987" s="3">
        <v>2019</v>
      </c>
      <c r="G4987" s="12">
        <v>6318</v>
      </c>
      <c r="H4987" s="12">
        <v>7371</v>
      </c>
      <c r="I4987" s="72">
        <v>4.4999999999999998E-2</v>
      </c>
      <c r="J4987" s="12">
        <v>174</v>
      </c>
    </row>
    <row r="4988" spans="3:10" x14ac:dyDescent="0.35">
      <c r="C4988" t="s">
        <v>259</v>
      </c>
      <c r="D4988" t="s">
        <v>34</v>
      </c>
      <c r="E4988" s="3" t="s">
        <v>153</v>
      </c>
      <c r="F4988" s="3">
        <v>2019</v>
      </c>
      <c r="G4988" s="12">
        <v>7371</v>
      </c>
      <c r="H4988" s="12">
        <v>8424</v>
      </c>
      <c r="I4988" s="72">
        <v>0.05</v>
      </c>
      <c r="J4988" s="12">
        <v>221</v>
      </c>
    </row>
    <row r="4989" spans="3:10" x14ac:dyDescent="0.35">
      <c r="C4989" t="s">
        <v>259</v>
      </c>
      <c r="D4989" t="s">
        <v>34</v>
      </c>
      <c r="E4989" s="3" t="s">
        <v>154</v>
      </c>
      <c r="F4989" s="3">
        <v>2019</v>
      </c>
      <c r="G4989" s="12">
        <v>8424</v>
      </c>
      <c r="H4989" s="12"/>
      <c r="I4989" s="72">
        <v>5.3999999999999999E-2</v>
      </c>
      <c r="J4989" s="12">
        <v>274</v>
      </c>
    </row>
    <row r="4990" spans="3:10" x14ac:dyDescent="0.35">
      <c r="C4990" t="s">
        <v>259</v>
      </c>
      <c r="D4990" t="s">
        <v>35</v>
      </c>
      <c r="E4990" s="3" t="s">
        <v>85</v>
      </c>
      <c r="F4990" s="3">
        <v>2019</v>
      </c>
      <c r="G4990" s="12">
        <v>0</v>
      </c>
      <c r="H4990" s="12">
        <v>104</v>
      </c>
      <c r="I4990" s="72">
        <v>0</v>
      </c>
      <c r="J4990" s="12">
        <v>0</v>
      </c>
    </row>
    <row r="4991" spans="3:10" x14ac:dyDescent="0.35">
      <c r="C4991" t="s">
        <v>259</v>
      </c>
      <c r="D4991" t="s">
        <v>35</v>
      </c>
      <c r="E4991" s="3" t="s">
        <v>87</v>
      </c>
      <c r="F4991" s="3">
        <v>2019</v>
      </c>
      <c r="G4991" s="12">
        <v>104</v>
      </c>
      <c r="H4991" s="12">
        <v>1053</v>
      </c>
      <c r="I4991" s="72">
        <v>1.4999999999999999E-2</v>
      </c>
      <c r="J4991" s="12">
        <v>0</v>
      </c>
    </row>
    <row r="4992" spans="3:10" x14ac:dyDescent="0.35">
      <c r="C4992" t="s">
        <v>259</v>
      </c>
      <c r="D4992" t="s">
        <v>35</v>
      </c>
      <c r="E4992" s="3" t="s">
        <v>88</v>
      </c>
      <c r="F4992" s="3">
        <v>2019</v>
      </c>
      <c r="G4992" s="12">
        <v>1053</v>
      </c>
      <c r="H4992" s="12">
        <v>2106</v>
      </c>
      <c r="I4992" s="72">
        <v>0.02</v>
      </c>
      <c r="J4992" s="12">
        <v>16</v>
      </c>
    </row>
    <row r="4993" spans="3:10" x14ac:dyDescent="0.35">
      <c r="C4993" t="s">
        <v>259</v>
      </c>
      <c r="D4993" t="s">
        <v>35</v>
      </c>
      <c r="E4993" s="3" t="s">
        <v>105</v>
      </c>
      <c r="F4993" s="3">
        <v>2019</v>
      </c>
      <c r="G4993" s="12">
        <v>2106</v>
      </c>
      <c r="H4993" s="12">
        <v>3159</v>
      </c>
      <c r="I4993" s="72">
        <v>2.5000000000000001E-2</v>
      </c>
      <c r="J4993" s="12">
        <v>37</v>
      </c>
    </row>
    <row r="4994" spans="3:10" x14ac:dyDescent="0.35">
      <c r="C4994" t="s">
        <v>259</v>
      </c>
      <c r="D4994" t="s">
        <v>35</v>
      </c>
      <c r="E4994" s="3" t="s">
        <v>106</v>
      </c>
      <c r="F4994" s="3">
        <v>2019</v>
      </c>
      <c r="G4994" s="12">
        <v>3159</v>
      </c>
      <c r="H4994" s="12">
        <v>4212</v>
      </c>
      <c r="I4994" s="72">
        <v>0.03</v>
      </c>
      <c r="J4994" s="12">
        <v>63</v>
      </c>
    </row>
    <row r="4995" spans="3:10" x14ac:dyDescent="0.35">
      <c r="C4995" t="s">
        <v>259</v>
      </c>
      <c r="D4995" t="s">
        <v>35</v>
      </c>
      <c r="E4995" s="3" t="s">
        <v>107</v>
      </c>
      <c r="F4995" s="3">
        <v>2019</v>
      </c>
      <c r="G4995" s="12">
        <v>4212</v>
      </c>
      <c r="H4995" s="12">
        <v>5265</v>
      </c>
      <c r="I4995" s="72">
        <v>3.5000000000000003E-2</v>
      </c>
      <c r="J4995" s="12">
        <v>95</v>
      </c>
    </row>
    <row r="4996" spans="3:10" x14ac:dyDescent="0.35">
      <c r="C4996" t="s">
        <v>259</v>
      </c>
      <c r="D4996" t="s">
        <v>35</v>
      </c>
      <c r="E4996" s="3" t="s">
        <v>108</v>
      </c>
      <c r="F4996" s="3">
        <v>2019</v>
      </c>
      <c r="G4996" s="12">
        <v>5265</v>
      </c>
      <c r="H4996" s="12">
        <v>6318</v>
      </c>
      <c r="I4996" s="72">
        <v>0.04</v>
      </c>
      <c r="J4996" s="12">
        <v>132</v>
      </c>
    </row>
    <row r="4997" spans="3:10" x14ac:dyDescent="0.35">
      <c r="C4997" t="s">
        <v>259</v>
      </c>
      <c r="D4997" t="s">
        <v>35</v>
      </c>
      <c r="E4997" s="3" t="s">
        <v>152</v>
      </c>
      <c r="F4997" s="3">
        <v>2019</v>
      </c>
      <c r="G4997" s="12">
        <v>6318</v>
      </c>
      <c r="H4997" s="12">
        <v>7371</v>
      </c>
      <c r="I4997" s="72">
        <v>4.4999999999999998E-2</v>
      </c>
      <c r="J4997" s="12">
        <v>174</v>
      </c>
    </row>
    <row r="4998" spans="3:10" x14ac:dyDescent="0.35">
      <c r="C4998" t="s">
        <v>259</v>
      </c>
      <c r="D4998" t="s">
        <v>35</v>
      </c>
      <c r="E4998" s="3" t="s">
        <v>153</v>
      </c>
      <c r="F4998" s="3">
        <v>2019</v>
      </c>
      <c r="G4998" s="12">
        <v>7371</v>
      </c>
      <c r="H4998" s="12">
        <v>8424</v>
      </c>
      <c r="I4998" s="72">
        <v>0.05</v>
      </c>
      <c r="J4998" s="12">
        <v>221</v>
      </c>
    </row>
    <row r="4999" spans="3:10" x14ac:dyDescent="0.35">
      <c r="C4999" t="s">
        <v>259</v>
      </c>
      <c r="D4999" t="s">
        <v>35</v>
      </c>
      <c r="E4999" s="3" t="s">
        <v>154</v>
      </c>
      <c r="F4999" s="3">
        <v>2019</v>
      </c>
      <c r="G4999" s="12">
        <v>8424</v>
      </c>
      <c r="H4999" s="12"/>
      <c r="I4999" s="72">
        <v>5.3999999999999999E-2</v>
      </c>
      <c r="J4999" s="12">
        <v>274</v>
      </c>
    </row>
    <row r="5000" spans="3:10" x14ac:dyDescent="0.35">
      <c r="C5000" t="s">
        <v>259</v>
      </c>
      <c r="D5000" t="s">
        <v>41</v>
      </c>
      <c r="E5000" s="3" t="s">
        <v>85</v>
      </c>
      <c r="F5000" s="3">
        <v>2019</v>
      </c>
      <c r="G5000" s="12">
        <v>0</v>
      </c>
      <c r="H5000" s="12">
        <v>104</v>
      </c>
      <c r="I5000" s="72">
        <v>0</v>
      </c>
      <c r="J5000" s="12">
        <v>0</v>
      </c>
    </row>
    <row r="5001" spans="3:10" x14ac:dyDescent="0.35">
      <c r="C5001" t="s">
        <v>259</v>
      </c>
      <c r="D5001" t="s">
        <v>41</v>
      </c>
      <c r="E5001" s="3" t="s">
        <v>87</v>
      </c>
      <c r="F5001" s="3">
        <v>2019</v>
      </c>
      <c r="G5001" s="12">
        <v>104</v>
      </c>
      <c r="H5001" s="12">
        <v>1053</v>
      </c>
      <c r="I5001" s="72">
        <v>1.4999999999999999E-2</v>
      </c>
      <c r="J5001" s="12">
        <v>0</v>
      </c>
    </row>
    <row r="5002" spans="3:10" x14ac:dyDescent="0.35">
      <c r="C5002" t="s">
        <v>259</v>
      </c>
      <c r="D5002" t="s">
        <v>41</v>
      </c>
      <c r="E5002" s="3" t="s">
        <v>88</v>
      </c>
      <c r="F5002" s="3">
        <v>2019</v>
      </c>
      <c r="G5002" s="12">
        <v>1053</v>
      </c>
      <c r="H5002" s="12">
        <v>2106</v>
      </c>
      <c r="I5002" s="72">
        <v>0.02</v>
      </c>
      <c r="J5002" s="12">
        <v>16</v>
      </c>
    </row>
    <row r="5003" spans="3:10" x14ac:dyDescent="0.35">
      <c r="C5003" t="s">
        <v>259</v>
      </c>
      <c r="D5003" t="s">
        <v>41</v>
      </c>
      <c r="E5003" s="3" t="s">
        <v>105</v>
      </c>
      <c r="F5003" s="3">
        <v>2019</v>
      </c>
      <c r="G5003" s="12">
        <v>2106</v>
      </c>
      <c r="H5003" s="12">
        <v>3159</v>
      </c>
      <c r="I5003" s="72">
        <v>2.5000000000000001E-2</v>
      </c>
      <c r="J5003" s="12">
        <v>37</v>
      </c>
    </row>
    <row r="5004" spans="3:10" x14ac:dyDescent="0.35">
      <c r="C5004" t="s">
        <v>259</v>
      </c>
      <c r="D5004" t="s">
        <v>41</v>
      </c>
      <c r="E5004" s="3" t="s">
        <v>106</v>
      </c>
      <c r="F5004" s="3">
        <v>2019</v>
      </c>
      <c r="G5004" s="12">
        <v>3159</v>
      </c>
      <c r="H5004" s="12">
        <v>4212</v>
      </c>
      <c r="I5004" s="72">
        <v>0.03</v>
      </c>
      <c r="J5004" s="12">
        <v>63</v>
      </c>
    </row>
    <row r="5005" spans="3:10" x14ac:dyDescent="0.35">
      <c r="C5005" t="s">
        <v>259</v>
      </c>
      <c r="D5005" t="s">
        <v>41</v>
      </c>
      <c r="E5005" s="3" t="s">
        <v>107</v>
      </c>
      <c r="F5005" s="3">
        <v>2019</v>
      </c>
      <c r="G5005" s="12">
        <v>4212</v>
      </c>
      <c r="H5005" s="12">
        <v>5265</v>
      </c>
      <c r="I5005" s="72">
        <v>3.5000000000000003E-2</v>
      </c>
      <c r="J5005" s="12">
        <v>95</v>
      </c>
    </row>
    <row r="5006" spans="3:10" x14ac:dyDescent="0.35">
      <c r="C5006" t="s">
        <v>259</v>
      </c>
      <c r="D5006" t="s">
        <v>41</v>
      </c>
      <c r="E5006" s="3" t="s">
        <v>108</v>
      </c>
      <c r="F5006" s="3">
        <v>2019</v>
      </c>
      <c r="G5006" s="12">
        <v>5265</v>
      </c>
      <c r="H5006" s="12">
        <v>6318</v>
      </c>
      <c r="I5006" s="72">
        <v>0.04</v>
      </c>
      <c r="J5006" s="12">
        <v>132</v>
      </c>
    </row>
    <row r="5007" spans="3:10" x14ac:dyDescent="0.35">
      <c r="C5007" t="s">
        <v>259</v>
      </c>
      <c r="D5007" t="s">
        <v>41</v>
      </c>
      <c r="E5007" s="3" t="s">
        <v>152</v>
      </c>
      <c r="F5007" s="3">
        <v>2019</v>
      </c>
      <c r="G5007" s="12">
        <v>6318</v>
      </c>
      <c r="H5007" s="12">
        <v>7371</v>
      </c>
      <c r="I5007" s="72">
        <v>4.4999999999999998E-2</v>
      </c>
      <c r="J5007" s="12">
        <v>174</v>
      </c>
    </row>
    <row r="5008" spans="3:10" x14ac:dyDescent="0.35">
      <c r="C5008" t="s">
        <v>259</v>
      </c>
      <c r="D5008" t="s">
        <v>41</v>
      </c>
      <c r="E5008" s="3" t="s">
        <v>153</v>
      </c>
      <c r="F5008" s="3">
        <v>2019</v>
      </c>
      <c r="G5008" s="12">
        <v>7371</v>
      </c>
      <c r="H5008" s="12">
        <v>8424</v>
      </c>
      <c r="I5008" s="72">
        <v>0.05</v>
      </c>
      <c r="J5008" s="12">
        <v>221</v>
      </c>
    </row>
    <row r="5009" spans="3:10" x14ac:dyDescent="0.35">
      <c r="C5009" t="s">
        <v>259</v>
      </c>
      <c r="D5009" t="s">
        <v>41</v>
      </c>
      <c r="E5009" s="3" t="s">
        <v>154</v>
      </c>
      <c r="F5009" s="3">
        <v>2019</v>
      </c>
      <c r="G5009" s="12">
        <v>8424</v>
      </c>
      <c r="H5009" s="12"/>
      <c r="I5009" s="72">
        <v>5.3999999999999999E-2</v>
      </c>
      <c r="J5009" s="12">
        <v>274</v>
      </c>
    </row>
    <row r="5010" spans="3:10" x14ac:dyDescent="0.35">
      <c r="C5010" t="s">
        <v>259</v>
      </c>
      <c r="D5010" t="s">
        <v>33</v>
      </c>
      <c r="E5010" s="3" t="s">
        <v>85</v>
      </c>
      <c r="F5010" s="3">
        <v>2020</v>
      </c>
      <c r="G5010" s="12">
        <v>0</v>
      </c>
      <c r="H5010" s="12">
        <v>106</v>
      </c>
      <c r="I5010" s="72">
        <v>0</v>
      </c>
      <c r="J5010" s="12">
        <v>0</v>
      </c>
    </row>
    <row r="5011" spans="3:10" x14ac:dyDescent="0.35">
      <c r="C5011" t="s">
        <v>259</v>
      </c>
      <c r="D5011" t="s">
        <v>33</v>
      </c>
      <c r="E5011" s="3" t="s">
        <v>87</v>
      </c>
      <c r="F5011" s="3">
        <v>2020</v>
      </c>
      <c r="G5011" s="12">
        <v>106</v>
      </c>
      <c r="H5011" s="12">
        <v>1073</v>
      </c>
      <c r="I5011" s="72">
        <v>1.4999999999999999E-2</v>
      </c>
      <c r="J5011" s="12">
        <v>0</v>
      </c>
    </row>
    <row r="5012" spans="3:10" x14ac:dyDescent="0.35">
      <c r="C5012" t="s">
        <v>259</v>
      </c>
      <c r="D5012" t="s">
        <v>33</v>
      </c>
      <c r="E5012" s="3" t="s">
        <v>88</v>
      </c>
      <c r="F5012" s="3">
        <v>2020</v>
      </c>
      <c r="G5012" s="12">
        <v>1073</v>
      </c>
      <c r="H5012" s="12">
        <v>2146</v>
      </c>
      <c r="I5012" s="72">
        <v>0.02</v>
      </c>
      <c r="J5012" s="12">
        <v>16</v>
      </c>
    </row>
    <row r="5013" spans="3:10" x14ac:dyDescent="0.35">
      <c r="C5013" t="s">
        <v>259</v>
      </c>
      <c r="D5013" t="s">
        <v>33</v>
      </c>
      <c r="E5013" s="3" t="s">
        <v>105</v>
      </c>
      <c r="F5013" s="3">
        <v>2020</v>
      </c>
      <c r="G5013" s="12">
        <v>2146</v>
      </c>
      <c r="H5013" s="12">
        <v>3219</v>
      </c>
      <c r="I5013" s="72">
        <v>2.5000000000000001E-2</v>
      </c>
      <c r="J5013" s="12">
        <v>37</v>
      </c>
    </row>
    <row r="5014" spans="3:10" x14ac:dyDescent="0.35">
      <c r="C5014" t="s">
        <v>259</v>
      </c>
      <c r="D5014" t="s">
        <v>33</v>
      </c>
      <c r="E5014" s="3" t="s">
        <v>106</v>
      </c>
      <c r="F5014" s="3">
        <v>2020</v>
      </c>
      <c r="G5014" s="12">
        <v>3219</v>
      </c>
      <c r="H5014" s="12">
        <v>4292</v>
      </c>
      <c r="I5014" s="72">
        <v>0.03</v>
      </c>
      <c r="J5014" s="12">
        <v>64</v>
      </c>
    </row>
    <row r="5015" spans="3:10" x14ac:dyDescent="0.35">
      <c r="C5015" t="s">
        <v>259</v>
      </c>
      <c r="D5015" t="s">
        <v>33</v>
      </c>
      <c r="E5015" s="3" t="s">
        <v>107</v>
      </c>
      <c r="F5015" s="3">
        <v>2020</v>
      </c>
      <c r="G5015" s="12">
        <v>4292</v>
      </c>
      <c r="H5015" s="12">
        <v>5365</v>
      </c>
      <c r="I5015" s="72">
        <v>3.5000000000000003E-2</v>
      </c>
      <c r="J5015" s="12">
        <v>96</v>
      </c>
    </row>
    <row r="5016" spans="3:10" x14ac:dyDescent="0.35">
      <c r="C5016" t="s">
        <v>259</v>
      </c>
      <c r="D5016" t="s">
        <v>33</v>
      </c>
      <c r="E5016" s="3" t="s">
        <v>108</v>
      </c>
      <c r="F5016" s="3">
        <v>2020</v>
      </c>
      <c r="G5016" s="12">
        <v>5365</v>
      </c>
      <c r="H5016" s="12">
        <v>6438</v>
      </c>
      <c r="I5016" s="72">
        <v>0.04</v>
      </c>
      <c r="J5016" s="12">
        <v>134</v>
      </c>
    </row>
    <row r="5017" spans="3:10" x14ac:dyDescent="0.35">
      <c r="C5017" t="s">
        <v>259</v>
      </c>
      <c r="D5017" t="s">
        <v>33</v>
      </c>
      <c r="E5017" s="3" t="s">
        <v>152</v>
      </c>
      <c r="F5017" s="3">
        <v>2020</v>
      </c>
      <c r="G5017" s="12">
        <v>6438</v>
      </c>
      <c r="H5017" s="12">
        <v>7511</v>
      </c>
      <c r="I5017" s="72">
        <v>4.4999999999999998E-2</v>
      </c>
      <c r="J5017" s="12">
        <v>177</v>
      </c>
    </row>
    <row r="5018" spans="3:10" x14ac:dyDescent="0.35">
      <c r="C5018" t="s">
        <v>259</v>
      </c>
      <c r="D5018" t="s">
        <v>33</v>
      </c>
      <c r="E5018" s="3" t="s">
        <v>153</v>
      </c>
      <c r="F5018" s="3">
        <v>2020</v>
      </c>
      <c r="G5018" s="12">
        <v>7511</v>
      </c>
      <c r="H5018" s="12">
        <v>8584</v>
      </c>
      <c r="I5018" s="72">
        <v>0.05</v>
      </c>
      <c r="J5018" s="12">
        <v>225</v>
      </c>
    </row>
    <row r="5019" spans="3:10" x14ac:dyDescent="0.35">
      <c r="C5019" t="s">
        <v>259</v>
      </c>
      <c r="D5019" t="s">
        <v>33</v>
      </c>
      <c r="E5019" s="3" t="s">
        <v>154</v>
      </c>
      <c r="F5019" s="3">
        <v>2020</v>
      </c>
      <c r="G5019" s="12">
        <v>8584</v>
      </c>
      <c r="H5019" s="12"/>
      <c r="I5019" s="72">
        <v>5.3999999999999999E-2</v>
      </c>
      <c r="J5019" s="12">
        <v>279</v>
      </c>
    </row>
    <row r="5020" spans="3:10" x14ac:dyDescent="0.35">
      <c r="C5020" t="s">
        <v>259</v>
      </c>
      <c r="D5020" t="s">
        <v>34</v>
      </c>
      <c r="E5020" s="3" t="s">
        <v>85</v>
      </c>
      <c r="F5020" s="3">
        <v>2020</v>
      </c>
      <c r="G5020" s="12">
        <v>0</v>
      </c>
      <c r="H5020" s="12">
        <v>106</v>
      </c>
      <c r="I5020" s="72">
        <v>0</v>
      </c>
      <c r="J5020" s="12">
        <v>0</v>
      </c>
    </row>
    <row r="5021" spans="3:10" x14ac:dyDescent="0.35">
      <c r="C5021" t="s">
        <v>259</v>
      </c>
      <c r="D5021" t="s">
        <v>34</v>
      </c>
      <c r="E5021" s="3" t="s">
        <v>87</v>
      </c>
      <c r="F5021" s="3">
        <v>2020</v>
      </c>
      <c r="G5021" s="12">
        <v>106</v>
      </c>
      <c r="H5021" s="12">
        <v>1073</v>
      </c>
      <c r="I5021" s="72">
        <v>1.4999999999999999E-2</v>
      </c>
      <c r="J5021" s="12">
        <v>0</v>
      </c>
    </row>
    <row r="5022" spans="3:10" x14ac:dyDescent="0.35">
      <c r="C5022" t="s">
        <v>259</v>
      </c>
      <c r="D5022" t="s">
        <v>34</v>
      </c>
      <c r="E5022" s="3" t="s">
        <v>88</v>
      </c>
      <c r="F5022" s="3">
        <v>2020</v>
      </c>
      <c r="G5022" s="12">
        <v>1073</v>
      </c>
      <c r="H5022" s="12">
        <v>2146</v>
      </c>
      <c r="I5022" s="72">
        <v>0.02</v>
      </c>
      <c r="J5022" s="12">
        <v>16</v>
      </c>
    </row>
    <row r="5023" spans="3:10" x14ac:dyDescent="0.35">
      <c r="C5023" t="s">
        <v>259</v>
      </c>
      <c r="D5023" t="s">
        <v>34</v>
      </c>
      <c r="E5023" s="3" t="s">
        <v>105</v>
      </c>
      <c r="F5023" s="3">
        <v>2020</v>
      </c>
      <c r="G5023" s="12">
        <v>2146</v>
      </c>
      <c r="H5023" s="12">
        <v>3219</v>
      </c>
      <c r="I5023" s="72">
        <v>2.5000000000000001E-2</v>
      </c>
      <c r="J5023" s="12">
        <v>37</v>
      </c>
    </row>
    <row r="5024" spans="3:10" x14ac:dyDescent="0.35">
      <c r="C5024" t="s">
        <v>259</v>
      </c>
      <c r="D5024" t="s">
        <v>34</v>
      </c>
      <c r="E5024" s="3" t="s">
        <v>106</v>
      </c>
      <c r="F5024" s="3">
        <v>2020</v>
      </c>
      <c r="G5024" s="12">
        <v>3219</v>
      </c>
      <c r="H5024" s="12">
        <v>4292</v>
      </c>
      <c r="I5024" s="72">
        <v>0.03</v>
      </c>
      <c r="J5024" s="12">
        <v>64</v>
      </c>
    </row>
    <row r="5025" spans="3:10" x14ac:dyDescent="0.35">
      <c r="C5025" t="s">
        <v>259</v>
      </c>
      <c r="D5025" t="s">
        <v>34</v>
      </c>
      <c r="E5025" s="3" t="s">
        <v>107</v>
      </c>
      <c r="F5025" s="3">
        <v>2020</v>
      </c>
      <c r="G5025" s="12">
        <v>4292</v>
      </c>
      <c r="H5025" s="12">
        <v>5365</v>
      </c>
      <c r="I5025" s="72">
        <v>3.5000000000000003E-2</v>
      </c>
      <c r="J5025" s="12">
        <v>96</v>
      </c>
    </row>
    <row r="5026" spans="3:10" x14ac:dyDescent="0.35">
      <c r="C5026" t="s">
        <v>259</v>
      </c>
      <c r="D5026" t="s">
        <v>34</v>
      </c>
      <c r="E5026" s="3" t="s">
        <v>108</v>
      </c>
      <c r="F5026" s="3">
        <v>2020</v>
      </c>
      <c r="G5026" s="12">
        <v>5365</v>
      </c>
      <c r="H5026" s="12">
        <v>6438</v>
      </c>
      <c r="I5026" s="72">
        <v>0.04</v>
      </c>
      <c r="J5026" s="12">
        <v>134</v>
      </c>
    </row>
    <row r="5027" spans="3:10" x14ac:dyDescent="0.35">
      <c r="C5027" t="s">
        <v>259</v>
      </c>
      <c r="D5027" t="s">
        <v>34</v>
      </c>
      <c r="E5027" s="3" t="s">
        <v>152</v>
      </c>
      <c r="F5027" s="3">
        <v>2020</v>
      </c>
      <c r="G5027" s="12">
        <v>6438</v>
      </c>
      <c r="H5027" s="12">
        <v>7511</v>
      </c>
      <c r="I5027" s="72">
        <v>4.4999999999999998E-2</v>
      </c>
      <c r="J5027" s="12">
        <v>177</v>
      </c>
    </row>
    <row r="5028" spans="3:10" x14ac:dyDescent="0.35">
      <c r="C5028" t="s">
        <v>259</v>
      </c>
      <c r="D5028" t="s">
        <v>34</v>
      </c>
      <c r="E5028" s="3" t="s">
        <v>153</v>
      </c>
      <c r="F5028" s="3">
        <v>2020</v>
      </c>
      <c r="G5028" s="12">
        <v>7511</v>
      </c>
      <c r="H5028" s="12">
        <v>8584</v>
      </c>
      <c r="I5028" s="72">
        <v>0.05</v>
      </c>
      <c r="J5028" s="12">
        <v>225</v>
      </c>
    </row>
    <row r="5029" spans="3:10" x14ac:dyDescent="0.35">
      <c r="C5029" t="s">
        <v>259</v>
      </c>
      <c r="D5029" t="s">
        <v>34</v>
      </c>
      <c r="E5029" s="3" t="s">
        <v>154</v>
      </c>
      <c r="F5029" s="3">
        <v>2020</v>
      </c>
      <c r="G5029" s="12">
        <v>8584</v>
      </c>
      <c r="H5029" s="12"/>
      <c r="I5029" s="72">
        <v>5.3999999999999999E-2</v>
      </c>
      <c r="J5029" s="12">
        <v>279</v>
      </c>
    </row>
    <row r="5030" spans="3:10" x14ac:dyDescent="0.35">
      <c r="C5030" t="s">
        <v>259</v>
      </c>
      <c r="D5030" t="s">
        <v>35</v>
      </c>
      <c r="E5030" s="3" t="s">
        <v>85</v>
      </c>
      <c r="F5030" s="3">
        <v>2020</v>
      </c>
      <c r="G5030" s="12">
        <v>0</v>
      </c>
      <c r="H5030" s="12">
        <v>106</v>
      </c>
      <c r="I5030" s="72">
        <v>0</v>
      </c>
      <c r="J5030" s="12">
        <v>0</v>
      </c>
    </row>
    <row r="5031" spans="3:10" x14ac:dyDescent="0.35">
      <c r="C5031" t="s">
        <v>259</v>
      </c>
      <c r="D5031" t="s">
        <v>35</v>
      </c>
      <c r="E5031" s="3" t="s">
        <v>87</v>
      </c>
      <c r="F5031" s="3">
        <v>2020</v>
      </c>
      <c r="G5031" s="12">
        <v>106</v>
      </c>
      <c r="H5031" s="12">
        <v>1073</v>
      </c>
      <c r="I5031" s="72">
        <v>1.4999999999999999E-2</v>
      </c>
      <c r="J5031" s="12">
        <v>0</v>
      </c>
    </row>
    <row r="5032" spans="3:10" x14ac:dyDescent="0.35">
      <c r="C5032" t="s">
        <v>259</v>
      </c>
      <c r="D5032" t="s">
        <v>35</v>
      </c>
      <c r="E5032" s="3" t="s">
        <v>88</v>
      </c>
      <c r="F5032" s="3">
        <v>2020</v>
      </c>
      <c r="G5032" s="12">
        <v>1073</v>
      </c>
      <c r="H5032" s="12">
        <v>2146</v>
      </c>
      <c r="I5032" s="72">
        <v>0.02</v>
      </c>
      <c r="J5032" s="12">
        <v>16</v>
      </c>
    </row>
    <row r="5033" spans="3:10" x14ac:dyDescent="0.35">
      <c r="C5033" t="s">
        <v>259</v>
      </c>
      <c r="D5033" t="s">
        <v>35</v>
      </c>
      <c r="E5033" s="3" t="s">
        <v>105</v>
      </c>
      <c r="F5033" s="3">
        <v>2020</v>
      </c>
      <c r="G5033" s="12">
        <v>2146</v>
      </c>
      <c r="H5033" s="12">
        <v>3219</v>
      </c>
      <c r="I5033" s="72">
        <v>2.5000000000000001E-2</v>
      </c>
      <c r="J5033" s="12">
        <v>37</v>
      </c>
    </row>
    <row r="5034" spans="3:10" x14ac:dyDescent="0.35">
      <c r="C5034" t="s">
        <v>259</v>
      </c>
      <c r="D5034" t="s">
        <v>35</v>
      </c>
      <c r="E5034" s="3" t="s">
        <v>106</v>
      </c>
      <c r="F5034" s="3">
        <v>2020</v>
      </c>
      <c r="G5034" s="12">
        <v>3219</v>
      </c>
      <c r="H5034" s="12">
        <v>4292</v>
      </c>
      <c r="I5034" s="72">
        <v>0.03</v>
      </c>
      <c r="J5034" s="12">
        <v>64</v>
      </c>
    </row>
    <row r="5035" spans="3:10" x14ac:dyDescent="0.35">
      <c r="C5035" t="s">
        <v>259</v>
      </c>
      <c r="D5035" t="s">
        <v>35</v>
      </c>
      <c r="E5035" s="3" t="s">
        <v>107</v>
      </c>
      <c r="F5035" s="3">
        <v>2020</v>
      </c>
      <c r="G5035" s="12">
        <v>4292</v>
      </c>
      <c r="H5035" s="12">
        <v>5365</v>
      </c>
      <c r="I5035" s="72">
        <v>3.5000000000000003E-2</v>
      </c>
      <c r="J5035" s="12">
        <v>96</v>
      </c>
    </row>
    <row r="5036" spans="3:10" x14ac:dyDescent="0.35">
      <c r="C5036" t="s">
        <v>259</v>
      </c>
      <c r="D5036" t="s">
        <v>35</v>
      </c>
      <c r="E5036" s="3" t="s">
        <v>108</v>
      </c>
      <c r="F5036" s="3">
        <v>2020</v>
      </c>
      <c r="G5036" s="12">
        <v>5365</v>
      </c>
      <c r="H5036" s="12">
        <v>6438</v>
      </c>
      <c r="I5036" s="72">
        <v>0.04</v>
      </c>
      <c r="J5036" s="12">
        <v>134</v>
      </c>
    </row>
    <row r="5037" spans="3:10" x14ac:dyDescent="0.35">
      <c r="C5037" t="s">
        <v>259</v>
      </c>
      <c r="D5037" t="s">
        <v>35</v>
      </c>
      <c r="E5037" s="3" t="s">
        <v>152</v>
      </c>
      <c r="F5037" s="3">
        <v>2020</v>
      </c>
      <c r="G5037" s="12">
        <v>6438</v>
      </c>
      <c r="H5037" s="12">
        <v>7511</v>
      </c>
      <c r="I5037" s="72">
        <v>4.4999999999999998E-2</v>
      </c>
      <c r="J5037" s="12">
        <v>177</v>
      </c>
    </row>
    <row r="5038" spans="3:10" x14ac:dyDescent="0.35">
      <c r="C5038" t="s">
        <v>259</v>
      </c>
      <c r="D5038" t="s">
        <v>35</v>
      </c>
      <c r="E5038" s="3" t="s">
        <v>153</v>
      </c>
      <c r="F5038" s="3">
        <v>2020</v>
      </c>
      <c r="G5038" s="12">
        <v>7511</v>
      </c>
      <c r="H5038" s="12">
        <v>8584</v>
      </c>
      <c r="I5038" s="72">
        <v>0.05</v>
      </c>
      <c r="J5038" s="12">
        <v>225</v>
      </c>
    </row>
    <row r="5039" spans="3:10" x14ac:dyDescent="0.35">
      <c r="C5039" t="s">
        <v>259</v>
      </c>
      <c r="D5039" t="s">
        <v>35</v>
      </c>
      <c r="E5039" s="3" t="s">
        <v>154</v>
      </c>
      <c r="F5039" s="3">
        <v>2020</v>
      </c>
      <c r="G5039" s="12">
        <v>8584</v>
      </c>
      <c r="H5039" s="12"/>
      <c r="I5039" s="72">
        <v>5.3999999999999999E-2</v>
      </c>
      <c r="J5039" s="12">
        <v>279</v>
      </c>
    </row>
    <row r="5040" spans="3:10" x14ac:dyDescent="0.35">
      <c r="C5040" t="s">
        <v>259</v>
      </c>
      <c r="D5040" t="s">
        <v>41</v>
      </c>
      <c r="E5040" s="3" t="s">
        <v>85</v>
      </c>
      <c r="F5040" s="3">
        <v>2020</v>
      </c>
      <c r="G5040" s="12">
        <v>0</v>
      </c>
      <c r="H5040" s="12">
        <v>106</v>
      </c>
      <c r="I5040" s="72">
        <v>0</v>
      </c>
      <c r="J5040" s="12">
        <v>0</v>
      </c>
    </row>
    <row r="5041" spans="3:10" x14ac:dyDescent="0.35">
      <c r="C5041" t="s">
        <v>259</v>
      </c>
      <c r="D5041" t="s">
        <v>41</v>
      </c>
      <c r="E5041" s="3" t="s">
        <v>87</v>
      </c>
      <c r="F5041" s="3">
        <v>2020</v>
      </c>
      <c r="G5041" s="12">
        <v>106</v>
      </c>
      <c r="H5041" s="12">
        <v>1073</v>
      </c>
      <c r="I5041" s="72">
        <v>1.4999999999999999E-2</v>
      </c>
      <c r="J5041" s="12">
        <v>0</v>
      </c>
    </row>
    <row r="5042" spans="3:10" x14ac:dyDescent="0.35">
      <c r="C5042" t="s">
        <v>259</v>
      </c>
      <c r="D5042" t="s">
        <v>41</v>
      </c>
      <c r="E5042" s="3" t="s">
        <v>88</v>
      </c>
      <c r="F5042" s="3">
        <v>2020</v>
      </c>
      <c r="G5042" s="12">
        <v>1073</v>
      </c>
      <c r="H5042" s="12">
        <v>2146</v>
      </c>
      <c r="I5042" s="72">
        <v>0.02</v>
      </c>
      <c r="J5042" s="12">
        <v>16</v>
      </c>
    </row>
    <row r="5043" spans="3:10" x14ac:dyDescent="0.35">
      <c r="C5043" t="s">
        <v>259</v>
      </c>
      <c r="D5043" t="s">
        <v>41</v>
      </c>
      <c r="E5043" s="3" t="s">
        <v>105</v>
      </c>
      <c r="F5043" s="3">
        <v>2020</v>
      </c>
      <c r="G5043" s="12">
        <v>2146</v>
      </c>
      <c r="H5043" s="12">
        <v>3219</v>
      </c>
      <c r="I5043" s="72">
        <v>2.5000000000000001E-2</v>
      </c>
      <c r="J5043" s="12">
        <v>37</v>
      </c>
    </row>
    <row r="5044" spans="3:10" x14ac:dyDescent="0.35">
      <c r="C5044" t="s">
        <v>259</v>
      </c>
      <c r="D5044" t="s">
        <v>41</v>
      </c>
      <c r="E5044" s="3" t="s">
        <v>106</v>
      </c>
      <c r="F5044" s="3">
        <v>2020</v>
      </c>
      <c r="G5044" s="12">
        <v>3219</v>
      </c>
      <c r="H5044" s="12">
        <v>4292</v>
      </c>
      <c r="I5044" s="72">
        <v>0.03</v>
      </c>
      <c r="J5044" s="12">
        <v>64</v>
      </c>
    </row>
    <row r="5045" spans="3:10" x14ac:dyDescent="0.35">
      <c r="C5045" t="s">
        <v>259</v>
      </c>
      <c r="D5045" t="s">
        <v>41</v>
      </c>
      <c r="E5045" s="3" t="s">
        <v>107</v>
      </c>
      <c r="F5045" s="3">
        <v>2020</v>
      </c>
      <c r="G5045" s="12">
        <v>4292</v>
      </c>
      <c r="H5045" s="12">
        <v>5365</v>
      </c>
      <c r="I5045" s="72">
        <v>3.5000000000000003E-2</v>
      </c>
      <c r="J5045" s="12">
        <v>96</v>
      </c>
    </row>
    <row r="5046" spans="3:10" x14ac:dyDescent="0.35">
      <c r="C5046" t="s">
        <v>259</v>
      </c>
      <c r="D5046" t="s">
        <v>41</v>
      </c>
      <c r="E5046" s="3" t="s">
        <v>108</v>
      </c>
      <c r="F5046" s="3">
        <v>2020</v>
      </c>
      <c r="G5046" s="12">
        <v>5365</v>
      </c>
      <c r="H5046" s="12">
        <v>6438</v>
      </c>
      <c r="I5046" s="72">
        <v>0.04</v>
      </c>
      <c r="J5046" s="12">
        <v>134</v>
      </c>
    </row>
    <row r="5047" spans="3:10" x14ac:dyDescent="0.35">
      <c r="C5047" t="s">
        <v>259</v>
      </c>
      <c r="D5047" t="s">
        <v>41</v>
      </c>
      <c r="E5047" s="3" t="s">
        <v>152</v>
      </c>
      <c r="F5047" s="3">
        <v>2020</v>
      </c>
      <c r="G5047" s="12">
        <v>6438</v>
      </c>
      <c r="H5047" s="12">
        <v>7511</v>
      </c>
      <c r="I5047" s="72">
        <v>4.4999999999999998E-2</v>
      </c>
      <c r="J5047" s="12">
        <v>177</v>
      </c>
    </row>
    <row r="5048" spans="3:10" x14ac:dyDescent="0.35">
      <c r="C5048" t="s">
        <v>259</v>
      </c>
      <c r="D5048" t="s">
        <v>41</v>
      </c>
      <c r="E5048" s="3" t="s">
        <v>153</v>
      </c>
      <c r="F5048" s="3">
        <v>2020</v>
      </c>
      <c r="G5048" s="12">
        <v>7511</v>
      </c>
      <c r="H5048" s="12">
        <v>8584</v>
      </c>
      <c r="I5048" s="72">
        <v>0.05</v>
      </c>
      <c r="J5048" s="12">
        <v>225</v>
      </c>
    </row>
    <row r="5049" spans="3:10" x14ac:dyDescent="0.35">
      <c r="C5049" t="s">
        <v>259</v>
      </c>
      <c r="D5049" t="s">
        <v>41</v>
      </c>
      <c r="E5049" s="3" t="s">
        <v>154</v>
      </c>
      <c r="F5049" s="3">
        <v>2020</v>
      </c>
      <c r="G5049" s="12">
        <v>8584</v>
      </c>
      <c r="H5049" s="12"/>
      <c r="I5049" s="72">
        <v>5.3999999999999999E-2</v>
      </c>
      <c r="J5049" s="12">
        <v>279</v>
      </c>
    </row>
    <row r="5050" spans="3:10" x14ac:dyDescent="0.35">
      <c r="C5050" t="s">
        <v>259</v>
      </c>
      <c r="D5050" t="s">
        <v>33</v>
      </c>
      <c r="E5050" s="3" t="s">
        <v>85</v>
      </c>
      <c r="F5050" s="3">
        <v>2021</v>
      </c>
      <c r="G5050" s="12">
        <v>0</v>
      </c>
      <c r="H5050" s="12">
        <v>108</v>
      </c>
      <c r="I5050" s="72">
        <v>0</v>
      </c>
      <c r="J5050" s="12">
        <v>0</v>
      </c>
    </row>
    <row r="5051" spans="3:10" x14ac:dyDescent="0.35">
      <c r="C5051" t="s">
        <v>259</v>
      </c>
      <c r="D5051" t="s">
        <v>33</v>
      </c>
      <c r="E5051" s="3" t="s">
        <v>87</v>
      </c>
      <c r="F5051" s="3">
        <v>2021</v>
      </c>
      <c r="G5051" s="12">
        <v>108</v>
      </c>
      <c r="H5051" s="12">
        <v>1088</v>
      </c>
      <c r="I5051" s="72">
        <v>1.4999999999999999E-2</v>
      </c>
      <c r="J5051" s="12">
        <v>0</v>
      </c>
    </row>
    <row r="5052" spans="3:10" x14ac:dyDescent="0.35">
      <c r="C5052" t="s">
        <v>259</v>
      </c>
      <c r="D5052" t="s">
        <v>33</v>
      </c>
      <c r="E5052" s="3" t="s">
        <v>88</v>
      </c>
      <c r="F5052" s="3">
        <v>2021</v>
      </c>
      <c r="G5052" s="12">
        <v>1088</v>
      </c>
      <c r="H5052" s="12">
        <v>2176</v>
      </c>
      <c r="I5052" s="72">
        <v>0.02</v>
      </c>
      <c r="J5052" s="12">
        <v>16</v>
      </c>
    </row>
    <row r="5053" spans="3:10" x14ac:dyDescent="0.35">
      <c r="C5053" t="s">
        <v>259</v>
      </c>
      <c r="D5053" t="s">
        <v>33</v>
      </c>
      <c r="E5053" s="3" t="s">
        <v>105</v>
      </c>
      <c r="F5053" s="3">
        <v>2021</v>
      </c>
      <c r="G5053" s="12">
        <v>2176</v>
      </c>
      <c r="H5053" s="12">
        <v>3264</v>
      </c>
      <c r="I5053" s="72">
        <v>2.5000000000000001E-2</v>
      </c>
      <c r="J5053" s="12">
        <v>38</v>
      </c>
    </row>
    <row r="5054" spans="3:10" x14ac:dyDescent="0.35">
      <c r="C5054" t="s">
        <v>259</v>
      </c>
      <c r="D5054" t="s">
        <v>33</v>
      </c>
      <c r="E5054" s="3" t="s">
        <v>106</v>
      </c>
      <c r="F5054" s="3">
        <v>2021</v>
      </c>
      <c r="G5054" s="12">
        <v>3264</v>
      </c>
      <c r="H5054" s="12">
        <v>4352</v>
      </c>
      <c r="I5054" s="72">
        <v>0.03</v>
      </c>
      <c r="J5054" s="12">
        <v>65</v>
      </c>
    </row>
    <row r="5055" spans="3:10" x14ac:dyDescent="0.35">
      <c r="C5055" t="s">
        <v>259</v>
      </c>
      <c r="D5055" t="s">
        <v>33</v>
      </c>
      <c r="E5055" s="3" t="s">
        <v>107</v>
      </c>
      <c r="F5055" s="3">
        <v>2021</v>
      </c>
      <c r="G5055" s="12">
        <v>4352</v>
      </c>
      <c r="H5055" s="12">
        <v>5440</v>
      </c>
      <c r="I5055" s="72">
        <v>3.5000000000000003E-2</v>
      </c>
      <c r="J5055" s="12">
        <v>98</v>
      </c>
    </row>
    <row r="5056" spans="3:10" x14ac:dyDescent="0.35">
      <c r="C5056" t="s">
        <v>259</v>
      </c>
      <c r="D5056" t="s">
        <v>33</v>
      </c>
      <c r="E5056" s="3" t="s">
        <v>108</v>
      </c>
      <c r="F5056" s="3">
        <v>2021</v>
      </c>
      <c r="G5056" s="12">
        <v>5440</v>
      </c>
      <c r="H5056" s="12">
        <v>6528</v>
      </c>
      <c r="I5056" s="72">
        <v>0.04</v>
      </c>
      <c r="J5056" s="12">
        <v>136</v>
      </c>
    </row>
    <row r="5057" spans="3:10" x14ac:dyDescent="0.35">
      <c r="C5057" t="s">
        <v>259</v>
      </c>
      <c r="D5057" t="s">
        <v>33</v>
      </c>
      <c r="E5057" s="3" t="s">
        <v>152</v>
      </c>
      <c r="F5057" s="3">
        <v>2021</v>
      </c>
      <c r="G5057" s="12">
        <v>6528</v>
      </c>
      <c r="H5057" s="12">
        <v>7616</v>
      </c>
      <c r="I5057" s="72">
        <v>4.4999999999999998E-2</v>
      </c>
      <c r="J5057" s="12">
        <v>180</v>
      </c>
    </row>
    <row r="5058" spans="3:10" x14ac:dyDescent="0.35">
      <c r="C5058" t="s">
        <v>259</v>
      </c>
      <c r="D5058" t="s">
        <v>33</v>
      </c>
      <c r="E5058" s="3" t="s">
        <v>153</v>
      </c>
      <c r="F5058" s="3">
        <v>2021</v>
      </c>
      <c r="G5058" s="12">
        <v>7616</v>
      </c>
      <c r="H5058" s="12">
        <v>8704</v>
      </c>
      <c r="I5058" s="72">
        <v>0.05</v>
      </c>
      <c r="J5058" s="12">
        <v>229</v>
      </c>
    </row>
    <row r="5059" spans="3:10" x14ac:dyDescent="0.35">
      <c r="C5059" t="s">
        <v>259</v>
      </c>
      <c r="D5059" t="s">
        <v>33</v>
      </c>
      <c r="E5059" s="3" t="s">
        <v>154</v>
      </c>
      <c r="F5059" s="3">
        <v>2021</v>
      </c>
      <c r="G5059" s="12">
        <v>8704</v>
      </c>
      <c r="H5059" s="12"/>
      <c r="I5059" s="72">
        <v>5.3999999999999999E-2</v>
      </c>
      <c r="J5059" s="12">
        <v>283</v>
      </c>
    </row>
    <row r="5060" spans="3:10" x14ac:dyDescent="0.35">
      <c r="C5060" t="s">
        <v>259</v>
      </c>
      <c r="D5060" t="s">
        <v>34</v>
      </c>
      <c r="E5060" s="3" t="s">
        <v>85</v>
      </c>
      <c r="F5060" s="3">
        <v>2021</v>
      </c>
      <c r="G5060" s="12">
        <v>0</v>
      </c>
      <c r="H5060" s="12">
        <v>108</v>
      </c>
      <c r="I5060" s="72">
        <v>0</v>
      </c>
      <c r="J5060" s="12">
        <v>0</v>
      </c>
    </row>
    <row r="5061" spans="3:10" x14ac:dyDescent="0.35">
      <c r="C5061" t="s">
        <v>259</v>
      </c>
      <c r="D5061" t="s">
        <v>34</v>
      </c>
      <c r="E5061" s="3" t="s">
        <v>87</v>
      </c>
      <c r="F5061" s="3">
        <v>2021</v>
      </c>
      <c r="G5061" s="12">
        <v>108</v>
      </c>
      <c r="H5061" s="12">
        <v>1088</v>
      </c>
      <c r="I5061" s="72">
        <v>1.4999999999999999E-2</v>
      </c>
      <c r="J5061" s="12">
        <v>0</v>
      </c>
    </row>
    <row r="5062" spans="3:10" x14ac:dyDescent="0.35">
      <c r="C5062" t="s">
        <v>259</v>
      </c>
      <c r="D5062" t="s">
        <v>34</v>
      </c>
      <c r="E5062" s="3" t="s">
        <v>88</v>
      </c>
      <c r="F5062" s="3">
        <v>2021</v>
      </c>
      <c r="G5062" s="12">
        <v>1088</v>
      </c>
      <c r="H5062" s="12">
        <v>2176</v>
      </c>
      <c r="I5062" s="72">
        <v>0.02</v>
      </c>
      <c r="J5062" s="12">
        <v>16</v>
      </c>
    </row>
    <row r="5063" spans="3:10" x14ac:dyDescent="0.35">
      <c r="C5063" t="s">
        <v>259</v>
      </c>
      <c r="D5063" t="s">
        <v>34</v>
      </c>
      <c r="E5063" s="3" t="s">
        <v>105</v>
      </c>
      <c r="F5063" s="3">
        <v>2021</v>
      </c>
      <c r="G5063" s="12">
        <v>2176</v>
      </c>
      <c r="H5063" s="12">
        <v>3264</v>
      </c>
      <c r="I5063" s="72">
        <v>2.5000000000000001E-2</v>
      </c>
      <c r="J5063" s="12">
        <v>38</v>
      </c>
    </row>
    <row r="5064" spans="3:10" x14ac:dyDescent="0.35">
      <c r="C5064" t="s">
        <v>259</v>
      </c>
      <c r="D5064" t="s">
        <v>34</v>
      </c>
      <c r="E5064" s="3" t="s">
        <v>106</v>
      </c>
      <c r="F5064" s="3">
        <v>2021</v>
      </c>
      <c r="G5064" s="12">
        <v>3264</v>
      </c>
      <c r="H5064" s="12">
        <v>4352</v>
      </c>
      <c r="I5064" s="72">
        <v>0.03</v>
      </c>
      <c r="J5064" s="12">
        <v>65</v>
      </c>
    </row>
    <row r="5065" spans="3:10" x14ac:dyDescent="0.35">
      <c r="C5065" t="s">
        <v>259</v>
      </c>
      <c r="D5065" t="s">
        <v>34</v>
      </c>
      <c r="E5065" s="3" t="s">
        <v>107</v>
      </c>
      <c r="F5065" s="3">
        <v>2021</v>
      </c>
      <c r="G5065" s="12">
        <v>4352</v>
      </c>
      <c r="H5065" s="12">
        <v>5440</v>
      </c>
      <c r="I5065" s="72">
        <v>3.5000000000000003E-2</v>
      </c>
      <c r="J5065" s="12">
        <v>98</v>
      </c>
    </row>
    <row r="5066" spans="3:10" x14ac:dyDescent="0.35">
      <c r="C5066" t="s">
        <v>259</v>
      </c>
      <c r="D5066" t="s">
        <v>34</v>
      </c>
      <c r="E5066" s="3" t="s">
        <v>108</v>
      </c>
      <c r="F5066" s="3">
        <v>2021</v>
      </c>
      <c r="G5066" s="12">
        <v>5440</v>
      </c>
      <c r="H5066" s="12">
        <v>6528</v>
      </c>
      <c r="I5066" s="72">
        <v>0.04</v>
      </c>
      <c r="J5066" s="12">
        <v>136</v>
      </c>
    </row>
    <row r="5067" spans="3:10" x14ac:dyDescent="0.35">
      <c r="C5067" t="s">
        <v>259</v>
      </c>
      <c r="D5067" t="s">
        <v>34</v>
      </c>
      <c r="E5067" s="3" t="s">
        <v>152</v>
      </c>
      <c r="F5067" s="3">
        <v>2021</v>
      </c>
      <c r="G5067" s="12">
        <v>6528</v>
      </c>
      <c r="H5067" s="12">
        <v>7616</v>
      </c>
      <c r="I5067" s="72">
        <v>4.4999999999999998E-2</v>
      </c>
      <c r="J5067" s="12">
        <v>180</v>
      </c>
    </row>
    <row r="5068" spans="3:10" x14ac:dyDescent="0.35">
      <c r="C5068" t="s">
        <v>259</v>
      </c>
      <c r="D5068" t="s">
        <v>34</v>
      </c>
      <c r="E5068" s="3" t="s">
        <v>153</v>
      </c>
      <c r="F5068" s="3">
        <v>2021</v>
      </c>
      <c r="G5068" s="12">
        <v>7616</v>
      </c>
      <c r="H5068" s="12">
        <v>8704</v>
      </c>
      <c r="I5068" s="72">
        <v>0.05</v>
      </c>
      <c r="J5068" s="12">
        <v>229</v>
      </c>
    </row>
    <row r="5069" spans="3:10" x14ac:dyDescent="0.35">
      <c r="C5069" t="s">
        <v>259</v>
      </c>
      <c r="D5069" t="s">
        <v>34</v>
      </c>
      <c r="E5069" s="3" t="s">
        <v>154</v>
      </c>
      <c r="F5069" s="3">
        <v>2021</v>
      </c>
      <c r="G5069" s="12">
        <v>8704</v>
      </c>
      <c r="H5069" s="12"/>
      <c r="I5069" s="72">
        <v>5.3999999999999999E-2</v>
      </c>
      <c r="J5069" s="12">
        <v>283</v>
      </c>
    </row>
    <row r="5070" spans="3:10" x14ac:dyDescent="0.35">
      <c r="C5070" t="s">
        <v>259</v>
      </c>
      <c r="D5070" t="s">
        <v>35</v>
      </c>
      <c r="E5070" s="3" t="s">
        <v>85</v>
      </c>
      <c r="F5070" s="3">
        <v>2021</v>
      </c>
      <c r="G5070" s="12">
        <v>0</v>
      </c>
      <c r="H5070" s="12">
        <v>108</v>
      </c>
      <c r="I5070" s="72">
        <v>0</v>
      </c>
      <c r="J5070" s="12">
        <v>0</v>
      </c>
    </row>
    <row r="5071" spans="3:10" x14ac:dyDescent="0.35">
      <c r="C5071" t="s">
        <v>259</v>
      </c>
      <c r="D5071" t="s">
        <v>35</v>
      </c>
      <c r="E5071" s="3" t="s">
        <v>87</v>
      </c>
      <c r="F5071" s="3">
        <v>2021</v>
      </c>
      <c r="G5071" s="12">
        <v>108</v>
      </c>
      <c r="H5071" s="12">
        <v>1088</v>
      </c>
      <c r="I5071" s="72">
        <v>1.4999999999999999E-2</v>
      </c>
      <c r="J5071" s="12">
        <v>0</v>
      </c>
    </row>
    <row r="5072" spans="3:10" x14ac:dyDescent="0.35">
      <c r="C5072" t="s">
        <v>259</v>
      </c>
      <c r="D5072" t="s">
        <v>35</v>
      </c>
      <c r="E5072" s="3" t="s">
        <v>88</v>
      </c>
      <c r="F5072" s="3">
        <v>2021</v>
      </c>
      <c r="G5072" s="12">
        <v>1088</v>
      </c>
      <c r="H5072" s="12">
        <v>2176</v>
      </c>
      <c r="I5072" s="72">
        <v>0.02</v>
      </c>
      <c r="J5072" s="12">
        <v>16</v>
      </c>
    </row>
    <row r="5073" spans="3:10" x14ac:dyDescent="0.35">
      <c r="C5073" t="s">
        <v>259</v>
      </c>
      <c r="D5073" t="s">
        <v>35</v>
      </c>
      <c r="E5073" s="3" t="s">
        <v>105</v>
      </c>
      <c r="F5073" s="3">
        <v>2021</v>
      </c>
      <c r="G5073" s="12">
        <v>2176</v>
      </c>
      <c r="H5073" s="12">
        <v>3264</v>
      </c>
      <c r="I5073" s="72">
        <v>2.5000000000000001E-2</v>
      </c>
      <c r="J5073" s="12">
        <v>38</v>
      </c>
    </row>
    <row r="5074" spans="3:10" x14ac:dyDescent="0.35">
      <c r="C5074" t="s">
        <v>259</v>
      </c>
      <c r="D5074" t="s">
        <v>35</v>
      </c>
      <c r="E5074" s="3" t="s">
        <v>106</v>
      </c>
      <c r="F5074" s="3">
        <v>2021</v>
      </c>
      <c r="G5074" s="12">
        <v>3264</v>
      </c>
      <c r="H5074" s="12">
        <v>4352</v>
      </c>
      <c r="I5074" s="72">
        <v>0.03</v>
      </c>
      <c r="J5074" s="12">
        <v>65</v>
      </c>
    </row>
    <row r="5075" spans="3:10" x14ac:dyDescent="0.35">
      <c r="C5075" t="s">
        <v>259</v>
      </c>
      <c r="D5075" t="s">
        <v>35</v>
      </c>
      <c r="E5075" s="3" t="s">
        <v>107</v>
      </c>
      <c r="F5075" s="3">
        <v>2021</v>
      </c>
      <c r="G5075" s="12">
        <v>4352</v>
      </c>
      <c r="H5075" s="12">
        <v>5440</v>
      </c>
      <c r="I5075" s="72">
        <v>3.5000000000000003E-2</v>
      </c>
      <c r="J5075" s="12">
        <v>98</v>
      </c>
    </row>
    <row r="5076" spans="3:10" x14ac:dyDescent="0.35">
      <c r="C5076" t="s">
        <v>259</v>
      </c>
      <c r="D5076" t="s">
        <v>35</v>
      </c>
      <c r="E5076" s="3" t="s">
        <v>108</v>
      </c>
      <c r="F5076" s="3">
        <v>2021</v>
      </c>
      <c r="G5076" s="12">
        <v>5440</v>
      </c>
      <c r="H5076" s="12">
        <v>6528</v>
      </c>
      <c r="I5076" s="72">
        <v>0.04</v>
      </c>
      <c r="J5076" s="12">
        <v>136</v>
      </c>
    </row>
    <row r="5077" spans="3:10" x14ac:dyDescent="0.35">
      <c r="C5077" t="s">
        <v>259</v>
      </c>
      <c r="D5077" t="s">
        <v>35</v>
      </c>
      <c r="E5077" s="3" t="s">
        <v>152</v>
      </c>
      <c r="F5077" s="3">
        <v>2021</v>
      </c>
      <c r="G5077" s="12">
        <v>6528</v>
      </c>
      <c r="H5077" s="12">
        <v>7616</v>
      </c>
      <c r="I5077" s="72">
        <v>4.4999999999999998E-2</v>
      </c>
      <c r="J5077" s="12">
        <v>180</v>
      </c>
    </row>
    <row r="5078" spans="3:10" x14ac:dyDescent="0.35">
      <c r="C5078" t="s">
        <v>259</v>
      </c>
      <c r="D5078" t="s">
        <v>35</v>
      </c>
      <c r="E5078" s="3" t="s">
        <v>153</v>
      </c>
      <c r="F5078" s="3">
        <v>2021</v>
      </c>
      <c r="G5078" s="12">
        <v>7616</v>
      </c>
      <c r="H5078" s="12">
        <v>8704</v>
      </c>
      <c r="I5078" s="72">
        <v>0.05</v>
      </c>
      <c r="J5078" s="12">
        <v>229</v>
      </c>
    </row>
    <row r="5079" spans="3:10" x14ac:dyDescent="0.35">
      <c r="C5079" t="s">
        <v>259</v>
      </c>
      <c r="D5079" t="s">
        <v>35</v>
      </c>
      <c r="E5079" s="3" t="s">
        <v>154</v>
      </c>
      <c r="F5079" s="3">
        <v>2021</v>
      </c>
      <c r="G5079" s="12">
        <v>8704</v>
      </c>
      <c r="H5079" s="12"/>
      <c r="I5079" s="72">
        <v>5.3999999999999999E-2</v>
      </c>
      <c r="J5079" s="12">
        <v>283</v>
      </c>
    </row>
    <row r="5080" spans="3:10" x14ac:dyDescent="0.35">
      <c r="C5080" t="s">
        <v>259</v>
      </c>
      <c r="D5080" t="s">
        <v>41</v>
      </c>
      <c r="E5080" s="3" t="s">
        <v>85</v>
      </c>
      <c r="F5080" s="3">
        <v>2021</v>
      </c>
      <c r="G5080" s="12">
        <v>0</v>
      </c>
      <c r="H5080" s="12">
        <v>108</v>
      </c>
      <c r="I5080" s="72">
        <v>0</v>
      </c>
      <c r="J5080" s="12">
        <v>0</v>
      </c>
    </row>
    <row r="5081" spans="3:10" x14ac:dyDescent="0.35">
      <c r="C5081" t="s">
        <v>259</v>
      </c>
      <c r="D5081" t="s">
        <v>41</v>
      </c>
      <c r="E5081" s="3" t="s">
        <v>87</v>
      </c>
      <c r="F5081" s="3">
        <v>2021</v>
      </c>
      <c r="G5081" s="12">
        <v>108</v>
      </c>
      <c r="H5081" s="12">
        <v>1088</v>
      </c>
      <c r="I5081" s="72">
        <v>1.4999999999999999E-2</v>
      </c>
      <c r="J5081" s="12">
        <v>0</v>
      </c>
    </row>
    <row r="5082" spans="3:10" x14ac:dyDescent="0.35">
      <c r="C5082" t="s">
        <v>259</v>
      </c>
      <c r="D5082" t="s">
        <v>41</v>
      </c>
      <c r="E5082" s="3" t="s">
        <v>88</v>
      </c>
      <c r="F5082" s="3">
        <v>2021</v>
      </c>
      <c r="G5082" s="12">
        <v>1088</v>
      </c>
      <c r="H5082" s="12">
        <v>2176</v>
      </c>
      <c r="I5082" s="72">
        <v>0.02</v>
      </c>
      <c r="J5082" s="12">
        <v>16</v>
      </c>
    </row>
    <row r="5083" spans="3:10" x14ac:dyDescent="0.35">
      <c r="C5083" t="s">
        <v>259</v>
      </c>
      <c r="D5083" t="s">
        <v>41</v>
      </c>
      <c r="E5083" s="3" t="s">
        <v>105</v>
      </c>
      <c r="F5083" s="3">
        <v>2021</v>
      </c>
      <c r="G5083" s="12">
        <v>2176</v>
      </c>
      <c r="H5083" s="12">
        <v>3264</v>
      </c>
      <c r="I5083" s="72">
        <v>2.5000000000000001E-2</v>
      </c>
      <c r="J5083" s="12">
        <v>38</v>
      </c>
    </row>
    <row r="5084" spans="3:10" x14ac:dyDescent="0.35">
      <c r="C5084" t="s">
        <v>259</v>
      </c>
      <c r="D5084" t="s">
        <v>41</v>
      </c>
      <c r="E5084" s="3" t="s">
        <v>106</v>
      </c>
      <c r="F5084" s="3">
        <v>2021</v>
      </c>
      <c r="G5084" s="12">
        <v>3264</v>
      </c>
      <c r="H5084" s="12">
        <v>4352</v>
      </c>
      <c r="I5084" s="72">
        <v>0.03</v>
      </c>
      <c r="J5084" s="12">
        <v>65</v>
      </c>
    </row>
    <row r="5085" spans="3:10" x14ac:dyDescent="0.35">
      <c r="C5085" t="s">
        <v>259</v>
      </c>
      <c r="D5085" t="s">
        <v>41</v>
      </c>
      <c r="E5085" s="3" t="s">
        <v>107</v>
      </c>
      <c r="F5085" s="3">
        <v>2021</v>
      </c>
      <c r="G5085" s="12">
        <v>4352</v>
      </c>
      <c r="H5085" s="12">
        <v>5440</v>
      </c>
      <c r="I5085" s="72">
        <v>3.5000000000000003E-2</v>
      </c>
      <c r="J5085" s="12">
        <v>98</v>
      </c>
    </row>
    <row r="5086" spans="3:10" x14ac:dyDescent="0.35">
      <c r="C5086" t="s">
        <v>259</v>
      </c>
      <c r="D5086" t="s">
        <v>41</v>
      </c>
      <c r="E5086" s="3" t="s">
        <v>108</v>
      </c>
      <c r="F5086" s="3">
        <v>2021</v>
      </c>
      <c r="G5086" s="12">
        <v>5440</v>
      </c>
      <c r="H5086" s="12">
        <v>6528</v>
      </c>
      <c r="I5086" s="72">
        <v>0.04</v>
      </c>
      <c r="J5086" s="12">
        <v>136</v>
      </c>
    </row>
    <row r="5087" spans="3:10" x14ac:dyDescent="0.35">
      <c r="C5087" t="s">
        <v>259</v>
      </c>
      <c r="D5087" t="s">
        <v>41</v>
      </c>
      <c r="E5087" s="3" t="s">
        <v>152</v>
      </c>
      <c r="F5087" s="3">
        <v>2021</v>
      </c>
      <c r="G5087" s="12">
        <v>6528</v>
      </c>
      <c r="H5087" s="12">
        <v>7616</v>
      </c>
      <c r="I5087" s="72">
        <v>4.4999999999999998E-2</v>
      </c>
      <c r="J5087" s="12">
        <v>180</v>
      </c>
    </row>
    <row r="5088" spans="3:10" x14ac:dyDescent="0.35">
      <c r="C5088" t="s">
        <v>259</v>
      </c>
      <c r="D5088" t="s">
        <v>41</v>
      </c>
      <c r="E5088" s="3" t="s">
        <v>153</v>
      </c>
      <c r="F5088" s="3">
        <v>2021</v>
      </c>
      <c r="G5088" s="12">
        <v>7616</v>
      </c>
      <c r="H5088" s="12">
        <v>8704</v>
      </c>
      <c r="I5088" s="72">
        <v>0.05</v>
      </c>
      <c r="J5088" s="12">
        <v>229</v>
      </c>
    </row>
    <row r="5089" spans="3:10" x14ac:dyDescent="0.35">
      <c r="C5089" t="s">
        <v>259</v>
      </c>
      <c r="D5089" t="s">
        <v>41</v>
      </c>
      <c r="E5089" s="3" t="s">
        <v>154</v>
      </c>
      <c r="F5089" s="3">
        <v>2021</v>
      </c>
      <c r="G5089" s="12">
        <v>8704</v>
      </c>
      <c r="H5089" s="12"/>
      <c r="I5089" s="72">
        <v>5.3999999999999999E-2</v>
      </c>
      <c r="J5089" s="12">
        <v>283</v>
      </c>
    </row>
    <row r="5090" spans="3:10" x14ac:dyDescent="0.35">
      <c r="C5090" t="s">
        <v>259</v>
      </c>
      <c r="D5090" t="s">
        <v>33</v>
      </c>
      <c r="E5090" s="3" t="s">
        <v>85</v>
      </c>
      <c r="F5090" s="3">
        <v>2022</v>
      </c>
      <c r="G5090" s="12">
        <v>0</v>
      </c>
      <c r="H5090" s="12">
        <v>111</v>
      </c>
      <c r="I5090" s="72">
        <v>0</v>
      </c>
      <c r="J5090" s="12">
        <v>0</v>
      </c>
    </row>
    <row r="5091" spans="3:10" x14ac:dyDescent="0.35">
      <c r="C5091" t="s">
        <v>259</v>
      </c>
      <c r="D5091" t="s">
        <v>33</v>
      </c>
      <c r="E5091" s="3" t="s">
        <v>87</v>
      </c>
      <c r="F5091" s="3">
        <v>2022</v>
      </c>
      <c r="G5091" s="12">
        <v>111</v>
      </c>
      <c r="H5091" s="12">
        <v>1121</v>
      </c>
      <c r="I5091" s="72">
        <v>1.4999999999999999E-2</v>
      </c>
      <c r="J5091" s="12">
        <v>0</v>
      </c>
    </row>
    <row r="5092" spans="3:10" x14ac:dyDescent="0.35">
      <c r="C5092" t="s">
        <v>259</v>
      </c>
      <c r="D5092" t="s">
        <v>33</v>
      </c>
      <c r="E5092" s="3" t="s">
        <v>88</v>
      </c>
      <c r="F5092" s="3">
        <v>2022</v>
      </c>
      <c r="G5092" s="12">
        <v>1121</v>
      </c>
      <c r="H5092" s="12">
        <v>2242</v>
      </c>
      <c r="I5092" s="72">
        <v>0.02</v>
      </c>
      <c r="J5092" s="12">
        <v>17</v>
      </c>
    </row>
    <row r="5093" spans="3:10" x14ac:dyDescent="0.35">
      <c r="C5093" t="s">
        <v>259</v>
      </c>
      <c r="D5093" t="s">
        <v>33</v>
      </c>
      <c r="E5093" s="3" t="s">
        <v>105</v>
      </c>
      <c r="F5093" s="3">
        <v>2022</v>
      </c>
      <c r="G5093" s="12">
        <v>2242</v>
      </c>
      <c r="H5093" s="12">
        <v>3363</v>
      </c>
      <c r="I5093" s="72">
        <v>2.5000000000000001E-2</v>
      </c>
      <c r="J5093" s="12">
        <v>39</v>
      </c>
    </row>
    <row r="5094" spans="3:10" x14ac:dyDescent="0.35">
      <c r="C5094" t="s">
        <v>259</v>
      </c>
      <c r="D5094" t="s">
        <v>33</v>
      </c>
      <c r="E5094" s="3" t="s">
        <v>106</v>
      </c>
      <c r="F5094" s="3">
        <v>2022</v>
      </c>
      <c r="G5094" s="12">
        <v>3363</v>
      </c>
      <c r="H5094" s="12">
        <v>4484</v>
      </c>
      <c r="I5094" s="72">
        <v>0.03</v>
      </c>
      <c r="J5094" s="12">
        <v>67</v>
      </c>
    </row>
    <row r="5095" spans="3:10" x14ac:dyDescent="0.35">
      <c r="C5095" t="s">
        <v>259</v>
      </c>
      <c r="D5095" t="s">
        <v>33</v>
      </c>
      <c r="E5095" s="3" t="s">
        <v>107</v>
      </c>
      <c r="F5095" s="3">
        <v>2022</v>
      </c>
      <c r="G5095" s="12">
        <v>4484</v>
      </c>
      <c r="H5095" s="12">
        <v>5605</v>
      </c>
      <c r="I5095" s="72">
        <v>3.5000000000000003E-2</v>
      </c>
      <c r="J5095" s="12">
        <v>101</v>
      </c>
    </row>
    <row r="5096" spans="3:10" x14ac:dyDescent="0.35">
      <c r="C5096" t="s">
        <v>259</v>
      </c>
      <c r="D5096" t="s">
        <v>33</v>
      </c>
      <c r="E5096" s="3" t="s">
        <v>108</v>
      </c>
      <c r="F5096" s="3">
        <v>2022</v>
      </c>
      <c r="G5096" s="12">
        <v>5605</v>
      </c>
      <c r="H5096" s="12">
        <v>6726</v>
      </c>
      <c r="I5096" s="72">
        <v>0.04</v>
      </c>
      <c r="J5096" s="12">
        <v>140</v>
      </c>
    </row>
    <row r="5097" spans="3:10" x14ac:dyDescent="0.35">
      <c r="C5097" t="s">
        <v>259</v>
      </c>
      <c r="D5097" t="s">
        <v>33</v>
      </c>
      <c r="E5097" s="3" t="s">
        <v>152</v>
      </c>
      <c r="F5097" s="3">
        <v>2022</v>
      </c>
      <c r="G5097" s="12">
        <v>6726</v>
      </c>
      <c r="H5097" s="12">
        <v>7847</v>
      </c>
      <c r="I5097" s="72">
        <v>4.4999999999999998E-2</v>
      </c>
      <c r="J5097" s="12">
        <v>185</v>
      </c>
    </row>
    <row r="5098" spans="3:10" x14ac:dyDescent="0.35">
      <c r="C5098" t="s">
        <v>259</v>
      </c>
      <c r="D5098" t="s">
        <v>33</v>
      </c>
      <c r="E5098" s="3" t="s">
        <v>153</v>
      </c>
      <c r="F5098" s="3">
        <v>2022</v>
      </c>
      <c r="G5098" s="12">
        <v>7847</v>
      </c>
      <c r="H5098" s="12">
        <v>8968</v>
      </c>
      <c r="I5098" s="72">
        <v>0.05</v>
      </c>
      <c r="J5098" s="12">
        <v>235</v>
      </c>
    </row>
    <row r="5099" spans="3:10" x14ac:dyDescent="0.35">
      <c r="C5099" t="s">
        <v>259</v>
      </c>
      <c r="D5099" t="s">
        <v>33</v>
      </c>
      <c r="E5099" s="3" t="s">
        <v>154</v>
      </c>
      <c r="F5099" s="3">
        <v>2022</v>
      </c>
      <c r="G5099" s="12">
        <v>8968</v>
      </c>
      <c r="H5099" s="12"/>
      <c r="I5099" s="72">
        <v>5.2999999999999999E-2</v>
      </c>
      <c r="J5099" s="12">
        <v>291</v>
      </c>
    </row>
    <row r="5100" spans="3:10" x14ac:dyDescent="0.35">
      <c r="C5100" t="s">
        <v>259</v>
      </c>
      <c r="D5100" t="s">
        <v>34</v>
      </c>
      <c r="E5100" s="3" t="s">
        <v>85</v>
      </c>
      <c r="F5100" s="3">
        <v>2022</v>
      </c>
      <c r="G5100" s="12">
        <v>0</v>
      </c>
      <c r="H5100" s="12">
        <v>111</v>
      </c>
      <c r="I5100" s="72">
        <v>0</v>
      </c>
      <c r="J5100" s="12">
        <v>0</v>
      </c>
    </row>
    <row r="5101" spans="3:10" x14ac:dyDescent="0.35">
      <c r="C5101" t="s">
        <v>259</v>
      </c>
      <c r="D5101" t="s">
        <v>34</v>
      </c>
      <c r="E5101" s="3" t="s">
        <v>87</v>
      </c>
      <c r="F5101" s="3">
        <v>2022</v>
      </c>
      <c r="G5101" s="12">
        <v>111</v>
      </c>
      <c r="H5101" s="12">
        <v>1121</v>
      </c>
      <c r="I5101" s="72">
        <v>1.4999999999999999E-2</v>
      </c>
      <c r="J5101" s="12">
        <v>0</v>
      </c>
    </row>
    <row r="5102" spans="3:10" x14ac:dyDescent="0.35">
      <c r="C5102" t="s">
        <v>259</v>
      </c>
      <c r="D5102" t="s">
        <v>34</v>
      </c>
      <c r="E5102" s="3" t="s">
        <v>88</v>
      </c>
      <c r="F5102" s="3">
        <v>2022</v>
      </c>
      <c r="G5102" s="12">
        <v>1121</v>
      </c>
      <c r="H5102" s="12">
        <v>2242</v>
      </c>
      <c r="I5102" s="72">
        <v>0.02</v>
      </c>
      <c r="J5102" s="12">
        <v>17</v>
      </c>
    </row>
    <row r="5103" spans="3:10" x14ac:dyDescent="0.35">
      <c r="C5103" t="s">
        <v>259</v>
      </c>
      <c r="D5103" t="s">
        <v>34</v>
      </c>
      <c r="E5103" s="3" t="s">
        <v>105</v>
      </c>
      <c r="F5103" s="3">
        <v>2022</v>
      </c>
      <c r="G5103" s="12">
        <v>2242</v>
      </c>
      <c r="H5103" s="12">
        <v>3363</v>
      </c>
      <c r="I5103" s="72">
        <v>2.5000000000000001E-2</v>
      </c>
      <c r="J5103" s="12">
        <v>39</v>
      </c>
    </row>
    <row r="5104" spans="3:10" x14ac:dyDescent="0.35">
      <c r="C5104" t="s">
        <v>259</v>
      </c>
      <c r="D5104" t="s">
        <v>34</v>
      </c>
      <c r="E5104" s="3" t="s">
        <v>106</v>
      </c>
      <c r="F5104" s="3">
        <v>2022</v>
      </c>
      <c r="G5104" s="12">
        <v>3363</v>
      </c>
      <c r="H5104" s="12">
        <v>4484</v>
      </c>
      <c r="I5104" s="72">
        <v>0.03</v>
      </c>
      <c r="J5104" s="12">
        <v>67</v>
      </c>
    </row>
    <row r="5105" spans="3:10" x14ac:dyDescent="0.35">
      <c r="C5105" t="s">
        <v>259</v>
      </c>
      <c r="D5105" t="s">
        <v>34</v>
      </c>
      <c r="E5105" s="3" t="s">
        <v>107</v>
      </c>
      <c r="F5105" s="3">
        <v>2022</v>
      </c>
      <c r="G5105" s="12">
        <v>4484</v>
      </c>
      <c r="H5105" s="12">
        <v>5605</v>
      </c>
      <c r="I5105" s="72">
        <v>3.5000000000000003E-2</v>
      </c>
      <c r="J5105" s="12">
        <v>101</v>
      </c>
    </row>
    <row r="5106" spans="3:10" x14ac:dyDescent="0.35">
      <c r="C5106" t="s">
        <v>259</v>
      </c>
      <c r="D5106" t="s">
        <v>34</v>
      </c>
      <c r="E5106" s="3" t="s">
        <v>108</v>
      </c>
      <c r="F5106" s="3">
        <v>2022</v>
      </c>
      <c r="G5106" s="12">
        <v>5605</v>
      </c>
      <c r="H5106" s="12">
        <v>6726</v>
      </c>
      <c r="I5106" s="72">
        <v>0.04</v>
      </c>
      <c r="J5106" s="12">
        <v>140</v>
      </c>
    </row>
    <row r="5107" spans="3:10" x14ac:dyDescent="0.35">
      <c r="C5107" t="s">
        <v>259</v>
      </c>
      <c r="D5107" t="s">
        <v>34</v>
      </c>
      <c r="E5107" s="3" t="s">
        <v>152</v>
      </c>
      <c r="F5107" s="3">
        <v>2022</v>
      </c>
      <c r="G5107" s="12">
        <v>6726</v>
      </c>
      <c r="H5107" s="12">
        <v>7847</v>
      </c>
      <c r="I5107" s="72">
        <v>4.4999999999999998E-2</v>
      </c>
      <c r="J5107" s="12">
        <v>185</v>
      </c>
    </row>
    <row r="5108" spans="3:10" x14ac:dyDescent="0.35">
      <c r="C5108" t="s">
        <v>259</v>
      </c>
      <c r="D5108" t="s">
        <v>34</v>
      </c>
      <c r="E5108" s="3" t="s">
        <v>153</v>
      </c>
      <c r="F5108" s="3">
        <v>2022</v>
      </c>
      <c r="G5108" s="12">
        <v>7847</v>
      </c>
      <c r="H5108" s="12">
        <v>8968</v>
      </c>
      <c r="I5108" s="72">
        <v>0.05</v>
      </c>
      <c r="J5108" s="12">
        <v>235</v>
      </c>
    </row>
    <row r="5109" spans="3:10" x14ac:dyDescent="0.35">
      <c r="C5109" t="s">
        <v>259</v>
      </c>
      <c r="D5109" t="s">
        <v>34</v>
      </c>
      <c r="E5109" s="3" t="s">
        <v>154</v>
      </c>
      <c r="F5109" s="3">
        <v>2022</v>
      </c>
      <c r="G5109" s="12">
        <v>8968</v>
      </c>
      <c r="H5109" s="12"/>
      <c r="I5109" s="72">
        <v>5.2999999999999999E-2</v>
      </c>
      <c r="J5109" s="12">
        <v>291</v>
      </c>
    </row>
    <row r="5110" spans="3:10" x14ac:dyDescent="0.35">
      <c r="C5110" t="s">
        <v>259</v>
      </c>
      <c r="D5110" t="s">
        <v>35</v>
      </c>
      <c r="E5110" s="3" t="s">
        <v>85</v>
      </c>
      <c r="F5110" s="3">
        <v>2022</v>
      </c>
      <c r="G5110" s="12">
        <v>0</v>
      </c>
      <c r="H5110" s="12">
        <v>111</v>
      </c>
      <c r="I5110" s="72">
        <v>0</v>
      </c>
      <c r="J5110" s="12">
        <v>0</v>
      </c>
    </row>
    <row r="5111" spans="3:10" x14ac:dyDescent="0.35">
      <c r="C5111" t="s">
        <v>259</v>
      </c>
      <c r="D5111" t="s">
        <v>35</v>
      </c>
      <c r="E5111" s="3" t="s">
        <v>87</v>
      </c>
      <c r="F5111" s="3">
        <v>2022</v>
      </c>
      <c r="G5111" s="12">
        <v>111</v>
      </c>
      <c r="H5111" s="12">
        <v>1121</v>
      </c>
      <c r="I5111" s="72">
        <v>1.4999999999999999E-2</v>
      </c>
      <c r="J5111" s="12">
        <v>0</v>
      </c>
    </row>
    <row r="5112" spans="3:10" x14ac:dyDescent="0.35">
      <c r="C5112" t="s">
        <v>259</v>
      </c>
      <c r="D5112" t="s">
        <v>35</v>
      </c>
      <c r="E5112" s="3" t="s">
        <v>88</v>
      </c>
      <c r="F5112" s="3">
        <v>2022</v>
      </c>
      <c r="G5112" s="12">
        <v>1121</v>
      </c>
      <c r="H5112" s="12">
        <v>2242</v>
      </c>
      <c r="I5112" s="72">
        <v>0.02</v>
      </c>
      <c r="J5112" s="12">
        <v>17</v>
      </c>
    </row>
    <row r="5113" spans="3:10" x14ac:dyDescent="0.35">
      <c r="C5113" t="s">
        <v>259</v>
      </c>
      <c r="D5113" t="s">
        <v>35</v>
      </c>
      <c r="E5113" s="3" t="s">
        <v>105</v>
      </c>
      <c r="F5113" s="3">
        <v>2022</v>
      </c>
      <c r="G5113" s="12">
        <v>2242</v>
      </c>
      <c r="H5113" s="12">
        <v>3363</v>
      </c>
      <c r="I5113" s="72">
        <v>2.5000000000000001E-2</v>
      </c>
      <c r="J5113" s="12">
        <v>39</v>
      </c>
    </row>
    <row r="5114" spans="3:10" x14ac:dyDescent="0.35">
      <c r="C5114" t="s">
        <v>259</v>
      </c>
      <c r="D5114" t="s">
        <v>35</v>
      </c>
      <c r="E5114" s="3" t="s">
        <v>106</v>
      </c>
      <c r="F5114" s="3">
        <v>2022</v>
      </c>
      <c r="G5114" s="12">
        <v>3363</v>
      </c>
      <c r="H5114" s="12">
        <v>4484</v>
      </c>
      <c r="I5114" s="72">
        <v>0.03</v>
      </c>
      <c r="J5114" s="12">
        <v>67</v>
      </c>
    </row>
    <row r="5115" spans="3:10" x14ac:dyDescent="0.35">
      <c r="C5115" t="s">
        <v>259</v>
      </c>
      <c r="D5115" t="s">
        <v>35</v>
      </c>
      <c r="E5115" s="3" t="s">
        <v>107</v>
      </c>
      <c r="F5115" s="3">
        <v>2022</v>
      </c>
      <c r="G5115" s="12">
        <v>4484</v>
      </c>
      <c r="H5115" s="12">
        <v>5605</v>
      </c>
      <c r="I5115" s="72">
        <v>3.5000000000000003E-2</v>
      </c>
      <c r="J5115" s="12">
        <v>101</v>
      </c>
    </row>
    <row r="5116" spans="3:10" x14ac:dyDescent="0.35">
      <c r="C5116" t="s">
        <v>259</v>
      </c>
      <c r="D5116" t="s">
        <v>35</v>
      </c>
      <c r="E5116" s="3" t="s">
        <v>108</v>
      </c>
      <c r="F5116" s="3">
        <v>2022</v>
      </c>
      <c r="G5116" s="12">
        <v>5605</v>
      </c>
      <c r="H5116" s="12">
        <v>6726</v>
      </c>
      <c r="I5116" s="72">
        <v>0.04</v>
      </c>
      <c r="J5116" s="12">
        <v>140</v>
      </c>
    </row>
    <row r="5117" spans="3:10" x14ac:dyDescent="0.35">
      <c r="C5117" t="s">
        <v>259</v>
      </c>
      <c r="D5117" t="s">
        <v>35</v>
      </c>
      <c r="E5117" s="3" t="s">
        <v>152</v>
      </c>
      <c r="F5117" s="3">
        <v>2022</v>
      </c>
      <c r="G5117" s="12">
        <v>6726</v>
      </c>
      <c r="H5117" s="12">
        <v>7847</v>
      </c>
      <c r="I5117" s="72">
        <v>4.4999999999999998E-2</v>
      </c>
      <c r="J5117" s="12">
        <v>185</v>
      </c>
    </row>
    <row r="5118" spans="3:10" x14ac:dyDescent="0.35">
      <c r="C5118" t="s">
        <v>259</v>
      </c>
      <c r="D5118" t="s">
        <v>35</v>
      </c>
      <c r="E5118" s="3" t="s">
        <v>153</v>
      </c>
      <c r="F5118" s="3">
        <v>2022</v>
      </c>
      <c r="G5118" s="12">
        <v>7847</v>
      </c>
      <c r="H5118" s="12">
        <v>8968</v>
      </c>
      <c r="I5118" s="72">
        <v>0.05</v>
      </c>
      <c r="J5118" s="12">
        <v>235</v>
      </c>
    </row>
    <row r="5119" spans="3:10" x14ac:dyDescent="0.35">
      <c r="C5119" t="s">
        <v>259</v>
      </c>
      <c r="D5119" t="s">
        <v>35</v>
      </c>
      <c r="E5119" s="3" t="s">
        <v>154</v>
      </c>
      <c r="F5119" s="3">
        <v>2022</v>
      </c>
      <c r="G5119" s="12">
        <v>8968</v>
      </c>
      <c r="H5119" s="12"/>
      <c r="I5119" s="72">
        <v>5.2999999999999999E-2</v>
      </c>
      <c r="J5119" s="12">
        <v>291</v>
      </c>
    </row>
    <row r="5120" spans="3:10" x14ac:dyDescent="0.35">
      <c r="C5120" t="s">
        <v>259</v>
      </c>
      <c r="D5120" t="s">
        <v>41</v>
      </c>
      <c r="E5120" s="3" t="s">
        <v>85</v>
      </c>
      <c r="F5120" s="3">
        <v>2022</v>
      </c>
      <c r="G5120" s="12">
        <v>0</v>
      </c>
      <c r="H5120" s="12">
        <v>111</v>
      </c>
      <c r="I5120" s="72">
        <v>0</v>
      </c>
      <c r="J5120" s="12">
        <v>0</v>
      </c>
    </row>
    <row r="5121" spans="3:10" x14ac:dyDescent="0.35">
      <c r="C5121" t="s">
        <v>259</v>
      </c>
      <c r="D5121" t="s">
        <v>41</v>
      </c>
      <c r="E5121" s="3" t="s">
        <v>87</v>
      </c>
      <c r="F5121" s="3">
        <v>2022</v>
      </c>
      <c r="G5121" s="12">
        <v>111</v>
      </c>
      <c r="H5121" s="12">
        <v>1121</v>
      </c>
      <c r="I5121" s="72">
        <v>1.4999999999999999E-2</v>
      </c>
      <c r="J5121" s="12">
        <v>0</v>
      </c>
    </row>
    <row r="5122" spans="3:10" x14ac:dyDescent="0.35">
      <c r="C5122" t="s">
        <v>259</v>
      </c>
      <c r="D5122" t="s">
        <v>41</v>
      </c>
      <c r="E5122" s="3" t="s">
        <v>88</v>
      </c>
      <c r="F5122" s="3">
        <v>2022</v>
      </c>
      <c r="G5122" s="12">
        <v>1121</v>
      </c>
      <c r="H5122" s="12">
        <v>2242</v>
      </c>
      <c r="I5122" s="72">
        <v>0.02</v>
      </c>
      <c r="J5122" s="12">
        <v>17</v>
      </c>
    </row>
    <row r="5123" spans="3:10" x14ac:dyDescent="0.35">
      <c r="C5123" t="s">
        <v>259</v>
      </c>
      <c r="D5123" t="s">
        <v>41</v>
      </c>
      <c r="E5123" s="3" t="s">
        <v>105</v>
      </c>
      <c r="F5123" s="3">
        <v>2022</v>
      </c>
      <c r="G5123" s="12">
        <v>2242</v>
      </c>
      <c r="H5123" s="12">
        <v>3363</v>
      </c>
      <c r="I5123" s="72">
        <v>2.5000000000000001E-2</v>
      </c>
      <c r="J5123" s="12">
        <v>39</v>
      </c>
    </row>
    <row r="5124" spans="3:10" x14ac:dyDescent="0.35">
      <c r="C5124" t="s">
        <v>259</v>
      </c>
      <c r="D5124" t="s">
        <v>41</v>
      </c>
      <c r="E5124" s="3" t="s">
        <v>106</v>
      </c>
      <c r="F5124" s="3">
        <v>2022</v>
      </c>
      <c r="G5124" s="12">
        <v>3363</v>
      </c>
      <c r="H5124" s="12">
        <v>4484</v>
      </c>
      <c r="I5124" s="72">
        <v>0.03</v>
      </c>
      <c r="J5124" s="12">
        <v>67</v>
      </c>
    </row>
    <row r="5125" spans="3:10" x14ac:dyDescent="0.35">
      <c r="C5125" t="s">
        <v>259</v>
      </c>
      <c r="D5125" t="s">
        <v>41</v>
      </c>
      <c r="E5125" s="3" t="s">
        <v>107</v>
      </c>
      <c r="F5125" s="3">
        <v>2022</v>
      </c>
      <c r="G5125" s="12">
        <v>4484</v>
      </c>
      <c r="H5125" s="12">
        <v>5605</v>
      </c>
      <c r="I5125" s="72">
        <v>3.5000000000000003E-2</v>
      </c>
      <c r="J5125" s="12">
        <v>101</v>
      </c>
    </row>
    <row r="5126" spans="3:10" x14ac:dyDescent="0.35">
      <c r="C5126" t="s">
        <v>259</v>
      </c>
      <c r="D5126" t="s">
        <v>41</v>
      </c>
      <c r="E5126" s="3" t="s">
        <v>108</v>
      </c>
      <c r="F5126" s="3">
        <v>2022</v>
      </c>
      <c r="G5126" s="12">
        <v>5605</v>
      </c>
      <c r="H5126" s="12">
        <v>6726</v>
      </c>
      <c r="I5126" s="72">
        <v>0.04</v>
      </c>
      <c r="J5126" s="12">
        <v>140</v>
      </c>
    </row>
    <row r="5127" spans="3:10" x14ac:dyDescent="0.35">
      <c r="C5127" t="s">
        <v>259</v>
      </c>
      <c r="D5127" t="s">
        <v>41</v>
      </c>
      <c r="E5127" s="3" t="s">
        <v>152</v>
      </c>
      <c r="F5127" s="3">
        <v>2022</v>
      </c>
      <c r="G5127" s="12">
        <v>6726</v>
      </c>
      <c r="H5127" s="12">
        <v>7847</v>
      </c>
      <c r="I5127" s="72">
        <v>4.4999999999999998E-2</v>
      </c>
      <c r="J5127" s="12">
        <v>185</v>
      </c>
    </row>
    <row r="5128" spans="3:10" x14ac:dyDescent="0.35">
      <c r="C5128" t="s">
        <v>259</v>
      </c>
      <c r="D5128" t="s">
        <v>41</v>
      </c>
      <c r="E5128" s="3" t="s">
        <v>153</v>
      </c>
      <c r="F5128" s="3">
        <v>2022</v>
      </c>
      <c r="G5128" s="12">
        <v>7847</v>
      </c>
      <c r="H5128" s="12">
        <v>8968</v>
      </c>
      <c r="I5128" s="72">
        <v>0.05</v>
      </c>
      <c r="J5128" s="12">
        <v>235</v>
      </c>
    </row>
    <row r="5129" spans="3:10" x14ac:dyDescent="0.35">
      <c r="C5129" t="s">
        <v>259</v>
      </c>
      <c r="D5129" t="s">
        <v>41</v>
      </c>
      <c r="E5129" s="3" t="s">
        <v>154</v>
      </c>
      <c r="F5129" s="3">
        <v>2022</v>
      </c>
      <c r="G5129" s="12">
        <v>8968</v>
      </c>
      <c r="H5129" s="12"/>
      <c r="I5129" s="72">
        <v>5.2999999999999999E-2</v>
      </c>
      <c r="J5129" s="12">
        <v>291</v>
      </c>
    </row>
    <row r="5130" spans="3:10" x14ac:dyDescent="0.35">
      <c r="C5130" t="s">
        <v>259</v>
      </c>
      <c r="D5130" t="s">
        <v>33</v>
      </c>
      <c r="E5130" s="3" t="s">
        <v>85</v>
      </c>
      <c r="F5130" s="3">
        <v>2023</v>
      </c>
      <c r="G5130" s="12">
        <v>0</v>
      </c>
      <c r="H5130" s="12">
        <v>1207</v>
      </c>
      <c r="I5130" s="72">
        <v>0</v>
      </c>
      <c r="J5130" s="12">
        <v>0</v>
      </c>
    </row>
    <row r="5131" spans="3:10" x14ac:dyDescent="0.35">
      <c r="C5131" t="s">
        <v>259</v>
      </c>
      <c r="D5131" t="s">
        <v>33</v>
      </c>
      <c r="E5131" s="3" t="s">
        <v>87</v>
      </c>
      <c r="F5131" s="3">
        <v>2023</v>
      </c>
      <c r="G5131" s="12">
        <f>H5130</f>
        <v>1207</v>
      </c>
      <c r="H5131" s="12">
        <v>2414</v>
      </c>
      <c r="I5131" s="72">
        <v>0.02</v>
      </c>
      <c r="J5131" s="12">
        <v>0</v>
      </c>
    </row>
    <row r="5132" spans="3:10" x14ac:dyDescent="0.35">
      <c r="C5132" t="s">
        <v>259</v>
      </c>
      <c r="D5132" t="s">
        <v>33</v>
      </c>
      <c r="E5132" s="3" t="s">
        <v>88</v>
      </c>
      <c r="F5132" s="3">
        <v>2023</v>
      </c>
      <c r="G5132" s="12">
        <f t="shared" ref="G5132:G5137" si="594">H5131</f>
        <v>2414</v>
      </c>
      <c r="H5132" s="12">
        <v>3621</v>
      </c>
      <c r="I5132" s="72">
        <v>2.5000000000000001E-2</v>
      </c>
      <c r="J5132" s="12">
        <f t="shared" ref="J5132:J5137" si="595">J5131+(H5131-G5131)*I5131</f>
        <v>24.14</v>
      </c>
    </row>
    <row r="5133" spans="3:10" x14ac:dyDescent="0.35">
      <c r="C5133" t="s">
        <v>259</v>
      </c>
      <c r="D5133" t="s">
        <v>33</v>
      </c>
      <c r="E5133" s="3" t="s">
        <v>105</v>
      </c>
      <c r="F5133" s="3">
        <v>2023</v>
      </c>
      <c r="G5133" s="12">
        <f t="shared" si="594"/>
        <v>3621</v>
      </c>
      <c r="H5133" s="12">
        <v>4828</v>
      </c>
      <c r="I5133" s="72">
        <v>0.03</v>
      </c>
      <c r="J5133" s="12">
        <f t="shared" si="595"/>
        <v>54.314999999999998</v>
      </c>
    </row>
    <row r="5134" spans="3:10" x14ac:dyDescent="0.35">
      <c r="C5134" t="s">
        <v>259</v>
      </c>
      <c r="D5134" t="s">
        <v>33</v>
      </c>
      <c r="E5134" s="3" t="s">
        <v>106</v>
      </c>
      <c r="F5134" s="3">
        <v>2023</v>
      </c>
      <c r="G5134" s="12">
        <f t="shared" si="594"/>
        <v>4828</v>
      </c>
      <c r="H5134" s="12">
        <v>6035</v>
      </c>
      <c r="I5134" s="72">
        <v>3.5000000000000003E-2</v>
      </c>
      <c r="J5134" s="12">
        <f t="shared" si="595"/>
        <v>90.525000000000006</v>
      </c>
    </row>
    <row r="5135" spans="3:10" x14ac:dyDescent="0.35">
      <c r="C5135" t="s">
        <v>259</v>
      </c>
      <c r="D5135" t="s">
        <v>33</v>
      </c>
      <c r="E5135" s="3" t="s">
        <v>107</v>
      </c>
      <c r="F5135" s="3">
        <v>2023</v>
      </c>
      <c r="G5135" s="12">
        <f t="shared" si="594"/>
        <v>6035</v>
      </c>
      <c r="H5135" s="12">
        <v>7242</v>
      </c>
      <c r="I5135" s="72">
        <v>0.04</v>
      </c>
      <c r="J5135" s="12">
        <f t="shared" si="595"/>
        <v>132.77000000000001</v>
      </c>
    </row>
    <row r="5136" spans="3:10" x14ac:dyDescent="0.35">
      <c r="C5136" t="s">
        <v>259</v>
      </c>
      <c r="D5136" t="s">
        <v>33</v>
      </c>
      <c r="E5136" s="3" t="s">
        <v>108</v>
      </c>
      <c r="F5136" s="3">
        <v>2023</v>
      </c>
      <c r="G5136" s="12">
        <f t="shared" si="594"/>
        <v>7242</v>
      </c>
      <c r="H5136" s="12">
        <v>8449</v>
      </c>
      <c r="I5136" s="72">
        <v>4.4999999999999998E-2</v>
      </c>
      <c r="J5136" s="12">
        <f t="shared" si="595"/>
        <v>181.05</v>
      </c>
    </row>
    <row r="5137" spans="3:10" x14ac:dyDescent="0.35">
      <c r="C5137" t="s">
        <v>259</v>
      </c>
      <c r="D5137" t="s">
        <v>33</v>
      </c>
      <c r="E5137" s="3" t="s">
        <v>152</v>
      </c>
      <c r="F5137" s="3">
        <v>2023</v>
      </c>
      <c r="G5137" s="12">
        <f t="shared" si="594"/>
        <v>8449</v>
      </c>
      <c r="H5137" s="12"/>
      <c r="I5137" s="72">
        <v>4.9500000000000002E-2</v>
      </c>
      <c r="J5137" s="12">
        <f t="shared" si="595"/>
        <v>235.36500000000001</v>
      </c>
    </row>
    <row r="5138" spans="3:10" x14ac:dyDescent="0.35">
      <c r="C5138" t="s">
        <v>259</v>
      </c>
      <c r="D5138" t="s">
        <v>34</v>
      </c>
      <c r="E5138" s="3" t="s">
        <v>85</v>
      </c>
      <c r="F5138" s="3">
        <v>2023</v>
      </c>
      <c r="G5138" s="12">
        <v>0</v>
      </c>
      <c r="H5138" s="12">
        <v>1207</v>
      </c>
      <c r="I5138" s="72">
        <v>0</v>
      </c>
      <c r="J5138" s="12">
        <v>0</v>
      </c>
    </row>
    <row r="5139" spans="3:10" x14ac:dyDescent="0.35">
      <c r="C5139" t="s">
        <v>259</v>
      </c>
      <c r="D5139" t="s">
        <v>34</v>
      </c>
      <c r="E5139" s="3" t="s">
        <v>87</v>
      </c>
      <c r="F5139" s="3">
        <v>2023</v>
      </c>
      <c r="G5139" s="12">
        <f>H5138</f>
        <v>1207</v>
      </c>
      <c r="H5139" s="12">
        <v>2414</v>
      </c>
      <c r="I5139" s="72">
        <v>0.02</v>
      </c>
      <c r="J5139" s="12">
        <v>0</v>
      </c>
    </row>
    <row r="5140" spans="3:10" x14ac:dyDescent="0.35">
      <c r="C5140" t="s">
        <v>259</v>
      </c>
      <c r="D5140" t="s">
        <v>34</v>
      </c>
      <c r="E5140" s="3" t="s">
        <v>88</v>
      </c>
      <c r="F5140" s="3">
        <v>2023</v>
      </c>
      <c r="G5140" s="12">
        <f t="shared" ref="G5140:G5145" si="596">H5139</f>
        <v>2414</v>
      </c>
      <c r="H5140" s="12">
        <v>3621</v>
      </c>
      <c r="I5140" s="72">
        <v>2.5000000000000001E-2</v>
      </c>
      <c r="J5140" s="12">
        <f t="shared" ref="J5140:J5145" si="597">J5139+(H5139-G5139)*I5139</f>
        <v>24.14</v>
      </c>
    </row>
    <row r="5141" spans="3:10" x14ac:dyDescent="0.35">
      <c r="C5141" t="s">
        <v>259</v>
      </c>
      <c r="D5141" t="s">
        <v>34</v>
      </c>
      <c r="E5141" s="3" t="s">
        <v>105</v>
      </c>
      <c r="F5141" s="3">
        <v>2023</v>
      </c>
      <c r="G5141" s="12">
        <f t="shared" si="596"/>
        <v>3621</v>
      </c>
      <c r="H5141" s="12">
        <v>4828</v>
      </c>
      <c r="I5141" s="72">
        <v>0.03</v>
      </c>
      <c r="J5141" s="12">
        <f t="shared" si="597"/>
        <v>54.314999999999998</v>
      </c>
    </row>
    <row r="5142" spans="3:10" x14ac:dyDescent="0.35">
      <c r="C5142" t="s">
        <v>259</v>
      </c>
      <c r="D5142" t="s">
        <v>34</v>
      </c>
      <c r="E5142" s="3" t="s">
        <v>106</v>
      </c>
      <c r="F5142" s="3">
        <v>2023</v>
      </c>
      <c r="G5142" s="12">
        <f t="shared" si="596"/>
        <v>4828</v>
      </c>
      <c r="H5142" s="12">
        <v>6035</v>
      </c>
      <c r="I5142" s="72">
        <v>3.5000000000000003E-2</v>
      </c>
      <c r="J5142" s="12">
        <f t="shared" si="597"/>
        <v>90.525000000000006</v>
      </c>
    </row>
    <row r="5143" spans="3:10" x14ac:dyDescent="0.35">
      <c r="C5143" t="s">
        <v>259</v>
      </c>
      <c r="D5143" t="s">
        <v>34</v>
      </c>
      <c r="E5143" s="3" t="s">
        <v>107</v>
      </c>
      <c r="F5143" s="3">
        <v>2023</v>
      </c>
      <c r="G5143" s="12">
        <f t="shared" si="596"/>
        <v>6035</v>
      </c>
      <c r="H5143" s="12">
        <v>7242</v>
      </c>
      <c r="I5143" s="72">
        <v>0.04</v>
      </c>
      <c r="J5143" s="12">
        <f t="shared" si="597"/>
        <v>132.77000000000001</v>
      </c>
    </row>
    <row r="5144" spans="3:10" x14ac:dyDescent="0.35">
      <c r="C5144" t="s">
        <v>259</v>
      </c>
      <c r="D5144" t="s">
        <v>34</v>
      </c>
      <c r="E5144" s="3" t="s">
        <v>108</v>
      </c>
      <c r="F5144" s="3">
        <v>2023</v>
      </c>
      <c r="G5144" s="12">
        <f t="shared" si="596"/>
        <v>7242</v>
      </c>
      <c r="H5144" s="12">
        <v>8449</v>
      </c>
      <c r="I5144" s="72">
        <v>4.4999999999999998E-2</v>
      </c>
      <c r="J5144" s="12">
        <f t="shared" si="597"/>
        <v>181.05</v>
      </c>
    </row>
    <row r="5145" spans="3:10" x14ac:dyDescent="0.35">
      <c r="C5145" t="s">
        <v>259</v>
      </c>
      <c r="D5145" t="s">
        <v>34</v>
      </c>
      <c r="E5145" s="3" t="s">
        <v>152</v>
      </c>
      <c r="F5145" s="3">
        <v>2023</v>
      </c>
      <c r="G5145" s="12">
        <f t="shared" si="596"/>
        <v>8449</v>
      </c>
      <c r="H5145" s="12"/>
      <c r="I5145" s="72">
        <v>4.9500000000000002E-2</v>
      </c>
      <c r="J5145" s="12">
        <f t="shared" si="597"/>
        <v>235.36500000000001</v>
      </c>
    </row>
    <row r="5146" spans="3:10" x14ac:dyDescent="0.35">
      <c r="C5146" t="s">
        <v>259</v>
      </c>
      <c r="D5146" t="s">
        <v>35</v>
      </c>
      <c r="E5146" s="3" t="s">
        <v>85</v>
      </c>
      <c r="F5146" s="3">
        <v>2023</v>
      </c>
      <c r="G5146" s="12">
        <v>0</v>
      </c>
      <c r="H5146" s="12">
        <v>1207</v>
      </c>
      <c r="I5146" s="72">
        <v>0</v>
      </c>
      <c r="J5146" s="12">
        <v>0</v>
      </c>
    </row>
    <row r="5147" spans="3:10" x14ac:dyDescent="0.35">
      <c r="C5147" t="s">
        <v>259</v>
      </c>
      <c r="D5147" t="s">
        <v>35</v>
      </c>
      <c r="E5147" s="3" t="s">
        <v>87</v>
      </c>
      <c r="F5147" s="3">
        <v>2023</v>
      </c>
      <c r="G5147" s="12">
        <f>H5146</f>
        <v>1207</v>
      </c>
      <c r="H5147" s="12">
        <v>2414</v>
      </c>
      <c r="I5147" s="72">
        <v>0.02</v>
      </c>
      <c r="J5147" s="12">
        <v>0</v>
      </c>
    </row>
    <row r="5148" spans="3:10" x14ac:dyDescent="0.35">
      <c r="C5148" t="s">
        <v>259</v>
      </c>
      <c r="D5148" t="s">
        <v>35</v>
      </c>
      <c r="E5148" s="3" t="s">
        <v>88</v>
      </c>
      <c r="F5148" s="3">
        <v>2023</v>
      </c>
      <c r="G5148" s="12">
        <f t="shared" ref="G5148:G5153" si="598">H5147</f>
        <v>2414</v>
      </c>
      <c r="H5148" s="12">
        <v>3621</v>
      </c>
      <c r="I5148" s="72">
        <v>2.5000000000000001E-2</v>
      </c>
      <c r="J5148" s="12">
        <f t="shared" ref="J5148:J5153" si="599">J5147+(H5147-G5147)*I5147</f>
        <v>24.14</v>
      </c>
    </row>
    <row r="5149" spans="3:10" x14ac:dyDescent="0.35">
      <c r="C5149" t="s">
        <v>259</v>
      </c>
      <c r="D5149" t="s">
        <v>35</v>
      </c>
      <c r="E5149" s="3" t="s">
        <v>105</v>
      </c>
      <c r="F5149" s="3">
        <v>2023</v>
      </c>
      <c r="G5149" s="12">
        <f t="shared" si="598"/>
        <v>3621</v>
      </c>
      <c r="H5149" s="12">
        <v>4828</v>
      </c>
      <c r="I5149" s="72">
        <v>0.03</v>
      </c>
      <c r="J5149" s="12">
        <f t="shared" si="599"/>
        <v>54.314999999999998</v>
      </c>
    </row>
    <row r="5150" spans="3:10" x14ac:dyDescent="0.35">
      <c r="C5150" t="s">
        <v>259</v>
      </c>
      <c r="D5150" t="s">
        <v>35</v>
      </c>
      <c r="E5150" s="3" t="s">
        <v>106</v>
      </c>
      <c r="F5150" s="3">
        <v>2023</v>
      </c>
      <c r="G5150" s="12">
        <f t="shared" si="598"/>
        <v>4828</v>
      </c>
      <c r="H5150" s="12">
        <v>6035</v>
      </c>
      <c r="I5150" s="72">
        <v>3.5000000000000003E-2</v>
      </c>
      <c r="J5150" s="12">
        <f t="shared" si="599"/>
        <v>90.525000000000006</v>
      </c>
    </row>
    <row r="5151" spans="3:10" x14ac:dyDescent="0.35">
      <c r="C5151" t="s">
        <v>259</v>
      </c>
      <c r="D5151" t="s">
        <v>35</v>
      </c>
      <c r="E5151" s="3" t="s">
        <v>107</v>
      </c>
      <c r="F5151" s="3">
        <v>2023</v>
      </c>
      <c r="G5151" s="12">
        <f t="shared" si="598"/>
        <v>6035</v>
      </c>
      <c r="H5151" s="12">
        <v>7242</v>
      </c>
      <c r="I5151" s="72">
        <v>0.04</v>
      </c>
      <c r="J5151" s="12">
        <f t="shared" si="599"/>
        <v>132.77000000000001</v>
      </c>
    </row>
    <row r="5152" spans="3:10" x14ac:dyDescent="0.35">
      <c r="C5152" t="s">
        <v>259</v>
      </c>
      <c r="D5152" t="s">
        <v>35</v>
      </c>
      <c r="E5152" s="3" t="s">
        <v>108</v>
      </c>
      <c r="F5152" s="3">
        <v>2023</v>
      </c>
      <c r="G5152" s="12">
        <f t="shared" si="598"/>
        <v>7242</v>
      </c>
      <c r="H5152" s="12">
        <v>8449</v>
      </c>
      <c r="I5152" s="72">
        <v>4.4999999999999998E-2</v>
      </c>
      <c r="J5152" s="12">
        <f t="shared" si="599"/>
        <v>181.05</v>
      </c>
    </row>
    <row r="5153" spans="3:10" x14ac:dyDescent="0.35">
      <c r="C5153" t="s">
        <v>259</v>
      </c>
      <c r="D5153" t="s">
        <v>35</v>
      </c>
      <c r="E5153" s="3" t="s">
        <v>152</v>
      </c>
      <c r="F5153" s="3">
        <v>2023</v>
      </c>
      <c r="G5153" s="12">
        <f t="shared" si="598"/>
        <v>8449</v>
      </c>
      <c r="H5153" s="12"/>
      <c r="I5153" s="72">
        <v>4.9500000000000002E-2</v>
      </c>
      <c r="J5153" s="12">
        <f t="shared" si="599"/>
        <v>235.36500000000001</v>
      </c>
    </row>
    <row r="5154" spans="3:10" x14ac:dyDescent="0.35">
      <c r="C5154" t="s">
        <v>259</v>
      </c>
      <c r="D5154" t="s">
        <v>41</v>
      </c>
      <c r="E5154" s="3" t="s">
        <v>85</v>
      </c>
      <c r="F5154" s="3">
        <v>2023</v>
      </c>
      <c r="G5154" s="12">
        <v>0</v>
      </c>
      <c r="H5154" s="12">
        <v>1207</v>
      </c>
      <c r="I5154" s="72">
        <v>0</v>
      </c>
      <c r="J5154" s="12">
        <v>0</v>
      </c>
    </row>
    <row r="5155" spans="3:10" x14ac:dyDescent="0.35">
      <c r="C5155" t="s">
        <v>259</v>
      </c>
      <c r="D5155" t="s">
        <v>41</v>
      </c>
      <c r="E5155" s="3" t="s">
        <v>87</v>
      </c>
      <c r="F5155" s="3">
        <v>2023</v>
      </c>
      <c r="G5155" s="12">
        <f>H5154</f>
        <v>1207</v>
      </c>
      <c r="H5155" s="12">
        <v>2414</v>
      </c>
      <c r="I5155" s="72">
        <v>0.02</v>
      </c>
      <c r="J5155" s="12">
        <v>0</v>
      </c>
    </row>
    <row r="5156" spans="3:10" x14ac:dyDescent="0.35">
      <c r="C5156" t="s">
        <v>259</v>
      </c>
      <c r="D5156" t="s">
        <v>41</v>
      </c>
      <c r="E5156" s="3" t="s">
        <v>88</v>
      </c>
      <c r="F5156" s="3">
        <v>2023</v>
      </c>
      <c r="G5156" s="12">
        <f t="shared" ref="G5156:G5161" si="600">H5155</f>
        <v>2414</v>
      </c>
      <c r="H5156" s="12">
        <v>3621</v>
      </c>
      <c r="I5156" s="72">
        <v>2.5000000000000001E-2</v>
      </c>
      <c r="J5156" s="12">
        <f t="shared" ref="J5156:J5161" si="601">J5155+(H5155-G5155)*I5155</f>
        <v>24.14</v>
      </c>
    </row>
    <row r="5157" spans="3:10" x14ac:dyDescent="0.35">
      <c r="C5157" t="s">
        <v>259</v>
      </c>
      <c r="D5157" t="s">
        <v>41</v>
      </c>
      <c r="E5157" s="3" t="s">
        <v>105</v>
      </c>
      <c r="F5157" s="3">
        <v>2023</v>
      </c>
      <c r="G5157" s="12">
        <f t="shared" si="600"/>
        <v>3621</v>
      </c>
      <c r="H5157" s="12">
        <v>4828</v>
      </c>
      <c r="I5157" s="72">
        <v>0.03</v>
      </c>
      <c r="J5157" s="12">
        <f t="shared" si="601"/>
        <v>54.314999999999998</v>
      </c>
    </row>
    <row r="5158" spans="3:10" x14ac:dyDescent="0.35">
      <c r="C5158" t="s">
        <v>259</v>
      </c>
      <c r="D5158" t="s">
        <v>41</v>
      </c>
      <c r="E5158" s="3" t="s">
        <v>106</v>
      </c>
      <c r="F5158" s="3">
        <v>2023</v>
      </c>
      <c r="G5158" s="12">
        <f t="shared" si="600"/>
        <v>4828</v>
      </c>
      <c r="H5158" s="12">
        <v>6035</v>
      </c>
      <c r="I5158" s="72">
        <v>3.5000000000000003E-2</v>
      </c>
      <c r="J5158" s="12">
        <f t="shared" si="601"/>
        <v>90.525000000000006</v>
      </c>
    </row>
    <row r="5159" spans="3:10" x14ac:dyDescent="0.35">
      <c r="C5159" t="s">
        <v>259</v>
      </c>
      <c r="D5159" t="s">
        <v>41</v>
      </c>
      <c r="E5159" s="3" t="s">
        <v>107</v>
      </c>
      <c r="F5159" s="3">
        <v>2023</v>
      </c>
      <c r="G5159" s="12">
        <f t="shared" si="600"/>
        <v>6035</v>
      </c>
      <c r="H5159" s="12">
        <v>7242</v>
      </c>
      <c r="I5159" s="72">
        <v>0.04</v>
      </c>
      <c r="J5159" s="12">
        <f t="shared" si="601"/>
        <v>132.77000000000001</v>
      </c>
    </row>
    <row r="5160" spans="3:10" x14ac:dyDescent="0.35">
      <c r="C5160" t="s">
        <v>259</v>
      </c>
      <c r="D5160" t="s">
        <v>41</v>
      </c>
      <c r="E5160" s="3" t="s">
        <v>108</v>
      </c>
      <c r="F5160" s="3">
        <v>2023</v>
      </c>
      <c r="G5160" s="12">
        <f t="shared" si="600"/>
        <v>7242</v>
      </c>
      <c r="H5160" s="12">
        <v>8449</v>
      </c>
      <c r="I5160" s="72">
        <v>4.4999999999999998E-2</v>
      </c>
      <c r="J5160" s="12">
        <f t="shared" si="601"/>
        <v>181.05</v>
      </c>
    </row>
    <row r="5161" spans="3:10" x14ac:dyDescent="0.35">
      <c r="C5161" t="s">
        <v>259</v>
      </c>
      <c r="D5161" t="s">
        <v>41</v>
      </c>
      <c r="E5161" s="3" t="s">
        <v>152</v>
      </c>
      <c r="F5161" s="3">
        <v>2023</v>
      </c>
      <c r="G5161" s="12">
        <f t="shared" si="600"/>
        <v>8449</v>
      </c>
      <c r="H5161" s="12"/>
      <c r="I5161" s="72">
        <v>4.9500000000000002E-2</v>
      </c>
      <c r="J5161" s="12">
        <f t="shared" si="601"/>
        <v>235.36500000000001</v>
      </c>
    </row>
    <row r="5162" spans="3:10" x14ac:dyDescent="0.35">
      <c r="C5162" t="s">
        <v>18</v>
      </c>
      <c r="D5162" t="s">
        <v>35</v>
      </c>
      <c r="E5162" s="3" t="s">
        <v>85</v>
      </c>
      <c r="F5162" s="3">
        <v>2018</v>
      </c>
      <c r="G5162" s="29">
        <v>0</v>
      </c>
      <c r="H5162" s="29"/>
      <c r="I5162" s="31">
        <v>5.4989999999999997E-2</v>
      </c>
      <c r="J5162" s="29">
        <v>0</v>
      </c>
    </row>
    <row r="5163" spans="3:10" x14ac:dyDescent="0.35">
      <c r="C5163" t="s">
        <v>18</v>
      </c>
      <c r="D5163" t="s">
        <v>34</v>
      </c>
      <c r="E5163" s="3" t="s">
        <v>85</v>
      </c>
      <c r="F5163" s="3">
        <v>2018</v>
      </c>
      <c r="G5163" s="29">
        <v>0</v>
      </c>
      <c r="H5163" s="29"/>
      <c r="I5163" s="31">
        <v>5.4989999999999997E-2</v>
      </c>
      <c r="J5163" s="29">
        <v>0</v>
      </c>
    </row>
    <row r="5164" spans="3:10" x14ac:dyDescent="0.35">
      <c r="C5164" t="s">
        <v>18</v>
      </c>
      <c r="D5164" t="s">
        <v>33</v>
      </c>
      <c r="E5164" s="3" t="s">
        <v>85</v>
      </c>
      <c r="F5164" s="3">
        <v>2018</v>
      </c>
      <c r="G5164" s="29">
        <v>0</v>
      </c>
      <c r="H5164" s="29"/>
      <c r="I5164" s="31">
        <v>5.4989999999999997E-2</v>
      </c>
      <c r="J5164" s="29">
        <v>0</v>
      </c>
    </row>
    <row r="5165" spans="3:10" x14ac:dyDescent="0.35">
      <c r="C5165" t="s">
        <v>18</v>
      </c>
      <c r="D5165" t="s">
        <v>36</v>
      </c>
      <c r="E5165" s="3" t="s">
        <v>85</v>
      </c>
      <c r="F5165" s="3">
        <v>2018</v>
      </c>
      <c r="G5165" s="29">
        <v>0</v>
      </c>
      <c r="H5165" s="29"/>
      <c r="I5165" s="31">
        <v>5.4989999999999997E-2</v>
      </c>
      <c r="J5165" s="29">
        <v>0</v>
      </c>
    </row>
    <row r="5166" spans="3:10" x14ac:dyDescent="0.35">
      <c r="C5166" t="s">
        <v>18</v>
      </c>
      <c r="D5166" t="s">
        <v>35</v>
      </c>
      <c r="E5166" s="3" t="s">
        <v>85</v>
      </c>
      <c r="F5166" s="3">
        <v>2019</v>
      </c>
      <c r="G5166" s="29">
        <v>0</v>
      </c>
      <c r="H5166" s="29"/>
      <c r="I5166" s="31">
        <v>5.2499999999999998E-2</v>
      </c>
      <c r="J5166" s="29">
        <v>0</v>
      </c>
    </row>
    <row r="5167" spans="3:10" x14ac:dyDescent="0.35">
      <c r="C5167" t="s">
        <v>18</v>
      </c>
      <c r="D5167" t="s">
        <v>34</v>
      </c>
      <c r="E5167" s="3" t="s">
        <v>85</v>
      </c>
      <c r="F5167" s="3">
        <v>2019</v>
      </c>
      <c r="G5167" s="29">
        <v>0</v>
      </c>
      <c r="H5167" s="29"/>
      <c r="I5167" s="31">
        <v>5.2499999999999998E-2</v>
      </c>
      <c r="J5167" s="29">
        <v>0</v>
      </c>
    </row>
    <row r="5168" spans="3:10" x14ac:dyDescent="0.35">
      <c r="C5168" t="s">
        <v>18</v>
      </c>
      <c r="D5168" t="s">
        <v>33</v>
      </c>
      <c r="E5168" s="3" t="s">
        <v>85</v>
      </c>
      <c r="F5168" s="3">
        <v>2019</v>
      </c>
      <c r="G5168" s="29">
        <v>0</v>
      </c>
      <c r="H5168" s="29"/>
      <c r="I5168" s="31">
        <v>5.2499999999999998E-2</v>
      </c>
      <c r="J5168" s="29">
        <v>0</v>
      </c>
    </row>
    <row r="5169" spans="3:10" x14ac:dyDescent="0.35">
      <c r="C5169" t="s">
        <v>18</v>
      </c>
      <c r="D5169" t="s">
        <v>36</v>
      </c>
      <c r="E5169" s="3" t="s">
        <v>85</v>
      </c>
      <c r="F5169" s="3">
        <v>2019</v>
      </c>
      <c r="G5169" s="29">
        <v>0</v>
      </c>
      <c r="H5169" s="29"/>
      <c r="I5169" s="31">
        <v>5.2499999999999998E-2</v>
      </c>
      <c r="J5169" s="29">
        <v>0</v>
      </c>
    </row>
    <row r="5170" spans="3:10" x14ac:dyDescent="0.35">
      <c r="C5170" t="s">
        <v>18</v>
      </c>
      <c r="D5170" t="s">
        <v>35</v>
      </c>
      <c r="E5170" s="3" t="s">
        <v>85</v>
      </c>
      <c r="F5170" s="3">
        <v>2020</v>
      </c>
      <c r="G5170" s="29">
        <v>0</v>
      </c>
      <c r="H5170" s="29"/>
      <c r="I5170" s="31">
        <v>5.2499999999999998E-2</v>
      </c>
      <c r="J5170" s="29">
        <v>0</v>
      </c>
    </row>
    <row r="5171" spans="3:10" x14ac:dyDescent="0.35">
      <c r="C5171" t="s">
        <v>18</v>
      </c>
      <c r="D5171" t="s">
        <v>34</v>
      </c>
      <c r="E5171" s="3" t="s">
        <v>85</v>
      </c>
      <c r="F5171" s="3">
        <v>2020</v>
      </c>
      <c r="G5171" s="29">
        <v>0</v>
      </c>
      <c r="H5171" s="29"/>
      <c r="I5171" s="31">
        <v>5.2499999999999998E-2</v>
      </c>
      <c r="J5171" s="29">
        <v>0</v>
      </c>
    </row>
    <row r="5172" spans="3:10" x14ac:dyDescent="0.35">
      <c r="C5172" t="s">
        <v>18</v>
      </c>
      <c r="D5172" t="s">
        <v>33</v>
      </c>
      <c r="E5172" s="3" t="s">
        <v>85</v>
      </c>
      <c r="F5172" s="3">
        <v>2020</v>
      </c>
      <c r="G5172" s="29">
        <v>0</v>
      </c>
      <c r="H5172" s="29"/>
      <c r="I5172" s="31">
        <v>5.2499999999999998E-2</v>
      </c>
      <c r="J5172" s="29">
        <v>0</v>
      </c>
    </row>
    <row r="5173" spans="3:10" x14ac:dyDescent="0.35">
      <c r="C5173" t="s">
        <v>18</v>
      </c>
      <c r="D5173" t="s">
        <v>36</v>
      </c>
      <c r="E5173" s="3" t="s">
        <v>85</v>
      </c>
      <c r="F5173" s="3">
        <v>2020</v>
      </c>
      <c r="G5173" s="29">
        <v>0</v>
      </c>
      <c r="H5173" s="29"/>
      <c r="I5173" s="31">
        <v>5.2499999999999998E-2</v>
      </c>
      <c r="J5173" s="29">
        <v>0</v>
      </c>
    </row>
    <row r="5174" spans="3:10" x14ac:dyDescent="0.35">
      <c r="C5174" t="s">
        <v>18</v>
      </c>
      <c r="D5174" t="s">
        <v>35</v>
      </c>
      <c r="E5174" s="3" t="s">
        <v>85</v>
      </c>
      <c r="F5174" s="3">
        <v>2021</v>
      </c>
      <c r="G5174" s="29">
        <v>0</v>
      </c>
      <c r="H5174" s="29"/>
      <c r="I5174" s="31">
        <v>5.2499999999999998E-2</v>
      </c>
      <c r="J5174" s="29">
        <v>0</v>
      </c>
    </row>
    <row r="5175" spans="3:10" x14ac:dyDescent="0.35">
      <c r="C5175" t="s">
        <v>18</v>
      </c>
      <c r="D5175" t="s">
        <v>34</v>
      </c>
      <c r="E5175" s="3" t="s">
        <v>85</v>
      </c>
      <c r="F5175" s="3">
        <v>2021</v>
      </c>
      <c r="G5175" s="29">
        <v>0</v>
      </c>
      <c r="H5175" s="29"/>
      <c r="I5175" s="31">
        <v>5.2499999999999998E-2</v>
      </c>
      <c r="J5175" s="29">
        <v>0</v>
      </c>
    </row>
    <row r="5176" spans="3:10" x14ac:dyDescent="0.35">
      <c r="C5176" t="s">
        <v>18</v>
      </c>
      <c r="D5176" t="s">
        <v>33</v>
      </c>
      <c r="E5176" s="3" t="s">
        <v>85</v>
      </c>
      <c r="F5176" s="3">
        <v>2021</v>
      </c>
      <c r="G5176" s="29">
        <v>0</v>
      </c>
      <c r="H5176" s="29"/>
      <c r="I5176" s="31">
        <v>5.2499999999999998E-2</v>
      </c>
      <c r="J5176" s="29">
        <v>0</v>
      </c>
    </row>
    <row r="5177" spans="3:10" x14ac:dyDescent="0.35">
      <c r="C5177" t="s">
        <v>18</v>
      </c>
      <c r="D5177" t="s">
        <v>36</v>
      </c>
      <c r="E5177" s="3" t="s">
        <v>85</v>
      </c>
      <c r="F5177" s="3">
        <v>2021</v>
      </c>
      <c r="G5177" s="29">
        <v>0</v>
      </c>
      <c r="H5177" s="29"/>
      <c r="I5177" s="31">
        <v>5.2499999999999998E-2</v>
      </c>
      <c r="J5177" s="29">
        <v>0</v>
      </c>
    </row>
    <row r="5178" spans="3:10" x14ac:dyDescent="0.35">
      <c r="C5178" t="s">
        <v>18</v>
      </c>
      <c r="D5178" t="s">
        <v>35</v>
      </c>
      <c r="E5178" s="3" t="s">
        <v>85</v>
      </c>
      <c r="F5178" s="3">
        <v>2022</v>
      </c>
      <c r="G5178" s="29">
        <v>0</v>
      </c>
      <c r="H5178" s="29"/>
      <c r="I5178" s="31">
        <v>4.99E-2</v>
      </c>
      <c r="J5178" s="29">
        <v>0</v>
      </c>
    </row>
    <row r="5179" spans="3:10" x14ac:dyDescent="0.35">
      <c r="C5179" t="s">
        <v>18</v>
      </c>
      <c r="D5179" t="s">
        <v>34</v>
      </c>
      <c r="E5179" s="3" t="s">
        <v>85</v>
      </c>
      <c r="F5179" s="3">
        <v>2022</v>
      </c>
      <c r="G5179" s="29">
        <v>0</v>
      </c>
      <c r="H5179" s="29"/>
      <c r="I5179" s="31">
        <v>4.99E-2</v>
      </c>
      <c r="J5179" s="29">
        <v>0</v>
      </c>
    </row>
    <row r="5180" spans="3:10" x14ac:dyDescent="0.35">
      <c r="C5180" t="s">
        <v>18</v>
      </c>
      <c r="D5180" t="s">
        <v>33</v>
      </c>
      <c r="E5180" s="3" t="s">
        <v>85</v>
      </c>
      <c r="F5180" s="3">
        <v>2022</v>
      </c>
      <c r="G5180" s="29">
        <v>0</v>
      </c>
      <c r="H5180" s="29"/>
      <c r="I5180" s="31">
        <v>4.99E-2</v>
      </c>
      <c r="J5180" s="29">
        <v>0</v>
      </c>
    </row>
    <row r="5181" spans="3:10" x14ac:dyDescent="0.35">
      <c r="C5181" t="s">
        <v>18</v>
      </c>
      <c r="D5181" t="s">
        <v>36</v>
      </c>
      <c r="E5181" s="3" t="s">
        <v>85</v>
      </c>
      <c r="F5181" s="3">
        <v>2022</v>
      </c>
      <c r="G5181" s="29">
        <v>0</v>
      </c>
      <c r="H5181" s="29"/>
      <c r="I5181" s="31">
        <v>4.99E-2</v>
      </c>
      <c r="J5181" s="29">
        <v>0</v>
      </c>
    </row>
    <row r="5182" spans="3:10" x14ac:dyDescent="0.35">
      <c r="C5182" t="s">
        <v>18</v>
      </c>
      <c r="D5182" t="s">
        <v>35</v>
      </c>
      <c r="E5182" s="3" t="s">
        <v>85</v>
      </c>
      <c r="F5182" s="3">
        <v>2023</v>
      </c>
      <c r="G5182" s="29">
        <v>0</v>
      </c>
      <c r="H5182" s="29"/>
      <c r="I5182" s="31">
        <v>4.7500000000000001E-2</v>
      </c>
      <c r="J5182" s="29">
        <v>0</v>
      </c>
    </row>
    <row r="5183" spans="3:10" x14ac:dyDescent="0.35">
      <c r="C5183" t="s">
        <v>18</v>
      </c>
      <c r="D5183" t="s">
        <v>34</v>
      </c>
      <c r="E5183" s="3" t="s">
        <v>85</v>
      </c>
      <c r="F5183" s="3">
        <v>2023</v>
      </c>
      <c r="G5183" s="29">
        <v>0</v>
      </c>
      <c r="H5183" s="29"/>
      <c r="I5183" s="31">
        <v>4.7500000000000001E-2</v>
      </c>
      <c r="J5183" s="29">
        <v>0</v>
      </c>
    </row>
    <row r="5184" spans="3:10" x14ac:dyDescent="0.35">
      <c r="C5184" t="s">
        <v>18</v>
      </c>
      <c r="D5184" t="s">
        <v>33</v>
      </c>
      <c r="E5184" s="3" t="s">
        <v>85</v>
      </c>
      <c r="F5184" s="3">
        <v>2023</v>
      </c>
      <c r="G5184" s="29">
        <v>0</v>
      </c>
      <c r="H5184" s="29"/>
      <c r="I5184" s="31">
        <v>4.7500000000000001E-2</v>
      </c>
      <c r="J5184" s="29">
        <v>0</v>
      </c>
    </row>
    <row r="5185" spans="3:10" x14ac:dyDescent="0.35">
      <c r="C5185" t="s">
        <v>18</v>
      </c>
      <c r="D5185" t="s">
        <v>36</v>
      </c>
      <c r="E5185" s="3" t="s">
        <v>85</v>
      </c>
      <c r="F5185" s="3">
        <v>2023</v>
      </c>
      <c r="G5185" s="29">
        <v>0</v>
      </c>
      <c r="H5185" s="29"/>
      <c r="I5185" s="31">
        <v>4.7500000000000001E-2</v>
      </c>
      <c r="J5185" s="29">
        <v>0</v>
      </c>
    </row>
    <row r="5186" spans="3:10" x14ac:dyDescent="0.35">
      <c r="C5186" t="s">
        <v>17</v>
      </c>
      <c r="D5186" t="s">
        <v>35</v>
      </c>
      <c r="E5186" s="30" t="s">
        <v>85</v>
      </c>
      <c r="F5186" s="3">
        <v>2018</v>
      </c>
      <c r="G5186" s="29">
        <v>0</v>
      </c>
      <c r="H5186" s="29">
        <v>2970</v>
      </c>
      <c r="I5186" s="31">
        <v>0</v>
      </c>
      <c r="J5186" s="29">
        <v>0</v>
      </c>
    </row>
    <row r="5187" spans="3:10" x14ac:dyDescent="0.35">
      <c r="C5187" t="s">
        <v>17</v>
      </c>
      <c r="D5187" t="s">
        <v>35</v>
      </c>
      <c r="E5187" s="30" t="s">
        <v>87</v>
      </c>
      <c r="F5187" s="3">
        <v>2018</v>
      </c>
      <c r="G5187" s="29">
        <v>2970</v>
      </c>
      <c r="H5187" s="29">
        <v>5940</v>
      </c>
      <c r="I5187" s="31">
        <v>0.03</v>
      </c>
      <c r="J5187" s="29">
        <v>-92</v>
      </c>
    </row>
    <row r="5188" spans="3:10" x14ac:dyDescent="0.35">
      <c r="C5188" t="s">
        <v>17</v>
      </c>
      <c r="D5188" t="s">
        <v>35</v>
      </c>
      <c r="E5188" s="30" t="s">
        <v>88</v>
      </c>
      <c r="F5188" s="3">
        <v>2018</v>
      </c>
      <c r="G5188" s="29">
        <v>5940</v>
      </c>
      <c r="H5188" s="29">
        <v>8910</v>
      </c>
      <c r="I5188" s="31">
        <v>0.04</v>
      </c>
      <c r="J5188" s="29">
        <v>-154</v>
      </c>
    </row>
    <row r="5189" spans="3:10" x14ac:dyDescent="0.35">
      <c r="C5189" t="s">
        <v>17</v>
      </c>
      <c r="D5189" t="s">
        <v>35</v>
      </c>
      <c r="E5189" s="30" t="s">
        <v>105</v>
      </c>
      <c r="F5189" s="3">
        <v>2018</v>
      </c>
      <c r="G5189" s="29">
        <v>8910</v>
      </c>
      <c r="H5189" s="29">
        <v>11880</v>
      </c>
      <c r="I5189" s="31">
        <v>0.05</v>
      </c>
      <c r="J5189" s="29">
        <v>-246</v>
      </c>
    </row>
    <row r="5190" spans="3:10" x14ac:dyDescent="0.35">
      <c r="C5190" t="s">
        <v>17</v>
      </c>
      <c r="D5190" t="s">
        <v>35</v>
      </c>
      <c r="E5190" s="30" t="s">
        <v>106</v>
      </c>
      <c r="F5190" s="3">
        <v>2018</v>
      </c>
      <c r="G5190" s="29">
        <v>11880</v>
      </c>
      <c r="H5190" s="29">
        <v>14860</v>
      </c>
      <c r="I5190" s="31">
        <v>0.06</v>
      </c>
      <c r="J5190" s="29">
        <v>-369</v>
      </c>
    </row>
    <row r="5191" spans="3:10" x14ac:dyDescent="0.35">
      <c r="C5191" t="s">
        <v>17</v>
      </c>
      <c r="D5191" t="s">
        <v>35</v>
      </c>
      <c r="E5191" s="30" t="s">
        <v>107</v>
      </c>
      <c r="F5191" s="3">
        <v>2018</v>
      </c>
      <c r="G5191" s="29">
        <v>14860</v>
      </c>
      <c r="H5191" s="29"/>
      <c r="I5191" s="31">
        <v>7.0000000000000007E-2</v>
      </c>
      <c r="J5191" s="29">
        <v>-523</v>
      </c>
    </row>
    <row r="5192" spans="3:10" x14ac:dyDescent="0.35">
      <c r="C5192" t="s">
        <v>17</v>
      </c>
      <c r="D5192" t="s">
        <v>34</v>
      </c>
      <c r="E5192" s="30" t="s">
        <v>85</v>
      </c>
      <c r="F5192" s="3">
        <v>2018</v>
      </c>
      <c r="G5192" s="29">
        <v>0</v>
      </c>
      <c r="H5192" s="29">
        <v>2970</v>
      </c>
      <c r="I5192" s="31">
        <v>0</v>
      </c>
      <c r="J5192" s="29">
        <v>0</v>
      </c>
    </row>
    <row r="5193" spans="3:10" x14ac:dyDescent="0.35">
      <c r="C5193" t="s">
        <v>17</v>
      </c>
      <c r="D5193" t="s">
        <v>34</v>
      </c>
      <c r="E5193" s="30" t="s">
        <v>87</v>
      </c>
      <c r="F5193" s="3">
        <v>2018</v>
      </c>
      <c r="G5193" s="29">
        <v>2970</v>
      </c>
      <c r="H5193" s="29">
        <v>5940</v>
      </c>
      <c r="I5193" s="31">
        <v>0.03</v>
      </c>
      <c r="J5193" s="29">
        <v>-92</v>
      </c>
    </row>
    <row r="5194" spans="3:10" x14ac:dyDescent="0.35">
      <c r="C5194" t="s">
        <v>17</v>
      </c>
      <c r="D5194" t="s">
        <v>34</v>
      </c>
      <c r="E5194" s="30" t="s">
        <v>88</v>
      </c>
      <c r="F5194" s="3">
        <v>2018</v>
      </c>
      <c r="G5194" s="29">
        <v>5940</v>
      </c>
      <c r="H5194" s="29">
        <v>8910</v>
      </c>
      <c r="I5194" s="31">
        <v>0.04</v>
      </c>
      <c r="J5194" s="29">
        <v>-154</v>
      </c>
    </row>
    <row r="5195" spans="3:10" x14ac:dyDescent="0.35">
      <c r="C5195" t="s">
        <v>17</v>
      </c>
      <c r="D5195" t="s">
        <v>34</v>
      </c>
      <c r="E5195" s="30" t="s">
        <v>105</v>
      </c>
      <c r="F5195" s="3">
        <v>2018</v>
      </c>
      <c r="G5195" s="29">
        <v>8910</v>
      </c>
      <c r="H5195" s="29">
        <v>11880</v>
      </c>
      <c r="I5195" s="31">
        <v>0.05</v>
      </c>
      <c r="J5195" s="29">
        <v>-246</v>
      </c>
    </row>
    <row r="5196" spans="3:10" x14ac:dyDescent="0.35">
      <c r="C5196" t="s">
        <v>17</v>
      </c>
      <c r="D5196" t="s">
        <v>34</v>
      </c>
      <c r="E5196" s="30" t="s">
        <v>106</v>
      </c>
      <c r="F5196" s="3">
        <v>2018</v>
      </c>
      <c r="G5196" s="29">
        <v>11880</v>
      </c>
      <c r="H5196" s="29">
        <v>14860</v>
      </c>
      <c r="I5196" s="31">
        <v>0.06</v>
      </c>
      <c r="J5196" s="29">
        <v>-369</v>
      </c>
    </row>
    <row r="5197" spans="3:10" x14ac:dyDescent="0.35">
      <c r="C5197" t="s">
        <v>17</v>
      </c>
      <c r="D5197" t="s">
        <v>34</v>
      </c>
      <c r="E5197" s="30" t="s">
        <v>107</v>
      </c>
      <c r="F5197" s="3">
        <v>2018</v>
      </c>
      <c r="G5197" s="29">
        <v>14860</v>
      </c>
      <c r="H5197" s="29">
        <v>15400</v>
      </c>
      <c r="I5197" s="31">
        <v>7.0000000000000007E-2</v>
      </c>
      <c r="J5197" s="29">
        <v>-523</v>
      </c>
    </row>
    <row r="5198" spans="3:10" x14ac:dyDescent="0.35">
      <c r="C5198" t="s">
        <v>17</v>
      </c>
      <c r="D5198" t="s">
        <v>33</v>
      </c>
      <c r="E5198" s="30" t="s">
        <v>85</v>
      </c>
      <c r="F5198" s="3">
        <v>2018</v>
      </c>
      <c r="G5198" s="29">
        <v>0</v>
      </c>
      <c r="H5198" s="29">
        <v>2970</v>
      </c>
      <c r="I5198" s="31">
        <v>0</v>
      </c>
      <c r="J5198" s="29">
        <v>0</v>
      </c>
    </row>
    <row r="5199" spans="3:10" x14ac:dyDescent="0.35">
      <c r="C5199" t="s">
        <v>17</v>
      </c>
      <c r="D5199" t="s">
        <v>33</v>
      </c>
      <c r="E5199" s="30" t="s">
        <v>87</v>
      </c>
      <c r="F5199" s="3">
        <v>2018</v>
      </c>
      <c r="G5199" s="29">
        <v>2970</v>
      </c>
      <c r="H5199" s="29">
        <v>5940</v>
      </c>
      <c r="I5199" s="31">
        <v>0.03</v>
      </c>
      <c r="J5199" s="29">
        <v>-92</v>
      </c>
    </row>
    <row r="5200" spans="3:10" x14ac:dyDescent="0.35">
      <c r="C5200" t="s">
        <v>17</v>
      </c>
      <c r="D5200" t="s">
        <v>33</v>
      </c>
      <c r="E5200" s="30" t="s">
        <v>88</v>
      </c>
      <c r="F5200" s="3">
        <v>2018</v>
      </c>
      <c r="G5200" s="29">
        <v>5940</v>
      </c>
      <c r="H5200" s="29">
        <v>8910</v>
      </c>
      <c r="I5200" s="31">
        <v>0.04</v>
      </c>
      <c r="J5200" s="29">
        <v>-154</v>
      </c>
    </row>
    <row r="5201" spans="3:10" x14ac:dyDescent="0.35">
      <c r="C5201" t="s">
        <v>17</v>
      </c>
      <c r="D5201" t="s">
        <v>33</v>
      </c>
      <c r="E5201" s="30" t="s">
        <v>105</v>
      </c>
      <c r="F5201" s="3">
        <v>2018</v>
      </c>
      <c r="G5201" s="29">
        <v>8910</v>
      </c>
      <c r="H5201" s="29">
        <v>11880</v>
      </c>
      <c r="I5201" s="31">
        <v>0.05</v>
      </c>
      <c r="J5201" s="29">
        <v>-246</v>
      </c>
    </row>
    <row r="5202" spans="3:10" x14ac:dyDescent="0.35">
      <c r="C5202" t="s">
        <v>17</v>
      </c>
      <c r="D5202" t="s">
        <v>33</v>
      </c>
      <c r="E5202" s="30" t="s">
        <v>106</v>
      </c>
      <c r="F5202" s="3">
        <v>2018</v>
      </c>
      <c r="G5202" s="29">
        <v>11880</v>
      </c>
      <c r="H5202" s="29">
        <v>14860</v>
      </c>
      <c r="I5202" s="31">
        <v>0.06</v>
      </c>
      <c r="J5202" s="29">
        <v>-369</v>
      </c>
    </row>
    <row r="5203" spans="3:10" x14ac:dyDescent="0.35">
      <c r="C5203" t="s">
        <v>17</v>
      </c>
      <c r="D5203" t="s">
        <v>33</v>
      </c>
      <c r="E5203" s="30" t="s">
        <v>107</v>
      </c>
      <c r="F5203" s="3">
        <v>2018</v>
      </c>
      <c r="G5203" s="29">
        <v>14860</v>
      </c>
      <c r="H5203" s="29"/>
      <c r="I5203" s="31">
        <v>7.0000000000000007E-2</v>
      </c>
      <c r="J5203" s="29">
        <v>-523</v>
      </c>
    </row>
    <row r="5204" spans="3:10" x14ac:dyDescent="0.35">
      <c r="C5204" t="s">
        <v>17</v>
      </c>
      <c r="D5204" t="s">
        <v>36</v>
      </c>
      <c r="E5204" s="30" t="s">
        <v>85</v>
      </c>
      <c r="F5204" s="3">
        <v>2018</v>
      </c>
      <c r="G5204" s="29">
        <v>0</v>
      </c>
      <c r="H5204" s="29">
        <v>2970</v>
      </c>
      <c r="I5204" s="31">
        <v>0</v>
      </c>
      <c r="J5204" s="29">
        <v>0</v>
      </c>
    </row>
    <row r="5205" spans="3:10" x14ac:dyDescent="0.35">
      <c r="C5205" t="s">
        <v>17</v>
      </c>
      <c r="D5205" t="s">
        <v>36</v>
      </c>
      <c r="E5205" s="30" t="s">
        <v>87</v>
      </c>
      <c r="F5205" s="3">
        <v>2018</v>
      </c>
      <c r="G5205" s="29">
        <v>2970</v>
      </c>
      <c r="H5205" s="29">
        <v>5940</v>
      </c>
      <c r="I5205" s="31">
        <v>0.03</v>
      </c>
      <c r="J5205" s="29">
        <v>-92</v>
      </c>
    </row>
    <row r="5206" spans="3:10" x14ac:dyDescent="0.35">
      <c r="C5206" t="s">
        <v>17</v>
      </c>
      <c r="D5206" t="s">
        <v>36</v>
      </c>
      <c r="E5206" s="30" t="s">
        <v>88</v>
      </c>
      <c r="F5206" s="3">
        <v>2018</v>
      </c>
      <c r="G5206" s="29">
        <v>5940</v>
      </c>
      <c r="H5206" s="29">
        <v>8910</v>
      </c>
      <c r="I5206" s="31">
        <v>0.04</v>
      </c>
      <c r="J5206" s="29">
        <v>-154</v>
      </c>
    </row>
    <row r="5207" spans="3:10" x14ac:dyDescent="0.35">
      <c r="C5207" t="s">
        <v>17</v>
      </c>
      <c r="D5207" t="s">
        <v>36</v>
      </c>
      <c r="E5207" s="30" t="s">
        <v>105</v>
      </c>
      <c r="F5207" s="3">
        <v>2018</v>
      </c>
      <c r="G5207" s="29">
        <v>8910</v>
      </c>
      <c r="H5207" s="29">
        <v>11880</v>
      </c>
      <c r="I5207" s="31">
        <v>0.05</v>
      </c>
      <c r="J5207" s="29">
        <v>-246</v>
      </c>
    </row>
    <row r="5208" spans="3:10" x14ac:dyDescent="0.35">
      <c r="C5208" t="s">
        <v>17</v>
      </c>
      <c r="D5208" t="s">
        <v>36</v>
      </c>
      <c r="E5208" s="30" t="s">
        <v>106</v>
      </c>
      <c r="F5208" s="3">
        <v>2018</v>
      </c>
      <c r="G5208" s="29">
        <v>11880</v>
      </c>
      <c r="H5208" s="29">
        <v>14860</v>
      </c>
      <c r="I5208" s="31">
        <v>0.06</v>
      </c>
      <c r="J5208" s="29">
        <v>-369</v>
      </c>
    </row>
    <row r="5209" spans="3:10" x14ac:dyDescent="0.35">
      <c r="C5209" t="s">
        <v>17</v>
      </c>
      <c r="D5209" t="s">
        <v>36</v>
      </c>
      <c r="E5209" s="30" t="s">
        <v>107</v>
      </c>
      <c r="F5209" s="3">
        <v>2018</v>
      </c>
      <c r="G5209" s="29">
        <v>14860</v>
      </c>
      <c r="H5209" s="29"/>
      <c r="I5209" s="31">
        <v>7.0000000000000007E-2</v>
      </c>
      <c r="J5209" s="29">
        <v>-523</v>
      </c>
    </row>
    <row r="5210" spans="3:10" x14ac:dyDescent="0.35">
      <c r="C5210" t="s">
        <v>17</v>
      </c>
      <c r="D5210" t="s">
        <v>35</v>
      </c>
      <c r="E5210" s="30" t="s">
        <v>85</v>
      </c>
      <c r="F5210" s="3">
        <v>2019</v>
      </c>
      <c r="G5210" s="29">
        <v>0</v>
      </c>
      <c r="H5210" s="29">
        <v>3070</v>
      </c>
      <c r="I5210" s="31">
        <v>0</v>
      </c>
      <c r="J5210" s="29">
        <v>0</v>
      </c>
    </row>
    <row r="5211" spans="3:10" x14ac:dyDescent="0.35">
      <c r="C5211" t="s">
        <v>17</v>
      </c>
      <c r="D5211" t="s">
        <v>35</v>
      </c>
      <c r="E5211" s="30" t="s">
        <v>87</v>
      </c>
      <c r="F5211" s="3">
        <v>2019</v>
      </c>
      <c r="G5211" s="29">
        <v>3070</v>
      </c>
      <c r="H5211" s="29">
        <v>6150</v>
      </c>
      <c r="I5211" s="31">
        <v>0.03</v>
      </c>
      <c r="J5211" s="29">
        <v>-92</v>
      </c>
    </row>
    <row r="5212" spans="3:10" x14ac:dyDescent="0.35">
      <c r="C5212" t="s">
        <v>17</v>
      </c>
      <c r="D5212" t="s">
        <v>35</v>
      </c>
      <c r="E5212" s="30" t="s">
        <v>88</v>
      </c>
      <c r="F5212" s="3">
        <v>2019</v>
      </c>
      <c r="G5212" s="29">
        <v>6150</v>
      </c>
      <c r="H5212" s="29">
        <v>9230</v>
      </c>
      <c r="I5212" s="31">
        <v>0.04</v>
      </c>
      <c r="J5212" s="29">
        <v>-154</v>
      </c>
    </row>
    <row r="5213" spans="3:10" x14ac:dyDescent="0.35">
      <c r="C5213" t="s">
        <v>17</v>
      </c>
      <c r="D5213" t="s">
        <v>35</v>
      </c>
      <c r="E5213" s="30" t="s">
        <v>105</v>
      </c>
      <c r="F5213" s="3">
        <v>2019</v>
      </c>
      <c r="G5213" s="29">
        <v>9230</v>
      </c>
      <c r="H5213" s="29">
        <v>12310</v>
      </c>
      <c r="I5213" s="31">
        <v>0.05</v>
      </c>
      <c r="J5213" s="29">
        <v>-246</v>
      </c>
    </row>
    <row r="5214" spans="3:10" x14ac:dyDescent="0.35">
      <c r="C5214" t="s">
        <v>17</v>
      </c>
      <c r="D5214" t="s">
        <v>35</v>
      </c>
      <c r="E5214" s="30" t="s">
        <v>106</v>
      </c>
      <c r="F5214" s="3">
        <v>2019</v>
      </c>
      <c r="G5214" s="29">
        <v>12310</v>
      </c>
      <c r="H5214" s="29">
        <v>15400</v>
      </c>
      <c r="I5214" s="31">
        <v>0.06</v>
      </c>
      <c r="J5214" s="29">
        <v>-369</v>
      </c>
    </row>
    <row r="5215" spans="3:10" x14ac:dyDescent="0.35">
      <c r="C5215" t="s">
        <v>17</v>
      </c>
      <c r="D5215" t="s">
        <v>35</v>
      </c>
      <c r="E5215" s="30" t="s">
        <v>107</v>
      </c>
      <c r="F5215" s="3">
        <v>2019</v>
      </c>
      <c r="G5215" s="29">
        <v>15400</v>
      </c>
      <c r="H5215" s="29"/>
      <c r="I5215" s="31">
        <v>7.0000000000000007E-2</v>
      </c>
      <c r="J5215" s="29">
        <v>-523</v>
      </c>
    </row>
    <row r="5216" spans="3:10" x14ac:dyDescent="0.35">
      <c r="C5216" t="s">
        <v>17</v>
      </c>
      <c r="D5216" t="s">
        <v>34</v>
      </c>
      <c r="E5216" s="30" t="s">
        <v>85</v>
      </c>
      <c r="F5216" s="3">
        <v>2019</v>
      </c>
      <c r="G5216" s="29">
        <v>0</v>
      </c>
      <c r="H5216" s="29">
        <v>3070</v>
      </c>
      <c r="I5216" s="31">
        <v>0</v>
      </c>
      <c r="J5216" s="29">
        <v>0</v>
      </c>
    </row>
    <row r="5217" spans="3:10" x14ac:dyDescent="0.35">
      <c r="C5217" t="s">
        <v>17</v>
      </c>
      <c r="D5217" t="s">
        <v>34</v>
      </c>
      <c r="E5217" s="30" t="s">
        <v>87</v>
      </c>
      <c r="F5217" s="3">
        <v>2019</v>
      </c>
      <c r="G5217" s="29">
        <v>3070</v>
      </c>
      <c r="H5217" s="29">
        <v>6150</v>
      </c>
      <c r="I5217" s="31">
        <v>0.03</v>
      </c>
      <c r="J5217" s="29">
        <v>-92</v>
      </c>
    </row>
    <row r="5218" spans="3:10" x14ac:dyDescent="0.35">
      <c r="C5218" t="s">
        <v>17</v>
      </c>
      <c r="D5218" t="s">
        <v>34</v>
      </c>
      <c r="E5218" s="30" t="s">
        <v>88</v>
      </c>
      <c r="F5218" s="3">
        <v>2019</v>
      </c>
      <c r="G5218" s="29">
        <v>6150</v>
      </c>
      <c r="H5218" s="29">
        <v>9230</v>
      </c>
      <c r="I5218" s="31">
        <v>0.04</v>
      </c>
      <c r="J5218" s="29">
        <v>-154</v>
      </c>
    </row>
    <row r="5219" spans="3:10" x14ac:dyDescent="0.35">
      <c r="C5219" t="s">
        <v>17</v>
      </c>
      <c r="D5219" t="s">
        <v>34</v>
      </c>
      <c r="E5219" s="30" t="s">
        <v>105</v>
      </c>
      <c r="F5219" s="3">
        <v>2019</v>
      </c>
      <c r="G5219" s="29">
        <v>9230</v>
      </c>
      <c r="H5219" s="29">
        <v>12310</v>
      </c>
      <c r="I5219" s="31">
        <v>0.05</v>
      </c>
      <c r="J5219" s="29">
        <v>-246</v>
      </c>
    </row>
    <row r="5220" spans="3:10" x14ac:dyDescent="0.35">
      <c r="C5220" t="s">
        <v>17</v>
      </c>
      <c r="D5220" t="s">
        <v>34</v>
      </c>
      <c r="E5220" s="30" t="s">
        <v>106</v>
      </c>
      <c r="F5220" s="3">
        <v>2019</v>
      </c>
      <c r="G5220" s="29">
        <v>12310</v>
      </c>
      <c r="H5220" s="29">
        <v>15400</v>
      </c>
      <c r="I5220" s="31">
        <v>0.06</v>
      </c>
      <c r="J5220" s="29">
        <v>-369</v>
      </c>
    </row>
    <row r="5221" spans="3:10" x14ac:dyDescent="0.35">
      <c r="C5221" t="s">
        <v>17</v>
      </c>
      <c r="D5221" t="s">
        <v>34</v>
      </c>
      <c r="E5221" s="30" t="s">
        <v>107</v>
      </c>
      <c r="F5221" s="3">
        <v>2019</v>
      </c>
      <c r="G5221" s="29">
        <v>15400</v>
      </c>
      <c r="H5221" s="29"/>
      <c r="I5221" s="31">
        <v>7.0000000000000007E-2</v>
      </c>
      <c r="J5221" s="29">
        <v>-523</v>
      </c>
    </row>
    <row r="5222" spans="3:10" x14ac:dyDescent="0.35">
      <c r="C5222" t="s">
        <v>17</v>
      </c>
      <c r="D5222" t="s">
        <v>33</v>
      </c>
      <c r="E5222" s="30" t="s">
        <v>85</v>
      </c>
      <c r="F5222" s="3">
        <v>2019</v>
      </c>
      <c r="G5222" s="29">
        <v>0</v>
      </c>
      <c r="H5222" s="29">
        <v>3070</v>
      </c>
      <c r="I5222" s="31">
        <v>0</v>
      </c>
      <c r="J5222" s="29">
        <v>0</v>
      </c>
    </row>
    <row r="5223" spans="3:10" x14ac:dyDescent="0.35">
      <c r="C5223" t="s">
        <v>17</v>
      </c>
      <c r="D5223" t="s">
        <v>33</v>
      </c>
      <c r="E5223" s="30" t="s">
        <v>87</v>
      </c>
      <c r="F5223" s="3">
        <v>2019</v>
      </c>
      <c r="G5223" s="29">
        <v>3070</v>
      </c>
      <c r="H5223" s="29">
        <v>6150</v>
      </c>
      <c r="I5223" s="31">
        <v>0.03</v>
      </c>
      <c r="J5223" s="29">
        <v>-92</v>
      </c>
    </row>
    <row r="5224" spans="3:10" x14ac:dyDescent="0.35">
      <c r="C5224" t="s">
        <v>17</v>
      </c>
      <c r="D5224" t="s">
        <v>33</v>
      </c>
      <c r="E5224" s="30" t="s">
        <v>88</v>
      </c>
      <c r="F5224" s="3">
        <v>2019</v>
      </c>
      <c r="G5224" s="29">
        <v>6150</v>
      </c>
      <c r="H5224" s="29">
        <v>9230</v>
      </c>
      <c r="I5224" s="31">
        <v>0.04</v>
      </c>
      <c r="J5224" s="29">
        <v>-154</v>
      </c>
    </row>
    <row r="5225" spans="3:10" x14ac:dyDescent="0.35">
      <c r="C5225" t="s">
        <v>17</v>
      </c>
      <c r="D5225" t="s">
        <v>33</v>
      </c>
      <c r="E5225" s="30" t="s">
        <v>105</v>
      </c>
      <c r="F5225" s="3">
        <v>2019</v>
      </c>
      <c r="G5225" s="29">
        <v>9230</v>
      </c>
      <c r="H5225" s="29">
        <v>12310</v>
      </c>
      <c r="I5225" s="31">
        <v>0.05</v>
      </c>
      <c r="J5225" s="29">
        <v>-246</v>
      </c>
    </row>
    <row r="5226" spans="3:10" x14ac:dyDescent="0.35">
      <c r="C5226" t="s">
        <v>17</v>
      </c>
      <c r="D5226" t="s">
        <v>33</v>
      </c>
      <c r="E5226" s="30" t="s">
        <v>106</v>
      </c>
      <c r="F5226" s="3">
        <v>2019</v>
      </c>
      <c r="G5226" s="29">
        <v>12310</v>
      </c>
      <c r="H5226" s="29">
        <v>15400</v>
      </c>
      <c r="I5226" s="31">
        <v>0.06</v>
      </c>
      <c r="J5226" s="29">
        <v>-369</v>
      </c>
    </row>
    <row r="5227" spans="3:10" x14ac:dyDescent="0.35">
      <c r="C5227" t="s">
        <v>17</v>
      </c>
      <c r="D5227" t="s">
        <v>33</v>
      </c>
      <c r="E5227" s="30" t="s">
        <v>107</v>
      </c>
      <c r="F5227" s="3">
        <v>2019</v>
      </c>
      <c r="G5227" s="29">
        <v>15400</v>
      </c>
      <c r="H5227" s="29"/>
      <c r="I5227" s="31">
        <v>7.0000000000000007E-2</v>
      </c>
      <c r="J5227" s="29">
        <v>-523</v>
      </c>
    </row>
    <row r="5228" spans="3:10" x14ac:dyDescent="0.35">
      <c r="C5228" t="s">
        <v>17</v>
      </c>
      <c r="D5228" t="s">
        <v>36</v>
      </c>
      <c r="E5228" s="30" t="s">
        <v>85</v>
      </c>
      <c r="F5228" s="3">
        <v>2019</v>
      </c>
      <c r="G5228" s="29">
        <v>0</v>
      </c>
      <c r="H5228" s="29">
        <v>3070</v>
      </c>
      <c r="I5228" s="31">
        <v>0</v>
      </c>
      <c r="J5228" s="29">
        <v>0</v>
      </c>
    </row>
    <row r="5229" spans="3:10" x14ac:dyDescent="0.35">
      <c r="C5229" t="s">
        <v>17</v>
      </c>
      <c r="D5229" t="s">
        <v>36</v>
      </c>
      <c r="E5229" s="30" t="s">
        <v>87</v>
      </c>
      <c r="F5229" s="3">
        <v>2019</v>
      </c>
      <c r="G5229" s="29">
        <v>3070</v>
      </c>
      <c r="H5229" s="29">
        <v>6150</v>
      </c>
      <c r="I5229" s="31">
        <v>0.03</v>
      </c>
      <c r="J5229" s="29">
        <v>-92</v>
      </c>
    </row>
    <row r="5230" spans="3:10" x14ac:dyDescent="0.35">
      <c r="C5230" t="s">
        <v>17</v>
      </c>
      <c r="D5230" t="s">
        <v>36</v>
      </c>
      <c r="E5230" s="30" t="s">
        <v>88</v>
      </c>
      <c r="F5230" s="3">
        <v>2019</v>
      </c>
      <c r="G5230" s="29">
        <v>6150</v>
      </c>
      <c r="H5230" s="29">
        <v>9230</v>
      </c>
      <c r="I5230" s="31">
        <v>0.04</v>
      </c>
      <c r="J5230" s="29">
        <v>-154</v>
      </c>
    </row>
    <row r="5231" spans="3:10" x14ac:dyDescent="0.35">
      <c r="C5231" t="s">
        <v>17</v>
      </c>
      <c r="D5231" t="s">
        <v>36</v>
      </c>
      <c r="E5231" s="30" t="s">
        <v>105</v>
      </c>
      <c r="F5231" s="3">
        <v>2019</v>
      </c>
      <c r="G5231" s="29">
        <v>9230</v>
      </c>
      <c r="H5231" s="29">
        <v>12310</v>
      </c>
      <c r="I5231" s="31">
        <v>0.05</v>
      </c>
      <c r="J5231" s="29">
        <v>-246</v>
      </c>
    </row>
    <row r="5232" spans="3:10" x14ac:dyDescent="0.35">
      <c r="C5232" t="s">
        <v>17</v>
      </c>
      <c r="D5232" t="s">
        <v>36</v>
      </c>
      <c r="E5232" s="30" t="s">
        <v>106</v>
      </c>
      <c r="F5232" s="3">
        <v>2019</v>
      </c>
      <c r="G5232" s="29">
        <v>12310</v>
      </c>
      <c r="H5232" s="29">
        <v>15400</v>
      </c>
      <c r="I5232" s="31">
        <v>0.06</v>
      </c>
      <c r="J5232" s="29">
        <v>-369</v>
      </c>
    </row>
    <row r="5233" spans="3:10" x14ac:dyDescent="0.35">
      <c r="C5233" t="s">
        <v>17</v>
      </c>
      <c r="D5233" t="s">
        <v>36</v>
      </c>
      <c r="E5233" s="30" t="s">
        <v>107</v>
      </c>
      <c r="F5233" s="3">
        <v>2019</v>
      </c>
      <c r="G5233" s="29">
        <v>15400</v>
      </c>
      <c r="H5233" s="29"/>
      <c r="I5233" s="31">
        <v>7.0000000000000007E-2</v>
      </c>
      <c r="J5233" s="29">
        <v>-523</v>
      </c>
    </row>
    <row r="5234" spans="3:10" x14ac:dyDescent="0.35">
      <c r="C5234" t="s">
        <v>17</v>
      </c>
      <c r="D5234" t="s">
        <v>35</v>
      </c>
      <c r="E5234" s="30" t="s">
        <v>85</v>
      </c>
      <c r="F5234" s="3">
        <v>2020</v>
      </c>
      <c r="G5234" s="29">
        <v>0</v>
      </c>
      <c r="H5234" s="29">
        <v>3070</v>
      </c>
      <c r="I5234" s="31">
        <v>0</v>
      </c>
      <c r="J5234" s="29">
        <v>0</v>
      </c>
    </row>
    <row r="5235" spans="3:10" x14ac:dyDescent="0.35">
      <c r="C5235" t="s">
        <v>17</v>
      </c>
      <c r="D5235" t="s">
        <v>35</v>
      </c>
      <c r="E5235" s="30" t="s">
        <v>87</v>
      </c>
      <c r="F5235" s="3">
        <v>2020</v>
      </c>
      <c r="G5235" s="29">
        <v>3070</v>
      </c>
      <c r="H5235" s="29">
        <v>6150</v>
      </c>
      <c r="I5235" s="31">
        <v>0.03</v>
      </c>
      <c r="J5235" s="29">
        <v>-92</v>
      </c>
    </row>
    <row r="5236" spans="3:10" x14ac:dyDescent="0.35">
      <c r="C5236" t="s">
        <v>17</v>
      </c>
      <c r="D5236" t="s">
        <v>35</v>
      </c>
      <c r="E5236" s="30" t="s">
        <v>88</v>
      </c>
      <c r="F5236" s="3">
        <v>2020</v>
      </c>
      <c r="G5236" s="29">
        <v>6150</v>
      </c>
      <c r="H5236" s="29">
        <v>9230</v>
      </c>
      <c r="I5236" s="31">
        <v>0.04</v>
      </c>
      <c r="J5236" s="29">
        <v>-154</v>
      </c>
    </row>
    <row r="5237" spans="3:10" x14ac:dyDescent="0.35">
      <c r="C5237" t="s">
        <v>17</v>
      </c>
      <c r="D5237" t="s">
        <v>35</v>
      </c>
      <c r="E5237" s="30" t="s">
        <v>105</v>
      </c>
      <c r="F5237" s="3">
        <v>2020</v>
      </c>
      <c r="G5237" s="29">
        <v>9230</v>
      </c>
      <c r="H5237" s="29">
        <v>12310</v>
      </c>
      <c r="I5237" s="31">
        <v>0.05</v>
      </c>
      <c r="J5237" s="29">
        <v>-246</v>
      </c>
    </row>
    <row r="5238" spans="3:10" x14ac:dyDescent="0.35">
      <c r="C5238" t="s">
        <v>17</v>
      </c>
      <c r="D5238" t="s">
        <v>35</v>
      </c>
      <c r="E5238" s="30" t="s">
        <v>106</v>
      </c>
      <c r="F5238" s="3">
        <v>2020</v>
      </c>
      <c r="G5238" s="29">
        <v>12310</v>
      </c>
      <c r="H5238" s="29">
        <v>15400</v>
      </c>
      <c r="I5238" s="31">
        <v>0.06</v>
      </c>
      <c r="J5238" s="29">
        <v>-369</v>
      </c>
    </row>
    <row r="5239" spans="3:10" x14ac:dyDescent="0.35">
      <c r="C5239" t="s">
        <v>17</v>
      </c>
      <c r="D5239" t="s">
        <v>35</v>
      </c>
      <c r="E5239" s="30" t="s">
        <v>107</v>
      </c>
      <c r="F5239" s="3">
        <v>2020</v>
      </c>
      <c r="G5239" s="29">
        <v>15400</v>
      </c>
      <c r="H5239" s="29"/>
      <c r="I5239" s="31">
        <v>7.0000000000000007E-2</v>
      </c>
      <c r="J5239" s="29">
        <v>-523</v>
      </c>
    </row>
    <row r="5240" spans="3:10" x14ac:dyDescent="0.35">
      <c r="C5240" t="s">
        <v>17</v>
      </c>
      <c r="D5240" t="s">
        <v>34</v>
      </c>
      <c r="E5240" s="30" t="s">
        <v>85</v>
      </c>
      <c r="F5240" s="3">
        <v>2020</v>
      </c>
      <c r="G5240" s="29">
        <v>0</v>
      </c>
      <c r="H5240" s="29">
        <v>3070</v>
      </c>
      <c r="I5240" s="31">
        <v>0</v>
      </c>
      <c r="J5240" s="29">
        <v>0</v>
      </c>
    </row>
    <row r="5241" spans="3:10" x14ac:dyDescent="0.35">
      <c r="C5241" t="s">
        <v>17</v>
      </c>
      <c r="D5241" t="s">
        <v>34</v>
      </c>
      <c r="E5241" s="30" t="s">
        <v>87</v>
      </c>
      <c r="F5241" s="3">
        <v>2020</v>
      </c>
      <c r="G5241" s="29">
        <v>3070</v>
      </c>
      <c r="H5241" s="29">
        <v>6150</v>
      </c>
      <c r="I5241" s="31">
        <v>0.03</v>
      </c>
      <c r="J5241" s="29">
        <v>-92</v>
      </c>
    </row>
    <row r="5242" spans="3:10" x14ac:dyDescent="0.35">
      <c r="C5242" t="s">
        <v>17</v>
      </c>
      <c r="D5242" t="s">
        <v>34</v>
      </c>
      <c r="E5242" s="30" t="s">
        <v>88</v>
      </c>
      <c r="F5242" s="3">
        <v>2020</v>
      </c>
      <c r="G5242" s="29">
        <v>6150</v>
      </c>
      <c r="H5242" s="29">
        <v>9230</v>
      </c>
      <c r="I5242" s="31">
        <v>0.04</v>
      </c>
      <c r="J5242" s="29">
        <v>-154</v>
      </c>
    </row>
    <row r="5243" spans="3:10" x14ac:dyDescent="0.35">
      <c r="C5243" t="s">
        <v>17</v>
      </c>
      <c r="D5243" t="s">
        <v>34</v>
      </c>
      <c r="E5243" s="30" t="s">
        <v>105</v>
      </c>
      <c r="F5243" s="3">
        <v>2020</v>
      </c>
      <c r="G5243" s="29">
        <v>9230</v>
      </c>
      <c r="H5243" s="29">
        <v>12310</v>
      </c>
      <c r="I5243" s="31">
        <v>0.05</v>
      </c>
      <c r="J5243" s="29">
        <v>-246</v>
      </c>
    </row>
    <row r="5244" spans="3:10" x14ac:dyDescent="0.35">
      <c r="C5244" t="s">
        <v>17</v>
      </c>
      <c r="D5244" t="s">
        <v>34</v>
      </c>
      <c r="E5244" s="30" t="s">
        <v>106</v>
      </c>
      <c r="F5244" s="3">
        <v>2020</v>
      </c>
      <c r="G5244" s="29">
        <v>12310</v>
      </c>
      <c r="H5244" s="29">
        <v>15400</v>
      </c>
      <c r="I5244" s="31">
        <v>0.06</v>
      </c>
      <c r="J5244" s="29">
        <v>-369</v>
      </c>
    </row>
    <row r="5245" spans="3:10" x14ac:dyDescent="0.35">
      <c r="C5245" t="s">
        <v>17</v>
      </c>
      <c r="D5245" t="s">
        <v>34</v>
      </c>
      <c r="E5245" s="30" t="s">
        <v>107</v>
      </c>
      <c r="F5245" s="3">
        <v>2020</v>
      </c>
      <c r="G5245" s="29">
        <v>15400</v>
      </c>
      <c r="H5245" s="29"/>
      <c r="I5245" s="31">
        <v>7.0000000000000007E-2</v>
      </c>
      <c r="J5245" s="29">
        <v>-523</v>
      </c>
    </row>
    <row r="5246" spans="3:10" x14ac:dyDescent="0.35">
      <c r="C5246" t="s">
        <v>17</v>
      </c>
      <c r="D5246" t="s">
        <v>33</v>
      </c>
      <c r="E5246" s="30" t="s">
        <v>85</v>
      </c>
      <c r="F5246" s="3">
        <v>2020</v>
      </c>
      <c r="G5246" s="29">
        <v>0</v>
      </c>
      <c r="H5246" s="29">
        <v>3070</v>
      </c>
      <c r="I5246" s="31">
        <v>0</v>
      </c>
      <c r="J5246" s="29">
        <v>0</v>
      </c>
    </row>
    <row r="5247" spans="3:10" x14ac:dyDescent="0.35">
      <c r="C5247" t="s">
        <v>17</v>
      </c>
      <c r="D5247" t="s">
        <v>33</v>
      </c>
      <c r="E5247" s="30" t="s">
        <v>87</v>
      </c>
      <c r="F5247" s="3">
        <v>2020</v>
      </c>
      <c r="G5247" s="29">
        <v>3070</v>
      </c>
      <c r="H5247" s="29">
        <v>6150</v>
      </c>
      <c r="I5247" s="31">
        <v>0.03</v>
      </c>
      <c r="J5247" s="29">
        <v>-92</v>
      </c>
    </row>
    <row r="5248" spans="3:10" x14ac:dyDescent="0.35">
      <c r="C5248" t="s">
        <v>17</v>
      </c>
      <c r="D5248" t="s">
        <v>33</v>
      </c>
      <c r="E5248" s="30" t="s">
        <v>88</v>
      </c>
      <c r="F5248" s="3">
        <v>2020</v>
      </c>
      <c r="G5248" s="29">
        <v>6150</v>
      </c>
      <c r="H5248" s="29">
        <v>9230</v>
      </c>
      <c r="I5248" s="31">
        <v>0.04</v>
      </c>
      <c r="J5248" s="29">
        <v>-154</v>
      </c>
    </row>
    <row r="5249" spans="3:10" x14ac:dyDescent="0.35">
      <c r="C5249" t="s">
        <v>17</v>
      </c>
      <c r="D5249" t="s">
        <v>33</v>
      </c>
      <c r="E5249" s="30" t="s">
        <v>105</v>
      </c>
      <c r="F5249" s="3">
        <v>2020</v>
      </c>
      <c r="G5249" s="29">
        <v>9230</v>
      </c>
      <c r="H5249" s="29">
        <v>12310</v>
      </c>
      <c r="I5249" s="31">
        <v>0.05</v>
      </c>
      <c r="J5249" s="29">
        <v>-246</v>
      </c>
    </row>
    <row r="5250" spans="3:10" x14ac:dyDescent="0.35">
      <c r="C5250" t="s">
        <v>17</v>
      </c>
      <c r="D5250" t="s">
        <v>33</v>
      </c>
      <c r="E5250" s="30" t="s">
        <v>106</v>
      </c>
      <c r="F5250" s="3">
        <v>2020</v>
      </c>
      <c r="G5250" s="29">
        <v>12310</v>
      </c>
      <c r="H5250" s="29">
        <v>15400</v>
      </c>
      <c r="I5250" s="31">
        <v>0.06</v>
      </c>
      <c r="J5250" s="29">
        <v>-369</v>
      </c>
    </row>
    <row r="5251" spans="3:10" x14ac:dyDescent="0.35">
      <c r="C5251" t="s">
        <v>17</v>
      </c>
      <c r="D5251" t="s">
        <v>33</v>
      </c>
      <c r="E5251" s="30" t="s">
        <v>107</v>
      </c>
      <c r="F5251" s="3">
        <v>2020</v>
      </c>
      <c r="G5251" s="29">
        <v>15400</v>
      </c>
      <c r="H5251" s="29"/>
      <c r="I5251" s="31">
        <v>7.0000000000000007E-2</v>
      </c>
      <c r="J5251" s="29">
        <v>-523</v>
      </c>
    </row>
    <row r="5252" spans="3:10" x14ac:dyDescent="0.35">
      <c r="C5252" t="s">
        <v>17</v>
      </c>
      <c r="D5252" t="s">
        <v>36</v>
      </c>
      <c r="E5252" s="30" t="s">
        <v>85</v>
      </c>
      <c r="F5252" s="3">
        <v>2020</v>
      </c>
      <c r="G5252" s="29">
        <v>0</v>
      </c>
      <c r="H5252" s="29">
        <v>3070</v>
      </c>
      <c r="I5252" s="31">
        <v>0</v>
      </c>
      <c r="J5252" s="29">
        <v>0</v>
      </c>
    </row>
    <row r="5253" spans="3:10" x14ac:dyDescent="0.35">
      <c r="C5253" t="s">
        <v>17</v>
      </c>
      <c r="D5253" t="s">
        <v>36</v>
      </c>
      <c r="E5253" s="30" t="s">
        <v>87</v>
      </c>
      <c r="F5253" s="3">
        <v>2020</v>
      </c>
      <c r="G5253" s="29">
        <v>3070</v>
      </c>
      <c r="H5253" s="29">
        <v>6150</v>
      </c>
      <c r="I5253" s="31">
        <v>0.03</v>
      </c>
      <c r="J5253" s="29">
        <v>-92</v>
      </c>
    </row>
    <row r="5254" spans="3:10" x14ac:dyDescent="0.35">
      <c r="C5254" t="s">
        <v>17</v>
      </c>
      <c r="D5254" t="s">
        <v>36</v>
      </c>
      <c r="E5254" s="30" t="s">
        <v>88</v>
      </c>
      <c r="F5254" s="3">
        <v>2020</v>
      </c>
      <c r="G5254" s="29">
        <v>6150</v>
      </c>
      <c r="H5254" s="29">
        <v>9230</v>
      </c>
      <c r="I5254" s="31">
        <v>0.04</v>
      </c>
      <c r="J5254" s="29">
        <v>-154</v>
      </c>
    </row>
    <row r="5255" spans="3:10" x14ac:dyDescent="0.35">
      <c r="C5255" t="s">
        <v>17</v>
      </c>
      <c r="D5255" t="s">
        <v>36</v>
      </c>
      <c r="E5255" s="30" t="s">
        <v>105</v>
      </c>
      <c r="F5255" s="3">
        <v>2020</v>
      </c>
      <c r="G5255" s="29">
        <v>9230</v>
      </c>
      <c r="H5255" s="29">
        <v>12310</v>
      </c>
      <c r="I5255" s="31">
        <v>0.05</v>
      </c>
      <c r="J5255" s="29">
        <v>-246</v>
      </c>
    </row>
    <row r="5256" spans="3:10" x14ac:dyDescent="0.35">
      <c r="C5256" t="s">
        <v>17</v>
      </c>
      <c r="D5256" t="s">
        <v>36</v>
      </c>
      <c r="E5256" s="30" t="s">
        <v>106</v>
      </c>
      <c r="F5256" s="3">
        <v>2020</v>
      </c>
      <c r="G5256" s="29">
        <v>12310</v>
      </c>
      <c r="H5256" s="29">
        <v>15400</v>
      </c>
      <c r="I5256" s="31">
        <v>0.06</v>
      </c>
      <c r="J5256" s="29">
        <v>-369</v>
      </c>
    </row>
    <row r="5257" spans="3:10" x14ac:dyDescent="0.35">
      <c r="C5257" t="s">
        <v>17</v>
      </c>
      <c r="D5257" t="s">
        <v>36</v>
      </c>
      <c r="E5257" s="30" t="s">
        <v>107</v>
      </c>
      <c r="F5257" s="3">
        <v>2020</v>
      </c>
      <c r="G5257" s="29">
        <v>15400</v>
      </c>
      <c r="H5257" s="29"/>
      <c r="I5257" s="31">
        <v>7.0000000000000007E-2</v>
      </c>
      <c r="J5257" s="29">
        <v>-523</v>
      </c>
    </row>
    <row r="5258" spans="3:10" x14ac:dyDescent="0.35">
      <c r="C5258" t="s">
        <v>17</v>
      </c>
      <c r="D5258" t="s">
        <v>35</v>
      </c>
      <c r="E5258" s="30" t="s">
        <v>85</v>
      </c>
      <c r="F5258" s="3">
        <v>2021</v>
      </c>
      <c r="G5258" s="29">
        <v>0</v>
      </c>
      <c r="H5258" s="29">
        <v>3110</v>
      </c>
      <c r="I5258" s="31">
        <v>0</v>
      </c>
      <c r="J5258" s="29">
        <v>0</v>
      </c>
    </row>
    <row r="5259" spans="3:10" x14ac:dyDescent="0.35">
      <c r="C5259" t="s">
        <v>17</v>
      </c>
      <c r="D5259" t="s">
        <v>35</v>
      </c>
      <c r="E5259" s="30" t="s">
        <v>87</v>
      </c>
      <c r="F5259" s="3">
        <v>2021</v>
      </c>
      <c r="G5259" s="29">
        <v>3110</v>
      </c>
      <c r="H5259" s="29">
        <v>6220</v>
      </c>
      <c r="I5259" s="31">
        <v>0.03</v>
      </c>
      <c r="J5259" s="29">
        <v>-93</v>
      </c>
    </row>
    <row r="5260" spans="3:10" x14ac:dyDescent="0.35">
      <c r="C5260" t="s">
        <v>17</v>
      </c>
      <c r="D5260" t="s">
        <v>35</v>
      </c>
      <c r="E5260" s="30" t="s">
        <v>88</v>
      </c>
      <c r="F5260" s="3">
        <v>2021</v>
      </c>
      <c r="G5260" s="29">
        <v>6220</v>
      </c>
      <c r="H5260" s="29">
        <v>9330</v>
      </c>
      <c r="I5260" s="31">
        <v>0.04</v>
      </c>
      <c r="J5260" s="29">
        <v>-156</v>
      </c>
    </row>
    <row r="5261" spans="3:10" x14ac:dyDescent="0.35">
      <c r="C5261" t="s">
        <v>17</v>
      </c>
      <c r="D5261" t="s">
        <v>35</v>
      </c>
      <c r="E5261" s="30" t="s">
        <v>105</v>
      </c>
      <c r="F5261" s="3">
        <v>2021</v>
      </c>
      <c r="G5261" s="29">
        <v>9330</v>
      </c>
      <c r="H5261" s="29">
        <v>12440</v>
      </c>
      <c r="I5261" s="31">
        <v>0.05</v>
      </c>
      <c r="J5261" s="29">
        <v>-249</v>
      </c>
    </row>
    <row r="5262" spans="3:10" x14ac:dyDescent="0.35">
      <c r="C5262" t="s">
        <v>17</v>
      </c>
      <c r="D5262" t="s">
        <v>35</v>
      </c>
      <c r="E5262" s="30" t="s">
        <v>106</v>
      </c>
      <c r="F5262" s="3">
        <v>2021</v>
      </c>
      <c r="G5262" s="29">
        <v>12440</v>
      </c>
      <c r="H5262" s="29">
        <v>15560</v>
      </c>
      <c r="I5262" s="31">
        <v>0.06</v>
      </c>
      <c r="J5262" s="29">
        <v>-373</v>
      </c>
    </row>
    <row r="5263" spans="3:10" x14ac:dyDescent="0.35">
      <c r="C5263" t="s">
        <v>17</v>
      </c>
      <c r="D5263" t="s">
        <v>35</v>
      </c>
      <c r="E5263" s="30" t="s">
        <v>107</v>
      </c>
      <c r="F5263" s="3">
        <v>2021</v>
      </c>
      <c r="G5263" s="29">
        <v>15560</v>
      </c>
      <c r="H5263" s="29"/>
      <c r="I5263" s="31">
        <v>7.0000000000000007E-2</v>
      </c>
      <c r="J5263" s="29">
        <v>-529</v>
      </c>
    </row>
    <row r="5264" spans="3:10" x14ac:dyDescent="0.35">
      <c r="C5264" t="s">
        <v>17</v>
      </c>
      <c r="D5264" t="s">
        <v>34</v>
      </c>
      <c r="E5264" s="30" t="s">
        <v>85</v>
      </c>
      <c r="F5264" s="3">
        <v>2021</v>
      </c>
      <c r="G5264" s="29">
        <v>0</v>
      </c>
      <c r="H5264" s="29">
        <v>3110</v>
      </c>
      <c r="I5264" s="31">
        <v>0</v>
      </c>
      <c r="J5264" s="29">
        <v>0</v>
      </c>
    </row>
    <row r="5265" spans="3:10" x14ac:dyDescent="0.35">
      <c r="C5265" t="s">
        <v>17</v>
      </c>
      <c r="D5265" t="s">
        <v>34</v>
      </c>
      <c r="E5265" s="30" t="s">
        <v>87</v>
      </c>
      <c r="F5265" s="3">
        <v>2021</v>
      </c>
      <c r="G5265" s="29">
        <v>3110</v>
      </c>
      <c r="H5265" s="29">
        <v>6220</v>
      </c>
      <c r="I5265" s="31">
        <v>0.03</v>
      </c>
      <c r="J5265" s="29">
        <v>-93</v>
      </c>
    </row>
    <row r="5266" spans="3:10" x14ac:dyDescent="0.35">
      <c r="C5266" t="s">
        <v>17</v>
      </c>
      <c r="D5266" t="s">
        <v>34</v>
      </c>
      <c r="E5266" s="30" t="s">
        <v>88</v>
      </c>
      <c r="F5266" s="3">
        <v>2021</v>
      </c>
      <c r="G5266" s="29">
        <v>6220</v>
      </c>
      <c r="H5266" s="29">
        <v>9330</v>
      </c>
      <c r="I5266" s="31">
        <v>0.04</v>
      </c>
      <c r="J5266" s="29">
        <v>-156</v>
      </c>
    </row>
    <row r="5267" spans="3:10" x14ac:dyDescent="0.35">
      <c r="C5267" t="s">
        <v>17</v>
      </c>
      <c r="D5267" t="s">
        <v>34</v>
      </c>
      <c r="E5267" s="30" t="s">
        <v>105</v>
      </c>
      <c r="F5267" s="3">
        <v>2021</v>
      </c>
      <c r="G5267" s="29">
        <v>9330</v>
      </c>
      <c r="H5267" s="29">
        <v>12440</v>
      </c>
      <c r="I5267" s="31">
        <v>0.05</v>
      </c>
      <c r="J5267" s="29">
        <v>-249</v>
      </c>
    </row>
    <row r="5268" spans="3:10" x14ac:dyDescent="0.35">
      <c r="C5268" t="s">
        <v>17</v>
      </c>
      <c r="D5268" t="s">
        <v>34</v>
      </c>
      <c r="E5268" s="30" t="s">
        <v>106</v>
      </c>
      <c r="F5268" s="3">
        <v>2021</v>
      </c>
      <c r="G5268" s="29">
        <v>12440</v>
      </c>
      <c r="H5268" s="29">
        <v>15560</v>
      </c>
      <c r="I5268" s="31">
        <v>0.06</v>
      </c>
      <c r="J5268" s="29">
        <v>-373</v>
      </c>
    </row>
    <row r="5269" spans="3:10" x14ac:dyDescent="0.35">
      <c r="C5269" t="s">
        <v>17</v>
      </c>
      <c r="D5269" t="s">
        <v>34</v>
      </c>
      <c r="E5269" s="30" t="s">
        <v>107</v>
      </c>
      <c r="F5269" s="3">
        <v>2021</v>
      </c>
      <c r="G5269" s="29">
        <v>15560</v>
      </c>
      <c r="H5269" s="29"/>
      <c r="I5269" s="31">
        <v>7.0000000000000007E-2</v>
      </c>
      <c r="J5269" s="29">
        <v>-529</v>
      </c>
    </row>
    <row r="5270" spans="3:10" x14ac:dyDescent="0.35">
      <c r="C5270" t="s">
        <v>17</v>
      </c>
      <c r="D5270" t="s">
        <v>33</v>
      </c>
      <c r="E5270" s="30" t="s">
        <v>85</v>
      </c>
      <c r="F5270" s="3">
        <v>2021</v>
      </c>
      <c r="G5270" s="29">
        <v>0</v>
      </c>
      <c r="H5270" s="29">
        <v>3110</v>
      </c>
      <c r="I5270" s="31">
        <v>0</v>
      </c>
      <c r="J5270" s="29">
        <v>0</v>
      </c>
    </row>
    <row r="5271" spans="3:10" x14ac:dyDescent="0.35">
      <c r="C5271" t="s">
        <v>17</v>
      </c>
      <c r="D5271" t="s">
        <v>33</v>
      </c>
      <c r="E5271" s="30" t="s">
        <v>87</v>
      </c>
      <c r="F5271" s="3">
        <v>2021</v>
      </c>
      <c r="G5271" s="29">
        <v>3110</v>
      </c>
      <c r="H5271" s="29">
        <v>6220</v>
      </c>
      <c r="I5271" s="31">
        <v>0.03</v>
      </c>
      <c r="J5271" s="29">
        <v>-93</v>
      </c>
    </row>
    <row r="5272" spans="3:10" x14ac:dyDescent="0.35">
      <c r="C5272" t="s">
        <v>17</v>
      </c>
      <c r="D5272" t="s">
        <v>33</v>
      </c>
      <c r="E5272" s="30" t="s">
        <v>88</v>
      </c>
      <c r="F5272" s="3">
        <v>2021</v>
      </c>
      <c r="G5272" s="29">
        <v>6220</v>
      </c>
      <c r="H5272" s="29">
        <v>9330</v>
      </c>
      <c r="I5272" s="31">
        <v>0.04</v>
      </c>
      <c r="J5272" s="29">
        <v>-156</v>
      </c>
    </row>
    <row r="5273" spans="3:10" x14ac:dyDescent="0.35">
      <c r="C5273" t="s">
        <v>17</v>
      </c>
      <c r="D5273" t="s">
        <v>33</v>
      </c>
      <c r="E5273" s="30" t="s">
        <v>105</v>
      </c>
      <c r="F5273" s="3">
        <v>2021</v>
      </c>
      <c r="G5273" s="29">
        <v>9330</v>
      </c>
      <c r="H5273" s="29">
        <v>12440</v>
      </c>
      <c r="I5273" s="31">
        <v>0.05</v>
      </c>
      <c r="J5273" s="29">
        <v>-249</v>
      </c>
    </row>
    <row r="5274" spans="3:10" x14ac:dyDescent="0.35">
      <c r="C5274" t="s">
        <v>17</v>
      </c>
      <c r="D5274" t="s">
        <v>33</v>
      </c>
      <c r="E5274" s="30" t="s">
        <v>106</v>
      </c>
      <c r="F5274" s="3">
        <v>2021</v>
      </c>
      <c r="G5274" s="29">
        <v>12440</v>
      </c>
      <c r="H5274" s="29">
        <v>15560</v>
      </c>
      <c r="I5274" s="31">
        <v>0.06</v>
      </c>
      <c r="J5274" s="29">
        <v>-373</v>
      </c>
    </row>
    <row r="5275" spans="3:10" x14ac:dyDescent="0.35">
      <c r="C5275" t="s">
        <v>17</v>
      </c>
      <c r="D5275" t="s">
        <v>33</v>
      </c>
      <c r="E5275" s="30" t="s">
        <v>107</v>
      </c>
      <c r="F5275" s="3">
        <v>2021</v>
      </c>
      <c r="G5275" s="29">
        <v>15560</v>
      </c>
      <c r="H5275" s="29"/>
      <c r="I5275" s="31">
        <v>7.0000000000000007E-2</v>
      </c>
      <c r="J5275" s="29">
        <v>-529</v>
      </c>
    </row>
    <row r="5276" spans="3:10" x14ac:dyDescent="0.35">
      <c r="C5276" t="s">
        <v>17</v>
      </c>
      <c r="D5276" t="s">
        <v>36</v>
      </c>
      <c r="E5276" s="30" t="s">
        <v>85</v>
      </c>
      <c r="F5276" s="3">
        <v>2021</v>
      </c>
      <c r="G5276" s="29">
        <v>0</v>
      </c>
      <c r="H5276" s="29">
        <v>3110</v>
      </c>
      <c r="I5276" s="31">
        <v>0</v>
      </c>
      <c r="J5276" s="29">
        <v>0</v>
      </c>
    </row>
    <row r="5277" spans="3:10" x14ac:dyDescent="0.35">
      <c r="C5277" t="s">
        <v>17</v>
      </c>
      <c r="D5277" t="s">
        <v>36</v>
      </c>
      <c r="E5277" s="30" t="s">
        <v>87</v>
      </c>
      <c r="F5277" s="3">
        <v>2021</v>
      </c>
      <c r="G5277" s="29">
        <v>3110</v>
      </c>
      <c r="H5277" s="29">
        <v>6220</v>
      </c>
      <c r="I5277" s="31">
        <v>0.03</v>
      </c>
      <c r="J5277" s="29">
        <v>-93</v>
      </c>
    </row>
    <row r="5278" spans="3:10" x14ac:dyDescent="0.35">
      <c r="C5278" t="s">
        <v>17</v>
      </c>
      <c r="D5278" t="s">
        <v>36</v>
      </c>
      <c r="E5278" s="30" t="s">
        <v>88</v>
      </c>
      <c r="F5278" s="3">
        <v>2021</v>
      </c>
      <c r="G5278" s="29">
        <v>6220</v>
      </c>
      <c r="H5278" s="29">
        <v>9330</v>
      </c>
      <c r="I5278" s="31">
        <v>0.04</v>
      </c>
      <c r="J5278" s="29">
        <v>-156</v>
      </c>
    </row>
    <row r="5279" spans="3:10" x14ac:dyDescent="0.35">
      <c r="C5279" t="s">
        <v>17</v>
      </c>
      <c r="D5279" t="s">
        <v>36</v>
      </c>
      <c r="E5279" s="30" t="s">
        <v>105</v>
      </c>
      <c r="F5279" s="3">
        <v>2021</v>
      </c>
      <c r="G5279" s="29">
        <v>9330</v>
      </c>
      <c r="H5279" s="29">
        <v>12440</v>
      </c>
      <c r="I5279" s="31">
        <v>0.05</v>
      </c>
      <c r="J5279" s="29">
        <v>-249</v>
      </c>
    </row>
    <row r="5280" spans="3:10" x14ac:dyDescent="0.35">
      <c r="C5280" t="s">
        <v>17</v>
      </c>
      <c r="D5280" t="s">
        <v>36</v>
      </c>
      <c r="E5280" s="30" t="s">
        <v>106</v>
      </c>
      <c r="F5280" s="3">
        <v>2021</v>
      </c>
      <c r="G5280" s="29">
        <v>12440</v>
      </c>
      <c r="H5280" s="29">
        <v>15560</v>
      </c>
      <c r="I5280" s="31">
        <v>0.06</v>
      </c>
      <c r="J5280" s="29">
        <v>-373</v>
      </c>
    </row>
    <row r="5281" spans="3:10" x14ac:dyDescent="0.35">
      <c r="C5281" t="s">
        <v>17</v>
      </c>
      <c r="D5281" t="s">
        <v>36</v>
      </c>
      <c r="E5281" s="30" t="s">
        <v>107</v>
      </c>
      <c r="F5281" s="3">
        <v>2021</v>
      </c>
      <c r="G5281" s="29">
        <v>15560</v>
      </c>
      <c r="H5281" s="29"/>
      <c r="I5281" s="31">
        <v>7.0000000000000007E-2</v>
      </c>
      <c r="J5281" s="29">
        <v>-529</v>
      </c>
    </row>
    <row r="5282" spans="3:10" x14ac:dyDescent="0.35">
      <c r="C5282" t="s">
        <v>17</v>
      </c>
      <c r="D5282" t="s">
        <v>35</v>
      </c>
      <c r="E5282" s="30" t="s">
        <v>85</v>
      </c>
      <c r="F5282" s="3">
        <v>2022</v>
      </c>
      <c r="G5282" s="29">
        <v>0</v>
      </c>
      <c r="H5282" s="29">
        <v>3200</v>
      </c>
      <c r="I5282" s="31">
        <v>0</v>
      </c>
      <c r="J5282" s="29">
        <v>0</v>
      </c>
    </row>
    <row r="5283" spans="3:10" x14ac:dyDescent="0.35">
      <c r="C5283" t="s">
        <v>17</v>
      </c>
      <c r="D5283" t="s">
        <v>35</v>
      </c>
      <c r="E5283" s="30" t="s">
        <v>87</v>
      </c>
      <c r="F5283" s="3">
        <v>2022</v>
      </c>
      <c r="G5283" s="29">
        <v>3200</v>
      </c>
      <c r="H5283" s="29">
        <v>6410</v>
      </c>
      <c r="I5283" s="31">
        <v>0.03</v>
      </c>
      <c r="J5283" s="29">
        <v>-96</v>
      </c>
    </row>
    <row r="5284" spans="3:10" x14ac:dyDescent="0.35">
      <c r="C5284" t="s">
        <v>17</v>
      </c>
      <c r="D5284" t="s">
        <v>35</v>
      </c>
      <c r="E5284" s="30" t="s">
        <v>88</v>
      </c>
      <c r="F5284" s="3">
        <v>2022</v>
      </c>
      <c r="G5284" s="29">
        <v>6410</v>
      </c>
      <c r="H5284" s="29">
        <v>9620</v>
      </c>
      <c r="I5284" s="31">
        <v>0.04</v>
      </c>
      <c r="J5284" s="29">
        <v>-160</v>
      </c>
    </row>
    <row r="5285" spans="3:10" x14ac:dyDescent="0.35">
      <c r="C5285" t="s">
        <v>17</v>
      </c>
      <c r="D5285" t="s">
        <v>35</v>
      </c>
      <c r="E5285" s="30" t="s">
        <v>105</v>
      </c>
      <c r="F5285" s="3">
        <v>2022</v>
      </c>
      <c r="G5285" s="29">
        <v>9620</v>
      </c>
      <c r="H5285" s="29">
        <v>12820</v>
      </c>
      <c r="I5285" s="31">
        <v>0.05</v>
      </c>
      <c r="J5285" s="29">
        <v>-256</v>
      </c>
    </row>
    <row r="5286" spans="3:10" x14ac:dyDescent="0.35">
      <c r="C5286" t="s">
        <v>17</v>
      </c>
      <c r="D5286" t="s">
        <v>35</v>
      </c>
      <c r="E5286" s="30" t="s">
        <v>106</v>
      </c>
      <c r="F5286" s="3">
        <v>2022</v>
      </c>
      <c r="G5286" s="29">
        <v>12820</v>
      </c>
      <c r="H5286" s="29">
        <v>16040</v>
      </c>
      <c r="I5286" s="31">
        <v>0.06</v>
      </c>
      <c r="J5286" s="29">
        <v>-385</v>
      </c>
    </row>
    <row r="5287" spans="3:10" x14ac:dyDescent="0.35">
      <c r="C5287" t="s">
        <v>17</v>
      </c>
      <c r="D5287" t="s">
        <v>35</v>
      </c>
      <c r="E5287" s="30" t="s">
        <v>107</v>
      </c>
      <c r="F5287" s="3">
        <v>2022</v>
      </c>
      <c r="G5287" s="29">
        <v>16040</v>
      </c>
      <c r="H5287" s="29"/>
      <c r="I5287" s="31">
        <v>7.0000000000000007E-2</v>
      </c>
      <c r="J5287" s="29">
        <v>-545</v>
      </c>
    </row>
    <row r="5288" spans="3:10" x14ac:dyDescent="0.35">
      <c r="C5288" t="s">
        <v>17</v>
      </c>
      <c r="D5288" t="s">
        <v>34</v>
      </c>
      <c r="E5288" s="30" t="s">
        <v>85</v>
      </c>
      <c r="F5288" s="3">
        <v>2022</v>
      </c>
      <c r="G5288" s="29">
        <v>0</v>
      </c>
      <c r="H5288" s="29">
        <v>3200</v>
      </c>
      <c r="I5288" s="31">
        <v>0</v>
      </c>
      <c r="J5288" s="29">
        <v>0</v>
      </c>
    </row>
    <row r="5289" spans="3:10" x14ac:dyDescent="0.35">
      <c r="C5289" t="s">
        <v>17</v>
      </c>
      <c r="D5289" t="s">
        <v>34</v>
      </c>
      <c r="E5289" s="30" t="s">
        <v>87</v>
      </c>
      <c r="F5289" s="3">
        <v>2022</v>
      </c>
      <c r="G5289" s="29">
        <v>3200</v>
      </c>
      <c r="H5289" s="29">
        <v>6410</v>
      </c>
      <c r="I5289" s="31">
        <v>0.03</v>
      </c>
      <c r="J5289" s="29">
        <v>-96</v>
      </c>
    </row>
    <row r="5290" spans="3:10" x14ac:dyDescent="0.35">
      <c r="C5290" t="s">
        <v>17</v>
      </c>
      <c r="D5290" t="s">
        <v>34</v>
      </c>
      <c r="E5290" s="30" t="s">
        <v>88</v>
      </c>
      <c r="F5290" s="3">
        <v>2022</v>
      </c>
      <c r="G5290" s="29">
        <v>6410</v>
      </c>
      <c r="H5290" s="29">
        <v>9620</v>
      </c>
      <c r="I5290" s="31">
        <v>0.04</v>
      </c>
      <c r="J5290" s="29">
        <v>-160</v>
      </c>
    </row>
    <row r="5291" spans="3:10" x14ac:dyDescent="0.35">
      <c r="C5291" t="s">
        <v>17</v>
      </c>
      <c r="D5291" t="s">
        <v>34</v>
      </c>
      <c r="E5291" s="30" t="s">
        <v>105</v>
      </c>
      <c r="F5291" s="3">
        <v>2022</v>
      </c>
      <c r="G5291" s="29">
        <v>9620</v>
      </c>
      <c r="H5291" s="29">
        <v>12820</v>
      </c>
      <c r="I5291" s="31">
        <v>0.05</v>
      </c>
      <c r="J5291" s="29">
        <v>-256</v>
      </c>
    </row>
    <row r="5292" spans="3:10" x14ac:dyDescent="0.35">
      <c r="C5292" t="s">
        <v>17</v>
      </c>
      <c r="D5292" t="s">
        <v>34</v>
      </c>
      <c r="E5292" s="30" t="s">
        <v>106</v>
      </c>
      <c r="F5292" s="3">
        <v>2022</v>
      </c>
      <c r="G5292" s="29">
        <v>12820</v>
      </c>
      <c r="H5292" s="29">
        <v>16040</v>
      </c>
      <c r="I5292" s="31">
        <v>0.06</v>
      </c>
      <c r="J5292" s="29">
        <v>-385</v>
      </c>
    </row>
    <row r="5293" spans="3:10" x14ac:dyDescent="0.35">
      <c r="C5293" t="s">
        <v>17</v>
      </c>
      <c r="D5293" t="s">
        <v>34</v>
      </c>
      <c r="E5293" s="30" t="s">
        <v>107</v>
      </c>
      <c r="F5293" s="3">
        <v>2022</v>
      </c>
      <c r="G5293" s="29">
        <v>16040</v>
      </c>
      <c r="H5293" s="29"/>
      <c r="I5293" s="31">
        <v>7.0000000000000007E-2</v>
      </c>
      <c r="J5293" s="29">
        <v>-545</v>
      </c>
    </row>
    <row r="5294" spans="3:10" x14ac:dyDescent="0.35">
      <c r="C5294" t="s">
        <v>17</v>
      </c>
      <c r="D5294" t="s">
        <v>33</v>
      </c>
      <c r="E5294" s="30" t="s">
        <v>85</v>
      </c>
      <c r="F5294" s="3">
        <v>2022</v>
      </c>
      <c r="G5294" s="29">
        <v>0</v>
      </c>
      <c r="H5294" s="29">
        <v>3200</v>
      </c>
      <c r="I5294" s="31">
        <v>0</v>
      </c>
      <c r="J5294" s="29">
        <v>0</v>
      </c>
    </row>
    <row r="5295" spans="3:10" x14ac:dyDescent="0.35">
      <c r="C5295" t="s">
        <v>17</v>
      </c>
      <c r="D5295" t="s">
        <v>33</v>
      </c>
      <c r="E5295" s="30" t="s">
        <v>87</v>
      </c>
      <c r="F5295" s="3">
        <v>2022</v>
      </c>
      <c r="G5295" s="29">
        <v>3200</v>
      </c>
      <c r="H5295" s="29">
        <v>6410</v>
      </c>
      <c r="I5295" s="31">
        <v>0.03</v>
      </c>
      <c r="J5295" s="29">
        <v>-96</v>
      </c>
    </row>
    <row r="5296" spans="3:10" x14ac:dyDescent="0.35">
      <c r="C5296" t="s">
        <v>17</v>
      </c>
      <c r="D5296" t="s">
        <v>33</v>
      </c>
      <c r="E5296" s="30" t="s">
        <v>88</v>
      </c>
      <c r="F5296" s="3">
        <v>2022</v>
      </c>
      <c r="G5296" s="29">
        <v>6410</v>
      </c>
      <c r="H5296" s="29">
        <v>9620</v>
      </c>
      <c r="I5296" s="31">
        <v>0.04</v>
      </c>
      <c r="J5296" s="29">
        <v>-160</v>
      </c>
    </row>
    <row r="5297" spans="3:10" x14ac:dyDescent="0.35">
      <c r="C5297" t="s">
        <v>17</v>
      </c>
      <c r="D5297" t="s">
        <v>33</v>
      </c>
      <c r="E5297" s="30" t="s">
        <v>105</v>
      </c>
      <c r="F5297" s="3">
        <v>2022</v>
      </c>
      <c r="G5297" s="29">
        <v>9620</v>
      </c>
      <c r="H5297" s="29">
        <v>12820</v>
      </c>
      <c r="I5297" s="31">
        <v>0.05</v>
      </c>
      <c r="J5297" s="29">
        <v>-256</v>
      </c>
    </row>
    <row r="5298" spans="3:10" x14ac:dyDescent="0.35">
      <c r="C5298" t="s">
        <v>17</v>
      </c>
      <c r="D5298" t="s">
        <v>33</v>
      </c>
      <c r="E5298" s="30" t="s">
        <v>106</v>
      </c>
      <c r="F5298" s="3">
        <v>2022</v>
      </c>
      <c r="G5298" s="29">
        <v>12820</v>
      </c>
      <c r="H5298" s="29">
        <v>16040</v>
      </c>
      <c r="I5298" s="31">
        <v>0.06</v>
      </c>
      <c r="J5298" s="29">
        <v>-385</v>
      </c>
    </row>
    <row r="5299" spans="3:10" x14ac:dyDescent="0.35">
      <c r="C5299" t="s">
        <v>17</v>
      </c>
      <c r="D5299" t="s">
        <v>33</v>
      </c>
      <c r="E5299" s="30" t="s">
        <v>107</v>
      </c>
      <c r="F5299" s="3">
        <v>2022</v>
      </c>
      <c r="G5299" s="29">
        <v>16040</v>
      </c>
      <c r="H5299" s="29"/>
      <c r="I5299" s="31">
        <v>7.0000000000000007E-2</v>
      </c>
      <c r="J5299" s="29">
        <v>-545</v>
      </c>
    </row>
    <row r="5300" spans="3:10" x14ac:dyDescent="0.35">
      <c r="C5300" t="s">
        <v>17</v>
      </c>
      <c r="D5300" t="s">
        <v>36</v>
      </c>
      <c r="E5300" s="30" t="s">
        <v>85</v>
      </c>
      <c r="F5300" s="3">
        <v>2022</v>
      </c>
      <c r="G5300" s="29">
        <v>0</v>
      </c>
      <c r="H5300" s="29">
        <v>3200</v>
      </c>
      <c r="I5300" s="31">
        <v>0</v>
      </c>
      <c r="J5300" s="29">
        <v>0</v>
      </c>
    </row>
    <row r="5301" spans="3:10" x14ac:dyDescent="0.35">
      <c r="C5301" t="s">
        <v>17</v>
      </c>
      <c r="D5301" t="s">
        <v>36</v>
      </c>
      <c r="E5301" s="30" t="s">
        <v>87</v>
      </c>
      <c r="F5301" s="3">
        <v>2022</v>
      </c>
      <c r="G5301" s="29">
        <v>3200</v>
      </c>
      <c r="H5301" s="29">
        <v>6410</v>
      </c>
      <c r="I5301" s="31">
        <v>0.03</v>
      </c>
      <c r="J5301" s="29">
        <v>-96</v>
      </c>
    </row>
    <row r="5302" spans="3:10" x14ac:dyDescent="0.35">
      <c r="C5302" t="s">
        <v>17</v>
      </c>
      <c r="D5302" t="s">
        <v>36</v>
      </c>
      <c r="E5302" s="30" t="s">
        <v>88</v>
      </c>
      <c r="F5302" s="3">
        <v>2022</v>
      </c>
      <c r="G5302" s="29">
        <v>6410</v>
      </c>
      <c r="H5302" s="29">
        <v>9620</v>
      </c>
      <c r="I5302" s="31">
        <v>0.04</v>
      </c>
      <c r="J5302" s="29">
        <v>-160</v>
      </c>
    </row>
    <row r="5303" spans="3:10" x14ac:dyDescent="0.35">
      <c r="C5303" t="s">
        <v>17</v>
      </c>
      <c r="D5303" t="s">
        <v>36</v>
      </c>
      <c r="E5303" s="30" t="s">
        <v>105</v>
      </c>
      <c r="F5303" s="3">
        <v>2022</v>
      </c>
      <c r="G5303" s="29">
        <v>9620</v>
      </c>
      <c r="H5303" s="29">
        <v>12820</v>
      </c>
      <c r="I5303" s="31">
        <v>0.05</v>
      </c>
      <c r="J5303" s="29">
        <v>-256</v>
      </c>
    </row>
    <row r="5304" spans="3:10" x14ac:dyDescent="0.35">
      <c r="C5304" t="s">
        <v>17</v>
      </c>
      <c r="D5304" t="s">
        <v>36</v>
      </c>
      <c r="E5304" s="30" t="s">
        <v>106</v>
      </c>
      <c r="F5304" s="3">
        <v>2022</v>
      </c>
      <c r="G5304" s="29">
        <v>12820</v>
      </c>
      <c r="H5304" s="29">
        <v>16040</v>
      </c>
      <c r="I5304" s="31">
        <v>0.06</v>
      </c>
      <c r="J5304" s="29">
        <v>-385</v>
      </c>
    </row>
    <row r="5305" spans="3:10" x14ac:dyDescent="0.35">
      <c r="C5305" t="s">
        <v>17</v>
      </c>
      <c r="D5305" t="s">
        <v>36</v>
      </c>
      <c r="E5305" s="30" t="s">
        <v>107</v>
      </c>
      <c r="F5305" s="3">
        <v>2022</v>
      </c>
      <c r="G5305" s="29">
        <v>16040</v>
      </c>
      <c r="H5305" s="29"/>
      <c r="I5305" s="31">
        <v>7.0000000000000007E-2</v>
      </c>
      <c r="J5305" s="29">
        <v>-545</v>
      </c>
    </row>
    <row r="5306" spans="3:10" x14ac:dyDescent="0.35">
      <c r="C5306" t="s">
        <v>17</v>
      </c>
      <c r="D5306" t="s">
        <v>35</v>
      </c>
      <c r="E5306" s="30" t="s">
        <v>85</v>
      </c>
      <c r="F5306" s="3">
        <v>2023</v>
      </c>
      <c r="G5306" s="29">
        <v>0</v>
      </c>
      <c r="H5306" s="29">
        <v>3330</v>
      </c>
      <c r="I5306" s="31">
        <v>0</v>
      </c>
      <c r="J5306" s="29">
        <v>0</v>
      </c>
    </row>
    <row r="5307" spans="3:10" x14ac:dyDescent="0.35">
      <c r="C5307" t="s">
        <v>17</v>
      </c>
      <c r="D5307" t="s">
        <v>35</v>
      </c>
      <c r="E5307" s="30" t="s">
        <v>87</v>
      </c>
      <c r="F5307" s="3">
        <v>2023</v>
      </c>
      <c r="G5307" s="29">
        <v>3330</v>
      </c>
      <c r="H5307" s="29">
        <v>16680</v>
      </c>
      <c r="I5307" s="31">
        <v>0.03</v>
      </c>
      <c r="J5307" s="29">
        <v>-99.9</v>
      </c>
    </row>
    <row r="5308" spans="3:10" x14ac:dyDescent="0.35">
      <c r="C5308" t="s">
        <v>17</v>
      </c>
      <c r="D5308" t="s">
        <v>35</v>
      </c>
      <c r="E5308" s="30" t="s">
        <v>88</v>
      </c>
      <c r="F5308" s="3">
        <v>2023</v>
      </c>
      <c r="G5308" s="29">
        <v>16680</v>
      </c>
      <c r="H5308" s="29"/>
      <c r="I5308" s="31">
        <v>6.5000000000000002E-2</v>
      </c>
      <c r="J5308" s="29">
        <v>-683.7</v>
      </c>
    </row>
    <row r="5309" spans="3:10" x14ac:dyDescent="0.35">
      <c r="C5309" t="s">
        <v>17</v>
      </c>
      <c r="D5309" t="s">
        <v>34</v>
      </c>
      <c r="E5309" s="30" t="s">
        <v>85</v>
      </c>
      <c r="F5309" s="3">
        <v>2023</v>
      </c>
      <c r="G5309" s="29">
        <v>0</v>
      </c>
      <c r="H5309" s="29">
        <v>3330</v>
      </c>
      <c r="I5309" s="31">
        <v>0</v>
      </c>
      <c r="J5309" s="29">
        <v>0</v>
      </c>
    </row>
    <row r="5310" spans="3:10" x14ac:dyDescent="0.35">
      <c r="C5310" t="s">
        <v>17</v>
      </c>
      <c r="D5310" t="s">
        <v>34</v>
      </c>
      <c r="E5310" s="30" t="s">
        <v>87</v>
      </c>
      <c r="F5310" s="3">
        <v>2023</v>
      </c>
      <c r="G5310" s="29">
        <v>3330</v>
      </c>
      <c r="H5310" s="29">
        <v>16680</v>
      </c>
      <c r="I5310" s="31">
        <v>0.03</v>
      </c>
      <c r="J5310" s="29">
        <v>-99.9</v>
      </c>
    </row>
    <row r="5311" spans="3:10" x14ac:dyDescent="0.35">
      <c r="C5311" t="s">
        <v>17</v>
      </c>
      <c r="D5311" t="s">
        <v>34</v>
      </c>
      <c r="E5311" s="30" t="s">
        <v>88</v>
      </c>
      <c r="F5311" s="3">
        <v>2023</v>
      </c>
      <c r="G5311" s="29">
        <v>16680</v>
      </c>
      <c r="H5311" s="29"/>
      <c r="I5311" s="31">
        <v>6.5000000000000002E-2</v>
      </c>
      <c r="J5311" s="29">
        <v>-683.7</v>
      </c>
    </row>
    <row r="5312" spans="3:10" x14ac:dyDescent="0.35">
      <c r="C5312" t="s">
        <v>17</v>
      </c>
      <c r="D5312" t="s">
        <v>33</v>
      </c>
      <c r="E5312" s="30" t="s">
        <v>85</v>
      </c>
      <c r="F5312" s="3">
        <v>2023</v>
      </c>
      <c r="G5312" s="29">
        <v>0</v>
      </c>
      <c r="H5312" s="29">
        <v>3330</v>
      </c>
      <c r="I5312" s="31">
        <v>0</v>
      </c>
      <c r="J5312" s="29">
        <v>0</v>
      </c>
    </row>
    <row r="5313" spans="3:10" x14ac:dyDescent="0.35">
      <c r="C5313" t="s">
        <v>17</v>
      </c>
      <c r="D5313" t="s">
        <v>33</v>
      </c>
      <c r="E5313" s="30" t="s">
        <v>87</v>
      </c>
      <c r="F5313" s="3">
        <v>2023</v>
      </c>
      <c r="G5313" s="29">
        <v>3330</v>
      </c>
      <c r="H5313" s="29">
        <v>16680</v>
      </c>
      <c r="I5313" s="31">
        <v>0.03</v>
      </c>
      <c r="J5313" s="29">
        <v>-99.9</v>
      </c>
    </row>
    <row r="5314" spans="3:10" x14ac:dyDescent="0.35">
      <c r="C5314" t="s">
        <v>17</v>
      </c>
      <c r="D5314" t="s">
        <v>33</v>
      </c>
      <c r="E5314" s="30" t="s">
        <v>88</v>
      </c>
      <c r="F5314" s="3">
        <v>2023</v>
      </c>
      <c r="G5314" s="29">
        <v>16680</v>
      </c>
      <c r="H5314" s="29"/>
      <c r="I5314" s="31">
        <v>6.5000000000000002E-2</v>
      </c>
      <c r="J5314" s="29">
        <v>-683.7</v>
      </c>
    </row>
    <row r="5315" spans="3:10" x14ac:dyDescent="0.35">
      <c r="C5315" t="s">
        <v>17</v>
      </c>
      <c r="D5315" t="s">
        <v>36</v>
      </c>
      <c r="E5315" s="30" t="s">
        <v>85</v>
      </c>
      <c r="F5315" s="3">
        <v>2023</v>
      </c>
      <c r="G5315" s="29">
        <v>0</v>
      </c>
      <c r="H5315" s="29">
        <v>3330</v>
      </c>
      <c r="I5315" s="31">
        <v>0</v>
      </c>
      <c r="J5315" s="29">
        <v>0</v>
      </c>
    </row>
    <row r="5316" spans="3:10" x14ac:dyDescent="0.35">
      <c r="C5316" t="s">
        <v>17</v>
      </c>
      <c r="D5316" t="s">
        <v>36</v>
      </c>
      <c r="E5316" s="30" t="s">
        <v>87</v>
      </c>
      <c r="F5316" s="3">
        <v>2023</v>
      </c>
      <c r="G5316" s="29">
        <v>3330</v>
      </c>
      <c r="H5316" s="29">
        <v>16680</v>
      </c>
      <c r="I5316" s="31">
        <v>0.03</v>
      </c>
      <c r="J5316" s="29">
        <v>-99.9</v>
      </c>
    </row>
    <row r="5317" spans="3:10" x14ac:dyDescent="0.35">
      <c r="C5317" t="s">
        <v>17</v>
      </c>
      <c r="D5317" t="s">
        <v>36</v>
      </c>
      <c r="E5317" s="30" t="s">
        <v>88</v>
      </c>
      <c r="F5317" s="3">
        <v>2023</v>
      </c>
      <c r="G5317" s="29">
        <v>16680</v>
      </c>
      <c r="H5317" s="29"/>
      <c r="I5317" s="31">
        <v>6.5000000000000002E-2</v>
      </c>
      <c r="J5317" s="29">
        <v>-683.7</v>
      </c>
    </row>
    <row r="5318" spans="3:10" x14ac:dyDescent="0.35">
      <c r="C5318" t="s">
        <v>21</v>
      </c>
      <c r="D5318" t="s">
        <v>54</v>
      </c>
      <c r="E5318" s="3" t="s">
        <v>85</v>
      </c>
      <c r="F5318" s="3">
        <v>2018</v>
      </c>
      <c r="G5318" s="12">
        <v>0</v>
      </c>
      <c r="H5318" s="12"/>
      <c r="I5318" s="72">
        <v>4.9500000000000002E-2</v>
      </c>
      <c r="J5318" s="12">
        <v>0</v>
      </c>
    </row>
    <row r="5319" spans="3:10" x14ac:dyDescent="0.35">
      <c r="C5319" t="s">
        <v>21</v>
      </c>
      <c r="D5319" t="s">
        <v>34</v>
      </c>
      <c r="E5319" s="3" t="s">
        <v>85</v>
      </c>
      <c r="F5319" s="3">
        <v>2018</v>
      </c>
      <c r="G5319" s="12">
        <v>0</v>
      </c>
      <c r="H5319" s="12"/>
      <c r="I5319" s="72">
        <v>4.9500000000000002E-2</v>
      </c>
      <c r="J5319" s="12">
        <v>0</v>
      </c>
    </row>
    <row r="5320" spans="3:10" x14ac:dyDescent="0.35">
      <c r="C5320" t="s">
        <v>21</v>
      </c>
      <c r="D5320" t="s">
        <v>35</v>
      </c>
      <c r="E5320" s="3" t="s">
        <v>85</v>
      </c>
      <c r="F5320" s="3">
        <v>2018</v>
      </c>
      <c r="G5320" s="12">
        <v>0</v>
      </c>
      <c r="H5320" s="12"/>
      <c r="I5320" s="72">
        <v>4.9500000000000002E-2</v>
      </c>
      <c r="J5320" s="12">
        <v>0</v>
      </c>
    </row>
    <row r="5321" spans="3:10" x14ac:dyDescent="0.35">
      <c r="C5321" t="s">
        <v>21</v>
      </c>
      <c r="D5321" t="s">
        <v>36</v>
      </c>
      <c r="E5321" s="3" t="s">
        <v>85</v>
      </c>
      <c r="F5321" s="3">
        <v>2018</v>
      </c>
      <c r="G5321" s="12">
        <v>0</v>
      </c>
      <c r="H5321" s="12"/>
      <c r="I5321" s="72">
        <v>4.9500000000000002E-2</v>
      </c>
      <c r="J5321" s="12">
        <v>0</v>
      </c>
    </row>
    <row r="5322" spans="3:10" x14ac:dyDescent="0.35">
      <c r="C5322" t="s">
        <v>21</v>
      </c>
      <c r="D5322" t="s">
        <v>37</v>
      </c>
      <c r="E5322" s="3" t="s">
        <v>85</v>
      </c>
      <c r="F5322" s="3">
        <v>2018</v>
      </c>
      <c r="G5322" s="12">
        <v>0</v>
      </c>
      <c r="H5322" s="12"/>
      <c r="I5322" s="72">
        <v>4.9500000000000002E-2</v>
      </c>
      <c r="J5322" s="12">
        <v>0</v>
      </c>
    </row>
    <row r="5323" spans="3:10" x14ac:dyDescent="0.35">
      <c r="C5323" t="s">
        <v>21</v>
      </c>
      <c r="D5323" t="s">
        <v>54</v>
      </c>
      <c r="E5323" s="3" t="s">
        <v>85</v>
      </c>
      <c r="F5323" s="3">
        <v>2019</v>
      </c>
      <c r="G5323" s="12">
        <v>0</v>
      </c>
      <c r="H5323" s="12"/>
      <c r="I5323" s="72">
        <v>4.9500000000000002E-2</v>
      </c>
      <c r="J5323" s="12">
        <v>0</v>
      </c>
    </row>
    <row r="5324" spans="3:10" x14ac:dyDescent="0.35">
      <c r="C5324" t="s">
        <v>21</v>
      </c>
      <c r="D5324" t="s">
        <v>34</v>
      </c>
      <c r="E5324" s="3" t="s">
        <v>85</v>
      </c>
      <c r="F5324" s="3">
        <v>2019</v>
      </c>
      <c r="G5324" s="12">
        <v>0</v>
      </c>
      <c r="H5324" s="12"/>
      <c r="I5324" s="72">
        <v>4.9500000000000002E-2</v>
      </c>
      <c r="J5324" s="12">
        <v>0</v>
      </c>
    </row>
    <row r="5325" spans="3:10" x14ac:dyDescent="0.35">
      <c r="C5325" t="s">
        <v>21</v>
      </c>
      <c r="D5325" t="s">
        <v>35</v>
      </c>
      <c r="E5325" s="3" t="s">
        <v>85</v>
      </c>
      <c r="F5325" s="3">
        <v>2019</v>
      </c>
      <c r="G5325" s="12">
        <v>0</v>
      </c>
      <c r="H5325" s="12"/>
      <c r="I5325" s="72">
        <v>4.9500000000000002E-2</v>
      </c>
      <c r="J5325" s="12">
        <v>0</v>
      </c>
    </row>
    <row r="5326" spans="3:10" x14ac:dyDescent="0.35">
      <c r="C5326" t="s">
        <v>21</v>
      </c>
      <c r="D5326" t="s">
        <v>36</v>
      </c>
      <c r="E5326" s="3" t="s">
        <v>85</v>
      </c>
      <c r="F5326" s="3">
        <v>2019</v>
      </c>
      <c r="G5326" s="12">
        <v>0</v>
      </c>
      <c r="H5326" s="12"/>
      <c r="I5326" s="72">
        <v>4.9500000000000002E-2</v>
      </c>
      <c r="J5326" s="12">
        <v>0</v>
      </c>
    </row>
    <row r="5327" spans="3:10" x14ac:dyDescent="0.35">
      <c r="C5327" t="s">
        <v>21</v>
      </c>
      <c r="D5327" t="s">
        <v>37</v>
      </c>
      <c r="E5327" s="3" t="s">
        <v>85</v>
      </c>
      <c r="F5327" s="3">
        <v>2019</v>
      </c>
      <c r="G5327" s="12">
        <v>0</v>
      </c>
      <c r="H5327" s="12"/>
      <c r="I5327" s="72">
        <v>4.9500000000000002E-2</v>
      </c>
      <c r="J5327" s="12">
        <v>0</v>
      </c>
    </row>
    <row r="5328" spans="3:10" x14ac:dyDescent="0.35">
      <c r="C5328" t="s">
        <v>21</v>
      </c>
      <c r="D5328" t="s">
        <v>54</v>
      </c>
      <c r="E5328" s="3" t="s">
        <v>85</v>
      </c>
      <c r="F5328" s="3">
        <v>2020</v>
      </c>
      <c r="G5328" s="12">
        <v>0</v>
      </c>
      <c r="H5328" s="12"/>
      <c r="I5328" s="72">
        <v>4.9500000000000002E-2</v>
      </c>
      <c r="J5328" s="12">
        <v>0</v>
      </c>
    </row>
    <row r="5329" spans="3:10" x14ac:dyDescent="0.35">
      <c r="C5329" t="s">
        <v>21</v>
      </c>
      <c r="D5329" t="s">
        <v>34</v>
      </c>
      <c r="E5329" s="3" t="s">
        <v>85</v>
      </c>
      <c r="F5329" s="3">
        <v>2020</v>
      </c>
      <c r="G5329" s="12">
        <v>0</v>
      </c>
      <c r="H5329" s="12"/>
      <c r="I5329" s="72">
        <v>4.9500000000000002E-2</v>
      </c>
      <c r="J5329" s="12">
        <v>0</v>
      </c>
    </row>
    <row r="5330" spans="3:10" x14ac:dyDescent="0.35">
      <c r="C5330" t="s">
        <v>21</v>
      </c>
      <c r="D5330" t="s">
        <v>35</v>
      </c>
      <c r="E5330" s="3" t="s">
        <v>85</v>
      </c>
      <c r="F5330" s="3">
        <v>2020</v>
      </c>
      <c r="G5330" s="12">
        <v>0</v>
      </c>
      <c r="H5330" s="12"/>
      <c r="I5330" s="72">
        <v>4.9500000000000002E-2</v>
      </c>
      <c r="J5330" s="12">
        <v>0</v>
      </c>
    </row>
    <row r="5331" spans="3:10" x14ac:dyDescent="0.35">
      <c r="C5331" t="s">
        <v>21</v>
      </c>
      <c r="D5331" t="s">
        <v>36</v>
      </c>
      <c r="E5331" s="3" t="s">
        <v>85</v>
      </c>
      <c r="F5331" s="3">
        <v>2020</v>
      </c>
      <c r="G5331" s="12">
        <v>0</v>
      </c>
      <c r="H5331" s="12"/>
      <c r="I5331" s="72">
        <v>4.9500000000000002E-2</v>
      </c>
      <c r="J5331" s="12">
        <v>0</v>
      </c>
    </row>
    <row r="5332" spans="3:10" x14ac:dyDescent="0.35">
      <c r="C5332" t="s">
        <v>21</v>
      </c>
      <c r="D5332" t="s">
        <v>37</v>
      </c>
      <c r="E5332" s="3" t="s">
        <v>85</v>
      </c>
      <c r="F5332" s="3">
        <v>2020</v>
      </c>
      <c r="G5332" s="12">
        <v>0</v>
      </c>
      <c r="H5332" s="12"/>
      <c r="I5332" s="72">
        <v>4.9500000000000002E-2</v>
      </c>
      <c r="J5332" s="12">
        <v>0</v>
      </c>
    </row>
    <row r="5333" spans="3:10" x14ac:dyDescent="0.35">
      <c r="C5333" t="s">
        <v>21</v>
      </c>
      <c r="D5333" t="s">
        <v>54</v>
      </c>
      <c r="E5333" s="3" t="s">
        <v>85</v>
      </c>
      <c r="F5333" s="3">
        <v>2021</v>
      </c>
      <c r="G5333" s="12">
        <v>0</v>
      </c>
      <c r="H5333" s="12"/>
      <c r="I5333" s="72">
        <v>4.9500000000000002E-2</v>
      </c>
      <c r="J5333" s="12">
        <v>0</v>
      </c>
    </row>
    <row r="5334" spans="3:10" x14ac:dyDescent="0.35">
      <c r="C5334" t="s">
        <v>21</v>
      </c>
      <c r="D5334" t="s">
        <v>34</v>
      </c>
      <c r="E5334" s="3" t="s">
        <v>85</v>
      </c>
      <c r="F5334" s="3">
        <v>2021</v>
      </c>
      <c r="G5334" s="12">
        <v>0</v>
      </c>
      <c r="H5334" s="12"/>
      <c r="I5334" s="72">
        <v>4.9500000000000002E-2</v>
      </c>
      <c r="J5334" s="12">
        <v>0</v>
      </c>
    </row>
    <row r="5335" spans="3:10" x14ac:dyDescent="0.35">
      <c r="C5335" t="s">
        <v>21</v>
      </c>
      <c r="D5335" t="s">
        <v>35</v>
      </c>
      <c r="E5335" s="3" t="s">
        <v>85</v>
      </c>
      <c r="F5335" s="3">
        <v>2021</v>
      </c>
      <c r="G5335" s="12">
        <v>0</v>
      </c>
      <c r="H5335" s="12"/>
      <c r="I5335" s="72">
        <v>4.9500000000000002E-2</v>
      </c>
      <c r="J5335" s="12">
        <v>0</v>
      </c>
    </row>
    <row r="5336" spans="3:10" x14ac:dyDescent="0.35">
      <c r="C5336" t="s">
        <v>21</v>
      </c>
      <c r="D5336" t="s">
        <v>36</v>
      </c>
      <c r="E5336" s="3" t="s">
        <v>85</v>
      </c>
      <c r="F5336" s="3">
        <v>2021</v>
      </c>
      <c r="G5336" s="12">
        <v>0</v>
      </c>
      <c r="H5336" s="12"/>
      <c r="I5336" s="72">
        <v>4.9500000000000002E-2</v>
      </c>
      <c r="J5336" s="12">
        <v>0</v>
      </c>
    </row>
    <row r="5337" spans="3:10" x14ac:dyDescent="0.35">
      <c r="C5337" t="s">
        <v>21</v>
      </c>
      <c r="D5337" t="s">
        <v>37</v>
      </c>
      <c r="E5337" s="3" t="s">
        <v>85</v>
      </c>
      <c r="F5337" s="3">
        <v>2021</v>
      </c>
      <c r="G5337" s="12">
        <v>0</v>
      </c>
      <c r="H5337" s="12"/>
      <c r="I5337" s="72">
        <v>4.9500000000000002E-2</v>
      </c>
      <c r="J5337" s="12">
        <v>0</v>
      </c>
    </row>
    <row r="5338" spans="3:10" x14ac:dyDescent="0.35">
      <c r="C5338" t="s">
        <v>21</v>
      </c>
      <c r="D5338" t="s">
        <v>54</v>
      </c>
      <c r="E5338" s="3" t="s">
        <v>85</v>
      </c>
      <c r="F5338" s="3">
        <v>2022</v>
      </c>
      <c r="G5338" s="12">
        <v>0</v>
      </c>
      <c r="H5338" s="12"/>
      <c r="I5338" s="72">
        <v>4.8500000000000001E-2</v>
      </c>
      <c r="J5338" s="12">
        <v>0</v>
      </c>
    </row>
    <row r="5339" spans="3:10" x14ac:dyDescent="0.35">
      <c r="C5339" t="s">
        <v>21</v>
      </c>
      <c r="D5339" t="s">
        <v>34</v>
      </c>
      <c r="E5339" s="3" t="s">
        <v>85</v>
      </c>
      <c r="F5339" s="3">
        <v>2022</v>
      </c>
      <c r="G5339" s="12">
        <v>0</v>
      </c>
      <c r="H5339" s="12"/>
      <c r="I5339" s="72">
        <v>4.8500000000000001E-2</v>
      </c>
      <c r="J5339" s="12">
        <v>0</v>
      </c>
    </row>
    <row r="5340" spans="3:10" x14ac:dyDescent="0.35">
      <c r="C5340" t="s">
        <v>21</v>
      </c>
      <c r="D5340" t="s">
        <v>35</v>
      </c>
      <c r="E5340" s="3" t="s">
        <v>85</v>
      </c>
      <c r="F5340" s="3">
        <v>2022</v>
      </c>
      <c r="G5340" s="12">
        <v>0</v>
      </c>
      <c r="H5340" s="12"/>
      <c r="I5340" s="72">
        <v>4.8500000000000001E-2</v>
      </c>
      <c r="J5340" s="12">
        <v>0</v>
      </c>
    </row>
    <row r="5341" spans="3:10" x14ac:dyDescent="0.35">
      <c r="C5341" t="s">
        <v>21</v>
      </c>
      <c r="D5341" t="s">
        <v>36</v>
      </c>
      <c r="E5341" s="3" t="s">
        <v>85</v>
      </c>
      <c r="F5341" s="3">
        <v>2022</v>
      </c>
      <c r="G5341" s="12">
        <v>0</v>
      </c>
      <c r="H5341" s="12"/>
      <c r="I5341" s="72">
        <v>4.8500000000000001E-2</v>
      </c>
      <c r="J5341" s="12">
        <v>0</v>
      </c>
    </row>
    <row r="5342" spans="3:10" x14ac:dyDescent="0.35">
      <c r="C5342" t="s">
        <v>21</v>
      </c>
      <c r="D5342" t="s">
        <v>37</v>
      </c>
      <c r="E5342" s="3" t="s">
        <v>85</v>
      </c>
      <c r="F5342" s="3">
        <v>2022</v>
      </c>
      <c r="G5342" s="12">
        <v>0</v>
      </c>
      <c r="H5342" s="12"/>
      <c r="I5342" s="72">
        <v>4.8500000000000001E-2</v>
      </c>
      <c r="J5342" s="12">
        <v>0</v>
      </c>
    </row>
    <row r="5343" spans="3:10" x14ac:dyDescent="0.35">
      <c r="C5343" t="s">
        <v>21</v>
      </c>
      <c r="D5343" t="s">
        <v>54</v>
      </c>
      <c r="E5343" s="3" t="s">
        <v>85</v>
      </c>
      <c r="F5343" s="3">
        <v>2023</v>
      </c>
      <c r="G5343" s="12">
        <v>0</v>
      </c>
      <c r="H5343" s="12"/>
      <c r="I5343" s="72">
        <v>4.8500000000000001E-2</v>
      </c>
      <c r="J5343" s="12">
        <v>0</v>
      </c>
    </row>
    <row r="5344" spans="3:10" x14ac:dyDescent="0.35">
      <c r="C5344" t="s">
        <v>21</v>
      </c>
      <c r="D5344" t="s">
        <v>34</v>
      </c>
      <c r="E5344" s="3" t="s">
        <v>85</v>
      </c>
      <c r="F5344" s="3">
        <v>2023</v>
      </c>
      <c r="G5344" s="12">
        <v>0</v>
      </c>
      <c r="H5344" s="12"/>
      <c r="I5344" s="72">
        <v>4.8500000000000001E-2</v>
      </c>
      <c r="J5344" s="12">
        <v>0</v>
      </c>
    </row>
    <row r="5345" spans="3:10" x14ac:dyDescent="0.35">
      <c r="C5345" t="s">
        <v>21</v>
      </c>
      <c r="D5345" t="s">
        <v>35</v>
      </c>
      <c r="E5345" s="3" t="s">
        <v>85</v>
      </c>
      <c r="F5345" s="3">
        <v>2023</v>
      </c>
      <c r="G5345" s="12">
        <v>0</v>
      </c>
      <c r="H5345" s="12"/>
      <c r="I5345" s="72">
        <v>4.8500000000000001E-2</v>
      </c>
      <c r="J5345" s="12">
        <v>0</v>
      </c>
    </row>
    <row r="5346" spans="3:10" x14ac:dyDescent="0.35">
      <c r="C5346" t="s">
        <v>21</v>
      </c>
      <c r="D5346" t="s">
        <v>36</v>
      </c>
      <c r="E5346" s="3" t="s">
        <v>85</v>
      </c>
      <c r="F5346" s="3">
        <v>2023</v>
      </c>
      <c r="G5346" s="12">
        <v>0</v>
      </c>
      <c r="H5346" s="12"/>
      <c r="I5346" s="72">
        <v>4.8500000000000001E-2</v>
      </c>
      <c r="J5346" s="12">
        <v>0</v>
      </c>
    </row>
    <row r="5347" spans="3:10" x14ac:dyDescent="0.35">
      <c r="C5347" t="s">
        <v>21</v>
      </c>
      <c r="D5347" t="s">
        <v>37</v>
      </c>
      <c r="E5347" s="3" t="s">
        <v>85</v>
      </c>
      <c r="F5347" s="3">
        <v>2023</v>
      </c>
      <c r="G5347" s="12">
        <v>0</v>
      </c>
      <c r="H5347" s="12"/>
      <c r="I5347" s="72">
        <v>4.8500000000000001E-2</v>
      </c>
      <c r="J5347" s="12">
        <v>0</v>
      </c>
    </row>
    <row r="5348" spans="3:10" x14ac:dyDescent="0.35">
      <c r="C5348" t="s">
        <v>312</v>
      </c>
      <c r="D5348" t="s">
        <v>40</v>
      </c>
      <c r="E5348" s="3" t="s">
        <v>85</v>
      </c>
      <c r="F5348" s="3">
        <v>2018</v>
      </c>
      <c r="G5348" s="12">
        <v>0</v>
      </c>
      <c r="H5348" s="12">
        <v>10000</v>
      </c>
      <c r="I5348" s="72">
        <v>0.03</v>
      </c>
      <c r="J5348" s="12">
        <v>0</v>
      </c>
    </row>
    <row r="5349" spans="3:10" x14ac:dyDescent="0.35">
      <c r="C5349" t="s">
        <v>312</v>
      </c>
      <c r="D5349" t="s">
        <v>40</v>
      </c>
      <c r="E5349" s="3" t="s">
        <v>87</v>
      </c>
      <c r="F5349" s="3">
        <v>2018</v>
      </c>
      <c r="G5349" s="12">
        <v>10000</v>
      </c>
      <c r="H5349" s="12">
        <v>25000</v>
      </c>
      <c r="I5349" s="72">
        <v>0.04</v>
      </c>
      <c r="J5349" s="12">
        <f>J5348+(H5348-G5348)*I5348</f>
        <v>300</v>
      </c>
    </row>
    <row r="5350" spans="3:10" x14ac:dyDescent="0.35">
      <c r="C5350" t="s">
        <v>312</v>
      </c>
      <c r="D5350" t="s">
        <v>40</v>
      </c>
      <c r="E5350" s="3" t="s">
        <v>88</v>
      </c>
      <c r="F5350" s="3">
        <v>2018</v>
      </c>
      <c r="G5350" s="12">
        <v>25000</v>
      </c>
      <c r="H5350" s="12">
        <v>40000</v>
      </c>
      <c r="I5350" s="72">
        <v>4.4999999999999998E-2</v>
      </c>
      <c r="J5350" s="12">
        <f>J5349+(H5349-G5349)*I5349</f>
        <v>900</v>
      </c>
    </row>
    <row r="5351" spans="3:10" x14ac:dyDescent="0.35">
      <c r="C5351" t="s">
        <v>312</v>
      </c>
      <c r="D5351" t="s">
        <v>40</v>
      </c>
      <c r="E5351" s="3" t="s">
        <v>105</v>
      </c>
      <c r="F5351" s="3">
        <v>2018</v>
      </c>
      <c r="G5351" s="12">
        <v>40000</v>
      </c>
      <c r="H5351" s="12">
        <v>60000</v>
      </c>
      <c r="I5351" s="72">
        <v>0.06</v>
      </c>
      <c r="J5351" s="12">
        <f>J5350+(H5350-G5350)*I5350</f>
        <v>1575</v>
      </c>
    </row>
    <row r="5352" spans="3:10" x14ac:dyDescent="0.35">
      <c r="C5352" t="s">
        <v>312</v>
      </c>
      <c r="D5352" t="s">
        <v>40</v>
      </c>
      <c r="E5352" s="3" t="s">
        <v>106</v>
      </c>
      <c r="F5352" s="3">
        <v>2018</v>
      </c>
      <c r="G5352" s="12">
        <v>60000</v>
      </c>
      <c r="H5352" s="12"/>
      <c r="I5352" s="72">
        <v>6.5000000000000002E-2</v>
      </c>
      <c r="J5352" s="12">
        <f>J5351+(H5351-G5351)*I5351</f>
        <v>2775</v>
      </c>
    </row>
    <row r="5353" spans="3:10" x14ac:dyDescent="0.35">
      <c r="C5353" t="s">
        <v>312</v>
      </c>
      <c r="D5353" t="s">
        <v>34</v>
      </c>
      <c r="E5353" s="3" t="s">
        <v>85</v>
      </c>
      <c r="F5353" s="3">
        <v>2018</v>
      </c>
      <c r="G5353" s="12">
        <v>0</v>
      </c>
      <c r="H5353" s="12">
        <v>10000</v>
      </c>
      <c r="I5353" s="72">
        <v>0.03</v>
      </c>
      <c r="J5353" s="12">
        <v>0</v>
      </c>
    </row>
    <row r="5354" spans="3:10" x14ac:dyDescent="0.35">
      <c r="C5354" t="s">
        <v>312</v>
      </c>
      <c r="D5354" t="s">
        <v>34</v>
      </c>
      <c r="E5354" s="3" t="s">
        <v>87</v>
      </c>
      <c r="F5354" s="3">
        <v>2018</v>
      </c>
      <c r="G5354" s="12">
        <v>10000</v>
      </c>
      <c r="H5354" s="12">
        <v>25000</v>
      </c>
      <c r="I5354" s="72">
        <v>0.04</v>
      </c>
      <c r="J5354" s="12">
        <f>J5353+(H5353-G5353)*I5353</f>
        <v>300</v>
      </c>
    </row>
    <row r="5355" spans="3:10" x14ac:dyDescent="0.35">
      <c r="C5355" t="s">
        <v>312</v>
      </c>
      <c r="D5355" t="s">
        <v>34</v>
      </c>
      <c r="E5355" s="3" t="s">
        <v>88</v>
      </c>
      <c r="F5355" s="3">
        <v>2018</v>
      </c>
      <c r="G5355" s="12">
        <v>25000</v>
      </c>
      <c r="H5355" s="12">
        <v>40000</v>
      </c>
      <c r="I5355" s="72">
        <v>4.4999999999999998E-2</v>
      </c>
      <c r="J5355" s="12">
        <f>J5354+(H5354-G5354)*I5354</f>
        <v>900</v>
      </c>
    </row>
    <row r="5356" spans="3:10" x14ac:dyDescent="0.35">
      <c r="C5356" t="s">
        <v>312</v>
      </c>
      <c r="D5356" t="s">
        <v>34</v>
      </c>
      <c r="E5356" s="3" t="s">
        <v>105</v>
      </c>
      <c r="F5356" s="3">
        <v>2018</v>
      </c>
      <c r="G5356" s="12">
        <v>40000</v>
      </c>
      <c r="H5356" s="12">
        <v>60000</v>
      </c>
      <c r="I5356" s="72">
        <v>0.06</v>
      </c>
      <c r="J5356" s="12">
        <f>J5355+(H5355-G5355)*I5355</f>
        <v>1575</v>
      </c>
    </row>
    <row r="5357" spans="3:10" x14ac:dyDescent="0.35">
      <c r="C5357" t="s">
        <v>312</v>
      </c>
      <c r="D5357" t="s">
        <v>34</v>
      </c>
      <c r="E5357" s="3" t="s">
        <v>106</v>
      </c>
      <c r="F5357" s="3">
        <v>2018</v>
      </c>
      <c r="G5357" s="12">
        <v>60000</v>
      </c>
      <c r="H5357" s="12"/>
      <c r="I5357" s="72">
        <v>6.5000000000000002E-2</v>
      </c>
      <c r="J5357" s="12">
        <f>J5356+(H5356-G5356)*I5356</f>
        <v>2775</v>
      </c>
    </row>
    <row r="5358" spans="3:10" x14ac:dyDescent="0.35">
      <c r="C5358" t="s">
        <v>312</v>
      </c>
      <c r="D5358" t="s">
        <v>33</v>
      </c>
      <c r="E5358" s="3" t="s">
        <v>85</v>
      </c>
      <c r="F5358" s="3">
        <v>2018</v>
      </c>
      <c r="G5358" s="12">
        <v>0</v>
      </c>
      <c r="H5358" s="12">
        <v>10000</v>
      </c>
      <c r="I5358" s="72">
        <v>0.03</v>
      </c>
      <c r="J5358" s="12">
        <v>0</v>
      </c>
    </row>
    <row r="5359" spans="3:10" x14ac:dyDescent="0.35">
      <c r="C5359" t="s">
        <v>312</v>
      </c>
      <c r="D5359" t="s">
        <v>33</v>
      </c>
      <c r="E5359" s="3" t="s">
        <v>87</v>
      </c>
      <c r="F5359" s="3">
        <v>2018</v>
      </c>
      <c r="G5359" s="12">
        <v>10000</v>
      </c>
      <c r="H5359" s="12">
        <v>25000</v>
      </c>
      <c r="I5359" s="72">
        <v>0.04</v>
      </c>
      <c r="J5359" s="12">
        <f>J5358+(H5358-G5358)*I5358</f>
        <v>300</v>
      </c>
    </row>
    <row r="5360" spans="3:10" x14ac:dyDescent="0.35">
      <c r="C5360" t="s">
        <v>312</v>
      </c>
      <c r="D5360" t="s">
        <v>33</v>
      </c>
      <c r="E5360" s="3" t="s">
        <v>88</v>
      </c>
      <c r="F5360" s="3">
        <v>2018</v>
      </c>
      <c r="G5360" s="12">
        <v>25000</v>
      </c>
      <c r="H5360" s="12">
        <v>40000</v>
      </c>
      <c r="I5360" s="72">
        <v>4.4999999999999998E-2</v>
      </c>
      <c r="J5360" s="12">
        <f>J5359+(H5359-G5359)*I5359</f>
        <v>900</v>
      </c>
    </row>
    <row r="5361" spans="3:10" x14ac:dyDescent="0.35">
      <c r="C5361" t="s">
        <v>312</v>
      </c>
      <c r="D5361" t="s">
        <v>33</v>
      </c>
      <c r="E5361" s="3" t="s">
        <v>105</v>
      </c>
      <c r="F5361" s="3">
        <v>2018</v>
      </c>
      <c r="G5361" s="12">
        <v>40000</v>
      </c>
      <c r="H5361" s="12">
        <v>60000</v>
      </c>
      <c r="I5361" s="72">
        <v>0.06</v>
      </c>
      <c r="J5361" s="12">
        <f>J5360+(H5360-G5360)*I5360</f>
        <v>1575</v>
      </c>
    </row>
    <row r="5362" spans="3:10" x14ac:dyDescent="0.35">
      <c r="C5362" t="s">
        <v>312</v>
      </c>
      <c r="D5362" t="s">
        <v>33</v>
      </c>
      <c r="E5362" s="3" t="s">
        <v>106</v>
      </c>
      <c r="F5362" s="3">
        <v>2018</v>
      </c>
      <c r="G5362" s="12">
        <v>60000</v>
      </c>
      <c r="H5362" s="12"/>
      <c r="I5362" s="72">
        <v>6.5000000000000002E-2</v>
      </c>
      <c r="J5362" s="12">
        <f>J5361+(H5361-G5361)*I5361</f>
        <v>2775</v>
      </c>
    </row>
    <row r="5363" spans="3:10" x14ac:dyDescent="0.35">
      <c r="C5363" t="s">
        <v>312</v>
      </c>
      <c r="D5363" t="s">
        <v>313</v>
      </c>
      <c r="E5363" s="3" t="s">
        <v>85</v>
      </c>
      <c r="F5363" s="3">
        <v>2018</v>
      </c>
      <c r="G5363" s="12">
        <v>0</v>
      </c>
      <c r="H5363" s="12">
        <v>10000</v>
      </c>
      <c r="I5363" s="72">
        <v>0.03</v>
      </c>
      <c r="J5363" s="12">
        <v>0</v>
      </c>
    </row>
    <row r="5364" spans="3:10" x14ac:dyDescent="0.35">
      <c r="C5364" t="s">
        <v>312</v>
      </c>
      <c r="D5364" t="s">
        <v>313</v>
      </c>
      <c r="E5364" s="3" t="s">
        <v>87</v>
      </c>
      <c r="F5364" s="3">
        <v>2018</v>
      </c>
      <c r="G5364" s="12">
        <v>10000</v>
      </c>
      <c r="H5364" s="12">
        <v>25000</v>
      </c>
      <c r="I5364" s="72">
        <v>0.04</v>
      </c>
      <c r="J5364" s="12">
        <f>J5363+(H5363-G5363)*I5363</f>
        <v>300</v>
      </c>
    </row>
    <row r="5365" spans="3:10" x14ac:dyDescent="0.35">
      <c r="C5365" t="s">
        <v>312</v>
      </c>
      <c r="D5365" t="s">
        <v>313</v>
      </c>
      <c r="E5365" s="3" t="s">
        <v>88</v>
      </c>
      <c r="F5365" s="3">
        <v>2018</v>
      </c>
      <c r="G5365" s="12">
        <v>25000</v>
      </c>
      <c r="H5365" s="12">
        <v>40000</v>
      </c>
      <c r="I5365" s="72">
        <v>4.4999999999999998E-2</v>
      </c>
      <c r="J5365" s="12">
        <f>J5364+(H5364-G5364)*I5364</f>
        <v>900</v>
      </c>
    </row>
    <row r="5366" spans="3:10" x14ac:dyDescent="0.35">
      <c r="C5366" t="s">
        <v>312</v>
      </c>
      <c r="D5366" t="s">
        <v>313</v>
      </c>
      <c r="E5366" s="3" t="s">
        <v>105</v>
      </c>
      <c r="F5366" s="3">
        <v>2018</v>
      </c>
      <c r="G5366" s="12">
        <v>40000</v>
      </c>
      <c r="H5366" s="12">
        <v>60000</v>
      </c>
      <c r="I5366" s="72">
        <v>0.06</v>
      </c>
      <c r="J5366" s="12">
        <f>J5365+(H5365-G5365)*I5365</f>
        <v>1575</v>
      </c>
    </row>
    <row r="5367" spans="3:10" x14ac:dyDescent="0.35">
      <c r="C5367" t="s">
        <v>312</v>
      </c>
      <c r="D5367" t="s">
        <v>313</v>
      </c>
      <c r="E5367" s="3" t="s">
        <v>106</v>
      </c>
      <c r="F5367" s="3">
        <v>2018</v>
      </c>
      <c r="G5367" s="12">
        <v>60000</v>
      </c>
      <c r="H5367" s="12"/>
      <c r="I5367" s="72">
        <v>6.5000000000000002E-2</v>
      </c>
      <c r="J5367" s="12">
        <f>J5366+(H5366-G5366)*I5366</f>
        <v>2775</v>
      </c>
    </row>
    <row r="5368" spans="3:10" x14ac:dyDescent="0.35">
      <c r="C5368" t="s">
        <v>312</v>
      </c>
      <c r="D5368" t="s">
        <v>36</v>
      </c>
      <c r="E5368" s="3" t="s">
        <v>85</v>
      </c>
      <c r="F5368" s="3">
        <v>2018</v>
      </c>
      <c r="G5368" s="12">
        <v>0</v>
      </c>
      <c r="H5368" s="12">
        <v>5000</v>
      </c>
      <c r="I5368" s="72">
        <v>0.03</v>
      </c>
      <c r="J5368" s="12">
        <v>0</v>
      </c>
    </row>
    <row r="5369" spans="3:10" x14ac:dyDescent="0.35">
      <c r="C5369" t="s">
        <v>312</v>
      </c>
      <c r="D5369" t="s">
        <v>36</v>
      </c>
      <c r="E5369" s="3" t="s">
        <v>87</v>
      </c>
      <c r="F5369" s="3">
        <v>2018</v>
      </c>
      <c r="G5369" s="12">
        <v>5000</v>
      </c>
      <c r="H5369" s="12">
        <v>12500</v>
      </c>
      <c r="I5369" s="72">
        <v>0.04</v>
      </c>
      <c r="J5369" s="12">
        <f>J5368+(H5368-G5368)*I5368</f>
        <v>150</v>
      </c>
    </row>
    <row r="5370" spans="3:10" x14ac:dyDescent="0.35">
      <c r="C5370" t="s">
        <v>312</v>
      </c>
      <c r="D5370" t="s">
        <v>36</v>
      </c>
      <c r="E5370" s="3" t="s">
        <v>88</v>
      </c>
      <c r="F5370" s="3">
        <v>2018</v>
      </c>
      <c r="G5370" s="12">
        <v>12500</v>
      </c>
      <c r="H5370" s="12">
        <v>20000</v>
      </c>
      <c r="I5370" s="72">
        <v>4.4999999999999998E-2</v>
      </c>
      <c r="J5370" s="12">
        <f>J5369+(H5369-G5369)*I5369</f>
        <v>450</v>
      </c>
    </row>
    <row r="5371" spans="3:10" x14ac:dyDescent="0.35">
      <c r="C5371" t="s">
        <v>312</v>
      </c>
      <c r="D5371" t="s">
        <v>36</v>
      </c>
      <c r="E5371" s="3" t="s">
        <v>105</v>
      </c>
      <c r="F5371" s="3">
        <v>2018</v>
      </c>
      <c r="G5371" s="12">
        <v>20000</v>
      </c>
      <c r="H5371" s="12">
        <v>30000</v>
      </c>
      <c r="I5371" s="72">
        <v>0.06</v>
      </c>
      <c r="J5371" s="12">
        <f>J5370+(H5370-G5370)*I5370</f>
        <v>787.5</v>
      </c>
    </row>
    <row r="5372" spans="3:10" x14ac:dyDescent="0.35">
      <c r="C5372" t="s">
        <v>312</v>
      </c>
      <c r="D5372" t="s">
        <v>36</v>
      </c>
      <c r="E5372" s="3" t="s">
        <v>106</v>
      </c>
      <c r="F5372" s="3">
        <v>2018</v>
      </c>
      <c r="G5372" s="12">
        <v>30000</v>
      </c>
      <c r="H5372" s="12"/>
      <c r="I5372" s="72">
        <v>6.5000000000000002E-2</v>
      </c>
      <c r="J5372" s="12">
        <f>J5371+(H5371-G5371)*I5371</f>
        <v>1387.5</v>
      </c>
    </row>
    <row r="5373" spans="3:10" x14ac:dyDescent="0.35">
      <c r="C5373" t="s">
        <v>312</v>
      </c>
      <c r="D5373" t="s">
        <v>40</v>
      </c>
      <c r="E5373" s="3" t="s">
        <v>85</v>
      </c>
      <c r="F5373" s="3">
        <v>2019</v>
      </c>
      <c r="G5373" s="12">
        <v>0</v>
      </c>
      <c r="H5373" s="12">
        <v>10000</v>
      </c>
      <c r="I5373" s="72">
        <v>0.03</v>
      </c>
      <c r="J5373" s="12">
        <v>0</v>
      </c>
    </row>
    <row r="5374" spans="3:10" x14ac:dyDescent="0.35">
      <c r="C5374" t="s">
        <v>312</v>
      </c>
      <c r="D5374" t="s">
        <v>40</v>
      </c>
      <c r="E5374" s="3" t="s">
        <v>87</v>
      </c>
      <c r="F5374" s="3">
        <v>2019</v>
      </c>
      <c r="G5374" s="12">
        <v>10000</v>
      </c>
      <c r="H5374" s="12">
        <v>25000</v>
      </c>
      <c r="I5374" s="72">
        <v>0.04</v>
      </c>
      <c r="J5374" s="12">
        <f>J5373+(H5373-G5373)*I5373</f>
        <v>300</v>
      </c>
    </row>
    <row r="5375" spans="3:10" x14ac:dyDescent="0.35">
      <c r="C5375" t="s">
        <v>312</v>
      </c>
      <c r="D5375" t="s">
        <v>40</v>
      </c>
      <c r="E5375" s="3" t="s">
        <v>88</v>
      </c>
      <c r="F5375" s="3">
        <v>2019</v>
      </c>
      <c r="G5375" s="12">
        <v>25000</v>
      </c>
      <c r="H5375" s="12">
        <v>40000</v>
      </c>
      <c r="I5375" s="72">
        <v>4.4999999999999998E-2</v>
      </c>
      <c r="J5375" s="12">
        <f>J5374+(H5374-G5374)*I5374</f>
        <v>900</v>
      </c>
    </row>
    <row r="5376" spans="3:10" x14ac:dyDescent="0.35">
      <c r="C5376" t="s">
        <v>312</v>
      </c>
      <c r="D5376" t="s">
        <v>40</v>
      </c>
      <c r="E5376" s="3" t="s">
        <v>105</v>
      </c>
      <c r="F5376" s="3">
        <v>2019</v>
      </c>
      <c r="G5376" s="12">
        <v>40000</v>
      </c>
      <c r="H5376" s="12">
        <v>60000</v>
      </c>
      <c r="I5376" s="72">
        <v>0.06</v>
      </c>
      <c r="J5376" s="12">
        <f>J5375+(H5375-G5375)*I5375</f>
        <v>1575</v>
      </c>
    </row>
    <row r="5377" spans="3:10" x14ac:dyDescent="0.35">
      <c r="C5377" t="s">
        <v>312</v>
      </c>
      <c r="D5377" t="s">
        <v>40</v>
      </c>
      <c r="E5377" s="3" t="s">
        <v>106</v>
      </c>
      <c r="F5377" s="3">
        <v>2019</v>
      </c>
      <c r="G5377" s="12">
        <v>60000</v>
      </c>
      <c r="H5377" s="12"/>
      <c r="I5377" s="72">
        <v>6.5000000000000002E-2</v>
      </c>
      <c r="J5377" s="12">
        <f>J5376+(H5376-G5376)*I5376</f>
        <v>2775</v>
      </c>
    </row>
    <row r="5378" spans="3:10" x14ac:dyDescent="0.35">
      <c r="C5378" t="s">
        <v>312</v>
      </c>
      <c r="D5378" t="s">
        <v>34</v>
      </c>
      <c r="E5378" s="3" t="s">
        <v>85</v>
      </c>
      <c r="F5378" s="3">
        <v>2019</v>
      </c>
      <c r="G5378" s="12">
        <v>0</v>
      </c>
      <c r="H5378" s="12">
        <v>10000</v>
      </c>
      <c r="I5378" s="72">
        <v>0.03</v>
      </c>
      <c r="J5378" s="12">
        <v>0</v>
      </c>
    </row>
    <row r="5379" spans="3:10" x14ac:dyDescent="0.35">
      <c r="C5379" t="s">
        <v>312</v>
      </c>
      <c r="D5379" t="s">
        <v>34</v>
      </c>
      <c r="E5379" s="3" t="s">
        <v>87</v>
      </c>
      <c r="F5379" s="3">
        <v>2019</v>
      </c>
      <c r="G5379" s="12">
        <v>10000</v>
      </c>
      <c r="H5379" s="12">
        <v>25000</v>
      </c>
      <c r="I5379" s="72">
        <v>0.04</v>
      </c>
      <c r="J5379" s="12">
        <f>J5378+(H5378-G5378)*I5378</f>
        <v>300</v>
      </c>
    </row>
    <row r="5380" spans="3:10" x14ac:dyDescent="0.35">
      <c r="C5380" t="s">
        <v>312</v>
      </c>
      <c r="D5380" t="s">
        <v>34</v>
      </c>
      <c r="E5380" s="3" t="s">
        <v>88</v>
      </c>
      <c r="F5380" s="3">
        <v>2019</v>
      </c>
      <c r="G5380" s="12">
        <v>25000</v>
      </c>
      <c r="H5380" s="12">
        <v>40000</v>
      </c>
      <c r="I5380" s="72">
        <v>4.4999999999999998E-2</v>
      </c>
      <c r="J5380" s="12">
        <f>J5379+(H5379-G5379)*I5379</f>
        <v>900</v>
      </c>
    </row>
    <row r="5381" spans="3:10" x14ac:dyDescent="0.35">
      <c r="C5381" t="s">
        <v>312</v>
      </c>
      <c r="D5381" t="s">
        <v>34</v>
      </c>
      <c r="E5381" s="3" t="s">
        <v>105</v>
      </c>
      <c r="F5381" s="3">
        <v>2019</v>
      </c>
      <c r="G5381" s="12">
        <v>40000</v>
      </c>
      <c r="H5381" s="12">
        <v>60000</v>
      </c>
      <c r="I5381" s="72">
        <v>0.06</v>
      </c>
      <c r="J5381" s="12">
        <f>J5380+(H5380-G5380)*I5380</f>
        <v>1575</v>
      </c>
    </row>
    <row r="5382" spans="3:10" x14ac:dyDescent="0.35">
      <c r="C5382" t="s">
        <v>312</v>
      </c>
      <c r="D5382" t="s">
        <v>34</v>
      </c>
      <c r="E5382" s="3" t="s">
        <v>106</v>
      </c>
      <c r="F5382" s="3">
        <v>2019</v>
      </c>
      <c r="G5382" s="12">
        <v>60000</v>
      </c>
      <c r="H5382" s="12"/>
      <c r="I5382" s="72">
        <v>6.5000000000000002E-2</v>
      </c>
      <c r="J5382" s="12">
        <f>J5381+(H5381-G5381)*I5381</f>
        <v>2775</v>
      </c>
    </row>
    <row r="5383" spans="3:10" x14ac:dyDescent="0.35">
      <c r="C5383" t="s">
        <v>312</v>
      </c>
      <c r="D5383" t="s">
        <v>33</v>
      </c>
      <c r="E5383" s="3" t="s">
        <v>85</v>
      </c>
      <c r="F5383" s="3">
        <v>2019</v>
      </c>
      <c r="G5383" s="12">
        <v>0</v>
      </c>
      <c r="H5383" s="12">
        <v>10000</v>
      </c>
      <c r="I5383" s="72">
        <v>0.03</v>
      </c>
      <c r="J5383" s="12">
        <v>0</v>
      </c>
    </row>
    <row r="5384" spans="3:10" x14ac:dyDescent="0.35">
      <c r="C5384" t="s">
        <v>312</v>
      </c>
      <c r="D5384" t="s">
        <v>33</v>
      </c>
      <c r="E5384" s="3" t="s">
        <v>87</v>
      </c>
      <c r="F5384" s="3">
        <v>2019</v>
      </c>
      <c r="G5384" s="12">
        <v>10000</v>
      </c>
      <c r="H5384" s="12">
        <v>25000</v>
      </c>
      <c r="I5384" s="72">
        <v>0.04</v>
      </c>
      <c r="J5384" s="12">
        <f>J5383+(H5383-G5383)*I5383</f>
        <v>300</v>
      </c>
    </row>
    <row r="5385" spans="3:10" x14ac:dyDescent="0.35">
      <c r="C5385" t="s">
        <v>312</v>
      </c>
      <c r="D5385" t="s">
        <v>33</v>
      </c>
      <c r="E5385" s="3" t="s">
        <v>88</v>
      </c>
      <c r="F5385" s="3">
        <v>2019</v>
      </c>
      <c r="G5385" s="12">
        <v>25000</v>
      </c>
      <c r="H5385" s="12">
        <v>40000</v>
      </c>
      <c r="I5385" s="72">
        <v>4.4999999999999998E-2</v>
      </c>
      <c r="J5385" s="12">
        <f>J5384+(H5384-G5384)*I5384</f>
        <v>900</v>
      </c>
    </row>
    <row r="5386" spans="3:10" x14ac:dyDescent="0.35">
      <c r="C5386" t="s">
        <v>312</v>
      </c>
      <c r="D5386" t="s">
        <v>33</v>
      </c>
      <c r="E5386" s="3" t="s">
        <v>105</v>
      </c>
      <c r="F5386" s="3">
        <v>2019</v>
      </c>
      <c r="G5386" s="12">
        <v>40000</v>
      </c>
      <c r="H5386" s="12">
        <v>60000</v>
      </c>
      <c r="I5386" s="72">
        <v>0.06</v>
      </c>
      <c r="J5386" s="12">
        <f>J5385+(H5385-G5385)*I5385</f>
        <v>1575</v>
      </c>
    </row>
    <row r="5387" spans="3:10" x14ac:dyDescent="0.35">
      <c r="C5387" t="s">
        <v>312</v>
      </c>
      <c r="D5387" t="s">
        <v>33</v>
      </c>
      <c r="E5387" s="3" t="s">
        <v>106</v>
      </c>
      <c r="F5387" s="3">
        <v>2019</v>
      </c>
      <c r="G5387" s="12">
        <v>60000</v>
      </c>
      <c r="H5387" s="12"/>
      <c r="I5387" s="72">
        <v>6.5000000000000002E-2</v>
      </c>
      <c r="J5387" s="12">
        <f>J5386+(H5386-G5386)*I5386</f>
        <v>2775</v>
      </c>
    </row>
    <row r="5388" spans="3:10" x14ac:dyDescent="0.35">
      <c r="C5388" t="s">
        <v>312</v>
      </c>
      <c r="D5388" t="s">
        <v>313</v>
      </c>
      <c r="E5388" s="3" t="s">
        <v>85</v>
      </c>
      <c r="F5388" s="3">
        <v>2019</v>
      </c>
      <c r="G5388" s="12">
        <v>0</v>
      </c>
      <c r="H5388" s="12">
        <v>10000</v>
      </c>
      <c r="I5388" s="72">
        <v>0.03</v>
      </c>
      <c r="J5388" s="12">
        <v>0</v>
      </c>
    </row>
    <row r="5389" spans="3:10" x14ac:dyDescent="0.35">
      <c r="C5389" t="s">
        <v>312</v>
      </c>
      <c r="D5389" t="s">
        <v>313</v>
      </c>
      <c r="E5389" s="3" t="s">
        <v>87</v>
      </c>
      <c r="F5389" s="3">
        <v>2019</v>
      </c>
      <c r="G5389" s="12">
        <v>10000</v>
      </c>
      <c r="H5389" s="12">
        <v>25000</v>
      </c>
      <c r="I5389" s="72">
        <v>0.04</v>
      </c>
      <c r="J5389" s="12">
        <f>J5388+(H5388-G5388)*I5388</f>
        <v>300</v>
      </c>
    </row>
    <row r="5390" spans="3:10" x14ac:dyDescent="0.35">
      <c r="C5390" t="s">
        <v>312</v>
      </c>
      <c r="D5390" t="s">
        <v>313</v>
      </c>
      <c r="E5390" s="3" t="s">
        <v>88</v>
      </c>
      <c r="F5390" s="3">
        <v>2019</v>
      </c>
      <c r="G5390" s="12">
        <v>25000</v>
      </c>
      <c r="H5390" s="12">
        <v>40000</v>
      </c>
      <c r="I5390" s="72">
        <v>4.4999999999999998E-2</v>
      </c>
      <c r="J5390" s="12">
        <f>J5389+(H5389-G5389)*I5389</f>
        <v>900</v>
      </c>
    </row>
    <row r="5391" spans="3:10" x14ac:dyDescent="0.35">
      <c r="C5391" t="s">
        <v>312</v>
      </c>
      <c r="D5391" t="s">
        <v>313</v>
      </c>
      <c r="E5391" s="3" t="s">
        <v>105</v>
      </c>
      <c r="F5391" s="3">
        <v>2019</v>
      </c>
      <c r="G5391" s="12">
        <v>40000</v>
      </c>
      <c r="H5391" s="12">
        <v>60000</v>
      </c>
      <c r="I5391" s="72">
        <v>0.06</v>
      </c>
      <c r="J5391" s="12">
        <f>J5390+(H5390-G5390)*I5390</f>
        <v>1575</v>
      </c>
    </row>
    <row r="5392" spans="3:10" x14ac:dyDescent="0.35">
      <c r="C5392" t="s">
        <v>312</v>
      </c>
      <c r="D5392" t="s">
        <v>313</v>
      </c>
      <c r="E5392" s="3" t="s">
        <v>106</v>
      </c>
      <c r="F5392" s="3">
        <v>2019</v>
      </c>
      <c r="G5392" s="12">
        <v>60000</v>
      </c>
      <c r="H5392" s="12"/>
      <c r="I5392" s="72">
        <v>6.5000000000000002E-2</v>
      </c>
      <c r="J5392" s="12">
        <f>J5391+(H5391-G5391)*I5391</f>
        <v>2775</v>
      </c>
    </row>
    <row r="5393" spans="3:10" x14ac:dyDescent="0.35">
      <c r="C5393" t="s">
        <v>312</v>
      </c>
      <c r="D5393" t="s">
        <v>36</v>
      </c>
      <c r="E5393" s="3" t="s">
        <v>85</v>
      </c>
      <c r="F5393" s="3">
        <v>2019</v>
      </c>
      <c r="G5393" s="12">
        <v>0</v>
      </c>
      <c r="H5393" s="12">
        <v>5000</v>
      </c>
      <c r="I5393" s="72">
        <v>0.03</v>
      </c>
      <c r="J5393" s="12">
        <v>0</v>
      </c>
    </row>
    <row r="5394" spans="3:10" x14ac:dyDescent="0.35">
      <c r="C5394" t="s">
        <v>312</v>
      </c>
      <c r="D5394" t="s">
        <v>36</v>
      </c>
      <c r="E5394" s="3" t="s">
        <v>87</v>
      </c>
      <c r="F5394" s="3">
        <v>2019</v>
      </c>
      <c r="G5394" s="12">
        <v>5000</v>
      </c>
      <c r="H5394" s="12">
        <v>12500</v>
      </c>
      <c r="I5394" s="72">
        <v>0.04</v>
      </c>
      <c r="J5394" s="12">
        <f>J5393+(H5393-G5393)*I5393</f>
        <v>150</v>
      </c>
    </row>
    <row r="5395" spans="3:10" x14ac:dyDescent="0.35">
      <c r="C5395" t="s">
        <v>312</v>
      </c>
      <c r="D5395" t="s">
        <v>36</v>
      </c>
      <c r="E5395" s="3" t="s">
        <v>88</v>
      </c>
      <c r="F5395" s="3">
        <v>2019</v>
      </c>
      <c r="G5395" s="12">
        <v>12500</v>
      </c>
      <c r="H5395" s="12">
        <v>20000</v>
      </c>
      <c r="I5395" s="72">
        <v>4.4999999999999998E-2</v>
      </c>
      <c r="J5395" s="12">
        <f>J5394+(H5394-G5394)*I5394</f>
        <v>450</v>
      </c>
    </row>
    <row r="5396" spans="3:10" x14ac:dyDescent="0.35">
      <c r="C5396" t="s">
        <v>312</v>
      </c>
      <c r="D5396" t="s">
        <v>36</v>
      </c>
      <c r="E5396" s="3" t="s">
        <v>105</v>
      </c>
      <c r="F5396" s="3">
        <v>2019</v>
      </c>
      <c r="G5396" s="12">
        <v>20000</v>
      </c>
      <c r="H5396" s="12">
        <v>30000</v>
      </c>
      <c r="I5396" s="72">
        <v>0.06</v>
      </c>
      <c r="J5396" s="12">
        <f>J5395+(H5395-G5395)*I5395</f>
        <v>787.5</v>
      </c>
    </row>
    <row r="5397" spans="3:10" x14ac:dyDescent="0.35">
      <c r="C5397" t="s">
        <v>312</v>
      </c>
      <c r="D5397" t="s">
        <v>36</v>
      </c>
      <c r="E5397" s="3" t="s">
        <v>106</v>
      </c>
      <c r="F5397" s="3">
        <v>2019</v>
      </c>
      <c r="G5397" s="12">
        <v>30000</v>
      </c>
      <c r="H5397" s="12"/>
      <c r="I5397" s="72">
        <v>6.5000000000000002E-2</v>
      </c>
      <c r="J5397" s="12">
        <f>J5396+(H5396-G5396)*I5396</f>
        <v>1387.5</v>
      </c>
    </row>
    <row r="5398" spans="3:10" x14ac:dyDescent="0.35">
      <c r="C5398" t="s">
        <v>312</v>
      </c>
      <c r="D5398" t="s">
        <v>40</v>
      </c>
      <c r="E5398" s="3" t="s">
        <v>85</v>
      </c>
      <c r="F5398" s="3">
        <v>2020</v>
      </c>
      <c r="G5398" s="12">
        <v>0</v>
      </c>
      <c r="H5398" s="12">
        <v>10000</v>
      </c>
      <c r="I5398" s="72">
        <v>0.03</v>
      </c>
      <c r="J5398" s="12">
        <v>0</v>
      </c>
    </row>
    <row r="5399" spans="3:10" x14ac:dyDescent="0.35">
      <c r="C5399" t="s">
        <v>312</v>
      </c>
      <c r="D5399" t="s">
        <v>40</v>
      </c>
      <c r="E5399" s="3" t="s">
        <v>87</v>
      </c>
      <c r="F5399" s="3">
        <v>2020</v>
      </c>
      <c r="G5399" s="12">
        <v>10000</v>
      </c>
      <c r="H5399" s="12">
        <v>25000</v>
      </c>
      <c r="I5399" s="72">
        <v>0.04</v>
      </c>
      <c r="J5399" s="12">
        <f>J5398+(H5398-G5398)*I5398</f>
        <v>300</v>
      </c>
    </row>
    <row r="5400" spans="3:10" x14ac:dyDescent="0.35">
      <c r="C5400" t="s">
        <v>312</v>
      </c>
      <c r="D5400" t="s">
        <v>40</v>
      </c>
      <c r="E5400" s="3" t="s">
        <v>88</v>
      </c>
      <c r="F5400" s="3">
        <v>2020</v>
      </c>
      <c r="G5400" s="12">
        <v>25000</v>
      </c>
      <c r="H5400" s="12">
        <v>40000</v>
      </c>
      <c r="I5400" s="72">
        <v>4.4999999999999998E-2</v>
      </c>
      <c r="J5400" s="12">
        <f>J5399+(H5399-G5399)*I5399</f>
        <v>900</v>
      </c>
    </row>
    <row r="5401" spans="3:10" x14ac:dyDescent="0.35">
      <c r="C5401" t="s">
        <v>312</v>
      </c>
      <c r="D5401" t="s">
        <v>40</v>
      </c>
      <c r="E5401" s="3" t="s">
        <v>105</v>
      </c>
      <c r="F5401" s="3">
        <v>2020</v>
      </c>
      <c r="G5401" s="12">
        <v>40000</v>
      </c>
      <c r="H5401" s="12">
        <v>60000</v>
      </c>
      <c r="I5401" s="72">
        <v>0.06</v>
      </c>
      <c r="J5401" s="12">
        <f>J5400+(H5400-G5400)*I5400</f>
        <v>1575</v>
      </c>
    </row>
    <row r="5402" spans="3:10" x14ac:dyDescent="0.35">
      <c r="C5402" t="s">
        <v>312</v>
      </c>
      <c r="D5402" t="s">
        <v>40</v>
      </c>
      <c r="E5402" s="3" t="s">
        <v>106</v>
      </c>
      <c r="F5402" s="3">
        <v>2020</v>
      </c>
      <c r="G5402" s="12">
        <v>60000</v>
      </c>
      <c r="H5402" s="12"/>
      <c r="I5402" s="72">
        <v>6.5000000000000002E-2</v>
      </c>
      <c r="J5402" s="12">
        <f>J5401+(H5401-G5401)*I5401</f>
        <v>2775</v>
      </c>
    </row>
    <row r="5403" spans="3:10" x14ac:dyDescent="0.35">
      <c r="C5403" t="s">
        <v>312</v>
      </c>
      <c r="D5403" t="s">
        <v>34</v>
      </c>
      <c r="E5403" s="3" t="s">
        <v>85</v>
      </c>
      <c r="F5403" s="3">
        <v>2020</v>
      </c>
      <c r="G5403" s="12">
        <v>0</v>
      </c>
      <c r="H5403" s="12">
        <v>10000</v>
      </c>
      <c r="I5403" s="72">
        <v>0.03</v>
      </c>
      <c r="J5403" s="12">
        <v>0</v>
      </c>
    </row>
    <row r="5404" spans="3:10" x14ac:dyDescent="0.35">
      <c r="C5404" t="s">
        <v>312</v>
      </c>
      <c r="D5404" t="s">
        <v>34</v>
      </c>
      <c r="E5404" s="3" t="s">
        <v>87</v>
      </c>
      <c r="F5404" s="3">
        <v>2020</v>
      </c>
      <c r="G5404" s="12">
        <v>10000</v>
      </c>
      <c r="H5404" s="12">
        <v>25000</v>
      </c>
      <c r="I5404" s="72">
        <v>0.04</v>
      </c>
      <c r="J5404" s="12">
        <f>J5403+(H5403-G5403)*I5403</f>
        <v>300</v>
      </c>
    </row>
    <row r="5405" spans="3:10" x14ac:dyDescent="0.35">
      <c r="C5405" t="s">
        <v>312</v>
      </c>
      <c r="D5405" t="s">
        <v>34</v>
      </c>
      <c r="E5405" s="3" t="s">
        <v>88</v>
      </c>
      <c r="F5405" s="3">
        <v>2020</v>
      </c>
      <c r="G5405" s="12">
        <v>25000</v>
      </c>
      <c r="H5405" s="12">
        <v>40000</v>
      </c>
      <c r="I5405" s="72">
        <v>4.4999999999999998E-2</v>
      </c>
      <c r="J5405" s="12">
        <f>J5404+(H5404-G5404)*I5404</f>
        <v>900</v>
      </c>
    </row>
    <row r="5406" spans="3:10" x14ac:dyDescent="0.35">
      <c r="C5406" t="s">
        <v>312</v>
      </c>
      <c r="D5406" t="s">
        <v>34</v>
      </c>
      <c r="E5406" s="3" t="s">
        <v>105</v>
      </c>
      <c r="F5406" s="3">
        <v>2020</v>
      </c>
      <c r="G5406" s="12">
        <v>40000</v>
      </c>
      <c r="H5406" s="12">
        <v>60000</v>
      </c>
      <c r="I5406" s="72">
        <v>0.06</v>
      </c>
      <c r="J5406" s="12">
        <f>J5405+(H5405-G5405)*I5405</f>
        <v>1575</v>
      </c>
    </row>
    <row r="5407" spans="3:10" x14ac:dyDescent="0.35">
      <c r="C5407" t="s">
        <v>312</v>
      </c>
      <c r="D5407" t="s">
        <v>34</v>
      </c>
      <c r="E5407" s="3" t="s">
        <v>106</v>
      </c>
      <c r="F5407" s="3">
        <v>2020</v>
      </c>
      <c r="G5407" s="12">
        <v>60000</v>
      </c>
      <c r="H5407" s="12"/>
      <c r="I5407" s="72">
        <v>6.5000000000000002E-2</v>
      </c>
      <c r="J5407" s="12">
        <f>J5406+(H5406-G5406)*I5406</f>
        <v>2775</v>
      </c>
    </row>
    <row r="5408" spans="3:10" x14ac:dyDescent="0.35">
      <c r="C5408" t="s">
        <v>312</v>
      </c>
      <c r="D5408" t="s">
        <v>33</v>
      </c>
      <c r="E5408" s="3" t="s">
        <v>85</v>
      </c>
      <c r="F5408" s="3">
        <v>2020</v>
      </c>
      <c r="G5408" s="12">
        <v>0</v>
      </c>
      <c r="H5408" s="12">
        <v>10000</v>
      </c>
      <c r="I5408" s="72">
        <v>0.03</v>
      </c>
      <c r="J5408" s="12">
        <v>0</v>
      </c>
    </row>
    <row r="5409" spans="3:10" x14ac:dyDescent="0.35">
      <c r="C5409" t="s">
        <v>312</v>
      </c>
      <c r="D5409" t="s">
        <v>33</v>
      </c>
      <c r="E5409" s="3" t="s">
        <v>87</v>
      </c>
      <c r="F5409" s="3">
        <v>2020</v>
      </c>
      <c r="G5409" s="12">
        <v>10000</v>
      </c>
      <c r="H5409" s="12">
        <v>25000</v>
      </c>
      <c r="I5409" s="72">
        <v>0.04</v>
      </c>
      <c r="J5409" s="12">
        <f>J5408+(H5408-G5408)*I5408</f>
        <v>300</v>
      </c>
    </row>
    <row r="5410" spans="3:10" x14ac:dyDescent="0.35">
      <c r="C5410" t="s">
        <v>312</v>
      </c>
      <c r="D5410" t="s">
        <v>33</v>
      </c>
      <c r="E5410" s="3" t="s">
        <v>88</v>
      </c>
      <c r="F5410" s="3">
        <v>2020</v>
      </c>
      <c r="G5410" s="12">
        <v>25000</v>
      </c>
      <c r="H5410" s="12">
        <v>40000</v>
      </c>
      <c r="I5410" s="72">
        <v>4.4999999999999998E-2</v>
      </c>
      <c r="J5410" s="12">
        <f>J5409+(H5409-G5409)*I5409</f>
        <v>900</v>
      </c>
    </row>
    <row r="5411" spans="3:10" x14ac:dyDescent="0.35">
      <c r="C5411" t="s">
        <v>312</v>
      </c>
      <c r="D5411" t="s">
        <v>33</v>
      </c>
      <c r="E5411" s="3" t="s">
        <v>105</v>
      </c>
      <c r="F5411" s="3">
        <v>2020</v>
      </c>
      <c r="G5411" s="12">
        <v>40000</v>
      </c>
      <c r="H5411" s="12">
        <v>60000</v>
      </c>
      <c r="I5411" s="72">
        <v>0.06</v>
      </c>
      <c r="J5411" s="12">
        <f>J5410+(H5410-G5410)*I5410</f>
        <v>1575</v>
      </c>
    </row>
    <row r="5412" spans="3:10" x14ac:dyDescent="0.35">
      <c r="C5412" t="s">
        <v>312</v>
      </c>
      <c r="D5412" t="s">
        <v>33</v>
      </c>
      <c r="E5412" s="3" t="s">
        <v>106</v>
      </c>
      <c r="F5412" s="3">
        <v>2020</v>
      </c>
      <c r="G5412" s="12">
        <v>60000</v>
      </c>
      <c r="H5412" s="12"/>
      <c r="I5412" s="72">
        <v>6.5000000000000002E-2</v>
      </c>
      <c r="J5412" s="12">
        <f>J5411+(H5411-G5411)*I5411</f>
        <v>2775</v>
      </c>
    </row>
    <row r="5413" spans="3:10" x14ac:dyDescent="0.35">
      <c r="C5413" t="s">
        <v>312</v>
      </c>
      <c r="D5413" t="s">
        <v>313</v>
      </c>
      <c r="E5413" s="3" t="s">
        <v>85</v>
      </c>
      <c r="F5413" s="3">
        <v>2020</v>
      </c>
      <c r="G5413" s="12">
        <v>0</v>
      </c>
      <c r="H5413" s="12">
        <v>10000</v>
      </c>
      <c r="I5413" s="72">
        <v>0.03</v>
      </c>
      <c r="J5413" s="12">
        <v>0</v>
      </c>
    </row>
    <row r="5414" spans="3:10" x14ac:dyDescent="0.35">
      <c r="C5414" t="s">
        <v>312</v>
      </c>
      <c r="D5414" t="s">
        <v>313</v>
      </c>
      <c r="E5414" s="3" t="s">
        <v>87</v>
      </c>
      <c r="F5414" s="3">
        <v>2020</v>
      </c>
      <c r="G5414" s="12">
        <v>10000</v>
      </c>
      <c r="H5414" s="12">
        <v>25000</v>
      </c>
      <c r="I5414" s="72">
        <v>0.04</v>
      </c>
      <c r="J5414" s="12">
        <f>J5413+(H5413-G5413)*I5413</f>
        <v>300</v>
      </c>
    </row>
    <row r="5415" spans="3:10" x14ac:dyDescent="0.35">
      <c r="C5415" t="s">
        <v>312</v>
      </c>
      <c r="D5415" t="s">
        <v>313</v>
      </c>
      <c r="E5415" s="3" t="s">
        <v>88</v>
      </c>
      <c r="F5415" s="3">
        <v>2020</v>
      </c>
      <c r="G5415" s="12">
        <v>25000</v>
      </c>
      <c r="H5415" s="12">
        <v>40000</v>
      </c>
      <c r="I5415" s="72">
        <v>4.4999999999999998E-2</v>
      </c>
      <c r="J5415" s="12">
        <f>J5414+(H5414-G5414)*I5414</f>
        <v>900</v>
      </c>
    </row>
    <row r="5416" spans="3:10" x14ac:dyDescent="0.35">
      <c r="C5416" t="s">
        <v>312</v>
      </c>
      <c r="D5416" t="s">
        <v>313</v>
      </c>
      <c r="E5416" s="3" t="s">
        <v>105</v>
      </c>
      <c r="F5416" s="3">
        <v>2020</v>
      </c>
      <c r="G5416" s="12">
        <v>40000</v>
      </c>
      <c r="H5416" s="12">
        <v>60000</v>
      </c>
      <c r="I5416" s="72">
        <v>0.06</v>
      </c>
      <c r="J5416" s="12">
        <f>J5415+(H5415-G5415)*I5415</f>
        <v>1575</v>
      </c>
    </row>
    <row r="5417" spans="3:10" x14ac:dyDescent="0.35">
      <c r="C5417" t="s">
        <v>312</v>
      </c>
      <c r="D5417" t="s">
        <v>313</v>
      </c>
      <c r="E5417" s="3" t="s">
        <v>106</v>
      </c>
      <c r="F5417" s="3">
        <v>2020</v>
      </c>
      <c r="G5417" s="12">
        <v>60000</v>
      </c>
      <c r="H5417" s="12"/>
      <c r="I5417" s="72">
        <v>6.5000000000000002E-2</v>
      </c>
      <c r="J5417" s="12">
        <f>J5416+(H5416-G5416)*I5416</f>
        <v>2775</v>
      </c>
    </row>
    <row r="5418" spans="3:10" x14ac:dyDescent="0.35">
      <c r="C5418" t="s">
        <v>312</v>
      </c>
      <c r="D5418" t="s">
        <v>36</v>
      </c>
      <c r="E5418" s="3" t="s">
        <v>85</v>
      </c>
      <c r="F5418" s="3">
        <v>2020</v>
      </c>
      <c r="G5418" s="12">
        <v>0</v>
      </c>
      <c r="H5418" s="12">
        <v>5000</v>
      </c>
      <c r="I5418" s="72">
        <v>0.03</v>
      </c>
      <c r="J5418" s="12">
        <v>0</v>
      </c>
    </row>
    <row r="5419" spans="3:10" x14ac:dyDescent="0.35">
      <c r="C5419" t="s">
        <v>312</v>
      </c>
      <c r="D5419" t="s">
        <v>36</v>
      </c>
      <c r="E5419" s="3" t="s">
        <v>87</v>
      </c>
      <c r="F5419" s="3">
        <v>2020</v>
      </c>
      <c r="G5419" s="12">
        <v>5000</v>
      </c>
      <c r="H5419" s="12">
        <v>12500</v>
      </c>
      <c r="I5419" s="72">
        <v>0.04</v>
      </c>
      <c r="J5419" s="12">
        <f>J5418+(H5418-G5418)*I5418</f>
        <v>150</v>
      </c>
    </row>
    <row r="5420" spans="3:10" x14ac:dyDescent="0.35">
      <c r="C5420" t="s">
        <v>312</v>
      </c>
      <c r="D5420" t="s">
        <v>36</v>
      </c>
      <c r="E5420" s="3" t="s">
        <v>88</v>
      </c>
      <c r="F5420" s="3">
        <v>2020</v>
      </c>
      <c r="G5420" s="12">
        <v>12500</v>
      </c>
      <c r="H5420" s="12">
        <v>20000</v>
      </c>
      <c r="I5420" s="72">
        <v>4.4999999999999998E-2</v>
      </c>
      <c r="J5420" s="12">
        <f>J5419+(H5419-G5419)*I5419</f>
        <v>450</v>
      </c>
    </row>
    <row r="5421" spans="3:10" x14ac:dyDescent="0.35">
      <c r="C5421" t="s">
        <v>312</v>
      </c>
      <c r="D5421" t="s">
        <v>36</v>
      </c>
      <c r="E5421" s="3" t="s">
        <v>105</v>
      </c>
      <c r="F5421" s="3">
        <v>2020</v>
      </c>
      <c r="G5421" s="12">
        <v>20000</v>
      </c>
      <c r="H5421" s="12">
        <v>30000</v>
      </c>
      <c r="I5421" s="72">
        <v>0.06</v>
      </c>
      <c r="J5421" s="12">
        <f>J5420+(H5420-G5420)*I5420</f>
        <v>787.5</v>
      </c>
    </row>
    <row r="5422" spans="3:10" x14ac:dyDescent="0.35">
      <c r="C5422" t="s">
        <v>312</v>
      </c>
      <c r="D5422" t="s">
        <v>36</v>
      </c>
      <c r="E5422" s="3" t="s">
        <v>106</v>
      </c>
      <c r="F5422" s="3">
        <v>2020</v>
      </c>
      <c r="G5422" s="12">
        <v>30000</v>
      </c>
      <c r="H5422" s="12"/>
      <c r="I5422" s="72">
        <v>6.5000000000000002E-2</v>
      </c>
      <c r="J5422" s="12">
        <f>J5421+(H5421-G5421)*I5421</f>
        <v>1387.5</v>
      </c>
    </row>
    <row r="5423" spans="3:10" x14ac:dyDescent="0.35">
      <c r="C5423" t="s">
        <v>312</v>
      </c>
      <c r="D5423" t="s">
        <v>40</v>
      </c>
      <c r="E5423" s="3" t="s">
        <v>85</v>
      </c>
      <c r="F5423" s="3">
        <v>2021</v>
      </c>
      <c r="G5423" s="12">
        <v>0</v>
      </c>
      <c r="H5423" s="12">
        <v>10000</v>
      </c>
      <c r="I5423" s="72">
        <v>0.03</v>
      </c>
      <c r="J5423" s="12">
        <v>0</v>
      </c>
    </row>
    <row r="5424" spans="3:10" x14ac:dyDescent="0.35">
      <c r="C5424" t="s">
        <v>312</v>
      </c>
      <c r="D5424" t="s">
        <v>40</v>
      </c>
      <c r="E5424" s="3" t="s">
        <v>87</v>
      </c>
      <c r="F5424" s="3">
        <v>2021</v>
      </c>
      <c r="G5424" s="12">
        <v>10000</v>
      </c>
      <c r="H5424" s="12">
        <v>25000</v>
      </c>
      <c r="I5424" s="72">
        <v>0.04</v>
      </c>
      <c r="J5424" s="12">
        <f>J5423+(H5423-G5423)*I5423</f>
        <v>300</v>
      </c>
    </row>
    <row r="5425" spans="3:10" x14ac:dyDescent="0.35">
      <c r="C5425" t="s">
        <v>312</v>
      </c>
      <c r="D5425" t="s">
        <v>40</v>
      </c>
      <c r="E5425" s="3" t="s">
        <v>88</v>
      </c>
      <c r="F5425" s="3">
        <v>2021</v>
      </c>
      <c r="G5425" s="12">
        <v>25000</v>
      </c>
      <c r="H5425" s="12">
        <v>40000</v>
      </c>
      <c r="I5425" s="72">
        <v>4.4999999999999998E-2</v>
      </c>
      <c r="J5425" s="12">
        <f>J5424+(H5424-G5424)*I5424</f>
        <v>900</v>
      </c>
    </row>
    <row r="5426" spans="3:10" x14ac:dyDescent="0.35">
      <c r="C5426" t="s">
        <v>312</v>
      </c>
      <c r="D5426" t="s">
        <v>40</v>
      </c>
      <c r="E5426" s="3" t="s">
        <v>105</v>
      </c>
      <c r="F5426" s="3">
        <v>2021</v>
      </c>
      <c r="G5426" s="12">
        <v>40000</v>
      </c>
      <c r="H5426" s="12">
        <v>60000</v>
      </c>
      <c r="I5426" s="72">
        <v>0.06</v>
      </c>
      <c r="J5426" s="12">
        <f>J5425+(H5425-G5425)*I5425</f>
        <v>1575</v>
      </c>
    </row>
    <row r="5427" spans="3:10" x14ac:dyDescent="0.35">
      <c r="C5427" t="s">
        <v>312</v>
      </c>
      <c r="D5427" t="s">
        <v>40</v>
      </c>
      <c r="E5427" s="3" t="s">
        <v>106</v>
      </c>
      <c r="F5427" s="3">
        <v>2021</v>
      </c>
      <c r="G5427" s="12">
        <v>60000</v>
      </c>
      <c r="H5427" s="12"/>
      <c r="I5427" s="72">
        <v>6.5000000000000002E-2</v>
      </c>
      <c r="J5427" s="12">
        <f>J5426+(H5426-G5426)*I5426</f>
        <v>2775</v>
      </c>
    </row>
    <row r="5428" spans="3:10" x14ac:dyDescent="0.35">
      <c r="C5428" t="s">
        <v>312</v>
      </c>
      <c r="D5428" t="s">
        <v>34</v>
      </c>
      <c r="E5428" s="3" t="s">
        <v>85</v>
      </c>
      <c r="F5428" s="3">
        <v>2021</v>
      </c>
      <c r="G5428" s="12">
        <v>0</v>
      </c>
      <c r="H5428" s="12">
        <v>10000</v>
      </c>
      <c r="I5428" s="72">
        <v>0.03</v>
      </c>
      <c r="J5428" s="12">
        <v>0</v>
      </c>
    </row>
    <row r="5429" spans="3:10" x14ac:dyDescent="0.35">
      <c r="C5429" t="s">
        <v>312</v>
      </c>
      <c r="D5429" t="s">
        <v>34</v>
      </c>
      <c r="E5429" s="3" t="s">
        <v>87</v>
      </c>
      <c r="F5429" s="3">
        <v>2021</v>
      </c>
      <c r="G5429" s="12">
        <v>10000</v>
      </c>
      <c r="H5429" s="12">
        <v>25000</v>
      </c>
      <c r="I5429" s="72">
        <v>0.04</v>
      </c>
      <c r="J5429" s="12">
        <f>J5428+(H5428-G5428)*I5428</f>
        <v>300</v>
      </c>
    </row>
    <row r="5430" spans="3:10" x14ac:dyDescent="0.35">
      <c r="C5430" t="s">
        <v>312</v>
      </c>
      <c r="D5430" t="s">
        <v>34</v>
      </c>
      <c r="E5430" s="3" t="s">
        <v>88</v>
      </c>
      <c r="F5430" s="3">
        <v>2021</v>
      </c>
      <c r="G5430" s="12">
        <v>25000</v>
      </c>
      <c r="H5430" s="12">
        <v>40000</v>
      </c>
      <c r="I5430" s="72">
        <v>4.4999999999999998E-2</v>
      </c>
      <c r="J5430" s="12">
        <f>J5429+(H5429-G5429)*I5429</f>
        <v>900</v>
      </c>
    </row>
    <row r="5431" spans="3:10" x14ac:dyDescent="0.35">
      <c r="C5431" t="s">
        <v>312</v>
      </c>
      <c r="D5431" t="s">
        <v>34</v>
      </c>
      <c r="E5431" s="3" t="s">
        <v>105</v>
      </c>
      <c r="F5431" s="3">
        <v>2021</v>
      </c>
      <c r="G5431" s="12">
        <v>40000</v>
      </c>
      <c r="H5431" s="12">
        <v>60000</v>
      </c>
      <c r="I5431" s="72">
        <v>0.06</v>
      </c>
      <c r="J5431" s="12">
        <f>J5430+(H5430-G5430)*I5430</f>
        <v>1575</v>
      </c>
    </row>
    <row r="5432" spans="3:10" x14ac:dyDescent="0.35">
      <c r="C5432" t="s">
        <v>312</v>
      </c>
      <c r="D5432" t="s">
        <v>34</v>
      </c>
      <c r="E5432" s="3" t="s">
        <v>106</v>
      </c>
      <c r="F5432" s="3">
        <v>2021</v>
      </c>
      <c r="G5432" s="12">
        <v>60000</v>
      </c>
      <c r="H5432" s="12"/>
      <c r="I5432" s="72">
        <v>6.5000000000000002E-2</v>
      </c>
      <c r="J5432" s="12">
        <f>J5431+(H5431-G5431)*I5431</f>
        <v>2775</v>
      </c>
    </row>
    <row r="5433" spans="3:10" x14ac:dyDescent="0.35">
      <c r="C5433" t="s">
        <v>312</v>
      </c>
      <c r="D5433" t="s">
        <v>33</v>
      </c>
      <c r="E5433" s="3" t="s">
        <v>85</v>
      </c>
      <c r="F5433" s="3">
        <v>2021</v>
      </c>
      <c r="G5433" s="12">
        <v>0</v>
      </c>
      <c r="H5433" s="12">
        <v>10000</v>
      </c>
      <c r="I5433" s="72">
        <v>0.03</v>
      </c>
      <c r="J5433" s="12">
        <v>0</v>
      </c>
    </row>
    <row r="5434" spans="3:10" x14ac:dyDescent="0.35">
      <c r="C5434" t="s">
        <v>312</v>
      </c>
      <c r="D5434" t="s">
        <v>33</v>
      </c>
      <c r="E5434" s="3" t="s">
        <v>87</v>
      </c>
      <c r="F5434" s="3">
        <v>2021</v>
      </c>
      <c r="G5434" s="12">
        <v>10000</v>
      </c>
      <c r="H5434" s="12">
        <v>25000</v>
      </c>
      <c r="I5434" s="72">
        <v>0.04</v>
      </c>
      <c r="J5434" s="12">
        <f>J5433+(H5433-G5433)*I5433</f>
        <v>300</v>
      </c>
    </row>
    <row r="5435" spans="3:10" x14ac:dyDescent="0.35">
      <c r="C5435" t="s">
        <v>312</v>
      </c>
      <c r="D5435" t="s">
        <v>33</v>
      </c>
      <c r="E5435" s="3" t="s">
        <v>88</v>
      </c>
      <c r="F5435" s="3">
        <v>2021</v>
      </c>
      <c r="G5435" s="12">
        <v>25000</v>
      </c>
      <c r="H5435" s="12">
        <v>40000</v>
      </c>
      <c r="I5435" s="72">
        <v>4.4999999999999998E-2</v>
      </c>
      <c r="J5435" s="12">
        <f>J5434+(H5434-G5434)*I5434</f>
        <v>900</v>
      </c>
    </row>
    <row r="5436" spans="3:10" x14ac:dyDescent="0.35">
      <c r="C5436" t="s">
        <v>312</v>
      </c>
      <c r="D5436" t="s">
        <v>33</v>
      </c>
      <c r="E5436" s="3" t="s">
        <v>105</v>
      </c>
      <c r="F5436" s="3">
        <v>2021</v>
      </c>
      <c r="G5436" s="12">
        <v>40000</v>
      </c>
      <c r="H5436" s="12">
        <v>60000</v>
      </c>
      <c r="I5436" s="72">
        <v>0.06</v>
      </c>
      <c r="J5436" s="12">
        <f>J5435+(H5435-G5435)*I5435</f>
        <v>1575</v>
      </c>
    </row>
    <row r="5437" spans="3:10" x14ac:dyDescent="0.35">
      <c r="C5437" t="s">
        <v>312</v>
      </c>
      <c r="D5437" t="s">
        <v>33</v>
      </c>
      <c r="E5437" s="3" t="s">
        <v>106</v>
      </c>
      <c r="F5437" s="3">
        <v>2021</v>
      </c>
      <c r="G5437" s="12">
        <v>60000</v>
      </c>
      <c r="H5437" s="12"/>
      <c r="I5437" s="72">
        <v>6.5000000000000002E-2</v>
      </c>
      <c r="J5437" s="12">
        <f>J5436+(H5436-G5436)*I5436</f>
        <v>2775</v>
      </c>
    </row>
    <row r="5438" spans="3:10" x14ac:dyDescent="0.35">
      <c r="C5438" t="s">
        <v>312</v>
      </c>
      <c r="D5438" t="s">
        <v>313</v>
      </c>
      <c r="E5438" s="3" t="s">
        <v>85</v>
      </c>
      <c r="F5438" s="3">
        <v>2021</v>
      </c>
      <c r="G5438" s="12">
        <v>0</v>
      </c>
      <c r="H5438" s="12">
        <v>10000</v>
      </c>
      <c r="I5438" s="72">
        <v>0.03</v>
      </c>
      <c r="J5438" s="12">
        <v>0</v>
      </c>
    </row>
    <row r="5439" spans="3:10" x14ac:dyDescent="0.35">
      <c r="C5439" t="s">
        <v>312</v>
      </c>
      <c r="D5439" t="s">
        <v>313</v>
      </c>
      <c r="E5439" s="3" t="s">
        <v>87</v>
      </c>
      <c r="F5439" s="3">
        <v>2021</v>
      </c>
      <c r="G5439" s="12">
        <v>10000</v>
      </c>
      <c r="H5439" s="12">
        <v>25000</v>
      </c>
      <c r="I5439" s="72">
        <v>0.04</v>
      </c>
      <c r="J5439" s="12">
        <f>J5438+(H5438-G5438)*I5438</f>
        <v>300</v>
      </c>
    </row>
    <row r="5440" spans="3:10" x14ac:dyDescent="0.35">
      <c r="C5440" t="s">
        <v>312</v>
      </c>
      <c r="D5440" t="s">
        <v>313</v>
      </c>
      <c r="E5440" s="3" t="s">
        <v>88</v>
      </c>
      <c r="F5440" s="3">
        <v>2021</v>
      </c>
      <c r="G5440" s="12">
        <v>25000</v>
      </c>
      <c r="H5440" s="12">
        <v>40000</v>
      </c>
      <c r="I5440" s="72">
        <v>4.4999999999999998E-2</v>
      </c>
      <c r="J5440" s="12">
        <f>J5439+(H5439-G5439)*I5439</f>
        <v>900</v>
      </c>
    </row>
    <row r="5441" spans="3:10" x14ac:dyDescent="0.35">
      <c r="C5441" t="s">
        <v>312</v>
      </c>
      <c r="D5441" t="s">
        <v>313</v>
      </c>
      <c r="E5441" s="3" t="s">
        <v>105</v>
      </c>
      <c r="F5441" s="3">
        <v>2021</v>
      </c>
      <c r="G5441" s="12">
        <v>40000</v>
      </c>
      <c r="H5441" s="12">
        <v>60000</v>
      </c>
      <c r="I5441" s="72">
        <v>0.06</v>
      </c>
      <c r="J5441" s="12">
        <f>J5440+(H5440-G5440)*I5440</f>
        <v>1575</v>
      </c>
    </row>
    <row r="5442" spans="3:10" x14ac:dyDescent="0.35">
      <c r="C5442" t="s">
        <v>312</v>
      </c>
      <c r="D5442" t="s">
        <v>313</v>
      </c>
      <c r="E5442" s="3" t="s">
        <v>106</v>
      </c>
      <c r="F5442" s="3">
        <v>2021</v>
      </c>
      <c r="G5442" s="12">
        <v>60000</v>
      </c>
      <c r="H5442" s="12"/>
      <c r="I5442" s="72">
        <v>6.5000000000000002E-2</v>
      </c>
      <c r="J5442" s="12">
        <f>J5441+(H5441-G5441)*I5441</f>
        <v>2775</v>
      </c>
    </row>
    <row r="5443" spans="3:10" x14ac:dyDescent="0.35">
      <c r="C5443" t="s">
        <v>312</v>
      </c>
      <c r="D5443" t="s">
        <v>36</v>
      </c>
      <c r="E5443" s="3" t="s">
        <v>85</v>
      </c>
      <c r="F5443" s="3">
        <v>2021</v>
      </c>
      <c r="G5443" s="12">
        <v>0</v>
      </c>
      <c r="H5443" s="12">
        <v>5000</v>
      </c>
      <c r="I5443" s="72">
        <v>0.03</v>
      </c>
      <c r="J5443" s="12">
        <v>0</v>
      </c>
    </row>
    <row r="5444" spans="3:10" x14ac:dyDescent="0.35">
      <c r="C5444" t="s">
        <v>312</v>
      </c>
      <c r="D5444" t="s">
        <v>36</v>
      </c>
      <c r="E5444" s="3" t="s">
        <v>87</v>
      </c>
      <c r="F5444" s="3">
        <v>2021</v>
      </c>
      <c r="G5444" s="12">
        <v>5000</v>
      </c>
      <c r="H5444" s="12">
        <v>12500</v>
      </c>
      <c r="I5444" s="72">
        <v>0.04</v>
      </c>
      <c r="J5444" s="12">
        <f>J5443+(H5443-G5443)*I5443</f>
        <v>150</v>
      </c>
    </row>
    <row r="5445" spans="3:10" x14ac:dyDescent="0.35">
      <c r="C5445" t="s">
        <v>312</v>
      </c>
      <c r="D5445" t="s">
        <v>36</v>
      </c>
      <c r="E5445" s="3" t="s">
        <v>88</v>
      </c>
      <c r="F5445" s="3">
        <v>2021</v>
      </c>
      <c r="G5445" s="12">
        <v>12500</v>
      </c>
      <c r="H5445" s="12">
        <v>20000</v>
      </c>
      <c r="I5445" s="72">
        <v>4.4999999999999998E-2</v>
      </c>
      <c r="J5445" s="12">
        <f>J5444+(H5444-G5444)*I5444</f>
        <v>450</v>
      </c>
    </row>
    <row r="5446" spans="3:10" x14ac:dyDescent="0.35">
      <c r="C5446" t="s">
        <v>312</v>
      </c>
      <c r="D5446" t="s">
        <v>36</v>
      </c>
      <c r="E5446" s="3" t="s">
        <v>105</v>
      </c>
      <c r="F5446" s="3">
        <v>2021</v>
      </c>
      <c r="G5446" s="12">
        <v>20000</v>
      </c>
      <c r="H5446" s="12">
        <v>30000</v>
      </c>
      <c r="I5446" s="72">
        <v>0.06</v>
      </c>
      <c r="J5446" s="12">
        <f>J5445+(H5445-G5445)*I5445</f>
        <v>787.5</v>
      </c>
    </row>
    <row r="5447" spans="3:10" x14ac:dyDescent="0.35">
      <c r="C5447" t="s">
        <v>312</v>
      </c>
      <c r="D5447" t="s">
        <v>36</v>
      </c>
      <c r="E5447" s="3" t="s">
        <v>106</v>
      </c>
      <c r="F5447" s="3">
        <v>2021</v>
      </c>
      <c r="G5447" s="12">
        <v>30000</v>
      </c>
      <c r="H5447" s="12"/>
      <c r="I5447" s="72">
        <v>6.5000000000000002E-2</v>
      </c>
      <c r="J5447" s="12">
        <f>J5446+(H5446-G5446)*I5446</f>
        <v>1387.5</v>
      </c>
    </row>
    <row r="5448" spans="3:10" x14ac:dyDescent="0.35">
      <c r="C5448" t="s">
        <v>312</v>
      </c>
      <c r="D5448" t="s">
        <v>40</v>
      </c>
      <c r="E5448" s="3" t="s">
        <v>85</v>
      </c>
      <c r="F5448" s="3">
        <v>2022</v>
      </c>
      <c r="G5448" s="12">
        <v>0</v>
      </c>
      <c r="H5448" s="12">
        <v>10000</v>
      </c>
      <c r="I5448" s="72">
        <v>0.03</v>
      </c>
      <c r="J5448" s="12">
        <v>0</v>
      </c>
    </row>
    <row r="5449" spans="3:10" x14ac:dyDescent="0.35">
      <c r="C5449" t="s">
        <v>312</v>
      </c>
      <c r="D5449" t="s">
        <v>40</v>
      </c>
      <c r="E5449" s="3" t="s">
        <v>87</v>
      </c>
      <c r="F5449" s="3">
        <v>2022</v>
      </c>
      <c r="G5449" s="12">
        <v>10000</v>
      </c>
      <c r="H5449" s="12">
        <v>25000</v>
      </c>
      <c r="I5449" s="72">
        <v>0.04</v>
      </c>
      <c r="J5449" s="12">
        <v>300</v>
      </c>
    </row>
    <row r="5450" spans="3:10" x14ac:dyDescent="0.35">
      <c r="C5450" t="s">
        <v>312</v>
      </c>
      <c r="D5450" t="s">
        <v>40</v>
      </c>
      <c r="E5450" s="3" t="s">
        <v>88</v>
      </c>
      <c r="F5450" s="3">
        <v>2022</v>
      </c>
      <c r="G5450" s="12">
        <v>25000</v>
      </c>
      <c r="H5450" s="12">
        <v>40000</v>
      </c>
      <c r="I5450" s="72">
        <v>0.05</v>
      </c>
      <c r="J5450" s="12">
        <v>900</v>
      </c>
    </row>
    <row r="5451" spans="3:10" x14ac:dyDescent="0.35">
      <c r="C5451" t="s">
        <v>312</v>
      </c>
      <c r="D5451" t="s">
        <v>40</v>
      </c>
      <c r="E5451" s="3" t="s">
        <v>105</v>
      </c>
      <c r="F5451" s="3">
        <v>2022</v>
      </c>
      <c r="G5451" s="12">
        <v>40000</v>
      </c>
      <c r="H5451" s="12">
        <v>60000</v>
      </c>
      <c r="I5451" s="72">
        <v>0.06</v>
      </c>
      <c r="J5451" s="12">
        <v>1575</v>
      </c>
    </row>
    <row r="5452" spans="3:10" x14ac:dyDescent="0.35">
      <c r="C5452" t="s">
        <v>312</v>
      </c>
      <c r="D5452" t="s">
        <v>40</v>
      </c>
      <c r="E5452" s="3" t="s">
        <v>106</v>
      </c>
      <c r="F5452" s="3">
        <v>2022</v>
      </c>
      <c r="G5452" s="12">
        <v>60000</v>
      </c>
      <c r="H5452" s="12"/>
      <c r="I5452" s="72">
        <v>6.5000000000000002E-2</v>
      </c>
      <c r="J5452" s="12">
        <v>2775</v>
      </c>
    </row>
    <row r="5453" spans="3:10" x14ac:dyDescent="0.35">
      <c r="C5453" t="s">
        <v>312</v>
      </c>
      <c r="D5453" t="s">
        <v>34</v>
      </c>
      <c r="E5453" s="3" t="s">
        <v>85</v>
      </c>
      <c r="F5453" s="3">
        <v>2022</v>
      </c>
      <c r="G5453" s="12">
        <v>0</v>
      </c>
      <c r="H5453" s="12">
        <v>10000</v>
      </c>
      <c r="I5453" s="72">
        <v>0.03</v>
      </c>
      <c r="J5453" s="12">
        <v>0</v>
      </c>
    </row>
    <row r="5454" spans="3:10" x14ac:dyDescent="0.35">
      <c r="C5454" t="s">
        <v>312</v>
      </c>
      <c r="D5454" t="s">
        <v>34</v>
      </c>
      <c r="E5454" s="3" t="s">
        <v>87</v>
      </c>
      <c r="F5454" s="3">
        <v>2022</v>
      </c>
      <c r="G5454" s="12">
        <v>10000</v>
      </c>
      <c r="H5454" s="12">
        <v>25000</v>
      </c>
      <c r="I5454" s="72">
        <v>0.04</v>
      </c>
      <c r="J5454" s="12">
        <v>300</v>
      </c>
    </row>
    <row r="5455" spans="3:10" x14ac:dyDescent="0.35">
      <c r="C5455" t="s">
        <v>312</v>
      </c>
      <c r="D5455" t="s">
        <v>34</v>
      </c>
      <c r="E5455" s="3" t="s">
        <v>88</v>
      </c>
      <c r="F5455" s="3">
        <v>2022</v>
      </c>
      <c r="G5455" s="12">
        <v>25000</v>
      </c>
      <c r="H5455" s="12">
        <v>40000</v>
      </c>
      <c r="I5455" s="72">
        <v>0.05</v>
      </c>
      <c r="J5455" s="12">
        <v>900</v>
      </c>
    </row>
    <row r="5456" spans="3:10" x14ac:dyDescent="0.35">
      <c r="C5456" t="s">
        <v>312</v>
      </c>
      <c r="D5456" t="s">
        <v>34</v>
      </c>
      <c r="E5456" s="3" t="s">
        <v>105</v>
      </c>
      <c r="F5456" s="3">
        <v>2022</v>
      </c>
      <c r="G5456" s="12">
        <v>40000</v>
      </c>
      <c r="H5456" s="12">
        <v>60000</v>
      </c>
      <c r="I5456" s="72">
        <v>0.06</v>
      </c>
      <c r="J5456" s="12">
        <v>1575</v>
      </c>
    </row>
    <row r="5457" spans="3:10" x14ac:dyDescent="0.35">
      <c r="C5457" t="s">
        <v>312</v>
      </c>
      <c r="D5457" t="s">
        <v>34</v>
      </c>
      <c r="E5457" s="3" t="s">
        <v>106</v>
      </c>
      <c r="F5457" s="3">
        <v>2022</v>
      </c>
      <c r="G5457" s="12">
        <v>60000</v>
      </c>
      <c r="H5457" s="12"/>
      <c r="I5457" s="72">
        <v>6.5000000000000002E-2</v>
      </c>
      <c r="J5457" s="12">
        <v>2775</v>
      </c>
    </row>
    <row r="5458" spans="3:10" x14ac:dyDescent="0.35">
      <c r="C5458" t="s">
        <v>312</v>
      </c>
      <c r="D5458" t="s">
        <v>33</v>
      </c>
      <c r="E5458" s="3" t="s">
        <v>85</v>
      </c>
      <c r="F5458" s="3">
        <v>2022</v>
      </c>
      <c r="G5458" s="12">
        <v>0</v>
      </c>
      <c r="H5458" s="12">
        <v>10000</v>
      </c>
      <c r="I5458" s="72">
        <v>0.03</v>
      </c>
      <c r="J5458" s="12">
        <v>0</v>
      </c>
    </row>
    <row r="5459" spans="3:10" x14ac:dyDescent="0.35">
      <c r="C5459" t="s">
        <v>312</v>
      </c>
      <c r="D5459" t="s">
        <v>33</v>
      </c>
      <c r="E5459" s="3" t="s">
        <v>87</v>
      </c>
      <c r="F5459" s="3">
        <v>2022</v>
      </c>
      <c r="G5459" s="12">
        <v>10000</v>
      </c>
      <c r="H5459" s="12">
        <v>25000</v>
      </c>
      <c r="I5459" s="72">
        <v>0.04</v>
      </c>
      <c r="J5459" s="12">
        <v>300</v>
      </c>
    </row>
    <row r="5460" spans="3:10" x14ac:dyDescent="0.35">
      <c r="C5460" t="s">
        <v>312</v>
      </c>
      <c r="D5460" t="s">
        <v>33</v>
      </c>
      <c r="E5460" s="3" t="s">
        <v>88</v>
      </c>
      <c r="F5460" s="3">
        <v>2022</v>
      </c>
      <c r="G5460" s="12">
        <v>25000</v>
      </c>
      <c r="H5460" s="12">
        <v>40000</v>
      </c>
      <c r="I5460" s="72">
        <v>0.05</v>
      </c>
      <c r="J5460" s="12">
        <v>900</v>
      </c>
    </row>
    <row r="5461" spans="3:10" x14ac:dyDescent="0.35">
      <c r="C5461" t="s">
        <v>312</v>
      </c>
      <c r="D5461" t="s">
        <v>33</v>
      </c>
      <c r="E5461" s="3" t="s">
        <v>105</v>
      </c>
      <c r="F5461" s="3">
        <v>2022</v>
      </c>
      <c r="G5461" s="12">
        <v>40000</v>
      </c>
      <c r="H5461" s="12">
        <v>60000</v>
      </c>
      <c r="I5461" s="72">
        <v>0.06</v>
      </c>
      <c r="J5461" s="12">
        <v>1575</v>
      </c>
    </row>
    <row r="5462" spans="3:10" x14ac:dyDescent="0.35">
      <c r="C5462" t="s">
        <v>312</v>
      </c>
      <c r="D5462" t="s">
        <v>33</v>
      </c>
      <c r="E5462" s="3" t="s">
        <v>106</v>
      </c>
      <c r="F5462" s="3">
        <v>2022</v>
      </c>
      <c r="G5462" s="12">
        <v>60000</v>
      </c>
      <c r="H5462" s="12"/>
      <c r="I5462" s="72">
        <v>6.5000000000000002E-2</v>
      </c>
      <c r="J5462" s="12">
        <v>2775</v>
      </c>
    </row>
    <row r="5463" spans="3:10" x14ac:dyDescent="0.35">
      <c r="C5463" t="s">
        <v>312</v>
      </c>
      <c r="D5463" t="s">
        <v>313</v>
      </c>
      <c r="E5463" s="3" t="s">
        <v>85</v>
      </c>
      <c r="F5463" s="3">
        <v>2022</v>
      </c>
      <c r="G5463" s="12">
        <v>0</v>
      </c>
      <c r="H5463" s="12">
        <v>10000</v>
      </c>
      <c r="I5463" s="72">
        <v>0.03</v>
      </c>
      <c r="J5463" s="12">
        <v>0</v>
      </c>
    </row>
    <row r="5464" spans="3:10" x14ac:dyDescent="0.35">
      <c r="C5464" t="s">
        <v>312</v>
      </c>
      <c r="D5464" t="s">
        <v>313</v>
      </c>
      <c r="E5464" s="3" t="s">
        <v>87</v>
      </c>
      <c r="F5464" s="3">
        <v>2022</v>
      </c>
      <c r="G5464" s="12">
        <v>10000</v>
      </c>
      <c r="H5464" s="12">
        <v>25000</v>
      </c>
      <c r="I5464" s="72">
        <v>0.04</v>
      </c>
      <c r="J5464" s="12">
        <v>300</v>
      </c>
    </row>
    <row r="5465" spans="3:10" x14ac:dyDescent="0.35">
      <c r="C5465" t="s">
        <v>312</v>
      </c>
      <c r="D5465" t="s">
        <v>313</v>
      </c>
      <c r="E5465" s="3" t="s">
        <v>88</v>
      </c>
      <c r="F5465" s="3">
        <v>2022</v>
      </c>
      <c r="G5465" s="12">
        <v>25000</v>
      </c>
      <c r="H5465" s="12">
        <v>40000</v>
      </c>
      <c r="I5465" s="72">
        <v>0.05</v>
      </c>
      <c r="J5465" s="12">
        <v>900</v>
      </c>
    </row>
    <row r="5466" spans="3:10" x14ac:dyDescent="0.35">
      <c r="C5466" t="s">
        <v>312</v>
      </c>
      <c r="D5466" t="s">
        <v>313</v>
      </c>
      <c r="E5466" s="3" t="s">
        <v>105</v>
      </c>
      <c r="F5466" s="3">
        <v>2022</v>
      </c>
      <c r="G5466" s="12">
        <v>40000</v>
      </c>
      <c r="H5466" s="12">
        <v>60000</v>
      </c>
      <c r="I5466" s="72">
        <v>0.06</v>
      </c>
      <c r="J5466" s="12">
        <v>1575</v>
      </c>
    </row>
    <row r="5467" spans="3:10" x14ac:dyDescent="0.35">
      <c r="C5467" t="s">
        <v>312</v>
      </c>
      <c r="D5467" t="s">
        <v>313</v>
      </c>
      <c r="E5467" s="3" t="s">
        <v>106</v>
      </c>
      <c r="F5467" s="3">
        <v>2022</v>
      </c>
      <c r="G5467" s="12">
        <v>60000</v>
      </c>
      <c r="H5467" s="12"/>
      <c r="I5467" s="72">
        <v>6.5000000000000002E-2</v>
      </c>
      <c r="J5467" s="12">
        <v>2775</v>
      </c>
    </row>
    <row r="5468" spans="3:10" x14ac:dyDescent="0.35">
      <c r="C5468" t="s">
        <v>312</v>
      </c>
      <c r="D5468" t="s">
        <v>36</v>
      </c>
      <c r="E5468" s="3" t="s">
        <v>85</v>
      </c>
      <c r="F5468" s="3">
        <v>2022</v>
      </c>
      <c r="G5468" s="12">
        <v>0</v>
      </c>
      <c r="H5468" s="12">
        <v>5000</v>
      </c>
      <c r="I5468" s="72">
        <v>0.03</v>
      </c>
      <c r="J5468" s="12">
        <v>0</v>
      </c>
    </row>
    <row r="5469" spans="3:10" x14ac:dyDescent="0.35">
      <c r="C5469" t="s">
        <v>312</v>
      </c>
      <c r="D5469" t="s">
        <v>36</v>
      </c>
      <c r="E5469" s="3" t="s">
        <v>87</v>
      </c>
      <c r="F5469" s="3">
        <v>2022</v>
      </c>
      <c r="G5469" s="12">
        <v>5000</v>
      </c>
      <c r="H5469" s="12">
        <v>12500</v>
      </c>
      <c r="I5469" s="72">
        <v>0.04</v>
      </c>
      <c r="J5469" s="12">
        <v>150</v>
      </c>
    </row>
    <row r="5470" spans="3:10" x14ac:dyDescent="0.35">
      <c r="C5470" t="s">
        <v>312</v>
      </c>
      <c r="D5470" t="s">
        <v>36</v>
      </c>
      <c r="E5470" s="3" t="s">
        <v>88</v>
      </c>
      <c r="F5470" s="3">
        <v>2022</v>
      </c>
      <c r="G5470" s="12">
        <v>12500</v>
      </c>
      <c r="H5470" s="12">
        <v>20000</v>
      </c>
      <c r="I5470" s="72">
        <v>4.4999999999999998E-2</v>
      </c>
      <c r="J5470" s="12">
        <v>450</v>
      </c>
    </row>
    <row r="5471" spans="3:10" x14ac:dyDescent="0.35">
      <c r="C5471" t="s">
        <v>312</v>
      </c>
      <c r="D5471" t="s">
        <v>36</v>
      </c>
      <c r="E5471" s="3" t="s">
        <v>105</v>
      </c>
      <c r="F5471" s="3">
        <v>2022</v>
      </c>
      <c r="G5471" s="12">
        <v>20000</v>
      </c>
      <c r="H5471" s="12">
        <v>30000</v>
      </c>
      <c r="I5471" s="72">
        <v>0.06</v>
      </c>
      <c r="J5471" s="12">
        <v>787.5</v>
      </c>
    </row>
    <row r="5472" spans="3:10" x14ac:dyDescent="0.35">
      <c r="C5472" t="s">
        <v>312</v>
      </c>
      <c r="D5472" t="s">
        <v>36</v>
      </c>
      <c r="E5472" s="3" t="s">
        <v>106</v>
      </c>
      <c r="F5472" s="3">
        <v>2022</v>
      </c>
      <c r="G5472" s="12">
        <v>30000</v>
      </c>
      <c r="H5472" s="12"/>
      <c r="I5472" s="72">
        <v>6.5000000000000002E-2</v>
      </c>
      <c r="J5472" s="12">
        <v>1387.5</v>
      </c>
    </row>
    <row r="5473" spans="3:10" x14ac:dyDescent="0.35">
      <c r="C5473" t="s">
        <v>312</v>
      </c>
      <c r="D5473" t="s">
        <v>40</v>
      </c>
      <c r="E5473" s="3" t="s">
        <v>85</v>
      </c>
      <c r="F5473" s="3">
        <v>2023</v>
      </c>
      <c r="G5473" s="12">
        <v>0</v>
      </c>
      <c r="H5473" s="12">
        <v>10000</v>
      </c>
      <c r="I5473" s="72">
        <v>0.03</v>
      </c>
      <c r="J5473" s="12">
        <v>0</v>
      </c>
    </row>
    <row r="5474" spans="3:10" x14ac:dyDescent="0.35">
      <c r="C5474" t="s">
        <v>312</v>
      </c>
      <c r="D5474" t="s">
        <v>40</v>
      </c>
      <c r="E5474" s="3" t="s">
        <v>87</v>
      </c>
      <c r="F5474" s="3">
        <v>2023</v>
      </c>
      <c r="G5474" s="12">
        <v>10000</v>
      </c>
      <c r="H5474" s="12">
        <v>25000</v>
      </c>
      <c r="I5474" s="72">
        <v>0.04</v>
      </c>
      <c r="J5474" s="12">
        <v>300</v>
      </c>
    </row>
    <row r="5475" spans="3:10" x14ac:dyDescent="0.35">
      <c r="C5475" t="s">
        <v>312</v>
      </c>
      <c r="D5475" t="s">
        <v>40</v>
      </c>
      <c r="E5475" s="3" t="s">
        <v>88</v>
      </c>
      <c r="F5475" s="3">
        <v>2023</v>
      </c>
      <c r="G5475" s="12">
        <v>25000</v>
      </c>
      <c r="H5475" s="12">
        <v>40000</v>
      </c>
      <c r="I5475" s="72">
        <v>0.05</v>
      </c>
      <c r="J5475" s="12">
        <v>900</v>
      </c>
    </row>
    <row r="5476" spans="3:10" x14ac:dyDescent="0.35">
      <c r="C5476" t="s">
        <v>312</v>
      </c>
      <c r="D5476" t="s">
        <v>40</v>
      </c>
      <c r="E5476" s="3" t="s">
        <v>105</v>
      </c>
      <c r="F5476" s="3">
        <v>2023</v>
      </c>
      <c r="G5476" s="12">
        <v>40000</v>
      </c>
      <c r="H5476" s="12">
        <v>60000</v>
      </c>
      <c r="I5476" s="72">
        <v>0.06</v>
      </c>
      <c r="J5476" s="12">
        <v>1575</v>
      </c>
    </row>
    <row r="5477" spans="3:10" x14ac:dyDescent="0.35">
      <c r="C5477" t="s">
        <v>312</v>
      </c>
      <c r="D5477" t="s">
        <v>40</v>
      </c>
      <c r="E5477" s="3" t="s">
        <v>106</v>
      </c>
      <c r="F5477" s="3">
        <v>2023</v>
      </c>
      <c r="G5477" s="12">
        <v>60000</v>
      </c>
      <c r="H5477" s="12"/>
      <c r="I5477" s="72">
        <v>6.5000000000000002E-2</v>
      </c>
      <c r="J5477" s="12">
        <v>2775</v>
      </c>
    </row>
    <row r="5478" spans="3:10" x14ac:dyDescent="0.35">
      <c r="C5478" t="s">
        <v>312</v>
      </c>
      <c r="D5478" t="s">
        <v>34</v>
      </c>
      <c r="E5478" s="3" t="s">
        <v>85</v>
      </c>
      <c r="F5478" s="3">
        <v>2023</v>
      </c>
      <c r="G5478" s="12">
        <v>0</v>
      </c>
      <c r="H5478" s="12">
        <v>10000</v>
      </c>
      <c r="I5478" s="72">
        <v>0.03</v>
      </c>
      <c r="J5478" s="12">
        <v>0</v>
      </c>
    </row>
    <row r="5479" spans="3:10" x14ac:dyDescent="0.35">
      <c r="C5479" t="s">
        <v>312</v>
      </c>
      <c r="D5479" t="s">
        <v>34</v>
      </c>
      <c r="E5479" s="3" t="s">
        <v>87</v>
      </c>
      <c r="F5479" s="3">
        <v>2023</v>
      </c>
      <c r="G5479" s="12">
        <v>10000</v>
      </c>
      <c r="H5479" s="12">
        <v>25000</v>
      </c>
      <c r="I5479" s="72">
        <v>0.04</v>
      </c>
      <c r="J5479" s="12">
        <v>300</v>
      </c>
    </row>
    <row r="5480" spans="3:10" x14ac:dyDescent="0.35">
      <c r="C5480" t="s">
        <v>312</v>
      </c>
      <c r="D5480" t="s">
        <v>34</v>
      </c>
      <c r="E5480" s="3" t="s">
        <v>88</v>
      </c>
      <c r="F5480" s="3">
        <v>2023</v>
      </c>
      <c r="G5480" s="12">
        <v>25000</v>
      </c>
      <c r="H5480" s="12">
        <v>40000</v>
      </c>
      <c r="I5480" s="72">
        <v>0.05</v>
      </c>
      <c r="J5480" s="12">
        <v>900</v>
      </c>
    </row>
    <row r="5481" spans="3:10" x14ac:dyDescent="0.35">
      <c r="C5481" t="s">
        <v>312</v>
      </c>
      <c r="D5481" t="s">
        <v>34</v>
      </c>
      <c r="E5481" s="3" t="s">
        <v>105</v>
      </c>
      <c r="F5481" s="3">
        <v>2023</v>
      </c>
      <c r="G5481" s="12">
        <v>40000</v>
      </c>
      <c r="H5481" s="12">
        <v>60000</v>
      </c>
      <c r="I5481" s="72">
        <v>0.06</v>
      </c>
      <c r="J5481" s="12">
        <v>1575</v>
      </c>
    </row>
    <row r="5482" spans="3:10" x14ac:dyDescent="0.35">
      <c r="C5482" t="s">
        <v>312</v>
      </c>
      <c r="D5482" t="s">
        <v>34</v>
      </c>
      <c r="E5482" s="3" t="s">
        <v>106</v>
      </c>
      <c r="F5482" s="3">
        <v>2023</v>
      </c>
      <c r="G5482" s="12">
        <v>60000</v>
      </c>
      <c r="H5482" s="12"/>
      <c r="I5482" s="72">
        <v>6.5000000000000002E-2</v>
      </c>
      <c r="J5482" s="12">
        <v>2775</v>
      </c>
    </row>
    <row r="5483" spans="3:10" x14ac:dyDescent="0.35">
      <c r="C5483" t="s">
        <v>312</v>
      </c>
      <c r="D5483" t="s">
        <v>33</v>
      </c>
      <c r="E5483" s="3" t="s">
        <v>85</v>
      </c>
      <c r="F5483" s="3">
        <v>2023</v>
      </c>
      <c r="G5483" s="12">
        <v>0</v>
      </c>
      <c r="H5483" s="12">
        <v>10000</v>
      </c>
      <c r="I5483" s="72">
        <v>0.03</v>
      </c>
      <c r="J5483" s="12">
        <v>0</v>
      </c>
    </row>
    <row r="5484" spans="3:10" x14ac:dyDescent="0.35">
      <c r="C5484" t="s">
        <v>312</v>
      </c>
      <c r="D5484" t="s">
        <v>33</v>
      </c>
      <c r="E5484" s="3" t="s">
        <v>87</v>
      </c>
      <c r="F5484" s="3">
        <v>2023</v>
      </c>
      <c r="G5484" s="12">
        <v>10000</v>
      </c>
      <c r="H5484" s="12">
        <v>25000</v>
      </c>
      <c r="I5484" s="72">
        <v>0.04</v>
      </c>
      <c r="J5484" s="12">
        <v>300</v>
      </c>
    </row>
    <row r="5485" spans="3:10" x14ac:dyDescent="0.35">
      <c r="C5485" t="s">
        <v>312</v>
      </c>
      <c r="D5485" t="s">
        <v>33</v>
      </c>
      <c r="E5485" s="3" t="s">
        <v>88</v>
      </c>
      <c r="F5485" s="3">
        <v>2023</v>
      </c>
      <c r="G5485" s="12">
        <v>25000</v>
      </c>
      <c r="H5485" s="12">
        <v>40000</v>
      </c>
      <c r="I5485" s="72">
        <v>0.05</v>
      </c>
      <c r="J5485" s="12">
        <v>900</v>
      </c>
    </row>
    <row r="5486" spans="3:10" x14ac:dyDescent="0.35">
      <c r="C5486" t="s">
        <v>312</v>
      </c>
      <c r="D5486" t="s">
        <v>33</v>
      </c>
      <c r="E5486" s="3" t="s">
        <v>105</v>
      </c>
      <c r="F5486" s="3">
        <v>2023</v>
      </c>
      <c r="G5486" s="12">
        <v>40000</v>
      </c>
      <c r="H5486" s="12">
        <v>60000</v>
      </c>
      <c r="I5486" s="72">
        <v>0.06</v>
      </c>
      <c r="J5486" s="12">
        <v>1575</v>
      </c>
    </row>
    <row r="5487" spans="3:10" x14ac:dyDescent="0.35">
      <c r="C5487" t="s">
        <v>312</v>
      </c>
      <c r="D5487" t="s">
        <v>33</v>
      </c>
      <c r="E5487" s="3" t="s">
        <v>106</v>
      </c>
      <c r="F5487" s="3">
        <v>2023</v>
      </c>
      <c r="G5487" s="12">
        <v>60000</v>
      </c>
      <c r="H5487" s="12"/>
      <c r="I5487" s="72">
        <v>6.5000000000000002E-2</v>
      </c>
      <c r="J5487" s="12">
        <v>2775</v>
      </c>
    </row>
    <row r="5488" spans="3:10" x14ac:dyDescent="0.35">
      <c r="C5488" t="s">
        <v>312</v>
      </c>
      <c r="D5488" t="s">
        <v>313</v>
      </c>
      <c r="E5488" s="3" t="s">
        <v>85</v>
      </c>
      <c r="F5488" s="3">
        <v>2023</v>
      </c>
      <c r="G5488" s="12">
        <v>0</v>
      </c>
      <c r="H5488" s="12">
        <v>10000</v>
      </c>
      <c r="I5488" s="72">
        <v>0.03</v>
      </c>
      <c r="J5488" s="12">
        <v>0</v>
      </c>
    </row>
    <row r="5489" spans="3:10" x14ac:dyDescent="0.35">
      <c r="C5489" t="s">
        <v>312</v>
      </c>
      <c r="D5489" t="s">
        <v>313</v>
      </c>
      <c r="E5489" s="3" t="s">
        <v>87</v>
      </c>
      <c r="F5489" s="3">
        <v>2023</v>
      </c>
      <c r="G5489" s="12">
        <v>10000</v>
      </c>
      <c r="H5489" s="12">
        <v>25000</v>
      </c>
      <c r="I5489" s="72">
        <v>0.04</v>
      </c>
      <c r="J5489" s="12">
        <v>300</v>
      </c>
    </row>
    <row r="5490" spans="3:10" x14ac:dyDescent="0.35">
      <c r="C5490" t="s">
        <v>312</v>
      </c>
      <c r="D5490" t="s">
        <v>313</v>
      </c>
      <c r="E5490" s="3" t="s">
        <v>88</v>
      </c>
      <c r="F5490" s="3">
        <v>2023</v>
      </c>
      <c r="G5490" s="12">
        <v>25000</v>
      </c>
      <c r="H5490" s="12">
        <v>40000</v>
      </c>
      <c r="I5490" s="72">
        <v>0.05</v>
      </c>
      <c r="J5490" s="12">
        <v>900</v>
      </c>
    </row>
    <row r="5491" spans="3:10" x14ac:dyDescent="0.35">
      <c r="C5491" t="s">
        <v>312</v>
      </c>
      <c r="D5491" t="s">
        <v>313</v>
      </c>
      <c r="E5491" s="3" t="s">
        <v>105</v>
      </c>
      <c r="F5491" s="3">
        <v>2023</v>
      </c>
      <c r="G5491" s="12">
        <v>40000</v>
      </c>
      <c r="H5491" s="12">
        <v>60000</v>
      </c>
      <c r="I5491" s="72">
        <v>0.06</v>
      </c>
      <c r="J5491" s="12">
        <v>1575</v>
      </c>
    </row>
    <row r="5492" spans="3:10" x14ac:dyDescent="0.35">
      <c r="C5492" t="s">
        <v>312</v>
      </c>
      <c r="D5492" t="s">
        <v>313</v>
      </c>
      <c r="E5492" s="3" t="s">
        <v>106</v>
      </c>
      <c r="F5492" s="3">
        <v>2023</v>
      </c>
      <c r="G5492" s="12">
        <v>60000</v>
      </c>
      <c r="H5492" s="12"/>
      <c r="I5492" s="72">
        <v>6.5000000000000002E-2</v>
      </c>
      <c r="J5492" s="12">
        <v>2775</v>
      </c>
    </row>
    <row r="5493" spans="3:10" x14ac:dyDescent="0.35">
      <c r="C5493" t="s">
        <v>312</v>
      </c>
      <c r="D5493" t="s">
        <v>36</v>
      </c>
      <c r="E5493" s="3" t="s">
        <v>85</v>
      </c>
      <c r="F5493" s="3">
        <v>2023</v>
      </c>
      <c r="G5493" s="12">
        <v>0</v>
      </c>
      <c r="H5493" s="12">
        <v>5000</v>
      </c>
      <c r="I5493" s="72">
        <v>0.03</v>
      </c>
      <c r="J5493" s="12">
        <v>0</v>
      </c>
    </row>
    <row r="5494" spans="3:10" x14ac:dyDescent="0.35">
      <c r="C5494" t="s">
        <v>312</v>
      </c>
      <c r="D5494" t="s">
        <v>36</v>
      </c>
      <c r="E5494" s="3" t="s">
        <v>87</v>
      </c>
      <c r="F5494" s="3">
        <v>2023</v>
      </c>
      <c r="G5494" s="12">
        <v>5000</v>
      </c>
      <c r="H5494" s="12">
        <v>12500</v>
      </c>
      <c r="I5494" s="72">
        <v>0.04</v>
      </c>
      <c r="J5494" s="12">
        <v>150</v>
      </c>
    </row>
    <row r="5495" spans="3:10" x14ac:dyDescent="0.35">
      <c r="C5495" t="s">
        <v>312</v>
      </c>
      <c r="D5495" t="s">
        <v>36</v>
      </c>
      <c r="E5495" s="3" t="s">
        <v>88</v>
      </c>
      <c r="F5495" s="3">
        <v>2023</v>
      </c>
      <c r="G5495" s="12">
        <v>12500</v>
      </c>
      <c r="H5495" s="12">
        <v>20000</v>
      </c>
      <c r="I5495" s="72">
        <v>4.4999999999999998E-2</v>
      </c>
      <c r="J5495" s="12">
        <v>450</v>
      </c>
    </row>
    <row r="5496" spans="3:10" x14ac:dyDescent="0.35">
      <c r="C5496" t="s">
        <v>312</v>
      </c>
      <c r="D5496" t="s">
        <v>36</v>
      </c>
      <c r="E5496" s="3" t="s">
        <v>105</v>
      </c>
      <c r="F5496" s="3">
        <v>2023</v>
      </c>
      <c r="G5496" s="12">
        <v>20000</v>
      </c>
      <c r="H5496" s="12">
        <v>30000</v>
      </c>
      <c r="I5496" s="72">
        <v>0.06</v>
      </c>
      <c r="J5496" s="12">
        <v>787.5</v>
      </c>
    </row>
    <row r="5497" spans="3:10" x14ac:dyDescent="0.35">
      <c r="C5497" t="s">
        <v>312</v>
      </c>
      <c r="D5497" t="s">
        <v>36</v>
      </c>
      <c r="E5497" s="3" t="s">
        <v>106</v>
      </c>
      <c r="F5497" s="3">
        <v>2023</v>
      </c>
      <c r="G5497" s="12">
        <v>30000</v>
      </c>
      <c r="H5497" s="12"/>
      <c r="I5497" s="72">
        <v>6.5000000000000002E-2</v>
      </c>
      <c r="J5497" s="12">
        <v>1387.5</v>
      </c>
    </row>
    <row r="5498" spans="3:10" x14ac:dyDescent="0.35">
      <c r="E5498" s="3"/>
      <c r="F5498" s="3"/>
      <c r="G5498" s="29"/>
      <c r="H5498" s="29"/>
      <c r="I5498" s="29"/>
      <c r="J5498" s="29"/>
    </row>
    <row r="5499" spans="3:10" x14ac:dyDescent="0.35">
      <c r="E5499" s="3"/>
      <c r="F5499" s="3"/>
      <c r="G5499" s="29"/>
      <c r="H5499" s="29"/>
      <c r="I5499" s="29"/>
      <c r="J5499" s="29"/>
    </row>
    <row r="5500" spans="3:10" x14ac:dyDescent="0.35">
      <c r="C5500" s="2" t="s">
        <v>110</v>
      </c>
    </row>
    <row r="5501" spans="3:10" x14ac:dyDescent="0.35">
      <c r="C5501" t="s">
        <v>111</v>
      </c>
      <c r="D5501" t="s">
        <v>197</v>
      </c>
    </row>
    <row r="5502" spans="3:10" x14ac:dyDescent="0.35">
      <c r="D5502" t="s">
        <v>113</v>
      </c>
    </row>
    <row r="5503" spans="3:10" x14ac:dyDescent="0.35">
      <c r="C5503" t="s">
        <v>94</v>
      </c>
      <c r="D5503" s="4" t="s">
        <v>114</v>
      </c>
      <c r="E5503" s="13" t="s">
        <v>17</v>
      </c>
    </row>
    <row r="5504" spans="3:10" x14ac:dyDescent="0.35">
      <c r="D5504" s="4" t="s">
        <v>115</v>
      </c>
      <c r="E5504" t="s">
        <v>34</v>
      </c>
    </row>
    <row r="5505" spans="3:9" x14ac:dyDescent="0.35">
      <c r="D5505" s="4" t="s">
        <v>99</v>
      </c>
      <c r="E5505" s="13">
        <v>2020</v>
      </c>
      <c r="F5505" t="s">
        <v>100</v>
      </c>
    </row>
    <row r="5506" spans="3:9" x14ac:dyDescent="0.35">
      <c r="D5506" s="4" t="s">
        <v>116</v>
      </c>
      <c r="E5506" s="32">
        <v>16000</v>
      </c>
      <c r="F5506" t="s">
        <v>117</v>
      </c>
    </row>
    <row r="5507" spans="3:9" x14ac:dyDescent="0.35">
      <c r="D5507" s="6" t="s">
        <v>118</v>
      </c>
      <c r="E5507" t="e">
        <f t="array" ref="E5507">IF(E5506=0,"Bracket 1",INDEX(stateTaxRateTable[Bracket],MATCH(E5506-0.01,IF(stateTaxRateTable[State]=$E$5503,IF(stateTaxRateTable[Status]=E5504,IF(stateTaxRateTable[Year]="Over",INDEX(stateTaxRateTable[],,MATCH(E5505,VALUE(stateTaxRateTable[#Headers]),0))))),1)))</f>
        <v>#N/A</v>
      </c>
    </row>
    <row r="5509" spans="3:9" x14ac:dyDescent="0.35">
      <c r="C5509" s="33" t="s">
        <v>198</v>
      </c>
      <c r="D5509" t="s">
        <v>199</v>
      </c>
    </row>
    <row r="5510" spans="3:9" x14ac:dyDescent="0.35">
      <c r="D5510" t="s">
        <v>200</v>
      </c>
    </row>
    <row r="5511" spans="3:9" x14ac:dyDescent="0.35">
      <c r="D5511" t="s">
        <v>201</v>
      </c>
      <c r="E5511" s="34"/>
    </row>
    <row r="5512" spans="3:9" x14ac:dyDescent="0.35">
      <c r="D5512" t="s">
        <v>202</v>
      </c>
    </row>
    <row r="5513" spans="3:9" x14ac:dyDescent="0.35">
      <c r="D5513" t="s">
        <v>203</v>
      </c>
    </row>
    <row r="5514" spans="3:9" x14ac:dyDescent="0.35">
      <c r="D5514" t="s">
        <v>204</v>
      </c>
    </row>
    <row r="5516" spans="3:9" x14ac:dyDescent="0.35">
      <c r="C5516" s="2" t="s">
        <v>119</v>
      </c>
    </row>
    <row r="5517" spans="3:9" x14ac:dyDescent="0.35">
      <c r="C5517" t="s">
        <v>91</v>
      </c>
      <c r="D5517" t="s">
        <v>205</v>
      </c>
    </row>
    <row r="5518" spans="3:9" x14ac:dyDescent="0.35">
      <c r="D5518" t="s">
        <v>93</v>
      </c>
    </row>
    <row r="5519" spans="3:9" x14ac:dyDescent="0.35">
      <c r="C5519" t="s">
        <v>94</v>
      </c>
      <c r="D5519" s="4" t="s">
        <v>95</v>
      </c>
      <c r="E5519" s="13" t="s">
        <v>17</v>
      </c>
    </row>
    <row r="5520" spans="3:9" x14ac:dyDescent="0.35">
      <c r="D5520" s="4" t="s">
        <v>122</v>
      </c>
      <c r="E5520" t="s">
        <v>34</v>
      </c>
      <c r="I5520" s="35" t="s">
        <v>206</v>
      </c>
    </row>
    <row r="5521" spans="3:9" x14ac:dyDescent="0.35">
      <c r="D5521" s="4" t="s">
        <v>97</v>
      </c>
      <c r="E5521" s="13" t="s">
        <v>106</v>
      </c>
      <c r="I5521" t="s">
        <v>85</v>
      </c>
    </row>
    <row r="5522" spans="3:9" x14ac:dyDescent="0.35">
      <c r="D5522" s="4" t="s">
        <v>99</v>
      </c>
      <c r="E5522" s="13">
        <v>2020</v>
      </c>
      <c r="F5522" t="s">
        <v>100</v>
      </c>
      <c r="I5522" t="s">
        <v>87</v>
      </c>
    </row>
    <row r="5523" spans="3:9" x14ac:dyDescent="0.35">
      <c r="C5523" s="6" t="s">
        <v>101</v>
      </c>
      <c r="D5523" s="14" t="s">
        <v>89</v>
      </c>
      <c r="E5523" s="36" t="e">
        <f t="array" ref="E5523">INDEX(stateTaxRateTable[],MATCH(1,(stateTaxRateTable[State]=$E$5519)*(stateTaxRateTable[Status]=$E$5520)*(stateTaxRateTable[Bracket]=$E$5521)*(stateTaxRateTable[Year]=D5523),0),MATCH($E$5522,VALUE(stateTaxRateTable[#Headers]),0))</f>
        <v>#N/A</v>
      </c>
      <c r="I5523" t="s">
        <v>88</v>
      </c>
    </row>
    <row r="5524" spans="3:9" x14ac:dyDescent="0.35">
      <c r="C5524" s="6" t="s">
        <v>101</v>
      </c>
      <c r="D5524" s="37" t="s">
        <v>149</v>
      </c>
      <c r="E5524" s="38" t="e">
        <f t="array" ref="E5524">INDEX(stateTaxRateTable[],MATCH(1,(stateTaxRateTable[State]=$E$5519)*(stateTaxRateTable[Status]=$E$5520)*(stateTaxRateTable[Bracket]=$E$5521)*(stateTaxRateTable[Year]=D5524),0),MATCH($E$5522,VALUE(stateTaxRateTable[#Headers]),0))</f>
        <v>#N/A</v>
      </c>
      <c r="I5524" t="s">
        <v>105</v>
      </c>
    </row>
    <row r="5525" spans="3:9" x14ac:dyDescent="0.35">
      <c r="C5525" s="6" t="s">
        <v>101</v>
      </c>
      <c r="D5525" s="14" t="s">
        <v>150</v>
      </c>
      <c r="E5525" s="39" t="e">
        <f t="array" ref="E5525">INDEX(stateTaxRateTable[],MATCH(1,(stateTaxRateTable[State]=$E$5519)*(stateTaxRateTable[Status]=$E$5520)*(stateTaxRateTable[Bracket]=$E$5521)*(stateTaxRateTable[Year]=D5525),0),MATCH($E$5522,VALUE(stateTaxRateTable[#Headers]),0))</f>
        <v>#N/A</v>
      </c>
      <c r="I5525" t="s">
        <v>106</v>
      </c>
    </row>
    <row r="5526" spans="3:9" x14ac:dyDescent="0.35">
      <c r="C5526" s="6" t="s">
        <v>101</v>
      </c>
      <c r="D5526" s="37" t="s">
        <v>151</v>
      </c>
      <c r="E5526" s="38" t="e">
        <f t="array" ref="E5526">INDEX(stateTaxRateTable[],MATCH(1,(stateTaxRateTable[State]=$E$5519)*(stateTaxRateTable[Status]=$E$5520)*(stateTaxRateTable[Bracket]=$E$5521)*(stateTaxRateTable[Year]=D5526),0),MATCH($E$5522,VALUE(stateTaxRateTable[#Headers]),0))</f>
        <v>#N/A</v>
      </c>
      <c r="I5526" t="s">
        <v>107</v>
      </c>
    </row>
    <row r="5527" spans="3:9" x14ac:dyDescent="0.35">
      <c r="C5527" s="33" t="s">
        <v>198</v>
      </c>
      <c r="D5527" t="s">
        <v>199</v>
      </c>
      <c r="E5527" s="40"/>
    </row>
    <row r="5528" spans="3:9" x14ac:dyDescent="0.35">
      <c r="D5528" t="s">
        <v>207</v>
      </c>
      <c r="E5528" s="40"/>
    </row>
    <row r="5529" spans="3:9" x14ac:dyDescent="0.35">
      <c r="C5529" s="6"/>
      <c r="D5529" t="s">
        <v>208</v>
      </c>
      <c r="E5529" s="40"/>
    </row>
    <row r="5530" spans="3:9" x14ac:dyDescent="0.35">
      <c r="D5530" t="s">
        <v>209</v>
      </c>
    </row>
    <row r="5531" spans="3:9" x14ac:dyDescent="0.35">
      <c r="D5531" t="s">
        <v>210</v>
      </c>
    </row>
    <row r="5533" spans="3:9" x14ac:dyDescent="0.35">
      <c r="C5533" t="s">
        <v>211</v>
      </c>
      <c r="I5533" t="s">
        <v>212</v>
      </c>
    </row>
    <row r="5534" spans="3:9" x14ac:dyDescent="0.35">
      <c r="D5534" s="4" t="s">
        <v>114</v>
      </c>
      <c r="E5534" s="13" t="s">
        <v>15</v>
      </c>
      <c r="H5534" t="s">
        <v>213</v>
      </c>
      <c r="I5534">
        <v>9000</v>
      </c>
    </row>
    <row r="5535" spans="3:9" x14ac:dyDescent="0.35">
      <c r="D5535" s="4" t="s">
        <v>50</v>
      </c>
      <c r="E5535" s="13" t="s">
        <v>35</v>
      </c>
      <c r="H5535" t="s">
        <v>214</v>
      </c>
      <c r="I5535">
        <v>0</v>
      </c>
    </row>
    <row r="5536" spans="3:9" x14ac:dyDescent="0.35">
      <c r="D5536" s="6" t="s">
        <v>215</v>
      </c>
      <c r="E5536" s="41" t="str">
        <f>INDEX(stateTaxStatus[],MATCH(E5534,stateTaxStatus[State],0),MATCH(E5535,stateTaxStatus[#Headers],0))</f>
        <v>Married Filing Joint</v>
      </c>
      <c r="H5536" t="s">
        <v>216</v>
      </c>
      <c r="I5536">
        <v>0</v>
      </c>
    </row>
    <row r="5537" spans="4:9" x14ac:dyDescent="0.35">
      <c r="D5537" s="4" t="s">
        <v>99</v>
      </c>
      <c r="E5537" s="13">
        <v>2019</v>
      </c>
      <c r="F5537" t="s">
        <v>217</v>
      </c>
      <c r="I5537">
        <f>SUM(I5534:I5536)</f>
        <v>9000</v>
      </c>
    </row>
    <row r="5538" spans="4:9" x14ac:dyDescent="0.35">
      <c r="D5538" s="4" t="s">
        <v>218</v>
      </c>
      <c r="E5538" s="22">
        <v>80000</v>
      </c>
      <c r="F5538" s="42">
        <f>E5538+I5537</f>
        <v>89000</v>
      </c>
    </row>
    <row r="5539" spans="4:9" x14ac:dyDescent="0.35">
      <c r="D5539" s="4" t="s">
        <v>219</v>
      </c>
      <c r="E5539" s="13"/>
    </row>
    <row r="5540" spans="4:9" x14ac:dyDescent="0.35">
      <c r="D5540" s="4" t="s">
        <v>116</v>
      </c>
      <c r="E5540" s="22">
        <f>E5538+E5539</f>
        <v>80000</v>
      </c>
    </row>
    <row r="5541" spans="4:9" x14ac:dyDescent="0.35">
      <c r="D5541" s="6" t="s">
        <v>220</v>
      </c>
      <c r="E5541" s="43">
        <f>_xlfn.IFNA(INDEX(stateTaxBracketAdjustment[],MATCH(E5534,stateTaxBracketAdjustment[State],0),2),0.01)</f>
        <v>250</v>
      </c>
      <c r="F5541" t="s">
        <v>221</v>
      </c>
      <c r="G5541">
        <f>_xlfn.IFNA(INDEX(stateTaxBracketAdjustment[],MATCH(E5534,stateTaxBracketAdjustment[State],0),2),0.01)</f>
        <v>250</v>
      </c>
    </row>
    <row r="5542" spans="4:9" x14ac:dyDescent="0.35">
      <c r="D5542" s="6" t="s">
        <v>222</v>
      </c>
      <c r="E5542" s="43">
        <f>_xlfn.IFNA(INDEX(stateTaxBracketAdjustment[],MATCH(E5534,stateTaxBracketAdjustment[State],0),3),0)</f>
        <v>125</v>
      </c>
      <c r="F5542" t="s">
        <v>221</v>
      </c>
      <c r="G5542">
        <f>_xlfn.IFNA(INDEX(stateTaxBracketAdjustment[],MATCH(E5534,stateTaxBracketAdjustment[State],0),3),0)</f>
        <v>125</v>
      </c>
    </row>
    <row r="5543" spans="4:9" x14ac:dyDescent="0.35">
      <c r="D5543" s="6" t="s">
        <v>223</v>
      </c>
      <c r="E5543" s="43">
        <f>_xlfn.IFNA(INDEX(stateTaxBracketAdjustment[],MATCH(E5534,stateTaxBracketAdjustment[State],0),4),0)</f>
        <v>0</v>
      </c>
    </row>
    <row r="5544" spans="4:9" x14ac:dyDescent="0.35">
      <c r="D5544" s="4" t="s">
        <v>224</v>
      </c>
      <c r="E5544" s="22">
        <f>IF(E5540=0,0,_xlfn.FLOOR.MATH(E5540,E5541)+E5542)</f>
        <v>80125</v>
      </c>
      <c r="H5544">
        <v>20</v>
      </c>
    </row>
    <row r="5545" spans="4:9" x14ac:dyDescent="0.35">
      <c r="D5545" s="6" t="s">
        <v>118</v>
      </c>
      <c r="E5545" t="e">
        <f t="array" ref="E5545">IF(E5544=0,"Bracket 1",INDEX(stateTaxRateTable[Bracket],MATCH(E5544-0.01,IF(stateTaxRateTable[State]=E5534,IF(stateTaxRateTable[Status]=E5536,IF(stateTaxRateTable[Year]="Over",INDEX(stateTaxRateTable[],,MATCH(E5537,VALUE(stateTaxRateTable[#Headers]),0))))),1)))</f>
        <v>#N/A</v>
      </c>
      <c r="H5545" s="44">
        <v>1000</v>
      </c>
    </row>
    <row r="5546" spans="4:9" x14ac:dyDescent="0.35">
      <c r="D5546" s="14" t="s">
        <v>89</v>
      </c>
      <c r="E5546" s="36" t="e">
        <f t="array" ref="E5546">INDEX(stateTaxRateTable[],MATCH(1,(stateTaxRateTable[State]=$E$5534)*(stateTaxRateTable[Status]=$E$5536)*(stateTaxRateTable[Bracket]=$E$5545)*(stateTaxRateTable[Year]=D5546),0),MATCH($E$5537,VALUE(stateTaxRateTable[#Headers]),0))</f>
        <v>#N/A</v>
      </c>
      <c r="H5546" s="45">
        <v>0.02</v>
      </c>
    </row>
    <row r="5547" spans="4:9" x14ac:dyDescent="0.35">
      <c r="D5547" s="37" t="s">
        <v>149</v>
      </c>
      <c r="E5547" s="36" t="str">
        <f t="array" ref="E5547">_xlfn.IFNA(INDEX(stateTaxRateTable[],MATCH(1,(stateTaxRateTable[State]=$E$5534)*(stateTaxRateTable[Status]=$E$5536)*(stateTaxRateTable[Bracket]=$E$5545)*(stateTaxRateTable[Year]=D5547),0),MATCH($E$5537,VALUE(stateTaxRateTable[#Headers]),0)),"no limit")</f>
        <v>no limit</v>
      </c>
      <c r="H5547" s="44">
        <f>H5545*H5546</f>
        <v>20</v>
      </c>
    </row>
    <row r="5548" spans="4:9" x14ac:dyDescent="0.35">
      <c r="D5548" s="14" t="s">
        <v>150</v>
      </c>
      <c r="E5548" s="39" t="e">
        <f t="array" ref="E5548">INDEX(stateTaxRateTable[],MATCH(1,(stateTaxRateTable[State]=$E$5534)*(stateTaxRateTable[Status]=$E$5536)*(stateTaxRateTable[Bracket]=$E$5545)*(stateTaxRateTable[Year]=D5548),0),MATCH($E$5537,VALUE(stateTaxRateTable[#Headers]),0))</f>
        <v>#N/A</v>
      </c>
    </row>
    <row r="5549" spans="4:9" x14ac:dyDescent="0.35">
      <c r="D5549" s="37" t="s">
        <v>151</v>
      </c>
      <c r="E5549" s="36" t="e">
        <f t="array" ref="E5549">INDEX(stateTaxRateTable[],MATCH(1,(stateTaxRateTable[State]=$E$5534)*(stateTaxRateTable[Status]=$E$5536)*(stateTaxRateTable[Bracket]=$E$5545)*(stateTaxRateTable[Year]=D5549),0),MATCH($E$5537,VALUE(stateTaxRateTable[#Headers]),0))</f>
        <v>#N/A</v>
      </c>
    </row>
    <row r="5550" spans="4:9" x14ac:dyDescent="0.35">
      <c r="D5550" s="43" t="s">
        <v>225</v>
      </c>
      <c r="E5550" s="46" t="e">
        <f>IF(E5540&lt;E5543,0,(E5544-E5546)*E5548+E5549)</f>
        <v>#N/A</v>
      </c>
      <c r="G5550" t="s">
        <v>226</v>
      </c>
    </row>
    <row r="5551" spans="4:9" x14ac:dyDescent="0.35">
      <c r="D5551" s="43" t="s">
        <v>227</v>
      </c>
      <c r="E5551" s="47" t="e">
        <f>ROUND(E5550,0)</f>
        <v>#N/A</v>
      </c>
      <c r="G5551" t="s">
        <v>228</v>
      </c>
    </row>
  </sheetData>
  <phoneticPr fontId="11" type="noConversion"/>
  <dataValidations count="16">
    <dataValidation type="list" allowBlank="1" showInputMessage="1" showErrorMessage="1" sqref="E325" xr:uid="{FDA3D6C5-4CC6-446E-88FE-21BC32B9CD43}">
      <formula1>$G$325:$G$327</formula1>
    </dataValidation>
    <dataValidation type="list" allowBlank="1" showInputMessage="1" showErrorMessage="1" sqref="E129" xr:uid="{A83B6B55-603F-47D3-92AB-E08145FA7D7A}">
      <formula1>$G$127:$G$131</formula1>
    </dataValidation>
    <dataValidation type="list" allowBlank="1" showInputMessage="1" showErrorMessage="1" sqref="E208" xr:uid="{3C875443-BFB4-4BDC-9F28-7D1F459326E5}">
      <formula1>$H$205:$H$206</formula1>
    </dataValidation>
    <dataValidation type="list" allowBlank="1" showInputMessage="1" showErrorMessage="1" sqref="E207" xr:uid="{5C1C3321-9955-4A26-B37E-8625F6040F37}">
      <formula1>$G$205:$G$207</formula1>
    </dataValidation>
    <dataValidation type="list" allowBlank="1" showInputMessage="1" showErrorMessage="1" sqref="E182" xr:uid="{00AC24BB-A5A4-4A72-995B-0FF82D7655D8}">
      <formula1>$G$181:$G$182</formula1>
    </dataValidation>
    <dataValidation type="list" allowBlank="1" showInputMessage="1" showErrorMessage="1" sqref="E5521 E303" xr:uid="{54CF89E2-EA05-4594-B703-2E292328F23E}">
      <formula1>$I$5521:$I$5526</formula1>
    </dataValidation>
    <dataValidation type="list" allowBlank="1" showInputMessage="1" showErrorMessage="1" sqref="E181" xr:uid="{DF9AA71D-26C7-42FC-83D7-48BD45DBD81F}">
      <formula1>$E$142:$E$145</formula1>
    </dataValidation>
    <dataValidation type="list" allowBlank="1" showInputMessage="1" showErrorMessage="1" sqref="E96" xr:uid="{C4CB4A31-2576-42BD-ADBF-6394CD2B430E}">
      <formula1>$D$57:$D$91</formula1>
    </dataValidation>
    <dataValidation type="list" allowBlank="1" showInputMessage="1" showErrorMessage="1" sqref="E48 E95 E180 E188 E5503 E5519 E341 E205 E127 E5534 E24 E324 E292 E301 O437 M474 M507 E353 E371 E378 E466" xr:uid="{BE5CB677-FC61-44F7-A50A-663A17C35A84}">
      <formula1>State_List</formula1>
    </dataValidation>
    <dataValidation type="list" allowBlank="1" showInputMessage="1" showErrorMessage="1" sqref="E49 E5535" xr:uid="{0120324B-8620-48DA-80BE-D142C00FC1FB}">
      <formula1>$D$34:$H$34</formula1>
    </dataValidation>
    <dataValidation type="list" allowBlank="1" showInputMessage="1" showErrorMessage="1" sqref="O448" xr:uid="{5B815A3E-BF50-4F8C-8DC7-FCDF30BBC6C6}">
      <formula1>$E$416:$E$419</formula1>
    </dataValidation>
    <dataValidation type="list" allowBlank="1" showInputMessage="1" showErrorMessage="1" sqref="M509" xr:uid="{DB128DE3-6A62-4599-BF40-28002608B410}">
      <formula1>$O$427:$O$436</formula1>
    </dataValidation>
    <dataValidation type="list" allowBlank="1" showInputMessage="1" showErrorMessage="1" sqref="M542" xr:uid="{C3FDE62E-67A0-427A-B250-3636C4AA9606}">
      <formula1>$O$474:$O$478</formula1>
    </dataValidation>
    <dataValidation type="list" allowBlank="1" showInputMessage="1" showErrorMessage="1" sqref="M476" xr:uid="{42E84919-5C30-4523-8881-BBC5A9F6A161}">
      <formula1>$O$395:$O$399</formula1>
    </dataValidation>
    <dataValidation type="list" allowBlank="1" showInputMessage="1" showErrorMessage="1" sqref="E379" xr:uid="{A2782177-C396-4497-B8F1-D780EDCE5B8C}">
      <formula1>$I$5328:$I$5332</formula1>
    </dataValidation>
    <dataValidation type="list" allowBlank="1" showInputMessage="1" showErrorMessage="1" sqref="E468" xr:uid="{9C18B9D3-9E93-42A8-B453-E404606156C9}">
      <formula1>$E$5536:$E$5541</formula1>
    </dataValidation>
  </dataValidations>
  <pageMargins left="0.7" right="0.7" top="0.75" bottom="0.75" header="0.3" footer="0.3"/>
  <pageSetup orientation="portrait" r:id="rId1"/>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BDFE9B-1B19-4EAB-BB3A-34B550EF19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2023-02-02T14:28:06Z</dcterms:created>
  <dcterms:modified xsi:type="dcterms:W3CDTF">2023-03-28T20:16:04Z</dcterms:modified>
</cp:coreProperties>
</file>