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defaultThemeVersion="166925"/>
  <mc:AlternateContent xmlns:mc="http://schemas.openxmlformats.org/markup-compatibility/2006">
    <mc:Choice Requires="x15">
      <x15ac:absPath xmlns:x15ac="http://schemas.microsoft.com/office/spreadsheetml/2010/11/ac" url="https://d.docs.live.net/e05eebcf225b5e6d/Documents/3-Program Sources/HIX/"/>
    </mc:Choice>
  </mc:AlternateContent>
  <xr:revisionPtr revIDLastSave="464" documentId="8_{54381422-58E3-403D-8249-3BAB5CF1233E}" xr6:coauthVersionLast="45" xr6:coauthVersionMax="45" xr10:uidLastSave="{7E20A376-E474-44BC-8C40-1DA4CADC1645}"/>
  <bookViews>
    <workbookView xWindow="-28920" yWindow="-120" windowWidth="29040" windowHeight="15840" activeTab="4" xr2:uid="{AF87C2CF-2FD8-4CBB-9570-0F92016A6CEF}"/>
  </bookViews>
  <sheets>
    <sheet name="StateSummaryRatingAreas" sheetId="2" r:id="rId1"/>
    <sheet name="RatingAreas" sheetId="1" r:id="rId2"/>
    <sheet name="SLCSP" sheetId="3" r:id="rId3"/>
    <sheet name="Metal Level" sheetId="4" r:id="rId4"/>
    <sheet name="Weighting" sheetId="5" r:id="rId5"/>
    <sheet name="AgeCurvatures" sheetId="6" r:id="rId6"/>
    <sheet name="OldAgeCurvatures" sheetId="7" r:id="rId7"/>
  </sheets>
  <definedNames>
    <definedName name="_xlnm._FilterDatabase" localSheetId="3" hidden="1">'Metal Level'!$A$3:$I$2606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146" i="5" l="1"/>
  <c r="W137" i="5"/>
  <c r="W120" i="5"/>
  <c r="W113" i="5"/>
  <c r="W104" i="5"/>
  <c r="W87" i="5"/>
  <c r="W5" i="5"/>
  <c r="W19" i="5"/>
  <c r="W172" i="5"/>
  <c r="W171" i="5"/>
  <c r="W170" i="5"/>
  <c r="W169" i="5"/>
  <c r="W168" i="5"/>
  <c r="W167" i="5"/>
  <c r="W166" i="5"/>
  <c r="W165" i="5"/>
  <c r="W164" i="5"/>
  <c r="W163" i="5"/>
  <c r="W162" i="5"/>
  <c r="W161" i="5"/>
  <c r="W160" i="5"/>
  <c r="W159" i="5"/>
  <c r="W158" i="5"/>
  <c r="W157" i="5"/>
  <c r="W156" i="5"/>
  <c r="W155" i="5"/>
  <c r="W154" i="5"/>
  <c r="W153" i="5"/>
  <c r="W152" i="5"/>
  <c r="W151" i="5"/>
  <c r="W150" i="5"/>
  <c r="W149" i="5"/>
  <c r="W148" i="5"/>
  <c r="W147" i="5"/>
  <c r="W145" i="5"/>
  <c r="W144" i="5"/>
  <c r="W143" i="5"/>
  <c r="W142" i="5"/>
  <c r="W141" i="5"/>
  <c r="W140" i="5"/>
  <c r="W139" i="5"/>
  <c r="W138" i="5"/>
  <c r="W136" i="5"/>
  <c r="W135" i="5"/>
  <c r="W134" i="5"/>
  <c r="W133" i="5"/>
  <c r="W132" i="5"/>
  <c r="W131" i="5"/>
  <c r="W130" i="5"/>
  <c r="W129" i="5"/>
  <c r="W128" i="5"/>
  <c r="W127" i="5"/>
  <c r="W126" i="5"/>
  <c r="W125" i="5"/>
  <c r="W124" i="5"/>
  <c r="W123" i="5"/>
  <c r="W122" i="5"/>
  <c r="W121" i="5"/>
  <c r="W119" i="5"/>
  <c r="W118" i="5"/>
  <c r="W117" i="5"/>
  <c r="W116" i="5"/>
  <c r="W115" i="5"/>
  <c r="W114" i="5"/>
  <c r="W112" i="5"/>
  <c r="W111" i="5"/>
  <c r="W110" i="5"/>
  <c r="W109" i="5"/>
  <c r="W108" i="5"/>
  <c r="W107" i="5"/>
  <c r="W106" i="5"/>
  <c r="W105" i="5"/>
  <c r="W103" i="5"/>
  <c r="W102" i="5"/>
  <c r="W101" i="5"/>
  <c r="W100" i="5"/>
  <c r="W99" i="5"/>
  <c r="W98" i="5"/>
  <c r="W97" i="5"/>
  <c r="W96" i="5"/>
  <c r="W95" i="5"/>
  <c r="W94" i="5"/>
  <c r="W93" i="5"/>
  <c r="W92" i="5"/>
  <c r="W91" i="5"/>
  <c r="W90" i="5"/>
  <c r="W89" i="5"/>
  <c r="W88" i="5"/>
  <c r="W86" i="5"/>
  <c r="W85" i="5"/>
  <c r="W84" i="5"/>
  <c r="W83" i="5"/>
  <c r="W82" i="5"/>
  <c r="W81" i="5"/>
  <c r="W80" i="5"/>
  <c r="W79" i="5"/>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W41" i="5"/>
  <c r="W40" i="5"/>
  <c r="W39" i="5"/>
  <c r="W38" i="5"/>
  <c r="W37" i="5"/>
  <c r="W36" i="5"/>
  <c r="W35" i="5"/>
  <c r="W34" i="5"/>
  <c r="W33" i="5"/>
  <c r="W32" i="5"/>
  <c r="W31" i="5"/>
  <c r="W30" i="5"/>
  <c r="W29" i="5"/>
  <c r="W28" i="5"/>
  <c r="W27" i="5"/>
  <c r="W26" i="5"/>
  <c r="W25" i="5"/>
  <c r="W24" i="5"/>
  <c r="W23" i="5"/>
  <c r="W22" i="5"/>
  <c r="W21" i="5"/>
  <c r="W20" i="5"/>
  <c r="W18" i="5"/>
  <c r="W17" i="5"/>
  <c r="W16" i="5"/>
  <c r="W15" i="5"/>
  <c r="W14" i="5"/>
  <c r="W13" i="5"/>
  <c r="W12" i="5"/>
  <c r="W11" i="5"/>
  <c r="W10" i="5"/>
  <c r="W9" i="5"/>
  <c r="W8" i="5"/>
  <c r="W7" i="5"/>
  <c r="W6" i="5"/>
  <c r="R6" i="5"/>
  <c r="J4" i="5" a="1"/>
  <c r="J4" i="5" s="1"/>
  <c r="J5" i="5" a="1"/>
  <c r="J5" i="5" s="1"/>
  <c r="J6" i="5" a="1"/>
  <c r="J6" i="5" s="1"/>
  <c r="J7" i="5" a="1"/>
  <c r="J7" i="5" s="1"/>
  <c r="J8" i="5" a="1"/>
  <c r="J8" i="5" s="1"/>
  <c r="J9" i="5" a="1"/>
  <c r="J9" i="5" s="1"/>
  <c r="J10" i="5" a="1"/>
  <c r="J10" i="5" s="1"/>
  <c r="J11" i="5" a="1"/>
  <c r="J11" i="5" s="1"/>
  <c r="J12" i="5" a="1"/>
  <c r="J12" i="5" s="1"/>
  <c r="J13" i="5" a="1"/>
  <c r="J13" i="5" s="1"/>
  <c r="J14" i="5" a="1"/>
  <c r="J14" i="5" s="1"/>
  <c r="J15" i="5" a="1"/>
  <c r="J15" i="5" s="1"/>
  <c r="J16" i="5" a="1"/>
  <c r="J16" i="5" s="1"/>
  <c r="J17" i="5" a="1"/>
  <c r="J17" i="5" s="1"/>
  <c r="J18" i="5" a="1"/>
  <c r="J18" i="5" s="1"/>
  <c r="J19" i="5" a="1"/>
  <c r="J19" i="5" s="1"/>
  <c r="J20" i="5" a="1"/>
  <c r="J20" i="5" s="1"/>
  <c r="J21" i="5" a="1"/>
  <c r="J21" i="5" s="1"/>
  <c r="J22" i="5" a="1"/>
  <c r="J22" i="5" s="1"/>
  <c r="J23" i="5" a="1"/>
  <c r="J23" i="5" s="1"/>
  <c r="J24" i="5" a="1"/>
  <c r="J24" i="5" s="1"/>
  <c r="J25" i="5" a="1"/>
  <c r="J25" i="5" s="1"/>
  <c r="J26" i="5" a="1"/>
  <c r="J26" i="5" s="1"/>
  <c r="J27" i="5" a="1"/>
  <c r="J27" i="5" s="1"/>
  <c r="J28" i="5" a="1"/>
  <c r="J28" i="5" s="1"/>
  <c r="J29" i="5" a="1"/>
  <c r="J29" i="5" s="1"/>
  <c r="J30" i="5" a="1"/>
  <c r="J30" i="5" s="1"/>
  <c r="J31" i="5" a="1"/>
  <c r="J31" i="5" s="1"/>
  <c r="J32" i="5" a="1"/>
  <c r="J32" i="5" s="1"/>
  <c r="J33" i="5" a="1"/>
  <c r="J33" i="5" s="1"/>
  <c r="J34" i="5" a="1"/>
  <c r="J34" i="5" s="1"/>
  <c r="J35" i="5" a="1"/>
  <c r="J35" i="5" s="1"/>
  <c r="J36" i="5" a="1"/>
  <c r="J36" i="5" s="1"/>
  <c r="J37" i="5" a="1"/>
  <c r="J37" i="5" s="1"/>
  <c r="J38" i="5" a="1"/>
  <c r="J38" i="5" s="1"/>
  <c r="J39" i="5" a="1"/>
  <c r="J39" i="5" s="1"/>
  <c r="J40" i="5" a="1"/>
  <c r="J40" i="5" s="1"/>
  <c r="J41" i="5" a="1"/>
  <c r="J41" i="5" s="1"/>
  <c r="J42" i="5" a="1"/>
  <c r="J42" i="5" s="1"/>
  <c r="J43" i="5" a="1"/>
  <c r="J43" i="5" s="1"/>
  <c r="J44" i="5" a="1"/>
  <c r="J44" i="5" s="1"/>
  <c r="J45" i="5" a="1"/>
  <c r="J45" i="5" s="1"/>
  <c r="J46" i="5" a="1"/>
  <c r="J46" i="5" s="1"/>
  <c r="J47" i="5" a="1"/>
  <c r="J47" i="5" s="1"/>
  <c r="J48" i="5" a="1"/>
  <c r="J48" i="5" s="1"/>
  <c r="J49" i="5" a="1"/>
  <c r="J49" i="5" s="1"/>
  <c r="J50" i="5" a="1"/>
  <c r="J50" i="5" s="1"/>
  <c r="J51" i="5" a="1"/>
  <c r="J51" i="5" s="1"/>
  <c r="J52" i="5" a="1"/>
  <c r="J52" i="5" s="1"/>
  <c r="J53" i="5" a="1"/>
  <c r="J53" i="5" s="1"/>
  <c r="J54" i="5" a="1"/>
  <c r="J54" i="5" s="1"/>
  <c r="J55" i="5" a="1"/>
  <c r="J55" i="5" s="1"/>
  <c r="J56" i="5" a="1"/>
  <c r="J56" i="5" s="1"/>
  <c r="J57" i="5" a="1"/>
  <c r="J57" i="5" s="1"/>
  <c r="J58" i="5" a="1"/>
  <c r="J58" i="5" s="1"/>
  <c r="J59" i="5" a="1"/>
  <c r="J59" i="5" s="1"/>
  <c r="J60" i="5" a="1"/>
  <c r="J60" i="5" s="1"/>
  <c r="J61" i="5" a="1"/>
  <c r="J61" i="5" s="1"/>
  <c r="J62" i="5" a="1"/>
  <c r="J62" i="5" s="1"/>
  <c r="J63" i="5" a="1"/>
  <c r="J63" i="5" s="1"/>
  <c r="J64" i="5" a="1"/>
  <c r="J64" i="5" s="1"/>
  <c r="J65" i="5" a="1"/>
  <c r="J65" i="5" s="1"/>
  <c r="J66" i="5" a="1"/>
  <c r="J66" i="5" s="1"/>
  <c r="J67" i="5" a="1"/>
  <c r="J67" i="5" s="1"/>
  <c r="J68" i="5" a="1"/>
  <c r="J68" i="5" s="1"/>
  <c r="J69" i="5" a="1"/>
  <c r="J69" i="5" s="1"/>
  <c r="J70" i="5" a="1"/>
  <c r="J70" i="5" s="1"/>
  <c r="J71" i="5" a="1"/>
  <c r="J71" i="5" s="1"/>
  <c r="J72" i="5" a="1"/>
  <c r="J72" i="5" s="1"/>
  <c r="J73" i="5" a="1"/>
  <c r="J73" i="5" s="1"/>
  <c r="J74" i="5" a="1"/>
  <c r="J74" i="5" s="1"/>
  <c r="J75" i="5" a="1"/>
  <c r="J75" i="5" s="1"/>
  <c r="J76" i="5" a="1"/>
  <c r="J76" i="5" s="1"/>
  <c r="J77" i="5" a="1"/>
  <c r="J77" i="5" s="1"/>
  <c r="J78" i="5" a="1"/>
  <c r="J78" i="5" s="1"/>
  <c r="J79" i="5" a="1"/>
  <c r="J79" i="5" s="1"/>
  <c r="J80" i="5" a="1"/>
  <c r="J80" i="5" s="1"/>
  <c r="J81" i="5" a="1"/>
  <c r="J81" i="5" s="1"/>
  <c r="J82" i="5" a="1"/>
  <c r="J82" i="5" s="1"/>
  <c r="J83" i="5" a="1"/>
  <c r="J83" i="5" s="1"/>
  <c r="J84" i="5" a="1"/>
  <c r="J84" i="5" s="1"/>
  <c r="J85" i="5" a="1"/>
  <c r="J85" i="5" s="1"/>
  <c r="J86" i="5" a="1"/>
  <c r="J86" i="5" s="1"/>
  <c r="J87" i="5" a="1"/>
  <c r="J87" i="5" s="1"/>
  <c r="J88" i="5" a="1"/>
  <c r="J88" i="5" s="1"/>
  <c r="J89" i="5" a="1"/>
  <c r="J89" i="5" s="1"/>
  <c r="J90" i="5" a="1"/>
  <c r="J90" i="5" s="1"/>
  <c r="J91" i="5" a="1"/>
  <c r="J91" i="5" s="1"/>
  <c r="J92" i="5" a="1"/>
  <c r="J92" i="5" s="1"/>
  <c r="J93" i="5" a="1"/>
  <c r="J93" i="5" s="1"/>
  <c r="J94" i="5" a="1"/>
  <c r="J94" i="5" s="1"/>
  <c r="J95" i="5" a="1"/>
  <c r="J95" i="5" s="1"/>
  <c r="J96" i="5" a="1"/>
  <c r="J96" i="5" s="1"/>
  <c r="J97" i="5" a="1"/>
  <c r="J97" i="5" s="1"/>
  <c r="J98" i="5" a="1"/>
  <c r="J98" i="5" s="1"/>
  <c r="J99" i="5" a="1"/>
  <c r="J99" i="5" s="1"/>
  <c r="J100" i="5" a="1"/>
  <c r="J100" i="5" s="1"/>
  <c r="J101" i="5" a="1"/>
  <c r="J101" i="5" s="1"/>
  <c r="J102" i="5" a="1"/>
  <c r="J102" i="5" s="1"/>
  <c r="J103" i="5" a="1"/>
  <c r="J103" i="5" s="1"/>
  <c r="J104" i="5" a="1"/>
  <c r="J104" i="5" s="1"/>
  <c r="J105" i="5" a="1"/>
  <c r="J105" i="5" s="1"/>
  <c r="J106" i="5" a="1"/>
  <c r="J106" i="5" s="1"/>
  <c r="J107" i="5" a="1"/>
  <c r="J107" i="5" s="1"/>
  <c r="J108" i="5" a="1"/>
  <c r="J108" i="5" s="1"/>
  <c r="J109" i="5" a="1"/>
  <c r="J109" i="5" s="1"/>
  <c r="J110" i="5" a="1"/>
  <c r="J110" i="5" s="1"/>
  <c r="J111" i="5" a="1"/>
  <c r="J111" i="5" s="1"/>
  <c r="J112" i="5" a="1"/>
  <c r="J112" i="5" s="1"/>
  <c r="J113" i="5" a="1"/>
  <c r="J113" i="5" s="1"/>
  <c r="J114" i="5" a="1"/>
  <c r="J114" i="5" s="1"/>
  <c r="J115" i="5" a="1"/>
  <c r="J115" i="5" s="1"/>
  <c r="J116" i="5" a="1"/>
  <c r="J116" i="5" s="1"/>
  <c r="J117" i="5" a="1"/>
  <c r="J117" i="5" s="1"/>
  <c r="J118" i="5" a="1"/>
  <c r="J118" i="5" s="1"/>
  <c r="J119" i="5" a="1"/>
  <c r="J119" i="5" s="1"/>
  <c r="J120" i="5" a="1"/>
  <c r="J120" i="5" s="1"/>
  <c r="J121" i="5" a="1"/>
  <c r="J121" i="5" s="1"/>
  <c r="J122" i="5" a="1"/>
  <c r="J122" i="5" s="1"/>
  <c r="J123" i="5" a="1"/>
  <c r="J123" i="5" s="1"/>
  <c r="J124" i="5" a="1"/>
  <c r="J124" i="5" s="1"/>
  <c r="J125" i="5" a="1"/>
  <c r="J125" i="5" s="1"/>
  <c r="J126" i="5" a="1"/>
  <c r="J126" i="5" s="1"/>
  <c r="J127" i="5" a="1"/>
  <c r="J127" i="5" s="1"/>
  <c r="J128" i="5" a="1"/>
  <c r="J128" i="5" s="1"/>
  <c r="J129" i="5" a="1"/>
  <c r="J129" i="5" s="1"/>
  <c r="J130" i="5" a="1"/>
  <c r="J130" i="5" s="1"/>
  <c r="J131" i="5" a="1"/>
  <c r="J131" i="5" s="1"/>
  <c r="J132" i="5" a="1"/>
  <c r="J132" i="5" s="1"/>
  <c r="J133" i="5" a="1"/>
  <c r="J133" i="5" s="1"/>
  <c r="J134" i="5" a="1"/>
  <c r="J134" i="5" s="1"/>
  <c r="J135" i="5" a="1"/>
  <c r="J135" i="5" s="1"/>
  <c r="J136" i="5" a="1"/>
  <c r="J136" i="5" s="1"/>
  <c r="J137" i="5" a="1"/>
  <c r="J137" i="5" s="1"/>
  <c r="J138" i="5" a="1"/>
  <c r="J138" i="5" s="1"/>
  <c r="J139" i="5" a="1"/>
  <c r="J139" i="5" s="1"/>
  <c r="J140" i="5" a="1"/>
  <c r="J140" i="5" s="1"/>
  <c r="J141" i="5" a="1"/>
  <c r="J141" i="5" s="1"/>
  <c r="J142" i="5" a="1"/>
  <c r="J142" i="5" s="1"/>
  <c r="J143" i="5" a="1"/>
  <c r="J143" i="5" s="1"/>
  <c r="J144" i="5" a="1"/>
  <c r="J144" i="5" s="1"/>
  <c r="J145" i="5" a="1"/>
  <c r="J145" i="5" s="1"/>
  <c r="J146" i="5" a="1"/>
  <c r="J146" i="5" s="1"/>
  <c r="J147" i="5" a="1"/>
  <c r="J147" i="5" s="1"/>
  <c r="J148" i="5" a="1"/>
  <c r="J148" i="5" s="1"/>
  <c r="J149" i="5" a="1"/>
  <c r="J149" i="5" s="1"/>
  <c r="J150" i="5" a="1"/>
  <c r="J150" i="5" s="1"/>
  <c r="J151" i="5" a="1"/>
  <c r="J151" i="5" s="1"/>
  <c r="J152" i="5" a="1"/>
  <c r="J152" i="5" s="1"/>
  <c r="J153" i="5" a="1"/>
  <c r="J153" i="5" s="1"/>
  <c r="J154" i="5" a="1"/>
  <c r="J154" i="5" s="1"/>
  <c r="J155" i="5" a="1"/>
  <c r="J155" i="5" s="1"/>
  <c r="J156" i="5" a="1"/>
  <c r="J156" i="5" s="1"/>
  <c r="J157" i="5" a="1"/>
  <c r="J157" i="5" s="1"/>
  <c r="J158" i="5" a="1"/>
  <c r="J158" i="5" s="1"/>
  <c r="J159" i="5" a="1"/>
  <c r="J159" i="5" s="1"/>
  <c r="J160" i="5" a="1"/>
  <c r="J160" i="5" s="1"/>
  <c r="J161" i="5" a="1"/>
  <c r="J161" i="5" s="1"/>
  <c r="J162" i="5" a="1"/>
  <c r="J162" i="5" s="1"/>
  <c r="J163" i="5" a="1"/>
  <c r="J163" i="5" s="1"/>
  <c r="J164" i="5" a="1"/>
  <c r="J164" i="5" s="1"/>
  <c r="J165" i="5" a="1"/>
  <c r="J165" i="5" s="1"/>
  <c r="J166" i="5" a="1"/>
  <c r="J166" i="5" s="1"/>
  <c r="J167" i="5" a="1"/>
  <c r="J167" i="5" s="1"/>
  <c r="J168" i="5" a="1"/>
  <c r="J168" i="5" s="1"/>
  <c r="J169" i="5" a="1"/>
  <c r="J169" i="5" s="1"/>
  <c r="J170" i="5" a="1"/>
  <c r="J170" i="5" s="1"/>
  <c r="J171" i="5" a="1"/>
  <c r="J171" i="5" s="1"/>
  <c r="J172" i="5" a="1"/>
  <c r="J172" i="5" s="1"/>
  <c r="J173" i="5" a="1"/>
  <c r="J173" i="5" s="1"/>
  <c r="J174" i="5" a="1"/>
  <c r="J174" i="5" s="1"/>
  <c r="J175" i="5" a="1"/>
  <c r="J175" i="5" s="1"/>
  <c r="J176" i="5" a="1"/>
  <c r="J176" i="5" s="1"/>
  <c r="J177" i="5" a="1"/>
  <c r="J177" i="5" s="1"/>
  <c r="J178" i="5" a="1"/>
  <c r="J178" i="5" s="1"/>
  <c r="J179" i="5" a="1"/>
  <c r="J179" i="5" s="1"/>
  <c r="J180" i="5" a="1"/>
  <c r="J180" i="5" s="1"/>
  <c r="J181" i="5" a="1"/>
  <c r="J181" i="5" s="1"/>
  <c r="J182" i="5" a="1"/>
  <c r="J182" i="5" s="1"/>
  <c r="J183" i="5" a="1"/>
  <c r="J183" i="5" s="1"/>
  <c r="J184" i="5" a="1"/>
  <c r="J184" i="5" s="1"/>
  <c r="J185" i="5" a="1"/>
  <c r="J185" i="5" s="1"/>
  <c r="J186" i="5" a="1"/>
  <c r="J186" i="5" s="1"/>
  <c r="J187" i="5" a="1"/>
  <c r="J187" i="5" s="1"/>
  <c r="J188" i="5" a="1"/>
  <c r="J188" i="5" s="1"/>
  <c r="J189" i="5" a="1"/>
  <c r="J189" i="5" s="1"/>
  <c r="J190" i="5" a="1"/>
  <c r="J190" i="5" s="1"/>
  <c r="J191" i="5" a="1"/>
  <c r="J191" i="5" s="1"/>
  <c r="J192" i="5" a="1"/>
  <c r="J192" i="5" s="1"/>
  <c r="J193" i="5" a="1"/>
  <c r="J193" i="5" s="1"/>
  <c r="J194" i="5" a="1"/>
  <c r="J194" i="5" s="1"/>
  <c r="J195" i="5" a="1"/>
  <c r="J195" i="5" s="1"/>
  <c r="J196" i="5" a="1"/>
  <c r="J196" i="5" s="1"/>
  <c r="J197" i="5" a="1"/>
  <c r="J197" i="5" s="1"/>
  <c r="J198" i="5" a="1"/>
  <c r="J198" i="5" s="1"/>
  <c r="J199" i="5" a="1"/>
  <c r="J199" i="5" s="1"/>
  <c r="J200" i="5" a="1"/>
  <c r="J200" i="5" s="1"/>
  <c r="J201" i="5" a="1"/>
  <c r="J201" i="5" s="1"/>
  <c r="J202" i="5" a="1"/>
  <c r="J202" i="5" s="1"/>
  <c r="J203" i="5" a="1"/>
  <c r="J203" i="5" s="1"/>
  <c r="J204" i="5" a="1"/>
  <c r="J204" i="5" s="1"/>
  <c r="J205" i="5" a="1"/>
  <c r="J205" i="5" s="1"/>
  <c r="J206" i="5" a="1"/>
  <c r="J206" i="5" s="1"/>
  <c r="J207" i="5" a="1"/>
  <c r="J207" i="5" s="1"/>
  <c r="J208" i="5" a="1"/>
  <c r="J208" i="5" s="1"/>
  <c r="J209" i="5" a="1"/>
  <c r="J209" i="5" s="1"/>
  <c r="J210" i="5" a="1"/>
  <c r="J210" i="5" s="1"/>
  <c r="J211" i="5" a="1"/>
  <c r="J211" i="5" s="1"/>
  <c r="J212" i="5" a="1"/>
  <c r="J212" i="5" s="1"/>
  <c r="J213" i="5" a="1"/>
  <c r="J213" i="5" s="1"/>
  <c r="J214" i="5" a="1"/>
  <c r="J214" i="5" s="1"/>
  <c r="J215" i="5" a="1"/>
  <c r="J215" i="5" s="1"/>
  <c r="J216" i="5" a="1"/>
  <c r="J216" i="5" s="1"/>
  <c r="J217" i="5" a="1"/>
  <c r="J217" i="5" s="1"/>
  <c r="J218" i="5" a="1"/>
  <c r="J218" i="5" s="1"/>
  <c r="J219" i="5" a="1"/>
  <c r="J219" i="5" s="1"/>
  <c r="J220" i="5" a="1"/>
  <c r="J220" i="5" s="1"/>
  <c r="J221" i="5" a="1"/>
  <c r="J221" i="5" s="1"/>
  <c r="J222" i="5" a="1"/>
  <c r="J222" i="5" s="1"/>
  <c r="J223" i="5" a="1"/>
  <c r="J223" i="5" s="1"/>
  <c r="J224" i="5" a="1"/>
  <c r="J224" i="5" s="1"/>
  <c r="J225" i="5" a="1"/>
  <c r="J225" i="5" s="1"/>
  <c r="J226" i="5" a="1"/>
  <c r="J226" i="5" s="1"/>
  <c r="J227" i="5" a="1"/>
  <c r="J227" i="5" s="1"/>
  <c r="J228" i="5" a="1"/>
  <c r="J228" i="5" s="1"/>
  <c r="J229" i="5" a="1"/>
  <c r="J229" i="5" s="1"/>
  <c r="J230" i="5" a="1"/>
  <c r="J230" i="5" s="1"/>
  <c r="J231" i="5" a="1"/>
  <c r="J231" i="5" s="1"/>
  <c r="J232" i="5" a="1"/>
  <c r="J232" i="5" s="1"/>
  <c r="J233" i="5" a="1"/>
  <c r="J233" i="5" s="1"/>
  <c r="J234" i="5" a="1"/>
  <c r="J234" i="5" s="1"/>
  <c r="J235" i="5" a="1"/>
  <c r="J235" i="5" s="1"/>
  <c r="J236" i="5" a="1"/>
  <c r="J236" i="5" s="1"/>
  <c r="J237" i="5" a="1"/>
  <c r="J237" i="5" s="1"/>
  <c r="J238" i="5" a="1"/>
  <c r="J238" i="5" s="1"/>
  <c r="J239" i="5" a="1"/>
  <c r="J239" i="5" s="1"/>
  <c r="J240" i="5" a="1"/>
  <c r="J240" i="5" s="1"/>
  <c r="J241" i="5" a="1"/>
  <c r="J241" i="5" s="1"/>
  <c r="J242" i="5" a="1"/>
  <c r="J242" i="5" s="1"/>
  <c r="J243" i="5" a="1"/>
  <c r="J243" i="5" s="1"/>
  <c r="J244" i="5" a="1"/>
  <c r="J244" i="5" s="1"/>
  <c r="J245" i="5" a="1"/>
  <c r="J245" i="5" s="1"/>
  <c r="J246" i="5" a="1"/>
  <c r="J246" i="5" s="1"/>
  <c r="J247" i="5" a="1"/>
  <c r="J247" i="5" s="1"/>
  <c r="J248" i="5" a="1"/>
  <c r="J248" i="5" s="1"/>
  <c r="J249" i="5" a="1"/>
  <c r="J249" i="5" s="1"/>
  <c r="J250" i="5" a="1"/>
  <c r="J250" i="5" s="1"/>
  <c r="J251" i="5" a="1"/>
  <c r="J251" i="5" s="1"/>
  <c r="J252" i="5" a="1"/>
  <c r="J252" i="5" s="1"/>
  <c r="J253" i="5" a="1"/>
  <c r="J253" i="5" s="1"/>
  <c r="J254" i="5" a="1"/>
  <c r="J254" i="5" s="1"/>
  <c r="J255" i="5" a="1"/>
  <c r="J255" i="5" s="1"/>
  <c r="J256" i="5" a="1"/>
  <c r="J256" i="5" s="1"/>
  <c r="J257" i="5" a="1"/>
  <c r="J257" i="5" s="1"/>
  <c r="J258" i="5" a="1"/>
  <c r="J258" i="5" s="1"/>
  <c r="J259" i="5" a="1"/>
  <c r="J259" i="5" s="1"/>
  <c r="J260" i="5" a="1"/>
  <c r="J260" i="5" s="1"/>
  <c r="J261" i="5" a="1"/>
  <c r="J261" i="5" s="1"/>
  <c r="J262" i="5" a="1"/>
  <c r="J262" i="5" s="1"/>
  <c r="J263" i="5" a="1"/>
  <c r="J263" i="5" s="1"/>
  <c r="J264" i="5" a="1"/>
  <c r="J264" i="5" s="1"/>
  <c r="J265" i="5" a="1"/>
  <c r="J265" i="5" s="1"/>
  <c r="J266" i="5" a="1"/>
  <c r="J266" i="5" s="1"/>
  <c r="J267" i="5" a="1"/>
  <c r="J267" i="5" s="1"/>
  <c r="J268" i="5" a="1"/>
  <c r="J268" i="5" s="1"/>
  <c r="J269" i="5" a="1"/>
  <c r="J269" i="5" s="1"/>
  <c r="J270" i="5" a="1"/>
  <c r="J270" i="5" s="1"/>
  <c r="J271" i="5" a="1"/>
  <c r="J271" i="5" s="1"/>
  <c r="J272" i="5" a="1"/>
  <c r="J272" i="5" s="1"/>
  <c r="J273" i="5" a="1"/>
  <c r="J273" i="5" s="1"/>
  <c r="J274" i="5" a="1"/>
  <c r="J274" i="5" s="1"/>
  <c r="J275" i="5" a="1"/>
  <c r="J275" i="5" s="1"/>
  <c r="J276" i="5" a="1"/>
  <c r="J276" i="5" s="1"/>
  <c r="J277" i="5" a="1"/>
  <c r="J277" i="5" s="1"/>
  <c r="J278" i="5" a="1"/>
  <c r="J278" i="5" s="1"/>
  <c r="J279" i="5" a="1"/>
  <c r="J279" i="5" s="1"/>
  <c r="J280" i="5" a="1"/>
  <c r="J280" i="5" s="1"/>
  <c r="J281" i="5" a="1"/>
  <c r="J281" i="5" s="1"/>
  <c r="J282" i="5" a="1"/>
  <c r="J282" i="5" s="1"/>
  <c r="J283" i="5" a="1"/>
  <c r="J283" i="5" s="1"/>
  <c r="J284" i="5" a="1"/>
  <c r="J284" i="5" s="1"/>
  <c r="J285" i="5" a="1"/>
  <c r="J285" i="5" s="1"/>
  <c r="J286" i="5" a="1"/>
  <c r="J286" i="5" s="1"/>
  <c r="J287" i="5" a="1"/>
  <c r="J287" i="5" s="1"/>
  <c r="J288" i="5" a="1"/>
  <c r="J288" i="5" s="1"/>
  <c r="J289" i="5" a="1"/>
  <c r="J289" i="5" s="1"/>
  <c r="J290" i="5" a="1"/>
  <c r="J290" i="5" s="1"/>
  <c r="J291" i="5" a="1"/>
  <c r="J291" i="5" s="1"/>
  <c r="J292" i="5" a="1"/>
  <c r="J292" i="5" s="1"/>
  <c r="J293" i="5" a="1"/>
  <c r="J293" i="5" s="1"/>
  <c r="J294" i="5" a="1"/>
  <c r="J294" i="5" s="1"/>
  <c r="J295" i="5" a="1"/>
  <c r="J295" i="5" s="1"/>
  <c r="J296" i="5" a="1"/>
  <c r="J296" i="5" s="1"/>
  <c r="J297" i="5" a="1"/>
  <c r="J297" i="5" s="1"/>
  <c r="J298" i="5" a="1"/>
  <c r="J298" i="5" s="1"/>
  <c r="J299" i="5" a="1"/>
  <c r="J299" i="5" s="1"/>
  <c r="J300" i="5" a="1"/>
  <c r="J300" i="5" s="1"/>
  <c r="J301" i="5" a="1"/>
  <c r="J301" i="5" s="1"/>
  <c r="J302" i="5" a="1"/>
  <c r="J302" i="5" s="1"/>
  <c r="J303" i="5" a="1"/>
  <c r="J303" i="5" s="1"/>
  <c r="J304" i="5" a="1"/>
  <c r="J304" i="5" s="1"/>
  <c r="J305" i="5" a="1"/>
  <c r="J305" i="5" s="1"/>
  <c r="J306" i="5" a="1"/>
  <c r="J306" i="5" s="1"/>
  <c r="J307" i="5" a="1"/>
  <c r="J307" i="5" s="1"/>
  <c r="J308" i="5" a="1"/>
  <c r="J308" i="5" s="1"/>
  <c r="J309" i="5" a="1"/>
  <c r="J309" i="5" s="1"/>
  <c r="J310" i="5" a="1"/>
  <c r="J310" i="5" s="1"/>
  <c r="J311" i="5" a="1"/>
  <c r="J311" i="5" s="1"/>
  <c r="J312" i="5" a="1"/>
  <c r="J312" i="5" s="1"/>
  <c r="J313" i="5" a="1"/>
  <c r="J313" i="5" s="1"/>
  <c r="J314" i="5" a="1"/>
  <c r="J314" i="5" s="1"/>
  <c r="J315" i="5" a="1"/>
  <c r="J315" i="5" s="1"/>
  <c r="J316" i="5" a="1"/>
  <c r="J316" i="5" s="1"/>
  <c r="J317" i="5" a="1"/>
  <c r="J317" i="5" s="1"/>
  <c r="J318" i="5" a="1"/>
  <c r="J318" i="5" s="1"/>
  <c r="J319" i="5" a="1"/>
  <c r="J319" i="5" s="1"/>
  <c r="J320" i="5" a="1"/>
  <c r="J320" i="5" s="1"/>
  <c r="J321" i="5" a="1"/>
  <c r="J321" i="5" s="1"/>
  <c r="J322" i="5" a="1"/>
  <c r="J322" i="5" s="1"/>
  <c r="J323" i="5" a="1"/>
  <c r="J323" i="5" s="1"/>
  <c r="J324" i="5" a="1"/>
  <c r="J324" i="5" s="1"/>
  <c r="J325" i="5" a="1"/>
  <c r="J325" i="5" s="1"/>
  <c r="J326" i="5" a="1"/>
  <c r="J326" i="5" s="1"/>
  <c r="J327" i="5" a="1"/>
  <c r="J327" i="5" s="1"/>
  <c r="J328" i="5" a="1"/>
  <c r="J328" i="5" s="1"/>
  <c r="J329" i="5" a="1"/>
  <c r="J329" i="5" s="1"/>
  <c r="J330" i="5" a="1"/>
  <c r="J330" i="5" s="1"/>
  <c r="J331" i="5" a="1"/>
  <c r="J331" i="5" s="1"/>
  <c r="J332" i="5" a="1"/>
  <c r="J332" i="5" s="1"/>
  <c r="J333" i="5" a="1"/>
  <c r="J333" i="5" s="1"/>
  <c r="J334" i="5" a="1"/>
  <c r="J334" i="5" s="1"/>
  <c r="J335" i="5" a="1"/>
  <c r="J335" i="5" s="1"/>
  <c r="J336" i="5" a="1"/>
  <c r="J336" i="5" s="1"/>
  <c r="J337" i="5" a="1"/>
  <c r="J337" i="5" s="1"/>
  <c r="J338" i="5" a="1"/>
  <c r="J338" i="5" s="1"/>
  <c r="J339" i="5" a="1"/>
  <c r="J339" i="5" s="1"/>
  <c r="J340" i="5" a="1"/>
  <c r="J340" i="5" s="1"/>
  <c r="J341" i="5" a="1"/>
  <c r="J341" i="5" s="1"/>
  <c r="J342" i="5" a="1"/>
  <c r="J342" i="5" s="1"/>
  <c r="J343" i="5" a="1"/>
  <c r="J343" i="5"/>
  <c r="J344" i="5" a="1"/>
  <c r="J344" i="5" s="1"/>
  <c r="J345" i="5" a="1"/>
  <c r="J345" i="5" s="1"/>
  <c r="J346" i="5" a="1"/>
  <c r="J346" i="5"/>
  <c r="J347" i="5" a="1"/>
  <c r="J347" i="5" s="1"/>
  <c r="J348" i="5" a="1"/>
  <c r="J348" i="5" s="1"/>
  <c r="J349" i="5" a="1"/>
  <c r="J349" i="5"/>
  <c r="J350" i="5" a="1"/>
  <c r="J350" i="5"/>
  <c r="J351" i="5" a="1"/>
  <c r="J351" i="5" s="1"/>
  <c r="J352" i="5" a="1"/>
  <c r="J352" i="5" s="1"/>
  <c r="J353" i="5" a="1"/>
  <c r="J353" i="5"/>
  <c r="J354" i="5" a="1"/>
  <c r="J354" i="5" s="1"/>
  <c r="J355" i="5" a="1"/>
  <c r="J355" i="5"/>
  <c r="J356" i="5" a="1"/>
  <c r="J356" i="5" s="1"/>
  <c r="J357" i="5" a="1"/>
  <c r="J357" i="5"/>
  <c r="J358" i="5" a="1"/>
  <c r="J358" i="5"/>
  <c r="J359" i="5" a="1"/>
  <c r="J359" i="5"/>
  <c r="J360" i="5" a="1"/>
  <c r="J360" i="5" s="1"/>
  <c r="J361" i="5" a="1"/>
  <c r="J361" i="5" s="1"/>
  <c r="J362" i="5" a="1"/>
  <c r="J362" i="5"/>
  <c r="J363" i="5" a="1"/>
  <c r="J363" i="5" s="1"/>
  <c r="J364" i="5" a="1"/>
  <c r="J364" i="5" s="1"/>
  <c r="J365" i="5" a="1"/>
  <c r="J365" i="5" s="1"/>
  <c r="J366" i="5" a="1"/>
  <c r="J366" i="5"/>
  <c r="J367" i="5" a="1"/>
  <c r="J367" i="5"/>
  <c r="J368" i="5" a="1"/>
  <c r="J368" i="5" s="1"/>
  <c r="J369" i="5" a="1"/>
  <c r="J369" i="5"/>
  <c r="J370" i="5" a="1"/>
  <c r="J370" i="5" s="1"/>
  <c r="J371" i="5" a="1"/>
  <c r="J371" i="5"/>
  <c r="J372" i="5" a="1"/>
  <c r="J372" i="5" s="1"/>
  <c r="J373" i="5" a="1"/>
  <c r="J373" i="5"/>
  <c r="J374" i="5" a="1"/>
  <c r="J374" i="5" s="1"/>
  <c r="J375" i="5" a="1"/>
  <c r="J375" i="5"/>
  <c r="J376" i="5" a="1"/>
  <c r="J376" i="5" s="1"/>
  <c r="J377" i="5" a="1"/>
  <c r="J377" i="5" s="1"/>
  <c r="J378" i="5" a="1"/>
  <c r="J378" i="5"/>
  <c r="J379" i="5" a="1"/>
  <c r="J379" i="5" s="1"/>
  <c r="J380" i="5" a="1"/>
  <c r="J380" i="5" s="1"/>
  <c r="J381" i="5" a="1"/>
  <c r="J381" i="5"/>
  <c r="J382" i="5" a="1"/>
  <c r="J382" i="5"/>
  <c r="J383" i="5" a="1"/>
  <c r="J383" i="5" s="1"/>
  <c r="J384" i="5" a="1"/>
  <c r="J384" i="5" s="1"/>
  <c r="J385" i="5" a="1"/>
  <c r="J385" i="5"/>
  <c r="J386" i="5" a="1"/>
  <c r="J386" i="5" s="1"/>
  <c r="J387" i="5" a="1"/>
  <c r="J387" i="5"/>
  <c r="J388" i="5" a="1"/>
  <c r="J388" i="5" s="1"/>
  <c r="J389" i="5" a="1"/>
  <c r="J389" i="5"/>
  <c r="J390" i="5" a="1"/>
  <c r="J390" i="5"/>
  <c r="J391" i="5" a="1"/>
  <c r="J391" i="5"/>
  <c r="J392" i="5" a="1"/>
  <c r="J392" i="5" s="1"/>
  <c r="J393" i="5" a="1"/>
  <c r="J393" i="5" s="1"/>
  <c r="J394" i="5" a="1"/>
  <c r="J394" i="5"/>
  <c r="J395" i="5" a="1"/>
  <c r="J395" i="5" s="1"/>
  <c r="J396" i="5" a="1"/>
  <c r="J396" i="5" s="1"/>
  <c r="J397" i="5" a="1"/>
  <c r="J397" i="5" s="1"/>
  <c r="J398" i="5" a="1"/>
  <c r="J398" i="5"/>
  <c r="J399" i="5" a="1"/>
  <c r="J399" i="5"/>
  <c r="J400" i="5" a="1"/>
  <c r="J400" i="5" s="1"/>
  <c r="J401" i="5" a="1"/>
  <c r="J401" i="5"/>
  <c r="J402" i="5" a="1"/>
  <c r="J402" i="5" s="1"/>
  <c r="J403" i="5" a="1"/>
  <c r="J403" i="5"/>
  <c r="J404" i="5" a="1"/>
  <c r="J404" i="5" s="1"/>
  <c r="J405" i="5" a="1"/>
  <c r="J405" i="5"/>
  <c r="J406" i="5" a="1"/>
  <c r="J406" i="5" s="1"/>
  <c r="J407" i="5" a="1"/>
  <c r="J407" i="5"/>
  <c r="J408" i="5" a="1"/>
  <c r="J408" i="5" s="1"/>
  <c r="J409" i="5" a="1"/>
  <c r="J409" i="5" s="1"/>
  <c r="J410" i="5" a="1"/>
  <c r="J410" i="5"/>
  <c r="J411" i="5" a="1"/>
  <c r="J411" i="5" s="1"/>
  <c r="J412" i="5" a="1"/>
  <c r="J412" i="5" s="1"/>
  <c r="J413" i="5" a="1"/>
  <c r="J413" i="5"/>
  <c r="J414" i="5" a="1"/>
  <c r="J414" i="5"/>
  <c r="J415" i="5" a="1"/>
  <c r="J415" i="5" s="1"/>
  <c r="J416" i="5" a="1"/>
  <c r="J416" i="5" s="1"/>
  <c r="J417" i="5" a="1"/>
  <c r="J417" i="5"/>
  <c r="J418" i="5" a="1"/>
  <c r="J418" i="5" s="1"/>
  <c r="J419" i="5" a="1"/>
  <c r="J419" i="5"/>
  <c r="J420" i="5" a="1"/>
  <c r="J420" i="5" s="1"/>
  <c r="J421" i="5" a="1"/>
  <c r="J421" i="5"/>
  <c r="J422" i="5" a="1"/>
  <c r="J422" i="5"/>
  <c r="J423" i="5" a="1"/>
  <c r="J423" i="5"/>
  <c r="J424" i="5" a="1"/>
  <c r="J424" i="5" s="1"/>
  <c r="J425" i="5" a="1"/>
  <c r="J425" i="5" s="1"/>
  <c r="J426" i="5" a="1"/>
  <c r="J426" i="5"/>
  <c r="J427" i="5" a="1"/>
  <c r="J427" i="5" s="1"/>
  <c r="J428" i="5" a="1"/>
  <c r="J428" i="5" s="1"/>
  <c r="J429" i="5" a="1"/>
  <c r="J429" i="5" s="1"/>
  <c r="J430" i="5" a="1"/>
  <c r="J430" i="5"/>
  <c r="J431" i="5" a="1"/>
  <c r="J431" i="5"/>
  <c r="J432" i="5" a="1"/>
  <c r="J432" i="5" s="1"/>
  <c r="J433" i="5" a="1"/>
  <c r="J433" i="5"/>
  <c r="J434" i="5" a="1"/>
  <c r="J434" i="5" s="1"/>
  <c r="J435" i="5" a="1"/>
  <c r="J435" i="5"/>
  <c r="J436" i="5" a="1"/>
  <c r="J436" i="5" s="1"/>
  <c r="J437" i="5" a="1"/>
  <c r="J437" i="5" s="1"/>
  <c r="J438" i="5" a="1"/>
  <c r="J438" i="5" s="1"/>
  <c r="J439" i="5" a="1"/>
  <c r="J439" i="5"/>
  <c r="J440" i="5" a="1"/>
  <c r="J440" i="5" s="1"/>
  <c r="J441" i="5" a="1"/>
  <c r="J441" i="5" s="1"/>
  <c r="J442" i="5" a="1"/>
  <c r="J442" i="5"/>
  <c r="J443" i="5" a="1"/>
  <c r="J443" i="5" s="1"/>
  <c r="J444" i="5" a="1"/>
  <c r="J444" i="5" s="1"/>
  <c r="J445" i="5" a="1"/>
  <c r="J445" i="5"/>
  <c r="J446" i="5" a="1"/>
  <c r="J446" i="5" s="1"/>
  <c r="J447" i="5" a="1"/>
  <c r="J447" i="5" s="1"/>
  <c r="J448" i="5" a="1"/>
  <c r="J448" i="5" s="1"/>
  <c r="J449" i="5" a="1"/>
  <c r="J449" i="5"/>
  <c r="J450" i="5" a="1"/>
  <c r="J450" i="5" s="1"/>
  <c r="J451" i="5" a="1"/>
  <c r="J451" i="5"/>
  <c r="J452" i="5" a="1"/>
  <c r="J452" i="5" s="1"/>
  <c r="J453" i="5" a="1"/>
  <c r="J453" i="5"/>
  <c r="J454" i="5" a="1"/>
  <c r="J454" i="5"/>
  <c r="J455" i="5" a="1"/>
  <c r="J455" i="5" s="1"/>
  <c r="J456" i="5" a="1"/>
  <c r="J456" i="5" s="1"/>
  <c r="J457" i="5" a="1"/>
  <c r="J457" i="5" s="1"/>
  <c r="J458" i="5" a="1"/>
  <c r="J458" i="5"/>
  <c r="J459" i="5" a="1"/>
  <c r="J459" i="5" s="1"/>
  <c r="J460" i="5" a="1"/>
  <c r="J460" i="5" s="1"/>
  <c r="J461" i="5" a="1"/>
  <c r="J461" i="5" s="1"/>
  <c r="J462" i="5" a="1"/>
  <c r="J462" i="5"/>
  <c r="J463" i="5" a="1"/>
  <c r="J463" i="5"/>
  <c r="J464" i="5" a="1"/>
  <c r="J464" i="5" s="1"/>
  <c r="J465" i="5" a="1"/>
  <c r="J465" i="5"/>
  <c r="J466" i="5" a="1"/>
  <c r="J466" i="5" s="1"/>
  <c r="J467" i="5" a="1"/>
  <c r="J467" i="5"/>
  <c r="J468" i="5" a="1"/>
  <c r="J468" i="5" s="1"/>
  <c r="J469" i="5" a="1"/>
  <c r="J469" i="5" s="1"/>
  <c r="J470" i="5" a="1"/>
  <c r="J470" i="5" s="1"/>
  <c r="J471" i="5" a="1"/>
  <c r="J471" i="5"/>
  <c r="J472" i="5" a="1"/>
  <c r="J472" i="5" s="1"/>
  <c r="J473" i="5" a="1"/>
  <c r="J473" i="5" s="1"/>
  <c r="J474" i="5" a="1"/>
  <c r="J474" i="5"/>
  <c r="J475" i="5" a="1"/>
  <c r="J475" i="5" s="1"/>
  <c r="J476" i="5" a="1"/>
  <c r="J476" i="5" s="1"/>
  <c r="J477" i="5" a="1"/>
  <c r="J477" i="5"/>
  <c r="J478" i="5" a="1"/>
  <c r="J478" i="5" s="1"/>
  <c r="J479" i="5" a="1"/>
  <c r="J479" i="5" s="1"/>
  <c r="J480" i="5" a="1"/>
  <c r="J480" i="5" s="1"/>
  <c r="J481" i="5" a="1"/>
  <c r="J481" i="5"/>
  <c r="J482" i="5" a="1"/>
  <c r="J482" i="5" s="1"/>
  <c r="J483" i="5" a="1"/>
  <c r="J483" i="5"/>
  <c r="J484" i="5" a="1"/>
  <c r="J484" i="5" s="1"/>
  <c r="J485" i="5" a="1"/>
  <c r="J485" i="5"/>
  <c r="J486" i="5" a="1"/>
  <c r="J486" i="5"/>
  <c r="J487" i="5" a="1"/>
  <c r="J487" i="5" s="1"/>
  <c r="J488" i="5" a="1"/>
  <c r="J488" i="5" s="1"/>
  <c r="J489" i="5" a="1"/>
  <c r="J489" i="5" s="1"/>
  <c r="J490" i="5" a="1"/>
  <c r="J490" i="5"/>
  <c r="J491" i="5" a="1"/>
  <c r="J491" i="5" s="1"/>
  <c r="J492" i="5" a="1"/>
  <c r="J492" i="5" s="1"/>
  <c r="J493" i="5" a="1"/>
  <c r="J493" i="5" s="1"/>
  <c r="J494" i="5" a="1"/>
  <c r="J494" i="5"/>
  <c r="J495" i="5" a="1"/>
  <c r="J495" i="5"/>
  <c r="J496" i="5" a="1"/>
  <c r="J496" i="5" s="1"/>
  <c r="J497" i="5" a="1"/>
  <c r="J497" i="5"/>
  <c r="J498" i="5" a="1"/>
  <c r="J498" i="5" s="1"/>
  <c r="J499" i="5" a="1"/>
  <c r="J499" i="5"/>
  <c r="J500" i="5" a="1"/>
  <c r="J500" i="5" s="1"/>
  <c r="J501" i="5" a="1"/>
  <c r="J501" i="5" s="1"/>
  <c r="J502" i="5" a="1"/>
  <c r="J502" i="5" s="1"/>
  <c r="J503" i="5" a="1"/>
  <c r="J503" i="5"/>
  <c r="J504" i="5" a="1"/>
  <c r="J504" i="5" s="1"/>
  <c r="J505" i="5" a="1"/>
  <c r="J505" i="5" s="1"/>
  <c r="J506" i="5" a="1"/>
  <c r="J506" i="5"/>
  <c r="J507" i="5" a="1"/>
  <c r="J507" i="5" s="1"/>
  <c r="J508" i="5" a="1"/>
  <c r="J508" i="5" s="1"/>
  <c r="J509" i="5" a="1"/>
  <c r="J509" i="5"/>
  <c r="J510" i="5" a="1"/>
  <c r="J510" i="5"/>
  <c r="J511" i="5" a="1"/>
  <c r="J511" i="5" s="1"/>
  <c r="J512" i="5" a="1"/>
  <c r="J512" i="5" s="1"/>
  <c r="J513" i="5" a="1"/>
  <c r="J513" i="5"/>
  <c r="J514" i="5" a="1"/>
  <c r="J514" i="5" s="1"/>
  <c r="J515" i="5" a="1"/>
  <c r="J515" i="5"/>
  <c r="J516" i="5" a="1"/>
  <c r="J516" i="5" s="1"/>
  <c r="J517" i="5" a="1"/>
  <c r="J517" i="5"/>
  <c r="J518" i="5" a="1"/>
  <c r="J518" i="5"/>
  <c r="J519" i="5" a="1"/>
  <c r="J519" i="5" s="1"/>
  <c r="J520" i="5" a="1"/>
  <c r="J520" i="5" s="1"/>
  <c r="J521" i="5" a="1"/>
  <c r="J521" i="5" s="1"/>
  <c r="J522" i="5" a="1"/>
  <c r="J522" i="5"/>
  <c r="J523" i="5" a="1"/>
  <c r="J523" i="5" s="1"/>
  <c r="J524" i="5" a="1"/>
  <c r="J524" i="5" s="1"/>
  <c r="J525" i="5" a="1"/>
  <c r="J525" i="5" s="1"/>
  <c r="J526" i="5" a="1"/>
  <c r="J526" i="5"/>
  <c r="J527" i="5" a="1"/>
  <c r="J527" i="5"/>
  <c r="J528" i="5" a="1"/>
  <c r="J528" i="5" s="1"/>
  <c r="J529" i="5" a="1"/>
  <c r="J529" i="5"/>
  <c r="J530" i="5" a="1"/>
  <c r="J530" i="5" s="1"/>
  <c r="J531" i="5" a="1"/>
  <c r="J531" i="5"/>
  <c r="J532" i="5" a="1"/>
  <c r="J532" i="5" s="1"/>
  <c r="J533" i="5" a="1"/>
  <c r="J533" i="5" s="1"/>
  <c r="J534" i="5" a="1"/>
  <c r="J534" i="5" s="1"/>
  <c r="J535" i="5" a="1"/>
  <c r="J535" i="5"/>
  <c r="J536" i="5" a="1"/>
  <c r="J536" i="5" s="1"/>
  <c r="J537" i="5" a="1"/>
  <c r="J537" i="5" s="1"/>
  <c r="J538" i="5" a="1"/>
  <c r="J538" i="5"/>
  <c r="J539" i="5" a="1"/>
  <c r="J539" i="5" s="1"/>
  <c r="J540" i="5" a="1"/>
  <c r="J540" i="5" s="1"/>
  <c r="J541" i="5" a="1"/>
  <c r="J541" i="5" s="1"/>
  <c r="J542" i="5" a="1"/>
  <c r="J542" i="5"/>
  <c r="J543" i="5" a="1"/>
  <c r="J543" i="5" s="1"/>
  <c r="J544" i="5" a="1"/>
  <c r="J544" i="5" s="1"/>
  <c r="J545" i="5" a="1"/>
  <c r="J545" i="5"/>
  <c r="J546" i="5" a="1"/>
  <c r="J546" i="5" s="1"/>
  <c r="J547" i="5" a="1"/>
  <c r="J547" i="5"/>
  <c r="J548" i="5" a="1"/>
  <c r="J548" i="5" s="1"/>
  <c r="J549" i="5" a="1"/>
  <c r="J549" i="5"/>
  <c r="J550" i="5" a="1"/>
  <c r="J550" i="5" s="1"/>
  <c r="J551" i="5" a="1"/>
  <c r="J551" i="5"/>
  <c r="J552" i="5" a="1"/>
  <c r="J552" i="5" s="1"/>
  <c r="J553" i="5" a="1"/>
  <c r="J553" i="5" s="1"/>
  <c r="J554" i="5" a="1"/>
  <c r="J554" i="5"/>
  <c r="J555" i="5" a="1"/>
  <c r="J555" i="5" s="1"/>
  <c r="J556" i="5" a="1"/>
  <c r="J556" i="5" s="1"/>
  <c r="J557" i="5" a="1"/>
  <c r="J557" i="5" s="1"/>
  <c r="J558" i="5" a="1"/>
  <c r="J558" i="5"/>
  <c r="J559" i="5" a="1"/>
  <c r="J559" i="5" s="1"/>
  <c r="J560" i="5" a="1"/>
  <c r="J560" i="5" s="1"/>
  <c r="J561" i="5" a="1"/>
  <c r="J561" i="5"/>
  <c r="J562" i="5" a="1"/>
  <c r="J562" i="5" s="1"/>
  <c r="J563" i="5" a="1"/>
  <c r="J563" i="5"/>
  <c r="J564" i="5" a="1"/>
  <c r="J564" i="5" s="1"/>
  <c r="J565" i="5" a="1"/>
  <c r="J565" i="5"/>
  <c r="J566" i="5" a="1"/>
  <c r="J566" i="5" s="1"/>
  <c r="J567" i="5" a="1"/>
  <c r="J567" i="5"/>
  <c r="J568" i="5" a="1"/>
  <c r="J568" i="5" s="1"/>
  <c r="J569" i="5" a="1"/>
  <c r="J569" i="5" s="1"/>
  <c r="J570" i="5" a="1"/>
  <c r="J570" i="5"/>
  <c r="J571" i="5" a="1"/>
  <c r="J571" i="5" s="1"/>
  <c r="J572" i="5" a="1"/>
  <c r="J572" i="5" s="1"/>
  <c r="J573" i="5" a="1"/>
  <c r="J573" i="5"/>
  <c r="J574" i="5" a="1"/>
  <c r="J574" i="5"/>
  <c r="J575" i="5" a="1"/>
  <c r="J575" i="5" s="1"/>
  <c r="J576" i="5" a="1"/>
  <c r="J576" i="5" s="1"/>
  <c r="J577" i="5" a="1"/>
  <c r="J577" i="5"/>
  <c r="J578" i="5" a="1"/>
  <c r="J578" i="5" s="1"/>
  <c r="J579" i="5" a="1"/>
  <c r="J579" i="5"/>
  <c r="J580" i="5" a="1"/>
  <c r="J580" i="5" s="1"/>
  <c r="J581" i="5" a="1"/>
  <c r="J581" i="5"/>
  <c r="J582" i="5" a="1"/>
  <c r="J582" i="5"/>
  <c r="J583" i="5" a="1"/>
  <c r="J583" i="5"/>
  <c r="J584" i="5" a="1"/>
  <c r="J584" i="5" s="1"/>
  <c r="J585" i="5" a="1"/>
  <c r="J585" i="5" s="1"/>
  <c r="J586" i="5" a="1"/>
  <c r="J586" i="5"/>
  <c r="J587" i="5" a="1"/>
  <c r="J587" i="5" s="1"/>
  <c r="J588" i="5" a="1"/>
  <c r="J588" i="5" s="1"/>
  <c r="J589" i="5" a="1"/>
  <c r="J589" i="5" s="1"/>
  <c r="J590" i="5" a="1"/>
  <c r="J590" i="5"/>
  <c r="J591" i="5" a="1"/>
  <c r="J591" i="5"/>
  <c r="J592" i="5" a="1"/>
  <c r="J592" i="5" s="1"/>
  <c r="J593" i="5" a="1"/>
  <c r="J593" i="5"/>
  <c r="J594" i="5" a="1"/>
  <c r="J594" i="5" s="1"/>
  <c r="J595" i="5" a="1"/>
  <c r="J595" i="5"/>
  <c r="J596" i="5" a="1"/>
  <c r="J596" i="5" s="1"/>
  <c r="J597" i="5" a="1"/>
  <c r="J597" i="5"/>
  <c r="J598" i="5" a="1"/>
  <c r="J598" i="5" s="1"/>
  <c r="J599" i="5" a="1"/>
  <c r="J599" i="5"/>
  <c r="J600" i="5" a="1"/>
  <c r="J600" i="5" s="1"/>
  <c r="J601" i="5" a="1"/>
  <c r="J601" i="5" s="1"/>
  <c r="J602" i="5" a="1"/>
  <c r="J602" i="5"/>
  <c r="J603" i="5" a="1"/>
  <c r="J603" i="5" s="1"/>
  <c r="J604" i="5" a="1"/>
  <c r="J604" i="5" s="1"/>
  <c r="J605" i="5" a="1"/>
  <c r="J605" i="5" s="1"/>
  <c r="J606" i="5" a="1"/>
  <c r="J606" i="5"/>
  <c r="J607" i="5" a="1"/>
  <c r="J607" i="5" s="1"/>
  <c r="J608" i="5" a="1"/>
  <c r="J608" i="5" s="1"/>
  <c r="J609" i="5" a="1"/>
  <c r="J609" i="5"/>
  <c r="J610" i="5" a="1"/>
  <c r="J610" i="5" s="1"/>
  <c r="J611" i="5" a="1"/>
  <c r="J611" i="5"/>
  <c r="J612" i="5" a="1"/>
  <c r="J612" i="5" s="1"/>
  <c r="J613" i="5" a="1"/>
  <c r="J613" i="5"/>
  <c r="J614" i="5" a="1"/>
  <c r="J614" i="5"/>
  <c r="J615" i="5" a="1"/>
  <c r="J615" i="5"/>
  <c r="J616" i="5" a="1"/>
  <c r="J616" i="5" s="1"/>
  <c r="J617" i="5" a="1"/>
  <c r="J617" i="5" s="1"/>
  <c r="J618" i="5" a="1"/>
  <c r="J618" i="5"/>
  <c r="J619" i="5" a="1"/>
  <c r="J619" i="5" s="1"/>
  <c r="J620" i="5" a="1"/>
  <c r="J620" i="5" s="1"/>
  <c r="J621" i="5" a="1"/>
  <c r="J621" i="5" s="1"/>
  <c r="J622" i="5" a="1"/>
  <c r="J622" i="5"/>
  <c r="J623" i="5" a="1"/>
  <c r="J623" i="5"/>
  <c r="J624" i="5" a="1"/>
  <c r="J624" i="5" s="1"/>
  <c r="J625" i="5" a="1"/>
  <c r="J625" i="5"/>
  <c r="J626" i="5" a="1"/>
  <c r="J626" i="5" s="1"/>
  <c r="J627" i="5" a="1"/>
  <c r="J627" i="5"/>
  <c r="J628" i="5" a="1"/>
  <c r="J628" i="5" s="1"/>
  <c r="J629" i="5" a="1"/>
  <c r="J629" i="5"/>
  <c r="J630" i="5" a="1"/>
  <c r="J630" i="5" s="1"/>
  <c r="J631" i="5" a="1"/>
  <c r="J631" i="5"/>
  <c r="J632" i="5" a="1"/>
  <c r="J632" i="5" s="1"/>
  <c r="J633" i="5" a="1"/>
  <c r="J633" i="5" s="1"/>
  <c r="J634" i="5" a="1"/>
  <c r="J634" i="5"/>
  <c r="J635" i="5" a="1"/>
  <c r="J635" i="5" s="1"/>
  <c r="J636" i="5" a="1"/>
  <c r="J636" i="5" s="1"/>
  <c r="J637" i="5" a="1"/>
  <c r="J637" i="5"/>
  <c r="J638" i="5" a="1"/>
  <c r="J638" i="5"/>
  <c r="J639" i="5" a="1"/>
  <c r="J639" i="5" s="1"/>
  <c r="J640" i="5" a="1"/>
  <c r="J640" i="5" s="1"/>
  <c r="J641" i="5" a="1"/>
  <c r="J641" i="5" s="1"/>
  <c r="J642" i="5" a="1"/>
  <c r="J642" i="5" s="1"/>
  <c r="J643" i="5" a="1"/>
  <c r="J643" i="5"/>
  <c r="J644" i="5" a="1"/>
  <c r="J644" i="5" s="1"/>
  <c r="J645" i="5" a="1"/>
  <c r="J645" i="5"/>
  <c r="J646" i="5" a="1"/>
  <c r="J646" i="5" s="1"/>
  <c r="J647" i="5" a="1"/>
  <c r="J647" i="5"/>
  <c r="J648" i="5" a="1"/>
  <c r="J648" i="5" s="1"/>
  <c r="J649" i="5" a="1"/>
  <c r="J649" i="5" s="1"/>
  <c r="J650" i="5" a="1"/>
  <c r="J650" i="5"/>
  <c r="J651" i="5" a="1"/>
  <c r="J651" i="5" s="1"/>
  <c r="J652" i="5" a="1"/>
  <c r="J652" i="5" s="1"/>
  <c r="J653" i="5" a="1"/>
  <c r="J653" i="5" s="1"/>
  <c r="J654" i="5" a="1"/>
  <c r="J654" i="5"/>
  <c r="J655" i="5" a="1"/>
  <c r="J655" i="5" s="1"/>
  <c r="J656" i="5" a="1"/>
  <c r="J656" i="5" s="1"/>
  <c r="J657" i="5" a="1"/>
  <c r="J657" i="5"/>
  <c r="J658" i="5" a="1"/>
  <c r="J658" i="5" s="1"/>
  <c r="J659" i="5" a="1"/>
  <c r="J659" i="5" s="1"/>
  <c r="J660" i="5" a="1"/>
  <c r="J660" i="5" s="1"/>
  <c r="J661" i="5" a="1"/>
  <c r="J661" i="5"/>
  <c r="J662" i="5" a="1"/>
  <c r="J662" i="5" s="1"/>
  <c r="J663" i="5" a="1"/>
  <c r="J663" i="5"/>
  <c r="J664" i="5" a="1"/>
  <c r="J664" i="5" s="1"/>
  <c r="J665" i="5" a="1"/>
  <c r="J665" i="5" s="1"/>
  <c r="J666" i="5" a="1"/>
  <c r="J666" i="5"/>
  <c r="J667" i="5" a="1"/>
  <c r="J667" i="5" s="1"/>
  <c r="J668" i="5" a="1"/>
  <c r="J668" i="5" s="1"/>
  <c r="J669" i="5" a="1"/>
  <c r="J669" i="5"/>
  <c r="J670" i="5" a="1"/>
  <c r="J670" i="5"/>
  <c r="J671" i="5" a="1"/>
  <c r="J671" i="5" s="1"/>
  <c r="J672" i="5" a="1"/>
  <c r="J672" i="5" s="1"/>
  <c r="J673" i="5" a="1"/>
  <c r="J673" i="5"/>
  <c r="J674" i="5" a="1"/>
  <c r="J674" i="5" s="1"/>
  <c r="J675" i="5" a="1"/>
  <c r="J675" i="5"/>
  <c r="J676" i="5" a="1"/>
  <c r="J676" i="5" s="1"/>
  <c r="J677" i="5" a="1"/>
  <c r="J677" i="5"/>
  <c r="J678" i="5" a="1"/>
  <c r="J678" i="5"/>
  <c r="J679" i="5" a="1"/>
  <c r="J679" i="5"/>
  <c r="J680" i="5" a="1"/>
  <c r="J680" i="5" s="1"/>
  <c r="J681" i="5" a="1"/>
  <c r="J681" i="5"/>
  <c r="J682" i="5" a="1"/>
  <c r="J682" i="5"/>
  <c r="J683" i="5" a="1"/>
  <c r="J683" i="5" s="1"/>
  <c r="J684" i="5" a="1"/>
  <c r="J684" i="5" s="1"/>
  <c r="J685" i="5" a="1"/>
  <c r="J685" i="5"/>
  <c r="J686" i="5" a="1"/>
  <c r="J686" i="5"/>
  <c r="J687" i="5" a="1"/>
  <c r="J687" i="5" s="1"/>
  <c r="J688" i="5" a="1"/>
  <c r="J688" i="5" s="1"/>
  <c r="J689" i="5" a="1"/>
  <c r="J689" i="5" s="1"/>
  <c r="J690" i="5" a="1"/>
  <c r="J690" i="5"/>
  <c r="J691" i="5" a="1"/>
  <c r="J691" i="5" s="1"/>
  <c r="J692" i="5" a="1"/>
  <c r="J692" i="5" s="1"/>
  <c r="J693" i="5" a="1"/>
  <c r="J693" i="5"/>
  <c r="J694" i="5" a="1"/>
  <c r="J694" i="5" s="1"/>
  <c r="J695" i="5" a="1"/>
  <c r="J695" i="5" s="1"/>
  <c r="J696" i="5" a="1"/>
  <c r="J696" i="5" s="1"/>
  <c r="J697" i="5" a="1"/>
  <c r="J697" i="5"/>
  <c r="J698" i="5" a="1"/>
  <c r="J698" i="5"/>
  <c r="J699" i="5" a="1"/>
  <c r="J699" i="5" s="1"/>
  <c r="J700" i="5" a="1"/>
  <c r="J700" i="5" s="1"/>
  <c r="J701" i="5" a="1"/>
  <c r="J701" i="5" s="1"/>
  <c r="J702" i="5" a="1"/>
  <c r="J702" i="5"/>
  <c r="J703" i="5" a="1"/>
  <c r="J703" i="5" s="1"/>
  <c r="J704" i="5" a="1"/>
  <c r="J704" i="5" s="1"/>
  <c r="J705" i="5" a="1"/>
  <c r="J705" i="5" s="1"/>
  <c r="J706" i="5" a="1"/>
  <c r="J706" i="5" s="1"/>
  <c r="J707" i="5" a="1"/>
  <c r="J707" i="5" s="1"/>
  <c r="J708" i="5" a="1"/>
  <c r="J708" i="5" s="1"/>
  <c r="J709" i="5" a="1"/>
  <c r="J709" i="5"/>
  <c r="J710" i="5" a="1"/>
  <c r="J710" i="5" s="1"/>
  <c r="J711" i="5" a="1"/>
  <c r="J711" i="5" s="1"/>
  <c r="J712" i="5" a="1"/>
  <c r="J712" i="5" s="1"/>
  <c r="J713" i="5" a="1"/>
  <c r="J713" i="5" s="1"/>
  <c r="J714" i="5" a="1"/>
  <c r="J714" i="5"/>
  <c r="J715" i="5" a="1"/>
  <c r="J715" i="5" s="1"/>
  <c r="J716" i="5" a="1"/>
  <c r="J716" i="5" s="1"/>
  <c r="J717" i="5" a="1"/>
  <c r="J717" i="5" s="1"/>
  <c r="J718" i="5" a="1"/>
  <c r="J718" i="5" s="1"/>
  <c r="J719" i="5" a="1"/>
  <c r="J719" i="5" s="1"/>
  <c r="J720" i="5" a="1"/>
  <c r="J720" i="5" s="1"/>
  <c r="J721" i="5" a="1"/>
  <c r="J721" i="5" s="1"/>
  <c r="J722" i="5" a="1"/>
  <c r="J722" i="5" s="1"/>
  <c r="J723" i="5" a="1"/>
  <c r="J723" i="5" s="1"/>
  <c r="J724" i="5" a="1"/>
  <c r="J724" i="5" s="1"/>
  <c r="J725" i="5" a="1"/>
  <c r="J725" i="5"/>
  <c r="J726" i="5" a="1"/>
  <c r="J726" i="5" s="1"/>
  <c r="J727" i="5" a="1"/>
  <c r="J727" i="5" s="1"/>
  <c r="J728" i="5" a="1"/>
  <c r="J728" i="5" s="1"/>
  <c r="J729" i="5" a="1"/>
  <c r="J729" i="5" s="1"/>
  <c r="J730" i="5" a="1"/>
  <c r="J730" i="5"/>
  <c r="J731" i="5" a="1"/>
  <c r="J731" i="5" s="1"/>
  <c r="J732" i="5" a="1"/>
  <c r="J732" i="5" s="1"/>
  <c r="J733" i="5" a="1"/>
  <c r="J733" i="5" s="1"/>
  <c r="J734" i="5" a="1"/>
  <c r="J734" i="5" s="1"/>
  <c r="J735" i="5" a="1"/>
  <c r="J735" i="5" s="1"/>
  <c r="J736" i="5" a="1"/>
  <c r="J736" i="5" s="1"/>
  <c r="J737" i="5" a="1"/>
  <c r="J737" i="5" s="1"/>
  <c r="J738" i="5" a="1"/>
  <c r="J738" i="5" s="1"/>
  <c r="J739" i="5" a="1"/>
  <c r="J739" i="5" s="1"/>
  <c r="J740" i="5" a="1"/>
  <c r="J740" i="5" s="1"/>
  <c r="J741" i="5" a="1"/>
  <c r="J741" i="5"/>
  <c r="J742" i="5" a="1"/>
  <c r="J742" i="5" s="1"/>
  <c r="J743" i="5" a="1"/>
  <c r="J743" i="5" s="1"/>
  <c r="J744" i="5" a="1"/>
  <c r="J744" i="5" s="1"/>
  <c r="J745" i="5" a="1"/>
  <c r="J745" i="5" s="1"/>
  <c r="J746" i="5" a="1"/>
  <c r="J746" i="5"/>
  <c r="J747" i="5" a="1"/>
  <c r="J747" i="5" s="1"/>
  <c r="J748" i="5" a="1"/>
  <c r="J748" i="5" s="1"/>
  <c r="J749" i="5" a="1"/>
  <c r="J749" i="5" s="1"/>
  <c r="J750" i="5" a="1"/>
  <c r="J750" i="5" s="1"/>
  <c r="J751" i="5" a="1"/>
  <c r="J751" i="5" s="1"/>
  <c r="J752" i="5" a="1"/>
  <c r="J752" i="5" s="1"/>
  <c r="J753" i="5" a="1"/>
  <c r="J753" i="5" s="1"/>
  <c r="J754" i="5" a="1"/>
  <c r="J754" i="5" s="1"/>
  <c r="J755" i="5" a="1"/>
  <c r="J755" i="5" s="1"/>
  <c r="J756" i="5" a="1"/>
  <c r="J756" i="5" s="1"/>
  <c r="J757" i="5" a="1"/>
  <c r="J757" i="5"/>
  <c r="J758" i="5" a="1"/>
  <c r="J758" i="5" s="1"/>
  <c r="J759" i="5" a="1"/>
  <c r="J759" i="5" s="1"/>
  <c r="J760" i="5" a="1"/>
  <c r="J760" i="5" s="1"/>
  <c r="J761" i="5" a="1"/>
  <c r="J761" i="5" s="1"/>
  <c r="J762" i="5" a="1"/>
  <c r="J762" i="5"/>
  <c r="J763" i="5" a="1"/>
  <c r="J763" i="5" s="1"/>
  <c r="J764" i="5" a="1"/>
  <c r="J764" i="5" s="1"/>
  <c r="J765" i="5" a="1"/>
  <c r="J765" i="5" s="1"/>
  <c r="J766" i="5" a="1"/>
  <c r="J766" i="5" s="1"/>
  <c r="J767" i="5" a="1"/>
  <c r="J767" i="5" s="1"/>
  <c r="J768" i="5" a="1"/>
  <c r="J768" i="5" s="1"/>
  <c r="J769" i="5" a="1"/>
  <c r="J769" i="5" s="1"/>
  <c r="J770" i="5" a="1"/>
  <c r="J770" i="5" s="1"/>
  <c r="J771" i="5" a="1"/>
  <c r="J771" i="5" s="1"/>
  <c r="J772" i="5" a="1"/>
  <c r="J772" i="5" s="1"/>
  <c r="J773" i="5" a="1"/>
  <c r="J773" i="5"/>
  <c r="J774" i="5" a="1"/>
  <c r="J774" i="5" s="1"/>
  <c r="J775" i="5" a="1"/>
  <c r="J775" i="5" s="1"/>
  <c r="J776" i="5" a="1"/>
  <c r="J776" i="5" s="1"/>
  <c r="J777" i="5" a="1"/>
  <c r="J777" i="5" s="1"/>
  <c r="J778" i="5" a="1"/>
  <c r="J778" i="5"/>
  <c r="J779" i="5" a="1"/>
  <c r="J779" i="5" s="1"/>
  <c r="J780" i="5" a="1"/>
  <c r="J780" i="5" s="1"/>
  <c r="J781" i="5" a="1"/>
  <c r="J781" i="5" s="1"/>
  <c r="J782" i="5" a="1"/>
  <c r="J782" i="5" s="1"/>
  <c r="J783" i="5" a="1"/>
  <c r="J783" i="5" s="1"/>
  <c r="J784" i="5" a="1"/>
  <c r="J784" i="5" s="1"/>
  <c r="J785" i="5" a="1"/>
  <c r="J785" i="5" s="1"/>
  <c r="J786" i="5" a="1"/>
  <c r="J786" i="5" s="1"/>
  <c r="J787" i="5" a="1"/>
  <c r="J787" i="5" s="1"/>
  <c r="J788" i="5" a="1"/>
  <c r="J788" i="5" s="1"/>
  <c r="J789" i="5" a="1"/>
  <c r="J789" i="5"/>
  <c r="J790" i="5" a="1"/>
  <c r="J790" i="5" s="1"/>
  <c r="J791" i="5" a="1"/>
  <c r="J791" i="5" s="1"/>
  <c r="J792" i="5" a="1"/>
  <c r="J792" i="5" s="1"/>
  <c r="J793" i="5" a="1"/>
  <c r="J793" i="5" s="1"/>
  <c r="J794" i="5" a="1"/>
  <c r="J794" i="5"/>
  <c r="J795" i="5" a="1"/>
  <c r="J795" i="5" s="1"/>
  <c r="J796" i="5" a="1"/>
  <c r="J796" i="5" s="1"/>
  <c r="J797" i="5" a="1"/>
  <c r="J797" i="5" s="1"/>
  <c r="J798" i="5" a="1"/>
  <c r="J798" i="5" s="1"/>
  <c r="J799" i="5" a="1"/>
  <c r="J799" i="5" s="1"/>
  <c r="J800" i="5" a="1"/>
  <c r="J800" i="5" s="1"/>
  <c r="J801" i="5" a="1"/>
  <c r="J801" i="5" s="1"/>
  <c r="J802" i="5" a="1"/>
  <c r="J802" i="5" s="1"/>
  <c r="J803" i="5" a="1"/>
  <c r="J803" i="5" s="1"/>
  <c r="J804" i="5" a="1"/>
  <c r="J804" i="5" s="1"/>
  <c r="J805" i="5" a="1"/>
  <c r="J805" i="5"/>
  <c r="J806" i="5" a="1"/>
  <c r="J806" i="5" s="1"/>
  <c r="J807" i="5" a="1"/>
  <c r="J807" i="5" s="1"/>
  <c r="J808" i="5" a="1"/>
  <c r="J808" i="5" s="1"/>
  <c r="J809" i="5" a="1"/>
  <c r="J809" i="5" s="1"/>
  <c r="J810" i="5" a="1"/>
  <c r="J810" i="5"/>
  <c r="J811" i="5" a="1"/>
  <c r="J811" i="5" s="1"/>
  <c r="J812" i="5" a="1"/>
  <c r="J812" i="5" s="1"/>
  <c r="J813" i="5" a="1"/>
  <c r="J813" i="5" s="1"/>
  <c r="J814" i="5" a="1"/>
  <c r="J814" i="5" s="1"/>
  <c r="J815" i="5" a="1"/>
  <c r="J815" i="5" s="1"/>
  <c r="J816" i="5" a="1"/>
  <c r="J816" i="5" s="1"/>
  <c r="J817" i="5" a="1"/>
  <c r="J817" i="5" s="1"/>
  <c r="J818" i="5" a="1"/>
  <c r="J818" i="5" s="1"/>
  <c r="J819" i="5" a="1"/>
  <c r="J819" i="5" s="1"/>
  <c r="J820" i="5" a="1"/>
  <c r="J820" i="5" s="1"/>
  <c r="J821" i="5" a="1"/>
  <c r="J821" i="5"/>
  <c r="J822" i="5" a="1"/>
  <c r="J822" i="5" s="1"/>
  <c r="J823" i="5" a="1"/>
  <c r="J823" i="5" s="1"/>
  <c r="J824" i="5" a="1"/>
  <c r="J824" i="5" s="1"/>
  <c r="J825" i="5" a="1"/>
  <c r="J825" i="5" s="1"/>
  <c r="J826" i="5" a="1"/>
  <c r="J826" i="5"/>
  <c r="J827" i="5" a="1"/>
  <c r="J827" i="5" s="1"/>
  <c r="J828" i="5" a="1"/>
  <c r="J828" i="5" s="1"/>
  <c r="J829" i="5" a="1"/>
  <c r="J829" i="5" s="1"/>
  <c r="J830" i="5" a="1"/>
  <c r="J830" i="5" s="1"/>
  <c r="J831" i="5" a="1"/>
  <c r="J831" i="5" s="1"/>
  <c r="J832" i="5" a="1"/>
  <c r="J832" i="5" s="1"/>
  <c r="J833" i="5" a="1"/>
  <c r="J833" i="5" s="1"/>
  <c r="J834" i="5" a="1"/>
  <c r="J834" i="5" s="1"/>
  <c r="J835" i="5" a="1"/>
  <c r="J835" i="5" s="1"/>
  <c r="J836" i="5" a="1"/>
  <c r="J836" i="5" s="1"/>
  <c r="J837" i="5" a="1"/>
  <c r="J837" i="5"/>
  <c r="J838" i="5" a="1"/>
  <c r="J838" i="5" s="1"/>
  <c r="J839" i="5" a="1"/>
  <c r="J839" i="5" s="1"/>
  <c r="J840" i="5" a="1"/>
  <c r="J840" i="5" s="1"/>
  <c r="J841" i="5" a="1"/>
  <c r="J841" i="5" s="1"/>
  <c r="J842" i="5" a="1"/>
  <c r="J842" i="5"/>
  <c r="J843" i="5" a="1"/>
  <c r="J843" i="5" s="1"/>
  <c r="J844" i="5" a="1"/>
  <c r="J844" i="5" s="1"/>
  <c r="J845" i="5" a="1"/>
  <c r="J845" i="5" s="1"/>
  <c r="J846" i="5" a="1"/>
  <c r="J846" i="5" s="1"/>
  <c r="J847" i="5" a="1"/>
  <c r="J847" i="5" s="1"/>
  <c r="J848" i="5" a="1"/>
  <c r="J848" i="5" s="1"/>
  <c r="J849" i="5" a="1"/>
  <c r="J849" i="5" s="1"/>
  <c r="J850" i="5" a="1"/>
  <c r="J850" i="5" s="1"/>
  <c r="J851" i="5" a="1"/>
  <c r="J851" i="5" s="1"/>
  <c r="J852" i="5" a="1"/>
  <c r="J852" i="5" s="1"/>
  <c r="J853" i="5" a="1"/>
  <c r="J853" i="5"/>
  <c r="J854" i="5" a="1"/>
  <c r="J854" i="5" s="1"/>
  <c r="J855" i="5" a="1"/>
  <c r="J855" i="5" s="1"/>
  <c r="J856" i="5" a="1"/>
  <c r="J856" i="5" s="1"/>
  <c r="J857" i="5" a="1"/>
  <c r="J857" i="5" s="1"/>
  <c r="J858" i="5" a="1"/>
  <c r="J858" i="5"/>
  <c r="J859" i="5" a="1"/>
  <c r="J859" i="5" s="1"/>
  <c r="J860" i="5" a="1"/>
  <c r="J860" i="5" s="1"/>
  <c r="J861" i="5" a="1"/>
  <c r="J861" i="5" s="1"/>
  <c r="J862" i="5" a="1"/>
  <c r="J862" i="5" s="1"/>
  <c r="J863" i="5" a="1"/>
  <c r="J863" i="5" s="1"/>
  <c r="J864" i="5" a="1"/>
  <c r="J864" i="5" s="1"/>
  <c r="J865" i="5" a="1"/>
  <c r="J865" i="5" s="1"/>
  <c r="J866" i="5" a="1"/>
  <c r="J866" i="5" s="1"/>
  <c r="J867" i="5" a="1"/>
  <c r="J867" i="5" s="1"/>
  <c r="J868" i="5" a="1"/>
  <c r="J868" i="5" s="1"/>
  <c r="J869" i="5" a="1"/>
  <c r="J869" i="5"/>
  <c r="J870" i="5" a="1"/>
  <c r="J870" i="5" s="1"/>
  <c r="J871" i="5" a="1"/>
  <c r="J871" i="5" s="1"/>
  <c r="J872" i="5" a="1"/>
  <c r="J872" i="5" s="1"/>
  <c r="J873" i="5" a="1"/>
  <c r="J873" i="5" s="1"/>
  <c r="J874" i="5" a="1"/>
  <c r="J874" i="5"/>
  <c r="J875" i="5" a="1"/>
  <c r="J875" i="5" s="1"/>
  <c r="J876" i="5" a="1"/>
  <c r="J876" i="5" s="1"/>
  <c r="J877" i="5" a="1"/>
  <c r="J877" i="5" s="1"/>
  <c r="J878" i="5" a="1"/>
  <c r="J878" i="5" s="1"/>
  <c r="J879" i="5" a="1"/>
  <c r="J879" i="5" s="1"/>
  <c r="J880" i="5" a="1"/>
  <c r="J880" i="5" s="1"/>
  <c r="J881" i="5" a="1"/>
  <c r="J881" i="5" s="1"/>
  <c r="J882" i="5" a="1"/>
  <c r="J882" i="5" s="1"/>
  <c r="J883" i="5" a="1"/>
  <c r="J883" i="5" s="1"/>
  <c r="J884" i="5" a="1"/>
  <c r="J884" i="5" s="1"/>
  <c r="J885" i="5" a="1"/>
  <c r="J885" i="5"/>
  <c r="J886" i="5" a="1"/>
  <c r="J886" i="5" s="1"/>
  <c r="J887" i="5" a="1"/>
  <c r="J887" i="5" s="1"/>
  <c r="J888" i="5" a="1"/>
  <c r="J888" i="5" s="1"/>
  <c r="J889" i="5" a="1"/>
  <c r="J889" i="5" s="1"/>
  <c r="J890" i="5" a="1"/>
  <c r="J890" i="5"/>
  <c r="J891" i="5" a="1"/>
  <c r="J891" i="5" s="1"/>
  <c r="J892" i="5" a="1"/>
  <c r="J892" i="5" s="1"/>
  <c r="I4" i="5" a="1"/>
  <c r="I4" i="5" s="1"/>
  <c r="L2606" i="4" l="1"/>
  <c r="K2606" i="4"/>
  <c r="L2605" i="4"/>
  <c r="K2605" i="4"/>
  <c r="L2604" i="4"/>
  <c r="K2604" i="4"/>
  <c r="L2603" i="4"/>
  <c r="K2603" i="4"/>
  <c r="L2602" i="4"/>
  <c r="K2602" i="4"/>
  <c r="L2601" i="4"/>
  <c r="K2601" i="4"/>
  <c r="L2600" i="4"/>
  <c r="K2600" i="4"/>
  <c r="L2599" i="4"/>
  <c r="K2599" i="4"/>
  <c r="L2598" i="4"/>
  <c r="K2598" i="4"/>
  <c r="L2597" i="4"/>
  <c r="K2597" i="4"/>
  <c r="L2596" i="4"/>
  <c r="K2596" i="4"/>
  <c r="L2595" i="4"/>
  <c r="K2595" i="4"/>
  <c r="L2594" i="4"/>
  <c r="K2594" i="4"/>
  <c r="L2593" i="4"/>
  <c r="K2593" i="4"/>
  <c r="L2592" i="4"/>
  <c r="K2592" i="4"/>
  <c r="L2591" i="4"/>
  <c r="K2591" i="4"/>
  <c r="L2590" i="4"/>
  <c r="K2590" i="4"/>
  <c r="L2589" i="4"/>
  <c r="K2589" i="4"/>
  <c r="L2588" i="4"/>
  <c r="K2588" i="4"/>
  <c r="L2587" i="4"/>
  <c r="K2587" i="4"/>
  <c r="L2586" i="4"/>
  <c r="K2586" i="4"/>
  <c r="L2585" i="4"/>
  <c r="K2585" i="4"/>
  <c r="L2584" i="4"/>
  <c r="K2584" i="4"/>
  <c r="L2583" i="4"/>
  <c r="K2583" i="4"/>
  <c r="L2582" i="4"/>
  <c r="K2582" i="4"/>
  <c r="L2581" i="4"/>
  <c r="K2581" i="4"/>
  <c r="L2580" i="4"/>
  <c r="K2580" i="4"/>
  <c r="L2579" i="4"/>
  <c r="K2579" i="4"/>
  <c r="L2578" i="4"/>
  <c r="K2578" i="4"/>
  <c r="L2577" i="4"/>
  <c r="K2577" i="4"/>
  <c r="L2576" i="4"/>
  <c r="K2576" i="4"/>
  <c r="L2575" i="4"/>
  <c r="K2575" i="4"/>
  <c r="L2574" i="4"/>
  <c r="K2574" i="4"/>
  <c r="L2573" i="4"/>
  <c r="K2573" i="4"/>
  <c r="L2572" i="4"/>
  <c r="K2572" i="4"/>
  <c r="L2571" i="4"/>
  <c r="K2571" i="4"/>
  <c r="L2570" i="4"/>
  <c r="K2570" i="4"/>
  <c r="L2569" i="4"/>
  <c r="K2569" i="4"/>
  <c r="L2568" i="4"/>
  <c r="K2568" i="4"/>
  <c r="L2567" i="4"/>
  <c r="K2567" i="4"/>
  <c r="L2566" i="4"/>
  <c r="K2566" i="4"/>
  <c r="L2565" i="4"/>
  <c r="K2565" i="4"/>
  <c r="L2564" i="4"/>
  <c r="K2564" i="4"/>
  <c r="L2563" i="4"/>
  <c r="K2563" i="4"/>
  <c r="L2562" i="4"/>
  <c r="K2562" i="4"/>
  <c r="L2561" i="4"/>
  <c r="K2561" i="4"/>
  <c r="L2560" i="4"/>
  <c r="K2560" i="4"/>
  <c r="L2559" i="4"/>
  <c r="K2559" i="4"/>
  <c r="L2558" i="4"/>
  <c r="K2558" i="4"/>
  <c r="L2557" i="4"/>
  <c r="K2557" i="4"/>
  <c r="L2556" i="4"/>
  <c r="K2556" i="4"/>
  <c r="L2555" i="4"/>
  <c r="K2555" i="4"/>
  <c r="L2554" i="4"/>
  <c r="K2554" i="4"/>
  <c r="L2553" i="4"/>
  <c r="K2553" i="4"/>
  <c r="L2552" i="4"/>
  <c r="K2552" i="4"/>
  <c r="L2551" i="4"/>
  <c r="K2551" i="4"/>
  <c r="L2550" i="4"/>
  <c r="K2550" i="4"/>
  <c r="L2549" i="4"/>
  <c r="K2549" i="4"/>
  <c r="L2548" i="4"/>
  <c r="K2548" i="4"/>
  <c r="L2547" i="4"/>
  <c r="K2547" i="4"/>
  <c r="L2546" i="4"/>
  <c r="K2546" i="4"/>
  <c r="L2545" i="4"/>
  <c r="K2545" i="4"/>
  <c r="L2544" i="4"/>
  <c r="K2544" i="4"/>
  <c r="L2543" i="4"/>
  <c r="K2543" i="4"/>
  <c r="L2542" i="4"/>
  <c r="K2542" i="4"/>
  <c r="L2541" i="4"/>
  <c r="K2541" i="4"/>
  <c r="L2540" i="4"/>
  <c r="K2540" i="4"/>
  <c r="L2539" i="4"/>
  <c r="K2539" i="4"/>
  <c r="L2538" i="4"/>
  <c r="K2538" i="4"/>
  <c r="L2537" i="4"/>
  <c r="K2537" i="4"/>
  <c r="L2536" i="4"/>
  <c r="K2536" i="4"/>
  <c r="L2535" i="4"/>
  <c r="K2535" i="4"/>
  <c r="L2534" i="4"/>
  <c r="K2534" i="4"/>
  <c r="L2533" i="4"/>
  <c r="K2533" i="4"/>
  <c r="L2532" i="4"/>
  <c r="K2532" i="4"/>
  <c r="L2531" i="4"/>
  <c r="K2531" i="4"/>
  <c r="L2530" i="4"/>
  <c r="K2530" i="4"/>
  <c r="L2529" i="4"/>
  <c r="K2529" i="4"/>
  <c r="L2528" i="4"/>
  <c r="K2528" i="4"/>
  <c r="L2527" i="4"/>
  <c r="K2527" i="4"/>
  <c r="L2526" i="4"/>
  <c r="K2526" i="4"/>
  <c r="L2525" i="4"/>
  <c r="K2525" i="4"/>
  <c r="L2524" i="4"/>
  <c r="K2524" i="4"/>
  <c r="L2523" i="4"/>
  <c r="K2523" i="4"/>
  <c r="L2522" i="4"/>
  <c r="K2522" i="4"/>
  <c r="L2521" i="4"/>
  <c r="K2521" i="4"/>
  <c r="L2520" i="4"/>
  <c r="K2520" i="4"/>
  <c r="L2519" i="4"/>
  <c r="K2519" i="4"/>
  <c r="L2518" i="4"/>
  <c r="K2518" i="4"/>
  <c r="L2517" i="4"/>
  <c r="K2517" i="4"/>
  <c r="L2516" i="4"/>
  <c r="K2516" i="4"/>
  <c r="L2515" i="4"/>
  <c r="K2515" i="4"/>
  <c r="L2514" i="4"/>
  <c r="K2514" i="4"/>
  <c r="L2513" i="4"/>
  <c r="K2513" i="4"/>
  <c r="L2512" i="4"/>
  <c r="K2512" i="4"/>
  <c r="L2511" i="4"/>
  <c r="K2511" i="4"/>
  <c r="L2510" i="4"/>
  <c r="K2510" i="4"/>
  <c r="L2509" i="4"/>
  <c r="K2509" i="4"/>
  <c r="L2508" i="4"/>
  <c r="K2508" i="4"/>
  <c r="L2507" i="4"/>
  <c r="K2507" i="4"/>
  <c r="L2506" i="4"/>
  <c r="K2506" i="4"/>
  <c r="L2505" i="4"/>
  <c r="K2505" i="4"/>
  <c r="L2504" i="4"/>
  <c r="K2504" i="4"/>
  <c r="L2503" i="4"/>
  <c r="K2503" i="4"/>
  <c r="L2502" i="4"/>
  <c r="K2502" i="4"/>
  <c r="L2501" i="4"/>
  <c r="K2501" i="4"/>
  <c r="L2500" i="4"/>
  <c r="K2500" i="4"/>
  <c r="L2499" i="4"/>
  <c r="K2499" i="4"/>
  <c r="L2498" i="4"/>
  <c r="K2498" i="4"/>
  <c r="L2497" i="4"/>
  <c r="K2497" i="4"/>
  <c r="L2496" i="4"/>
  <c r="K2496" i="4"/>
  <c r="L2495" i="4"/>
  <c r="K2495" i="4"/>
  <c r="L2494" i="4"/>
  <c r="K2494" i="4"/>
  <c r="L2493" i="4"/>
  <c r="K2493" i="4"/>
  <c r="L2492" i="4"/>
  <c r="K2492" i="4"/>
  <c r="L2491" i="4"/>
  <c r="K2491" i="4"/>
  <c r="L2490" i="4"/>
  <c r="K2490" i="4"/>
  <c r="L2489" i="4"/>
  <c r="K2489" i="4"/>
  <c r="L2488" i="4"/>
  <c r="K2488" i="4"/>
  <c r="L2487" i="4"/>
  <c r="K2487" i="4"/>
  <c r="L2486" i="4"/>
  <c r="K2486" i="4"/>
  <c r="L2485" i="4"/>
  <c r="K2485" i="4"/>
  <c r="L2484" i="4"/>
  <c r="K2484" i="4"/>
  <c r="L2483" i="4"/>
  <c r="K2483" i="4"/>
  <c r="L2482" i="4"/>
  <c r="K2482" i="4"/>
  <c r="L2481" i="4"/>
  <c r="K2481" i="4"/>
  <c r="L2480" i="4"/>
  <c r="K2480" i="4"/>
  <c r="L2479" i="4"/>
  <c r="K2479" i="4"/>
  <c r="L2478" i="4"/>
  <c r="K2478" i="4"/>
  <c r="L2477" i="4"/>
  <c r="K2477" i="4"/>
  <c r="L2476" i="4"/>
  <c r="K2476" i="4"/>
  <c r="L2475" i="4"/>
  <c r="K2475" i="4"/>
  <c r="L2474" i="4"/>
  <c r="K2474" i="4"/>
  <c r="L2473" i="4"/>
  <c r="K2473" i="4"/>
  <c r="L2472" i="4"/>
  <c r="K2472" i="4"/>
  <c r="L2471" i="4"/>
  <c r="K2471" i="4"/>
  <c r="L2470" i="4"/>
  <c r="K2470" i="4"/>
  <c r="L2469" i="4"/>
  <c r="K2469" i="4"/>
  <c r="L2468" i="4"/>
  <c r="K2468" i="4"/>
  <c r="L2467" i="4"/>
  <c r="K2467" i="4"/>
  <c r="L2466" i="4"/>
  <c r="K2466" i="4"/>
  <c r="L2465" i="4"/>
  <c r="K2465" i="4"/>
  <c r="L2464" i="4"/>
  <c r="K2464" i="4"/>
  <c r="L2463" i="4"/>
  <c r="K2463" i="4"/>
  <c r="L2462" i="4"/>
  <c r="K2462" i="4"/>
  <c r="L2461" i="4"/>
  <c r="K2461" i="4"/>
  <c r="L2460" i="4"/>
  <c r="K2460" i="4"/>
  <c r="L2459" i="4"/>
  <c r="K2459" i="4"/>
  <c r="L2458" i="4"/>
  <c r="K2458" i="4"/>
  <c r="L2457" i="4"/>
  <c r="K2457" i="4"/>
  <c r="L2456" i="4"/>
  <c r="K2456" i="4"/>
  <c r="L2455" i="4"/>
  <c r="K2455" i="4"/>
  <c r="L2454" i="4"/>
  <c r="K2454" i="4"/>
  <c r="L2453" i="4"/>
  <c r="K2453" i="4"/>
  <c r="L2452" i="4"/>
  <c r="K2452" i="4"/>
  <c r="L2451" i="4"/>
  <c r="K2451" i="4"/>
  <c r="L2450" i="4"/>
  <c r="K2450" i="4"/>
  <c r="L2449" i="4"/>
  <c r="K2449" i="4"/>
  <c r="L2448" i="4"/>
  <c r="K2448" i="4"/>
  <c r="L2447" i="4"/>
  <c r="K2447" i="4"/>
  <c r="L2446" i="4"/>
  <c r="K2446" i="4"/>
  <c r="L2445" i="4"/>
  <c r="K2445" i="4"/>
  <c r="L2444" i="4"/>
  <c r="K2444" i="4"/>
  <c r="L2443" i="4"/>
  <c r="K2443" i="4"/>
  <c r="L2442" i="4"/>
  <c r="K2442" i="4"/>
  <c r="L2441" i="4"/>
  <c r="K2441" i="4"/>
  <c r="L2440" i="4"/>
  <c r="K2440" i="4"/>
  <c r="L2439" i="4"/>
  <c r="K2439" i="4"/>
  <c r="L2438" i="4"/>
  <c r="K2438" i="4"/>
  <c r="L2437" i="4"/>
  <c r="K2437" i="4"/>
  <c r="L2436" i="4"/>
  <c r="K2436" i="4"/>
  <c r="L2435" i="4"/>
  <c r="K2435" i="4"/>
  <c r="L2434" i="4"/>
  <c r="K2434" i="4"/>
  <c r="L2433" i="4"/>
  <c r="K2433" i="4"/>
  <c r="L2432" i="4"/>
  <c r="K2432" i="4"/>
  <c r="L2431" i="4"/>
  <c r="K2431" i="4"/>
  <c r="L2430" i="4"/>
  <c r="K2430" i="4"/>
  <c r="L2429" i="4"/>
  <c r="K2429" i="4"/>
  <c r="L2428" i="4"/>
  <c r="K2428" i="4"/>
  <c r="L2427" i="4"/>
  <c r="K2427" i="4"/>
  <c r="L2426" i="4"/>
  <c r="K2426" i="4"/>
  <c r="L2425" i="4"/>
  <c r="K2425" i="4"/>
  <c r="L2424" i="4"/>
  <c r="K2424" i="4"/>
  <c r="L2423" i="4"/>
  <c r="K2423" i="4"/>
  <c r="L2422" i="4"/>
  <c r="K2422" i="4"/>
  <c r="L2421" i="4"/>
  <c r="K2421" i="4"/>
  <c r="L2420" i="4"/>
  <c r="K2420" i="4"/>
  <c r="L2419" i="4"/>
  <c r="K2419" i="4"/>
  <c r="L2418" i="4"/>
  <c r="K2418" i="4"/>
  <c r="L2417" i="4"/>
  <c r="K2417" i="4"/>
  <c r="L2416" i="4"/>
  <c r="K2416" i="4"/>
  <c r="L2415" i="4"/>
  <c r="K2415" i="4"/>
  <c r="L2414" i="4"/>
  <c r="K2414" i="4"/>
  <c r="L2413" i="4"/>
  <c r="K2413" i="4"/>
  <c r="L2412" i="4"/>
  <c r="K2412" i="4"/>
  <c r="L2411" i="4"/>
  <c r="K2411" i="4"/>
  <c r="L2410" i="4"/>
  <c r="K2410" i="4"/>
  <c r="L2409" i="4"/>
  <c r="K2409" i="4"/>
  <c r="L2408" i="4"/>
  <c r="K2408" i="4"/>
  <c r="L2407" i="4"/>
  <c r="K2407" i="4"/>
  <c r="L2406" i="4"/>
  <c r="K2406" i="4"/>
  <c r="L2405" i="4"/>
  <c r="K2405" i="4"/>
  <c r="L2404" i="4"/>
  <c r="K2404" i="4"/>
  <c r="L2403" i="4"/>
  <c r="K2403" i="4"/>
  <c r="L2402" i="4"/>
  <c r="K2402" i="4"/>
  <c r="L2401" i="4"/>
  <c r="K2401" i="4"/>
  <c r="L2400" i="4"/>
  <c r="K2400" i="4"/>
  <c r="L2399" i="4"/>
  <c r="K2399" i="4"/>
  <c r="L2398" i="4"/>
  <c r="K2398" i="4"/>
  <c r="L2397" i="4"/>
  <c r="K2397" i="4"/>
  <c r="L2396" i="4"/>
  <c r="K2396" i="4"/>
  <c r="L2395" i="4"/>
  <c r="K2395" i="4"/>
  <c r="L2394" i="4"/>
  <c r="K2394" i="4"/>
  <c r="L2393" i="4"/>
  <c r="K2393" i="4"/>
  <c r="L2392" i="4"/>
  <c r="K2392" i="4"/>
  <c r="L2391" i="4"/>
  <c r="K2391" i="4"/>
  <c r="L2390" i="4"/>
  <c r="K2390" i="4"/>
  <c r="L2389" i="4"/>
  <c r="K2389" i="4"/>
  <c r="L2388" i="4"/>
  <c r="K2388" i="4"/>
  <c r="L2387" i="4"/>
  <c r="K2387" i="4"/>
  <c r="L2386" i="4"/>
  <c r="K2386" i="4"/>
  <c r="L2385" i="4"/>
  <c r="K2385" i="4"/>
  <c r="L2384" i="4"/>
  <c r="K2384" i="4"/>
  <c r="L2383" i="4"/>
  <c r="K2383" i="4"/>
  <c r="L2382" i="4"/>
  <c r="K2382" i="4"/>
  <c r="L2381" i="4"/>
  <c r="K2381" i="4"/>
  <c r="L2380" i="4"/>
  <c r="K2380" i="4"/>
  <c r="L2379" i="4"/>
  <c r="K2379" i="4"/>
  <c r="L2378" i="4"/>
  <c r="K2378" i="4"/>
  <c r="L2377" i="4"/>
  <c r="K2377" i="4"/>
  <c r="L2376" i="4"/>
  <c r="K2376" i="4"/>
  <c r="L2375" i="4"/>
  <c r="K2375" i="4"/>
  <c r="L2374" i="4"/>
  <c r="K2374" i="4"/>
  <c r="L2373" i="4"/>
  <c r="K2373" i="4"/>
  <c r="L2372" i="4"/>
  <c r="K2372" i="4"/>
  <c r="L2371" i="4"/>
  <c r="K2371" i="4"/>
  <c r="L2370" i="4"/>
  <c r="K2370" i="4"/>
  <c r="L2369" i="4"/>
  <c r="K2369" i="4"/>
  <c r="L2368" i="4"/>
  <c r="K2368" i="4"/>
  <c r="L2367" i="4"/>
  <c r="K2367" i="4"/>
  <c r="L2366" i="4"/>
  <c r="K2366" i="4"/>
  <c r="L2365" i="4"/>
  <c r="K2365" i="4"/>
  <c r="L2364" i="4"/>
  <c r="K2364" i="4"/>
  <c r="L2363" i="4"/>
  <c r="K2363" i="4"/>
  <c r="L2362" i="4"/>
  <c r="K2362" i="4"/>
  <c r="L2361" i="4"/>
  <c r="K2361" i="4"/>
  <c r="L2360" i="4"/>
  <c r="K2360" i="4"/>
  <c r="L2359" i="4"/>
  <c r="K2359" i="4"/>
  <c r="L2358" i="4"/>
  <c r="K2358" i="4"/>
  <c r="L2357" i="4"/>
  <c r="K2357" i="4"/>
  <c r="L2356" i="4"/>
  <c r="K2356" i="4"/>
  <c r="L2355" i="4"/>
  <c r="K2355" i="4"/>
  <c r="L2354" i="4"/>
  <c r="K2354" i="4"/>
  <c r="L2353" i="4"/>
  <c r="K2353" i="4"/>
  <c r="L2352" i="4"/>
  <c r="K2352" i="4"/>
  <c r="L2351" i="4"/>
  <c r="K2351" i="4"/>
  <c r="L2350" i="4"/>
  <c r="K2350" i="4"/>
  <c r="L2349" i="4"/>
  <c r="K2349" i="4"/>
  <c r="L2348" i="4"/>
  <c r="K2348" i="4"/>
  <c r="L2347" i="4"/>
  <c r="K2347" i="4"/>
  <c r="L2346" i="4"/>
  <c r="K2346" i="4"/>
  <c r="L2345" i="4"/>
  <c r="K2345" i="4"/>
  <c r="L2344" i="4"/>
  <c r="K2344" i="4"/>
  <c r="L2343" i="4"/>
  <c r="K2343" i="4"/>
  <c r="L2342" i="4"/>
  <c r="K2342" i="4"/>
  <c r="L2341" i="4"/>
  <c r="K2341" i="4"/>
  <c r="L2340" i="4"/>
  <c r="K2340" i="4"/>
  <c r="L2339" i="4"/>
  <c r="K2339" i="4"/>
  <c r="L2338" i="4"/>
  <c r="K2338" i="4"/>
  <c r="L2337" i="4"/>
  <c r="K2337" i="4"/>
  <c r="L2336" i="4"/>
  <c r="K2336" i="4"/>
  <c r="L2335" i="4"/>
  <c r="K2335" i="4"/>
  <c r="L2334" i="4"/>
  <c r="K2334" i="4"/>
  <c r="L2333" i="4"/>
  <c r="K2333" i="4"/>
  <c r="L2332" i="4"/>
  <c r="K2332" i="4"/>
  <c r="L2331" i="4"/>
  <c r="K2331" i="4"/>
  <c r="L2330" i="4"/>
  <c r="K2330" i="4"/>
  <c r="L2329" i="4"/>
  <c r="K2329" i="4"/>
  <c r="L2328" i="4"/>
  <c r="K2328" i="4"/>
  <c r="L2327" i="4"/>
  <c r="K2327" i="4"/>
  <c r="L2326" i="4"/>
  <c r="K2326" i="4"/>
  <c r="L2325" i="4"/>
  <c r="K2325" i="4"/>
  <c r="L2324" i="4"/>
  <c r="K2324" i="4"/>
  <c r="L2323" i="4"/>
  <c r="K2323" i="4"/>
  <c r="L2322" i="4"/>
  <c r="K2322" i="4"/>
  <c r="L2321" i="4"/>
  <c r="K2321" i="4"/>
  <c r="L2320" i="4"/>
  <c r="K2320" i="4"/>
  <c r="L2319" i="4"/>
  <c r="K2319" i="4"/>
  <c r="L2318" i="4"/>
  <c r="K2318" i="4"/>
  <c r="L2317" i="4"/>
  <c r="K2317" i="4"/>
  <c r="L2316" i="4"/>
  <c r="K2316" i="4"/>
  <c r="L2315" i="4"/>
  <c r="K2315" i="4"/>
  <c r="L2314" i="4"/>
  <c r="K2314" i="4"/>
  <c r="L2313" i="4"/>
  <c r="K2313" i="4"/>
  <c r="L2312" i="4"/>
  <c r="K2312" i="4"/>
  <c r="L2311" i="4"/>
  <c r="K2311" i="4"/>
  <c r="L2310" i="4"/>
  <c r="K2310" i="4"/>
  <c r="L2309" i="4"/>
  <c r="K2309" i="4"/>
  <c r="L2308" i="4"/>
  <c r="K2308" i="4"/>
  <c r="L2307" i="4"/>
  <c r="K2307" i="4"/>
  <c r="L2306" i="4"/>
  <c r="K2306" i="4"/>
  <c r="L2305" i="4"/>
  <c r="K2305" i="4"/>
  <c r="L2304" i="4"/>
  <c r="K2304" i="4"/>
  <c r="L2303" i="4"/>
  <c r="K2303" i="4"/>
  <c r="L2302" i="4"/>
  <c r="K2302" i="4"/>
  <c r="L2301" i="4"/>
  <c r="K2301" i="4"/>
  <c r="L2300" i="4"/>
  <c r="K2300" i="4"/>
  <c r="L2299" i="4"/>
  <c r="K2299" i="4"/>
  <c r="L2298" i="4"/>
  <c r="K2298" i="4"/>
  <c r="L2297" i="4"/>
  <c r="K2297" i="4"/>
  <c r="L2296" i="4"/>
  <c r="K2296" i="4"/>
  <c r="L2295" i="4"/>
  <c r="K2295" i="4"/>
  <c r="L2294" i="4"/>
  <c r="K2294" i="4"/>
  <c r="L2293" i="4"/>
  <c r="K2293" i="4"/>
  <c r="L2292" i="4"/>
  <c r="K2292" i="4"/>
  <c r="L2291" i="4"/>
  <c r="K2291" i="4"/>
  <c r="L2290" i="4"/>
  <c r="K2290" i="4"/>
  <c r="L2289" i="4"/>
  <c r="K2289" i="4"/>
  <c r="L2288" i="4"/>
  <c r="K2288" i="4"/>
  <c r="L2287" i="4"/>
  <c r="K2287" i="4"/>
  <c r="L2286" i="4"/>
  <c r="K2286" i="4"/>
  <c r="L2285" i="4"/>
  <c r="K2285" i="4"/>
  <c r="L2284" i="4"/>
  <c r="K2284" i="4"/>
  <c r="L2283" i="4"/>
  <c r="K2283" i="4"/>
  <c r="L2282" i="4"/>
  <c r="K2282" i="4"/>
  <c r="L2281" i="4"/>
  <c r="K2281" i="4"/>
  <c r="L2280" i="4"/>
  <c r="K2280" i="4"/>
  <c r="L2279" i="4"/>
  <c r="K2279" i="4"/>
  <c r="L2278" i="4"/>
  <c r="K2278" i="4"/>
  <c r="L2277" i="4"/>
  <c r="K2277" i="4"/>
  <c r="L2276" i="4"/>
  <c r="K2276" i="4"/>
  <c r="L2275" i="4"/>
  <c r="K2275" i="4"/>
  <c r="L2274" i="4"/>
  <c r="K2274" i="4"/>
  <c r="L2273" i="4"/>
  <c r="K2273" i="4"/>
  <c r="L2272" i="4"/>
  <c r="K2272" i="4"/>
  <c r="L2271" i="4"/>
  <c r="K2271" i="4"/>
  <c r="L2270" i="4"/>
  <c r="K2270" i="4"/>
  <c r="L2269" i="4"/>
  <c r="K2269" i="4"/>
  <c r="L2268" i="4"/>
  <c r="K2268" i="4"/>
  <c r="L2267" i="4"/>
  <c r="K2267" i="4"/>
  <c r="L2266" i="4"/>
  <c r="K2266" i="4"/>
  <c r="L2265" i="4"/>
  <c r="K2265" i="4"/>
  <c r="L2264" i="4"/>
  <c r="K2264" i="4"/>
  <c r="L2263" i="4"/>
  <c r="K2263" i="4"/>
  <c r="L2262" i="4"/>
  <c r="K2262" i="4"/>
  <c r="L2261" i="4"/>
  <c r="K2261" i="4"/>
  <c r="L2260" i="4"/>
  <c r="K2260" i="4"/>
  <c r="L2259" i="4"/>
  <c r="K2259" i="4"/>
  <c r="L2258" i="4"/>
  <c r="K2258" i="4"/>
  <c r="L2257" i="4"/>
  <c r="K2257" i="4"/>
  <c r="L2256" i="4"/>
  <c r="K2256" i="4"/>
  <c r="L2255" i="4"/>
  <c r="K2255" i="4"/>
  <c r="L2254" i="4"/>
  <c r="K2254" i="4"/>
  <c r="L2253" i="4"/>
  <c r="K2253" i="4"/>
  <c r="L2252" i="4"/>
  <c r="K2252" i="4"/>
  <c r="L2251" i="4"/>
  <c r="K2251" i="4"/>
  <c r="L2250" i="4"/>
  <c r="K2250" i="4"/>
  <c r="L2249" i="4"/>
  <c r="K2249" i="4"/>
  <c r="L2248" i="4"/>
  <c r="K2248" i="4"/>
  <c r="L2247" i="4"/>
  <c r="K2247" i="4"/>
  <c r="L2246" i="4"/>
  <c r="K2246" i="4"/>
  <c r="L2245" i="4"/>
  <c r="K2245" i="4"/>
  <c r="L2244" i="4"/>
  <c r="K2244" i="4"/>
  <c r="L2243" i="4"/>
  <c r="K2243" i="4"/>
  <c r="L2242" i="4"/>
  <c r="K2242" i="4"/>
  <c r="L2241" i="4"/>
  <c r="K2241" i="4"/>
  <c r="L2240" i="4"/>
  <c r="K2240" i="4"/>
  <c r="L2239" i="4"/>
  <c r="K2239" i="4"/>
  <c r="L2238" i="4"/>
  <c r="K2238" i="4"/>
  <c r="L2237" i="4"/>
  <c r="K2237" i="4"/>
  <c r="L2236" i="4"/>
  <c r="K2236" i="4"/>
  <c r="L2235" i="4"/>
  <c r="K2235" i="4"/>
  <c r="L2234" i="4"/>
  <c r="K2234" i="4"/>
  <c r="L2233" i="4"/>
  <c r="K2233" i="4"/>
  <c r="L2232" i="4"/>
  <c r="K2232" i="4"/>
  <c r="L2231" i="4"/>
  <c r="K2231" i="4"/>
  <c r="L2230" i="4"/>
  <c r="K2230" i="4"/>
  <c r="L2229" i="4"/>
  <c r="K2229" i="4"/>
  <c r="L2228" i="4"/>
  <c r="K2228" i="4"/>
  <c r="L2227" i="4"/>
  <c r="K2227" i="4"/>
  <c r="L2226" i="4"/>
  <c r="K2226" i="4"/>
  <c r="L2225" i="4"/>
  <c r="K2225" i="4"/>
  <c r="L2224" i="4"/>
  <c r="K2224" i="4"/>
  <c r="L2223" i="4"/>
  <c r="K2223" i="4"/>
  <c r="L2222" i="4"/>
  <c r="K2222" i="4"/>
  <c r="L2221" i="4"/>
  <c r="K2221" i="4"/>
  <c r="L2220" i="4"/>
  <c r="K2220" i="4"/>
  <c r="L2219" i="4"/>
  <c r="K2219" i="4"/>
  <c r="L2218" i="4"/>
  <c r="K2218" i="4"/>
  <c r="L2217" i="4"/>
  <c r="K2217" i="4"/>
  <c r="L2216" i="4"/>
  <c r="K2216" i="4"/>
  <c r="L2215" i="4"/>
  <c r="K2215" i="4"/>
  <c r="L2214" i="4"/>
  <c r="K2214" i="4"/>
  <c r="L2213" i="4"/>
  <c r="K2213" i="4"/>
  <c r="L2212" i="4"/>
  <c r="K2212" i="4"/>
  <c r="L2211" i="4"/>
  <c r="K2211" i="4"/>
  <c r="L2210" i="4"/>
  <c r="K2210" i="4"/>
  <c r="L2209" i="4"/>
  <c r="K2209" i="4"/>
  <c r="L2208" i="4"/>
  <c r="K2208" i="4"/>
  <c r="L2207" i="4"/>
  <c r="K2207" i="4"/>
  <c r="L2206" i="4"/>
  <c r="K2206" i="4"/>
  <c r="L2205" i="4"/>
  <c r="K2205" i="4"/>
  <c r="L2204" i="4"/>
  <c r="K2204" i="4"/>
  <c r="L2203" i="4"/>
  <c r="K2203" i="4"/>
  <c r="L2202" i="4"/>
  <c r="K2202" i="4"/>
  <c r="L2201" i="4"/>
  <c r="K2201" i="4"/>
  <c r="L2200" i="4"/>
  <c r="K2200" i="4"/>
  <c r="L2199" i="4"/>
  <c r="K2199" i="4"/>
  <c r="L2198" i="4"/>
  <c r="K2198" i="4"/>
  <c r="L2197" i="4"/>
  <c r="K2197" i="4"/>
  <c r="L2196" i="4"/>
  <c r="K2196" i="4"/>
  <c r="L2195" i="4"/>
  <c r="K2195" i="4"/>
  <c r="L2194" i="4"/>
  <c r="K2194" i="4"/>
  <c r="L2193" i="4"/>
  <c r="K2193" i="4"/>
  <c r="L2192" i="4"/>
  <c r="K2192" i="4"/>
  <c r="L2191" i="4"/>
  <c r="K2191" i="4"/>
  <c r="L2190" i="4"/>
  <c r="K2190" i="4"/>
  <c r="L2189" i="4"/>
  <c r="K2189" i="4"/>
  <c r="L2188" i="4"/>
  <c r="K2188" i="4"/>
  <c r="L2187" i="4"/>
  <c r="K2187" i="4"/>
  <c r="L2186" i="4"/>
  <c r="K2186" i="4"/>
  <c r="L2185" i="4"/>
  <c r="K2185" i="4"/>
  <c r="L2184" i="4"/>
  <c r="K2184" i="4"/>
  <c r="L2183" i="4"/>
  <c r="K2183" i="4"/>
  <c r="L2182" i="4"/>
  <c r="K2182" i="4"/>
  <c r="L2181" i="4"/>
  <c r="K2181" i="4"/>
  <c r="L2180" i="4"/>
  <c r="K2180" i="4"/>
  <c r="L2179" i="4"/>
  <c r="K2179" i="4"/>
  <c r="L2178" i="4"/>
  <c r="K2178" i="4"/>
  <c r="L2177" i="4"/>
  <c r="K2177" i="4"/>
  <c r="L2176" i="4"/>
  <c r="K2176" i="4"/>
  <c r="L2175" i="4"/>
  <c r="K2175" i="4"/>
  <c r="L2174" i="4"/>
  <c r="K2174" i="4"/>
  <c r="L2173" i="4"/>
  <c r="K2173" i="4"/>
  <c r="L2172" i="4"/>
  <c r="K2172" i="4"/>
  <c r="L2171" i="4"/>
  <c r="K2171" i="4"/>
  <c r="L2170" i="4"/>
  <c r="K2170" i="4"/>
  <c r="L2169" i="4"/>
  <c r="K2169" i="4"/>
  <c r="L2168" i="4"/>
  <c r="K2168" i="4"/>
  <c r="L2167" i="4"/>
  <c r="K2167" i="4"/>
  <c r="L2166" i="4"/>
  <c r="K2166" i="4"/>
  <c r="L2165" i="4"/>
  <c r="K2165" i="4"/>
  <c r="L2164" i="4"/>
  <c r="K2164" i="4"/>
  <c r="L2163" i="4"/>
  <c r="K2163" i="4"/>
  <c r="L2162" i="4"/>
  <c r="K2162" i="4"/>
  <c r="L2161" i="4"/>
  <c r="K2161" i="4"/>
  <c r="L2160" i="4"/>
  <c r="K2160" i="4"/>
  <c r="L2159" i="4"/>
  <c r="K2159" i="4"/>
  <c r="L2158" i="4"/>
  <c r="K2158" i="4"/>
  <c r="L2157" i="4"/>
  <c r="K2157" i="4"/>
  <c r="L2156" i="4"/>
  <c r="K2156" i="4"/>
  <c r="L2155" i="4"/>
  <c r="K2155" i="4"/>
  <c r="L2154" i="4"/>
  <c r="K2154" i="4"/>
  <c r="L2153" i="4"/>
  <c r="K2153" i="4"/>
  <c r="L2152" i="4"/>
  <c r="K2152" i="4"/>
  <c r="L2151" i="4"/>
  <c r="K2151" i="4"/>
  <c r="L2150" i="4"/>
  <c r="K2150" i="4"/>
  <c r="L2149" i="4"/>
  <c r="K2149" i="4"/>
  <c r="L2148" i="4"/>
  <c r="K2148" i="4"/>
  <c r="L2147" i="4"/>
  <c r="K2147" i="4"/>
  <c r="L2146" i="4"/>
  <c r="K2146" i="4"/>
  <c r="L2145" i="4"/>
  <c r="K2145" i="4"/>
  <c r="L2144" i="4"/>
  <c r="K2144" i="4"/>
  <c r="L2143" i="4"/>
  <c r="K2143" i="4"/>
  <c r="L2142" i="4"/>
  <c r="K2142" i="4"/>
  <c r="L2141" i="4"/>
  <c r="K2141" i="4"/>
  <c r="L2140" i="4"/>
  <c r="K2140" i="4"/>
  <c r="L2139" i="4"/>
  <c r="K2139" i="4"/>
  <c r="L2138" i="4"/>
  <c r="K2138" i="4"/>
  <c r="L2137" i="4"/>
  <c r="K2137" i="4"/>
  <c r="L2136" i="4"/>
  <c r="K2136" i="4"/>
  <c r="L2135" i="4"/>
  <c r="K2135" i="4"/>
  <c r="L2134" i="4"/>
  <c r="K2134" i="4"/>
  <c r="L2133" i="4"/>
  <c r="K2133" i="4"/>
  <c r="L2132" i="4"/>
  <c r="K2132" i="4"/>
  <c r="L2131" i="4"/>
  <c r="K2131" i="4"/>
  <c r="L2130" i="4"/>
  <c r="K2130" i="4"/>
  <c r="L2129" i="4"/>
  <c r="K2129" i="4"/>
  <c r="L2128" i="4"/>
  <c r="K2128" i="4"/>
  <c r="L2127" i="4"/>
  <c r="K2127" i="4"/>
  <c r="L2126" i="4"/>
  <c r="K2126" i="4"/>
  <c r="L2125" i="4"/>
  <c r="K2125" i="4"/>
  <c r="L2124" i="4"/>
  <c r="K2124" i="4"/>
  <c r="L2123" i="4"/>
  <c r="K2123" i="4"/>
  <c r="L2122" i="4"/>
  <c r="K2122" i="4"/>
  <c r="L2121" i="4"/>
  <c r="K2121" i="4"/>
  <c r="L2120" i="4"/>
  <c r="K2120" i="4"/>
  <c r="L2119" i="4"/>
  <c r="K2119" i="4"/>
  <c r="L2118" i="4"/>
  <c r="K2118" i="4"/>
  <c r="L2117" i="4"/>
  <c r="K2117" i="4"/>
  <c r="L2116" i="4"/>
  <c r="K2116" i="4"/>
  <c r="L2115" i="4"/>
  <c r="K2115" i="4"/>
  <c r="L2114" i="4"/>
  <c r="K2114" i="4"/>
  <c r="L2113" i="4"/>
  <c r="K2113" i="4"/>
  <c r="L2112" i="4"/>
  <c r="K2112" i="4"/>
  <c r="L2111" i="4"/>
  <c r="K2111" i="4"/>
  <c r="L2110" i="4"/>
  <c r="K2110" i="4"/>
  <c r="L2109" i="4"/>
  <c r="K2109" i="4"/>
  <c r="L2108" i="4"/>
  <c r="K2108" i="4"/>
  <c r="L2107" i="4"/>
  <c r="K2107" i="4"/>
  <c r="L2106" i="4"/>
  <c r="K2106" i="4"/>
  <c r="L2105" i="4"/>
  <c r="K2105" i="4"/>
  <c r="L2104" i="4"/>
  <c r="K2104" i="4"/>
  <c r="L2103" i="4"/>
  <c r="K2103" i="4"/>
  <c r="L2102" i="4"/>
  <c r="K2102" i="4"/>
  <c r="L2101" i="4"/>
  <c r="K2101" i="4"/>
  <c r="L2100" i="4"/>
  <c r="K2100" i="4"/>
  <c r="L2099" i="4"/>
  <c r="K2099" i="4"/>
  <c r="L2098" i="4"/>
  <c r="K2098" i="4"/>
  <c r="L2097" i="4"/>
  <c r="K2097" i="4"/>
  <c r="L2096" i="4"/>
  <c r="K2096" i="4"/>
  <c r="L2095" i="4"/>
  <c r="K2095" i="4"/>
  <c r="L2094" i="4"/>
  <c r="K2094" i="4"/>
  <c r="L2093" i="4"/>
  <c r="K2093" i="4"/>
  <c r="L2092" i="4"/>
  <c r="K2092" i="4"/>
  <c r="L2091" i="4"/>
  <c r="K2091" i="4"/>
  <c r="L2090" i="4"/>
  <c r="K2090" i="4"/>
  <c r="L2089" i="4"/>
  <c r="K2089" i="4"/>
  <c r="L2088" i="4"/>
  <c r="K2088" i="4"/>
  <c r="L2087" i="4"/>
  <c r="K2087" i="4"/>
  <c r="L2086" i="4"/>
  <c r="K2086" i="4"/>
  <c r="L2085" i="4"/>
  <c r="K2085" i="4"/>
  <c r="L2084" i="4"/>
  <c r="K2084" i="4"/>
  <c r="L2083" i="4"/>
  <c r="K2083" i="4"/>
  <c r="L2082" i="4"/>
  <c r="K2082" i="4"/>
  <c r="L2081" i="4"/>
  <c r="K2081" i="4"/>
  <c r="L2080" i="4"/>
  <c r="K2080" i="4"/>
  <c r="L2079" i="4"/>
  <c r="K2079" i="4"/>
  <c r="L2078" i="4"/>
  <c r="K2078" i="4"/>
  <c r="L2077" i="4"/>
  <c r="K2077" i="4"/>
  <c r="L2076" i="4"/>
  <c r="K2076" i="4"/>
  <c r="L2075" i="4"/>
  <c r="K2075" i="4"/>
  <c r="L2074" i="4"/>
  <c r="K2074" i="4"/>
  <c r="L2073" i="4"/>
  <c r="K2073" i="4"/>
  <c r="L2072" i="4"/>
  <c r="K2072" i="4"/>
  <c r="L2071" i="4"/>
  <c r="K2071" i="4"/>
  <c r="L2070" i="4"/>
  <c r="K2070" i="4"/>
  <c r="L2069" i="4"/>
  <c r="K2069" i="4"/>
  <c r="L2068" i="4"/>
  <c r="K2068" i="4"/>
  <c r="L2067" i="4"/>
  <c r="K2067" i="4"/>
  <c r="L2066" i="4"/>
  <c r="K2066" i="4"/>
  <c r="L2065" i="4"/>
  <c r="K2065" i="4"/>
  <c r="L2064" i="4"/>
  <c r="K2064" i="4"/>
  <c r="L2063" i="4"/>
  <c r="K2063" i="4"/>
  <c r="L2062" i="4"/>
  <c r="K2062" i="4"/>
  <c r="L2061" i="4"/>
  <c r="K2061" i="4"/>
  <c r="L2060" i="4"/>
  <c r="K2060" i="4"/>
  <c r="L2059" i="4"/>
  <c r="K2059" i="4"/>
  <c r="L2058" i="4"/>
  <c r="K2058" i="4"/>
  <c r="L2057" i="4"/>
  <c r="K2057" i="4"/>
  <c r="L2056" i="4"/>
  <c r="K2056" i="4"/>
  <c r="L2055" i="4"/>
  <c r="K2055" i="4"/>
  <c r="L2054" i="4"/>
  <c r="K2054" i="4"/>
  <c r="L2053" i="4"/>
  <c r="K2053" i="4"/>
  <c r="L2052" i="4"/>
  <c r="K2052" i="4"/>
  <c r="L2051" i="4"/>
  <c r="K2051" i="4"/>
  <c r="L2050" i="4"/>
  <c r="K2050" i="4"/>
  <c r="L2049" i="4"/>
  <c r="K2049" i="4"/>
  <c r="L2048" i="4"/>
  <c r="K2048" i="4"/>
  <c r="L2047" i="4"/>
  <c r="K2047" i="4"/>
  <c r="L2046" i="4"/>
  <c r="K2046" i="4"/>
  <c r="L2045" i="4"/>
  <c r="K2045" i="4"/>
  <c r="L2044" i="4"/>
  <c r="K2044" i="4"/>
  <c r="L2043" i="4"/>
  <c r="K2043" i="4"/>
  <c r="L2042" i="4"/>
  <c r="K2042" i="4"/>
  <c r="L2041" i="4"/>
  <c r="K2041" i="4"/>
  <c r="L2040" i="4"/>
  <c r="K2040" i="4"/>
  <c r="L2039" i="4"/>
  <c r="K2039" i="4"/>
  <c r="L2038" i="4"/>
  <c r="K2038" i="4"/>
  <c r="L2037" i="4"/>
  <c r="K2037" i="4"/>
  <c r="L2036" i="4"/>
  <c r="K2036" i="4"/>
  <c r="L2035" i="4"/>
  <c r="K2035" i="4"/>
  <c r="L2034" i="4"/>
  <c r="K2034" i="4"/>
  <c r="L2033" i="4"/>
  <c r="K2033" i="4"/>
  <c r="L2032" i="4"/>
  <c r="K2032" i="4"/>
  <c r="L2031" i="4"/>
  <c r="K2031" i="4"/>
  <c r="L2030" i="4"/>
  <c r="K2030" i="4"/>
  <c r="L2029" i="4"/>
  <c r="K2029" i="4"/>
  <c r="L2028" i="4"/>
  <c r="K2028" i="4"/>
  <c r="L2027" i="4"/>
  <c r="K2027" i="4"/>
  <c r="L2026" i="4"/>
  <c r="K2026" i="4"/>
  <c r="L2025" i="4"/>
  <c r="K2025" i="4"/>
  <c r="L2024" i="4"/>
  <c r="K2024" i="4"/>
  <c r="L2023" i="4"/>
  <c r="K2023" i="4"/>
  <c r="L2022" i="4"/>
  <c r="K2022" i="4"/>
  <c r="L2021" i="4"/>
  <c r="K2021" i="4"/>
  <c r="L2020" i="4"/>
  <c r="K2020" i="4"/>
  <c r="L2019" i="4"/>
  <c r="K2019" i="4"/>
  <c r="L2018" i="4"/>
  <c r="K2018" i="4"/>
  <c r="L2017" i="4"/>
  <c r="K2017" i="4"/>
  <c r="L2016" i="4"/>
  <c r="K2016" i="4"/>
  <c r="L2015" i="4"/>
  <c r="K2015" i="4"/>
  <c r="L2014" i="4"/>
  <c r="K2014" i="4"/>
  <c r="L2013" i="4"/>
  <c r="K2013" i="4"/>
  <c r="L2012" i="4"/>
  <c r="K2012" i="4"/>
  <c r="L2011" i="4"/>
  <c r="K2011" i="4"/>
  <c r="L2010" i="4"/>
  <c r="K2010" i="4"/>
  <c r="L2009" i="4"/>
  <c r="K2009" i="4"/>
  <c r="L2008" i="4"/>
  <c r="K2008" i="4"/>
  <c r="L2007" i="4"/>
  <c r="K2007" i="4"/>
  <c r="L2006" i="4"/>
  <c r="K2006" i="4"/>
  <c r="L2005" i="4"/>
  <c r="K2005" i="4"/>
  <c r="L2004" i="4"/>
  <c r="K2004" i="4"/>
  <c r="L2003" i="4"/>
  <c r="K2003" i="4"/>
  <c r="L2002" i="4"/>
  <c r="K2002" i="4"/>
  <c r="L2001" i="4"/>
  <c r="K2001" i="4"/>
  <c r="L2000" i="4"/>
  <c r="K2000" i="4"/>
  <c r="L1999" i="4"/>
  <c r="K1999" i="4"/>
  <c r="L1998" i="4"/>
  <c r="K1998" i="4"/>
  <c r="L1997" i="4"/>
  <c r="K1997" i="4"/>
  <c r="L1996" i="4"/>
  <c r="K1996" i="4"/>
  <c r="L1995" i="4"/>
  <c r="K1995" i="4"/>
  <c r="L1994" i="4"/>
  <c r="K1994" i="4"/>
  <c r="L1993" i="4"/>
  <c r="K1993" i="4"/>
  <c r="L1992" i="4"/>
  <c r="K1992" i="4"/>
  <c r="L1991" i="4"/>
  <c r="K1991" i="4"/>
  <c r="L1990" i="4"/>
  <c r="K1990" i="4"/>
  <c r="L1989" i="4"/>
  <c r="K1989" i="4"/>
  <c r="L1988" i="4"/>
  <c r="K1988" i="4"/>
  <c r="L1987" i="4"/>
  <c r="K1987" i="4"/>
  <c r="L1986" i="4"/>
  <c r="K1986" i="4"/>
  <c r="L1985" i="4"/>
  <c r="K1985" i="4"/>
  <c r="L1984" i="4"/>
  <c r="K1984" i="4"/>
  <c r="L1983" i="4"/>
  <c r="K1983" i="4"/>
  <c r="L1982" i="4"/>
  <c r="K1982" i="4"/>
  <c r="L1981" i="4"/>
  <c r="K1981" i="4"/>
  <c r="L1980" i="4"/>
  <c r="K1980" i="4"/>
  <c r="L1979" i="4"/>
  <c r="K1979" i="4"/>
  <c r="L1978" i="4"/>
  <c r="K1978" i="4"/>
  <c r="L1977" i="4"/>
  <c r="K1977" i="4"/>
  <c r="L1976" i="4"/>
  <c r="K1976" i="4"/>
  <c r="L1975" i="4"/>
  <c r="K1975" i="4"/>
  <c r="L1974" i="4"/>
  <c r="K1974" i="4"/>
  <c r="L1973" i="4"/>
  <c r="K1973" i="4"/>
  <c r="L1972" i="4"/>
  <c r="K1972" i="4"/>
  <c r="L1971" i="4"/>
  <c r="K1971" i="4"/>
  <c r="L1970" i="4"/>
  <c r="K1970" i="4"/>
  <c r="L1969" i="4"/>
  <c r="K1969" i="4"/>
  <c r="L1968" i="4"/>
  <c r="K1968" i="4"/>
  <c r="L1967" i="4"/>
  <c r="K1967" i="4"/>
  <c r="L1966" i="4"/>
  <c r="K1966" i="4"/>
  <c r="L1965" i="4"/>
  <c r="K1965" i="4"/>
  <c r="L1964" i="4"/>
  <c r="K1964" i="4"/>
  <c r="L1963" i="4"/>
  <c r="K1963" i="4"/>
  <c r="L1962" i="4"/>
  <c r="K1962" i="4"/>
  <c r="L1961" i="4"/>
  <c r="K1961" i="4"/>
  <c r="L1960" i="4"/>
  <c r="K1960" i="4"/>
  <c r="L1959" i="4"/>
  <c r="K1959" i="4"/>
  <c r="L1958" i="4"/>
  <c r="K1958" i="4"/>
  <c r="L1957" i="4"/>
  <c r="K1957" i="4"/>
  <c r="L1956" i="4"/>
  <c r="K1956" i="4"/>
  <c r="L1955" i="4"/>
  <c r="K1955" i="4"/>
  <c r="L1954" i="4"/>
  <c r="K1954" i="4"/>
  <c r="L1953" i="4"/>
  <c r="K1953" i="4"/>
  <c r="L1952" i="4"/>
  <c r="K1952" i="4"/>
  <c r="L1951" i="4"/>
  <c r="K1951" i="4"/>
  <c r="L1950" i="4"/>
  <c r="K1950" i="4"/>
  <c r="L1949" i="4"/>
  <c r="K1949" i="4"/>
  <c r="L1948" i="4"/>
  <c r="K1948" i="4"/>
  <c r="L1947" i="4"/>
  <c r="K1947" i="4"/>
  <c r="L1946" i="4"/>
  <c r="K1946" i="4"/>
  <c r="L1945" i="4"/>
  <c r="K1945" i="4"/>
  <c r="L1944" i="4"/>
  <c r="K1944" i="4"/>
  <c r="L1943" i="4"/>
  <c r="K1943" i="4"/>
  <c r="L1942" i="4"/>
  <c r="K1942" i="4"/>
  <c r="L1941" i="4"/>
  <c r="K1941" i="4"/>
  <c r="L1940" i="4"/>
  <c r="K1940" i="4"/>
  <c r="L1939" i="4"/>
  <c r="K1939" i="4"/>
  <c r="L1938" i="4"/>
  <c r="K1938" i="4"/>
  <c r="L1937" i="4"/>
  <c r="K1937" i="4"/>
  <c r="L1936" i="4"/>
  <c r="K1936" i="4"/>
  <c r="L1935" i="4"/>
  <c r="K1935" i="4"/>
  <c r="L1934" i="4"/>
  <c r="K1934" i="4"/>
  <c r="L1933" i="4"/>
  <c r="K1933" i="4"/>
  <c r="L1932" i="4"/>
  <c r="K1932" i="4"/>
  <c r="L1931" i="4"/>
  <c r="K1931" i="4"/>
  <c r="L1930" i="4"/>
  <c r="K1930" i="4"/>
  <c r="L1929" i="4"/>
  <c r="K1929" i="4"/>
  <c r="L1928" i="4"/>
  <c r="K1928" i="4"/>
  <c r="L1927" i="4"/>
  <c r="K1927" i="4"/>
  <c r="L1926" i="4"/>
  <c r="K1926" i="4"/>
  <c r="L1925" i="4"/>
  <c r="K1925" i="4"/>
  <c r="L1924" i="4"/>
  <c r="K1924" i="4"/>
  <c r="L1923" i="4"/>
  <c r="K1923" i="4"/>
  <c r="L1922" i="4"/>
  <c r="K1922" i="4"/>
  <c r="L1921" i="4"/>
  <c r="K1921" i="4"/>
  <c r="L1920" i="4"/>
  <c r="K1920" i="4"/>
  <c r="L1919" i="4"/>
  <c r="K1919" i="4"/>
  <c r="L1918" i="4"/>
  <c r="K1918" i="4"/>
  <c r="L1917" i="4"/>
  <c r="K1917" i="4"/>
  <c r="L1916" i="4"/>
  <c r="K1916" i="4"/>
  <c r="L1915" i="4"/>
  <c r="K1915" i="4"/>
  <c r="L1914" i="4"/>
  <c r="K1914" i="4"/>
  <c r="L1913" i="4"/>
  <c r="K1913" i="4"/>
  <c r="L1912" i="4"/>
  <c r="K1912" i="4"/>
  <c r="L1911" i="4"/>
  <c r="K1911" i="4"/>
  <c r="L1910" i="4"/>
  <c r="K1910" i="4"/>
  <c r="L1909" i="4"/>
  <c r="K1909" i="4"/>
  <c r="L1908" i="4"/>
  <c r="K1908" i="4"/>
  <c r="L1907" i="4"/>
  <c r="K1907" i="4"/>
  <c r="L1906" i="4"/>
  <c r="K1906" i="4"/>
  <c r="L1905" i="4"/>
  <c r="K1905" i="4"/>
  <c r="L1904" i="4"/>
  <c r="K1904" i="4"/>
  <c r="L1903" i="4"/>
  <c r="K1903" i="4"/>
  <c r="L1902" i="4"/>
  <c r="K1902" i="4"/>
  <c r="L1901" i="4"/>
  <c r="K1901" i="4"/>
  <c r="L1900" i="4"/>
  <c r="K1900" i="4"/>
  <c r="L1899" i="4"/>
  <c r="K1899" i="4"/>
  <c r="L1898" i="4"/>
  <c r="K1898" i="4"/>
  <c r="L1897" i="4"/>
  <c r="K1897" i="4"/>
  <c r="L1896" i="4"/>
  <c r="K1896" i="4"/>
  <c r="L1895" i="4"/>
  <c r="K1895" i="4"/>
  <c r="L1894" i="4"/>
  <c r="K1894" i="4"/>
  <c r="L1893" i="4"/>
  <c r="K1893" i="4"/>
  <c r="L1892" i="4"/>
  <c r="K1892" i="4"/>
  <c r="L1891" i="4"/>
  <c r="K1891" i="4"/>
  <c r="L1890" i="4"/>
  <c r="K1890" i="4"/>
  <c r="L1889" i="4"/>
  <c r="K1889" i="4"/>
  <c r="L1888" i="4"/>
  <c r="K1888" i="4"/>
  <c r="L1887" i="4"/>
  <c r="K1887" i="4"/>
  <c r="L1886" i="4"/>
  <c r="K1886" i="4"/>
  <c r="L1885" i="4"/>
  <c r="K1885" i="4"/>
  <c r="L1884" i="4"/>
  <c r="K1884" i="4"/>
  <c r="L1883" i="4"/>
  <c r="K1883" i="4"/>
  <c r="L1882" i="4"/>
  <c r="K1882" i="4"/>
  <c r="L1881" i="4"/>
  <c r="K1881" i="4"/>
  <c r="L1880" i="4"/>
  <c r="K1880" i="4"/>
  <c r="L1879" i="4"/>
  <c r="K1879" i="4"/>
  <c r="L1878" i="4"/>
  <c r="K1878" i="4"/>
  <c r="L1877" i="4"/>
  <c r="K1877" i="4"/>
  <c r="L1876" i="4"/>
  <c r="K1876" i="4"/>
  <c r="L1875" i="4"/>
  <c r="K1875" i="4"/>
  <c r="L1874" i="4"/>
  <c r="K1874" i="4"/>
  <c r="L1873" i="4"/>
  <c r="K1873" i="4"/>
  <c r="L1872" i="4"/>
  <c r="K1872" i="4"/>
  <c r="L1871" i="4"/>
  <c r="K1871" i="4"/>
  <c r="L1870" i="4"/>
  <c r="K1870" i="4"/>
  <c r="L1869" i="4"/>
  <c r="K1869" i="4"/>
  <c r="L1868" i="4"/>
  <c r="K1868" i="4"/>
  <c r="L1867" i="4"/>
  <c r="K1867" i="4"/>
  <c r="L1866" i="4"/>
  <c r="K1866" i="4"/>
  <c r="L1865" i="4"/>
  <c r="K1865" i="4"/>
  <c r="L1864" i="4"/>
  <c r="K1864" i="4"/>
  <c r="L1863" i="4"/>
  <c r="K1863" i="4"/>
  <c r="L1862" i="4"/>
  <c r="K1862" i="4"/>
  <c r="L1861" i="4"/>
  <c r="K1861" i="4"/>
  <c r="L1860" i="4"/>
  <c r="K1860" i="4"/>
  <c r="L1859" i="4"/>
  <c r="K1859" i="4"/>
  <c r="L1858" i="4"/>
  <c r="K1858" i="4"/>
  <c r="L1857" i="4"/>
  <c r="K1857" i="4"/>
  <c r="L1856" i="4"/>
  <c r="K1856" i="4"/>
  <c r="L1855" i="4"/>
  <c r="K1855" i="4"/>
  <c r="L1854" i="4"/>
  <c r="K1854" i="4"/>
  <c r="L1853" i="4"/>
  <c r="K1853" i="4"/>
  <c r="L1852" i="4"/>
  <c r="K1852" i="4"/>
  <c r="L1851" i="4"/>
  <c r="K1851" i="4"/>
  <c r="L1850" i="4"/>
  <c r="K1850" i="4"/>
  <c r="L1849" i="4"/>
  <c r="K1849" i="4"/>
  <c r="L1848" i="4"/>
  <c r="K1848" i="4"/>
  <c r="L1847" i="4"/>
  <c r="K1847" i="4"/>
  <c r="L1846" i="4"/>
  <c r="K1846" i="4"/>
  <c r="L1845" i="4"/>
  <c r="K1845" i="4"/>
  <c r="L1844" i="4"/>
  <c r="K1844" i="4"/>
  <c r="L1843" i="4"/>
  <c r="K1843" i="4"/>
  <c r="L1842" i="4"/>
  <c r="K1842" i="4"/>
  <c r="L1841" i="4"/>
  <c r="K1841" i="4"/>
  <c r="L1840" i="4"/>
  <c r="K1840" i="4"/>
  <c r="L1839" i="4"/>
  <c r="K1839" i="4"/>
  <c r="L1838" i="4"/>
  <c r="K1838" i="4"/>
  <c r="L1837" i="4"/>
  <c r="K1837" i="4"/>
  <c r="L1836" i="4"/>
  <c r="K1836" i="4"/>
  <c r="L1835" i="4"/>
  <c r="K1835" i="4"/>
  <c r="L1834" i="4"/>
  <c r="K1834" i="4"/>
  <c r="L1833" i="4"/>
  <c r="K1833" i="4"/>
  <c r="L1832" i="4"/>
  <c r="K1832" i="4"/>
  <c r="L1831" i="4"/>
  <c r="K1831" i="4"/>
  <c r="L1830" i="4"/>
  <c r="K1830" i="4"/>
  <c r="L1829" i="4"/>
  <c r="K1829" i="4"/>
  <c r="L1828" i="4"/>
  <c r="K1828" i="4"/>
  <c r="L1827" i="4"/>
  <c r="K1827" i="4"/>
  <c r="L1826" i="4"/>
  <c r="K1826" i="4"/>
  <c r="L1825" i="4"/>
  <c r="K1825" i="4"/>
  <c r="L1824" i="4"/>
  <c r="K1824" i="4"/>
  <c r="L1823" i="4"/>
  <c r="K1823" i="4"/>
  <c r="L1822" i="4"/>
  <c r="K1822" i="4"/>
  <c r="L1821" i="4"/>
  <c r="K1821" i="4"/>
  <c r="L1820" i="4"/>
  <c r="K1820" i="4"/>
  <c r="L1819" i="4"/>
  <c r="K1819" i="4"/>
  <c r="L1818" i="4"/>
  <c r="K1818" i="4"/>
  <c r="L1817" i="4"/>
  <c r="K1817" i="4"/>
  <c r="L1816" i="4"/>
  <c r="K1816" i="4"/>
  <c r="L1815" i="4"/>
  <c r="K1815" i="4"/>
  <c r="L1814" i="4"/>
  <c r="K1814" i="4"/>
  <c r="L1813" i="4"/>
  <c r="K1813" i="4"/>
  <c r="L1812" i="4"/>
  <c r="K1812" i="4"/>
  <c r="L1811" i="4"/>
  <c r="K1811" i="4"/>
  <c r="L1810" i="4"/>
  <c r="K1810" i="4"/>
  <c r="L1809" i="4"/>
  <c r="K1809" i="4"/>
  <c r="L1808" i="4"/>
  <c r="K1808" i="4"/>
  <c r="L1807" i="4"/>
  <c r="K1807" i="4"/>
  <c r="L1806" i="4"/>
  <c r="K1806" i="4"/>
  <c r="L1805" i="4"/>
  <c r="K1805" i="4"/>
  <c r="L1804" i="4"/>
  <c r="K1804" i="4"/>
  <c r="L1803" i="4"/>
  <c r="K1803" i="4"/>
  <c r="L1802" i="4"/>
  <c r="K1802" i="4"/>
  <c r="L1801" i="4"/>
  <c r="K1801" i="4"/>
  <c r="L1800" i="4"/>
  <c r="K1800" i="4"/>
  <c r="L1799" i="4"/>
  <c r="K1799" i="4"/>
  <c r="L1798" i="4"/>
  <c r="K1798" i="4"/>
  <c r="L1797" i="4"/>
  <c r="K1797" i="4"/>
  <c r="L1796" i="4"/>
  <c r="K1796" i="4"/>
  <c r="L1795" i="4"/>
  <c r="K1795" i="4"/>
  <c r="L1794" i="4"/>
  <c r="K1794" i="4"/>
  <c r="L1793" i="4"/>
  <c r="K1793" i="4"/>
  <c r="L1792" i="4"/>
  <c r="K1792" i="4"/>
  <c r="L1791" i="4"/>
  <c r="K1791" i="4"/>
  <c r="L1790" i="4"/>
  <c r="K1790" i="4"/>
  <c r="L1789" i="4"/>
  <c r="K1789" i="4"/>
  <c r="L1788" i="4"/>
  <c r="K1788" i="4"/>
  <c r="L1787" i="4"/>
  <c r="K1787" i="4"/>
  <c r="L1786" i="4"/>
  <c r="K1786" i="4"/>
  <c r="L1785" i="4"/>
  <c r="K1785" i="4"/>
  <c r="L1784" i="4"/>
  <c r="K1784" i="4"/>
  <c r="L1783" i="4"/>
  <c r="K1783" i="4"/>
  <c r="L1782" i="4"/>
  <c r="K1782" i="4"/>
  <c r="L1781" i="4"/>
  <c r="K1781" i="4"/>
  <c r="L1780" i="4"/>
  <c r="K1780" i="4"/>
  <c r="L1779" i="4"/>
  <c r="K1779" i="4"/>
  <c r="L1778" i="4"/>
  <c r="K1778" i="4"/>
  <c r="L1777" i="4"/>
  <c r="K1777" i="4"/>
  <c r="L1776" i="4"/>
  <c r="K1776" i="4"/>
  <c r="L1775" i="4"/>
  <c r="K1775" i="4"/>
  <c r="L1774" i="4"/>
  <c r="K1774" i="4"/>
  <c r="L1773" i="4"/>
  <c r="K1773" i="4"/>
  <c r="L1772" i="4"/>
  <c r="K1772" i="4"/>
  <c r="L1771" i="4"/>
  <c r="K1771" i="4"/>
  <c r="L1770" i="4"/>
  <c r="K1770" i="4"/>
  <c r="L1769" i="4"/>
  <c r="K1769" i="4"/>
  <c r="L1768" i="4"/>
  <c r="K1768" i="4"/>
  <c r="L1767" i="4"/>
  <c r="K1767" i="4"/>
  <c r="L1766" i="4"/>
  <c r="K1766" i="4"/>
  <c r="L1765" i="4"/>
  <c r="K1765" i="4"/>
  <c r="L1764" i="4"/>
  <c r="K1764" i="4"/>
  <c r="L1763" i="4"/>
  <c r="K1763" i="4"/>
  <c r="L1762" i="4"/>
  <c r="K1762" i="4"/>
  <c r="L1761" i="4"/>
  <c r="K1761" i="4"/>
  <c r="L1760" i="4"/>
  <c r="K1760" i="4"/>
  <c r="L1759" i="4"/>
  <c r="K1759" i="4"/>
  <c r="L1758" i="4"/>
  <c r="K1758" i="4"/>
  <c r="L1757" i="4"/>
  <c r="K1757" i="4"/>
  <c r="L1756" i="4"/>
  <c r="K1756" i="4"/>
  <c r="L1755" i="4"/>
  <c r="K1755" i="4"/>
  <c r="L1754" i="4"/>
  <c r="K1754" i="4"/>
  <c r="L1753" i="4"/>
  <c r="K1753" i="4"/>
  <c r="L1752" i="4"/>
  <c r="K1752" i="4"/>
  <c r="L1751" i="4"/>
  <c r="K1751" i="4"/>
  <c r="L1750" i="4"/>
  <c r="K1750" i="4"/>
  <c r="L1749" i="4"/>
  <c r="K1749" i="4"/>
  <c r="L1748" i="4"/>
  <c r="K1748" i="4"/>
  <c r="L1747" i="4"/>
  <c r="K1747" i="4"/>
  <c r="L1746" i="4"/>
  <c r="K1746" i="4"/>
  <c r="L1745" i="4"/>
  <c r="K1745" i="4"/>
  <c r="L1744" i="4"/>
  <c r="K1744" i="4"/>
  <c r="L1743" i="4"/>
  <c r="K1743" i="4"/>
  <c r="L1742" i="4"/>
  <c r="K1742" i="4"/>
  <c r="L1741" i="4"/>
  <c r="K1741" i="4"/>
  <c r="L1740" i="4"/>
  <c r="K1740" i="4"/>
  <c r="L1739" i="4"/>
  <c r="K1739" i="4"/>
  <c r="L1738" i="4"/>
  <c r="K1738" i="4"/>
  <c r="L1737" i="4"/>
  <c r="K1737" i="4"/>
  <c r="L1736" i="4"/>
  <c r="K1736" i="4"/>
  <c r="L1735" i="4"/>
  <c r="K1735" i="4"/>
  <c r="L1734" i="4"/>
  <c r="K1734" i="4"/>
  <c r="L1733" i="4"/>
  <c r="K1733" i="4"/>
  <c r="L1732" i="4"/>
  <c r="K1732" i="4"/>
  <c r="L1731" i="4"/>
  <c r="K1731" i="4"/>
  <c r="L1730" i="4"/>
  <c r="K1730" i="4"/>
  <c r="L1729" i="4"/>
  <c r="K1729" i="4"/>
  <c r="L1728" i="4"/>
  <c r="K1728" i="4"/>
  <c r="L1727" i="4"/>
  <c r="K1727" i="4"/>
  <c r="L1726" i="4"/>
  <c r="K1726" i="4"/>
  <c r="L1725" i="4"/>
  <c r="K1725" i="4"/>
  <c r="L1724" i="4"/>
  <c r="K1724" i="4"/>
  <c r="L1723" i="4"/>
  <c r="K1723" i="4"/>
  <c r="L1722" i="4"/>
  <c r="K1722" i="4"/>
  <c r="L1721" i="4"/>
  <c r="K1721" i="4"/>
  <c r="L1720" i="4"/>
  <c r="K1720" i="4"/>
  <c r="L1719" i="4"/>
  <c r="K1719" i="4"/>
  <c r="L1718" i="4"/>
  <c r="K1718" i="4"/>
  <c r="L1717" i="4"/>
  <c r="K1717" i="4"/>
  <c r="L1716" i="4"/>
  <c r="K1716" i="4"/>
  <c r="L1715" i="4"/>
  <c r="K1715" i="4"/>
  <c r="L1714" i="4"/>
  <c r="K1714" i="4"/>
  <c r="L1713" i="4"/>
  <c r="K1713" i="4"/>
  <c r="L1712" i="4"/>
  <c r="K1712" i="4"/>
  <c r="L1711" i="4"/>
  <c r="K1711" i="4"/>
  <c r="L1710" i="4"/>
  <c r="K1710" i="4"/>
  <c r="L1709" i="4"/>
  <c r="K1709" i="4"/>
  <c r="L1708" i="4"/>
  <c r="K1708" i="4"/>
  <c r="L1707" i="4"/>
  <c r="K1707" i="4"/>
  <c r="L1706" i="4"/>
  <c r="K1706" i="4"/>
  <c r="L1705" i="4"/>
  <c r="K1705" i="4"/>
  <c r="L1704" i="4"/>
  <c r="K1704" i="4"/>
  <c r="L1703" i="4"/>
  <c r="K1703" i="4"/>
  <c r="L1702" i="4"/>
  <c r="K1702" i="4"/>
  <c r="L1701" i="4"/>
  <c r="K1701" i="4"/>
  <c r="L1700" i="4"/>
  <c r="K1700" i="4"/>
  <c r="L1699" i="4"/>
  <c r="K1699" i="4"/>
  <c r="L1698" i="4"/>
  <c r="K1698" i="4"/>
  <c r="L1697" i="4"/>
  <c r="K1697" i="4"/>
  <c r="L1696" i="4"/>
  <c r="K1696" i="4"/>
  <c r="L1695" i="4"/>
  <c r="K1695" i="4"/>
  <c r="L1694" i="4"/>
  <c r="K1694" i="4"/>
  <c r="L1693" i="4"/>
  <c r="K1693" i="4"/>
  <c r="L1692" i="4"/>
  <c r="K1692" i="4"/>
  <c r="L1691" i="4"/>
  <c r="K1691" i="4"/>
  <c r="L1690" i="4"/>
  <c r="K1690" i="4"/>
  <c r="L1689" i="4"/>
  <c r="K1689" i="4"/>
  <c r="L1688" i="4"/>
  <c r="K1688" i="4"/>
  <c r="L1687" i="4"/>
  <c r="K1687" i="4"/>
  <c r="L1686" i="4"/>
  <c r="K1686" i="4"/>
  <c r="L1685" i="4"/>
  <c r="K1685" i="4"/>
  <c r="L1684" i="4"/>
  <c r="K1684" i="4"/>
  <c r="L1683" i="4"/>
  <c r="K1683" i="4"/>
  <c r="L1682" i="4"/>
  <c r="K1682" i="4"/>
  <c r="L1681" i="4"/>
  <c r="K1681" i="4"/>
  <c r="L1680" i="4"/>
  <c r="K1680" i="4"/>
  <c r="L1679" i="4"/>
  <c r="K1679" i="4"/>
  <c r="L1678" i="4"/>
  <c r="K1678" i="4"/>
  <c r="L1677" i="4"/>
  <c r="K1677" i="4"/>
  <c r="L1676" i="4"/>
  <c r="K1676" i="4"/>
  <c r="L1675" i="4"/>
  <c r="K1675" i="4"/>
  <c r="L1674" i="4"/>
  <c r="K1674" i="4"/>
  <c r="L1673" i="4"/>
  <c r="K1673" i="4"/>
  <c r="L1672" i="4"/>
  <c r="K1672" i="4"/>
  <c r="L1671" i="4"/>
  <c r="K1671" i="4"/>
  <c r="L1670" i="4"/>
  <c r="K1670" i="4"/>
  <c r="L1669" i="4"/>
  <c r="K1669" i="4"/>
  <c r="L1668" i="4"/>
  <c r="K1668" i="4"/>
  <c r="L1667" i="4"/>
  <c r="K1667" i="4"/>
  <c r="L1666" i="4"/>
  <c r="K1666" i="4"/>
  <c r="L1665" i="4"/>
  <c r="K1665" i="4"/>
  <c r="L1664" i="4"/>
  <c r="K1664" i="4"/>
  <c r="L1663" i="4"/>
  <c r="K1663" i="4"/>
  <c r="L1662" i="4"/>
  <c r="K1662" i="4"/>
  <c r="L1661" i="4"/>
  <c r="K1661" i="4"/>
  <c r="L1660" i="4"/>
  <c r="K1660" i="4"/>
  <c r="L1659" i="4"/>
  <c r="K1659" i="4"/>
  <c r="L1658" i="4"/>
  <c r="K1658" i="4"/>
  <c r="L1657" i="4"/>
  <c r="K1657" i="4"/>
  <c r="L1656" i="4"/>
  <c r="K1656" i="4"/>
  <c r="L1655" i="4"/>
  <c r="K1655" i="4"/>
  <c r="L1654" i="4"/>
  <c r="K1654" i="4"/>
  <c r="L1653" i="4"/>
  <c r="K1653" i="4"/>
  <c r="L1652" i="4"/>
  <c r="K1652" i="4"/>
  <c r="L1651" i="4"/>
  <c r="K1651" i="4"/>
  <c r="L1650" i="4"/>
  <c r="K1650" i="4"/>
  <c r="L1649" i="4"/>
  <c r="K1649" i="4"/>
  <c r="L1648" i="4"/>
  <c r="K1648" i="4"/>
  <c r="L1647" i="4"/>
  <c r="K1647" i="4"/>
  <c r="L1646" i="4"/>
  <c r="K1646" i="4"/>
  <c r="L1645" i="4"/>
  <c r="K1645" i="4"/>
  <c r="L1644" i="4"/>
  <c r="K1644" i="4"/>
  <c r="L1643" i="4"/>
  <c r="K1643" i="4"/>
  <c r="L1642" i="4"/>
  <c r="K1642" i="4"/>
  <c r="L1641" i="4"/>
  <c r="K1641" i="4"/>
  <c r="L1640" i="4"/>
  <c r="K1640" i="4"/>
  <c r="L1639" i="4"/>
  <c r="K1639" i="4"/>
  <c r="L1638" i="4"/>
  <c r="K1638" i="4"/>
  <c r="L1637" i="4"/>
  <c r="K1637" i="4"/>
  <c r="L1636" i="4"/>
  <c r="K1636" i="4"/>
  <c r="L1635" i="4"/>
  <c r="K1635" i="4"/>
  <c r="L1634" i="4"/>
  <c r="K1634" i="4"/>
  <c r="L1633" i="4"/>
  <c r="K1633" i="4"/>
  <c r="L1632" i="4"/>
  <c r="K1632" i="4"/>
  <c r="L1631" i="4"/>
  <c r="K1631" i="4"/>
  <c r="L1630" i="4"/>
  <c r="K1630" i="4"/>
  <c r="L1629" i="4"/>
  <c r="K1629" i="4"/>
  <c r="L1628" i="4"/>
  <c r="K1628" i="4"/>
  <c r="L1627" i="4"/>
  <c r="K1627" i="4"/>
  <c r="L1626" i="4"/>
  <c r="K1626" i="4"/>
  <c r="L1625" i="4"/>
  <c r="K1625" i="4"/>
  <c r="L1624" i="4"/>
  <c r="K1624" i="4"/>
  <c r="L1623" i="4"/>
  <c r="K1623" i="4"/>
  <c r="L1622" i="4"/>
  <c r="K1622" i="4"/>
  <c r="L1621" i="4"/>
  <c r="K1621" i="4"/>
  <c r="L1620" i="4"/>
  <c r="K1620" i="4"/>
  <c r="L1619" i="4"/>
  <c r="K1619" i="4"/>
  <c r="L1618" i="4"/>
  <c r="K1618" i="4"/>
  <c r="L1617" i="4"/>
  <c r="K1617" i="4"/>
  <c r="L1616" i="4"/>
  <c r="K1616" i="4"/>
  <c r="L1615" i="4"/>
  <c r="K1615" i="4"/>
  <c r="L1614" i="4"/>
  <c r="K1614" i="4"/>
  <c r="L1613" i="4"/>
  <c r="K1613" i="4"/>
  <c r="L1612" i="4"/>
  <c r="K1612" i="4"/>
  <c r="L1611" i="4"/>
  <c r="K1611" i="4"/>
  <c r="L1610" i="4"/>
  <c r="K1610" i="4"/>
  <c r="L1609" i="4"/>
  <c r="K1609" i="4"/>
  <c r="L1608" i="4"/>
  <c r="K1608" i="4"/>
  <c r="L1607" i="4"/>
  <c r="K1607" i="4"/>
  <c r="L1606" i="4"/>
  <c r="K1606" i="4"/>
  <c r="L1605" i="4"/>
  <c r="K1605" i="4"/>
  <c r="L1604" i="4"/>
  <c r="K1604" i="4"/>
  <c r="L1603" i="4"/>
  <c r="K1603" i="4"/>
  <c r="L1602" i="4"/>
  <c r="K1602" i="4"/>
  <c r="L1601" i="4"/>
  <c r="K1601" i="4"/>
  <c r="L1600" i="4"/>
  <c r="K1600" i="4"/>
  <c r="L1599" i="4"/>
  <c r="K1599" i="4"/>
  <c r="L1598" i="4"/>
  <c r="K1598" i="4"/>
  <c r="L1597" i="4"/>
  <c r="K1597" i="4"/>
  <c r="L1596" i="4"/>
  <c r="K1596" i="4"/>
  <c r="L1595" i="4"/>
  <c r="K1595" i="4"/>
  <c r="L1594" i="4"/>
  <c r="K1594" i="4"/>
  <c r="L1593" i="4"/>
  <c r="K1593" i="4"/>
  <c r="L1592" i="4"/>
  <c r="K1592" i="4"/>
  <c r="L1591" i="4"/>
  <c r="K1591" i="4"/>
  <c r="L1590" i="4"/>
  <c r="K1590" i="4"/>
  <c r="L1589" i="4"/>
  <c r="K1589" i="4"/>
  <c r="L1588" i="4"/>
  <c r="K1588" i="4"/>
  <c r="L1587" i="4"/>
  <c r="K1587" i="4"/>
  <c r="L1586" i="4"/>
  <c r="K1586" i="4"/>
  <c r="L1585" i="4"/>
  <c r="K1585" i="4"/>
  <c r="L1584" i="4"/>
  <c r="K1584" i="4"/>
  <c r="L1583" i="4"/>
  <c r="K1583" i="4"/>
  <c r="L1582" i="4"/>
  <c r="K1582" i="4"/>
  <c r="L1581" i="4"/>
  <c r="K1581" i="4"/>
  <c r="L1580" i="4"/>
  <c r="K1580" i="4"/>
  <c r="L1579" i="4"/>
  <c r="K1579" i="4"/>
  <c r="L1578" i="4"/>
  <c r="K1578" i="4"/>
  <c r="L1577" i="4"/>
  <c r="K1577" i="4"/>
  <c r="L1576" i="4"/>
  <c r="K1576" i="4"/>
  <c r="L1575" i="4"/>
  <c r="K1575" i="4"/>
  <c r="L1574" i="4"/>
  <c r="K1574" i="4"/>
  <c r="L1573" i="4"/>
  <c r="K1573" i="4"/>
  <c r="L1572" i="4"/>
  <c r="K1572" i="4"/>
  <c r="L1571" i="4"/>
  <c r="K1571" i="4"/>
  <c r="L1570" i="4"/>
  <c r="K1570" i="4"/>
  <c r="L1569" i="4"/>
  <c r="K1569" i="4"/>
  <c r="L1568" i="4"/>
  <c r="K1568" i="4"/>
  <c r="L1567" i="4"/>
  <c r="K1567" i="4"/>
  <c r="L1566" i="4"/>
  <c r="K1566" i="4"/>
  <c r="L1565" i="4"/>
  <c r="K1565" i="4"/>
  <c r="L1564" i="4"/>
  <c r="K1564" i="4"/>
  <c r="L1563" i="4"/>
  <c r="K1563" i="4"/>
  <c r="L1562" i="4"/>
  <c r="K1562" i="4"/>
  <c r="L1561" i="4"/>
  <c r="K1561" i="4"/>
  <c r="L1560" i="4"/>
  <c r="K1560" i="4"/>
  <c r="L1559" i="4"/>
  <c r="K1559" i="4"/>
  <c r="L1558" i="4"/>
  <c r="K1558" i="4"/>
  <c r="L1557" i="4"/>
  <c r="K1557" i="4"/>
  <c r="L1556" i="4"/>
  <c r="K1556" i="4"/>
  <c r="L1555" i="4"/>
  <c r="K1555" i="4"/>
  <c r="L1554" i="4"/>
  <c r="K1554" i="4"/>
  <c r="L1553" i="4"/>
  <c r="K1553" i="4"/>
  <c r="L1552" i="4"/>
  <c r="K1552" i="4"/>
  <c r="L1551" i="4"/>
  <c r="K1551" i="4"/>
  <c r="L1550" i="4"/>
  <c r="K1550" i="4"/>
  <c r="L1549" i="4"/>
  <c r="K1549" i="4"/>
  <c r="L1548" i="4"/>
  <c r="K1548" i="4"/>
  <c r="L1547" i="4"/>
  <c r="K1547" i="4"/>
  <c r="L1546" i="4"/>
  <c r="K1546" i="4"/>
  <c r="L1545" i="4"/>
  <c r="K1545" i="4"/>
  <c r="L1544" i="4"/>
  <c r="K1544" i="4"/>
  <c r="L1543" i="4"/>
  <c r="K1543" i="4"/>
  <c r="L1542" i="4"/>
  <c r="K1542" i="4"/>
  <c r="L1541" i="4"/>
  <c r="K1541" i="4"/>
  <c r="L1540" i="4"/>
  <c r="K1540" i="4"/>
  <c r="L1539" i="4"/>
  <c r="K1539" i="4"/>
  <c r="L1538" i="4"/>
  <c r="K1538" i="4"/>
  <c r="L1537" i="4"/>
  <c r="K1537" i="4"/>
  <c r="L1536" i="4"/>
  <c r="K1536" i="4"/>
  <c r="L1535" i="4"/>
  <c r="K1535" i="4"/>
  <c r="L1534" i="4"/>
  <c r="K1534" i="4"/>
  <c r="L1533" i="4"/>
  <c r="K1533" i="4"/>
  <c r="L1532" i="4"/>
  <c r="K1532" i="4"/>
  <c r="L1531" i="4"/>
  <c r="K1531" i="4"/>
  <c r="L1530" i="4"/>
  <c r="K1530" i="4"/>
  <c r="L1529" i="4"/>
  <c r="K1529" i="4"/>
  <c r="L1528" i="4"/>
  <c r="K1528" i="4"/>
  <c r="L1527" i="4"/>
  <c r="K1527" i="4"/>
  <c r="L1526" i="4"/>
  <c r="K1526" i="4"/>
  <c r="L1525" i="4"/>
  <c r="K1525" i="4"/>
  <c r="L1524" i="4"/>
  <c r="K1524" i="4"/>
  <c r="L1523" i="4"/>
  <c r="K1523" i="4"/>
  <c r="L1522" i="4"/>
  <c r="K1522" i="4"/>
  <c r="L1521" i="4"/>
  <c r="K1521" i="4"/>
  <c r="L1520" i="4"/>
  <c r="K1520" i="4"/>
  <c r="L1519" i="4"/>
  <c r="K1519" i="4"/>
  <c r="L1518" i="4"/>
  <c r="K1518" i="4"/>
  <c r="L1517" i="4"/>
  <c r="K1517" i="4"/>
  <c r="L1516" i="4"/>
  <c r="K1516" i="4"/>
  <c r="L1515" i="4"/>
  <c r="K1515" i="4"/>
  <c r="L1514" i="4"/>
  <c r="K1514" i="4"/>
  <c r="L1513" i="4"/>
  <c r="K1513" i="4"/>
  <c r="L1512" i="4"/>
  <c r="K1512" i="4"/>
  <c r="L1511" i="4"/>
  <c r="K1511" i="4"/>
  <c r="L1510" i="4"/>
  <c r="K1510" i="4"/>
  <c r="L1509" i="4"/>
  <c r="K1509" i="4"/>
  <c r="L1508" i="4"/>
  <c r="K1508" i="4"/>
  <c r="L1507" i="4"/>
  <c r="K1507" i="4"/>
  <c r="L1506" i="4"/>
  <c r="K1506" i="4"/>
  <c r="L1505" i="4"/>
  <c r="K1505" i="4"/>
  <c r="L1504" i="4"/>
  <c r="K1504" i="4"/>
  <c r="L1503" i="4"/>
  <c r="K1503" i="4"/>
  <c r="L1502" i="4"/>
  <c r="K1502" i="4"/>
  <c r="L1501" i="4"/>
  <c r="K1501" i="4"/>
  <c r="L1500" i="4"/>
  <c r="K1500" i="4"/>
  <c r="L1499" i="4"/>
  <c r="K1499" i="4"/>
  <c r="L1498" i="4"/>
  <c r="K1498" i="4"/>
  <c r="L1497" i="4"/>
  <c r="K1497" i="4"/>
  <c r="L1496" i="4"/>
  <c r="K1496" i="4"/>
  <c r="L1495" i="4"/>
  <c r="K1495" i="4"/>
  <c r="L1494" i="4"/>
  <c r="K1494" i="4"/>
  <c r="L1493" i="4"/>
  <c r="K1493" i="4"/>
  <c r="L1492" i="4"/>
  <c r="K1492" i="4"/>
  <c r="L1491" i="4"/>
  <c r="K1491" i="4"/>
  <c r="L1490" i="4"/>
  <c r="K1490" i="4"/>
  <c r="L1489" i="4"/>
  <c r="K1489" i="4"/>
  <c r="L1488" i="4"/>
  <c r="K1488" i="4"/>
  <c r="L1487" i="4"/>
  <c r="K1487" i="4"/>
  <c r="L1486" i="4"/>
  <c r="K1486" i="4"/>
  <c r="L1485" i="4"/>
  <c r="K1485" i="4"/>
  <c r="L1484" i="4"/>
  <c r="K1484" i="4"/>
  <c r="L1483" i="4"/>
  <c r="K1483" i="4"/>
  <c r="L1482" i="4"/>
  <c r="K1482" i="4"/>
  <c r="L1481" i="4"/>
  <c r="K1481" i="4"/>
  <c r="L1480" i="4"/>
  <c r="K1480" i="4"/>
  <c r="L1479" i="4"/>
  <c r="K1479" i="4"/>
  <c r="L1478" i="4"/>
  <c r="K1478" i="4"/>
  <c r="L1477" i="4"/>
  <c r="K1477" i="4"/>
  <c r="L1476" i="4"/>
  <c r="K1476" i="4"/>
  <c r="L1475" i="4"/>
  <c r="K1475" i="4"/>
  <c r="L1474" i="4"/>
  <c r="K1474" i="4"/>
  <c r="L1473" i="4"/>
  <c r="K1473" i="4"/>
  <c r="L1472" i="4"/>
  <c r="K1472" i="4"/>
  <c r="L1471" i="4"/>
  <c r="K1471" i="4"/>
  <c r="L1470" i="4"/>
  <c r="K1470" i="4"/>
  <c r="L1469" i="4"/>
  <c r="K1469" i="4"/>
  <c r="L1468" i="4"/>
  <c r="K1468" i="4"/>
  <c r="L1467" i="4"/>
  <c r="K1467" i="4"/>
  <c r="L1466" i="4"/>
  <c r="K1466" i="4"/>
  <c r="L1465" i="4"/>
  <c r="K1465" i="4"/>
  <c r="L1464" i="4"/>
  <c r="K1464" i="4"/>
  <c r="L1463" i="4"/>
  <c r="K1463" i="4"/>
  <c r="L1462" i="4"/>
  <c r="K1462" i="4"/>
  <c r="L1461" i="4"/>
  <c r="K1461" i="4"/>
  <c r="L1460" i="4"/>
  <c r="K1460" i="4"/>
  <c r="L1459" i="4"/>
  <c r="K1459" i="4"/>
  <c r="L1458" i="4"/>
  <c r="K1458" i="4"/>
  <c r="L1457" i="4"/>
  <c r="K1457" i="4"/>
  <c r="L1456" i="4"/>
  <c r="K1456" i="4"/>
  <c r="L1455" i="4"/>
  <c r="K1455" i="4"/>
  <c r="L1454" i="4"/>
  <c r="K1454" i="4"/>
  <c r="L1453" i="4"/>
  <c r="K1453" i="4"/>
  <c r="L1452" i="4"/>
  <c r="K1452" i="4"/>
  <c r="L1451" i="4"/>
  <c r="K1451" i="4"/>
  <c r="L1450" i="4"/>
  <c r="K1450" i="4"/>
  <c r="L1449" i="4"/>
  <c r="K1449" i="4"/>
  <c r="L1448" i="4"/>
  <c r="K1448" i="4"/>
  <c r="L1447" i="4"/>
  <c r="K1447" i="4"/>
  <c r="L1446" i="4"/>
  <c r="K1446" i="4"/>
  <c r="L1445" i="4"/>
  <c r="K1445" i="4"/>
  <c r="L1444" i="4"/>
  <c r="K1444" i="4"/>
  <c r="L1443" i="4"/>
  <c r="K1443" i="4"/>
  <c r="L1442" i="4"/>
  <c r="K1442" i="4"/>
  <c r="L1441" i="4"/>
  <c r="K1441" i="4"/>
  <c r="L1440" i="4"/>
  <c r="K1440" i="4"/>
  <c r="L1439" i="4"/>
  <c r="K1439" i="4"/>
  <c r="L1438" i="4"/>
  <c r="K1438" i="4"/>
  <c r="L1437" i="4"/>
  <c r="K1437" i="4"/>
  <c r="L1436" i="4"/>
  <c r="K1436" i="4"/>
  <c r="L1435" i="4"/>
  <c r="K1435" i="4"/>
  <c r="L1434" i="4"/>
  <c r="K1434" i="4"/>
  <c r="L1433" i="4"/>
  <c r="K1433" i="4"/>
  <c r="L1432" i="4"/>
  <c r="K1432" i="4"/>
  <c r="L1431" i="4"/>
  <c r="K1431" i="4"/>
  <c r="L1430" i="4"/>
  <c r="K1430" i="4"/>
  <c r="L1429" i="4"/>
  <c r="K1429" i="4"/>
  <c r="L1428" i="4"/>
  <c r="K1428" i="4"/>
  <c r="L1427" i="4"/>
  <c r="K1427" i="4"/>
  <c r="L1426" i="4"/>
  <c r="K1426" i="4"/>
  <c r="L1425" i="4"/>
  <c r="K1425" i="4"/>
  <c r="L1424" i="4"/>
  <c r="K1424" i="4"/>
  <c r="L1423" i="4"/>
  <c r="K1423" i="4"/>
  <c r="L1422" i="4"/>
  <c r="K1422" i="4"/>
  <c r="L1421" i="4"/>
  <c r="K1421" i="4"/>
  <c r="L1420" i="4"/>
  <c r="K1420" i="4"/>
  <c r="L1419" i="4"/>
  <c r="K1419" i="4"/>
  <c r="L1418" i="4"/>
  <c r="K1418" i="4"/>
  <c r="L1417" i="4"/>
  <c r="K1417" i="4"/>
  <c r="L1416" i="4"/>
  <c r="K1416" i="4"/>
  <c r="L1415" i="4"/>
  <c r="K1415" i="4"/>
  <c r="L1414" i="4"/>
  <c r="K1414" i="4"/>
  <c r="L1413" i="4"/>
  <c r="K1413" i="4"/>
  <c r="L1412" i="4"/>
  <c r="K1412" i="4"/>
  <c r="L1411" i="4"/>
  <c r="K1411" i="4"/>
  <c r="L1410" i="4"/>
  <c r="K1410" i="4"/>
  <c r="L1409" i="4"/>
  <c r="K1409" i="4"/>
  <c r="L1408" i="4"/>
  <c r="K1408" i="4"/>
  <c r="L1407" i="4"/>
  <c r="K1407" i="4"/>
  <c r="L1406" i="4"/>
  <c r="K1406" i="4"/>
  <c r="L1405" i="4"/>
  <c r="K1405" i="4"/>
  <c r="L1404" i="4"/>
  <c r="K1404" i="4"/>
  <c r="L1403" i="4"/>
  <c r="K1403" i="4"/>
  <c r="L1402" i="4"/>
  <c r="K1402" i="4"/>
  <c r="L1401" i="4"/>
  <c r="K1401" i="4"/>
  <c r="L1400" i="4"/>
  <c r="K1400" i="4"/>
  <c r="L1399" i="4"/>
  <c r="K1399" i="4"/>
  <c r="L1398" i="4"/>
  <c r="K1398" i="4"/>
  <c r="L1397" i="4"/>
  <c r="K1397" i="4"/>
  <c r="L1396" i="4"/>
  <c r="K1396" i="4"/>
  <c r="L1395" i="4"/>
  <c r="K1395" i="4"/>
  <c r="L1394" i="4"/>
  <c r="K1394" i="4"/>
  <c r="L1393" i="4"/>
  <c r="K1393" i="4"/>
  <c r="L1392" i="4"/>
  <c r="K1392" i="4"/>
  <c r="L1391" i="4"/>
  <c r="K1391" i="4"/>
  <c r="L1390" i="4"/>
  <c r="K1390" i="4"/>
  <c r="L1389" i="4"/>
  <c r="K1389" i="4"/>
  <c r="L1388" i="4"/>
  <c r="K1388" i="4"/>
  <c r="L1387" i="4"/>
  <c r="K1387" i="4"/>
  <c r="L1386" i="4"/>
  <c r="K1386" i="4"/>
  <c r="L1385" i="4"/>
  <c r="K1385" i="4"/>
  <c r="L1384" i="4"/>
  <c r="K1384" i="4"/>
  <c r="L1383" i="4"/>
  <c r="K1383" i="4"/>
  <c r="L1382" i="4"/>
  <c r="K1382" i="4"/>
  <c r="L1381" i="4"/>
  <c r="K1381" i="4"/>
  <c r="L1380" i="4"/>
  <c r="K1380" i="4"/>
  <c r="L1379" i="4"/>
  <c r="K1379" i="4"/>
  <c r="L1378" i="4"/>
  <c r="K1378" i="4"/>
  <c r="L1377" i="4"/>
  <c r="K1377" i="4"/>
  <c r="L1376" i="4"/>
  <c r="K1376" i="4"/>
  <c r="L1375" i="4"/>
  <c r="K1375" i="4"/>
  <c r="L1374" i="4"/>
  <c r="K1374" i="4"/>
  <c r="L1373" i="4"/>
  <c r="K1373" i="4"/>
  <c r="L1372" i="4"/>
  <c r="K1372" i="4"/>
  <c r="L1371" i="4"/>
  <c r="K1371" i="4"/>
  <c r="L1370" i="4"/>
  <c r="K1370" i="4"/>
  <c r="L1369" i="4"/>
  <c r="K1369" i="4"/>
  <c r="L1368" i="4"/>
  <c r="K1368" i="4"/>
  <c r="L1367" i="4"/>
  <c r="K1367" i="4"/>
  <c r="L1366" i="4"/>
  <c r="K1366" i="4"/>
  <c r="L1365" i="4"/>
  <c r="K1365" i="4"/>
  <c r="L1364" i="4"/>
  <c r="K1364" i="4"/>
  <c r="L1363" i="4"/>
  <c r="K1363" i="4"/>
  <c r="L1362" i="4"/>
  <c r="K1362" i="4"/>
  <c r="L1361" i="4"/>
  <c r="K1361" i="4"/>
  <c r="L1360" i="4"/>
  <c r="K1360" i="4"/>
  <c r="L1359" i="4"/>
  <c r="K1359" i="4"/>
  <c r="L1358" i="4"/>
  <c r="K1358" i="4"/>
  <c r="L1357" i="4"/>
  <c r="K1357" i="4"/>
  <c r="L1356" i="4"/>
  <c r="K1356" i="4"/>
  <c r="L1355" i="4"/>
  <c r="K1355" i="4"/>
  <c r="L1354" i="4"/>
  <c r="K1354" i="4"/>
  <c r="L1353" i="4"/>
  <c r="K1353" i="4"/>
  <c r="L1352" i="4"/>
  <c r="K1352" i="4"/>
  <c r="L1351" i="4"/>
  <c r="K1351" i="4"/>
  <c r="L1350" i="4"/>
  <c r="K1350" i="4"/>
  <c r="L1349" i="4"/>
  <c r="K1349" i="4"/>
  <c r="L1348" i="4"/>
  <c r="K1348" i="4"/>
  <c r="L1347" i="4"/>
  <c r="K1347" i="4"/>
  <c r="L1346" i="4"/>
  <c r="K1346" i="4"/>
  <c r="L1345" i="4"/>
  <c r="K1345" i="4"/>
  <c r="L1344" i="4"/>
  <c r="K1344" i="4"/>
  <c r="L1343" i="4"/>
  <c r="K1343" i="4"/>
  <c r="L1342" i="4"/>
  <c r="K1342" i="4"/>
  <c r="L1341" i="4"/>
  <c r="K1341" i="4"/>
  <c r="L1340" i="4"/>
  <c r="K1340" i="4"/>
  <c r="L1339" i="4"/>
  <c r="K1339" i="4"/>
  <c r="L1338" i="4"/>
  <c r="K1338" i="4"/>
  <c r="L1337" i="4"/>
  <c r="K1337" i="4"/>
  <c r="L1336" i="4"/>
  <c r="K1336" i="4"/>
  <c r="L1335" i="4"/>
  <c r="K1335" i="4"/>
  <c r="L1334" i="4"/>
  <c r="K1334" i="4"/>
  <c r="L1333" i="4"/>
  <c r="K1333" i="4"/>
  <c r="L1332" i="4"/>
  <c r="K1332" i="4"/>
  <c r="L1331" i="4"/>
  <c r="K1331" i="4"/>
  <c r="L1330" i="4"/>
  <c r="K1330" i="4"/>
  <c r="L1329" i="4"/>
  <c r="K1329" i="4"/>
  <c r="L1328" i="4"/>
  <c r="K1328" i="4"/>
  <c r="L1327" i="4"/>
  <c r="K1327" i="4"/>
  <c r="L1326" i="4"/>
  <c r="K1326" i="4"/>
  <c r="L1325" i="4"/>
  <c r="K1325" i="4"/>
  <c r="L1324" i="4"/>
  <c r="K1324" i="4"/>
  <c r="L1323" i="4"/>
  <c r="K1323" i="4"/>
  <c r="L1322" i="4"/>
  <c r="K1322" i="4"/>
  <c r="L1321" i="4"/>
  <c r="K1321" i="4"/>
  <c r="L1320" i="4"/>
  <c r="K1320" i="4"/>
  <c r="L1319" i="4"/>
  <c r="K1319" i="4"/>
  <c r="L1318" i="4"/>
  <c r="K1318" i="4"/>
  <c r="L1317" i="4"/>
  <c r="K1317" i="4"/>
  <c r="L1316" i="4"/>
  <c r="K1316" i="4"/>
  <c r="L1315" i="4"/>
  <c r="K1315" i="4"/>
  <c r="L1314" i="4"/>
  <c r="K1314" i="4"/>
  <c r="L1313" i="4"/>
  <c r="K1313" i="4"/>
  <c r="L1312" i="4"/>
  <c r="K1312" i="4"/>
  <c r="L1311" i="4"/>
  <c r="K1311" i="4"/>
  <c r="L1310" i="4"/>
  <c r="K1310" i="4"/>
  <c r="L1309" i="4"/>
  <c r="K1309" i="4"/>
  <c r="L1308" i="4"/>
  <c r="K1308" i="4"/>
  <c r="L1307" i="4"/>
  <c r="K1307" i="4"/>
  <c r="L1306" i="4"/>
  <c r="K1306" i="4"/>
  <c r="L1305" i="4"/>
  <c r="K1305" i="4"/>
  <c r="L1304" i="4"/>
  <c r="K1304" i="4"/>
  <c r="L1303" i="4"/>
  <c r="K1303" i="4"/>
  <c r="L1302" i="4"/>
  <c r="K1302" i="4"/>
  <c r="L1301" i="4"/>
  <c r="K1301" i="4"/>
  <c r="L1300" i="4"/>
  <c r="K1300" i="4"/>
  <c r="L1299" i="4"/>
  <c r="K1299" i="4"/>
  <c r="L1298" i="4"/>
  <c r="K1298" i="4"/>
  <c r="L1297" i="4"/>
  <c r="K1297" i="4"/>
  <c r="L1296" i="4"/>
  <c r="K1296" i="4"/>
  <c r="L1295" i="4"/>
  <c r="K1295" i="4"/>
  <c r="L1294" i="4"/>
  <c r="K1294" i="4"/>
  <c r="L1293" i="4"/>
  <c r="K1293" i="4"/>
  <c r="L1292" i="4"/>
  <c r="K1292" i="4"/>
  <c r="L1291" i="4"/>
  <c r="K1291" i="4"/>
  <c r="L1290" i="4"/>
  <c r="K1290" i="4"/>
  <c r="L1289" i="4"/>
  <c r="K1289" i="4"/>
  <c r="L1288" i="4"/>
  <c r="K1288" i="4"/>
  <c r="L1287" i="4"/>
  <c r="K1287" i="4"/>
  <c r="L1286" i="4"/>
  <c r="K1286" i="4"/>
  <c r="L1285" i="4"/>
  <c r="K1285" i="4"/>
  <c r="L1284" i="4"/>
  <c r="K1284" i="4"/>
  <c r="L1283" i="4"/>
  <c r="K1283" i="4"/>
  <c r="L1282" i="4"/>
  <c r="K1282" i="4"/>
  <c r="L1281" i="4"/>
  <c r="K1281" i="4"/>
  <c r="L1280" i="4"/>
  <c r="K1280" i="4"/>
  <c r="L1279" i="4"/>
  <c r="K1279" i="4"/>
  <c r="L1278" i="4"/>
  <c r="K1278" i="4"/>
  <c r="L1277" i="4"/>
  <c r="K1277" i="4"/>
  <c r="L1276" i="4"/>
  <c r="K1276" i="4"/>
  <c r="L1275" i="4"/>
  <c r="K1275" i="4"/>
  <c r="L1274" i="4"/>
  <c r="K1274" i="4"/>
  <c r="L1273" i="4"/>
  <c r="K1273" i="4"/>
  <c r="L1272" i="4"/>
  <c r="K1272" i="4"/>
  <c r="L1271" i="4"/>
  <c r="K1271" i="4"/>
  <c r="L1270" i="4"/>
  <c r="K1270" i="4"/>
  <c r="L1269" i="4"/>
  <c r="K1269" i="4"/>
  <c r="L1268" i="4"/>
  <c r="K1268" i="4"/>
  <c r="L1267" i="4"/>
  <c r="K1267" i="4"/>
  <c r="L1266" i="4"/>
  <c r="K1266" i="4"/>
  <c r="L1265" i="4"/>
  <c r="K1265" i="4"/>
  <c r="L1264" i="4"/>
  <c r="K1264" i="4"/>
  <c r="L1263" i="4"/>
  <c r="K1263" i="4"/>
  <c r="L1262" i="4"/>
  <c r="K1262" i="4"/>
  <c r="L1261" i="4"/>
  <c r="K1261" i="4"/>
  <c r="L1260" i="4"/>
  <c r="K1260" i="4"/>
  <c r="L1259" i="4"/>
  <c r="K1259" i="4"/>
  <c r="L1258" i="4"/>
  <c r="K1258" i="4"/>
  <c r="L1257" i="4"/>
  <c r="K1257" i="4"/>
  <c r="L1256" i="4"/>
  <c r="K1256" i="4"/>
  <c r="L1255" i="4"/>
  <c r="K1255" i="4"/>
  <c r="L1254" i="4"/>
  <c r="K1254" i="4"/>
  <c r="L1253" i="4"/>
  <c r="K1253" i="4"/>
  <c r="L1252" i="4"/>
  <c r="K1252" i="4"/>
  <c r="L1251" i="4"/>
  <c r="K1251" i="4"/>
  <c r="L1250" i="4"/>
  <c r="K1250" i="4"/>
  <c r="L1249" i="4"/>
  <c r="K1249" i="4"/>
  <c r="L1248" i="4"/>
  <c r="K1248" i="4"/>
  <c r="L1247" i="4"/>
  <c r="K1247" i="4"/>
  <c r="L1246" i="4"/>
  <c r="K1246" i="4"/>
  <c r="L1245" i="4"/>
  <c r="K1245" i="4"/>
  <c r="L1244" i="4"/>
  <c r="K1244" i="4"/>
  <c r="L1243" i="4"/>
  <c r="K1243" i="4"/>
  <c r="L1242" i="4"/>
  <c r="K1242" i="4"/>
  <c r="L1241" i="4"/>
  <c r="K1241" i="4"/>
  <c r="L1240" i="4"/>
  <c r="K1240" i="4"/>
  <c r="L1239" i="4"/>
  <c r="K1239" i="4"/>
  <c r="L1238" i="4"/>
  <c r="K1238" i="4"/>
  <c r="L1237" i="4"/>
  <c r="K1237" i="4"/>
  <c r="L1236" i="4"/>
  <c r="K1236" i="4"/>
  <c r="L1235" i="4"/>
  <c r="K1235" i="4"/>
  <c r="L1234" i="4"/>
  <c r="K1234" i="4"/>
  <c r="L1233" i="4"/>
  <c r="K1233" i="4"/>
  <c r="L1232" i="4"/>
  <c r="K1232" i="4"/>
  <c r="L1231" i="4"/>
  <c r="K1231" i="4"/>
  <c r="L1230" i="4"/>
  <c r="K1230" i="4"/>
  <c r="L1229" i="4"/>
  <c r="K1229" i="4"/>
  <c r="L1228" i="4"/>
  <c r="K1228" i="4"/>
  <c r="L1227" i="4"/>
  <c r="K1227" i="4"/>
  <c r="L1226" i="4"/>
  <c r="K1226" i="4"/>
  <c r="L1225" i="4"/>
  <c r="K1225" i="4"/>
  <c r="L1224" i="4"/>
  <c r="K1224" i="4"/>
  <c r="L1223" i="4"/>
  <c r="K1223" i="4"/>
  <c r="L1222" i="4"/>
  <c r="K1222" i="4"/>
  <c r="L1221" i="4"/>
  <c r="K1221" i="4"/>
  <c r="L1220" i="4"/>
  <c r="K1220" i="4"/>
  <c r="L1219" i="4"/>
  <c r="K1219" i="4"/>
  <c r="L1218" i="4"/>
  <c r="K1218" i="4"/>
  <c r="L1217" i="4"/>
  <c r="K1217" i="4"/>
  <c r="L1216" i="4"/>
  <c r="K1216" i="4"/>
  <c r="L1215" i="4"/>
  <c r="K1215" i="4"/>
  <c r="L1214" i="4"/>
  <c r="K1214" i="4"/>
  <c r="L1213" i="4"/>
  <c r="K1213" i="4"/>
  <c r="L1212" i="4"/>
  <c r="K1212" i="4"/>
  <c r="L1211" i="4"/>
  <c r="K1211" i="4"/>
  <c r="L1210" i="4"/>
  <c r="K1210" i="4"/>
  <c r="L1209" i="4"/>
  <c r="K1209" i="4"/>
  <c r="L1208" i="4"/>
  <c r="K1208" i="4"/>
  <c r="L1207" i="4"/>
  <c r="K1207" i="4"/>
  <c r="L1206" i="4"/>
  <c r="K1206" i="4"/>
  <c r="L1205" i="4"/>
  <c r="K1205" i="4"/>
  <c r="L1204" i="4"/>
  <c r="K1204" i="4"/>
  <c r="L1203" i="4"/>
  <c r="K1203" i="4"/>
  <c r="L1202" i="4"/>
  <c r="K1202" i="4"/>
  <c r="L1201" i="4"/>
  <c r="K1201" i="4"/>
  <c r="L1200" i="4"/>
  <c r="K1200" i="4"/>
  <c r="L1199" i="4"/>
  <c r="K1199" i="4"/>
  <c r="L1198" i="4"/>
  <c r="K1198" i="4"/>
  <c r="L1197" i="4"/>
  <c r="K1197" i="4"/>
  <c r="L1196" i="4"/>
  <c r="K1196" i="4"/>
  <c r="L1195" i="4"/>
  <c r="K1195" i="4"/>
  <c r="L1194" i="4"/>
  <c r="K1194" i="4"/>
  <c r="L1193" i="4"/>
  <c r="K1193" i="4"/>
  <c r="L1192" i="4"/>
  <c r="K1192" i="4"/>
  <c r="L1191" i="4"/>
  <c r="K1191" i="4"/>
  <c r="L1190" i="4"/>
  <c r="K1190" i="4"/>
  <c r="L1189" i="4"/>
  <c r="K1189" i="4"/>
  <c r="L1188" i="4"/>
  <c r="K1188" i="4"/>
  <c r="L1187" i="4"/>
  <c r="K1187" i="4"/>
  <c r="L1186" i="4"/>
  <c r="K1186" i="4"/>
  <c r="L1185" i="4"/>
  <c r="K1185" i="4"/>
  <c r="L1184" i="4"/>
  <c r="K1184" i="4"/>
  <c r="L1183" i="4"/>
  <c r="K1183" i="4"/>
  <c r="L1182" i="4"/>
  <c r="K1182" i="4"/>
  <c r="L1181" i="4"/>
  <c r="K1181" i="4"/>
  <c r="L1180" i="4"/>
  <c r="K1180" i="4"/>
  <c r="L1179" i="4"/>
  <c r="K1179" i="4"/>
  <c r="L1178" i="4"/>
  <c r="K1178" i="4"/>
  <c r="L1177" i="4"/>
  <c r="K1177" i="4"/>
  <c r="L1176" i="4"/>
  <c r="K1176" i="4"/>
  <c r="L1175" i="4"/>
  <c r="K1175" i="4"/>
  <c r="L1174" i="4"/>
  <c r="K1174" i="4"/>
  <c r="L1173" i="4"/>
  <c r="K1173" i="4"/>
  <c r="L1172" i="4"/>
  <c r="K1172" i="4"/>
  <c r="L1171" i="4"/>
  <c r="K1171" i="4"/>
  <c r="L1170" i="4"/>
  <c r="K1170" i="4"/>
  <c r="L1169" i="4"/>
  <c r="K1169" i="4"/>
  <c r="L1168" i="4"/>
  <c r="K1168" i="4"/>
  <c r="L1167" i="4"/>
  <c r="K1167" i="4"/>
  <c r="L1166" i="4"/>
  <c r="K1166" i="4"/>
  <c r="L1165" i="4"/>
  <c r="K1165" i="4"/>
  <c r="L1164" i="4"/>
  <c r="K1164" i="4"/>
  <c r="L1163" i="4"/>
  <c r="K1163" i="4"/>
  <c r="L1162" i="4"/>
  <c r="K1162" i="4"/>
  <c r="L1161" i="4"/>
  <c r="K1161" i="4"/>
  <c r="L1160" i="4"/>
  <c r="K1160" i="4"/>
  <c r="L1159" i="4"/>
  <c r="K1159" i="4"/>
  <c r="L1158" i="4"/>
  <c r="K1158" i="4"/>
  <c r="L1157" i="4"/>
  <c r="K1157" i="4"/>
  <c r="L1156" i="4"/>
  <c r="K1156" i="4"/>
  <c r="L1155" i="4"/>
  <c r="K1155" i="4"/>
  <c r="L1154" i="4"/>
  <c r="K1154" i="4"/>
  <c r="L1153" i="4"/>
  <c r="K1153" i="4"/>
  <c r="L1152" i="4"/>
  <c r="K1152" i="4"/>
  <c r="L1151" i="4"/>
  <c r="K1151" i="4"/>
  <c r="L1150" i="4"/>
  <c r="K1150" i="4"/>
  <c r="L1149" i="4"/>
  <c r="K1149" i="4"/>
  <c r="L1148" i="4"/>
  <c r="K1148" i="4"/>
  <c r="L1147" i="4"/>
  <c r="K1147" i="4"/>
  <c r="L1146" i="4"/>
  <c r="K1146" i="4"/>
  <c r="L1145" i="4"/>
  <c r="K1145" i="4"/>
  <c r="L1144" i="4"/>
  <c r="K1144" i="4"/>
  <c r="L1143" i="4"/>
  <c r="K1143" i="4"/>
  <c r="L1142" i="4"/>
  <c r="K1142" i="4"/>
  <c r="L1141" i="4"/>
  <c r="K1141" i="4"/>
  <c r="L1140" i="4"/>
  <c r="K1140" i="4"/>
  <c r="L1139" i="4"/>
  <c r="K1139" i="4"/>
  <c r="L1138" i="4"/>
  <c r="K1138" i="4"/>
  <c r="L1137" i="4"/>
  <c r="K1137" i="4"/>
  <c r="L1136" i="4"/>
  <c r="K1136" i="4"/>
  <c r="L1135" i="4"/>
  <c r="K1135" i="4"/>
  <c r="L1134" i="4"/>
  <c r="K1134" i="4"/>
  <c r="L1133" i="4"/>
  <c r="K1133" i="4"/>
  <c r="L1132" i="4"/>
  <c r="K1132" i="4"/>
  <c r="L1131" i="4"/>
  <c r="K1131" i="4"/>
  <c r="L1130" i="4"/>
  <c r="K1130" i="4"/>
  <c r="L1129" i="4"/>
  <c r="K1129" i="4"/>
  <c r="L1128" i="4"/>
  <c r="K1128" i="4"/>
  <c r="L1127" i="4"/>
  <c r="K1127" i="4"/>
  <c r="L1126" i="4"/>
  <c r="K1126" i="4"/>
  <c r="L1125" i="4"/>
  <c r="K1125" i="4"/>
  <c r="L1124" i="4"/>
  <c r="K1124" i="4"/>
  <c r="L1123" i="4"/>
  <c r="K1123" i="4"/>
  <c r="L1122" i="4"/>
  <c r="K1122" i="4"/>
  <c r="L1121" i="4"/>
  <c r="K1121" i="4"/>
  <c r="L1120" i="4"/>
  <c r="K1120" i="4"/>
  <c r="L1119" i="4"/>
  <c r="K1119" i="4"/>
  <c r="L1118" i="4"/>
  <c r="K1118" i="4"/>
  <c r="L1117" i="4"/>
  <c r="K1117" i="4"/>
  <c r="L1116" i="4"/>
  <c r="K1116" i="4"/>
  <c r="L1115" i="4"/>
  <c r="K1115" i="4"/>
  <c r="L1114" i="4"/>
  <c r="K1114" i="4"/>
  <c r="L1113" i="4"/>
  <c r="K1113" i="4"/>
  <c r="L1112" i="4"/>
  <c r="K1112" i="4"/>
  <c r="L1111" i="4"/>
  <c r="K1111" i="4"/>
  <c r="L1110" i="4"/>
  <c r="K1110" i="4"/>
  <c r="L1109" i="4"/>
  <c r="K1109" i="4"/>
  <c r="L1108" i="4"/>
  <c r="K1108" i="4"/>
  <c r="L1107" i="4"/>
  <c r="K1107" i="4"/>
  <c r="L1106" i="4"/>
  <c r="K1106" i="4"/>
  <c r="L1105" i="4"/>
  <c r="K1105" i="4"/>
  <c r="L1104" i="4"/>
  <c r="K1104" i="4"/>
  <c r="L1103" i="4"/>
  <c r="K1103" i="4"/>
  <c r="L1102" i="4"/>
  <c r="K1102" i="4"/>
  <c r="L1101" i="4"/>
  <c r="K1101" i="4"/>
  <c r="L1100" i="4"/>
  <c r="K1100" i="4"/>
  <c r="L1099" i="4"/>
  <c r="K1099" i="4"/>
  <c r="L1098" i="4"/>
  <c r="K1098" i="4"/>
  <c r="L1097" i="4"/>
  <c r="K1097" i="4"/>
  <c r="L1096" i="4"/>
  <c r="K1096" i="4"/>
  <c r="L1095" i="4"/>
  <c r="K1095" i="4"/>
  <c r="L1094" i="4"/>
  <c r="K1094" i="4"/>
  <c r="L1093" i="4"/>
  <c r="K1093" i="4"/>
  <c r="L1092" i="4"/>
  <c r="K1092" i="4"/>
  <c r="L1091" i="4"/>
  <c r="K1091" i="4"/>
  <c r="L1090" i="4"/>
  <c r="K1090" i="4"/>
  <c r="L1089" i="4"/>
  <c r="K1089" i="4"/>
  <c r="L1088" i="4"/>
  <c r="K1088" i="4"/>
  <c r="L1087" i="4"/>
  <c r="K1087" i="4"/>
  <c r="L1086" i="4"/>
  <c r="K1086" i="4"/>
  <c r="L1085" i="4"/>
  <c r="K1085" i="4"/>
  <c r="L1084" i="4"/>
  <c r="K1084" i="4"/>
  <c r="L1083" i="4"/>
  <c r="K1083" i="4"/>
  <c r="L1082" i="4"/>
  <c r="K1082" i="4"/>
  <c r="L1081" i="4"/>
  <c r="K1081" i="4"/>
  <c r="L1080" i="4"/>
  <c r="K1080" i="4"/>
  <c r="L1079" i="4"/>
  <c r="K1079" i="4"/>
  <c r="L1078" i="4"/>
  <c r="K1078" i="4"/>
  <c r="L1077" i="4"/>
  <c r="K1077" i="4"/>
  <c r="L1076" i="4"/>
  <c r="K1076" i="4"/>
  <c r="L1075" i="4"/>
  <c r="K1075" i="4"/>
  <c r="L1074" i="4"/>
  <c r="K1074" i="4"/>
  <c r="L1073" i="4"/>
  <c r="K1073" i="4"/>
  <c r="L1072" i="4"/>
  <c r="K1072" i="4"/>
  <c r="L1071" i="4"/>
  <c r="K1071" i="4"/>
  <c r="L1070" i="4"/>
  <c r="K1070" i="4"/>
  <c r="L1069" i="4"/>
  <c r="K1069" i="4"/>
  <c r="L1068" i="4"/>
  <c r="K1068" i="4"/>
  <c r="L1067" i="4"/>
  <c r="K1067" i="4"/>
  <c r="L1066" i="4"/>
  <c r="K1066" i="4"/>
  <c r="L1065" i="4"/>
  <c r="K1065" i="4"/>
  <c r="L1064" i="4"/>
  <c r="K1064" i="4"/>
  <c r="L1063" i="4"/>
  <c r="K1063" i="4"/>
  <c r="L1062" i="4"/>
  <c r="K1062" i="4"/>
  <c r="L1061" i="4"/>
  <c r="K1061" i="4"/>
  <c r="L1060" i="4"/>
  <c r="K1060" i="4"/>
  <c r="L1059" i="4"/>
  <c r="K1059" i="4"/>
  <c r="L1058" i="4"/>
  <c r="K1058" i="4"/>
  <c r="L1057" i="4"/>
  <c r="K1057" i="4"/>
  <c r="L1056" i="4"/>
  <c r="K1056" i="4"/>
  <c r="L1055" i="4"/>
  <c r="K1055" i="4"/>
  <c r="L1054" i="4"/>
  <c r="K1054" i="4"/>
  <c r="L1053" i="4"/>
  <c r="K1053" i="4"/>
  <c r="L1052" i="4"/>
  <c r="K1052" i="4"/>
  <c r="L1051" i="4"/>
  <c r="K1051" i="4"/>
  <c r="L1050" i="4"/>
  <c r="K1050" i="4"/>
  <c r="L1049" i="4"/>
  <c r="K1049" i="4"/>
  <c r="L1048" i="4"/>
  <c r="K1048" i="4"/>
  <c r="L1047" i="4"/>
  <c r="K1047" i="4"/>
  <c r="L1046" i="4"/>
  <c r="K1046" i="4"/>
  <c r="L1045" i="4"/>
  <c r="K1045" i="4"/>
  <c r="L1044" i="4"/>
  <c r="K1044" i="4"/>
  <c r="L1043" i="4"/>
  <c r="K1043" i="4"/>
  <c r="L1042" i="4"/>
  <c r="K1042" i="4"/>
  <c r="L1041" i="4"/>
  <c r="K1041" i="4"/>
  <c r="L1040" i="4"/>
  <c r="K1040" i="4"/>
  <c r="L1039" i="4"/>
  <c r="K1039" i="4"/>
  <c r="L1038" i="4"/>
  <c r="K1038" i="4"/>
  <c r="L1037" i="4"/>
  <c r="K1037" i="4"/>
  <c r="L1036" i="4"/>
  <c r="K1036" i="4"/>
  <c r="L1035" i="4"/>
  <c r="K1035" i="4"/>
  <c r="L1034" i="4"/>
  <c r="K1034" i="4"/>
  <c r="L1033" i="4"/>
  <c r="K1033" i="4"/>
  <c r="L1032" i="4"/>
  <c r="K1032" i="4"/>
  <c r="L1031" i="4"/>
  <c r="K1031" i="4"/>
  <c r="L1030" i="4"/>
  <c r="K1030" i="4"/>
  <c r="L1029" i="4"/>
  <c r="K1029" i="4"/>
  <c r="L1028" i="4"/>
  <c r="K1028" i="4"/>
  <c r="L1027" i="4"/>
  <c r="K1027" i="4"/>
  <c r="L1026" i="4"/>
  <c r="K1026" i="4"/>
  <c r="L1025" i="4"/>
  <c r="K1025" i="4"/>
  <c r="L1024" i="4"/>
  <c r="K1024" i="4"/>
  <c r="L1023" i="4"/>
  <c r="K1023" i="4"/>
  <c r="L1022" i="4"/>
  <c r="K1022" i="4"/>
  <c r="L1021" i="4"/>
  <c r="K1021" i="4"/>
  <c r="L1020" i="4"/>
  <c r="K1020" i="4"/>
  <c r="L1019" i="4"/>
  <c r="K1019" i="4"/>
  <c r="L1018" i="4"/>
  <c r="K1018" i="4"/>
  <c r="L1017" i="4"/>
  <c r="K1017" i="4"/>
  <c r="L1016" i="4"/>
  <c r="K1016" i="4"/>
  <c r="L1015" i="4"/>
  <c r="K1015" i="4"/>
  <c r="L1014" i="4"/>
  <c r="K1014" i="4"/>
  <c r="L1013" i="4"/>
  <c r="K1013" i="4"/>
  <c r="L1012" i="4"/>
  <c r="K1012" i="4"/>
  <c r="L1011" i="4"/>
  <c r="K1011" i="4"/>
  <c r="L1010" i="4"/>
  <c r="K1010" i="4"/>
  <c r="L1009" i="4"/>
  <c r="K1009" i="4"/>
  <c r="L1008" i="4"/>
  <c r="K1008" i="4"/>
  <c r="L1007" i="4"/>
  <c r="K1007" i="4"/>
  <c r="L1006" i="4"/>
  <c r="K1006" i="4"/>
  <c r="L1005" i="4"/>
  <c r="K1005" i="4"/>
  <c r="L1004" i="4"/>
  <c r="K1004" i="4"/>
  <c r="L1003" i="4"/>
  <c r="K1003" i="4"/>
  <c r="L1002" i="4"/>
  <c r="K1002" i="4"/>
  <c r="L1001" i="4"/>
  <c r="K1001" i="4"/>
  <c r="L1000" i="4"/>
  <c r="K1000" i="4"/>
  <c r="L999" i="4"/>
  <c r="K999" i="4"/>
  <c r="L998" i="4"/>
  <c r="K998" i="4"/>
  <c r="L997" i="4"/>
  <c r="K997" i="4"/>
  <c r="L996" i="4"/>
  <c r="K996" i="4"/>
  <c r="L995" i="4"/>
  <c r="K995" i="4"/>
  <c r="L994" i="4"/>
  <c r="K994" i="4"/>
  <c r="L993" i="4"/>
  <c r="K993" i="4"/>
  <c r="L992" i="4"/>
  <c r="K992" i="4"/>
  <c r="L991" i="4"/>
  <c r="K991" i="4"/>
  <c r="L990" i="4"/>
  <c r="K990" i="4"/>
  <c r="L989" i="4"/>
  <c r="K989" i="4"/>
  <c r="L988" i="4"/>
  <c r="K988" i="4"/>
  <c r="L987" i="4"/>
  <c r="K987" i="4"/>
  <c r="L986" i="4"/>
  <c r="K986" i="4"/>
  <c r="L985" i="4"/>
  <c r="K985" i="4"/>
  <c r="L984" i="4"/>
  <c r="K984" i="4"/>
  <c r="L983" i="4"/>
  <c r="K983" i="4"/>
  <c r="L982" i="4"/>
  <c r="K982" i="4"/>
  <c r="L981" i="4"/>
  <c r="K981" i="4"/>
  <c r="L980" i="4"/>
  <c r="K980" i="4"/>
  <c r="L979" i="4"/>
  <c r="K979" i="4"/>
  <c r="L978" i="4"/>
  <c r="K978" i="4"/>
  <c r="L977" i="4"/>
  <c r="K977" i="4"/>
  <c r="L976" i="4"/>
  <c r="K976" i="4"/>
  <c r="L975" i="4"/>
  <c r="K975" i="4"/>
  <c r="L974" i="4"/>
  <c r="K974" i="4"/>
  <c r="L973" i="4"/>
  <c r="K973" i="4"/>
  <c r="L972" i="4"/>
  <c r="K972" i="4"/>
  <c r="L971" i="4"/>
  <c r="K971" i="4"/>
  <c r="L970" i="4"/>
  <c r="K970" i="4"/>
  <c r="L969" i="4"/>
  <c r="K969" i="4"/>
  <c r="L968" i="4"/>
  <c r="K968" i="4"/>
  <c r="L967" i="4"/>
  <c r="K967" i="4"/>
  <c r="L966" i="4"/>
  <c r="K966" i="4"/>
  <c r="L965" i="4"/>
  <c r="K965" i="4"/>
  <c r="L964" i="4"/>
  <c r="K964" i="4"/>
  <c r="L963" i="4"/>
  <c r="K963" i="4"/>
  <c r="L962" i="4"/>
  <c r="K962" i="4"/>
  <c r="L961" i="4"/>
  <c r="K961" i="4"/>
  <c r="L960" i="4"/>
  <c r="K960" i="4"/>
  <c r="L959" i="4"/>
  <c r="K959" i="4"/>
  <c r="L958" i="4"/>
  <c r="K958" i="4"/>
  <c r="L957" i="4"/>
  <c r="K957" i="4"/>
  <c r="L956" i="4"/>
  <c r="K956" i="4"/>
  <c r="L955" i="4"/>
  <c r="K955" i="4"/>
  <c r="L954" i="4"/>
  <c r="K954" i="4"/>
  <c r="L953" i="4"/>
  <c r="K953" i="4"/>
  <c r="L952" i="4"/>
  <c r="K952" i="4"/>
  <c r="L951" i="4"/>
  <c r="K951" i="4"/>
  <c r="L950" i="4"/>
  <c r="K950" i="4"/>
  <c r="L949" i="4"/>
  <c r="K949" i="4"/>
  <c r="L948" i="4"/>
  <c r="K948" i="4"/>
  <c r="L947" i="4"/>
  <c r="K947" i="4"/>
  <c r="L946" i="4"/>
  <c r="K946" i="4"/>
  <c r="L945" i="4"/>
  <c r="K945" i="4"/>
  <c r="L944" i="4"/>
  <c r="K944" i="4"/>
  <c r="L943" i="4"/>
  <c r="K943" i="4"/>
  <c r="L942" i="4"/>
  <c r="K942" i="4"/>
  <c r="L941" i="4"/>
  <c r="K941" i="4"/>
  <c r="L940" i="4"/>
  <c r="K940" i="4"/>
  <c r="L939" i="4"/>
  <c r="K939" i="4"/>
  <c r="L938" i="4"/>
  <c r="K938" i="4"/>
  <c r="L937" i="4"/>
  <c r="K937" i="4"/>
  <c r="L936" i="4"/>
  <c r="K936" i="4"/>
  <c r="L935" i="4"/>
  <c r="K935" i="4"/>
  <c r="L934" i="4"/>
  <c r="K934" i="4"/>
  <c r="L933" i="4"/>
  <c r="K933" i="4"/>
  <c r="L932" i="4"/>
  <c r="K932" i="4"/>
  <c r="L931" i="4"/>
  <c r="K931" i="4"/>
  <c r="L930" i="4"/>
  <c r="K930" i="4"/>
  <c r="L929" i="4"/>
  <c r="K929" i="4"/>
  <c r="L928" i="4"/>
  <c r="K928" i="4"/>
  <c r="L927" i="4"/>
  <c r="K927" i="4"/>
  <c r="L926" i="4"/>
  <c r="K926" i="4"/>
  <c r="L925" i="4"/>
  <c r="K925" i="4"/>
  <c r="L924" i="4"/>
  <c r="K924" i="4"/>
  <c r="L923" i="4"/>
  <c r="K923" i="4"/>
  <c r="L922" i="4"/>
  <c r="K922" i="4"/>
  <c r="L921" i="4"/>
  <c r="K921" i="4"/>
  <c r="L920" i="4"/>
  <c r="K920" i="4"/>
  <c r="L919" i="4"/>
  <c r="K919" i="4"/>
  <c r="L918" i="4"/>
  <c r="K918" i="4"/>
  <c r="L917" i="4"/>
  <c r="K917" i="4"/>
  <c r="L916" i="4"/>
  <c r="K916" i="4"/>
  <c r="L915" i="4"/>
  <c r="K915" i="4"/>
  <c r="L914" i="4"/>
  <c r="K914" i="4"/>
  <c r="L913" i="4"/>
  <c r="K913" i="4"/>
  <c r="L912" i="4"/>
  <c r="K912" i="4"/>
  <c r="L911" i="4"/>
  <c r="K911" i="4"/>
  <c r="L910" i="4"/>
  <c r="K910" i="4"/>
  <c r="L909" i="4"/>
  <c r="K909" i="4"/>
  <c r="L908" i="4"/>
  <c r="K908" i="4"/>
  <c r="L907" i="4"/>
  <c r="K907" i="4"/>
  <c r="L906" i="4"/>
  <c r="K906" i="4"/>
  <c r="L905" i="4"/>
  <c r="K905" i="4"/>
  <c r="L904" i="4"/>
  <c r="K904" i="4"/>
  <c r="L903" i="4"/>
  <c r="K903" i="4"/>
  <c r="L902" i="4"/>
  <c r="K902" i="4"/>
  <c r="L901" i="4"/>
  <c r="K901" i="4"/>
  <c r="L900" i="4"/>
  <c r="K900" i="4"/>
  <c r="L899" i="4"/>
  <c r="K899" i="4"/>
  <c r="L898" i="4"/>
  <c r="K898" i="4"/>
  <c r="L897" i="4"/>
  <c r="K897" i="4"/>
  <c r="L896" i="4"/>
  <c r="K896" i="4"/>
  <c r="L895" i="4"/>
  <c r="K895" i="4"/>
  <c r="L894" i="4"/>
  <c r="K894" i="4"/>
  <c r="L893" i="4"/>
  <c r="K893" i="4"/>
  <c r="L892" i="4"/>
  <c r="K892" i="4"/>
  <c r="L891" i="4"/>
  <c r="K891" i="4"/>
  <c r="L890" i="4"/>
  <c r="K890" i="4"/>
  <c r="L889" i="4"/>
  <c r="K889" i="4"/>
  <c r="L888" i="4"/>
  <c r="K888" i="4"/>
  <c r="L887" i="4"/>
  <c r="K887" i="4"/>
  <c r="L886" i="4"/>
  <c r="K886" i="4"/>
  <c r="L885" i="4"/>
  <c r="K885" i="4"/>
  <c r="L884" i="4"/>
  <c r="K884" i="4"/>
  <c r="L883" i="4"/>
  <c r="K883" i="4"/>
  <c r="L882" i="4"/>
  <c r="K882" i="4"/>
  <c r="L881" i="4"/>
  <c r="K881" i="4"/>
  <c r="L880" i="4"/>
  <c r="K880" i="4"/>
  <c r="L879" i="4"/>
  <c r="K879" i="4"/>
  <c r="L878" i="4"/>
  <c r="K878" i="4"/>
  <c r="L877" i="4"/>
  <c r="K877" i="4"/>
  <c r="L876" i="4"/>
  <c r="K876" i="4"/>
  <c r="L875" i="4"/>
  <c r="K875" i="4"/>
  <c r="L874" i="4"/>
  <c r="K874" i="4"/>
  <c r="L873" i="4"/>
  <c r="K873" i="4"/>
  <c r="L872" i="4"/>
  <c r="K872" i="4"/>
  <c r="L871" i="4"/>
  <c r="K871" i="4"/>
  <c r="L870" i="4"/>
  <c r="K870" i="4"/>
  <c r="L869" i="4"/>
  <c r="K869" i="4"/>
  <c r="L868" i="4"/>
  <c r="K868" i="4"/>
  <c r="L867" i="4"/>
  <c r="K867" i="4"/>
  <c r="L866" i="4"/>
  <c r="K866" i="4"/>
  <c r="L865" i="4"/>
  <c r="K865" i="4"/>
  <c r="L864" i="4"/>
  <c r="K864" i="4"/>
  <c r="L863" i="4"/>
  <c r="K863" i="4"/>
  <c r="L862" i="4"/>
  <c r="K862" i="4"/>
  <c r="L861" i="4"/>
  <c r="K861" i="4"/>
  <c r="L860" i="4"/>
  <c r="K860" i="4"/>
  <c r="L859" i="4"/>
  <c r="K859" i="4"/>
  <c r="L858" i="4"/>
  <c r="K858" i="4"/>
  <c r="L857" i="4"/>
  <c r="K857" i="4"/>
  <c r="L856" i="4"/>
  <c r="K856" i="4"/>
  <c r="L855" i="4"/>
  <c r="K855" i="4"/>
  <c r="L854" i="4"/>
  <c r="K854" i="4"/>
  <c r="L853" i="4"/>
  <c r="K853" i="4"/>
  <c r="L852" i="4"/>
  <c r="K852" i="4"/>
  <c r="L851" i="4"/>
  <c r="K851" i="4"/>
  <c r="L850" i="4"/>
  <c r="K850" i="4"/>
  <c r="L849" i="4"/>
  <c r="K849" i="4"/>
  <c r="L848" i="4"/>
  <c r="K848" i="4"/>
  <c r="L847" i="4"/>
  <c r="K847" i="4"/>
  <c r="L846" i="4"/>
  <c r="K846" i="4"/>
  <c r="L845" i="4"/>
  <c r="K845" i="4"/>
  <c r="L844" i="4"/>
  <c r="K844" i="4"/>
  <c r="L843" i="4"/>
  <c r="K843" i="4"/>
  <c r="L842" i="4"/>
  <c r="K842" i="4"/>
  <c r="L841" i="4"/>
  <c r="K841" i="4"/>
  <c r="L840" i="4"/>
  <c r="K840" i="4"/>
  <c r="L839" i="4"/>
  <c r="K839" i="4"/>
  <c r="L838" i="4"/>
  <c r="K838" i="4"/>
  <c r="L837" i="4"/>
  <c r="K837" i="4"/>
  <c r="L836" i="4"/>
  <c r="K836" i="4"/>
  <c r="L835" i="4"/>
  <c r="K835" i="4"/>
  <c r="L834" i="4"/>
  <c r="K834" i="4"/>
  <c r="L833" i="4"/>
  <c r="K833" i="4"/>
  <c r="L832" i="4"/>
  <c r="K832" i="4"/>
  <c r="L831" i="4"/>
  <c r="K831" i="4"/>
  <c r="L830" i="4"/>
  <c r="K830" i="4"/>
  <c r="L829" i="4"/>
  <c r="K829" i="4"/>
  <c r="L828" i="4"/>
  <c r="K828" i="4"/>
  <c r="L827" i="4"/>
  <c r="K827" i="4"/>
  <c r="L826" i="4"/>
  <c r="K826" i="4"/>
  <c r="L825" i="4"/>
  <c r="K825" i="4"/>
  <c r="L824" i="4"/>
  <c r="K824" i="4"/>
  <c r="L823" i="4"/>
  <c r="K823" i="4"/>
  <c r="L822" i="4"/>
  <c r="K822" i="4"/>
  <c r="L821" i="4"/>
  <c r="K821" i="4"/>
  <c r="L820" i="4"/>
  <c r="K820" i="4"/>
  <c r="L819" i="4"/>
  <c r="K819" i="4"/>
  <c r="L818" i="4"/>
  <c r="K818" i="4"/>
  <c r="L817" i="4"/>
  <c r="K817" i="4"/>
  <c r="L816" i="4"/>
  <c r="K816" i="4"/>
  <c r="L815" i="4"/>
  <c r="K815" i="4"/>
  <c r="L814" i="4"/>
  <c r="K814" i="4"/>
  <c r="L813" i="4"/>
  <c r="K813" i="4"/>
  <c r="L812" i="4"/>
  <c r="K812" i="4"/>
  <c r="L811" i="4"/>
  <c r="K811" i="4"/>
  <c r="L810" i="4"/>
  <c r="K810" i="4"/>
  <c r="L809" i="4"/>
  <c r="K809" i="4"/>
  <c r="L808" i="4"/>
  <c r="K808" i="4"/>
  <c r="L807" i="4"/>
  <c r="K807" i="4"/>
  <c r="L806" i="4"/>
  <c r="K806" i="4"/>
  <c r="L805" i="4"/>
  <c r="K805" i="4"/>
  <c r="L804" i="4"/>
  <c r="K804" i="4"/>
  <c r="L803" i="4"/>
  <c r="K803" i="4"/>
  <c r="L802" i="4"/>
  <c r="K802" i="4"/>
  <c r="L801" i="4"/>
  <c r="K801" i="4"/>
  <c r="L800" i="4"/>
  <c r="K800" i="4"/>
  <c r="L799" i="4"/>
  <c r="K799" i="4"/>
  <c r="L798" i="4"/>
  <c r="K798" i="4"/>
  <c r="L797" i="4"/>
  <c r="K797" i="4"/>
  <c r="L796" i="4"/>
  <c r="K796" i="4"/>
  <c r="L795" i="4"/>
  <c r="K795" i="4"/>
  <c r="L794" i="4"/>
  <c r="K794" i="4"/>
  <c r="L793" i="4"/>
  <c r="K793" i="4"/>
  <c r="L792" i="4"/>
  <c r="K792" i="4"/>
  <c r="L791" i="4"/>
  <c r="K791" i="4"/>
  <c r="L790" i="4"/>
  <c r="K790" i="4"/>
  <c r="L789" i="4"/>
  <c r="K789" i="4"/>
  <c r="L788" i="4"/>
  <c r="K788" i="4"/>
  <c r="L787" i="4"/>
  <c r="K787" i="4"/>
  <c r="L786" i="4"/>
  <c r="K786" i="4"/>
  <c r="L785" i="4"/>
  <c r="K785" i="4"/>
  <c r="L784" i="4"/>
  <c r="K784" i="4"/>
  <c r="L783" i="4"/>
  <c r="K783" i="4"/>
  <c r="L782" i="4"/>
  <c r="K782" i="4"/>
  <c r="L781" i="4"/>
  <c r="K781" i="4"/>
  <c r="L780" i="4"/>
  <c r="K780" i="4"/>
  <c r="L779" i="4"/>
  <c r="K779" i="4"/>
  <c r="L778" i="4"/>
  <c r="K778" i="4"/>
  <c r="L777" i="4"/>
  <c r="K777" i="4"/>
  <c r="L776" i="4"/>
  <c r="K776" i="4"/>
  <c r="L775" i="4"/>
  <c r="K775" i="4"/>
  <c r="L774" i="4"/>
  <c r="K774" i="4"/>
  <c r="L773" i="4"/>
  <c r="K773" i="4"/>
  <c r="L772" i="4"/>
  <c r="K772" i="4"/>
  <c r="L771" i="4"/>
  <c r="K771" i="4"/>
  <c r="L770" i="4"/>
  <c r="K770" i="4"/>
  <c r="L769" i="4"/>
  <c r="K769" i="4"/>
  <c r="L768" i="4"/>
  <c r="K768" i="4"/>
  <c r="L767" i="4"/>
  <c r="K767" i="4"/>
  <c r="L766" i="4"/>
  <c r="K766" i="4"/>
  <c r="L765" i="4"/>
  <c r="K765" i="4"/>
  <c r="L764" i="4"/>
  <c r="K764" i="4"/>
  <c r="L763" i="4"/>
  <c r="K763" i="4"/>
  <c r="L762" i="4"/>
  <c r="K762" i="4"/>
  <c r="L761" i="4"/>
  <c r="K761" i="4"/>
  <c r="L760" i="4"/>
  <c r="K760" i="4"/>
  <c r="L759" i="4"/>
  <c r="K759" i="4"/>
  <c r="L758" i="4"/>
  <c r="K758" i="4"/>
  <c r="L757" i="4"/>
  <c r="K757" i="4"/>
  <c r="L756" i="4"/>
  <c r="K756" i="4"/>
  <c r="L755" i="4"/>
  <c r="K755" i="4"/>
  <c r="L754" i="4"/>
  <c r="K754" i="4"/>
  <c r="L753" i="4"/>
  <c r="K753" i="4"/>
  <c r="L752" i="4"/>
  <c r="K752" i="4"/>
  <c r="L751" i="4"/>
  <c r="K751" i="4"/>
  <c r="L750" i="4"/>
  <c r="K750" i="4"/>
  <c r="L749" i="4"/>
  <c r="K749" i="4"/>
  <c r="L748" i="4"/>
  <c r="K748" i="4"/>
  <c r="L747" i="4"/>
  <c r="K747" i="4"/>
  <c r="L746" i="4"/>
  <c r="K746" i="4"/>
  <c r="L745" i="4"/>
  <c r="K745" i="4"/>
  <c r="L744" i="4"/>
  <c r="K744" i="4"/>
  <c r="L743" i="4"/>
  <c r="K743" i="4"/>
  <c r="L742" i="4"/>
  <c r="K742" i="4"/>
  <c r="L741" i="4"/>
  <c r="K741" i="4"/>
  <c r="L740" i="4"/>
  <c r="K740" i="4"/>
  <c r="L739" i="4"/>
  <c r="K739" i="4"/>
  <c r="L738" i="4"/>
  <c r="K738" i="4"/>
  <c r="L737" i="4"/>
  <c r="K737" i="4"/>
  <c r="L736" i="4"/>
  <c r="K736" i="4"/>
  <c r="L735" i="4"/>
  <c r="K735" i="4"/>
  <c r="L734" i="4"/>
  <c r="K734" i="4"/>
  <c r="L733" i="4"/>
  <c r="K733" i="4"/>
  <c r="L732" i="4"/>
  <c r="K732" i="4"/>
  <c r="L731" i="4"/>
  <c r="K731" i="4"/>
  <c r="L730" i="4"/>
  <c r="K730" i="4"/>
  <c r="L729" i="4"/>
  <c r="K729" i="4"/>
  <c r="L728" i="4"/>
  <c r="K728" i="4"/>
  <c r="L727" i="4"/>
  <c r="K727" i="4"/>
  <c r="L726" i="4"/>
  <c r="K726" i="4"/>
  <c r="L725" i="4"/>
  <c r="K725" i="4"/>
  <c r="L724" i="4"/>
  <c r="K724" i="4"/>
  <c r="L723" i="4"/>
  <c r="K723" i="4"/>
  <c r="L722" i="4"/>
  <c r="K722" i="4"/>
  <c r="L721" i="4"/>
  <c r="K721" i="4"/>
  <c r="L720" i="4"/>
  <c r="K720" i="4"/>
  <c r="L719" i="4"/>
  <c r="K719" i="4"/>
  <c r="L718" i="4"/>
  <c r="K718" i="4"/>
  <c r="L717" i="4"/>
  <c r="K717" i="4"/>
  <c r="L716" i="4"/>
  <c r="K716" i="4"/>
  <c r="L715" i="4"/>
  <c r="K715" i="4"/>
  <c r="L714" i="4"/>
  <c r="K714" i="4"/>
  <c r="L713" i="4"/>
  <c r="K713" i="4"/>
  <c r="L712" i="4"/>
  <c r="K712" i="4"/>
  <c r="L711" i="4"/>
  <c r="K711" i="4"/>
  <c r="L710" i="4"/>
  <c r="K710" i="4"/>
  <c r="L709" i="4"/>
  <c r="K709" i="4"/>
  <c r="L708" i="4"/>
  <c r="K708" i="4"/>
  <c r="L707" i="4"/>
  <c r="K707" i="4"/>
  <c r="L706" i="4"/>
  <c r="K706" i="4"/>
  <c r="L705" i="4"/>
  <c r="K705" i="4"/>
  <c r="L704" i="4"/>
  <c r="K704" i="4"/>
  <c r="L703" i="4"/>
  <c r="K703" i="4"/>
  <c r="L702" i="4"/>
  <c r="K702" i="4"/>
  <c r="L701" i="4"/>
  <c r="K701" i="4"/>
  <c r="L700" i="4"/>
  <c r="K700" i="4"/>
  <c r="L699" i="4"/>
  <c r="K699" i="4"/>
  <c r="L698" i="4"/>
  <c r="K698" i="4"/>
  <c r="L697" i="4"/>
  <c r="K697" i="4"/>
  <c r="L696" i="4"/>
  <c r="K696" i="4"/>
  <c r="L695" i="4"/>
  <c r="K695" i="4"/>
  <c r="L694" i="4"/>
  <c r="K694" i="4"/>
  <c r="L693" i="4"/>
  <c r="K693" i="4"/>
  <c r="L692" i="4"/>
  <c r="K692" i="4"/>
  <c r="L691" i="4"/>
  <c r="K691" i="4"/>
  <c r="L690" i="4"/>
  <c r="K690" i="4"/>
  <c r="L689" i="4"/>
  <c r="K689" i="4"/>
  <c r="L688" i="4"/>
  <c r="K688" i="4"/>
  <c r="L687" i="4"/>
  <c r="K687" i="4"/>
  <c r="L686" i="4"/>
  <c r="K686" i="4"/>
  <c r="L685" i="4"/>
  <c r="K685" i="4"/>
  <c r="L684" i="4"/>
  <c r="K684" i="4"/>
  <c r="L683" i="4"/>
  <c r="K683" i="4"/>
  <c r="L682" i="4"/>
  <c r="K682" i="4"/>
  <c r="L681" i="4"/>
  <c r="K681" i="4"/>
  <c r="L680" i="4"/>
  <c r="K680" i="4"/>
  <c r="L679" i="4"/>
  <c r="K679" i="4"/>
  <c r="L678" i="4"/>
  <c r="K678" i="4"/>
  <c r="L677" i="4"/>
  <c r="K677" i="4"/>
  <c r="L676" i="4"/>
  <c r="K676" i="4"/>
  <c r="L675" i="4"/>
  <c r="K675" i="4"/>
  <c r="L674" i="4"/>
  <c r="K674" i="4"/>
  <c r="L673" i="4"/>
  <c r="K673" i="4"/>
  <c r="L672" i="4"/>
  <c r="K672" i="4"/>
  <c r="L671" i="4"/>
  <c r="K671" i="4"/>
  <c r="L670" i="4"/>
  <c r="K670" i="4"/>
  <c r="L669" i="4"/>
  <c r="K669" i="4"/>
  <c r="L668" i="4"/>
  <c r="K668" i="4"/>
  <c r="L667" i="4"/>
  <c r="K667" i="4"/>
  <c r="L666" i="4"/>
  <c r="K666" i="4"/>
  <c r="L665" i="4"/>
  <c r="K665" i="4"/>
  <c r="L664" i="4"/>
  <c r="K664" i="4"/>
  <c r="L663" i="4"/>
  <c r="K663" i="4"/>
  <c r="L662" i="4"/>
  <c r="K662" i="4"/>
  <c r="L661" i="4"/>
  <c r="K661" i="4"/>
  <c r="L660" i="4"/>
  <c r="K660" i="4"/>
  <c r="L659" i="4"/>
  <c r="K659" i="4"/>
  <c r="L658" i="4"/>
  <c r="K658" i="4"/>
  <c r="L657" i="4"/>
  <c r="K657" i="4"/>
  <c r="L656" i="4"/>
  <c r="K656" i="4"/>
  <c r="L655" i="4"/>
  <c r="K655" i="4"/>
  <c r="L654" i="4"/>
  <c r="K654" i="4"/>
  <c r="L653" i="4"/>
  <c r="K653" i="4"/>
  <c r="L652" i="4"/>
  <c r="K652" i="4"/>
  <c r="L651" i="4"/>
  <c r="K651" i="4"/>
  <c r="L650" i="4"/>
  <c r="K650" i="4"/>
  <c r="L649" i="4"/>
  <c r="K649" i="4"/>
  <c r="L648" i="4"/>
  <c r="K648" i="4"/>
  <c r="L647" i="4"/>
  <c r="K647" i="4"/>
  <c r="L646" i="4"/>
  <c r="K646" i="4"/>
  <c r="L645" i="4"/>
  <c r="K645" i="4"/>
  <c r="L644" i="4"/>
  <c r="K644" i="4"/>
  <c r="L643" i="4"/>
  <c r="K643" i="4"/>
  <c r="L642" i="4"/>
  <c r="K642" i="4"/>
  <c r="L641" i="4"/>
  <c r="K641" i="4"/>
  <c r="L640" i="4"/>
  <c r="K640" i="4"/>
  <c r="L639" i="4"/>
  <c r="K639" i="4"/>
  <c r="L638" i="4"/>
  <c r="K638" i="4"/>
  <c r="L637" i="4"/>
  <c r="K637" i="4"/>
  <c r="L636" i="4"/>
  <c r="K636" i="4"/>
  <c r="L635" i="4"/>
  <c r="K635" i="4"/>
  <c r="L634" i="4"/>
  <c r="K634" i="4"/>
  <c r="L633" i="4"/>
  <c r="K633" i="4"/>
  <c r="L632" i="4"/>
  <c r="K632" i="4"/>
  <c r="L631" i="4"/>
  <c r="K631" i="4"/>
  <c r="L630" i="4"/>
  <c r="K630" i="4"/>
  <c r="L629" i="4"/>
  <c r="K629" i="4"/>
  <c r="L628" i="4"/>
  <c r="K628" i="4"/>
  <c r="L627" i="4"/>
  <c r="K627" i="4"/>
  <c r="L626" i="4"/>
  <c r="K626" i="4"/>
  <c r="L625" i="4"/>
  <c r="K625" i="4"/>
  <c r="L624" i="4"/>
  <c r="K624" i="4"/>
  <c r="L623" i="4"/>
  <c r="K623" i="4"/>
  <c r="L622" i="4"/>
  <c r="K622" i="4"/>
  <c r="L621" i="4"/>
  <c r="K621" i="4"/>
  <c r="L620" i="4"/>
  <c r="K620" i="4"/>
  <c r="L619" i="4"/>
  <c r="K619" i="4"/>
  <c r="L618" i="4"/>
  <c r="K618" i="4"/>
  <c r="L617" i="4"/>
  <c r="K617" i="4"/>
  <c r="L616" i="4"/>
  <c r="K616" i="4"/>
  <c r="L615" i="4"/>
  <c r="K615" i="4"/>
  <c r="L614" i="4"/>
  <c r="K614" i="4"/>
  <c r="L613" i="4"/>
  <c r="K613" i="4"/>
  <c r="L612" i="4"/>
  <c r="K612" i="4"/>
  <c r="L611" i="4"/>
  <c r="K611" i="4"/>
  <c r="L610" i="4"/>
  <c r="K610" i="4"/>
  <c r="L609" i="4"/>
  <c r="K609" i="4"/>
  <c r="L608" i="4"/>
  <c r="K608" i="4"/>
  <c r="L607" i="4"/>
  <c r="K607" i="4"/>
  <c r="L606" i="4"/>
  <c r="K606" i="4"/>
  <c r="L605" i="4"/>
  <c r="K605" i="4"/>
  <c r="L604" i="4"/>
  <c r="K604" i="4"/>
  <c r="L603" i="4"/>
  <c r="K603" i="4"/>
  <c r="L602" i="4"/>
  <c r="K602" i="4"/>
  <c r="L601" i="4"/>
  <c r="K601" i="4"/>
  <c r="L600" i="4"/>
  <c r="K600" i="4"/>
  <c r="L599" i="4"/>
  <c r="K599" i="4"/>
  <c r="L598" i="4"/>
  <c r="K598" i="4"/>
  <c r="L597" i="4"/>
  <c r="K597" i="4"/>
  <c r="L596" i="4"/>
  <c r="K596" i="4"/>
  <c r="L595" i="4"/>
  <c r="K595" i="4"/>
  <c r="L594" i="4"/>
  <c r="K594" i="4"/>
  <c r="L593" i="4"/>
  <c r="K593" i="4"/>
  <c r="L592" i="4"/>
  <c r="K592" i="4"/>
  <c r="L591" i="4"/>
  <c r="K591" i="4"/>
  <c r="L590" i="4"/>
  <c r="K590" i="4"/>
  <c r="L589" i="4"/>
  <c r="K589" i="4"/>
  <c r="L588" i="4"/>
  <c r="K588" i="4"/>
  <c r="L587" i="4"/>
  <c r="K587" i="4"/>
  <c r="L586" i="4"/>
  <c r="K586" i="4"/>
  <c r="L585" i="4"/>
  <c r="K585" i="4"/>
  <c r="L584" i="4"/>
  <c r="K584" i="4"/>
  <c r="L583" i="4"/>
  <c r="K583" i="4"/>
  <c r="L582" i="4"/>
  <c r="K582" i="4"/>
  <c r="L581" i="4"/>
  <c r="K581" i="4"/>
  <c r="L580" i="4"/>
  <c r="K580" i="4"/>
  <c r="L579" i="4"/>
  <c r="K579" i="4"/>
  <c r="L578" i="4"/>
  <c r="K578" i="4"/>
  <c r="L577" i="4"/>
  <c r="K577" i="4"/>
  <c r="L576" i="4"/>
  <c r="K576" i="4"/>
  <c r="L575" i="4"/>
  <c r="K575" i="4"/>
  <c r="L574" i="4"/>
  <c r="K574" i="4"/>
  <c r="L573" i="4"/>
  <c r="K573" i="4"/>
  <c r="L572" i="4"/>
  <c r="K572" i="4"/>
  <c r="L571" i="4"/>
  <c r="K571" i="4"/>
  <c r="L570" i="4"/>
  <c r="K570" i="4"/>
  <c r="L569" i="4"/>
  <c r="K569" i="4"/>
  <c r="L568" i="4"/>
  <c r="K568" i="4"/>
  <c r="L567" i="4"/>
  <c r="K567" i="4"/>
  <c r="L566" i="4"/>
  <c r="K566" i="4"/>
  <c r="L565" i="4"/>
  <c r="K565" i="4"/>
  <c r="L564" i="4"/>
  <c r="K564" i="4"/>
  <c r="L563" i="4"/>
  <c r="K563" i="4"/>
  <c r="L562" i="4"/>
  <c r="K562" i="4"/>
  <c r="L561" i="4"/>
  <c r="K561" i="4"/>
  <c r="L560" i="4"/>
  <c r="K560" i="4"/>
  <c r="L559" i="4"/>
  <c r="K559" i="4"/>
  <c r="L558" i="4"/>
  <c r="K558" i="4"/>
  <c r="L557" i="4"/>
  <c r="K557" i="4"/>
  <c r="L556" i="4"/>
  <c r="K556" i="4"/>
  <c r="L555" i="4"/>
  <c r="K555" i="4"/>
  <c r="L554" i="4"/>
  <c r="K554" i="4"/>
  <c r="L553" i="4"/>
  <c r="K553" i="4"/>
  <c r="L552" i="4"/>
  <c r="K552" i="4"/>
  <c r="L551" i="4"/>
  <c r="K551" i="4"/>
  <c r="L550" i="4"/>
  <c r="K550" i="4"/>
  <c r="L549" i="4"/>
  <c r="K549" i="4"/>
  <c r="L548" i="4"/>
  <c r="K548" i="4"/>
  <c r="L547" i="4"/>
  <c r="K547" i="4"/>
  <c r="L546" i="4"/>
  <c r="K546" i="4"/>
  <c r="L545" i="4"/>
  <c r="K545" i="4"/>
  <c r="L544" i="4"/>
  <c r="K544" i="4"/>
  <c r="L543" i="4"/>
  <c r="K543" i="4"/>
  <c r="L542" i="4"/>
  <c r="K542" i="4"/>
  <c r="L541" i="4"/>
  <c r="K541" i="4"/>
  <c r="L540" i="4"/>
  <c r="K540" i="4"/>
  <c r="L539" i="4"/>
  <c r="K539" i="4"/>
  <c r="L538" i="4"/>
  <c r="K538" i="4"/>
  <c r="L537" i="4"/>
  <c r="K537" i="4"/>
  <c r="L536" i="4"/>
  <c r="K536" i="4"/>
  <c r="L535" i="4"/>
  <c r="K535" i="4"/>
  <c r="L534" i="4"/>
  <c r="K534" i="4"/>
  <c r="L533" i="4"/>
  <c r="K533" i="4"/>
  <c r="L532" i="4"/>
  <c r="K532" i="4"/>
  <c r="L531" i="4"/>
  <c r="K531" i="4"/>
  <c r="L530" i="4"/>
  <c r="K530" i="4"/>
  <c r="L529" i="4"/>
  <c r="K529" i="4"/>
  <c r="L528" i="4"/>
  <c r="K528" i="4"/>
  <c r="L527" i="4"/>
  <c r="K527" i="4"/>
  <c r="L526" i="4"/>
  <c r="K526" i="4"/>
  <c r="L525" i="4"/>
  <c r="K525" i="4"/>
  <c r="L524" i="4"/>
  <c r="K524" i="4"/>
  <c r="L523" i="4"/>
  <c r="K523" i="4"/>
  <c r="L522" i="4"/>
  <c r="K522" i="4"/>
  <c r="L521" i="4"/>
  <c r="K521" i="4"/>
  <c r="L520" i="4"/>
  <c r="K520" i="4"/>
  <c r="L519" i="4"/>
  <c r="K519" i="4"/>
  <c r="L518" i="4"/>
  <c r="K518" i="4"/>
  <c r="L517" i="4"/>
  <c r="K517" i="4"/>
  <c r="L516" i="4"/>
  <c r="K516" i="4"/>
  <c r="L515" i="4"/>
  <c r="K515" i="4"/>
  <c r="L514" i="4"/>
  <c r="K514" i="4"/>
  <c r="L513" i="4"/>
  <c r="K513" i="4"/>
  <c r="L512" i="4"/>
  <c r="K512" i="4"/>
  <c r="L511" i="4"/>
  <c r="K511" i="4"/>
  <c r="L510" i="4"/>
  <c r="K510" i="4"/>
  <c r="L509" i="4"/>
  <c r="K509" i="4"/>
  <c r="L508" i="4"/>
  <c r="K508" i="4"/>
  <c r="L507" i="4"/>
  <c r="K507" i="4"/>
  <c r="L506" i="4"/>
  <c r="K506" i="4"/>
  <c r="L505" i="4"/>
  <c r="K505" i="4"/>
  <c r="L504" i="4"/>
  <c r="K504" i="4"/>
  <c r="L503" i="4"/>
  <c r="K503" i="4"/>
  <c r="L502" i="4"/>
  <c r="K502" i="4"/>
  <c r="L501" i="4"/>
  <c r="K501" i="4"/>
  <c r="L500" i="4"/>
  <c r="K500" i="4"/>
  <c r="L499" i="4"/>
  <c r="K499" i="4"/>
  <c r="L498" i="4"/>
  <c r="K498" i="4"/>
  <c r="L497" i="4"/>
  <c r="K497" i="4"/>
  <c r="L496" i="4"/>
  <c r="K496" i="4"/>
  <c r="L495" i="4"/>
  <c r="K495" i="4"/>
  <c r="L494" i="4"/>
  <c r="K494" i="4"/>
  <c r="L493" i="4"/>
  <c r="K493" i="4"/>
  <c r="L492" i="4"/>
  <c r="K492" i="4"/>
  <c r="L491" i="4"/>
  <c r="K491" i="4"/>
  <c r="L490" i="4"/>
  <c r="K490" i="4"/>
  <c r="L489" i="4"/>
  <c r="K489" i="4"/>
  <c r="L488" i="4"/>
  <c r="K488" i="4"/>
  <c r="L487" i="4"/>
  <c r="K487" i="4"/>
  <c r="L486" i="4"/>
  <c r="K486" i="4"/>
  <c r="L485" i="4"/>
  <c r="K485" i="4"/>
  <c r="L484" i="4"/>
  <c r="K484" i="4"/>
  <c r="L483" i="4"/>
  <c r="K483" i="4"/>
  <c r="L482" i="4"/>
  <c r="K482" i="4"/>
  <c r="L481" i="4"/>
  <c r="K481" i="4"/>
  <c r="L480" i="4"/>
  <c r="K480" i="4"/>
  <c r="L479" i="4"/>
  <c r="K479" i="4"/>
  <c r="L478" i="4"/>
  <c r="K478" i="4"/>
  <c r="L477" i="4"/>
  <c r="K477" i="4"/>
  <c r="L476" i="4"/>
  <c r="K476" i="4"/>
  <c r="L475" i="4"/>
  <c r="K475" i="4"/>
  <c r="L474" i="4"/>
  <c r="K474" i="4"/>
  <c r="L473" i="4"/>
  <c r="K473" i="4"/>
  <c r="L472" i="4"/>
  <c r="K472" i="4"/>
  <c r="L471" i="4"/>
  <c r="K471" i="4"/>
  <c r="L470" i="4"/>
  <c r="K470" i="4"/>
  <c r="L469" i="4"/>
  <c r="K469" i="4"/>
  <c r="L468" i="4"/>
  <c r="K468" i="4"/>
  <c r="L467" i="4"/>
  <c r="K467" i="4"/>
  <c r="L466" i="4"/>
  <c r="K466" i="4"/>
  <c r="L465" i="4"/>
  <c r="K465" i="4"/>
  <c r="L464" i="4"/>
  <c r="K464" i="4"/>
  <c r="L463" i="4"/>
  <c r="K463" i="4"/>
  <c r="L462" i="4"/>
  <c r="K462" i="4"/>
  <c r="L461" i="4"/>
  <c r="K461" i="4"/>
  <c r="L460" i="4"/>
  <c r="K460" i="4"/>
  <c r="L459" i="4"/>
  <c r="K459" i="4"/>
  <c r="L458" i="4"/>
  <c r="K458" i="4"/>
  <c r="L457" i="4"/>
  <c r="K457" i="4"/>
  <c r="L456" i="4"/>
  <c r="K456" i="4"/>
  <c r="L455" i="4"/>
  <c r="K455" i="4"/>
  <c r="L454" i="4"/>
  <c r="K454" i="4"/>
  <c r="L453" i="4"/>
  <c r="K453" i="4"/>
  <c r="L452" i="4"/>
  <c r="K452" i="4"/>
  <c r="L451" i="4"/>
  <c r="K451" i="4"/>
  <c r="L450" i="4"/>
  <c r="K450" i="4"/>
  <c r="L449" i="4"/>
  <c r="K449" i="4"/>
  <c r="L448" i="4"/>
  <c r="K448" i="4"/>
  <c r="L447" i="4"/>
  <c r="K447" i="4"/>
  <c r="L446" i="4"/>
  <c r="K446" i="4"/>
  <c r="L445" i="4"/>
  <c r="K445" i="4"/>
  <c r="L444" i="4"/>
  <c r="K444" i="4"/>
  <c r="L443" i="4"/>
  <c r="K443" i="4"/>
  <c r="L442" i="4"/>
  <c r="K442" i="4"/>
  <c r="L441" i="4"/>
  <c r="K441" i="4"/>
  <c r="L440" i="4"/>
  <c r="K440" i="4"/>
  <c r="L439" i="4"/>
  <c r="K439" i="4"/>
  <c r="L438" i="4"/>
  <c r="K438" i="4"/>
  <c r="L437" i="4"/>
  <c r="K437" i="4"/>
  <c r="L436" i="4"/>
  <c r="K436" i="4"/>
  <c r="L435" i="4"/>
  <c r="K435" i="4"/>
  <c r="L434" i="4"/>
  <c r="K434" i="4"/>
  <c r="L433" i="4"/>
  <c r="K433" i="4"/>
  <c r="L432" i="4"/>
  <c r="K432" i="4"/>
  <c r="L431" i="4"/>
  <c r="K431" i="4"/>
  <c r="L430" i="4"/>
  <c r="K430" i="4"/>
  <c r="L429" i="4"/>
  <c r="K429" i="4"/>
  <c r="L428" i="4"/>
  <c r="K428" i="4"/>
  <c r="L427" i="4"/>
  <c r="K427" i="4"/>
  <c r="L426" i="4"/>
  <c r="K426" i="4"/>
  <c r="L425" i="4"/>
  <c r="K425" i="4"/>
  <c r="L424" i="4"/>
  <c r="K424" i="4"/>
  <c r="L423" i="4"/>
  <c r="K423" i="4"/>
  <c r="L422" i="4"/>
  <c r="K422" i="4"/>
  <c r="L421" i="4"/>
  <c r="K421" i="4"/>
  <c r="L420" i="4"/>
  <c r="K420" i="4"/>
  <c r="L419" i="4"/>
  <c r="K419" i="4"/>
  <c r="L418" i="4"/>
  <c r="K418" i="4"/>
  <c r="L417" i="4"/>
  <c r="K417" i="4"/>
  <c r="L416" i="4"/>
  <c r="K416" i="4"/>
  <c r="L415" i="4"/>
  <c r="K415" i="4"/>
  <c r="L414" i="4"/>
  <c r="K414" i="4"/>
  <c r="L413" i="4"/>
  <c r="K413" i="4"/>
  <c r="L412" i="4"/>
  <c r="K412" i="4"/>
  <c r="L411" i="4"/>
  <c r="K411" i="4"/>
  <c r="L410" i="4"/>
  <c r="K410" i="4"/>
  <c r="L409" i="4"/>
  <c r="K409" i="4"/>
  <c r="L408" i="4"/>
  <c r="K408" i="4"/>
  <c r="L407" i="4"/>
  <c r="K407" i="4"/>
  <c r="L406" i="4"/>
  <c r="K406" i="4"/>
  <c r="L405" i="4"/>
  <c r="K405" i="4"/>
  <c r="L404" i="4"/>
  <c r="K404" i="4"/>
  <c r="L403" i="4"/>
  <c r="K403" i="4"/>
  <c r="L402" i="4"/>
  <c r="K402" i="4"/>
  <c r="L401" i="4"/>
  <c r="K401" i="4"/>
  <c r="L400" i="4"/>
  <c r="K400" i="4"/>
  <c r="L399" i="4"/>
  <c r="K399" i="4"/>
  <c r="L398" i="4"/>
  <c r="K398" i="4"/>
  <c r="L397" i="4"/>
  <c r="K397" i="4"/>
  <c r="L396" i="4"/>
  <c r="K396" i="4"/>
  <c r="L395" i="4"/>
  <c r="K395" i="4"/>
  <c r="L394" i="4"/>
  <c r="K394" i="4"/>
  <c r="L393" i="4"/>
  <c r="K393" i="4"/>
  <c r="L392" i="4"/>
  <c r="K392" i="4"/>
  <c r="L391" i="4"/>
  <c r="K391" i="4"/>
  <c r="L390" i="4"/>
  <c r="K390" i="4"/>
  <c r="L389" i="4"/>
  <c r="K389" i="4"/>
  <c r="L388" i="4"/>
  <c r="K388" i="4"/>
  <c r="L387" i="4"/>
  <c r="K387" i="4"/>
  <c r="L386" i="4"/>
  <c r="K386" i="4"/>
  <c r="L385" i="4"/>
  <c r="K385" i="4"/>
  <c r="L384" i="4"/>
  <c r="K384" i="4"/>
  <c r="L383" i="4"/>
  <c r="K383" i="4"/>
  <c r="L382" i="4"/>
  <c r="K382" i="4"/>
  <c r="L381" i="4"/>
  <c r="K381" i="4"/>
  <c r="L380" i="4"/>
  <c r="K380" i="4"/>
  <c r="L379" i="4"/>
  <c r="K379" i="4"/>
  <c r="L378" i="4"/>
  <c r="K378" i="4"/>
  <c r="L377" i="4"/>
  <c r="K377" i="4"/>
  <c r="L376" i="4"/>
  <c r="K376" i="4"/>
  <c r="L375" i="4"/>
  <c r="K375" i="4"/>
  <c r="L374" i="4"/>
  <c r="K374" i="4"/>
  <c r="L373" i="4"/>
  <c r="K373" i="4"/>
  <c r="L372" i="4"/>
  <c r="K372" i="4"/>
  <c r="L371" i="4"/>
  <c r="K371" i="4"/>
  <c r="L370" i="4"/>
  <c r="K370" i="4"/>
  <c r="L369" i="4"/>
  <c r="K369" i="4"/>
  <c r="L368" i="4"/>
  <c r="K368" i="4"/>
  <c r="L367" i="4"/>
  <c r="K367" i="4"/>
  <c r="L366" i="4"/>
  <c r="K366" i="4"/>
  <c r="L365" i="4"/>
  <c r="K365" i="4"/>
  <c r="L364" i="4"/>
  <c r="K364" i="4"/>
  <c r="L363" i="4"/>
  <c r="K363" i="4"/>
  <c r="L362" i="4"/>
  <c r="K362" i="4"/>
  <c r="L361" i="4"/>
  <c r="K361" i="4"/>
  <c r="L360" i="4"/>
  <c r="K360" i="4"/>
  <c r="L359" i="4"/>
  <c r="K359" i="4"/>
  <c r="L358" i="4"/>
  <c r="K358" i="4"/>
  <c r="L357" i="4"/>
  <c r="K357" i="4"/>
  <c r="L356" i="4"/>
  <c r="K356" i="4"/>
  <c r="L355" i="4"/>
  <c r="K355" i="4"/>
  <c r="L354" i="4"/>
  <c r="K354" i="4"/>
  <c r="L353" i="4"/>
  <c r="K353" i="4"/>
  <c r="L352" i="4"/>
  <c r="K352" i="4"/>
  <c r="L351" i="4"/>
  <c r="K351" i="4"/>
  <c r="L350" i="4"/>
  <c r="K350" i="4"/>
  <c r="L349" i="4"/>
  <c r="K349" i="4"/>
  <c r="L348" i="4"/>
  <c r="K348" i="4"/>
  <c r="L347" i="4"/>
  <c r="K347" i="4"/>
  <c r="L346" i="4"/>
  <c r="K346" i="4"/>
  <c r="L345" i="4"/>
  <c r="K345" i="4"/>
  <c r="L344" i="4"/>
  <c r="K344" i="4"/>
  <c r="L343" i="4"/>
  <c r="K343" i="4"/>
  <c r="L342" i="4"/>
  <c r="K342" i="4"/>
  <c r="L341" i="4"/>
  <c r="K341" i="4"/>
  <c r="L340" i="4"/>
  <c r="K340" i="4"/>
  <c r="L339" i="4"/>
  <c r="K339" i="4"/>
  <c r="L338" i="4"/>
  <c r="K338" i="4"/>
  <c r="L337" i="4"/>
  <c r="K337" i="4"/>
  <c r="L336" i="4"/>
  <c r="K336" i="4"/>
  <c r="L335" i="4"/>
  <c r="K335" i="4"/>
  <c r="L334" i="4"/>
  <c r="K334" i="4"/>
  <c r="L333" i="4"/>
  <c r="K333" i="4"/>
  <c r="L332" i="4"/>
  <c r="K332" i="4"/>
  <c r="L331" i="4"/>
  <c r="K331" i="4"/>
  <c r="L330" i="4"/>
  <c r="K330" i="4"/>
  <c r="L329" i="4"/>
  <c r="K329" i="4"/>
  <c r="L328" i="4"/>
  <c r="K328" i="4"/>
  <c r="L327" i="4"/>
  <c r="K327" i="4"/>
  <c r="L326" i="4"/>
  <c r="K326" i="4"/>
  <c r="L325" i="4"/>
  <c r="K325" i="4"/>
  <c r="L324" i="4"/>
  <c r="K324" i="4"/>
  <c r="L323" i="4"/>
  <c r="K323" i="4"/>
  <c r="L322" i="4"/>
  <c r="K322" i="4"/>
  <c r="L321" i="4"/>
  <c r="K321" i="4"/>
  <c r="L320" i="4"/>
  <c r="K320" i="4"/>
  <c r="L319" i="4"/>
  <c r="K319" i="4"/>
  <c r="L318" i="4"/>
  <c r="K318" i="4"/>
  <c r="L317" i="4"/>
  <c r="K317" i="4"/>
  <c r="L316" i="4"/>
  <c r="K316" i="4"/>
  <c r="L315" i="4"/>
  <c r="K315" i="4"/>
  <c r="L314" i="4"/>
  <c r="K314" i="4"/>
  <c r="L313" i="4"/>
  <c r="K313" i="4"/>
  <c r="L312" i="4"/>
  <c r="K312" i="4"/>
  <c r="L311" i="4"/>
  <c r="K311" i="4"/>
  <c r="L310" i="4"/>
  <c r="K310" i="4"/>
  <c r="L309" i="4"/>
  <c r="K309" i="4"/>
  <c r="L308" i="4"/>
  <c r="K308" i="4"/>
  <c r="L307" i="4"/>
  <c r="K307" i="4"/>
  <c r="L306" i="4"/>
  <c r="K306" i="4"/>
  <c r="L305" i="4"/>
  <c r="K305" i="4"/>
  <c r="L304" i="4"/>
  <c r="K304" i="4"/>
  <c r="L303" i="4"/>
  <c r="K303" i="4"/>
  <c r="L302" i="4"/>
  <c r="K302" i="4"/>
  <c r="L301" i="4"/>
  <c r="K301" i="4"/>
  <c r="L300" i="4"/>
  <c r="K300" i="4"/>
  <c r="L299" i="4"/>
  <c r="K299" i="4"/>
  <c r="L298" i="4"/>
  <c r="K298" i="4"/>
  <c r="L297" i="4"/>
  <c r="K297" i="4"/>
  <c r="L296" i="4"/>
  <c r="K296" i="4"/>
  <c r="L295" i="4"/>
  <c r="K295" i="4"/>
  <c r="L294" i="4"/>
  <c r="K294" i="4"/>
  <c r="L293" i="4"/>
  <c r="K293" i="4"/>
  <c r="L292" i="4"/>
  <c r="K292" i="4"/>
  <c r="L291" i="4"/>
  <c r="K291" i="4"/>
  <c r="L290" i="4"/>
  <c r="K290" i="4"/>
  <c r="L289" i="4"/>
  <c r="K289" i="4"/>
  <c r="L288" i="4"/>
  <c r="K288" i="4"/>
  <c r="L287" i="4"/>
  <c r="K287" i="4"/>
  <c r="L286" i="4"/>
  <c r="K286" i="4"/>
  <c r="L285" i="4"/>
  <c r="K285" i="4"/>
  <c r="L284" i="4"/>
  <c r="K284" i="4"/>
  <c r="L283" i="4"/>
  <c r="K283" i="4"/>
  <c r="L282" i="4"/>
  <c r="K282" i="4"/>
  <c r="L281" i="4"/>
  <c r="K281" i="4"/>
  <c r="L280" i="4"/>
  <c r="K280" i="4"/>
  <c r="L279" i="4"/>
  <c r="K279" i="4"/>
  <c r="L278" i="4"/>
  <c r="K278" i="4"/>
  <c r="L277" i="4"/>
  <c r="K277" i="4"/>
  <c r="L276" i="4"/>
  <c r="K276" i="4"/>
  <c r="L275" i="4"/>
  <c r="K275" i="4"/>
  <c r="L274" i="4"/>
  <c r="K274" i="4"/>
  <c r="L273" i="4"/>
  <c r="K273" i="4"/>
  <c r="L272" i="4"/>
  <c r="K272" i="4"/>
  <c r="L271" i="4"/>
  <c r="K271" i="4"/>
  <c r="L270" i="4"/>
  <c r="K270" i="4"/>
  <c r="L269" i="4"/>
  <c r="K269" i="4"/>
  <c r="L268" i="4"/>
  <c r="K268" i="4"/>
  <c r="L267" i="4"/>
  <c r="K267" i="4"/>
  <c r="L266" i="4"/>
  <c r="K266" i="4"/>
  <c r="L265" i="4"/>
  <c r="K265" i="4"/>
  <c r="L264" i="4"/>
  <c r="K264" i="4"/>
  <c r="L263" i="4"/>
  <c r="K263" i="4"/>
  <c r="L262" i="4"/>
  <c r="K262" i="4"/>
  <c r="L261" i="4"/>
  <c r="K261" i="4"/>
  <c r="L260" i="4"/>
  <c r="K260" i="4"/>
  <c r="L259" i="4"/>
  <c r="K259" i="4"/>
  <c r="L258" i="4"/>
  <c r="K258" i="4"/>
  <c r="L257" i="4"/>
  <c r="K257" i="4"/>
  <c r="L256" i="4"/>
  <c r="K256" i="4"/>
  <c r="L255" i="4"/>
  <c r="K255" i="4"/>
  <c r="L254" i="4"/>
  <c r="K254" i="4"/>
  <c r="L253" i="4"/>
  <c r="K253" i="4"/>
  <c r="L252" i="4"/>
  <c r="K252" i="4"/>
  <c r="L251" i="4"/>
  <c r="K251" i="4"/>
  <c r="L250" i="4"/>
  <c r="K250" i="4"/>
  <c r="L249" i="4"/>
  <c r="K249" i="4"/>
  <c r="L248" i="4"/>
  <c r="K248" i="4"/>
  <c r="L247" i="4"/>
  <c r="K247" i="4"/>
  <c r="L246" i="4"/>
  <c r="K246" i="4"/>
  <c r="L245" i="4"/>
  <c r="K245" i="4"/>
  <c r="L244" i="4"/>
  <c r="K244" i="4"/>
  <c r="L243" i="4"/>
  <c r="K243" i="4"/>
  <c r="L242" i="4"/>
  <c r="K242" i="4"/>
  <c r="L241" i="4"/>
  <c r="K241" i="4"/>
  <c r="L240" i="4"/>
  <c r="K240" i="4"/>
  <c r="L239" i="4"/>
  <c r="K239" i="4"/>
  <c r="L238" i="4"/>
  <c r="K238" i="4"/>
  <c r="L237" i="4"/>
  <c r="K237" i="4"/>
  <c r="L236" i="4"/>
  <c r="K236" i="4"/>
  <c r="L235" i="4"/>
  <c r="K235" i="4"/>
  <c r="L234" i="4"/>
  <c r="K234" i="4"/>
  <c r="L233" i="4"/>
  <c r="K233" i="4"/>
  <c r="L232" i="4"/>
  <c r="K232" i="4"/>
  <c r="L231" i="4"/>
  <c r="K231" i="4"/>
  <c r="L230" i="4"/>
  <c r="K230" i="4"/>
  <c r="L229" i="4"/>
  <c r="K229" i="4"/>
  <c r="L228" i="4"/>
  <c r="K228" i="4"/>
  <c r="L227" i="4"/>
  <c r="K227" i="4"/>
  <c r="L226" i="4"/>
  <c r="K226" i="4"/>
  <c r="L225" i="4"/>
  <c r="K225" i="4"/>
  <c r="L224" i="4"/>
  <c r="K224" i="4"/>
  <c r="L223" i="4"/>
  <c r="K223" i="4"/>
  <c r="L222" i="4"/>
  <c r="K222" i="4"/>
  <c r="L221" i="4"/>
  <c r="K221" i="4"/>
  <c r="L220" i="4"/>
  <c r="K220" i="4"/>
  <c r="L219" i="4"/>
  <c r="K219" i="4"/>
  <c r="L218" i="4"/>
  <c r="K218" i="4"/>
  <c r="L217" i="4"/>
  <c r="K217" i="4"/>
  <c r="L216" i="4"/>
  <c r="K216" i="4"/>
  <c r="L215" i="4"/>
  <c r="K215" i="4"/>
  <c r="L214" i="4"/>
  <c r="K214" i="4"/>
  <c r="L213" i="4"/>
  <c r="K213" i="4"/>
  <c r="L212" i="4"/>
  <c r="K212" i="4"/>
  <c r="L211" i="4"/>
  <c r="K211" i="4"/>
  <c r="L210" i="4"/>
  <c r="K210" i="4"/>
  <c r="L209" i="4"/>
  <c r="K209" i="4"/>
  <c r="L208" i="4"/>
  <c r="K208" i="4"/>
  <c r="L207" i="4"/>
  <c r="K207" i="4"/>
  <c r="L206" i="4"/>
  <c r="K206" i="4"/>
  <c r="L205" i="4"/>
  <c r="K205" i="4"/>
  <c r="L204" i="4"/>
  <c r="K204" i="4"/>
  <c r="L203" i="4"/>
  <c r="K203" i="4"/>
  <c r="L202" i="4"/>
  <c r="K202" i="4"/>
  <c r="L201" i="4"/>
  <c r="K201" i="4"/>
  <c r="L200" i="4"/>
  <c r="K200" i="4"/>
  <c r="L199" i="4"/>
  <c r="K199" i="4"/>
  <c r="L198" i="4"/>
  <c r="K198" i="4"/>
  <c r="L197" i="4"/>
  <c r="K197" i="4"/>
  <c r="L196" i="4"/>
  <c r="K196" i="4"/>
  <c r="L195" i="4"/>
  <c r="K195" i="4"/>
  <c r="L194" i="4"/>
  <c r="K194" i="4"/>
  <c r="L193" i="4"/>
  <c r="K193" i="4"/>
  <c r="L192" i="4"/>
  <c r="K192" i="4"/>
  <c r="L191" i="4"/>
  <c r="K191" i="4"/>
  <c r="L190" i="4"/>
  <c r="K190" i="4"/>
  <c r="L189" i="4"/>
  <c r="K189" i="4"/>
  <c r="L188" i="4"/>
  <c r="K188" i="4"/>
  <c r="L187" i="4"/>
  <c r="K187" i="4"/>
  <c r="L186" i="4"/>
  <c r="K186" i="4"/>
  <c r="L185" i="4"/>
  <c r="K185" i="4"/>
  <c r="L184" i="4"/>
  <c r="K184" i="4"/>
  <c r="L183" i="4"/>
  <c r="K183" i="4"/>
  <c r="L182" i="4"/>
  <c r="K182" i="4"/>
  <c r="L181" i="4"/>
  <c r="K181" i="4"/>
  <c r="L180" i="4"/>
  <c r="K180" i="4"/>
  <c r="L179" i="4"/>
  <c r="K179" i="4"/>
  <c r="L178" i="4"/>
  <c r="K178" i="4"/>
  <c r="L177" i="4"/>
  <c r="K177" i="4"/>
  <c r="L176" i="4"/>
  <c r="K176" i="4"/>
  <c r="L175" i="4"/>
  <c r="K175" i="4"/>
  <c r="L174" i="4"/>
  <c r="K174" i="4"/>
  <c r="L173" i="4"/>
  <c r="K173" i="4"/>
  <c r="L172" i="4"/>
  <c r="K172" i="4"/>
  <c r="L171" i="4"/>
  <c r="K171" i="4"/>
  <c r="L170" i="4"/>
  <c r="K170" i="4"/>
  <c r="L169" i="4"/>
  <c r="K169" i="4"/>
  <c r="L168" i="4"/>
  <c r="K168" i="4"/>
  <c r="L167" i="4"/>
  <c r="K167" i="4"/>
  <c r="L166" i="4"/>
  <c r="K166" i="4"/>
  <c r="L165" i="4"/>
  <c r="K165" i="4"/>
  <c r="L164" i="4"/>
  <c r="K164" i="4"/>
  <c r="L163" i="4"/>
  <c r="K163" i="4"/>
  <c r="L162" i="4"/>
  <c r="K162" i="4"/>
  <c r="L161" i="4"/>
  <c r="K161" i="4"/>
  <c r="L160" i="4"/>
  <c r="K160" i="4"/>
  <c r="L159" i="4"/>
  <c r="K159" i="4"/>
  <c r="L158" i="4"/>
  <c r="K158" i="4"/>
  <c r="L157" i="4"/>
  <c r="K157" i="4"/>
  <c r="L156" i="4"/>
  <c r="K156" i="4"/>
  <c r="L155" i="4"/>
  <c r="K155" i="4"/>
  <c r="L154" i="4"/>
  <c r="K154" i="4"/>
  <c r="L153" i="4"/>
  <c r="K153" i="4"/>
  <c r="L152" i="4"/>
  <c r="K152" i="4"/>
  <c r="L151" i="4"/>
  <c r="K151" i="4"/>
  <c r="L150" i="4"/>
  <c r="K150" i="4"/>
  <c r="L149" i="4"/>
  <c r="K149" i="4"/>
  <c r="L148" i="4"/>
  <c r="K148" i="4"/>
  <c r="L147" i="4"/>
  <c r="K147" i="4"/>
  <c r="L146" i="4"/>
  <c r="K146" i="4"/>
  <c r="L145" i="4"/>
  <c r="K145" i="4"/>
  <c r="L144" i="4"/>
  <c r="K144" i="4"/>
  <c r="L143" i="4"/>
  <c r="K143" i="4"/>
  <c r="L142" i="4"/>
  <c r="K142" i="4"/>
  <c r="L141" i="4"/>
  <c r="K141" i="4"/>
  <c r="L140" i="4"/>
  <c r="K140" i="4"/>
  <c r="L139" i="4"/>
  <c r="K139" i="4"/>
  <c r="L138" i="4"/>
  <c r="K138" i="4"/>
  <c r="L137" i="4"/>
  <c r="K137" i="4"/>
  <c r="L136" i="4"/>
  <c r="K136" i="4"/>
  <c r="L135" i="4"/>
  <c r="K135" i="4"/>
  <c r="L134" i="4"/>
  <c r="K134" i="4"/>
  <c r="L133" i="4"/>
  <c r="K133" i="4"/>
  <c r="L132" i="4"/>
  <c r="K132" i="4"/>
  <c r="L131" i="4"/>
  <c r="K131" i="4"/>
  <c r="L130" i="4"/>
  <c r="K130" i="4"/>
  <c r="L129" i="4"/>
  <c r="K129" i="4"/>
  <c r="L128" i="4"/>
  <c r="K128" i="4"/>
  <c r="L127" i="4"/>
  <c r="K127" i="4"/>
  <c r="L126" i="4"/>
  <c r="K126" i="4"/>
  <c r="L125" i="4"/>
  <c r="K125" i="4"/>
  <c r="L124" i="4"/>
  <c r="K124" i="4"/>
  <c r="L123" i="4"/>
  <c r="K123" i="4"/>
  <c r="L122" i="4"/>
  <c r="K122" i="4"/>
  <c r="L121" i="4"/>
  <c r="K121" i="4"/>
  <c r="L120" i="4"/>
  <c r="K120" i="4"/>
  <c r="L119" i="4"/>
  <c r="K119" i="4"/>
  <c r="L118" i="4"/>
  <c r="K118" i="4"/>
  <c r="L117" i="4"/>
  <c r="K117" i="4"/>
  <c r="L116" i="4"/>
  <c r="K116" i="4"/>
  <c r="L115" i="4"/>
  <c r="K115" i="4"/>
  <c r="L114" i="4"/>
  <c r="K114" i="4"/>
  <c r="L113" i="4"/>
  <c r="K113" i="4"/>
  <c r="L112" i="4"/>
  <c r="K112" i="4"/>
  <c r="L111" i="4"/>
  <c r="K111" i="4"/>
  <c r="L110" i="4"/>
  <c r="K110" i="4"/>
  <c r="L109" i="4"/>
  <c r="K109" i="4"/>
  <c r="L108" i="4"/>
  <c r="K108" i="4"/>
  <c r="L107" i="4"/>
  <c r="K107" i="4"/>
  <c r="L106" i="4"/>
  <c r="K106" i="4"/>
  <c r="L105" i="4"/>
  <c r="K105" i="4"/>
  <c r="L104" i="4"/>
  <c r="K104" i="4"/>
  <c r="L103" i="4"/>
  <c r="K103" i="4"/>
  <c r="L102" i="4"/>
  <c r="K102" i="4"/>
  <c r="L101" i="4"/>
  <c r="K101" i="4"/>
  <c r="L100" i="4"/>
  <c r="K100" i="4"/>
  <c r="L99" i="4"/>
  <c r="K99" i="4"/>
  <c r="L98" i="4"/>
  <c r="K98" i="4"/>
  <c r="L97" i="4"/>
  <c r="K97" i="4"/>
  <c r="L96" i="4"/>
  <c r="K96" i="4"/>
  <c r="L95" i="4"/>
  <c r="K95" i="4"/>
  <c r="L94" i="4"/>
  <c r="K94" i="4"/>
  <c r="L93" i="4"/>
  <c r="K93" i="4"/>
  <c r="L92" i="4"/>
  <c r="K92" i="4"/>
  <c r="L91" i="4"/>
  <c r="K91" i="4"/>
  <c r="L90" i="4"/>
  <c r="K90" i="4"/>
  <c r="L89" i="4"/>
  <c r="K89" i="4"/>
  <c r="L88" i="4"/>
  <c r="K88" i="4"/>
  <c r="L87" i="4"/>
  <c r="K87" i="4"/>
  <c r="L86" i="4"/>
  <c r="K86" i="4"/>
  <c r="L85" i="4"/>
  <c r="K85" i="4"/>
  <c r="L84" i="4"/>
  <c r="K84" i="4"/>
  <c r="L83" i="4"/>
  <c r="K83" i="4"/>
  <c r="L82" i="4"/>
  <c r="K82" i="4"/>
  <c r="L81" i="4"/>
  <c r="K81" i="4"/>
  <c r="L80" i="4"/>
  <c r="K80" i="4"/>
  <c r="L79" i="4"/>
  <c r="K79" i="4"/>
  <c r="L78" i="4"/>
  <c r="K78" i="4"/>
  <c r="L77" i="4"/>
  <c r="K77" i="4"/>
  <c r="L76" i="4"/>
  <c r="K76" i="4"/>
  <c r="L75" i="4"/>
  <c r="K75" i="4"/>
  <c r="L74" i="4"/>
  <c r="K74" i="4"/>
  <c r="L73" i="4"/>
  <c r="K73" i="4"/>
  <c r="L72" i="4"/>
  <c r="K72" i="4"/>
  <c r="L71" i="4"/>
  <c r="K71" i="4"/>
  <c r="L70" i="4"/>
  <c r="K70" i="4"/>
  <c r="L69" i="4"/>
  <c r="K69" i="4"/>
  <c r="L68" i="4"/>
  <c r="K68" i="4"/>
  <c r="L67" i="4"/>
  <c r="K67" i="4"/>
  <c r="L66" i="4"/>
  <c r="K66" i="4"/>
  <c r="L65" i="4"/>
  <c r="K65" i="4"/>
  <c r="L64" i="4"/>
  <c r="K64" i="4"/>
  <c r="L63" i="4"/>
  <c r="K63" i="4"/>
  <c r="L62" i="4"/>
  <c r="K62" i="4"/>
  <c r="L61" i="4"/>
  <c r="K61" i="4"/>
  <c r="L60" i="4"/>
  <c r="K60" i="4"/>
  <c r="L59" i="4"/>
  <c r="K59" i="4"/>
  <c r="L58" i="4"/>
  <c r="K58" i="4"/>
  <c r="L57" i="4"/>
  <c r="K57" i="4"/>
  <c r="L56" i="4"/>
  <c r="K56" i="4"/>
  <c r="L55" i="4"/>
  <c r="K55" i="4"/>
  <c r="L54" i="4"/>
  <c r="K54" i="4"/>
  <c r="L53" i="4"/>
  <c r="K53" i="4"/>
  <c r="L52" i="4"/>
  <c r="K52" i="4"/>
  <c r="L51" i="4"/>
  <c r="K51" i="4"/>
  <c r="L50" i="4"/>
  <c r="K50" i="4"/>
  <c r="L49" i="4"/>
  <c r="K49" i="4"/>
  <c r="L48" i="4"/>
  <c r="K48" i="4"/>
  <c r="L47" i="4"/>
  <c r="K47" i="4"/>
  <c r="L46" i="4"/>
  <c r="K46" i="4"/>
  <c r="L45" i="4"/>
  <c r="K45" i="4"/>
  <c r="L44" i="4"/>
  <c r="K44" i="4"/>
  <c r="L43" i="4"/>
  <c r="K43" i="4"/>
  <c r="L42" i="4"/>
  <c r="K42" i="4"/>
  <c r="L41" i="4"/>
  <c r="K41" i="4"/>
  <c r="L40" i="4"/>
  <c r="K40" i="4"/>
  <c r="L39" i="4"/>
  <c r="K39" i="4"/>
  <c r="L38" i="4"/>
  <c r="K38" i="4"/>
  <c r="L37" i="4"/>
  <c r="K37" i="4"/>
  <c r="L36" i="4"/>
  <c r="K36" i="4"/>
  <c r="L35" i="4"/>
  <c r="K35" i="4"/>
  <c r="L34" i="4"/>
  <c r="K34" i="4"/>
  <c r="L33" i="4"/>
  <c r="K33" i="4"/>
  <c r="L32" i="4"/>
  <c r="K32" i="4"/>
  <c r="L31" i="4"/>
  <c r="K31" i="4"/>
  <c r="L30" i="4"/>
  <c r="K30" i="4"/>
  <c r="L29" i="4"/>
  <c r="K29" i="4"/>
  <c r="L28" i="4"/>
  <c r="K28" i="4"/>
  <c r="L27" i="4"/>
  <c r="K27" i="4"/>
  <c r="L26" i="4"/>
  <c r="K26" i="4"/>
  <c r="L25" i="4"/>
  <c r="K25" i="4"/>
  <c r="L24" i="4"/>
  <c r="K24" i="4"/>
  <c r="L23" i="4"/>
  <c r="K23" i="4"/>
  <c r="L22" i="4"/>
  <c r="K22" i="4"/>
  <c r="L21" i="4"/>
  <c r="K21" i="4"/>
  <c r="L20" i="4"/>
  <c r="K20" i="4"/>
  <c r="L19" i="4"/>
  <c r="K19" i="4"/>
  <c r="L18" i="4"/>
  <c r="K18" i="4"/>
  <c r="L17" i="4"/>
  <c r="K17" i="4"/>
  <c r="L16" i="4"/>
  <c r="K16" i="4"/>
  <c r="L15" i="4"/>
  <c r="K15" i="4"/>
  <c r="L14" i="4"/>
  <c r="K14" i="4"/>
  <c r="L13" i="4"/>
  <c r="K13" i="4"/>
  <c r="L12" i="4"/>
  <c r="K12" i="4"/>
  <c r="L11" i="4"/>
  <c r="K11" i="4"/>
  <c r="L10" i="4"/>
  <c r="K10" i="4"/>
  <c r="L9" i="4"/>
  <c r="K9" i="4"/>
  <c r="L8" i="4"/>
  <c r="K8" i="4"/>
  <c r="L7" i="4"/>
  <c r="K7" i="4"/>
  <c r="L6" i="4"/>
  <c r="K6" i="4"/>
  <c r="L5" i="4"/>
  <c r="K5" i="4"/>
  <c r="L4" i="4"/>
  <c r="K4" i="4"/>
  <c r="I892" i="5" l="1" a="1"/>
  <c r="I892" i="5" s="1"/>
  <c r="I891" i="5" a="1"/>
  <c r="I891" i="5" s="1"/>
  <c r="I890" i="5" a="1"/>
  <c r="I890" i="5" s="1"/>
  <c r="I889" i="5" a="1"/>
  <c r="I889" i="5" s="1"/>
  <c r="I888" i="5" a="1"/>
  <c r="I888" i="5" s="1"/>
  <c r="I887" i="5" a="1"/>
  <c r="I887" i="5" s="1"/>
  <c r="I886" i="5" a="1"/>
  <c r="I886" i="5" s="1"/>
  <c r="I885" i="5" a="1"/>
  <c r="I885" i="5" s="1"/>
  <c r="I884" i="5" a="1"/>
  <c r="I884" i="5" s="1"/>
  <c r="I883" i="5" a="1"/>
  <c r="I883" i="5" s="1"/>
  <c r="I882" i="5" a="1"/>
  <c r="I882" i="5" s="1"/>
  <c r="I881" i="5" a="1"/>
  <c r="I881" i="5" s="1"/>
  <c r="I880" i="5" a="1"/>
  <c r="I880" i="5" s="1"/>
  <c r="I879" i="5" a="1"/>
  <c r="I879" i="5" s="1"/>
  <c r="I878" i="5" a="1"/>
  <c r="I878" i="5" s="1"/>
  <c r="I877" i="5" a="1"/>
  <c r="I877" i="5" s="1"/>
  <c r="I876" i="5" a="1"/>
  <c r="I876" i="5" s="1"/>
  <c r="I875" i="5" a="1"/>
  <c r="I875" i="5" s="1"/>
  <c r="I874" i="5" a="1"/>
  <c r="I874" i="5" s="1"/>
  <c r="I873" i="5" a="1"/>
  <c r="I873" i="5" s="1"/>
  <c r="I872" i="5" a="1"/>
  <c r="I872" i="5" s="1"/>
  <c r="I871" i="5" a="1"/>
  <c r="I871" i="5" s="1"/>
  <c r="I870" i="5" a="1"/>
  <c r="I870" i="5" s="1"/>
  <c r="I869" i="5" a="1"/>
  <c r="I869" i="5" s="1"/>
  <c r="I868" i="5" a="1"/>
  <c r="I868" i="5" s="1"/>
  <c r="I867" i="5" a="1"/>
  <c r="I867" i="5" s="1"/>
  <c r="I866" i="5" a="1"/>
  <c r="I866" i="5" s="1"/>
  <c r="I865" i="5" a="1"/>
  <c r="I865" i="5" s="1"/>
  <c r="I864" i="5" a="1"/>
  <c r="I864" i="5" s="1"/>
  <c r="I863" i="5" a="1"/>
  <c r="I863" i="5" s="1"/>
  <c r="I862" i="5" a="1"/>
  <c r="I862" i="5" s="1"/>
  <c r="I861" i="5" a="1"/>
  <c r="I861" i="5" s="1"/>
  <c r="I860" i="5" a="1"/>
  <c r="I860" i="5" s="1"/>
  <c r="I859" i="5" a="1"/>
  <c r="I859" i="5" s="1"/>
  <c r="I858" i="5" a="1"/>
  <c r="I858" i="5" s="1"/>
  <c r="I857" i="5" a="1"/>
  <c r="I857" i="5" s="1"/>
  <c r="I856" i="5" a="1"/>
  <c r="I856" i="5" s="1"/>
  <c r="I855" i="5" a="1"/>
  <c r="I855" i="5" s="1"/>
  <c r="I854" i="5" a="1"/>
  <c r="I854" i="5" s="1"/>
  <c r="I853" i="5" a="1"/>
  <c r="I853" i="5" s="1"/>
  <c r="I852" i="5" a="1"/>
  <c r="I852" i="5" s="1"/>
  <c r="I851" i="5" a="1"/>
  <c r="I851" i="5" s="1"/>
  <c r="I850" i="5" a="1"/>
  <c r="I850" i="5" s="1"/>
  <c r="I849" i="5" a="1"/>
  <c r="I849" i="5" s="1"/>
  <c r="I848" i="5" a="1"/>
  <c r="I848" i="5" s="1"/>
  <c r="I847" i="5" a="1"/>
  <c r="I847" i="5" s="1"/>
  <c r="I846" i="5" a="1"/>
  <c r="I846" i="5" s="1"/>
  <c r="I845" i="5" a="1"/>
  <c r="I845" i="5" s="1"/>
  <c r="I844" i="5" a="1"/>
  <c r="I844" i="5" s="1"/>
  <c r="I843" i="5" a="1"/>
  <c r="I843" i="5" s="1"/>
  <c r="I842" i="5" a="1"/>
  <c r="I842" i="5" s="1"/>
  <c r="I841" i="5" a="1"/>
  <c r="I841" i="5" s="1"/>
  <c r="I840" i="5" a="1"/>
  <c r="I840" i="5" s="1"/>
  <c r="I839" i="5" a="1"/>
  <c r="I839" i="5" s="1"/>
  <c r="I838" i="5" a="1"/>
  <c r="I838" i="5" s="1"/>
  <c r="I837" i="5" a="1"/>
  <c r="I837" i="5" s="1"/>
  <c r="I836" i="5" a="1"/>
  <c r="I836" i="5" s="1"/>
  <c r="I835" i="5" a="1"/>
  <c r="I835" i="5" s="1"/>
  <c r="I834" i="5" a="1"/>
  <c r="I834" i="5" s="1"/>
  <c r="I833" i="5" a="1"/>
  <c r="I833" i="5" s="1"/>
  <c r="I832" i="5" a="1"/>
  <c r="I832" i="5" s="1"/>
  <c r="I831" i="5" a="1"/>
  <c r="I831" i="5" s="1"/>
  <c r="I830" i="5" a="1"/>
  <c r="I830" i="5" s="1"/>
  <c r="I829" i="5" a="1"/>
  <c r="I829" i="5" s="1"/>
  <c r="I828" i="5" a="1"/>
  <c r="I828" i="5" s="1"/>
  <c r="I827" i="5" a="1"/>
  <c r="I827" i="5" s="1"/>
  <c r="I826" i="5" a="1"/>
  <c r="I826" i="5" s="1"/>
  <c r="I825" i="5" a="1"/>
  <c r="I825" i="5" s="1"/>
  <c r="I824" i="5" a="1"/>
  <c r="I824" i="5" s="1"/>
  <c r="I823" i="5" a="1"/>
  <c r="I823" i="5" s="1"/>
  <c r="I822" i="5" a="1"/>
  <c r="I822" i="5" s="1"/>
  <c r="I821" i="5" a="1"/>
  <c r="I821" i="5" s="1"/>
  <c r="I820" i="5" a="1"/>
  <c r="I820" i="5" s="1"/>
  <c r="I819" i="5" a="1"/>
  <c r="I819" i="5" s="1"/>
  <c r="I818" i="5" a="1"/>
  <c r="I818" i="5" s="1"/>
  <c r="I817" i="5" a="1"/>
  <c r="I817" i="5" s="1"/>
  <c r="I816" i="5" a="1"/>
  <c r="I816" i="5" s="1"/>
  <c r="I815" i="5" a="1"/>
  <c r="I815" i="5" s="1"/>
  <c r="I814" i="5" a="1"/>
  <c r="I814" i="5" s="1"/>
  <c r="I813" i="5" a="1"/>
  <c r="I813" i="5" s="1"/>
  <c r="I812" i="5" a="1"/>
  <c r="I812" i="5" s="1"/>
  <c r="I811" i="5" a="1"/>
  <c r="I811" i="5" s="1"/>
  <c r="I810" i="5" a="1"/>
  <c r="I810" i="5" s="1"/>
  <c r="I809" i="5" a="1"/>
  <c r="I809" i="5" s="1"/>
  <c r="I808" i="5" a="1"/>
  <c r="I808" i="5" s="1"/>
  <c r="I807" i="5" a="1"/>
  <c r="I807" i="5" s="1"/>
  <c r="I806" i="5" a="1"/>
  <c r="I806" i="5" s="1"/>
  <c r="I805" i="5" a="1"/>
  <c r="I805" i="5" s="1"/>
  <c r="I804" i="5" a="1"/>
  <c r="I804" i="5" s="1"/>
  <c r="I803" i="5" a="1"/>
  <c r="I803" i="5" s="1"/>
  <c r="I802" i="5" a="1"/>
  <c r="I802" i="5" s="1"/>
  <c r="I801" i="5" a="1"/>
  <c r="I801" i="5" s="1"/>
  <c r="I800" i="5" a="1"/>
  <c r="I800" i="5" s="1"/>
  <c r="I799" i="5" a="1"/>
  <c r="I799" i="5" s="1"/>
  <c r="I798" i="5" a="1"/>
  <c r="I798" i="5" s="1"/>
  <c r="I797" i="5" a="1"/>
  <c r="I797" i="5" s="1"/>
  <c r="I796" i="5" a="1"/>
  <c r="I796" i="5" s="1"/>
  <c r="I795" i="5" a="1"/>
  <c r="I795" i="5" s="1"/>
  <c r="I794" i="5" a="1"/>
  <c r="I794" i="5" s="1"/>
  <c r="I793" i="5" a="1"/>
  <c r="I793" i="5" s="1"/>
  <c r="I792" i="5" a="1"/>
  <c r="I792" i="5" s="1"/>
  <c r="I791" i="5" a="1"/>
  <c r="I791" i="5" s="1"/>
  <c r="I790" i="5" a="1"/>
  <c r="I790" i="5" s="1"/>
  <c r="I789" i="5" a="1"/>
  <c r="I789" i="5" s="1"/>
  <c r="I788" i="5" a="1"/>
  <c r="I788" i="5" s="1"/>
  <c r="I787" i="5" a="1"/>
  <c r="I787" i="5" s="1"/>
  <c r="I786" i="5" a="1"/>
  <c r="I786" i="5" s="1"/>
  <c r="I785" i="5" a="1"/>
  <c r="I785" i="5" s="1"/>
  <c r="I784" i="5" a="1"/>
  <c r="I784" i="5" s="1"/>
  <c r="I783" i="5" a="1"/>
  <c r="I783" i="5" s="1"/>
  <c r="I782" i="5" a="1"/>
  <c r="I782" i="5" s="1"/>
  <c r="I781" i="5" a="1"/>
  <c r="I781" i="5" s="1"/>
  <c r="I780" i="5" a="1"/>
  <c r="I780" i="5" s="1"/>
  <c r="I779" i="5" a="1"/>
  <c r="I779" i="5" s="1"/>
  <c r="I778" i="5" a="1"/>
  <c r="I778" i="5" s="1"/>
  <c r="I777" i="5" a="1"/>
  <c r="I777" i="5" s="1"/>
  <c r="I776" i="5" a="1"/>
  <c r="I776" i="5" s="1"/>
  <c r="I775" i="5" a="1"/>
  <c r="I775" i="5" s="1"/>
  <c r="I774" i="5" a="1"/>
  <c r="I774" i="5" s="1"/>
  <c r="I773" i="5" a="1"/>
  <c r="I773" i="5" s="1"/>
  <c r="I772" i="5" a="1"/>
  <c r="I772" i="5" s="1"/>
  <c r="I771" i="5" a="1"/>
  <c r="I771" i="5" s="1"/>
  <c r="I770" i="5" a="1"/>
  <c r="I770" i="5" s="1"/>
  <c r="I769" i="5" a="1"/>
  <c r="I769" i="5" s="1"/>
  <c r="I768" i="5" a="1"/>
  <c r="I768" i="5" s="1"/>
  <c r="I767" i="5" a="1"/>
  <c r="I767" i="5" s="1"/>
  <c r="I766" i="5" a="1"/>
  <c r="I766" i="5" s="1"/>
  <c r="I765" i="5" a="1"/>
  <c r="I765" i="5" s="1"/>
  <c r="I764" i="5" a="1"/>
  <c r="I764" i="5" s="1"/>
  <c r="I763" i="5" a="1"/>
  <c r="I763" i="5" s="1"/>
  <c r="I762" i="5" a="1"/>
  <c r="I762" i="5" s="1"/>
  <c r="I761" i="5" a="1"/>
  <c r="I761" i="5" s="1"/>
  <c r="I760" i="5" a="1"/>
  <c r="I760" i="5" s="1"/>
  <c r="I759" i="5" a="1"/>
  <c r="I759" i="5" s="1"/>
  <c r="I758" i="5" a="1"/>
  <c r="I758" i="5" s="1"/>
  <c r="I757" i="5" a="1"/>
  <c r="I757" i="5" s="1"/>
  <c r="I756" i="5" a="1"/>
  <c r="I756" i="5" s="1"/>
  <c r="I755" i="5" a="1"/>
  <c r="I755" i="5" s="1"/>
  <c r="I754" i="5" a="1"/>
  <c r="I754" i="5" s="1"/>
  <c r="I753" i="5" a="1"/>
  <c r="I753" i="5" s="1"/>
  <c r="I752" i="5" a="1"/>
  <c r="I752" i="5" s="1"/>
  <c r="I751" i="5" a="1"/>
  <c r="I751" i="5" s="1"/>
  <c r="I750" i="5" a="1"/>
  <c r="I750" i="5" s="1"/>
  <c r="I749" i="5" a="1"/>
  <c r="I749" i="5" s="1"/>
  <c r="I748" i="5" a="1"/>
  <c r="I748" i="5" s="1"/>
  <c r="I747" i="5" a="1"/>
  <c r="I747" i="5" s="1"/>
  <c r="I746" i="5" a="1"/>
  <c r="I746" i="5" s="1"/>
  <c r="I745" i="5" a="1"/>
  <c r="I745" i="5" s="1"/>
  <c r="I744" i="5" a="1"/>
  <c r="I744" i="5" s="1"/>
  <c r="I743" i="5" a="1"/>
  <c r="I743" i="5" s="1"/>
  <c r="I742" i="5" a="1"/>
  <c r="I742" i="5" s="1"/>
  <c r="I741" i="5" a="1"/>
  <c r="I741" i="5" s="1"/>
  <c r="I740" i="5" a="1"/>
  <c r="I740" i="5" s="1"/>
  <c r="I739" i="5" a="1"/>
  <c r="I739" i="5" s="1"/>
  <c r="I738" i="5" a="1"/>
  <c r="I738" i="5" s="1"/>
  <c r="I737" i="5" a="1"/>
  <c r="I737" i="5" s="1"/>
  <c r="I736" i="5" a="1"/>
  <c r="I736" i="5" s="1"/>
  <c r="I735" i="5" a="1"/>
  <c r="I735" i="5" s="1"/>
  <c r="I734" i="5" a="1"/>
  <c r="I734" i="5" s="1"/>
  <c r="I733" i="5" a="1"/>
  <c r="I733" i="5" s="1"/>
  <c r="I732" i="5" a="1"/>
  <c r="I732" i="5" s="1"/>
  <c r="I731" i="5" a="1"/>
  <c r="I731" i="5" s="1"/>
  <c r="I730" i="5" a="1"/>
  <c r="I730" i="5" s="1"/>
  <c r="I729" i="5" a="1"/>
  <c r="I729" i="5" s="1"/>
  <c r="I728" i="5" a="1"/>
  <c r="I728" i="5" s="1"/>
  <c r="I727" i="5" a="1"/>
  <c r="I727" i="5" s="1"/>
  <c r="I726" i="5" a="1"/>
  <c r="I726" i="5" s="1"/>
  <c r="I725" i="5" a="1"/>
  <c r="I725" i="5" s="1"/>
  <c r="I724" i="5" a="1"/>
  <c r="I724" i="5" s="1"/>
  <c r="I723" i="5" a="1"/>
  <c r="I723" i="5" s="1"/>
  <c r="I722" i="5" a="1"/>
  <c r="I722" i="5" s="1"/>
  <c r="I721" i="5" a="1"/>
  <c r="I721" i="5" s="1"/>
  <c r="I720" i="5" a="1"/>
  <c r="I720" i="5" s="1"/>
  <c r="I719" i="5" a="1"/>
  <c r="I719" i="5" s="1"/>
  <c r="I718" i="5" a="1"/>
  <c r="I718" i="5" s="1"/>
  <c r="I717" i="5" a="1"/>
  <c r="I717" i="5" s="1"/>
  <c r="I716" i="5" a="1"/>
  <c r="I716" i="5" s="1"/>
  <c r="I715" i="5" a="1"/>
  <c r="I715" i="5" s="1"/>
  <c r="I714" i="5" a="1"/>
  <c r="I714" i="5" s="1"/>
  <c r="I713" i="5" a="1"/>
  <c r="I713" i="5" s="1"/>
  <c r="I712" i="5" a="1"/>
  <c r="I712" i="5" s="1"/>
  <c r="I711" i="5" a="1"/>
  <c r="I711" i="5" s="1"/>
  <c r="R170" i="5" s="1"/>
  <c r="I710" i="5" a="1"/>
  <c r="I710" i="5" s="1"/>
  <c r="I709" i="5" a="1"/>
  <c r="I709" i="5" s="1"/>
  <c r="I708" i="5" a="1"/>
  <c r="I708" i="5" s="1"/>
  <c r="I707" i="5" a="1"/>
  <c r="I707" i="5" s="1"/>
  <c r="R168" i="5" s="1"/>
  <c r="I706" i="5" a="1"/>
  <c r="I706" i="5" s="1"/>
  <c r="R167" i="5" s="1"/>
  <c r="I705" i="5" a="1"/>
  <c r="I705" i="5" s="1"/>
  <c r="R166" i="5" s="1"/>
  <c r="I704" i="5" a="1"/>
  <c r="I704" i="5" s="1"/>
  <c r="I703" i="5" a="1"/>
  <c r="I703" i="5" s="1"/>
  <c r="I702" i="5" a="1"/>
  <c r="I702" i="5" s="1"/>
  <c r="I701" i="5" a="1"/>
  <c r="I701" i="5" s="1"/>
  <c r="I700" i="5" a="1"/>
  <c r="I700" i="5" s="1"/>
  <c r="I699" i="5" a="1"/>
  <c r="I699" i="5" s="1"/>
  <c r="I698" i="5" a="1"/>
  <c r="I698" i="5" s="1"/>
  <c r="I697" i="5" a="1"/>
  <c r="I697" i="5" s="1"/>
  <c r="I696" i="5" a="1"/>
  <c r="I696" i="5" s="1"/>
  <c r="I695" i="5" a="1"/>
  <c r="I695" i="5" s="1"/>
  <c r="I694" i="5" a="1"/>
  <c r="I694" i="5" s="1"/>
  <c r="R163" i="5" s="1"/>
  <c r="I693" i="5" a="1"/>
  <c r="I693" i="5" s="1"/>
  <c r="R162" i="5" s="1"/>
  <c r="I692" i="5" a="1"/>
  <c r="I692" i="5" s="1"/>
  <c r="R161" i="5" s="1"/>
  <c r="I691" i="5" a="1"/>
  <c r="I691" i="5" s="1"/>
  <c r="I690" i="5" a="1"/>
  <c r="I690" i="5" s="1"/>
  <c r="I689" i="5" a="1"/>
  <c r="I689" i="5" s="1"/>
  <c r="I688" i="5" a="1"/>
  <c r="I688" i="5" s="1"/>
  <c r="I687" i="5" a="1"/>
  <c r="I687" i="5" s="1"/>
  <c r="I686" i="5" a="1"/>
  <c r="I686" i="5" s="1"/>
  <c r="R158" i="5" s="1"/>
  <c r="I685" i="5" a="1"/>
  <c r="I685" i="5" s="1"/>
  <c r="I684" i="5" a="1"/>
  <c r="I684" i="5" s="1"/>
  <c r="I683" i="5" a="1"/>
  <c r="I683" i="5" s="1"/>
  <c r="I682" i="5" a="1"/>
  <c r="I682" i="5" s="1"/>
  <c r="I681" i="5" a="1"/>
  <c r="I681" i="5" s="1"/>
  <c r="I680" i="5" a="1"/>
  <c r="I680" i="5" s="1"/>
  <c r="I679" i="5" a="1"/>
  <c r="I679" i="5" s="1"/>
  <c r="I678" i="5" a="1"/>
  <c r="I678" i="5" s="1"/>
  <c r="I677" i="5" a="1"/>
  <c r="I677" i="5" s="1"/>
  <c r="I676" i="5" a="1"/>
  <c r="I676" i="5" s="1"/>
  <c r="I675" i="5" a="1"/>
  <c r="I675" i="5" s="1"/>
  <c r="I674" i="5" a="1"/>
  <c r="I674" i="5" s="1"/>
  <c r="I673" i="5" a="1"/>
  <c r="I673" i="5" s="1"/>
  <c r="I672" i="5" a="1"/>
  <c r="I672" i="5" s="1"/>
  <c r="R155" i="5" s="1"/>
  <c r="I671" i="5" a="1"/>
  <c r="I671" i="5" s="1"/>
  <c r="I670" i="5" a="1"/>
  <c r="I670" i="5" s="1"/>
  <c r="I669" i="5" a="1"/>
  <c r="I669" i="5" s="1"/>
  <c r="I668" i="5" a="1"/>
  <c r="I668" i="5" s="1"/>
  <c r="I667" i="5" a="1"/>
  <c r="I667" i="5" s="1"/>
  <c r="I666" i="5" a="1"/>
  <c r="I666" i="5" s="1"/>
  <c r="I665" i="5" a="1"/>
  <c r="I665" i="5" s="1"/>
  <c r="I664" i="5" a="1"/>
  <c r="I664" i="5" s="1"/>
  <c r="I663" i="5" a="1"/>
  <c r="I663" i="5" s="1"/>
  <c r="I662" i="5" a="1"/>
  <c r="I662" i="5" s="1"/>
  <c r="I661" i="5" a="1"/>
  <c r="I661" i="5" s="1"/>
  <c r="I660" i="5" a="1"/>
  <c r="I660" i="5" s="1"/>
  <c r="I659" i="5" a="1"/>
  <c r="I659" i="5" s="1"/>
  <c r="I658" i="5" a="1"/>
  <c r="I658" i="5" s="1"/>
  <c r="I657" i="5" a="1"/>
  <c r="I657" i="5" s="1"/>
  <c r="I656" i="5" a="1"/>
  <c r="I656" i="5" s="1"/>
  <c r="I655" i="5" a="1"/>
  <c r="I655" i="5" s="1"/>
  <c r="I654" i="5" a="1"/>
  <c r="I654" i="5" s="1"/>
  <c r="I653" i="5" a="1"/>
  <c r="I653" i="5" s="1"/>
  <c r="R151" i="5" s="1"/>
  <c r="I652" i="5" a="1"/>
  <c r="I652" i="5" s="1"/>
  <c r="I651" i="5" a="1"/>
  <c r="I651" i="5" s="1"/>
  <c r="I650" i="5" a="1"/>
  <c r="I650" i="5" s="1"/>
  <c r="I649" i="5" a="1"/>
  <c r="I649" i="5" s="1"/>
  <c r="I648" i="5" a="1"/>
  <c r="I648" i="5" s="1"/>
  <c r="I647" i="5" a="1"/>
  <c r="I647" i="5" s="1"/>
  <c r="I646" i="5" a="1"/>
  <c r="I646" i="5" s="1"/>
  <c r="I645" i="5" a="1"/>
  <c r="I645" i="5" s="1"/>
  <c r="I644" i="5" a="1"/>
  <c r="I644" i="5" s="1"/>
  <c r="I643" i="5" a="1"/>
  <c r="I643" i="5" s="1"/>
  <c r="I642" i="5" a="1"/>
  <c r="I642" i="5" s="1"/>
  <c r="I641" i="5" a="1"/>
  <c r="I641" i="5" s="1"/>
  <c r="I640" i="5" a="1"/>
  <c r="I640" i="5" s="1"/>
  <c r="I639" i="5" a="1"/>
  <c r="I639" i="5" s="1"/>
  <c r="I638" i="5" a="1"/>
  <c r="I638" i="5" s="1"/>
  <c r="I637" i="5" a="1"/>
  <c r="I637" i="5" s="1"/>
  <c r="I636" i="5" a="1"/>
  <c r="I636" i="5" s="1"/>
  <c r="I635" i="5" a="1"/>
  <c r="I635" i="5" s="1"/>
  <c r="I634" i="5" a="1"/>
  <c r="I634" i="5" s="1"/>
  <c r="I633" i="5" a="1"/>
  <c r="I633" i="5" s="1"/>
  <c r="I632" i="5" a="1"/>
  <c r="I632" i="5" s="1"/>
  <c r="I631" i="5" a="1"/>
  <c r="I631" i="5" s="1"/>
  <c r="I630" i="5" a="1"/>
  <c r="I630" i="5" s="1"/>
  <c r="I629" i="5" a="1"/>
  <c r="I629" i="5" s="1"/>
  <c r="I628" i="5" a="1"/>
  <c r="I628" i="5" s="1"/>
  <c r="I627" i="5" a="1"/>
  <c r="I627" i="5" s="1"/>
  <c r="I626" i="5" a="1"/>
  <c r="I626" i="5" s="1"/>
  <c r="I625" i="5" a="1"/>
  <c r="I625" i="5" s="1"/>
  <c r="I624" i="5" a="1"/>
  <c r="I624" i="5" s="1"/>
  <c r="I623" i="5" a="1"/>
  <c r="I623" i="5" s="1"/>
  <c r="I622" i="5" a="1"/>
  <c r="I622" i="5" s="1"/>
  <c r="I621" i="5" a="1"/>
  <c r="I621" i="5" s="1"/>
  <c r="I620" i="5" a="1"/>
  <c r="I620" i="5" s="1"/>
  <c r="I619" i="5" a="1"/>
  <c r="I619" i="5" s="1"/>
  <c r="I618" i="5" a="1"/>
  <c r="I618" i="5" s="1"/>
  <c r="I617" i="5" a="1"/>
  <c r="I617" i="5" s="1"/>
  <c r="I616" i="5" a="1"/>
  <c r="I616" i="5" s="1"/>
  <c r="I615" i="5" a="1"/>
  <c r="I615" i="5" s="1"/>
  <c r="I614" i="5" a="1"/>
  <c r="I614" i="5" s="1"/>
  <c r="I613" i="5" a="1"/>
  <c r="I613" i="5" s="1"/>
  <c r="I612" i="5" a="1"/>
  <c r="I612" i="5" s="1"/>
  <c r="I611" i="5" a="1"/>
  <c r="I611" i="5" s="1"/>
  <c r="I610" i="5" a="1"/>
  <c r="I610" i="5" s="1"/>
  <c r="I609" i="5" a="1"/>
  <c r="I609" i="5" s="1"/>
  <c r="I608" i="5" a="1"/>
  <c r="I608" i="5" s="1"/>
  <c r="I607" i="5" a="1"/>
  <c r="I607" i="5" s="1"/>
  <c r="I606" i="5" a="1"/>
  <c r="I606" i="5" s="1"/>
  <c r="I605" i="5" a="1"/>
  <c r="I605" i="5" s="1"/>
  <c r="I604" i="5" a="1"/>
  <c r="I604" i="5" s="1"/>
  <c r="I603" i="5" a="1"/>
  <c r="I603" i="5" s="1"/>
  <c r="I602" i="5" a="1"/>
  <c r="I602" i="5" s="1"/>
  <c r="I601" i="5" a="1"/>
  <c r="I601" i="5" s="1"/>
  <c r="I600" i="5" a="1"/>
  <c r="I600" i="5" s="1"/>
  <c r="I599" i="5" a="1"/>
  <c r="I599" i="5" s="1"/>
  <c r="I598" i="5" a="1"/>
  <c r="I598" i="5" s="1"/>
  <c r="I597" i="5" a="1"/>
  <c r="I597" i="5" s="1"/>
  <c r="I596" i="5" a="1"/>
  <c r="I596" i="5" s="1"/>
  <c r="I595" i="5" a="1"/>
  <c r="I595" i="5" s="1"/>
  <c r="I594" i="5" a="1"/>
  <c r="I594" i="5" s="1"/>
  <c r="I593" i="5" a="1"/>
  <c r="I593" i="5" s="1"/>
  <c r="I592" i="5" a="1"/>
  <c r="I592" i="5" s="1"/>
  <c r="I591" i="5" a="1"/>
  <c r="I591" i="5" s="1"/>
  <c r="I590" i="5" a="1"/>
  <c r="I590" i="5" s="1"/>
  <c r="I589" i="5" a="1"/>
  <c r="I589" i="5" s="1"/>
  <c r="I588" i="5" a="1"/>
  <c r="I588" i="5" s="1"/>
  <c r="I587" i="5" a="1"/>
  <c r="I587" i="5" s="1"/>
  <c r="I586" i="5" a="1"/>
  <c r="I586" i="5" s="1"/>
  <c r="I585" i="5" a="1"/>
  <c r="I585" i="5" s="1"/>
  <c r="I584" i="5" a="1"/>
  <c r="I584" i="5" s="1"/>
  <c r="I583" i="5" a="1"/>
  <c r="I583" i="5" s="1"/>
  <c r="I582" i="5" a="1"/>
  <c r="I582" i="5" s="1"/>
  <c r="I581" i="5" a="1"/>
  <c r="I581" i="5" s="1"/>
  <c r="I580" i="5" a="1"/>
  <c r="I580" i="5" s="1"/>
  <c r="I579" i="5" a="1"/>
  <c r="I579" i="5" s="1"/>
  <c r="I578" i="5" a="1"/>
  <c r="I578" i="5" s="1"/>
  <c r="I577" i="5" a="1"/>
  <c r="I577" i="5" s="1"/>
  <c r="I576" i="5" a="1"/>
  <c r="I576" i="5" s="1"/>
  <c r="I575" i="5" a="1"/>
  <c r="I575" i="5" s="1"/>
  <c r="I574" i="5" a="1"/>
  <c r="I574" i="5" s="1"/>
  <c r="I573" i="5" a="1"/>
  <c r="I573" i="5" s="1"/>
  <c r="I572" i="5" a="1"/>
  <c r="I572" i="5" s="1"/>
  <c r="I571" i="5" a="1"/>
  <c r="I571" i="5" s="1"/>
  <c r="I570" i="5" a="1"/>
  <c r="I570" i="5" s="1"/>
  <c r="I569" i="5" a="1"/>
  <c r="I569" i="5" s="1"/>
  <c r="I568" i="5" a="1"/>
  <c r="I568" i="5" s="1"/>
  <c r="I567" i="5" a="1"/>
  <c r="I567" i="5" s="1"/>
  <c r="I566" i="5" a="1"/>
  <c r="I566" i="5" s="1"/>
  <c r="I565" i="5" a="1"/>
  <c r="I565" i="5" s="1"/>
  <c r="I564" i="5" a="1"/>
  <c r="I564" i="5" s="1"/>
  <c r="I563" i="5" a="1"/>
  <c r="I563" i="5" s="1"/>
  <c r="I562" i="5" a="1"/>
  <c r="I562" i="5" s="1"/>
  <c r="I561" i="5" a="1"/>
  <c r="I561" i="5" s="1"/>
  <c r="I560" i="5" a="1"/>
  <c r="I560" i="5" s="1"/>
  <c r="I559" i="5" a="1"/>
  <c r="I559" i="5" s="1"/>
  <c r="I558" i="5" a="1"/>
  <c r="I558" i="5" s="1"/>
  <c r="I557" i="5" a="1"/>
  <c r="I557" i="5" s="1"/>
  <c r="I556" i="5" a="1"/>
  <c r="I556" i="5" s="1"/>
  <c r="I555" i="5" a="1"/>
  <c r="I555" i="5" s="1"/>
  <c r="I554" i="5" a="1"/>
  <c r="I554" i="5" s="1"/>
  <c r="I553" i="5" a="1"/>
  <c r="I553" i="5" s="1"/>
  <c r="I552" i="5" a="1"/>
  <c r="I552" i="5" s="1"/>
  <c r="I551" i="5" a="1"/>
  <c r="I551" i="5" s="1"/>
  <c r="I550" i="5" a="1"/>
  <c r="I550" i="5" s="1"/>
  <c r="I549" i="5" a="1"/>
  <c r="I549" i="5" s="1"/>
  <c r="I548" i="5" a="1"/>
  <c r="I548" i="5" s="1"/>
  <c r="I547" i="5" a="1"/>
  <c r="I547" i="5" s="1"/>
  <c r="I546" i="5" a="1"/>
  <c r="I546" i="5" s="1"/>
  <c r="I545" i="5" a="1"/>
  <c r="I545" i="5" s="1"/>
  <c r="I544" i="5" a="1"/>
  <c r="I544" i="5" s="1"/>
  <c r="I543" i="5" a="1"/>
  <c r="I543" i="5" s="1"/>
  <c r="I542" i="5" a="1"/>
  <c r="I542" i="5" s="1"/>
  <c r="I541" i="5" a="1"/>
  <c r="I541" i="5" s="1"/>
  <c r="I540" i="5" a="1"/>
  <c r="I540" i="5" s="1"/>
  <c r="I539" i="5" a="1"/>
  <c r="I539" i="5" s="1"/>
  <c r="I538" i="5" a="1"/>
  <c r="I538" i="5" s="1"/>
  <c r="I537" i="5" a="1"/>
  <c r="I537" i="5" s="1"/>
  <c r="I536" i="5" a="1"/>
  <c r="I536" i="5" s="1"/>
  <c r="I535" i="5" a="1"/>
  <c r="I535" i="5" s="1"/>
  <c r="I534" i="5" a="1"/>
  <c r="I534" i="5" s="1"/>
  <c r="I533" i="5" a="1"/>
  <c r="I533" i="5" s="1"/>
  <c r="I532" i="5" a="1"/>
  <c r="I532" i="5" s="1"/>
  <c r="I531" i="5" a="1"/>
  <c r="I531" i="5" s="1"/>
  <c r="I530" i="5" a="1"/>
  <c r="I530" i="5" s="1"/>
  <c r="I529" i="5" a="1"/>
  <c r="I529" i="5" s="1"/>
  <c r="I528" i="5" a="1"/>
  <c r="I528" i="5" s="1"/>
  <c r="I527" i="5" a="1"/>
  <c r="I527" i="5" s="1"/>
  <c r="I526" i="5" a="1"/>
  <c r="I526" i="5" s="1"/>
  <c r="I525" i="5" a="1"/>
  <c r="I525" i="5" s="1"/>
  <c r="I524" i="5" a="1"/>
  <c r="I524" i="5" s="1"/>
  <c r="I523" i="5" a="1"/>
  <c r="I523" i="5" s="1"/>
  <c r="I522" i="5" a="1"/>
  <c r="I522" i="5" s="1"/>
  <c r="I521" i="5" a="1"/>
  <c r="I521" i="5" s="1"/>
  <c r="I520" i="5" a="1"/>
  <c r="I520" i="5" s="1"/>
  <c r="I519" i="5" a="1"/>
  <c r="I519" i="5" s="1"/>
  <c r="I518" i="5" a="1"/>
  <c r="I518" i="5" s="1"/>
  <c r="I517" i="5" a="1"/>
  <c r="I517" i="5" s="1"/>
  <c r="I516" i="5" a="1"/>
  <c r="I516" i="5" s="1"/>
  <c r="I515" i="5" a="1"/>
  <c r="I515" i="5" s="1"/>
  <c r="I514" i="5" a="1"/>
  <c r="I514" i="5" s="1"/>
  <c r="I513" i="5" a="1"/>
  <c r="I513" i="5" s="1"/>
  <c r="I512" i="5" a="1"/>
  <c r="I512" i="5" s="1"/>
  <c r="I511" i="5" a="1"/>
  <c r="I511" i="5" s="1"/>
  <c r="I510" i="5" a="1"/>
  <c r="I510" i="5" s="1"/>
  <c r="I509" i="5" a="1"/>
  <c r="I509" i="5" s="1"/>
  <c r="I508" i="5" a="1"/>
  <c r="I508" i="5" s="1"/>
  <c r="I507" i="5" a="1"/>
  <c r="I507" i="5" s="1"/>
  <c r="I506" i="5" a="1"/>
  <c r="I506" i="5" s="1"/>
  <c r="I505" i="5" a="1"/>
  <c r="I505" i="5" s="1"/>
  <c r="I504" i="5" a="1"/>
  <c r="I504" i="5" s="1"/>
  <c r="I503" i="5" a="1"/>
  <c r="I503" i="5" s="1"/>
  <c r="I502" i="5" a="1"/>
  <c r="I502" i="5" s="1"/>
  <c r="I501" i="5" a="1"/>
  <c r="I501" i="5" s="1"/>
  <c r="I500" i="5" a="1"/>
  <c r="I500" i="5" s="1"/>
  <c r="I499" i="5" a="1"/>
  <c r="I499" i="5" s="1"/>
  <c r="I498" i="5" a="1"/>
  <c r="I498" i="5" s="1"/>
  <c r="I497" i="5" a="1"/>
  <c r="I497" i="5" s="1"/>
  <c r="I496" i="5" a="1"/>
  <c r="I496" i="5" s="1"/>
  <c r="I495" i="5" a="1"/>
  <c r="I495" i="5" s="1"/>
  <c r="I494" i="5" a="1"/>
  <c r="I494" i="5" s="1"/>
  <c r="I493" i="5" a="1"/>
  <c r="I493" i="5" s="1"/>
  <c r="I492" i="5" a="1"/>
  <c r="I492" i="5" s="1"/>
  <c r="I491" i="5" a="1"/>
  <c r="I491" i="5" s="1"/>
  <c r="I490" i="5" a="1"/>
  <c r="I490" i="5" s="1"/>
  <c r="I489" i="5" a="1"/>
  <c r="I489" i="5" s="1"/>
  <c r="I488" i="5" a="1"/>
  <c r="I488" i="5" s="1"/>
  <c r="I487" i="5" a="1"/>
  <c r="I487" i="5" s="1"/>
  <c r="I486" i="5" a="1"/>
  <c r="I486" i="5" s="1"/>
  <c r="I485" i="5" a="1"/>
  <c r="I485" i="5" s="1"/>
  <c r="I484" i="5" a="1"/>
  <c r="I484" i="5" s="1"/>
  <c r="I483" i="5" a="1"/>
  <c r="I483" i="5" s="1"/>
  <c r="I482" i="5" a="1"/>
  <c r="I482" i="5" s="1"/>
  <c r="I481" i="5" a="1"/>
  <c r="I481" i="5" s="1"/>
  <c r="I480" i="5" a="1"/>
  <c r="I480" i="5" s="1"/>
  <c r="I479" i="5" a="1"/>
  <c r="I479" i="5" s="1"/>
  <c r="I478" i="5" a="1"/>
  <c r="I478" i="5" s="1"/>
  <c r="I477" i="5" a="1"/>
  <c r="I477" i="5" s="1"/>
  <c r="I476" i="5" a="1"/>
  <c r="I476" i="5" s="1"/>
  <c r="I475" i="5" a="1"/>
  <c r="I475" i="5" s="1"/>
  <c r="I474" i="5" a="1"/>
  <c r="I474" i="5" s="1"/>
  <c r="I473" i="5" a="1"/>
  <c r="I473" i="5" s="1"/>
  <c r="I472" i="5" a="1"/>
  <c r="I472" i="5" s="1"/>
  <c r="I471" i="5" a="1"/>
  <c r="I471" i="5" s="1"/>
  <c r="I470" i="5" a="1"/>
  <c r="I470" i="5" s="1"/>
  <c r="I469" i="5" a="1"/>
  <c r="I469" i="5" s="1"/>
  <c r="I468" i="5" a="1"/>
  <c r="I468" i="5" s="1"/>
  <c r="I467" i="5" a="1"/>
  <c r="I467" i="5" s="1"/>
  <c r="I466" i="5" a="1"/>
  <c r="I466" i="5" s="1"/>
  <c r="I465" i="5" a="1"/>
  <c r="I465" i="5" s="1"/>
  <c r="I464" i="5" a="1"/>
  <c r="I464" i="5" s="1"/>
  <c r="I463" i="5" a="1"/>
  <c r="I463" i="5" s="1"/>
  <c r="I462" i="5" a="1"/>
  <c r="I462" i="5" s="1"/>
  <c r="I461" i="5" a="1"/>
  <c r="I461" i="5" s="1"/>
  <c r="I460" i="5" a="1"/>
  <c r="I460" i="5" s="1"/>
  <c r="I459" i="5" a="1"/>
  <c r="I459" i="5" s="1"/>
  <c r="I458" i="5" a="1"/>
  <c r="I458" i="5" s="1"/>
  <c r="I457" i="5" a="1"/>
  <c r="I457" i="5" s="1"/>
  <c r="I456" i="5" a="1"/>
  <c r="I456" i="5" s="1"/>
  <c r="I455" i="5" a="1"/>
  <c r="I455" i="5" s="1"/>
  <c r="I454" i="5" a="1"/>
  <c r="I454" i="5" s="1"/>
  <c r="I453" i="5" a="1"/>
  <c r="I453" i="5" s="1"/>
  <c r="I452" i="5" a="1"/>
  <c r="I452" i="5" s="1"/>
  <c r="I451" i="5" a="1"/>
  <c r="I451" i="5" s="1"/>
  <c r="I450" i="5" a="1"/>
  <c r="I450" i="5" s="1"/>
  <c r="I449" i="5" a="1"/>
  <c r="I449" i="5" s="1"/>
  <c r="I448" i="5" a="1"/>
  <c r="I448" i="5" s="1"/>
  <c r="I447" i="5" a="1"/>
  <c r="I447" i="5" s="1"/>
  <c r="I446" i="5" a="1"/>
  <c r="I446" i="5" s="1"/>
  <c r="I445" i="5" a="1"/>
  <c r="I445" i="5" s="1"/>
  <c r="I444" i="5" a="1"/>
  <c r="I444" i="5" s="1"/>
  <c r="I443" i="5" a="1"/>
  <c r="I443" i="5" s="1"/>
  <c r="I442" i="5" a="1"/>
  <c r="I442" i="5" s="1"/>
  <c r="I441" i="5" a="1"/>
  <c r="I441" i="5" s="1"/>
  <c r="I440" i="5" a="1"/>
  <c r="I440" i="5" s="1"/>
  <c r="I439" i="5" a="1"/>
  <c r="I439" i="5" s="1"/>
  <c r="I438" i="5" a="1"/>
  <c r="I438" i="5" s="1"/>
  <c r="I437" i="5" a="1"/>
  <c r="I437" i="5" s="1"/>
  <c r="I436" i="5" a="1"/>
  <c r="I436" i="5" s="1"/>
  <c r="I435" i="5" a="1"/>
  <c r="I435" i="5" s="1"/>
  <c r="I434" i="5" a="1"/>
  <c r="I434" i="5" s="1"/>
  <c r="I433" i="5" a="1"/>
  <c r="I433" i="5" s="1"/>
  <c r="I432" i="5" a="1"/>
  <c r="I432" i="5" s="1"/>
  <c r="I431" i="5" a="1"/>
  <c r="I431" i="5" s="1"/>
  <c r="I430" i="5" a="1"/>
  <c r="I430" i="5" s="1"/>
  <c r="I429" i="5" a="1"/>
  <c r="I429" i="5" s="1"/>
  <c r="I428" i="5" a="1"/>
  <c r="I428" i="5" s="1"/>
  <c r="I427" i="5" a="1"/>
  <c r="I427" i="5" s="1"/>
  <c r="I426" i="5" a="1"/>
  <c r="I426" i="5" s="1"/>
  <c r="I425" i="5" a="1"/>
  <c r="I425" i="5" s="1"/>
  <c r="I424" i="5" a="1"/>
  <c r="I424" i="5" s="1"/>
  <c r="I423" i="5" a="1"/>
  <c r="I423" i="5" s="1"/>
  <c r="I422" i="5" a="1"/>
  <c r="I422" i="5" s="1"/>
  <c r="I421" i="5" a="1"/>
  <c r="I421" i="5" s="1"/>
  <c r="I420" i="5" a="1"/>
  <c r="I420" i="5" s="1"/>
  <c r="I419" i="5" a="1"/>
  <c r="I419" i="5" s="1"/>
  <c r="I418" i="5" a="1"/>
  <c r="I418" i="5" s="1"/>
  <c r="I417" i="5" a="1"/>
  <c r="I417" i="5" s="1"/>
  <c r="I416" i="5" a="1"/>
  <c r="I416" i="5" s="1"/>
  <c r="I415" i="5" a="1"/>
  <c r="I415" i="5" s="1"/>
  <c r="I414" i="5" a="1"/>
  <c r="I414" i="5" s="1"/>
  <c r="I413" i="5" a="1"/>
  <c r="I413" i="5" s="1"/>
  <c r="I412" i="5" a="1"/>
  <c r="I412" i="5" s="1"/>
  <c r="I411" i="5" a="1"/>
  <c r="I411" i="5" s="1"/>
  <c r="I410" i="5" a="1"/>
  <c r="I410" i="5" s="1"/>
  <c r="I409" i="5" a="1"/>
  <c r="I409" i="5" s="1"/>
  <c r="I408" i="5" a="1"/>
  <c r="I408" i="5" s="1"/>
  <c r="I407" i="5" a="1"/>
  <c r="I407" i="5" s="1"/>
  <c r="I406" i="5" a="1"/>
  <c r="I406" i="5" s="1"/>
  <c r="I405" i="5" a="1"/>
  <c r="I405" i="5" s="1"/>
  <c r="I404" i="5" a="1"/>
  <c r="I404" i="5" s="1"/>
  <c r="I403" i="5" a="1"/>
  <c r="I403" i="5" s="1"/>
  <c r="I402" i="5" a="1"/>
  <c r="I402" i="5" s="1"/>
  <c r="I401" i="5" a="1"/>
  <c r="I401" i="5" s="1"/>
  <c r="I400" i="5" a="1"/>
  <c r="I400" i="5" s="1"/>
  <c r="I399" i="5" a="1"/>
  <c r="I399" i="5" s="1"/>
  <c r="I398" i="5" a="1"/>
  <c r="I398" i="5" s="1"/>
  <c r="I397" i="5" a="1"/>
  <c r="I397" i="5" s="1"/>
  <c r="I396" i="5" a="1"/>
  <c r="I396" i="5" s="1"/>
  <c r="I395" i="5" a="1"/>
  <c r="I395" i="5" s="1"/>
  <c r="I394" i="5" a="1"/>
  <c r="I394" i="5" s="1"/>
  <c r="I393" i="5" a="1"/>
  <c r="I393" i="5" s="1"/>
  <c r="I392" i="5" a="1"/>
  <c r="I392" i="5" s="1"/>
  <c r="I391" i="5" a="1"/>
  <c r="I391" i="5" s="1"/>
  <c r="I390" i="5" a="1"/>
  <c r="I390" i="5" s="1"/>
  <c r="I389" i="5" a="1"/>
  <c r="I389" i="5" s="1"/>
  <c r="I388" i="5" a="1"/>
  <c r="I388" i="5" s="1"/>
  <c r="I387" i="5" a="1"/>
  <c r="I387" i="5" s="1"/>
  <c r="I386" i="5" a="1"/>
  <c r="I386" i="5" s="1"/>
  <c r="I385" i="5" a="1"/>
  <c r="I385" i="5" s="1"/>
  <c r="I384" i="5" a="1"/>
  <c r="I384" i="5" s="1"/>
  <c r="I383" i="5" a="1"/>
  <c r="I383" i="5" s="1"/>
  <c r="I382" i="5" a="1"/>
  <c r="I382" i="5" s="1"/>
  <c r="I381" i="5" a="1"/>
  <c r="I381" i="5" s="1"/>
  <c r="I380" i="5" a="1"/>
  <c r="I380" i="5" s="1"/>
  <c r="I379" i="5" a="1"/>
  <c r="I379" i="5" s="1"/>
  <c r="I378" i="5" a="1"/>
  <c r="I378" i="5" s="1"/>
  <c r="I377" i="5" a="1"/>
  <c r="I377" i="5" s="1"/>
  <c r="I376" i="5" a="1"/>
  <c r="I376" i="5" s="1"/>
  <c r="I375" i="5" a="1"/>
  <c r="I375" i="5" s="1"/>
  <c r="I374" i="5" a="1"/>
  <c r="I374" i="5" s="1"/>
  <c r="I373" i="5" a="1"/>
  <c r="I373" i="5" s="1"/>
  <c r="I372" i="5" a="1"/>
  <c r="I372" i="5" s="1"/>
  <c r="I371" i="5" a="1"/>
  <c r="I371" i="5" s="1"/>
  <c r="I370" i="5" a="1"/>
  <c r="I370" i="5" s="1"/>
  <c r="I369" i="5" a="1"/>
  <c r="I369" i="5" s="1"/>
  <c r="I368" i="5" a="1"/>
  <c r="I368" i="5" s="1"/>
  <c r="I367" i="5" a="1"/>
  <c r="I367" i="5" s="1"/>
  <c r="I366" i="5" a="1"/>
  <c r="I366" i="5" s="1"/>
  <c r="I365" i="5" a="1"/>
  <c r="I365" i="5" s="1"/>
  <c r="I364" i="5" a="1"/>
  <c r="I364" i="5" s="1"/>
  <c r="I363" i="5" a="1"/>
  <c r="I363" i="5" s="1"/>
  <c r="I362" i="5" a="1"/>
  <c r="I362" i="5" s="1"/>
  <c r="I361" i="5" a="1"/>
  <c r="I361" i="5" s="1"/>
  <c r="I360" i="5" a="1"/>
  <c r="I360" i="5" s="1"/>
  <c r="I359" i="5" a="1"/>
  <c r="I359" i="5" s="1"/>
  <c r="I358" i="5" a="1"/>
  <c r="I358" i="5" s="1"/>
  <c r="I357" i="5" a="1"/>
  <c r="I357" i="5" s="1"/>
  <c r="I356" i="5" a="1"/>
  <c r="I356" i="5" s="1"/>
  <c r="I355" i="5" a="1"/>
  <c r="I355" i="5" s="1"/>
  <c r="I354" i="5" a="1"/>
  <c r="I354" i="5" s="1"/>
  <c r="I353" i="5" a="1"/>
  <c r="I353" i="5" s="1"/>
  <c r="I352" i="5" a="1"/>
  <c r="I352" i="5" s="1"/>
  <c r="I351" i="5" a="1"/>
  <c r="I351" i="5" s="1"/>
  <c r="I350" i="5" a="1"/>
  <c r="I350" i="5" s="1"/>
  <c r="I349" i="5" a="1"/>
  <c r="I349" i="5" s="1"/>
  <c r="I348" i="5" a="1"/>
  <c r="I348" i="5" s="1"/>
  <c r="I347" i="5" a="1"/>
  <c r="I347" i="5" s="1"/>
  <c r="I346" i="5" a="1"/>
  <c r="I346" i="5" s="1"/>
  <c r="I345" i="5" a="1"/>
  <c r="I345" i="5" s="1"/>
  <c r="I344" i="5" a="1"/>
  <c r="I344" i="5" s="1"/>
  <c r="I343" i="5" a="1"/>
  <c r="I343" i="5" s="1"/>
  <c r="I342" i="5" a="1"/>
  <c r="I342" i="5" s="1"/>
  <c r="I341" i="5" a="1"/>
  <c r="I341" i="5" s="1"/>
  <c r="I340" i="5" a="1"/>
  <c r="I340" i="5" s="1"/>
  <c r="I339" i="5" a="1"/>
  <c r="I339" i="5" s="1"/>
  <c r="I338" i="5" a="1"/>
  <c r="I338" i="5" s="1"/>
  <c r="I337" i="5" a="1"/>
  <c r="I337" i="5" s="1"/>
  <c r="I336" i="5" a="1"/>
  <c r="I336" i="5" s="1"/>
  <c r="I335" i="5" a="1"/>
  <c r="I335" i="5" s="1"/>
  <c r="I334" i="5" a="1"/>
  <c r="I334" i="5" s="1"/>
  <c r="I333" i="5" a="1"/>
  <c r="I333" i="5" s="1"/>
  <c r="I332" i="5" a="1"/>
  <c r="I332" i="5" s="1"/>
  <c r="I331" i="5" a="1"/>
  <c r="I331" i="5" s="1"/>
  <c r="I330" i="5" a="1"/>
  <c r="I330" i="5" s="1"/>
  <c r="I329" i="5" a="1"/>
  <c r="I329" i="5" s="1"/>
  <c r="I328" i="5" a="1"/>
  <c r="I328" i="5" s="1"/>
  <c r="I327" i="5" a="1"/>
  <c r="I327" i="5" s="1"/>
  <c r="I326" i="5"/>
  <c r="I326" i="5" a="1"/>
  <c r="I325" i="5" a="1"/>
  <c r="I325" i="5" s="1"/>
  <c r="I324" i="5" a="1"/>
  <c r="I324" i="5" s="1"/>
  <c r="I323" i="5" a="1"/>
  <c r="I323" i="5" s="1"/>
  <c r="I322" i="5" a="1"/>
  <c r="I322" i="5" s="1"/>
  <c r="I321" i="5" a="1"/>
  <c r="I321" i="5" s="1"/>
  <c r="I320" i="5" a="1"/>
  <c r="I320" i="5" s="1"/>
  <c r="I319" i="5" a="1"/>
  <c r="I319" i="5" s="1"/>
  <c r="I318" i="5" a="1"/>
  <c r="I318" i="5" s="1"/>
  <c r="I317" i="5" a="1"/>
  <c r="I317" i="5" s="1"/>
  <c r="I316" i="5" a="1"/>
  <c r="I316" i="5" s="1"/>
  <c r="I315" i="5" a="1"/>
  <c r="I315" i="5" s="1"/>
  <c r="I314" i="5" a="1"/>
  <c r="I314" i="5" s="1"/>
  <c r="I313" i="5" a="1"/>
  <c r="I313" i="5" s="1"/>
  <c r="I312" i="5" a="1"/>
  <c r="I312" i="5" s="1"/>
  <c r="I311" i="5" a="1"/>
  <c r="I311" i="5" s="1"/>
  <c r="I310" i="5" a="1"/>
  <c r="I310" i="5" s="1"/>
  <c r="I309" i="5" a="1"/>
  <c r="I309" i="5" s="1"/>
  <c r="I308" i="5" a="1"/>
  <c r="I308" i="5" s="1"/>
  <c r="I307" i="5" a="1"/>
  <c r="I307" i="5" s="1"/>
  <c r="I306" i="5" a="1"/>
  <c r="I306" i="5" s="1"/>
  <c r="I305" i="5" a="1"/>
  <c r="I305" i="5" s="1"/>
  <c r="I304" i="5" a="1"/>
  <c r="I304" i="5" s="1"/>
  <c r="I303" i="5" a="1"/>
  <c r="I303" i="5" s="1"/>
  <c r="I302" i="5" a="1"/>
  <c r="I302" i="5" s="1"/>
  <c r="I301" i="5" a="1"/>
  <c r="I301" i="5" s="1"/>
  <c r="I300" i="5" a="1"/>
  <c r="I300" i="5" s="1"/>
  <c r="I299" i="5" a="1"/>
  <c r="I299" i="5" s="1"/>
  <c r="I298" i="5" a="1"/>
  <c r="I298" i="5" s="1"/>
  <c r="I297" i="5" a="1"/>
  <c r="I297" i="5" s="1"/>
  <c r="I296" i="5" a="1"/>
  <c r="I296" i="5" s="1"/>
  <c r="I295" i="5" a="1"/>
  <c r="I295" i="5" s="1"/>
  <c r="I294" i="5" a="1"/>
  <c r="I294" i="5" s="1"/>
  <c r="I293" i="5" a="1"/>
  <c r="I293" i="5" s="1"/>
  <c r="I292" i="5" a="1"/>
  <c r="I292" i="5" s="1"/>
  <c r="I291" i="5" a="1"/>
  <c r="I291" i="5" s="1"/>
  <c r="I290" i="5" a="1"/>
  <c r="I290" i="5" s="1"/>
  <c r="I289" i="5" a="1"/>
  <c r="I289" i="5" s="1"/>
  <c r="I288" i="5" a="1"/>
  <c r="I288" i="5" s="1"/>
  <c r="I287" i="5" a="1"/>
  <c r="I287" i="5" s="1"/>
  <c r="I286" i="5" a="1"/>
  <c r="I286" i="5" s="1"/>
  <c r="I285" i="5" a="1"/>
  <c r="I285" i="5" s="1"/>
  <c r="I284" i="5" a="1"/>
  <c r="I284" i="5" s="1"/>
  <c r="I283" i="5" a="1"/>
  <c r="I283" i="5" s="1"/>
  <c r="I282" i="5" a="1"/>
  <c r="I282" i="5" s="1"/>
  <c r="I281" i="5" a="1"/>
  <c r="I281" i="5" s="1"/>
  <c r="I280" i="5" a="1"/>
  <c r="I280" i="5" s="1"/>
  <c r="I279" i="5" a="1"/>
  <c r="I279" i="5" s="1"/>
  <c r="I278" i="5" a="1"/>
  <c r="I278" i="5" s="1"/>
  <c r="I277" i="5" a="1"/>
  <c r="I277" i="5" s="1"/>
  <c r="I276" i="5" a="1"/>
  <c r="I276" i="5" s="1"/>
  <c r="I275" i="5" a="1"/>
  <c r="I275" i="5" s="1"/>
  <c r="I274" i="5" a="1"/>
  <c r="I274" i="5" s="1"/>
  <c r="I273" i="5" a="1"/>
  <c r="I273" i="5" s="1"/>
  <c r="I272" i="5" a="1"/>
  <c r="I272" i="5" s="1"/>
  <c r="I271" i="5" a="1"/>
  <c r="I271" i="5" s="1"/>
  <c r="I270" i="5" a="1"/>
  <c r="I270" i="5" s="1"/>
  <c r="I269" i="5" a="1"/>
  <c r="I269" i="5" s="1"/>
  <c r="I268" i="5" a="1"/>
  <c r="I268" i="5" s="1"/>
  <c r="I267" i="5" a="1"/>
  <c r="I267" i="5" s="1"/>
  <c r="I266" i="5" a="1"/>
  <c r="I266" i="5" s="1"/>
  <c r="I265" i="5" a="1"/>
  <c r="I265" i="5" s="1"/>
  <c r="I264" i="5" a="1"/>
  <c r="I264" i="5" s="1"/>
  <c r="I263" i="5" a="1"/>
  <c r="I263" i="5" s="1"/>
  <c r="I262" i="5" a="1"/>
  <c r="I262" i="5" s="1"/>
  <c r="I261" i="5" a="1"/>
  <c r="I261" i="5" s="1"/>
  <c r="I260" i="5" a="1"/>
  <c r="I260" i="5" s="1"/>
  <c r="I259" i="5" a="1"/>
  <c r="I259" i="5" s="1"/>
  <c r="I258" i="5" a="1"/>
  <c r="I258" i="5" s="1"/>
  <c r="I257" i="5" a="1"/>
  <c r="I257" i="5" s="1"/>
  <c r="I256" i="5" a="1"/>
  <c r="I256" i="5" s="1"/>
  <c r="I255" i="5" a="1"/>
  <c r="I255" i="5" s="1"/>
  <c r="I254" i="5" a="1"/>
  <c r="I254" i="5" s="1"/>
  <c r="I253" i="5" a="1"/>
  <c r="I253" i="5" s="1"/>
  <c r="I252" i="5" a="1"/>
  <c r="I252" i="5" s="1"/>
  <c r="I251" i="5" a="1"/>
  <c r="I251" i="5" s="1"/>
  <c r="I250" i="5" a="1"/>
  <c r="I250" i="5" s="1"/>
  <c r="I249" i="5" a="1"/>
  <c r="I249" i="5" s="1"/>
  <c r="I248" i="5" a="1"/>
  <c r="I248" i="5" s="1"/>
  <c r="I247" i="5" a="1"/>
  <c r="I247" i="5" s="1"/>
  <c r="I246" i="5" a="1"/>
  <c r="I246" i="5" s="1"/>
  <c r="I245" i="5" a="1"/>
  <c r="I245" i="5" s="1"/>
  <c r="I244" i="5" a="1"/>
  <c r="I244" i="5" s="1"/>
  <c r="I243" i="5" a="1"/>
  <c r="I243" i="5" s="1"/>
  <c r="I242" i="5" a="1"/>
  <c r="I242" i="5" s="1"/>
  <c r="I241" i="5" a="1"/>
  <c r="I241" i="5" s="1"/>
  <c r="I240" i="5" a="1"/>
  <c r="I240" i="5" s="1"/>
  <c r="I239" i="5" a="1"/>
  <c r="I239" i="5" s="1"/>
  <c r="I238" i="5" a="1"/>
  <c r="I238" i="5" s="1"/>
  <c r="I237" i="5" a="1"/>
  <c r="I237" i="5" s="1"/>
  <c r="I236" i="5" a="1"/>
  <c r="I236" i="5" s="1"/>
  <c r="I235" i="5" a="1"/>
  <c r="I235" i="5" s="1"/>
  <c r="I234" i="5" a="1"/>
  <c r="I234" i="5" s="1"/>
  <c r="I233" i="5" a="1"/>
  <c r="I233" i="5" s="1"/>
  <c r="I232" i="5" a="1"/>
  <c r="I232" i="5" s="1"/>
  <c r="I231" i="5" a="1"/>
  <c r="I231" i="5" s="1"/>
  <c r="I230" i="5" a="1"/>
  <c r="I230" i="5" s="1"/>
  <c r="I229" i="5" a="1"/>
  <c r="I229" i="5" s="1"/>
  <c r="I228" i="5" a="1"/>
  <c r="I228" i="5" s="1"/>
  <c r="I227" i="5" a="1"/>
  <c r="I227" i="5" s="1"/>
  <c r="I226" i="5" a="1"/>
  <c r="I226" i="5" s="1"/>
  <c r="I225" i="5" a="1"/>
  <c r="I225" i="5" s="1"/>
  <c r="I224" i="5" a="1"/>
  <c r="I224" i="5" s="1"/>
  <c r="I223" i="5" a="1"/>
  <c r="I223" i="5" s="1"/>
  <c r="I222" i="5" a="1"/>
  <c r="I222" i="5" s="1"/>
  <c r="I221" i="5" a="1"/>
  <c r="I221" i="5" s="1"/>
  <c r="I220" i="5" a="1"/>
  <c r="I220" i="5" s="1"/>
  <c r="I219" i="5" a="1"/>
  <c r="I219" i="5" s="1"/>
  <c r="I218" i="5" a="1"/>
  <c r="I218" i="5" s="1"/>
  <c r="I217" i="5" a="1"/>
  <c r="I217" i="5" s="1"/>
  <c r="I216" i="5" a="1"/>
  <c r="I216" i="5" s="1"/>
  <c r="I215" i="5" a="1"/>
  <c r="I215" i="5" s="1"/>
  <c r="I214" i="5" a="1"/>
  <c r="I214" i="5" s="1"/>
  <c r="I213" i="5" a="1"/>
  <c r="I213" i="5" s="1"/>
  <c r="I212" i="5" a="1"/>
  <c r="I212" i="5" s="1"/>
  <c r="I211" i="5" a="1"/>
  <c r="I211" i="5" s="1"/>
  <c r="I210" i="5" a="1"/>
  <c r="I210" i="5" s="1"/>
  <c r="I209" i="5" a="1"/>
  <c r="I209" i="5" s="1"/>
  <c r="I208" i="5" a="1"/>
  <c r="I208" i="5" s="1"/>
  <c r="I207" i="5" a="1"/>
  <c r="I207" i="5" s="1"/>
  <c r="I206" i="5" a="1"/>
  <c r="I206" i="5" s="1"/>
  <c r="I205" i="5" a="1"/>
  <c r="I205" i="5" s="1"/>
  <c r="I204" i="5" a="1"/>
  <c r="I204" i="5" s="1"/>
  <c r="I203" i="5" a="1"/>
  <c r="I203" i="5" s="1"/>
  <c r="I202" i="5" a="1"/>
  <c r="I202" i="5" s="1"/>
  <c r="I201" i="5" a="1"/>
  <c r="I201" i="5" s="1"/>
  <c r="I200" i="5" a="1"/>
  <c r="I200" i="5" s="1"/>
  <c r="I199" i="5" a="1"/>
  <c r="I199" i="5" s="1"/>
  <c r="I198" i="5" a="1"/>
  <c r="I198" i="5" s="1"/>
  <c r="I197" i="5" a="1"/>
  <c r="I197" i="5" s="1"/>
  <c r="I196" i="5" a="1"/>
  <c r="I196" i="5" s="1"/>
  <c r="I195" i="5" a="1"/>
  <c r="I195" i="5" s="1"/>
  <c r="I194" i="5" a="1"/>
  <c r="I194" i="5" s="1"/>
  <c r="I193" i="5" a="1"/>
  <c r="I193" i="5" s="1"/>
  <c r="I192" i="5" a="1"/>
  <c r="I192" i="5" s="1"/>
  <c r="I191" i="5" a="1"/>
  <c r="I191" i="5" s="1"/>
  <c r="I190" i="5" a="1"/>
  <c r="I190" i="5" s="1"/>
  <c r="I189" i="5" a="1"/>
  <c r="I189" i="5" s="1"/>
  <c r="I188" i="5" a="1"/>
  <c r="I188" i="5" s="1"/>
  <c r="I187" i="5" a="1"/>
  <c r="I187" i="5" s="1"/>
  <c r="I186" i="5" a="1"/>
  <c r="I186" i="5" s="1"/>
  <c r="I185" i="5" a="1"/>
  <c r="I185" i="5" s="1"/>
  <c r="I184" i="5" a="1"/>
  <c r="I184" i="5" s="1"/>
  <c r="I183" i="5" a="1"/>
  <c r="I183" i="5" s="1"/>
  <c r="I182" i="5" a="1"/>
  <c r="I182" i="5" s="1"/>
  <c r="I181" i="5" a="1"/>
  <c r="I181" i="5" s="1"/>
  <c r="I180" i="5" a="1"/>
  <c r="I180" i="5" s="1"/>
  <c r="I179" i="5" a="1"/>
  <c r="I179" i="5" s="1"/>
  <c r="I178" i="5" a="1"/>
  <c r="I178" i="5" s="1"/>
  <c r="I177" i="5" a="1"/>
  <c r="I177" i="5" s="1"/>
  <c r="I176" i="5" a="1"/>
  <c r="I176" i="5" s="1"/>
  <c r="I175" i="5" a="1"/>
  <c r="I175" i="5" s="1"/>
  <c r="I174" i="5" a="1"/>
  <c r="I174" i="5" s="1"/>
  <c r="I173" i="5" a="1"/>
  <c r="I173" i="5" s="1"/>
  <c r="I172" i="5" a="1"/>
  <c r="I172" i="5" s="1"/>
  <c r="I171" i="5" a="1"/>
  <c r="I171" i="5" s="1"/>
  <c r="I170" i="5" a="1"/>
  <c r="I170" i="5" s="1"/>
  <c r="I169" i="5" a="1"/>
  <c r="I169" i="5" s="1"/>
  <c r="I168" i="5" a="1"/>
  <c r="I168" i="5" s="1"/>
  <c r="I167" i="5" a="1"/>
  <c r="I167" i="5" s="1"/>
  <c r="I166" i="5" a="1"/>
  <c r="I166" i="5" s="1"/>
  <c r="I165" i="5" a="1"/>
  <c r="I165" i="5" s="1"/>
  <c r="I164" i="5" a="1"/>
  <c r="I164" i="5" s="1"/>
  <c r="I163" i="5" a="1"/>
  <c r="I163" i="5" s="1"/>
  <c r="I162" i="5" a="1"/>
  <c r="I162" i="5" s="1"/>
  <c r="I161" i="5" a="1"/>
  <c r="I161" i="5" s="1"/>
  <c r="I160" i="5" a="1"/>
  <c r="I160" i="5" s="1"/>
  <c r="I159" i="5" a="1"/>
  <c r="I159" i="5" s="1"/>
  <c r="I158" i="5" a="1"/>
  <c r="I158" i="5" s="1"/>
  <c r="I157" i="5" a="1"/>
  <c r="I157" i="5" s="1"/>
  <c r="I156" i="5" a="1"/>
  <c r="I156" i="5" s="1"/>
  <c r="I155" i="5" a="1"/>
  <c r="I155" i="5" s="1"/>
  <c r="I154" i="5" a="1"/>
  <c r="I154" i="5" s="1"/>
  <c r="I153" i="5" a="1"/>
  <c r="I153" i="5" s="1"/>
  <c r="I152" i="5" a="1"/>
  <c r="I152" i="5" s="1"/>
  <c r="I151" i="5" a="1"/>
  <c r="I151" i="5" s="1"/>
  <c r="I150" i="5" a="1"/>
  <c r="I150" i="5" s="1"/>
  <c r="I149" i="5" a="1"/>
  <c r="I149" i="5" s="1"/>
  <c r="I148" i="5" a="1"/>
  <c r="I148" i="5" s="1"/>
  <c r="I147" i="5" a="1"/>
  <c r="I147" i="5" s="1"/>
  <c r="I146" i="5" a="1"/>
  <c r="I146" i="5" s="1"/>
  <c r="I145" i="5" a="1"/>
  <c r="I145" i="5" s="1"/>
  <c r="I144" i="5" a="1"/>
  <c r="I144" i="5" s="1"/>
  <c r="I143" i="5" a="1"/>
  <c r="I143" i="5" s="1"/>
  <c r="I142" i="5" a="1"/>
  <c r="I142" i="5" s="1"/>
  <c r="I141" i="5" a="1"/>
  <c r="I141" i="5" s="1"/>
  <c r="I140" i="5" a="1"/>
  <c r="I140" i="5" s="1"/>
  <c r="I139" i="5" a="1"/>
  <c r="I139" i="5" s="1"/>
  <c r="I138" i="5" a="1"/>
  <c r="I138" i="5" s="1"/>
  <c r="I137" i="5" a="1"/>
  <c r="I137" i="5" s="1"/>
  <c r="R86" i="5" s="1"/>
  <c r="I136" i="5" a="1"/>
  <c r="I136" i="5" s="1"/>
  <c r="R85" i="5" s="1"/>
  <c r="I135" i="5" a="1"/>
  <c r="I135" i="5" s="1"/>
  <c r="R84" i="5" s="1"/>
  <c r="I134" i="5" a="1"/>
  <c r="I134" i="5" s="1"/>
  <c r="R83" i="5" s="1"/>
  <c r="I133" i="5" a="1"/>
  <c r="I133" i="5" s="1"/>
  <c r="R82" i="5" s="1"/>
  <c r="I132" i="5" a="1"/>
  <c r="I132" i="5" s="1"/>
  <c r="R81" i="5" s="1"/>
  <c r="I131" i="5" a="1"/>
  <c r="I131" i="5" s="1"/>
  <c r="R80" i="5" s="1"/>
  <c r="I130" i="5" a="1"/>
  <c r="I130" i="5" s="1"/>
  <c r="R79" i="5" s="1"/>
  <c r="I129" i="5" a="1"/>
  <c r="I129" i="5" s="1"/>
  <c r="R78" i="5" s="1"/>
  <c r="I128" i="5" a="1"/>
  <c r="I128" i="5" s="1"/>
  <c r="R77" i="5" s="1"/>
  <c r="I127" i="5" a="1"/>
  <c r="I127" i="5" s="1"/>
  <c r="R76" i="5" s="1"/>
  <c r="I126" i="5" a="1"/>
  <c r="I126" i="5" s="1"/>
  <c r="R75" i="5" s="1"/>
  <c r="I125" i="5" a="1"/>
  <c r="I125" i="5" s="1"/>
  <c r="R74" i="5" s="1"/>
  <c r="I124" i="5" a="1"/>
  <c r="I124" i="5" s="1"/>
  <c r="R73" i="5" s="1"/>
  <c r="I123" i="5" a="1"/>
  <c r="I123" i="5" s="1"/>
  <c r="R72" i="5" s="1"/>
  <c r="I122" i="5" a="1"/>
  <c r="I122" i="5" s="1"/>
  <c r="R71" i="5" s="1"/>
  <c r="I121" i="5" a="1"/>
  <c r="I121" i="5" s="1"/>
  <c r="R70" i="5" s="1"/>
  <c r="I120" i="5" a="1"/>
  <c r="I120" i="5" s="1"/>
  <c r="R69" i="5" s="1"/>
  <c r="I119" i="5" a="1"/>
  <c r="I119" i="5" s="1"/>
  <c r="R68" i="5" s="1"/>
  <c r="I118" i="5" a="1"/>
  <c r="I118" i="5" s="1"/>
  <c r="R67" i="5" s="1"/>
  <c r="I117" i="5" a="1"/>
  <c r="I117" i="5" s="1"/>
  <c r="R66" i="5" s="1"/>
  <c r="I116" i="5" a="1"/>
  <c r="I116" i="5" s="1"/>
  <c r="R65" i="5" s="1"/>
  <c r="I115" i="5" a="1"/>
  <c r="I115" i="5" s="1"/>
  <c r="R64" i="5" s="1"/>
  <c r="I114" i="5" a="1"/>
  <c r="I114" i="5" s="1"/>
  <c r="R63" i="5" s="1"/>
  <c r="I113" i="5"/>
  <c r="R62" i="5" s="1"/>
  <c r="I113" i="5" a="1"/>
  <c r="I112" i="5" a="1"/>
  <c r="I112" i="5" s="1"/>
  <c r="R61" i="5" s="1"/>
  <c r="I111" i="5" a="1"/>
  <c r="I111" i="5" s="1"/>
  <c r="R60" i="5" s="1"/>
  <c r="I110" i="5" a="1"/>
  <c r="I110" i="5" s="1"/>
  <c r="R59" i="5" s="1"/>
  <c r="I109" i="5" a="1"/>
  <c r="I109" i="5" s="1"/>
  <c r="R58" i="5" s="1"/>
  <c r="I108" i="5" a="1"/>
  <c r="I108" i="5" s="1"/>
  <c r="R57" i="5" s="1"/>
  <c r="I107" i="5" a="1"/>
  <c r="I107" i="5" s="1"/>
  <c r="R56" i="5" s="1"/>
  <c r="I106" i="5" a="1"/>
  <c r="I106" i="5" s="1"/>
  <c r="R55" i="5" s="1"/>
  <c r="I105" i="5" a="1"/>
  <c r="I105" i="5" s="1"/>
  <c r="R54" i="5" s="1"/>
  <c r="I104" i="5" a="1"/>
  <c r="I104" i="5" s="1"/>
  <c r="R53" i="5" s="1"/>
  <c r="I103" i="5" a="1"/>
  <c r="I103" i="5" s="1"/>
  <c r="R52" i="5" s="1"/>
  <c r="I102" i="5" a="1"/>
  <c r="I102" i="5" s="1"/>
  <c r="R51" i="5" s="1"/>
  <c r="I101" i="5" a="1"/>
  <c r="I101" i="5" s="1"/>
  <c r="R50" i="5" s="1"/>
  <c r="I100" i="5" a="1"/>
  <c r="I100" i="5" s="1"/>
  <c r="R49" i="5" s="1"/>
  <c r="I99" i="5" a="1"/>
  <c r="I99" i="5" s="1"/>
  <c r="R48" i="5" s="1"/>
  <c r="I98" i="5" a="1"/>
  <c r="I98" i="5" s="1"/>
  <c r="R47" i="5" s="1"/>
  <c r="I97" i="5" a="1"/>
  <c r="I97" i="5" s="1"/>
  <c r="R46" i="5" s="1"/>
  <c r="I96" i="5" a="1"/>
  <c r="I96" i="5" s="1"/>
  <c r="R45" i="5" s="1"/>
  <c r="I95" i="5" a="1"/>
  <c r="I95" i="5" s="1"/>
  <c r="R44" i="5" s="1"/>
  <c r="I94" i="5" a="1"/>
  <c r="I94" i="5" s="1"/>
  <c r="R43" i="5" s="1"/>
  <c r="I93" i="5" a="1"/>
  <c r="I93" i="5" s="1"/>
  <c r="R42" i="5" s="1"/>
  <c r="I92" i="5" a="1"/>
  <c r="I92" i="5" s="1"/>
  <c r="R41" i="5" s="1"/>
  <c r="I91" i="5" a="1"/>
  <c r="I91" i="5" s="1"/>
  <c r="R40" i="5" s="1"/>
  <c r="I90" i="5" a="1"/>
  <c r="I90" i="5" s="1"/>
  <c r="R39" i="5" s="1"/>
  <c r="I89" i="5" a="1"/>
  <c r="I89" i="5" s="1"/>
  <c r="R38" i="5" s="1"/>
  <c r="I88" i="5" a="1"/>
  <c r="I88" i="5" s="1"/>
  <c r="R37" i="5" s="1"/>
  <c r="I87" i="5" a="1"/>
  <c r="I87" i="5" s="1"/>
  <c r="R36" i="5" s="1"/>
  <c r="I86" i="5" a="1"/>
  <c r="I86" i="5" s="1"/>
  <c r="R35" i="5" s="1"/>
  <c r="I85" i="5" a="1"/>
  <c r="I85" i="5" s="1"/>
  <c r="R34" i="5" s="1"/>
  <c r="I84" i="5" a="1"/>
  <c r="I84" i="5" s="1"/>
  <c r="R33" i="5" s="1"/>
  <c r="I83" i="5" a="1"/>
  <c r="I83" i="5" s="1"/>
  <c r="R32" i="5" s="1"/>
  <c r="I82" i="5" a="1"/>
  <c r="I82" i="5" s="1"/>
  <c r="R31" i="5" s="1"/>
  <c r="I81" i="5" a="1"/>
  <c r="I81" i="5" s="1"/>
  <c r="R30" i="5" s="1"/>
  <c r="I80" i="5" a="1"/>
  <c r="I80" i="5" s="1"/>
  <c r="R29" i="5" s="1"/>
  <c r="I79" i="5" a="1"/>
  <c r="I79" i="5" s="1"/>
  <c r="R28" i="5" s="1"/>
  <c r="I78" i="5" a="1"/>
  <c r="I78" i="5" s="1"/>
  <c r="R27" i="5" s="1"/>
  <c r="I77" i="5" a="1"/>
  <c r="I77" i="5" s="1"/>
  <c r="R26" i="5" s="1"/>
  <c r="I76" i="5" a="1"/>
  <c r="I76" i="5" s="1"/>
  <c r="R25" i="5" s="1"/>
  <c r="I75" i="5" a="1"/>
  <c r="I75" i="5" s="1"/>
  <c r="R24" i="5" s="1"/>
  <c r="I74" i="5" a="1"/>
  <c r="I74" i="5" s="1"/>
  <c r="R23" i="5" s="1"/>
  <c r="I73" i="5" a="1"/>
  <c r="I73" i="5" s="1"/>
  <c r="R22" i="5" s="1"/>
  <c r="I72" i="5" a="1"/>
  <c r="I72" i="5" s="1"/>
  <c r="R21" i="5" s="1"/>
  <c r="I71" i="5" a="1"/>
  <c r="I71" i="5" s="1"/>
  <c r="R20" i="5" s="1"/>
  <c r="I70" i="5" a="1"/>
  <c r="I70" i="5" s="1"/>
  <c r="I69" i="5" a="1"/>
  <c r="I69" i="5" s="1"/>
  <c r="I68" i="5" a="1"/>
  <c r="I68" i="5" s="1"/>
  <c r="I67" i="5" a="1"/>
  <c r="I67" i="5" s="1"/>
  <c r="I66" i="5" a="1"/>
  <c r="I66" i="5" s="1"/>
  <c r="I65" i="5" a="1"/>
  <c r="I65" i="5" s="1"/>
  <c r="I64" i="5" a="1"/>
  <c r="I64" i="5" s="1"/>
  <c r="I63" i="5" a="1"/>
  <c r="I63" i="5" s="1"/>
  <c r="I62" i="5" a="1"/>
  <c r="I62" i="5" s="1"/>
  <c r="I61" i="5" a="1"/>
  <c r="I61" i="5" s="1"/>
  <c r="I60" i="5" a="1"/>
  <c r="I60" i="5" s="1"/>
  <c r="I59" i="5" a="1"/>
  <c r="I59" i="5" s="1"/>
  <c r="I58" i="5" a="1"/>
  <c r="I58" i="5" s="1"/>
  <c r="I57" i="5" a="1"/>
  <c r="I57" i="5" s="1"/>
  <c r="I56" i="5" a="1"/>
  <c r="I56" i="5" s="1"/>
  <c r="I55" i="5" a="1"/>
  <c r="I55" i="5" s="1"/>
  <c r="I54" i="5" a="1"/>
  <c r="I54" i="5" s="1"/>
  <c r="I53" i="5" a="1"/>
  <c r="I53" i="5" s="1"/>
  <c r="I52" i="5" a="1"/>
  <c r="I52" i="5" s="1"/>
  <c r="I51" i="5" a="1"/>
  <c r="I51" i="5" s="1"/>
  <c r="I50" i="5" a="1"/>
  <c r="I50" i="5" s="1"/>
  <c r="I49" i="5" a="1"/>
  <c r="I49" i="5" s="1"/>
  <c r="I48" i="5" a="1"/>
  <c r="I48" i="5" s="1"/>
  <c r="I47" i="5" a="1"/>
  <c r="I47" i="5" s="1"/>
  <c r="I46" i="5" a="1"/>
  <c r="I46" i="5" s="1"/>
  <c r="I45" i="5" a="1"/>
  <c r="I45" i="5" s="1"/>
  <c r="I44" i="5" a="1"/>
  <c r="I44" i="5" s="1"/>
  <c r="I43" i="5" a="1"/>
  <c r="I43" i="5" s="1"/>
  <c r="I42" i="5" a="1"/>
  <c r="I42" i="5" s="1"/>
  <c r="I41" i="5" a="1"/>
  <c r="I41" i="5" s="1"/>
  <c r="I40" i="5" a="1"/>
  <c r="I40" i="5" s="1"/>
  <c r="I39" i="5" a="1"/>
  <c r="I39" i="5" s="1"/>
  <c r="I38" i="5" a="1"/>
  <c r="I38" i="5" s="1"/>
  <c r="I37" i="5" a="1"/>
  <c r="I37" i="5" s="1"/>
  <c r="I36" i="5" a="1"/>
  <c r="I36" i="5" s="1"/>
  <c r="I35" i="5" a="1"/>
  <c r="I35" i="5" s="1"/>
  <c r="I34" i="5" a="1"/>
  <c r="I34" i="5" s="1"/>
  <c r="I33" i="5" a="1"/>
  <c r="I33" i="5" s="1"/>
  <c r="I32" i="5" a="1"/>
  <c r="I32" i="5" s="1"/>
  <c r="I31" i="5" a="1"/>
  <c r="I31" i="5" s="1"/>
  <c r="I30" i="5" a="1"/>
  <c r="I30" i="5" s="1"/>
  <c r="I29" i="5" a="1"/>
  <c r="I29" i="5" s="1"/>
  <c r="I28" i="5" a="1"/>
  <c r="I28" i="5" s="1"/>
  <c r="I27" i="5" a="1"/>
  <c r="I27" i="5" s="1"/>
  <c r="I26" i="5" a="1"/>
  <c r="I26" i="5" s="1"/>
  <c r="I25" i="5" a="1"/>
  <c r="I25" i="5" s="1"/>
  <c r="I24" i="5" a="1"/>
  <c r="I24" i="5" s="1"/>
  <c r="R15" i="5" s="1"/>
  <c r="I23" i="5" a="1"/>
  <c r="I23" i="5" s="1"/>
  <c r="I22" i="5" a="1"/>
  <c r="I22" i="5" s="1"/>
  <c r="I21" i="5" a="1"/>
  <c r="I21" i="5" s="1"/>
  <c r="R13" i="5" s="1"/>
  <c r="I20" i="5" a="1"/>
  <c r="I20" i="5" s="1"/>
  <c r="I19" i="5" a="1"/>
  <c r="I19" i="5" s="1"/>
  <c r="I18" i="5" a="1"/>
  <c r="I18" i="5" s="1"/>
  <c r="I17" i="5" a="1"/>
  <c r="I17" i="5" s="1"/>
  <c r="I16" i="5" a="1"/>
  <c r="I16" i="5" s="1"/>
  <c r="I15" i="5" a="1"/>
  <c r="I15" i="5" s="1"/>
  <c r="I14" i="5" a="1"/>
  <c r="I14" i="5" s="1"/>
  <c r="I13" i="5" a="1"/>
  <c r="I13" i="5" s="1"/>
  <c r="R9" i="5" s="1"/>
  <c r="I12" i="5" a="1"/>
  <c r="I12" i="5" s="1"/>
  <c r="I11" i="5" a="1"/>
  <c r="I11" i="5" s="1"/>
  <c r="I10" i="5" a="1"/>
  <c r="I10" i="5" s="1"/>
  <c r="I9" i="5" a="1"/>
  <c r="I9" i="5" s="1"/>
  <c r="I8" i="5" a="1"/>
  <c r="I8" i="5" s="1"/>
  <c r="I7" i="5" a="1"/>
  <c r="I7" i="5" s="1"/>
  <c r="I6" i="5" a="1"/>
  <c r="I6" i="5" s="1"/>
  <c r="I5" i="5" a="1"/>
  <c r="I5" i="5" s="1"/>
  <c r="R7" i="5" s="1"/>
  <c r="L4" i="5" a="1"/>
  <c r="L4" i="5" s="1"/>
  <c r="M4" i="5" s="1"/>
  <c r="L892" i="5" a="1"/>
  <c r="L892" i="5" s="1"/>
  <c r="M892" i="5" s="1"/>
  <c r="L891" i="5" a="1"/>
  <c r="L891" i="5" s="1"/>
  <c r="M891" i="5" s="1"/>
  <c r="L890" i="5" a="1"/>
  <c r="L890" i="5" s="1"/>
  <c r="M890" i="5" s="1"/>
  <c r="L889" i="5" a="1"/>
  <c r="L889" i="5" s="1"/>
  <c r="M889" i="5" s="1"/>
  <c r="L888" i="5" a="1"/>
  <c r="L888" i="5" s="1"/>
  <c r="M888" i="5" s="1"/>
  <c r="L887" i="5" a="1"/>
  <c r="L887" i="5" s="1"/>
  <c r="M887" i="5" s="1"/>
  <c r="L886" i="5" a="1"/>
  <c r="L886" i="5" s="1"/>
  <c r="M886" i="5" s="1"/>
  <c r="L885" i="5" a="1"/>
  <c r="L885" i="5" s="1"/>
  <c r="M885" i="5" s="1"/>
  <c r="L884" i="5" a="1"/>
  <c r="L884" i="5" s="1"/>
  <c r="M884" i="5" s="1"/>
  <c r="L883" i="5" a="1"/>
  <c r="L883" i="5" s="1"/>
  <c r="M883" i="5" s="1"/>
  <c r="L882" i="5" a="1"/>
  <c r="L882" i="5" s="1"/>
  <c r="M882" i="5" s="1"/>
  <c r="L881" i="5" a="1"/>
  <c r="L881" i="5" s="1"/>
  <c r="M881" i="5" s="1"/>
  <c r="L880" i="5" a="1"/>
  <c r="L880" i="5" s="1"/>
  <c r="M880" i="5" s="1"/>
  <c r="L879" i="5" a="1"/>
  <c r="L879" i="5" s="1"/>
  <c r="M879" i="5" s="1"/>
  <c r="L878" i="5" a="1"/>
  <c r="L878" i="5" s="1"/>
  <c r="M878" i="5" s="1"/>
  <c r="L877" i="5" a="1"/>
  <c r="L877" i="5" s="1"/>
  <c r="M877" i="5" s="1"/>
  <c r="L876" i="5" a="1"/>
  <c r="L876" i="5" s="1"/>
  <c r="M876" i="5" s="1"/>
  <c r="L875" i="5" a="1"/>
  <c r="L875" i="5" s="1"/>
  <c r="M875" i="5" s="1"/>
  <c r="L874" i="5" a="1"/>
  <c r="L874" i="5" s="1"/>
  <c r="M874" i="5" s="1"/>
  <c r="L873" i="5" a="1"/>
  <c r="L873" i="5" s="1"/>
  <c r="M873" i="5" s="1"/>
  <c r="L872" i="5" a="1"/>
  <c r="L872" i="5" s="1"/>
  <c r="M872" i="5" s="1"/>
  <c r="L871" i="5" a="1"/>
  <c r="L871" i="5" s="1"/>
  <c r="M871" i="5" s="1"/>
  <c r="L870" i="5" a="1"/>
  <c r="L870" i="5" s="1"/>
  <c r="M870" i="5" s="1"/>
  <c r="L869" i="5" a="1"/>
  <c r="L869" i="5" s="1"/>
  <c r="M869" i="5" s="1"/>
  <c r="L868" i="5" a="1"/>
  <c r="L868" i="5" s="1"/>
  <c r="M868" i="5" s="1"/>
  <c r="L867" i="5" a="1"/>
  <c r="L867" i="5" s="1"/>
  <c r="M867" i="5" s="1"/>
  <c r="L866" i="5" a="1"/>
  <c r="L866" i="5" s="1"/>
  <c r="M866" i="5" s="1"/>
  <c r="L865" i="5" a="1"/>
  <c r="L865" i="5" s="1"/>
  <c r="M865" i="5" s="1"/>
  <c r="L864" i="5" a="1"/>
  <c r="L864" i="5" s="1"/>
  <c r="M864" i="5" s="1"/>
  <c r="L863" i="5" a="1"/>
  <c r="L863" i="5" s="1"/>
  <c r="M863" i="5" s="1"/>
  <c r="L862" i="5" a="1"/>
  <c r="L862" i="5" s="1"/>
  <c r="M862" i="5" s="1"/>
  <c r="L861" i="5" a="1"/>
  <c r="L861" i="5" s="1"/>
  <c r="M861" i="5" s="1"/>
  <c r="L860" i="5" a="1"/>
  <c r="L860" i="5" s="1"/>
  <c r="M860" i="5" s="1"/>
  <c r="L859" i="5" a="1"/>
  <c r="L859" i="5" s="1"/>
  <c r="M859" i="5" s="1"/>
  <c r="L858" i="5" a="1"/>
  <c r="L858" i="5" s="1"/>
  <c r="M858" i="5" s="1"/>
  <c r="L857" i="5" a="1"/>
  <c r="L857" i="5" s="1"/>
  <c r="M857" i="5" s="1"/>
  <c r="L856" i="5" a="1"/>
  <c r="L856" i="5" s="1"/>
  <c r="M856" i="5" s="1"/>
  <c r="L855" i="5" a="1"/>
  <c r="L855" i="5" s="1"/>
  <c r="M855" i="5" s="1"/>
  <c r="L854" i="5" a="1"/>
  <c r="L854" i="5" s="1"/>
  <c r="M854" i="5" s="1"/>
  <c r="L853" i="5" a="1"/>
  <c r="L853" i="5" s="1"/>
  <c r="M853" i="5" s="1"/>
  <c r="L852" i="5" a="1"/>
  <c r="L852" i="5" s="1"/>
  <c r="M852" i="5" s="1"/>
  <c r="L851" i="5" a="1"/>
  <c r="L851" i="5" s="1"/>
  <c r="M851" i="5" s="1"/>
  <c r="L850" i="5" a="1"/>
  <c r="L850" i="5" s="1"/>
  <c r="M850" i="5" s="1"/>
  <c r="L849" i="5" a="1"/>
  <c r="L849" i="5" s="1"/>
  <c r="M849" i="5" s="1"/>
  <c r="L848" i="5" a="1"/>
  <c r="L848" i="5" s="1"/>
  <c r="M848" i="5" s="1"/>
  <c r="L847" i="5" a="1"/>
  <c r="L847" i="5" s="1"/>
  <c r="M847" i="5" s="1"/>
  <c r="L846" i="5" a="1"/>
  <c r="L846" i="5" s="1"/>
  <c r="M846" i="5" s="1"/>
  <c r="L845" i="5" a="1"/>
  <c r="L845" i="5" s="1"/>
  <c r="M845" i="5" s="1"/>
  <c r="L844" i="5" a="1"/>
  <c r="L844" i="5" s="1"/>
  <c r="M844" i="5" s="1"/>
  <c r="L843" i="5" a="1"/>
  <c r="L843" i="5" s="1"/>
  <c r="M843" i="5" s="1"/>
  <c r="L842" i="5" a="1"/>
  <c r="L842" i="5" s="1"/>
  <c r="M842" i="5" s="1"/>
  <c r="L841" i="5" a="1"/>
  <c r="L841" i="5" s="1"/>
  <c r="M841" i="5" s="1"/>
  <c r="L840" i="5" a="1"/>
  <c r="L840" i="5" s="1"/>
  <c r="M840" i="5" s="1"/>
  <c r="L839" i="5" a="1"/>
  <c r="L839" i="5" s="1"/>
  <c r="M839" i="5" s="1"/>
  <c r="L838" i="5" a="1"/>
  <c r="L838" i="5" s="1"/>
  <c r="M838" i="5" s="1"/>
  <c r="L837" i="5" a="1"/>
  <c r="L837" i="5" s="1"/>
  <c r="M837" i="5" s="1"/>
  <c r="L836" i="5" a="1"/>
  <c r="L836" i="5" s="1"/>
  <c r="M836" i="5" s="1"/>
  <c r="L835" i="5" a="1"/>
  <c r="L835" i="5" s="1"/>
  <c r="M835" i="5" s="1"/>
  <c r="L834" i="5" a="1"/>
  <c r="L834" i="5" s="1"/>
  <c r="M834" i="5" s="1"/>
  <c r="L833" i="5" a="1"/>
  <c r="L833" i="5" s="1"/>
  <c r="M833" i="5" s="1"/>
  <c r="L832" i="5" a="1"/>
  <c r="L832" i="5" s="1"/>
  <c r="M832" i="5" s="1"/>
  <c r="L831" i="5" a="1"/>
  <c r="L831" i="5" s="1"/>
  <c r="M831" i="5" s="1"/>
  <c r="L830" i="5" a="1"/>
  <c r="L830" i="5" s="1"/>
  <c r="M830" i="5" s="1"/>
  <c r="L829" i="5" a="1"/>
  <c r="L829" i="5" s="1"/>
  <c r="M829" i="5" s="1"/>
  <c r="L828" i="5" a="1"/>
  <c r="L828" i="5" s="1"/>
  <c r="M828" i="5" s="1"/>
  <c r="L827" i="5" a="1"/>
  <c r="L827" i="5" s="1"/>
  <c r="M827" i="5" s="1"/>
  <c r="L826" i="5" a="1"/>
  <c r="L826" i="5" s="1"/>
  <c r="M826" i="5" s="1"/>
  <c r="L825" i="5" a="1"/>
  <c r="L825" i="5" s="1"/>
  <c r="M825" i="5" s="1"/>
  <c r="L824" i="5" a="1"/>
  <c r="L824" i="5" s="1"/>
  <c r="M824" i="5" s="1"/>
  <c r="L823" i="5" a="1"/>
  <c r="L823" i="5" s="1"/>
  <c r="M823" i="5" s="1"/>
  <c r="L822" i="5" a="1"/>
  <c r="L822" i="5" s="1"/>
  <c r="M822" i="5" s="1"/>
  <c r="L821" i="5" a="1"/>
  <c r="L821" i="5" s="1"/>
  <c r="M821" i="5" s="1"/>
  <c r="L820" i="5" a="1"/>
  <c r="L820" i="5" s="1"/>
  <c r="M820" i="5" s="1"/>
  <c r="L819" i="5" a="1"/>
  <c r="L819" i="5" s="1"/>
  <c r="M819" i="5" s="1"/>
  <c r="L818" i="5" a="1"/>
  <c r="L818" i="5" s="1"/>
  <c r="M818" i="5" s="1"/>
  <c r="L817" i="5" a="1"/>
  <c r="L817" i="5" s="1"/>
  <c r="M817" i="5" s="1"/>
  <c r="L816" i="5" a="1"/>
  <c r="L816" i="5" s="1"/>
  <c r="M816" i="5" s="1"/>
  <c r="L815" i="5" a="1"/>
  <c r="L815" i="5" s="1"/>
  <c r="M815" i="5" s="1"/>
  <c r="L814" i="5" a="1"/>
  <c r="L814" i="5" s="1"/>
  <c r="M814" i="5" s="1"/>
  <c r="L813" i="5" a="1"/>
  <c r="L813" i="5" s="1"/>
  <c r="M813" i="5" s="1"/>
  <c r="L812" i="5" a="1"/>
  <c r="L812" i="5" s="1"/>
  <c r="M812" i="5" s="1"/>
  <c r="L811" i="5" a="1"/>
  <c r="L811" i="5" s="1"/>
  <c r="M811" i="5" s="1"/>
  <c r="L810" i="5" a="1"/>
  <c r="L810" i="5" s="1"/>
  <c r="M810" i="5" s="1"/>
  <c r="L809" i="5" a="1"/>
  <c r="L809" i="5" s="1"/>
  <c r="M809" i="5" s="1"/>
  <c r="L808" i="5" a="1"/>
  <c r="L808" i="5" s="1"/>
  <c r="M808" i="5" s="1"/>
  <c r="L807" i="5" a="1"/>
  <c r="L807" i="5" s="1"/>
  <c r="M807" i="5" s="1"/>
  <c r="L806" i="5" a="1"/>
  <c r="L806" i="5" s="1"/>
  <c r="M806" i="5" s="1"/>
  <c r="L805" i="5" a="1"/>
  <c r="L805" i="5" s="1"/>
  <c r="M805" i="5" s="1"/>
  <c r="L804" i="5" a="1"/>
  <c r="L804" i="5" s="1"/>
  <c r="M804" i="5" s="1"/>
  <c r="L803" i="5" a="1"/>
  <c r="L803" i="5" s="1"/>
  <c r="M803" i="5" s="1"/>
  <c r="L802" i="5" a="1"/>
  <c r="L802" i="5" s="1"/>
  <c r="M802" i="5" s="1"/>
  <c r="L801" i="5" a="1"/>
  <c r="L801" i="5" s="1"/>
  <c r="M801" i="5" s="1"/>
  <c r="L800" i="5" a="1"/>
  <c r="L800" i="5" s="1"/>
  <c r="M800" i="5" s="1"/>
  <c r="L799" i="5" a="1"/>
  <c r="L799" i="5" s="1"/>
  <c r="M799" i="5" s="1"/>
  <c r="L798" i="5" a="1"/>
  <c r="L798" i="5" s="1"/>
  <c r="M798" i="5" s="1"/>
  <c r="L797" i="5" a="1"/>
  <c r="L797" i="5" s="1"/>
  <c r="M797" i="5" s="1"/>
  <c r="L796" i="5" a="1"/>
  <c r="L796" i="5" s="1"/>
  <c r="M796" i="5" s="1"/>
  <c r="L795" i="5" a="1"/>
  <c r="L795" i="5" s="1"/>
  <c r="M795" i="5" s="1"/>
  <c r="L794" i="5" a="1"/>
  <c r="L794" i="5" s="1"/>
  <c r="M794" i="5" s="1"/>
  <c r="L793" i="5" a="1"/>
  <c r="L793" i="5" s="1"/>
  <c r="M793" i="5" s="1"/>
  <c r="L792" i="5" a="1"/>
  <c r="L792" i="5" s="1"/>
  <c r="M792" i="5" s="1"/>
  <c r="L791" i="5" a="1"/>
  <c r="L791" i="5" s="1"/>
  <c r="M791" i="5" s="1"/>
  <c r="L790" i="5" a="1"/>
  <c r="L790" i="5" s="1"/>
  <c r="M790" i="5" s="1"/>
  <c r="L789" i="5" a="1"/>
  <c r="L789" i="5" s="1"/>
  <c r="M789" i="5" s="1"/>
  <c r="L788" i="5" a="1"/>
  <c r="L788" i="5" s="1"/>
  <c r="M788" i="5" s="1"/>
  <c r="L787" i="5" a="1"/>
  <c r="L787" i="5" s="1"/>
  <c r="M787" i="5" s="1"/>
  <c r="L786" i="5" a="1"/>
  <c r="L786" i="5" s="1"/>
  <c r="M786" i="5" s="1"/>
  <c r="L785" i="5" a="1"/>
  <c r="L785" i="5" s="1"/>
  <c r="M785" i="5" s="1"/>
  <c r="L784" i="5" a="1"/>
  <c r="L784" i="5" s="1"/>
  <c r="M784" i="5" s="1"/>
  <c r="L783" i="5" a="1"/>
  <c r="L783" i="5" s="1"/>
  <c r="M783" i="5" s="1"/>
  <c r="L782" i="5" a="1"/>
  <c r="L782" i="5" s="1"/>
  <c r="M782" i="5" s="1"/>
  <c r="L781" i="5" a="1"/>
  <c r="L781" i="5" s="1"/>
  <c r="M781" i="5" s="1"/>
  <c r="L780" i="5" a="1"/>
  <c r="L780" i="5" s="1"/>
  <c r="M780" i="5" s="1"/>
  <c r="L779" i="5" a="1"/>
  <c r="L779" i="5" s="1"/>
  <c r="M779" i="5" s="1"/>
  <c r="L778" i="5" a="1"/>
  <c r="L778" i="5" s="1"/>
  <c r="M778" i="5" s="1"/>
  <c r="L777" i="5" a="1"/>
  <c r="L777" i="5" s="1"/>
  <c r="M777" i="5" s="1"/>
  <c r="L776" i="5" a="1"/>
  <c r="L776" i="5" s="1"/>
  <c r="M776" i="5" s="1"/>
  <c r="L775" i="5" a="1"/>
  <c r="L775" i="5" s="1"/>
  <c r="M775" i="5" s="1"/>
  <c r="L774" i="5" a="1"/>
  <c r="L774" i="5" s="1"/>
  <c r="M774" i="5" s="1"/>
  <c r="L773" i="5" a="1"/>
  <c r="L773" i="5" s="1"/>
  <c r="M773" i="5" s="1"/>
  <c r="L772" i="5" a="1"/>
  <c r="L772" i="5" s="1"/>
  <c r="M772" i="5" s="1"/>
  <c r="L771" i="5" a="1"/>
  <c r="L771" i="5" s="1"/>
  <c r="M771" i="5" s="1"/>
  <c r="L770" i="5" a="1"/>
  <c r="L770" i="5" s="1"/>
  <c r="M770" i="5" s="1"/>
  <c r="L769" i="5" a="1"/>
  <c r="L769" i="5" s="1"/>
  <c r="M769" i="5" s="1"/>
  <c r="L768" i="5" a="1"/>
  <c r="L768" i="5" s="1"/>
  <c r="M768" i="5" s="1"/>
  <c r="L767" i="5" a="1"/>
  <c r="L767" i="5" s="1"/>
  <c r="M767" i="5" s="1"/>
  <c r="L766" i="5" a="1"/>
  <c r="L766" i="5" s="1"/>
  <c r="M766" i="5" s="1"/>
  <c r="L765" i="5" a="1"/>
  <c r="L765" i="5" s="1"/>
  <c r="M765" i="5" s="1"/>
  <c r="L764" i="5" a="1"/>
  <c r="L764" i="5" s="1"/>
  <c r="M764" i="5" s="1"/>
  <c r="L763" i="5" a="1"/>
  <c r="L763" i="5" s="1"/>
  <c r="M763" i="5" s="1"/>
  <c r="L762" i="5" a="1"/>
  <c r="L762" i="5" s="1"/>
  <c r="M762" i="5" s="1"/>
  <c r="L761" i="5" a="1"/>
  <c r="L761" i="5" s="1"/>
  <c r="M761" i="5" s="1"/>
  <c r="L760" i="5" a="1"/>
  <c r="L760" i="5" s="1"/>
  <c r="M760" i="5" s="1"/>
  <c r="L759" i="5" a="1"/>
  <c r="L759" i="5" s="1"/>
  <c r="M759" i="5" s="1"/>
  <c r="L758" i="5" a="1"/>
  <c r="L758" i="5" s="1"/>
  <c r="M758" i="5" s="1"/>
  <c r="L757" i="5" a="1"/>
  <c r="L757" i="5" s="1"/>
  <c r="M757" i="5" s="1"/>
  <c r="L756" i="5" a="1"/>
  <c r="L756" i="5" s="1"/>
  <c r="M756" i="5" s="1"/>
  <c r="L755" i="5" a="1"/>
  <c r="L755" i="5" s="1"/>
  <c r="M755" i="5" s="1"/>
  <c r="L754" i="5" a="1"/>
  <c r="L754" i="5" s="1"/>
  <c r="M754" i="5" s="1"/>
  <c r="L753" i="5" a="1"/>
  <c r="L753" i="5" s="1"/>
  <c r="M753" i="5" s="1"/>
  <c r="L752" i="5" a="1"/>
  <c r="L752" i="5" s="1"/>
  <c r="M752" i="5" s="1"/>
  <c r="L751" i="5" a="1"/>
  <c r="L751" i="5" s="1"/>
  <c r="M751" i="5" s="1"/>
  <c r="L750" i="5" a="1"/>
  <c r="L750" i="5" s="1"/>
  <c r="M750" i="5" s="1"/>
  <c r="L749" i="5" a="1"/>
  <c r="L749" i="5" s="1"/>
  <c r="M749" i="5" s="1"/>
  <c r="L748" i="5" a="1"/>
  <c r="L748" i="5" s="1"/>
  <c r="M748" i="5" s="1"/>
  <c r="L747" i="5" a="1"/>
  <c r="L747" i="5" s="1"/>
  <c r="M747" i="5" s="1"/>
  <c r="L746" i="5" a="1"/>
  <c r="L746" i="5" s="1"/>
  <c r="M746" i="5" s="1"/>
  <c r="L745" i="5" a="1"/>
  <c r="L745" i="5" s="1"/>
  <c r="M745" i="5" s="1"/>
  <c r="L744" i="5" a="1"/>
  <c r="L744" i="5" s="1"/>
  <c r="M744" i="5" s="1"/>
  <c r="L743" i="5" a="1"/>
  <c r="L743" i="5" s="1"/>
  <c r="M743" i="5" s="1"/>
  <c r="L742" i="5" a="1"/>
  <c r="L742" i="5" s="1"/>
  <c r="M742" i="5" s="1"/>
  <c r="L741" i="5" a="1"/>
  <c r="L741" i="5" s="1"/>
  <c r="M741" i="5" s="1"/>
  <c r="L740" i="5" a="1"/>
  <c r="L740" i="5" s="1"/>
  <c r="M740" i="5" s="1"/>
  <c r="L739" i="5" a="1"/>
  <c r="L739" i="5" s="1"/>
  <c r="M739" i="5" s="1"/>
  <c r="L738" i="5" a="1"/>
  <c r="L738" i="5" s="1"/>
  <c r="M738" i="5" s="1"/>
  <c r="L737" i="5" a="1"/>
  <c r="L737" i="5" s="1"/>
  <c r="M737" i="5" s="1"/>
  <c r="L736" i="5" a="1"/>
  <c r="L736" i="5" s="1"/>
  <c r="M736" i="5" s="1"/>
  <c r="L735" i="5" a="1"/>
  <c r="L735" i="5" s="1"/>
  <c r="M735" i="5" s="1"/>
  <c r="L734" i="5" a="1"/>
  <c r="L734" i="5" s="1"/>
  <c r="M734" i="5" s="1"/>
  <c r="L733" i="5" a="1"/>
  <c r="L733" i="5" s="1"/>
  <c r="M733" i="5" s="1"/>
  <c r="L732" i="5" a="1"/>
  <c r="L732" i="5" s="1"/>
  <c r="M732" i="5" s="1"/>
  <c r="L731" i="5" a="1"/>
  <c r="L731" i="5" s="1"/>
  <c r="M731" i="5" s="1"/>
  <c r="L730" i="5" a="1"/>
  <c r="L730" i="5" s="1"/>
  <c r="M730" i="5" s="1"/>
  <c r="L729" i="5" a="1"/>
  <c r="L729" i="5" s="1"/>
  <c r="M729" i="5" s="1"/>
  <c r="L728" i="5" a="1"/>
  <c r="L728" i="5" s="1"/>
  <c r="M728" i="5" s="1"/>
  <c r="L727" i="5" a="1"/>
  <c r="L727" i="5" s="1"/>
  <c r="M727" i="5" s="1"/>
  <c r="L726" i="5" a="1"/>
  <c r="L726" i="5" s="1"/>
  <c r="M726" i="5" s="1"/>
  <c r="L725" i="5" a="1"/>
  <c r="L725" i="5" s="1"/>
  <c r="M725" i="5" s="1"/>
  <c r="L724" i="5" a="1"/>
  <c r="L724" i="5" s="1"/>
  <c r="M724" i="5" s="1"/>
  <c r="L723" i="5" a="1"/>
  <c r="L723" i="5" s="1"/>
  <c r="M723" i="5" s="1"/>
  <c r="L722" i="5" a="1"/>
  <c r="L722" i="5" s="1"/>
  <c r="M722" i="5" s="1"/>
  <c r="L721" i="5" a="1"/>
  <c r="L721" i="5" s="1"/>
  <c r="M721" i="5" s="1"/>
  <c r="L720" i="5" a="1"/>
  <c r="L720" i="5" s="1"/>
  <c r="M720" i="5" s="1"/>
  <c r="L719" i="5" a="1"/>
  <c r="L719" i="5" s="1"/>
  <c r="M719" i="5" s="1"/>
  <c r="L718" i="5" a="1"/>
  <c r="L718" i="5" s="1"/>
  <c r="M718" i="5" s="1"/>
  <c r="L717" i="5" a="1"/>
  <c r="L717" i="5" s="1"/>
  <c r="M717" i="5" s="1"/>
  <c r="L716" i="5" a="1"/>
  <c r="L716" i="5" s="1"/>
  <c r="M716" i="5" s="1"/>
  <c r="L715" i="5" a="1"/>
  <c r="L715" i="5" s="1"/>
  <c r="M715" i="5" s="1"/>
  <c r="L714" i="5" a="1"/>
  <c r="L714" i="5" s="1"/>
  <c r="M714" i="5" s="1"/>
  <c r="L713" i="5" a="1"/>
  <c r="L713" i="5" s="1"/>
  <c r="M713" i="5" s="1"/>
  <c r="L712" i="5" a="1"/>
  <c r="L712" i="5" s="1"/>
  <c r="M712" i="5" s="1"/>
  <c r="L711" i="5" a="1"/>
  <c r="L711" i="5" s="1"/>
  <c r="M711" i="5" s="1"/>
  <c r="L710" i="5" a="1"/>
  <c r="L710" i="5" s="1"/>
  <c r="M710" i="5" s="1"/>
  <c r="L709" i="5" a="1"/>
  <c r="L709" i="5" s="1"/>
  <c r="M709" i="5" s="1"/>
  <c r="L708" i="5" a="1"/>
  <c r="L708" i="5" s="1"/>
  <c r="M708" i="5" s="1"/>
  <c r="L707" i="5" a="1"/>
  <c r="L707" i="5" s="1"/>
  <c r="M707" i="5" s="1"/>
  <c r="L706" i="5" a="1"/>
  <c r="L706" i="5" s="1"/>
  <c r="M706" i="5" s="1"/>
  <c r="L705" i="5" a="1"/>
  <c r="L705" i="5" s="1"/>
  <c r="M705" i="5" s="1"/>
  <c r="L704" i="5" a="1"/>
  <c r="L704" i="5" s="1"/>
  <c r="M704" i="5" s="1"/>
  <c r="L703" i="5" a="1"/>
  <c r="L703" i="5" s="1"/>
  <c r="M703" i="5" s="1"/>
  <c r="L702" i="5" a="1"/>
  <c r="L702" i="5" s="1"/>
  <c r="M702" i="5" s="1"/>
  <c r="L701" i="5" a="1"/>
  <c r="L701" i="5" s="1"/>
  <c r="M701" i="5" s="1"/>
  <c r="L700" i="5" a="1"/>
  <c r="L700" i="5" s="1"/>
  <c r="M700" i="5" s="1"/>
  <c r="L699" i="5" a="1"/>
  <c r="L699" i="5" s="1"/>
  <c r="M699" i="5" s="1"/>
  <c r="L698" i="5" a="1"/>
  <c r="L698" i="5" s="1"/>
  <c r="M698" i="5" s="1"/>
  <c r="L697" i="5" a="1"/>
  <c r="L697" i="5" s="1"/>
  <c r="M697" i="5" s="1"/>
  <c r="L696" i="5" a="1"/>
  <c r="L696" i="5" s="1"/>
  <c r="M696" i="5" s="1"/>
  <c r="L695" i="5" a="1"/>
  <c r="L695" i="5" s="1"/>
  <c r="M695" i="5" s="1"/>
  <c r="L694" i="5" a="1"/>
  <c r="L694" i="5" s="1"/>
  <c r="M694" i="5" s="1"/>
  <c r="L693" i="5" a="1"/>
  <c r="L693" i="5" s="1"/>
  <c r="M693" i="5" s="1"/>
  <c r="L692" i="5" a="1"/>
  <c r="L692" i="5" s="1"/>
  <c r="M692" i="5" s="1"/>
  <c r="L691" i="5" a="1"/>
  <c r="L691" i="5" s="1"/>
  <c r="M691" i="5" s="1"/>
  <c r="L690" i="5" a="1"/>
  <c r="L690" i="5" s="1"/>
  <c r="M690" i="5" s="1"/>
  <c r="L689" i="5" a="1"/>
  <c r="L689" i="5" s="1"/>
  <c r="M689" i="5" s="1"/>
  <c r="L688" i="5" a="1"/>
  <c r="L688" i="5" s="1"/>
  <c r="M688" i="5" s="1"/>
  <c r="L687" i="5" a="1"/>
  <c r="L687" i="5" s="1"/>
  <c r="M687" i="5" s="1"/>
  <c r="L686" i="5" a="1"/>
  <c r="L686" i="5" s="1"/>
  <c r="M686" i="5" s="1"/>
  <c r="L685" i="5" a="1"/>
  <c r="L685" i="5" s="1"/>
  <c r="M685" i="5" s="1"/>
  <c r="L684" i="5" a="1"/>
  <c r="L684" i="5" s="1"/>
  <c r="M684" i="5" s="1"/>
  <c r="L683" i="5" a="1"/>
  <c r="L683" i="5" s="1"/>
  <c r="M683" i="5" s="1"/>
  <c r="L682" i="5" a="1"/>
  <c r="L682" i="5" s="1"/>
  <c r="M682" i="5" s="1"/>
  <c r="L681" i="5" a="1"/>
  <c r="L681" i="5" s="1"/>
  <c r="M681" i="5" s="1"/>
  <c r="L680" i="5" a="1"/>
  <c r="L680" i="5" s="1"/>
  <c r="M680" i="5" s="1"/>
  <c r="L679" i="5" a="1"/>
  <c r="L679" i="5" s="1"/>
  <c r="M679" i="5" s="1"/>
  <c r="L678" i="5" a="1"/>
  <c r="L678" i="5" s="1"/>
  <c r="M678" i="5" s="1"/>
  <c r="L677" i="5" a="1"/>
  <c r="L677" i="5" s="1"/>
  <c r="M677" i="5" s="1"/>
  <c r="L676" i="5" a="1"/>
  <c r="L676" i="5" s="1"/>
  <c r="M676" i="5" s="1"/>
  <c r="L675" i="5" a="1"/>
  <c r="L675" i="5" s="1"/>
  <c r="M675" i="5" s="1"/>
  <c r="L674" i="5" a="1"/>
  <c r="L674" i="5" s="1"/>
  <c r="M674" i="5" s="1"/>
  <c r="L673" i="5" a="1"/>
  <c r="L673" i="5" s="1"/>
  <c r="M673" i="5" s="1"/>
  <c r="L672" i="5" a="1"/>
  <c r="L672" i="5" s="1"/>
  <c r="M672" i="5" s="1"/>
  <c r="L671" i="5" a="1"/>
  <c r="L671" i="5" s="1"/>
  <c r="M671" i="5" s="1"/>
  <c r="L670" i="5" a="1"/>
  <c r="L670" i="5" s="1"/>
  <c r="M670" i="5" s="1"/>
  <c r="L669" i="5" a="1"/>
  <c r="L669" i="5" s="1"/>
  <c r="M669" i="5" s="1"/>
  <c r="L668" i="5" a="1"/>
  <c r="L668" i="5" s="1"/>
  <c r="M668" i="5" s="1"/>
  <c r="L667" i="5" a="1"/>
  <c r="L667" i="5" s="1"/>
  <c r="M667" i="5" s="1"/>
  <c r="L666" i="5" a="1"/>
  <c r="L666" i="5" s="1"/>
  <c r="M666" i="5" s="1"/>
  <c r="L665" i="5" a="1"/>
  <c r="L665" i="5" s="1"/>
  <c r="M665" i="5" s="1"/>
  <c r="L664" i="5" a="1"/>
  <c r="L664" i="5" s="1"/>
  <c r="M664" i="5" s="1"/>
  <c r="L663" i="5" a="1"/>
  <c r="L663" i="5" s="1"/>
  <c r="M663" i="5" s="1"/>
  <c r="L662" i="5" a="1"/>
  <c r="L662" i="5" s="1"/>
  <c r="M662" i="5" s="1"/>
  <c r="L661" i="5" a="1"/>
  <c r="L661" i="5" s="1"/>
  <c r="M661" i="5" s="1"/>
  <c r="L660" i="5" a="1"/>
  <c r="L660" i="5" s="1"/>
  <c r="M660" i="5" s="1"/>
  <c r="L659" i="5" a="1"/>
  <c r="L659" i="5" s="1"/>
  <c r="M659" i="5" s="1"/>
  <c r="L658" i="5" a="1"/>
  <c r="L658" i="5" s="1"/>
  <c r="M658" i="5" s="1"/>
  <c r="L657" i="5" a="1"/>
  <c r="L657" i="5" s="1"/>
  <c r="M657" i="5" s="1"/>
  <c r="L656" i="5" a="1"/>
  <c r="L656" i="5" s="1"/>
  <c r="M656" i="5" s="1"/>
  <c r="L655" i="5" a="1"/>
  <c r="L655" i="5" s="1"/>
  <c r="M655" i="5" s="1"/>
  <c r="L654" i="5" a="1"/>
  <c r="L654" i="5" s="1"/>
  <c r="M654" i="5" s="1"/>
  <c r="L653" i="5" a="1"/>
  <c r="L653" i="5" s="1"/>
  <c r="M653" i="5" s="1"/>
  <c r="L652" i="5" a="1"/>
  <c r="L652" i="5" s="1"/>
  <c r="M652" i="5" s="1"/>
  <c r="L651" i="5" a="1"/>
  <c r="L651" i="5" s="1"/>
  <c r="M651" i="5" s="1"/>
  <c r="L650" i="5" a="1"/>
  <c r="L650" i="5" s="1"/>
  <c r="M650" i="5" s="1"/>
  <c r="L649" i="5" a="1"/>
  <c r="L649" i="5" s="1"/>
  <c r="M649" i="5" s="1"/>
  <c r="L648" i="5" a="1"/>
  <c r="L648" i="5" s="1"/>
  <c r="M648" i="5" s="1"/>
  <c r="L647" i="5" a="1"/>
  <c r="L647" i="5" s="1"/>
  <c r="M647" i="5" s="1"/>
  <c r="L646" i="5" a="1"/>
  <c r="L646" i="5" s="1"/>
  <c r="M646" i="5" s="1"/>
  <c r="L645" i="5" a="1"/>
  <c r="L645" i="5" s="1"/>
  <c r="M645" i="5" s="1"/>
  <c r="L644" i="5" a="1"/>
  <c r="L644" i="5" s="1"/>
  <c r="M644" i="5" s="1"/>
  <c r="L643" i="5" a="1"/>
  <c r="L643" i="5" s="1"/>
  <c r="M643" i="5" s="1"/>
  <c r="L642" i="5" a="1"/>
  <c r="L642" i="5" s="1"/>
  <c r="M642" i="5" s="1"/>
  <c r="L641" i="5" a="1"/>
  <c r="L641" i="5" s="1"/>
  <c r="M641" i="5" s="1"/>
  <c r="L640" i="5" a="1"/>
  <c r="L640" i="5" s="1"/>
  <c r="M640" i="5" s="1"/>
  <c r="L639" i="5" a="1"/>
  <c r="L639" i="5" s="1"/>
  <c r="M639" i="5" s="1"/>
  <c r="L638" i="5" a="1"/>
  <c r="L638" i="5" s="1"/>
  <c r="M638" i="5" s="1"/>
  <c r="L637" i="5" a="1"/>
  <c r="L637" i="5" s="1"/>
  <c r="M637" i="5" s="1"/>
  <c r="L636" i="5" a="1"/>
  <c r="L636" i="5" s="1"/>
  <c r="M636" i="5" s="1"/>
  <c r="L635" i="5" a="1"/>
  <c r="L635" i="5" s="1"/>
  <c r="M635" i="5" s="1"/>
  <c r="L634" i="5" a="1"/>
  <c r="L634" i="5" s="1"/>
  <c r="M634" i="5" s="1"/>
  <c r="L633" i="5" a="1"/>
  <c r="L633" i="5" s="1"/>
  <c r="M633" i="5" s="1"/>
  <c r="L632" i="5" a="1"/>
  <c r="L632" i="5" s="1"/>
  <c r="M632" i="5" s="1"/>
  <c r="L631" i="5" a="1"/>
  <c r="L631" i="5" s="1"/>
  <c r="M631" i="5" s="1"/>
  <c r="L630" i="5" a="1"/>
  <c r="L630" i="5" s="1"/>
  <c r="M630" i="5" s="1"/>
  <c r="L629" i="5" a="1"/>
  <c r="L629" i="5" s="1"/>
  <c r="M629" i="5" s="1"/>
  <c r="L628" i="5" a="1"/>
  <c r="L628" i="5" s="1"/>
  <c r="M628" i="5" s="1"/>
  <c r="L627" i="5" a="1"/>
  <c r="L627" i="5" s="1"/>
  <c r="M627" i="5" s="1"/>
  <c r="L626" i="5" a="1"/>
  <c r="L626" i="5" s="1"/>
  <c r="M626" i="5" s="1"/>
  <c r="L625" i="5" a="1"/>
  <c r="L625" i="5" s="1"/>
  <c r="M625" i="5" s="1"/>
  <c r="L624" i="5" a="1"/>
  <c r="L624" i="5" s="1"/>
  <c r="M624" i="5" s="1"/>
  <c r="L623" i="5" a="1"/>
  <c r="L623" i="5" s="1"/>
  <c r="M623" i="5" s="1"/>
  <c r="L622" i="5" a="1"/>
  <c r="L622" i="5" s="1"/>
  <c r="M622" i="5" s="1"/>
  <c r="L621" i="5" a="1"/>
  <c r="L621" i="5" s="1"/>
  <c r="M621" i="5" s="1"/>
  <c r="L620" i="5" a="1"/>
  <c r="L620" i="5" s="1"/>
  <c r="M620" i="5" s="1"/>
  <c r="L619" i="5" a="1"/>
  <c r="L619" i="5" s="1"/>
  <c r="M619" i="5" s="1"/>
  <c r="L618" i="5" a="1"/>
  <c r="L618" i="5" s="1"/>
  <c r="M618" i="5" s="1"/>
  <c r="L617" i="5" a="1"/>
  <c r="L617" i="5" s="1"/>
  <c r="M617" i="5" s="1"/>
  <c r="L616" i="5" a="1"/>
  <c r="L616" i="5" s="1"/>
  <c r="M616" i="5" s="1"/>
  <c r="L615" i="5" a="1"/>
  <c r="L615" i="5" s="1"/>
  <c r="M615" i="5" s="1"/>
  <c r="L614" i="5" a="1"/>
  <c r="L614" i="5" s="1"/>
  <c r="M614" i="5" s="1"/>
  <c r="L613" i="5" a="1"/>
  <c r="L613" i="5" s="1"/>
  <c r="M613" i="5" s="1"/>
  <c r="L612" i="5" a="1"/>
  <c r="L612" i="5" s="1"/>
  <c r="M612" i="5" s="1"/>
  <c r="L611" i="5" a="1"/>
  <c r="L611" i="5" s="1"/>
  <c r="M611" i="5" s="1"/>
  <c r="L610" i="5" a="1"/>
  <c r="L610" i="5" s="1"/>
  <c r="M610" i="5" s="1"/>
  <c r="L609" i="5" a="1"/>
  <c r="L609" i="5" s="1"/>
  <c r="M609" i="5" s="1"/>
  <c r="L608" i="5" a="1"/>
  <c r="L608" i="5" s="1"/>
  <c r="M608" i="5" s="1"/>
  <c r="L607" i="5" a="1"/>
  <c r="L607" i="5" s="1"/>
  <c r="M607" i="5" s="1"/>
  <c r="L606" i="5" a="1"/>
  <c r="L606" i="5" s="1"/>
  <c r="M606" i="5" s="1"/>
  <c r="L605" i="5" a="1"/>
  <c r="L605" i="5" s="1"/>
  <c r="M605" i="5" s="1"/>
  <c r="L604" i="5" a="1"/>
  <c r="L604" i="5" s="1"/>
  <c r="M604" i="5" s="1"/>
  <c r="L603" i="5" a="1"/>
  <c r="L603" i="5" s="1"/>
  <c r="M603" i="5" s="1"/>
  <c r="L602" i="5" a="1"/>
  <c r="L602" i="5" s="1"/>
  <c r="M602" i="5" s="1"/>
  <c r="L601" i="5" a="1"/>
  <c r="L601" i="5" s="1"/>
  <c r="M601" i="5" s="1"/>
  <c r="L600" i="5" a="1"/>
  <c r="L600" i="5" s="1"/>
  <c r="M600" i="5" s="1"/>
  <c r="L599" i="5" a="1"/>
  <c r="L599" i="5" s="1"/>
  <c r="M599" i="5" s="1"/>
  <c r="L598" i="5" a="1"/>
  <c r="L598" i="5" s="1"/>
  <c r="M598" i="5" s="1"/>
  <c r="L597" i="5" a="1"/>
  <c r="L597" i="5" s="1"/>
  <c r="M597" i="5" s="1"/>
  <c r="L596" i="5" a="1"/>
  <c r="L596" i="5" s="1"/>
  <c r="M596" i="5" s="1"/>
  <c r="L595" i="5" a="1"/>
  <c r="L595" i="5" s="1"/>
  <c r="M595" i="5" s="1"/>
  <c r="L594" i="5" a="1"/>
  <c r="L594" i="5" s="1"/>
  <c r="M594" i="5" s="1"/>
  <c r="L593" i="5" a="1"/>
  <c r="L593" i="5" s="1"/>
  <c r="M593" i="5" s="1"/>
  <c r="L592" i="5" a="1"/>
  <c r="L592" i="5" s="1"/>
  <c r="M592" i="5" s="1"/>
  <c r="L591" i="5" a="1"/>
  <c r="L591" i="5" s="1"/>
  <c r="M591" i="5" s="1"/>
  <c r="L590" i="5" a="1"/>
  <c r="L590" i="5" s="1"/>
  <c r="M590" i="5" s="1"/>
  <c r="L589" i="5" a="1"/>
  <c r="L589" i="5" s="1"/>
  <c r="M589" i="5" s="1"/>
  <c r="L588" i="5" a="1"/>
  <c r="L588" i="5" s="1"/>
  <c r="M588" i="5" s="1"/>
  <c r="L587" i="5" a="1"/>
  <c r="L587" i="5" s="1"/>
  <c r="M587" i="5" s="1"/>
  <c r="L586" i="5" a="1"/>
  <c r="L586" i="5" s="1"/>
  <c r="M586" i="5" s="1"/>
  <c r="L585" i="5" a="1"/>
  <c r="L585" i="5" s="1"/>
  <c r="M585" i="5" s="1"/>
  <c r="L584" i="5" a="1"/>
  <c r="L584" i="5" s="1"/>
  <c r="M584" i="5" s="1"/>
  <c r="L583" i="5" a="1"/>
  <c r="L583" i="5" s="1"/>
  <c r="M583" i="5" s="1"/>
  <c r="L582" i="5" a="1"/>
  <c r="L582" i="5" s="1"/>
  <c r="M582" i="5" s="1"/>
  <c r="L581" i="5" a="1"/>
  <c r="L581" i="5" s="1"/>
  <c r="M581" i="5" s="1"/>
  <c r="L580" i="5" a="1"/>
  <c r="L580" i="5" s="1"/>
  <c r="M580" i="5" s="1"/>
  <c r="L579" i="5" a="1"/>
  <c r="L579" i="5" s="1"/>
  <c r="M579" i="5" s="1"/>
  <c r="L578" i="5" a="1"/>
  <c r="L578" i="5" s="1"/>
  <c r="M578" i="5" s="1"/>
  <c r="L577" i="5" a="1"/>
  <c r="L577" i="5" s="1"/>
  <c r="M577" i="5" s="1"/>
  <c r="L576" i="5" a="1"/>
  <c r="L576" i="5" s="1"/>
  <c r="M576" i="5" s="1"/>
  <c r="L575" i="5" a="1"/>
  <c r="L575" i="5" s="1"/>
  <c r="M575" i="5" s="1"/>
  <c r="L574" i="5" a="1"/>
  <c r="L574" i="5" s="1"/>
  <c r="M574" i="5" s="1"/>
  <c r="L573" i="5" a="1"/>
  <c r="L573" i="5" s="1"/>
  <c r="M573" i="5" s="1"/>
  <c r="L572" i="5" a="1"/>
  <c r="L572" i="5" s="1"/>
  <c r="M572" i="5" s="1"/>
  <c r="L571" i="5" a="1"/>
  <c r="L571" i="5" s="1"/>
  <c r="M571" i="5" s="1"/>
  <c r="L570" i="5" a="1"/>
  <c r="L570" i="5" s="1"/>
  <c r="M570" i="5" s="1"/>
  <c r="L569" i="5" a="1"/>
  <c r="L569" i="5" s="1"/>
  <c r="M569" i="5" s="1"/>
  <c r="L568" i="5" a="1"/>
  <c r="L568" i="5" s="1"/>
  <c r="M568" i="5" s="1"/>
  <c r="L567" i="5" a="1"/>
  <c r="L567" i="5" s="1"/>
  <c r="M567" i="5" s="1"/>
  <c r="L566" i="5" a="1"/>
  <c r="L566" i="5" s="1"/>
  <c r="M566" i="5" s="1"/>
  <c r="L565" i="5" a="1"/>
  <c r="L565" i="5" s="1"/>
  <c r="M565" i="5" s="1"/>
  <c r="L564" i="5" a="1"/>
  <c r="L564" i="5" s="1"/>
  <c r="M564" i="5" s="1"/>
  <c r="L563" i="5" a="1"/>
  <c r="L563" i="5" s="1"/>
  <c r="M563" i="5" s="1"/>
  <c r="L562" i="5" a="1"/>
  <c r="L562" i="5" s="1"/>
  <c r="M562" i="5" s="1"/>
  <c r="L561" i="5" a="1"/>
  <c r="L561" i="5" s="1"/>
  <c r="M561" i="5" s="1"/>
  <c r="L560" i="5" a="1"/>
  <c r="L560" i="5" s="1"/>
  <c r="M560" i="5" s="1"/>
  <c r="L559" i="5" a="1"/>
  <c r="L559" i="5" s="1"/>
  <c r="M559" i="5" s="1"/>
  <c r="L558" i="5" a="1"/>
  <c r="L558" i="5" s="1"/>
  <c r="M558" i="5" s="1"/>
  <c r="L557" i="5" a="1"/>
  <c r="L557" i="5" s="1"/>
  <c r="M557" i="5" s="1"/>
  <c r="L556" i="5" a="1"/>
  <c r="L556" i="5" s="1"/>
  <c r="M556" i="5" s="1"/>
  <c r="L555" i="5" a="1"/>
  <c r="L555" i="5" s="1"/>
  <c r="M555" i="5" s="1"/>
  <c r="L554" i="5" a="1"/>
  <c r="L554" i="5" s="1"/>
  <c r="M554" i="5" s="1"/>
  <c r="L553" i="5" a="1"/>
  <c r="L553" i="5" s="1"/>
  <c r="M553" i="5" s="1"/>
  <c r="L552" i="5" a="1"/>
  <c r="L552" i="5" s="1"/>
  <c r="M552" i="5" s="1"/>
  <c r="L551" i="5" a="1"/>
  <c r="L551" i="5" s="1"/>
  <c r="M551" i="5" s="1"/>
  <c r="L550" i="5" a="1"/>
  <c r="L550" i="5" s="1"/>
  <c r="M550" i="5" s="1"/>
  <c r="L549" i="5" a="1"/>
  <c r="L549" i="5" s="1"/>
  <c r="M549" i="5" s="1"/>
  <c r="L548" i="5" a="1"/>
  <c r="L548" i="5" s="1"/>
  <c r="M548" i="5" s="1"/>
  <c r="L547" i="5" a="1"/>
  <c r="L547" i="5" s="1"/>
  <c r="M547" i="5" s="1"/>
  <c r="L546" i="5" a="1"/>
  <c r="L546" i="5" s="1"/>
  <c r="M546" i="5" s="1"/>
  <c r="L545" i="5" a="1"/>
  <c r="L545" i="5" s="1"/>
  <c r="M545" i="5" s="1"/>
  <c r="L544" i="5" a="1"/>
  <c r="L544" i="5" s="1"/>
  <c r="M544" i="5" s="1"/>
  <c r="L543" i="5" a="1"/>
  <c r="L543" i="5" s="1"/>
  <c r="M543" i="5" s="1"/>
  <c r="L542" i="5" a="1"/>
  <c r="L542" i="5" s="1"/>
  <c r="M542" i="5" s="1"/>
  <c r="L541" i="5" a="1"/>
  <c r="L541" i="5" s="1"/>
  <c r="M541" i="5" s="1"/>
  <c r="L540" i="5" a="1"/>
  <c r="L540" i="5" s="1"/>
  <c r="M540" i="5" s="1"/>
  <c r="L539" i="5" a="1"/>
  <c r="L539" i="5" s="1"/>
  <c r="M539" i="5" s="1"/>
  <c r="L538" i="5" a="1"/>
  <c r="L538" i="5" s="1"/>
  <c r="M538" i="5" s="1"/>
  <c r="L537" i="5" a="1"/>
  <c r="L537" i="5" s="1"/>
  <c r="M537" i="5" s="1"/>
  <c r="L536" i="5" a="1"/>
  <c r="L536" i="5" s="1"/>
  <c r="M536" i="5" s="1"/>
  <c r="L535" i="5" a="1"/>
  <c r="L535" i="5" s="1"/>
  <c r="M535" i="5" s="1"/>
  <c r="L534" i="5" a="1"/>
  <c r="L534" i="5" s="1"/>
  <c r="M534" i="5" s="1"/>
  <c r="L533" i="5" a="1"/>
  <c r="L533" i="5" s="1"/>
  <c r="M533" i="5" s="1"/>
  <c r="L532" i="5" a="1"/>
  <c r="L532" i="5" s="1"/>
  <c r="M532" i="5" s="1"/>
  <c r="L531" i="5" a="1"/>
  <c r="L531" i="5" s="1"/>
  <c r="M531" i="5" s="1"/>
  <c r="L530" i="5" a="1"/>
  <c r="L530" i="5" s="1"/>
  <c r="M530" i="5" s="1"/>
  <c r="L529" i="5" a="1"/>
  <c r="L529" i="5" s="1"/>
  <c r="M529" i="5" s="1"/>
  <c r="L528" i="5" a="1"/>
  <c r="L528" i="5" s="1"/>
  <c r="M528" i="5" s="1"/>
  <c r="L527" i="5" a="1"/>
  <c r="L527" i="5" s="1"/>
  <c r="M527" i="5" s="1"/>
  <c r="L526" i="5" a="1"/>
  <c r="L526" i="5" s="1"/>
  <c r="M526" i="5" s="1"/>
  <c r="L525" i="5" a="1"/>
  <c r="L525" i="5" s="1"/>
  <c r="M525" i="5" s="1"/>
  <c r="L524" i="5" a="1"/>
  <c r="L524" i="5" s="1"/>
  <c r="M524" i="5" s="1"/>
  <c r="L523" i="5" a="1"/>
  <c r="L523" i="5" s="1"/>
  <c r="M523" i="5" s="1"/>
  <c r="L522" i="5" a="1"/>
  <c r="L522" i="5" s="1"/>
  <c r="M522" i="5" s="1"/>
  <c r="L521" i="5" a="1"/>
  <c r="L521" i="5" s="1"/>
  <c r="M521" i="5" s="1"/>
  <c r="L520" i="5" a="1"/>
  <c r="L520" i="5" s="1"/>
  <c r="M520" i="5" s="1"/>
  <c r="L519" i="5" a="1"/>
  <c r="L519" i="5" s="1"/>
  <c r="M519" i="5" s="1"/>
  <c r="L518" i="5" a="1"/>
  <c r="L518" i="5" s="1"/>
  <c r="M518" i="5" s="1"/>
  <c r="L517" i="5" a="1"/>
  <c r="L517" i="5" s="1"/>
  <c r="M517" i="5" s="1"/>
  <c r="L516" i="5" a="1"/>
  <c r="L516" i="5" s="1"/>
  <c r="M516" i="5" s="1"/>
  <c r="L515" i="5" a="1"/>
  <c r="L515" i="5" s="1"/>
  <c r="M515" i="5" s="1"/>
  <c r="L514" i="5" a="1"/>
  <c r="L514" i="5" s="1"/>
  <c r="M514" i="5" s="1"/>
  <c r="L513" i="5" a="1"/>
  <c r="L513" i="5" s="1"/>
  <c r="M513" i="5" s="1"/>
  <c r="L512" i="5" a="1"/>
  <c r="L512" i="5" s="1"/>
  <c r="M512" i="5" s="1"/>
  <c r="L511" i="5" a="1"/>
  <c r="L511" i="5" s="1"/>
  <c r="M511" i="5" s="1"/>
  <c r="L510" i="5" a="1"/>
  <c r="L510" i="5" s="1"/>
  <c r="M510" i="5" s="1"/>
  <c r="L509" i="5" a="1"/>
  <c r="L509" i="5" s="1"/>
  <c r="M509" i="5" s="1"/>
  <c r="L508" i="5" a="1"/>
  <c r="L508" i="5" s="1"/>
  <c r="M508" i="5" s="1"/>
  <c r="L507" i="5" a="1"/>
  <c r="L507" i="5" s="1"/>
  <c r="M507" i="5" s="1"/>
  <c r="L506" i="5" a="1"/>
  <c r="L506" i="5" s="1"/>
  <c r="M506" i="5" s="1"/>
  <c r="L505" i="5" a="1"/>
  <c r="L505" i="5" s="1"/>
  <c r="M505" i="5" s="1"/>
  <c r="L504" i="5" a="1"/>
  <c r="L504" i="5" s="1"/>
  <c r="M504" i="5" s="1"/>
  <c r="L503" i="5" a="1"/>
  <c r="L503" i="5" s="1"/>
  <c r="M503" i="5" s="1"/>
  <c r="L502" i="5" a="1"/>
  <c r="L502" i="5" s="1"/>
  <c r="M502" i="5" s="1"/>
  <c r="L501" i="5" a="1"/>
  <c r="L501" i="5" s="1"/>
  <c r="M501" i="5" s="1"/>
  <c r="L500" i="5" a="1"/>
  <c r="L500" i="5" s="1"/>
  <c r="M500" i="5" s="1"/>
  <c r="L499" i="5" a="1"/>
  <c r="L499" i="5" s="1"/>
  <c r="M499" i="5" s="1"/>
  <c r="L498" i="5" a="1"/>
  <c r="L498" i="5" s="1"/>
  <c r="M498" i="5" s="1"/>
  <c r="L497" i="5" a="1"/>
  <c r="L497" i="5" s="1"/>
  <c r="M497" i="5" s="1"/>
  <c r="L496" i="5" a="1"/>
  <c r="L496" i="5" s="1"/>
  <c r="M496" i="5" s="1"/>
  <c r="L495" i="5" a="1"/>
  <c r="L495" i="5" s="1"/>
  <c r="M495" i="5" s="1"/>
  <c r="L494" i="5" a="1"/>
  <c r="L494" i="5" s="1"/>
  <c r="M494" i="5" s="1"/>
  <c r="L493" i="5" a="1"/>
  <c r="L493" i="5" s="1"/>
  <c r="M493" i="5" s="1"/>
  <c r="L492" i="5" a="1"/>
  <c r="L492" i="5" s="1"/>
  <c r="M492" i="5" s="1"/>
  <c r="L491" i="5" a="1"/>
  <c r="L491" i="5" s="1"/>
  <c r="M491" i="5" s="1"/>
  <c r="L490" i="5" a="1"/>
  <c r="L490" i="5" s="1"/>
  <c r="M490" i="5" s="1"/>
  <c r="L489" i="5" a="1"/>
  <c r="L489" i="5" s="1"/>
  <c r="M489" i="5" s="1"/>
  <c r="L488" i="5" a="1"/>
  <c r="L488" i="5" s="1"/>
  <c r="M488" i="5" s="1"/>
  <c r="L487" i="5" a="1"/>
  <c r="L487" i="5" s="1"/>
  <c r="M487" i="5" s="1"/>
  <c r="L486" i="5" a="1"/>
  <c r="L486" i="5" s="1"/>
  <c r="M486" i="5" s="1"/>
  <c r="L485" i="5" a="1"/>
  <c r="L485" i="5" s="1"/>
  <c r="M485" i="5" s="1"/>
  <c r="L484" i="5" a="1"/>
  <c r="L484" i="5" s="1"/>
  <c r="M484" i="5" s="1"/>
  <c r="L483" i="5" a="1"/>
  <c r="L483" i="5" s="1"/>
  <c r="M483" i="5" s="1"/>
  <c r="L482" i="5" a="1"/>
  <c r="L482" i="5" s="1"/>
  <c r="M482" i="5" s="1"/>
  <c r="L481" i="5" a="1"/>
  <c r="L481" i="5" s="1"/>
  <c r="M481" i="5" s="1"/>
  <c r="L480" i="5" a="1"/>
  <c r="L480" i="5" s="1"/>
  <c r="M480" i="5" s="1"/>
  <c r="L479" i="5" a="1"/>
  <c r="L479" i="5" s="1"/>
  <c r="M479" i="5" s="1"/>
  <c r="L478" i="5" a="1"/>
  <c r="L478" i="5" s="1"/>
  <c r="M478" i="5" s="1"/>
  <c r="L477" i="5" a="1"/>
  <c r="L477" i="5" s="1"/>
  <c r="M477" i="5" s="1"/>
  <c r="L476" i="5" a="1"/>
  <c r="L476" i="5" s="1"/>
  <c r="M476" i="5" s="1"/>
  <c r="L475" i="5" a="1"/>
  <c r="L475" i="5" s="1"/>
  <c r="M475" i="5" s="1"/>
  <c r="L474" i="5" a="1"/>
  <c r="L474" i="5" s="1"/>
  <c r="M474" i="5" s="1"/>
  <c r="L473" i="5" a="1"/>
  <c r="L473" i="5" s="1"/>
  <c r="M473" i="5" s="1"/>
  <c r="L472" i="5" a="1"/>
  <c r="L472" i="5" s="1"/>
  <c r="M472" i="5" s="1"/>
  <c r="L471" i="5" a="1"/>
  <c r="L471" i="5" s="1"/>
  <c r="M471" i="5" s="1"/>
  <c r="L470" i="5" a="1"/>
  <c r="L470" i="5" s="1"/>
  <c r="M470" i="5" s="1"/>
  <c r="L469" i="5" a="1"/>
  <c r="L469" i="5" s="1"/>
  <c r="M469" i="5" s="1"/>
  <c r="L468" i="5" a="1"/>
  <c r="L468" i="5" s="1"/>
  <c r="M468" i="5" s="1"/>
  <c r="L467" i="5" a="1"/>
  <c r="L467" i="5" s="1"/>
  <c r="M467" i="5" s="1"/>
  <c r="L466" i="5" a="1"/>
  <c r="L466" i="5" s="1"/>
  <c r="M466" i="5" s="1"/>
  <c r="L465" i="5" a="1"/>
  <c r="L465" i="5" s="1"/>
  <c r="M465" i="5" s="1"/>
  <c r="L464" i="5" a="1"/>
  <c r="L464" i="5" s="1"/>
  <c r="M464" i="5" s="1"/>
  <c r="L463" i="5" a="1"/>
  <c r="L463" i="5" s="1"/>
  <c r="M463" i="5" s="1"/>
  <c r="L462" i="5" a="1"/>
  <c r="L462" i="5" s="1"/>
  <c r="M462" i="5" s="1"/>
  <c r="L461" i="5" a="1"/>
  <c r="L461" i="5" s="1"/>
  <c r="M461" i="5" s="1"/>
  <c r="L460" i="5" a="1"/>
  <c r="L460" i="5" s="1"/>
  <c r="M460" i="5" s="1"/>
  <c r="L459" i="5" a="1"/>
  <c r="L459" i="5" s="1"/>
  <c r="M459" i="5" s="1"/>
  <c r="L458" i="5" a="1"/>
  <c r="L458" i="5" s="1"/>
  <c r="M458" i="5" s="1"/>
  <c r="L457" i="5" a="1"/>
  <c r="L457" i="5" s="1"/>
  <c r="M457" i="5" s="1"/>
  <c r="L456" i="5" a="1"/>
  <c r="L456" i="5" s="1"/>
  <c r="M456" i="5" s="1"/>
  <c r="L455" i="5" a="1"/>
  <c r="L455" i="5" s="1"/>
  <c r="M455" i="5" s="1"/>
  <c r="L454" i="5" a="1"/>
  <c r="L454" i="5" s="1"/>
  <c r="M454" i="5" s="1"/>
  <c r="L453" i="5" a="1"/>
  <c r="L453" i="5" s="1"/>
  <c r="M453" i="5" s="1"/>
  <c r="L452" i="5" a="1"/>
  <c r="L452" i="5" s="1"/>
  <c r="M452" i="5" s="1"/>
  <c r="L451" i="5" a="1"/>
  <c r="L451" i="5" s="1"/>
  <c r="M451" i="5" s="1"/>
  <c r="L450" i="5" a="1"/>
  <c r="L450" i="5" s="1"/>
  <c r="M450" i="5" s="1"/>
  <c r="L449" i="5" a="1"/>
  <c r="L449" i="5" s="1"/>
  <c r="M449" i="5" s="1"/>
  <c r="L448" i="5" a="1"/>
  <c r="L448" i="5" s="1"/>
  <c r="M448" i="5" s="1"/>
  <c r="L447" i="5" a="1"/>
  <c r="L447" i="5" s="1"/>
  <c r="M447" i="5" s="1"/>
  <c r="L446" i="5" a="1"/>
  <c r="L446" i="5" s="1"/>
  <c r="M446" i="5" s="1"/>
  <c r="L445" i="5" a="1"/>
  <c r="L445" i="5" s="1"/>
  <c r="M445" i="5" s="1"/>
  <c r="L444" i="5" a="1"/>
  <c r="L444" i="5" s="1"/>
  <c r="M444" i="5" s="1"/>
  <c r="L443" i="5" a="1"/>
  <c r="L443" i="5" s="1"/>
  <c r="M443" i="5" s="1"/>
  <c r="L442" i="5" a="1"/>
  <c r="L442" i="5" s="1"/>
  <c r="M442" i="5" s="1"/>
  <c r="L441" i="5" a="1"/>
  <c r="L441" i="5" s="1"/>
  <c r="M441" i="5" s="1"/>
  <c r="L440" i="5" a="1"/>
  <c r="L440" i="5" s="1"/>
  <c r="M440" i="5" s="1"/>
  <c r="L439" i="5" a="1"/>
  <c r="L439" i="5" s="1"/>
  <c r="M439" i="5" s="1"/>
  <c r="L438" i="5" a="1"/>
  <c r="L438" i="5" s="1"/>
  <c r="M438" i="5" s="1"/>
  <c r="L437" i="5" a="1"/>
  <c r="L437" i="5" s="1"/>
  <c r="M437" i="5" s="1"/>
  <c r="L436" i="5" a="1"/>
  <c r="L436" i="5" s="1"/>
  <c r="M436" i="5" s="1"/>
  <c r="L435" i="5" a="1"/>
  <c r="L435" i="5" s="1"/>
  <c r="M435" i="5" s="1"/>
  <c r="L434" i="5" a="1"/>
  <c r="L434" i="5" s="1"/>
  <c r="M434" i="5" s="1"/>
  <c r="L433" i="5" a="1"/>
  <c r="L433" i="5" s="1"/>
  <c r="M433" i="5" s="1"/>
  <c r="L432" i="5" a="1"/>
  <c r="L432" i="5" s="1"/>
  <c r="M432" i="5" s="1"/>
  <c r="L431" i="5" a="1"/>
  <c r="L431" i="5" s="1"/>
  <c r="M431" i="5" s="1"/>
  <c r="L430" i="5" a="1"/>
  <c r="L430" i="5" s="1"/>
  <c r="M430" i="5" s="1"/>
  <c r="L429" i="5" a="1"/>
  <c r="L429" i="5" s="1"/>
  <c r="M429" i="5" s="1"/>
  <c r="L428" i="5" a="1"/>
  <c r="L428" i="5" s="1"/>
  <c r="M428" i="5" s="1"/>
  <c r="L427" i="5" a="1"/>
  <c r="L427" i="5" s="1"/>
  <c r="M427" i="5" s="1"/>
  <c r="L426" i="5" a="1"/>
  <c r="L426" i="5" s="1"/>
  <c r="M426" i="5" s="1"/>
  <c r="L425" i="5" a="1"/>
  <c r="L425" i="5" s="1"/>
  <c r="M425" i="5" s="1"/>
  <c r="L424" i="5" a="1"/>
  <c r="L424" i="5" s="1"/>
  <c r="M424" i="5" s="1"/>
  <c r="L423" i="5" a="1"/>
  <c r="L423" i="5" s="1"/>
  <c r="M423" i="5" s="1"/>
  <c r="L422" i="5" a="1"/>
  <c r="L422" i="5" s="1"/>
  <c r="M422" i="5" s="1"/>
  <c r="L421" i="5" a="1"/>
  <c r="L421" i="5" s="1"/>
  <c r="M421" i="5" s="1"/>
  <c r="L420" i="5" a="1"/>
  <c r="L420" i="5" s="1"/>
  <c r="M420" i="5" s="1"/>
  <c r="L419" i="5" a="1"/>
  <c r="L419" i="5" s="1"/>
  <c r="M419" i="5" s="1"/>
  <c r="L418" i="5" a="1"/>
  <c r="L418" i="5" s="1"/>
  <c r="M418" i="5" s="1"/>
  <c r="L417" i="5" a="1"/>
  <c r="L417" i="5" s="1"/>
  <c r="M417" i="5" s="1"/>
  <c r="L416" i="5" a="1"/>
  <c r="L416" i="5" s="1"/>
  <c r="M416" i="5" s="1"/>
  <c r="L415" i="5" a="1"/>
  <c r="L415" i="5" s="1"/>
  <c r="M415" i="5" s="1"/>
  <c r="L414" i="5" a="1"/>
  <c r="L414" i="5" s="1"/>
  <c r="M414" i="5" s="1"/>
  <c r="L413" i="5" a="1"/>
  <c r="L413" i="5" s="1"/>
  <c r="M413" i="5" s="1"/>
  <c r="L412" i="5" a="1"/>
  <c r="L412" i="5" s="1"/>
  <c r="M412" i="5" s="1"/>
  <c r="L411" i="5" a="1"/>
  <c r="L411" i="5" s="1"/>
  <c r="M411" i="5" s="1"/>
  <c r="L410" i="5" a="1"/>
  <c r="L410" i="5" s="1"/>
  <c r="M410" i="5" s="1"/>
  <c r="L409" i="5" a="1"/>
  <c r="L409" i="5" s="1"/>
  <c r="M409" i="5" s="1"/>
  <c r="L408" i="5" a="1"/>
  <c r="L408" i="5" s="1"/>
  <c r="M408" i="5" s="1"/>
  <c r="L407" i="5" a="1"/>
  <c r="L407" i="5" s="1"/>
  <c r="M407" i="5" s="1"/>
  <c r="L406" i="5" a="1"/>
  <c r="L406" i="5" s="1"/>
  <c r="M406" i="5" s="1"/>
  <c r="L405" i="5" a="1"/>
  <c r="L405" i="5" s="1"/>
  <c r="M405" i="5" s="1"/>
  <c r="L404" i="5" a="1"/>
  <c r="L404" i="5" s="1"/>
  <c r="M404" i="5" s="1"/>
  <c r="L403" i="5" a="1"/>
  <c r="L403" i="5" s="1"/>
  <c r="M403" i="5" s="1"/>
  <c r="L402" i="5" a="1"/>
  <c r="L402" i="5" s="1"/>
  <c r="M402" i="5" s="1"/>
  <c r="L401" i="5" a="1"/>
  <c r="L401" i="5" s="1"/>
  <c r="M401" i="5" s="1"/>
  <c r="L400" i="5" a="1"/>
  <c r="L400" i="5" s="1"/>
  <c r="M400" i="5" s="1"/>
  <c r="L399" i="5" a="1"/>
  <c r="L399" i="5" s="1"/>
  <c r="M399" i="5" s="1"/>
  <c r="L398" i="5" a="1"/>
  <c r="L398" i="5" s="1"/>
  <c r="M398" i="5" s="1"/>
  <c r="L397" i="5" a="1"/>
  <c r="L397" i="5" s="1"/>
  <c r="M397" i="5" s="1"/>
  <c r="L396" i="5" a="1"/>
  <c r="L396" i="5" s="1"/>
  <c r="M396" i="5" s="1"/>
  <c r="L395" i="5" a="1"/>
  <c r="L395" i="5" s="1"/>
  <c r="M395" i="5" s="1"/>
  <c r="L394" i="5" a="1"/>
  <c r="L394" i="5" s="1"/>
  <c r="M394" i="5" s="1"/>
  <c r="L393" i="5" a="1"/>
  <c r="L393" i="5" s="1"/>
  <c r="M393" i="5" s="1"/>
  <c r="L392" i="5" a="1"/>
  <c r="L392" i="5" s="1"/>
  <c r="M392" i="5" s="1"/>
  <c r="L391" i="5" a="1"/>
  <c r="L391" i="5" s="1"/>
  <c r="M391" i="5" s="1"/>
  <c r="L390" i="5" a="1"/>
  <c r="L390" i="5" s="1"/>
  <c r="M390" i="5" s="1"/>
  <c r="L389" i="5" a="1"/>
  <c r="L389" i="5" s="1"/>
  <c r="M389" i="5" s="1"/>
  <c r="L388" i="5" a="1"/>
  <c r="L388" i="5" s="1"/>
  <c r="M388" i="5" s="1"/>
  <c r="L387" i="5" a="1"/>
  <c r="L387" i="5" s="1"/>
  <c r="M387" i="5" s="1"/>
  <c r="L386" i="5" a="1"/>
  <c r="L386" i="5" s="1"/>
  <c r="M386" i="5" s="1"/>
  <c r="L385" i="5" a="1"/>
  <c r="L385" i="5" s="1"/>
  <c r="M385" i="5" s="1"/>
  <c r="L384" i="5" a="1"/>
  <c r="L384" i="5" s="1"/>
  <c r="M384" i="5" s="1"/>
  <c r="L383" i="5" a="1"/>
  <c r="L383" i="5" s="1"/>
  <c r="M383" i="5" s="1"/>
  <c r="L382" i="5" a="1"/>
  <c r="L382" i="5" s="1"/>
  <c r="M382" i="5" s="1"/>
  <c r="L381" i="5" a="1"/>
  <c r="L381" i="5" s="1"/>
  <c r="M381" i="5" s="1"/>
  <c r="L380" i="5" a="1"/>
  <c r="L380" i="5" s="1"/>
  <c r="M380" i="5" s="1"/>
  <c r="L379" i="5" a="1"/>
  <c r="L379" i="5" s="1"/>
  <c r="M379" i="5" s="1"/>
  <c r="L378" i="5" a="1"/>
  <c r="L378" i="5" s="1"/>
  <c r="M378" i="5" s="1"/>
  <c r="L377" i="5" a="1"/>
  <c r="L377" i="5" s="1"/>
  <c r="M377" i="5" s="1"/>
  <c r="L376" i="5" a="1"/>
  <c r="L376" i="5" s="1"/>
  <c r="M376" i="5" s="1"/>
  <c r="L375" i="5" a="1"/>
  <c r="L375" i="5" s="1"/>
  <c r="M375" i="5" s="1"/>
  <c r="L374" i="5" a="1"/>
  <c r="L374" i="5" s="1"/>
  <c r="M374" i="5" s="1"/>
  <c r="L373" i="5" a="1"/>
  <c r="L373" i="5" s="1"/>
  <c r="M373" i="5" s="1"/>
  <c r="L372" i="5" a="1"/>
  <c r="L372" i="5" s="1"/>
  <c r="M372" i="5" s="1"/>
  <c r="L371" i="5" a="1"/>
  <c r="L371" i="5" s="1"/>
  <c r="M371" i="5" s="1"/>
  <c r="L370" i="5" a="1"/>
  <c r="L370" i="5" s="1"/>
  <c r="M370" i="5" s="1"/>
  <c r="L369" i="5" a="1"/>
  <c r="L369" i="5" s="1"/>
  <c r="M369" i="5" s="1"/>
  <c r="L368" i="5" a="1"/>
  <c r="L368" i="5" s="1"/>
  <c r="M368" i="5" s="1"/>
  <c r="L367" i="5" a="1"/>
  <c r="L367" i="5" s="1"/>
  <c r="M367" i="5" s="1"/>
  <c r="L366" i="5" a="1"/>
  <c r="L366" i="5" s="1"/>
  <c r="M366" i="5" s="1"/>
  <c r="L365" i="5" a="1"/>
  <c r="L365" i="5" s="1"/>
  <c r="M365" i="5" s="1"/>
  <c r="L364" i="5" a="1"/>
  <c r="L364" i="5" s="1"/>
  <c r="M364" i="5" s="1"/>
  <c r="L363" i="5" a="1"/>
  <c r="L363" i="5" s="1"/>
  <c r="M363" i="5" s="1"/>
  <c r="L362" i="5" a="1"/>
  <c r="L362" i="5" s="1"/>
  <c r="M362" i="5" s="1"/>
  <c r="L361" i="5" a="1"/>
  <c r="L361" i="5" s="1"/>
  <c r="M361" i="5" s="1"/>
  <c r="L360" i="5" a="1"/>
  <c r="L360" i="5" s="1"/>
  <c r="M360" i="5" s="1"/>
  <c r="L359" i="5" a="1"/>
  <c r="L359" i="5" s="1"/>
  <c r="M359" i="5" s="1"/>
  <c r="L358" i="5" a="1"/>
  <c r="L358" i="5" s="1"/>
  <c r="M358" i="5" s="1"/>
  <c r="L357" i="5" a="1"/>
  <c r="L357" i="5" s="1"/>
  <c r="M357" i="5" s="1"/>
  <c r="L356" i="5" a="1"/>
  <c r="L356" i="5" s="1"/>
  <c r="M356" i="5" s="1"/>
  <c r="L355" i="5" a="1"/>
  <c r="L355" i="5" s="1"/>
  <c r="M355" i="5" s="1"/>
  <c r="L354" i="5" a="1"/>
  <c r="L354" i="5" s="1"/>
  <c r="M354" i="5" s="1"/>
  <c r="L353" i="5" a="1"/>
  <c r="L353" i="5" s="1"/>
  <c r="M353" i="5" s="1"/>
  <c r="L352" i="5" a="1"/>
  <c r="L352" i="5" s="1"/>
  <c r="M352" i="5" s="1"/>
  <c r="L351" i="5" a="1"/>
  <c r="L351" i="5" s="1"/>
  <c r="M351" i="5" s="1"/>
  <c r="L350" i="5" a="1"/>
  <c r="L350" i="5" s="1"/>
  <c r="M350" i="5" s="1"/>
  <c r="L349" i="5" a="1"/>
  <c r="L349" i="5" s="1"/>
  <c r="M349" i="5" s="1"/>
  <c r="L348" i="5" a="1"/>
  <c r="L348" i="5" s="1"/>
  <c r="M348" i="5" s="1"/>
  <c r="L347" i="5" a="1"/>
  <c r="L347" i="5" s="1"/>
  <c r="M347" i="5" s="1"/>
  <c r="L346" i="5" a="1"/>
  <c r="L346" i="5" s="1"/>
  <c r="M346" i="5" s="1"/>
  <c r="L345" i="5" a="1"/>
  <c r="L345" i="5" s="1"/>
  <c r="M345" i="5" s="1"/>
  <c r="L344" i="5" a="1"/>
  <c r="L344" i="5" s="1"/>
  <c r="M344" i="5" s="1"/>
  <c r="L343" i="5" a="1"/>
  <c r="L343" i="5" s="1"/>
  <c r="M343" i="5" s="1"/>
  <c r="L342" i="5" a="1"/>
  <c r="L342" i="5" s="1"/>
  <c r="M342" i="5" s="1"/>
  <c r="L341" i="5" a="1"/>
  <c r="L341" i="5" s="1"/>
  <c r="M341" i="5" s="1"/>
  <c r="L340" i="5" a="1"/>
  <c r="L340" i="5" s="1"/>
  <c r="M340" i="5" s="1"/>
  <c r="L339" i="5" a="1"/>
  <c r="L339" i="5" s="1"/>
  <c r="M339" i="5" s="1"/>
  <c r="L338" i="5" a="1"/>
  <c r="L338" i="5" s="1"/>
  <c r="M338" i="5" s="1"/>
  <c r="L337" i="5" a="1"/>
  <c r="L337" i="5" s="1"/>
  <c r="M337" i="5" s="1"/>
  <c r="L336" i="5" a="1"/>
  <c r="L336" i="5" s="1"/>
  <c r="M336" i="5" s="1"/>
  <c r="L335" i="5" a="1"/>
  <c r="L335" i="5" s="1"/>
  <c r="M335" i="5" s="1"/>
  <c r="L334" i="5" a="1"/>
  <c r="L334" i="5" s="1"/>
  <c r="M334" i="5" s="1"/>
  <c r="L333" i="5" a="1"/>
  <c r="L333" i="5" s="1"/>
  <c r="M333" i="5" s="1"/>
  <c r="L332" i="5" a="1"/>
  <c r="L332" i="5" s="1"/>
  <c r="M332" i="5" s="1"/>
  <c r="L331" i="5" a="1"/>
  <c r="L331" i="5" s="1"/>
  <c r="M331" i="5" s="1"/>
  <c r="L330" i="5" a="1"/>
  <c r="L330" i="5" s="1"/>
  <c r="M330" i="5" s="1"/>
  <c r="L329" i="5" a="1"/>
  <c r="L329" i="5" s="1"/>
  <c r="M329" i="5" s="1"/>
  <c r="L328" i="5" a="1"/>
  <c r="L328" i="5" s="1"/>
  <c r="M328" i="5" s="1"/>
  <c r="L327" i="5" a="1"/>
  <c r="L327" i="5" s="1"/>
  <c r="M327" i="5" s="1"/>
  <c r="L326" i="5" a="1"/>
  <c r="L326" i="5" s="1"/>
  <c r="M326" i="5" s="1"/>
  <c r="L325" i="5" a="1"/>
  <c r="L325" i="5" s="1"/>
  <c r="M325" i="5" s="1"/>
  <c r="L324" i="5" a="1"/>
  <c r="L324" i="5" s="1"/>
  <c r="M324" i="5" s="1"/>
  <c r="L323" i="5" a="1"/>
  <c r="L323" i="5" s="1"/>
  <c r="M323" i="5" s="1"/>
  <c r="L322" i="5" a="1"/>
  <c r="L322" i="5" s="1"/>
  <c r="M322" i="5" s="1"/>
  <c r="L321" i="5" a="1"/>
  <c r="L321" i="5" s="1"/>
  <c r="M321" i="5" s="1"/>
  <c r="L320" i="5" a="1"/>
  <c r="L320" i="5" s="1"/>
  <c r="M320" i="5" s="1"/>
  <c r="L319" i="5" a="1"/>
  <c r="L319" i="5" s="1"/>
  <c r="M319" i="5" s="1"/>
  <c r="L318" i="5" a="1"/>
  <c r="L318" i="5" s="1"/>
  <c r="M318" i="5" s="1"/>
  <c r="L317" i="5" a="1"/>
  <c r="L317" i="5" s="1"/>
  <c r="M317" i="5" s="1"/>
  <c r="L316" i="5" a="1"/>
  <c r="L316" i="5" s="1"/>
  <c r="M316" i="5" s="1"/>
  <c r="L315" i="5" a="1"/>
  <c r="L315" i="5" s="1"/>
  <c r="M315" i="5" s="1"/>
  <c r="L314" i="5" a="1"/>
  <c r="L314" i="5" s="1"/>
  <c r="M314" i="5" s="1"/>
  <c r="L313" i="5" a="1"/>
  <c r="L313" i="5" s="1"/>
  <c r="M313" i="5" s="1"/>
  <c r="L312" i="5" a="1"/>
  <c r="L312" i="5" s="1"/>
  <c r="M312" i="5" s="1"/>
  <c r="L311" i="5" a="1"/>
  <c r="L311" i="5" s="1"/>
  <c r="M311" i="5" s="1"/>
  <c r="L310" i="5" a="1"/>
  <c r="L310" i="5" s="1"/>
  <c r="M310" i="5" s="1"/>
  <c r="L309" i="5" a="1"/>
  <c r="L309" i="5" s="1"/>
  <c r="M309" i="5" s="1"/>
  <c r="L308" i="5" a="1"/>
  <c r="L308" i="5" s="1"/>
  <c r="M308" i="5" s="1"/>
  <c r="L307" i="5" a="1"/>
  <c r="L307" i="5" s="1"/>
  <c r="M307" i="5" s="1"/>
  <c r="L306" i="5" a="1"/>
  <c r="L306" i="5" s="1"/>
  <c r="M306" i="5" s="1"/>
  <c r="L305" i="5" a="1"/>
  <c r="L305" i="5" s="1"/>
  <c r="M305" i="5" s="1"/>
  <c r="L304" i="5" a="1"/>
  <c r="L304" i="5" s="1"/>
  <c r="M304" i="5" s="1"/>
  <c r="L303" i="5" a="1"/>
  <c r="L303" i="5" s="1"/>
  <c r="M303" i="5" s="1"/>
  <c r="L302" i="5" a="1"/>
  <c r="L302" i="5" s="1"/>
  <c r="M302" i="5" s="1"/>
  <c r="L301" i="5" a="1"/>
  <c r="L301" i="5" s="1"/>
  <c r="M301" i="5" s="1"/>
  <c r="L300" i="5" a="1"/>
  <c r="L300" i="5" s="1"/>
  <c r="M300" i="5" s="1"/>
  <c r="L299" i="5" a="1"/>
  <c r="L299" i="5" s="1"/>
  <c r="M299" i="5" s="1"/>
  <c r="L298" i="5" a="1"/>
  <c r="L298" i="5" s="1"/>
  <c r="M298" i="5" s="1"/>
  <c r="L297" i="5" a="1"/>
  <c r="L297" i="5" s="1"/>
  <c r="M297" i="5" s="1"/>
  <c r="L296" i="5" a="1"/>
  <c r="L296" i="5" s="1"/>
  <c r="M296" i="5" s="1"/>
  <c r="L295" i="5" a="1"/>
  <c r="L295" i="5" s="1"/>
  <c r="M295" i="5" s="1"/>
  <c r="L294" i="5" a="1"/>
  <c r="L294" i="5" s="1"/>
  <c r="M294" i="5" s="1"/>
  <c r="L293" i="5" a="1"/>
  <c r="L293" i="5" s="1"/>
  <c r="M293" i="5" s="1"/>
  <c r="L292" i="5" a="1"/>
  <c r="L292" i="5" s="1"/>
  <c r="M292" i="5" s="1"/>
  <c r="L291" i="5" a="1"/>
  <c r="L291" i="5" s="1"/>
  <c r="M291" i="5" s="1"/>
  <c r="L290" i="5" a="1"/>
  <c r="L290" i="5" s="1"/>
  <c r="M290" i="5" s="1"/>
  <c r="L289" i="5" a="1"/>
  <c r="L289" i="5" s="1"/>
  <c r="M289" i="5" s="1"/>
  <c r="L288" i="5" a="1"/>
  <c r="L288" i="5" s="1"/>
  <c r="M288" i="5" s="1"/>
  <c r="L287" i="5" a="1"/>
  <c r="L287" i="5" s="1"/>
  <c r="M287" i="5" s="1"/>
  <c r="L286" i="5" a="1"/>
  <c r="L286" i="5" s="1"/>
  <c r="M286" i="5" s="1"/>
  <c r="L285" i="5" a="1"/>
  <c r="L285" i="5" s="1"/>
  <c r="M285" i="5" s="1"/>
  <c r="L284" i="5" a="1"/>
  <c r="L284" i="5" s="1"/>
  <c r="M284" i="5" s="1"/>
  <c r="L283" i="5" a="1"/>
  <c r="L283" i="5" s="1"/>
  <c r="M283" i="5" s="1"/>
  <c r="L282" i="5" a="1"/>
  <c r="L282" i="5" s="1"/>
  <c r="M282" i="5" s="1"/>
  <c r="L281" i="5" a="1"/>
  <c r="L281" i="5" s="1"/>
  <c r="M281" i="5" s="1"/>
  <c r="L280" i="5" a="1"/>
  <c r="L280" i="5" s="1"/>
  <c r="M280" i="5" s="1"/>
  <c r="L279" i="5" a="1"/>
  <c r="L279" i="5" s="1"/>
  <c r="M279" i="5" s="1"/>
  <c r="L278" i="5" a="1"/>
  <c r="L278" i="5" s="1"/>
  <c r="M278" i="5" s="1"/>
  <c r="L277" i="5" a="1"/>
  <c r="L277" i="5" s="1"/>
  <c r="M277" i="5" s="1"/>
  <c r="L276" i="5" a="1"/>
  <c r="L276" i="5" s="1"/>
  <c r="M276" i="5" s="1"/>
  <c r="L275" i="5" a="1"/>
  <c r="L275" i="5" s="1"/>
  <c r="M275" i="5" s="1"/>
  <c r="L274" i="5" a="1"/>
  <c r="L274" i="5" s="1"/>
  <c r="M274" i="5" s="1"/>
  <c r="L273" i="5" a="1"/>
  <c r="L273" i="5" s="1"/>
  <c r="M273" i="5" s="1"/>
  <c r="L272" i="5" a="1"/>
  <c r="L272" i="5" s="1"/>
  <c r="M272" i="5" s="1"/>
  <c r="L271" i="5" a="1"/>
  <c r="L271" i="5" s="1"/>
  <c r="M271" i="5" s="1"/>
  <c r="L270" i="5" a="1"/>
  <c r="L270" i="5" s="1"/>
  <c r="M270" i="5" s="1"/>
  <c r="L269" i="5" a="1"/>
  <c r="L269" i="5" s="1"/>
  <c r="M269" i="5" s="1"/>
  <c r="L268" i="5" a="1"/>
  <c r="L268" i="5" s="1"/>
  <c r="M268" i="5" s="1"/>
  <c r="L267" i="5" a="1"/>
  <c r="L267" i="5" s="1"/>
  <c r="M267" i="5" s="1"/>
  <c r="L266" i="5" a="1"/>
  <c r="L266" i="5" s="1"/>
  <c r="M266" i="5" s="1"/>
  <c r="L265" i="5" a="1"/>
  <c r="L265" i="5" s="1"/>
  <c r="M265" i="5" s="1"/>
  <c r="L264" i="5" a="1"/>
  <c r="L264" i="5" s="1"/>
  <c r="M264" i="5" s="1"/>
  <c r="L263" i="5" a="1"/>
  <c r="L263" i="5" s="1"/>
  <c r="M263" i="5" s="1"/>
  <c r="L262" i="5" a="1"/>
  <c r="L262" i="5" s="1"/>
  <c r="M262" i="5" s="1"/>
  <c r="L261" i="5" a="1"/>
  <c r="L261" i="5" s="1"/>
  <c r="M261" i="5" s="1"/>
  <c r="L260" i="5" a="1"/>
  <c r="L260" i="5" s="1"/>
  <c r="M260" i="5" s="1"/>
  <c r="L259" i="5" a="1"/>
  <c r="L259" i="5" s="1"/>
  <c r="M259" i="5" s="1"/>
  <c r="L258" i="5" a="1"/>
  <c r="L258" i="5" s="1"/>
  <c r="M258" i="5" s="1"/>
  <c r="L257" i="5" a="1"/>
  <c r="L257" i="5" s="1"/>
  <c r="M257" i="5" s="1"/>
  <c r="L256" i="5" a="1"/>
  <c r="L256" i="5" s="1"/>
  <c r="M256" i="5" s="1"/>
  <c r="L255" i="5" a="1"/>
  <c r="L255" i="5" s="1"/>
  <c r="M255" i="5" s="1"/>
  <c r="L254" i="5" a="1"/>
  <c r="L254" i="5" s="1"/>
  <c r="M254" i="5" s="1"/>
  <c r="L253" i="5" a="1"/>
  <c r="L253" i="5" s="1"/>
  <c r="M253" i="5" s="1"/>
  <c r="L252" i="5" a="1"/>
  <c r="L252" i="5" s="1"/>
  <c r="M252" i="5" s="1"/>
  <c r="L251" i="5" a="1"/>
  <c r="L251" i="5" s="1"/>
  <c r="M251" i="5" s="1"/>
  <c r="L250" i="5" a="1"/>
  <c r="L250" i="5" s="1"/>
  <c r="M250" i="5" s="1"/>
  <c r="L249" i="5" a="1"/>
  <c r="L249" i="5" s="1"/>
  <c r="M249" i="5" s="1"/>
  <c r="L248" i="5" a="1"/>
  <c r="L248" i="5" s="1"/>
  <c r="M248" i="5" s="1"/>
  <c r="L247" i="5" a="1"/>
  <c r="L247" i="5" s="1"/>
  <c r="M247" i="5" s="1"/>
  <c r="L246" i="5" a="1"/>
  <c r="L246" i="5" s="1"/>
  <c r="M246" i="5" s="1"/>
  <c r="L245" i="5" a="1"/>
  <c r="L245" i="5" s="1"/>
  <c r="M245" i="5" s="1"/>
  <c r="L244" i="5" a="1"/>
  <c r="L244" i="5" s="1"/>
  <c r="M244" i="5" s="1"/>
  <c r="L243" i="5" a="1"/>
  <c r="L243" i="5" s="1"/>
  <c r="M243" i="5" s="1"/>
  <c r="L242" i="5" a="1"/>
  <c r="L242" i="5" s="1"/>
  <c r="M242" i="5" s="1"/>
  <c r="L241" i="5" a="1"/>
  <c r="L241" i="5" s="1"/>
  <c r="M241" i="5" s="1"/>
  <c r="L240" i="5" a="1"/>
  <c r="L240" i="5" s="1"/>
  <c r="M240" i="5" s="1"/>
  <c r="L239" i="5" a="1"/>
  <c r="L239" i="5" s="1"/>
  <c r="M239" i="5" s="1"/>
  <c r="L238" i="5" a="1"/>
  <c r="L238" i="5" s="1"/>
  <c r="M238" i="5" s="1"/>
  <c r="L237" i="5" a="1"/>
  <c r="L237" i="5" s="1"/>
  <c r="M237" i="5" s="1"/>
  <c r="L236" i="5" a="1"/>
  <c r="L236" i="5" s="1"/>
  <c r="M236" i="5" s="1"/>
  <c r="L235" i="5" a="1"/>
  <c r="L235" i="5" s="1"/>
  <c r="M235" i="5" s="1"/>
  <c r="L234" i="5" a="1"/>
  <c r="L234" i="5" s="1"/>
  <c r="M234" i="5" s="1"/>
  <c r="L233" i="5" a="1"/>
  <c r="L233" i="5" s="1"/>
  <c r="M233" i="5" s="1"/>
  <c r="L232" i="5" a="1"/>
  <c r="L232" i="5" s="1"/>
  <c r="M232" i="5" s="1"/>
  <c r="L231" i="5" a="1"/>
  <c r="L231" i="5" s="1"/>
  <c r="M231" i="5" s="1"/>
  <c r="L230" i="5" a="1"/>
  <c r="L230" i="5" s="1"/>
  <c r="M230" i="5" s="1"/>
  <c r="L229" i="5" a="1"/>
  <c r="L229" i="5" s="1"/>
  <c r="M229" i="5" s="1"/>
  <c r="L228" i="5" a="1"/>
  <c r="L228" i="5" s="1"/>
  <c r="M228" i="5" s="1"/>
  <c r="L227" i="5" a="1"/>
  <c r="L227" i="5" s="1"/>
  <c r="M227" i="5" s="1"/>
  <c r="L226" i="5" a="1"/>
  <c r="L226" i="5" s="1"/>
  <c r="M226" i="5" s="1"/>
  <c r="L225" i="5" a="1"/>
  <c r="L225" i="5" s="1"/>
  <c r="M225" i="5" s="1"/>
  <c r="L224" i="5" a="1"/>
  <c r="L224" i="5" s="1"/>
  <c r="M224" i="5" s="1"/>
  <c r="L223" i="5" a="1"/>
  <c r="L223" i="5" s="1"/>
  <c r="M223" i="5" s="1"/>
  <c r="L222" i="5" a="1"/>
  <c r="L222" i="5" s="1"/>
  <c r="M222" i="5" s="1"/>
  <c r="L221" i="5" a="1"/>
  <c r="L221" i="5" s="1"/>
  <c r="M221" i="5" s="1"/>
  <c r="L220" i="5" a="1"/>
  <c r="L220" i="5" s="1"/>
  <c r="M220" i="5" s="1"/>
  <c r="L219" i="5" a="1"/>
  <c r="L219" i="5" s="1"/>
  <c r="M219" i="5" s="1"/>
  <c r="L218" i="5" a="1"/>
  <c r="L218" i="5" s="1"/>
  <c r="M218" i="5" s="1"/>
  <c r="L217" i="5" a="1"/>
  <c r="L217" i="5" s="1"/>
  <c r="M217" i="5" s="1"/>
  <c r="L216" i="5" a="1"/>
  <c r="L216" i="5" s="1"/>
  <c r="M216" i="5" s="1"/>
  <c r="L215" i="5" a="1"/>
  <c r="L215" i="5" s="1"/>
  <c r="M215" i="5" s="1"/>
  <c r="L214" i="5" a="1"/>
  <c r="L214" i="5" s="1"/>
  <c r="M214" i="5" s="1"/>
  <c r="L213" i="5" a="1"/>
  <c r="L213" i="5" s="1"/>
  <c r="M213" i="5" s="1"/>
  <c r="L212" i="5" a="1"/>
  <c r="L212" i="5" s="1"/>
  <c r="M212" i="5" s="1"/>
  <c r="L211" i="5" a="1"/>
  <c r="L211" i="5" s="1"/>
  <c r="M211" i="5" s="1"/>
  <c r="L210" i="5" a="1"/>
  <c r="L210" i="5" s="1"/>
  <c r="M210" i="5" s="1"/>
  <c r="L209" i="5" a="1"/>
  <c r="L209" i="5" s="1"/>
  <c r="M209" i="5" s="1"/>
  <c r="L208" i="5" a="1"/>
  <c r="L208" i="5" s="1"/>
  <c r="M208" i="5" s="1"/>
  <c r="L207" i="5" a="1"/>
  <c r="L207" i="5" s="1"/>
  <c r="M207" i="5" s="1"/>
  <c r="L206" i="5" a="1"/>
  <c r="L206" i="5" s="1"/>
  <c r="M206" i="5" s="1"/>
  <c r="L205" i="5" a="1"/>
  <c r="L205" i="5" s="1"/>
  <c r="M205" i="5" s="1"/>
  <c r="L204" i="5" a="1"/>
  <c r="L204" i="5" s="1"/>
  <c r="M204" i="5" s="1"/>
  <c r="L203" i="5" a="1"/>
  <c r="L203" i="5" s="1"/>
  <c r="M203" i="5" s="1"/>
  <c r="L202" i="5" a="1"/>
  <c r="L202" i="5" s="1"/>
  <c r="M202" i="5" s="1"/>
  <c r="L201" i="5" a="1"/>
  <c r="L201" i="5" s="1"/>
  <c r="M201" i="5" s="1"/>
  <c r="L200" i="5" a="1"/>
  <c r="L200" i="5" s="1"/>
  <c r="M200" i="5" s="1"/>
  <c r="L199" i="5" a="1"/>
  <c r="L199" i="5" s="1"/>
  <c r="M199" i="5" s="1"/>
  <c r="L198" i="5" a="1"/>
  <c r="L198" i="5" s="1"/>
  <c r="M198" i="5" s="1"/>
  <c r="L197" i="5" a="1"/>
  <c r="L197" i="5" s="1"/>
  <c r="M197" i="5" s="1"/>
  <c r="L196" i="5" a="1"/>
  <c r="L196" i="5" s="1"/>
  <c r="M196" i="5" s="1"/>
  <c r="L195" i="5" a="1"/>
  <c r="L195" i="5" s="1"/>
  <c r="M195" i="5" s="1"/>
  <c r="L194" i="5" a="1"/>
  <c r="L194" i="5" s="1"/>
  <c r="M194" i="5" s="1"/>
  <c r="L193" i="5" a="1"/>
  <c r="L193" i="5" s="1"/>
  <c r="M193" i="5" s="1"/>
  <c r="L192" i="5" a="1"/>
  <c r="L192" i="5" s="1"/>
  <c r="M192" i="5" s="1"/>
  <c r="L191" i="5" a="1"/>
  <c r="L191" i="5" s="1"/>
  <c r="M191" i="5" s="1"/>
  <c r="L190" i="5" a="1"/>
  <c r="L190" i="5" s="1"/>
  <c r="M190" i="5" s="1"/>
  <c r="L189" i="5" a="1"/>
  <c r="L189" i="5" s="1"/>
  <c r="M189" i="5" s="1"/>
  <c r="L188" i="5" a="1"/>
  <c r="L188" i="5" s="1"/>
  <c r="M188" i="5" s="1"/>
  <c r="L187" i="5" a="1"/>
  <c r="L187" i="5" s="1"/>
  <c r="M187" i="5" s="1"/>
  <c r="L186" i="5" a="1"/>
  <c r="L186" i="5" s="1"/>
  <c r="M186" i="5" s="1"/>
  <c r="L185" i="5" a="1"/>
  <c r="L185" i="5" s="1"/>
  <c r="M185" i="5" s="1"/>
  <c r="L184" i="5" a="1"/>
  <c r="L184" i="5" s="1"/>
  <c r="M184" i="5" s="1"/>
  <c r="L183" i="5" a="1"/>
  <c r="L183" i="5" s="1"/>
  <c r="M183" i="5" s="1"/>
  <c r="L182" i="5" a="1"/>
  <c r="L182" i="5" s="1"/>
  <c r="M182" i="5" s="1"/>
  <c r="L181" i="5" a="1"/>
  <c r="L181" i="5" s="1"/>
  <c r="M181" i="5" s="1"/>
  <c r="L180" i="5" a="1"/>
  <c r="L180" i="5" s="1"/>
  <c r="M180" i="5" s="1"/>
  <c r="L179" i="5" a="1"/>
  <c r="L179" i="5" s="1"/>
  <c r="M179" i="5" s="1"/>
  <c r="L178" i="5" a="1"/>
  <c r="L178" i="5" s="1"/>
  <c r="M178" i="5" s="1"/>
  <c r="L177" i="5" a="1"/>
  <c r="L177" i="5" s="1"/>
  <c r="M177" i="5" s="1"/>
  <c r="L176" i="5" a="1"/>
  <c r="L176" i="5" s="1"/>
  <c r="M176" i="5" s="1"/>
  <c r="L175" i="5" a="1"/>
  <c r="L175" i="5" s="1"/>
  <c r="M175" i="5" s="1"/>
  <c r="L174" i="5" a="1"/>
  <c r="L174" i="5" s="1"/>
  <c r="M174" i="5" s="1"/>
  <c r="L173" i="5" a="1"/>
  <c r="L173" i="5" s="1"/>
  <c r="M173" i="5" s="1"/>
  <c r="L172" i="5" a="1"/>
  <c r="L172" i="5" s="1"/>
  <c r="M172" i="5" s="1"/>
  <c r="L171" i="5" a="1"/>
  <c r="L171" i="5" s="1"/>
  <c r="M171" i="5" s="1"/>
  <c r="L170" i="5" a="1"/>
  <c r="L170" i="5" s="1"/>
  <c r="M170" i="5" s="1"/>
  <c r="L169" i="5" a="1"/>
  <c r="L169" i="5" s="1"/>
  <c r="M169" i="5" s="1"/>
  <c r="L168" i="5" a="1"/>
  <c r="L168" i="5" s="1"/>
  <c r="M168" i="5" s="1"/>
  <c r="L167" i="5" a="1"/>
  <c r="L167" i="5" s="1"/>
  <c r="M167" i="5" s="1"/>
  <c r="L166" i="5" a="1"/>
  <c r="L166" i="5" s="1"/>
  <c r="M166" i="5" s="1"/>
  <c r="L165" i="5" a="1"/>
  <c r="L165" i="5" s="1"/>
  <c r="M165" i="5" s="1"/>
  <c r="L164" i="5" a="1"/>
  <c r="L164" i="5" s="1"/>
  <c r="M164" i="5" s="1"/>
  <c r="L163" i="5" a="1"/>
  <c r="L163" i="5" s="1"/>
  <c r="M163" i="5" s="1"/>
  <c r="L162" i="5" a="1"/>
  <c r="L162" i="5" s="1"/>
  <c r="M162" i="5" s="1"/>
  <c r="L161" i="5" a="1"/>
  <c r="L161" i="5" s="1"/>
  <c r="M161" i="5" s="1"/>
  <c r="L160" i="5" a="1"/>
  <c r="L160" i="5" s="1"/>
  <c r="M160" i="5" s="1"/>
  <c r="L159" i="5" a="1"/>
  <c r="L159" i="5" s="1"/>
  <c r="M159" i="5" s="1"/>
  <c r="L158" i="5" a="1"/>
  <c r="L158" i="5" s="1"/>
  <c r="M158" i="5" s="1"/>
  <c r="L157" i="5" a="1"/>
  <c r="L157" i="5" s="1"/>
  <c r="M157" i="5" s="1"/>
  <c r="L156" i="5" a="1"/>
  <c r="L156" i="5" s="1"/>
  <c r="M156" i="5" s="1"/>
  <c r="L155" i="5" a="1"/>
  <c r="L155" i="5" s="1"/>
  <c r="M155" i="5" s="1"/>
  <c r="L154" i="5" a="1"/>
  <c r="L154" i="5" s="1"/>
  <c r="M154" i="5" s="1"/>
  <c r="L153" i="5" a="1"/>
  <c r="L153" i="5" s="1"/>
  <c r="M153" i="5" s="1"/>
  <c r="L152" i="5" a="1"/>
  <c r="L152" i="5" s="1"/>
  <c r="M152" i="5" s="1"/>
  <c r="L151" i="5" a="1"/>
  <c r="L151" i="5" s="1"/>
  <c r="M151" i="5" s="1"/>
  <c r="L150" i="5" a="1"/>
  <c r="L150" i="5" s="1"/>
  <c r="M150" i="5" s="1"/>
  <c r="L149" i="5" a="1"/>
  <c r="L149" i="5" s="1"/>
  <c r="M149" i="5" s="1"/>
  <c r="L148" i="5" a="1"/>
  <c r="L148" i="5" s="1"/>
  <c r="M148" i="5" s="1"/>
  <c r="L147" i="5" a="1"/>
  <c r="L147" i="5" s="1"/>
  <c r="M147" i="5" s="1"/>
  <c r="L146" i="5" a="1"/>
  <c r="L146" i="5" s="1"/>
  <c r="M146" i="5" s="1"/>
  <c r="L145" i="5" a="1"/>
  <c r="L145" i="5" s="1"/>
  <c r="M145" i="5" s="1"/>
  <c r="L144" i="5" a="1"/>
  <c r="L144" i="5" s="1"/>
  <c r="M144" i="5" s="1"/>
  <c r="L143" i="5" a="1"/>
  <c r="L143" i="5" s="1"/>
  <c r="M143" i="5" s="1"/>
  <c r="L142" i="5" a="1"/>
  <c r="L142" i="5" s="1"/>
  <c r="M142" i="5" s="1"/>
  <c r="L141" i="5" a="1"/>
  <c r="L141" i="5" s="1"/>
  <c r="M141" i="5" s="1"/>
  <c r="L140" i="5" a="1"/>
  <c r="L140" i="5" s="1"/>
  <c r="M140" i="5" s="1"/>
  <c r="L139" i="5" a="1"/>
  <c r="L139" i="5" s="1"/>
  <c r="M139" i="5" s="1"/>
  <c r="L138" i="5" a="1"/>
  <c r="L138" i="5" s="1"/>
  <c r="M138" i="5" s="1"/>
  <c r="L137" i="5" a="1"/>
  <c r="L137" i="5" s="1"/>
  <c r="M137" i="5" s="1"/>
  <c r="L136" i="5" a="1"/>
  <c r="L136" i="5" s="1"/>
  <c r="M136" i="5" s="1"/>
  <c r="L135" i="5" a="1"/>
  <c r="L135" i="5" s="1"/>
  <c r="M135" i="5" s="1"/>
  <c r="L134" i="5" a="1"/>
  <c r="L134" i="5" s="1"/>
  <c r="M134" i="5" s="1"/>
  <c r="L133" i="5" a="1"/>
  <c r="L133" i="5" s="1"/>
  <c r="M133" i="5" s="1"/>
  <c r="L132" i="5" a="1"/>
  <c r="L132" i="5" s="1"/>
  <c r="M132" i="5" s="1"/>
  <c r="L131" i="5" a="1"/>
  <c r="L131" i="5" s="1"/>
  <c r="M131" i="5" s="1"/>
  <c r="L130" i="5" a="1"/>
  <c r="L130" i="5" s="1"/>
  <c r="M130" i="5" s="1"/>
  <c r="L129" i="5" a="1"/>
  <c r="L129" i="5" s="1"/>
  <c r="M129" i="5" s="1"/>
  <c r="L128" i="5" a="1"/>
  <c r="L128" i="5" s="1"/>
  <c r="M128" i="5" s="1"/>
  <c r="L127" i="5" a="1"/>
  <c r="L127" i="5" s="1"/>
  <c r="M127" i="5" s="1"/>
  <c r="L126" i="5" a="1"/>
  <c r="L126" i="5" s="1"/>
  <c r="M126" i="5" s="1"/>
  <c r="L125" i="5" a="1"/>
  <c r="L125" i="5" s="1"/>
  <c r="M125" i="5" s="1"/>
  <c r="L124" i="5" a="1"/>
  <c r="L124" i="5" s="1"/>
  <c r="M124" i="5" s="1"/>
  <c r="L123" i="5" a="1"/>
  <c r="L123" i="5" s="1"/>
  <c r="M123" i="5" s="1"/>
  <c r="L122" i="5" a="1"/>
  <c r="L122" i="5" s="1"/>
  <c r="M122" i="5" s="1"/>
  <c r="L121" i="5" a="1"/>
  <c r="L121" i="5" s="1"/>
  <c r="M121" i="5" s="1"/>
  <c r="L120" i="5" a="1"/>
  <c r="L120" i="5" s="1"/>
  <c r="M120" i="5" s="1"/>
  <c r="L119" i="5" a="1"/>
  <c r="L119" i="5" s="1"/>
  <c r="M119" i="5" s="1"/>
  <c r="L118" i="5" a="1"/>
  <c r="L118" i="5" s="1"/>
  <c r="M118" i="5" s="1"/>
  <c r="L117" i="5" a="1"/>
  <c r="L117" i="5" s="1"/>
  <c r="M117" i="5" s="1"/>
  <c r="L116" i="5" a="1"/>
  <c r="L116" i="5" s="1"/>
  <c r="M116" i="5" s="1"/>
  <c r="L115" i="5" a="1"/>
  <c r="L115" i="5" s="1"/>
  <c r="M115" i="5" s="1"/>
  <c r="L114" i="5" a="1"/>
  <c r="L114" i="5" s="1"/>
  <c r="M114" i="5" s="1"/>
  <c r="L113" i="5" a="1"/>
  <c r="L113" i="5" s="1"/>
  <c r="M113" i="5" s="1"/>
  <c r="L112" i="5" a="1"/>
  <c r="L112" i="5" s="1"/>
  <c r="M112" i="5" s="1"/>
  <c r="L111" i="5" a="1"/>
  <c r="L111" i="5" s="1"/>
  <c r="M111" i="5" s="1"/>
  <c r="L110" i="5" a="1"/>
  <c r="L110" i="5" s="1"/>
  <c r="M110" i="5" s="1"/>
  <c r="L109" i="5" a="1"/>
  <c r="L109" i="5" s="1"/>
  <c r="M109" i="5" s="1"/>
  <c r="L108" i="5" a="1"/>
  <c r="L108" i="5" s="1"/>
  <c r="M108" i="5" s="1"/>
  <c r="L107" i="5" a="1"/>
  <c r="L107" i="5" s="1"/>
  <c r="M107" i="5" s="1"/>
  <c r="L106" i="5" a="1"/>
  <c r="L106" i="5" s="1"/>
  <c r="M106" i="5" s="1"/>
  <c r="L105" i="5" a="1"/>
  <c r="L105" i="5" s="1"/>
  <c r="M105" i="5" s="1"/>
  <c r="L104" i="5" a="1"/>
  <c r="L104" i="5" s="1"/>
  <c r="M104" i="5" s="1"/>
  <c r="L103" i="5" a="1"/>
  <c r="L103" i="5" s="1"/>
  <c r="M103" i="5" s="1"/>
  <c r="L102" i="5" a="1"/>
  <c r="L102" i="5" s="1"/>
  <c r="M102" i="5" s="1"/>
  <c r="L101" i="5" a="1"/>
  <c r="L101" i="5" s="1"/>
  <c r="M101" i="5" s="1"/>
  <c r="L100" i="5" a="1"/>
  <c r="L100" i="5" s="1"/>
  <c r="M100" i="5" s="1"/>
  <c r="L99" i="5" a="1"/>
  <c r="L99" i="5" s="1"/>
  <c r="M99" i="5" s="1"/>
  <c r="L98" i="5" a="1"/>
  <c r="L98" i="5" s="1"/>
  <c r="M98" i="5" s="1"/>
  <c r="L97" i="5" a="1"/>
  <c r="L97" i="5" s="1"/>
  <c r="M97" i="5" s="1"/>
  <c r="L96" i="5" a="1"/>
  <c r="L96" i="5" s="1"/>
  <c r="M96" i="5" s="1"/>
  <c r="L95" i="5" a="1"/>
  <c r="L95" i="5" s="1"/>
  <c r="M95" i="5" s="1"/>
  <c r="L94" i="5" a="1"/>
  <c r="L94" i="5" s="1"/>
  <c r="M94" i="5" s="1"/>
  <c r="L93" i="5" a="1"/>
  <c r="L93" i="5" s="1"/>
  <c r="M93" i="5" s="1"/>
  <c r="L92" i="5" a="1"/>
  <c r="L92" i="5" s="1"/>
  <c r="M92" i="5" s="1"/>
  <c r="L91" i="5" a="1"/>
  <c r="L91" i="5" s="1"/>
  <c r="M91" i="5" s="1"/>
  <c r="L90" i="5" a="1"/>
  <c r="L90" i="5" s="1"/>
  <c r="M90" i="5" s="1"/>
  <c r="L89" i="5" a="1"/>
  <c r="L89" i="5" s="1"/>
  <c r="M89" i="5" s="1"/>
  <c r="L88" i="5" a="1"/>
  <c r="L88" i="5" s="1"/>
  <c r="M88" i="5" s="1"/>
  <c r="L87" i="5" a="1"/>
  <c r="L87" i="5" s="1"/>
  <c r="M87" i="5" s="1"/>
  <c r="L86" i="5" a="1"/>
  <c r="L86" i="5" s="1"/>
  <c r="M86" i="5" s="1"/>
  <c r="L85" i="5" a="1"/>
  <c r="L85" i="5" s="1"/>
  <c r="M85" i="5" s="1"/>
  <c r="L84" i="5" a="1"/>
  <c r="L84" i="5" s="1"/>
  <c r="M84" i="5" s="1"/>
  <c r="L83" i="5" a="1"/>
  <c r="L83" i="5" s="1"/>
  <c r="M83" i="5" s="1"/>
  <c r="L82" i="5" a="1"/>
  <c r="L82" i="5" s="1"/>
  <c r="M82" i="5" s="1"/>
  <c r="L81" i="5" a="1"/>
  <c r="L81" i="5" s="1"/>
  <c r="M81" i="5" s="1"/>
  <c r="L80" i="5" a="1"/>
  <c r="L80" i="5" s="1"/>
  <c r="M80" i="5" s="1"/>
  <c r="L79" i="5" a="1"/>
  <c r="L79" i="5" s="1"/>
  <c r="M79" i="5" s="1"/>
  <c r="L78" i="5" a="1"/>
  <c r="L78" i="5" s="1"/>
  <c r="M78" i="5" s="1"/>
  <c r="L77" i="5" a="1"/>
  <c r="L77" i="5" s="1"/>
  <c r="M77" i="5" s="1"/>
  <c r="L76" i="5" a="1"/>
  <c r="L76" i="5" s="1"/>
  <c r="M76" i="5" s="1"/>
  <c r="L75" i="5" a="1"/>
  <c r="L75" i="5" s="1"/>
  <c r="M75" i="5" s="1"/>
  <c r="L74" i="5" a="1"/>
  <c r="L74" i="5" s="1"/>
  <c r="M74" i="5" s="1"/>
  <c r="L73" i="5" a="1"/>
  <c r="L73" i="5" s="1"/>
  <c r="M73" i="5" s="1"/>
  <c r="L72" i="5" a="1"/>
  <c r="L72" i="5" s="1"/>
  <c r="M72" i="5" s="1"/>
  <c r="L71" i="5" a="1"/>
  <c r="L71" i="5" s="1"/>
  <c r="M71" i="5" s="1"/>
  <c r="L70" i="5" a="1"/>
  <c r="L70" i="5" s="1"/>
  <c r="M70" i="5" s="1"/>
  <c r="L69" i="5" a="1"/>
  <c r="L69" i="5" s="1"/>
  <c r="M69" i="5" s="1"/>
  <c r="L68" i="5" a="1"/>
  <c r="L68" i="5" s="1"/>
  <c r="M68" i="5" s="1"/>
  <c r="L67" i="5" a="1"/>
  <c r="L67" i="5" s="1"/>
  <c r="M67" i="5" s="1"/>
  <c r="L66" i="5" a="1"/>
  <c r="L66" i="5" s="1"/>
  <c r="M66" i="5" s="1"/>
  <c r="L65" i="5" a="1"/>
  <c r="L65" i="5" s="1"/>
  <c r="M65" i="5" s="1"/>
  <c r="L64" i="5" a="1"/>
  <c r="L64" i="5" s="1"/>
  <c r="M64" i="5" s="1"/>
  <c r="L63" i="5" a="1"/>
  <c r="L63" i="5" s="1"/>
  <c r="M63" i="5" s="1"/>
  <c r="L62" i="5" a="1"/>
  <c r="L62" i="5" s="1"/>
  <c r="M62" i="5" s="1"/>
  <c r="L61" i="5" a="1"/>
  <c r="L61" i="5" s="1"/>
  <c r="M61" i="5" s="1"/>
  <c r="L60" i="5" a="1"/>
  <c r="L60" i="5" s="1"/>
  <c r="M60" i="5" s="1"/>
  <c r="L59" i="5" a="1"/>
  <c r="L59" i="5" s="1"/>
  <c r="M59" i="5" s="1"/>
  <c r="L58" i="5" a="1"/>
  <c r="L58" i="5" s="1"/>
  <c r="M58" i="5" s="1"/>
  <c r="L57" i="5" a="1"/>
  <c r="L57" i="5" s="1"/>
  <c r="M57" i="5" s="1"/>
  <c r="L56" i="5" a="1"/>
  <c r="L56" i="5" s="1"/>
  <c r="M56" i="5" s="1"/>
  <c r="L55" i="5" a="1"/>
  <c r="L55" i="5" s="1"/>
  <c r="M55" i="5" s="1"/>
  <c r="L54" i="5" a="1"/>
  <c r="L54" i="5" s="1"/>
  <c r="M54" i="5" s="1"/>
  <c r="L53" i="5" a="1"/>
  <c r="L53" i="5" s="1"/>
  <c r="M53" i="5" s="1"/>
  <c r="L52" i="5" a="1"/>
  <c r="L52" i="5" s="1"/>
  <c r="M52" i="5" s="1"/>
  <c r="L51" i="5" a="1"/>
  <c r="L51" i="5" s="1"/>
  <c r="M51" i="5" s="1"/>
  <c r="L50" i="5" a="1"/>
  <c r="L50" i="5" s="1"/>
  <c r="M50" i="5" s="1"/>
  <c r="L49" i="5" a="1"/>
  <c r="L49" i="5" s="1"/>
  <c r="M49" i="5" s="1"/>
  <c r="L48" i="5" a="1"/>
  <c r="L48" i="5" s="1"/>
  <c r="M48" i="5" s="1"/>
  <c r="L47" i="5" a="1"/>
  <c r="L47" i="5" s="1"/>
  <c r="M47" i="5" s="1"/>
  <c r="L46" i="5" a="1"/>
  <c r="L46" i="5" s="1"/>
  <c r="M46" i="5" s="1"/>
  <c r="L45" i="5" a="1"/>
  <c r="L45" i="5" s="1"/>
  <c r="M45" i="5" s="1"/>
  <c r="L44" i="5" a="1"/>
  <c r="L44" i="5" s="1"/>
  <c r="M44" i="5" s="1"/>
  <c r="L43" i="5" a="1"/>
  <c r="L43" i="5" s="1"/>
  <c r="M43" i="5" s="1"/>
  <c r="L42" i="5" a="1"/>
  <c r="L42" i="5" s="1"/>
  <c r="M42" i="5" s="1"/>
  <c r="L41" i="5" a="1"/>
  <c r="L41" i="5" s="1"/>
  <c r="M41" i="5" s="1"/>
  <c r="L40" i="5" a="1"/>
  <c r="L40" i="5" s="1"/>
  <c r="M40" i="5" s="1"/>
  <c r="L39" i="5" a="1"/>
  <c r="L39" i="5" s="1"/>
  <c r="M39" i="5" s="1"/>
  <c r="L38" i="5" a="1"/>
  <c r="L38" i="5" s="1"/>
  <c r="M38" i="5" s="1"/>
  <c r="L37" i="5" a="1"/>
  <c r="L37" i="5" s="1"/>
  <c r="M37" i="5" s="1"/>
  <c r="L36" i="5" a="1"/>
  <c r="L36" i="5" s="1"/>
  <c r="M36" i="5" s="1"/>
  <c r="L35" i="5" a="1"/>
  <c r="L35" i="5" s="1"/>
  <c r="M35" i="5" s="1"/>
  <c r="L34" i="5" a="1"/>
  <c r="L34" i="5" s="1"/>
  <c r="M34" i="5" s="1"/>
  <c r="L33" i="5" a="1"/>
  <c r="L33" i="5" s="1"/>
  <c r="M33" i="5" s="1"/>
  <c r="L32" i="5" a="1"/>
  <c r="L32" i="5" s="1"/>
  <c r="M32" i="5" s="1"/>
  <c r="L31" i="5" a="1"/>
  <c r="L31" i="5" s="1"/>
  <c r="M31" i="5" s="1"/>
  <c r="L30" i="5" a="1"/>
  <c r="L30" i="5" s="1"/>
  <c r="M30" i="5" s="1"/>
  <c r="L29" i="5" a="1"/>
  <c r="L29" i="5" s="1"/>
  <c r="M29" i="5" s="1"/>
  <c r="L28" i="5" a="1"/>
  <c r="L28" i="5" s="1"/>
  <c r="M28" i="5" s="1"/>
  <c r="L27" i="5" a="1"/>
  <c r="L27" i="5" s="1"/>
  <c r="M27" i="5" s="1"/>
  <c r="L26" i="5" a="1"/>
  <c r="L26" i="5" s="1"/>
  <c r="M26" i="5" s="1"/>
  <c r="L25" i="5" a="1"/>
  <c r="L25" i="5" s="1"/>
  <c r="M25" i="5" s="1"/>
  <c r="L24" i="5" a="1"/>
  <c r="L24" i="5" s="1"/>
  <c r="M24" i="5" s="1"/>
  <c r="L23" i="5" a="1"/>
  <c r="L23" i="5" s="1"/>
  <c r="M23" i="5" s="1"/>
  <c r="L22" i="5" a="1"/>
  <c r="L22" i="5" s="1"/>
  <c r="M22" i="5" s="1"/>
  <c r="L21" i="5" a="1"/>
  <c r="L21" i="5" s="1"/>
  <c r="M21" i="5" s="1"/>
  <c r="L20" i="5" a="1"/>
  <c r="L20" i="5" s="1"/>
  <c r="M20" i="5" s="1"/>
  <c r="L19" i="5" a="1"/>
  <c r="L19" i="5" s="1"/>
  <c r="M19" i="5" s="1"/>
  <c r="L18" i="5" a="1"/>
  <c r="L18" i="5" s="1"/>
  <c r="M18" i="5" s="1"/>
  <c r="L17" i="5" a="1"/>
  <c r="L17" i="5" s="1"/>
  <c r="M17" i="5" s="1"/>
  <c r="L16" i="5" a="1"/>
  <c r="L16" i="5" s="1"/>
  <c r="M16" i="5" s="1"/>
  <c r="L15" i="5" a="1"/>
  <c r="L15" i="5" s="1"/>
  <c r="M15" i="5" s="1"/>
  <c r="L14" i="5" a="1"/>
  <c r="L14" i="5" s="1"/>
  <c r="M14" i="5" s="1"/>
  <c r="L13" i="5" a="1"/>
  <c r="L13" i="5" s="1"/>
  <c r="M13" i="5" s="1"/>
  <c r="L12" i="5" a="1"/>
  <c r="L12" i="5" s="1"/>
  <c r="M12" i="5" s="1"/>
  <c r="L11" i="5" a="1"/>
  <c r="L11" i="5" s="1"/>
  <c r="M11" i="5" s="1"/>
  <c r="L10" i="5" a="1"/>
  <c r="L10" i="5" s="1"/>
  <c r="M10" i="5" s="1"/>
  <c r="L9" i="5" a="1"/>
  <c r="L9" i="5" s="1"/>
  <c r="M9" i="5" s="1"/>
  <c r="L8" i="5" a="1"/>
  <c r="L8" i="5" s="1"/>
  <c r="M8" i="5" s="1"/>
  <c r="L7" i="5" a="1"/>
  <c r="L7" i="5" s="1"/>
  <c r="M7" i="5" s="1"/>
  <c r="L6" i="5" a="1"/>
  <c r="L6" i="5" s="1"/>
  <c r="M6" i="5" s="1"/>
  <c r="L5" i="5" a="1"/>
  <c r="L5" i="5" s="1"/>
  <c r="M5" i="5" s="1"/>
  <c r="R128" i="5" l="1"/>
  <c r="R11" i="5"/>
  <c r="R116" i="5"/>
  <c r="R153" i="5"/>
  <c r="R17" i="5"/>
  <c r="R133" i="5"/>
  <c r="R108" i="5"/>
  <c r="R126" i="5"/>
  <c r="R135" i="5"/>
  <c r="R152" i="5"/>
  <c r="R138" i="5"/>
  <c r="R140" i="5"/>
  <c r="R106" i="5"/>
  <c r="R123" i="5"/>
  <c r="R130" i="5"/>
  <c r="R148" i="5"/>
  <c r="R103" i="5"/>
  <c r="R156" i="5"/>
  <c r="R92" i="5"/>
  <c r="R93" i="5"/>
  <c r="R8" i="5"/>
  <c r="R10" i="5"/>
  <c r="R14" i="5"/>
  <c r="R101" i="5"/>
  <c r="R115" i="5"/>
  <c r="R144" i="5"/>
  <c r="R147" i="5"/>
  <c r="R149" i="5"/>
  <c r="R164" i="5"/>
  <c r="R19" i="5"/>
  <c r="S19" i="5" s="1"/>
  <c r="S57" i="5"/>
  <c r="S74" i="5"/>
  <c r="R95" i="5"/>
  <c r="R110" i="5"/>
  <c r="R119" i="5"/>
  <c r="R129" i="5"/>
  <c r="R134" i="5"/>
  <c r="R141" i="5"/>
  <c r="R154" i="5"/>
  <c r="R18" i="5"/>
  <c r="S21" i="5"/>
  <c r="S29" i="5"/>
  <c r="S36" i="5"/>
  <c r="S41" i="5"/>
  <c r="S52" i="5"/>
  <c r="S58" i="5"/>
  <c r="S63" i="5"/>
  <c r="S75" i="5"/>
  <c r="S81" i="5"/>
  <c r="R88" i="5"/>
  <c r="R89" i="5"/>
  <c r="R96" i="5"/>
  <c r="R111" i="5"/>
  <c r="R112" i="5"/>
  <c r="R142" i="5"/>
  <c r="R157" i="5"/>
  <c r="R165" i="5"/>
  <c r="R16" i="5"/>
  <c r="S22" i="5"/>
  <c r="S30" i="5"/>
  <c r="S42" i="5"/>
  <c r="S64" i="5"/>
  <c r="S76" i="5"/>
  <c r="R107" i="5"/>
  <c r="R109" i="5"/>
  <c r="R114" i="5"/>
  <c r="R121" i="5"/>
  <c r="R125" i="5"/>
  <c r="R132" i="5"/>
  <c r="R143" i="5"/>
  <c r="R160" i="5"/>
  <c r="R171" i="5"/>
  <c r="S23" i="5"/>
  <c r="S31" i="5"/>
  <c r="S43" i="5"/>
  <c r="S65" i="5"/>
  <c r="S77" i="5"/>
  <c r="R91" i="5"/>
  <c r="R94" i="5"/>
  <c r="R117" i="5"/>
  <c r="R118" i="5"/>
  <c r="R122" i="5"/>
  <c r="R127" i="5"/>
  <c r="R131" i="5"/>
  <c r="R139" i="5"/>
  <c r="R12" i="5"/>
  <c r="S24" i="5"/>
  <c r="S32" i="5"/>
  <c r="S38" i="5"/>
  <c r="S54" i="5"/>
  <c r="S66" i="5"/>
  <c r="S71" i="5"/>
  <c r="S78" i="5"/>
  <c r="R99" i="5"/>
  <c r="R105" i="5"/>
  <c r="R124" i="5"/>
  <c r="R136" i="5"/>
  <c r="R150" i="5"/>
  <c r="I1" i="5"/>
  <c r="S25" i="5"/>
  <c r="S39" i="5"/>
  <c r="S44" i="5"/>
  <c r="S49" i="5"/>
  <c r="S55" i="5"/>
  <c r="S60" i="5"/>
  <c r="S67" i="5"/>
  <c r="S72" i="5"/>
  <c r="S83" i="5"/>
  <c r="R100" i="5"/>
  <c r="R102" i="5"/>
  <c r="R169" i="5"/>
  <c r="S26" i="5"/>
  <c r="S50" i="5"/>
  <c r="S61" i="5"/>
  <c r="S73" i="5"/>
  <c r="S84" i="5"/>
  <c r="R90" i="5"/>
  <c r="R97" i="5"/>
  <c r="R98" i="5"/>
  <c r="R145" i="5"/>
  <c r="R159" i="5"/>
  <c r="R172" i="5"/>
  <c r="M2" i="5"/>
  <c r="M1" i="5"/>
  <c r="V167" i="3"/>
  <c r="V166" i="3"/>
  <c r="V165" i="3"/>
  <c r="V164" i="3"/>
  <c r="V163" i="3"/>
  <c r="V162" i="3"/>
  <c r="V161" i="3"/>
  <c r="V160" i="3"/>
  <c r="V159" i="3"/>
  <c r="V158" i="3"/>
  <c r="V157" i="3"/>
  <c r="V156" i="3"/>
  <c r="V155" i="3"/>
  <c r="V154" i="3"/>
  <c r="V153" i="3"/>
  <c r="V152" i="3"/>
  <c r="V151" i="3"/>
  <c r="V150" i="3"/>
  <c r="V149" i="3"/>
  <c r="V148" i="3"/>
  <c r="V147" i="3"/>
  <c r="V146" i="3"/>
  <c r="V145" i="3"/>
  <c r="V144" i="3"/>
  <c r="V143" i="3"/>
  <c r="V142" i="3"/>
  <c r="V141" i="3"/>
  <c r="V140" i="3"/>
  <c r="V139" i="3"/>
  <c r="V138" i="3"/>
  <c r="V137" i="3"/>
  <c r="V136" i="3"/>
  <c r="V135" i="3"/>
  <c r="V134" i="3"/>
  <c r="V133" i="3"/>
  <c r="V132" i="3"/>
  <c r="V131" i="3"/>
  <c r="V130" i="3"/>
  <c r="V129" i="3"/>
  <c r="V128" i="3"/>
  <c r="V127" i="3"/>
  <c r="V126" i="3"/>
  <c r="V125" i="3"/>
  <c r="V124" i="3"/>
  <c r="V123" i="3"/>
  <c r="V122" i="3"/>
  <c r="V121" i="3"/>
  <c r="V120" i="3"/>
  <c r="V119" i="3"/>
  <c r="V118" i="3"/>
  <c r="V117" i="3"/>
  <c r="V116" i="3"/>
  <c r="V115" i="3"/>
  <c r="V114" i="3"/>
  <c r="V113" i="3"/>
  <c r="V112" i="3"/>
  <c r="V111" i="3"/>
  <c r="V110" i="3"/>
  <c r="V109" i="3"/>
  <c r="V108" i="3"/>
  <c r="V107" i="3"/>
  <c r="V106" i="3"/>
  <c r="V105" i="3"/>
  <c r="V104" i="3"/>
  <c r="V103" i="3"/>
  <c r="V102" i="3"/>
  <c r="V101" i="3"/>
  <c r="V100" i="3"/>
  <c r="V99" i="3"/>
  <c r="V98" i="3"/>
  <c r="V97" i="3"/>
  <c r="V96" i="3"/>
  <c r="V95" i="3"/>
  <c r="V94" i="3"/>
  <c r="V93" i="3"/>
  <c r="V92" i="3"/>
  <c r="V91" i="3"/>
  <c r="V90" i="3"/>
  <c r="V89" i="3"/>
  <c r="V88" i="3"/>
  <c r="V87" i="3"/>
  <c r="V86" i="3"/>
  <c r="V85" i="3"/>
  <c r="V84" i="3"/>
  <c r="V83" i="3"/>
  <c r="V82" i="3"/>
  <c r="V81" i="3"/>
  <c r="V80" i="3"/>
  <c r="V79" i="3"/>
  <c r="V78" i="3"/>
  <c r="V77" i="3"/>
  <c r="V76" i="3"/>
  <c r="V75" i="3"/>
  <c r="V74" i="3"/>
  <c r="V73" i="3"/>
  <c r="V72" i="3"/>
  <c r="V71" i="3"/>
  <c r="V70" i="3"/>
  <c r="V69" i="3"/>
  <c r="V68" i="3"/>
  <c r="V67" i="3"/>
  <c r="V66" i="3"/>
  <c r="V65" i="3"/>
  <c r="V64" i="3"/>
  <c r="V63" i="3"/>
  <c r="V62" i="3"/>
  <c r="V61" i="3"/>
  <c r="V60" i="3"/>
  <c r="V59" i="3"/>
  <c r="V58" i="3"/>
  <c r="V57" i="3"/>
  <c r="V56" i="3"/>
  <c r="V55" i="3"/>
  <c r="V54" i="3"/>
  <c r="V53" i="3"/>
  <c r="V52" i="3"/>
  <c r="V51" i="3"/>
  <c r="V50" i="3"/>
  <c r="V49" i="3"/>
  <c r="V48" i="3"/>
  <c r="V47" i="3"/>
  <c r="V46" i="3"/>
  <c r="V45" i="3"/>
  <c r="V44" i="3"/>
  <c r="V43" i="3"/>
  <c r="V42" i="3"/>
  <c r="V41" i="3"/>
  <c r="V40" i="3"/>
  <c r="V39" i="3"/>
  <c r="V38" i="3"/>
  <c r="V37" i="3"/>
  <c r="V36" i="3"/>
  <c r="V35" i="3"/>
  <c r="V34" i="3"/>
  <c r="V33" i="3"/>
  <c r="V32" i="3"/>
  <c r="V31" i="3"/>
  <c r="V30" i="3"/>
  <c r="V29" i="3"/>
  <c r="V28" i="3"/>
  <c r="V27" i="3"/>
  <c r="V26" i="3"/>
  <c r="V25" i="3"/>
  <c r="V24" i="3"/>
  <c r="V23" i="3"/>
  <c r="V22" i="3"/>
  <c r="V21" i="3"/>
  <c r="V20" i="3"/>
  <c r="V19" i="3"/>
  <c r="V18" i="3"/>
  <c r="V17" i="3"/>
  <c r="V16" i="3"/>
  <c r="V15" i="3"/>
  <c r="V14" i="3"/>
  <c r="V13" i="3"/>
  <c r="V12" i="3"/>
  <c r="V11" i="3"/>
  <c r="V10" i="3"/>
  <c r="V9" i="3"/>
  <c r="V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S47" i="5" l="1"/>
  <c r="S28" i="5"/>
  <c r="S86" i="5"/>
  <c r="S46" i="5"/>
  <c r="S80" i="5"/>
  <c r="S20" i="5"/>
  <c r="S69" i="5"/>
  <c r="S62" i="5"/>
  <c r="S56" i="5"/>
  <c r="S35" i="5"/>
  <c r="S33" i="5"/>
  <c r="S51" i="5"/>
  <c r="R120" i="5"/>
  <c r="S122" i="5" s="1"/>
  <c r="R146" i="5"/>
  <c r="S169" i="5" s="1"/>
  <c r="S40" i="5"/>
  <c r="R113" i="5"/>
  <c r="S115" i="5" s="1"/>
  <c r="S48" i="5"/>
  <c r="S68" i="5"/>
  <c r="S79" i="5"/>
  <c r="R104" i="5"/>
  <c r="S112" i="5" s="1"/>
  <c r="R87" i="5"/>
  <c r="S102" i="5" s="1"/>
  <c r="S59" i="5"/>
  <c r="S85" i="5"/>
  <c r="S70" i="5"/>
  <c r="S53" i="5"/>
  <c r="S45" i="5"/>
  <c r="R5" i="5"/>
  <c r="S34" i="5"/>
  <c r="S82" i="5"/>
  <c r="R137" i="5"/>
  <c r="S139" i="5" s="1"/>
  <c r="S37" i="5"/>
  <c r="S125" i="5"/>
  <c r="S27" i="5"/>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S132" i="5" l="1"/>
  <c r="S154" i="5"/>
  <c r="S171" i="5"/>
  <c r="S101" i="5"/>
  <c r="S147" i="5"/>
  <c r="S157" i="5"/>
  <c r="S164" i="5"/>
  <c r="S117" i="5"/>
  <c r="S159" i="5"/>
  <c r="S172" i="5"/>
  <c r="S160" i="5"/>
  <c r="S150" i="5"/>
  <c r="S149" i="5"/>
  <c r="S165" i="5"/>
  <c r="S107" i="5"/>
  <c r="S136" i="5"/>
  <c r="S131" i="5"/>
  <c r="S129" i="5"/>
  <c r="S111" i="5"/>
  <c r="S134" i="5"/>
  <c r="S114" i="5"/>
  <c r="U19" i="5"/>
  <c r="S100" i="5"/>
  <c r="R1" i="5"/>
  <c r="S5" i="5"/>
  <c r="S15" i="5"/>
  <c r="S7" i="5"/>
  <c r="S13" i="5"/>
  <c r="S9" i="5"/>
  <c r="S17" i="5"/>
  <c r="S11" i="5"/>
  <c r="S16" i="5"/>
  <c r="S92" i="5"/>
  <c r="S94" i="5"/>
  <c r="S141" i="5"/>
  <c r="S8" i="5"/>
  <c r="S113" i="5"/>
  <c r="S116" i="5"/>
  <c r="S119" i="5"/>
  <c r="S12" i="5"/>
  <c r="S18" i="5"/>
  <c r="S143" i="5"/>
  <c r="S99" i="5"/>
  <c r="S88" i="5"/>
  <c r="S95" i="5"/>
  <c r="S10" i="5"/>
  <c r="S120" i="5"/>
  <c r="S123" i="5"/>
  <c r="S126" i="5"/>
  <c r="S135" i="5"/>
  <c r="S130" i="5"/>
  <c r="S133" i="5"/>
  <c r="S128" i="5"/>
  <c r="S142" i="5"/>
  <c r="S91" i="5"/>
  <c r="S89" i="5"/>
  <c r="S144" i="5"/>
  <c r="S121" i="5"/>
  <c r="S87" i="5"/>
  <c r="S103" i="5"/>
  <c r="S90" i="5"/>
  <c r="S98" i="5"/>
  <c r="S104" i="5"/>
  <c r="S106" i="5"/>
  <c r="S108" i="5"/>
  <c r="S109" i="5"/>
  <c r="S110" i="5"/>
  <c r="S127" i="5"/>
  <c r="S105" i="5"/>
  <c r="S118" i="5"/>
  <c r="S14" i="5"/>
  <c r="S137" i="5"/>
  <c r="S138" i="5"/>
  <c r="S140" i="5"/>
  <c r="S97" i="5"/>
  <c r="S6" i="5"/>
  <c r="S93" i="5"/>
  <c r="S124" i="5"/>
  <c r="S96" i="5"/>
  <c r="S146" i="5"/>
  <c r="S166" i="5"/>
  <c r="S161" i="5"/>
  <c r="S168" i="5"/>
  <c r="S163" i="5"/>
  <c r="S158" i="5"/>
  <c r="S152" i="5"/>
  <c r="S167" i="5"/>
  <c r="S153" i="5"/>
  <c r="S151" i="5"/>
  <c r="S170" i="5"/>
  <c r="S155" i="5"/>
  <c r="S148" i="5"/>
  <c r="S156" i="5"/>
  <c r="S162" i="5"/>
  <c r="S145" i="5"/>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J70" i="1" s="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95"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A4" i="1"/>
  <c r="A3" i="1"/>
  <c r="Y6" i="1" a="1"/>
  <c r="Y6" i="1" s="1"/>
  <c r="X4" i="1" s="1"/>
  <c r="W6" i="1" a="1"/>
  <c r="W6" i="1" s="1"/>
  <c r="U6" i="1" a="1"/>
  <c r="U6" i="1" s="1"/>
  <c r="F1" i="1"/>
  <c r="S1" i="1"/>
  <c r="R1" i="1"/>
  <c r="Q1" i="1"/>
  <c r="P1" i="1"/>
  <c r="O1" i="1"/>
  <c r="N1" i="1"/>
  <c r="M1" i="1"/>
  <c r="L1" i="1"/>
  <c r="U113" i="5" l="1"/>
  <c r="U104" i="5"/>
  <c r="U146" i="5"/>
  <c r="U5" i="5"/>
  <c r="U120" i="5"/>
  <c r="U137" i="5"/>
  <c r="U87" i="5"/>
  <c r="K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<sst xmlns="http://schemas.openxmlformats.org/spreadsheetml/2006/main" count="25529" uniqueCount="5232">
  <si>
    <t>State</t>
  </si>
  <si>
    <t>County</t>
  </si>
  <si>
    <t>Alabama</t>
  </si>
  <si>
    <t>MSAs+1</t>
  </si>
  <si>
    <t>Alaska</t>
  </si>
  <si>
    <t>3-Digit Zip Codes</t>
  </si>
  <si>
    <t>Arizona</t>
  </si>
  <si>
    <t>Counties</t>
  </si>
  <si>
    <t>Arkansas</t>
  </si>
  <si>
    <t>California</t>
  </si>
  <si>
    <t>Combination</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</si>
  <si>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</si>
  <si>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</si>
  <si>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</si>
  <si>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</si>
  <si>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</si>
  <si>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</si>
  <si>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</si>
  <si>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</si>
  <si>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</si>
  <si>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</si>
  <si>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</si>
  <si>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</si>
  <si>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</si>
  <si>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</si>
  <si>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</si>
  <si>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</si>
  <si>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</si>
  <si>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</si>
  <si>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</si>
  <si>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</si>
  <si>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</si>
  <si>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</si>
  <si>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</si>
  <si>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 4</t>
  </si>
  <si>
    <t>3-Digit Zip Codes </t>
  </si>
  <si>
    <t>4 </t>
  </si>
  <si>
    <t> 3-Digit Zip Codes</t>
  </si>
  <si>
    <t>Nevada</t>
  </si>
  <si>
    <t>New Hampshire</t>
  </si>
  <si>
    <t>New Jersey</t>
  </si>
  <si>
    <t>(Individual Market)</t>
  </si>
  <si>
    <t>(Small Group Market)</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</si>
  <si>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</si>
  <si>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</si>
  <si>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</si>
  <si>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</si>
  <si>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</si>
  <si>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</si>
  <si>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</si>
  <si>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</si>
  <si>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</si>
  <si>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</si>
  <si>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</si>
  <si>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</si>
  <si>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</si>
  <si>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</si>
  <si>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</si>
  <si>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</si>
  <si>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</si>
  <si>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</si>
  <si>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</si>
  <si>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</si>
  <si>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</si>
  <si>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Guam</t>
  </si>
  <si>
    <t>Northern Mariana Islands</t>
  </si>
  <si>
    <t>Puerto Rico</t>
  </si>
  <si>
    <t>US Virgin Islands</t>
  </si>
  <si>
    <t>Individual and Small Group Market Geographic Rating Areas by State</t>
  </si>
  <si>
    <t>Updated April 20, 2018</t>
  </si>
  <si>
    <t>Acessed March 5,2020</t>
  </si>
  <si>
    <t>https://www.cms.gov/cciio/programs-and-initiatives/health-insurance-market-reforms/state-gra</t>
  </si>
  <si>
    <t>Rating Area 1</t>
  </si>
  <si>
    <t>Calhoun</t>
  </si>
  <si>
    <t>Rating Area 2</t>
  </si>
  <si>
    <t>Lee</t>
  </si>
  <si>
    <t>Rating Area 3</t>
  </si>
  <si>
    <t>Bibb</t>
  </si>
  <si>
    <t>Blount</t>
  </si>
  <si>
    <t>Chilton</t>
  </si>
  <si>
    <t>Jefferson</t>
  </si>
  <si>
    <t>St. Clair</t>
  </si>
  <si>
    <t>Shelby</t>
  </si>
  <si>
    <t>Walker</t>
  </si>
  <si>
    <t>Rating Area 4</t>
  </si>
  <si>
    <t>Russell</t>
  </si>
  <si>
    <t>Rating Area 5</t>
  </si>
  <si>
    <t>Lawrence</t>
  </si>
  <si>
    <t>Morgan</t>
  </si>
  <si>
    <t>Rating Area 6</t>
  </si>
  <si>
    <t>Geneva</t>
  </si>
  <si>
    <t>Henry</t>
  </si>
  <si>
    <t>Houston</t>
  </si>
  <si>
    <t>Rating Area 7</t>
  </si>
  <si>
    <t>Colbert</t>
  </si>
  <si>
    <t>Lauderdale</t>
  </si>
  <si>
    <t>Rating Area 8</t>
  </si>
  <si>
    <t>Etowah</t>
  </si>
  <si>
    <t>Rating Area 9</t>
  </si>
  <si>
    <t>Limestone</t>
  </si>
  <si>
    <t>Madison</t>
  </si>
  <si>
    <t>Rating Area 10</t>
  </si>
  <si>
    <t>Mobile</t>
  </si>
  <si>
    <t>Rating Area 11</t>
  </si>
  <si>
    <t>Autauga</t>
  </si>
  <si>
    <t>Elmore</t>
  </si>
  <si>
    <t>Lowndes</t>
  </si>
  <si>
    <t>Montgomery</t>
  </si>
  <si>
    <t>Rating Area 12</t>
  </si>
  <si>
    <t>Greene</t>
  </si>
  <si>
    <t>Hale</t>
  </si>
  <si>
    <t>Tuscaloosa</t>
  </si>
  <si>
    <t>Rating Area 13</t>
  </si>
  <si>
    <t>Baldwin</t>
  </si>
  <si>
    <t>Barbour</t>
  </si>
  <si>
    <t>Bullock</t>
  </si>
  <si>
    <t>Butler</t>
  </si>
  <si>
    <t>Chambers</t>
  </si>
  <si>
    <t>Cherokee</t>
  </si>
  <si>
    <t>Choctaw</t>
  </si>
  <si>
    <t>Clarke</t>
  </si>
  <si>
    <t>Clay</t>
  </si>
  <si>
    <t>Cleburne</t>
  </si>
  <si>
    <t>Coffee</t>
  </si>
  <si>
    <t>Conecuh</t>
  </si>
  <si>
    <t>Coosa</t>
  </si>
  <si>
    <t>Covington</t>
  </si>
  <si>
    <t>Crenshaw</t>
  </si>
  <si>
    <t>Cullman</t>
  </si>
  <si>
    <t>Dale</t>
  </si>
  <si>
    <t>Dallas</t>
  </si>
  <si>
    <t>DeKalb</t>
  </si>
  <si>
    <t>Escambia</t>
  </si>
  <si>
    <t>Fayette</t>
  </si>
  <si>
    <t>Franklin</t>
  </si>
  <si>
    <t>Jackson</t>
  </si>
  <si>
    <t>Lamar</t>
  </si>
  <si>
    <t>Macon</t>
  </si>
  <si>
    <t>Marion</t>
  </si>
  <si>
    <t>Marengo</t>
  </si>
  <si>
    <t>Marshall</t>
  </si>
  <si>
    <t>Monroe</t>
  </si>
  <si>
    <t>Perry</t>
  </si>
  <si>
    <t>Pickens</t>
  </si>
  <si>
    <t>Pike</t>
  </si>
  <si>
    <t>Randolph</t>
  </si>
  <si>
    <t>Sumter</t>
  </si>
  <si>
    <t>Talladega</t>
  </si>
  <si>
    <t>Tallapoosa</t>
  </si>
  <si>
    <t>Wilcox</t>
  </si>
  <si>
    <t>Winston</t>
  </si>
  <si>
    <t>last date when state data was modified</t>
  </si>
  <si>
    <t>Page Last Modified: 05/06/2013 01:39 PM</t>
  </si>
  <si>
    <t>These data are on the next page</t>
  </si>
  <si>
    <t xml:space="preserve">Rating Area ID </t>
  </si>
  <si>
    <t>(for federal systems)</t>
  </si>
  <si>
    <t>Alachua</t>
  </si>
  <si>
    <t>Baker</t>
  </si>
  <si>
    <t>Bay</t>
  </si>
  <si>
    <t>Bradford</t>
  </si>
  <si>
    <t>Brevard</t>
  </si>
  <si>
    <t>Broward</t>
  </si>
  <si>
    <t>Charlotte</t>
  </si>
  <si>
    <t>Citrus</t>
  </si>
  <si>
    <t>Collier</t>
  </si>
  <si>
    <t>Columbia</t>
  </si>
  <si>
    <t>Desoto</t>
  </si>
  <si>
    <t>Rating Area 14</t>
  </si>
  <si>
    <t>Dixie</t>
  </si>
  <si>
    <t>Rating Area 15</t>
  </si>
  <si>
    <t>Duval</t>
  </si>
  <si>
    <t>Rating Area 16</t>
  </si>
  <si>
    <t>Rating Area 17</t>
  </si>
  <si>
    <t>Flagler</t>
  </si>
  <si>
    <t>Rating Area 18</t>
  </si>
  <si>
    <t>Rating Area 19</t>
  </si>
  <si>
    <t>Gadsden</t>
  </si>
  <si>
    <t>Rating Area 20</t>
  </si>
  <si>
    <t>Gilchrist</t>
  </si>
  <si>
    <t>Rating Area 21</t>
  </si>
  <si>
    <t>Glades</t>
  </si>
  <si>
    <t>Rating Area 22</t>
  </si>
  <si>
    <t>Gulf</t>
  </si>
  <si>
    <t>Rating Area 23</t>
  </si>
  <si>
    <t>Hamilton</t>
  </si>
  <si>
    <t>Rating Area 24</t>
  </si>
  <si>
    <t>Hardee</t>
  </si>
  <si>
    <t>Rating Area 25</t>
  </si>
  <si>
    <t>Hendry</t>
  </si>
  <si>
    <t>Rating Area 26</t>
  </si>
  <si>
    <t>Hernando</t>
  </si>
  <si>
    <t>Rating Area 27</t>
  </si>
  <si>
    <t>Highlands</t>
  </si>
  <si>
    <t>Rating Area 28</t>
  </si>
  <si>
    <t>Hillsborough</t>
  </si>
  <si>
    <t>Rating Area 29</t>
  </si>
  <si>
    <t>Holmes</t>
  </si>
  <si>
    <t>Rating Area 30</t>
  </si>
  <si>
    <t>Indian River</t>
  </si>
  <si>
    <t>Rating Area 31</t>
  </si>
  <si>
    <t>Rating Area 32</t>
  </si>
  <si>
    <t>Rating Area 33</t>
  </si>
  <si>
    <t>Lafayette</t>
  </si>
  <si>
    <t>Rating Area 34</t>
  </si>
  <si>
    <t>Lake</t>
  </si>
  <si>
    <t>Rating Area 35</t>
  </si>
  <si>
    <t>Rating Area 36</t>
  </si>
  <si>
    <t>Leon</t>
  </si>
  <si>
    <t>Rating Area 37</t>
  </si>
  <si>
    <t>Levy</t>
  </si>
  <si>
    <t>Rating Area 38</t>
  </si>
  <si>
    <t>Liberty</t>
  </si>
  <si>
    <t>Rating Area 39</t>
  </si>
  <si>
    <t>Rating Area 40</t>
  </si>
  <si>
    <t>Manatee</t>
  </si>
  <si>
    <t>Rating Area 41</t>
  </si>
  <si>
    <t>Rating Area 42</t>
  </si>
  <si>
    <t>Martin</t>
  </si>
  <si>
    <t>Rating Area 43</t>
  </si>
  <si>
    <t>Miami-Dade</t>
  </si>
  <si>
    <t>Rating Area 44</t>
  </si>
  <si>
    <t>Rating Area 45</t>
  </si>
  <si>
    <t>Nassau</t>
  </si>
  <si>
    <t>Rating Area 46</t>
  </si>
  <si>
    <t>Okaloosa</t>
  </si>
  <si>
    <t>Rating Area 47</t>
  </si>
  <si>
    <t>Okeechobee</t>
  </si>
  <si>
    <t>Rating Area 48</t>
  </si>
  <si>
    <t>Orange</t>
  </si>
  <si>
    <t>Rating Area 49</t>
  </si>
  <si>
    <t>Osceola</t>
  </si>
  <si>
    <t>Rating Area 50</t>
  </si>
  <si>
    <t>Palm Beach</t>
  </si>
  <si>
    <t>Rating Area 51</t>
  </si>
  <si>
    <t>Pasco</t>
  </si>
  <si>
    <t>Rating Area 52</t>
  </si>
  <si>
    <t>Pinellas</t>
  </si>
  <si>
    <t>Rating Area 53</t>
  </si>
  <si>
    <t>Polk</t>
  </si>
  <si>
    <t>Rating Area 54</t>
  </si>
  <si>
    <t>Putnam</t>
  </si>
  <si>
    <t>Rating Area 55</t>
  </si>
  <si>
    <t>Santa Rosa</t>
  </si>
  <si>
    <t>Rating Area 56</t>
  </si>
  <si>
    <t>Sarasota</t>
  </si>
  <si>
    <t>Rating Area 57</t>
  </si>
  <si>
    <t>Seminole</t>
  </si>
  <si>
    <t>Rating Area 58</t>
  </si>
  <si>
    <t>St. Johns</t>
  </si>
  <si>
    <t>Rating Area 59</t>
  </si>
  <si>
    <t>St. Lucie</t>
  </si>
  <si>
    <t>Rating Area 60</t>
  </si>
  <si>
    <t>Rating Area 61</t>
  </si>
  <si>
    <t>Suwannee</t>
  </si>
  <si>
    <t>Rating Area 62</t>
  </si>
  <si>
    <t>Taylor</t>
  </si>
  <si>
    <t>Rating Area 63</t>
  </si>
  <si>
    <t>Union</t>
  </si>
  <si>
    <t>Rating Area 64</t>
  </si>
  <si>
    <t>Volusia</t>
  </si>
  <si>
    <t>Rating Area 65</t>
  </si>
  <si>
    <t>Wakulla</t>
  </si>
  <si>
    <t>Rating Area 66</t>
  </si>
  <si>
    <t>Walton</t>
  </si>
  <si>
    <t>Rating Area 67</t>
  </si>
  <si>
    <t>Crisp</t>
  </si>
  <si>
    <t>Dougherty</t>
  </si>
  <si>
    <t>Mitchell</t>
  </si>
  <si>
    <t>Schley</t>
  </si>
  <si>
    <t>Terrell</t>
  </si>
  <si>
    <t>Worth</t>
  </si>
  <si>
    <t>Barrow</t>
  </si>
  <si>
    <t>Elbert</t>
  </si>
  <si>
    <t>Oconee</t>
  </si>
  <si>
    <t>Oglethorpe</t>
  </si>
  <si>
    <t>Bartow</t>
  </si>
  <si>
    <t>Butts</t>
  </si>
  <si>
    <t>Clayton</t>
  </si>
  <si>
    <t>Cobb</t>
  </si>
  <si>
    <t>Coweta</t>
  </si>
  <si>
    <t>Douglas</t>
  </si>
  <si>
    <t>Forsyth</t>
  </si>
  <si>
    <t>Fulton</t>
  </si>
  <si>
    <t>Gwinnett</t>
  </si>
  <si>
    <t>Jasper</t>
  </si>
  <si>
    <t>Newton</t>
  </si>
  <si>
    <t>Paulding</t>
  </si>
  <si>
    <t>Rockdale</t>
  </si>
  <si>
    <t>Spalding</t>
  </si>
  <si>
    <t>Carroll</t>
  </si>
  <si>
    <t>Heralson</t>
  </si>
  <si>
    <t>Heard</t>
  </si>
  <si>
    <t>Burke</t>
  </si>
  <si>
    <t>Emanuel</t>
  </si>
  <si>
    <t>Glascock</t>
  </si>
  <si>
    <t>Jenkins</t>
  </si>
  <si>
    <t>Lincoln</t>
  </si>
  <si>
    <t>McDuffie</t>
  </si>
  <si>
    <t>Richmond</t>
  </si>
  <si>
    <t>Taliaferro</t>
  </si>
  <si>
    <t>Warren</t>
  </si>
  <si>
    <t>Wilkes</t>
  </si>
  <si>
    <t>Bacon</t>
  </si>
  <si>
    <t>Brantley</t>
  </si>
  <si>
    <t>Camden</t>
  </si>
  <si>
    <t>Charlton</t>
  </si>
  <si>
    <t>Glynn</t>
  </si>
  <si>
    <t>McIntosh</t>
  </si>
  <si>
    <t>Pierce</t>
  </si>
  <si>
    <t>Ware</t>
  </si>
  <si>
    <t>Wayne</t>
  </si>
  <si>
    <t>Catoosa</t>
  </si>
  <si>
    <t>Dade</t>
  </si>
  <si>
    <t>Chattahoochee</t>
  </si>
  <si>
    <t>Harris</t>
  </si>
  <si>
    <t>Meriwether</t>
  </si>
  <si>
    <t>Muscogee</t>
  </si>
  <si>
    <t>Quitman</t>
  </si>
  <si>
    <t>Stewart</t>
  </si>
  <si>
    <t>Talbot</t>
  </si>
  <si>
    <t>Troup</t>
  </si>
  <si>
    <t>Upson</t>
  </si>
  <si>
    <t>Webster</t>
  </si>
  <si>
    <t>Fannin</t>
  </si>
  <si>
    <t>Murray</t>
  </si>
  <si>
    <t>Whitfield</t>
  </si>
  <si>
    <t>Banks</t>
  </si>
  <si>
    <t>Dawson</t>
  </si>
  <si>
    <t>Habersham</t>
  </si>
  <si>
    <t>Hall</t>
  </si>
  <si>
    <t>Hart</t>
  </si>
  <si>
    <t>Lumpkin</t>
  </si>
  <si>
    <t>Rabun</t>
  </si>
  <si>
    <t>Stephens</t>
  </si>
  <si>
    <t>Towns</t>
  </si>
  <si>
    <t>White</t>
  </si>
  <si>
    <t>Atkinson</t>
  </si>
  <si>
    <t>Jeff Davis</t>
  </si>
  <si>
    <t>Johnson</t>
  </si>
  <si>
    <t>Laurens</t>
  </si>
  <si>
    <t>Telfair</t>
  </si>
  <si>
    <t>Toombs</t>
  </si>
  <si>
    <t>Treutlen</t>
  </si>
  <si>
    <t>Wheeler</t>
  </si>
  <si>
    <t>Bleckley</t>
  </si>
  <si>
    <t>Crawford</t>
  </si>
  <si>
    <t>Dodge</t>
  </si>
  <si>
    <t>Dooly</t>
  </si>
  <si>
    <t>Jones</t>
  </si>
  <si>
    <t>Peach</t>
  </si>
  <si>
    <t>Pulaski</t>
  </si>
  <si>
    <t>Twiggs</t>
  </si>
  <si>
    <t>Chattooga</t>
  </si>
  <si>
    <t>Floyd</t>
  </si>
  <si>
    <t>Gilmer</t>
  </si>
  <si>
    <t>Gordon</t>
  </si>
  <si>
    <t>Appling</t>
  </si>
  <si>
    <t>Bryan</t>
  </si>
  <si>
    <t>Bulloch</t>
  </si>
  <si>
    <t>Candler</t>
  </si>
  <si>
    <t>Chatham</t>
  </si>
  <si>
    <t>Effingham</t>
  </si>
  <si>
    <t>Evans</t>
  </si>
  <si>
    <t>Long</t>
  </si>
  <si>
    <t>Screven</t>
  </si>
  <si>
    <t>Tattnall</t>
  </si>
  <si>
    <t>Ben Hill</t>
  </si>
  <si>
    <t>Berrien</t>
  </si>
  <si>
    <t>Brooks</t>
  </si>
  <si>
    <t>Clinch</t>
  </si>
  <si>
    <t>Colquitt</t>
  </si>
  <si>
    <t>Cook</t>
  </si>
  <si>
    <t>Decatur</t>
  </si>
  <si>
    <t>Early</t>
  </si>
  <si>
    <t>Echols</t>
  </si>
  <si>
    <t>Grady</t>
  </si>
  <si>
    <t>Irwin</t>
  </si>
  <si>
    <t>Lanier</t>
  </si>
  <si>
    <t>Miller</t>
  </si>
  <si>
    <t>Thomas</t>
  </si>
  <si>
    <t>Tift</t>
  </si>
  <si>
    <t>Turner</t>
  </si>
  <si>
    <t>Hancock</t>
  </si>
  <si>
    <t>Wilkinson</t>
  </si>
  <si>
    <t>Orleans Parish</t>
  </si>
  <si>
    <t>St. Bernard Parish</t>
  </si>
  <si>
    <t>Plaquemines Parish</t>
  </si>
  <si>
    <t>Jefferson Parish</t>
  </si>
  <si>
    <t>St. Charles Parish</t>
  </si>
  <si>
    <t>St. John the Baptist Parish</t>
  </si>
  <si>
    <t>St. James Parish</t>
  </si>
  <si>
    <t>St. Tammany Parish</t>
  </si>
  <si>
    <t>Lafourche Parish</t>
  </si>
  <si>
    <t>Terrebonne Parish</t>
  </si>
  <si>
    <t>Assumption Parish</t>
  </si>
  <si>
    <t>Lafayette Parish</t>
  </si>
  <si>
    <t>St. Martin Parish</t>
  </si>
  <si>
    <t>St. Mary Parish</t>
  </si>
  <si>
    <t>Iberia Parish</t>
  </si>
  <si>
    <t>Vermillion Parish</t>
  </si>
  <si>
    <t>Acadia Parish</t>
  </si>
  <si>
    <t>St. Landry Parish</t>
  </si>
  <si>
    <t>Evangeline Parish</t>
  </si>
  <si>
    <t>Cameron Parish</t>
  </si>
  <si>
    <t>Jefferson Davis Parish</t>
  </si>
  <si>
    <t>Calcasieu Parish</t>
  </si>
  <si>
    <t>Allen Parish</t>
  </si>
  <si>
    <t>Beauregard Parish</t>
  </si>
  <si>
    <t>East Baton Rouge Parish</t>
  </si>
  <si>
    <t>West Baton Rouge Parish</t>
  </si>
  <si>
    <t>Iberville Parish</t>
  </si>
  <si>
    <t>Pointe Coupee Parish</t>
  </si>
  <si>
    <t>West Feliciana Parish</t>
  </si>
  <si>
    <t>East Feliciana Parish</t>
  </si>
  <si>
    <t>Ascension Parish</t>
  </si>
  <si>
    <t>Livingston Parish</t>
  </si>
  <si>
    <t>St. Helena Parish</t>
  </si>
  <si>
    <t>Tangipahoa Parish</t>
  </si>
  <si>
    <t>Washington Parish</t>
  </si>
  <si>
    <t>Rapides Parish</t>
  </si>
  <si>
    <t>Vernon Parish</t>
  </si>
  <si>
    <t>Avoyelles Parish</t>
  </si>
  <si>
    <t>Concordia Parish</t>
  </si>
  <si>
    <t>Catahoula Parish</t>
  </si>
  <si>
    <t>La Salle Parish</t>
  </si>
  <si>
    <t>Grant Parish</t>
  </si>
  <si>
    <t>Winn Parish</t>
  </si>
  <si>
    <t>Ouachita Parish</t>
  </si>
  <si>
    <t>East Carroll Parish</t>
  </si>
  <si>
    <t>West Carroll Parish</t>
  </si>
  <si>
    <t>Madison Parish</t>
  </si>
  <si>
    <t>Tensas Parish</t>
  </si>
  <si>
    <t>Franklin Parish</t>
  </si>
  <si>
    <t>Richland Parish</t>
  </si>
  <si>
    <t>Morehouse Parish</t>
  </si>
  <si>
    <t>Caldwell Parish</t>
  </si>
  <si>
    <t>Jackson Parish</t>
  </si>
  <si>
    <t>Lincoln Parish</t>
  </si>
  <si>
    <t>Union Parish</t>
  </si>
  <si>
    <t>Bossier Parish</t>
  </si>
  <si>
    <t>Caddo Parish</t>
  </si>
  <si>
    <t>Webster Parish</t>
  </si>
  <si>
    <t>Claiborne Parish</t>
  </si>
  <si>
    <t>Bienville Parish</t>
  </si>
  <si>
    <t>Red River Parish</t>
  </si>
  <si>
    <t>De Soto Parish</t>
  </si>
  <si>
    <t>Natchitoches Parish</t>
  </si>
  <si>
    <t>Sabine Parish</t>
  </si>
  <si>
    <t>Page Last Modified: 05/06/2013 01:43 PM</t>
  </si>
  <si>
    <t>Page Last Modified: 05/06/2013 01:41 PM</t>
  </si>
  <si>
    <t>Tunica</t>
  </si>
  <si>
    <t>Tate</t>
  </si>
  <si>
    <t>DeSoto</t>
  </si>
  <si>
    <t>Benton</t>
  </si>
  <si>
    <t>Tippah</t>
  </si>
  <si>
    <t>Pontotoc</t>
  </si>
  <si>
    <t>Itawamba</t>
  </si>
  <si>
    <t>Hinds</t>
  </si>
  <si>
    <t>Rankin</t>
  </si>
  <si>
    <t>Copiah</t>
  </si>
  <si>
    <t>Simpson</t>
  </si>
  <si>
    <t>Forrest</t>
  </si>
  <si>
    <t>Pearl River</t>
  </si>
  <si>
    <t>Stone</t>
  </si>
  <si>
    <t>George</t>
  </si>
  <si>
    <t>Harrison</t>
  </si>
  <si>
    <t>Adams</t>
  </si>
  <si>
    <t>Alcorn</t>
  </si>
  <si>
    <t>Amite</t>
  </si>
  <si>
    <t>Attala</t>
  </si>
  <si>
    <t>Bolivar</t>
  </si>
  <si>
    <t>Chickasaw</t>
  </si>
  <si>
    <t>Claiborne</t>
  </si>
  <si>
    <t>Coahoma</t>
  </si>
  <si>
    <t>Grenada</t>
  </si>
  <si>
    <t>Humphreys</t>
  </si>
  <si>
    <t>Issaquena</t>
  </si>
  <si>
    <t>Jefferson Davis</t>
  </si>
  <si>
    <t>Kemper</t>
  </si>
  <si>
    <t>Leake</t>
  </si>
  <si>
    <t>Leflore</t>
  </si>
  <si>
    <t>Neshoba</t>
  </si>
  <si>
    <t>Noxubee</t>
  </si>
  <si>
    <t>Oktibbeha</t>
  </si>
  <si>
    <t>Panola</t>
  </si>
  <si>
    <t>Prentiss</t>
  </si>
  <si>
    <t>Scott</t>
  </si>
  <si>
    <t>Sharkey</t>
  </si>
  <si>
    <t>Smith</t>
  </si>
  <si>
    <t>Sunflower</t>
  </si>
  <si>
    <t>Tallahatchie</t>
  </si>
  <si>
    <t>Tishomingo</t>
  </si>
  <si>
    <t>Walthall</t>
  </si>
  <si>
    <t>Yalobusha</t>
  </si>
  <si>
    <t>Yazoo</t>
  </si>
  <si>
    <t>Page Last Modified: 05/10/2013 03:14 PM</t>
  </si>
  <si>
    <t>Avery</t>
  </si>
  <si>
    <t>Buncombe</t>
  </si>
  <si>
    <t>Graham</t>
  </si>
  <si>
    <t>Haywood</t>
  </si>
  <si>
    <t>Henderson</t>
  </si>
  <si>
    <t>McDowell</t>
  </si>
  <si>
    <t>Rutherford</t>
  </si>
  <si>
    <t>Swain</t>
  </si>
  <si>
    <t>Transylvania</t>
  </si>
  <si>
    <t>Yancey</t>
  </si>
  <si>
    <t>Alexander</t>
  </si>
  <si>
    <t>Caldwell</t>
  </si>
  <si>
    <t>Iredell</t>
  </si>
  <si>
    <t>Catawba</t>
  </si>
  <si>
    <t>Alleghany</t>
  </si>
  <si>
    <t>Ashe</t>
  </si>
  <si>
    <t>Watauga</t>
  </si>
  <si>
    <t>Anson</t>
  </si>
  <si>
    <t>Cabarrus</t>
  </si>
  <si>
    <t>Mecklenburg</t>
  </si>
  <si>
    <t>Rowan</t>
  </si>
  <si>
    <t>Stanly</t>
  </si>
  <si>
    <t>Cleveland</t>
  </si>
  <si>
    <t>Gaston</t>
  </si>
  <si>
    <t>Davidson</t>
  </si>
  <si>
    <t>Davie</t>
  </si>
  <si>
    <t>Stokes</t>
  </si>
  <si>
    <t>Surry</t>
  </si>
  <si>
    <t>Yadkin</t>
  </si>
  <si>
    <t>Guilford</t>
  </si>
  <si>
    <t>Rockingham</t>
  </si>
  <si>
    <t>Moore</t>
  </si>
  <si>
    <t>Bladen</t>
  </si>
  <si>
    <t>Cumberland</t>
  </si>
  <si>
    <t>Harnett</t>
  </si>
  <si>
    <t>Hoke</t>
  </si>
  <si>
    <t>Robeson</t>
  </si>
  <si>
    <t>Sampson</t>
  </si>
  <si>
    <t>Scotland</t>
  </si>
  <si>
    <t>Granville</t>
  </si>
  <si>
    <t>Vance</t>
  </si>
  <si>
    <t>Alamance</t>
  </si>
  <si>
    <t>Caswell</t>
  </si>
  <si>
    <t>Durham</t>
  </si>
  <si>
    <t>Person</t>
  </si>
  <si>
    <t>Bertie</t>
  </si>
  <si>
    <t>Chowan</t>
  </si>
  <si>
    <t>Currituck</t>
  </si>
  <si>
    <t>Gates</t>
  </si>
  <si>
    <t>Halifax</t>
  </si>
  <si>
    <t>Hertford</t>
  </si>
  <si>
    <t>Northampton</t>
  </si>
  <si>
    <t>Pasquotank</t>
  </si>
  <si>
    <t>Perquimans</t>
  </si>
  <si>
    <t>Johnston</t>
  </si>
  <si>
    <t>Wake</t>
  </si>
  <si>
    <t>Edgecombe</t>
  </si>
  <si>
    <t>Nash</t>
  </si>
  <si>
    <t>Pitt</t>
  </si>
  <si>
    <t>Wilson</t>
  </si>
  <si>
    <t>Brunswick</t>
  </si>
  <si>
    <t>Columbus</t>
  </si>
  <si>
    <t>Duplin</t>
  </si>
  <si>
    <t>New Hanover</t>
  </si>
  <si>
    <t>Onslow</t>
  </si>
  <si>
    <t>Pender</t>
  </si>
  <si>
    <t>Beaufort</t>
  </si>
  <si>
    <t>Carteret</t>
  </si>
  <si>
    <t>Craven</t>
  </si>
  <si>
    <t>Dare</t>
  </si>
  <si>
    <t>Hyde</t>
  </si>
  <si>
    <t>Pamlico</t>
  </si>
  <si>
    <t>Tyrrell</t>
  </si>
  <si>
    <t>Lenoir</t>
  </si>
  <si>
    <t>Page Last Modified: 05/06/2013 01:45 PM</t>
  </si>
  <si>
    <t>Carter</t>
  </si>
  <si>
    <t>Hawkins</t>
  </si>
  <si>
    <t>Sullivan</t>
  </si>
  <si>
    <t>Unicoi</t>
  </si>
  <si>
    <t>Anderson</t>
  </si>
  <si>
    <t>Campbell</t>
  </si>
  <si>
    <t>Cocke</t>
  </si>
  <si>
    <t>Grainger</t>
  </si>
  <si>
    <t>Hamblen</t>
  </si>
  <si>
    <t>Knox</t>
  </si>
  <si>
    <t>Loudon</t>
  </si>
  <si>
    <t>Roane</t>
  </si>
  <si>
    <t>Sevier</t>
  </si>
  <si>
    <t>Bledsoe</t>
  </si>
  <si>
    <t>Bradley</t>
  </si>
  <si>
    <t>Grundy</t>
  </si>
  <si>
    <t>McMinn</t>
  </si>
  <si>
    <t>Meigs</t>
  </si>
  <si>
    <t>Rhea</t>
  </si>
  <si>
    <t>Sequatchie</t>
  </si>
  <si>
    <t>Cheatham</t>
  </si>
  <si>
    <t>Robertson</t>
  </si>
  <si>
    <t>Sumner</t>
  </si>
  <si>
    <t>Trousdale</t>
  </si>
  <si>
    <t>Williamson</t>
  </si>
  <si>
    <t>Chester</t>
  </si>
  <si>
    <t>Crockett</t>
  </si>
  <si>
    <t>Dyer</t>
  </si>
  <si>
    <t>Gibson</t>
  </si>
  <si>
    <t>Hardeman</t>
  </si>
  <si>
    <t>Hardin</t>
  </si>
  <si>
    <t>McNairy</t>
  </si>
  <si>
    <t>Obion</t>
  </si>
  <si>
    <t>Weakley</t>
  </si>
  <si>
    <t>Tipton</t>
  </si>
  <si>
    <t>Cannon</t>
  </si>
  <si>
    <t>Fentress</t>
  </si>
  <si>
    <t>Overton</t>
  </si>
  <si>
    <t>Pickett</t>
  </si>
  <si>
    <t>Van Buren</t>
  </si>
  <si>
    <t>Bedford</t>
  </si>
  <si>
    <t>Dickson</t>
  </si>
  <si>
    <t>Giles</t>
  </si>
  <si>
    <t>Hickman</t>
  </si>
  <si>
    <t>Lewis</t>
  </si>
  <si>
    <t>Maury</t>
  </si>
  <si>
    <t>Page Last Modified: 05/06/2013 01:56 PM</t>
  </si>
  <si>
    <t>Callahan</t>
  </si>
  <si>
    <t>Armstrong</t>
  </si>
  <si>
    <t>Carson</t>
  </si>
  <si>
    <t>Potter</t>
  </si>
  <si>
    <t>Randall</t>
  </si>
  <si>
    <t>Bastrop</t>
  </si>
  <si>
    <t>Hays</t>
  </si>
  <si>
    <t>Travis</t>
  </si>
  <si>
    <t>Cameron</t>
  </si>
  <si>
    <t>Brazos</t>
  </si>
  <si>
    <t>Burleson</t>
  </si>
  <si>
    <t>Aransas</t>
  </si>
  <si>
    <t>Nueces</t>
  </si>
  <si>
    <t>San Patricio</t>
  </si>
  <si>
    <t>Collin</t>
  </si>
  <si>
    <t>Delta</t>
  </si>
  <si>
    <t>Denton</t>
  </si>
  <si>
    <t>Ellis</t>
  </si>
  <si>
    <t>Hunt</t>
  </si>
  <si>
    <t>Kaufman</t>
  </si>
  <si>
    <t>Parker</t>
  </si>
  <si>
    <t>Rockwall</t>
  </si>
  <si>
    <t>Tarrant</t>
  </si>
  <si>
    <t>Wise</t>
  </si>
  <si>
    <t>El Paso</t>
  </si>
  <si>
    <t>Austin</t>
  </si>
  <si>
    <t>Brazoria</t>
  </si>
  <si>
    <t>Fort Bend</t>
  </si>
  <si>
    <t>Galveston</t>
  </si>
  <si>
    <t>San Jacinto</t>
  </si>
  <si>
    <t>Waller</t>
  </si>
  <si>
    <t>Bell</t>
  </si>
  <si>
    <t>Coryell</t>
  </si>
  <si>
    <t>Lampasas</t>
  </si>
  <si>
    <t>Webb</t>
  </si>
  <si>
    <t>Gregg</t>
  </si>
  <si>
    <t>Rusk</t>
  </si>
  <si>
    <t>Upshur</t>
  </si>
  <si>
    <t>Crosby</t>
  </si>
  <si>
    <t>Lubbock</t>
  </si>
  <si>
    <t>Hidalgo</t>
  </si>
  <si>
    <t>Midland</t>
  </si>
  <si>
    <t>Ector</t>
  </si>
  <si>
    <t>Irion</t>
  </si>
  <si>
    <t>Tom Green</t>
  </si>
  <si>
    <t>Atascosa</t>
  </si>
  <si>
    <t>Bandera</t>
  </si>
  <si>
    <t>Bexar</t>
  </si>
  <si>
    <t>Comal</t>
  </si>
  <si>
    <t>Guadalupe</t>
  </si>
  <si>
    <t>Kendall</t>
  </si>
  <si>
    <t>Medina</t>
  </si>
  <si>
    <t>Grayson</t>
  </si>
  <si>
    <t>Bowie</t>
  </si>
  <si>
    <t>Goliad</t>
  </si>
  <si>
    <t>Victoria</t>
  </si>
  <si>
    <t>McLennan</t>
  </si>
  <si>
    <t>Archer</t>
  </si>
  <si>
    <t>Wichita</t>
  </si>
  <si>
    <t>Jim Wells</t>
  </si>
  <si>
    <t>Andrews</t>
  </si>
  <si>
    <t>Matagorda</t>
  </si>
  <si>
    <t>Bee</t>
  </si>
  <si>
    <t>Howard</t>
  </si>
  <si>
    <t>Hutchinson</t>
  </si>
  <si>
    <t>Brown</t>
  </si>
  <si>
    <t>Navarro</t>
  </si>
  <si>
    <t>Val Verde</t>
  </si>
  <si>
    <t>Maverick</t>
  </si>
  <si>
    <t>Wharton</t>
  </si>
  <si>
    <t>Gillespie</t>
  </si>
  <si>
    <t>Cooke</t>
  </si>
  <si>
    <t>Hood</t>
  </si>
  <si>
    <t>Somervell</t>
  </si>
  <si>
    <t>Deaf Smith</t>
  </si>
  <si>
    <t>Kerr</t>
  </si>
  <si>
    <t>Kenedy</t>
  </si>
  <si>
    <t>Kleberg</t>
  </si>
  <si>
    <t>Hockley</t>
  </si>
  <si>
    <t>Angelina</t>
  </si>
  <si>
    <t>Burnet</t>
  </si>
  <si>
    <t>Palo Pinto</t>
  </si>
  <si>
    <t>Titus</t>
  </si>
  <si>
    <t>Nacogdoches</t>
  </si>
  <si>
    <t>Gray</t>
  </si>
  <si>
    <t>Roberts</t>
  </si>
  <si>
    <t>Reeves</t>
  </si>
  <si>
    <t>Willacy</t>
  </si>
  <si>
    <t>Starr</t>
  </si>
  <si>
    <t>Scurry</t>
  </si>
  <si>
    <t>Erath</t>
  </si>
  <si>
    <t>Hopkins</t>
  </si>
  <si>
    <t>Nolan</t>
  </si>
  <si>
    <t>Uvalde</t>
  </si>
  <si>
    <t>Wilbarger</t>
  </si>
  <si>
    <t>Camp</t>
  </si>
  <si>
    <t>Cass</t>
  </si>
  <si>
    <t>Castro</t>
  </si>
  <si>
    <t>Childress</t>
  </si>
  <si>
    <t>Cochran</t>
  </si>
  <si>
    <t>Coke</t>
  </si>
  <si>
    <t>Coleman</t>
  </si>
  <si>
    <t>Collingsworth</t>
  </si>
  <si>
    <t>Comanche</t>
  </si>
  <si>
    <t>Concho</t>
  </si>
  <si>
    <t>Cottle</t>
  </si>
  <si>
    <t>Crane</t>
  </si>
  <si>
    <t>Culbertson</t>
  </si>
  <si>
    <t>Dallam</t>
  </si>
  <si>
    <t>DeWitt</t>
  </si>
  <si>
    <t>Dickens</t>
  </si>
  <si>
    <t>Dimmit</t>
  </si>
  <si>
    <t>Donley</t>
  </si>
  <si>
    <t>Eastland</t>
  </si>
  <si>
    <t>Edwards</t>
  </si>
  <si>
    <t>Falls</t>
  </si>
  <si>
    <t>Fisher</t>
  </si>
  <si>
    <t>Foard</t>
  </si>
  <si>
    <t>Freestone</t>
  </si>
  <si>
    <t>Frio</t>
  </si>
  <si>
    <t>Gaines</t>
  </si>
  <si>
    <t>Garza</t>
  </si>
  <si>
    <t>Glasscock</t>
  </si>
  <si>
    <t>Gonzales</t>
  </si>
  <si>
    <t>Grimes</t>
  </si>
  <si>
    <t>Upton</t>
  </si>
  <si>
    <t>Van Zandt</t>
  </si>
  <si>
    <t>Ward</t>
  </si>
  <si>
    <t>Wheiler</t>
  </si>
  <si>
    <t>Winkler</t>
  </si>
  <si>
    <t>Wood</t>
  </si>
  <si>
    <t>Yoakum</t>
  </si>
  <si>
    <t>Young</t>
  </si>
  <si>
    <t>Zapata</t>
  </si>
  <si>
    <t>Zavala</t>
  </si>
  <si>
    <t>Bailey</t>
  </si>
  <si>
    <t>Baylor</t>
  </si>
  <si>
    <t>Blanco</t>
  </si>
  <si>
    <t>Borden</t>
  </si>
  <si>
    <t>Bosque</t>
  </si>
  <si>
    <t>Brewster</t>
  </si>
  <si>
    <t>Briscoe</t>
  </si>
  <si>
    <t>Shackelford</t>
  </si>
  <si>
    <t>Sherman</t>
  </si>
  <si>
    <t>Sterling</t>
  </si>
  <si>
    <t>Stonewall</t>
  </si>
  <si>
    <t>Sutton</t>
  </si>
  <si>
    <t>Swisher</t>
  </si>
  <si>
    <t>Terry</t>
  </si>
  <si>
    <t>Throckmorton</t>
  </si>
  <si>
    <t>Trinity</t>
  </si>
  <si>
    <t>Tyler</t>
  </si>
  <si>
    <t>Rains</t>
  </si>
  <si>
    <t>Reagan</t>
  </si>
  <si>
    <t>Real</t>
  </si>
  <si>
    <t>Red River</t>
  </si>
  <si>
    <t>Refugio</t>
  </si>
  <si>
    <t>Runnels</t>
  </si>
  <si>
    <t>Sabine</t>
  </si>
  <si>
    <t>San Augustine</t>
  </si>
  <si>
    <t>San Saba</t>
  </si>
  <si>
    <t>Schleicher</t>
  </si>
  <si>
    <t>Morris</t>
  </si>
  <si>
    <t>Motley</t>
  </si>
  <si>
    <t>Ochittree</t>
  </si>
  <si>
    <t>Oldham</t>
  </si>
  <si>
    <t>Parmer</t>
  </si>
  <si>
    <t>Pecos</t>
  </si>
  <si>
    <t>Presidio</t>
  </si>
  <si>
    <t>Mason</t>
  </si>
  <si>
    <t>McCulloch</t>
  </si>
  <si>
    <t>McMullen</t>
  </si>
  <si>
    <t>Menard</t>
  </si>
  <si>
    <t>Milam</t>
  </si>
  <si>
    <t>Mills</t>
  </si>
  <si>
    <t>Montague</t>
  </si>
  <si>
    <t>Hansford</t>
  </si>
  <si>
    <t>Hartley</t>
  </si>
  <si>
    <t>Haskell</t>
  </si>
  <si>
    <t>Hemphill</t>
  </si>
  <si>
    <t>Hill</t>
  </si>
  <si>
    <t>Hudspeth</t>
  </si>
  <si>
    <t>Jack</t>
  </si>
  <si>
    <t>Jim Hogg</t>
  </si>
  <si>
    <t>Karnes</t>
  </si>
  <si>
    <t>Kent</t>
  </si>
  <si>
    <t>Kimble</t>
  </si>
  <si>
    <t>King</t>
  </si>
  <si>
    <t>Kinney</t>
  </si>
  <si>
    <t>La Salle</t>
  </si>
  <si>
    <t>Lamb</t>
  </si>
  <si>
    <t>Lavaca</t>
  </si>
  <si>
    <t>Lipscomb</t>
  </si>
  <si>
    <t>Live Oak</t>
  </si>
  <si>
    <t>Llano</t>
  </si>
  <si>
    <t>Loving</t>
  </si>
  <si>
    <t>Lynn</t>
  </si>
  <si>
    <t>Page Last Modified: 05/06/2013 10:24 AM</t>
  </si>
  <si>
    <t>Statewide Average</t>
  </si>
  <si>
    <t>Autauga County</t>
  </si>
  <si>
    <t>Alachua County</t>
  </si>
  <si>
    <t>Appling County</t>
  </si>
  <si>
    <t>Adams County</t>
  </si>
  <si>
    <t>Alamance County</t>
  </si>
  <si>
    <t>Anderson County</t>
  </si>
  <si>
    <t>Baldwin County</t>
  </si>
  <si>
    <t>Baker County</t>
  </si>
  <si>
    <t>Atkinson County</t>
  </si>
  <si>
    <t>Alcorn County</t>
  </si>
  <si>
    <t>Alexander County</t>
  </si>
  <si>
    <t>Bedford County</t>
  </si>
  <si>
    <t>Andrews County</t>
  </si>
  <si>
    <t>Barbour County</t>
  </si>
  <si>
    <t>Bay County</t>
  </si>
  <si>
    <t>Bacon County</t>
  </si>
  <si>
    <t>Amite County</t>
  </si>
  <si>
    <t>Alleghany County</t>
  </si>
  <si>
    <t>Benton County</t>
  </si>
  <si>
    <t>Angelina County</t>
  </si>
  <si>
    <t>Bibb County</t>
  </si>
  <si>
    <t>Bradford County</t>
  </si>
  <si>
    <t>Attala County</t>
  </si>
  <si>
    <t>Anson County</t>
  </si>
  <si>
    <t>Bledsoe County</t>
  </si>
  <si>
    <t>Aransas County</t>
  </si>
  <si>
    <t>Blount County</t>
  </si>
  <si>
    <t>Brevard County</t>
  </si>
  <si>
    <t>Ashe County</t>
  </si>
  <si>
    <t>Archer County</t>
  </si>
  <si>
    <t>Bullock County</t>
  </si>
  <si>
    <t>Broward County</t>
  </si>
  <si>
    <t>Banks County</t>
  </si>
  <si>
    <t>Bolivar County</t>
  </si>
  <si>
    <t>Avery County</t>
  </si>
  <si>
    <t>Bradley County</t>
  </si>
  <si>
    <t>Armstrong County</t>
  </si>
  <si>
    <t>Butler County</t>
  </si>
  <si>
    <t>Calhoun County</t>
  </si>
  <si>
    <t>Barrow County</t>
  </si>
  <si>
    <t>Beaufort County</t>
  </si>
  <si>
    <t>Campbell County</t>
  </si>
  <si>
    <t>Atascosa County</t>
  </si>
  <si>
    <t>Charlotte County</t>
  </si>
  <si>
    <t>Bartow County</t>
  </si>
  <si>
    <t>Carroll County</t>
  </si>
  <si>
    <t>Bertie County</t>
  </si>
  <si>
    <t>Cannon County</t>
  </si>
  <si>
    <t>Austin County</t>
  </si>
  <si>
    <t>Chambers County</t>
  </si>
  <si>
    <t>Citrus County</t>
  </si>
  <si>
    <t>Ben Hill County</t>
  </si>
  <si>
    <t>Chickasaw County</t>
  </si>
  <si>
    <t>Bladen County</t>
  </si>
  <si>
    <t>Bailey County</t>
  </si>
  <si>
    <t>Cherokee County</t>
  </si>
  <si>
    <t>Clay County</t>
  </si>
  <si>
    <t>Berrien County</t>
  </si>
  <si>
    <t>Choctaw County</t>
  </si>
  <si>
    <t>Brunswick County</t>
  </si>
  <si>
    <t>Carter County</t>
  </si>
  <si>
    <t>Bandera County</t>
  </si>
  <si>
    <t>Chilton County</t>
  </si>
  <si>
    <t>Collier County</t>
  </si>
  <si>
    <t>Claiborne County</t>
  </si>
  <si>
    <t>Buncombe County</t>
  </si>
  <si>
    <t>Cheatham County</t>
  </si>
  <si>
    <t>Bastrop County</t>
  </si>
  <si>
    <t>Columbia County</t>
  </si>
  <si>
    <t>Bleckley County</t>
  </si>
  <si>
    <t>Clarke County</t>
  </si>
  <si>
    <t>Burke County</t>
  </si>
  <si>
    <t>Chester County</t>
  </si>
  <si>
    <t>Baylor County</t>
  </si>
  <si>
    <t>DeSoto County</t>
  </si>
  <si>
    <t>Brantley County</t>
  </si>
  <si>
    <t>Cabarrus County</t>
  </si>
  <si>
    <t>Bee County</t>
  </si>
  <si>
    <t>Dixie County</t>
  </si>
  <si>
    <t>Brooks County</t>
  </si>
  <si>
    <t>Coahoma County</t>
  </si>
  <si>
    <t>Caldwell County</t>
  </si>
  <si>
    <t>Bell County</t>
  </si>
  <si>
    <t>Cleburne County</t>
  </si>
  <si>
    <t>Duval County</t>
  </si>
  <si>
    <t>Bryan County</t>
  </si>
  <si>
    <t>Copiah County</t>
  </si>
  <si>
    <t>Camden County</t>
  </si>
  <si>
    <t>Cocke County</t>
  </si>
  <si>
    <t>Bexar County</t>
  </si>
  <si>
    <t>Coffee County</t>
  </si>
  <si>
    <t>Escambia County</t>
  </si>
  <si>
    <t>Bulloch County</t>
  </si>
  <si>
    <t>Covington County</t>
  </si>
  <si>
    <t>Carteret County</t>
  </si>
  <si>
    <t>Blanco County</t>
  </si>
  <si>
    <t>Colbert County</t>
  </si>
  <si>
    <t>Flagler County</t>
  </si>
  <si>
    <t>Caswell County</t>
  </si>
  <si>
    <t>Crockett County</t>
  </si>
  <si>
    <t>Borden County</t>
  </si>
  <si>
    <t>Conecuh County</t>
  </si>
  <si>
    <t>Franklin County</t>
  </si>
  <si>
    <t>Butts County</t>
  </si>
  <si>
    <t>Forrest County</t>
  </si>
  <si>
    <t>Catawba County</t>
  </si>
  <si>
    <t>Cumberland County</t>
  </si>
  <si>
    <t>Bosque County</t>
  </si>
  <si>
    <t>Coosa County</t>
  </si>
  <si>
    <t>Gadsden County</t>
  </si>
  <si>
    <t>Chatham County</t>
  </si>
  <si>
    <t>Davidson County</t>
  </si>
  <si>
    <t>Bowie County</t>
  </si>
  <si>
    <t>Gilchrist County</t>
  </si>
  <si>
    <t>George County</t>
  </si>
  <si>
    <t>Decatur County</t>
  </si>
  <si>
    <t>Brazoria County</t>
  </si>
  <si>
    <t>Crenshaw County</t>
  </si>
  <si>
    <t>Glades County</t>
  </si>
  <si>
    <t>Candler County</t>
  </si>
  <si>
    <t>Greene County</t>
  </si>
  <si>
    <t>Chowan County</t>
  </si>
  <si>
    <t>DeKalb County</t>
  </si>
  <si>
    <t>Brazos County</t>
  </si>
  <si>
    <t>Cullman County</t>
  </si>
  <si>
    <t>Gulf County</t>
  </si>
  <si>
    <t>Grenada County</t>
  </si>
  <si>
    <t>Dickson County</t>
  </si>
  <si>
    <t>Brewster County</t>
  </si>
  <si>
    <t>Dale County</t>
  </si>
  <si>
    <t>Hamilton County</t>
  </si>
  <si>
    <t>Catoosa County</t>
  </si>
  <si>
    <t>Hancock County</t>
  </si>
  <si>
    <t>Cleveland County</t>
  </si>
  <si>
    <t>Dyer County</t>
  </si>
  <si>
    <t>Briscoe County</t>
  </si>
  <si>
    <t>Dallas County</t>
  </si>
  <si>
    <t>Hardee County</t>
  </si>
  <si>
    <t>Charlton County</t>
  </si>
  <si>
    <t>Harrison County</t>
  </si>
  <si>
    <t>Columbus County</t>
  </si>
  <si>
    <t>Fayette County</t>
  </si>
  <si>
    <t>Hendry County</t>
  </si>
  <si>
    <t>Hinds County</t>
  </si>
  <si>
    <t>Craven County</t>
  </si>
  <si>
    <t>Fentress County</t>
  </si>
  <si>
    <t>Brown County</t>
  </si>
  <si>
    <t>Elmore County</t>
  </si>
  <si>
    <t>Hernando County</t>
  </si>
  <si>
    <t>Chattahoochee County</t>
  </si>
  <si>
    <t>Holmes County</t>
  </si>
  <si>
    <t>Burleson County</t>
  </si>
  <si>
    <t>Highlands County</t>
  </si>
  <si>
    <t>Chattooga County</t>
  </si>
  <si>
    <t>Humphreys County</t>
  </si>
  <si>
    <t>Currituck County</t>
  </si>
  <si>
    <t>Gibson County</t>
  </si>
  <si>
    <t>Burnet County</t>
  </si>
  <si>
    <t>Etowah County</t>
  </si>
  <si>
    <t>Hillsborough County</t>
  </si>
  <si>
    <t>Issaquena County</t>
  </si>
  <si>
    <t>Dare County</t>
  </si>
  <si>
    <t>Giles County</t>
  </si>
  <si>
    <t>Itawamba County</t>
  </si>
  <si>
    <t>Grainger County</t>
  </si>
  <si>
    <t>Indian River County</t>
  </si>
  <si>
    <t>LaSalle Parish</t>
  </si>
  <si>
    <t>Jackson County</t>
  </si>
  <si>
    <t>Davie County</t>
  </si>
  <si>
    <t>Callahan County</t>
  </si>
  <si>
    <t>Geneva County</t>
  </si>
  <si>
    <t>Clayton County</t>
  </si>
  <si>
    <t>Jasper County</t>
  </si>
  <si>
    <t>Duplin County</t>
  </si>
  <si>
    <t>Grundy County</t>
  </si>
  <si>
    <t>Cameron County</t>
  </si>
  <si>
    <t>Jefferson County</t>
  </si>
  <si>
    <t>Clinch County</t>
  </si>
  <si>
    <t>Durham County</t>
  </si>
  <si>
    <t>Hamblen County</t>
  </si>
  <si>
    <t>Camp County</t>
  </si>
  <si>
    <t>Hale County</t>
  </si>
  <si>
    <t>Lafayette County</t>
  </si>
  <si>
    <t>Cobb County</t>
  </si>
  <si>
    <t>Jefferson Davis County</t>
  </si>
  <si>
    <t>Edgecombe County</t>
  </si>
  <si>
    <t>Carson County</t>
  </si>
  <si>
    <t>Henry County</t>
  </si>
  <si>
    <t>Lake County</t>
  </si>
  <si>
    <t>Jones County</t>
  </si>
  <si>
    <t>Forsyth County</t>
  </si>
  <si>
    <t>Cass County</t>
  </si>
  <si>
    <t>Houston County</t>
  </si>
  <si>
    <t>Lee County</t>
  </si>
  <si>
    <t>Colquitt County</t>
  </si>
  <si>
    <t>Kemper County</t>
  </si>
  <si>
    <t>Hardeman County</t>
  </si>
  <si>
    <t>Castro County</t>
  </si>
  <si>
    <t>Leon County</t>
  </si>
  <si>
    <t>Gaston County</t>
  </si>
  <si>
    <t>Hardin County</t>
  </si>
  <si>
    <t>Levy County</t>
  </si>
  <si>
    <t>Cook County</t>
  </si>
  <si>
    <t>Lamar County</t>
  </si>
  <si>
    <t>Gates County</t>
  </si>
  <si>
    <t>Hawkins County</t>
  </si>
  <si>
    <t>Liberty County</t>
  </si>
  <si>
    <t>Coweta County</t>
  </si>
  <si>
    <t>Lauderdale County</t>
  </si>
  <si>
    <t>Graham County</t>
  </si>
  <si>
    <t>Haywood County</t>
  </si>
  <si>
    <t>Childress County</t>
  </si>
  <si>
    <t>Madison County</t>
  </si>
  <si>
    <t>Crawford County</t>
  </si>
  <si>
    <t>Lawrence County</t>
  </si>
  <si>
    <t>Granville County</t>
  </si>
  <si>
    <t>Henderson County</t>
  </si>
  <si>
    <t>Manatee County</t>
  </si>
  <si>
    <t>Crisp County</t>
  </si>
  <si>
    <t>Leake County</t>
  </si>
  <si>
    <t>Cochran County</t>
  </si>
  <si>
    <t>Marion County</t>
  </si>
  <si>
    <t>Dade County</t>
  </si>
  <si>
    <t>Guilford County</t>
  </si>
  <si>
    <t>Hickman County</t>
  </si>
  <si>
    <t>Coke County</t>
  </si>
  <si>
    <t>Limestone County</t>
  </si>
  <si>
    <t>Martin County</t>
  </si>
  <si>
    <t>Dawson County</t>
  </si>
  <si>
    <t>Leflore County</t>
  </si>
  <si>
    <t>Halifax County</t>
  </si>
  <si>
    <t>Coleman County</t>
  </si>
  <si>
    <t>Lowndes County</t>
  </si>
  <si>
    <t>Miami-Dade County</t>
  </si>
  <si>
    <t>Lincoln County</t>
  </si>
  <si>
    <t>Harnett County</t>
  </si>
  <si>
    <t>Collin County</t>
  </si>
  <si>
    <t>Macon County</t>
  </si>
  <si>
    <t>Monroe County</t>
  </si>
  <si>
    <t>Collingsworth County</t>
  </si>
  <si>
    <t>Nassau County</t>
  </si>
  <si>
    <t>Dodge County</t>
  </si>
  <si>
    <t>Colorado County</t>
  </si>
  <si>
    <t>Marengo County</t>
  </si>
  <si>
    <t>Okaloosa County</t>
  </si>
  <si>
    <t>Dooly County</t>
  </si>
  <si>
    <t>Hertford County</t>
  </si>
  <si>
    <t>Johnson County</t>
  </si>
  <si>
    <t>Comal County</t>
  </si>
  <si>
    <t>Okeechobee County</t>
  </si>
  <si>
    <t>Dougherty County</t>
  </si>
  <si>
    <t>Marshall County</t>
  </si>
  <si>
    <t>Hoke County</t>
  </si>
  <si>
    <t>Knox County</t>
  </si>
  <si>
    <t>Comanche County</t>
  </si>
  <si>
    <t>Orange County</t>
  </si>
  <si>
    <t>Douglas County</t>
  </si>
  <si>
    <t>Hyde County</t>
  </si>
  <si>
    <t>Concho County</t>
  </si>
  <si>
    <t>Mobile County</t>
  </si>
  <si>
    <t>Osceola County</t>
  </si>
  <si>
    <t>Early County</t>
  </si>
  <si>
    <t>Montgomery County</t>
  </si>
  <si>
    <t>Iredell County</t>
  </si>
  <si>
    <t>Cooke County</t>
  </si>
  <si>
    <t>Palm Beach County</t>
  </si>
  <si>
    <t>Echols County</t>
  </si>
  <si>
    <t>Neshoba County</t>
  </si>
  <si>
    <t>Coryell County</t>
  </si>
  <si>
    <t>Pasco County</t>
  </si>
  <si>
    <t>Effingham County</t>
  </si>
  <si>
    <t>Newton County</t>
  </si>
  <si>
    <t>Johnston County</t>
  </si>
  <si>
    <t>Lewis County</t>
  </si>
  <si>
    <t>Cottle County</t>
  </si>
  <si>
    <t>Morgan County</t>
  </si>
  <si>
    <t>Pinellas County</t>
  </si>
  <si>
    <t>Elbert County</t>
  </si>
  <si>
    <t>Noxubee County</t>
  </si>
  <si>
    <t>Crane County</t>
  </si>
  <si>
    <t>Perry County</t>
  </si>
  <si>
    <t>Polk County</t>
  </si>
  <si>
    <t>Emanuel County</t>
  </si>
  <si>
    <t>Oktibbeha County</t>
  </si>
  <si>
    <t>Loudon County</t>
  </si>
  <si>
    <t>Pickens County</t>
  </si>
  <si>
    <t>Putnam County</t>
  </si>
  <si>
    <t>Evans County</t>
  </si>
  <si>
    <t>Panola County</t>
  </si>
  <si>
    <t>Lenoir County</t>
  </si>
  <si>
    <t>McMinn County</t>
  </si>
  <si>
    <t>Crosby County</t>
  </si>
  <si>
    <t>Pike County</t>
  </si>
  <si>
    <t>St. Johns County</t>
  </si>
  <si>
    <t>Fannin County</t>
  </si>
  <si>
    <t>Pearl River County</t>
  </si>
  <si>
    <t>McNairy County</t>
  </si>
  <si>
    <t>Culberson County</t>
  </si>
  <si>
    <t>Randolph County</t>
  </si>
  <si>
    <t>St. Lucie County</t>
  </si>
  <si>
    <t>McDowell County</t>
  </si>
  <si>
    <t>Dallam County</t>
  </si>
  <si>
    <t>Russell County</t>
  </si>
  <si>
    <t>Santa Rosa County</t>
  </si>
  <si>
    <t>Floyd County</t>
  </si>
  <si>
    <t>Vermilion Parish</t>
  </si>
  <si>
    <t>St. Clair County</t>
  </si>
  <si>
    <t>Sarasota County</t>
  </si>
  <si>
    <t>Pontotoc County</t>
  </si>
  <si>
    <t>Shelby County</t>
  </si>
  <si>
    <t>Seminole County</t>
  </si>
  <si>
    <t>Prentiss County</t>
  </si>
  <si>
    <t>Deaf Smith County</t>
  </si>
  <si>
    <t>Sumter County</t>
  </si>
  <si>
    <t>Fulton County</t>
  </si>
  <si>
    <t>Quitman County</t>
  </si>
  <si>
    <t>Mecklenburg County</t>
  </si>
  <si>
    <t>Maury County</t>
  </si>
  <si>
    <t>Delta County</t>
  </si>
  <si>
    <t>Talladega County</t>
  </si>
  <si>
    <t>Suwannee County</t>
  </si>
  <si>
    <t>Gilmer County</t>
  </si>
  <si>
    <t>Rankin County</t>
  </si>
  <si>
    <t>Mitchell County</t>
  </si>
  <si>
    <t>Meigs County</t>
  </si>
  <si>
    <t>Denton County</t>
  </si>
  <si>
    <t>Tallapoosa County</t>
  </si>
  <si>
    <t>Taylor County</t>
  </si>
  <si>
    <t>Glascock County</t>
  </si>
  <si>
    <t>Scott County</t>
  </si>
  <si>
    <t>DeWitt County</t>
  </si>
  <si>
    <t>Tuscaloosa County</t>
  </si>
  <si>
    <t>Union County</t>
  </si>
  <si>
    <t>Glynn County</t>
  </si>
  <si>
    <t>Sharkey County</t>
  </si>
  <si>
    <t>Moore County</t>
  </si>
  <si>
    <t>Dickens County</t>
  </si>
  <si>
    <t>Walker County</t>
  </si>
  <si>
    <t>Volusia County</t>
  </si>
  <si>
    <t>Gordon County</t>
  </si>
  <si>
    <t>Simpson County</t>
  </si>
  <si>
    <t>Nash County</t>
  </si>
  <si>
    <t>Dimmit County</t>
  </si>
  <si>
    <t>Washington County</t>
  </si>
  <si>
    <t>Wakulla County</t>
  </si>
  <si>
    <t>Grady County</t>
  </si>
  <si>
    <t>Smith County</t>
  </si>
  <si>
    <t>New Hanover County</t>
  </si>
  <si>
    <t>Donley County</t>
  </si>
  <si>
    <t>Wilcox County</t>
  </si>
  <si>
    <t>Walton County</t>
  </si>
  <si>
    <t>Stone County</t>
  </si>
  <si>
    <t>Northampton County</t>
  </si>
  <si>
    <t>Obion County</t>
  </si>
  <si>
    <t>Winston County</t>
  </si>
  <si>
    <t>Gwinnett County</t>
  </si>
  <si>
    <t>Sunflower County</t>
  </si>
  <si>
    <t>Onslow County</t>
  </si>
  <si>
    <t>Overton County</t>
  </si>
  <si>
    <t>Eastland County</t>
  </si>
  <si>
    <t>Habersham County</t>
  </si>
  <si>
    <t>Tallahatchie County</t>
  </si>
  <si>
    <t>Ector County</t>
  </si>
  <si>
    <t>Hall County</t>
  </si>
  <si>
    <t>Tate County</t>
  </si>
  <si>
    <t>Pamlico County</t>
  </si>
  <si>
    <t>Pickett County</t>
  </si>
  <si>
    <t>Edwards County</t>
  </si>
  <si>
    <t>Tippah County</t>
  </si>
  <si>
    <t>Pasquotank County</t>
  </si>
  <si>
    <t>Ellis County</t>
  </si>
  <si>
    <t>Haralson County</t>
  </si>
  <si>
    <t>Tishomingo County</t>
  </si>
  <si>
    <t>Pender County</t>
  </si>
  <si>
    <t>El Paso County</t>
  </si>
  <si>
    <t>Harris County</t>
  </si>
  <si>
    <t>Tunica County</t>
  </si>
  <si>
    <t>Perquimans County</t>
  </si>
  <si>
    <t>Rhea County</t>
  </si>
  <si>
    <t>Erath County</t>
  </si>
  <si>
    <t>Hart County</t>
  </si>
  <si>
    <t>Person County</t>
  </si>
  <si>
    <t>Roane County</t>
  </si>
  <si>
    <t>Falls County</t>
  </si>
  <si>
    <t>Heard County</t>
  </si>
  <si>
    <t>Walthall County</t>
  </si>
  <si>
    <t>Pitt County</t>
  </si>
  <si>
    <t>Robertson County</t>
  </si>
  <si>
    <t>Warren County</t>
  </si>
  <si>
    <t>Rutherford County</t>
  </si>
  <si>
    <t>Fisher County</t>
  </si>
  <si>
    <t>Irwin County</t>
  </si>
  <si>
    <t>Wayne County</t>
  </si>
  <si>
    <t>Richmond County</t>
  </si>
  <si>
    <t>Sequatchie County</t>
  </si>
  <si>
    <t>Webster County</t>
  </si>
  <si>
    <t>Robeson County</t>
  </si>
  <si>
    <t>Sevier County</t>
  </si>
  <si>
    <t>Foard County</t>
  </si>
  <si>
    <t>Wilkinson County</t>
  </si>
  <si>
    <t>Rockingham County</t>
  </si>
  <si>
    <t>Fort Bend County</t>
  </si>
  <si>
    <t>Jeff Davis County</t>
  </si>
  <si>
    <t>Rowan County</t>
  </si>
  <si>
    <t>Yalobusha County</t>
  </si>
  <si>
    <t>Stewart County</t>
  </si>
  <si>
    <t>Freestone County</t>
  </si>
  <si>
    <t>Jenkins County</t>
  </si>
  <si>
    <t>Yazoo County</t>
  </si>
  <si>
    <t>Sampson County</t>
  </si>
  <si>
    <t>Sullivan County</t>
  </si>
  <si>
    <t>Frio County</t>
  </si>
  <si>
    <t>Scotland County</t>
  </si>
  <si>
    <t>Sumner County</t>
  </si>
  <si>
    <t>Gaines County</t>
  </si>
  <si>
    <t>Stanly County</t>
  </si>
  <si>
    <t>Tipton County</t>
  </si>
  <si>
    <t>Galveston County</t>
  </si>
  <si>
    <t>Stokes County</t>
  </si>
  <si>
    <t>Trousdale County</t>
  </si>
  <si>
    <t>Garza County</t>
  </si>
  <si>
    <t>Lanier County</t>
  </si>
  <si>
    <t>Surry County</t>
  </si>
  <si>
    <t>Unicoi County</t>
  </si>
  <si>
    <t>Gillespie County</t>
  </si>
  <si>
    <t>Laurens County</t>
  </si>
  <si>
    <t>Swain County</t>
  </si>
  <si>
    <t>Glasscock County</t>
  </si>
  <si>
    <t>Transylvania County</t>
  </si>
  <si>
    <t>Van Buren County</t>
  </si>
  <si>
    <t>Goliad County</t>
  </si>
  <si>
    <t>Tyrrell County</t>
  </si>
  <si>
    <t>Gonzales County</t>
  </si>
  <si>
    <t>Gray County</t>
  </si>
  <si>
    <t>Long County</t>
  </si>
  <si>
    <t>Vance County</t>
  </si>
  <si>
    <t>Grayson County</t>
  </si>
  <si>
    <t>Wake County</t>
  </si>
  <si>
    <t>Weakley County</t>
  </si>
  <si>
    <t>Gregg County</t>
  </si>
  <si>
    <t>Lumpkin County</t>
  </si>
  <si>
    <t>White County</t>
  </si>
  <si>
    <t>Grimes County</t>
  </si>
  <si>
    <t>McDuffie County</t>
  </si>
  <si>
    <t>Williamson County</t>
  </si>
  <si>
    <t>Guadalupe County</t>
  </si>
  <si>
    <t>McIntosh County</t>
  </si>
  <si>
    <t>Watauga County</t>
  </si>
  <si>
    <t>Wilson County</t>
  </si>
  <si>
    <t>Wilkes County</t>
  </si>
  <si>
    <t>Hansford County</t>
  </si>
  <si>
    <t>Meriwether County</t>
  </si>
  <si>
    <t>Yadkin County</t>
  </si>
  <si>
    <t>Miller County</t>
  </si>
  <si>
    <t>Yancey County</t>
  </si>
  <si>
    <t>Hartley County</t>
  </si>
  <si>
    <t>Haskell County</t>
  </si>
  <si>
    <t>Murray County</t>
  </si>
  <si>
    <t>Hays County</t>
  </si>
  <si>
    <t>Muscogee County</t>
  </si>
  <si>
    <t>Hemphill County</t>
  </si>
  <si>
    <t>Oconee County</t>
  </si>
  <si>
    <t>Hidalgo County</t>
  </si>
  <si>
    <t>Oglethorpe County</t>
  </si>
  <si>
    <t>Hill County</t>
  </si>
  <si>
    <t>Paulding County</t>
  </si>
  <si>
    <t>Hockley County</t>
  </si>
  <si>
    <t>Peach County</t>
  </si>
  <si>
    <t>Hood County</t>
  </si>
  <si>
    <t>Hopkins County</t>
  </si>
  <si>
    <t>Pierce County</t>
  </si>
  <si>
    <t>Howard County</t>
  </si>
  <si>
    <t>Hudspeth County</t>
  </si>
  <si>
    <t>Pulaski County</t>
  </si>
  <si>
    <t>Hunt County</t>
  </si>
  <si>
    <t>Hutchinson County</t>
  </si>
  <si>
    <t>Irion County</t>
  </si>
  <si>
    <t>Rabun County</t>
  </si>
  <si>
    <t>Jack County</t>
  </si>
  <si>
    <t>Rockdale County</t>
  </si>
  <si>
    <t>Schley County</t>
  </si>
  <si>
    <t>Screven County</t>
  </si>
  <si>
    <t>Jim Hogg County</t>
  </si>
  <si>
    <t>Jim Wells County</t>
  </si>
  <si>
    <t>Spalding County</t>
  </si>
  <si>
    <t>Stephens County</t>
  </si>
  <si>
    <t>Karnes County</t>
  </si>
  <si>
    <t>Kaufman County</t>
  </si>
  <si>
    <t>Talbot County</t>
  </si>
  <si>
    <t>Kendall County</t>
  </si>
  <si>
    <t>Taliaferro County</t>
  </si>
  <si>
    <t>Kenedy County</t>
  </si>
  <si>
    <t>Tattnall County</t>
  </si>
  <si>
    <t>Kent County</t>
  </si>
  <si>
    <t>Kerr County</t>
  </si>
  <si>
    <t>Telfair County</t>
  </si>
  <si>
    <t>Kimble County</t>
  </si>
  <si>
    <t>Terrell County</t>
  </si>
  <si>
    <t>King County</t>
  </si>
  <si>
    <t>Thomas County</t>
  </si>
  <si>
    <t>Kinney County</t>
  </si>
  <si>
    <t>Tift County</t>
  </si>
  <si>
    <t>Kleberg County</t>
  </si>
  <si>
    <t>Toombs County</t>
  </si>
  <si>
    <t>Towns County</t>
  </si>
  <si>
    <t>Treutlen County</t>
  </si>
  <si>
    <t>Lamb County</t>
  </si>
  <si>
    <t>Troup County</t>
  </si>
  <si>
    <t>Lampasas County</t>
  </si>
  <si>
    <t>Turner County</t>
  </si>
  <si>
    <t>La Salle County</t>
  </si>
  <si>
    <t>Twiggs County</t>
  </si>
  <si>
    <t>Lavaca County</t>
  </si>
  <si>
    <t>Upson County</t>
  </si>
  <si>
    <t>Ware County</t>
  </si>
  <si>
    <t>Lipscomb County</t>
  </si>
  <si>
    <t>Live Oak County</t>
  </si>
  <si>
    <t>Llano County</t>
  </si>
  <si>
    <t>Loving County</t>
  </si>
  <si>
    <t>Lubbock County</t>
  </si>
  <si>
    <t>Wheeler County</t>
  </si>
  <si>
    <t>Lynn County</t>
  </si>
  <si>
    <t>McCulloch County</t>
  </si>
  <si>
    <t>Whitfield County</t>
  </si>
  <si>
    <t>McLennan County</t>
  </si>
  <si>
    <t>McMullen County</t>
  </si>
  <si>
    <t>Worth County</t>
  </si>
  <si>
    <t>Mason County</t>
  </si>
  <si>
    <t>Matagorda County</t>
  </si>
  <si>
    <t>Maverick County</t>
  </si>
  <si>
    <t>Medina County</t>
  </si>
  <si>
    <t>Menard County</t>
  </si>
  <si>
    <t>Midland County</t>
  </si>
  <si>
    <t>Milam County</t>
  </si>
  <si>
    <t>Mills County</t>
  </si>
  <si>
    <t>Montague County</t>
  </si>
  <si>
    <t>Morris County</t>
  </si>
  <si>
    <t>Motley County</t>
  </si>
  <si>
    <t>Nacogdoches County</t>
  </si>
  <si>
    <t>Navarro County</t>
  </si>
  <si>
    <t>Nolan County</t>
  </si>
  <si>
    <t>Nueces County</t>
  </si>
  <si>
    <t>Ochiltree County</t>
  </si>
  <si>
    <t>Oldham County</t>
  </si>
  <si>
    <t>Palo Pinto County</t>
  </si>
  <si>
    <t>Parker County</t>
  </si>
  <si>
    <t>Parmer County</t>
  </si>
  <si>
    <t>Pecos County</t>
  </si>
  <si>
    <t>Potter County</t>
  </si>
  <si>
    <t>Presidio County</t>
  </si>
  <si>
    <t>Rains County</t>
  </si>
  <si>
    <t>Randall County</t>
  </si>
  <si>
    <t>Reagan County</t>
  </si>
  <si>
    <t>Real County</t>
  </si>
  <si>
    <t>Red River County</t>
  </si>
  <si>
    <t>Reeves County</t>
  </si>
  <si>
    <t>Refugio County</t>
  </si>
  <si>
    <t>Roberts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</si>
  <si>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</si>
  <si>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</si>
  <si>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</si>
  <si>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</si>
  <si>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</si>
  <si>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</si>
  <si>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</si>
  <si>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</si>
  <si>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</si>
  <si>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</si>
  <si>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</si>
  <si>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Sherman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</si>
  <si>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</si>
  <si>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</si>
  <si>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</si>
  <si>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</si>
  <si>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</si>
  <si>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</si>
  <si>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</si>
  <si>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</si>
  <si>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</si>
  <si>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</si>
  <si>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</si>
  <si>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</si>
  <si>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Trinity County</t>
  </si>
  <si>
    <t>Tyler County</t>
  </si>
  <si>
    <t>Upshur County</t>
  </si>
  <si>
    <t>Upton County</t>
  </si>
  <si>
    <t>Uvalde County</t>
  </si>
  <si>
    <t>Val Verde County</t>
  </si>
  <si>
    <t>Van Zandt County</t>
  </si>
  <si>
    <t>Victoria County</t>
  </si>
  <si>
    <t>Waller County</t>
  </si>
  <si>
    <t>Ward County</t>
  </si>
  <si>
    <t>Webb County</t>
  </si>
  <si>
    <t>Wharton County</t>
  </si>
  <si>
    <t>Wichita County</t>
  </si>
  <si>
    <t>Wilbarger County</t>
  </si>
  <si>
    <t>Willacy County</t>
  </si>
  <si>
    <t>Winkler County</t>
  </si>
  <si>
    <t>Wise County</t>
  </si>
  <si>
    <t>Wood County</t>
  </si>
  <si>
    <t>Yoakum County</t>
  </si>
  <si>
    <t>Young County</t>
  </si>
  <si>
    <t>Zapata County</t>
  </si>
  <si>
    <t>Zavala County</t>
  </si>
  <si>
    <t>Desoto County</t>
  </si>
  <si>
    <t>Heralson County</t>
  </si>
  <si>
    <t>Culbertson County</t>
  </si>
  <si>
    <t>count counties</t>
  </si>
  <si>
    <t>Count=</t>
  </si>
  <si>
    <t>statecounties[Alabama]</t>
  </si>
  <si>
    <t>Rating Area ID</t>
  </si>
  <si>
    <t>No</t>
  </si>
  <si>
    <t>StateCode</t>
  </si>
  <si>
    <t>Area Code</t>
  </si>
  <si>
    <t>Count Silver 2018</t>
  </si>
  <si>
    <t>Lowest Cost Plan 2018</t>
  </si>
  <si>
    <t>AL</t>
  </si>
  <si>
    <t>AL01</t>
  </si>
  <si>
    <t>AL02</t>
  </si>
  <si>
    <t>AL03</t>
  </si>
  <si>
    <t>AL04</t>
  </si>
  <si>
    <t>AL05</t>
  </si>
  <si>
    <t>AL06</t>
  </si>
  <si>
    <t>AL07</t>
  </si>
  <si>
    <t>AL08</t>
  </si>
  <si>
    <t>AL09</t>
  </si>
  <si>
    <t>AL10</t>
  </si>
  <si>
    <t>AL11</t>
  </si>
  <si>
    <t>AL12</t>
  </si>
  <si>
    <t>AL13</t>
  </si>
  <si>
    <t>FL</t>
  </si>
  <si>
    <t>FL01</t>
  </si>
  <si>
    <t>FL02</t>
  </si>
  <si>
    <t>FL03</t>
  </si>
  <si>
    <t>FL04</t>
  </si>
  <si>
    <t>FL05</t>
  </si>
  <si>
    <t>FL06</t>
  </si>
  <si>
    <t>FL07</t>
  </si>
  <si>
    <t>FL08</t>
  </si>
  <si>
    <t>FL09</t>
  </si>
  <si>
    <t>FL10</t>
  </si>
  <si>
    <t>FL11</t>
  </si>
  <si>
    <t>FL12</t>
  </si>
  <si>
    <t>FL13</t>
  </si>
  <si>
    <t>FL14</t>
  </si>
  <si>
    <t>FL15</t>
  </si>
  <si>
    <t>FL16</t>
  </si>
  <si>
    <t>FL17</t>
  </si>
  <si>
    <t>FL18</t>
  </si>
  <si>
    <t>FL19</t>
  </si>
  <si>
    <t>FL20</t>
  </si>
  <si>
    <t>FL21</t>
  </si>
  <si>
    <t>FL22</t>
  </si>
  <si>
    <t>FL23</t>
  </si>
  <si>
    <t>FL24</t>
  </si>
  <si>
    <t>FL25</t>
  </si>
  <si>
    <t>FL26</t>
  </si>
  <si>
    <t>FL27</t>
  </si>
  <si>
    <t>FL28</t>
  </si>
  <si>
    <t>FL29</t>
  </si>
  <si>
    <t>FL30</t>
  </si>
  <si>
    <t>FL31</t>
  </si>
  <si>
    <t>FL32</t>
  </si>
  <si>
    <t>FL33</t>
  </si>
  <si>
    <t>FL34</t>
  </si>
  <si>
    <t>FL35</t>
  </si>
  <si>
    <t>FL36</t>
  </si>
  <si>
    <t>FL37</t>
  </si>
  <si>
    <t>FL38</t>
  </si>
  <si>
    <t>FL39</t>
  </si>
  <si>
    <t>FL40</t>
  </si>
  <si>
    <t>FL41</t>
  </si>
  <si>
    <t>FL42</t>
  </si>
  <si>
    <t>FL43</t>
  </si>
  <si>
    <t>FL44</t>
  </si>
  <si>
    <t>FL45</t>
  </si>
  <si>
    <t>FL46</t>
  </si>
  <si>
    <t>FL47</t>
  </si>
  <si>
    <t>FL48</t>
  </si>
  <si>
    <t>FL49</t>
  </si>
  <si>
    <t>FL50</t>
  </si>
  <si>
    <t>FL51</t>
  </si>
  <si>
    <t>FL52</t>
  </si>
  <si>
    <t>FL53</t>
  </si>
  <si>
    <t>FL54</t>
  </si>
  <si>
    <t>FL55</t>
  </si>
  <si>
    <t>FL56</t>
  </si>
  <si>
    <t>FL57</t>
  </si>
  <si>
    <t>FL58</t>
  </si>
  <si>
    <t>FL59</t>
  </si>
  <si>
    <t>FL60</t>
  </si>
  <si>
    <t>FL61</t>
  </si>
  <si>
    <t>FL62</t>
  </si>
  <si>
    <t>FL63</t>
  </si>
  <si>
    <t>FL64</t>
  </si>
  <si>
    <t>FL65</t>
  </si>
  <si>
    <t>FL66</t>
  </si>
  <si>
    <t>FL67</t>
  </si>
  <si>
    <t>GA</t>
  </si>
  <si>
    <t>GA01</t>
  </si>
  <si>
    <t>GA02</t>
  </si>
  <si>
    <t>GA03</t>
  </si>
  <si>
    <t>GA04</t>
  </si>
  <si>
    <t>GA05</t>
  </si>
  <si>
    <t>GA06</t>
  </si>
  <si>
    <t>GA07</t>
  </si>
  <si>
    <t>GA08</t>
  </si>
  <si>
    <t>GA09</t>
  </si>
  <si>
    <t>GA10</t>
  </si>
  <si>
    <t>GA11</t>
  </si>
  <si>
    <t>GA12</t>
  </si>
  <si>
    <t>GA13</t>
  </si>
  <si>
    <t>GA14</t>
  </si>
  <si>
    <t>GA15</t>
  </si>
  <si>
    <t>GA16</t>
  </si>
  <si>
    <t>LA</t>
  </si>
  <si>
    <t>LA01</t>
  </si>
  <si>
    <t>LA02</t>
  </si>
  <si>
    <t>LA03</t>
  </si>
  <si>
    <t>LA04</t>
  </si>
  <si>
    <t>LA05</t>
  </si>
  <si>
    <t>LA06</t>
  </si>
  <si>
    <t>LA07</t>
  </si>
  <si>
    <t>LA08</t>
  </si>
  <si>
    <t>MS</t>
  </si>
  <si>
    <t>MS01</t>
  </si>
  <si>
    <t>MS02</t>
  </si>
  <si>
    <t>MS03</t>
  </si>
  <si>
    <t>MS04</t>
  </si>
  <si>
    <t>MS05</t>
  </si>
  <si>
    <t>MS06</t>
  </si>
  <si>
    <t>NC</t>
  </si>
  <si>
    <t>NC01</t>
  </si>
  <si>
    <t>NC02</t>
  </si>
  <si>
    <t>NC03</t>
  </si>
  <si>
    <t>NC04</t>
  </si>
  <si>
    <t>NC05</t>
  </si>
  <si>
    <t>NC06</t>
  </si>
  <si>
    <t>NC07</t>
  </si>
  <si>
    <t>NC08</t>
  </si>
  <si>
    <t>NC09</t>
  </si>
  <si>
    <t>NC10</t>
  </si>
  <si>
    <t>NC11</t>
  </si>
  <si>
    <t>NC12</t>
  </si>
  <si>
    <t>NC13</t>
  </si>
  <si>
    <t>NC14</t>
  </si>
  <si>
    <t>NC15</t>
  </si>
  <si>
    <t>NC16</t>
  </si>
  <si>
    <t>TN</t>
  </si>
  <si>
    <t>TN01</t>
  </si>
  <si>
    <t>TN02</t>
  </si>
  <si>
    <t>TN03</t>
  </si>
  <si>
    <t>TN04</t>
  </si>
  <si>
    <t>TN05</t>
  </si>
  <si>
    <t>TN06</t>
  </si>
  <si>
    <t>TN07</t>
  </si>
  <si>
    <t>TN08</t>
  </si>
  <si>
    <t>TX</t>
  </si>
  <si>
    <t>TX01</t>
  </si>
  <si>
    <t>TX02</t>
  </si>
  <si>
    <t>TX03</t>
  </si>
  <si>
    <t>TX04</t>
  </si>
  <si>
    <t>TX05</t>
  </si>
  <si>
    <t>TX06</t>
  </si>
  <si>
    <t>TX07</t>
  </si>
  <si>
    <t>TX08</t>
  </si>
  <si>
    <t>TX09</t>
  </si>
  <si>
    <t>TX10</t>
  </si>
  <si>
    <t>TX11</t>
  </si>
  <si>
    <t>TX12</t>
  </si>
  <si>
    <t>TX13</t>
  </si>
  <si>
    <t>TX14</t>
  </si>
  <si>
    <t>TX15</t>
  </si>
  <si>
    <t>TX16</t>
  </si>
  <si>
    <t>TX17</t>
  </si>
  <si>
    <t>TX18</t>
  </si>
  <si>
    <t>TX19</t>
  </si>
  <si>
    <t>TX20</t>
  </si>
  <si>
    <t>TX21</t>
  </si>
  <si>
    <t>TX22</t>
  </si>
  <si>
    <t>TX23</t>
  </si>
  <si>
    <t>TX24</t>
  </si>
  <si>
    <t>TX25</t>
  </si>
  <si>
    <t>TX26</t>
  </si>
  <si>
    <t>Second Lowest Cost Sliver Plan: Pemiium Age 27</t>
  </si>
  <si>
    <t>Lookup Table: HIX_SLCSP</t>
  </si>
  <si>
    <t>2018-Age 50</t>
  </si>
  <si>
    <t>2018:27x=50</t>
  </si>
  <si>
    <t>Lowest Cost Plan 2019</t>
  </si>
  <si>
    <t>Count Silver 2019</t>
  </si>
  <si>
    <t>2019-Age 50</t>
  </si>
  <si>
    <t>2019:27x=50</t>
  </si>
  <si>
    <t>Lowest Cost Plan 2020</t>
  </si>
  <si>
    <t>Count Silver-2020</t>
  </si>
  <si>
    <t>2020-Age 50</t>
  </si>
  <si>
    <t>2020:27x=50</t>
  </si>
  <si>
    <t>Notes on Methodology</t>
  </si>
  <si>
    <t>Used Robert Wood database on plan premiums. Extracted lowest premium for age 27. Found next lowest premium for age 27. Some plans had multiple options. These were exclude by using price differentials. Therefore, it there were several plans with the lowest price, the next price up was selected.</t>
  </si>
  <si>
    <t>Source</t>
  </si>
  <si>
    <t>The Robert Wood Johnson Foundation. https://www.rwjf.org/</t>
  </si>
  <si>
    <t>HIX Compare Datasets: https://www.hixcompare.org/</t>
  </si>
  <si>
    <t>Individual Market: Current Version: https://www.hixcompare.org/individual-markets.html</t>
  </si>
  <si>
    <t>2014-2019 {Note: plus 2020} HIX Compare datasets provide information, including cost-sharing information on premiums and deductibles, on nearly every plan offered in the health insurance marketplaces.</t>
  </si>
  <si>
    <t>Documentation: https://data.hixcompare.org/hix_compare_documentation_2020_01_02.pdf</t>
  </si>
  <si>
    <t>Data File: https://data.hixcompare.org/individual/2018/individual_2018_2019_10_01_f8387c77943665e742f09d4f7a5f0499.zip</t>
  </si>
  <si>
    <t>Data File: https://data.hixcompare.org/individual/2020/individual_2020_2020_02_28_993f8eedce83cae18a1b695d60854a17.zip</t>
  </si>
  <si>
    <t>Data File: https://data.hixcompare.org/individual/2019/individual_2019_2019_10_01_5bb2919362549303a2d40b92a5cec3ce.zip</t>
  </si>
  <si>
    <t>2016 Qualifying Health Plan Selections by Metal Level and County, as of February 1, 2016</t>
  </si>
  <si>
    <t>(All figures are based on plan selections with coverage periods that include March 2016)</t>
  </si>
  <si>
    <t>County FIPS Code</t>
  </si>
  <si>
    <t>State Name</t>
  </si>
  <si>
    <t>County Name</t>
  </si>
  <si>
    <t>Platinum</t>
  </si>
  <si>
    <t>Gold</t>
  </si>
  <si>
    <t>Bronze</t>
  </si>
  <si>
    <t>Catastrophic</t>
  </si>
  <si>
    <t>Total Plan Selections</t>
  </si>
  <si>
    <t>02013</t>
  </si>
  <si>
    <t>AK</t>
  </si>
  <si>
    <t>Aleutians East Borough</t>
  </si>
  <si>
    <t>02016</t>
  </si>
  <si>
    <t>Aleutians West Census Area</t>
  </si>
  <si>
    <t>.</t>
  </si>
  <si>
    <t>02020</t>
  </si>
  <si>
    <t>Anchorage Municipality</t>
  </si>
  <si>
    <t>02050</t>
  </si>
  <si>
    <t>Bethel Census Area</t>
  </si>
  <si>
    <t>02060</t>
  </si>
  <si>
    <t>Bristol Bay Borough</t>
  </si>
  <si>
    <t>02068</t>
  </si>
  <si>
    <t>Denali Borough</t>
  </si>
  <si>
    <t>02070</t>
  </si>
  <si>
    <t>Dillingham Census Area</t>
  </si>
  <si>
    <t>02090</t>
  </si>
  <si>
    <t>Fairbanks North Star Borough</t>
  </si>
  <si>
    <t>02100</t>
  </si>
  <si>
    <t>Haines Borough</t>
  </si>
  <si>
    <t>02105</t>
  </si>
  <si>
    <t>Hoonah-Angoon Census Area</t>
  </si>
  <si>
    <t>02110</t>
  </si>
  <si>
    <t>Juneau City and Borough</t>
  </si>
  <si>
    <t>02122</t>
  </si>
  <si>
    <t>Kenai Peninsula Borough</t>
  </si>
  <si>
    <t>02130</t>
  </si>
  <si>
    <t>Ketchikan Gateway Borough</t>
  </si>
  <si>
    <t>02150</t>
  </si>
  <si>
    <t>Kodiak Island Borough</t>
  </si>
  <si>
    <t>02164</t>
  </si>
  <si>
    <t>Lake and Peninsula Borough</t>
  </si>
  <si>
    <t>02170</t>
  </si>
  <si>
    <t>Matanuska-Susitna Borough</t>
  </si>
  <si>
    <t>02180</t>
  </si>
  <si>
    <t>Nome Census Area</t>
  </si>
  <si>
    <t>02185</t>
  </si>
  <si>
    <t>North Slope Borough</t>
  </si>
  <si>
    <t>02188</t>
  </si>
  <si>
    <t>Northwest Arctic Borough</t>
  </si>
  <si>
    <t>02195</t>
  </si>
  <si>
    <t>Petersburg Census Area</t>
  </si>
  <si>
    <t>02198</t>
  </si>
  <si>
    <t>Prince of Wales-Hyder Census Area</t>
  </si>
  <si>
    <t>02220</t>
  </si>
  <si>
    <t>Sitka City and Borough</t>
  </si>
  <si>
    <t>02230</t>
  </si>
  <si>
    <t>Skagway Municipality</t>
  </si>
  <si>
    <t>02240</t>
  </si>
  <si>
    <t>Southeast Fairbanks Census Area</t>
  </si>
  <si>
    <t>02261</t>
  </si>
  <si>
    <t>Valdez-Cordova Census Area</t>
  </si>
  <si>
    <t>02270</t>
  </si>
  <si>
    <t>Wade Hampton Census Area</t>
  </si>
  <si>
    <t>02275</t>
  </si>
  <si>
    <t>Wrangell City and Borough</t>
  </si>
  <si>
    <t>02282</t>
  </si>
  <si>
    <t>Yakutat City and Borough</t>
  </si>
  <si>
    <t>02290</t>
  </si>
  <si>
    <t>Yukon-Koyukuk Census Area</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</si>
  <si>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</si>
  <si>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</si>
  <si>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</si>
  <si>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</si>
  <si>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</si>
  <si>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</si>
  <si>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</si>
  <si>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</si>
  <si>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</si>
  <si>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</si>
  <si>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</si>
  <si>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</si>
  <si>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</si>
  <si>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</si>
  <si>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</si>
  <si>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</si>
  <si>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</si>
  <si>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</si>
  <si>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</si>
  <si>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</si>
  <si>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</si>
  <si>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</si>
  <si>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</si>
  <si>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</si>
  <si>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</si>
  <si>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</si>
  <si>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</si>
  <si>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</si>
  <si>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</si>
  <si>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</si>
  <si>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</si>
  <si>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</si>
  <si>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</si>
  <si>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</si>
  <si>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</si>
  <si>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</si>
  <si>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</si>
  <si>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</si>
  <si>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</si>
  <si>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</si>
  <si>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</si>
  <si>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</si>
  <si>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</si>
  <si>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</si>
  <si>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</si>
  <si>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</si>
  <si>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</si>
  <si>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</si>
  <si>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</si>
  <si>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</si>
  <si>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</si>
  <si>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</si>
  <si>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</si>
  <si>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</si>
  <si>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</si>
  <si>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</si>
  <si>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</si>
  <si>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</si>
  <si>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</si>
  <si>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</si>
  <si>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</si>
  <si>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</si>
  <si>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</si>
  <si>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</si>
  <si>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</si>
  <si>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</si>
  <si>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</si>
  <si>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05001</t>
  </si>
  <si>
    <t>AR</t>
  </si>
  <si>
    <t>Arkansas County</t>
  </si>
  <si>
    <t>05003</t>
  </si>
  <si>
    <t>Ashley County</t>
  </si>
  <si>
    <t>05005</t>
  </si>
  <si>
    <t>Baxter County</t>
  </si>
  <si>
    <t>05007</t>
  </si>
  <si>
    <t>05009</t>
  </si>
  <si>
    <t>Boone County</t>
  </si>
  <si>
    <t>05011</t>
  </si>
  <si>
    <t>05013</t>
  </si>
  <si>
    <t>05015</t>
  </si>
  <si>
    <t>05017</t>
  </si>
  <si>
    <t>Chicot County</t>
  </si>
  <si>
    <t>05019</t>
  </si>
  <si>
    <t>Clark County</t>
  </si>
  <si>
    <t>05021</t>
  </si>
  <si>
    <t>05023</t>
  </si>
  <si>
    <t>05025</t>
  </si>
  <si>
    <t>05027</t>
  </si>
  <si>
    <t>05029</t>
  </si>
  <si>
    <t>Conway County</t>
  </si>
  <si>
    <t>05031</t>
  </si>
  <si>
    <t>Craighead County</t>
  </si>
  <si>
    <t>05033</t>
  </si>
  <si>
    <t>05035</t>
  </si>
  <si>
    <t>Crittenden County</t>
  </si>
  <si>
    <t>05037</t>
  </si>
  <si>
    <t>Cross County</t>
  </si>
  <si>
    <t>05039</t>
  </si>
  <si>
    <t>05041</t>
  </si>
  <si>
    <t>Desha County</t>
  </si>
  <si>
    <t>05043</t>
  </si>
  <si>
    <t>Drew County</t>
  </si>
  <si>
    <t>05045</t>
  </si>
  <si>
    <t>Faulkner County</t>
  </si>
  <si>
    <t>05047</t>
  </si>
  <si>
    <t>05049</t>
  </si>
  <si>
    <t>05051</t>
  </si>
  <si>
    <t>Garland County</t>
  </si>
  <si>
    <t>05053</t>
  </si>
  <si>
    <t>Grant County</t>
  </si>
  <si>
    <t>05055</t>
  </si>
  <si>
    <t>05057</t>
  </si>
  <si>
    <t>Hempstead County</t>
  </si>
  <si>
    <t>05059</t>
  </si>
  <si>
    <t>Hot Spring County</t>
  </si>
  <si>
    <t>05061</t>
  </si>
  <si>
    <t>05063</t>
  </si>
  <si>
    <t>Independence County</t>
  </si>
  <si>
    <t>05065</t>
  </si>
  <si>
    <t>Izard County</t>
  </si>
  <si>
    <t>05067</t>
  </si>
  <si>
    <t>05069</t>
  </si>
  <si>
    <t>05071</t>
  </si>
  <si>
    <t>05073</t>
  </si>
  <si>
    <t>05075</t>
  </si>
  <si>
    <t>05077</t>
  </si>
  <si>
    <t>05079</t>
  </si>
  <si>
    <t>05081</t>
  </si>
  <si>
    <t>Little River County</t>
  </si>
  <si>
    <t>05083</t>
  </si>
  <si>
    <t>Logan County</t>
  </si>
  <si>
    <t>05085</t>
  </si>
  <si>
    <t>Lonoke County</t>
  </si>
  <si>
    <t>05087</t>
  </si>
  <si>
    <t>05089</t>
  </si>
  <si>
    <t>05091</t>
  </si>
  <si>
    <t>05093</t>
  </si>
  <si>
    <t>Mississippi County</t>
  </si>
  <si>
    <t>05095</t>
  </si>
  <si>
    <t>05097</t>
  </si>
  <si>
    <t>05099</t>
  </si>
  <si>
    <t>Nevada County</t>
  </si>
  <si>
    <t>05101</t>
  </si>
  <si>
    <t>05103</t>
  </si>
  <si>
    <t>Ouachita County</t>
  </si>
  <si>
    <t>05105</t>
  </si>
  <si>
    <t>05107</t>
  </si>
  <si>
    <t>Phillips County</t>
  </si>
  <si>
    <t>05109</t>
  </si>
  <si>
    <t>05111</t>
  </si>
  <si>
    <t>Poinsett County</t>
  </si>
  <si>
    <t>05113</t>
  </si>
  <si>
    <t>05115</t>
  </si>
  <si>
    <t>Pope County</t>
  </si>
  <si>
    <t>05117</t>
  </si>
  <si>
    <t>Prairie County</t>
  </si>
  <si>
    <t>05119</t>
  </si>
  <si>
    <t>05121</t>
  </si>
  <si>
    <t>05123</t>
  </si>
  <si>
    <t>St. Francis County</t>
  </si>
  <si>
    <t>05125</t>
  </si>
  <si>
    <t>Saline County</t>
  </si>
  <si>
    <t>05127</t>
  </si>
  <si>
    <t>05129</t>
  </si>
  <si>
    <t>Searcy County</t>
  </si>
  <si>
    <t>05131</t>
  </si>
  <si>
    <t>Sebastian County</t>
  </si>
  <si>
    <t>05133</t>
  </si>
  <si>
    <t>05135</t>
  </si>
  <si>
    <t>Sharp County</t>
  </si>
  <si>
    <t>05137</t>
  </si>
  <si>
    <t>05139</t>
  </si>
  <si>
    <t>05141</t>
  </si>
  <si>
    <t>05143</t>
  </si>
  <si>
    <t>05145</t>
  </si>
  <si>
    <t>05147</t>
  </si>
  <si>
    <t>Woodruff County</t>
  </si>
  <si>
    <t>05149</t>
  </si>
  <si>
    <t>Yell County</t>
  </si>
  <si>
    <t>04001</t>
  </si>
  <si>
    <t>AZ</t>
  </si>
  <si>
    <t>Apache County</t>
  </si>
  <si>
    <t>04003</t>
  </si>
  <si>
    <t>Cochise County</t>
  </si>
  <si>
    <t>04005</t>
  </si>
  <si>
    <t>Coconino County</t>
  </si>
  <si>
    <t>04007</t>
  </si>
  <si>
    <t>Gila County</t>
  </si>
  <si>
    <t>04009</t>
  </si>
  <si>
    <t>04011</t>
  </si>
  <si>
    <t>Greenlee County</t>
  </si>
  <si>
    <t>04012</t>
  </si>
  <si>
    <t>La Paz County</t>
  </si>
  <si>
    <t>04013</t>
  </si>
  <si>
    <t>Maricopa County</t>
  </si>
  <si>
    <t>04015</t>
  </si>
  <si>
    <t>Mohave County</t>
  </si>
  <si>
    <t>04017</t>
  </si>
  <si>
    <t>Navajo County</t>
  </si>
  <si>
    <t>04019</t>
  </si>
  <si>
    <t>Pima County</t>
  </si>
  <si>
    <t>04021</t>
  </si>
  <si>
    <t>Pinal County</t>
  </si>
  <si>
    <t>04023</t>
  </si>
  <si>
    <t>Santa Cruz County</t>
  </si>
  <si>
    <t>04025</t>
  </si>
  <si>
    <t>Yavapai County</t>
  </si>
  <si>
    <t>04027</t>
  </si>
  <si>
    <t>Yuma County</t>
  </si>
  <si>
    <t>10001</t>
  </si>
  <si>
    <t>DE</t>
  </si>
  <si>
    <t>10003</t>
  </si>
  <si>
    <t>New Castle County</t>
  </si>
  <si>
    <t>10005</t>
  </si>
  <si>
    <t>Sussex County</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</si>
  <si>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</si>
  <si>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</si>
  <si>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</si>
  <si>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</si>
  <si>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</si>
  <si>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</si>
  <si>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</si>
  <si>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</si>
  <si>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</si>
  <si>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</si>
  <si>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</si>
  <si>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</si>
  <si>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</si>
  <si>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</si>
  <si>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</si>
  <si>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</si>
  <si>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</si>
  <si>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</si>
  <si>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</si>
  <si>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</si>
  <si>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</si>
  <si>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</si>
  <si>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</si>
  <si>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</si>
  <si>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</si>
  <si>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</si>
  <si>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</si>
  <si>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</si>
  <si>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</si>
  <si>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</si>
  <si>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</si>
  <si>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</si>
  <si>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</si>
  <si>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</si>
  <si>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</si>
  <si>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</si>
  <si>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</si>
  <si>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</si>
  <si>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</si>
  <si>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</si>
  <si>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</si>
  <si>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</si>
  <si>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</si>
  <si>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</si>
  <si>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</si>
  <si>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</si>
  <si>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</si>
  <si>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</si>
  <si>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</si>
  <si>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</si>
  <si>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</si>
  <si>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</si>
  <si>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</si>
  <si>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</si>
  <si>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</si>
  <si>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</si>
  <si>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</si>
  <si>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</si>
  <si>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</si>
  <si>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</si>
  <si>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</si>
  <si>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</si>
  <si>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</si>
  <si>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</si>
  <si>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</si>
  <si>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</si>
  <si>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</si>
  <si>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</si>
  <si>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</si>
  <si>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</si>
  <si>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</si>
  <si>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</si>
  <si>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</si>
  <si>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</si>
  <si>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</si>
  <si>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</si>
  <si>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</si>
  <si>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</si>
  <si>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</si>
  <si>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</si>
  <si>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</si>
  <si>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</si>
  <si>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</si>
  <si>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</si>
  <si>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</si>
  <si>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</si>
  <si>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</si>
  <si>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</si>
  <si>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</si>
  <si>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</si>
  <si>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</si>
  <si>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</si>
  <si>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</si>
  <si>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</si>
  <si>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</si>
  <si>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</si>
  <si>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</si>
  <si>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</si>
  <si>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</si>
  <si>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</si>
  <si>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</si>
  <si>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</si>
  <si>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</si>
  <si>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</si>
  <si>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</si>
  <si>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</si>
  <si>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</si>
  <si>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</si>
  <si>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</si>
  <si>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</si>
  <si>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</si>
  <si>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</si>
  <si>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</si>
  <si>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</si>
  <si>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</si>
  <si>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</si>
  <si>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</si>
  <si>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</si>
  <si>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</si>
  <si>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</si>
  <si>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</si>
  <si>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</si>
  <si>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</si>
  <si>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</si>
  <si>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</si>
  <si>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</si>
  <si>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</si>
  <si>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</si>
  <si>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</si>
  <si>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</si>
  <si>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</si>
  <si>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</si>
  <si>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</si>
  <si>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</si>
  <si>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</si>
  <si>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</si>
  <si>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</si>
  <si>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</si>
  <si>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</si>
  <si>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</si>
  <si>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</si>
  <si>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</si>
  <si>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</si>
  <si>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</si>
  <si>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</si>
  <si>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</si>
  <si>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</si>
  <si>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</si>
  <si>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</si>
  <si>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</si>
  <si>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</si>
  <si>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</si>
  <si>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</si>
  <si>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</si>
  <si>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</si>
  <si>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</si>
  <si>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</si>
  <si>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</si>
  <si>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</si>
  <si>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</si>
  <si>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</si>
  <si>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</si>
  <si>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</si>
  <si>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</si>
  <si>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</si>
  <si>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</si>
  <si>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</si>
  <si>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</si>
  <si>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</si>
  <si>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</si>
  <si>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</si>
  <si>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</si>
  <si>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</si>
  <si>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</si>
  <si>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</si>
  <si>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</si>
  <si>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</si>
  <si>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</si>
  <si>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</si>
  <si>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</si>
  <si>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</si>
  <si>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</si>
  <si>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</si>
  <si>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</si>
  <si>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</si>
  <si>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</si>
  <si>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</si>
  <si>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</si>
  <si>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</si>
  <si>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</si>
  <si>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</si>
  <si>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</si>
  <si>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</si>
  <si>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</si>
  <si>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</si>
  <si>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</si>
  <si>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</si>
  <si>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</si>
  <si>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</si>
  <si>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</si>
  <si>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</si>
  <si>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</si>
  <si>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</si>
  <si>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</si>
  <si>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</si>
  <si>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</si>
  <si>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</si>
  <si>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</si>
  <si>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</si>
  <si>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</si>
  <si>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</si>
  <si>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</si>
  <si>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</si>
  <si>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</si>
  <si>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</si>
  <si>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</si>
  <si>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</si>
  <si>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</si>
  <si>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</si>
  <si>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</si>
  <si>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</si>
  <si>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</si>
  <si>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</si>
  <si>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</si>
  <si>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</si>
  <si>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</si>
  <si>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15001</t>
  </si>
  <si>
    <t>HI</t>
  </si>
  <si>
    <t>Hawaii County</t>
  </si>
  <si>
    <t>15003</t>
  </si>
  <si>
    <t>Honolulu County</t>
  </si>
  <si>
    <t>15007</t>
  </si>
  <si>
    <t>Kauai County</t>
  </si>
  <si>
    <t>15009</t>
  </si>
  <si>
    <t>Maui County</t>
  </si>
  <si>
    <t>19001</t>
  </si>
  <si>
    <t>IA</t>
  </si>
  <si>
    <t>Adair County</t>
  </si>
  <si>
    <t>19003</t>
  </si>
  <si>
    <t>19005</t>
  </si>
  <si>
    <t>Allamakee County</t>
  </si>
  <si>
    <t>19007</t>
  </si>
  <si>
    <t>Appanoose County</t>
  </si>
  <si>
    <t>19009</t>
  </si>
  <si>
    <t>Audubon County</t>
  </si>
  <si>
    <t>19011</t>
  </si>
  <si>
    <t>19013</t>
  </si>
  <si>
    <t>Black Hawk County</t>
  </si>
  <si>
    <t>19015</t>
  </si>
  <si>
    <t>19017</t>
  </si>
  <si>
    <t>Bremer County</t>
  </si>
  <si>
    <t>19019</t>
  </si>
  <si>
    <t>Buchanan County</t>
  </si>
  <si>
    <t>19021</t>
  </si>
  <si>
    <t>Buena Vista County</t>
  </si>
  <si>
    <t>19023</t>
  </si>
  <si>
    <t>19025</t>
  </si>
  <si>
    <t>19027</t>
  </si>
  <si>
    <t>19029</t>
  </si>
  <si>
    <t>19031</t>
  </si>
  <si>
    <t>Cedar County</t>
  </si>
  <si>
    <t>19033</t>
  </si>
  <si>
    <t>Cerro Gordo County</t>
  </si>
  <si>
    <t>19035</t>
  </si>
  <si>
    <t>19037</t>
  </si>
  <si>
    <t>19039</t>
  </si>
  <si>
    <t>19041</t>
  </si>
  <si>
    <t>19043</t>
  </si>
  <si>
    <t>19045</t>
  </si>
  <si>
    <t>Clinton County</t>
  </si>
  <si>
    <t>19047</t>
  </si>
  <si>
    <t>19049</t>
  </si>
  <si>
    <t>19051</t>
  </si>
  <si>
    <t>Davis County</t>
  </si>
  <si>
    <t>19053</t>
  </si>
  <si>
    <t>19055</t>
  </si>
  <si>
    <t>Delaware County</t>
  </si>
  <si>
    <t>19057</t>
  </si>
  <si>
    <t>Des Moines County</t>
  </si>
  <si>
    <t>19059</t>
  </si>
  <si>
    <t>Dickinson County</t>
  </si>
  <si>
    <t>19061</t>
  </si>
  <si>
    <t>Dubuque County</t>
  </si>
  <si>
    <t>19063</t>
  </si>
  <si>
    <t>Emmet County</t>
  </si>
  <si>
    <t>19065</t>
  </si>
  <si>
    <t>19067</t>
  </si>
  <si>
    <t>19069</t>
  </si>
  <si>
    <t>19071</t>
  </si>
  <si>
    <t>Fremont County</t>
  </si>
  <si>
    <t>19073</t>
  </si>
  <si>
    <t>19075</t>
  </si>
  <si>
    <t>19077</t>
  </si>
  <si>
    <t>Guthrie County</t>
  </si>
  <si>
    <t>19079</t>
  </si>
  <si>
    <t>19081</t>
  </si>
  <si>
    <t>19083</t>
  </si>
  <si>
    <t>19085</t>
  </si>
  <si>
    <t>19087</t>
  </si>
  <si>
    <t>19089</t>
  </si>
  <si>
    <t>19091</t>
  </si>
  <si>
    <t>Humboldt County</t>
  </si>
  <si>
    <t>19093</t>
  </si>
  <si>
    <t>Ida County</t>
  </si>
  <si>
    <t>19095</t>
  </si>
  <si>
    <t>Iowa County</t>
  </si>
  <si>
    <t>19097</t>
  </si>
  <si>
    <t>19099</t>
  </si>
  <si>
    <t>19101</t>
  </si>
  <si>
    <t>19103</t>
  </si>
  <si>
    <t>19105</t>
  </si>
  <si>
    <t>19107</t>
  </si>
  <si>
    <t>Keokuk County</t>
  </si>
  <si>
    <t>19109</t>
  </si>
  <si>
    <t>Kossuth County</t>
  </si>
  <si>
    <t>19111</t>
  </si>
  <si>
    <t>19113</t>
  </si>
  <si>
    <t>Linn County</t>
  </si>
  <si>
    <t>19115</t>
  </si>
  <si>
    <t>Louisa County</t>
  </si>
  <si>
    <t>19117</t>
  </si>
  <si>
    <t>Lucas County</t>
  </si>
  <si>
    <t>19119</t>
  </si>
  <si>
    <t>Lyon County</t>
  </si>
  <si>
    <t>19121</t>
  </si>
  <si>
    <t>19123</t>
  </si>
  <si>
    <t>Mahaska County</t>
  </si>
  <si>
    <t>19125</t>
  </si>
  <si>
    <t>19127</t>
  </si>
  <si>
    <t>19129</t>
  </si>
  <si>
    <t>19131</t>
  </si>
  <si>
    <t>19133</t>
  </si>
  <si>
    <t>Monona County</t>
  </si>
  <si>
    <t>19135</t>
  </si>
  <si>
    <t>19137</t>
  </si>
  <si>
    <t>19139</t>
  </si>
  <si>
    <t>Muscatine County</t>
  </si>
  <si>
    <t>19141</t>
  </si>
  <si>
    <t>O'Brien County</t>
  </si>
  <si>
    <t>19143</t>
  </si>
  <si>
    <t>19145</t>
  </si>
  <si>
    <t>Page County</t>
  </si>
  <si>
    <t>19147</t>
  </si>
  <si>
    <t>Palo Alto County</t>
  </si>
  <si>
    <t>19149</t>
  </si>
  <si>
    <t>Plymouth County</t>
  </si>
  <si>
    <t>19151</t>
  </si>
  <si>
    <t>Pocahontas County</t>
  </si>
  <si>
    <t>19153</t>
  </si>
  <si>
    <t>19155</t>
  </si>
  <si>
    <t>Pottawattamie County</t>
  </si>
  <si>
    <t>19157</t>
  </si>
  <si>
    <t>Poweshiek County</t>
  </si>
  <si>
    <t>19159</t>
  </si>
  <si>
    <t>Ringgold County</t>
  </si>
  <si>
    <t>19161</t>
  </si>
  <si>
    <t>Sac County</t>
  </si>
  <si>
    <t>19163</t>
  </si>
  <si>
    <t>19165</t>
  </si>
  <si>
    <t>19167</t>
  </si>
  <si>
    <t>Sioux County</t>
  </si>
  <si>
    <t>19169</t>
  </si>
  <si>
    <t>Story County</t>
  </si>
  <si>
    <t>19171</t>
  </si>
  <si>
    <t>Tama County</t>
  </si>
  <si>
    <t>19173</t>
  </si>
  <si>
    <t>19175</t>
  </si>
  <si>
    <t>19177</t>
  </si>
  <si>
    <t>19179</t>
  </si>
  <si>
    <t>Wapello County</t>
  </si>
  <si>
    <t>19181</t>
  </si>
  <si>
    <t>19183</t>
  </si>
  <si>
    <t>19185</t>
  </si>
  <si>
    <t>19187</t>
  </si>
  <si>
    <t>19189</t>
  </si>
  <si>
    <t>Winnebago County</t>
  </si>
  <si>
    <t>19191</t>
  </si>
  <si>
    <t>Winneshiek County</t>
  </si>
  <si>
    <t>19193</t>
  </si>
  <si>
    <t>Woodbury County</t>
  </si>
  <si>
    <t>19195</t>
  </si>
  <si>
    <t>19197</t>
  </si>
  <si>
    <t>Wright County</t>
  </si>
  <si>
    <t>17001</t>
  </si>
  <si>
    <t>IL</t>
  </si>
  <si>
    <t>17003</t>
  </si>
  <si>
    <t>17005</t>
  </si>
  <si>
    <t>Bond County</t>
  </si>
  <si>
    <t>17007</t>
  </si>
  <si>
    <t>17009</t>
  </si>
  <si>
    <t>17011</t>
  </si>
  <si>
    <t>Bureau County</t>
  </si>
  <si>
    <t>17013</t>
  </si>
  <si>
    <t>17015</t>
  </si>
  <si>
    <t>17017</t>
  </si>
  <si>
    <t>17019</t>
  </si>
  <si>
    <t>Champaign County</t>
  </si>
  <si>
    <t>17021</t>
  </si>
  <si>
    <t>Christian County</t>
  </si>
  <si>
    <t>17023</t>
  </si>
  <si>
    <t>17025</t>
  </si>
  <si>
    <t>17027</t>
  </si>
  <si>
    <t>17029</t>
  </si>
  <si>
    <t>Coles County</t>
  </si>
  <si>
    <t>17031</t>
  </si>
  <si>
    <t>17033</t>
  </si>
  <si>
    <t>17035</t>
  </si>
  <si>
    <t>17037</t>
  </si>
  <si>
    <t>17039</t>
  </si>
  <si>
    <t>De Witt County</t>
  </si>
  <si>
    <t>17041</t>
  </si>
  <si>
    <t>17043</t>
  </si>
  <si>
    <t>DuPage County</t>
  </si>
  <si>
    <t>17045</t>
  </si>
  <si>
    <t>Edgar County</t>
  </si>
  <si>
    <t>17047</t>
  </si>
  <si>
    <t>17049</t>
  </si>
  <si>
    <t>17051</t>
  </si>
  <si>
    <t>17053</t>
  </si>
  <si>
    <t>Ford County</t>
  </si>
  <si>
    <t>17055</t>
  </si>
  <si>
    <t>17057</t>
  </si>
  <si>
    <t>17059</t>
  </si>
  <si>
    <t>Gallatin County</t>
  </si>
  <si>
    <t>17061</t>
  </si>
  <si>
    <t>17063</t>
  </si>
  <si>
    <t>17065</t>
  </si>
  <si>
    <t>17067</t>
  </si>
  <si>
    <t>17069</t>
  </si>
  <si>
    <t>17071</t>
  </si>
  <si>
    <t>17073</t>
  </si>
  <si>
    <t>17075</t>
  </si>
  <si>
    <t>Iroquois County</t>
  </si>
  <si>
    <t>17077</t>
  </si>
  <si>
    <t>17079</t>
  </si>
  <si>
    <t>17081</t>
  </si>
  <si>
    <t>17083</t>
  </si>
  <si>
    <t>Jersey County</t>
  </si>
  <si>
    <t>17085</t>
  </si>
  <si>
    <t>Jo Daviess County</t>
  </si>
  <si>
    <t>17087</t>
  </si>
  <si>
    <t>17089</t>
  </si>
  <si>
    <t>Kane County</t>
  </si>
  <si>
    <t>17091</t>
  </si>
  <si>
    <t>Kankakee County</t>
  </si>
  <si>
    <t>17093</t>
  </si>
  <si>
    <t>17095</t>
  </si>
  <si>
    <t>17097</t>
  </si>
  <si>
    <t>17099</t>
  </si>
  <si>
    <t>LaSalle County</t>
  </si>
  <si>
    <t>17101</t>
  </si>
  <si>
    <t>17103</t>
  </si>
  <si>
    <t>17105</t>
  </si>
  <si>
    <t>Livingston County</t>
  </si>
  <si>
    <t>17107</t>
  </si>
  <si>
    <t>17109</t>
  </si>
  <si>
    <t>McDonough County</t>
  </si>
  <si>
    <t>17111</t>
  </si>
  <si>
    <t>McHenry County</t>
  </si>
  <si>
    <t>17113</t>
  </si>
  <si>
    <t>McLean County</t>
  </si>
  <si>
    <t>17115</t>
  </si>
  <si>
    <t>17117</t>
  </si>
  <si>
    <t>Macoupin County</t>
  </si>
  <si>
    <t>17119</t>
  </si>
  <si>
    <t>17121</t>
  </si>
  <si>
    <t>17123</t>
  </si>
  <si>
    <t>17125</t>
  </si>
  <si>
    <t>17127</t>
  </si>
  <si>
    <t>Massac County</t>
  </si>
  <si>
    <t>17129</t>
  </si>
  <si>
    <t>17131</t>
  </si>
  <si>
    <t>Mercer County</t>
  </si>
  <si>
    <t>17133</t>
  </si>
  <si>
    <t>17135</t>
  </si>
  <si>
    <t>17137</t>
  </si>
  <si>
    <t>17139</t>
  </si>
  <si>
    <t>Moultrie County</t>
  </si>
  <si>
    <t>17141</t>
  </si>
  <si>
    <t>Ogle County</t>
  </si>
  <si>
    <t>17143</t>
  </si>
  <si>
    <t>Peoria County</t>
  </si>
  <si>
    <t>17145</t>
  </si>
  <si>
    <t>17147</t>
  </si>
  <si>
    <t>Piatt County</t>
  </si>
  <si>
    <t>17149</t>
  </si>
  <si>
    <t>17151</t>
  </si>
  <si>
    <t>17153</t>
  </si>
  <si>
    <t>17155</t>
  </si>
  <si>
    <t>17157</t>
  </si>
  <si>
    <t>17159</t>
  </si>
  <si>
    <t>Richland County</t>
  </si>
  <si>
    <t>17161</t>
  </si>
  <si>
    <t>Rock Island County</t>
  </si>
  <si>
    <t>17163</t>
  </si>
  <si>
    <t>17165</t>
  </si>
  <si>
    <t>17167</t>
  </si>
  <si>
    <t>Sangamon County</t>
  </si>
  <si>
    <t>17169</t>
  </si>
  <si>
    <t>Schuyler County</t>
  </si>
  <si>
    <t>17171</t>
  </si>
  <si>
    <t>17173</t>
  </si>
  <si>
    <t>17175</t>
  </si>
  <si>
    <t>Stark County</t>
  </si>
  <si>
    <t>17177</t>
  </si>
  <si>
    <t>Stephenson County</t>
  </si>
  <si>
    <t>17179</t>
  </si>
  <si>
    <t>Tazewell County</t>
  </si>
  <si>
    <t>17181</t>
  </si>
  <si>
    <t>17183</t>
  </si>
  <si>
    <t>Vermilion County</t>
  </si>
  <si>
    <t>17185</t>
  </si>
  <si>
    <t>Wabash County</t>
  </si>
  <si>
    <t>17187</t>
  </si>
  <si>
    <t>17189</t>
  </si>
  <si>
    <t>17191</t>
  </si>
  <si>
    <t>17193</t>
  </si>
  <si>
    <t>17195</t>
  </si>
  <si>
    <t>Whiteside County</t>
  </si>
  <si>
    <t>17197</t>
  </si>
  <si>
    <t>Will County</t>
  </si>
  <si>
    <t>17199</t>
  </si>
  <si>
    <t>17201</t>
  </si>
  <si>
    <t>17203</t>
  </si>
  <si>
    <t>Woodford County</t>
  </si>
  <si>
    <t>18001</t>
  </si>
  <si>
    <t>IN</t>
  </si>
  <si>
    <t>18003</t>
  </si>
  <si>
    <t>Allen County</t>
  </si>
  <si>
    <t>18005</t>
  </si>
  <si>
    <t>Bartholomew County</t>
  </si>
  <si>
    <t>18007</t>
  </si>
  <si>
    <t>18009</t>
  </si>
  <si>
    <t>Blackford County</t>
  </si>
  <si>
    <t>18011</t>
  </si>
  <si>
    <t>18013</t>
  </si>
  <si>
    <t>18015</t>
  </si>
  <si>
    <t>18017</t>
  </si>
  <si>
    <t>18019</t>
  </si>
  <si>
    <t>18021</t>
  </si>
  <si>
    <t>18023</t>
  </si>
  <si>
    <t>18025</t>
  </si>
  <si>
    <t>18027</t>
  </si>
  <si>
    <t>Daviess County</t>
  </si>
  <si>
    <t>18029</t>
  </si>
  <si>
    <t>Dearborn County</t>
  </si>
  <si>
    <t>18031</t>
  </si>
  <si>
    <t>18033</t>
  </si>
  <si>
    <t>18035</t>
  </si>
  <si>
    <t>18037</t>
  </si>
  <si>
    <t>Dubois County</t>
  </si>
  <si>
    <t>18039</t>
  </si>
  <si>
    <t>Elkhart County</t>
  </si>
  <si>
    <t>18041</t>
  </si>
  <si>
    <t>18043</t>
  </si>
  <si>
    <t>18045</t>
  </si>
  <si>
    <t>Fountain County</t>
  </si>
  <si>
    <t>18047</t>
  </si>
  <si>
    <t>18049</t>
  </si>
  <si>
    <t>18051</t>
  </si>
  <si>
    <t>18053</t>
  </si>
  <si>
    <t>18055</t>
  </si>
  <si>
    <t>18057</t>
  </si>
  <si>
    <t>18059</t>
  </si>
  <si>
    <t>18061</t>
  </si>
  <si>
    <t>18063</t>
  </si>
  <si>
    <t>Hendricks County</t>
  </si>
  <si>
    <t>18065</t>
  </si>
  <si>
    <t>18067</t>
  </si>
  <si>
    <t>18069</t>
  </si>
  <si>
    <t>Huntington County</t>
  </si>
  <si>
    <t>18071</t>
  </si>
  <si>
    <t>18073</t>
  </si>
  <si>
    <t>18075</t>
  </si>
  <si>
    <t>Jay County</t>
  </si>
  <si>
    <t>18077</t>
  </si>
  <si>
    <t>18079</t>
  </si>
  <si>
    <t>Jennings County</t>
  </si>
  <si>
    <t>18081</t>
  </si>
  <si>
    <t>18083</t>
  </si>
  <si>
    <t>18085</t>
  </si>
  <si>
    <t>Kosciusko County</t>
  </si>
  <si>
    <t>18087</t>
  </si>
  <si>
    <t>LaGrange County</t>
  </si>
  <si>
    <t>18089</t>
  </si>
  <si>
    <t>18091</t>
  </si>
  <si>
    <t>LaPorte County</t>
  </si>
  <si>
    <t>18093</t>
  </si>
  <si>
    <t>18095</t>
  </si>
  <si>
    <t>18097</t>
  </si>
  <si>
    <t>18099</t>
  </si>
  <si>
    <t>18101</t>
  </si>
  <si>
    <t>18103</t>
  </si>
  <si>
    <t>Miami County</t>
  </si>
  <si>
    <t>18105</t>
  </si>
  <si>
    <t>18107</t>
  </si>
  <si>
    <t>18109</t>
  </si>
  <si>
    <t>18111</t>
  </si>
  <si>
    <t>18113</t>
  </si>
  <si>
    <t>Noble County</t>
  </si>
  <si>
    <t>18115</t>
  </si>
  <si>
    <t>Ohio County</t>
  </si>
  <si>
    <t>18117</t>
  </si>
  <si>
    <t>18119</t>
  </si>
  <si>
    <t>Owen County</t>
  </si>
  <si>
    <t>18121</t>
  </si>
  <si>
    <t>Parke County</t>
  </si>
  <si>
    <t>18123</t>
  </si>
  <si>
    <t>18125</t>
  </si>
  <si>
    <t>18127</t>
  </si>
  <si>
    <t>Porter County</t>
  </si>
  <si>
    <t>18129</t>
  </si>
  <si>
    <t>Posey County</t>
  </si>
  <si>
    <t>18131</t>
  </si>
  <si>
    <t>18133</t>
  </si>
  <si>
    <t>18135</t>
  </si>
  <si>
    <t>18137</t>
  </si>
  <si>
    <t>Ripley County</t>
  </si>
  <si>
    <t>18139</t>
  </si>
  <si>
    <t>Rush County</t>
  </si>
  <si>
    <t>18141</t>
  </si>
  <si>
    <t>St. Joseph County</t>
  </si>
  <si>
    <t>18143</t>
  </si>
  <si>
    <t>18145</t>
  </si>
  <si>
    <t>18147</t>
  </si>
  <si>
    <t>Spencer County</t>
  </si>
  <si>
    <t>18149</t>
  </si>
  <si>
    <t>Starke County</t>
  </si>
  <si>
    <t>18151</t>
  </si>
  <si>
    <t>Steuben County</t>
  </si>
  <si>
    <t>18153</t>
  </si>
  <si>
    <t>18155</t>
  </si>
  <si>
    <t>Switzerland County</t>
  </si>
  <si>
    <t>18157</t>
  </si>
  <si>
    <t>Tippecanoe County</t>
  </si>
  <si>
    <t>18159</t>
  </si>
  <si>
    <t>18161</t>
  </si>
  <si>
    <t>18163</t>
  </si>
  <si>
    <t>Vanderburgh County</t>
  </si>
  <si>
    <t>18165</t>
  </si>
  <si>
    <t>Vermillion County</t>
  </si>
  <si>
    <t>18167</t>
  </si>
  <si>
    <t>Vigo County</t>
  </si>
  <si>
    <t>18169</t>
  </si>
  <si>
    <t>18171</t>
  </si>
  <si>
    <t>18173</t>
  </si>
  <si>
    <t>Warrick County</t>
  </si>
  <si>
    <t>18175</t>
  </si>
  <si>
    <t>18177</t>
  </si>
  <si>
    <t>18179</t>
  </si>
  <si>
    <t>Wells County</t>
  </si>
  <si>
    <t>18181</t>
  </si>
  <si>
    <t>18183</t>
  </si>
  <si>
    <t>Whitley County</t>
  </si>
  <si>
    <t>20001</t>
  </si>
  <si>
    <t>KS</t>
  </si>
  <si>
    <t>20003</t>
  </si>
  <si>
    <t>20005</t>
  </si>
  <si>
    <t>Atchison County</t>
  </si>
  <si>
    <t>20007</t>
  </si>
  <si>
    <t>Barber County</t>
  </si>
  <si>
    <t>20009</t>
  </si>
  <si>
    <t>Barton County</t>
  </si>
  <si>
    <t>20011</t>
  </si>
  <si>
    <t>Bourbon County</t>
  </si>
  <si>
    <t>20013</t>
  </si>
  <si>
    <t>20015</t>
  </si>
  <si>
    <t>20017</t>
  </si>
  <si>
    <t>Chase County</t>
  </si>
  <si>
    <t>20019</t>
  </si>
  <si>
    <t>Chautauqua County</t>
  </si>
  <si>
    <t>20021</t>
  </si>
  <si>
    <t>20023</t>
  </si>
  <si>
    <t>Cheyenne County</t>
  </si>
  <si>
    <t>20025</t>
  </si>
  <si>
    <t>20027</t>
  </si>
  <si>
    <t>20029</t>
  </si>
  <si>
    <t>Cloud County</t>
  </si>
  <si>
    <t>20031</t>
  </si>
  <si>
    <t>Coffey County</t>
  </si>
  <si>
    <t>20033</t>
  </si>
  <si>
    <t>20035</t>
  </si>
  <si>
    <t>Cowley County</t>
  </si>
  <si>
    <t>20037</t>
  </si>
  <si>
    <t>20039</t>
  </si>
  <si>
    <t>20041</t>
  </si>
  <si>
    <t>20043</t>
  </si>
  <si>
    <t>Doniphan County</t>
  </si>
  <si>
    <t>20045</t>
  </si>
  <si>
    <t>20047</t>
  </si>
  <si>
    <t>20049</t>
  </si>
  <si>
    <t>Elk County</t>
  </si>
  <si>
    <t>20051</t>
  </si>
  <si>
    <t>20053</t>
  </si>
  <si>
    <t>Ellsworth County</t>
  </si>
  <si>
    <t>20055</t>
  </si>
  <si>
    <t>Finney County</t>
  </si>
  <si>
    <t>20057</t>
  </si>
  <si>
    <t>20059</t>
  </si>
  <si>
    <t>20061</t>
  </si>
  <si>
    <t>Geary County</t>
  </si>
  <si>
    <t>20063</t>
  </si>
  <si>
    <t>Gove County</t>
  </si>
  <si>
    <t>20065</t>
  </si>
  <si>
    <t>20067</t>
  </si>
  <si>
    <t>20069</t>
  </si>
  <si>
    <t>20071</t>
  </si>
  <si>
    <t>Greeley County</t>
  </si>
  <si>
    <t>20073</t>
  </si>
  <si>
    <t>Greenwood County</t>
  </si>
  <si>
    <t>20075</t>
  </si>
  <si>
    <t>20077</t>
  </si>
  <si>
    <t>Harper County</t>
  </si>
  <si>
    <t>20079</t>
  </si>
  <si>
    <t>Harvey County</t>
  </si>
  <si>
    <t>20081</t>
  </si>
  <si>
    <t>20083</t>
  </si>
  <si>
    <t>Hodgeman County</t>
  </si>
  <si>
    <t>20085</t>
  </si>
  <si>
    <t>20087</t>
  </si>
  <si>
    <t>20089</t>
  </si>
  <si>
    <t>Jewell County</t>
  </si>
  <si>
    <t>20091</t>
  </si>
  <si>
    <t>20093</t>
  </si>
  <si>
    <t>Kearny County</t>
  </si>
  <si>
    <t>20095</t>
  </si>
  <si>
    <t>Kingman County</t>
  </si>
  <si>
    <t>20097</t>
  </si>
  <si>
    <t>Kiowa County</t>
  </si>
  <si>
    <t>20099</t>
  </si>
  <si>
    <t>Labette County</t>
  </si>
  <si>
    <t>20101</t>
  </si>
  <si>
    <t>Lane County</t>
  </si>
  <si>
    <t>20103</t>
  </si>
  <si>
    <t>Leavenworth County</t>
  </si>
  <si>
    <t>20105</t>
  </si>
  <si>
    <t>20107</t>
  </si>
  <si>
    <t>20109</t>
  </si>
  <si>
    <t>20111</t>
  </si>
  <si>
    <t>20113</t>
  </si>
  <si>
    <t>McPherson County</t>
  </si>
  <si>
    <t>20115</t>
  </si>
  <si>
    <t>20117</t>
  </si>
  <si>
    <t>20119</t>
  </si>
  <si>
    <t>Meade County</t>
  </si>
  <si>
    <t>20121</t>
  </si>
  <si>
    <t>20123</t>
  </si>
  <si>
    <t>20125</t>
  </si>
  <si>
    <t>20127</t>
  </si>
  <si>
    <t>20129</t>
  </si>
  <si>
    <t>Morton County</t>
  </si>
  <si>
    <t>20131</t>
  </si>
  <si>
    <t>Nemaha County</t>
  </si>
  <si>
    <t>20133</t>
  </si>
  <si>
    <t>Neosho County</t>
  </si>
  <si>
    <t>20135</t>
  </si>
  <si>
    <t>Ness County</t>
  </si>
  <si>
    <t>20137</t>
  </si>
  <si>
    <t>Norton County</t>
  </si>
  <si>
    <t>20139</t>
  </si>
  <si>
    <t>Osage County</t>
  </si>
  <si>
    <t>20141</t>
  </si>
  <si>
    <t>Osborne County</t>
  </si>
  <si>
    <t>20143</t>
  </si>
  <si>
    <t>Ottawa County</t>
  </si>
  <si>
    <t>20145</t>
  </si>
  <si>
    <t>Pawnee County</t>
  </si>
  <si>
    <t>20147</t>
  </si>
  <si>
    <t>20149</t>
  </si>
  <si>
    <t>Pottawatomie County</t>
  </si>
  <si>
    <t>20151</t>
  </si>
  <si>
    <t>Pratt County</t>
  </si>
  <si>
    <t>20153</t>
  </si>
  <si>
    <t>Rawlins County</t>
  </si>
  <si>
    <t>20155</t>
  </si>
  <si>
    <t>Reno County</t>
  </si>
  <si>
    <t>20157</t>
  </si>
  <si>
    <t>Republic County</t>
  </si>
  <si>
    <t>20159</t>
  </si>
  <si>
    <t>Rice County</t>
  </si>
  <si>
    <t>20161</t>
  </si>
  <si>
    <t>Riley County</t>
  </si>
  <si>
    <t>20163</t>
  </si>
  <si>
    <t>Rooks County</t>
  </si>
  <si>
    <t>20165</t>
  </si>
  <si>
    <t>20167</t>
  </si>
  <si>
    <t>20169</t>
  </si>
  <si>
    <t>20171</t>
  </si>
  <si>
    <t>20173</t>
  </si>
  <si>
    <t>Sedgwick County</t>
  </si>
  <si>
    <t>20175</t>
  </si>
  <si>
    <t>Seward County</t>
  </si>
  <si>
    <t>20177</t>
  </si>
  <si>
    <t>Shawnee County</t>
  </si>
  <si>
    <t>20179</t>
  </si>
  <si>
    <t>Sheridan County</t>
  </si>
  <si>
    <t>20181</t>
  </si>
  <si>
    <t>20183</t>
  </si>
  <si>
    <t>20185</t>
  </si>
  <si>
    <t>Stafford County</t>
  </si>
  <si>
    <t>20187</t>
  </si>
  <si>
    <t>Stanton County</t>
  </si>
  <si>
    <t>20189</t>
  </si>
  <si>
    <t>Stevens County</t>
  </si>
  <si>
    <t>20191</t>
  </si>
  <si>
    <t>20193</t>
  </si>
  <si>
    <t>20195</t>
  </si>
  <si>
    <t>Trego County</t>
  </si>
  <si>
    <t>20197</t>
  </si>
  <si>
    <t>Wabaunsee County</t>
  </si>
  <si>
    <t>20199</t>
  </si>
  <si>
    <t>Wallace County</t>
  </si>
  <si>
    <t>20201</t>
  </si>
  <si>
    <t>20203</t>
  </si>
  <si>
    <t>20205</t>
  </si>
  <si>
    <t>20207</t>
  </si>
  <si>
    <t>Woodson County</t>
  </si>
  <si>
    <t>20209</t>
  </si>
  <si>
    <t>Wyandotte County</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</si>
  <si>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</si>
  <si>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</si>
  <si>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</si>
  <si>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</si>
  <si>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</si>
  <si>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</si>
  <si>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</si>
  <si>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</si>
  <si>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</si>
  <si>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</si>
  <si>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</si>
  <si>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</si>
  <si>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</si>
  <si>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</si>
  <si>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</si>
  <si>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</si>
  <si>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</si>
  <si>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</si>
  <si>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</si>
  <si>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</si>
  <si>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</si>
  <si>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</si>
  <si>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</si>
  <si>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</si>
  <si>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</si>
  <si>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</si>
  <si>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</si>
  <si>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</si>
  <si>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</si>
  <si>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</si>
  <si>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</si>
  <si>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</si>
  <si>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</si>
  <si>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</si>
  <si>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</si>
  <si>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</si>
  <si>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</si>
  <si>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</si>
  <si>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</si>
  <si>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</si>
  <si>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</si>
  <si>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</si>
  <si>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</si>
  <si>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</si>
  <si>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</si>
  <si>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</si>
  <si>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</si>
  <si>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</si>
  <si>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</si>
  <si>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</si>
  <si>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</si>
  <si>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</si>
  <si>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</si>
  <si>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</si>
  <si>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</si>
  <si>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</si>
  <si>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</si>
  <si>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</si>
  <si>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</si>
  <si>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</si>
  <si>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</si>
  <si>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</si>
  <si>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</si>
  <si>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</si>
  <si>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23001</t>
  </si>
  <si>
    <t>ME</t>
  </si>
  <si>
    <t>Androscoggin County</t>
  </si>
  <si>
    <t>23003</t>
  </si>
  <si>
    <t>Aroostook County</t>
  </si>
  <si>
    <t>23005</t>
  </si>
  <si>
    <t>23007</t>
  </si>
  <si>
    <t>23009</t>
  </si>
  <si>
    <t>23011</t>
  </si>
  <si>
    <t>Kennebec County</t>
  </si>
  <si>
    <t>23013</t>
  </si>
  <si>
    <t>23015</t>
  </si>
  <si>
    <t>23017</t>
  </si>
  <si>
    <t>Oxford County</t>
  </si>
  <si>
    <t>23019</t>
  </si>
  <si>
    <t>Penobscot County</t>
  </si>
  <si>
    <t>23021</t>
  </si>
  <si>
    <t>Piscataquis County</t>
  </si>
  <si>
    <t>23023</t>
  </si>
  <si>
    <t>Sagadahoc County</t>
  </si>
  <si>
    <t>23025</t>
  </si>
  <si>
    <t>Somerset County</t>
  </si>
  <si>
    <t>23027</t>
  </si>
  <si>
    <t>Waldo County</t>
  </si>
  <si>
    <t>23029</t>
  </si>
  <si>
    <t>23031</t>
  </si>
  <si>
    <t>York County</t>
  </si>
  <si>
    <t>26001</t>
  </si>
  <si>
    <t>MI</t>
  </si>
  <si>
    <t>Alcona County</t>
  </si>
  <si>
    <t>26003</t>
  </si>
  <si>
    <t>Alger County</t>
  </si>
  <si>
    <t>26005</t>
  </si>
  <si>
    <t>Allegan County</t>
  </si>
  <si>
    <t>26007</t>
  </si>
  <si>
    <t>Alpena County</t>
  </si>
  <si>
    <t>26009</t>
  </si>
  <si>
    <t>Antrim County</t>
  </si>
  <si>
    <t>26011</t>
  </si>
  <si>
    <t>Arenac County</t>
  </si>
  <si>
    <t>26013</t>
  </si>
  <si>
    <t>Baraga County</t>
  </si>
  <si>
    <t>26015</t>
  </si>
  <si>
    <t>Barry County</t>
  </si>
  <si>
    <t>26017</t>
  </si>
  <si>
    <t>26019</t>
  </si>
  <si>
    <t>Benzie County</t>
  </si>
  <si>
    <t>26021</t>
  </si>
  <si>
    <t>26023</t>
  </si>
  <si>
    <t>Branch County</t>
  </si>
  <si>
    <t>26025</t>
  </si>
  <si>
    <t>26027</t>
  </si>
  <si>
    <t>26029</t>
  </si>
  <si>
    <t>Charlevoix County</t>
  </si>
  <si>
    <t>26031</t>
  </si>
  <si>
    <t>Cheboygan County</t>
  </si>
  <si>
    <t>26033</t>
  </si>
  <si>
    <t>Chippewa County</t>
  </si>
  <si>
    <t>26035</t>
  </si>
  <si>
    <t>Clare County</t>
  </si>
  <si>
    <t>26037</t>
  </si>
  <si>
    <t>26039</t>
  </si>
  <si>
    <t>26041</t>
  </si>
  <si>
    <t>26043</t>
  </si>
  <si>
    <t>26045</t>
  </si>
  <si>
    <t>Eaton County</t>
  </si>
  <si>
    <t>26047</t>
  </si>
  <si>
    <t>26049</t>
  </si>
  <si>
    <t>Genesee County</t>
  </si>
  <si>
    <t>26051</t>
  </si>
  <si>
    <t>Gladwin County</t>
  </si>
  <si>
    <t>26053</t>
  </si>
  <si>
    <t>Gogebic County</t>
  </si>
  <si>
    <t>26055</t>
  </si>
  <si>
    <t>Grand Traverse County</t>
  </si>
  <si>
    <t>26057</t>
  </si>
  <si>
    <t>Gratiot County</t>
  </si>
  <si>
    <t>26059</t>
  </si>
  <si>
    <t>Hillsdale County</t>
  </si>
  <si>
    <t>26061</t>
  </si>
  <si>
    <t>Houghton County</t>
  </si>
  <si>
    <t>26063</t>
  </si>
  <si>
    <t>Huron County</t>
  </si>
  <si>
    <t>26065</t>
  </si>
  <si>
    <t>Ingham County</t>
  </si>
  <si>
    <t>26067</t>
  </si>
  <si>
    <t>Ionia County</t>
  </si>
  <si>
    <t>26069</t>
  </si>
  <si>
    <t>Iosco County</t>
  </si>
  <si>
    <t>26071</t>
  </si>
  <si>
    <t>Iron County</t>
  </si>
  <si>
    <t>26073</t>
  </si>
  <si>
    <t>Isabella County</t>
  </si>
  <si>
    <t>26075</t>
  </si>
  <si>
    <t>26077</t>
  </si>
  <si>
    <t>Kalamazoo County</t>
  </si>
  <si>
    <t>26079</t>
  </si>
  <si>
    <t>Kalkaska County</t>
  </si>
  <si>
    <t>26081</t>
  </si>
  <si>
    <t>26083</t>
  </si>
  <si>
    <t>Keweenaw County</t>
  </si>
  <si>
    <t>26085</t>
  </si>
  <si>
    <t>26087</t>
  </si>
  <si>
    <t>Lapeer County</t>
  </si>
  <si>
    <t>26089</t>
  </si>
  <si>
    <t>Leelanau County</t>
  </si>
  <si>
    <t>26091</t>
  </si>
  <si>
    <t>Lenawee County</t>
  </si>
  <si>
    <t>26093</t>
  </si>
  <si>
    <t>26095</t>
  </si>
  <si>
    <t>Luce County</t>
  </si>
  <si>
    <t>26097</t>
  </si>
  <si>
    <t>Mackinac County</t>
  </si>
  <si>
    <t>26099</t>
  </si>
  <si>
    <t>Macomb County</t>
  </si>
  <si>
    <t>26101</t>
  </si>
  <si>
    <t>Manistee County</t>
  </si>
  <si>
    <t>26103</t>
  </si>
  <si>
    <t>Marquette County</t>
  </si>
  <si>
    <t>26105</t>
  </si>
  <si>
    <t>26107</t>
  </si>
  <si>
    <t>Mecosta County</t>
  </si>
  <si>
    <t>26109</t>
  </si>
  <si>
    <t>Menominee County</t>
  </si>
  <si>
    <t>26111</t>
  </si>
  <si>
    <t>26113</t>
  </si>
  <si>
    <t>Missaukee County</t>
  </si>
  <si>
    <t>26115</t>
  </si>
  <si>
    <t>26117</t>
  </si>
  <si>
    <t>Montcalm County</t>
  </si>
  <si>
    <t>26119</t>
  </si>
  <si>
    <t>Montmorency County</t>
  </si>
  <si>
    <t>26121</t>
  </si>
  <si>
    <t>Muskegon County</t>
  </si>
  <si>
    <t>26123</t>
  </si>
  <si>
    <t>Newaygo County</t>
  </si>
  <si>
    <t>26125</t>
  </si>
  <si>
    <t>Oakland County</t>
  </si>
  <si>
    <t>26127</t>
  </si>
  <si>
    <t>Oceana County</t>
  </si>
  <si>
    <t>26129</t>
  </si>
  <si>
    <t>Ogemaw County</t>
  </si>
  <si>
    <t>26131</t>
  </si>
  <si>
    <t>Ontonagon County</t>
  </si>
  <si>
    <t>26133</t>
  </si>
  <si>
    <t>26135</t>
  </si>
  <si>
    <t>Oscoda County</t>
  </si>
  <si>
    <t>26137</t>
  </si>
  <si>
    <t>Otsego County</t>
  </si>
  <si>
    <t>26139</t>
  </si>
  <si>
    <t>26141</t>
  </si>
  <si>
    <t>Presque Isle County</t>
  </si>
  <si>
    <t>26143</t>
  </si>
  <si>
    <t>Roscommon County</t>
  </si>
  <si>
    <t>26145</t>
  </si>
  <si>
    <t>Saginaw County</t>
  </si>
  <si>
    <t>26147</t>
  </si>
  <si>
    <t>26149</t>
  </si>
  <si>
    <t>26151</t>
  </si>
  <si>
    <t>Sanilac County</t>
  </si>
  <si>
    <t>26153</t>
  </si>
  <si>
    <t>Schoolcraft County</t>
  </si>
  <si>
    <t>26155</t>
  </si>
  <si>
    <t>Shiawassee County</t>
  </si>
  <si>
    <t>26157</t>
  </si>
  <si>
    <t>Tuscola County</t>
  </si>
  <si>
    <t>26159</t>
  </si>
  <si>
    <t>26161</t>
  </si>
  <si>
    <t>Washtenaw County</t>
  </si>
  <si>
    <t>26163</t>
  </si>
  <si>
    <t>26165</t>
  </si>
  <si>
    <t>Wexford County</t>
  </si>
  <si>
    <t>29001</t>
  </si>
  <si>
    <t>MO</t>
  </si>
  <si>
    <t>29003</t>
  </si>
  <si>
    <t>Andrew County</t>
  </si>
  <si>
    <t>29005</t>
  </si>
  <si>
    <t>29007</t>
  </si>
  <si>
    <t>Audrain County</t>
  </si>
  <si>
    <t>29009</t>
  </si>
  <si>
    <t>29011</t>
  </si>
  <si>
    <t>29013</t>
  </si>
  <si>
    <t>Bates County</t>
  </si>
  <si>
    <t>29015</t>
  </si>
  <si>
    <t>29017</t>
  </si>
  <si>
    <t>Bollinger County</t>
  </si>
  <si>
    <t>29019</t>
  </si>
  <si>
    <t>29021</t>
  </si>
  <si>
    <t>29023</t>
  </si>
  <si>
    <t>29025</t>
  </si>
  <si>
    <t>29027</t>
  </si>
  <si>
    <t>Callaway County</t>
  </si>
  <si>
    <t>29029</t>
  </si>
  <si>
    <t>29031</t>
  </si>
  <si>
    <t>Cape Girardeau County</t>
  </si>
  <si>
    <t>29033</t>
  </si>
  <si>
    <t>29035</t>
  </si>
  <si>
    <t>29037</t>
  </si>
  <si>
    <t>29039</t>
  </si>
  <si>
    <t>29041</t>
  </si>
  <si>
    <t>Chariton County</t>
  </si>
  <si>
    <t>29043</t>
  </si>
  <si>
    <t>29045</t>
  </si>
  <si>
    <t>29047</t>
  </si>
  <si>
    <t>29049</t>
  </si>
  <si>
    <t>29051</t>
  </si>
  <si>
    <t>Cole County</t>
  </si>
  <si>
    <t>29053</t>
  </si>
  <si>
    <t>Cooper County</t>
  </si>
  <si>
    <t>29055</t>
  </si>
  <si>
    <t>29057</t>
  </si>
  <si>
    <t>29059</t>
  </si>
  <si>
    <t>29061</t>
  </si>
  <si>
    <t>29063</t>
  </si>
  <si>
    <t>29065</t>
  </si>
  <si>
    <t>Dent County</t>
  </si>
  <si>
    <t>29067</t>
  </si>
  <si>
    <t>29069</t>
  </si>
  <si>
    <t>Dunklin County</t>
  </si>
  <si>
    <t>29071</t>
  </si>
  <si>
    <t>29073</t>
  </si>
  <si>
    <t>Gasconade County</t>
  </si>
  <si>
    <t>29075</t>
  </si>
  <si>
    <t>Gentry County</t>
  </si>
  <si>
    <t>29077</t>
  </si>
  <si>
    <t>29079</t>
  </si>
  <si>
    <t>29081</t>
  </si>
  <si>
    <t>29083</t>
  </si>
  <si>
    <t>29085</t>
  </si>
  <si>
    <t>Hickory County</t>
  </si>
  <si>
    <t>29087</t>
  </si>
  <si>
    <t>Holt County</t>
  </si>
  <si>
    <t>29089</t>
  </si>
  <si>
    <t>29091</t>
  </si>
  <si>
    <t>Howell County</t>
  </si>
  <si>
    <t>29093</t>
  </si>
  <si>
    <t>29095</t>
  </si>
  <si>
    <t>29097</t>
  </si>
  <si>
    <t>29099</t>
  </si>
  <si>
    <t>29101</t>
  </si>
  <si>
    <t>29103</t>
  </si>
  <si>
    <t>29105</t>
  </si>
  <si>
    <t>Laclede County</t>
  </si>
  <si>
    <t>29107</t>
  </si>
  <si>
    <t>29109</t>
  </si>
  <si>
    <t>29111</t>
  </si>
  <si>
    <t>29113</t>
  </si>
  <si>
    <t>29115</t>
  </si>
  <si>
    <t>29117</t>
  </si>
  <si>
    <t>29119</t>
  </si>
  <si>
    <t>McDonald County</t>
  </si>
  <si>
    <t>29121</t>
  </si>
  <si>
    <t>29123</t>
  </si>
  <si>
    <t>29125</t>
  </si>
  <si>
    <t>Maries County</t>
  </si>
  <si>
    <t>29127</t>
  </si>
  <si>
    <t>29129</t>
  </si>
  <si>
    <t>29131</t>
  </si>
  <si>
    <t>29133</t>
  </si>
  <si>
    <t>29135</t>
  </si>
  <si>
    <t>Moniteau County</t>
  </si>
  <si>
    <t>29137</t>
  </si>
  <si>
    <t>29139</t>
  </si>
  <si>
    <t>29141</t>
  </si>
  <si>
    <t>29143</t>
  </si>
  <si>
    <t>New Madrid County</t>
  </si>
  <si>
    <t>29145</t>
  </si>
  <si>
    <t>29147</t>
  </si>
  <si>
    <t>Nodaway County</t>
  </si>
  <si>
    <t>29149</t>
  </si>
  <si>
    <t>Oregon County</t>
  </si>
  <si>
    <t>29151</t>
  </si>
  <si>
    <t>29153</t>
  </si>
  <si>
    <t>Ozark County</t>
  </si>
  <si>
    <t>29155</t>
  </si>
  <si>
    <t>Pemiscot County</t>
  </si>
  <si>
    <t>29157</t>
  </si>
  <si>
    <t>29159</t>
  </si>
  <si>
    <t>Pettis County</t>
  </si>
  <si>
    <t>29161</t>
  </si>
  <si>
    <t>Phelps County</t>
  </si>
  <si>
    <t>29163</t>
  </si>
  <si>
    <t>29165</t>
  </si>
  <si>
    <t>Platte County</t>
  </si>
  <si>
    <t>29167</t>
  </si>
  <si>
    <t>29169</t>
  </si>
  <si>
    <t>29171</t>
  </si>
  <si>
    <t>29173</t>
  </si>
  <si>
    <t>Ralls County</t>
  </si>
  <si>
    <t>29175</t>
  </si>
  <si>
    <t>29177</t>
  </si>
  <si>
    <t>Ray County</t>
  </si>
  <si>
    <t>29179</t>
  </si>
  <si>
    <t>Reynolds County</t>
  </si>
  <si>
    <t>29181</t>
  </si>
  <si>
    <t>29183</t>
  </si>
  <si>
    <t>St. Charles County</t>
  </si>
  <si>
    <t>29185</t>
  </si>
  <si>
    <t>29186</t>
  </si>
  <si>
    <t>Ste. Genevieve County</t>
  </si>
  <si>
    <t>29187</t>
  </si>
  <si>
    <t>St. Francois County</t>
  </si>
  <si>
    <t>29189</t>
  </si>
  <si>
    <t>St. Louis County</t>
  </si>
  <si>
    <t>29195</t>
  </si>
  <si>
    <t>29197</t>
  </si>
  <si>
    <t>29199</t>
  </si>
  <si>
    <t>29201</t>
  </si>
  <si>
    <t>29203</t>
  </si>
  <si>
    <t>Shannon County</t>
  </si>
  <si>
    <t>29205</t>
  </si>
  <si>
    <t>29207</t>
  </si>
  <si>
    <t>Stoddard County</t>
  </si>
  <si>
    <t>29209</t>
  </si>
  <si>
    <t>29211</t>
  </si>
  <si>
    <t>29213</t>
  </si>
  <si>
    <t>Taney County</t>
  </si>
  <si>
    <t>29215</t>
  </si>
  <si>
    <t>Texas County</t>
  </si>
  <si>
    <t>29217</t>
  </si>
  <si>
    <t>Vernon County</t>
  </si>
  <si>
    <t>29219</t>
  </si>
  <si>
    <t>29221</t>
  </si>
  <si>
    <t>29223</t>
  </si>
  <si>
    <t>29225</t>
  </si>
  <si>
    <t>29227</t>
  </si>
  <si>
    <t>29229</t>
  </si>
  <si>
    <t>29510</t>
  </si>
  <si>
    <t>St. Louis city</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</si>
  <si>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</si>
  <si>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</si>
  <si>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</si>
  <si>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</si>
  <si>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</si>
  <si>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</si>
  <si>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</si>
  <si>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</si>
  <si>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</si>
  <si>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</si>
  <si>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</si>
  <si>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</si>
  <si>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</si>
  <si>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</si>
  <si>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</si>
  <si>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</si>
  <si>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</si>
  <si>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</si>
  <si>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</si>
  <si>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</si>
  <si>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</si>
  <si>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</si>
  <si>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</si>
  <si>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</si>
  <si>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</si>
  <si>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</si>
  <si>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</si>
  <si>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</si>
  <si>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</si>
  <si>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</si>
  <si>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</si>
  <si>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</si>
  <si>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</si>
  <si>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</si>
  <si>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</si>
  <si>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</si>
  <si>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</si>
  <si>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</si>
  <si>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</si>
  <si>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</si>
  <si>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</si>
  <si>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</si>
  <si>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</si>
  <si>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</si>
  <si>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</si>
  <si>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</si>
  <si>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</si>
  <si>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</si>
  <si>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</si>
  <si>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</si>
  <si>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</si>
  <si>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</si>
  <si>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</si>
  <si>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</si>
  <si>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</si>
  <si>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</si>
  <si>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</si>
  <si>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</si>
  <si>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</si>
  <si>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</si>
  <si>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</si>
  <si>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</si>
  <si>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</si>
  <si>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</si>
  <si>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</si>
  <si>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</si>
  <si>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</si>
  <si>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</si>
  <si>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</si>
  <si>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</si>
  <si>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</si>
  <si>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</si>
  <si>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</si>
  <si>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</si>
  <si>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</si>
  <si>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</si>
  <si>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</si>
  <si>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</si>
  <si>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</si>
  <si>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</si>
  <si>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</si>
  <si>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</si>
  <si>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30001</t>
  </si>
  <si>
    <t>MT</t>
  </si>
  <si>
    <t>Beaverhead County</t>
  </si>
  <si>
    <t>30003</t>
  </si>
  <si>
    <t>Big Horn County</t>
  </si>
  <si>
    <t>30005</t>
  </si>
  <si>
    <t>Blaine County</t>
  </si>
  <si>
    <t>30007</t>
  </si>
  <si>
    <t>Broadwater County</t>
  </si>
  <si>
    <t>30009</t>
  </si>
  <si>
    <t>Carbon County</t>
  </si>
  <si>
    <t>30011</t>
  </si>
  <si>
    <t>30013</t>
  </si>
  <si>
    <t>Cascade County</t>
  </si>
  <si>
    <t>30015</t>
  </si>
  <si>
    <t>Chouteau County</t>
  </si>
  <si>
    <t>30017</t>
  </si>
  <si>
    <t>Custer County</t>
  </si>
  <si>
    <t>30019</t>
  </si>
  <si>
    <t>Daniels County</t>
  </si>
  <si>
    <t>30021</t>
  </si>
  <si>
    <t>30023</t>
  </si>
  <si>
    <t>Deer Lodge County</t>
  </si>
  <si>
    <t>30025</t>
  </si>
  <si>
    <t>Fallon County</t>
  </si>
  <si>
    <t>30027</t>
  </si>
  <si>
    <t>Fergus County</t>
  </si>
  <si>
    <t>30029</t>
  </si>
  <si>
    <t>Flathead County</t>
  </si>
  <si>
    <t>30031</t>
  </si>
  <si>
    <t>30033</t>
  </si>
  <si>
    <t>Garfield County</t>
  </si>
  <si>
    <t>30035</t>
  </si>
  <si>
    <t>Glacier County</t>
  </si>
  <si>
    <t>30037</t>
  </si>
  <si>
    <t>Golden Valley County</t>
  </si>
  <si>
    <t>30039</t>
  </si>
  <si>
    <t>Granite County</t>
  </si>
  <si>
    <t>30041</t>
  </si>
  <si>
    <t>30043</t>
  </si>
  <si>
    <t>30045</t>
  </si>
  <si>
    <t>Judith Basin County</t>
  </si>
  <si>
    <t>30047</t>
  </si>
  <si>
    <t>30049</t>
  </si>
  <si>
    <t>Lewis and Clark County</t>
  </si>
  <si>
    <t>30051</t>
  </si>
  <si>
    <t>30053</t>
  </si>
  <si>
    <t>30055</t>
  </si>
  <si>
    <t>McCone County</t>
  </si>
  <si>
    <t>30057</t>
  </si>
  <si>
    <t>30059</t>
  </si>
  <si>
    <t>Meagher County</t>
  </si>
  <si>
    <t>30061</t>
  </si>
  <si>
    <t>Mineral County</t>
  </si>
  <si>
    <t>30063</t>
  </si>
  <si>
    <t>Missoula County</t>
  </si>
  <si>
    <t>30065</t>
  </si>
  <si>
    <t>Musselshell County</t>
  </si>
  <si>
    <t>30067</t>
  </si>
  <si>
    <t>Park County</t>
  </si>
  <si>
    <t>30069</t>
  </si>
  <si>
    <t>Petroleum County</t>
  </si>
  <si>
    <t>30071</t>
  </si>
  <si>
    <t>30073</t>
  </si>
  <si>
    <t>Pondera County</t>
  </si>
  <si>
    <t>30075</t>
  </si>
  <si>
    <t>Powder River County</t>
  </si>
  <si>
    <t>30077</t>
  </si>
  <si>
    <t>Powell County</t>
  </si>
  <si>
    <t>30079</t>
  </si>
  <si>
    <t>30081</t>
  </si>
  <si>
    <t>Ravalli County</t>
  </si>
  <si>
    <t>30083</t>
  </si>
  <si>
    <t>30085</t>
  </si>
  <si>
    <t>Roosevelt County</t>
  </si>
  <si>
    <t>30087</t>
  </si>
  <si>
    <t>Rosebud County</t>
  </si>
  <si>
    <t>30089</t>
  </si>
  <si>
    <t>Sanders County</t>
  </si>
  <si>
    <t>30091</t>
  </si>
  <si>
    <t>30093</t>
  </si>
  <si>
    <t>Silver Bow County</t>
  </si>
  <si>
    <t>30095</t>
  </si>
  <si>
    <t>Stillwater County</t>
  </si>
  <si>
    <t>30097</t>
  </si>
  <si>
    <t>Sweet Grass County</t>
  </si>
  <si>
    <t>30099</t>
  </si>
  <si>
    <t>Teton County</t>
  </si>
  <si>
    <t>30101</t>
  </si>
  <si>
    <t>Toole County</t>
  </si>
  <si>
    <t>30103</t>
  </si>
  <si>
    <t>Treasure County</t>
  </si>
  <si>
    <t>30105</t>
  </si>
  <si>
    <t>Valley County</t>
  </si>
  <si>
    <t>30107</t>
  </si>
  <si>
    <t>Wheatland County</t>
  </si>
  <si>
    <t>30109</t>
  </si>
  <si>
    <t>Wibaux County</t>
  </si>
  <si>
    <t>30111</t>
  </si>
  <si>
    <t>Yellowstone County</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</si>
  <si>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</si>
  <si>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</si>
  <si>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</si>
  <si>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</si>
  <si>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</si>
  <si>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</si>
  <si>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</si>
  <si>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</si>
  <si>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</si>
  <si>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</si>
  <si>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</si>
  <si>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</si>
  <si>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</si>
  <si>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</si>
  <si>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</si>
  <si>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</si>
  <si>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</si>
  <si>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</si>
  <si>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</si>
  <si>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</si>
  <si>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</si>
  <si>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</si>
  <si>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</si>
  <si>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</si>
  <si>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</si>
  <si>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</si>
  <si>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</si>
  <si>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</si>
  <si>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</si>
  <si>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</si>
  <si>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</si>
  <si>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</si>
  <si>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</si>
  <si>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</si>
  <si>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</si>
  <si>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</si>
  <si>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</si>
  <si>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</si>
  <si>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</si>
  <si>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</si>
  <si>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</si>
  <si>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</si>
  <si>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</si>
  <si>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</si>
  <si>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</si>
  <si>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</si>
  <si>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</si>
  <si>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</si>
  <si>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</si>
  <si>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</si>
  <si>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</si>
  <si>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</si>
  <si>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</si>
  <si>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</si>
  <si>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</si>
  <si>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</si>
  <si>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</si>
  <si>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</si>
  <si>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</si>
  <si>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</si>
  <si>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</si>
  <si>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</si>
  <si>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</si>
  <si>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</si>
  <si>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</si>
  <si>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</si>
  <si>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</si>
  <si>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</si>
  <si>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</si>
  <si>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</si>
  <si>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</si>
  <si>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</si>
  <si>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</si>
  <si>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</si>
  <si>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</si>
  <si>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</si>
  <si>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</si>
  <si>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</si>
  <si>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</si>
  <si>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</si>
  <si>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</si>
  <si>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</si>
  <si>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</si>
  <si>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</si>
  <si>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</si>
  <si>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</si>
  <si>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</si>
  <si>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</si>
  <si>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</si>
  <si>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</si>
  <si>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</si>
  <si>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</si>
  <si>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</si>
  <si>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</si>
  <si>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</si>
  <si>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</si>
  <si>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</si>
  <si>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</si>
  <si>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</si>
  <si>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</si>
  <si>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38001</t>
  </si>
  <si>
    <t>ND</t>
  </si>
  <si>
    <t>38003</t>
  </si>
  <si>
    <t>Barnes County</t>
  </si>
  <si>
    <t>38005</t>
  </si>
  <si>
    <t>Benson County</t>
  </si>
  <si>
    <t>38007</t>
  </si>
  <si>
    <t>Billings County</t>
  </si>
  <si>
    <t>38009</t>
  </si>
  <si>
    <t>Bottineau County</t>
  </si>
  <si>
    <t>38011</t>
  </si>
  <si>
    <t>Bowman County</t>
  </si>
  <si>
    <t>38013</t>
  </si>
  <si>
    <t>38015</t>
  </si>
  <si>
    <t>Burleigh County</t>
  </si>
  <si>
    <t>38017</t>
  </si>
  <si>
    <t>38019</t>
  </si>
  <si>
    <t>Cavalier County</t>
  </si>
  <si>
    <t>38021</t>
  </si>
  <si>
    <t>Dickey County</t>
  </si>
  <si>
    <t>38023</t>
  </si>
  <si>
    <t>Divide County</t>
  </si>
  <si>
    <t>38025</t>
  </si>
  <si>
    <t>Dunn County</t>
  </si>
  <si>
    <t>38027</t>
  </si>
  <si>
    <t>Eddy County</t>
  </si>
  <si>
    <t>38029</t>
  </si>
  <si>
    <t>Emmons County</t>
  </si>
  <si>
    <t>38031</t>
  </si>
  <si>
    <t>Foster County</t>
  </si>
  <si>
    <t>38033</t>
  </si>
  <si>
    <t>38035</t>
  </si>
  <si>
    <t>Grand Forks County</t>
  </si>
  <si>
    <t>38037</t>
  </si>
  <si>
    <t>38039</t>
  </si>
  <si>
    <t>Griggs County</t>
  </si>
  <si>
    <t>38041</t>
  </si>
  <si>
    <t>Hettinger County</t>
  </si>
  <si>
    <t>38043</t>
  </si>
  <si>
    <t>Kidder County</t>
  </si>
  <si>
    <t>38045</t>
  </si>
  <si>
    <t>LaMoure County</t>
  </si>
  <si>
    <t>38047</t>
  </si>
  <si>
    <t>38049</t>
  </si>
  <si>
    <t>38051</t>
  </si>
  <si>
    <t>38053</t>
  </si>
  <si>
    <t>McKenzie County</t>
  </si>
  <si>
    <t>38055</t>
  </si>
  <si>
    <t>38057</t>
  </si>
  <si>
    <t>38059</t>
  </si>
  <si>
    <t>38061</t>
  </si>
  <si>
    <t>Mountrail County</t>
  </si>
  <si>
    <t>38063</t>
  </si>
  <si>
    <t>Nelson County</t>
  </si>
  <si>
    <t>38065</t>
  </si>
  <si>
    <t>Oliver County</t>
  </si>
  <si>
    <t>38067</t>
  </si>
  <si>
    <t>Pembina County</t>
  </si>
  <si>
    <t>38069</t>
  </si>
  <si>
    <t>38071</t>
  </si>
  <si>
    <t>Ramsey County</t>
  </si>
  <si>
    <t>38073</t>
  </si>
  <si>
    <t>Ransom County</t>
  </si>
  <si>
    <t>38075</t>
  </si>
  <si>
    <t>Renville County</t>
  </si>
  <si>
    <t>38077</t>
  </si>
  <si>
    <t>38079</t>
  </si>
  <si>
    <t>Rolette County</t>
  </si>
  <si>
    <t>38081</t>
  </si>
  <si>
    <t>Sargent County</t>
  </si>
  <si>
    <t>38083</t>
  </si>
  <si>
    <t>38085</t>
  </si>
  <si>
    <t>38087</t>
  </si>
  <si>
    <t>Slope County</t>
  </si>
  <si>
    <t>38089</t>
  </si>
  <si>
    <t>38091</t>
  </si>
  <si>
    <t>Steele County</t>
  </si>
  <si>
    <t>38093</t>
  </si>
  <si>
    <t>Stutsman County</t>
  </si>
  <si>
    <t>38095</t>
  </si>
  <si>
    <t>Towner County</t>
  </si>
  <si>
    <t>38097</t>
  </si>
  <si>
    <t>Traill County</t>
  </si>
  <si>
    <t>38099</t>
  </si>
  <si>
    <t>Walsh County</t>
  </si>
  <si>
    <t>38101</t>
  </si>
  <si>
    <t>38103</t>
  </si>
  <si>
    <t>38105</t>
  </si>
  <si>
    <t>Williams County</t>
  </si>
  <si>
    <t>31001</t>
  </si>
  <si>
    <t>NE</t>
  </si>
  <si>
    <t>31003</t>
  </si>
  <si>
    <t>Antelope County</t>
  </si>
  <si>
    <t>31005</t>
  </si>
  <si>
    <t>Arthur County</t>
  </si>
  <si>
    <t>31007</t>
  </si>
  <si>
    <t>Banner County</t>
  </si>
  <si>
    <t>31009</t>
  </si>
  <si>
    <t>31011</t>
  </si>
  <si>
    <t>31013</t>
  </si>
  <si>
    <t>Box Butte County</t>
  </si>
  <si>
    <t>31015</t>
  </si>
  <si>
    <t>Boyd County</t>
  </si>
  <si>
    <t>31017</t>
  </si>
  <si>
    <t>31019</t>
  </si>
  <si>
    <t>Buffalo County</t>
  </si>
  <si>
    <t>31021</t>
  </si>
  <si>
    <t>Burt County</t>
  </si>
  <si>
    <t>31023</t>
  </si>
  <si>
    <t>31025</t>
  </si>
  <si>
    <t>31027</t>
  </si>
  <si>
    <t>31029</t>
  </si>
  <si>
    <t>31031</t>
  </si>
  <si>
    <t>Cherry County</t>
  </si>
  <si>
    <t>31033</t>
  </si>
  <si>
    <t>31035</t>
  </si>
  <si>
    <t>31037</t>
  </si>
  <si>
    <t>Colfax County</t>
  </si>
  <si>
    <t>31039</t>
  </si>
  <si>
    <t>Cuming County</t>
  </si>
  <si>
    <t>31041</t>
  </si>
  <si>
    <t>31043</t>
  </si>
  <si>
    <t>Dakota County</t>
  </si>
  <si>
    <t>31045</t>
  </si>
  <si>
    <t>Dawes County</t>
  </si>
  <si>
    <t>31047</t>
  </si>
  <si>
    <t>31049</t>
  </si>
  <si>
    <t>Deuel County</t>
  </si>
  <si>
    <t>31051</t>
  </si>
  <si>
    <t>Dixon County</t>
  </si>
  <si>
    <t>31053</t>
  </si>
  <si>
    <t>31055</t>
  </si>
  <si>
    <t>31057</t>
  </si>
  <si>
    <t>Dundy County</t>
  </si>
  <si>
    <t>31059</t>
  </si>
  <si>
    <t>Fillmore County</t>
  </si>
  <si>
    <t>31061</t>
  </si>
  <si>
    <t>31063</t>
  </si>
  <si>
    <t>Frontier County</t>
  </si>
  <si>
    <t>31065</t>
  </si>
  <si>
    <t>Furnas County</t>
  </si>
  <si>
    <t>31067</t>
  </si>
  <si>
    <t>Gage County</t>
  </si>
  <si>
    <t>31069</t>
  </si>
  <si>
    <t>Garden County</t>
  </si>
  <si>
    <t>31071</t>
  </si>
  <si>
    <t>31073</t>
  </si>
  <si>
    <t>Gosper County</t>
  </si>
  <si>
    <t>31075</t>
  </si>
  <si>
    <t>31077</t>
  </si>
  <si>
    <t>31079</t>
  </si>
  <si>
    <t>31081</t>
  </si>
  <si>
    <t>31083</t>
  </si>
  <si>
    <t>Harlan County</t>
  </si>
  <si>
    <t>31085</t>
  </si>
  <si>
    <t>Hayes County</t>
  </si>
  <si>
    <t>31087</t>
  </si>
  <si>
    <t>Hitchcock County</t>
  </si>
  <si>
    <t>31089</t>
  </si>
  <si>
    <t>31091</t>
  </si>
  <si>
    <t>Hooker County</t>
  </si>
  <si>
    <t>31093</t>
  </si>
  <si>
    <t>31095</t>
  </si>
  <si>
    <t>31097</t>
  </si>
  <si>
    <t>31099</t>
  </si>
  <si>
    <t>Kearney County</t>
  </si>
  <si>
    <t>31101</t>
  </si>
  <si>
    <t>Keith County</t>
  </si>
  <si>
    <t>31103</t>
  </si>
  <si>
    <t>Keya Paha County</t>
  </si>
  <si>
    <t>31105</t>
  </si>
  <si>
    <t>Kimball County</t>
  </si>
  <si>
    <t>31107</t>
  </si>
  <si>
    <t>31109</t>
  </si>
  <si>
    <t>Lancaster County</t>
  </si>
  <si>
    <t>31111</t>
  </si>
  <si>
    <t>31113</t>
  </si>
  <si>
    <t>31115</t>
  </si>
  <si>
    <t>Loup County</t>
  </si>
  <si>
    <t>31117</t>
  </si>
  <si>
    <t>31119</t>
  </si>
  <si>
    <t>31121</t>
  </si>
  <si>
    <t>Merrick County</t>
  </si>
  <si>
    <t>31123</t>
  </si>
  <si>
    <t>Morrill County</t>
  </si>
  <si>
    <t>31125</t>
  </si>
  <si>
    <t>Nance County</t>
  </si>
  <si>
    <t>31127</t>
  </si>
  <si>
    <t>31129</t>
  </si>
  <si>
    <t>Nuckolls County</t>
  </si>
  <si>
    <t>31131</t>
  </si>
  <si>
    <t>Otoe County</t>
  </si>
  <si>
    <t>31133</t>
  </si>
  <si>
    <t>31135</t>
  </si>
  <si>
    <t>Perkins County</t>
  </si>
  <si>
    <t>31137</t>
  </si>
  <si>
    <t>31139</t>
  </si>
  <si>
    <t>31141</t>
  </si>
  <si>
    <t>31143</t>
  </si>
  <si>
    <t>31145</t>
  </si>
  <si>
    <t>Red Willow County</t>
  </si>
  <si>
    <t>31147</t>
  </si>
  <si>
    <t>Richardson County</t>
  </si>
  <si>
    <t>31149</t>
  </si>
  <si>
    <t>Rock County</t>
  </si>
  <si>
    <t>31151</t>
  </si>
  <si>
    <t>31153</t>
  </si>
  <si>
    <t>Sarpy County</t>
  </si>
  <si>
    <t>31155</t>
  </si>
  <si>
    <t>Saunders County</t>
  </si>
  <si>
    <t>31157</t>
  </si>
  <si>
    <t>Scotts Bluff County</t>
  </si>
  <si>
    <t>31159</t>
  </si>
  <si>
    <t>31161</t>
  </si>
  <si>
    <t>31163</t>
  </si>
  <si>
    <t>31165</t>
  </si>
  <si>
    <t>31167</t>
  </si>
  <si>
    <t>31169</t>
  </si>
  <si>
    <t>Thayer County</t>
  </si>
  <si>
    <t>31171</t>
  </si>
  <si>
    <t>31173</t>
  </si>
  <si>
    <t>Thurston County</t>
  </si>
  <si>
    <t>31175</t>
  </si>
  <si>
    <t>31177</t>
  </si>
  <si>
    <t>31179</t>
  </si>
  <si>
    <t>31181</t>
  </si>
  <si>
    <t>31183</t>
  </si>
  <si>
    <t>31185</t>
  </si>
  <si>
    <t>33001</t>
  </si>
  <si>
    <t>NH</t>
  </si>
  <si>
    <t>Belknap County</t>
  </si>
  <si>
    <t>33003</t>
  </si>
  <si>
    <t>33005</t>
  </si>
  <si>
    <t>Cheshire County</t>
  </si>
  <si>
    <t>33007</t>
  </si>
  <si>
    <t>Coos County</t>
  </si>
  <si>
    <t>33009</t>
  </si>
  <si>
    <t>Grafton County</t>
  </si>
  <si>
    <t>33011</t>
  </si>
  <si>
    <t>33013</t>
  </si>
  <si>
    <t>Merrimack County</t>
  </si>
  <si>
    <t>33015</t>
  </si>
  <si>
    <t>33017</t>
  </si>
  <si>
    <t>Strafford County</t>
  </si>
  <si>
    <t>33019</t>
  </si>
  <si>
    <t>34001</t>
  </si>
  <si>
    <t>NJ</t>
  </si>
  <si>
    <t>Atlantic County</t>
  </si>
  <si>
    <t>34003</t>
  </si>
  <si>
    <t>Bergen County</t>
  </si>
  <si>
    <t>34005</t>
  </si>
  <si>
    <t>Burlington County</t>
  </si>
  <si>
    <t>34007</t>
  </si>
  <si>
    <t>34009</t>
  </si>
  <si>
    <t>Cape May County</t>
  </si>
  <si>
    <t>34011</t>
  </si>
  <si>
    <t>34013</t>
  </si>
  <si>
    <t>Essex County</t>
  </si>
  <si>
    <t>34015</t>
  </si>
  <si>
    <t>Gloucester County</t>
  </si>
  <si>
    <t>34017</t>
  </si>
  <si>
    <t>Hudson County</t>
  </si>
  <si>
    <t>34019</t>
  </si>
  <si>
    <t>Hunterdon County</t>
  </si>
  <si>
    <t>34021</t>
  </si>
  <si>
    <t>34023</t>
  </si>
  <si>
    <t>Middlesex County</t>
  </si>
  <si>
    <t>34025</t>
  </si>
  <si>
    <t>Monmouth County</t>
  </si>
  <si>
    <t>34027</t>
  </si>
  <si>
    <t>34029</t>
  </si>
  <si>
    <t>Ocean County</t>
  </si>
  <si>
    <t>34031</t>
  </si>
  <si>
    <t>Passaic County</t>
  </si>
  <si>
    <t>34033</t>
  </si>
  <si>
    <t>Salem County</t>
  </si>
  <si>
    <t>34035</t>
  </si>
  <si>
    <t>34037</t>
  </si>
  <si>
    <t>34039</t>
  </si>
  <si>
    <t>34041</t>
  </si>
  <si>
    <t>35001</t>
  </si>
  <si>
    <t>NM</t>
  </si>
  <si>
    <t>Bernalillo County</t>
  </si>
  <si>
    <t>35003</t>
  </si>
  <si>
    <t>Catron County</t>
  </si>
  <si>
    <t>35005</t>
  </si>
  <si>
    <t>Chaves County</t>
  </si>
  <si>
    <t>35006</t>
  </si>
  <si>
    <t>Cibola County</t>
  </si>
  <si>
    <t>35007</t>
  </si>
  <si>
    <t>35009</t>
  </si>
  <si>
    <t>Curry County</t>
  </si>
  <si>
    <t>35011</t>
  </si>
  <si>
    <t>De Baca County</t>
  </si>
  <si>
    <t>35013</t>
  </si>
  <si>
    <t>Dona Ana County</t>
  </si>
  <si>
    <t>35015</t>
  </si>
  <si>
    <t>35017</t>
  </si>
  <si>
    <t>35019</t>
  </si>
  <si>
    <t>35021</t>
  </si>
  <si>
    <t>Harding County</t>
  </si>
  <si>
    <t>35023</t>
  </si>
  <si>
    <t>35025</t>
  </si>
  <si>
    <t>Lea County</t>
  </si>
  <si>
    <t>35027</t>
  </si>
  <si>
    <t>35028</t>
  </si>
  <si>
    <t>Los Alamos County</t>
  </si>
  <si>
    <t>35029</t>
  </si>
  <si>
    <t>Luna County</t>
  </si>
  <si>
    <t>35031</t>
  </si>
  <si>
    <t>McKinley County</t>
  </si>
  <si>
    <t>35033</t>
  </si>
  <si>
    <t>Mora County</t>
  </si>
  <si>
    <t>35035</t>
  </si>
  <si>
    <t>Otero County</t>
  </si>
  <si>
    <t>35037</t>
  </si>
  <si>
    <t>Quay County</t>
  </si>
  <si>
    <t>35039</t>
  </si>
  <si>
    <t>Rio Arriba County</t>
  </si>
  <si>
    <t>35041</t>
  </si>
  <si>
    <t>35043</t>
  </si>
  <si>
    <t>Sandoval County</t>
  </si>
  <si>
    <t>35045</t>
  </si>
  <si>
    <t>San Juan County</t>
  </si>
  <si>
    <t>35047</t>
  </si>
  <si>
    <t>San Miguel County</t>
  </si>
  <si>
    <t>35049</t>
  </si>
  <si>
    <t>Santa Fe County</t>
  </si>
  <si>
    <t>35051</t>
  </si>
  <si>
    <t>Sierra County</t>
  </si>
  <si>
    <t>35053</t>
  </si>
  <si>
    <t>Socorro County</t>
  </si>
  <si>
    <t>35055</t>
  </si>
  <si>
    <t>Taos County</t>
  </si>
  <si>
    <t>35057</t>
  </si>
  <si>
    <t>Torrance County</t>
  </si>
  <si>
    <t>35059</t>
  </si>
  <si>
    <t>35061</t>
  </si>
  <si>
    <t>Valencia County</t>
  </si>
  <si>
    <t>32001</t>
  </si>
  <si>
    <t>NV</t>
  </si>
  <si>
    <t>Churchill County</t>
  </si>
  <si>
    <t>32003</t>
  </si>
  <si>
    <t>32005</t>
  </si>
  <si>
    <t>32007</t>
  </si>
  <si>
    <t>Elko County</t>
  </si>
  <si>
    <t>32009</t>
  </si>
  <si>
    <t>Esmeralda County</t>
  </si>
  <si>
    <t>32011</t>
  </si>
  <si>
    <t>Eureka County</t>
  </si>
  <si>
    <t>32013</t>
  </si>
  <si>
    <t>32015</t>
  </si>
  <si>
    <t>Lander County</t>
  </si>
  <si>
    <t>32017</t>
  </si>
  <si>
    <t>32019</t>
  </si>
  <si>
    <t>32021</t>
  </si>
  <si>
    <t>32023</t>
  </si>
  <si>
    <t>Nye County</t>
  </si>
  <si>
    <t>32027</t>
  </si>
  <si>
    <t>Pershing County</t>
  </si>
  <si>
    <t>32029</t>
  </si>
  <si>
    <t>Storey County</t>
  </si>
  <si>
    <t>32031</t>
  </si>
  <si>
    <t>Washoe County</t>
  </si>
  <si>
    <t>32033</t>
  </si>
  <si>
    <t>White Pine County</t>
  </si>
  <si>
    <t>32510</t>
  </si>
  <si>
    <t>Carson City</t>
  </si>
  <si>
    <t>39001</t>
  </si>
  <si>
    <t>OH</t>
  </si>
  <si>
    <t>39003</t>
  </si>
  <si>
    <t>39005</t>
  </si>
  <si>
    <t>Ashland County</t>
  </si>
  <si>
    <t>39007</t>
  </si>
  <si>
    <t>Ashtabula County</t>
  </si>
  <si>
    <t>39009</t>
  </si>
  <si>
    <t>Athens County</t>
  </si>
  <si>
    <t>39011</t>
  </si>
  <si>
    <t>Auglaize County</t>
  </si>
  <si>
    <t>39013</t>
  </si>
  <si>
    <t>Belmont County</t>
  </si>
  <si>
    <t>39015</t>
  </si>
  <si>
    <t>39017</t>
  </si>
  <si>
    <t>39019</t>
  </si>
  <si>
    <t>39021</t>
  </si>
  <si>
    <t>39023</t>
  </si>
  <si>
    <t>39025</t>
  </si>
  <si>
    <t>Clermont County</t>
  </si>
  <si>
    <t>39027</t>
  </si>
  <si>
    <t>39029</t>
  </si>
  <si>
    <t>Columbiana County</t>
  </si>
  <si>
    <t>39031</t>
  </si>
  <si>
    <t>Coshocton County</t>
  </si>
  <si>
    <t>39033</t>
  </si>
  <si>
    <t>39035</t>
  </si>
  <si>
    <t>Cuyahoga County</t>
  </si>
  <si>
    <t>39037</t>
  </si>
  <si>
    <t>Darke County</t>
  </si>
  <si>
    <t>39039</t>
  </si>
  <si>
    <t>Defiance County</t>
  </si>
  <si>
    <t>39041</t>
  </si>
  <si>
    <t>39043</t>
  </si>
  <si>
    <t>Erie County</t>
  </si>
  <si>
    <t>39045</t>
  </si>
  <si>
    <t>Fairfield County</t>
  </si>
  <si>
    <t>39047</t>
  </si>
  <si>
    <t>39049</t>
  </si>
  <si>
    <t>39051</t>
  </si>
  <si>
    <t>39053</t>
  </si>
  <si>
    <t>Gallia County</t>
  </si>
  <si>
    <t>39055</t>
  </si>
  <si>
    <t>Geauga County</t>
  </si>
  <si>
    <t>39057</t>
  </si>
  <si>
    <t>39059</t>
  </si>
  <si>
    <t>Guernsey County</t>
  </si>
  <si>
    <t>39061</t>
  </si>
  <si>
    <t>39063</t>
  </si>
  <si>
    <t>39065</t>
  </si>
  <si>
    <t>39067</t>
  </si>
  <si>
    <t>39069</t>
  </si>
  <si>
    <t>39071</t>
  </si>
  <si>
    <t>Highland County</t>
  </si>
  <si>
    <t>39073</t>
  </si>
  <si>
    <t>Hocking County</t>
  </si>
  <si>
    <t>39075</t>
  </si>
  <si>
    <t>39077</t>
  </si>
  <si>
    <t>39079</t>
  </si>
  <si>
    <t>39081</t>
  </si>
  <si>
    <t>39083</t>
  </si>
  <si>
    <t>39085</t>
  </si>
  <si>
    <t>39087</t>
  </si>
  <si>
    <t>39089</t>
  </si>
  <si>
    <t>Licking County</t>
  </si>
  <si>
    <t>39091</t>
  </si>
  <si>
    <t>39093</t>
  </si>
  <si>
    <t>Lorain County</t>
  </si>
  <si>
    <t>39095</t>
  </si>
  <si>
    <t>39097</t>
  </si>
  <si>
    <t>39099</t>
  </si>
  <si>
    <t>Mahoning County</t>
  </si>
  <si>
    <t>39101</t>
  </si>
  <si>
    <t>39103</t>
  </si>
  <si>
    <t>39105</t>
  </si>
  <si>
    <t>39107</t>
  </si>
  <si>
    <t>39109</t>
  </si>
  <si>
    <t>39111</t>
  </si>
  <si>
    <t>39113</t>
  </si>
  <si>
    <t>39115</t>
  </si>
  <si>
    <t>39117</t>
  </si>
  <si>
    <t>Morrow County</t>
  </si>
  <si>
    <t>39119</t>
  </si>
  <si>
    <t>Muskingum County</t>
  </si>
  <si>
    <t>39121</t>
  </si>
  <si>
    <t>39123</t>
  </si>
  <si>
    <t>39125</t>
  </si>
  <si>
    <t>39127</t>
  </si>
  <si>
    <t>39129</t>
  </si>
  <si>
    <t>Pickaway County</t>
  </si>
  <si>
    <t>39131</t>
  </si>
  <si>
    <t>39133</t>
  </si>
  <si>
    <t>Portage County</t>
  </si>
  <si>
    <t>39135</t>
  </si>
  <si>
    <t>Preble County</t>
  </si>
  <si>
    <t>39137</t>
  </si>
  <si>
    <t>39139</t>
  </si>
  <si>
    <t>39141</t>
  </si>
  <si>
    <t>Ross County</t>
  </si>
  <si>
    <t>39143</t>
  </si>
  <si>
    <t>Sandusky County</t>
  </si>
  <si>
    <t>39145</t>
  </si>
  <si>
    <t>Scioto County</t>
  </si>
  <si>
    <t>39147</t>
  </si>
  <si>
    <t>Seneca County</t>
  </si>
  <si>
    <t>39149</t>
  </si>
  <si>
    <t>39151</t>
  </si>
  <si>
    <t>39153</t>
  </si>
  <si>
    <t>Summit County</t>
  </si>
  <si>
    <t>39155</t>
  </si>
  <si>
    <t>Trumbull County</t>
  </si>
  <si>
    <t>39157</t>
  </si>
  <si>
    <t>Tuscarawas County</t>
  </si>
  <si>
    <t>39159</t>
  </si>
  <si>
    <t>39161</t>
  </si>
  <si>
    <t>Van Wert County</t>
  </si>
  <si>
    <t>39163</t>
  </si>
  <si>
    <t>Vinton County</t>
  </si>
  <si>
    <t>39165</t>
  </si>
  <si>
    <t>39167</t>
  </si>
  <si>
    <t>39169</t>
  </si>
  <si>
    <t>39171</t>
  </si>
  <si>
    <t>39173</t>
  </si>
  <si>
    <t>39175</t>
  </si>
  <si>
    <t>Wyandot County</t>
  </si>
  <si>
    <t>40001</t>
  </si>
  <si>
    <t>OK</t>
  </si>
  <si>
    <t>40003</t>
  </si>
  <si>
    <t>Alfalfa County</t>
  </si>
  <si>
    <t>40005</t>
  </si>
  <si>
    <t>Atoka County</t>
  </si>
  <si>
    <t>40007</t>
  </si>
  <si>
    <t>Beaver County</t>
  </si>
  <si>
    <t>40009</t>
  </si>
  <si>
    <t>Beckham County</t>
  </si>
  <si>
    <t>40011</t>
  </si>
  <si>
    <t>40013</t>
  </si>
  <si>
    <t>40015</t>
  </si>
  <si>
    <t>Caddo County</t>
  </si>
  <si>
    <t>40017</t>
  </si>
  <si>
    <t>Canadian County</t>
  </si>
  <si>
    <t>40019</t>
  </si>
  <si>
    <t>40021</t>
  </si>
  <si>
    <t>40023</t>
  </si>
  <si>
    <t>40025</t>
  </si>
  <si>
    <t>Cimarron County</t>
  </si>
  <si>
    <t>40027</t>
  </si>
  <si>
    <t>40029</t>
  </si>
  <si>
    <t>Coal County</t>
  </si>
  <si>
    <t>40031</t>
  </si>
  <si>
    <t>40033</t>
  </si>
  <si>
    <t>Cotton County</t>
  </si>
  <si>
    <t>40035</t>
  </si>
  <si>
    <t>Craig County</t>
  </si>
  <si>
    <t>40037</t>
  </si>
  <si>
    <t>Creek County</t>
  </si>
  <si>
    <t>40039</t>
  </si>
  <si>
    <t>40041</t>
  </si>
  <si>
    <t>40043</t>
  </si>
  <si>
    <t>Dewey County</t>
  </si>
  <si>
    <t>40045</t>
  </si>
  <si>
    <t>40047</t>
  </si>
  <si>
    <t>40049</t>
  </si>
  <si>
    <t>Garvin County</t>
  </si>
  <si>
    <t>40051</t>
  </si>
  <si>
    <t>40053</t>
  </si>
  <si>
    <t>40055</t>
  </si>
  <si>
    <t>Greer County</t>
  </si>
  <si>
    <t>40057</t>
  </si>
  <si>
    <t>Harmon County</t>
  </si>
  <si>
    <t>40059</t>
  </si>
  <si>
    <t>40061</t>
  </si>
  <si>
    <t>40063</t>
  </si>
  <si>
    <t>Hughes County</t>
  </si>
  <si>
    <t>40065</t>
  </si>
  <si>
    <t>40067</t>
  </si>
  <si>
    <t>40069</t>
  </si>
  <si>
    <t>40071</t>
  </si>
  <si>
    <t>Kay County</t>
  </si>
  <si>
    <t>40073</t>
  </si>
  <si>
    <t>Kingfisher County</t>
  </si>
  <si>
    <t>40075</t>
  </si>
  <si>
    <t>40077</t>
  </si>
  <si>
    <t>Latimer County</t>
  </si>
  <si>
    <t>40079</t>
  </si>
  <si>
    <t>Le Flore County</t>
  </si>
  <si>
    <t>40081</t>
  </si>
  <si>
    <t>40083</t>
  </si>
  <si>
    <t>40085</t>
  </si>
  <si>
    <t>Love County</t>
  </si>
  <si>
    <t>40087</t>
  </si>
  <si>
    <t>McClain County</t>
  </si>
  <si>
    <t>40089</t>
  </si>
  <si>
    <t>McCurtain County</t>
  </si>
  <si>
    <t>40091</t>
  </si>
  <si>
    <t>40093</t>
  </si>
  <si>
    <t>Major County</t>
  </si>
  <si>
    <t>40095</t>
  </si>
  <si>
    <t>40097</t>
  </si>
  <si>
    <t>Mayes County</t>
  </si>
  <si>
    <t>40099</t>
  </si>
  <si>
    <t>40101</t>
  </si>
  <si>
    <t>Muskogee County</t>
  </si>
  <si>
    <t>40103</t>
  </si>
  <si>
    <t>40105</t>
  </si>
  <si>
    <t>Nowata County</t>
  </si>
  <si>
    <t>40107</t>
  </si>
  <si>
    <t>Okfuskee County</t>
  </si>
  <si>
    <t>40109</t>
  </si>
  <si>
    <t>Oklahoma County</t>
  </si>
  <si>
    <t>40111</t>
  </si>
  <si>
    <t>Okmulgee County</t>
  </si>
  <si>
    <t>40113</t>
  </si>
  <si>
    <t>40115</t>
  </si>
  <si>
    <t>40117</t>
  </si>
  <si>
    <t>40119</t>
  </si>
  <si>
    <t>Payne County</t>
  </si>
  <si>
    <t>40121</t>
  </si>
  <si>
    <t>Pittsburg County</t>
  </si>
  <si>
    <t>40123</t>
  </si>
  <si>
    <t>40125</t>
  </si>
  <si>
    <t>40127</t>
  </si>
  <si>
    <t>Pushmataha County</t>
  </si>
  <si>
    <t>40129</t>
  </si>
  <si>
    <t>Roger Mills County</t>
  </si>
  <si>
    <t>40131</t>
  </si>
  <si>
    <t>Rogers County</t>
  </si>
  <si>
    <t>40133</t>
  </si>
  <si>
    <t>40135</t>
  </si>
  <si>
    <t>Sequoyah County</t>
  </si>
  <si>
    <t>40137</t>
  </si>
  <si>
    <t>40139</t>
  </si>
  <si>
    <t>40141</t>
  </si>
  <si>
    <t>Tillman County</t>
  </si>
  <si>
    <t>40143</t>
  </si>
  <si>
    <t>Tulsa County</t>
  </si>
  <si>
    <t>40145</t>
  </si>
  <si>
    <t>Wagoner County</t>
  </si>
  <si>
    <t>40147</t>
  </si>
  <si>
    <t>40149</t>
  </si>
  <si>
    <t>Washita County</t>
  </si>
  <si>
    <t>40151</t>
  </si>
  <si>
    <t>Woods County</t>
  </si>
  <si>
    <t>40153</t>
  </si>
  <si>
    <t>Woodward County</t>
  </si>
  <si>
    <t>41001</t>
  </si>
  <si>
    <t>OR</t>
  </si>
  <si>
    <t>41003</t>
  </si>
  <si>
    <t>41005</t>
  </si>
  <si>
    <t>Clackamas County</t>
  </si>
  <si>
    <t>41007</t>
  </si>
  <si>
    <t>Clatsop County</t>
  </si>
  <si>
    <t>41009</t>
  </si>
  <si>
    <t>41011</t>
  </si>
  <si>
    <t>41013</t>
  </si>
  <si>
    <t>Crook County</t>
  </si>
  <si>
    <t>41015</t>
  </si>
  <si>
    <t>41017</t>
  </si>
  <si>
    <t>Deschutes County</t>
  </si>
  <si>
    <t>41019</t>
  </si>
  <si>
    <t>41021</t>
  </si>
  <si>
    <t>Gilliam County</t>
  </si>
  <si>
    <t>41023</t>
  </si>
  <si>
    <t>41025</t>
  </si>
  <si>
    <t>Harney County</t>
  </si>
  <si>
    <t>41027</t>
  </si>
  <si>
    <t>Hood River County</t>
  </si>
  <si>
    <t>41029</t>
  </si>
  <si>
    <t>41031</t>
  </si>
  <si>
    <t>41033</t>
  </si>
  <si>
    <t>Josephine County</t>
  </si>
  <si>
    <t>41035</t>
  </si>
  <si>
    <t>Klamath County</t>
  </si>
  <si>
    <t>41037</t>
  </si>
  <si>
    <t>41039</t>
  </si>
  <si>
    <t>41041</t>
  </si>
  <si>
    <t>41043</t>
  </si>
  <si>
    <t>41045</t>
  </si>
  <si>
    <t>Malheur County</t>
  </si>
  <si>
    <t>41047</t>
  </si>
  <si>
    <t>41049</t>
  </si>
  <si>
    <t>41051</t>
  </si>
  <si>
    <t>Multnomah County</t>
  </si>
  <si>
    <t>41053</t>
  </si>
  <si>
    <t>41055</t>
  </si>
  <si>
    <t>41057</t>
  </si>
  <si>
    <t>Tillamook County</t>
  </si>
  <si>
    <t>41059</t>
  </si>
  <si>
    <t>Umatilla County</t>
  </si>
  <si>
    <t>41061</t>
  </si>
  <si>
    <t>41063</t>
  </si>
  <si>
    <t>Wallowa County</t>
  </si>
  <si>
    <t>41065</t>
  </si>
  <si>
    <t>Wasco County</t>
  </si>
  <si>
    <t>41067</t>
  </si>
  <si>
    <t>41069</t>
  </si>
  <si>
    <t>41071</t>
  </si>
  <si>
    <t>Yamhill County</t>
  </si>
  <si>
    <t>42001</t>
  </si>
  <si>
    <t>PA</t>
  </si>
  <si>
    <t>42003</t>
  </si>
  <si>
    <t>Allegheny County</t>
  </si>
  <si>
    <t>42005</t>
  </si>
  <si>
    <t>42007</t>
  </si>
  <si>
    <t>42009</t>
  </si>
  <si>
    <t>42011</t>
  </si>
  <si>
    <t>Berks County</t>
  </si>
  <si>
    <t>42013</t>
  </si>
  <si>
    <t>Blair County</t>
  </si>
  <si>
    <t>42015</t>
  </si>
  <si>
    <t>42017</t>
  </si>
  <si>
    <t>Bucks County</t>
  </si>
  <si>
    <t>42019</t>
  </si>
  <si>
    <t>42021</t>
  </si>
  <si>
    <t>Cambria County</t>
  </si>
  <si>
    <t>42023</t>
  </si>
  <si>
    <t>42025</t>
  </si>
  <si>
    <t>42027</t>
  </si>
  <si>
    <t>Centre County</t>
  </si>
  <si>
    <t>42029</t>
  </si>
  <si>
    <t>42031</t>
  </si>
  <si>
    <t>Clarion County</t>
  </si>
  <si>
    <t>42033</t>
  </si>
  <si>
    <t>Clearfield County</t>
  </si>
  <si>
    <t>42035</t>
  </si>
  <si>
    <t>42037</t>
  </si>
  <si>
    <t>42039</t>
  </si>
  <si>
    <t>42041</t>
  </si>
  <si>
    <t>42043</t>
  </si>
  <si>
    <t>Dauphin County</t>
  </si>
  <si>
    <t>42045</t>
  </si>
  <si>
    <t>42047</t>
  </si>
  <si>
    <t>42049</t>
  </si>
  <si>
    <t>42051</t>
  </si>
  <si>
    <t>42053</t>
  </si>
  <si>
    <t>Forest County</t>
  </si>
  <si>
    <t>42055</t>
  </si>
  <si>
    <t>42057</t>
  </si>
  <si>
    <t>42059</t>
  </si>
  <si>
    <t>42061</t>
  </si>
  <si>
    <t>Huntingdon County</t>
  </si>
  <si>
    <t>42063</t>
  </si>
  <si>
    <t>Indiana County</t>
  </si>
  <si>
    <t>42065</t>
  </si>
  <si>
    <t>42067</t>
  </si>
  <si>
    <t>Juniata County</t>
  </si>
  <si>
    <t>42069</t>
  </si>
  <si>
    <t>Lackawanna County</t>
  </si>
  <si>
    <t>42071</t>
  </si>
  <si>
    <t>42073</t>
  </si>
  <si>
    <t>42075</t>
  </si>
  <si>
    <t>Lebanon County</t>
  </si>
  <si>
    <t>42077</t>
  </si>
  <si>
    <t>Lehigh County</t>
  </si>
  <si>
    <t>42079</t>
  </si>
  <si>
    <t>Luzerne County</t>
  </si>
  <si>
    <t>42081</t>
  </si>
  <si>
    <t>Lycoming County</t>
  </si>
  <si>
    <t>42083</t>
  </si>
  <si>
    <t>McKean County</t>
  </si>
  <si>
    <t>42085</t>
  </si>
  <si>
    <t>42087</t>
  </si>
  <si>
    <t>Mifflin County</t>
  </si>
  <si>
    <t>42089</t>
  </si>
  <si>
    <t>42091</t>
  </si>
  <si>
    <t>42093</t>
  </si>
  <si>
    <t>Montour County</t>
  </si>
  <si>
    <t>42095</t>
  </si>
  <si>
    <t>42097</t>
  </si>
  <si>
    <t>Northumberland County</t>
  </si>
  <si>
    <t>42099</t>
  </si>
  <si>
    <t>42101</t>
  </si>
  <si>
    <t>Philadelphia County</t>
  </si>
  <si>
    <t>42103</t>
  </si>
  <si>
    <t>42105</t>
  </si>
  <si>
    <t>42107</t>
  </si>
  <si>
    <t>Schuylkill County</t>
  </si>
  <si>
    <t>42109</t>
  </si>
  <si>
    <t>Snyder County</t>
  </si>
  <si>
    <t>42111</t>
  </si>
  <si>
    <t>42113</t>
  </si>
  <si>
    <t>42115</t>
  </si>
  <si>
    <t>Susquehanna County</t>
  </si>
  <si>
    <t>42117</t>
  </si>
  <si>
    <t>Tioga County</t>
  </si>
  <si>
    <t>42119</t>
  </si>
  <si>
    <t>42121</t>
  </si>
  <si>
    <t>Venango County</t>
  </si>
  <si>
    <t>42123</t>
  </si>
  <si>
    <t>42125</t>
  </si>
  <si>
    <t>42127</t>
  </si>
  <si>
    <t>42129</t>
  </si>
  <si>
    <t>Westmoreland County</t>
  </si>
  <si>
    <t>42131</t>
  </si>
  <si>
    <t>Wyoming County</t>
  </si>
  <si>
    <t>42133</t>
  </si>
  <si>
    <t>45001</t>
  </si>
  <si>
    <t>SC</t>
  </si>
  <si>
    <t>Abbeville County</t>
  </si>
  <si>
    <t>45003</t>
  </si>
  <si>
    <t>Aiken County</t>
  </si>
  <si>
    <t>45005</t>
  </si>
  <si>
    <t>Allendale County</t>
  </si>
  <si>
    <t>45007</t>
  </si>
  <si>
    <t>45009</t>
  </si>
  <si>
    <t>Bamberg County</t>
  </si>
  <si>
    <t>45011</t>
  </si>
  <si>
    <t>Barnwell County</t>
  </si>
  <si>
    <t>45013</t>
  </si>
  <si>
    <t>45015</t>
  </si>
  <si>
    <t>Berkeley County</t>
  </si>
  <si>
    <t>45017</t>
  </si>
  <si>
    <t>45019</t>
  </si>
  <si>
    <t>Charleston County</t>
  </si>
  <si>
    <t>45021</t>
  </si>
  <si>
    <t>45023</t>
  </si>
  <si>
    <t>45025</t>
  </si>
  <si>
    <t>Chesterfield County</t>
  </si>
  <si>
    <t>45027</t>
  </si>
  <si>
    <t>Clarendon County</t>
  </si>
  <si>
    <t>45029</t>
  </si>
  <si>
    <t>Colleton County</t>
  </si>
  <si>
    <t>45031</t>
  </si>
  <si>
    <t>Darlington County</t>
  </si>
  <si>
    <t>45033</t>
  </si>
  <si>
    <t>Dillon County</t>
  </si>
  <si>
    <t>45035</t>
  </si>
  <si>
    <t>Dorchester County</t>
  </si>
  <si>
    <t>45037</t>
  </si>
  <si>
    <t>Edgefield County</t>
  </si>
  <si>
    <t>45039</t>
  </si>
  <si>
    <t>45041</t>
  </si>
  <si>
    <t>Florence County</t>
  </si>
  <si>
    <t>45043</t>
  </si>
  <si>
    <t>Georgetown County</t>
  </si>
  <si>
    <t>45045</t>
  </si>
  <si>
    <t>Greenville County</t>
  </si>
  <si>
    <t>45047</t>
  </si>
  <si>
    <t>45049</t>
  </si>
  <si>
    <t>Hampton County</t>
  </si>
  <si>
    <t>45051</t>
  </si>
  <si>
    <t>Horry County</t>
  </si>
  <si>
    <t>45053</t>
  </si>
  <si>
    <t>45055</t>
  </si>
  <si>
    <t>Kershaw County</t>
  </si>
  <si>
    <t>45057</t>
  </si>
  <si>
    <t>45059</t>
  </si>
  <si>
    <t>45061</t>
  </si>
  <si>
    <t>45063</t>
  </si>
  <si>
    <t>Lexington County</t>
  </si>
  <si>
    <t>45065</t>
  </si>
  <si>
    <t>McCormick County</t>
  </si>
  <si>
    <t>45067</t>
  </si>
  <si>
    <t>45069</t>
  </si>
  <si>
    <t>Marlboro County</t>
  </si>
  <si>
    <t>45071</t>
  </si>
  <si>
    <t>Newberry County</t>
  </si>
  <si>
    <t>45073</t>
  </si>
  <si>
    <t>45075</t>
  </si>
  <si>
    <t>Orangeburg County</t>
  </si>
  <si>
    <t>45077</t>
  </si>
  <si>
    <t>45079</t>
  </si>
  <si>
    <t>45081</t>
  </si>
  <si>
    <t>Saluda County</t>
  </si>
  <si>
    <t>45083</t>
  </si>
  <si>
    <t>Spartanburg County</t>
  </si>
  <si>
    <t>45085</t>
  </si>
  <si>
    <t>45087</t>
  </si>
  <si>
    <t>45089</t>
  </si>
  <si>
    <t>Williamsburg County</t>
  </si>
  <si>
    <t>45091</t>
  </si>
  <si>
    <t>46003</t>
  </si>
  <si>
    <t>SD</t>
  </si>
  <si>
    <t>Aurora County</t>
  </si>
  <si>
    <t>46005</t>
  </si>
  <si>
    <t>Beadle County</t>
  </si>
  <si>
    <t>46007</t>
  </si>
  <si>
    <t>Bennett County</t>
  </si>
  <si>
    <t>46009</t>
  </si>
  <si>
    <t>Bon Homme County</t>
  </si>
  <si>
    <t>46011</t>
  </si>
  <si>
    <t>Brookings County</t>
  </si>
  <si>
    <t>46013</t>
  </si>
  <si>
    <t>46015</t>
  </si>
  <si>
    <t>Brule County</t>
  </si>
  <si>
    <t>46017</t>
  </si>
  <si>
    <t>46019</t>
  </si>
  <si>
    <t>Butte County</t>
  </si>
  <si>
    <t>46021</t>
  </si>
  <si>
    <t>46023</t>
  </si>
  <si>
    <t>Charles Mix County</t>
  </si>
  <si>
    <t>46025</t>
  </si>
  <si>
    <t>46027</t>
  </si>
  <si>
    <t>46029</t>
  </si>
  <si>
    <t>Codington County</t>
  </si>
  <si>
    <t>46031</t>
  </si>
  <si>
    <t>Corson County</t>
  </si>
  <si>
    <t>46033</t>
  </si>
  <si>
    <t>46035</t>
  </si>
  <si>
    <t>Davison County</t>
  </si>
  <si>
    <t>46037</t>
  </si>
  <si>
    <t>Day County</t>
  </si>
  <si>
    <t>46039</t>
  </si>
  <si>
    <t>46041</t>
  </si>
  <si>
    <t>46043</t>
  </si>
  <si>
    <t>46045</t>
  </si>
  <si>
    <t>Edmunds County</t>
  </si>
  <si>
    <t>46047</t>
  </si>
  <si>
    <t>Fall River County</t>
  </si>
  <si>
    <t>46049</t>
  </si>
  <si>
    <t>Faulk County</t>
  </si>
  <si>
    <t>46051</t>
  </si>
  <si>
    <t>46053</t>
  </si>
  <si>
    <t>Gregory County</t>
  </si>
  <si>
    <t>46055</t>
  </si>
  <si>
    <t>Haakon County</t>
  </si>
  <si>
    <t>46057</t>
  </si>
  <si>
    <t>Hamlin County</t>
  </si>
  <si>
    <t>46059</t>
  </si>
  <si>
    <t>Hand County</t>
  </si>
  <si>
    <t>46061</t>
  </si>
  <si>
    <t>Hanson County</t>
  </si>
  <si>
    <t>46063</t>
  </si>
  <si>
    <t>46065</t>
  </si>
  <si>
    <t>46067</t>
  </si>
  <si>
    <t>46069</t>
  </si>
  <si>
    <t>46071</t>
  </si>
  <si>
    <t>46073</t>
  </si>
  <si>
    <t>Jerauld County</t>
  </si>
  <si>
    <t>46075</t>
  </si>
  <si>
    <t>46077</t>
  </si>
  <si>
    <t>Kingsbury County</t>
  </si>
  <si>
    <t>46079</t>
  </si>
  <si>
    <t>46081</t>
  </si>
  <si>
    <t>46083</t>
  </si>
  <si>
    <t>46085</t>
  </si>
  <si>
    <t>Lyman County</t>
  </si>
  <si>
    <t>46087</t>
  </si>
  <si>
    <t>McCook County</t>
  </si>
  <si>
    <t>46089</t>
  </si>
  <si>
    <t>46091</t>
  </si>
  <si>
    <t>46093</t>
  </si>
  <si>
    <t>46095</t>
  </si>
  <si>
    <t>Mellette County</t>
  </si>
  <si>
    <t>46097</t>
  </si>
  <si>
    <t>Miner County</t>
  </si>
  <si>
    <t>46099</t>
  </si>
  <si>
    <t>Minnehaha County</t>
  </si>
  <si>
    <t>46101</t>
  </si>
  <si>
    <t>Moody County</t>
  </si>
  <si>
    <t>46103</t>
  </si>
  <si>
    <t>Pennington County</t>
  </si>
  <si>
    <t>46105</t>
  </si>
  <si>
    <t>46107</t>
  </si>
  <si>
    <t>46109</t>
  </si>
  <si>
    <t>46111</t>
  </si>
  <si>
    <t>Sanborn County</t>
  </si>
  <si>
    <t>46113</t>
  </si>
  <si>
    <t>46115</t>
  </si>
  <si>
    <t>Spink County</t>
  </si>
  <si>
    <t>46117</t>
  </si>
  <si>
    <t>Stanley County</t>
  </si>
  <si>
    <t>46119</t>
  </si>
  <si>
    <t>Sully County</t>
  </si>
  <si>
    <t>46121</t>
  </si>
  <si>
    <t>Todd County</t>
  </si>
  <si>
    <t>46123</t>
  </si>
  <si>
    <t>Tripp County</t>
  </si>
  <si>
    <t>46125</t>
  </si>
  <si>
    <t>46127</t>
  </si>
  <si>
    <t>46129</t>
  </si>
  <si>
    <t>Walworth County</t>
  </si>
  <si>
    <t>46135</t>
  </si>
  <si>
    <t>Yankton County</t>
  </si>
  <si>
    <t>46137</t>
  </si>
  <si>
    <t>Ziebach County</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</si>
  <si>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</si>
  <si>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</si>
  <si>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</si>
  <si>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</si>
  <si>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</si>
  <si>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</si>
  <si>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</si>
  <si>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</si>
  <si>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</si>
  <si>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</si>
  <si>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</si>
  <si>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</si>
  <si>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</si>
  <si>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</si>
  <si>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</si>
  <si>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</si>
  <si>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</si>
  <si>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</si>
  <si>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</si>
  <si>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</si>
  <si>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</si>
  <si>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</si>
  <si>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</si>
  <si>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</si>
  <si>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</si>
  <si>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</si>
  <si>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</si>
  <si>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</si>
  <si>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</si>
  <si>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</si>
  <si>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</si>
  <si>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</si>
  <si>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</si>
  <si>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</si>
  <si>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</si>
  <si>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</si>
  <si>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</si>
  <si>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</si>
  <si>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</si>
  <si>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</si>
  <si>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</si>
  <si>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</si>
  <si>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</si>
  <si>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</si>
  <si>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</si>
  <si>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</si>
  <si>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</si>
  <si>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</si>
  <si>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</si>
  <si>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</si>
  <si>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</si>
  <si>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</si>
  <si>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</si>
  <si>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</si>
  <si>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</si>
  <si>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</si>
  <si>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</si>
  <si>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</si>
  <si>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</si>
  <si>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</si>
  <si>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</si>
  <si>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</si>
  <si>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</si>
  <si>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</si>
  <si>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</si>
  <si>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</si>
  <si>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</si>
  <si>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</si>
  <si>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</si>
  <si>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</si>
  <si>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</si>
  <si>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</si>
  <si>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</si>
  <si>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</si>
  <si>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</si>
  <si>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</si>
  <si>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</si>
  <si>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</si>
  <si>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</si>
  <si>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</si>
  <si>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</si>
  <si>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</si>
  <si>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</si>
  <si>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</si>
  <si>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</si>
  <si>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</si>
  <si>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</si>
  <si>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</si>
  <si>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</si>
  <si>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</si>
  <si>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</si>
  <si>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</si>
  <si>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</si>
  <si>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</si>
  <si>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</si>
  <si>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</si>
  <si>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</si>
  <si>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</si>
  <si>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</si>
  <si>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</si>
  <si>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</si>
  <si>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</si>
  <si>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</si>
  <si>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</si>
  <si>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</si>
  <si>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</si>
  <si>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</si>
  <si>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</si>
  <si>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</si>
  <si>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</si>
  <si>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</si>
  <si>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</si>
  <si>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</si>
  <si>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</si>
  <si>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</si>
  <si>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</si>
  <si>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</si>
  <si>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</si>
  <si>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</si>
  <si>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</si>
  <si>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</si>
  <si>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</si>
  <si>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</si>
  <si>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</si>
  <si>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</si>
  <si>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</si>
  <si>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</si>
  <si>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</si>
  <si>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</si>
  <si>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</si>
  <si>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</si>
  <si>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</si>
  <si>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</si>
  <si>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</si>
  <si>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</si>
  <si>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</si>
  <si>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</si>
  <si>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</si>
  <si>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</si>
  <si>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</si>
  <si>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</si>
  <si>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</si>
  <si>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</si>
  <si>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</si>
  <si>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</si>
  <si>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</si>
  <si>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</si>
  <si>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</si>
  <si>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</si>
  <si>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</si>
  <si>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</si>
  <si>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</si>
  <si>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</si>
  <si>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</si>
  <si>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</si>
  <si>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</si>
  <si>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</si>
  <si>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</si>
  <si>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</si>
  <si>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</si>
  <si>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</si>
  <si>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</si>
  <si>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</si>
  <si>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</si>
  <si>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</si>
  <si>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</si>
  <si>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</si>
  <si>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</si>
  <si>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</si>
  <si>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</si>
  <si>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</si>
  <si>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</si>
  <si>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</si>
  <si>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</si>
  <si>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</si>
  <si>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</si>
  <si>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</si>
  <si>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</si>
  <si>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</si>
  <si>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</si>
  <si>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</si>
  <si>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</si>
  <si>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</si>
  <si>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</si>
  <si>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</si>
  <si>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</si>
  <si>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</si>
  <si>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</si>
  <si>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</si>
  <si>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</si>
  <si>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</si>
  <si>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</si>
  <si>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</si>
  <si>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</si>
  <si>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</si>
  <si>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</si>
  <si>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</si>
  <si>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</si>
  <si>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</si>
  <si>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</si>
  <si>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</si>
  <si>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</si>
  <si>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</si>
  <si>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</si>
  <si>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</si>
  <si>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</si>
  <si>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</si>
  <si>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</si>
  <si>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</si>
  <si>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</si>
  <si>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</si>
  <si>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</si>
  <si>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</si>
  <si>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</si>
  <si>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</si>
  <si>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</si>
  <si>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</si>
  <si>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</si>
  <si>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</si>
  <si>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</si>
  <si>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</si>
  <si>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</si>
  <si>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</si>
  <si>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</si>
  <si>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</si>
  <si>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</si>
  <si>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</si>
  <si>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</si>
  <si>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</si>
  <si>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</si>
  <si>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</si>
  <si>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</si>
  <si>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</si>
  <si>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</si>
  <si>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</si>
  <si>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</si>
  <si>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</si>
  <si>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</si>
  <si>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</si>
  <si>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</si>
  <si>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</si>
  <si>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</si>
  <si>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</si>
  <si>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</si>
  <si>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</si>
  <si>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</si>
  <si>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</si>
  <si>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</si>
  <si>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</si>
  <si>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</si>
  <si>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</si>
  <si>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</si>
  <si>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</si>
  <si>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</si>
  <si>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</si>
  <si>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</si>
  <si>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</si>
  <si>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</si>
  <si>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</si>
  <si>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</si>
  <si>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</si>
  <si>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</si>
  <si>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</si>
  <si>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</si>
  <si>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</si>
  <si>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</si>
  <si>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</si>
  <si>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</si>
  <si>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</si>
  <si>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</si>
  <si>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</si>
  <si>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</si>
  <si>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</si>
  <si>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</si>
  <si>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</si>
  <si>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</si>
  <si>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</si>
  <si>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</si>
  <si>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</si>
  <si>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</si>
  <si>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</si>
  <si>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</si>
  <si>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</si>
  <si>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</si>
  <si>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</si>
  <si>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</si>
  <si>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</si>
  <si>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</si>
  <si>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</si>
  <si>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</si>
  <si>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</si>
  <si>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</si>
  <si>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</si>
  <si>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</si>
  <si>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</si>
  <si>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</si>
  <si>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</si>
  <si>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</si>
  <si>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</si>
  <si>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</si>
  <si>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</si>
  <si>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</si>
  <si>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</si>
  <si>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</si>
  <si>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</si>
  <si>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</si>
  <si>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</si>
  <si>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</si>
  <si>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</si>
  <si>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</si>
  <si>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</si>
  <si>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</si>
  <si>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</si>
  <si>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</si>
  <si>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</si>
  <si>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</si>
  <si>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</si>
  <si>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</si>
  <si>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</si>
  <si>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</si>
  <si>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</si>
  <si>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</si>
  <si>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</si>
  <si>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</si>
  <si>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</si>
  <si>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</si>
  <si>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</si>
  <si>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</si>
  <si>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</si>
  <si>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</si>
  <si>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</si>
  <si>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</si>
  <si>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</si>
  <si>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</si>
  <si>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</si>
  <si>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</si>
  <si>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</si>
  <si>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</si>
  <si>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</si>
  <si>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</si>
  <si>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</si>
  <si>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</si>
  <si>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</si>
  <si>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</si>
  <si>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</si>
  <si>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</si>
  <si>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</si>
  <si>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</si>
  <si>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49001</t>
  </si>
  <si>
    <t>UT</t>
  </si>
  <si>
    <t>49003</t>
  </si>
  <si>
    <t>Box Elder County</t>
  </si>
  <si>
    <t>49005</t>
  </si>
  <si>
    <t>Cache County</t>
  </si>
  <si>
    <t>49007</t>
  </si>
  <si>
    <t>49009</t>
  </si>
  <si>
    <t>Daggett County</t>
  </si>
  <si>
    <t>49011</t>
  </si>
  <si>
    <t>49013</t>
  </si>
  <si>
    <t>Duchesne County</t>
  </si>
  <si>
    <t>49015</t>
  </si>
  <si>
    <t>Emery County</t>
  </si>
  <si>
    <t>49017</t>
  </si>
  <si>
    <t>49019</t>
  </si>
  <si>
    <t>Grand County</t>
  </si>
  <si>
    <t>49021</t>
  </si>
  <si>
    <t>49023</t>
  </si>
  <si>
    <t>Juab County</t>
  </si>
  <si>
    <t>49025</t>
  </si>
  <si>
    <t>49027</t>
  </si>
  <si>
    <t>Millard County</t>
  </si>
  <si>
    <t>49029</t>
  </si>
  <si>
    <t>49031</t>
  </si>
  <si>
    <t>Piute County</t>
  </si>
  <si>
    <t>49033</t>
  </si>
  <si>
    <t>Rich County</t>
  </si>
  <si>
    <t>49035</t>
  </si>
  <si>
    <t>Salt Lake County</t>
  </si>
  <si>
    <t>49037</t>
  </si>
  <si>
    <t>49039</t>
  </si>
  <si>
    <t>Sanpete County</t>
  </si>
  <si>
    <t>49041</t>
  </si>
  <si>
    <t>49043</t>
  </si>
  <si>
    <t>49045</t>
  </si>
  <si>
    <t>Tooele County</t>
  </si>
  <si>
    <t>49047</t>
  </si>
  <si>
    <t>Uintah County</t>
  </si>
  <si>
    <t>49049</t>
  </si>
  <si>
    <t>Utah County</t>
  </si>
  <si>
    <t>49051</t>
  </si>
  <si>
    <t>Wasatch County</t>
  </si>
  <si>
    <t>49053</t>
  </si>
  <si>
    <t>49055</t>
  </si>
  <si>
    <t>49057</t>
  </si>
  <si>
    <t>Weber County</t>
  </si>
  <si>
    <t>51001</t>
  </si>
  <si>
    <t>VA</t>
  </si>
  <si>
    <t>Accomack County</t>
  </si>
  <si>
    <t>51003</t>
  </si>
  <si>
    <t>Albemarle County</t>
  </si>
  <si>
    <t>51005</t>
  </si>
  <si>
    <t>51007</t>
  </si>
  <si>
    <t>Amelia County</t>
  </si>
  <si>
    <t>51009</t>
  </si>
  <si>
    <t>Amherst County</t>
  </si>
  <si>
    <t>51011</t>
  </si>
  <si>
    <t>Appomattox County</t>
  </si>
  <si>
    <t>51013</t>
  </si>
  <si>
    <t>Arlington County</t>
  </si>
  <si>
    <t>51015</t>
  </si>
  <si>
    <t>Augusta County</t>
  </si>
  <si>
    <t>51017</t>
  </si>
  <si>
    <t>Bath County</t>
  </si>
  <si>
    <t>51019</t>
  </si>
  <si>
    <t>51021</t>
  </si>
  <si>
    <t>Bland County</t>
  </si>
  <si>
    <t>51023</t>
  </si>
  <si>
    <t>Botetourt County</t>
  </si>
  <si>
    <t>51025</t>
  </si>
  <si>
    <t>51027</t>
  </si>
  <si>
    <t>51029</t>
  </si>
  <si>
    <t>Buckingham County</t>
  </si>
  <si>
    <t>51031</t>
  </si>
  <si>
    <t>51033</t>
  </si>
  <si>
    <t>Caroline County</t>
  </si>
  <si>
    <t>51035</t>
  </si>
  <si>
    <t>51036</t>
  </si>
  <si>
    <t>Charles City County</t>
  </si>
  <si>
    <t>51037</t>
  </si>
  <si>
    <t>51041</t>
  </si>
  <si>
    <t>51043</t>
  </si>
  <si>
    <t>51045</t>
  </si>
  <si>
    <t>51047</t>
  </si>
  <si>
    <t>Culpeper County</t>
  </si>
  <si>
    <t>51049</t>
  </si>
  <si>
    <t>51051</t>
  </si>
  <si>
    <t>Dickenson County</t>
  </si>
  <si>
    <t>51053</t>
  </si>
  <si>
    <t>Dinwiddie County</t>
  </si>
  <si>
    <t>51057</t>
  </si>
  <si>
    <t>51059</t>
  </si>
  <si>
    <t>Fairfax County</t>
  </si>
  <si>
    <t>51061</t>
  </si>
  <si>
    <t>Fauquier County</t>
  </si>
  <si>
    <t>51063</t>
  </si>
  <si>
    <t>51065</t>
  </si>
  <si>
    <t>Fluvanna County</t>
  </si>
  <si>
    <t>51067</t>
  </si>
  <si>
    <t>51069</t>
  </si>
  <si>
    <t>Frederick County</t>
  </si>
  <si>
    <t>51071</t>
  </si>
  <si>
    <t>51073</t>
  </si>
  <si>
    <t>51075</t>
  </si>
  <si>
    <t>Goochland County</t>
  </si>
  <si>
    <t>51077</t>
  </si>
  <si>
    <t>51079</t>
  </si>
  <si>
    <t>51081</t>
  </si>
  <si>
    <t>Greensville County</t>
  </si>
  <si>
    <t>51083</t>
  </si>
  <si>
    <t>51085</t>
  </si>
  <si>
    <t>Hanover County</t>
  </si>
  <si>
    <t>51087</t>
  </si>
  <si>
    <t>Henrico County</t>
  </si>
  <si>
    <t>51089</t>
  </si>
  <si>
    <t>51091</t>
  </si>
  <si>
    <t>51093</t>
  </si>
  <si>
    <t>Isle of Wight County</t>
  </si>
  <si>
    <t>51095</t>
  </si>
  <si>
    <t>James City County</t>
  </si>
  <si>
    <t>51097</t>
  </si>
  <si>
    <t>King and Queen County</t>
  </si>
  <si>
    <t>51099</t>
  </si>
  <si>
    <t>King George County</t>
  </si>
  <si>
    <t>51101</t>
  </si>
  <si>
    <t>King William County</t>
  </si>
  <si>
    <t>51103</t>
  </si>
  <si>
    <t>51105</t>
  </si>
  <si>
    <t>51107</t>
  </si>
  <si>
    <t>Loudoun County</t>
  </si>
  <si>
    <t>51109</t>
  </si>
  <si>
    <t>51111</t>
  </si>
  <si>
    <t>Lunenburg County</t>
  </si>
  <si>
    <t>51113</t>
  </si>
  <si>
    <t>51115</t>
  </si>
  <si>
    <t>Mathews County</t>
  </si>
  <si>
    <t>51117</t>
  </si>
  <si>
    <t>51119</t>
  </si>
  <si>
    <t>51121</t>
  </si>
  <si>
    <t>51125</t>
  </si>
  <si>
    <t>51127</t>
  </si>
  <si>
    <t>New Kent County</t>
  </si>
  <si>
    <t>51131</t>
  </si>
  <si>
    <t>51133</t>
  </si>
  <si>
    <t>51135</t>
  </si>
  <si>
    <t>Nottoway County</t>
  </si>
  <si>
    <t>51137</t>
  </si>
  <si>
    <t>51139</t>
  </si>
  <si>
    <t>51141</t>
  </si>
  <si>
    <t>Patrick County</t>
  </si>
  <si>
    <t>51143</t>
  </si>
  <si>
    <t>Pittsylvania County</t>
  </si>
  <si>
    <t>51145</t>
  </si>
  <si>
    <t>Powhatan County</t>
  </si>
  <si>
    <t>51147</t>
  </si>
  <si>
    <t>Prince Edward County</t>
  </si>
  <si>
    <t>51149</t>
  </si>
  <si>
    <t>Prince George County</t>
  </si>
  <si>
    <t>51153</t>
  </si>
  <si>
    <t>Prince William County</t>
  </si>
  <si>
    <t>51155</t>
  </si>
  <si>
    <t>51157</t>
  </si>
  <si>
    <t>Rappahannock County</t>
  </si>
  <si>
    <t>51159</t>
  </si>
  <si>
    <t>51161</t>
  </si>
  <si>
    <t>Roanoke County</t>
  </si>
  <si>
    <t>51163</t>
  </si>
  <si>
    <t>Rockbridge County</t>
  </si>
  <si>
    <t>51165</t>
  </si>
  <si>
    <t>51167</t>
  </si>
  <si>
    <t>51169</t>
  </si>
  <si>
    <t>51171</t>
  </si>
  <si>
    <t>Shenandoah County</t>
  </si>
  <si>
    <t>51173</t>
  </si>
  <si>
    <t>Smyth County</t>
  </si>
  <si>
    <t>51175</t>
  </si>
  <si>
    <t>Southampton County</t>
  </si>
  <si>
    <t>51177</t>
  </si>
  <si>
    <t>Spotsylvania County</t>
  </si>
  <si>
    <t>51179</t>
  </si>
  <si>
    <t>51181</t>
  </si>
  <si>
    <t>51183</t>
  </si>
  <si>
    <t>51185</t>
  </si>
  <si>
    <t>51187</t>
  </si>
  <si>
    <t>51191</t>
  </si>
  <si>
    <t>51193</t>
  </si>
  <si>
    <t>51195</t>
  </si>
  <si>
    <t>51197</t>
  </si>
  <si>
    <t>Wythe County</t>
  </si>
  <si>
    <t>51199</t>
  </si>
  <si>
    <t>51510</t>
  </si>
  <si>
    <t>Alexandria city</t>
  </si>
  <si>
    <t>51515</t>
  </si>
  <si>
    <t>Bedford city</t>
  </si>
  <si>
    <t>51520</t>
  </si>
  <si>
    <t>Bristol city</t>
  </si>
  <si>
    <t>51530</t>
  </si>
  <si>
    <t>Buena Vista city</t>
  </si>
  <si>
    <t>51540</t>
  </si>
  <si>
    <t>Charlottesville city</t>
  </si>
  <si>
    <t>51550</t>
  </si>
  <si>
    <t>Chesapeake city</t>
  </si>
  <si>
    <t>51570</t>
  </si>
  <si>
    <t>Colonial Heights city</t>
  </si>
  <si>
    <t>51580</t>
  </si>
  <si>
    <t>Covington city</t>
  </si>
  <si>
    <t>51590</t>
  </si>
  <si>
    <t>Danville city</t>
  </si>
  <si>
    <t>51595</t>
  </si>
  <si>
    <t>Emporia city</t>
  </si>
  <si>
    <t>51600</t>
  </si>
  <si>
    <t>Fairfax city</t>
  </si>
  <si>
    <t>51610</t>
  </si>
  <si>
    <t>Falls Church city</t>
  </si>
  <si>
    <t>51620</t>
  </si>
  <si>
    <t>Franklin city</t>
  </si>
  <si>
    <t>51630</t>
  </si>
  <si>
    <t>Fredericksburg city</t>
  </si>
  <si>
    <t>51640</t>
  </si>
  <si>
    <t>Galax city</t>
  </si>
  <si>
    <t>51650</t>
  </si>
  <si>
    <t>Hampton city</t>
  </si>
  <si>
    <t>51660</t>
  </si>
  <si>
    <t>Harrisonburg city</t>
  </si>
  <si>
    <t>51670</t>
  </si>
  <si>
    <t>Hopewell city</t>
  </si>
  <si>
    <t>51678</t>
  </si>
  <si>
    <t>Lexington city</t>
  </si>
  <si>
    <t>51680</t>
  </si>
  <si>
    <t>Lynchburg city</t>
  </si>
  <si>
    <t>51683</t>
  </si>
  <si>
    <t>Manassas city</t>
  </si>
  <si>
    <t>51685</t>
  </si>
  <si>
    <t>Manassas Park city</t>
  </si>
  <si>
    <t>51690</t>
  </si>
  <si>
    <t>Martinsville city</t>
  </si>
  <si>
    <t>51700</t>
  </si>
  <si>
    <t>Newport News city</t>
  </si>
  <si>
    <t>51710</t>
  </si>
  <si>
    <t>Norfolk city</t>
  </si>
  <si>
    <t>51720</t>
  </si>
  <si>
    <t>Norton city</t>
  </si>
  <si>
    <t>51730</t>
  </si>
  <si>
    <t>Petersburg city</t>
  </si>
  <si>
    <t>51735</t>
  </si>
  <si>
    <t>Poquoson city</t>
  </si>
  <si>
    <t>51740</t>
  </si>
  <si>
    <t>Portsmouth city</t>
  </si>
  <si>
    <t>51750</t>
  </si>
  <si>
    <t>Radford city</t>
  </si>
  <si>
    <t>51760</t>
  </si>
  <si>
    <t>Richmond city</t>
  </si>
  <si>
    <t>51770</t>
  </si>
  <si>
    <t>Roanoke city</t>
  </si>
  <si>
    <t>51775</t>
  </si>
  <si>
    <t>Salem city</t>
  </si>
  <si>
    <t>51790</t>
  </si>
  <si>
    <t>Staunton city</t>
  </si>
  <si>
    <t>51800</t>
  </si>
  <si>
    <t>Suffolk city</t>
  </si>
  <si>
    <t>51810</t>
  </si>
  <si>
    <t>Virginia Beach city</t>
  </si>
  <si>
    <t>51820</t>
  </si>
  <si>
    <t>Waynesboro city</t>
  </si>
  <si>
    <t>51830</t>
  </si>
  <si>
    <t>Williamsburg city</t>
  </si>
  <si>
    <t>51840</t>
  </si>
  <si>
    <t>Winchester city</t>
  </si>
  <si>
    <t>55001</t>
  </si>
  <si>
    <t>WI</t>
  </si>
  <si>
    <t>55003</t>
  </si>
  <si>
    <t>55005</t>
  </si>
  <si>
    <t>Barron County</t>
  </si>
  <si>
    <t>55007</t>
  </si>
  <si>
    <t>Bayfield County</t>
  </si>
  <si>
    <t>55009</t>
  </si>
  <si>
    <t>55011</t>
  </si>
  <si>
    <t>55013</t>
  </si>
  <si>
    <t>Burnett County</t>
  </si>
  <si>
    <t>55015</t>
  </si>
  <si>
    <t>Calumet County</t>
  </si>
  <si>
    <t>55017</t>
  </si>
  <si>
    <t>55019</t>
  </si>
  <si>
    <t>55021</t>
  </si>
  <si>
    <t>55023</t>
  </si>
  <si>
    <t>55025</t>
  </si>
  <si>
    <t>Dane County</t>
  </si>
  <si>
    <t>55027</t>
  </si>
  <si>
    <t>55029</t>
  </si>
  <si>
    <t>Door County</t>
  </si>
  <si>
    <t>55031</t>
  </si>
  <si>
    <t>55033</t>
  </si>
  <si>
    <t>55035</t>
  </si>
  <si>
    <t>Eau Claire County</t>
  </si>
  <si>
    <t>55037</t>
  </si>
  <si>
    <t>55039</t>
  </si>
  <si>
    <t>Fond du Lac County</t>
  </si>
  <si>
    <t>55041</t>
  </si>
  <si>
    <t>55043</t>
  </si>
  <si>
    <t>55045</t>
  </si>
  <si>
    <t>Green County</t>
  </si>
  <si>
    <t>55047</t>
  </si>
  <si>
    <t>Green Lake County</t>
  </si>
  <si>
    <t>55049</t>
  </si>
  <si>
    <t>55051</t>
  </si>
  <si>
    <t>55053</t>
  </si>
  <si>
    <t>55055</t>
  </si>
  <si>
    <t>55057</t>
  </si>
  <si>
    <t>Juneau County</t>
  </si>
  <si>
    <t>55059</t>
  </si>
  <si>
    <t>Kenosha County</t>
  </si>
  <si>
    <t>55061</t>
  </si>
  <si>
    <t>Kewaunee County</t>
  </si>
  <si>
    <t>55063</t>
  </si>
  <si>
    <t>La Crosse County</t>
  </si>
  <si>
    <t>55065</t>
  </si>
  <si>
    <t>55067</t>
  </si>
  <si>
    <t>Langlade County</t>
  </si>
  <si>
    <t>55069</t>
  </si>
  <si>
    <t>55071</t>
  </si>
  <si>
    <t>Manitowoc County</t>
  </si>
  <si>
    <t>55073</t>
  </si>
  <si>
    <t>Marathon County</t>
  </si>
  <si>
    <t>55075</t>
  </si>
  <si>
    <t>Marinette County</t>
  </si>
  <si>
    <t>55077</t>
  </si>
  <si>
    <t>55078</t>
  </si>
  <si>
    <t>55079</t>
  </si>
  <si>
    <t>Milwaukee County</t>
  </si>
  <si>
    <t>55081</t>
  </si>
  <si>
    <t>55083</t>
  </si>
  <si>
    <t>Oconto County</t>
  </si>
  <si>
    <t>55085</t>
  </si>
  <si>
    <t>Oneida County</t>
  </si>
  <si>
    <t>55087</t>
  </si>
  <si>
    <t>Outagamie County</t>
  </si>
  <si>
    <t>55089</t>
  </si>
  <si>
    <t>Ozaukee County</t>
  </si>
  <si>
    <t>55091</t>
  </si>
  <si>
    <t>Pepin County</t>
  </si>
  <si>
    <t>55093</t>
  </si>
  <si>
    <t>55095</t>
  </si>
  <si>
    <t>55097</t>
  </si>
  <si>
    <t>55099</t>
  </si>
  <si>
    <t>Price County</t>
  </si>
  <si>
    <t>55101</t>
  </si>
  <si>
    <t>Racine County</t>
  </si>
  <si>
    <t>55103</t>
  </si>
  <si>
    <t>55105</t>
  </si>
  <si>
    <t>55107</t>
  </si>
  <si>
    <t>55109</t>
  </si>
  <si>
    <t>St. Croix County</t>
  </si>
  <si>
    <t>55111</t>
  </si>
  <si>
    <t>Sauk County</t>
  </si>
  <si>
    <t>55113</t>
  </si>
  <si>
    <t>Sawyer County</t>
  </si>
  <si>
    <t>55115</t>
  </si>
  <si>
    <t>Shawano County</t>
  </si>
  <si>
    <t>55117</t>
  </si>
  <si>
    <t>Sheboygan County</t>
  </si>
  <si>
    <t>55119</t>
  </si>
  <si>
    <t>55121</t>
  </si>
  <si>
    <t>Trempealeau County</t>
  </si>
  <si>
    <t>55123</t>
  </si>
  <si>
    <t>55125</t>
  </si>
  <si>
    <t>Vilas County</t>
  </si>
  <si>
    <t>55127</t>
  </si>
  <si>
    <t>55129</t>
  </si>
  <si>
    <t>Washburn County</t>
  </si>
  <si>
    <t>55131</t>
  </si>
  <si>
    <t>55133</t>
  </si>
  <si>
    <t>Waukesha County</t>
  </si>
  <si>
    <t>55135</t>
  </si>
  <si>
    <t>Waupaca County</t>
  </si>
  <si>
    <t>55137</t>
  </si>
  <si>
    <t>Waushara County</t>
  </si>
  <si>
    <t>55139</t>
  </si>
  <si>
    <t>55141</t>
  </si>
  <si>
    <t>54001</t>
  </si>
  <si>
    <t>WV</t>
  </si>
  <si>
    <t>54003</t>
  </si>
  <si>
    <t>54005</t>
  </si>
  <si>
    <t>54007</t>
  </si>
  <si>
    <t>Braxton County</t>
  </si>
  <si>
    <t>54009</t>
  </si>
  <si>
    <t>Brooke County</t>
  </si>
  <si>
    <t>54011</t>
  </si>
  <si>
    <t>Cabell County</t>
  </si>
  <si>
    <t>54013</t>
  </si>
  <si>
    <t>54015</t>
  </si>
  <si>
    <t>54017</t>
  </si>
  <si>
    <t>Doddridge County</t>
  </si>
  <si>
    <t>54019</t>
  </si>
  <si>
    <t>54021</t>
  </si>
  <si>
    <t>54023</t>
  </si>
  <si>
    <t>54025</t>
  </si>
  <si>
    <t>Greenbrier County</t>
  </si>
  <si>
    <t>54027</t>
  </si>
  <si>
    <t>Hampshire County</t>
  </si>
  <si>
    <t>54029</t>
  </si>
  <si>
    <t>54031</t>
  </si>
  <si>
    <t>Hardy County</t>
  </si>
  <si>
    <t>54033</t>
  </si>
  <si>
    <t>54035</t>
  </si>
  <si>
    <t>54037</t>
  </si>
  <si>
    <t>54039</t>
  </si>
  <si>
    <t>Kanawha County</t>
  </si>
  <si>
    <t>54041</t>
  </si>
  <si>
    <t>54043</t>
  </si>
  <si>
    <t>54045</t>
  </si>
  <si>
    <t>54047</t>
  </si>
  <si>
    <t>54049</t>
  </si>
  <si>
    <t>54051</t>
  </si>
  <si>
    <t>54053</t>
  </si>
  <si>
    <t>54055</t>
  </si>
  <si>
    <t>54057</t>
  </si>
  <si>
    <t>54059</t>
  </si>
  <si>
    <t>Mingo County</t>
  </si>
  <si>
    <t>54061</t>
  </si>
  <si>
    <t>Monongalia County</t>
  </si>
  <si>
    <t>54063</t>
  </si>
  <si>
    <t>54065</t>
  </si>
  <si>
    <t>54067</t>
  </si>
  <si>
    <t>Nicholas County</t>
  </si>
  <si>
    <t>54069</t>
  </si>
  <si>
    <t>54071</t>
  </si>
  <si>
    <t>Pendleton County</t>
  </si>
  <si>
    <t>54073</t>
  </si>
  <si>
    <t>Pleasants County</t>
  </si>
  <si>
    <t>54075</t>
  </si>
  <si>
    <t>54077</t>
  </si>
  <si>
    <t>Preston County</t>
  </si>
  <si>
    <t>54079</t>
  </si>
  <si>
    <t>54081</t>
  </si>
  <si>
    <t>Raleigh County</t>
  </si>
  <si>
    <t>54083</t>
  </si>
  <si>
    <t>54085</t>
  </si>
  <si>
    <t>Ritchie County</t>
  </si>
  <si>
    <t>54087</t>
  </si>
  <si>
    <t>54089</t>
  </si>
  <si>
    <t>Summers County</t>
  </si>
  <si>
    <t>54091</t>
  </si>
  <si>
    <t>54093</t>
  </si>
  <si>
    <t>Tucker County</t>
  </si>
  <si>
    <t>54095</t>
  </si>
  <si>
    <t>54097</t>
  </si>
  <si>
    <t>54099</t>
  </si>
  <si>
    <t>54101</t>
  </si>
  <si>
    <t>54103</t>
  </si>
  <si>
    <t>Wetzel County</t>
  </si>
  <si>
    <t>54105</t>
  </si>
  <si>
    <t>Wirt County</t>
  </si>
  <si>
    <t>54107</t>
  </si>
  <si>
    <t>54109</t>
  </si>
  <si>
    <t>56001</t>
  </si>
  <si>
    <t>WY</t>
  </si>
  <si>
    <t>Albany County</t>
  </si>
  <si>
    <t>56003</t>
  </si>
  <si>
    <t>56005</t>
  </si>
  <si>
    <t>56007</t>
  </si>
  <si>
    <t>56009</t>
  </si>
  <si>
    <t>Converse County</t>
  </si>
  <si>
    <t>56011</t>
  </si>
  <si>
    <t>56013</t>
  </si>
  <si>
    <t>56015</t>
  </si>
  <si>
    <t>Goshen County</t>
  </si>
  <si>
    <t>56017</t>
  </si>
  <si>
    <t>Hot Springs County</t>
  </si>
  <si>
    <t>56019</t>
  </si>
  <si>
    <t>56021</t>
  </si>
  <si>
    <t>Laramie County</t>
  </si>
  <si>
    <t>56023</t>
  </si>
  <si>
    <t>56025</t>
  </si>
  <si>
    <t>Natrona County</t>
  </si>
  <si>
    <t>56027</t>
  </si>
  <si>
    <t>Niobrara County</t>
  </si>
  <si>
    <t>56029</t>
  </si>
  <si>
    <t>56031</t>
  </si>
  <si>
    <t>56033</t>
  </si>
  <si>
    <t>56035</t>
  </si>
  <si>
    <t>Sublette County</t>
  </si>
  <si>
    <t>56037</t>
  </si>
  <si>
    <t>Sweetwater County</t>
  </si>
  <si>
    <t>56039</t>
  </si>
  <si>
    <t>56041</t>
  </si>
  <si>
    <t>Uinta County</t>
  </si>
  <si>
    <t>56043</t>
  </si>
  <si>
    <t>Washakie County</t>
  </si>
  <si>
    <t>56045</t>
  </si>
  <si>
    <t>Weston County</t>
  </si>
  <si>
    <t>XX</t>
  </si>
  <si>
    <t>Unknown</t>
  </si>
  <si>
    <t>Unsuppressed Total</t>
  </si>
  <si>
    <t>Lookup Table: HIX_RatingAreas</t>
  </si>
  <si>
    <t>Rating Area #</t>
  </si>
  <si>
    <t>Subdivision</t>
  </si>
  <si>
    <t>Comment</t>
  </si>
  <si>
    <t>Misspelled on CMS website</t>
  </si>
  <si>
    <t>Duplicates on CMS website</t>
  </si>
  <si>
    <t>State Code</t>
  </si>
  <si>
    <t>Silver</t>
  </si>
  <si>
    <t>check math</t>
  </si>
  <si>
    <t xml:space="preserve">Silver </t>
  </si>
  <si>
    <t>end</t>
  </si>
  <si>
    <t xml:space="preserve">Testing new download of data. Looks the same.  </t>
  </si>
  <si>
    <t>(Small Group)</t>
  </si>
  <si>
    <t>Age Band</t>
  </si>
  <si>
    <t>Default</t>
  </si>
  <si>
    <t>District of</t>
  </si>
  <si>
    <t>Premium Ratio</t>
  </si>
  <si>
    <t>(Individual)</t>
  </si>
  <si>
    <t>0-14</t>
  </si>
  <si>
    <t>64 and Older</t>
  </si>
  <si>
    <t>State Specific Age Curve Variations</t>
  </si>
  <si>
    <t>U.S. Department of Health &amp; Human Services, Center for Medicare and Medicaid Services, The Cneter for Consumer Information &amp; Insurance Oversight.</t>
  </si>
  <si>
    <t>https://www.cms.gov/CCIIO/Programs-and-Initiatives/Health-Insurance-Market-Reforms/state-rating#age</t>
  </si>
  <si>
    <t>last accessed March 8, 2020</t>
  </si>
  <si>
    <t>{Note: This chart was originally supplied to me from Ed Haislmaier, the Heritage Foundation, in 2015. Searched for updates, but the age factor between 27 and 50 for 2018, 2019, and 2020 have the same ratios.}</t>
  </si>
  <si>
    <t>From the website:</t>
  </si>
  <si>
    <t xml:space="preserve">Market Rating Reforms </t>
  </si>
  <si>
    <t>State Specific Rating Variations</t>
  </si>
  <si>
    <t>The Market Rules and Rate Review Final Rule (45 CFR Part 147) provides that each state will have age rating ratios of 3:1 using a federally established age curve, tobacco rating ratios of no more than 1.5:1 and per member rating unless a state requests ratios less than the standard, is a community rating state with uniform family tiers, or allows for averaging of enrollee premiums in the small group market.</t>
  </si>
  <si>
    <t>The Protecting Affordable Coverage for Employees Act (Pub. L. 114-60) amended the definition of small employer in section 1304(b) of the Affordable Care Act and section 2791(e) of the Public Health Service Act to mean generally an employer with 1-50 employees, with the option for states to expand the definition of small employer to 1-100 employees.</t>
  </si>
  <si>
    <t>Chart on State Specific Age Cure Variations: https://www.cms.gov/CCIIO/Programs-and-Initiatives/Health-Insurance-Market-Reforms/Downloads/StateSpecAgeCrv053117.pdf</t>
  </si>
  <si>
    <t>Accessed March 8, 2020  but last update on website is May 31, 2017</t>
  </si>
  <si>
    <t>Age (years)</t>
  </si>
  <si>
    <t>0-20</t>
  </si>
  <si>
    <t>64 and
older</t>
  </si>
  <si>
    <t>https://www.cms.gov/CCIIO/Programs-and-Initiatives/Health-Insurance-Market-Reforms/Downloads/2017-State-Specific-Age-Curve-Variations-8-9-2013.pdf</t>
  </si>
  <si>
    <t>Augsut 9, 2013</t>
  </si>
  <si>
    <t>https://www.cms.gov/CCIIO/Programs-and-Initiatives/Health-Insurance-Market-Reforms/Downloads/StateSpecAgeCrv053117.pdf</t>
  </si>
  <si>
    <t>018 State Specific Age Curve Variations 5-31-2017 (PDF)</t>
  </si>
  <si>
    <t>Silver only</t>
  </si>
  <si>
    <t>All Plan Selections</t>
  </si>
  <si>
    <t>Silver Selections 2016</t>
  </si>
  <si>
    <t>Total Plan Selections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</si>
</sst>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font>
      <sz val="11"/>
      <color theme="1"/>
      <name val="Calibri"/>
      <family val="2"/>
      <scheme val="minor"/>
    </font>
    <font>
      <b/>
      <sz val="11"/>
      <color theme="0"/>
      <name val="Calibri"/>
      <family val="2"/>
      <scheme val="minor"/>
    </font>
    <font>
      <sz val="11"/>
      <color rgb="FF000000"/>
      <name val="Arial"/>
      <family val="2"/>
    </font>
    <font>
      <b/>
      <sz val="13.2"/>
      <color rgb="FF000000"/>
      <name val="Arial"/>
      <family val="2"/>
    </font>
    <font>
      <b/>
      <sz val="10"/>
      <color rgb="FF000000"/>
      <name val="Arial"/>
      <family val="2"/>
    </font>
    <font>
      <sz val="10"/>
      <name val="Arial"/>
      <family val="2"/>
    </font>
    <font>
      <b/>
      <sz val="10"/>
      <color indexed="8"/>
      <name val="SansSerif"/>
    </font>
    <font>
      <sz val="10"/>
      <color indexed="8"/>
      <name val="SansSerif"/>
    </font>
    <font>
      <sz val="11"/>
      <color rgb="FFFF0000"/>
      <name val="Calibri"/>
      <family val="2"/>
      <scheme val="minor"/>
    </font>
    <font>
      <b/>
      <sz val="11"/>
      <color theme="1"/>
      <name val="Calibri"/>
      <family val="2"/>
      <scheme val="minor"/>
    </font>
    <font>
      <b/>
      <sz val="11"/>
      <color rgb="FFFF0000"/>
      <name val="Calibri"/>
      <family val="2"/>
      <scheme val="minor"/>
    </font>
    <font>
      <b/>
      <sz val="11"/>
      <color rgb="FF000000"/>
      <name val="Calibri"/>
      <family val="2"/>
    </font>
    <font>
      <sz val="11"/>
      <color rgb="FF000000"/>
      <name val="Calibri"/>
      <family val="2"/>
    </font>
    <font>
      <sz val="10"/>
      <color indexed="8"/>
      <name val="Arial"/>
      <family val="2"/>
    </font>
    <font>
      <b/>
      <sz val="10"/>
      <color indexed="8"/>
      <name val="Calibri"/>
      <family val="2"/>
    </font>
    <font>
      <sz val="10"/>
      <color indexed="8"/>
      <name val="Calibri"/>
      <family val="2"/>
    </font>
    <font>
      <b/>
      <sz val="6"/>
      <color indexed="8"/>
      <name val="Arial"/>
      <family val="2"/>
    </font>
    <font>
      <sz val="6"/>
      <color indexed="8"/>
      <name val="Arial"/>
      <family val="2"/>
    </font>
    <font>
      <b/>
      <sz val="6"/>
      <color indexed="8"/>
      <name val="Calibri"/>
      <family val="2"/>
    </font>
    <font>
      <b/>
      <sz val="6"/>
      <color indexed="8"/>
      <name val="Calibri"/>
      <family val="1"/>
      <charset val="204"/>
    </font>
    <font>
      <sz val="6"/>
      <color indexed="8"/>
      <name val="Calibri"/>
      <family val="2"/>
    </font>
  </fonts>
  <fills count="7">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4"/>
        <bgColor theme="4"/>
      </patternFill>
    </fill>
    <fill>
      <patternFill patternType="solid">
        <fgColor indexed="9"/>
        <bgColor indexed="64"/>
      </patternFill>
    </fill>
    <fill>
      <patternFill patternType="solid">
        <fgColor theme="4" tint="0.79998168889431442"/>
        <bgColor theme="4" tint="0.79998168889431442"/>
      </patternFill>
    </fill>
  </fills>
  <borders count="21">
    <border>
      <left/>
      <right/>
      <top/>
      <bottom/>
      <diagonal/>
    </border>
    <border>
      <left style="medium">
        <color rgb="FF5B616B"/>
      </left>
      <right style="medium">
        <color rgb="FF5B616B"/>
      </right>
      <top style="medium">
        <color rgb="FF5B616B"/>
      </top>
      <bottom style="medium">
        <color rgb="FF5B616B"/>
      </bottom>
      <diagonal/>
    </border>
    <border>
      <left style="medium">
        <color rgb="FF5B616B"/>
      </left>
      <right style="medium">
        <color rgb="FF5B616B"/>
      </right>
      <top style="medium">
        <color rgb="FF5B616B"/>
      </top>
      <bottom/>
      <diagonal/>
    </border>
    <border>
      <left style="medium">
        <color rgb="FF5B616B"/>
      </left>
      <right style="medium">
        <color rgb="FF5B616B"/>
      </right>
      <top/>
      <bottom style="medium">
        <color rgb="FF5B616B"/>
      </bottom>
      <diagonal/>
    </border>
    <border>
      <left style="medium">
        <color rgb="FF5B616B"/>
      </left>
      <right style="medium">
        <color rgb="FF5B616B"/>
      </right>
      <top/>
      <bottom/>
      <diagonal/>
    </border>
    <border>
      <left style="thin">
        <color indexed="8"/>
      </left>
      <right/>
      <top style="thin">
        <color indexed="8"/>
      </top>
      <bottom style="thin">
        <color theme="4" tint="0.39997558519241921"/>
      </bottom>
      <diagonal/>
    </border>
    <border>
      <left style="thin">
        <color indexed="8"/>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style="thin">
        <color indexed="8"/>
      </left>
      <right/>
      <top style="thin">
        <color indexed="8"/>
      </top>
      <bottom/>
      <diagonal/>
    </border>
    <border>
      <left style="thin">
        <color indexed="8"/>
      </left>
      <right style="thin">
        <color theme="4" tint="0.39997558519241921"/>
      </right>
      <top style="thin">
        <color indexed="8"/>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indexed="64"/>
      </bottom>
      <diagonal/>
    </border>
    <border>
      <left/>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8"/>
      </left>
      <right style="thin">
        <color theme="4" tint="0.39997558519241921"/>
      </right>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5" fillId="0" borderId="0"/>
  </cellStyleXfs>
  <cellXfs count="74">
    <xf numFmtId="0" fontId="0" fillId="0" borderId="0" xfId="0"/>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0" fillId="0" borderId="0" xfId="0" applyAlignment="1">
      <alignment wrapText="1"/>
    </xf>
    <xf numFmtId="0" fontId="2" fillId="2" borderId="1" xfId="0" applyFont="1" applyFill="1" applyBorder="1" applyAlignment="1">
      <alignment horizontal="left" vertical="center" wrapText="1"/>
    </xf>
    <xf numFmtId="0" fontId="3" fillId="0" borderId="0" xfId="0" applyFont="1"/>
    <xf numFmtId="0" fontId="4" fillId="0" borderId="0" xfId="0" applyFont="1"/>
    <xf numFmtId="0" fontId="2" fillId="3" borderId="1" xfId="0" applyFont="1" applyFill="1" applyBorder="1" applyAlignment="1">
      <alignment horizontal="left" vertical="center" wrapText="1"/>
    </xf>
    <xf numFmtId="0" fontId="2" fillId="3" borderId="4" xfId="0" applyFont="1" applyFill="1" applyBorder="1" applyAlignment="1">
      <alignment horizontal="left" vertical="center" wrapText="1"/>
    </xf>
    <xf numFmtId="0" fontId="6" fillId="5" borderId="5" xfId="1" applyFont="1" applyFill="1" applyBorder="1" applyAlignment="1">
      <alignment vertical="top"/>
    </xf>
    <xf numFmtId="0" fontId="6" fillId="5" borderId="6" xfId="1" applyFont="1" applyFill="1" applyBorder="1" applyAlignment="1">
      <alignment vertical="top"/>
    </xf>
    <xf numFmtId="0" fontId="7" fillId="5" borderId="5" xfId="1" applyFont="1" applyFill="1" applyBorder="1" applyAlignment="1">
      <alignment vertical="top"/>
    </xf>
    <xf numFmtId="0" fontId="1" fillId="4" borderId="7" xfId="0" applyFont="1" applyFill="1" applyBorder="1"/>
    <xf numFmtId="0" fontId="1" fillId="4" borderId="8" xfId="0" applyFont="1" applyFill="1" applyBorder="1"/>
    <xf numFmtId="0" fontId="7" fillId="5" borderId="9" xfId="1" applyFont="1" applyFill="1" applyBorder="1" applyAlignment="1">
      <alignment vertical="top"/>
    </xf>
    <xf numFmtId="0" fontId="0" fillId="3" borderId="0" xfId="0" applyFill="1"/>
    <xf numFmtId="0" fontId="7" fillId="3" borderId="5" xfId="1" applyNumberFormat="1" applyFont="1" applyFill="1" applyBorder="1" applyAlignment="1">
      <alignment vertical="top"/>
    </xf>
    <xf numFmtId="0" fontId="7" fillId="5" borderId="10" xfId="1" applyNumberFormat="1" applyFont="1" applyFill="1" applyBorder="1" applyAlignment="1">
      <alignment vertical="top"/>
    </xf>
    <xf numFmtId="0" fontId="7" fillId="3" borderId="10" xfId="1" applyNumberFormat="1" applyFont="1" applyFill="1" applyBorder="1" applyAlignment="1">
      <alignment vertical="top"/>
    </xf>
    <xf numFmtId="0" fontId="9" fillId="0" borderId="0" xfId="0" applyFont="1"/>
    <xf numFmtId="0" fontId="10" fillId="0" borderId="0" xfId="0" applyFont="1"/>
    <xf numFmtId="2" fontId="0" fillId="0" borderId="0" xfId="0" applyNumberFormat="1"/>
    <xf numFmtId="0" fontId="11" fillId="0" borderId="0" xfId="0" applyFont="1" applyAlignment="1">
      <alignment vertical="center"/>
    </xf>
    <xf numFmtId="3" fontId="11" fillId="0" borderId="0" xfId="0" applyNumberFormat="1" applyFont="1" applyAlignment="1">
      <alignment horizontal="right" vertical="center"/>
    </xf>
    <xf numFmtId="0" fontId="12" fillId="0" borderId="0" xfId="0" applyFont="1" applyAlignment="1">
      <alignment vertical="center"/>
    </xf>
    <xf numFmtId="3" fontId="12" fillId="0" borderId="0" xfId="0" applyNumberFormat="1" applyFont="1" applyAlignment="1">
      <alignment horizontal="right" vertical="center"/>
    </xf>
    <xf numFmtId="49" fontId="9" fillId="0" borderId="13" xfId="0" applyNumberFormat="1" applyFont="1" applyBorder="1"/>
    <xf numFmtId="0" fontId="9" fillId="0" borderId="13" xfId="0" applyFont="1" applyBorder="1"/>
    <xf numFmtId="3" fontId="9" fillId="0" borderId="13" xfId="0" applyNumberFormat="1" applyFont="1" applyBorder="1" applyAlignment="1">
      <alignment horizontal="left"/>
    </xf>
    <xf numFmtId="3" fontId="9" fillId="0" borderId="13" xfId="0" applyNumberFormat="1" applyFont="1" applyBorder="1" applyAlignment="1">
      <alignment horizontal="left" wrapText="1"/>
    </xf>
    <xf numFmtId="49" fontId="0" fillId="0" borderId="0" xfId="0" applyNumberFormat="1"/>
    <xf numFmtId="3" fontId="0" fillId="0" borderId="0" xfId="0" applyNumberFormat="1" applyAlignment="1">
      <alignment horizontal="right"/>
    </xf>
    <xf numFmtId="0" fontId="9" fillId="0" borderId="14" xfId="0" applyFont="1" applyBorder="1"/>
    <xf numFmtId="3" fontId="9" fillId="0" borderId="14" xfId="0" applyNumberFormat="1" applyFont="1" applyBorder="1" applyAlignment="1">
      <alignment horizontal="right"/>
    </xf>
    <xf numFmtId="0" fontId="0" fillId="0" borderId="0" xfId="0" applyAlignment="1">
      <alignment horizontal="center"/>
    </xf>
    <xf numFmtId="0" fontId="0" fillId="0" borderId="5" xfId="0" applyBorder="1"/>
    <xf numFmtId="0" fontId="7" fillId="3" borderId="0" xfId="1" applyFont="1" applyFill="1" applyAlignment="1">
      <alignment vertical="top"/>
    </xf>
    <xf numFmtId="0" fontId="0" fillId="0" borderId="10" xfId="0" applyBorder="1"/>
    <xf numFmtId="0" fontId="8" fillId="0" borderId="0" xfId="0" applyFont="1"/>
    <xf numFmtId="0" fontId="0" fillId="0" borderId="15" xfId="0" applyBorder="1"/>
    <xf numFmtId="0" fontId="0" fillId="0" borderId="16" xfId="0" applyBorder="1"/>
    <xf numFmtId="0" fontId="0" fillId="0" borderId="17" xfId="0" applyBorder="1"/>
    <xf numFmtId="0" fontId="1" fillId="4" borderId="11" xfId="0" applyFont="1" applyFill="1" applyBorder="1"/>
    <xf numFmtId="0" fontId="1" fillId="4" borderId="12" xfId="0" applyFont="1" applyFill="1" applyBorder="1"/>
    <xf numFmtId="0" fontId="0" fillId="6" borderId="12" xfId="0" applyFont="1" applyFill="1" applyBorder="1"/>
    <xf numFmtId="0" fontId="0" fillId="6" borderId="11" xfId="0" applyFill="1" applyBorder="1"/>
    <xf numFmtId="0" fontId="0" fillId="6" borderId="12" xfId="0" applyFill="1" applyBorder="1"/>
    <xf numFmtId="0" fontId="0" fillId="0" borderId="11" xfId="0" applyBorder="1"/>
    <xf numFmtId="0" fontId="0" fillId="0" borderId="12" xfId="0" applyBorder="1"/>
    <xf numFmtId="3" fontId="0" fillId="0" borderId="0" xfId="0" applyNumberFormat="1"/>
    <xf numFmtId="0" fontId="14" fillId="0" borderId="19" xfId="0" applyFont="1" applyBorder="1" applyAlignment="1">
      <alignment horizontal="left" vertical="top" wrapText="1"/>
    </xf>
    <xf numFmtId="0" fontId="14" fillId="0" borderId="20" xfId="0" applyFont="1" applyBorder="1" applyAlignment="1">
      <alignment horizontal="left" vertical="top" wrapText="1"/>
    </xf>
    <xf numFmtId="0" fontId="15" fillId="0" borderId="18" xfId="0" applyFont="1" applyBorder="1" applyAlignment="1">
      <alignment horizontal="left" vertical="top" wrapText="1"/>
    </xf>
    <xf numFmtId="164" fontId="13" fillId="0" borderId="18" xfId="0" applyNumberFormat="1" applyFont="1" applyBorder="1" applyAlignment="1">
      <alignment horizontal="left" vertical="top" wrapText="1"/>
    </xf>
    <xf numFmtId="1" fontId="13" fillId="0" borderId="18" xfId="0" applyNumberFormat="1" applyFont="1" applyBorder="1" applyAlignment="1">
      <alignment horizontal="left" vertical="top" wrapText="1"/>
    </xf>
    <xf numFmtId="0" fontId="14" fillId="0" borderId="19" xfId="0" applyFont="1" applyBorder="1" applyAlignment="1">
      <alignment vertical="top" wrapText="1"/>
    </xf>
    <xf numFmtId="0" fontId="14" fillId="0" borderId="20" xfId="0" applyFont="1" applyBorder="1" applyAlignment="1">
      <alignment vertical="top" wrapText="1"/>
    </xf>
    <xf numFmtId="0" fontId="18" fillId="0" borderId="18" xfId="0" applyFont="1" applyBorder="1" applyAlignment="1">
      <alignment horizontal="left" vertical="top" wrapText="1"/>
    </xf>
    <xf numFmtId="0" fontId="18" fillId="0" borderId="18" xfId="0" applyFont="1" applyBorder="1" applyAlignment="1">
      <alignment horizontal="center" vertical="top" wrapText="1"/>
    </xf>
    <xf numFmtId="1" fontId="16" fillId="0" borderId="18" xfId="0" applyNumberFormat="1" applyFont="1" applyBorder="1" applyAlignment="1">
      <alignment horizontal="center" vertical="top" wrapText="1"/>
    </xf>
    <xf numFmtId="1" fontId="16" fillId="0" borderId="18" xfId="0" applyNumberFormat="1" applyFont="1" applyBorder="1" applyAlignment="1">
      <alignment horizontal="left" vertical="top" wrapText="1" indent="1"/>
    </xf>
    <xf numFmtId="1" fontId="16" fillId="0" borderId="18" xfId="0" applyNumberFormat="1" applyFont="1" applyBorder="1" applyAlignment="1">
      <alignment horizontal="right" vertical="top" wrapText="1" indent="1"/>
    </xf>
    <xf numFmtId="0" fontId="19" fillId="0" borderId="18" xfId="0" applyFont="1" applyBorder="1" applyAlignment="1">
      <alignment horizontal="left" vertical="top" wrapText="1" indent="1"/>
    </xf>
    <xf numFmtId="0" fontId="20" fillId="0" borderId="18" xfId="0" applyFont="1" applyBorder="1" applyAlignment="1">
      <alignment horizontal="left" vertical="top" wrapText="1"/>
    </xf>
    <xf numFmtId="164" fontId="17" fillId="0" borderId="18" xfId="0" applyNumberFormat="1" applyFont="1" applyBorder="1" applyAlignment="1">
      <alignment horizontal="center" vertical="top" wrapText="1"/>
    </xf>
    <xf numFmtId="164" fontId="17" fillId="0" borderId="18" xfId="0" applyNumberFormat="1" applyFont="1" applyBorder="1" applyAlignment="1">
      <alignment horizontal="right" vertical="top" wrapText="1"/>
    </xf>
    <xf numFmtId="164" fontId="17" fillId="0" borderId="18" xfId="0" applyNumberFormat="1" applyFont="1" applyBorder="1" applyAlignment="1">
      <alignment horizontal="left" vertical="top" wrapText="1"/>
    </xf>
    <xf numFmtId="2" fontId="17" fillId="0" borderId="18" xfId="0" applyNumberFormat="1" applyFont="1" applyBorder="1" applyAlignment="1">
      <alignment horizontal="right" vertical="top" wrapText="1"/>
    </xf>
    <xf numFmtId="2" fontId="17" fillId="0" borderId="18" xfId="0" applyNumberFormat="1" applyFont="1" applyBorder="1" applyAlignment="1">
      <alignment horizontal="center" vertical="top" wrapText="1"/>
    </xf>
    <xf numFmtId="2" fontId="17" fillId="0" borderId="18" xfId="0" applyNumberFormat="1" applyFont="1" applyBorder="1" applyAlignment="1">
      <alignment horizontal="left" vertical="top" wrapText="1" indent="1"/>
    </xf>
    <xf numFmtId="0" fontId="14" fillId="0" borderId="19" xfId="0" applyFont="1" applyBorder="1" applyAlignment="1">
      <alignment horizontal="left" vertical="top" wrapText="1"/>
    </xf>
    <xf numFmtId="0" fontId="14" fillId="0" borderId="20" xfId="0" applyFont="1" applyBorder="1" applyAlignment="1">
      <alignment horizontal="left" vertical="top" wrapText="1"/>
    </xf>
  </cellXfs>
  <cellStyles count="2">
    <cellStyle name="Normal" xfId="0" builtinId="0"/>
    <cellStyle name="Normal 2" xfId="1" xr:uid="{EFE63D47-4728-4093-B76F-976BB9D4E1B5}"/>
  </cellStyles>
  <dxfs count="27">
    <dxf>
      <numFmt numFmtId="0" formatCode="General"/>
    </dxf>
    <dxf>
      <numFmt numFmtId="0" formatCode="General"/>
    </dxf>
    <dxf>
      <alignment horizontal="center"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dxf>
    <dxf>
      <numFmt numFmtId="30" formatCode="@"/>
    </dxf>
    <dxf>
      <numFmt numFmtId="30" formatCode="@"/>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numFmt numFmtId="3" formatCode="#,##0"/>
      <alignment horizontal="left" vertical="bottom" textRotation="0" wrapText="0" indent="0" justifyLastLine="0" shrinkToFit="0" readingOrder="0"/>
    </dxf>
    <dxf>
      <font>
        <b val="0"/>
        <i val="0"/>
        <strike val="0"/>
        <condense val="0"/>
        <extend val="0"/>
        <outline val="0"/>
        <shadow val="0"/>
        <u val="none"/>
        <vertAlign val="baseline"/>
        <sz val="10"/>
        <color indexed="8"/>
        <name val="SansSerif"/>
        <scheme val="none"/>
      </font>
      <fill>
        <patternFill patternType="solid">
          <fgColor indexed="64"/>
          <bgColor indexed="9"/>
        </patternFill>
      </fill>
      <alignment horizontal="general" vertical="top" textRotation="0" wrapText="0" indent="0" justifyLastLine="0" shrinkToFit="0" readingOrder="0"/>
      <border diagonalUp="0" diagonalDown="0">
        <left style="thin">
          <color indexed="8"/>
        </left>
        <right/>
        <top style="thin">
          <color indexed="8"/>
        </top>
        <bottom style="thin">
          <color theme="4" tint="0.39997558519241921"/>
        </bottom>
        <vertical/>
        <horizontal/>
      </border>
    </dxf>
    <dxf>
      <font>
        <b val="0"/>
        <i val="0"/>
        <strike val="0"/>
        <condense val="0"/>
        <extend val="0"/>
        <outline val="0"/>
        <shadow val="0"/>
        <u val="none"/>
        <vertAlign val="baseline"/>
        <sz val="10"/>
        <color indexed="8"/>
        <name val="SansSerif"/>
        <scheme val="none"/>
      </font>
      <fill>
        <patternFill patternType="solid">
          <fgColor indexed="64"/>
          <bgColor indexed="9"/>
        </patternFill>
      </fill>
      <alignment horizontal="general" vertical="top" textRotation="0" wrapText="0" indent="0" justifyLastLine="0" shrinkToFit="0" readingOrder="0"/>
      <border diagonalUp="0" diagonalDown="0">
        <left style="thin">
          <color indexed="8"/>
        </left>
        <right/>
        <top style="thin">
          <color indexed="8"/>
        </top>
        <bottom style="thin">
          <color theme="4" tint="0.39997558519241921"/>
        </bottom>
        <vertical/>
        <horizontal/>
      </border>
    </dxf>
    <dxf>
      <font>
        <b val="0"/>
        <i val="0"/>
        <strike val="0"/>
        <condense val="0"/>
        <extend val="0"/>
        <outline val="0"/>
        <shadow val="0"/>
        <u val="none"/>
        <vertAlign val="baseline"/>
        <sz val="10"/>
        <color indexed="8"/>
        <name val="SansSerif"/>
        <scheme val="none"/>
      </font>
      <fill>
        <patternFill patternType="solid">
          <fgColor indexed="64"/>
          <bgColor indexed="9"/>
        </patternFill>
      </fill>
      <alignment horizontal="general" vertical="top" textRotation="0" wrapText="0" indent="0" justifyLastLine="0" shrinkToFit="0" readingOrder="0"/>
      <border diagonalUp="0" diagonalDown="0">
        <left style="thin">
          <color indexed="8"/>
        </left>
        <right/>
        <top style="thin">
          <color indexed="8"/>
        </top>
        <bottom style="thin">
          <color theme="4" tint="0.39997558519241921"/>
        </bottom>
        <vertical/>
        <horizontal/>
      </border>
    </dxf>
    <dxf>
      <font>
        <b val="0"/>
        <i val="0"/>
        <strike val="0"/>
        <condense val="0"/>
        <extend val="0"/>
        <outline val="0"/>
        <shadow val="0"/>
        <u val="none"/>
        <vertAlign val="baseline"/>
        <sz val="10"/>
        <color indexed="8"/>
        <name val="SansSerif"/>
        <scheme val="none"/>
      </font>
      <fill>
        <patternFill patternType="solid">
          <fgColor indexed="64"/>
          <bgColor indexed="9"/>
        </patternFill>
      </fill>
      <alignment horizontal="general" vertical="top" textRotation="0" wrapText="0" indent="0" justifyLastLine="0" shrinkToFit="0" readingOrder="0"/>
      <border diagonalUp="0" diagonalDown="0">
        <left style="thin">
          <color indexed="8"/>
        </left>
        <right/>
        <top style="thin">
          <color indexed="8"/>
        </top>
        <bottom style="thin">
          <color theme="4" tint="0.39997558519241921"/>
        </bottom>
        <vertical/>
        <horizontal/>
      </border>
    </dxf>
    <dxf>
      <font>
        <b val="0"/>
        <i val="0"/>
        <strike val="0"/>
        <condense val="0"/>
        <extend val="0"/>
        <outline val="0"/>
        <shadow val="0"/>
        <u val="none"/>
        <vertAlign val="baseline"/>
        <sz val="10"/>
        <color indexed="8"/>
        <name val="SansSerif"/>
        <scheme val="none"/>
      </font>
      <fill>
        <patternFill patternType="solid">
          <fgColor indexed="64"/>
          <bgColor indexed="9"/>
        </patternFill>
      </fill>
      <alignment horizontal="general" vertical="top" textRotation="0" wrapText="0" indent="0" justifyLastLine="0" shrinkToFit="0" readingOrder="0"/>
      <border diagonalUp="0" diagonalDown="0">
        <left style="thin">
          <color indexed="8"/>
        </left>
        <right/>
        <top style="thin">
          <color indexed="8"/>
        </top>
        <bottom style="thin">
          <color theme="4" tint="0.39997558519241921"/>
        </bottom>
        <vertical/>
        <horizontal/>
      </border>
    </dxf>
    <dxf>
      <font>
        <b val="0"/>
        <i val="0"/>
        <strike val="0"/>
        <condense val="0"/>
        <extend val="0"/>
        <outline val="0"/>
        <shadow val="0"/>
        <u val="none"/>
        <vertAlign val="baseline"/>
        <sz val="10"/>
        <color indexed="8"/>
        <name val="SansSerif"/>
        <scheme val="none"/>
      </font>
      <fill>
        <patternFill patternType="solid">
          <fgColor indexed="64"/>
          <bgColor indexed="9"/>
        </patternFill>
      </fill>
      <alignment horizontal="general" vertical="top" textRotation="0" wrapText="0" indent="0" justifyLastLine="0" shrinkToFit="0" readingOrder="0"/>
      <border diagonalUp="0" diagonalDown="0">
        <left style="thin">
          <color indexed="8"/>
        </left>
        <right/>
        <top style="thin">
          <color indexed="8"/>
        </top>
        <bottom style="thin">
          <color theme="4" tint="0.39997558519241921"/>
        </bottom>
        <vertical/>
        <horizontal/>
      </border>
    </dxf>
    <dxf>
      <font>
        <b val="0"/>
        <i val="0"/>
        <strike val="0"/>
        <condense val="0"/>
        <extend val="0"/>
        <outline val="0"/>
        <shadow val="0"/>
        <u val="none"/>
        <vertAlign val="baseline"/>
        <sz val="10"/>
        <color indexed="8"/>
        <name val="SansSerif"/>
        <scheme val="none"/>
      </font>
      <fill>
        <patternFill patternType="solid">
          <fgColor indexed="64"/>
          <bgColor indexed="9"/>
        </patternFill>
      </fill>
      <alignment horizontal="general" vertical="top" textRotation="0" wrapText="0" indent="0" justifyLastLine="0" shrinkToFit="0" readingOrder="0"/>
      <border diagonalUp="0" diagonalDown="0">
        <left style="thin">
          <color indexed="8"/>
        </left>
        <right/>
        <top style="thin">
          <color indexed="8"/>
        </top>
        <bottom style="thin">
          <color theme="4" tint="0.39997558519241921"/>
        </bottom>
        <vertical/>
        <horizontal/>
      </border>
    </dxf>
    <dxf>
      <font>
        <b val="0"/>
        <i val="0"/>
        <strike val="0"/>
        <condense val="0"/>
        <extend val="0"/>
        <outline val="0"/>
        <shadow val="0"/>
        <u val="none"/>
        <vertAlign val="baseline"/>
        <sz val="10"/>
        <color indexed="8"/>
        <name val="SansSerif"/>
        <scheme val="none"/>
      </font>
      <fill>
        <patternFill patternType="solid">
          <fgColor indexed="64"/>
          <bgColor indexed="9"/>
        </patternFill>
      </fill>
      <alignment horizontal="general" vertical="top" textRotation="0" wrapText="0" indent="0" justifyLastLine="0" shrinkToFit="0" readingOrder="0"/>
      <border diagonalUp="0" diagonalDown="0">
        <left style="thin">
          <color indexed="8"/>
        </left>
        <right/>
        <top style="thin">
          <color indexed="8"/>
        </top>
        <bottom style="thin">
          <color theme="4" tint="0.39997558519241921"/>
        </bottom>
        <vertical/>
        <horizontal/>
      </border>
    </dxf>
    <dxf>
      <border outline="0">
        <top style="thin">
          <color theme="4" tint="0.39997558519241921"/>
        </top>
        <bottom style="thin">
          <color indexed="8"/>
        </bottom>
      </border>
    </dxf>
    <dxf>
      <font>
        <b val="0"/>
        <i val="0"/>
        <strike val="0"/>
        <condense val="0"/>
        <extend val="0"/>
        <outline val="0"/>
        <shadow val="0"/>
        <u val="none"/>
        <vertAlign val="baseline"/>
        <sz val="10"/>
        <color indexed="8"/>
        <name val="SansSerif"/>
        <scheme val="none"/>
      </font>
      <fill>
        <patternFill patternType="solid">
          <fgColor indexed="64"/>
          <bgColor indexed="9"/>
        </patternFill>
      </fill>
      <alignment horizontal="general" vertical="top"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179628-1F2A-4912-ABF8-82441E7B0214}" name="StateCounties" displayName="StateCounties" ref="L2:S257" totalsRowShown="0" headerRowDxfId="26" dataDxfId="24" headerRowBorderDxfId="25" tableBorderDxfId="23" dataCellStyle="Normal 2">
  <autoFilter ref="L2:S257" xr:uid="{85A73020-CA4C-4748-8A0E-5030FF05942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13AD26E-3E72-457B-8035-5812D548835C}" name="Alabama" dataDxfId="22" dataCellStyle="Normal 2"/>
    <tableColumn id="2" xr3:uid="{6591862B-B1F5-4845-88C6-BF2779988660}" name="Florida" dataDxfId="21" dataCellStyle="Normal 2"/>
    <tableColumn id="3" xr3:uid="{E2642721-9A65-4C9C-8808-AE0AD2AEE5EF}" name="Georgia" dataDxfId="20" dataCellStyle="Normal 2"/>
    <tableColumn id="4" xr3:uid="{79200445-924B-4B3D-B417-4770DF0AAD32}" name="Louisiana" dataDxfId="19" dataCellStyle="Normal 2"/>
    <tableColumn id="5" xr3:uid="{43669597-A560-41A3-AA31-6AD9F73D0C27}" name="Mississippi" dataDxfId="18" dataCellStyle="Normal 2"/>
    <tableColumn id="6" xr3:uid="{2E32B229-6CD3-4F7A-B9EA-10DA01194A3D}" name="North Carolina" dataDxfId="17" dataCellStyle="Normal 2"/>
    <tableColumn id="7" xr3:uid="{4F12DD93-3D5F-400F-969D-2491F4C906E6}" name="Tennessee" dataDxfId="16" dataCellStyle="Normal 2"/>
    <tableColumn id="8" xr3:uid="{38165314-79D5-42F3-82EB-E3046DCD0B8F}" name="Texas" dataDxfId="15"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28D046-3C15-4DF2-9CF2-B09A930E8D17}" name="QHPSelections2016" displayName="QHPSelections2016" ref="A3:I2606" totalsRowShown="0" headerRowDxfId="14" dataDxfId="12" headerRowBorderDxfId="13">
  <autoFilter ref="A3:I2606" xr:uid="{B52BDCA8-948F-4431-BFB8-054E683A58BE}"/>
  <tableColumns count="9">
    <tableColumn id="1" xr3:uid="{9A8DF668-8D31-4903-9DB0-77B84663C7CE}" name="County FIPS Code" dataDxfId="11"/>
    <tableColumn id="2" xr3:uid="{AD4298E8-D7D8-447F-9414-0BDCB34D0FBA}" name="State Name" dataDxfId="10"/>
    <tableColumn id="3" xr3:uid="{C0F5F4E2-024E-45A5-BEE8-6CA8D13D3647}" name="County Name" dataDxfId="9"/>
    <tableColumn id="4" xr3:uid="{111FDD97-3CB3-465B-97EB-DC0FFEA667DC}" name="Platinum" dataDxfId="8"/>
    <tableColumn id="5" xr3:uid="{8E99610F-CE81-4154-A779-BB924092A989}" name="Gold" dataDxfId="7"/>
    <tableColumn id="6" xr3:uid="{BF914CF0-6400-4218-9B99-ED09F59F8DC4}" name="Silver" dataDxfId="6"/>
    <tableColumn id="7" xr3:uid="{E4AC2BFF-AC20-4A5A-A03A-6A70BD741D80}" name="Bronze" dataDxfId="5"/>
    <tableColumn id="8" xr3:uid="{5ECA78FD-A51B-4815-A6DC-2E966CB7D03E}" name="Catastrophic" dataDxfId="4"/>
    <tableColumn id="9" xr3:uid="{05604FFD-2D70-4D0F-82D1-8D1AE309A3A8}" name="Total Plan Selections"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2ED6FB-AE3A-449E-851A-DF1487E3E57F}" name="HIX_RatingAreas" displayName="HIX_RatingAreas" ref="C3:J892" totalsRowShown="0">
  <autoFilter ref="C3:J892" xr:uid="{7DC2CAEC-CC1F-48F2-AE6F-0D4CE18DFBE1}"/>
  <sortState xmlns:xlrd2="http://schemas.microsoft.com/office/spreadsheetml/2017/richdata2" ref="C4:H892">
    <sortCondition ref="C157:C1045"/>
    <sortCondition ref="F157:F1045"/>
    <sortCondition ref="G157:G1045"/>
  </sortState>
  <tableColumns count="8">
    <tableColumn id="1" xr3:uid="{B4438373-72E0-44BB-A0E9-2B5B575FEA80}" name="State"/>
    <tableColumn id="6" xr3:uid="{02419E08-16B5-48D6-856F-81E6C78C6FD2}" name="State Code"/>
    <tableColumn id="2" xr3:uid="{1DA41773-31BC-49EF-90F5-68478C67904A}" name="Rating Area ID"/>
    <tableColumn id="3" xr3:uid="{73578E04-0D44-4AA9-B2FF-0EA01DD7D058}" name="Rating Area #" dataDxfId="2"/>
    <tableColumn id="4" xr3:uid="{AA6EEEA4-949D-4180-9929-06CD6DBD9477}" name="Subdivision"/>
    <tableColumn id="5" xr3:uid="{FAB9EBB0-FE9B-446B-8385-D98DC550A55D}" name="Comment"/>
    <tableColumn id="7" xr3:uid="{14BD3EC6-F0B0-4BFC-BE5C-A316BDC1A612}" name="Silver Selections 2016" dataDxfId="1">
      <calculatedColumnFormula array="1">_xlfn.IFNA(INDEX(QHPSelections2016[],MATCH(1,(QHPSelections2016[State Name]=HIX_RatingAreas[[#This Row],[State Code]])*(QHPSelections2016[County Name]=HIX_RatingAreas[[#This Row],[Subdivision]]),0),MATCH("Silver",QHPSelections2016[#Headers],0)),0)</calculatedColumnFormula>
    </tableColumn>
    <tableColumn id="8" xr3:uid="{D3276E3E-FC89-49D6-A063-04C84F94697A}" name="Total Plan Selections 2016" dataDxfId="0">
      <calculatedColumnFormula array="1">_xlfn.IFNA(INDEX(QHPSelections2016[],MATCH(1,(QHPSelections2016[State Name]=HIX_RatingAreas[[#This Row],[State Code]])*(QHPSelections2016[County Name]=HIX_RatingAreas[[#This Row],[Subdivision]]),0),MATCH("Total Plan Selections",QHPSelections2016[#Headers],0)),0)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35BB7-58F2-4E33-B03E-8A63ACCBA125}">
  <dimension ref="B2:G66"/>
  <sheetViews>
    <sheetView workbookViewId="0">
      <selection activeCell="K15" sqref="K15"/>
    </sheetView>
  </sheetViews>
  <sheetFormatPr defaultRowHeight="15"/>
  <cols>
    <col min="2" max="2" width="41.7109375" style="5" customWidth="1"/>
    <col min="3" max="3" width="13.140625" style="5" customWidth="1"/>
    <col min="4" max="4" width="24.42578125" style="5" customWidth="1"/>
    <col min="5" max="5" width="7.5703125" style="5" customWidth="1"/>
    <col min="6" max="6" width="24.28515625" style="5" customWidth="1"/>
    <col min="7" max="7" width="43.140625" customWidth="1"/>
  </cols>
  <sheetData>
    <row r="2" spans="2:7" ht="17.25">
      <c r="B2" s="7" t="s">
        <v>68</v>
      </c>
    </row>
    <row r="3" spans="2:7">
      <c r="B3" s="8" t="s">
        <v>69</v>
      </c>
    </row>
    <row r="4" spans="2:7">
      <c r="B4" s="5" t="s">
        <v>70</v>
      </c>
    </row>
    <row r="5" spans="2:7" ht="45">
      <c r="B5" s="5" t="s">
        <v>71</v>
      </c>
    </row>
    <row r="6" spans="2:7">
      <c r="G6" t="s">
        <v>153</v>
      </c>
    </row>
    <row r="7" spans="2:7" ht="15.75" thickBot="1">
      <c r="G7" t="s">
        <v>151</v>
      </c>
    </row>
    <row r="8" spans="2:7" ht="15.75" thickBot="1">
      <c r="B8" s="9" t="s">
        <v>2</v>
      </c>
      <c r="C8" s="9">
        <v>13</v>
      </c>
      <c r="D8" s="9" t="s">
        <v>3</v>
      </c>
      <c r="E8" s="9">
        <v>13</v>
      </c>
      <c r="F8" s="9" t="s">
        <v>3</v>
      </c>
      <c r="G8" s="10" t="s">
        <v>152</v>
      </c>
    </row>
    <row r="9" spans="2:7" ht="15.75" thickBot="1">
      <c r="B9" s="6" t="s">
        <v>4</v>
      </c>
      <c r="C9" s="6">
        <v>3</v>
      </c>
      <c r="D9" s="6" t="s">
        <v>5</v>
      </c>
      <c r="E9" s="6">
        <v>3</v>
      </c>
      <c r="F9" s="6" t="s">
        <v>5</v>
      </c>
    </row>
    <row r="10" spans="2:7" ht="15.75" thickBot="1">
      <c r="B10" s="6" t="s">
        <v>6</v>
      </c>
      <c r="C10" s="6">
        <v>7</v>
      </c>
      <c r="D10" s="6" t="s">
        <v>7</v>
      </c>
      <c r="E10" s="6">
        <v>7</v>
      </c>
      <c r="F10" s="6" t="s">
        <v>7</v>
      </c>
    </row>
    <row r="11" spans="2:7" ht="15.75" thickBot="1">
      <c r="B11" s="6" t="s">
        <v>8</v>
      </c>
      <c r="C11" s="6">
        <v>7</v>
      </c>
      <c r="D11" s="6" t="s">
        <v>7</v>
      </c>
      <c r="E11" s="6">
        <v>7</v>
      </c>
      <c r="F11" s="6" t="s">
        <v>7</v>
      </c>
    </row>
    <row r="12" spans="2:7" ht="15.75" thickBot="1">
      <c r="B12" s="6" t="s">
        <v>9</v>
      </c>
      <c r="C12" s="6">
        <v>19</v>
      </c>
      <c r="D12" s="6" t="s">
        <v>10</v>
      </c>
      <c r="E12" s="6">
        <v>19</v>
      </c>
      <c r="F12" s="6" t="s">
        <v>10</v>
      </c>
    </row>
    <row r="13" spans="2:7" ht="15.75" thickBot="1">
      <c r="B13" s="6" t="s">
        <v>11</v>
      </c>
      <c r="C13" s="6">
        <v>9</v>
      </c>
      <c r="D13" s="6" t="s">
        <v>7</v>
      </c>
      <c r="E13" s="6">
        <v>9</v>
      </c>
      <c r="F13" s="6" t="s">
        <v>7</v>
      </c>
    </row>
    <row r="14" spans="2:7" ht="15.75" thickBot="1">
      <c r="B14" s="6" t="s">
        <v>12</v>
      </c>
      <c r="C14" s="6">
        <v>8</v>
      </c>
      <c r="D14" s="6" t="s">
        <v>7</v>
      </c>
      <c r="E14" s="6">
        <v>8</v>
      </c>
      <c r="F14" s="6" t="s">
        <v>7</v>
      </c>
    </row>
    <row r="15" spans="2:7" ht="15.75" thickBot="1">
      <c r="B15" s="6" t="s">
        <v>13</v>
      </c>
      <c r="C15" s="6">
        <v>1</v>
      </c>
      <c r="D15" s="6" t="s">
        <v>7</v>
      </c>
      <c r="E15" s="6">
        <v>1</v>
      </c>
      <c r="F15" s="6" t="s">
        <v>7</v>
      </c>
    </row>
    <row r="16" spans="2:7" ht="15.75" thickBot="1">
      <c r="B16" s="6" t="s">
        <v>14</v>
      </c>
      <c r="C16" s="6">
        <v>1</v>
      </c>
      <c r="D16" s="6" t="s">
        <v>7</v>
      </c>
      <c r="E16" s="6">
        <v>1</v>
      </c>
      <c r="F16" s="6" t="s">
        <v>7</v>
      </c>
    </row>
    <row r="17" spans="2:7" ht="15.75" thickBot="1">
      <c r="B17" s="9" t="s">
        <v>15</v>
      </c>
      <c r="C17" s="9">
        <v>67</v>
      </c>
      <c r="D17" s="9" t="s">
        <v>7</v>
      </c>
      <c r="E17" s="9">
        <v>67</v>
      </c>
      <c r="F17" s="9" t="s">
        <v>7</v>
      </c>
      <c r="G17" s="10" t="s">
        <v>449</v>
      </c>
    </row>
    <row r="18" spans="2:7" ht="15.75" thickBot="1">
      <c r="B18" s="9" t="s">
        <v>16</v>
      </c>
      <c r="C18" s="9">
        <v>16</v>
      </c>
      <c r="D18" s="9" t="s">
        <v>7</v>
      </c>
      <c r="E18" s="9">
        <v>16</v>
      </c>
      <c r="F18" s="9" t="s">
        <v>7</v>
      </c>
      <c r="G18" s="10" t="s">
        <v>449</v>
      </c>
    </row>
    <row r="19" spans="2:7" ht="15.75" thickBot="1">
      <c r="B19" s="6" t="s">
        <v>17</v>
      </c>
      <c r="C19" s="6">
        <v>1</v>
      </c>
      <c r="D19" s="6" t="s">
        <v>7</v>
      </c>
      <c r="E19" s="6">
        <v>1</v>
      </c>
      <c r="F19" s="6" t="s">
        <v>7</v>
      </c>
    </row>
    <row r="20" spans="2:7" ht="15.75" thickBot="1">
      <c r="B20" s="6" t="s">
        <v>18</v>
      </c>
      <c r="C20" s="6">
        <v>6</v>
      </c>
      <c r="D20" s="6" t="s">
        <v>7</v>
      </c>
      <c r="E20" s="6">
        <v>6</v>
      </c>
      <c r="F20" s="6" t="s">
        <v>7</v>
      </c>
    </row>
    <row r="21" spans="2:7" ht="15.75" thickBot="1">
      <c r="B21" s="6" t="s">
        <v>19</v>
      </c>
      <c r="C21" s="6">
        <v>13</v>
      </c>
      <c r="D21" s="6" t="s">
        <v>7</v>
      </c>
      <c r="E21" s="6">
        <v>13</v>
      </c>
      <c r="F21" s="6" t="s">
        <v>7</v>
      </c>
    </row>
    <row r="22" spans="2:7" ht="15.75" thickBot="1">
      <c r="B22" s="6" t="s">
        <v>20</v>
      </c>
      <c r="C22" s="6">
        <v>17</v>
      </c>
      <c r="D22" s="6" t="s">
        <v>7</v>
      </c>
      <c r="E22" s="6">
        <v>17</v>
      </c>
      <c r="F22" s="6" t="s">
        <v>7</v>
      </c>
    </row>
    <row r="23" spans="2:7" ht="15.75" thickBot="1">
      <c r="B23" s="6" t="s">
        <v>21</v>
      </c>
      <c r="C23" s="6">
        <v>7</v>
      </c>
      <c r="D23" s="6" t="s">
        <v>7</v>
      </c>
      <c r="E23" s="6">
        <v>7</v>
      </c>
      <c r="F23" s="6" t="s">
        <v>7</v>
      </c>
    </row>
    <row r="24" spans="2:7" ht="15.75" thickBot="1">
      <c r="B24" s="6" t="s">
        <v>22</v>
      </c>
      <c r="C24" s="6">
        <v>7</v>
      </c>
      <c r="D24" s="6" t="s">
        <v>7</v>
      </c>
      <c r="E24" s="6">
        <v>7</v>
      </c>
      <c r="F24" s="6" t="s">
        <v>7</v>
      </c>
    </row>
    <row r="25" spans="2:7" ht="15.75" thickBot="1">
      <c r="B25" s="6" t="s">
        <v>23</v>
      </c>
      <c r="C25" s="6">
        <v>8</v>
      </c>
      <c r="D25" s="6" t="s">
        <v>7</v>
      </c>
      <c r="E25" s="6">
        <v>8</v>
      </c>
      <c r="F25" s="6" t="s">
        <v>7</v>
      </c>
    </row>
    <row r="26" spans="2:7" ht="15.75" thickBot="1">
      <c r="B26" s="9" t="s">
        <v>24</v>
      </c>
      <c r="C26" s="9">
        <v>8</v>
      </c>
      <c r="D26" s="9" t="s">
        <v>7</v>
      </c>
      <c r="E26" s="9">
        <v>8</v>
      </c>
      <c r="F26" s="9" t="s">
        <v>7</v>
      </c>
      <c r="G26" s="10" t="s">
        <v>448</v>
      </c>
    </row>
    <row r="27" spans="2:7" ht="15.75" thickBot="1">
      <c r="B27" s="6" t="s">
        <v>25</v>
      </c>
      <c r="C27" s="6">
        <v>4</v>
      </c>
      <c r="D27" s="6" t="s">
        <v>7</v>
      </c>
      <c r="E27" s="6">
        <v>4</v>
      </c>
      <c r="F27" s="6" t="s">
        <v>7</v>
      </c>
    </row>
    <row r="28" spans="2:7" ht="15.75" thickBot="1">
      <c r="B28" s="6" t="s">
        <v>26</v>
      </c>
      <c r="C28" s="6">
        <v>4</v>
      </c>
      <c r="D28" s="6" t="s">
        <v>7</v>
      </c>
      <c r="E28" s="6">
        <v>4</v>
      </c>
      <c r="F28" s="6" t="s">
        <v>7</v>
      </c>
    </row>
    <row r="29" spans="2:7" ht="15.75" thickBot="1">
      <c r="B29" s="6" t="s">
        <v>27</v>
      </c>
      <c r="C29" s="6">
        <v>7</v>
      </c>
      <c r="D29" s="6" t="s">
        <v>5</v>
      </c>
      <c r="E29" s="6">
        <v>7</v>
      </c>
      <c r="F29" s="6" t="s">
        <v>5</v>
      </c>
    </row>
    <row r="30" spans="2:7" ht="15.75" thickBot="1">
      <c r="B30" s="6" t="s">
        <v>28</v>
      </c>
      <c r="C30" s="6">
        <v>16</v>
      </c>
      <c r="D30" s="6" t="s">
        <v>7</v>
      </c>
      <c r="E30" s="6">
        <v>16</v>
      </c>
      <c r="F30" s="6" t="s">
        <v>7</v>
      </c>
    </row>
    <row r="31" spans="2:7" ht="15.75" thickBot="1">
      <c r="B31" s="6" t="s">
        <v>29</v>
      </c>
      <c r="C31" s="6">
        <v>9</v>
      </c>
      <c r="D31" s="6" t="s">
        <v>7</v>
      </c>
      <c r="E31" s="6">
        <v>9</v>
      </c>
      <c r="F31" s="6" t="s">
        <v>7</v>
      </c>
    </row>
    <row r="32" spans="2:7" ht="15.75" thickBot="1">
      <c r="B32" s="9" t="s">
        <v>30</v>
      </c>
      <c r="C32" s="9">
        <v>6</v>
      </c>
      <c r="D32" s="9" t="s">
        <v>7</v>
      </c>
      <c r="E32" s="9">
        <v>6</v>
      </c>
      <c r="F32" s="9" t="s">
        <v>7</v>
      </c>
      <c r="G32" s="10" t="s">
        <v>495</v>
      </c>
    </row>
    <row r="33" spans="2:7" ht="15.75" thickBot="1">
      <c r="B33" s="6" t="s">
        <v>31</v>
      </c>
      <c r="C33" s="6">
        <v>10</v>
      </c>
      <c r="D33" s="6" t="s">
        <v>7</v>
      </c>
      <c r="E33" s="6">
        <v>10</v>
      </c>
      <c r="F33" s="6" t="s">
        <v>7</v>
      </c>
    </row>
    <row r="34" spans="2:7" ht="15.75" thickBot="1">
      <c r="B34" s="6" t="s">
        <v>32</v>
      </c>
      <c r="C34" s="6">
        <v>4</v>
      </c>
      <c r="D34" s="6" t="s">
        <v>7</v>
      </c>
      <c r="E34" s="6">
        <v>4</v>
      </c>
      <c r="F34" s="6" t="s">
        <v>7</v>
      </c>
    </row>
    <row r="35" spans="2:7" ht="15.75" thickBot="1">
      <c r="B35" s="6" t="s">
        <v>33</v>
      </c>
      <c r="C35" s="6" t="s">
        <v>34</v>
      </c>
      <c r="D35" s="6" t="s">
        <v>35</v>
      </c>
      <c r="E35" s="6" t="s">
        <v>36</v>
      </c>
      <c r="F35" s="6" t="s">
        <v>37</v>
      </c>
    </row>
    <row r="36" spans="2:7" ht="15.75" thickBot="1">
      <c r="B36" s="6" t="s">
        <v>38</v>
      </c>
      <c r="C36" s="6">
        <v>4</v>
      </c>
      <c r="D36" s="6" t="s">
        <v>7</v>
      </c>
      <c r="E36" s="6">
        <v>4</v>
      </c>
      <c r="F36" s="6" t="s">
        <v>7</v>
      </c>
    </row>
    <row r="37" spans="2:7" ht="15.75" thickBot="1">
      <c r="B37" s="6" t="s">
        <v>39</v>
      </c>
      <c r="C37" s="6">
        <v>1</v>
      </c>
      <c r="D37" s="6" t="s">
        <v>7</v>
      </c>
      <c r="E37" s="6">
        <v>1</v>
      </c>
      <c r="F37" s="6" t="s">
        <v>7</v>
      </c>
    </row>
    <row r="38" spans="2:7">
      <c r="B38" s="1" t="s">
        <v>40</v>
      </c>
      <c r="C38" s="1">
        <v>1</v>
      </c>
      <c r="D38" s="1" t="s">
        <v>7</v>
      </c>
      <c r="E38" s="1">
        <v>1</v>
      </c>
      <c r="F38" s="1" t="s">
        <v>7</v>
      </c>
    </row>
    <row r="39" spans="2:7" ht="15.75" thickBot="1">
      <c r="B39" s="2" t="s">
        <v>41</v>
      </c>
      <c r="C39" s="2"/>
      <c r="D39" s="2"/>
      <c r="E39" s="2"/>
      <c r="F39" s="2"/>
    </row>
    <row r="40" spans="2:7">
      <c r="B40" s="3" t="s">
        <v>40</v>
      </c>
      <c r="C40" s="3">
        <v>6</v>
      </c>
      <c r="D40" s="3" t="s">
        <v>7</v>
      </c>
      <c r="E40" s="3">
        <v>6</v>
      </c>
      <c r="F40" s="3" t="s">
        <v>7</v>
      </c>
    </row>
    <row r="41" spans="2:7" ht="15.75" thickBot="1">
      <c r="B41" s="4" t="s">
        <v>42</v>
      </c>
      <c r="C41" s="4"/>
      <c r="D41" s="4"/>
      <c r="E41" s="4"/>
      <c r="F41" s="4"/>
    </row>
    <row r="42" spans="2:7" ht="15.75" thickBot="1">
      <c r="B42" s="6" t="s">
        <v>43</v>
      </c>
      <c r="C42" s="6">
        <v>5</v>
      </c>
      <c r="D42" s="6" t="s">
        <v>3</v>
      </c>
      <c r="E42" s="6">
        <v>5</v>
      </c>
      <c r="F42" s="6" t="s">
        <v>3</v>
      </c>
    </row>
    <row r="43" spans="2:7" ht="15.75" thickBot="1">
      <c r="B43" s="6" t="s">
        <v>44</v>
      </c>
      <c r="C43" s="6">
        <v>8</v>
      </c>
      <c r="D43" s="6" t="s">
        <v>7</v>
      </c>
      <c r="E43" s="6">
        <v>8</v>
      </c>
      <c r="F43" s="6" t="s">
        <v>7</v>
      </c>
    </row>
    <row r="44" spans="2:7" ht="15.75" thickBot="1">
      <c r="B44" s="9" t="s">
        <v>45</v>
      </c>
      <c r="C44" s="9">
        <v>16</v>
      </c>
      <c r="D44" s="9" t="s">
        <v>7</v>
      </c>
      <c r="E44" s="9">
        <v>16</v>
      </c>
      <c r="F44" s="9" t="s">
        <v>7</v>
      </c>
      <c r="G44" s="10" t="s">
        <v>570</v>
      </c>
    </row>
    <row r="45" spans="2:7" ht="15.75" thickBot="1">
      <c r="B45" s="6" t="s">
        <v>46</v>
      </c>
      <c r="C45" s="6">
        <v>4</v>
      </c>
      <c r="D45" s="6" t="s">
        <v>3</v>
      </c>
      <c r="E45" s="6">
        <v>4</v>
      </c>
      <c r="F45" s="6" t="s">
        <v>3</v>
      </c>
    </row>
    <row r="46" spans="2:7" ht="15.75" thickBot="1">
      <c r="B46" s="6" t="s">
        <v>47</v>
      </c>
      <c r="C46" s="6">
        <v>17</v>
      </c>
      <c r="D46" s="6" t="s">
        <v>7</v>
      </c>
      <c r="E46" s="6">
        <v>17</v>
      </c>
      <c r="F46" s="6" t="s">
        <v>7</v>
      </c>
    </row>
    <row r="47" spans="2:7" ht="15.75" thickBot="1">
      <c r="B47" s="6" t="s">
        <v>48</v>
      </c>
      <c r="C47" s="6">
        <v>5</v>
      </c>
      <c r="D47" s="6" t="s">
        <v>3</v>
      </c>
      <c r="E47" s="6">
        <v>5</v>
      </c>
      <c r="F47" s="6" t="s">
        <v>3</v>
      </c>
    </row>
    <row r="48" spans="2:7" ht="15.75" thickBot="1">
      <c r="B48" s="6" t="s">
        <v>49</v>
      </c>
      <c r="C48" s="6">
        <v>7</v>
      </c>
      <c r="D48" s="6" t="s">
        <v>7</v>
      </c>
      <c r="E48" s="6">
        <v>7</v>
      </c>
      <c r="F48" s="6" t="s">
        <v>7</v>
      </c>
    </row>
    <row r="49" spans="2:7" ht="15.75" thickBot="1">
      <c r="B49" s="6" t="s">
        <v>50</v>
      </c>
      <c r="C49" s="6">
        <v>9</v>
      </c>
      <c r="D49" s="6" t="s">
        <v>7</v>
      </c>
      <c r="E49" s="6">
        <v>9</v>
      </c>
      <c r="F49" s="6" t="s">
        <v>7</v>
      </c>
    </row>
    <row r="50" spans="2:7" ht="15.75" thickBot="1">
      <c r="B50" s="6" t="s">
        <v>51</v>
      </c>
      <c r="C50" s="6">
        <v>1</v>
      </c>
      <c r="D50" s="6" t="s">
        <v>7</v>
      </c>
      <c r="E50" s="6">
        <v>1</v>
      </c>
      <c r="F50" s="6" t="s">
        <v>7</v>
      </c>
    </row>
    <row r="51" spans="2:7" ht="15.75" thickBot="1">
      <c r="B51" s="6" t="s">
        <v>52</v>
      </c>
      <c r="C51" s="6">
        <v>46</v>
      </c>
      <c r="D51" s="6" t="s">
        <v>7</v>
      </c>
      <c r="E51" s="6">
        <v>46</v>
      </c>
      <c r="F51" s="6" t="s">
        <v>7</v>
      </c>
    </row>
    <row r="52" spans="2:7" ht="15.75" thickBot="1">
      <c r="B52" s="6" t="s">
        <v>53</v>
      </c>
      <c r="C52" s="6">
        <v>4</v>
      </c>
      <c r="D52" s="6" t="s">
        <v>7</v>
      </c>
      <c r="E52" s="6">
        <v>4</v>
      </c>
      <c r="F52" s="6" t="s">
        <v>7</v>
      </c>
    </row>
    <row r="53" spans="2:7" ht="15.75" thickBot="1">
      <c r="B53" s="9" t="s">
        <v>54</v>
      </c>
      <c r="C53" s="9">
        <v>8</v>
      </c>
      <c r="D53" s="9" t="s">
        <v>7</v>
      </c>
      <c r="E53" s="9">
        <v>8</v>
      </c>
      <c r="F53" s="9" t="s">
        <v>7</v>
      </c>
      <c r="G53" s="10" t="s">
        <v>617</v>
      </c>
    </row>
    <row r="54" spans="2:7" ht="15.75" thickBot="1">
      <c r="B54" s="9" t="s">
        <v>55</v>
      </c>
      <c r="C54" s="9">
        <v>26</v>
      </c>
      <c r="D54" s="9" t="s">
        <v>3</v>
      </c>
      <c r="E54" s="9">
        <v>26</v>
      </c>
      <c r="F54" s="9" t="s">
        <v>3</v>
      </c>
      <c r="G54" s="10" t="s">
        <v>815</v>
      </c>
    </row>
    <row r="55" spans="2:7" ht="15.75" thickBot="1">
      <c r="B55" s="6" t="s">
        <v>56</v>
      </c>
      <c r="C55" s="6">
        <v>6</v>
      </c>
      <c r="D55" s="6" t="s">
        <v>7</v>
      </c>
      <c r="E55" s="6">
        <v>6</v>
      </c>
      <c r="F55" s="6" t="s">
        <v>7</v>
      </c>
    </row>
    <row r="56" spans="2:7" ht="15.75" thickBot="1">
      <c r="B56" s="6" t="s">
        <v>57</v>
      </c>
      <c r="C56" s="6">
        <v>1</v>
      </c>
      <c r="D56" s="6" t="s">
        <v>7</v>
      </c>
      <c r="E56" s="6">
        <v>1</v>
      </c>
      <c r="F56" s="6" t="s">
        <v>7</v>
      </c>
    </row>
    <row r="57" spans="2:7" ht="15.75" thickBot="1">
      <c r="B57" s="6" t="s">
        <v>58</v>
      </c>
      <c r="C57" s="6">
        <v>12</v>
      </c>
      <c r="D57" s="6" t="s">
        <v>3</v>
      </c>
      <c r="E57" s="6">
        <v>12</v>
      </c>
      <c r="F57" s="6" t="s">
        <v>3</v>
      </c>
    </row>
    <row r="58" spans="2:7" ht="15.75" thickBot="1">
      <c r="B58" s="6" t="s">
        <v>59</v>
      </c>
      <c r="C58" s="6">
        <v>9</v>
      </c>
      <c r="D58" s="6" t="s">
        <v>7</v>
      </c>
      <c r="E58" s="6">
        <v>9</v>
      </c>
      <c r="F58" s="6" t="s">
        <v>7</v>
      </c>
    </row>
    <row r="59" spans="2:7" ht="15.75" thickBot="1">
      <c r="B59" s="6" t="s">
        <v>60</v>
      </c>
      <c r="C59" s="6">
        <v>11</v>
      </c>
      <c r="D59" s="6" t="s">
        <v>7</v>
      </c>
      <c r="E59" s="6">
        <v>11</v>
      </c>
      <c r="F59" s="6" t="s">
        <v>7</v>
      </c>
    </row>
    <row r="60" spans="2:7" ht="15.75" thickBot="1">
      <c r="B60" s="6" t="s">
        <v>61</v>
      </c>
      <c r="C60" s="6">
        <v>16</v>
      </c>
      <c r="D60" s="6" t="s">
        <v>7</v>
      </c>
      <c r="E60" s="6">
        <v>16</v>
      </c>
      <c r="F60" s="6" t="s">
        <v>7</v>
      </c>
    </row>
    <row r="61" spans="2:7" ht="15.75" thickBot="1">
      <c r="B61" s="6" t="s">
        <v>62</v>
      </c>
      <c r="C61" s="6">
        <v>3</v>
      </c>
      <c r="D61" s="6" t="s">
        <v>3</v>
      </c>
      <c r="E61" s="6">
        <v>3</v>
      </c>
      <c r="F61" s="6" t="s">
        <v>3</v>
      </c>
    </row>
    <row r="62" spans="2:7" ht="15.75" thickBot="1">
      <c r="B62" s="6" t="s">
        <v>63</v>
      </c>
      <c r="C62" s="6">
        <v>1</v>
      </c>
      <c r="D62" s="6" t="s">
        <v>7</v>
      </c>
      <c r="E62" s="6">
        <v>1</v>
      </c>
      <c r="F62" s="6" t="s">
        <v>7</v>
      </c>
    </row>
    <row r="63" spans="2:7" ht="15.75" thickBot="1">
      <c r="B63" s="6" t="s">
        <v>64</v>
      </c>
      <c r="C63" s="6">
        <v>1</v>
      </c>
      <c r="D63" s="6" t="s">
        <v>7</v>
      </c>
      <c r="E63" s="6">
        <v>1</v>
      </c>
      <c r="F63" s="6" t="s">
        <v>7</v>
      </c>
    </row>
    <row r="64" spans="2:7" ht="15.75" thickBot="1">
      <c r="B64" s="6" t="s">
        <v>65</v>
      </c>
      <c r="C64" s="6">
        <v>1</v>
      </c>
      <c r="D64" s="6" t="s">
        <v>7</v>
      </c>
      <c r="E64" s="6">
        <v>1</v>
      </c>
      <c r="F64" s="6" t="s">
        <v>7</v>
      </c>
    </row>
    <row r="65" spans="2:6" ht="15.75" thickBot="1">
      <c r="B65" s="6" t="s">
        <v>66</v>
      </c>
      <c r="C65" s="6">
        <v>1</v>
      </c>
      <c r="D65" s="6" t="s">
        <v>7</v>
      </c>
      <c r="E65" s="6">
        <v>1</v>
      </c>
      <c r="F65" s="6" t="s">
        <v>7</v>
      </c>
    </row>
    <row r="66" spans="2:6" ht="15.75" thickBot="1">
      <c r="B66" s="6" t="s">
        <v>67</v>
      </c>
      <c r="C66" s="6">
        <v>1</v>
      </c>
      <c r="D66" s="6" t="s">
        <v>7</v>
      </c>
      <c r="E66" s="6">
        <v>1</v>
      </c>
      <c r="F66" s="6"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8D2F8-DFE8-4F63-B9D5-DA870D63E0B1}">
  <dimension ref="A1:AF891"/>
  <sheetViews>
    <sheetView workbookViewId="0">
      <pane xSplit="2" ySplit="2" topLeftCell="C3" activePane="bottomRight" state="frozen"/>
      <selection pane="topRight" activeCell="C1" sqref="C1"/>
      <selection pane="bottomLeft" activeCell="A3" sqref="A3"/>
      <selection pane="bottomRight" activeCell="D11" sqref="D11"/>
    </sheetView>
  </sheetViews>
  <sheetFormatPr defaultRowHeight="15"/>
  <cols>
    <col min="1" max="1" width="22.5703125" bestFit="1" customWidth="1"/>
    <col min="2" max="2" width="16.140625" customWidth="1"/>
    <col min="3" max="3" width="20.85546875" customWidth="1"/>
    <col min="4" max="4" width="21.5703125" bestFit="1" customWidth="1"/>
    <col min="5" max="5" width="21.5703125" customWidth="1"/>
    <col min="6" max="6" width="24.140625" bestFit="1" customWidth="1"/>
    <col min="7" max="7" width="20" customWidth="1"/>
    <col min="10" max="10" width="10.42578125" customWidth="1"/>
    <col min="12" max="13" width="18.5703125" bestFit="1" customWidth="1"/>
    <col min="14" max="14" width="20.140625" bestFit="1" customWidth="1"/>
    <col min="15" max="15" width="23.7109375" bestFit="1" customWidth="1"/>
    <col min="16" max="16" width="20" bestFit="1" customWidth="1"/>
    <col min="17" max="18" width="18.5703125" bestFit="1" customWidth="1"/>
    <col min="19" max="19" width="19.85546875" bestFit="1" customWidth="1"/>
    <col min="21" max="21" width="19" customWidth="1"/>
    <col min="23" max="23" width="19.42578125" bestFit="1" customWidth="1"/>
  </cols>
  <sheetData>
    <row r="1" spans="1:32">
      <c r="C1" t="s">
        <v>155</v>
      </c>
      <c r="D1" t="s">
        <v>1425</v>
      </c>
      <c r="F1">
        <f>COUNTA(D3:D891)</f>
        <v>889</v>
      </c>
      <c r="J1" t="s">
        <v>1424</v>
      </c>
      <c r="K1">
        <f>SUM(L1:S1)</f>
        <v>888</v>
      </c>
      <c r="L1">
        <f>COUNTA(L4:L257)</f>
        <v>67</v>
      </c>
      <c r="M1">
        <f t="shared" ref="M1:S1" si="0">COUNTA(M4:M257)</f>
        <v>67</v>
      </c>
      <c r="N1">
        <f t="shared" si="0"/>
        <v>159</v>
      </c>
      <c r="O1">
        <f t="shared" si="0"/>
        <v>64</v>
      </c>
      <c r="P1">
        <f t="shared" si="0"/>
        <v>82</v>
      </c>
      <c r="Q1">
        <f t="shared" si="0"/>
        <v>100</v>
      </c>
      <c r="R1">
        <f t="shared" si="0"/>
        <v>95</v>
      </c>
      <c r="S1">
        <f t="shared" si="0"/>
        <v>254</v>
      </c>
    </row>
    <row r="2" spans="1:32">
      <c r="B2" t="s">
        <v>0</v>
      </c>
      <c r="C2" t="s">
        <v>154</v>
      </c>
      <c r="F2" t="s">
        <v>1</v>
      </c>
      <c r="L2" s="14" t="s">
        <v>2</v>
      </c>
      <c r="M2" s="15" t="s">
        <v>15</v>
      </c>
      <c r="N2" s="15" t="s">
        <v>16</v>
      </c>
      <c r="O2" s="15" t="s">
        <v>24</v>
      </c>
      <c r="P2" s="15" t="s">
        <v>30</v>
      </c>
      <c r="Q2" s="15" t="s">
        <v>45</v>
      </c>
      <c r="R2" s="15" t="s">
        <v>54</v>
      </c>
      <c r="S2" s="15" t="s">
        <v>55</v>
      </c>
    </row>
    <row r="3" spans="1:32">
      <c r="A3" t="str">
        <f>"statecounties["&amp;B3&amp;"]"</f>
        <v>statecounties[Alabama]</v>
      </c>
      <c r="B3" t="s">
        <v>2</v>
      </c>
      <c r="C3" t="s">
        <v>72</v>
      </c>
      <c r="D3" t="s">
        <v>855</v>
      </c>
      <c r="E3" t="str">
        <f t="shared" ref="E3:E66" si="1">F3&amp; " County"</f>
        <v>Calhoun County</v>
      </c>
      <c r="F3" t="s">
        <v>73</v>
      </c>
      <c r="G3" t="str">
        <f>INDEX(StateCounties[],MATCH(D3,StateCounties[Alabama],0),MATCH(B3,StateCounties[#Headers],0))</f>
        <v>Calhoun County</v>
      </c>
      <c r="H3">
        <f>MATCH(B3,StateCounties[#Headers],0)</f>
        <v>1</v>
      </c>
      <c r="I3" t="b">
        <f>E3=D3</f>
        <v>1</v>
      </c>
      <c r="L3" s="11" t="s">
        <v>816</v>
      </c>
      <c r="M3" s="12" t="s">
        <v>816</v>
      </c>
      <c r="N3" s="11" t="s">
        <v>816</v>
      </c>
      <c r="O3" s="12" t="s">
        <v>816</v>
      </c>
      <c r="P3" s="12" t="s">
        <v>816</v>
      </c>
      <c r="Q3" s="11" t="s">
        <v>816</v>
      </c>
      <c r="R3" s="11" t="s">
        <v>816</v>
      </c>
      <c r="S3" s="11" t="s">
        <v>816</v>
      </c>
    </row>
    <row r="4" spans="1:32">
      <c r="A4" t="str">
        <f t="shared" ref="A4" si="2">"statecounties["&amp;B4&amp;"]"</f>
        <v>statecounties[Alabama]</v>
      </c>
      <c r="B4" t="s">
        <v>2</v>
      </c>
      <c r="C4" t="s">
        <v>74</v>
      </c>
      <c r="D4" t="s">
        <v>1010</v>
      </c>
      <c r="E4" t="str">
        <f t="shared" si="1"/>
        <v>Lee County</v>
      </c>
      <c r="F4" t="s">
        <v>75</v>
      </c>
      <c r="G4" t="str">
        <f>INDEX(StateCounties[],MATCH(D4,StateCounties[Alabama],0),MATCH(B4,StateCounties[#Headers],0))</f>
        <v>Lee County</v>
      </c>
      <c r="H4">
        <f>MATCH(B4,StateCounties[#Headers],0)</f>
        <v>1</v>
      </c>
      <c r="I4" t="b">
        <f t="shared" ref="I4:I67" si="3">E4=D4</f>
        <v>1</v>
      </c>
      <c r="L4" s="13" t="s">
        <v>817</v>
      </c>
      <c r="M4" s="13" t="s">
        <v>818</v>
      </c>
      <c r="N4" s="13" t="s">
        <v>819</v>
      </c>
      <c r="O4" s="13" t="s">
        <v>400</v>
      </c>
      <c r="P4" s="13" t="s">
        <v>820</v>
      </c>
      <c r="Q4" s="13" t="s">
        <v>821</v>
      </c>
      <c r="R4" s="13" t="s">
        <v>822</v>
      </c>
      <c r="S4" s="13" t="s">
        <v>822</v>
      </c>
      <c r="X4">
        <f>MATCH(B4,Y6,0)</f>
        <v>1</v>
      </c>
    </row>
    <row r="5" spans="1:32">
      <c r="A5" t="s">
        <v>1426</v>
      </c>
      <c r="B5" t="s">
        <v>2</v>
      </c>
      <c r="C5" t="s">
        <v>76</v>
      </c>
      <c r="D5" t="s">
        <v>837</v>
      </c>
      <c r="E5" t="str">
        <f t="shared" si="1"/>
        <v>Bibb County</v>
      </c>
      <c r="F5" t="s">
        <v>77</v>
      </c>
      <c r="G5" t="str">
        <f>INDEX(StateCounties[],MATCH(D5,StateCounties[Alabama],0),MATCH(B5,StateCounties[#Headers],0))</f>
        <v>Bibb County</v>
      </c>
      <c r="H5">
        <f>MATCH(B5,StateCounties[#Headers],0)</f>
        <v>1</v>
      </c>
      <c r="I5" t="b">
        <f t="shared" si="3"/>
        <v>1</v>
      </c>
      <c r="L5" s="13" t="s">
        <v>823</v>
      </c>
      <c r="M5" s="13" t="s">
        <v>824</v>
      </c>
      <c r="N5" s="13" t="s">
        <v>825</v>
      </c>
      <c r="O5" s="13" t="s">
        <v>406</v>
      </c>
      <c r="P5" s="13" t="s">
        <v>826</v>
      </c>
      <c r="Q5" s="13" t="s">
        <v>827</v>
      </c>
      <c r="R5" s="13" t="s">
        <v>828</v>
      </c>
      <c r="S5" s="13" t="s">
        <v>829</v>
      </c>
    </row>
    <row r="6" spans="1:32">
      <c r="B6" t="s">
        <v>2</v>
      </c>
      <c r="C6" t="s">
        <v>76</v>
      </c>
      <c r="D6" t="s">
        <v>843</v>
      </c>
      <c r="E6" t="str">
        <f t="shared" si="1"/>
        <v>Blount County</v>
      </c>
      <c r="F6" t="s">
        <v>78</v>
      </c>
      <c r="G6" t="str">
        <f>INDEX(StateCounties[],MATCH(D6,StateCounties[Alabama],0),MATCH(B6,StateCounties[#Headers],0))</f>
        <v>Blount County</v>
      </c>
      <c r="H6">
        <f>MATCH(B6,StateCounties[#Headers],0)</f>
        <v>1</v>
      </c>
      <c r="I6" t="b">
        <f t="shared" si="3"/>
        <v>1</v>
      </c>
      <c r="L6" s="13" t="s">
        <v>830</v>
      </c>
      <c r="M6" s="13" t="s">
        <v>831</v>
      </c>
      <c r="N6" s="13" t="s">
        <v>832</v>
      </c>
      <c r="O6" s="13" t="s">
        <v>414</v>
      </c>
      <c r="P6" s="13" t="s">
        <v>833</v>
      </c>
      <c r="Q6" s="13" t="s">
        <v>834</v>
      </c>
      <c r="R6" s="13" t="s">
        <v>835</v>
      </c>
      <c r="S6" s="13" t="s">
        <v>836</v>
      </c>
      <c r="U6" t="str" cm="1">
        <f t="array" ref="U6:U260">StateCounties[Alabama]</f>
        <v>Statewide Average</v>
      </c>
      <c r="W6" t="str" cm="1">
        <f t="array" ref="W6:W260">StateCounties[Alabama]</f>
        <v>Statewide Average</v>
      </c>
      <c r="Y6" t="str" cm="1">
        <f t="array" ref="Y6:AF6">StateCounties[#Headers]</f>
        <v>Alabama</v>
      </c>
      <c r="Z6" t="str">
        <v>Florida</v>
      </c>
      <c r="AA6" t="str">
        <v>Georgia</v>
      </c>
      <c r="AB6" t="str">
        <v>Louisiana</v>
      </c>
      <c r="AC6" t="str">
        <v>Mississippi</v>
      </c>
      <c r="AD6" t="str">
        <v>North Carolina</v>
      </c>
      <c r="AE6" t="str">
        <v>Tennessee</v>
      </c>
      <c r="AF6" t="str">
        <v>Texas</v>
      </c>
    </row>
    <row r="7" spans="1:32">
      <c r="B7" t="s">
        <v>2</v>
      </c>
      <c r="C7" t="s">
        <v>76</v>
      </c>
      <c r="D7" t="s">
        <v>879</v>
      </c>
      <c r="E7" t="str">
        <f t="shared" si="1"/>
        <v>Chilton County</v>
      </c>
      <c r="F7" t="s">
        <v>79</v>
      </c>
      <c r="G7" t="str">
        <f>INDEX(StateCounties[],MATCH(D7,StateCounties[Alabama],0),MATCH(B7,StateCounties[#Headers],0))</f>
        <v>Chilton County</v>
      </c>
      <c r="H7">
        <f>MATCH(B7,StateCounties[#Headers],0)</f>
        <v>1</v>
      </c>
      <c r="I7" t="b">
        <f t="shared" si="3"/>
        <v>1</v>
      </c>
      <c r="L7" s="13" t="s">
        <v>837</v>
      </c>
      <c r="M7" s="13" t="s">
        <v>838</v>
      </c>
      <c r="N7" s="13" t="s">
        <v>824</v>
      </c>
      <c r="O7" s="13" t="s">
        <v>394</v>
      </c>
      <c r="P7" s="13" t="s">
        <v>839</v>
      </c>
      <c r="Q7" s="13" t="s">
        <v>840</v>
      </c>
      <c r="R7" s="13" t="s">
        <v>841</v>
      </c>
      <c r="S7" s="13" t="s">
        <v>842</v>
      </c>
      <c r="U7" t="str">
        <v>Autauga County</v>
      </c>
      <c r="W7" t="str">
        <v>Autauga County</v>
      </c>
    </row>
    <row r="8" spans="1:32">
      <c r="B8" t="s">
        <v>2</v>
      </c>
      <c r="C8" t="s">
        <v>76</v>
      </c>
      <c r="D8" t="s">
        <v>993</v>
      </c>
      <c r="E8" t="str">
        <f t="shared" si="1"/>
        <v>Jefferson County</v>
      </c>
      <c r="F8" t="s">
        <v>80</v>
      </c>
      <c r="G8" t="str">
        <f>INDEX(StateCounties[],MATCH(D8,StateCounties[Alabama],0),MATCH(B8,StateCounties[#Headers],0))</f>
        <v>Jefferson County</v>
      </c>
      <c r="H8">
        <f>MATCH(B8,StateCounties[#Headers],0)</f>
        <v>1</v>
      </c>
      <c r="I8" t="b">
        <f t="shared" si="3"/>
        <v>1</v>
      </c>
      <c r="L8" s="13" t="s">
        <v>843</v>
      </c>
      <c r="M8" s="13" t="s">
        <v>844</v>
      </c>
      <c r="N8" s="13" t="s">
        <v>823</v>
      </c>
      <c r="O8" s="13" t="s">
        <v>421</v>
      </c>
      <c r="P8" s="13" t="s">
        <v>835</v>
      </c>
      <c r="Q8" s="13" t="s">
        <v>845</v>
      </c>
      <c r="R8" s="13" t="s">
        <v>843</v>
      </c>
      <c r="S8" s="13" t="s">
        <v>846</v>
      </c>
      <c r="U8" t="str">
        <v>Baldwin County</v>
      </c>
      <c r="W8" t="str">
        <v>Baldwin County</v>
      </c>
    </row>
    <row r="9" spans="1:32">
      <c r="B9" t="s">
        <v>2</v>
      </c>
      <c r="C9" t="s">
        <v>76</v>
      </c>
      <c r="D9" t="s">
        <v>1123</v>
      </c>
      <c r="E9" t="str">
        <f t="shared" si="1"/>
        <v>St. Clair County</v>
      </c>
      <c r="F9" t="s">
        <v>81</v>
      </c>
      <c r="G9" t="str">
        <f>INDEX(StateCounties[],MATCH(D9,StateCounties[Alabama],0),MATCH(B9,StateCounties[#Headers],0))</f>
        <v>St. Clair County</v>
      </c>
      <c r="H9">
        <f>MATCH(B9,StateCounties[#Headers],0)</f>
        <v>1</v>
      </c>
      <c r="I9" t="b">
        <f t="shared" si="3"/>
        <v>1</v>
      </c>
      <c r="L9" s="13" t="s">
        <v>847</v>
      </c>
      <c r="M9" s="13" t="s">
        <v>848</v>
      </c>
      <c r="N9" s="13" t="s">
        <v>849</v>
      </c>
      <c r="O9" s="13" t="s">
        <v>407</v>
      </c>
      <c r="P9" s="13" t="s">
        <v>850</v>
      </c>
      <c r="Q9" s="13" t="s">
        <v>851</v>
      </c>
      <c r="R9" s="13" t="s">
        <v>852</v>
      </c>
      <c r="S9" s="13" t="s">
        <v>853</v>
      </c>
      <c r="U9" t="str">
        <v>Barbour County</v>
      </c>
      <c r="W9" t="str">
        <v>Barbour County</v>
      </c>
    </row>
    <row r="10" spans="1:32">
      <c r="B10" t="s">
        <v>2</v>
      </c>
      <c r="C10" t="s">
        <v>76</v>
      </c>
      <c r="D10" t="s">
        <v>1126</v>
      </c>
      <c r="E10" t="str">
        <f t="shared" si="1"/>
        <v>Shelby County</v>
      </c>
      <c r="F10" t="s">
        <v>82</v>
      </c>
      <c r="G10" t="str">
        <f>INDEX(StateCounties[],MATCH(D10,StateCounties[Alabama],0),MATCH(B10,StateCounties[#Headers],0))</f>
        <v>Shelby County</v>
      </c>
      <c r="H10">
        <f>MATCH(B10,StateCounties[#Headers],0)</f>
        <v>1</v>
      </c>
      <c r="I10" t="b">
        <f t="shared" si="3"/>
        <v>1</v>
      </c>
      <c r="L10" s="13" t="s">
        <v>854</v>
      </c>
      <c r="M10" s="13" t="s">
        <v>855</v>
      </c>
      <c r="N10" s="13" t="s">
        <v>856</v>
      </c>
      <c r="O10" s="13" t="s">
        <v>443</v>
      </c>
      <c r="P10" s="13" t="s">
        <v>855</v>
      </c>
      <c r="Q10" s="13" t="s">
        <v>857</v>
      </c>
      <c r="R10" s="13" t="s">
        <v>858</v>
      </c>
      <c r="S10" s="13" t="s">
        <v>859</v>
      </c>
      <c r="U10" t="str">
        <v>Bibb County</v>
      </c>
      <c r="W10" t="str">
        <v>Bibb County</v>
      </c>
    </row>
    <row r="11" spans="1:32">
      <c r="B11" t="s">
        <v>2</v>
      </c>
      <c r="C11" t="s">
        <v>76</v>
      </c>
      <c r="D11" t="s">
        <v>1154</v>
      </c>
      <c r="E11" t="str">
        <f t="shared" si="1"/>
        <v>Walker County</v>
      </c>
      <c r="F11" t="s">
        <v>83</v>
      </c>
      <c r="G11" t="str">
        <f>INDEX(StateCounties[],MATCH(D11,StateCounties[Alabama],0),MATCH(B11,StateCounties[#Headers],0))</f>
        <v>Walker County</v>
      </c>
      <c r="H11">
        <f>MATCH(B11,StateCounties[#Headers],0)</f>
        <v>1</v>
      </c>
      <c r="I11" t="b">
        <f t="shared" si="3"/>
        <v>1</v>
      </c>
      <c r="L11" s="13" t="s">
        <v>855</v>
      </c>
      <c r="M11" s="13" t="s">
        <v>860</v>
      </c>
      <c r="N11" s="13" t="s">
        <v>861</v>
      </c>
      <c r="O11" s="13" t="s">
        <v>439</v>
      </c>
      <c r="P11" s="13" t="s">
        <v>862</v>
      </c>
      <c r="Q11" s="13" t="s">
        <v>863</v>
      </c>
      <c r="R11" s="13" t="s">
        <v>864</v>
      </c>
      <c r="S11" s="13" t="s">
        <v>865</v>
      </c>
      <c r="U11" t="str">
        <v>Blount County</v>
      </c>
      <c r="W11" t="str">
        <v>Blount County</v>
      </c>
    </row>
    <row r="12" spans="1:32">
      <c r="B12" t="s">
        <v>2</v>
      </c>
      <c r="C12" t="s">
        <v>84</v>
      </c>
      <c r="D12" t="s">
        <v>1119</v>
      </c>
      <c r="E12" t="str">
        <f t="shared" si="1"/>
        <v>Russell County</v>
      </c>
      <c r="F12" t="s">
        <v>85</v>
      </c>
      <c r="G12" t="str">
        <f>INDEX(StateCounties[],MATCH(D12,StateCounties[Alabama],0),MATCH(B12,StateCounties[#Headers],0))</f>
        <v>Russell County</v>
      </c>
      <c r="H12">
        <f>MATCH(B12,StateCounties[#Headers],0)</f>
        <v>1</v>
      </c>
      <c r="I12" t="b">
        <f t="shared" si="3"/>
        <v>1</v>
      </c>
      <c r="L12" s="13" t="s">
        <v>866</v>
      </c>
      <c r="M12" s="13" t="s">
        <v>867</v>
      </c>
      <c r="N12" s="13" t="s">
        <v>868</v>
      </c>
      <c r="O12" s="13" t="s">
        <v>440</v>
      </c>
      <c r="P12" s="13" t="s">
        <v>869</v>
      </c>
      <c r="Q12" s="13" t="s">
        <v>870</v>
      </c>
      <c r="R12" s="13" t="s">
        <v>862</v>
      </c>
      <c r="S12" s="13" t="s">
        <v>871</v>
      </c>
      <c r="U12" t="str">
        <v>Bullock County</v>
      </c>
      <c r="W12" t="str">
        <v>Bullock County</v>
      </c>
    </row>
    <row r="13" spans="1:32">
      <c r="B13" t="s">
        <v>2</v>
      </c>
      <c r="C13" t="s">
        <v>86</v>
      </c>
      <c r="D13" t="s">
        <v>1031</v>
      </c>
      <c r="E13" t="str">
        <f t="shared" si="1"/>
        <v>Lawrence County</v>
      </c>
      <c r="F13" t="s">
        <v>87</v>
      </c>
      <c r="G13" t="str">
        <f>INDEX(StateCounties[],MATCH(D13,StateCounties[Alabama],0),MATCH(B13,StateCounties[#Headers],0))</f>
        <v>Lawrence County</v>
      </c>
      <c r="H13">
        <f>MATCH(B13,StateCounties[#Headers],0)</f>
        <v>1</v>
      </c>
      <c r="I13" t="b">
        <f t="shared" si="3"/>
        <v>1</v>
      </c>
      <c r="L13" s="13" t="s">
        <v>872</v>
      </c>
      <c r="M13" s="13" t="s">
        <v>873</v>
      </c>
      <c r="N13" s="13" t="s">
        <v>874</v>
      </c>
      <c r="O13" s="13" t="s">
        <v>405</v>
      </c>
      <c r="P13" s="13" t="s">
        <v>875</v>
      </c>
      <c r="Q13" s="13" t="s">
        <v>876</v>
      </c>
      <c r="R13" s="13" t="s">
        <v>877</v>
      </c>
      <c r="S13" s="13" t="s">
        <v>878</v>
      </c>
      <c r="U13" t="str">
        <v>Butler County</v>
      </c>
      <c r="W13" t="str">
        <v>Butler County</v>
      </c>
    </row>
    <row r="14" spans="1:32">
      <c r="B14" t="s">
        <v>2</v>
      </c>
      <c r="C14" t="s">
        <v>86</v>
      </c>
      <c r="D14" t="s">
        <v>1092</v>
      </c>
      <c r="E14" t="str">
        <f t="shared" si="1"/>
        <v>Morgan County</v>
      </c>
      <c r="F14" t="s">
        <v>88</v>
      </c>
      <c r="G14" t="str">
        <f>INDEX(StateCounties[],MATCH(D14,StateCounties[Alabama],0),MATCH(B14,StateCounties[#Headers],0))</f>
        <v>Morgan County</v>
      </c>
      <c r="H14">
        <f>MATCH(B14,StateCounties[#Headers],0)</f>
        <v>1</v>
      </c>
      <c r="I14" t="b">
        <f t="shared" si="3"/>
        <v>1</v>
      </c>
      <c r="L14" s="13" t="s">
        <v>879</v>
      </c>
      <c r="M14" s="13" t="s">
        <v>880</v>
      </c>
      <c r="N14" s="13" t="s">
        <v>837</v>
      </c>
      <c r="O14" s="13" t="s">
        <v>435</v>
      </c>
      <c r="P14" s="13" t="s">
        <v>881</v>
      </c>
      <c r="Q14" s="13" t="s">
        <v>882</v>
      </c>
      <c r="R14" s="13" t="s">
        <v>883</v>
      </c>
      <c r="S14" s="13" t="s">
        <v>884</v>
      </c>
      <c r="U14" t="str">
        <v>Calhoun County</v>
      </c>
      <c r="W14" t="str">
        <v>Calhoun County</v>
      </c>
    </row>
    <row r="15" spans="1:32">
      <c r="B15" t="s">
        <v>2</v>
      </c>
      <c r="C15" t="s">
        <v>89</v>
      </c>
      <c r="D15" t="s">
        <v>987</v>
      </c>
      <c r="E15" t="str">
        <f t="shared" si="1"/>
        <v>Geneva County</v>
      </c>
      <c r="F15" t="s">
        <v>90</v>
      </c>
      <c r="G15" t="str">
        <f>INDEX(StateCounties[],MATCH(D15,StateCounties[Alabama],0),MATCH(B15,StateCounties[#Headers],0))</f>
        <v>Geneva County</v>
      </c>
      <c r="H15">
        <f>MATCH(B15,StateCounties[#Headers],0)</f>
        <v>1</v>
      </c>
      <c r="I15" t="b">
        <f t="shared" si="3"/>
        <v>1</v>
      </c>
      <c r="L15" s="13" t="s">
        <v>875</v>
      </c>
      <c r="M15" s="13" t="s">
        <v>885</v>
      </c>
      <c r="N15" s="13" t="s">
        <v>886</v>
      </c>
      <c r="O15" s="13" t="s">
        <v>403</v>
      </c>
      <c r="P15" s="13" t="s">
        <v>887</v>
      </c>
      <c r="Q15" s="13" t="s">
        <v>888</v>
      </c>
      <c r="R15" s="13" t="s">
        <v>889</v>
      </c>
      <c r="S15" s="13" t="s">
        <v>890</v>
      </c>
      <c r="U15" t="str">
        <v>Chambers County</v>
      </c>
      <c r="W15" t="str">
        <v>Chambers County</v>
      </c>
    </row>
    <row r="16" spans="1:32">
      <c r="B16" t="s">
        <v>2</v>
      </c>
      <c r="C16" t="s">
        <v>89</v>
      </c>
      <c r="D16" t="s">
        <v>1004</v>
      </c>
      <c r="E16" t="str">
        <f t="shared" si="1"/>
        <v>Henry County</v>
      </c>
      <c r="F16" t="s">
        <v>91</v>
      </c>
      <c r="G16" t="str">
        <f>INDEX(StateCounties[],MATCH(D16,StateCounties[Alabama],0),MATCH(B16,StateCounties[#Headers],0))</f>
        <v>Henry County</v>
      </c>
      <c r="H16">
        <f>MATCH(B16,StateCounties[#Headers],0)</f>
        <v>1</v>
      </c>
      <c r="I16" t="b">
        <f t="shared" si="3"/>
        <v>1</v>
      </c>
      <c r="L16" s="13" t="s">
        <v>887</v>
      </c>
      <c r="M16" s="13" t="s">
        <v>891</v>
      </c>
      <c r="N16" s="13" t="s">
        <v>892</v>
      </c>
      <c r="O16" s="13" t="s">
        <v>423</v>
      </c>
      <c r="P16" s="13" t="s">
        <v>873</v>
      </c>
      <c r="Q16" s="13" t="s">
        <v>893</v>
      </c>
      <c r="R16" s="13" t="s">
        <v>881</v>
      </c>
      <c r="S16" s="13" t="s">
        <v>894</v>
      </c>
      <c r="U16" t="str">
        <v>Cherokee County</v>
      </c>
      <c r="W16" t="str">
        <v>Cherokee County</v>
      </c>
    </row>
    <row r="17" spans="2:23">
      <c r="B17" t="s">
        <v>2</v>
      </c>
      <c r="C17" t="s">
        <v>89</v>
      </c>
      <c r="D17" t="s">
        <v>1009</v>
      </c>
      <c r="E17" t="str">
        <f t="shared" si="1"/>
        <v>Houston County</v>
      </c>
      <c r="F17" t="s">
        <v>92</v>
      </c>
      <c r="G17" t="str">
        <f>INDEX(StateCounties[],MATCH(D17,StateCounties[Alabama],0),MATCH(B17,StateCounties[#Headers],0))</f>
        <v>Houston County</v>
      </c>
      <c r="H17">
        <f>MATCH(B17,StateCounties[#Headers],0)</f>
        <v>1</v>
      </c>
      <c r="I17" t="b">
        <f t="shared" si="3"/>
        <v>1</v>
      </c>
      <c r="L17" s="13" t="s">
        <v>873</v>
      </c>
      <c r="M17" s="13" t="s">
        <v>895</v>
      </c>
      <c r="N17" s="13" t="s">
        <v>896</v>
      </c>
      <c r="O17" s="13" t="s">
        <v>442</v>
      </c>
      <c r="P17" s="13" t="s">
        <v>897</v>
      </c>
      <c r="Q17" s="13" t="s">
        <v>898</v>
      </c>
      <c r="R17" s="13" t="s">
        <v>873</v>
      </c>
      <c r="S17" s="13" t="s">
        <v>899</v>
      </c>
      <c r="U17" t="str">
        <v>Chilton County</v>
      </c>
      <c r="W17" t="str">
        <v>Chilton County</v>
      </c>
    </row>
    <row r="18" spans="2:23">
      <c r="B18" t="s">
        <v>2</v>
      </c>
      <c r="C18" t="s">
        <v>93</v>
      </c>
      <c r="D18" t="s">
        <v>913</v>
      </c>
      <c r="E18" t="str">
        <f t="shared" si="1"/>
        <v>Colbert County</v>
      </c>
      <c r="F18" t="s">
        <v>94</v>
      </c>
      <c r="G18" t="str">
        <f>INDEX(StateCounties[],MATCH(D18,StateCounties[Alabama],0),MATCH(B18,StateCounties[#Headers],0))</f>
        <v>Colbert County</v>
      </c>
      <c r="H18">
        <f>MATCH(B18,StateCounties[#Headers],0)</f>
        <v>1</v>
      </c>
      <c r="I18" t="b">
        <f t="shared" si="3"/>
        <v>1</v>
      </c>
      <c r="L18" s="13" t="s">
        <v>900</v>
      </c>
      <c r="M18" s="13" t="s">
        <v>901</v>
      </c>
      <c r="N18" s="13" t="s">
        <v>902</v>
      </c>
      <c r="O18" s="13" t="s">
        <v>422</v>
      </c>
      <c r="P18" s="13" t="s">
        <v>903</v>
      </c>
      <c r="Q18" s="13" t="s">
        <v>904</v>
      </c>
      <c r="R18" s="13" t="s">
        <v>905</v>
      </c>
      <c r="S18" s="13" t="s">
        <v>906</v>
      </c>
      <c r="U18" t="str">
        <v>Choctaw County</v>
      </c>
      <c r="W18" t="str">
        <v>Choctaw County</v>
      </c>
    </row>
    <row r="19" spans="2:23">
      <c r="B19" t="s">
        <v>2</v>
      </c>
      <c r="C19" t="s">
        <v>93</v>
      </c>
      <c r="D19" t="s">
        <v>1025</v>
      </c>
      <c r="E19" t="str">
        <f t="shared" si="1"/>
        <v>Lauderdale County</v>
      </c>
      <c r="F19" t="s">
        <v>95</v>
      </c>
      <c r="G19" t="str">
        <f>INDEX(StateCounties[],MATCH(D19,StateCounties[Alabama],0),MATCH(B19,StateCounties[#Headers],0))</f>
        <v>Lauderdale County</v>
      </c>
      <c r="H19">
        <f>MATCH(B19,StateCounties[#Headers],0)</f>
        <v>1</v>
      </c>
      <c r="I19" t="b">
        <f t="shared" si="3"/>
        <v>1</v>
      </c>
      <c r="L19" s="13" t="s">
        <v>907</v>
      </c>
      <c r="M19" s="13" t="s">
        <v>908</v>
      </c>
      <c r="N19" s="13" t="s">
        <v>909</v>
      </c>
      <c r="O19" s="13" t="s">
        <v>445</v>
      </c>
      <c r="P19" s="13" t="s">
        <v>910</v>
      </c>
      <c r="Q19" s="13" t="s">
        <v>911</v>
      </c>
      <c r="R19" s="13" t="s">
        <v>907</v>
      </c>
      <c r="S19" s="13" t="s">
        <v>912</v>
      </c>
      <c r="U19" t="str">
        <v>Clarke County</v>
      </c>
      <c r="W19" t="str">
        <v>Clarke County</v>
      </c>
    </row>
    <row r="20" spans="2:23">
      <c r="B20" t="s">
        <v>2</v>
      </c>
      <c r="C20" t="s">
        <v>96</v>
      </c>
      <c r="D20" t="s">
        <v>975</v>
      </c>
      <c r="E20" t="str">
        <f t="shared" si="1"/>
        <v>Etowah County</v>
      </c>
      <c r="F20" t="s">
        <v>97</v>
      </c>
      <c r="G20" t="str">
        <f>INDEX(StateCounties[],MATCH(D20,StateCounties[Alabama],0),MATCH(B20,StateCounties[#Headers],0))</f>
        <v>Etowah County</v>
      </c>
      <c r="H20">
        <f>MATCH(B20,StateCounties[#Headers],0)</f>
        <v>1</v>
      </c>
      <c r="I20" t="b">
        <f t="shared" si="3"/>
        <v>1</v>
      </c>
      <c r="L20" s="13" t="s">
        <v>913</v>
      </c>
      <c r="M20" s="13" t="s">
        <v>914</v>
      </c>
      <c r="N20" s="13" t="s">
        <v>888</v>
      </c>
      <c r="O20" s="13" t="s">
        <v>408</v>
      </c>
      <c r="P20" s="13" t="s">
        <v>891</v>
      </c>
      <c r="Q20" s="13" t="s">
        <v>915</v>
      </c>
      <c r="R20" s="13" t="s">
        <v>916</v>
      </c>
      <c r="S20" s="13" t="s">
        <v>917</v>
      </c>
      <c r="U20" t="str">
        <v>Clay County</v>
      </c>
      <c r="W20" t="str">
        <v>Clay County</v>
      </c>
    </row>
    <row r="21" spans="2:23">
      <c r="B21" t="s">
        <v>2</v>
      </c>
      <c r="C21" t="s">
        <v>98</v>
      </c>
      <c r="D21" t="s">
        <v>1043</v>
      </c>
      <c r="E21" t="str">
        <f t="shared" si="1"/>
        <v>Limestone County</v>
      </c>
      <c r="F21" t="s">
        <v>99</v>
      </c>
      <c r="G21" t="str">
        <f>INDEX(StateCounties[],MATCH(D21,StateCounties[Alabama],0),MATCH(B21,StateCounties[#Headers],0))</f>
        <v>Limestone County</v>
      </c>
      <c r="H21">
        <f>MATCH(B21,StateCounties[#Headers],0)</f>
        <v>1</v>
      </c>
      <c r="I21" t="b">
        <f t="shared" si="3"/>
        <v>1</v>
      </c>
      <c r="L21" s="13" t="s">
        <v>918</v>
      </c>
      <c r="M21" s="13" t="s">
        <v>919</v>
      </c>
      <c r="N21" s="13" t="s">
        <v>920</v>
      </c>
      <c r="O21" s="13" t="s">
        <v>428</v>
      </c>
      <c r="P21" s="13" t="s">
        <v>921</v>
      </c>
      <c r="Q21" s="13" t="s">
        <v>922</v>
      </c>
      <c r="R21" s="13" t="s">
        <v>923</v>
      </c>
      <c r="S21" s="13" t="s">
        <v>924</v>
      </c>
      <c r="U21" t="str">
        <v>Cleburne County</v>
      </c>
      <c r="W21" t="str">
        <v>Cleburne County</v>
      </c>
    </row>
    <row r="22" spans="2:23">
      <c r="B22" t="s">
        <v>2</v>
      </c>
      <c r="C22" t="s">
        <v>98</v>
      </c>
      <c r="D22" t="s">
        <v>1029</v>
      </c>
      <c r="E22" t="str">
        <f t="shared" si="1"/>
        <v>Madison County</v>
      </c>
      <c r="F22" t="s">
        <v>100</v>
      </c>
      <c r="G22" t="str">
        <f>INDEX(StateCounties[],MATCH(D22,StateCounties[Alabama],0),MATCH(B22,StateCounties[#Headers],0))</f>
        <v>Madison County</v>
      </c>
      <c r="H22">
        <f>MATCH(B22,StateCounties[#Headers],0)</f>
        <v>1</v>
      </c>
      <c r="I22" t="b">
        <f t="shared" si="3"/>
        <v>1</v>
      </c>
      <c r="L22" s="13" t="s">
        <v>925</v>
      </c>
      <c r="M22" s="13" t="s">
        <v>926</v>
      </c>
      <c r="N22" s="13" t="s">
        <v>855</v>
      </c>
      <c r="O22" s="13" t="s">
        <v>413</v>
      </c>
      <c r="P22" s="13" t="s">
        <v>919</v>
      </c>
      <c r="Q22" s="13" t="s">
        <v>927</v>
      </c>
      <c r="R22" s="13" t="s">
        <v>928</v>
      </c>
      <c r="S22" s="13" t="s">
        <v>929</v>
      </c>
      <c r="U22" t="str">
        <v>Coffee County</v>
      </c>
      <c r="W22" t="str">
        <v>Coffee County</v>
      </c>
    </row>
    <row r="23" spans="2:23">
      <c r="B23" t="s">
        <v>2</v>
      </c>
      <c r="C23" t="s">
        <v>101</v>
      </c>
      <c r="D23" t="s">
        <v>1076</v>
      </c>
      <c r="E23" t="str">
        <f t="shared" si="1"/>
        <v>Mobile County</v>
      </c>
      <c r="F23" t="s">
        <v>102</v>
      </c>
      <c r="G23" t="str">
        <f>INDEX(StateCounties[],MATCH(D23,StateCounties[Alabama],0),MATCH(B23,StateCounties[#Headers],0))</f>
        <v>Mobile County</v>
      </c>
      <c r="H23">
        <f>MATCH(B23,StateCounties[#Headers],0)</f>
        <v>1</v>
      </c>
      <c r="I23" t="b">
        <f t="shared" si="3"/>
        <v>1</v>
      </c>
      <c r="L23" s="13" t="s">
        <v>910</v>
      </c>
      <c r="M23" s="13" t="s">
        <v>930</v>
      </c>
      <c r="N23" s="13" t="s">
        <v>904</v>
      </c>
      <c r="O23" s="13" t="s">
        <v>402</v>
      </c>
      <c r="P23" s="13" t="s">
        <v>931</v>
      </c>
      <c r="Q23" s="13" t="s">
        <v>872</v>
      </c>
      <c r="R23" s="13" t="s">
        <v>932</v>
      </c>
      <c r="S23" s="13" t="s">
        <v>933</v>
      </c>
      <c r="U23" t="str">
        <v>Colbert County</v>
      </c>
      <c r="W23" t="str">
        <v>Colbert County</v>
      </c>
    </row>
    <row r="24" spans="2:23">
      <c r="B24" t="s">
        <v>2</v>
      </c>
      <c r="C24" t="s">
        <v>103</v>
      </c>
      <c r="D24" t="s">
        <v>817</v>
      </c>
      <c r="E24" t="str">
        <f t="shared" si="1"/>
        <v>Autauga County</v>
      </c>
      <c r="F24" t="s">
        <v>104</v>
      </c>
      <c r="G24" t="str">
        <f>INDEX(StateCounties[],MATCH(D24,StateCounties[Alabama],0),MATCH(B24,StateCounties[#Headers],0))</f>
        <v>Autauga County</v>
      </c>
      <c r="H24">
        <f>MATCH(B24,StateCounties[#Headers],0)</f>
        <v>1</v>
      </c>
      <c r="I24" t="b">
        <f t="shared" si="3"/>
        <v>1</v>
      </c>
      <c r="L24" s="13" t="s">
        <v>934</v>
      </c>
      <c r="M24" s="13" t="s">
        <v>935</v>
      </c>
      <c r="N24" s="13" t="s">
        <v>936</v>
      </c>
      <c r="O24" s="13" t="s">
        <v>432</v>
      </c>
      <c r="P24" s="13" t="s">
        <v>937</v>
      </c>
      <c r="Q24" s="13" t="s">
        <v>938</v>
      </c>
      <c r="R24" s="13" t="s">
        <v>939</v>
      </c>
      <c r="S24" s="13" t="s">
        <v>940</v>
      </c>
      <c r="U24" t="str">
        <v>Conecuh County</v>
      </c>
      <c r="W24" t="str">
        <v>Conecuh County</v>
      </c>
    </row>
    <row r="25" spans="2:23">
      <c r="B25" t="s">
        <v>2</v>
      </c>
      <c r="C25" t="s">
        <v>103</v>
      </c>
      <c r="D25" t="s">
        <v>964</v>
      </c>
      <c r="E25" t="str">
        <f t="shared" si="1"/>
        <v>Elmore County</v>
      </c>
      <c r="F25" t="s">
        <v>105</v>
      </c>
      <c r="G25" t="str">
        <f>INDEX(StateCounties[],MATCH(D25,StateCounties[Alabama],0),MATCH(B25,StateCounties[#Headers],0))</f>
        <v>Elmore County</v>
      </c>
      <c r="H25">
        <f>MATCH(B25,StateCounties[#Headers],0)</f>
        <v>1</v>
      </c>
      <c r="I25" t="b">
        <f t="shared" si="3"/>
        <v>1</v>
      </c>
      <c r="L25" s="13" t="s">
        <v>941</v>
      </c>
      <c r="M25" s="13" t="s">
        <v>942</v>
      </c>
      <c r="N25" s="13" t="s">
        <v>862</v>
      </c>
      <c r="O25" s="13" t="s">
        <v>425</v>
      </c>
      <c r="P25" s="13" t="s">
        <v>943</v>
      </c>
      <c r="Q25" s="13" t="s">
        <v>873</v>
      </c>
      <c r="R25" s="13" t="s">
        <v>944</v>
      </c>
      <c r="S25" s="13" t="s">
        <v>945</v>
      </c>
      <c r="U25" t="str">
        <v>Coosa County</v>
      </c>
      <c r="W25" t="str">
        <v>Coosa County</v>
      </c>
    </row>
    <row r="26" spans="2:23">
      <c r="B26" t="s">
        <v>2</v>
      </c>
      <c r="C26" t="s">
        <v>103</v>
      </c>
      <c r="D26" t="s">
        <v>1049</v>
      </c>
      <c r="E26" t="str">
        <f t="shared" si="1"/>
        <v>Lowndes County</v>
      </c>
      <c r="F26" t="s">
        <v>106</v>
      </c>
      <c r="G26" t="str">
        <f>INDEX(StateCounties[],MATCH(D26,StateCounties[Alabama],0),MATCH(B26,StateCounties[#Headers],0))</f>
        <v>Lowndes County</v>
      </c>
      <c r="H26">
        <f>MATCH(B26,StateCounties[#Headers],0)</f>
        <v>1</v>
      </c>
      <c r="I26" t="b">
        <f t="shared" si="3"/>
        <v>1</v>
      </c>
      <c r="L26" s="13" t="s">
        <v>946</v>
      </c>
      <c r="M26" s="13" t="s">
        <v>947</v>
      </c>
      <c r="N26" s="13" t="s">
        <v>948</v>
      </c>
      <c r="O26" s="13" t="s">
        <v>398</v>
      </c>
      <c r="P26" s="13" t="s">
        <v>949</v>
      </c>
      <c r="Q26" s="13" t="s">
        <v>950</v>
      </c>
      <c r="R26" s="13" t="s">
        <v>951</v>
      </c>
      <c r="S26" s="13" t="s">
        <v>952</v>
      </c>
      <c r="U26" t="str">
        <v>Covington County</v>
      </c>
      <c r="W26" t="str">
        <v>Covington County</v>
      </c>
    </row>
    <row r="27" spans="2:23">
      <c r="B27" t="s">
        <v>2</v>
      </c>
      <c r="C27" t="s">
        <v>103</v>
      </c>
      <c r="D27" t="s">
        <v>1079</v>
      </c>
      <c r="E27" t="str">
        <f t="shared" si="1"/>
        <v>Montgomery County</v>
      </c>
      <c r="F27" t="s">
        <v>107</v>
      </c>
      <c r="G27" t="str">
        <f>INDEX(StateCounties[],MATCH(D27,StateCounties[Alabama],0),MATCH(B27,StateCounties[#Headers],0))</f>
        <v>Montgomery County</v>
      </c>
      <c r="H27">
        <f>MATCH(B27,StateCounties[#Headers],0)</f>
        <v>1</v>
      </c>
      <c r="I27" t="b">
        <f t="shared" si="3"/>
        <v>1</v>
      </c>
      <c r="L27" s="13" t="s">
        <v>953</v>
      </c>
      <c r="M27" s="13" t="s">
        <v>954</v>
      </c>
      <c r="N27" s="13" t="s">
        <v>955</v>
      </c>
      <c r="O27" s="13" t="s">
        <v>410</v>
      </c>
      <c r="P27" s="13" t="s">
        <v>956</v>
      </c>
      <c r="Q27" s="13" t="s">
        <v>957</v>
      </c>
      <c r="R27" s="13" t="s">
        <v>958</v>
      </c>
      <c r="S27" s="13" t="s">
        <v>896</v>
      </c>
      <c r="U27" t="str">
        <v>Crenshaw County</v>
      </c>
      <c r="W27" t="str">
        <v>Crenshaw County</v>
      </c>
    </row>
    <row r="28" spans="2:23">
      <c r="B28" t="s">
        <v>2</v>
      </c>
      <c r="C28" t="s">
        <v>108</v>
      </c>
      <c r="D28" t="s">
        <v>937</v>
      </c>
      <c r="E28" t="str">
        <f t="shared" si="1"/>
        <v>Greene County</v>
      </c>
      <c r="F28" t="s">
        <v>109</v>
      </c>
      <c r="G28" t="str">
        <f>INDEX(StateCounties[],MATCH(D28,StateCounties[Alabama],0),MATCH(B28,StateCounties[#Headers],0))</f>
        <v>Greene County</v>
      </c>
      <c r="H28">
        <f>MATCH(B28,StateCounties[#Headers],0)</f>
        <v>1</v>
      </c>
      <c r="I28" t="b">
        <f t="shared" si="3"/>
        <v>1</v>
      </c>
      <c r="L28" s="13" t="s">
        <v>939</v>
      </c>
      <c r="M28" s="13" t="s">
        <v>959</v>
      </c>
      <c r="N28" s="13" t="s">
        <v>927</v>
      </c>
      <c r="O28" s="13" t="s">
        <v>436</v>
      </c>
      <c r="P28" s="13" t="s">
        <v>960</v>
      </c>
      <c r="Q28" s="13" t="s">
        <v>961</v>
      </c>
      <c r="R28" s="13" t="s">
        <v>962</v>
      </c>
      <c r="S28" s="13" t="s">
        <v>963</v>
      </c>
      <c r="U28" t="str">
        <v>Cullman County</v>
      </c>
      <c r="W28" t="str">
        <v>Cullman County</v>
      </c>
    </row>
    <row r="29" spans="2:23">
      <c r="B29" t="s">
        <v>2</v>
      </c>
      <c r="C29" t="s">
        <v>108</v>
      </c>
      <c r="D29" t="s">
        <v>998</v>
      </c>
      <c r="E29" t="str">
        <f t="shared" si="1"/>
        <v>Hale County</v>
      </c>
      <c r="F29" t="s">
        <v>110</v>
      </c>
      <c r="G29" t="str">
        <f>INDEX(StateCounties[],MATCH(D29,StateCounties[Alabama],0),MATCH(B29,StateCounties[#Headers],0))</f>
        <v>Hale County</v>
      </c>
      <c r="H29">
        <f>MATCH(B29,StateCounties[#Headers],0)</f>
        <v>1</v>
      </c>
      <c r="I29" t="b">
        <f t="shared" si="3"/>
        <v>1</v>
      </c>
      <c r="L29" s="13" t="s">
        <v>964</v>
      </c>
      <c r="M29" s="13" t="s">
        <v>965</v>
      </c>
      <c r="N29" s="13" t="s">
        <v>966</v>
      </c>
      <c r="O29" s="13" t="s">
        <v>387</v>
      </c>
      <c r="P29" s="13" t="s">
        <v>967</v>
      </c>
      <c r="Q29" s="13" t="s">
        <v>923</v>
      </c>
      <c r="R29" s="13" t="s">
        <v>919</v>
      </c>
      <c r="S29" s="13" t="s">
        <v>968</v>
      </c>
      <c r="U29" t="str">
        <v>Dale County</v>
      </c>
      <c r="W29" t="str">
        <v>Dale County</v>
      </c>
    </row>
    <row r="30" spans="2:23">
      <c r="B30" t="s">
        <v>2</v>
      </c>
      <c r="C30" t="s">
        <v>108</v>
      </c>
      <c r="D30" t="s">
        <v>1148</v>
      </c>
      <c r="E30" t="str">
        <f t="shared" si="1"/>
        <v>Tuscaloosa County</v>
      </c>
      <c r="F30" t="s">
        <v>111</v>
      </c>
      <c r="G30" t="str">
        <f>INDEX(StateCounties[],MATCH(D30,StateCounties[Alabama],0),MATCH(B30,StateCounties[#Headers],0))</f>
        <v>Tuscaloosa County</v>
      </c>
      <c r="H30">
        <f>MATCH(B30,StateCounties[#Headers],0)</f>
        <v>1</v>
      </c>
      <c r="I30" t="b">
        <f t="shared" si="3"/>
        <v>1</v>
      </c>
      <c r="L30" s="13" t="s">
        <v>908</v>
      </c>
      <c r="M30" s="13" t="s">
        <v>969</v>
      </c>
      <c r="N30" s="13" t="s">
        <v>970</v>
      </c>
      <c r="O30" s="13" t="s">
        <v>404</v>
      </c>
      <c r="P30" s="13" t="s">
        <v>971</v>
      </c>
      <c r="Q30" s="13" t="s">
        <v>972</v>
      </c>
      <c r="R30" s="13" t="s">
        <v>973</v>
      </c>
      <c r="S30" s="13" t="s">
        <v>974</v>
      </c>
      <c r="U30" t="str">
        <v>Dallas County</v>
      </c>
      <c r="W30" t="str">
        <v>Dallas County</v>
      </c>
    </row>
    <row r="31" spans="2:23">
      <c r="B31" t="s">
        <v>2</v>
      </c>
      <c r="C31" t="s">
        <v>112</v>
      </c>
      <c r="D31" t="s">
        <v>823</v>
      </c>
      <c r="E31" t="str">
        <f t="shared" si="1"/>
        <v>Baldwin County</v>
      </c>
      <c r="F31" t="s">
        <v>113</v>
      </c>
      <c r="G31" t="str">
        <f>INDEX(StateCounties[],MATCH(D31,StateCounties[Alabama],0),MATCH(B31,StateCounties[#Headers],0))</f>
        <v>Baldwin County</v>
      </c>
      <c r="H31">
        <f>MATCH(B31,StateCounties[#Headers],0)</f>
        <v>1</v>
      </c>
      <c r="I31" t="b">
        <f t="shared" si="3"/>
        <v>1</v>
      </c>
      <c r="L31" s="13" t="s">
        <v>975</v>
      </c>
      <c r="M31" s="13" t="s">
        <v>976</v>
      </c>
      <c r="N31" s="13" t="s">
        <v>872</v>
      </c>
      <c r="O31" s="13" t="s">
        <v>395</v>
      </c>
      <c r="P31" s="13" t="s">
        <v>977</v>
      </c>
      <c r="Q31" s="13" t="s">
        <v>978</v>
      </c>
      <c r="R31" s="13" t="s">
        <v>979</v>
      </c>
      <c r="S31" s="13" t="s">
        <v>898</v>
      </c>
      <c r="U31" t="str">
        <v>DeKalb County</v>
      </c>
      <c r="W31" t="str">
        <v>DeKalb County</v>
      </c>
    </row>
    <row r="32" spans="2:23">
      <c r="B32" t="s">
        <v>2</v>
      </c>
      <c r="C32" t="s">
        <v>112</v>
      </c>
      <c r="D32" t="s">
        <v>830</v>
      </c>
      <c r="E32" t="str">
        <f t="shared" si="1"/>
        <v>Barbour County</v>
      </c>
      <c r="F32" t="s">
        <v>114</v>
      </c>
      <c r="G32" t="str">
        <f>INDEX(StateCounties[],MATCH(D32,StateCounties[Alabama],0),MATCH(B32,StateCounties[#Headers],0))</f>
        <v>Barbour County</v>
      </c>
      <c r="H32">
        <f>MATCH(B32,StateCounties[#Headers],0)</f>
        <v>1</v>
      </c>
      <c r="I32" t="b">
        <f t="shared" si="3"/>
        <v>1</v>
      </c>
      <c r="L32" s="13" t="s">
        <v>958</v>
      </c>
      <c r="M32" s="13" t="s">
        <v>967</v>
      </c>
      <c r="N32" s="13" t="s">
        <v>887</v>
      </c>
      <c r="O32" s="13" t="s">
        <v>392</v>
      </c>
      <c r="P32" s="13" t="s">
        <v>980</v>
      </c>
      <c r="Q32" s="13" t="s">
        <v>928</v>
      </c>
      <c r="R32" s="13" t="s">
        <v>981</v>
      </c>
      <c r="S32" s="13" t="s">
        <v>855</v>
      </c>
      <c r="U32" t="str">
        <v>Elmore County</v>
      </c>
      <c r="W32" t="str">
        <v>Elmore County</v>
      </c>
    </row>
    <row r="33" spans="2:23">
      <c r="B33" t="s">
        <v>2</v>
      </c>
      <c r="C33" t="s">
        <v>112</v>
      </c>
      <c r="D33" t="s">
        <v>847</v>
      </c>
      <c r="E33" t="str">
        <f t="shared" si="1"/>
        <v>Bullock County</v>
      </c>
      <c r="F33" t="s">
        <v>115</v>
      </c>
      <c r="G33" t="str">
        <f>INDEX(StateCounties[],MATCH(D33,StateCounties[Alabama],0),MATCH(B33,StateCounties[#Headers],0))</f>
        <v>Bullock County</v>
      </c>
      <c r="H33">
        <f>MATCH(B33,StateCounties[#Headers],0)</f>
        <v>1</v>
      </c>
      <c r="I33" t="b">
        <f t="shared" si="3"/>
        <v>1</v>
      </c>
      <c r="L33" s="13" t="s">
        <v>919</v>
      </c>
      <c r="M33" s="13" t="s">
        <v>982</v>
      </c>
      <c r="N33" s="13" t="s">
        <v>873</v>
      </c>
      <c r="O33" s="13" t="s">
        <v>983</v>
      </c>
      <c r="P33" s="13" t="s">
        <v>984</v>
      </c>
      <c r="Q33" s="13" t="s">
        <v>985</v>
      </c>
      <c r="R33" s="13" t="s">
        <v>937</v>
      </c>
      <c r="S33" s="13" t="s">
        <v>986</v>
      </c>
      <c r="U33" t="str">
        <v>Escambia County</v>
      </c>
      <c r="W33" t="str">
        <v>Escambia County</v>
      </c>
    </row>
    <row r="34" spans="2:23">
      <c r="B34" t="s">
        <v>2</v>
      </c>
      <c r="C34" t="s">
        <v>112</v>
      </c>
      <c r="D34" t="s">
        <v>854</v>
      </c>
      <c r="E34" t="str">
        <f t="shared" si="1"/>
        <v>Butler County</v>
      </c>
      <c r="F34" t="s">
        <v>116</v>
      </c>
      <c r="G34" t="str">
        <f>INDEX(StateCounties[],MATCH(D34,StateCounties[Alabama],0),MATCH(B34,StateCounties[#Headers],0))</f>
        <v>Butler County</v>
      </c>
      <c r="H34">
        <f>MATCH(B34,StateCounties[#Headers],0)</f>
        <v>1</v>
      </c>
      <c r="I34" t="b">
        <f t="shared" si="3"/>
        <v>1</v>
      </c>
      <c r="L34" s="13" t="s">
        <v>987</v>
      </c>
      <c r="M34" s="13" t="s">
        <v>984</v>
      </c>
      <c r="N34" s="13" t="s">
        <v>988</v>
      </c>
      <c r="O34" s="13" t="s">
        <v>437</v>
      </c>
      <c r="P34" s="13" t="s">
        <v>989</v>
      </c>
      <c r="Q34" s="13" t="s">
        <v>990</v>
      </c>
      <c r="R34" s="13" t="s">
        <v>991</v>
      </c>
      <c r="S34" s="13" t="s">
        <v>992</v>
      </c>
      <c r="U34" t="str">
        <v>Etowah County</v>
      </c>
      <c r="W34" t="str">
        <v>Etowah County</v>
      </c>
    </row>
    <row r="35" spans="2:23">
      <c r="B35" t="s">
        <v>2</v>
      </c>
      <c r="C35" t="s">
        <v>112</v>
      </c>
      <c r="D35" t="s">
        <v>866</v>
      </c>
      <c r="E35" t="str">
        <f t="shared" si="1"/>
        <v>Chambers County</v>
      </c>
      <c r="F35" t="s">
        <v>117</v>
      </c>
      <c r="G35" t="str">
        <f>INDEX(StateCounties[],MATCH(D35,StateCounties[Alabama],0),MATCH(B35,StateCounties[#Headers],0))</f>
        <v>Chambers County</v>
      </c>
      <c r="H35">
        <f>MATCH(B35,StateCounties[#Headers],0)</f>
        <v>1</v>
      </c>
      <c r="I35" t="b">
        <f t="shared" si="3"/>
        <v>1</v>
      </c>
      <c r="L35" s="13" t="s">
        <v>937</v>
      </c>
      <c r="M35" s="13" t="s">
        <v>993</v>
      </c>
      <c r="N35" s="13" t="s">
        <v>994</v>
      </c>
      <c r="O35" s="13" t="s">
        <v>415</v>
      </c>
      <c r="P35" s="13" t="s">
        <v>993</v>
      </c>
      <c r="Q35" s="13" t="s">
        <v>995</v>
      </c>
      <c r="R35" s="13" t="s">
        <v>996</v>
      </c>
      <c r="S35" s="13" t="s">
        <v>997</v>
      </c>
      <c r="U35" t="str">
        <v>Fayette County</v>
      </c>
      <c r="W35" t="str">
        <v>Fayette County</v>
      </c>
    </row>
    <row r="36" spans="2:23">
      <c r="B36" t="s">
        <v>2</v>
      </c>
      <c r="C36" t="s">
        <v>112</v>
      </c>
      <c r="D36" t="s">
        <v>872</v>
      </c>
      <c r="E36" t="str">
        <f t="shared" si="1"/>
        <v>Cherokee County</v>
      </c>
      <c r="F36" t="s">
        <v>118</v>
      </c>
      <c r="G36" t="str">
        <f>INDEX(StateCounties[],MATCH(D36,StateCounties[Alabama],0),MATCH(B36,StateCounties[#Headers],0))</f>
        <v>Cherokee County</v>
      </c>
      <c r="H36">
        <f>MATCH(B36,StateCounties[#Headers],0)</f>
        <v>1</v>
      </c>
      <c r="I36" t="b">
        <f t="shared" si="3"/>
        <v>1</v>
      </c>
      <c r="L36" s="13" t="s">
        <v>998</v>
      </c>
      <c r="M36" s="13" t="s">
        <v>999</v>
      </c>
      <c r="N36" s="13" t="s">
        <v>1000</v>
      </c>
      <c r="O36" s="13" t="s">
        <v>430</v>
      </c>
      <c r="P36" s="13" t="s">
        <v>1001</v>
      </c>
      <c r="Q36" s="13" t="s">
        <v>1002</v>
      </c>
      <c r="R36" s="13" t="s">
        <v>947</v>
      </c>
      <c r="S36" s="13" t="s">
        <v>1003</v>
      </c>
      <c r="U36" t="str">
        <v>Franklin County</v>
      </c>
      <c r="W36" t="str">
        <v>Franklin County</v>
      </c>
    </row>
    <row r="37" spans="2:23">
      <c r="B37" t="s">
        <v>2</v>
      </c>
      <c r="C37" t="s">
        <v>112</v>
      </c>
      <c r="D37" t="s">
        <v>875</v>
      </c>
      <c r="E37" t="str">
        <f t="shared" si="1"/>
        <v>Choctaw County</v>
      </c>
      <c r="F37" t="s">
        <v>119</v>
      </c>
      <c r="G37" t="str">
        <f>INDEX(StateCounties[],MATCH(D37,StateCounties[Alabama],0),MATCH(B37,StateCounties[#Headers],0))</f>
        <v>Choctaw County</v>
      </c>
      <c r="H37">
        <f>MATCH(B37,StateCounties[#Headers],0)</f>
        <v>1</v>
      </c>
      <c r="I37" t="b">
        <f t="shared" si="3"/>
        <v>1</v>
      </c>
      <c r="L37" s="13" t="s">
        <v>1004</v>
      </c>
      <c r="M37" s="13" t="s">
        <v>1005</v>
      </c>
      <c r="N37" s="13" t="s">
        <v>907</v>
      </c>
      <c r="O37" s="13" t="s">
        <v>434</v>
      </c>
      <c r="P37" s="13" t="s">
        <v>1006</v>
      </c>
      <c r="Q37" s="13" t="s">
        <v>1007</v>
      </c>
      <c r="R37" s="13" t="s">
        <v>949</v>
      </c>
      <c r="S37" s="13" t="s">
        <v>1008</v>
      </c>
      <c r="U37" t="str">
        <v>Geneva County</v>
      </c>
      <c r="W37" t="str">
        <v>Geneva County</v>
      </c>
    </row>
    <row r="38" spans="2:23">
      <c r="B38" t="s">
        <v>2</v>
      </c>
      <c r="C38" t="s">
        <v>112</v>
      </c>
      <c r="D38" t="s">
        <v>887</v>
      </c>
      <c r="E38" t="str">
        <f t="shared" si="1"/>
        <v>Clarke County</v>
      </c>
      <c r="F38" t="s">
        <v>120</v>
      </c>
      <c r="G38" t="str">
        <f>INDEX(StateCounties[],MATCH(D38,StateCounties[Alabama],0),MATCH(B38,StateCounties[#Headers],0))</f>
        <v>Clarke County</v>
      </c>
      <c r="H38">
        <f>MATCH(B38,StateCounties[#Headers],0)</f>
        <v>1</v>
      </c>
      <c r="I38" t="b">
        <f t="shared" si="3"/>
        <v>1</v>
      </c>
      <c r="L38" s="13" t="s">
        <v>1009</v>
      </c>
      <c r="M38" s="13" t="s">
        <v>1010</v>
      </c>
      <c r="N38" s="13" t="s">
        <v>1011</v>
      </c>
      <c r="O38" s="13" t="s">
        <v>446</v>
      </c>
      <c r="P38" s="13" t="s">
        <v>1012</v>
      </c>
      <c r="Q38" s="13" t="s">
        <v>919</v>
      </c>
      <c r="R38" s="13" t="s">
        <v>1013</v>
      </c>
      <c r="S38" s="13" t="s">
        <v>1014</v>
      </c>
      <c r="U38" t="str">
        <v>Greene County</v>
      </c>
      <c r="W38" t="str">
        <v>Greene County</v>
      </c>
    </row>
    <row r="39" spans="2:23">
      <c r="B39" t="s">
        <v>2</v>
      </c>
      <c r="C39" t="s">
        <v>112</v>
      </c>
      <c r="D39" t="s">
        <v>873</v>
      </c>
      <c r="E39" t="str">
        <f t="shared" si="1"/>
        <v>Clay County</v>
      </c>
      <c r="F39" t="s">
        <v>121</v>
      </c>
      <c r="G39" t="str">
        <f>INDEX(StateCounties[],MATCH(D39,StateCounties[Alabama],0),MATCH(B39,StateCounties[#Headers],0))</f>
        <v>Clay County</v>
      </c>
      <c r="H39">
        <f>MATCH(B39,StateCounties[#Headers],0)</f>
        <v>1</v>
      </c>
      <c r="I39" t="b">
        <f t="shared" si="3"/>
        <v>1</v>
      </c>
      <c r="L39" s="13" t="s">
        <v>984</v>
      </c>
      <c r="M39" s="13" t="s">
        <v>1015</v>
      </c>
      <c r="N39" s="13" t="s">
        <v>885</v>
      </c>
      <c r="O39" s="13" t="s">
        <v>384</v>
      </c>
      <c r="P39" s="13" t="s">
        <v>999</v>
      </c>
      <c r="Q39" s="13" t="s">
        <v>1016</v>
      </c>
      <c r="R39" s="13" t="s">
        <v>1017</v>
      </c>
      <c r="S39" s="13" t="s">
        <v>866</v>
      </c>
      <c r="U39" t="str">
        <v>Hale County</v>
      </c>
      <c r="W39" t="str">
        <v>Hale County</v>
      </c>
    </row>
    <row r="40" spans="2:23">
      <c r="B40" t="s">
        <v>2</v>
      </c>
      <c r="C40" t="s">
        <v>112</v>
      </c>
      <c r="D40" t="s">
        <v>900</v>
      </c>
      <c r="E40" t="str">
        <f t="shared" si="1"/>
        <v>Cleburne County</v>
      </c>
      <c r="F40" t="s">
        <v>122</v>
      </c>
      <c r="G40" t="str">
        <f>INDEX(StateCounties[],MATCH(D40,StateCounties[Alabama],0),MATCH(B40,StateCounties[#Headers],0))</f>
        <v>Cleburne County</v>
      </c>
      <c r="H40">
        <f>MATCH(B40,StateCounties[#Headers],0)</f>
        <v>1</v>
      </c>
      <c r="I40" t="b">
        <f t="shared" si="3"/>
        <v>1</v>
      </c>
      <c r="L40" s="13" t="s">
        <v>993</v>
      </c>
      <c r="M40" s="13" t="s">
        <v>1018</v>
      </c>
      <c r="N40" s="13" t="s">
        <v>1019</v>
      </c>
      <c r="O40" s="13" t="s">
        <v>427</v>
      </c>
      <c r="P40" s="13" t="s">
        <v>1020</v>
      </c>
      <c r="Q40" s="13" t="s">
        <v>1021</v>
      </c>
      <c r="R40" s="13" t="s">
        <v>1022</v>
      </c>
      <c r="S40" s="13" t="s">
        <v>872</v>
      </c>
      <c r="U40" t="str">
        <v>Henry County</v>
      </c>
      <c r="W40" t="str">
        <v>Henry County</v>
      </c>
    </row>
    <row r="41" spans="2:23">
      <c r="B41" t="s">
        <v>2</v>
      </c>
      <c r="C41" t="s">
        <v>112</v>
      </c>
      <c r="D41" t="s">
        <v>907</v>
      </c>
      <c r="E41" t="str">
        <f t="shared" si="1"/>
        <v>Coffee County</v>
      </c>
      <c r="F41" t="s">
        <v>123</v>
      </c>
      <c r="G41" t="str">
        <f>INDEX(StateCounties[],MATCH(D41,StateCounties[Alabama],0),MATCH(B41,StateCounties[#Headers],0))</f>
        <v>Coffee County</v>
      </c>
      <c r="H41">
        <f>MATCH(B41,StateCounties[#Headers],0)</f>
        <v>1</v>
      </c>
      <c r="I41" t="b">
        <f t="shared" si="3"/>
        <v>1</v>
      </c>
      <c r="L41" s="13" t="s">
        <v>1020</v>
      </c>
      <c r="M41" s="13" t="s">
        <v>1023</v>
      </c>
      <c r="N41" s="13" t="s">
        <v>1024</v>
      </c>
      <c r="O41" s="13" t="s">
        <v>386</v>
      </c>
      <c r="P41" s="13" t="s">
        <v>1025</v>
      </c>
      <c r="Q41" s="13" t="s">
        <v>1026</v>
      </c>
      <c r="R41" s="13" t="s">
        <v>1027</v>
      </c>
      <c r="S41" s="13" t="s">
        <v>1028</v>
      </c>
      <c r="U41" t="str">
        <v>Houston County</v>
      </c>
      <c r="W41" t="str">
        <v>Houston County</v>
      </c>
    </row>
    <row r="42" spans="2:23">
      <c r="B42" t="s">
        <v>2</v>
      </c>
      <c r="C42" t="s">
        <v>112</v>
      </c>
      <c r="D42" t="s">
        <v>918</v>
      </c>
      <c r="E42" t="str">
        <f t="shared" si="1"/>
        <v>Conecuh County</v>
      </c>
      <c r="F42" t="s">
        <v>124</v>
      </c>
      <c r="G42" t="str">
        <f>INDEX(StateCounties[],MATCH(D42,StateCounties[Alabama],0),MATCH(B42,StateCounties[#Headers],0))</f>
        <v>Conecuh County</v>
      </c>
      <c r="H42">
        <f>MATCH(B42,StateCounties[#Headers],0)</f>
        <v>1</v>
      </c>
      <c r="I42" t="b">
        <f t="shared" si="3"/>
        <v>1</v>
      </c>
      <c r="L42" s="13" t="s">
        <v>1025</v>
      </c>
      <c r="M42" s="13" t="s">
        <v>1029</v>
      </c>
      <c r="N42" s="13" t="s">
        <v>1030</v>
      </c>
      <c r="O42" s="13" t="s">
        <v>411</v>
      </c>
      <c r="P42" s="13" t="s">
        <v>1031</v>
      </c>
      <c r="Q42" s="13" t="s">
        <v>1032</v>
      </c>
      <c r="R42" s="13" t="s">
        <v>1033</v>
      </c>
      <c r="S42" s="13" t="s">
        <v>873</v>
      </c>
      <c r="U42" t="str">
        <v>Jackson County</v>
      </c>
      <c r="W42" t="str">
        <v>Jackson County</v>
      </c>
    </row>
    <row r="43" spans="2:23">
      <c r="B43" t="s">
        <v>2</v>
      </c>
      <c r="C43" t="s">
        <v>112</v>
      </c>
      <c r="D43" t="s">
        <v>925</v>
      </c>
      <c r="E43" t="str">
        <f t="shared" si="1"/>
        <v>Coosa County</v>
      </c>
      <c r="F43" t="s">
        <v>125</v>
      </c>
      <c r="G43" t="str">
        <f>INDEX(StateCounties[],MATCH(D43,StateCounties[Alabama],0),MATCH(B43,StateCounties[#Headers],0))</f>
        <v>Coosa County</v>
      </c>
      <c r="H43">
        <f>MATCH(B43,StateCounties[#Headers],0)</f>
        <v>1</v>
      </c>
      <c r="I43" t="b">
        <f t="shared" si="3"/>
        <v>1</v>
      </c>
      <c r="L43" s="13" t="s">
        <v>1031</v>
      </c>
      <c r="M43" s="13" t="s">
        <v>1034</v>
      </c>
      <c r="N43" s="13" t="s">
        <v>1035</v>
      </c>
      <c r="O43" s="13" t="s">
        <v>419</v>
      </c>
      <c r="P43" s="13" t="s">
        <v>1036</v>
      </c>
      <c r="Q43" s="13" t="s">
        <v>937</v>
      </c>
      <c r="R43" s="13" t="s">
        <v>1004</v>
      </c>
      <c r="S43" s="13" t="s">
        <v>1037</v>
      </c>
      <c r="U43" t="str">
        <v>Jefferson County</v>
      </c>
      <c r="W43" t="str">
        <v>Jefferson County</v>
      </c>
    </row>
    <row r="44" spans="2:23">
      <c r="B44" t="s">
        <v>2</v>
      </c>
      <c r="C44" t="s">
        <v>112</v>
      </c>
      <c r="D44" t="s">
        <v>910</v>
      </c>
      <c r="E44" t="str">
        <f t="shared" si="1"/>
        <v>Covington County</v>
      </c>
      <c r="F44" t="s">
        <v>126</v>
      </c>
      <c r="G44" t="str">
        <f>INDEX(StateCounties[],MATCH(D44,StateCounties[Alabama],0),MATCH(B44,StateCounties[#Headers],0))</f>
        <v>Covington County</v>
      </c>
      <c r="H44">
        <f>MATCH(B44,StateCounties[#Headers],0)</f>
        <v>1</v>
      </c>
      <c r="I44" t="b">
        <f t="shared" si="3"/>
        <v>1</v>
      </c>
      <c r="L44" s="13" t="s">
        <v>1010</v>
      </c>
      <c r="M44" s="13" t="s">
        <v>1038</v>
      </c>
      <c r="N44" s="13" t="s">
        <v>1039</v>
      </c>
      <c r="O44" s="13" t="s">
        <v>444</v>
      </c>
      <c r="P44" s="13" t="s">
        <v>1010</v>
      </c>
      <c r="Q44" s="13" t="s">
        <v>1040</v>
      </c>
      <c r="R44" s="13" t="s">
        <v>1041</v>
      </c>
      <c r="S44" s="13" t="s">
        <v>1042</v>
      </c>
      <c r="U44" t="str">
        <v>Lamar County</v>
      </c>
      <c r="W44" t="str">
        <v>Lamar County</v>
      </c>
    </row>
    <row r="45" spans="2:23">
      <c r="B45" t="s">
        <v>2</v>
      </c>
      <c r="C45" t="s">
        <v>112</v>
      </c>
      <c r="D45" t="s">
        <v>934</v>
      </c>
      <c r="E45" t="str">
        <f t="shared" si="1"/>
        <v>Crenshaw County</v>
      </c>
      <c r="F45" t="s">
        <v>127</v>
      </c>
      <c r="G45" t="str">
        <f>INDEX(StateCounties[],MATCH(D45,StateCounties[Alabama],0),MATCH(B45,StateCounties[#Headers],0))</f>
        <v>Crenshaw County</v>
      </c>
      <c r="H45">
        <f>MATCH(B45,StateCounties[#Headers],0)</f>
        <v>1</v>
      </c>
      <c r="I45" t="b">
        <f t="shared" si="3"/>
        <v>1</v>
      </c>
      <c r="L45" s="13" t="s">
        <v>1043</v>
      </c>
      <c r="M45" s="13" t="s">
        <v>1044</v>
      </c>
      <c r="N45" s="13" t="s">
        <v>1045</v>
      </c>
      <c r="O45" s="13" t="s">
        <v>433</v>
      </c>
      <c r="P45" s="13" t="s">
        <v>1046</v>
      </c>
      <c r="Q45" s="13" t="s">
        <v>1047</v>
      </c>
      <c r="R45" s="13" t="s">
        <v>1009</v>
      </c>
      <c r="S45" s="13" t="s">
        <v>1048</v>
      </c>
      <c r="U45" t="str">
        <v>Lauderdale County</v>
      </c>
      <c r="W45" t="str">
        <v>Lauderdale County</v>
      </c>
    </row>
    <row r="46" spans="2:23">
      <c r="B46" t="s">
        <v>2</v>
      </c>
      <c r="C46" t="s">
        <v>112</v>
      </c>
      <c r="D46" t="s">
        <v>941</v>
      </c>
      <c r="E46" t="str">
        <f t="shared" si="1"/>
        <v>Cullman County</v>
      </c>
      <c r="F46" t="s">
        <v>128</v>
      </c>
      <c r="G46" t="str">
        <f>INDEX(StateCounties[],MATCH(D46,StateCounties[Alabama],0),MATCH(B46,StateCounties[#Headers],0))</f>
        <v>Cullman County</v>
      </c>
      <c r="H46">
        <f>MATCH(B46,StateCounties[#Headers],0)</f>
        <v>1</v>
      </c>
      <c r="I46" t="b">
        <f t="shared" si="3"/>
        <v>1</v>
      </c>
      <c r="L46" s="13" t="s">
        <v>1049</v>
      </c>
      <c r="M46" s="13" t="s">
        <v>1050</v>
      </c>
      <c r="N46" s="13" t="s">
        <v>932</v>
      </c>
      <c r="O46" s="13" t="s">
        <v>447</v>
      </c>
      <c r="P46" s="13" t="s">
        <v>1051</v>
      </c>
      <c r="Q46" s="13" t="s">
        <v>1052</v>
      </c>
      <c r="R46" s="13" t="s">
        <v>971</v>
      </c>
      <c r="S46" s="13" t="s">
        <v>1053</v>
      </c>
      <c r="U46" t="str">
        <v>Lawrence County</v>
      </c>
      <c r="W46" t="str">
        <v>Lawrence County</v>
      </c>
    </row>
    <row r="47" spans="2:23">
      <c r="B47" t="s">
        <v>2</v>
      </c>
      <c r="C47" t="s">
        <v>112</v>
      </c>
      <c r="D47" t="s">
        <v>946</v>
      </c>
      <c r="E47" t="str">
        <f t="shared" si="1"/>
        <v>Dale County</v>
      </c>
      <c r="F47" t="s">
        <v>129</v>
      </c>
      <c r="G47" t="str">
        <f>INDEX(StateCounties[],MATCH(D47,StateCounties[Alabama],0),MATCH(B47,StateCounties[#Headers],0))</f>
        <v>Dale County</v>
      </c>
      <c r="H47">
        <f>MATCH(B47,StateCounties[#Headers],0)</f>
        <v>1</v>
      </c>
      <c r="I47" t="b">
        <f t="shared" si="3"/>
        <v>1</v>
      </c>
      <c r="L47" s="13" t="s">
        <v>1054</v>
      </c>
      <c r="M47" s="13" t="s">
        <v>1055</v>
      </c>
      <c r="N47" s="13" t="s">
        <v>939</v>
      </c>
      <c r="O47" s="13" t="s">
        <v>385</v>
      </c>
      <c r="P47" s="13" t="s">
        <v>1049</v>
      </c>
      <c r="Q47" s="13" t="s">
        <v>1027</v>
      </c>
      <c r="R47" s="13" t="s">
        <v>984</v>
      </c>
      <c r="S47" s="13" t="s">
        <v>1056</v>
      </c>
      <c r="U47" t="str">
        <v>Lee County</v>
      </c>
      <c r="W47" t="str">
        <v>Lee County</v>
      </c>
    </row>
    <row r="48" spans="2:23">
      <c r="B48" t="s">
        <v>2</v>
      </c>
      <c r="C48" t="s">
        <v>112</v>
      </c>
      <c r="D48" t="s">
        <v>953</v>
      </c>
      <c r="E48" t="str">
        <f t="shared" si="1"/>
        <v>Dallas County</v>
      </c>
      <c r="F48" t="s">
        <v>130</v>
      </c>
      <c r="G48" t="str">
        <f>INDEX(StateCounties[],MATCH(D48,StateCounties[Alabama],0),MATCH(B48,StateCounties[#Headers],0))</f>
        <v>Dallas County</v>
      </c>
      <c r="H48">
        <f>MATCH(B48,StateCounties[#Headers],0)</f>
        <v>1</v>
      </c>
      <c r="I48" t="b">
        <f t="shared" si="3"/>
        <v>1</v>
      </c>
      <c r="L48" s="13" t="s">
        <v>1029</v>
      </c>
      <c r="M48" s="13" t="s">
        <v>1057</v>
      </c>
      <c r="N48" s="13" t="s">
        <v>1058</v>
      </c>
      <c r="O48" s="13" t="s">
        <v>388</v>
      </c>
      <c r="P48" s="13" t="s">
        <v>1029</v>
      </c>
      <c r="Q48" s="13" t="s">
        <v>1033</v>
      </c>
      <c r="R48" s="13" t="s">
        <v>993</v>
      </c>
      <c r="S48" s="13" t="s">
        <v>1059</v>
      </c>
      <c r="U48" t="str">
        <v>Limestone County</v>
      </c>
      <c r="W48" t="str">
        <v>Limestone County</v>
      </c>
    </row>
    <row r="49" spans="2:23">
      <c r="B49" t="s">
        <v>2</v>
      </c>
      <c r="C49" t="s">
        <v>112</v>
      </c>
      <c r="D49" t="s">
        <v>939</v>
      </c>
      <c r="E49" t="str">
        <f t="shared" si="1"/>
        <v>DeKalb County</v>
      </c>
      <c r="F49" t="s">
        <v>131</v>
      </c>
      <c r="G49" t="str">
        <f>INDEX(StateCounties[],MATCH(D49,StateCounties[Alabama],0),MATCH(B49,StateCounties[#Headers],0))</f>
        <v>DeKalb County</v>
      </c>
      <c r="H49">
        <f>MATCH(B49,StateCounties[#Headers],0)</f>
        <v>1</v>
      </c>
      <c r="I49" t="b">
        <f t="shared" si="3"/>
        <v>1</v>
      </c>
      <c r="L49" s="13" t="s">
        <v>1060</v>
      </c>
      <c r="M49" s="13" t="s">
        <v>1061</v>
      </c>
      <c r="N49" s="13" t="s">
        <v>1062</v>
      </c>
      <c r="O49" s="13" t="s">
        <v>416</v>
      </c>
      <c r="P49" s="13" t="s">
        <v>1038</v>
      </c>
      <c r="Q49" s="13" t="s">
        <v>1063</v>
      </c>
      <c r="R49" s="13" t="s">
        <v>1064</v>
      </c>
      <c r="S49" s="13" t="s">
        <v>1065</v>
      </c>
      <c r="U49" t="str">
        <v>Lowndes County</v>
      </c>
      <c r="W49" t="str">
        <v>Lowndes County</v>
      </c>
    </row>
    <row r="50" spans="2:23">
      <c r="B50" t="s">
        <v>2</v>
      </c>
      <c r="C50" t="s">
        <v>112</v>
      </c>
      <c r="D50" t="s">
        <v>908</v>
      </c>
      <c r="E50" t="str">
        <f t="shared" si="1"/>
        <v>Escambia County</v>
      </c>
      <c r="F50" t="s">
        <v>132</v>
      </c>
      <c r="G50" t="str">
        <f>INDEX(StateCounties[],MATCH(D50,StateCounties[Alabama],0),MATCH(B50,StateCounties[#Headers],0))</f>
        <v>Escambia County</v>
      </c>
      <c r="H50">
        <f>MATCH(B50,StateCounties[#Headers],0)</f>
        <v>1</v>
      </c>
      <c r="I50" t="b">
        <f t="shared" si="3"/>
        <v>1</v>
      </c>
      <c r="L50" s="13" t="s">
        <v>1038</v>
      </c>
      <c r="M50" s="13" t="s">
        <v>1066</v>
      </c>
      <c r="N50" s="13" t="s">
        <v>1067</v>
      </c>
      <c r="O50" s="13" t="s">
        <v>390</v>
      </c>
      <c r="P50" s="13" t="s">
        <v>1068</v>
      </c>
      <c r="Q50" s="13" t="s">
        <v>1069</v>
      </c>
      <c r="R50" s="13" t="s">
        <v>1070</v>
      </c>
      <c r="S50" s="13" t="s">
        <v>1071</v>
      </c>
      <c r="U50" t="str">
        <v>Macon County</v>
      </c>
      <c r="W50" t="str">
        <v>Macon County</v>
      </c>
    </row>
    <row r="51" spans="2:23">
      <c r="B51" t="s">
        <v>2</v>
      </c>
      <c r="C51" t="s">
        <v>112</v>
      </c>
      <c r="D51" t="s">
        <v>958</v>
      </c>
      <c r="E51" t="str">
        <f t="shared" si="1"/>
        <v>Fayette County</v>
      </c>
      <c r="F51" t="s">
        <v>133</v>
      </c>
      <c r="G51" t="str">
        <f>INDEX(StateCounties[],MATCH(D51,StateCounties[Alabama],0),MATCH(B51,StateCounties[#Headers],0))</f>
        <v>Fayette County</v>
      </c>
      <c r="H51">
        <f>MATCH(B51,StateCounties[#Headers],0)</f>
        <v>1</v>
      </c>
      <c r="I51" t="b">
        <f t="shared" si="3"/>
        <v>1</v>
      </c>
      <c r="L51" s="13" t="s">
        <v>1068</v>
      </c>
      <c r="M51" s="13" t="s">
        <v>1072</v>
      </c>
      <c r="N51" s="13" t="s">
        <v>1073</v>
      </c>
      <c r="O51" s="13" t="s">
        <v>389</v>
      </c>
      <c r="P51" s="13" t="s">
        <v>1055</v>
      </c>
      <c r="Q51" s="13" t="s">
        <v>1074</v>
      </c>
      <c r="R51" s="13" t="s">
        <v>1005</v>
      </c>
      <c r="S51" s="13" t="s">
        <v>1075</v>
      </c>
      <c r="U51" t="str">
        <v>Madison County</v>
      </c>
      <c r="W51" t="str">
        <v>Madison County</v>
      </c>
    </row>
    <row r="52" spans="2:23">
      <c r="B52" t="s">
        <v>2</v>
      </c>
      <c r="C52" t="s">
        <v>112</v>
      </c>
      <c r="D52" t="s">
        <v>919</v>
      </c>
      <c r="E52" t="str">
        <f t="shared" si="1"/>
        <v>Franklin County</v>
      </c>
      <c r="F52" t="s">
        <v>134</v>
      </c>
      <c r="G52" t="str">
        <f>INDEX(StateCounties[],MATCH(D52,StateCounties[Alabama],0),MATCH(B52,StateCounties[#Headers],0))</f>
        <v>Franklin County</v>
      </c>
      <c r="H52">
        <f>MATCH(B52,StateCounties[#Headers],0)</f>
        <v>1</v>
      </c>
      <c r="I52" t="b">
        <f t="shared" si="3"/>
        <v>1</v>
      </c>
      <c r="L52" s="13" t="s">
        <v>1076</v>
      </c>
      <c r="M52" s="13" t="s">
        <v>1077</v>
      </c>
      <c r="N52" s="13" t="s">
        <v>1078</v>
      </c>
      <c r="O52" s="13" t="s">
        <v>401</v>
      </c>
      <c r="P52" s="13" t="s">
        <v>1079</v>
      </c>
      <c r="Q52" s="13" t="s">
        <v>1080</v>
      </c>
      <c r="R52" s="13" t="s">
        <v>1025</v>
      </c>
      <c r="S52" s="13" t="s">
        <v>1081</v>
      </c>
      <c r="U52" t="str">
        <v>Marengo County</v>
      </c>
      <c r="W52" t="str">
        <v>Marengo County</v>
      </c>
    </row>
    <row r="53" spans="2:23">
      <c r="B53" t="s">
        <v>2</v>
      </c>
      <c r="C53" t="s">
        <v>112</v>
      </c>
      <c r="D53" t="s">
        <v>984</v>
      </c>
      <c r="E53" t="str">
        <f t="shared" si="1"/>
        <v>Jackson County</v>
      </c>
      <c r="F53" t="s">
        <v>135</v>
      </c>
      <c r="G53" t="str">
        <f>INDEX(StateCounties[],MATCH(D53,StateCounties[Alabama],0),MATCH(B53,StateCounties[#Headers],0))</f>
        <v>Jackson County</v>
      </c>
      <c r="H53">
        <f>MATCH(B53,StateCounties[#Headers],0)</f>
        <v>1</v>
      </c>
      <c r="I53" t="b">
        <f t="shared" si="3"/>
        <v>1</v>
      </c>
      <c r="L53" s="13" t="s">
        <v>1055</v>
      </c>
      <c r="M53" s="13" t="s">
        <v>1082</v>
      </c>
      <c r="N53" s="13" t="s">
        <v>1083</v>
      </c>
      <c r="O53" s="13" t="s">
        <v>396</v>
      </c>
      <c r="P53" s="13" t="s">
        <v>1084</v>
      </c>
      <c r="Q53" s="13" t="s">
        <v>984</v>
      </c>
      <c r="R53" s="13" t="s">
        <v>1031</v>
      </c>
      <c r="S53" s="13" t="s">
        <v>1085</v>
      </c>
      <c r="U53" t="str">
        <v>Marion County</v>
      </c>
      <c r="W53" t="str">
        <v>Marion County</v>
      </c>
    </row>
    <row r="54" spans="2:23">
      <c r="B54" t="s">
        <v>2</v>
      </c>
      <c r="C54" t="s">
        <v>112</v>
      </c>
      <c r="D54" t="s">
        <v>1020</v>
      </c>
      <c r="E54" t="str">
        <f t="shared" si="1"/>
        <v>Lamar County</v>
      </c>
      <c r="F54" t="s">
        <v>136</v>
      </c>
      <c r="G54" t="str">
        <f>INDEX(StateCounties[],MATCH(D54,StateCounties[Alabama],0),MATCH(B54,StateCounties[#Headers],0))</f>
        <v>Lamar County</v>
      </c>
      <c r="H54">
        <f>MATCH(B54,StateCounties[#Headers],0)</f>
        <v>1</v>
      </c>
      <c r="I54" t="b">
        <f t="shared" si="3"/>
        <v>1</v>
      </c>
      <c r="L54" s="13" t="s">
        <v>1079</v>
      </c>
      <c r="M54" s="13" t="s">
        <v>1086</v>
      </c>
      <c r="N54" s="13" t="s">
        <v>1087</v>
      </c>
      <c r="O54" s="13" t="s">
        <v>397</v>
      </c>
      <c r="P54" s="13" t="s">
        <v>1088</v>
      </c>
      <c r="Q54" s="13" t="s">
        <v>1089</v>
      </c>
      <c r="R54" s="13" t="s">
        <v>1090</v>
      </c>
      <c r="S54" s="13" t="s">
        <v>1091</v>
      </c>
      <c r="U54" t="str">
        <v>Marshall County</v>
      </c>
      <c r="W54" t="str">
        <v>Marshall County</v>
      </c>
    </row>
    <row r="55" spans="2:23">
      <c r="B55" t="s">
        <v>2</v>
      </c>
      <c r="C55" t="s">
        <v>112</v>
      </c>
      <c r="D55" t="s">
        <v>1054</v>
      </c>
      <c r="E55" t="str">
        <f t="shared" si="1"/>
        <v>Macon County</v>
      </c>
      <c r="F55" t="s">
        <v>137</v>
      </c>
      <c r="G55" t="str">
        <f>INDEX(StateCounties[],MATCH(D55,StateCounties[Alabama],0),MATCH(B55,StateCounties[#Headers],0))</f>
        <v>Macon County</v>
      </c>
      <c r="H55">
        <f>MATCH(B55,StateCounties[#Headers],0)</f>
        <v>1</v>
      </c>
      <c r="I55" t="b">
        <f t="shared" si="3"/>
        <v>1</v>
      </c>
      <c r="L55" s="13" t="s">
        <v>1092</v>
      </c>
      <c r="M55" s="13" t="s">
        <v>1093</v>
      </c>
      <c r="N55" s="13" t="s">
        <v>1094</v>
      </c>
      <c r="O55" s="13" t="s">
        <v>391</v>
      </c>
      <c r="P55" s="13" t="s">
        <v>1095</v>
      </c>
      <c r="Q55" s="13" t="s">
        <v>1006</v>
      </c>
      <c r="R55" s="13" t="s">
        <v>1051</v>
      </c>
      <c r="S55" s="13" t="s">
        <v>1096</v>
      </c>
      <c r="U55" t="str">
        <v>Mobile County</v>
      </c>
      <c r="W55" t="str">
        <v>Mobile County</v>
      </c>
    </row>
    <row r="56" spans="2:23">
      <c r="B56" t="s">
        <v>2</v>
      </c>
      <c r="C56" t="s">
        <v>112</v>
      </c>
      <c r="D56" t="s">
        <v>1038</v>
      </c>
      <c r="E56" t="str">
        <f t="shared" si="1"/>
        <v>Marion County</v>
      </c>
      <c r="F56" t="s">
        <v>138</v>
      </c>
      <c r="G56" t="str">
        <f>INDEX(StateCounties[],MATCH(D56,StateCounties[Alabama],0),MATCH(B56,StateCounties[#Headers],0))</f>
        <v>Marion County</v>
      </c>
      <c r="H56">
        <f>MATCH(B56,StateCounties[#Headers],0)</f>
        <v>1</v>
      </c>
      <c r="I56" t="b">
        <f t="shared" si="3"/>
        <v>1</v>
      </c>
      <c r="L56" s="13" t="s">
        <v>1097</v>
      </c>
      <c r="M56" s="13" t="s">
        <v>1098</v>
      </c>
      <c r="N56" s="13" t="s">
        <v>1099</v>
      </c>
      <c r="O56" s="13" t="s">
        <v>417</v>
      </c>
      <c r="P56" s="13" t="s">
        <v>1100</v>
      </c>
      <c r="Q56" s="13" t="s">
        <v>1010</v>
      </c>
      <c r="R56" s="13" t="s">
        <v>1101</v>
      </c>
      <c r="S56" s="13" t="s">
        <v>916</v>
      </c>
      <c r="U56" t="str">
        <v>Monroe County</v>
      </c>
      <c r="W56" t="str">
        <v>Monroe County</v>
      </c>
    </row>
    <row r="57" spans="2:23">
      <c r="B57" t="s">
        <v>2</v>
      </c>
      <c r="C57" t="s">
        <v>112</v>
      </c>
      <c r="D57" t="s">
        <v>1060</v>
      </c>
      <c r="E57" t="str">
        <f t="shared" si="1"/>
        <v>Marengo County</v>
      </c>
      <c r="F57" t="s">
        <v>139</v>
      </c>
      <c r="G57" t="str">
        <f>INDEX(StateCounties[],MATCH(D57,StateCounties[Alabama],0),MATCH(B57,StateCounties[#Headers],0))</f>
        <v>Marengo County</v>
      </c>
      <c r="H57">
        <f>MATCH(B57,StateCounties[#Headers],0)</f>
        <v>1</v>
      </c>
      <c r="I57" t="b">
        <f t="shared" si="3"/>
        <v>1</v>
      </c>
      <c r="L57" s="13" t="s">
        <v>1102</v>
      </c>
      <c r="M57" s="13" t="s">
        <v>1103</v>
      </c>
      <c r="N57" s="13" t="s">
        <v>1104</v>
      </c>
      <c r="O57" s="13" t="s">
        <v>431</v>
      </c>
      <c r="P57" s="13" t="s">
        <v>1105</v>
      </c>
      <c r="Q57" s="13" t="s">
        <v>1106</v>
      </c>
      <c r="R57" s="13" t="s">
        <v>1107</v>
      </c>
      <c r="S57" s="13" t="s">
        <v>1108</v>
      </c>
      <c r="U57" t="str">
        <v>Montgomery County</v>
      </c>
      <c r="W57" t="str">
        <v>Montgomery County</v>
      </c>
    </row>
    <row r="58" spans="2:23">
      <c r="B58" t="s">
        <v>2</v>
      </c>
      <c r="C58" t="s">
        <v>112</v>
      </c>
      <c r="D58" t="s">
        <v>1068</v>
      </c>
      <c r="E58" t="str">
        <f t="shared" si="1"/>
        <v>Marshall County</v>
      </c>
      <c r="F58" t="s">
        <v>140</v>
      </c>
      <c r="G58" t="str">
        <f>INDEX(StateCounties[],MATCH(D58,StateCounties[Alabama],0),MATCH(B58,StateCounties[#Headers],0))</f>
        <v>Marshall County</v>
      </c>
      <c r="H58">
        <f>MATCH(B58,StateCounties[#Headers],0)</f>
        <v>1</v>
      </c>
      <c r="I58" t="b">
        <f t="shared" si="3"/>
        <v>1</v>
      </c>
      <c r="L58" s="13" t="s">
        <v>1109</v>
      </c>
      <c r="M58" s="13" t="s">
        <v>1110</v>
      </c>
      <c r="N58" s="13" t="s">
        <v>1111</v>
      </c>
      <c r="O58" s="13" t="s">
        <v>393</v>
      </c>
      <c r="P58" s="13" t="s">
        <v>1112</v>
      </c>
      <c r="Q58" s="13" t="s">
        <v>1051</v>
      </c>
      <c r="R58" s="13" t="s">
        <v>1113</v>
      </c>
      <c r="S58" s="13" t="s">
        <v>1114</v>
      </c>
      <c r="U58" t="str">
        <v>Morgan County</v>
      </c>
      <c r="W58" t="str">
        <v>Morgan County</v>
      </c>
    </row>
    <row r="59" spans="2:23">
      <c r="B59" t="s">
        <v>2</v>
      </c>
      <c r="C59" t="s">
        <v>112</v>
      </c>
      <c r="D59" t="s">
        <v>1055</v>
      </c>
      <c r="E59" t="str">
        <f t="shared" si="1"/>
        <v>Monroe County</v>
      </c>
      <c r="F59" t="s">
        <v>141</v>
      </c>
      <c r="G59" t="str">
        <f>INDEX(StateCounties[],MATCH(D59,StateCounties[Alabama],0),MATCH(B59,StateCounties[#Headers],0))</f>
        <v>Monroe County</v>
      </c>
      <c r="H59">
        <f>MATCH(B59,StateCounties[#Headers],0)</f>
        <v>1</v>
      </c>
      <c r="I59" t="b">
        <f t="shared" si="3"/>
        <v>1</v>
      </c>
      <c r="L59" s="13" t="s">
        <v>1115</v>
      </c>
      <c r="M59" s="13" t="s">
        <v>1116</v>
      </c>
      <c r="N59" s="13" t="s">
        <v>958</v>
      </c>
      <c r="O59" s="13" t="s">
        <v>438</v>
      </c>
      <c r="P59" s="13" t="s">
        <v>1097</v>
      </c>
      <c r="Q59" s="13" t="s">
        <v>1117</v>
      </c>
      <c r="R59" s="13" t="s">
        <v>1054</v>
      </c>
      <c r="S59" s="13" t="s">
        <v>1118</v>
      </c>
      <c r="U59" t="str">
        <v>Perry County</v>
      </c>
      <c r="W59" t="str">
        <v>Perry County</v>
      </c>
    </row>
    <row r="60" spans="2:23">
      <c r="B60" t="s">
        <v>2</v>
      </c>
      <c r="C60" t="s">
        <v>112</v>
      </c>
      <c r="D60" t="s">
        <v>1097</v>
      </c>
      <c r="E60" t="str">
        <f t="shared" si="1"/>
        <v>Perry County</v>
      </c>
      <c r="F60" t="s">
        <v>142</v>
      </c>
      <c r="G60" t="str">
        <f>INDEX(StateCounties[],MATCH(D60,StateCounties[Alabama],0),MATCH(B60,StateCounties[#Headers],0))</f>
        <v>Perry County</v>
      </c>
      <c r="H60">
        <f>MATCH(B60,StateCounties[#Headers],0)</f>
        <v>1</v>
      </c>
      <c r="I60" t="b">
        <f t="shared" si="3"/>
        <v>1</v>
      </c>
      <c r="L60" s="13" t="s">
        <v>1119</v>
      </c>
      <c r="M60" s="13" t="s">
        <v>1120</v>
      </c>
      <c r="N60" s="13" t="s">
        <v>1121</v>
      </c>
      <c r="O60" s="13" t="s">
        <v>1122</v>
      </c>
      <c r="P60" s="13" t="s">
        <v>1109</v>
      </c>
      <c r="Q60" s="13" t="s">
        <v>1054</v>
      </c>
      <c r="R60" s="13" t="s">
        <v>1029</v>
      </c>
      <c r="S60" s="13" t="s">
        <v>953</v>
      </c>
      <c r="U60" t="str">
        <v>Pickens County</v>
      </c>
      <c r="W60" t="str">
        <v>Pickens County</v>
      </c>
    </row>
    <row r="61" spans="2:23">
      <c r="B61" t="s">
        <v>2</v>
      </c>
      <c r="C61" t="s">
        <v>112</v>
      </c>
      <c r="D61" t="s">
        <v>1102</v>
      </c>
      <c r="E61" t="str">
        <f t="shared" si="1"/>
        <v>Pickens County</v>
      </c>
      <c r="F61" t="s">
        <v>143</v>
      </c>
      <c r="G61" t="str">
        <f>INDEX(StateCounties[],MATCH(D61,StateCounties[Alabama],0),MATCH(B61,StateCounties[#Headers],0))</f>
        <v>Pickens County</v>
      </c>
      <c r="H61">
        <f>MATCH(B61,StateCounties[#Headers],0)</f>
        <v>1</v>
      </c>
      <c r="I61" t="b">
        <f t="shared" si="3"/>
        <v>1</v>
      </c>
      <c r="L61" s="13" t="s">
        <v>1123</v>
      </c>
      <c r="M61" s="13" t="s">
        <v>1124</v>
      </c>
      <c r="N61" s="13" t="s">
        <v>1007</v>
      </c>
      <c r="O61" s="13" t="s">
        <v>420</v>
      </c>
      <c r="P61" s="13" t="s">
        <v>1125</v>
      </c>
      <c r="Q61" s="13" t="s">
        <v>1029</v>
      </c>
      <c r="R61" s="13" t="s">
        <v>1038</v>
      </c>
      <c r="S61" s="13" t="s">
        <v>1045</v>
      </c>
      <c r="U61" t="str">
        <v>Pike County</v>
      </c>
      <c r="W61" t="str">
        <v>Pike County</v>
      </c>
    </row>
    <row r="62" spans="2:23">
      <c r="B62" t="s">
        <v>2</v>
      </c>
      <c r="C62" t="s">
        <v>112</v>
      </c>
      <c r="D62" t="s">
        <v>1109</v>
      </c>
      <c r="E62" t="str">
        <f t="shared" si="1"/>
        <v>Pike County</v>
      </c>
      <c r="F62" t="s">
        <v>144</v>
      </c>
      <c r="G62" t="str">
        <f>INDEX(StateCounties[],MATCH(D62,StateCounties[Alabama],0),MATCH(B62,StateCounties[#Headers],0))</f>
        <v>Pike County</v>
      </c>
      <c r="H62">
        <f>MATCH(B62,StateCounties[#Headers],0)</f>
        <v>1</v>
      </c>
      <c r="I62" t="b">
        <f t="shared" si="3"/>
        <v>1</v>
      </c>
      <c r="L62" s="13" t="s">
        <v>1126</v>
      </c>
      <c r="M62" s="13" t="s">
        <v>1127</v>
      </c>
      <c r="N62" s="13" t="s">
        <v>919</v>
      </c>
      <c r="O62" s="13" t="s">
        <v>418</v>
      </c>
      <c r="P62" s="13" t="s">
        <v>1128</v>
      </c>
      <c r="Q62" s="13" t="s">
        <v>1044</v>
      </c>
      <c r="R62" s="13" t="s">
        <v>1068</v>
      </c>
      <c r="S62" s="13" t="s">
        <v>1129</v>
      </c>
      <c r="U62" t="str">
        <v>Randolph County</v>
      </c>
      <c r="W62" t="str">
        <v>Randolph County</v>
      </c>
    </row>
    <row r="63" spans="2:23">
      <c r="B63" t="s">
        <v>2</v>
      </c>
      <c r="C63" t="s">
        <v>112</v>
      </c>
      <c r="D63" t="s">
        <v>1115</v>
      </c>
      <c r="E63" t="str">
        <f t="shared" si="1"/>
        <v>Randolph County</v>
      </c>
      <c r="F63" t="s">
        <v>145</v>
      </c>
      <c r="G63" t="str">
        <f>INDEX(StateCounties[],MATCH(D63,StateCounties[Alabama],0),MATCH(B63,StateCounties[#Headers],0))</f>
        <v>Randolph County</v>
      </c>
      <c r="H63">
        <f>MATCH(B63,StateCounties[#Headers],0)</f>
        <v>1</v>
      </c>
      <c r="I63" t="b">
        <f t="shared" si="3"/>
        <v>1</v>
      </c>
      <c r="L63" s="13" t="s">
        <v>1130</v>
      </c>
      <c r="M63" s="13" t="s">
        <v>1130</v>
      </c>
      <c r="N63" s="13" t="s">
        <v>1131</v>
      </c>
      <c r="O63" s="13" t="s">
        <v>441</v>
      </c>
      <c r="P63" s="13" t="s">
        <v>1132</v>
      </c>
      <c r="Q63" s="13" t="s">
        <v>1133</v>
      </c>
      <c r="R63" s="13" t="s">
        <v>1134</v>
      </c>
      <c r="S63" s="13" t="s">
        <v>1135</v>
      </c>
      <c r="U63" t="str">
        <v>Russell County</v>
      </c>
      <c r="W63" t="str">
        <v>Russell County</v>
      </c>
    </row>
    <row r="64" spans="2:23">
      <c r="B64" t="s">
        <v>2</v>
      </c>
      <c r="C64" t="s">
        <v>112</v>
      </c>
      <c r="D64" t="s">
        <v>1130</v>
      </c>
      <c r="E64" t="str">
        <f t="shared" si="1"/>
        <v>Sumter County</v>
      </c>
      <c r="F64" t="s">
        <v>146</v>
      </c>
      <c r="G64" t="str">
        <f>INDEX(StateCounties[],MATCH(D64,StateCounties[Alabama],0),MATCH(B64,StateCounties[#Headers],0))</f>
        <v>Sumter County</v>
      </c>
      <c r="H64">
        <f>MATCH(B64,StateCounties[#Headers],0)</f>
        <v>1</v>
      </c>
      <c r="I64" t="b">
        <f t="shared" si="3"/>
        <v>1</v>
      </c>
      <c r="L64" s="13" t="s">
        <v>1136</v>
      </c>
      <c r="M64" s="13" t="s">
        <v>1137</v>
      </c>
      <c r="N64" s="13" t="s">
        <v>1138</v>
      </c>
      <c r="O64" s="13" t="s">
        <v>409</v>
      </c>
      <c r="P64" s="13" t="s">
        <v>1139</v>
      </c>
      <c r="Q64" s="13" t="s">
        <v>1140</v>
      </c>
      <c r="R64" s="13" t="s">
        <v>1141</v>
      </c>
      <c r="S64" s="13" t="s">
        <v>1142</v>
      </c>
      <c r="U64" t="str">
        <v>St. Clair County</v>
      </c>
      <c r="W64" t="str">
        <v>St. Clair County</v>
      </c>
    </row>
    <row r="65" spans="2:23">
      <c r="B65" t="s">
        <v>2</v>
      </c>
      <c r="C65" t="s">
        <v>112</v>
      </c>
      <c r="D65" t="s">
        <v>1136</v>
      </c>
      <c r="E65" t="str">
        <f t="shared" si="1"/>
        <v>Talladega County</v>
      </c>
      <c r="F65" t="s">
        <v>147</v>
      </c>
      <c r="G65" t="str">
        <f>INDEX(StateCounties[],MATCH(D65,StateCounties[Alabama],0),MATCH(B65,StateCounties[#Headers],0))</f>
        <v>Talladega County</v>
      </c>
      <c r="H65">
        <f>MATCH(B65,StateCounties[#Headers],0)</f>
        <v>1</v>
      </c>
      <c r="I65" t="b">
        <f t="shared" si="3"/>
        <v>1</v>
      </c>
      <c r="L65" s="13" t="s">
        <v>1143</v>
      </c>
      <c r="M65" s="13" t="s">
        <v>1144</v>
      </c>
      <c r="N65" s="13" t="s">
        <v>1145</v>
      </c>
      <c r="O65" s="13" t="s">
        <v>429</v>
      </c>
      <c r="P65" s="13" t="s">
        <v>1146</v>
      </c>
      <c r="Q65" s="13" t="s">
        <v>1079</v>
      </c>
      <c r="R65" s="13" t="s">
        <v>1055</v>
      </c>
      <c r="S65" s="13" t="s">
        <v>1147</v>
      </c>
      <c r="U65" t="str">
        <v>Shelby County</v>
      </c>
      <c r="W65" t="str">
        <v>Shelby County</v>
      </c>
    </row>
    <row r="66" spans="2:23">
      <c r="B66" t="s">
        <v>2</v>
      </c>
      <c r="C66" t="s">
        <v>112</v>
      </c>
      <c r="D66" t="s">
        <v>1143</v>
      </c>
      <c r="E66" t="str">
        <f t="shared" si="1"/>
        <v>Tallapoosa County</v>
      </c>
      <c r="F66" t="s">
        <v>148</v>
      </c>
      <c r="G66" t="str">
        <f>INDEX(StateCounties[],MATCH(D66,StateCounties[Alabama],0),MATCH(B66,StateCounties[#Headers],0))</f>
        <v>Tallapoosa County</v>
      </c>
      <c r="H66">
        <f>MATCH(B66,StateCounties[#Headers],0)</f>
        <v>1</v>
      </c>
      <c r="I66" t="b">
        <f t="shared" si="3"/>
        <v>1</v>
      </c>
      <c r="L66" s="13" t="s">
        <v>1148</v>
      </c>
      <c r="M66" s="13" t="s">
        <v>1149</v>
      </c>
      <c r="N66" s="13" t="s">
        <v>1150</v>
      </c>
      <c r="O66" s="13" t="s">
        <v>412</v>
      </c>
      <c r="P66" s="13" t="s">
        <v>1151</v>
      </c>
      <c r="Q66" s="13" t="s">
        <v>1152</v>
      </c>
      <c r="R66" s="13" t="s">
        <v>1079</v>
      </c>
      <c r="S66" s="13" t="s">
        <v>1153</v>
      </c>
      <c r="U66" t="str">
        <v>Sumter County</v>
      </c>
      <c r="W66" t="str">
        <v>Sumter County</v>
      </c>
    </row>
    <row r="67" spans="2:23">
      <c r="B67" t="s">
        <v>2</v>
      </c>
      <c r="C67" t="s">
        <v>112</v>
      </c>
      <c r="D67" t="s">
        <v>1160</v>
      </c>
      <c r="E67" t="str">
        <f t="shared" ref="E67:E130" si="4">F67&amp; " County"</f>
        <v>Washington County</v>
      </c>
      <c r="F67" t="s">
        <v>59</v>
      </c>
      <c r="G67" t="str">
        <f>INDEX(StateCounties[],MATCH(D67,StateCounties[Alabama],0),MATCH(B67,StateCounties[#Headers],0))</f>
        <v>Washington County</v>
      </c>
      <c r="H67">
        <f>MATCH(B67,StateCounties[#Headers],0)</f>
        <v>1</v>
      </c>
      <c r="I67" t="b">
        <f t="shared" si="3"/>
        <v>1</v>
      </c>
      <c r="L67" s="13" t="s">
        <v>1154</v>
      </c>
      <c r="M67" s="13" t="s">
        <v>1155</v>
      </c>
      <c r="N67" s="13" t="s">
        <v>1156</v>
      </c>
      <c r="O67" s="13" t="s">
        <v>426</v>
      </c>
      <c r="P67" s="13" t="s">
        <v>1157</v>
      </c>
      <c r="Q67" s="13" t="s">
        <v>1158</v>
      </c>
      <c r="R67" s="13" t="s">
        <v>1152</v>
      </c>
      <c r="S67" s="13" t="s">
        <v>1159</v>
      </c>
      <c r="U67" t="str">
        <v>Talladega County</v>
      </c>
      <c r="W67" t="str">
        <v>Talladega County</v>
      </c>
    </row>
    <row r="68" spans="2:23">
      <c r="B68" t="s">
        <v>2</v>
      </c>
      <c r="C68" t="s">
        <v>112</v>
      </c>
      <c r="D68" t="s">
        <v>1166</v>
      </c>
      <c r="E68" t="str">
        <f t="shared" si="4"/>
        <v>Wilcox County</v>
      </c>
      <c r="F68" t="s">
        <v>149</v>
      </c>
      <c r="G68" t="str">
        <f>INDEX(StateCounties[],MATCH(D68,StateCounties[Alabama],0),MATCH(B68,StateCounties[#Headers],0))</f>
        <v>Wilcox County</v>
      </c>
      <c r="H68">
        <f>MATCH(B68,StateCounties[#Headers],0)</f>
        <v>1</v>
      </c>
      <c r="I68" t="b">
        <f t="shared" ref="I68:I131" si="5">E68=D68</f>
        <v>1</v>
      </c>
      <c r="L68" s="13" t="s">
        <v>1160</v>
      </c>
      <c r="M68" s="13" t="s">
        <v>1161</v>
      </c>
      <c r="N68" s="13" t="s">
        <v>1162</v>
      </c>
      <c r="O68" s="13"/>
      <c r="P68" s="13" t="s">
        <v>1163</v>
      </c>
      <c r="Q68" s="13" t="s">
        <v>1164</v>
      </c>
      <c r="R68" s="13" t="s">
        <v>1092</v>
      </c>
      <c r="S68" s="13" t="s">
        <v>1165</v>
      </c>
      <c r="U68" t="str">
        <v>Tallapoosa County</v>
      </c>
      <c r="W68" t="str">
        <v>Tallapoosa County</v>
      </c>
    </row>
    <row r="69" spans="2:23">
      <c r="B69" t="s">
        <v>2</v>
      </c>
      <c r="C69" t="s">
        <v>112</v>
      </c>
      <c r="D69" t="s">
        <v>1171</v>
      </c>
      <c r="E69" t="str">
        <f t="shared" si="4"/>
        <v>Winston County</v>
      </c>
      <c r="F69" t="s">
        <v>150</v>
      </c>
      <c r="G69" t="str">
        <f>INDEX(StateCounties[],MATCH(D69,StateCounties[Alabama],0),MATCH(B69,StateCounties[#Headers],0))</f>
        <v>Winston County</v>
      </c>
      <c r="H69">
        <f>MATCH(B69,StateCounties[#Headers],0)</f>
        <v>1</v>
      </c>
      <c r="I69" t="b">
        <f t="shared" si="5"/>
        <v>1</v>
      </c>
      <c r="L69" s="13" t="s">
        <v>1166</v>
      </c>
      <c r="M69" s="13" t="s">
        <v>1167</v>
      </c>
      <c r="N69" s="13" t="s">
        <v>937</v>
      </c>
      <c r="O69" s="13"/>
      <c r="P69" s="13" t="s">
        <v>1168</v>
      </c>
      <c r="Q69" s="13" t="s">
        <v>1169</v>
      </c>
      <c r="R69" s="13" t="s">
        <v>1170</v>
      </c>
      <c r="S69" s="13" t="s">
        <v>901</v>
      </c>
      <c r="U69" t="str">
        <v>Tuscaloosa County</v>
      </c>
      <c r="W69" t="str">
        <v>Tuscaloosa County</v>
      </c>
    </row>
    <row r="70" spans="2:23">
      <c r="B70" t="s">
        <v>15</v>
      </c>
      <c r="C70" t="s">
        <v>72</v>
      </c>
      <c r="D70" t="s">
        <v>818</v>
      </c>
      <c r="E70" t="str">
        <f t="shared" si="4"/>
        <v>Alachua County</v>
      </c>
      <c r="F70" t="s">
        <v>156</v>
      </c>
      <c r="G70" t="str">
        <f>INDEX(StateCounties[],MATCH(D70,StateCounties[Florida],0),MATCH(B70,StateCounties[#Headers],0))</f>
        <v>Alachua County</v>
      </c>
      <c r="H70">
        <f>MATCH(B70,StateCounties[#Headers],0)</f>
        <v>2</v>
      </c>
      <c r="I70" t="b">
        <f t="shared" si="5"/>
        <v>1</v>
      </c>
      <c r="J70" t="b">
        <f>I70=D70</f>
        <v>0</v>
      </c>
      <c r="L70" s="13" t="s">
        <v>1171</v>
      </c>
      <c r="M70" s="13" t="s">
        <v>1160</v>
      </c>
      <c r="N70" s="13" t="s">
        <v>1172</v>
      </c>
      <c r="O70" s="13"/>
      <c r="P70" s="13" t="s">
        <v>1173</v>
      </c>
      <c r="Q70" s="13" t="s">
        <v>1174</v>
      </c>
      <c r="R70" s="13" t="s">
        <v>1175</v>
      </c>
      <c r="S70" s="13" t="s">
        <v>1176</v>
      </c>
      <c r="U70" t="str">
        <v>Walker County</v>
      </c>
      <c r="W70" t="str">
        <v>Walker County</v>
      </c>
    </row>
    <row r="71" spans="2:23">
      <c r="B71" t="s">
        <v>15</v>
      </c>
      <c r="C71" t="s">
        <v>74</v>
      </c>
      <c r="D71" t="s">
        <v>824</v>
      </c>
      <c r="E71" t="str">
        <f t="shared" si="4"/>
        <v>Baker County</v>
      </c>
      <c r="F71" t="s">
        <v>157</v>
      </c>
      <c r="G71" t="str">
        <f>INDEX(StateCounties[],MATCH(D71,StateCounties[Florida],0),MATCH(B71,StateCounties[#Headers],0))</f>
        <v>Baker County</v>
      </c>
      <c r="H71">
        <f>MATCH(B71,StateCounties[#Headers],0)</f>
        <v>2</v>
      </c>
      <c r="I71" t="b">
        <f t="shared" si="5"/>
        <v>1</v>
      </c>
      <c r="L71" s="13"/>
      <c r="M71" s="13"/>
      <c r="N71" s="13" t="s">
        <v>1177</v>
      </c>
      <c r="O71" s="13"/>
      <c r="P71" s="13" t="s">
        <v>1178</v>
      </c>
      <c r="Q71" s="13" t="s">
        <v>1072</v>
      </c>
      <c r="R71" s="13" t="s">
        <v>1097</v>
      </c>
      <c r="S71" s="13" t="s">
        <v>1179</v>
      </c>
      <c r="U71" t="str">
        <v>Washington County</v>
      </c>
      <c r="W71" t="str">
        <v>Washington County</v>
      </c>
    </row>
    <row r="72" spans="2:23">
      <c r="B72" t="s">
        <v>15</v>
      </c>
      <c r="C72" t="s">
        <v>76</v>
      </c>
      <c r="D72" t="s">
        <v>831</v>
      </c>
      <c r="E72" t="str">
        <f t="shared" si="4"/>
        <v>Bay County</v>
      </c>
      <c r="F72" t="s">
        <v>158</v>
      </c>
      <c r="G72" t="str">
        <f>INDEX(StateCounties[],MATCH(D72,StateCounties[Florida],0),MATCH(B72,StateCounties[#Headers],0))</f>
        <v>Bay County</v>
      </c>
      <c r="H72">
        <f>MATCH(B72,StateCounties[#Headers],0)</f>
        <v>2</v>
      </c>
      <c r="I72" t="b">
        <f t="shared" si="5"/>
        <v>1</v>
      </c>
      <c r="L72" s="13"/>
      <c r="M72" s="13"/>
      <c r="N72" s="13" t="s">
        <v>1180</v>
      </c>
      <c r="O72" s="13"/>
      <c r="P72" s="13" t="s">
        <v>1181</v>
      </c>
      <c r="Q72" s="13" t="s">
        <v>1182</v>
      </c>
      <c r="R72" s="13" t="s">
        <v>1183</v>
      </c>
      <c r="S72" s="13" t="s">
        <v>1184</v>
      </c>
      <c r="U72" t="str">
        <v>Wilcox County</v>
      </c>
      <c r="W72" t="str">
        <v>Wilcox County</v>
      </c>
    </row>
    <row r="73" spans="2:23">
      <c r="B73" t="s">
        <v>15</v>
      </c>
      <c r="C73" t="s">
        <v>84</v>
      </c>
      <c r="D73" t="s">
        <v>838</v>
      </c>
      <c r="E73" t="str">
        <f t="shared" si="4"/>
        <v>Bradford County</v>
      </c>
      <c r="F73" t="s">
        <v>159</v>
      </c>
      <c r="G73" t="str">
        <f>INDEX(StateCounties[],MATCH(D73,StateCounties[Florida],0),MATCH(B73,StateCounties[#Headers],0))</f>
        <v>Bradford County</v>
      </c>
      <c r="H73">
        <f>MATCH(B73,StateCounties[#Headers],0)</f>
        <v>2</v>
      </c>
      <c r="I73" t="b">
        <f t="shared" si="5"/>
        <v>1</v>
      </c>
      <c r="L73" s="13"/>
      <c r="M73" s="13"/>
      <c r="N73" s="13" t="s">
        <v>949</v>
      </c>
      <c r="O73" s="13"/>
      <c r="P73" s="13" t="s">
        <v>1185</v>
      </c>
      <c r="Q73" s="13" t="s">
        <v>1186</v>
      </c>
      <c r="R73" s="13" t="s">
        <v>1098</v>
      </c>
      <c r="S73" s="13" t="s">
        <v>1187</v>
      </c>
      <c r="U73" t="str">
        <v>Winston County</v>
      </c>
      <c r="W73" t="str">
        <v>Winston County</v>
      </c>
    </row>
    <row r="74" spans="2:23">
      <c r="B74" t="s">
        <v>15</v>
      </c>
      <c r="C74" t="s">
        <v>86</v>
      </c>
      <c r="D74" t="s">
        <v>844</v>
      </c>
      <c r="E74" t="str">
        <f t="shared" si="4"/>
        <v>Brevard County</v>
      </c>
      <c r="F74" t="s">
        <v>160</v>
      </c>
      <c r="G74" t="str">
        <f>INDEX(StateCounties[],MATCH(D74,StateCounties[Florida],0),MATCH(B74,StateCounties[#Headers],0))</f>
        <v>Brevard County</v>
      </c>
      <c r="I74" t="b">
        <f t="shared" si="5"/>
        <v>1</v>
      </c>
      <c r="L74" s="13"/>
      <c r="M74" s="13"/>
      <c r="N74" s="13" t="s">
        <v>1188</v>
      </c>
      <c r="O74" s="13"/>
      <c r="P74" s="13" t="s">
        <v>1189</v>
      </c>
      <c r="Q74" s="13" t="s">
        <v>1190</v>
      </c>
      <c r="R74" s="13" t="s">
        <v>1103</v>
      </c>
      <c r="S74" s="13" t="s">
        <v>1191</v>
      </c>
      <c r="U74">
        <v>0</v>
      </c>
      <c r="W74">
        <v>0</v>
      </c>
    </row>
    <row r="75" spans="2:23">
      <c r="B75" t="s">
        <v>15</v>
      </c>
      <c r="C75" t="s">
        <v>89</v>
      </c>
      <c r="D75" t="s">
        <v>848</v>
      </c>
      <c r="E75" t="str">
        <f t="shared" si="4"/>
        <v>Broward County</v>
      </c>
      <c r="F75" t="s">
        <v>161</v>
      </c>
      <c r="G75" t="str">
        <f>INDEX(StateCounties[],MATCH(D75,StateCounties[Florida],0),MATCH(B75,StateCounties[#Headers],0))</f>
        <v>Broward County</v>
      </c>
      <c r="I75" t="b">
        <f t="shared" si="5"/>
        <v>1</v>
      </c>
      <c r="L75" s="13"/>
      <c r="M75" s="13"/>
      <c r="N75" s="13" t="s">
        <v>1192</v>
      </c>
      <c r="O75" s="13"/>
      <c r="P75" s="13" t="s">
        <v>1193</v>
      </c>
      <c r="Q75" s="13" t="s">
        <v>1194</v>
      </c>
      <c r="R75" s="13" t="s">
        <v>1195</v>
      </c>
      <c r="S75" s="13" t="s">
        <v>1196</v>
      </c>
      <c r="U75">
        <v>0</v>
      </c>
      <c r="W75">
        <v>0</v>
      </c>
    </row>
    <row r="76" spans="2:23">
      <c r="B76" t="s">
        <v>15</v>
      </c>
      <c r="C76" t="s">
        <v>93</v>
      </c>
      <c r="D76" t="s">
        <v>855</v>
      </c>
      <c r="E76" t="str">
        <f t="shared" si="4"/>
        <v>Calhoun County</v>
      </c>
      <c r="F76" t="s">
        <v>73</v>
      </c>
      <c r="G76" t="str">
        <f>INDEX(StateCounties[],MATCH(D76,StateCounties[Florida],0),MATCH(B76,StateCounties[#Headers],0))</f>
        <v>Calhoun County</v>
      </c>
      <c r="I76" t="b">
        <f t="shared" si="5"/>
        <v>1</v>
      </c>
      <c r="L76" s="13"/>
      <c r="M76" s="13"/>
      <c r="N76" s="13" t="s">
        <v>1197</v>
      </c>
      <c r="O76" s="13"/>
      <c r="P76" s="13" t="s">
        <v>1149</v>
      </c>
      <c r="Q76" s="13" t="s">
        <v>1198</v>
      </c>
      <c r="R76" s="13" t="s">
        <v>1199</v>
      </c>
      <c r="S76" s="13" t="s">
        <v>1200</v>
      </c>
      <c r="U76">
        <v>0</v>
      </c>
      <c r="W76">
        <v>0</v>
      </c>
    </row>
    <row r="77" spans="2:23">
      <c r="B77" t="s">
        <v>15</v>
      </c>
      <c r="C77" t="s">
        <v>96</v>
      </c>
      <c r="D77" t="s">
        <v>860</v>
      </c>
      <c r="E77" t="str">
        <f t="shared" si="4"/>
        <v>Charlotte County</v>
      </c>
      <c r="F77" t="s">
        <v>162</v>
      </c>
      <c r="G77" t="str">
        <f>INDEX(StateCounties[],MATCH(D77,StateCounties[Florida],0),MATCH(B77,StateCounties[#Headers],0))</f>
        <v>Charlotte County</v>
      </c>
      <c r="I77" t="b">
        <f t="shared" si="5"/>
        <v>1</v>
      </c>
      <c r="L77" s="13"/>
      <c r="M77" s="13"/>
      <c r="N77" s="13" t="s">
        <v>1201</v>
      </c>
      <c r="O77" s="13"/>
      <c r="P77" s="13" t="s">
        <v>1202</v>
      </c>
      <c r="Q77" s="13" t="s">
        <v>1203</v>
      </c>
      <c r="R77" s="13" t="s">
        <v>1204</v>
      </c>
      <c r="S77" s="13" t="s">
        <v>1111</v>
      </c>
      <c r="U77">
        <v>0</v>
      </c>
      <c r="W77">
        <v>0</v>
      </c>
    </row>
    <row r="78" spans="2:23">
      <c r="B78" t="s">
        <v>15</v>
      </c>
      <c r="C78" t="s">
        <v>98</v>
      </c>
      <c r="D78" t="s">
        <v>867</v>
      </c>
      <c r="E78" t="str">
        <f t="shared" si="4"/>
        <v>Citrus County</v>
      </c>
      <c r="F78" t="s">
        <v>163</v>
      </c>
      <c r="G78" t="str">
        <f>INDEX(StateCounties[],MATCH(D78,StateCounties[Florida],0),MATCH(B78,StateCounties[#Headers],0))</f>
        <v>Citrus County</v>
      </c>
      <c r="I78" t="b">
        <f t="shared" si="5"/>
        <v>1</v>
      </c>
      <c r="L78" s="13"/>
      <c r="M78" s="13"/>
      <c r="N78" s="13" t="s">
        <v>1004</v>
      </c>
      <c r="O78" s="13"/>
      <c r="P78" s="13" t="s">
        <v>1205</v>
      </c>
      <c r="Q78" s="13" t="s">
        <v>1098</v>
      </c>
      <c r="R78" s="13" t="s">
        <v>1206</v>
      </c>
      <c r="S78" s="13" t="s">
        <v>958</v>
      </c>
      <c r="U78">
        <v>0</v>
      </c>
      <c r="W78">
        <v>0</v>
      </c>
    </row>
    <row r="79" spans="2:23">
      <c r="B79" t="s">
        <v>15</v>
      </c>
      <c r="C79" t="s">
        <v>101</v>
      </c>
      <c r="D79" t="s">
        <v>873</v>
      </c>
      <c r="E79" t="str">
        <f t="shared" si="4"/>
        <v>Clay County</v>
      </c>
      <c r="F79" t="s">
        <v>121</v>
      </c>
      <c r="G79" t="str">
        <f>INDEX(StateCounties[],MATCH(D79,StateCounties[Florida],0),MATCH(B79,StateCounties[#Headers],0))</f>
        <v>Clay County</v>
      </c>
      <c r="I79" t="b">
        <f t="shared" si="5"/>
        <v>1</v>
      </c>
      <c r="L79" s="13"/>
      <c r="M79" s="13"/>
      <c r="N79" s="13" t="s">
        <v>1009</v>
      </c>
      <c r="O79" s="13"/>
      <c r="P79" s="13" t="s">
        <v>1160</v>
      </c>
      <c r="Q79" s="13" t="s">
        <v>1115</v>
      </c>
      <c r="R79" s="13" t="s">
        <v>1146</v>
      </c>
      <c r="S79" s="13" t="s">
        <v>1207</v>
      </c>
      <c r="U79">
        <v>0</v>
      </c>
      <c r="W79">
        <v>0</v>
      </c>
    </row>
    <row r="80" spans="2:23">
      <c r="B80" t="s">
        <v>15</v>
      </c>
      <c r="C80" t="s">
        <v>103</v>
      </c>
      <c r="D80" t="s">
        <v>880</v>
      </c>
      <c r="E80" t="str">
        <f t="shared" si="4"/>
        <v>Collier County</v>
      </c>
      <c r="F80" t="s">
        <v>164</v>
      </c>
      <c r="G80" t="str">
        <f>INDEX(StateCounties[],MATCH(D80,StateCounties[Florida],0),MATCH(B80,StateCounties[#Headers],0))</f>
        <v>Collier County</v>
      </c>
      <c r="I80" t="b">
        <f t="shared" si="5"/>
        <v>1</v>
      </c>
      <c r="L80" s="13"/>
      <c r="M80" s="13"/>
      <c r="N80" s="13" t="s">
        <v>1208</v>
      </c>
      <c r="O80" s="13"/>
      <c r="P80" s="13" t="s">
        <v>1209</v>
      </c>
      <c r="Q80" s="13" t="s">
        <v>1210</v>
      </c>
      <c r="R80" s="13" t="s">
        <v>1211</v>
      </c>
      <c r="S80" s="13" t="s">
        <v>1121</v>
      </c>
      <c r="U80">
        <v>0</v>
      </c>
      <c r="W80">
        <v>0</v>
      </c>
    </row>
    <row r="81" spans="2:23">
      <c r="B81" t="s">
        <v>15</v>
      </c>
      <c r="C81" t="s">
        <v>108</v>
      </c>
      <c r="D81" t="s">
        <v>885</v>
      </c>
      <c r="E81" t="str">
        <f t="shared" si="4"/>
        <v>Columbia County</v>
      </c>
      <c r="F81" t="s">
        <v>165</v>
      </c>
      <c r="G81" t="str">
        <f>INDEX(StateCounties[],MATCH(D81,StateCounties[Florida],0),MATCH(B81,StateCounties[#Headers],0))</f>
        <v>Columbia County</v>
      </c>
      <c r="I81" t="b">
        <f t="shared" si="5"/>
        <v>1</v>
      </c>
      <c r="L81" s="13"/>
      <c r="M81" s="13"/>
      <c r="N81" s="13" t="s">
        <v>984</v>
      </c>
      <c r="O81" s="13"/>
      <c r="P81" s="13" t="s">
        <v>1212</v>
      </c>
      <c r="Q81" s="13" t="s">
        <v>1213</v>
      </c>
      <c r="R81" s="13" t="s">
        <v>1214</v>
      </c>
      <c r="S81" s="13" t="s">
        <v>1215</v>
      </c>
      <c r="U81">
        <v>0</v>
      </c>
      <c r="W81">
        <v>0</v>
      </c>
    </row>
    <row r="82" spans="2:23">
      <c r="B82" t="s">
        <v>15</v>
      </c>
      <c r="C82" t="s">
        <v>112</v>
      </c>
      <c r="D82" t="s">
        <v>1421</v>
      </c>
      <c r="E82" t="str">
        <f t="shared" si="4"/>
        <v>Desoto County</v>
      </c>
      <c r="F82" t="s">
        <v>166</v>
      </c>
      <c r="G82" t="str">
        <f>INDEX(StateCounties[],MATCH(D82,StateCounties[Florida],0),MATCH(B82,StateCounties[#Headers],0))</f>
        <v>DeSoto County</v>
      </c>
      <c r="I82" t="b">
        <f t="shared" si="5"/>
        <v>1</v>
      </c>
      <c r="L82" s="13"/>
      <c r="M82" s="13"/>
      <c r="N82" s="13" t="s">
        <v>989</v>
      </c>
      <c r="O82" s="13"/>
      <c r="P82" s="13" t="s">
        <v>1216</v>
      </c>
      <c r="Q82" s="13" t="s">
        <v>1217</v>
      </c>
      <c r="R82" s="13" t="s">
        <v>1126</v>
      </c>
      <c r="S82" s="13" t="s">
        <v>1218</v>
      </c>
      <c r="U82">
        <v>0</v>
      </c>
      <c r="W82">
        <v>0</v>
      </c>
    </row>
    <row r="83" spans="2:23">
      <c r="B83" t="s">
        <v>15</v>
      </c>
      <c r="C83" t="s">
        <v>167</v>
      </c>
      <c r="D83" t="s">
        <v>895</v>
      </c>
      <c r="E83" t="str">
        <f t="shared" si="4"/>
        <v>Dixie County</v>
      </c>
      <c r="F83" t="s">
        <v>168</v>
      </c>
      <c r="G83" t="str">
        <f>INDEX(StateCounties[],MATCH(D83,StateCounties[Florida],0),MATCH(B83,StateCounties[#Headers],0))</f>
        <v>Dixie County</v>
      </c>
      <c r="I83" t="b">
        <f t="shared" si="5"/>
        <v>1</v>
      </c>
      <c r="L83" s="13"/>
      <c r="M83" s="13"/>
      <c r="N83" s="13" t="s">
        <v>1219</v>
      </c>
      <c r="O83" s="13"/>
      <c r="P83" s="13" t="s">
        <v>1171</v>
      </c>
      <c r="Q83" s="13" t="s">
        <v>1220</v>
      </c>
      <c r="R83" s="13" t="s">
        <v>1163</v>
      </c>
      <c r="S83" s="13" t="s">
        <v>919</v>
      </c>
      <c r="U83">
        <v>0</v>
      </c>
      <c r="W83">
        <v>0</v>
      </c>
    </row>
    <row r="84" spans="2:23">
      <c r="B84" t="s">
        <v>15</v>
      </c>
      <c r="C84" t="s">
        <v>169</v>
      </c>
      <c r="D84" t="s">
        <v>901</v>
      </c>
      <c r="E84" t="str">
        <f t="shared" si="4"/>
        <v>Duval County</v>
      </c>
      <c r="F84" t="s">
        <v>170</v>
      </c>
      <c r="G84" t="str">
        <f>INDEX(StateCounties[],MATCH(D84,StateCounties[Florida],0),MATCH(B84,StateCounties[#Headers],0))</f>
        <v>Duval County</v>
      </c>
      <c r="I84" t="b">
        <f t="shared" si="5"/>
        <v>1</v>
      </c>
      <c r="L84" s="13"/>
      <c r="M84" s="13"/>
      <c r="N84" s="13" t="s">
        <v>993</v>
      </c>
      <c r="O84" s="13"/>
      <c r="P84" s="13" t="s">
        <v>1221</v>
      </c>
      <c r="Q84" s="13" t="s">
        <v>1206</v>
      </c>
      <c r="R84" s="13" t="s">
        <v>1222</v>
      </c>
      <c r="S84" s="13" t="s">
        <v>1223</v>
      </c>
      <c r="U84">
        <v>0</v>
      </c>
      <c r="W84">
        <v>0</v>
      </c>
    </row>
    <row r="85" spans="2:23">
      <c r="B85" t="s">
        <v>15</v>
      </c>
      <c r="C85" t="s">
        <v>171</v>
      </c>
      <c r="D85" t="s">
        <v>908</v>
      </c>
      <c r="E85" t="str">
        <f t="shared" si="4"/>
        <v>Escambia County</v>
      </c>
      <c r="F85" t="s">
        <v>132</v>
      </c>
      <c r="G85" t="str">
        <f>INDEX(StateCounties[],MATCH(D85,StateCounties[Florida],0),MATCH(B85,StateCounties[#Headers],0))</f>
        <v>Escambia County</v>
      </c>
      <c r="I85" t="b">
        <f t="shared" si="5"/>
        <v>1</v>
      </c>
      <c r="L85" s="13"/>
      <c r="M85" s="13"/>
      <c r="N85" s="13" t="s">
        <v>1224</v>
      </c>
      <c r="O85" s="13"/>
      <c r="P85" s="13" t="s">
        <v>1225</v>
      </c>
      <c r="Q85" s="13" t="s">
        <v>1226</v>
      </c>
      <c r="R85" s="13" t="s">
        <v>1227</v>
      </c>
      <c r="S85" s="13" t="s">
        <v>1228</v>
      </c>
      <c r="U85">
        <v>0</v>
      </c>
      <c r="W85">
        <v>0</v>
      </c>
    </row>
    <row r="86" spans="2:23">
      <c r="B86" t="s">
        <v>15</v>
      </c>
      <c r="C86" t="s">
        <v>172</v>
      </c>
      <c r="D86" t="s">
        <v>914</v>
      </c>
      <c r="E86" t="str">
        <f t="shared" si="4"/>
        <v>Flagler County</v>
      </c>
      <c r="F86" t="s">
        <v>173</v>
      </c>
      <c r="G86" t="str">
        <f>INDEX(StateCounties[],MATCH(D86,StateCounties[Florida],0),MATCH(B86,StateCounties[#Headers],0))</f>
        <v>Flagler County</v>
      </c>
      <c r="I86" t="b">
        <f t="shared" si="5"/>
        <v>1</v>
      </c>
      <c r="L86" s="13"/>
      <c r="M86" s="13"/>
      <c r="N86" s="13" t="s">
        <v>1064</v>
      </c>
      <c r="O86" s="13"/>
      <c r="P86" s="13"/>
      <c r="Q86" s="13" t="s">
        <v>1229</v>
      </c>
      <c r="R86" s="13" t="s">
        <v>1230</v>
      </c>
      <c r="S86" s="13" t="s">
        <v>1231</v>
      </c>
      <c r="U86">
        <v>0</v>
      </c>
      <c r="W86">
        <v>0</v>
      </c>
    </row>
    <row r="87" spans="2:23">
      <c r="B87" t="s">
        <v>15</v>
      </c>
      <c r="C87" t="s">
        <v>174</v>
      </c>
      <c r="D87" t="s">
        <v>919</v>
      </c>
      <c r="E87" t="str">
        <f t="shared" si="4"/>
        <v>Franklin County</v>
      </c>
      <c r="F87" t="s">
        <v>134</v>
      </c>
      <c r="G87" t="str">
        <f>INDEX(StateCounties[],MATCH(D87,StateCounties[Florida],0),MATCH(B87,StateCounties[#Headers],0))</f>
        <v>Franklin County</v>
      </c>
      <c r="I87" t="b">
        <f t="shared" si="5"/>
        <v>1</v>
      </c>
      <c r="L87" s="13"/>
      <c r="M87" s="13"/>
      <c r="N87" s="13" t="s">
        <v>1006</v>
      </c>
      <c r="O87" s="13"/>
      <c r="P87" s="13"/>
      <c r="Q87" s="13" t="s">
        <v>1232</v>
      </c>
      <c r="R87" s="13" t="s">
        <v>1233</v>
      </c>
      <c r="S87" s="13" t="s">
        <v>1234</v>
      </c>
      <c r="U87">
        <v>0</v>
      </c>
      <c r="W87">
        <v>0</v>
      </c>
    </row>
    <row r="88" spans="2:23">
      <c r="B88" t="s">
        <v>15</v>
      </c>
      <c r="C88" t="s">
        <v>175</v>
      </c>
      <c r="D88" t="s">
        <v>926</v>
      </c>
      <c r="E88" t="str">
        <f t="shared" si="4"/>
        <v>Gadsden County</v>
      </c>
      <c r="F88" t="s">
        <v>176</v>
      </c>
      <c r="G88" t="str">
        <f>INDEX(StateCounties[],MATCH(D88,StateCounties[Florida],0),MATCH(B88,StateCounties[#Headers],0))</f>
        <v>Gadsden County</v>
      </c>
      <c r="I88" t="b">
        <f t="shared" si="5"/>
        <v>1</v>
      </c>
      <c r="L88" s="13"/>
      <c r="M88" s="13"/>
      <c r="N88" s="13" t="s">
        <v>1020</v>
      </c>
      <c r="O88" s="13"/>
      <c r="P88" s="13"/>
      <c r="Q88" s="13" t="s">
        <v>1235</v>
      </c>
      <c r="R88" s="13" t="s">
        <v>1236</v>
      </c>
      <c r="S88" s="13" t="s">
        <v>1237</v>
      </c>
      <c r="U88">
        <v>0</v>
      </c>
      <c r="W88">
        <v>0</v>
      </c>
    </row>
    <row r="89" spans="2:23">
      <c r="B89" t="s">
        <v>15</v>
      </c>
      <c r="C89" t="s">
        <v>177</v>
      </c>
      <c r="D89" t="s">
        <v>930</v>
      </c>
      <c r="E89" t="str">
        <f t="shared" si="4"/>
        <v>Gilchrist County</v>
      </c>
      <c r="F89" t="s">
        <v>178</v>
      </c>
      <c r="G89" t="str">
        <f>INDEX(StateCounties[],MATCH(D89,StateCounties[Florida],0),MATCH(B89,StateCounties[#Headers],0))</f>
        <v>Gilchrist County</v>
      </c>
      <c r="I89" t="b">
        <f t="shared" si="5"/>
        <v>1</v>
      </c>
      <c r="L89" s="13"/>
      <c r="M89" s="13"/>
      <c r="N89" s="13" t="s">
        <v>1238</v>
      </c>
      <c r="O89" s="13"/>
      <c r="P89" s="13"/>
      <c r="Q89" s="13" t="s">
        <v>1239</v>
      </c>
      <c r="R89" s="13" t="s">
        <v>1240</v>
      </c>
      <c r="S89" s="13" t="s">
        <v>1241</v>
      </c>
      <c r="U89">
        <v>0</v>
      </c>
      <c r="W89">
        <v>0</v>
      </c>
    </row>
    <row r="90" spans="2:23">
      <c r="B90" t="s">
        <v>15</v>
      </c>
      <c r="C90" t="s">
        <v>179</v>
      </c>
      <c r="D90" t="s">
        <v>935</v>
      </c>
      <c r="E90" t="str">
        <f t="shared" si="4"/>
        <v>Glades County</v>
      </c>
      <c r="F90" t="s">
        <v>180</v>
      </c>
      <c r="G90" t="str">
        <f>INDEX(StateCounties[],MATCH(D90,StateCounties[Florida],0),MATCH(B90,StateCounties[#Headers],0))</f>
        <v>Glades County</v>
      </c>
      <c r="I90" t="b">
        <f t="shared" si="5"/>
        <v>1</v>
      </c>
      <c r="L90" s="13"/>
      <c r="M90" s="13"/>
      <c r="N90" s="13" t="s">
        <v>1242</v>
      </c>
      <c r="O90" s="13"/>
      <c r="P90" s="13"/>
      <c r="Q90" s="13" t="s">
        <v>1243</v>
      </c>
      <c r="R90" s="13" t="s">
        <v>1149</v>
      </c>
      <c r="S90" s="13" t="s">
        <v>1244</v>
      </c>
      <c r="U90">
        <v>0</v>
      </c>
      <c r="W90">
        <v>0</v>
      </c>
    </row>
    <row r="91" spans="2:23">
      <c r="B91" t="s">
        <v>15</v>
      </c>
      <c r="C91" t="s">
        <v>181</v>
      </c>
      <c r="D91" t="s">
        <v>942</v>
      </c>
      <c r="E91" t="str">
        <f t="shared" si="4"/>
        <v>Gulf County</v>
      </c>
      <c r="F91" t="s">
        <v>182</v>
      </c>
      <c r="G91" t="str">
        <f>INDEX(StateCounties[],MATCH(D91,StateCounties[Florida],0),MATCH(B91,StateCounties[#Headers],0))</f>
        <v>Gulf County</v>
      </c>
      <c r="I91" t="b">
        <f t="shared" si="5"/>
        <v>1</v>
      </c>
      <c r="L91" s="13"/>
      <c r="M91" s="13"/>
      <c r="N91" s="13" t="s">
        <v>1010</v>
      </c>
      <c r="O91" s="13"/>
      <c r="P91" s="13"/>
      <c r="Q91" s="13" t="s">
        <v>1245</v>
      </c>
      <c r="R91" s="13" t="s">
        <v>1246</v>
      </c>
      <c r="S91" s="13" t="s">
        <v>1247</v>
      </c>
      <c r="U91">
        <v>0</v>
      </c>
      <c r="W91">
        <v>0</v>
      </c>
    </row>
    <row r="92" spans="2:23">
      <c r="B92" t="s">
        <v>15</v>
      </c>
      <c r="C92" t="s">
        <v>183</v>
      </c>
      <c r="D92" t="s">
        <v>947</v>
      </c>
      <c r="E92" t="str">
        <f t="shared" si="4"/>
        <v>Hamilton County</v>
      </c>
      <c r="F92" t="s">
        <v>184</v>
      </c>
      <c r="G92" t="str">
        <f>INDEX(StateCounties[],MATCH(D92,StateCounties[Florida],0),MATCH(B92,StateCounties[#Headers],0))</f>
        <v>Hamilton County</v>
      </c>
      <c r="I92" t="b">
        <f t="shared" si="5"/>
        <v>1</v>
      </c>
      <c r="L92" s="13"/>
      <c r="M92" s="13"/>
      <c r="N92" s="13" t="s">
        <v>1023</v>
      </c>
      <c r="O92" s="13"/>
      <c r="P92" s="13"/>
      <c r="Q92" s="13" t="s">
        <v>1248</v>
      </c>
      <c r="R92" s="13" t="s">
        <v>1205</v>
      </c>
      <c r="S92" s="13" t="s">
        <v>1249</v>
      </c>
      <c r="U92">
        <v>0</v>
      </c>
      <c r="W92">
        <v>0</v>
      </c>
    </row>
    <row r="93" spans="2:23">
      <c r="B93" t="s">
        <v>15</v>
      </c>
      <c r="C93" t="s">
        <v>185</v>
      </c>
      <c r="D93" t="s">
        <v>954</v>
      </c>
      <c r="E93" t="str">
        <f t="shared" si="4"/>
        <v>Hardee County</v>
      </c>
      <c r="F93" t="s">
        <v>186</v>
      </c>
      <c r="G93" t="str">
        <f>INDEX(StateCounties[],MATCH(D93,StateCounties[Florida],0),MATCH(B93,StateCounties[#Headers],0))</f>
        <v>Hardee County</v>
      </c>
      <c r="I93" t="b">
        <f t="shared" si="5"/>
        <v>1</v>
      </c>
      <c r="L93" s="13"/>
      <c r="M93" s="13"/>
      <c r="N93" s="13" t="s">
        <v>1051</v>
      </c>
      <c r="O93" s="13"/>
      <c r="P93" s="13"/>
      <c r="Q93" s="13" t="s">
        <v>1149</v>
      </c>
      <c r="R93" s="13" t="s">
        <v>1160</v>
      </c>
      <c r="S93" s="13" t="s">
        <v>1250</v>
      </c>
      <c r="U93">
        <v>0</v>
      </c>
      <c r="W93">
        <v>0</v>
      </c>
    </row>
    <row r="94" spans="2:23">
      <c r="B94" t="s">
        <v>15</v>
      </c>
      <c r="C94" t="s">
        <v>187</v>
      </c>
      <c r="D94" t="s">
        <v>959</v>
      </c>
      <c r="E94" t="str">
        <f t="shared" si="4"/>
        <v>Hendry County</v>
      </c>
      <c r="F94" t="s">
        <v>188</v>
      </c>
      <c r="G94" t="str">
        <f>INDEX(StateCounties[],MATCH(D94,StateCounties[Florida],0),MATCH(B94,StateCounties[#Headers],0))</f>
        <v>Hendry County</v>
      </c>
      <c r="I94" t="b">
        <f t="shared" si="5"/>
        <v>1</v>
      </c>
      <c r="L94" s="13"/>
      <c r="M94" s="13"/>
      <c r="N94" s="13" t="s">
        <v>1251</v>
      </c>
      <c r="O94" s="13"/>
      <c r="P94" s="13"/>
      <c r="Q94" s="13" t="s">
        <v>1252</v>
      </c>
      <c r="R94" s="13" t="s">
        <v>1209</v>
      </c>
      <c r="S94" s="13" t="s">
        <v>1253</v>
      </c>
      <c r="U94">
        <v>0</v>
      </c>
      <c r="W94">
        <v>0</v>
      </c>
    </row>
    <row r="95" spans="2:23">
      <c r="B95" t="s">
        <v>15</v>
      </c>
      <c r="C95" t="s">
        <v>189</v>
      </c>
      <c r="D95" t="s">
        <v>965</v>
      </c>
      <c r="E95" t="str">
        <f t="shared" si="4"/>
        <v>Hernando County</v>
      </c>
      <c r="F95" t="s">
        <v>190</v>
      </c>
      <c r="G95" t="str">
        <f>INDEX(StateCounties[],MATCH(D95,StateCounties[Florida],0),MATCH(B95,StateCounties[#Headers],0))</f>
        <v>Hernando County</v>
      </c>
      <c r="I95" t="b">
        <f t="shared" si="5"/>
        <v>1</v>
      </c>
      <c r="L95" s="13"/>
      <c r="M95" s="13"/>
      <c r="N95" s="13" t="s">
        <v>1049</v>
      </c>
      <c r="O95" s="13"/>
      <c r="P95" s="13"/>
      <c r="Q95" s="13" t="s">
        <v>1254</v>
      </c>
      <c r="R95" s="13" t="s">
        <v>1255</v>
      </c>
      <c r="S95" s="13" t="s">
        <v>1256</v>
      </c>
      <c r="U95">
        <v>0</v>
      </c>
      <c r="W95">
        <v>0</v>
      </c>
    </row>
    <row r="96" spans="2:23">
      <c r="B96" t="s">
        <v>15</v>
      </c>
      <c r="C96" t="s">
        <v>191</v>
      </c>
      <c r="D96" t="s">
        <v>969</v>
      </c>
      <c r="E96" t="str">
        <f t="shared" si="4"/>
        <v>Highlands County</v>
      </c>
      <c r="F96" t="s">
        <v>192</v>
      </c>
      <c r="G96" t="str">
        <f>INDEX(StateCounties[],MATCH(D96,StateCounties[Florida],0),MATCH(B96,StateCounties[#Headers],0))</f>
        <v>Highlands County</v>
      </c>
      <c r="I96" t="b">
        <f t="shared" si="5"/>
        <v>1</v>
      </c>
      <c r="L96" s="13"/>
      <c r="M96" s="13"/>
      <c r="N96" s="13" t="s">
        <v>1257</v>
      </c>
      <c r="O96" s="13"/>
      <c r="P96" s="13"/>
      <c r="Q96" s="13" t="s">
        <v>1205</v>
      </c>
      <c r="R96" s="13" t="s">
        <v>1258</v>
      </c>
      <c r="S96" s="13" t="s">
        <v>1259</v>
      </c>
      <c r="U96">
        <v>0</v>
      </c>
      <c r="W96">
        <v>0</v>
      </c>
    </row>
    <row r="97" spans="2:23">
      <c r="B97" t="s">
        <v>15</v>
      </c>
      <c r="C97" t="s">
        <v>193</v>
      </c>
      <c r="D97" t="s">
        <v>976</v>
      </c>
      <c r="E97" t="str">
        <f t="shared" si="4"/>
        <v>Hillsborough County</v>
      </c>
      <c r="F97" t="s">
        <v>194</v>
      </c>
      <c r="G97" t="str">
        <f>INDEX(StateCounties[],MATCH(D97,StateCounties[Florida],0),MATCH(B97,StateCounties[#Headers],0))</f>
        <v>Hillsborough County</v>
      </c>
      <c r="I97" t="b">
        <f t="shared" si="5"/>
        <v>1</v>
      </c>
      <c r="L97" s="13"/>
      <c r="M97" s="13"/>
      <c r="N97" s="13" t="s">
        <v>1260</v>
      </c>
      <c r="O97" s="13"/>
      <c r="P97" s="13"/>
      <c r="Q97" s="13" t="s">
        <v>1160</v>
      </c>
      <c r="R97" s="13" t="s">
        <v>1261</v>
      </c>
      <c r="S97" s="13" t="s">
        <v>1262</v>
      </c>
      <c r="U97">
        <v>0</v>
      </c>
      <c r="W97">
        <v>0</v>
      </c>
    </row>
    <row r="98" spans="2:23">
      <c r="B98" t="s">
        <v>15</v>
      </c>
      <c r="C98" t="s">
        <v>195</v>
      </c>
      <c r="D98" t="s">
        <v>967</v>
      </c>
      <c r="E98" t="str">
        <f t="shared" si="4"/>
        <v>Holmes County</v>
      </c>
      <c r="F98" t="s">
        <v>196</v>
      </c>
      <c r="G98" t="str">
        <f>INDEX(StateCounties[],MATCH(D98,StateCounties[Florida],0),MATCH(B98,StateCounties[#Headers],0))</f>
        <v>Holmes County</v>
      </c>
      <c r="I98" t="b">
        <f t="shared" si="5"/>
        <v>1</v>
      </c>
      <c r="L98" s="13"/>
      <c r="M98" s="13"/>
      <c r="N98" s="13" t="s">
        <v>1263</v>
      </c>
      <c r="O98" s="13"/>
      <c r="P98" s="13"/>
      <c r="Q98" s="13" t="s">
        <v>1264</v>
      </c>
      <c r="R98" s="13" t="s">
        <v>1265</v>
      </c>
      <c r="S98" s="13" t="s">
        <v>998</v>
      </c>
      <c r="U98">
        <v>0</v>
      </c>
      <c r="W98">
        <v>0</v>
      </c>
    </row>
    <row r="99" spans="2:23">
      <c r="B99" t="s">
        <v>15</v>
      </c>
      <c r="C99" t="s">
        <v>197</v>
      </c>
      <c r="D99" t="s">
        <v>982</v>
      </c>
      <c r="E99" t="str">
        <f t="shared" si="4"/>
        <v>Indian River County</v>
      </c>
      <c r="F99" t="s">
        <v>198</v>
      </c>
      <c r="G99" t="str">
        <f>INDEX(StateCounties[],MATCH(D99,StateCounties[Florida],0),MATCH(B99,StateCounties[#Headers],0))</f>
        <v>Indian River County</v>
      </c>
      <c r="I99" t="b">
        <f t="shared" si="5"/>
        <v>1</v>
      </c>
      <c r="L99" s="13"/>
      <c r="M99" s="13"/>
      <c r="N99" s="13" t="s">
        <v>1054</v>
      </c>
      <c r="O99" s="13"/>
      <c r="P99" s="13"/>
      <c r="Q99" s="13" t="s">
        <v>1209</v>
      </c>
      <c r="R99" s="13"/>
      <c r="S99" s="13" t="s">
        <v>1180</v>
      </c>
      <c r="U99">
        <v>0</v>
      </c>
      <c r="W99">
        <v>0</v>
      </c>
    </row>
    <row r="100" spans="2:23">
      <c r="B100" t="s">
        <v>15</v>
      </c>
      <c r="C100" t="s">
        <v>199</v>
      </c>
      <c r="D100" t="s">
        <v>984</v>
      </c>
      <c r="E100" t="str">
        <f t="shared" si="4"/>
        <v>Jackson County</v>
      </c>
      <c r="F100" t="s">
        <v>135</v>
      </c>
      <c r="G100" t="str">
        <f>INDEX(StateCounties[],MATCH(D100,StateCounties[Florida],0),MATCH(B100,StateCounties[#Headers],0))</f>
        <v>Jackson County</v>
      </c>
      <c r="I100" t="b">
        <f t="shared" si="5"/>
        <v>1</v>
      </c>
      <c r="L100" s="13"/>
      <c r="M100" s="13"/>
      <c r="N100" s="13" t="s">
        <v>1029</v>
      </c>
      <c r="O100" s="13"/>
      <c r="P100" s="13"/>
      <c r="Q100" s="13" t="s">
        <v>1266</v>
      </c>
      <c r="R100" s="13"/>
      <c r="S100" s="13" t="s">
        <v>947</v>
      </c>
      <c r="U100">
        <v>0</v>
      </c>
      <c r="W100">
        <v>0</v>
      </c>
    </row>
    <row r="101" spans="2:23">
      <c r="B101" t="s">
        <v>15</v>
      </c>
      <c r="C101" t="s">
        <v>200</v>
      </c>
      <c r="D101" t="s">
        <v>993</v>
      </c>
      <c r="E101" t="str">
        <f t="shared" si="4"/>
        <v>Jefferson County</v>
      </c>
      <c r="F101" t="s">
        <v>80</v>
      </c>
      <c r="G101" t="str">
        <f>INDEX(StateCounties[],MATCH(D101,StateCounties[Florida],0),MATCH(B101,StateCounties[#Headers],0))</f>
        <v>Jefferson County</v>
      </c>
      <c r="I101" t="b">
        <f t="shared" si="5"/>
        <v>1</v>
      </c>
      <c r="L101" s="13"/>
      <c r="M101" s="13"/>
      <c r="N101" s="13" t="s">
        <v>1038</v>
      </c>
      <c r="O101" s="13"/>
      <c r="P101" s="13"/>
      <c r="Q101" s="13" t="s">
        <v>1265</v>
      </c>
      <c r="R101" s="13"/>
      <c r="S101" s="13" t="s">
        <v>1267</v>
      </c>
      <c r="U101">
        <v>0</v>
      </c>
      <c r="W101">
        <v>0</v>
      </c>
    </row>
    <row r="102" spans="2:23">
      <c r="B102" t="s">
        <v>15</v>
      </c>
      <c r="C102" t="s">
        <v>201</v>
      </c>
      <c r="D102" t="s">
        <v>999</v>
      </c>
      <c r="E102" t="str">
        <f t="shared" si="4"/>
        <v>Lafayette County</v>
      </c>
      <c r="F102" t="s">
        <v>202</v>
      </c>
      <c r="G102" t="str">
        <f>INDEX(StateCounties[],MATCH(D102,StateCounties[Florida],0),MATCH(B102,StateCounties[#Headers],0))</f>
        <v>Lafayette County</v>
      </c>
      <c r="I102" t="b">
        <f t="shared" si="5"/>
        <v>1</v>
      </c>
      <c r="L102" s="13"/>
      <c r="M102" s="13"/>
      <c r="N102" s="13" t="s">
        <v>1268</v>
      </c>
      <c r="O102" s="13"/>
      <c r="P102" s="13"/>
      <c r="Q102" s="13" t="s">
        <v>1269</v>
      </c>
      <c r="R102" s="13"/>
      <c r="S102" s="13" t="s">
        <v>1013</v>
      </c>
      <c r="U102">
        <v>0</v>
      </c>
      <c r="W102">
        <v>0</v>
      </c>
    </row>
    <row r="103" spans="2:23">
      <c r="B103" t="s">
        <v>15</v>
      </c>
      <c r="C103" t="s">
        <v>203</v>
      </c>
      <c r="D103" t="s">
        <v>1005</v>
      </c>
      <c r="E103" t="str">
        <f t="shared" si="4"/>
        <v>Lake County</v>
      </c>
      <c r="F103" t="s">
        <v>204</v>
      </c>
      <c r="G103" t="str">
        <f>INDEX(StateCounties[],MATCH(D103,StateCounties[Florida],0),MATCH(B103,StateCounties[#Headers],0))</f>
        <v>Lake County</v>
      </c>
      <c r="I103" t="b">
        <f t="shared" si="5"/>
        <v>1</v>
      </c>
      <c r="L103" s="13"/>
      <c r="M103" s="13"/>
      <c r="N103" s="13" t="s">
        <v>1270</v>
      </c>
      <c r="O103" s="13"/>
      <c r="P103" s="13"/>
      <c r="Q103" s="13" t="s">
        <v>1271</v>
      </c>
      <c r="R103" s="13"/>
      <c r="S103" s="13" t="s">
        <v>1017</v>
      </c>
      <c r="U103">
        <v>0</v>
      </c>
      <c r="W103">
        <v>0</v>
      </c>
    </row>
    <row r="104" spans="2:23">
      <c r="B104" t="s">
        <v>15</v>
      </c>
      <c r="C104" t="s">
        <v>205</v>
      </c>
      <c r="D104" t="s">
        <v>1010</v>
      </c>
      <c r="E104" t="str">
        <f t="shared" si="4"/>
        <v>Lee County</v>
      </c>
      <c r="F104" t="s">
        <v>75</v>
      </c>
      <c r="G104" t="str">
        <f>INDEX(StateCounties[],MATCH(D104,StateCounties[Florida],0),MATCH(B104,StateCounties[#Headers],0))</f>
        <v>Lee County</v>
      </c>
      <c r="I104" t="b">
        <f t="shared" si="5"/>
        <v>1</v>
      </c>
      <c r="L104" s="13"/>
      <c r="M104" s="13"/>
      <c r="N104" s="13" t="s">
        <v>1140</v>
      </c>
      <c r="O104" s="13"/>
      <c r="P104" s="13"/>
      <c r="Q104" s="13"/>
      <c r="R104" s="13"/>
      <c r="S104" s="13" t="s">
        <v>1192</v>
      </c>
      <c r="U104">
        <v>0</v>
      </c>
      <c r="W104">
        <v>0</v>
      </c>
    </row>
    <row r="105" spans="2:23">
      <c r="B105" t="s">
        <v>15</v>
      </c>
      <c r="C105" t="s">
        <v>206</v>
      </c>
      <c r="D105" t="s">
        <v>1015</v>
      </c>
      <c r="E105" t="str">
        <f t="shared" si="4"/>
        <v>Leon County</v>
      </c>
      <c r="F105" t="s">
        <v>207</v>
      </c>
      <c r="G105" t="str">
        <f>INDEX(StateCounties[],MATCH(D105,StateCounties[Florida],0),MATCH(B105,StateCounties[#Headers],0))</f>
        <v>Leon County</v>
      </c>
      <c r="I105" t="b">
        <f t="shared" si="5"/>
        <v>1</v>
      </c>
      <c r="L105" s="13"/>
      <c r="M105" s="13"/>
      <c r="N105" s="13" t="s">
        <v>1055</v>
      </c>
      <c r="O105" s="13"/>
      <c r="P105" s="13"/>
      <c r="Q105" s="13"/>
      <c r="R105" s="13"/>
      <c r="S105" s="13" t="s">
        <v>956</v>
      </c>
      <c r="U105">
        <v>0</v>
      </c>
      <c r="W105">
        <v>0</v>
      </c>
    </row>
    <row r="106" spans="2:23">
      <c r="B106" t="s">
        <v>15</v>
      </c>
      <c r="C106" t="s">
        <v>208</v>
      </c>
      <c r="D106" t="s">
        <v>1018</v>
      </c>
      <c r="E106" t="str">
        <f t="shared" si="4"/>
        <v>Levy County</v>
      </c>
      <c r="F106" t="s">
        <v>209</v>
      </c>
      <c r="G106" t="str">
        <f>INDEX(StateCounties[],MATCH(D106,StateCounties[Florida],0),MATCH(B106,StateCounties[#Headers],0))</f>
        <v>Levy County</v>
      </c>
      <c r="I106" t="b">
        <f t="shared" si="5"/>
        <v>1</v>
      </c>
      <c r="L106" s="13"/>
      <c r="M106" s="13"/>
      <c r="N106" s="13" t="s">
        <v>1079</v>
      </c>
      <c r="O106" s="13"/>
      <c r="P106" s="13"/>
      <c r="Q106" s="13"/>
      <c r="R106" s="13"/>
      <c r="S106" s="13" t="s">
        <v>1272</v>
      </c>
      <c r="U106">
        <v>0</v>
      </c>
      <c r="W106">
        <v>0</v>
      </c>
    </row>
    <row r="107" spans="2:23">
      <c r="B107" t="s">
        <v>15</v>
      </c>
      <c r="C107" t="s">
        <v>210</v>
      </c>
      <c r="D107" t="s">
        <v>1023</v>
      </c>
      <c r="E107" t="str">
        <f t="shared" si="4"/>
        <v>Liberty County</v>
      </c>
      <c r="F107" t="s">
        <v>211</v>
      </c>
      <c r="G107" t="str">
        <f>INDEX(StateCounties[],MATCH(D107,StateCounties[Florida],0),MATCH(B107,StateCounties[#Headers],0))</f>
        <v>Liberty County</v>
      </c>
      <c r="I107" t="b">
        <f t="shared" si="5"/>
        <v>1</v>
      </c>
      <c r="L107" s="13"/>
      <c r="M107" s="13"/>
      <c r="N107" s="13" t="s">
        <v>1092</v>
      </c>
      <c r="O107" s="13"/>
      <c r="P107" s="13"/>
      <c r="Q107" s="13"/>
      <c r="R107" s="13"/>
      <c r="S107" s="13" t="s">
        <v>1273</v>
      </c>
      <c r="U107">
        <v>0</v>
      </c>
      <c r="W107">
        <v>0</v>
      </c>
    </row>
    <row r="108" spans="2:23">
      <c r="B108" t="s">
        <v>15</v>
      </c>
      <c r="C108" t="s">
        <v>212</v>
      </c>
      <c r="D108" t="s">
        <v>1029</v>
      </c>
      <c r="E108" t="str">
        <f t="shared" si="4"/>
        <v>Madison County</v>
      </c>
      <c r="F108" t="s">
        <v>100</v>
      </c>
      <c r="G108" t="str">
        <f>INDEX(StateCounties[],MATCH(D108,StateCounties[Florida],0),MATCH(B108,StateCounties[#Headers],0))</f>
        <v>Madison County</v>
      </c>
      <c r="I108" t="b">
        <f t="shared" si="5"/>
        <v>1</v>
      </c>
      <c r="L108" s="13"/>
      <c r="M108" s="13"/>
      <c r="N108" s="13" t="s">
        <v>1274</v>
      </c>
      <c r="O108" s="13"/>
      <c r="P108" s="13"/>
      <c r="Q108" s="13"/>
      <c r="R108" s="13"/>
      <c r="S108" s="13" t="s">
        <v>1275</v>
      </c>
      <c r="U108">
        <v>0</v>
      </c>
      <c r="W108">
        <v>0</v>
      </c>
    </row>
    <row r="109" spans="2:23">
      <c r="B109" t="s">
        <v>15</v>
      </c>
      <c r="C109" t="s">
        <v>213</v>
      </c>
      <c r="D109" t="s">
        <v>1034</v>
      </c>
      <c r="E109" t="str">
        <f t="shared" si="4"/>
        <v>Manatee County</v>
      </c>
      <c r="F109" t="s">
        <v>214</v>
      </c>
      <c r="G109" t="str">
        <f>INDEX(StateCounties[],MATCH(D109,StateCounties[Florida],0),MATCH(B109,StateCounties[#Headers],0))</f>
        <v>Manatee County</v>
      </c>
      <c r="I109" t="b">
        <f t="shared" si="5"/>
        <v>1</v>
      </c>
      <c r="L109" s="13"/>
      <c r="M109" s="13"/>
      <c r="N109" s="13" t="s">
        <v>1276</v>
      </c>
      <c r="O109" s="13"/>
      <c r="P109" s="13"/>
      <c r="Q109" s="13"/>
      <c r="R109" s="13"/>
      <c r="S109" s="13" t="s">
        <v>1277</v>
      </c>
      <c r="U109">
        <v>0</v>
      </c>
      <c r="W109">
        <v>0</v>
      </c>
    </row>
    <row r="110" spans="2:23">
      <c r="B110" t="s">
        <v>15</v>
      </c>
      <c r="C110" t="s">
        <v>215</v>
      </c>
      <c r="D110" t="s">
        <v>1038</v>
      </c>
      <c r="E110" t="str">
        <f t="shared" si="4"/>
        <v>Marion County</v>
      </c>
      <c r="F110" t="s">
        <v>138</v>
      </c>
      <c r="G110" t="str">
        <f>INDEX(StateCounties[],MATCH(D110,StateCounties[Florida],0),MATCH(B110,StateCounties[#Headers],0))</f>
        <v>Marion County</v>
      </c>
      <c r="I110" t="b">
        <f t="shared" si="5"/>
        <v>1</v>
      </c>
      <c r="L110" s="13"/>
      <c r="M110" s="13"/>
      <c r="N110" s="13" t="s">
        <v>1088</v>
      </c>
      <c r="O110" s="13"/>
      <c r="P110" s="13"/>
      <c r="Q110" s="13"/>
      <c r="R110" s="13"/>
      <c r="S110" s="13" t="s">
        <v>1033</v>
      </c>
      <c r="U110">
        <v>0</v>
      </c>
      <c r="W110">
        <v>0</v>
      </c>
    </row>
    <row r="111" spans="2:23">
      <c r="B111" t="s">
        <v>15</v>
      </c>
      <c r="C111" t="s">
        <v>216</v>
      </c>
      <c r="D111" t="s">
        <v>1044</v>
      </c>
      <c r="E111" t="str">
        <f t="shared" si="4"/>
        <v>Martin County</v>
      </c>
      <c r="F111" t="s">
        <v>217</v>
      </c>
      <c r="G111" t="str">
        <f>INDEX(StateCounties[],MATCH(D111,StateCounties[Florida],0),MATCH(B111,StateCounties[#Headers],0))</f>
        <v>Martin County</v>
      </c>
      <c r="I111" t="b">
        <f t="shared" si="5"/>
        <v>1</v>
      </c>
      <c r="L111" s="13"/>
      <c r="M111" s="13"/>
      <c r="N111" s="13" t="s">
        <v>1278</v>
      </c>
      <c r="O111" s="13"/>
      <c r="P111" s="13"/>
      <c r="Q111" s="13"/>
      <c r="R111" s="13"/>
      <c r="S111" s="13" t="s">
        <v>1279</v>
      </c>
      <c r="U111">
        <v>0</v>
      </c>
      <c r="W111">
        <v>0</v>
      </c>
    </row>
    <row r="112" spans="2:23">
      <c r="B112" t="s">
        <v>15</v>
      </c>
      <c r="C112" t="s">
        <v>218</v>
      </c>
      <c r="D112" t="s">
        <v>1050</v>
      </c>
      <c r="E112" t="str">
        <f t="shared" si="4"/>
        <v>Miami-Dade County</v>
      </c>
      <c r="F112" t="s">
        <v>219</v>
      </c>
      <c r="G112" t="str">
        <f>INDEX(StateCounties[],MATCH(D112,StateCounties[Florida],0),MATCH(B112,StateCounties[#Headers],0))</f>
        <v>Miami-Dade County</v>
      </c>
      <c r="I112" t="b">
        <f t="shared" si="5"/>
        <v>1</v>
      </c>
      <c r="L112" s="13"/>
      <c r="M112" s="13"/>
      <c r="N112" s="13" t="s">
        <v>1280</v>
      </c>
      <c r="O112" s="13"/>
      <c r="P112" s="13"/>
      <c r="Q112" s="13"/>
      <c r="R112" s="13"/>
      <c r="S112" s="13" t="s">
        <v>1281</v>
      </c>
      <c r="U112">
        <v>0</v>
      </c>
      <c r="W112">
        <v>0</v>
      </c>
    </row>
    <row r="113" spans="2:23">
      <c r="B113" t="s">
        <v>15</v>
      </c>
      <c r="C113" t="s">
        <v>220</v>
      </c>
      <c r="D113" t="s">
        <v>1055</v>
      </c>
      <c r="E113" t="str">
        <f t="shared" si="4"/>
        <v>Monroe County</v>
      </c>
      <c r="F113" t="s">
        <v>141</v>
      </c>
      <c r="G113" t="str">
        <f>INDEX(StateCounties[],MATCH(D113,StateCounties[Florida],0),MATCH(B113,StateCounties[#Headers],0))</f>
        <v>Monroe County</v>
      </c>
      <c r="I113" t="b">
        <f t="shared" si="5"/>
        <v>1</v>
      </c>
      <c r="L113" s="13"/>
      <c r="M113" s="13"/>
      <c r="N113" s="13" t="s">
        <v>1282</v>
      </c>
      <c r="O113" s="13"/>
      <c r="P113" s="13"/>
      <c r="Q113" s="13"/>
      <c r="R113" s="13"/>
      <c r="S113" s="13" t="s">
        <v>1283</v>
      </c>
      <c r="U113">
        <v>0</v>
      </c>
      <c r="W113">
        <v>0</v>
      </c>
    </row>
    <row r="114" spans="2:23">
      <c r="B114" t="s">
        <v>15</v>
      </c>
      <c r="C114" t="s">
        <v>221</v>
      </c>
      <c r="D114" t="s">
        <v>1057</v>
      </c>
      <c r="E114" t="str">
        <f t="shared" si="4"/>
        <v>Nassau County</v>
      </c>
      <c r="F114" t="s">
        <v>222</v>
      </c>
      <c r="G114" t="str">
        <f>INDEX(StateCounties[],MATCH(D114,StateCounties[Florida],0),MATCH(B114,StateCounties[#Headers],0))</f>
        <v>Nassau County</v>
      </c>
      <c r="I114" t="b">
        <f t="shared" si="5"/>
        <v>1</v>
      </c>
      <c r="L114" s="13"/>
      <c r="M114" s="13"/>
      <c r="N114" s="13" t="s">
        <v>1284</v>
      </c>
      <c r="O114" s="13"/>
      <c r="P114" s="13"/>
      <c r="Q114" s="13"/>
      <c r="R114" s="13"/>
      <c r="S114" s="13" t="s">
        <v>1285</v>
      </c>
      <c r="U114">
        <v>0</v>
      </c>
      <c r="W114">
        <v>0</v>
      </c>
    </row>
    <row r="115" spans="2:23">
      <c r="B115" t="s">
        <v>15</v>
      </c>
      <c r="C115" t="s">
        <v>223</v>
      </c>
      <c r="D115" t="s">
        <v>1061</v>
      </c>
      <c r="E115" t="str">
        <f t="shared" si="4"/>
        <v>Okaloosa County</v>
      </c>
      <c r="F115" t="s">
        <v>224</v>
      </c>
      <c r="G115" t="str">
        <f>INDEX(StateCounties[],MATCH(D115,StateCounties[Florida],0),MATCH(B115,StateCounties[#Headers],0))</f>
        <v>Okaloosa County</v>
      </c>
      <c r="I115" t="b">
        <f t="shared" si="5"/>
        <v>1</v>
      </c>
      <c r="L115" s="13"/>
      <c r="M115" s="13"/>
      <c r="N115" s="13" t="s">
        <v>1102</v>
      </c>
      <c r="O115" s="13"/>
      <c r="P115" s="13"/>
      <c r="Q115" s="13"/>
      <c r="R115" s="13"/>
      <c r="S115" s="13" t="s">
        <v>1286</v>
      </c>
      <c r="U115">
        <v>0</v>
      </c>
      <c r="W115">
        <v>0</v>
      </c>
    </row>
    <row r="116" spans="2:23">
      <c r="B116" t="s">
        <v>15</v>
      </c>
      <c r="C116" t="s">
        <v>225</v>
      </c>
      <c r="D116" t="s">
        <v>1066</v>
      </c>
      <c r="E116" t="str">
        <f t="shared" si="4"/>
        <v>Okeechobee County</v>
      </c>
      <c r="F116" t="s">
        <v>226</v>
      </c>
      <c r="G116" t="str">
        <f>INDEX(StateCounties[],MATCH(D116,StateCounties[Florida],0),MATCH(B116,StateCounties[#Headers],0))</f>
        <v>Okeechobee County</v>
      </c>
      <c r="I116" t="b">
        <f t="shared" si="5"/>
        <v>1</v>
      </c>
      <c r="L116" s="13"/>
      <c r="M116" s="13"/>
      <c r="N116" s="13" t="s">
        <v>1287</v>
      </c>
      <c r="O116" s="13"/>
      <c r="P116" s="13"/>
      <c r="Q116" s="13"/>
      <c r="R116" s="13"/>
      <c r="S116" s="13" t="s">
        <v>1009</v>
      </c>
      <c r="U116">
        <v>0</v>
      </c>
      <c r="W116">
        <v>0</v>
      </c>
    </row>
    <row r="117" spans="2:23">
      <c r="B117" t="s">
        <v>15</v>
      </c>
      <c r="C117" t="s">
        <v>227</v>
      </c>
      <c r="D117" t="s">
        <v>1072</v>
      </c>
      <c r="E117" t="str">
        <f t="shared" si="4"/>
        <v>Orange County</v>
      </c>
      <c r="F117" t="s">
        <v>228</v>
      </c>
      <c r="G117" t="str">
        <f>INDEX(StateCounties[],MATCH(D117,StateCounties[Florida],0),MATCH(B117,StateCounties[#Headers],0))</f>
        <v>Orange County</v>
      </c>
      <c r="I117" t="b">
        <f t="shared" si="5"/>
        <v>1</v>
      </c>
      <c r="L117" s="13"/>
      <c r="M117" s="13"/>
      <c r="N117" s="13" t="s">
        <v>1109</v>
      </c>
      <c r="O117" s="13"/>
      <c r="P117" s="13"/>
      <c r="Q117" s="13"/>
      <c r="R117" s="13"/>
      <c r="S117" s="13" t="s">
        <v>1288</v>
      </c>
      <c r="U117">
        <v>0</v>
      </c>
      <c r="W117">
        <v>0</v>
      </c>
    </row>
    <row r="118" spans="2:23">
      <c r="B118" t="s">
        <v>15</v>
      </c>
      <c r="C118" t="s">
        <v>229</v>
      </c>
      <c r="D118" t="s">
        <v>1077</v>
      </c>
      <c r="E118" t="str">
        <f t="shared" si="4"/>
        <v>Osceola County</v>
      </c>
      <c r="F118" t="s">
        <v>230</v>
      </c>
      <c r="G118" t="str">
        <f>INDEX(StateCounties[],MATCH(D118,StateCounties[Florida],0),MATCH(B118,StateCounties[#Headers],0))</f>
        <v>Osceola County</v>
      </c>
      <c r="I118" t="b">
        <f t="shared" si="5"/>
        <v>1</v>
      </c>
      <c r="L118" s="13"/>
      <c r="M118" s="13"/>
      <c r="N118" s="13" t="s">
        <v>1098</v>
      </c>
      <c r="O118" s="13"/>
      <c r="P118" s="13"/>
      <c r="Q118" s="13"/>
      <c r="R118" s="13"/>
      <c r="S118" s="13" t="s">
        <v>1289</v>
      </c>
      <c r="U118">
        <v>0</v>
      </c>
      <c r="W118">
        <v>0</v>
      </c>
    </row>
    <row r="119" spans="2:23">
      <c r="B119" t="s">
        <v>15</v>
      </c>
      <c r="C119" t="s">
        <v>231</v>
      </c>
      <c r="D119" t="s">
        <v>1082</v>
      </c>
      <c r="E119" t="str">
        <f t="shared" si="4"/>
        <v>Palm Beach County</v>
      </c>
      <c r="F119" t="s">
        <v>232</v>
      </c>
      <c r="G119" t="str">
        <f>INDEX(StateCounties[],MATCH(D119,StateCounties[Florida],0),MATCH(B119,StateCounties[#Headers],0))</f>
        <v>Palm Beach County</v>
      </c>
      <c r="I119" t="b">
        <f t="shared" si="5"/>
        <v>1</v>
      </c>
      <c r="L119" s="13"/>
      <c r="M119" s="13"/>
      <c r="N119" s="13" t="s">
        <v>1290</v>
      </c>
      <c r="O119" s="13"/>
      <c r="P119" s="13"/>
      <c r="Q119" s="13"/>
      <c r="R119" s="13"/>
      <c r="S119" s="13" t="s">
        <v>1291</v>
      </c>
      <c r="U119">
        <v>0</v>
      </c>
      <c r="W119">
        <v>0</v>
      </c>
    </row>
    <row r="120" spans="2:23">
      <c r="B120" t="s">
        <v>15</v>
      </c>
      <c r="C120" t="s">
        <v>233</v>
      </c>
      <c r="D120" t="s">
        <v>1086</v>
      </c>
      <c r="E120" t="str">
        <f t="shared" si="4"/>
        <v>Pasco County</v>
      </c>
      <c r="F120" t="s">
        <v>234</v>
      </c>
      <c r="G120" t="str">
        <f>INDEX(StateCounties[],MATCH(D120,StateCounties[Florida],0),MATCH(B120,StateCounties[#Headers],0))</f>
        <v>Pasco County</v>
      </c>
      <c r="I120" t="b">
        <f t="shared" si="5"/>
        <v>1</v>
      </c>
      <c r="L120" s="13"/>
      <c r="M120" s="13"/>
      <c r="N120" s="13" t="s">
        <v>1103</v>
      </c>
      <c r="O120" s="13"/>
      <c r="P120" s="13"/>
      <c r="Q120" s="13"/>
      <c r="R120" s="13"/>
      <c r="S120" s="13" t="s">
        <v>1292</v>
      </c>
      <c r="U120">
        <v>0</v>
      </c>
      <c r="W120">
        <v>0</v>
      </c>
    </row>
    <row r="121" spans="2:23">
      <c r="B121" t="s">
        <v>15</v>
      </c>
      <c r="C121" t="s">
        <v>235</v>
      </c>
      <c r="D121" t="s">
        <v>1093</v>
      </c>
      <c r="E121" t="str">
        <f t="shared" si="4"/>
        <v>Pinellas County</v>
      </c>
      <c r="F121" t="s">
        <v>236</v>
      </c>
      <c r="G121" t="str">
        <f>INDEX(StateCounties[],MATCH(D121,StateCounties[Florida],0),MATCH(B121,StateCounties[#Headers],0))</f>
        <v>Pinellas County</v>
      </c>
      <c r="I121" t="b">
        <f t="shared" si="5"/>
        <v>1</v>
      </c>
      <c r="L121" s="13"/>
      <c r="M121" s="13"/>
      <c r="N121" s="13" t="s">
        <v>1132</v>
      </c>
      <c r="O121" s="13"/>
      <c r="P121" s="13"/>
      <c r="Q121" s="13"/>
      <c r="R121" s="13"/>
      <c r="S121" s="13" t="s">
        <v>1293</v>
      </c>
      <c r="U121">
        <v>0</v>
      </c>
      <c r="W121">
        <v>0</v>
      </c>
    </row>
    <row r="122" spans="2:23">
      <c r="B122" t="s">
        <v>15</v>
      </c>
      <c r="C122" t="s">
        <v>237</v>
      </c>
      <c r="D122" t="s">
        <v>1098</v>
      </c>
      <c r="E122" t="str">
        <f t="shared" si="4"/>
        <v>Polk County</v>
      </c>
      <c r="F122" t="s">
        <v>238</v>
      </c>
      <c r="G122" t="str">
        <f>INDEX(StateCounties[],MATCH(D122,StateCounties[Florida],0),MATCH(B122,StateCounties[#Headers],0))</f>
        <v>Polk County</v>
      </c>
      <c r="I122" t="b">
        <f t="shared" si="5"/>
        <v>1</v>
      </c>
      <c r="L122" s="13"/>
      <c r="M122" s="13"/>
      <c r="N122" s="13" t="s">
        <v>1294</v>
      </c>
      <c r="O122" s="13"/>
      <c r="P122" s="13"/>
      <c r="Q122" s="13"/>
      <c r="R122" s="13"/>
      <c r="S122" s="13" t="s">
        <v>1295</v>
      </c>
      <c r="U122">
        <v>0</v>
      </c>
      <c r="W122">
        <v>0</v>
      </c>
    </row>
    <row r="123" spans="2:23">
      <c r="B123" t="s">
        <v>15</v>
      </c>
      <c r="C123" t="s">
        <v>239</v>
      </c>
      <c r="D123" t="s">
        <v>1103</v>
      </c>
      <c r="E123" t="str">
        <f t="shared" si="4"/>
        <v>Putnam County</v>
      </c>
      <c r="F123" t="s">
        <v>240</v>
      </c>
      <c r="G123" t="str">
        <f>INDEX(StateCounties[],MATCH(D123,StateCounties[Florida],0),MATCH(B123,StateCounties[#Headers],0))</f>
        <v>Putnam County</v>
      </c>
      <c r="I123" t="b">
        <f t="shared" si="5"/>
        <v>1</v>
      </c>
      <c r="L123" s="13"/>
      <c r="M123" s="13"/>
      <c r="N123" s="13" t="s">
        <v>1115</v>
      </c>
      <c r="O123" s="13"/>
      <c r="P123" s="13"/>
      <c r="Q123" s="13"/>
      <c r="R123" s="13"/>
      <c r="S123" s="13" t="s">
        <v>984</v>
      </c>
      <c r="U123">
        <v>0</v>
      </c>
      <c r="W123">
        <v>0</v>
      </c>
    </row>
    <row r="124" spans="2:23">
      <c r="B124" t="s">
        <v>15</v>
      </c>
      <c r="C124" t="s">
        <v>241</v>
      </c>
      <c r="D124" t="s">
        <v>1120</v>
      </c>
      <c r="E124" t="str">
        <f t="shared" si="4"/>
        <v>Santa Rosa County</v>
      </c>
      <c r="F124" t="s">
        <v>242</v>
      </c>
      <c r="G124" t="str">
        <f>INDEX(StateCounties[],MATCH(D124,StateCounties[Florida],0),MATCH(B124,StateCounties[#Headers],0))</f>
        <v>Santa Rosa County</v>
      </c>
      <c r="I124" t="b">
        <f t="shared" si="5"/>
        <v>1</v>
      </c>
      <c r="L124" s="13"/>
      <c r="M124" s="13"/>
      <c r="N124" s="13" t="s">
        <v>1210</v>
      </c>
      <c r="O124" s="13"/>
      <c r="P124" s="13"/>
      <c r="Q124" s="13"/>
      <c r="R124" s="13"/>
      <c r="S124" s="13" t="s">
        <v>989</v>
      </c>
      <c r="U124">
        <v>0</v>
      </c>
      <c r="W124">
        <v>0</v>
      </c>
    </row>
    <row r="125" spans="2:23">
      <c r="B125" t="s">
        <v>15</v>
      </c>
      <c r="C125" t="s">
        <v>243</v>
      </c>
      <c r="D125" t="s">
        <v>1124</v>
      </c>
      <c r="E125" t="str">
        <f t="shared" si="4"/>
        <v>Sarasota County</v>
      </c>
      <c r="F125" t="s">
        <v>244</v>
      </c>
      <c r="G125" t="str">
        <f>INDEX(StateCounties[],MATCH(D125,StateCounties[Florida],0),MATCH(B125,StateCounties[#Headers],0))</f>
        <v>Sarasota County</v>
      </c>
      <c r="I125" t="b">
        <f t="shared" si="5"/>
        <v>1</v>
      </c>
      <c r="L125" s="13"/>
      <c r="M125" s="13"/>
      <c r="N125" s="13" t="s">
        <v>1296</v>
      </c>
      <c r="O125" s="13"/>
      <c r="P125" s="13"/>
      <c r="Q125" s="13"/>
      <c r="R125" s="13"/>
      <c r="S125" s="13" t="s">
        <v>1219</v>
      </c>
      <c r="U125">
        <v>0</v>
      </c>
      <c r="W125">
        <v>0</v>
      </c>
    </row>
    <row r="126" spans="2:23">
      <c r="B126" t="s">
        <v>15</v>
      </c>
      <c r="C126" t="s">
        <v>245</v>
      </c>
      <c r="D126" t="s">
        <v>1127</v>
      </c>
      <c r="E126" t="str">
        <f t="shared" si="4"/>
        <v>Seminole County</v>
      </c>
      <c r="F126" t="s">
        <v>246</v>
      </c>
      <c r="G126" t="str">
        <f>INDEX(StateCounties[],MATCH(D126,StateCounties[Florida],0),MATCH(B126,StateCounties[#Headers],0))</f>
        <v>Seminole County</v>
      </c>
      <c r="I126" t="b">
        <f t="shared" si="5"/>
        <v>1</v>
      </c>
      <c r="L126" s="13"/>
      <c r="M126" s="13"/>
      <c r="N126" s="13" t="s">
        <v>1297</v>
      </c>
      <c r="O126" s="13"/>
      <c r="P126" s="13"/>
      <c r="Q126" s="13"/>
      <c r="R126" s="13"/>
      <c r="S126" s="13" t="s">
        <v>993</v>
      </c>
      <c r="U126">
        <v>0</v>
      </c>
      <c r="W126">
        <v>0</v>
      </c>
    </row>
    <row r="127" spans="2:23">
      <c r="B127" t="s">
        <v>15</v>
      </c>
      <c r="C127" t="s">
        <v>247</v>
      </c>
      <c r="D127" t="s">
        <v>1110</v>
      </c>
      <c r="E127" t="str">
        <f t="shared" si="4"/>
        <v>St. Johns County</v>
      </c>
      <c r="F127" t="s">
        <v>248</v>
      </c>
      <c r="G127" t="str">
        <f>INDEX(StateCounties[],MATCH(D127,StateCounties[Florida],0),MATCH(B127,StateCounties[#Headers],0))</f>
        <v>St. Johns County</v>
      </c>
      <c r="I127" t="b">
        <f t="shared" si="5"/>
        <v>1</v>
      </c>
      <c r="L127" s="13"/>
      <c r="M127" s="13"/>
      <c r="N127" s="13" t="s">
        <v>1298</v>
      </c>
      <c r="O127" s="13"/>
      <c r="P127" s="13"/>
      <c r="Q127" s="13"/>
      <c r="R127" s="13"/>
      <c r="S127" s="13" t="s">
        <v>1299</v>
      </c>
      <c r="U127">
        <v>0</v>
      </c>
      <c r="W127">
        <v>0</v>
      </c>
    </row>
    <row r="128" spans="2:23">
      <c r="B128" t="s">
        <v>15</v>
      </c>
      <c r="C128" t="s">
        <v>249</v>
      </c>
      <c r="D128" t="s">
        <v>1116</v>
      </c>
      <c r="E128" t="str">
        <f t="shared" si="4"/>
        <v>St. Lucie County</v>
      </c>
      <c r="F128" t="s">
        <v>250</v>
      </c>
      <c r="G128" t="str">
        <f>INDEX(StateCounties[],MATCH(D128,StateCounties[Florida],0),MATCH(B128,StateCounties[#Headers],0))</f>
        <v>St. Lucie County</v>
      </c>
      <c r="I128" t="b">
        <f t="shared" si="5"/>
        <v>1</v>
      </c>
      <c r="L128" s="13"/>
      <c r="M128" s="13"/>
      <c r="N128" s="13" t="s">
        <v>1127</v>
      </c>
      <c r="O128" s="13"/>
      <c r="P128" s="13"/>
      <c r="Q128" s="13"/>
      <c r="R128" s="13"/>
      <c r="S128" s="13" t="s">
        <v>1300</v>
      </c>
      <c r="U128">
        <v>0</v>
      </c>
      <c r="W128">
        <v>0</v>
      </c>
    </row>
    <row r="129" spans="2:23">
      <c r="B129" t="s">
        <v>15</v>
      </c>
      <c r="C129" t="s">
        <v>251</v>
      </c>
      <c r="D129" t="s">
        <v>1130</v>
      </c>
      <c r="E129" t="str">
        <f t="shared" si="4"/>
        <v>Sumter County</v>
      </c>
      <c r="F129" t="s">
        <v>146</v>
      </c>
      <c r="G129" t="str">
        <f>INDEX(StateCounties[],MATCH(D129,StateCounties[Florida],0),MATCH(B129,StateCounties[#Headers],0))</f>
        <v>Sumter County</v>
      </c>
      <c r="I129" t="b">
        <f t="shared" si="5"/>
        <v>1</v>
      </c>
      <c r="L129" s="13"/>
      <c r="M129" s="13"/>
      <c r="N129" s="13" t="s">
        <v>1301</v>
      </c>
      <c r="O129" s="13"/>
      <c r="P129" s="13"/>
      <c r="Q129" s="13"/>
      <c r="R129" s="13"/>
      <c r="S129" s="13" t="s">
        <v>1064</v>
      </c>
      <c r="U129">
        <v>0</v>
      </c>
      <c r="W129">
        <v>0</v>
      </c>
    </row>
    <row r="130" spans="2:23">
      <c r="B130" t="s">
        <v>15</v>
      </c>
      <c r="C130" t="s">
        <v>252</v>
      </c>
      <c r="D130" t="s">
        <v>1137</v>
      </c>
      <c r="E130" t="str">
        <f t="shared" si="4"/>
        <v>Suwannee County</v>
      </c>
      <c r="F130" t="s">
        <v>253</v>
      </c>
      <c r="G130" t="str">
        <f>INDEX(StateCounties[],MATCH(D130,StateCounties[Florida],0),MATCH(B130,StateCounties[#Headers],0))</f>
        <v>Suwannee County</v>
      </c>
      <c r="I130" t="b">
        <f t="shared" si="5"/>
        <v>1</v>
      </c>
      <c r="L130" s="13"/>
      <c r="M130" s="13"/>
      <c r="N130" s="13" t="s">
        <v>1302</v>
      </c>
      <c r="O130" s="13"/>
      <c r="P130" s="13"/>
      <c r="Q130" s="13"/>
      <c r="R130" s="13"/>
      <c r="S130" s="13" t="s">
        <v>1006</v>
      </c>
      <c r="U130">
        <v>0</v>
      </c>
      <c r="W130">
        <v>0</v>
      </c>
    </row>
    <row r="131" spans="2:23">
      <c r="B131" t="s">
        <v>15</v>
      </c>
      <c r="C131" t="s">
        <v>254</v>
      </c>
      <c r="D131" t="s">
        <v>1144</v>
      </c>
      <c r="E131" t="str">
        <f t="shared" ref="E131:E194" si="6">F131&amp; " County"</f>
        <v>Taylor County</v>
      </c>
      <c r="F131" t="s">
        <v>255</v>
      </c>
      <c r="G131" t="str">
        <f>INDEX(StateCounties[],MATCH(D131,StateCounties[Florida],0),MATCH(B131,StateCounties[#Headers],0))</f>
        <v>Taylor County</v>
      </c>
      <c r="I131" t="b">
        <f t="shared" si="5"/>
        <v>1</v>
      </c>
      <c r="L131" s="13"/>
      <c r="M131" s="13"/>
      <c r="N131" s="13" t="s">
        <v>1222</v>
      </c>
      <c r="O131" s="13"/>
      <c r="P131" s="13"/>
      <c r="Q131" s="13"/>
      <c r="R131" s="13"/>
      <c r="S131" s="13" t="s">
        <v>1303</v>
      </c>
      <c r="U131">
        <v>0</v>
      </c>
      <c r="W131">
        <v>0</v>
      </c>
    </row>
    <row r="132" spans="2:23">
      <c r="B132" t="s">
        <v>15</v>
      </c>
      <c r="C132" t="s">
        <v>256</v>
      </c>
      <c r="D132" t="s">
        <v>1149</v>
      </c>
      <c r="E132" t="str">
        <f t="shared" si="6"/>
        <v>Union County</v>
      </c>
      <c r="F132" t="s">
        <v>257</v>
      </c>
      <c r="G132" t="str">
        <f>INDEX(StateCounties[],MATCH(D132,StateCounties[Florida],0),MATCH(B132,StateCounties[#Headers],0))</f>
        <v>Union County</v>
      </c>
      <c r="I132" t="b">
        <f t="shared" ref="I132:I195" si="7">E132=D132</f>
        <v>1</v>
      </c>
      <c r="L132" s="13"/>
      <c r="M132" s="13"/>
      <c r="N132" s="13" t="s">
        <v>1130</v>
      </c>
      <c r="O132" s="13"/>
      <c r="P132" s="13"/>
      <c r="Q132" s="13"/>
      <c r="R132" s="13"/>
      <c r="S132" s="13" t="s">
        <v>1304</v>
      </c>
      <c r="U132">
        <v>0</v>
      </c>
      <c r="W132">
        <v>0</v>
      </c>
    </row>
    <row r="133" spans="2:23">
      <c r="B133" t="s">
        <v>15</v>
      </c>
      <c r="C133" t="s">
        <v>258</v>
      </c>
      <c r="D133" t="s">
        <v>1155</v>
      </c>
      <c r="E133" t="str">
        <f t="shared" si="6"/>
        <v>Volusia County</v>
      </c>
      <c r="F133" t="s">
        <v>259</v>
      </c>
      <c r="G133" t="str">
        <f>INDEX(StateCounties[],MATCH(D133,StateCounties[Florida],0),MATCH(B133,StateCounties[#Headers],0))</f>
        <v>Volusia County</v>
      </c>
      <c r="I133" t="b">
        <f t="shared" si="7"/>
        <v>1</v>
      </c>
      <c r="L133" s="13"/>
      <c r="M133" s="13"/>
      <c r="N133" s="13" t="s">
        <v>1305</v>
      </c>
      <c r="O133" s="13"/>
      <c r="P133" s="13"/>
      <c r="Q133" s="13"/>
      <c r="R133" s="13"/>
      <c r="S133" s="13" t="s">
        <v>1306</v>
      </c>
      <c r="U133">
        <v>0</v>
      </c>
      <c r="W133">
        <v>0</v>
      </c>
    </row>
    <row r="134" spans="2:23">
      <c r="B134" t="s">
        <v>15</v>
      </c>
      <c r="C134" t="s">
        <v>260</v>
      </c>
      <c r="D134" t="s">
        <v>1161</v>
      </c>
      <c r="E134" t="str">
        <f t="shared" si="6"/>
        <v>Wakulla County</v>
      </c>
      <c r="F134" t="s">
        <v>261</v>
      </c>
      <c r="G134" t="str">
        <f>INDEX(StateCounties[],MATCH(D134,StateCounties[Florida],0),MATCH(B134,StateCounties[#Headers],0))</f>
        <v>Wakulla County</v>
      </c>
      <c r="I134" t="b">
        <f t="shared" si="7"/>
        <v>1</v>
      </c>
      <c r="L134" s="13"/>
      <c r="M134" s="13"/>
      <c r="N134" s="13" t="s">
        <v>1307</v>
      </c>
      <c r="O134" s="13"/>
      <c r="P134" s="13"/>
      <c r="Q134" s="13"/>
      <c r="R134" s="13"/>
      <c r="S134" s="13" t="s">
        <v>1308</v>
      </c>
      <c r="U134">
        <v>0</v>
      </c>
      <c r="W134">
        <v>0</v>
      </c>
    </row>
    <row r="135" spans="2:23">
      <c r="B135" t="s">
        <v>15</v>
      </c>
      <c r="C135" t="s">
        <v>262</v>
      </c>
      <c r="D135" t="s">
        <v>1167</v>
      </c>
      <c r="E135" t="str">
        <f t="shared" si="6"/>
        <v>Walton County</v>
      </c>
      <c r="F135" t="s">
        <v>263</v>
      </c>
      <c r="G135" t="str">
        <f>INDEX(StateCounties[],MATCH(D135,StateCounties[Florida],0),MATCH(B135,StateCounties[#Headers],0))</f>
        <v>Walton County</v>
      </c>
      <c r="I135" t="b">
        <f t="shared" si="7"/>
        <v>1</v>
      </c>
      <c r="L135" s="13"/>
      <c r="M135" s="13"/>
      <c r="N135" s="13" t="s">
        <v>1309</v>
      </c>
      <c r="O135" s="13"/>
      <c r="P135" s="13"/>
      <c r="Q135" s="13"/>
      <c r="R135" s="13"/>
      <c r="S135" s="13" t="s">
        <v>1310</v>
      </c>
      <c r="U135">
        <v>0</v>
      </c>
      <c r="W135">
        <v>0</v>
      </c>
    </row>
    <row r="136" spans="2:23">
      <c r="B136" t="s">
        <v>15</v>
      </c>
      <c r="C136" t="s">
        <v>264</v>
      </c>
      <c r="D136" t="s">
        <v>1160</v>
      </c>
      <c r="E136" t="str">
        <f t="shared" si="6"/>
        <v>Washington County</v>
      </c>
      <c r="F136" t="s">
        <v>59</v>
      </c>
      <c r="G136" t="str">
        <f>INDEX(StateCounties[],MATCH(D136,StateCounties[Florida],0),MATCH(B136,StateCounties[#Headers],0))</f>
        <v>Washington County</v>
      </c>
      <c r="I136" t="b">
        <f t="shared" si="7"/>
        <v>1</v>
      </c>
      <c r="L136" s="13"/>
      <c r="M136" s="13"/>
      <c r="N136" s="13" t="s">
        <v>1144</v>
      </c>
      <c r="O136" s="13"/>
      <c r="P136" s="13"/>
      <c r="Q136" s="13"/>
      <c r="R136" s="13"/>
      <c r="S136" s="13" t="s">
        <v>1311</v>
      </c>
      <c r="U136">
        <v>0</v>
      </c>
      <c r="W136">
        <v>0</v>
      </c>
    </row>
    <row r="137" spans="2:23">
      <c r="B137" t="s">
        <v>16</v>
      </c>
      <c r="C137" t="s">
        <v>72</v>
      </c>
      <c r="D137" t="s">
        <v>824</v>
      </c>
      <c r="E137" t="str">
        <f t="shared" si="6"/>
        <v>Baker County</v>
      </c>
      <c r="F137" t="s">
        <v>157</v>
      </c>
      <c r="G137" t="str">
        <f>INDEX(StateCounties[],MATCH(D137,StateCounties[Georgia],0),MATCH(B137,StateCounties[#Headers],0))</f>
        <v>Baker County</v>
      </c>
      <c r="I137" t="b">
        <f t="shared" si="7"/>
        <v>1</v>
      </c>
      <c r="L137" s="13"/>
      <c r="M137" s="13"/>
      <c r="N137" s="13" t="s">
        <v>1312</v>
      </c>
      <c r="O137" s="13"/>
      <c r="P137" s="13"/>
      <c r="Q137" s="13"/>
      <c r="R137" s="13"/>
      <c r="S137" s="13" t="s">
        <v>1313</v>
      </c>
      <c r="U137">
        <v>0</v>
      </c>
      <c r="W137">
        <v>0</v>
      </c>
    </row>
    <row r="138" spans="2:23">
      <c r="B138" t="s">
        <v>16</v>
      </c>
      <c r="C138" t="s">
        <v>72</v>
      </c>
      <c r="D138" t="s">
        <v>855</v>
      </c>
      <c r="E138" t="str">
        <f t="shared" si="6"/>
        <v>Calhoun County</v>
      </c>
      <c r="F138" t="s">
        <v>73</v>
      </c>
      <c r="G138" t="str">
        <f>INDEX(StateCounties[],MATCH(D138,StateCounties[Georgia],0),MATCH(B138,StateCounties[#Headers],0))</f>
        <v>Calhoun County</v>
      </c>
      <c r="I138" t="b">
        <f t="shared" si="7"/>
        <v>1</v>
      </c>
      <c r="L138" s="13"/>
      <c r="M138" s="13"/>
      <c r="N138" s="13" t="s">
        <v>1314</v>
      </c>
      <c r="O138" s="13"/>
      <c r="P138" s="13"/>
      <c r="Q138" s="13"/>
      <c r="R138" s="13"/>
      <c r="S138" s="13" t="s">
        <v>1315</v>
      </c>
      <c r="U138">
        <v>0</v>
      </c>
      <c r="W138">
        <v>0</v>
      </c>
    </row>
    <row r="139" spans="2:23">
      <c r="B139" t="s">
        <v>16</v>
      </c>
      <c r="C139" t="s">
        <v>72</v>
      </c>
      <c r="D139" t="s">
        <v>873</v>
      </c>
      <c r="E139" t="str">
        <f t="shared" si="6"/>
        <v>Clay County</v>
      </c>
      <c r="F139" t="s">
        <v>121</v>
      </c>
      <c r="G139" t="str">
        <f>INDEX(StateCounties[],MATCH(D139,StateCounties[Georgia],0),MATCH(B139,StateCounties[#Headers],0))</f>
        <v>Clay County</v>
      </c>
      <c r="I139" t="b">
        <f t="shared" si="7"/>
        <v>1</v>
      </c>
      <c r="L139" s="13"/>
      <c r="M139" s="13"/>
      <c r="N139" s="13" t="s">
        <v>1316</v>
      </c>
      <c r="O139" s="13"/>
      <c r="P139" s="13"/>
      <c r="Q139" s="13"/>
      <c r="R139" s="13"/>
      <c r="S139" s="13" t="s">
        <v>1317</v>
      </c>
      <c r="U139">
        <v>0</v>
      </c>
      <c r="W139">
        <v>0</v>
      </c>
    </row>
    <row r="140" spans="2:23">
      <c r="B140" t="s">
        <v>16</v>
      </c>
      <c r="C140" t="s">
        <v>72</v>
      </c>
      <c r="D140" t="s">
        <v>1035</v>
      </c>
      <c r="E140" t="str">
        <f t="shared" si="6"/>
        <v>Crisp County</v>
      </c>
      <c r="F140" t="s">
        <v>265</v>
      </c>
      <c r="G140" t="str">
        <f>INDEX(StateCounties[],MATCH(D140,StateCounties[Georgia],0),MATCH(B140,StateCounties[#Headers],0))</f>
        <v>Crisp County</v>
      </c>
      <c r="I140" t="b">
        <f t="shared" si="7"/>
        <v>1</v>
      </c>
      <c r="L140" s="13"/>
      <c r="M140" s="13"/>
      <c r="N140" s="13" t="s">
        <v>1318</v>
      </c>
      <c r="O140" s="13"/>
      <c r="P140" s="13"/>
      <c r="Q140" s="13"/>
      <c r="R140" s="13"/>
      <c r="S140" s="13" t="s">
        <v>1319</v>
      </c>
      <c r="U140">
        <v>0</v>
      </c>
      <c r="W140">
        <v>0</v>
      </c>
    </row>
    <row r="141" spans="2:23">
      <c r="B141" t="s">
        <v>16</v>
      </c>
      <c r="C141" t="s">
        <v>72</v>
      </c>
      <c r="D141" t="s">
        <v>1067</v>
      </c>
      <c r="E141" t="str">
        <f t="shared" si="6"/>
        <v>Dougherty County</v>
      </c>
      <c r="F141" t="s">
        <v>266</v>
      </c>
      <c r="G141" t="str">
        <f>INDEX(StateCounties[],MATCH(D141,StateCounties[Georgia],0),MATCH(B141,StateCounties[#Headers],0))</f>
        <v>Dougherty County</v>
      </c>
      <c r="I141" t="b">
        <f t="shared" si="7"/>
        <v>1</v>
      </c>
      <c r="L141" s="13"/>
      <c r="M141" s="13"/>
      <c r="N141" s="13" t="s">
        <v>1320</v>
      </c>
      <c r="O141" s="13"/>
      <c r="P141" s="13"/>
      <c r="Q141" s="13"/>
      <c r="R141" s="13"/>
      <c r="S141" s="13" t="s">
        <v>1070</v>
      </c>
      <c r="U141">
        <v>0</v>
      </c>
      <c r="W141">
        <v>0</v>
      </c>
    </row>
    <row r="142" spans="2:23">
      <c r="B142" t="s">
        <v>16</v>
      </c>
      <c r="C142" t="s">
        <v>72</v>
      </c>
      <c r="D142" t="s">
        <v>1010</v>
      </c>
      <c r="E142" t="str">
        <f t="shared" si="6"/>
        <v>Lee County</v>
      </c>
      <c r="F142" t="s">
        <v>75</v>
      </c>
      <c r="G142" t="str">
        <f>INDEX(StateCounties[],MATCH(D142,StateCounties[Georgia],0),MATCH(B142,StateCounties[#Headers],0))</f>
        <v>Lee County</v>
      </c>
      <c r="I142" t="b">
        <f t="shared" si="7"/>
        <v>1</v>
      </c>
      <c r="L142" s="13"/>
      <c r="M142" s="13"/>
      <c r="N142" s="13" t="s">
        <v>1321</v>
      </c>
      <c r="O142" s="13"/>
      <c r="P142" s="13"/>
      <c r="Q142" s="13"/>
      <c r="R142" s="13"/>
      <c r="S142" s="13" t="s">
        <v>1020</v>
      </c>
      <c r="U142">
        <v>0</v>
      </c>
      <c r="W142">
        <v>0</v>
      </c>
    </row>
    <row r="143" spans="2:23">
      <c r="B143" t="s">
        <v>16</v>
      </c>
      <c r="C143" t="s">
        <v>72</v>
      </c>
      <c r="D143" t="s">
        <v>1140</v>
      </c>
      <c r="E143" t="str">
        <f t="shared" si="6"/>
        <v>Mitchell County</v>
      </c>
      <c r="F143" t="s">
        <v>267</v>
      </c>
      <c r="G143" t="str">
        <f>INDEX(StateCounties[],MATCH(D143,StateCounties[Georgia],0),MATCH(B143,StateCounties[#Headers],0))</f>
        <v>Mitchell County</v>
      </c>
      <c r="I143" t="b">
        <f t="shared" si="7"/>
        <v>1</v>
      </c>
      <c r="L143" s="13"/>
      <c r="M143" s="13"/>
      <c r="N143" s="13" t="s">
        <v>1322</v>
      </c>
      <c r="O143" s="13"/>
      <c r="P143" s="13"/>
      <c r="Q143" s="13"/>
      <c r="R143" s="13"/>
      <c r="S143" s="13" t="s">
        <v>1323</v>
      </c>
      <c r="U143">
        <v>0</v>
      </c>
      <c r="W143">
        <v>0</v>
      </c>
    </row>
    <row r="144" spans="2:23">
      <c r="B144" t="s">
        <v>16</v>
      </c>
      <c r="C144" t="s">
        <v>72</v>
      </c>
      <c r="D144" t="s">
        <v>1115</v>
      </c>
      <c r="E144" t="str">
        <f t="shared" si="6"/>
        <v>Randolph County</v>
      </c>
      <c r="F144" t="s">
        <v>145</v>
      </c>
      <c r="G144" t="str">
        <f>INDEX(StateCounties[],MATCH(D144,StateCounties[Georgia],0),MATCH(B144,StateCounties[#Headers],0))</f>
        <v>Randolph County</v>
      </c>
      <c r="I144" t="b">
        <f t="shared" si="7"/>
        <v>1</v>
      </c>
      <c r="L144" s="13"/>
      <c r="M144" s="13"/>
      <c r="N144" s="13" t="s">
        <v>1324</v>
      </c>
      <c r="O144" s="13"/>
      <c r="P144" s="13"/>
      <c r="Q144" s="13"/>
      <c r="R144" s="13"/>
      <c r="S144" s="13" t="s">
        <v>1325</v>
      </c>
      <c r="U144">
        <v>0</v>
      </c>
      <c r="W144">
        <v>0</v>
      </c>
    </row>
    <row r="145" spans="2:23">
      <c r="B145" t="s">
        <v>16</v>
      </c>
      <c r="C145" t="s">
        <v>72</v>
      </c>
      <c r="D145" t="s">
        <v>1297</v>
      </c>
      <c r="E145" t="str">
        <f t="shared" si="6"/>
        <v>Schley County</v>
      </c>
      <c r="F145" t="s">
        <v>268</v>
      </c>
      <c r="G145" t="str">
        <f>INDEX(StateCounties[],MATCH(D145,StateCounties[Georgia],0),MATCH(B145,StateCounties[#Headers],0))</f>
        <v>Schley County</v>
      </c>
      <c r="I145" t="b">
        <f t="shared" si="7"/>
        <v>1</v>
      </c>
      <c r="L145" s="13"/>
      <c r="M145" s="13"/>
      <c r="N145" s="13" t="s">
        <v>1326</v>
      </c>
      <c r="O145" s="13"/>
      <c r="P145" s="13"/>
      <c r="Q145" s="13"/>
      <c r="R145" s="13"/>
      <c r="S145" s="13" t="s">
        <v>1327</v>
      </c>
      <c r="U145">
        <v>0</v>
      </c>
      <c r="W145">
        <v>0</v>
      </c>
    </row>
    <row r="146" spans="2:23">
      <c r="B146" t="s">
        <v>16</v>
      </c>
      <c r="C146" t="s">
        <v>72</v>
      </c>
      <c r="D146" t="s">
        <v>1130</v>
      </c>
      <c r="E146" t="str">
        <f t="shared" si="6"/>
        <v>Sumter County</v>
      </c>
      <c r="F146" t="s">
        <v>146</v>
      </c>
      <c r="G146" t="str">
        <f>INDEX(StateCounties[],MATCH(D146,StateCounties[Georgia],0),MATCH(B146,StateCounties[#Headers],0))</f>
        <v>Sumter County</v>
      </c>
      <c r="I146" t="b">
        <f t="shared" si="7"/>
        <v>1</v>
      </c>
      <c r="L146" s="13"/>
      <c r="M146" s="13"/>
      <c r="N146" s="13" t="s">
        <v>1328</v>
      </c>
      <c r="O146" s="13"/>
      <c r="P146" s="13"/>
      <c r="Q146" s="13"/>
      <c r="R146" s="13"/>
      <c r="S146" s="13" t="s">
        <v>1329</v>
      </c>
      <c r="U146">
        <v>0</v>
      </c>
      <c r="W146">
        <v>0</v>
      </c>
    </row>
    <row r="147" spans="2:23">
      <c r="B147" t="s">
        <v>16</v>
      </c>
      <c r="C147" t="s">
        <v>72</v>
      </c>
      <c r="D147" t="s">
        <v>1314</v>
      </c>
      <c r="E147" t="str">
        <f t="shared" si="6"/>
        <v>Terrell County</v>
      </c>
      <c r="F147" t="s">
        <v>269</v>
      </c>
      <c r="G147" t="str">
        <f>INDEX(StateCounties[],MATCH(D147,StateCounties[Georgia],0),MATCH(B147,StateCounties[#Headers],0))</f>
        <v>Terrell County</v>
      </c>
      <c r="I147" t="b">
        <f t="shared" si="7"/>
        <v>1</v>
      </c>
      <c r="L147" s="13"/>
      <c r="M147" s="13"/>
      <c r="N147" s="13" t="s">
        <v>1149</v>
      </c>
      <c r="O147" s="13"/>
      <c r="P147" s="13"/>
      <c r="Q147" s="13"/>
      <c r="R147" s="13"/>
      <c r="S147" s="13" t="s">
        <v>1010</v>
      </c>
      <c r="U147">
        <v>0</v>
      </c>
      <c r="W147">
        <v>0</v>
      </c>
    </row>
    <row r="148" spans="2:23">
      <c r="B148" t="s">
        <v>16</v>
      </c>
      <c r="C148" t="s">
        <v>72</v>
      </c>
      <c r="D148" t="s">
        <v>1343</v>
      </c>
      <c r="E148" t="str">
        <f t="shared" si="6"/>
        <v>Worth County</v>
      </c>
      <c r="F148" t="s">
        <v>270</v>
      </c>
      <c r="G148" t="str">
        <f>INDEX(StateCounties[],MATCH(D148,StateCounties[Georgia],0),MATCH(B148,StateCounties[#Headers],0))</f>
        <v>Worth County</v>
      </c>
      <c r="I148" t="b">
        <f t="shared" si="7"/>
        <v>1</v>
      </c>
      <c r="L148" s="13"/>
      <c r="M148" s="13"/>
      <c r="N148" s="13" t="s">
        <v>1330</v>
      </c>
      <c r="O148" s="13"/>
      <c r="P148" s="13"/>
      <c r="Q148" s="13"/>
      <c r="R148" s="13"/>
      <c r="S148" s="13" t="s">
        <v>1015</v>
      </c>
      <c r="U148">
        <v>0</v>
      </c>
      <c r="W148">
        <v>0</v>
      </c>
    </row>
    <row r="149" spans="2:23">
      <c r="B149" t="s">
        <v>16</v>
      </c>
      <c r="C149" t="s">
        <v>74</v>
      </c>
      <c r="D149" t="s">
        <v>856</v>
      </c>
      <c r="E149" t="str">
        <f t="shared" si="6"/>
        <v>Barrow County</v>
      </c>
      <c r="F149" t="s">
        <v>271</v>
      </c>
      <c r="G149" t="str">
        <f>INDEX(StateCounties[],MATCH(D149,StateCounties[Georgia],0),MATCH(B149,StateCounties[#Headers],0))</f>
        <v>Barrow County</v>
      </c>
      <c r="I149" t="b">
        <f t="shared" si="7"/>
        <v>1</v>
      </c>
      <c r="L149" s="13"/>
      <c r="M149" s="13"/>
      <c r="N149" s="13" t="s">
        <v>1154</v>
      </c>
      <c r="O149" s="13"/>
      <c r="P149" s="13"/>
      <c r="Q149" s="13"/>
      <c r="R149" s="13"/>
      <c r="S149" s="13" t="s">
        <v>1023</v>
      </c>
      <c r="U149">
        <v>0</v>
      </c>
      <c r="W149">
        <v>0</v>
      </c>
    </row>
    <row r="150" spans="2:23">
      <c r="B150" t="s">
        <v>16</v>
      </c>
      <c r="C150" t="s">
        <v>74</v>
      </c>
      <c r="D150" t="s">
        <v>887</v>
      </c>
      <c r="E150" t="str">
        <f t="shared" si="6"/>
        <v>Clarke County</v>
      </c>
      <c r="F150" t="s">
        <v>120</v>
      </c>
      <c r="G150" t="str">
        <f>INDEX(StateCounties[],MATCH(D150,StateCounties[Georgia],0),MATCH(B150,StateCounties[#Headers],0))</f>
        <v>Clarke County</v>
      </c>
      <c r="I150" t="b">
        <f t="shared" si="7"/>
        <v>1</v>
      </c>
      <c r="L150" s="13"/>
      <c r="M150" s="13"/>
      <c r="N150" s="13" t="s">
        <v>1167</v>
      </c>
      <c r="O150" s="13"/>
      <c r="P150" s="13"/>
      <c r="Q150" s="13"/>
      <c r="R150" s="13"/>
      <c r="S150" s="13" t="s">
        <v>1043</v>
      </c>
      <c r="U150">
        <v>0</v>
      </c>
      <c r="W150">
        <v>0</v>
      </c>
    </row>
    <row r="151" spans="2:23">
      <c r="B151" t="s">
        <v>16</v>
      </c>
      <c r="C151" t="s">
        <v>74</v>
      </c>
      <c r="D151" t="s">
        <v>1094</v>
      </c>
      <c r="E151" t="str">
        <f t="shared" si="6"/>
        <v>Elbert County</v>
      </c>
      <c r="F151" t="s">
        <v>272</v>
      </c>
      <c r="G151" t="str">
        <f>INDEX(StateCounties[],MATCH(D151,StateCounties[Georgia],0),MATCH(B151,StateCounties[#Headers],0))</f>
        <v>Elbert County</v>
      </c>
      <c r="I151" t="b">
        <f t="shared" si="7"/>
        <v>1</v>
      </c>
      <c r="L151" s="13"/>
      <c r="M151" s="13"/>
      <c r="N151" s="13" t="s">
        <v>1331</v>
      </c>
      <c r="O151" s="13"/>
      <c r="P151" s="13"/>
      <c r="Q151" s="13"/>
      <c r="R151" s="13"/>
      <c r="S151" s="13" t="s">
        <v>1332</v>
      </c>
      <c r="U151">
        <v>0</v>
      </c>
      <c r="W151">
        <v>0</v>
      </c>
    </row>
    <row r="152" spans="2:23">
      <c r="B152" t="s">
        <v>16</v>
      </c>
      <c r="C152" t="s">
        <v>74</v>
      </c>
      <c r="D152" t="s">
        <v>937</v>
      </c>
      <c r="E152" t="str">
        <f t="shared" si="6"/>
        <v>Greene County</v>
      </c>
      <c r="F152" t="s">
        <v>109</v>
      </c>
      <c r="G152" t="str">
        <f>INDEX(StateCounties[],MATCH(D152,StateCounties[Georgia],0),MATCH(B152,StateCounties[#Headers],0))</f>
        <v>Greene County</v>
      </c>
      <c r="I152" t="b">
        <f t="shared" si="7"/>
        <v>1</v>
      </c>
      <c r="L152" s="13"/>
      <c r="M152" s="13"/>
      <c r="N152" s="13" t="s">
        <v>1205</v>
      </c>
      <c r="O152" s="13"/>
      <c r="P152" s="13"/>
      <c r="Q152" s="13"/>
      <c r="R152" s="13"/>
      <c r="S152" s="13" t="s">
        <v>1333</v>
      </c>
      <c r="U152">
        <v>0</v>
      </c>
      <c r="W152">
        <v>0</v>
      </c>
    </row>
    <row r="153" spans="2:23">
      <c r="B153" t="s">
        <v>16</v>
      </c>
      <c r="C153" t="s">
        <v>74</v>
      </c>
      <c r="D153" t="s">
        <v>984</v>
      </c>
      <c r="E153" t="str">
        <f t="shared" si="6"/>
        <v>Jackson County</v>
      </c>
      <c r="F153" t="s">
        <v>135</v>
      </c>
      <c r="G153" t="str">
        <f>INDEX(StateCounties[],MATCH(D153,StateCounties[Georgia],0),MATCH(B153,StateCounties[#Headers],0))</f>
        <v>Jackson County</v>
      </c>
      <c r="I153" t="b">
        <f t="shared" si="7"/>
        <v>1</v>
      </c>
      <c r="L153" s="13"/>
      <c r="M153" s="13"/>
      <c r="N153" s="13" t="s">
        <v>1160</v>
      </c>
      <c r="O153" s="13"/>
      <c r="P153" s="13"/>
      <c r="Q153" s="13"/>
      <c r="R153" s="13"/>
      <c r="S153" s="13" t="s">
        <v>1334</v>
      </c>
      <c r="U153">
        <v>0</v>
      </c>
      <c r="W153">
        <v>0</v>
      </c>
    </row>
    <row r="154" spans="2:23">
      <c r="B154" t="s">
        <v>16</v>
      </c>
      <c r="C154" t="s">
        <v>74</v>
      </c>
      <c r="D154" t="s">
        <v>1029</v>
      </c>
      <c r="E154" t="str">
        <f t="shared" si="6"/>
        <v>Madison County</v>
      </c>
      <c r="F154" t="s">
        <v>100</v>
      </c>
      <c r="G154" t="str">
        <f>INDEX(StateCounties[],MATCH(D154,StateCounties[Georgia],0),MATCH(B154,StateCounties[#Headers],0))</f>
        <v>Madison County</v>
      </c>
      <c r="I154" t="b">
        <f t="shared" si="7"/>
        <v>1</v>
      </c>
      <c r="L154" s="13"/>
      <c r="M154" s="13"/>
      <c r="N154" s="13" t="s">
        <v>1209</v>
      </c>
      <c r="O154" s="13"/>
      <c r="P154" s="13"/>
      <c r="Q154" s="13"/>
      <c r="R154" s="13"/>
      <c r="S154" s="13" t="s">
        <v>1335</v>
      </c>
      <c r="U154">
        <v>0</v>
      </c>
      <c r="W154">
        <v>0</v>
      </c>
    </row>
    <row r="155" spans="2:23">
      <c r="B155" t="s">
        <v>16</v>
      </c>
      <c r="C155" t="s">
        <v>74</v>
      </c>
      <c r="D155" t="s">
        <v>1092</v>
      </c>
      <c r="E155" t="str">
        <f t="shared" si="6"/>
        <v>Morgan County</v>
      </c>
      <c r="F155" t="s">
        <v>88</v>
      </c>
      <c r="G155" t="str">
        <f>INDEX(StateCounties[],MATCH(D155,StateCounties[Georgia],0),MATCH(B155,StateCounties[#Headers],0))</f>
        <v>Morgan County</v>
      </c>
      <c r="I155" t="b">
        <f t="shared" si="7"/>
        <v>1</v>
      </c>
      <c r="L155" s="13"/>
      <c r="M155" s="13"/>
      <c r="N155" s="13" t="s">
        <v>1212</v>
      </c>
      <c r="O155" s="13"/>
      <c r="P155" s="13"/>
      <c r="Q155" s="13"/>
      <c r="R155" s="13"/>
      <c r="S155" s="13" t="s">
        <v>1336</v>
      </c>
      <c r="U155">
        <v>0</v>
      </c>
      <c r="W155">
        <v>0</v>
      </c>
    </row>
    <row r="156" spans="2:23">
      <c r="B156" t="s">
        <v>16</v>
      </c>
      <c r="C156" t="s">
        <v>74</v>
      </c>
      <c r="D156" t="s">
        <v>1278</v>
      </c>
      <c r="E156" t="str">
        <f t="shared" si="6"/>
        <v>Oconee County</v>
      </c>
      <c r="F156" t="s">
        <v>273</v>
      </c>
      <c r="G156" t="str">
        <f>INDEX(StateCounties[],MATCH(D156,StateCounties[Georgia],0),MATCH(B156,StateCounties[#Headers],0))</f>
        <v>Oconee County</v>
      </c>
      <c r="I156" t="b">
        <f t="shared" si="7"/>
        <v>1</v>
      </c>
      <c r="L156" s="13"/>
      <c r="M156" s="13"/>
      <c r="N156" s="13" t="s">
        <v>1337</v>
      </c>
      <c r="O156" s="13"/>
      <c r="P156" s="13"/>
      <c r="Q156" s="13"/>
      <c r="R156" s="13"/>
      <c r="S156" s="13" t="s">
        <v>1338</v>
      </c>
      <c r="U156">
        <v>0</v>
      </c>
      <c r="W156">
        <v>0</v>
      </c>
    </row>
    <row r="157" spans="2:23">
      <c r="B157" t="s">
        <v>16</v>
      </c>
      <c r="C157" t="s">
        <v>74</v>
      </c>
      <c r="D157" t="s">
        <v>1280</v>
      </c>
      <c r="E157" t="str">
        <f t="shared" si="6"/>
        <v>Oglethorpe County</v>
      </c>
      <c r="F157" t="s">
        <v>274</v>
      </c>
      <c r="G157" t="str">
        <f>INDEX(StateCounties[],MATCH(D157,StateCounties[Georgia],0),MATCH(B157,StateCounties[#Headers],0))</f>
        <v>Oglethorpe County</v>
      </c>
      <c r="I157" t="b">
        <f t="shared" si="7"/>
        <v>1</v>
      </c>
      <c r="L157" s="13"/>
      <c r="M157" s="13"/>
      <c r="N157" s="13" t="s">
        <v>1258</v>
      </c>
      <c r="O157" s="13"/>
      <c r="P157" s="13"/>
      <c r="Q157" s="13"/>
      <c r="R157" s="13"/>
      <c r="S157" s="13" t="s">
        <v>1339</v>
      </c>
      <c r="U157">
        <v>0</v>
      </c>
      <c r="W157">
        <v>0</v>
      </c>
    </row>
    <row r="158" spans="2:23">
      <c r="B158" t="s">
        <v>16</v>
      </c>
      <c r="C158" t="s">
        <v>76</v>
      </c>
      <c r="D158" t="s">
        <v>861</v>
      </c>
      <c r="E158" t="str">
        <f t="shared" si="6"/>
        <v>Bartow County</v>
      </c>
      <c r="F158" t="s">
        <v>275</v>
      </c>
      <c r="G158" t="str">
        <f>INDEX(StateCounties[],MATCH(D158,StateCounties[Georgia],0),MATCH(B158,StateCounties[#Headers],0))</f>
        <v>Bartow County</v>
      </c>
      <c r="I158" t="b">
        <f t="shared" si="7"/>
        <v>1</v>
      </c>
      <c r="L158" s="13"/>
      <c r="M158" s="13"/>
      <c r="N158" s="13" t="s">
        <v>1340</v>
      </c>
      <c r="O158" s="13"/>
      <c r="P158" s="13"/>
      <c r="Q158" s="13"/>
      <c r="R158" s="13"/>
      <c r="S158" s="13" t="s">
        <v>1341</v>
      </c>
      <c r="U158">
        <v>0</v>
      </c>
      <c r="W158">
        <v>0</v>
      </c>
    </row>
    <row r="159" spans="2:23">
      <c r="B159" t="s">
        <v>16</v>
      </c>
      <c r="C159" t="s">
        <v>76</v>
      </c>
      <c r="D159" t="s">
        <v>920</v>
      </c>
      <c r="E159" t="str">
        <f t="shared" si="6"/>
        <v>Butts County</v>
      </c>
      <c r="F159" t="s">
        <v>276</v>
      </c>
      <c r="G159" t="str">
        <f>INDEX(StateCounties[],MATCH(D159,StateCounties[Georgia],0),MATCH(B159,StateCounties[#Headers],0))</f>
        <v>Butts County</v>
      </c>
      <c r="I159" t="b">
        <f t="shared" si="7"/>
        <v>1</v>
      </c>
      <c r="L159" s="13"/>
      <c r="M159" s="13"/>
      <c r="N159" s="13" t="s">
        <v>1166</v>
      </c>
      <c r="O159" s="13"/>
      <c r="P159" s="13"/>
      <c r="Q159" s="13"/>
      <c r="R159" s="13"/>
      <c r="S159" s="13" t="s">
        <v>1342</v>
      </c>
      <c r="U159">
        <v>0</v>
      </c>
      <c r="W159">
        <v>0</v>
      </c>
    </row>
    <row r="160" spans="2:23">
      <c r="B160" t="s">
        <v>16</v>
      </c>
      <c r="C160" t="s">
        <v>76</v>
      </c>
      <c r="D160" t="s">
        <v>872</v>
      </c>
      <c r="E160" t="str">
        <f t="shared" si="6"/>
        <v>Cherokee County</v>
      </c>
      <c r="F160" t="s">
        <v>118</v>
      </c>
      <c r="G160" t="str">
        <f>INDEX(StateCounties[],MATCH(D160,StateCounties[Georgia],0),MATCH(B160,StateCounties[#Headers],0))</f>
        <v>Cherokee County</v>
      </c>
      <c r="I160" t="b">
        <f t="shared" si="7"/>
        <v>1</v>
      </c>
      <c r="L160" s="13"/>
      <c r="M160" s="13"/>
      <c r="N160" s="13" t="s">
        <v>1266</v>
      </c>
      <c r="O160" s="13"/>
      <c r="P160" s="13"/>
      <c r="Q160" s="13"/>
      <c r="R160" s="13"/>
      <c r="S160" s="13" t="s">
        <v>1029</v>
      </c>
      <c r="U160">
        <v>0</v>
      </c>
      <c r="W160">
        <v>0</v>
      </c>
    </row>
    <row r="161" spans="2:23">
      <c r="B161" t="s">
        <v>16</v>
      </c>
      <c r="C161" t="s">
        <v>76</v>
      </c>
      <c r="D161" t="s">
        <v>988</v>
      </c>
      <c r="E161" t="str">
        <f t="shared" si="6"/>
        <v>Clayton County</v>
      </c>
      <c r="F161" t="s">
        <v>277</v>
      </c>
      <c r="G161" t="str">
        <f>INDEX(StateCounties[],MATCH(D161,StateCounties[Georgia],0),MATCH(B161,StateCounties[#Headers],0))</f>
        <v>Clayton County</v>
      </c>
      <c r="I161" t="b">
        <f t="shared" si="7"/>
        <v>1</v>
      </c>
      <c r="L161" s="13"/>
      <c r="M161" s="13"/>
      <c r="N161" s="13" t="s">
        <v>1216</v>
      </c>
      <c r="O161" s="13"/>
      <c r="P161" s="13"/>
      <c r="Q161" s="13"/>
      <c r="R161" s="13"/>
      <c r="S161" s="13" t="s">
        <v>1038</v>
      </c>
      <c r="U161">
        <v>0</v>
      </c>
      <c r="W161">
        <v>0</v>
      </c>
    </row>
    <row r="162" spans="2:23">
      <c r="B162" t="s">
        <v>16</v>
      </c>
      <c r="C162" t="s">
        <v>76</v>
      </c>
      <c r="D162" t="s">
        <v>1000</v>
      </c>
      <c r="E162" t="str">
        <f t="shared" si="6"/>
        <v>Cobb County</v>
      </c>
      <c r="F162" t="s">
        <v>278</v>
      </c>
      <c r="G162" t="str">
        <f>INDEX(StateCounties[],MATCH(D162,StateCounties[Georgia],0),MATCH(B162,StateCounties[#Headers],0))</f>
        <v>Cobb County</v>
      </c>
      <c r="I162" t="b">
        <f t="shared" si="7"/>
        <v>1</v>
      </c>
      <c r="L162" s="13"/>
      <c r="M162" s="13"/>
      <c r="N162" s="13" t="s">
        <v>1343</v>
      </c>
      <c r="O162" s="13"/>
      <c r="P162" s="13"/>
      <c r="Q162" s="13"/>
      <c r="R162" s="13"/>
      <c r="S162" s="13" t="s">
        <v>1044</v>
      </c>
      <c r="U162">
        <v>0</v>
      </c>
      <c r="W162">
        <v>0</v>
      </c>
    </row>
    <row r="163" spans="2:23">
      <c r="B163" t="s">
        <v>16</v>
      </c>
      <c r="C163" t="s">
        <v>76</v>
      </c>
      <c r="D163" t="s">
        <v>1024</v>
      </c>
      <c r="E163" t="str">
        <f t="shared" si="6"/>
        <v>Coweta County</v>
      </c>
      <c r="F163" t="s">
        <v>279</v>
      </c>
      <c r="G163" t="str">
        <f>INDEX(StateCounties[],MATCH(D163,StateCounties[Georgia],0),MATCH(B163,StateCounties[#Headers],0))</f>
        <v>Coweta County</v>
      </c>
      <c r="I163" t="b">
        <f t="shared" si="7"/>
        <v>1</v>
      </c>
      <c r="L163" s="13"/>
      <c r="M163" s="13"/>
      <c r="N163" s="13"/>
      <c r="O163" s="13"/>
      <c r="P163" s="13"/>
      <c r="Q163" s="13"/>
      <c r="R163" s="13"/>
      <c r="S163" s="13" t="s">
        <v>1344</v>
      </c>
      <c r="U163">
        <v>0</v>
      </c>
      <c r="W163">
        <v>0</v>
      </c>
    </row>
    <row r="164" spans="2:23">
      <c r="B164" t="s">
        <v>16</v>
      </c>
      <c r="C164" t="s">
        <v>76</v>
      </c>
      <c r="D164" t="s">
        <v>939</v>
      </c>
      <c r="E164" t="str">
        <f t="shared" si="6"/>
        <v>DeKalb County</v>
      </c>
      <c r="F164" t="s">
        <v>131</v>
      </c>
      <c r="G164" t="str">
        <f>INDEX(StateCounties[],MATCH(D164,StateCounties[Georgia],0),MATCH(B164,StateCounties[#Headers],0))</f>
        <v>DeKalb County</v>
      </c>
      <c r="I164" t="b">
        <f t="shared" si="7"/>
        <v>1</v>
      </c>
      <c r="L164" s="13"/>
      <c r="M164" s="13"/>
      <c r="N164" s="13"/>
      <c r="O164" s="13"/>
      <c r="P164" s="13"/>
      <c r="Q164" s="13"/>
      <c r="R164" s="13"/>
      <c r="S164" s="13" t="s">
        <v>1345</v>
      </c>
      <c r="U164">
        <v>0</v>
      </c>
      <c r="W164">
        <v>0</v>
      </c>
    </row>
    <row r="165" spans="2:23">
      <c r="B165" t="s">
        <v>16</v>
      </c>
      <c r="C165" t="s">
        <v>76</v>
      </c>
      <c r="D165" t="s">
        <v>1073</v>
      </c>
      <c r="E165" t="str">
        <f t="shared" si="6"/>
        <v>Douglas County</v>
      </c>
      <c r="F165" t="s">
        <v>280</v>
      </c>
      <c r="G165" t="str">
        <f>INDEX(StateCounties[],MATCH(D165,StateCounties[Georgia],0),MATCH(B165,StateCounties[#Headers],0))</f>
        <v>Douglas County</v>
      </c>
      <c r="I165" t="b">
        <f t="shared" si="7"/>
        <v>1</v>
      </c>
      <c r="L165" s="13"/>
      <c r="M165" s="13"/>
      <c r="N165" s="13"/>
      <c r="O165" s="13"/>
      <c r="P165" s="13"/>
      <c r="Q165" s="13"/>
      <c r="R165" s="13"/>
      <c r="S165" s="13" t="s">
        <v>1346</v>
      </c>
      <c r="U165">
        <v>0</v>
      </c>
      <c r="W165">
        <v>0</v>
      </c>
    </row>
    <row r="166" spans="2:23">
      <c r="B166" t="s">
        <v>16</v>
      </c>
      <c r="C166" t="s">
        <v>76</v>
      </c>
      <c r="D166" t="s">
        <v>958</v>
      </c>
      <c r="E166" t="str">
        <f t="shared" si="6"/>
        <v>Fayette County</v>
      </c>
      <c r="F166" t="s">
        <v>133</v>
      </c>
      <c r="G166" t="str">
        <f>INDEX(StateCounties[],MATCH(D166,StateCounties[Georgia],0),MATCH(B166,StateCounties[#Headers],0))</f>
        <v>Fayette County</v>
      </c>
      <c r="I166" t="b">
        <f t="shared" si="7"/>
        <v>1</v>
      </c>
      <c r="L166" s="13"/>
      <c r="M166" s="13"/>
      <c r="N166" s="13"/>
      <c r="O166" s="13"/>
      <c r="P166" s="13"/>
      <c r="Q166" s="13"/>
      <c r="R166" s="13"/>
      <c r="S166" s="13" t="s">
        <v>1347</v>
      </c>
      <c r="U166">
        <v>0</v>
      </c>
      <c r="W166">
        <v>0</v>
      </c>
    </row>
    <row r="167" spans="2:23">
      <c r="B167" t="s">
        <v>16</v>
      </c>
      <c r="C167" t="s">
        <v>76</v>
      </c>
      <c r="D167" t="s">
        <v>1007</v>
      </c>
      <c r="E167" t="str">
        <f t="shared" si="6"/>
        <v>Forsyth County</v>
      </c>
      <c r="F167" t="s">
        <v>281</v>
      </c>
      <c r="G167" t="str">
        <f>INDEX(StateCounties[],MATCH(D167,StateCounties[Georgia],0),MATCH(B167,StateCounties[#Headers],0))</f>
        <v>Forsyth County</v>
      </c>
      <c r="I167" t="b">
        <f t="shared" si="7"/>
        <v>1</v>
      </c>
      <c r="L167" s="13"/>
      <c r="M167" s="13"/>
      <c r="N167" s="13"/>
      <c r="O167" s="13"/>
      <c r="P167" s="13"/>
      <c r="Q167" s="13"/>
      <c r="R167" s="13"/>
      <c r="S167" s="13" t="s">
        <v>1348</v>
      </c>
      <c r="U167">
        <v>0</v>
      </c>
      <c r="W167">
        <v>0</v>
      </c>
    </row>
    <row r="168" spans="2:23">
      <c r="B168" t="s">
        <v>16</v>
      </c>
      <c r="C168" t="s">
        <v>76</v>
      </c>
      <c r="D168" t="s">
        <v>1131</v>
      </c>
      <c r="E168" t="str">
        <f t="shared" si="6"/>
        <v>Fulton County</v>
      </c>
      <c r="F168" t="s">
        <v>282</v>
      </c>
      <c r="G168" t="str">
        <f>INDEX(StateCounties[],MATCH(D168,StateCounties[Georgia],0),MATCH(B168,StateCounties[#Headers],0))</f>
        <v>Fulton County</v>
      </c>
      <c r="I168" t="b">
        <f t="shared" si="7"/>
        <v>1</v>
      </c>
      <c r="L168" s="13"/>
      <c r="M168" s="13"/>
      <c r="N168" s="13"/>
      <c r="O168" s="13"/>
      <c r="P168" s="13"/>
      <c r="Q168" s="13"/>
      <c r="R168" s="13"/>
      <c r="S168" s="13" t="s">
        <v>1349</v>
      </c>
      <c r="U168">
        <v>0</v>
      </c>
      <c r="W168">
        <v>0</v>
      </c>
    </row>
    <row r="169" spans="2:23">
      <c r="B169" t="s">
        <v>16</v>
      </c>
      <c r="C169" t="s">
        <v>76</v>
      </c>
      <c r="D169" t="s">
        <v>1172</v>
      </c>
      <c r="E169" t="str">
        <f t="shared" si="6"/>
        <v>Gwinnett County</v>
      </c>
      <c r="F169" t="s">
        <v>283</v>
      </c>
      <c r="G169" t="str">
        <f>INDEX(StateCounties[],MATCH(D169,StateCounties[Georgia],0),MATCH(B169,StateCounties[#Headers],0))</f>
        <v>Gwinnett County</v>
      </c>
      <c r="I169" t="b">
        <f t="shared" si="7"/>
        <v>1</v>
      </c>
      <c r="L169" s="13"/>
      <c r="M169" s="13"/>
      <c r="N169" s="13"/>
      <c r="O169" s="13"/>
      <c r="P169" s="13"/>
      <c r="Q169" s="13"/>
      <c r="R169" s="13"/>
      <c r="S169" s="13" t="s">
        <v>1350</v>
      </c>
      <c r="U169">
        <v>0</v>
      </c>
      <c r="W169">
        <v>0</v>
      </c>
    </row>
    <row r="170" spans="2:23">
      <c r="B170" t="s">
        <v>16</v>
      </c>
      <c r="C170" t="s">
        <v>76</v>
      </c>
      <c r="D170" t="s">
        <v>1004</v>
      </c>
      <c r="E170" t="str">
        <f t="shared" si="6"/>
        <v>Henry County</v>
      </c>
      <c r="F170" t="s">
        <v>91</v>
      </c>
      <c r="G170" t="str">
        <f>INDEX(StateCounties[],MATCH(D170,StateCounties[Georgia],0),MATCH(B170,StateCounties[#Headers],0))</f>
        <v>Henry County</v>
      </c>
      <c r="I170" t="b">
        <f t="shared" si="7"/>
        <v>1</v>
      </c>
      <c r="L170" s="13"/>
      <c r="M170" s="13"/>
      <c r="N170" s="13"/>
      <c r="O170" s="13"/>
      <c r="P170" s="13"/>
      <c r="Q170" s="13"/>
      <c r="R170" s="13"/>
      <c r="S170" s="13" t="s">
        <v>1351</v>
      </c>
      <c r="U170">
        <v>0</v>
      </c>
      <c r="W170">
        <v>0</v>
      </c>
    </row>
    <row r="171" spans="2:23">
      <c r="B171" t="s">
        <v>16</v>
      </c>
      <c r="C171" t="s">
        <v>76</v>
      </c>
      <c r="D171" t="s">
        <v>989</v>
      </c>
      <c r="E171" t="str">
        <f t="shared" si="6"/>
        <v>Jasper County</v>
      </c>
      <c r="F171" t="s">
        <v>284</v>
      </c>
      <c r="G171" t="str">
        <f>INDEX(StateCounties[],MATCH(D171,StateCounties[Georgia],0),MATCH(B171,StateCounties[#Headers],0))</f>
        <v>Jasper County</v>
      </c>
      <c r="I171" t="b">
        <f t="shared" si="7"/>
        <v>1</v>
      </c>
      <c r="L171" s="13"/>
      <c r="M171" s="13"/>
      <c r="N171" s="13"/>
      <c r="O171" s="13"/>
      <c r="P171" s="13"/>
      <c r="Q171" s="13"/>
      <c r="R171" s="13"/>
      <c r="S171" s="13" t="s">
        <v>1140</v>
      </c>
      <c r="U171">
        <v>0</v>
      </c>
      <c r="W171">
        <v>0</v>
      </c>
    </row>
    <row r="172" spans="2:23">
      <c r="B172" t="s">
        <v>16</v>
      </c>
      <c r="C172" t="s">
        <v>76</v>
      </c>
      <c r="D172" t="s">
        <v>1020</v>
      </c>
      <c r="E172" t="str">
        <f t="shared" si="6"/>
        <v>Lamar County</v>
      </c>
      <c r="F172" t="s">
        <v>136</v>
      </c>
      <c r="G172" t="str">
        <f>INDEX(StateCounties[],MATCH(D172,StateCounties[Georgia],0),MATCH(B172,StateCounties[#Headers],0))</f>
        <v>Lamar County</v>
      </c>
      <c r="I172" t="b">
        <f t="shared" si="7"/>
        <v>1</v>
      </c>
      <c r="L172" s="13"/>
      <c r="M172" s="13"/>
      <c r="N172" s="13"/>
      <c r="O172" s="13"/>
      <c r="P172" s="13"/>
      <c r="Q172" s="13"/>
      <c r="R172" s="13"/>
      <c r="S172" s="13" t="s">
        <v>1352</v>
      </c>
      <c r="U172">
        <v>0</v>
      </c>
      <c r="W172">
        <v>0</v>
      </c>
    </row>
    <row r="173" spans="2:23">
      <c r="B173" t="s">
        <v>16</v>
      </c>
      <c r="C173" t="s">
        <v>76</v>
      </c>
      <c r="D173" t="s">
        <v>1088</v>
      </c>
      <c r="E173" t="str">
        <f t="shared" si="6"/>
        <v>Newton County</v>
      </c>
      <c r="F173" t="s">
        <v>285</v>
      </c>
      <c r="G173" t="str">
        <f>INDEX(StateCounties[],MATCH(D173,StateCounties[Georgia],0),MATCH(B173,StateCounties[#Headers],0))</f>
        <v>Newton County</v>
      </c>
      <c r="I173" t="b">
        <f t="shared" si="7"/>
        <v>1</v>
      </c>
      <c r="L173" s="13"/>
      <c r="M173" s="13"/>
      <c r="N173" s="13"/>
      <c r="O173" s="13"/>
      <c r="P173" s="13"/>
      <c r="Q173" s="13"/>
      <c r="R173" s="13"/>
      <c r="S173" s="13" t="s">
        <v>1079</v>
      </c>
      <c r="U173">
        <v>0</v>
      </c>
      <c r="W173">
        <v>0</v>
      </c>
    </row>
    <row r="174" spans="2:23">
      <c r="B174" t="s">
        <v>16</v>
      </c>
      <c r="C174" t="s">
        <v>76</v>
      </c>
      <c r="D174" t="s">
        <v>1282</v>
      </c>
      <c r="E174" t="str">
        <f t="shared" si="6"/>
        <v>Paulding County</v>
      </c>
      <c r="F174" t="s">
        <v>286</v>
      </c>
      <c r="G174" t="str">
        <f>INDEX(StateCounties[],MATCH(D174,StateCounties[Georgia],0),MATCH(B174,StateCounties[#Headers],0))</f>
        <v>Paulding County</v>
      </c>
      <c r="I174" t="b">
        <f t="shared" si="7"/>
        <v>1</v>
      </c>
      <c r="L174" s="13"/>
      <c r="M174" s="13"/>
      <c r="N174" s="13"/>
      <c r="O174" s="13"/>
      <c r="P174" s="13"/>
      <c r="Q174" s="13"/>
      <c r="R174" s="13"/>
      <c r="S174" s="13" t="s">
        <v>1152</v>
      </c>
      <c r="U174">
        <v>0</v>
      </c>
      <c r="W174">
        <v>0</v>
      </c>
    </row>
    <row r="175" spans="2:23">
      <c r="B175" t="s">
        <v>16</v>
      </c>
      <c r="C175" t="s">
        <v>76</v>
      </c>
      <c r="D175" t="s">
        <v>1109</v>
      </c>
      <c r="E175" t="str">
        <f t="shared" si="6"/>
        <v>Pike County</v>
      </c>
      <c r="F175" t="s">
        <v>144</v>
      </c>
      <c r="G175" t="str">
        <f>INDEX(StateCounties[],MATCH(D175,StateCounties[Georgia],0),MATCH(B175,StateCounties[#Headers],0))</f>
        <v>Pike County</v>
      </c>
      <c r="I175" t="b">
        <f t="shared" si="7"/>
        <v>1</v>
      </c>
      <c r="L175" s="13"/>
      <c r="M175" s="13"/>
      <c r="N175" s="13"/>
      <c r="O175" s="13"/>
      <c r="P175" s="13"/>
      <c r="Q175" s="13"/>
      <c r="R175" s="13"/>
      <c r="S175" s="13" t="s">
        <v>1353</v>
      </c>
      <c r="U175">
        <v>0</v>
      </c>
      <c r="W175">
        <v>0</v>
      </c>
    </row>
    <row r="176" spans="2:23">
      <c r="B176" t="s">
        <v>16</v>
      </c>
      <c r="C176" t="s">
        <v>76</v>
      </c>
      <c r="D176" t="s">
        <v>1296</v>
      </c>
      <c r="E176" t="str">
        <f t="shared" si="6"/>
        <v>Rockdale County</v>
      </c>
      <c r="F176" t="s">
        <v>287</v>
      </c>
      <c r="G176" t="str">
        <f>INDEX(StateCounties[],MATCH(D176,StateCounties[Georgia],0),MATCH(B176,StateCounties[#Headers],0))</f>
        <v>Rockdale County</v>
      </c>
      <c r="I176" t="b">
        <f t="shared" si="7"/>
        <v>1</v>
      </c>
      <c r="L176" s="13"/>
      <c r="M176" s="13"/>
      <c r="N176" s="13"/>
      <c r="O176" s="13"/>
      <c r="P176" s="13"/>
      <c r="Q176" s="13"/>
      <c r="R176" s="13"/>
      <c r="S176" s="13" t="s">
        <v>1354</v>
      </c>
      <c r="U176">
        <v>0</v>
      </c>
      <c r="W176">
        <v>0</v>
      </c>
    </row>
    <row r="177" spans="2:23">
      <c r="B177" t="s">
        <v>16</v>
      </c>
      <c r="C177" t="s">
        <v>76</v>
      </c>
      <c r="D177" t="s">
        <v>1301</v>
      </c>
      <c r="E177" t="str">
        <f t="shared" si="6"/>
        <v>Spalding County</v>
      </c>
      <c r="F177" t="s">
        <v>288</v>
      </c>
      <c r="G177" t="str">
        <f>INDEX(StateCounties[],MATCH(D177,StateCounties[Georgia],0),MATCH(B177,StateCounties[#Headers],0))</f>
        <v>Spalding County</v>
      </c>
      <c r="I177" t="b">
        <f t="shared" si="7"/>
        <v>1</v>
      </c>
      <c r="L177" s="13"/>
      <c r="M177" s="13"/>
      <c r="N177" s="13"/>
      <c r="O177" s="13"/>
      <c r="P177" s="13"/>
      <c r="Q177" s="13"/>
      <c r="R177" s="13"/>
      <c r="S177" s="13" t="s">
        <v>1355</v>
      </c>
      <c r="U177">
        <v>0</v>
      </c>
      <c r="W177">
        <v>0</v>
      </c>
    </row>
    <row r="178" spans="2:23">
      <c r="B178" t="s">
        <v>16</v>
      </c>
      <c r="C178" t="s">
        <v>76</v>
      </c>
      <c r="D178" t="s">
        <v>1167</v>
      </c>
      <c r="E178" t="str">
        <f t="shared" si="6"/>
        <v>Walton County</v>
      </c>
      <c r="F178" t="s">
        <v>263</v>
      </c>
      <c r="G178" t="str">
        <f>INDEX(StateCounties[],MATCH(D178,StateCounties[Georgia],0),MATCH(B178,StateCounties[#Headers],0))</f>
        <v>Walton County</v>
      </c>
      <c r="I178" t="b">
        <f t="shared" si="7"/>
        <v>1</v>
      </c>
      <c r="L178" s="13"/>
      <c r="M178" s="13"/>
      <c r="N178" s="13"/>
      <c r="O178" s="13"/>
      <c r="P178" s="13"/>
      <c r="Q178" s="13"/>
      <c r="R178" s="13"/>
      <c r="S178" s="13" t="s">
        <v>1356</v>
      </c>
      <c r="U178">
        <v>0</v>
      </c>
      <c r="W178">
        <v>0</v>
      </c>
    </row>
    <row r="179" spans="2:23">
      <c r="B179" t="s">
        <v>16</v>
      </c>
      <c r="C179" t="s">
        <v>84</v>
      </c>
      <c r="D179" t="s">
        <v>862</v>
      </c>
      <c r="E179" t="str">
        <f t="shared" si="6"/>
        <v>Carroll County</v>
      </c>
      <c r="F179" t="s">
        <v>289</v>
      </c>
      <c r="G179" t="str">
        <f>INDEX(StateCounties[],MATCH(D179,StateCounties[Georgia],0),MATCH(B179,StateCounties[#Headers],0))</f>
        <v>Carroll County</v>
      </c>
      <c r="I179" t="b">
        <f t="shared" si="7"/>
        <v>1</v>
      </c>
      <c r="L179" s="13"/>
      <c r="M179" s="13"/>
      <c r="N179" s="13"/>
      <c r="O179" s="13"/>
      <c r="P179" s="13"/>
      <c r="Q179" s="13"/>
      <c r="R179" s="13"/>
      <c r="S179" s="13" t="s">
        <v>1088</v>
      </c>
      <c r="U179">
        <v>0</v>
      </c>
      <c r="W179">
        <v>0</v>
      </c>
    </row>
    <row r="180" spans="2:23">
      <c r="B180" t="s">
        <v>16</v>
      </c>
      <c r="C180" t="s">
        <v>84</v>
      </c>
      <c r="D180" t="s">
        <v>1422</v>
      </c>
      <c r="E180" t="str">
        <f t="shared" si="6"/>
        <v>Heralson County</v>
      </c>
      <c r="F180" t="s">
        <v>290</v>
      </c>
      <c r="G180" t="e">
        <f>INDEX(StateCounties[],MATCH(D180,StateCounties[Georgia],0),MATCH(B180,StateCounties[#Headers],0))</f>
        <v>#N/A</v>
      </c>
      <c r="I180" t="b">
        <f t="shared" si="7"/>
        <v>1</v>
      </c>
      <c r="L180" s="13"/>
      <c r="M180" s="13"/>
      <c r="N180" s="13"/>
      <c r="O180" s="13"/>
      <c r="P180" s="13"/>
      <c r="Q180" s="13"/>
      <c r="R180" s="13"/>
      <c r="S180" s="13" t="s">
        <v>1357</v>
      </c>
      <c r="U180">
        <v>0</v>
      </c>
      <c r="W180">
        <v>0</v>
      </c>
    </row>
    <row r="181" spans="2:23">
      <c r="B181" t="s">
        <v>16</v>
      </c>
      <c r="C181" t="s">
        <v>84</v>
      </c>
      <c r="D181" t="s">
        <v>1201</v>
      </c>
      <c r="E181" t="str">
        <f t="shared" si="6"/>
        <v>Heard County</v>
      </c>
      <c r="F181" t="s">
        <v>291</v>
      </c>
      <c r="G181" t="str">
        <f>INDEX(StateCounties[],MATCH(D181,StateCounties[Georgia],0),MATCH(B181,StateCounties[#Headers],0))</f>
        <v>Heard County</v>
      </c>
      <c r="I181" t="b">
        <f t="shared" si="7"/>
        <v>1</v>
      </c>
      <c r="L181" s="13"/>
      <c r="M181" s="13"/>
      <c r="N181" s="13"/>
      <c r="O181" s="13"/>
      <c r="P181" s="13"/>
      <c r="Q181" s="13"/>
      <c r="R181" s="13"/>
      <c r="S181" s="13" t="s">
        <v>1358</v>
      </c>
      <c r="U181">
        <v>0</v>
      </c>
      <c r="W181">
        <v>0</v>
      </c>
    </row>
    <row r="182" spans="2:23">
      <c r="B182" t="s">
        <v>16</v>
      </c>
      <c r="C182" t="s">
        <v>86</v>
      </c>
      <c r="D182" t="s">
        <v>888</v>
      </c>
      <c r="E182" t="str">
        <f t="shared" si="6"/>
        <v>Burke County</v>
      </c>
      <c r="F182" t="s">
        <v>292</v>
      </c>
      <c r="G182" t="str">
        <f>INDEX(StateCounties[],MATCH(D182,StateCounties[Georgia],0),MATCH(B182,StateCounties[#Headers],0))</f>
        <v>Burke County</v>
      </c>
      <c r="I182" t="b">
        <f t="shared" si="7"/>
        <v>1</v>
      </c>
      <c r="L182" s="13"/>
      <c r="M182" s="13"/>
      <c r="N182" s="13"/>
      <c r="O182" s="13"/>
      <c r="P182" s="13"/>
      <c r="Q182" s="13"/>
      <c r="R182" s="13"/>
      <c r="S182" s="13" t="s">
        <v>1359</v>
      </c>
      <c r="U182">
        <v>0</v>
      </c>
      <c r="W182">
        <v>0</v>
      </c>
    </row>
    <row r="183" spans="2:23">
      <c r="B183" t="s">
        <v>16</v>
      </c>
      <c r="C183" t="s">
        <v>86</v>
      </c>
      <c r="D183" t="s">
        <v>885</v>
      </c>
      <c r="E183" t="str">
        <f t="shared" si="6"/>
        <v>Columbia County</v>
      </c>
      <c r="F183" t="s">
        <v>165</v>
      </c>
      <c r="G183" t="str">
        <f>INDEX(StateCounties[],MATCH(D183,StateCounties[Georgia],0),MATCH(B183,StateCounties[#Headers],0))</f>
        <v>Columbia County</v>
      </c>
      <c r="I183" t="b">
        <f t="shared" si="7"/>
        <v>1</v>
      </c>
      <c r="L183" s="13"/>
      <c r="M183" s="13"/>
      <c r="N183" s="13"/>
      <c r="O183" s="13"/>
      <c r="P183" s="13"/>
      <c r="Q183" s="13"/>
      <c r="R183" s="13"/>
      <c r="S183" s="13" t="s">
        <v>1360</v>
      </c>
      <c r="U183">
        <v>0</v>
      </c>
      <c r="W183">
        <v>0</v>
      </c>
    </row>
    <row r="184" spans="2:23">
      <c r="B184" t="s">
        <v>16</v>
      </c>
      <c r="C184" t="s">
        <v>86</v>
      </c>
      <c r="D184" t="s">
        <v>1099</v>
      </c>
      <c r="E184" t="str">
        <f t="shared" si="6"/>
        <v>Emanuel County</v>
      </c>
      <c r="F184" t="s">
        <v>293</v>
      </c>
      <c r="G184" t="str">
        <f>INDEX(StateCounties[],MATCH(D184,StateCounties[Georgia],0),MATCH(B184,StateCounties[#Headers],0))</f>
        <v>Emanuel County</v>
      </c>
      <c r="I184" t="b">
        <f t="shared" si="7"/>
        <v>1</v>
      </c>
      <c r="L184" s="13"/>
      <c r="M184" s="13"/>
      <c r="N184" s="13"/>
      <c r="O184" s="13"/>
      <c r="P184" s="13"/>
      <c r="Q184" s="13"/>
      <c r="R184" s="13"/>
      <c r="S184" s="13" t="s">
        <v>1072</v>
      </c>
      <c r="U184">
        <v>0</v>
      </c>
      <c r="W184">
        <v>0</v>
      </c>
    </row>
    <row r="185" spans="2:23">
      <c r="B185" t="s">
        <v>16</v>
      </c>
      <c r="C185" t="s">
        <v>86</v>
      </c>
      <c r="D185" t="s">
        <v>1145</v>
      </c>
      <c r="E185" t="str">
        <f t="shared" si="6"/>
        <v>Glascock County</v>
      </c>
      <c r="F185" t="s">
        <v>294</v>
      </c>
      <c r="G185" t="str">
        <f>INDEX(StateCounties[],MATCH(D185,StateCounties[Georgia],0),MATCH(B185,StateCounties[#Headers],0))</f>
        <v>Glascock County</v>
      </c>
      <c r="I185" t="b">
        <f t="shared" si="7"/>
        <v>1</v>
      </c>
      <c r="L185" s="13"/>
      <c r="M185" s="13"/>
      <c r="N185" s="13"/>
      <c r="O185" s="13"/>
      <c r="P185" s="13"/>
      <c r="Q185" s="13"/>
      <c r="R185" s="13"/>
      <c r="S185" s="13" t="s">
        <v>1361</v>
      </c>
      <c r="U185">
        <v>0</v>
      </c>
      <c r="W185">
        <v>0</v>
      </c>
    </row>
    <row r="186" spans="2:23">
      <c r="B186" t="s">
        <v>16</v>
      </c>
      <c r="C186" t="s">
        <v>86</v>
      </c>
      <c r="D186" t="s">
        <v>993</v>
      </c>
      <c r="E186" t="str">
        <f t="shared" si="6"/>
        <v>Jefferson County</v>
      </c>
      <c r="F186" t="s">
        <v>80</v>
      </c>
      <c r="G186" t="str">
        <f>INDEX(StateCounties[],MATCH(D186,StateCounties[Georgia],0),MATCH(B186,StateCounties[#Headers],0))</f>
        <v>Jefferson County</v>
      </c>
      <c r="I186" t="b">
        <f t="shared" si="7"/>
        <v>1</v>
      </c>
      <c r="L186" s="13"/>
      <c r="M186" s="13"/>
      <c r="N186" s="13"/>
      <c r="O186" s="13"/>
      <c r="P186" s="13"/>
      <c r="Q186" s="13"/>
      <c r="R186" s="13"/>
      <c r="S186" s="13" t="s">
        <v>1105</v>
      </c>
      <c r="U186">
        <v>0</v>
      </c>
      <c r="W186">
        <v>0</v>
      </c>
    </row>
    <row r="187" spans="2:23">
      <c r="B187" t="s">
        <v>16</v>
      </c>
      <c r="C187" t="s">
        <v>86</v>
      </c>
      <c r="D187" t="s">
        <v>1224</v>
      </c>
      <c r="E187" t="str">
        <f t="shared" si="6"/>
        <v>Jenkins County</v>
      </c>
      <c r="F187" t="s">
        <v>295</v>
      </c>
      <c r="G187" t="str">
        <f>INDEX(StateCounties[],MATCH(D187,StateCounties[Georgia],0),MATCH(B187,StateCounties[#Headers],0))</f>
        <v>Jenkins County</v>
      </c>
      <c r="I187" t="b">
        <f t="shared" si="7"/>
        <v>1</v>
      </c>
      <c r="L187" s="13"/>
      <c r="M187" s="13"/>
      <c r="N187" s="13"/>
      <c r="O187" s="13"/>
      <c r="P187" s="13"/>
      <c r="Q187" s="13"/>
      <c r="R187" s="13"/>
      <c r="S187" s="13" t="s">
        <v>1362</v>
      </c>
      <c r="U187">
        <v>0</v>
      </c>
      <c r="W187">
        <v>0</v>
      </c>
    </row>
    <row r="188" spans="2:23">
      <c r="B188" t="s">
        <v>16</v>
      </c>
      <c r="C188" t="s">
        <v>86</v>
      </c>
      <c r="D188" t="s">
        <v>1051</v>
      </c>
      <c r="E188" t="str">
        <f t="shared" si="6"/>
        <v>Lincoln County</v>
      </c>
      <c r="F188" t="s">
        <v>296</v>
      </c>
      <c r="G188" t="str">
        <f>INDEX(StateCounties[],MATCH(D188,StateCounties[Georgia],0),MATCH(B188,StateCounties[#Headers],0))</f>
        <v>Lincoln County</v>
      </c>
      <c r="I188" t="b">
        <f t="shared" si="7"/>
        <v>1</v>
      </c>
      <c r="L188" s="13"/>
      <c r="M188" s="13"/>
      <c r="N188" s="13"/>
      <c r="O188" s="13"/>
      <c r="P188" s="13"/>
      <c r="Q188" s="13"/>
      <c r="R188" s="13"/>
      <c r="S188" s="13" t="s">
        <v>1363</v>
      </c>
      <c r="U188">
        <v>0</v>
      </c>
      <c r="W188">
        <v>0</v>
      </c>
    </row>
    <row r="189" spans="2:23">
      <c r="B189" t="s">
        <v>16</v>
      </c>
      <c r="C189" t="s">
        <v>86</v>
      </c>
      <c r="D189" t="s">
        <v>1260</v>
      </c>
      <c r="E189" t="str">
        <f t="shared" si="6"/>
        <v>McDuffie County</v>
      </c>
      <c r="F189" t="s">
        <v>297</v>
      </c>
      <c r="G189" t="str">
        <f>INDEX(StateCounties[],MATCH(D189,StateCounties[Georgia],0),MATCH(B189,StateCounties[#Headers],0))</f>
        <v>McDuffie County</v>
      </c>
      <c r="I189" t="b">
        <f t="shared" si="7"/>
        <v>1</v>
      </c>
      <c r="L189" s="13"/>
      <c r="M189" s="13"/>
      <c r="N189" s="13"/>
      <c r="O189" s="13"/>
      <c r="P189" s="13"/>
      <c r="Q189" s="13"/>
      <c r="R189" s="13"/>
      <c r="S189" s="13" t="s">
        <v>1364</v>
      </c>
      <c r="U189">
        <v>0</v>
      </c>
      <c r="W189">
        <v>0</v>
      </c>
    </row>
    <row r="190" spans="2:23">
      <c r="B190" t="s">
        <v>16</v>
      </c>
      <c r="C190" t="s">
        <v>86</v>
      </c>
      <c r="D190" t="s">
        <v>1210</v>
      </c>
      <c r="E190" t="str">
        <f t="shared" si="6"/>
        <v>Richmond County</v>
      </c>
      <c r="F190" t="s">
        <v>298</v>
      </c>
      <c r="G190" t="str">
        <f>INDEX(StateCounties[],MATCH(D190,StateCounties[Georgia],0),MATCH(B190,StateCounties[#Headers],0))</f>
        <v>Richmond County</v>
      </c>
      <c r="I190" t="b">
        <f t="shared" si="7"/>
        <v>1</v>
      </c>
      <c r="L190" s="13"/>
      <c r="M190" s="13"/>
      <c r="N190" s="13"/>
      <c r="O190" s="13"/>
      <c r="P190" s="13"/>
      <c r="Q190" s="13"/>
      <c r="R190" s="13"/>
      <c r="S190" s="13" t="s">
        <v>1098</v>
      </c>
      <c r="U190">
        <v>0</v>
      </c>
      <c r="W190">
        <v>0</v>
      </c>
    </row>
    <row r="191" spans="2:23">
      <c r="B191" t="s">
        <v>16</v>
      </c>
      <c r="C191" t="s">
        <v>86</v>
      </c>
      <c r="D191" t="s">
        <v>1307</v>
      </c>
      <c r="E191" t="str">
        <f t="shared" si="6"/>
        <v>Taliaferro County</v>
      </c>
      <c r="F191" t="s">
        <v>299</v>
      </c>
      <c r="G191" t="str">
        <f>INDEX(StateCounties[],MATCH(D191,StateCounties[Georgia],0),MATCH(B191,StateCounties[#Headers],0))</f>
        <v>Taliaferro County</v>
      </c>
      <c r="I191" t="b">
        <f t="shared" si="7"/>
        <v>1</v>
      </c>
      <c r="L191" s="13"/>
      <c r="M191" s="13"/>
      <c r="N191" s="13"/>
      <c r="O191" s="13"/>
      <c r="P191" s="13"/>
      <c r="Q191" s="13"/>
      <c r="R191" s="13"/>
      <c r="S191" s="13" t="s">
        <v>1365</v>
      </c>
      <c r="U191">
        <v>0</v>
      </c>
      <c r="W191">
        <v>0</v>
      </c>
    </row>
    <row r="192" spans="2:23">
      <c r="B192" t="s">
        <v>16</v>
      </c>
      <c r="C192" t="s">
        <v>86</v>
      </c>
      <c r="D192" t="s">
        <v>1205</v>
      </c>
      <c r="E192" t="str">
        <f t="shared" si="6"/>
        <v>Warren County</v>
      </c>
      <c r="F192" t="s">
        <v>300</v>
      </c>
      <c r="G192" t="str">
        <f>INDEX(StateCounties[],MATCH(D192,StateCounties[Georgia],0),MATCH(B192,StateCounties[#Headers],0))</f>
        <v>Warren County</v>
      </c>
      <c r="I192" t="b">
        <f t="shared" si="7"/>
        <v>1</v>
      </c>
      <c r="L192" s="13"/>
      <c r="M192" s="13"/>
      <c r="N192" s="13"/>
      <c r="O192" s="13"/>
      <c r="P192" s="13"/>
      <c r="Q192" s="13"/>
      <c r="R192" s="13"/>
      <c r="S192" s="13" t="s">
        <v>1366</v>
      </c>
      <c r="U192">
        <v>0</v>
      </c>
      <c r="W192">
        <v>0</v>
      </c>
    </row>
    <row r="193" spans="2:23">
      <c r="B193" t="s">
        <v>16</v>
      </c>
      <c r="C193" t="s">
        <v>86</v>
      </c>
      <c r="D193" t="s">
        <v>1266</v>
      </c>
      <c r="E193" t="str">
        <f t="shared" si="6"/>
        <v>Wilkes County</v>
      </c>
      <c r="F193" t="s">
        <v>301</v>
      </c>
      <c r="G193" t="str">
        <f>INDEX(StateCounties[],MATCH(D193,StateCounties[Georgia],0),MATCH(B193,StateCounties[#Headers],0))</f>
        <v>Wilkes County</v>
      </c>
      <c r="I193" t="b">
        <f t="shared" si="7"/>
        <v>1</v>
      </c>
      <c r="L193" s="13"/>
      <c r="M193" s="13"/>
      <c r="N193" s="13"/>
      <c r="O193" s="13"/>
      <c r="P193" s="13"/>
      <c r="Q193" s="13"/>
      <c r="R193" s="13"/>
      <c r="S193" s="13" t="s">
        <v>1367</v>
      </c>
      <c r="U193">
        <v>0</v>
      </c>
      <c r="W193">
        <v>0</v>
      </c>
    </row>
    <row r="194" spans="2:23">
      <c r="B194" t="s">
        <v>16</v>
      </c>
      <c r="C194" t="s">
        <v>89</v>
      </c>
      <c r="D194" t="s">
        <v>832</v>
      </c>
      <c r="E194" t="str">
        <f t="shared" si="6"/>
        <v>Bacon County</v>
      </c>
      <c r="F194" t="s">
        <v>302</v>
      </c>
      <c r="G194" t="str">
        <f>INDEX(StateCounties[],MATCH(D194,StateCounties[Georgia],0),MATCH(B194,StateCounties[#Headers],0))</f>
        <v>Bacon County</v>
      </c>
      <c r="I194" t="b">
        <f t="shared" si="7"/>
        <v>1</v>
      </c>
      <c r="L194" s="13"/>
      <c r="M194" s="13"/>
      <c r="N194" s="13"/>
      <c r="O194" s="13"/>
      <c r="P194" s="13"/>
      <c r="Q194" s="13"/>
      <c r="R194" s="13"/>
      <c r="S194" s="13" t="s">
        <v>1368</v>
      </c>
      <c r="U194">
        <v>0</v>
      </c>
      <c r="W194">
        <v>0</v>
      </c>
    </row>
    <row r="195" spans="2:23">
      <c r="B195" t="s">
        <v>16</v>
      </c>
      <c r="C195" t="s">
        <v>89</v>
      </c>
      <c r="D195" t="s">
        <v>892</v>
      </c>
      <c r="E195" t="str">
        <f t="shared" ref="E195:E258" si="8">F195&amp; " County"</f>
        <v>Brantley County</v>
      </c>
      <c r="F195" t="s">
        <v>303</v>
      </c>
      <c r="G195" t="str">
        <f>INDEX(StateCounties[],MATCH(D195,StateCounties[Georgia],0),MATCH(B195,StateCounties[#Headers],0))</f>
        <v>Brantley County</v>
      </c>
      <c r="I195" t="b">
        <f t="shared" si="7"/>
        <v>1</v>
      </c>
      <c r="L195" s="13"/>
      <c r="M195" s="13"/>
      <c r="N195" s="13"/>
      <c r="O195" s="13"/>
      <c r="P195" s="13"/>
      <c r="Q195" s="13"/>
      <c r="R195" s="13"/>
      <c r="S195" s="13" t="s">
        <v>1369</v>
      </c>
      <c r="U195">
        <v>0</v>
      </c>
      <c r="W195">
        <v>0</v>
      </c>
    </row>
    <row r="196" spans="2:23">
      <c r="B196" t="s">
        <v>16</v>
      </c>
      <c r="C196" t="s">
        <v>89</v>
      </c>
      <c r="D196" t="s">
        <v>904</v>
      </c>
      <c r="E196" t="str">
        <f t="shared" si="8"/>
        <v>Camden County</v>
      </c>
      <c r="F196" t="s">
        <v>304</v>
      </c>
      <c r="G196" t="str">
        <f>INDEX(StateCounties[],MATCH(D196,StateCounties[Georgia],0),MATCH(B196,StateCounties[#Headers],0))</f>
        <v>Camden County</v>
      </c>
      <c r="I196" t="b">
        <f t="shared" ref="I196:I259" si="9">E196=D196</f>
        <v>1</v>
      </c>
      <c r="L196" s="13"/>
      <c r="M196" s="13"/>
      <c r="N196" s="13"/>
      <c r="O196" s="13"/>
      <c r="P196" s="13"/>
      <c r="Q196" s="13"/>
      <c r="R196" s="13"/>
      <c r="S196" s="13" t="s">
        <v>1370</v>
      </c>
      <c r="U196">
        <v>0</v>
      </c>
      <c r="W196">
        <v>0</v>
      </c>
    </row>
    <row r="197" spans="2:23">
      <c r="B197" t="s">
        <v>16</v>
      </c>
      <c r="C197" t="s">
        <v>89</v>
      </c>
      <c r="D197" t="s">
        <v>955</v>
      </c>
      <c r="E197" t="str">
        <f t="shared" si="8"/>
        <v>Charlton County</v>
      </c>
      <c r="F197" t="s">
        <v>305</v>
      </c>
      <c r="G197" t="str">
        <f>INDEX(StateCounties[],MATCH(D197,StateCounties[Georgia],0),MATCH(B197,StateCounties[#Headers],0))</f>
        <v>Charlton County</v>
      </c>
      <c r="I197" t="b">
        <f t="shared" si="9"/>
        <v>1</v>
      </c>
      <c r="L197" s="13"/>
      <c r="M197" s="13"/>
      <c r="N197" s="13"/>
      <c r="O197" s="13"/>
      <c r="P197" s="13"/>
      <c r="Q197" s="13"/>
      <c r="R197" s="13"/>
      <c r="S197" s="13" t="s">
        <v>1371</v>
      </c>
      <c r="U197">
        <v>0</v>
      </c>
      <c r="W197">
        <v>0</v>
      </c>
    </row>
    <row r="198" spans="2:23">
      <c r="B198" t="s">
        <v>16</v>
      </c>
      <c r="C198" t="s">
        <v>89</v>
      </c>
      <c r="D198" t="s">
        <v>1150</v>
      </c>
      <c r="E198" t="str">
        <f t="shared" si="8"/>
        <v>Glynn County</v>
      </c>
      <c r="F198" t="s">
        <v>306</v>
      </c>
      <c r="G198" t="str">
        <f>INDEX(StateCounties[],MATCH(D198,StateCounties[Georgia],0),MATCH(B198,StateCounties[#Headers],0))</f>
        <v>Glynn County</v>
      </c>
      <c r="I198" t="b">
        <f t="shared" si="9"/>
        <v>1</v>
      </c>
      <c r="L198" s="13"/>
      <c r="M198" s="13"/>
      <c r="N198" s="13"/>
      <c r="O198" s="13"/>
      <c r="P198" s="13"/>
      <c r="Q198" s="13"/>
      <c r="R198" s="13"/>
      <c r="S198" s="13" t="s">
        <v>1372</v>
      </c>
      <c r="U198">
        <v>0</v>
      </c>
      <c r="W198">
        <v>0</v>
      </c>
    </row>
    <row r="199" spans="2:23">
      <c r="B199" t="s">
        <v>16</v>
      </c>
      <c r="C199" t="s">
        <v>89</v>
      </c>
      <c r="D199" t="s">
        <v>1263</v>
      </c>
      <c r="E199" t="str">
        <f t="shared" si="8"/>
        <v>McIntosh County</v>
      </c>
      <c r="F199" t="s">
        <v>307</v>
      </c>
      <c r="G199" t="str">
        <f>INDEX(StateCounties[],MATCH(D199,StateCounties[Georgia],0),MATCH(B199,StateCounties[#Headers],0))</f>
        <v>McIntosh County</v>
      </c>
      <c r="I199" t="b">
        <f t="shared" si="9"/>
        <v>1</v>
      </c>
      <c r="L199" s="13"/>
      <c r="M199" s="13"/>
      <c r="N199" s="13"/>
      <c r="O199" s="13"/>
      <c r="P199" s="13"/>
      <c r="Q199" s="13"/>
      <c r="R199" s="13"/>
      <c r="S199" s="13" t="s">
        <v>1373</v>
      </c>
      <c r="U199">
        <v>0</v>
      </c>
      <c r="W199">
        <v>0</v>
      </c>
    </row>
    <row r="200" spans="2:23">
      <c r="B200" t="s">
        <v>16</v>
      </c>
      <c r="C200" t="s">
        <v>89</v>
      </c>
      <c r="D200" t="s">
        <v>1287</v>
      </c>
      <c r="E200" t="str">
        <f t="shared" si="8"/>
        <v>Pierce County</v>
      </c>
      <c r="F200" t="s">
        <v>308</v>
      </c>
      <c r="G200" t="str">
        <f>INDEX(StateCounties[],MATCH(D200,StateCounties[Georgia],0),MATCH(B200,StateCounties[#Headers],0))</f>
        <v>Pierce County</v>
      </c>
      <c r="I200" t="b">
        <f t="shared" si="9"/>
        <v>1</v>
      </c>
      <c r="L200" s="13"/>
      <c r="M200" s="13"/>
      <c r="N200" s="13"/>
      <c r="O200" s="13"/>
      <c r="P200" s="13"/>
      <c r="Q200" s="13"/>
      <c r="R200" s="13"/>
      <c r="S200" s="13" t="s">
        <v>1374</v>
      </c>
      <c r="U200">
        <v>0</v>
      </c>
      <c r="W200">
        <v>0</v>
      </c>
    </row>
    <row r="201" spans="2:23">
      <c r="B201" t="s">
        <v>16</v>
      </c>
      <c r="C201" t="s">
        <v>89</v>
      </c>
      <c r="D201" t="s">
        <v>1331</v>
      </c>
      <c r="E201" t="str">
        <f t="shared" si="8"/>
        <v>Ware County</v>
      </c>
      <c r="F201" t="s">
        <v>309</v>
      </c>
      <c r="G201" t="str">
        <f>INDEX(StateCounties[],MATCH(D201,StateCounties[Georgia],0),MATCH(B201,StateCounties[#Headers],0))</f>
        <v>Ware County</v>
      </c>
      <c r="I201" t="b">
        <f t="shared" si="9"/>
        <v>1</v>
      </c>
      <c r="L201" s="13"/>
      <c r="M201" s="13"/>
      <c r="N201" s="13"/>
      <c r="O201" s="13"/>
      <c r="P201" s="13"/>
      <c r="Q201" s="13"/>
      <c r="R201" s="13"/>
      <c r="S201" s="13" t="s">
        <v>1204</v>
      </c>
      <c r="U201">
        <v>0</v>
      </c>
      <c r="W201">
        <v>0</v>
      </c>
    </row>
    <row r="202" spans="2:23">
      <c r="B202" t="s">
        <v>16</v>
      </c>
      <c r="C202" t="s">
        <v>89</v>
      </c>
      <c r="D202" t="s">
        <v>1209</v>
      </c>
      <c r="E202" t="str">
        <f t="shared" si="8"/>
        <v>Wayne County</v>
      </c>
      <c r="F202" t="s">
        <v>310</v>
      </c>
      <c r="G202" t="str">
        <f>INDEX(StateCounties[],MATCH(D202,StateCounties[Georgia],0),MATCH(B202,StateCounties[#Headers],0))</f>
        <v>Wayne County</v>
      </c>
      <c r="I202" t="b">
        <f t="shared" si="9"/>
        <v>1</v>
      </c>
      <c r="L202" s="13"/>
      <c r="M202" s="13"/>
      <c r="N202" s="13"/>
      <c r="O202" s="13"/>
      <c r="P202" s="13"/>
      <c r="Q202" s="13"/>
      <c r="R202" s="13"/>
      <c r="S202" s="13" t="s">
        <v>1375</v>
      </c>
      <c r="U202">
        <v>0</v>
      </c>
      <c r="W202">
        <v>0</v>
      </c>
    </row>
    <row r="203" spans="2:23">
      <c r="B203" t="s">
        <v>16</v>
      </c>
      <c r="C203" t="s">
        <v>93</v>
      </c>
      <c r="D203" t="s">
        <v>948</v>
      </c>
      <c r="E203" t="str">
        <f t="shared" si="8"/>
        <v>Catoosa County</v>
      </c>
      <c r="F203" t="s">
        <v>311</v>
      </c>
      <c r="G203" t="str">
        <f>INDEX(StateCounties[],MATCH(D203,StateCounties[Georgia],0),MATCH(B203,StateCounties[#Headers],0))</f>
        <v>Catoosa County</v>
      </c>
      <c r="I203" t="b">
        <f t="shared" si="9"/>
        <v>1</v>
      </c>
      <c r="L203" s="13"/>
      <c r="M203" s="13"/>
      <c r="N203" s="13"/>
      <c r="O203" s="13"/>
      <c r="P203" s="13"/>
      <c r="Q203" s="13"/>
      <c r="R203" s="13"/>
      <c r="S203" s="13" t="s">
        <v>1376</v>
      </c>
      <c r="U203">
        <v>0</v>
      </c>
      <c r="W203">
        <v>0</v>
      </c>
    </row>
    <row r="204" spans="2:23">
      <c r="B204" t="s">
        <v>16</v>
      </c>
      <c r="C204" t="s">
        <v>93</v>
      </c>
      <c r="D204" t="s">
        <v>1039</v>
      </c>
      <c r="E204" t="str">
        <f t="shared" si="8"/>
        <v>Dade County</v>
      </c>
      <c r="F204" t="s">
        <v>312</v>
      </c>
      <c r="G204" t="str">
        <f>INDEX(StateCounties[],MATCH(D204,StateCounties[Georgia],0),MATCH(B204,StateCounties[#Headers],0))</f>
        <v>Dade County</v>
      </c>
      <c r="I204" t="b">
        <f t="shared" si="9"/>
        <v>1</v>
      </c>
      <c r="L204" s="13"/>
      <c r="M204" s="13"/>
      <c r="N204" s="13"/>
      <c r="O204" s="13"/>
      <c r="P204" s="13"/>
      <c r="Q204" s="13"/>
      <c r="R204" s="13"/>
      <c r="S204" s="13" t="s">
        <v>1377</v>
      </c>
      <c r="U204">
        <v>0</v>
      </c>
      <c r="W204">
        <v>0</v>
      </c>
    </row>
    <row r="205" spans="2:23">
      <c r="B205" t="s">
        <v>16</v>
      </c>
      <c r="C205" t="s">
        <v>93</v>
      </c>
      <c r="D205" t="s">
        <v>1154</v>
      </c>
      <c r="E205" t="str">
        <f t="shared" si="8"/>
        <v>Walker County</v>
      </c>
      <c r="F205" t="s">
        <v>83</v>
      </c>
      <c r="G205" t="str">
        <f>INDEX(StateCounties[],MATCH(D205,StateCounties[Georgia],0),MATCH(B205,StateCounties[#Headers],0))</f>
        <v>Walker County</v>
      </c>
      <c r="I205" t="b">
        <f t="shared" si="9"/>
        <v>1</v>
      </c>
      <c r="L205" s="13"/>
      <c r="M205" s="13"/>
      <c r="N205" s="13"/>
      <c r="O205" s="13"/>
      <c r="P205" s="13"/>
      <c r="Q205" s="13"/>
      <c r="R205" s="13"/>
      <c r="S205" s="13" t="s">
        <v>1378</v>
      </c>
      <c r="U205">
        <v>0</v>
      </c>
      <c r="W205">
        <v>0</v>
      </c>
    </row>
    <row r="206" spans="2:23">
      <c r="B206" t="s">
        <v>16</v>
      </c>
      <c r="C206" t="s">
        <v>96</v>
      </c>
      <c r="D206" t="s">
        <v>966</v>
      </c>
      <c r="E206" t="str">
        <f t="shared" si="8"/>
        <v>Chattahoochee County</v>
      </c>
      <c r="F206" t="s">
        <v>313</v>
      </c>
      <c r="G206" t="str">
        <f>INDEX(StateCounties[],MATCH(D206,StateCounties[Georgia],0),MATCH(B206,StateCounties[#Headers],0))</f>
        <v>Chattahoochee County</v>
      </c>
      <c r="I206" t="b">
        <f t="shared" si="9"/>
        <v>1</v>
      </c>
      <c r="L206" s="13"/>
      <c r="M206" s="13"/>
      <c r="N206" s="13"/>
      <c r="O206" s="13"/>
      <c r="P206" s="13"/>
      <c r="Q206" s="13"/>
      <c r="R206" s="13"/>
      <c r="S206" s="13" t="s">
        <v>1379</v>
      </c>
      <c r="U206">
        <v>0</v>
      </c>
      <c r="W206">
        <v>0</v>
      </c>
    </row>
    <row r="207" spans="2:23">
      <c r="B207" t="s">
        <v>16</v>
      </c>
      <c r="C207" t="s">
        <v>96</v>
      </c>
      <c r="D207" t="s">
        <v>1192</v>
      </c>
      <c r="E207" t="str">
        <f t="shared" si="8"/>
        <v>Harris County</v>
      </c>
      <c r="F207" t="s">
        <v>314</v>
      </c>
      <c r="G207" t="str">
        <f>INDEX(StateCounties[],MATCH(D207,StateCounties[Georgia],0),MATCH(B207,StateCounties[#Headers],0))</f>
        <v>Harris County</v>
      </c>
      <c r="I207" t="b">
        <f t="shared" si="9"/>
        <v>1</v>
      </c>
      <c r="L207" s="13"/>
      <c r="M207" s="13"/>
      <c r="N207" s="13"/>
      <c r="O207" s="13"/>
      <c r="P207" s="13"/>
      <c r="Q207" s="13"/>
      <c r="R207" s="13"/>
      <c r="S207" s="13" t="s">
        <v>1380</v>
      </c>
      <c r="U207">
        <v>0</v>
      </c>
      <c r="W207">
        <v>0</v>
      </c>
    </row>
    <row r="208" spans="2:23">
      <c r="B208" t="s">
        <v>16</v>
      </c>
      <c r="C208" t="s">
        <v>96</v>
      </c>
      <c r="D208" t="s">
        <v>1054</v>
      </c>
      <c r="E208" t="str">
        <f t="shared" si="8"/>
        <v>Macon County</v>
      </c>
      <c r="F208" t="s">
        <v>137</v>
      </c>
      <c r="G208" t="str">
        <f>INDEX(StateCounties[],MATCH(D208,StateCounties[Georgia],0),MATCH(B208,StateCounties[#Headers],0))</f>
        <v>Macon County</v>
      </c>
      <c r="I208" t="b">
        <f t="shared" si="9"/>
        <v>1</v>
      </c>
      <c r="L208" s="13"/>
      <c r="M208" s="13"/>
      <c r="N208" s="13"/>
      <c r="O208" s="13"/>
      <c r="P208" s="13"/>
      <c r="Q208" s="13"/>
      <c r="R208" s="13"/>
      <c r="S208" s="13" t="s">
        <v>1381</v>
      </c>
      <c r="U208">
        <v>0</v>
      </c>
      <c r="W208">
        <v>0</v>
      </c>
    </row>
    <row r="209" spans="2:23">
      <c r="B209" t="s">
        <v>16</v>
      </c>
      <c r="C209" t="s">
        <v>96</v>
      </c>
      <c r="D209" t="s">
        <v>1038</v>
      </c>
      <c r="E209" t="str">
        <f t="shared" si="8"/>
        <v>Marion County</v>
      </c>
      <c r="F209" t="s">
        <v>138</v>
      </c>
      <c r="G209" t="str">
        <f>INDEX(StateCounties[],MATCH(D209,StateCounties[Georgia],0),MATCH(B209,StateCounties[#Headers],0))</f>
        <v>Marion County</v>
      </c>
      <c r="I209" t="b">
        <f t="shared" si="9"/>
        <v>1</v>
      </c>
      <c r="L209" s="13"/>
      <c r="M209" s="13"/>
      <c r="N209" s="13"/>
      <c r="O209" s="13"/>
      <c r="P209" s="13"/>
      <c r="Q209" s="13"/>
      <c r="R209" s="13"/>
      <c r="S209" s="13" t="s">
        <v>1382</v>
      </c>
      <c r="U209">
        <v>0</v>
      </c>
      <c r="W209">
        <v>0</v>
      </c>
    </row>
    <row r="210" spans="2:23">
      <c r="B210" t="s">
        <v>16</v>
      </c>
      <c r="C210" t="s">
        <v>96</v>
      </c>
      <c r="D210" t="s">
        <v>1268</v>
      </c>
      <c r="E210" t="str">
        <f t="shared" si="8"/>
        <v>Meriwether County</v>
      </c>
      <c r="F210" t="s">
        <v>315</v>
      </c>
      <c r="G210" t="str">
        <f>INDEX(StateCounties[],MATCH(D210,StateCounties[Georgia],0),MATCH(B210,StateCounties[#Headers],0))</f>
        <v>Meriwether County</v>
      </c>
      <c r="I210" t="b">
        <f t="shared" si="9"/>
        <v>1</v>
      </c>
      <c r="L210" s="13"/>
      <c r="M210" s="13"/>
      <c r="N210" s="13"/>
      <c r="O210" s="13"/>
      <c r="P210" s="13"/>
      <c r="Q210" s="13"/>
      <c r="R210" s="13"/>
      <c r="S210" s="13" t="s">
        <v>1383</v>
      </c>
      <c r="U210">
        <v>0</v>
      </c>
      <c r="W210">
        <v>0</v>
      </c>
    </row>
    <row r="211" spans="2:23">
      <c r="B211" t="s">
        <v>16</v>
      </c>
      <c r="C211" t="s">
        <v>96</v>
      </c>
      <c r="D211" t="s">
        <v>1276</v>
      </c>
      <c r="E211" t="str">
        <f t="shared" si="8"/>
        <v>Muscogee County</v>
      </c>
      <c r="F211" t="s">
        <v>316</v>
      </c>
      <c r="G211" t="str">
        <f>INDEX(StateCounties[],MATCH(D211,StateCounties[Georgia],0),MATCH(B211,StateCounties[#Headers],0))</f>
        <v>Muscogee County</v>
      </c>
      <c r="I211" t="b">
        <f t="shared" si="9"/>
        <v>1</v>
      </c>
      <c r="L211" s="13"/>
      <c r="M211" s="13"/>
      <c r="N211" s="13"/>
      <c r="O211" s="13"/>
      <c r="P211" s="13"/>
      <c r="Q211" s="13"/>
      <c r="R211" s="13"/>
      <c r="S211" s="13" t="s">
        <v>1384</v>
      </c>
      <c r="U211">
        <v>0</v>
      </c>
      <c r="W211">
        <v>0</v>
      </c>
    </row>
    <row r="212" spans="2:23">
      <c r="B212" t="s">
        <v>16</v>
      </c>
      <c r="C212" t="s">
        <v>96</v>
      </c>
      <c r="D212" t="s">
        <v>1132</v>
      </c>
      <c r="E212" t="str">
        <f t="shared" si="8"/>
        <v>Quitman County</v>
      </c>
      <c r="F212" t="s">
        <v>317</v>
      </c>
      <c r="G212" t="str">
        <f>INDEX(StateCounties[],MATCH(D212,StateCounties[Georgia],0),MATCH(B212,StateCounties[#Headers],0))</f>
        <v>Quitman County</v>
      </c>
      <c r="I212" t="b">
        <f t="shared" si="9"/>
        <v>1</v>
      </c>
      <c r="L212" s="13"/>
      <c r="M212" s="13"/>
      <c r="N212" s="13"/>
      <c r="O212" s="13"/>
      <c r="P212" s="13"/>
      <c r="Q212" s="13"/>
      <c r="R212" s="13"/>
      <c r="S212" s="13" t="s">
        <v>1385</v>
      </c>
      <c r="U212">
        <v>0</v>
      </c>
      <c r="W212">
        <v>0</v>
      </c>
    </row>
    <row r="213" spans="2:23">
      <c r="B213" t="s">
        <v>16</v>
      </c>
      <c r="C213" t="s">
        <v>96</v>
      </c>
      <c r="D213" t="s">
        <v>1222</v>
      </c>
      <c r="E213" t="str">
        <f t="shared" si="8"/>
        <v>Stewart County</v>
      </c>
      <c r="F213" t="s">
        <v>318</v>
      </c>
      <c r="G213" t="str">
        <f>INDEX(StateCounties[],MATCH(D213,StateCounties[Georgia],0),MATCH(B213,StateCounties[#Headers],0))</f>
        <v>Stewart County</v>
      </c>
      <c r="I213" t="b">
        <f t="shared" si="9"/>
        <v>1</v>
      </c>
      <c r="L213" s="13"/>
      <c r="M213" s="13"/>
      <c r="N213" s="13"/>
      <c r="O213" s="13"/>
      <c r="P213" s="13"/>
      <c r="Q213" s="13"/>
      <c r="R213" s="13"/>
      <c r="S213" s="13" t="s">
        <v>1126</v>
      </c>
      <c r="U213">
        <v>0</v>
      </c>
      <c r="W213">
        <v>0</v>
      </c>
    </row>
    <row r="214" spans="2:23">
      <c r="B214" t="s">
        <v>16</v>
      </c>
      <c r="C214" t="s">
        <v>96</v>
      </c>
      <c r="D214" t="s">
        <v>1305</v>
      </c>
      <c r="E214" t="str">
        <f t="shared" si="8"/>
        <v>Talbot County</v>
      </c>
      <c r="F214" t="s">
        <v>319</v>
      </c>
      <c r="G214" t="str">
        <f>INDEX(StateCounties[],MATCH(D214,StateCounties[Georgia],0),MATCH(B214,StateCounties[#Headers],0))</f>
        <v>Talbot County</v>
      </c>
      <c r="I214" t="b">
        <f t="shared" si="9"/>
        <v>1</v>
      </c>
      <c r="L214" s="13"/>
      <c r="M214" s="13"/>
      <c r="N214" s="13"/>
      <c r="O214" s="13"/>
      <c r="P214" s="13"/>
      <c r="Q214" s="13"/>
      <c r="R214" s="13"/>
      <c r="S214" s="13" t="s">
        <v>1386</v>
      </c>
      <c r="U214">
        <v>0</v>
      </c>
      <c r="W214">
        <v>0</v>
      </c>
    </row>
    <row r="215" spans="2:23">
      <c r="B215" t="s">
        <v>16</v>
      </c>
      <c r="C215" t="s">
        <v>96</v>
      </c>
      <c r="D215" t="s">
        <v>1144</v>
      </c>
      <c r="E215" t="str">
        <f t="shared" si="8"/>
        <v>Taylor County</v>
      </c>
      <c r="F215" t="s">
        <v>255</v>
      </c>
      <c r="G215" t="str">
        <f>INDEX(StateCounties[],MATCH(D215,StateCounties[Georgia],0),MATCH(B215,StateCounties[#Headers],0))</f>
        <v>Taylor County</v>
      </c>
      <c r="I215" t="b">
        <f t="shared" si="9"/>
        <v>1</v>
      </c>
      <c r="L215" s="13"/>
      <c r="M215" s="13"/>
      <c r="N215" s="13"/>
      <c r="O215" s="13"/>
      <c r="P215" s="13"/>
      <c r="Q215" s="13"/>
      <c r="R215" s="13"/>
      <c r="S215" s="13" t="s">
        <v>1163</v>
      </c>
      <c r="U215">
        <v>0</v>
      </c>
      <c r="W215">
        <v>0</v>
      </c>
    </row>
    <row r="216" spans="2:23">
      <c r="B216" t="s">
        <v>16</v>
      </c>
      <c r="C216" t="s">
        <v>96</v>
      </c>
      <c r="D216" t="s">
        <v>1324</v>
      </c>
      <c r="E216" t="str">
        <f t="shared" si="8"/>
        <v>Troup County</v>
      </c>
      <c r="F216" t="s">
        <v>320</v>
      </c>
      <c r="G216" t="str">
        <f>INDEX(StateCounties[],MATCH(D216,StateCounties[Georgia],0),MATCH(B216,StateCounties[#Headers],0))</f>
        <v>Troup County</v>
      </c>
      <c r="I216" t="b">
        <f t="shared" si="9"/>
        <v>1</v>
      </c>
      <c r="L216" s="13"/>
      <c r="M216" s="13"/>
      <c r="N216" s="13"/>
      <c r="O216" s="13"/>
      <c r="P216" s="13"/>
      <c r="Q216" s="13"/>
      <c r="R216" s="13"/>
      <c r="S216" s="13" t="s">
        <v>1387</v>
      </c>
      <c r="U216">
        <v>0</v>
      </c>
      <c r="W216">
        <v>0</v>
      </c>
    </row>
    <row r="217" spans="2:23">
      <c r="B217" t="s">
        <v>16</v>
      </c>
      <c r="C217" t="s">
        <v>96</v>
      </c>
      <c r="D217" t="s">
        <v>1330</v>
      </c>
      <c r="E217" t="str">
        <f t="shared" si="8"/>
        <v>Upson County</v>
      </c>
      <c r="F217" t="s">
        <v>321</v>
      </c>
      <c r="G217" t="str">
        <f>INDEX(StateCounties[],MATCH(D217,StateCounties[Georgia],0),MATCH(B217,StateCounties[#Headers],0))</f>
        <v>Upson County</v>
      </c>
      <c r="I217" t="b">
        <f t="shared" si="9"/>
        <v>1</v>
      </c>
      <c r="L217" s="13"/>
      <c r="M217" s="13"/>
      <c r="N217" s="13"/>
      <c r="O217" s="13"/>
      <c r="P217" s="13"/>
      <c r="Q217" s="13"/>
      <c r="R217" s="13"/>
      <c r="S217" s="13" t="s">
        <v>1388</v>
      </c>
      <c r="U217">
        <v>0</v>
      </c>
      <c r="W217">
        <v>0</v>
      </c>
    </row>
    <row r="218" spans="2:23">
      <c r="B218" t="s">
        <v>16</v>
      </c>
      <c r="C218" t="s">
        <v>96</v>
      </c>
      <c r="D218" t="s">
        <v>1212</v>
      </c>
      <c r="E218" t="str">
        <f t="shared" si="8"/>
        <v>Webster County</v>
      </c>
      <c r="F218" t="s">
        <v>322</v>
      </c>
      <c r="G218" t="str">
        <f>INDEX(StateCounties[],MATCH(D218,StateCounties[Georgia],0),MATCH(B218,StateCounties[#Headers],0))</f>
        <v>Webster County</v>
      </c>
      <c r="I218" t="b">
        <f t="shared" si="9"/>
        <v>1</v>
      </c>
      <c r="L218" s="13"/>
      <c r="M218" s="13"/>
      <c r="N218" s="13"/>
      <c r="O218" s="13"/>
      <c r="P218" s="13"/>
      <c r="Q218" s="13"/>
      <c r="R218" s="13"/>
      <c r="S218" s="13" t="s">
        <v>1302</v>
      </c>
      <c r="U218">
        <v>0</v>
      </c>
      <c r="W218">
        <v>0</v>
      </c>
    </row>
    <row r="219" spans="2:23">
      <c r="B219" t="s">
        <v>16</v>
      </c>
      <c r="C219" t="s">
        <v>98</v>
      </c>
      <c r="D219" t="s">
        <v>1111</v>
      </c>
      <c r="E219" t="str">
        <f t="shared" si="8"/>
        <v>Fannin County</v>
      </c>
      <c r="F219" t="s">
        <v>323</v>
      </c>
      <c r="G219" t="str">
        <f>INDEX(StateCounties[],MATCH(D219,StateCounties[Georgia],0),MATCH(B219,StateCounties[#Headers],0))</f>
        <v>Fannin County</v>
      </c>
      <c r="I219" t="b">
        <f t="shared" si="9"/>
        <v>1</v>
      </c>
      <c r="L219" s="13"/>
      <c r="M219" s="13"/>
      <c r="N219" s="13"/>
      <c r="O219" s="13"/>
      <c r="P219" s="13"/>
      <c r="Q219" s="13"/>
      <c r="R219" s="13"/>
      <c r="S219" s="13" t="s">
        <v>1389</v>
      </c>
      <c r="U219">
        <v>0</v>
      </c>
      <c r="W219">
        <v>0</v>
      </c>
    </row>
    <row r="220" spans="2:23">
      <c r="B220" t="s">
        <v>16</v>
      </c>
      <c r="C220" t="s">
        <v>98</v>
      </c>
      <c r="D220" t="s">
        <v>1274</v>
      </c>
      <c r="E220" t="str">
        <f t="shared" si="8"/>
        <v>Murray County</v>
      </c>
      <c r="F220" t="s">
        <v>324</v>
      </c>
      <c r="G220" t="str">
        <f>INDEX(StateCounties[],MATCH(D220,StateCounties[Georgia],0),MATCH(B220,StateCounties[#Headers],0))</f>
        <v>Murray County</v>
      </c>
      <c r="I220" t="b">
        <f t="shared" si="9"/>
        <v>1</v>
      </c>
      <c r="L220" s="13"/>
      <c r="M220" s="13"/>
      <c r="N220" s="13"/>
      <c r="O220" s="13"/>
      <c r="P220" s="13"/>
      <c r="Q220" s="13"/>
      <c r="R220" s="13"/>
      <c r="S220" s="13" t="s">
        <v>1390</v>
      </c>
      <c r="U220">
        <v>0</v>
      </c>
      <c r="W220">
        <v>0</v>
      </c>
    </row>
    <row r="221" spans="2:23">
      <c r="B221" t="s">
        <v>16</v>
      </c>
      <c r="C221" t="s">
        <v>98</v>
      </c>
      <c r="D221" t="s">
        <v>1340</v>
      </c>
      <c r="E221" t="str">
        <f t="shared" si="8"/>
        <v>Whitfield County</v>
      </c>
      <c r="F221" t="s">
        <v>325</v>
      </c>
      <c r="G221" t="str">
        <f>INDEX(StateCounties[],MATCH(D221,StateCounties[Georgia],0),MATCH(B221,StateCounties[#Headers],0))</f>
        <v>Whitfield County</v>
      </c>
      <c r="I221" t="b">
        <f t="shared" si="9"/>
        <v>1</v>
      </c>
      <c r="L221" s="13"/>
      <c r="M221" s="13"/>
      <c r="N221" s="13"/>
      <c r="O221" s="13"/>
      <c r="P221" s="13"/>
      <c r="Q221" s="13"/>
      <c r="R221" s="13"/>
      <c r="S221" s="13" t="s">
        <v>1391</v>
      </c>
      <c r="U221">
        <v>0</v>
      </c>
      <c r="W221">
        <v>0</v>
      </c>
    </row>
    <row r="222" spans="2:23">
      <c r="B222" t="s">
        <v>16</v>
      </c>
      <c r="C222" t="s">
        <v>101</v>
      </c>
      <c r="D222" t="s">
        <v>849</v>
      </c>
      <c r="E222" t="str">
        <f t="shared" si="8"/>
        <v>Banks County</v>
      </c>
      <c r="F222" t="s">
        <v>326</v>
      </c>
      <c r="G222" t="str">
        <f>INDEX(StateCounties[],MATCH(D222,StateCounties[Georgia],0),MATCH(B222,StateCounties[#Headers],0))</f>
        <v>Banks County</v>
      </c>
      <c r="I222" t="b">
        <f t="shared" si="9"/>
        <v>1</v>
      </c>
      <c r="L222" s="13"/>
      <c r="M222" s="13"/>
      <c r="N222" s="13"/>
      <c r="O222" s="13"/>
      <c r="P222" s="13"/>
      <c r="Q222" s="13"/>
      <c r="R222" s="13"/>
      <c r="S222" s="13" t="s">
        <v>1392</v>
      </c>
      <c r="U222">
        <v>0</v>
      </c>
      <c r="W222">
        <v>0</v>
      </c>
    </row>
    <row r="223" spans="2:23">
      <c r="B223" t="s">
        <v>16</v>
      </c>
      <c r="C223" t="s">
        <v>101</v>
      </c>
      <c r="D223" t="s">
        <v>1045</v>
      </c>
      <c r="E223" t="str">
        <f t="shared" si="8"/>
        <v>Dawson County</v>
      </c>
      <c r="F223" t="s">
        <v>327</v>
      </c>
      <c r="G223" t="str">
        <f>INDEX(StateCounties[],MATCH(D223,StateCounties[Georgia],0),MATCH(B223,StateCounties[#Headers],0))</f>
        <v>Dawson County</v>
      </c>
      <c r="I223" t="b">
        <f t="shared" si="9"/>
        <v>1</v>
      </c>
      <c r="L223" s="13"/>
      <c r="M223" s="13"/>
      <c r="N223" s="13"/>
      <c r="O223" s="13"/>
      <c r="P223" s="13"/>
      <c r="Q223" s="13"/>
      <c r="R223" s="13"/>
      <c r="S223" s="13" t="s">
        <v>1393</v>
      </c>
      <c r="U223">
        <v>0</v>
      </c>
      <c r="W223">
        <v>0</v>
      </c>
    </row>
    <row r="224" spans="2:23">
      <c r="B224" t="s">
        <v>16</v>
      </c>
      <c r="C224" t="s">
        <v>101</v>
      </c>
      <c r="D224" t="s">
        <v>919</v>
      </c>
      <c r="E224" t="str">
        <f t="shared" si="8"/>
        <v>Franklin County</v>
      </c>
      <c r="F224" t="s">
        <v>134</v>
      </c>
      <c r="G224" t="str">
        <f>INDEX(StateCounties[],MATCH(D224,StateCounties[Georgia],0),MATCH(B224,StateCounties[#Headers],0))</f>
        <v>Franklin County</v>
      </c>
      <c r="I224" t="b">
        <f t="shared" si="9"/>
        <v>1</v>
      </c>
      <c r="L224" s="13"/>
      <c r="M224" s="13"/>
      <c r="N224" s="13"/>
      <c r="O224" s="13"/>
      <c r="P224" s="13"/>
      <c r="Q224" s="13"/>
      <c r="R224" s="13"/>
      <c r="S224" s="13" t="s">
        <v>1144</v>
      </c>
      <c r="U224">
        <v>0</v>
      </c>
      <c r="W224">
        <v>0</v>
      </c>
    </row>
    <row r="225" spans="2:23">
      <c r="B225" t="s">
        <v>16</v>
      </c>
      <c r="C225" t="s">
        <v>101</v>
      </c>
      <c r="D225" t="s">
        <v>1177</v>
      </c>
      <c r="E225" t="str">
        <f t="shared" si="8"/>
        <v>Habersham County</v>
      </c>
      <c r="F225" t="s">
        <v>328</v>
      </c>
      <c r="G225" t="str">
        <f>INDEX(StateCounties[],MATCH(D225,StateCounties[Georgia],0),MATCH(B225,StateCounties[#Headers],0))</f>
        <v>Habersham County</v>
      </c>
      <c r="I225" t="b">
        <f t="shared" si="9"/>
        <v>1</v>
      </c>
      <c r="L225" s="13"/>
      <c r="M225" s="13"/>
      <c r="N225" s="13"/>
      <c r="O225" s="13"/>
      <c r="P225" s="13"/>
      <c r="Q225" s="13"/>
      <c r="R225" s="13"/>
      <c r="S225" s="13" t="s">
        <v>1314</v>
      </c>
      <c r="U225">
        <v>0</v>
      </c>
      <c r="W225">
        <v>0</v>
      </c>
    </row>
    <row r="226" spans="2:23">
      <c r="B226" t="s">
        <v>16</v>
      </c>
      <c r="C226" t="s">
        <v>101</v>
      </c>
      <c r="D226" t="s">
        <v>1180</v>
      </c>
      <c r="E226" t="str">
        <f t="shared" si="8"/>
        <v>Hall County</v>
      </c>
      <c r="F226" t="s">
        <v>329</v>
      </c>
      <c r="G226" t="str">
        <f>INDEX(StateCounties[],MATCH(D226,StateCounties[Georgia],0),MATCH(B226,StateCounties[#Headers],0))</f>
        <v>Hall County</v>
      </c>
      <c r="I226" t="b">
        <f t="shared" si="9"/>
        <v>1</v>
      </c>
      <c r="L226" s="13"/>
      <c r="M226" s="13"/>
      <c r="N226" s="13"/>
      <c r="O226" s="13"/>
      <c r="P226" s="13"/>
      <c r="Q226" s="13"/>
      <c r="R226" s="13"/>
      <c r="S226" s="13" t="s">
        <v>1394</v>
      </c>
      <c r="U226">
        <v>0</v>
      </c>
      <c r="W226">
        <v>0</v>
      </c>
    </row>
    <row r="227" spans="2:23">
      <c r="B227" t="s">
        <v>16</v>
      </c>
      <c r="C227" t="s">
        <v>101</v>
      </c>
      <c r="D227" t="s">
        <v>1197</v>
      </c>
      <c r="E227" t="str">
        <f t="shared" si="8"/>
        <v>Hart County</v>
      </c>
      <c r="F227" t="s">
        <v>330</v>
      </c>
      <c r="G227" t="str">
        <f>INDEX(StateCounties[],MATCH(D227,StateCounties[Georgia],0),MATCH(B227,StateCounties[#Headers],0))</f>
        <v>Hart County</v>
      </c>
      <c r="I227" t="b">
        <f t="shared" si="9"/>
        <v>1</v>
      </c>
      <c r="L227" s="13"/>
      <c r="M227" s="13"/>
      <c r="N227" s="13"/>
      <c r="O227" s="13"/>
      <c r="P227" s="13"/>
      <c r="Q227" s="13"/>
      <c r="R227" s="13"/>
      <c r="S227" s="13" t="s">
        <v>1395</v>
      </c>
      <c r="U227">
        <v>0</v>
      </c>
      <c r="W227">
        <v>0</v>
      </c>
    </row>
    <row r="228" spans="2:23">
      <c r="B228" t="s">
        <v>16</v>
      </c>
      <c r="C228" t="s">
        <v>101</v>
      </c>
      <c r="D228" t="s">
        <v>1257</v>
      </c>
      <c r="E228" t="str">
        <f t="shared" si="8"/>
        <v>Lumpkin County</v>
      </c>
      <c r="F228" t="s">
        <v>331</v>
      </c>
      <c r="G228" t="str">
        <f>INDEX(StateCounties[],MATCH(D228,StateCounties[Georgia],0),MATCH(B228,StateCounties[#Headers],0))</f>
        <v>Lumpkin County</v>
      </c>
      <c r="I228" t="b">
        <f t="shared" si="9"/>
        <v>1</v>
      </c>
      <c r="L228" s="13"/>
      <c r="M228" s="13"/>
      <c r="N228" s="13"/>
      <c r="O228" s="13"/>
      <c r="P228" s="13"/>
      <c r="Q228" s="13"/>
      <c r="R228" s="13"/>
      <c r="S228" s="13" t="s">
        <v>1396</v>
      </c>
      <c r="U228">
        <v>0</v>
      </c>
      <c r="W228">
        <v>0</v>
      </c>
    </row>
    <row r="229" spans="2:23">
      <c r="B229" t="s">
        <v>16</v>
      </c>
      <c r="C229" t="s">
        <v>101</v>
      </c>
      <c r="D229" t="s">
        <v>1294</v>
      </c>
      <c r="E229" t="str">
        <f t="shared" si="8"/>
        <v>Rabun County</v>
      </c>
      <c r="F229" t="s">
        <v>332</v>
      </c>
      <c r="G229" t="str">
        <f>INDEX(StateCounties[],MATCH(D229,StateCounties[Georgia],0),MATCH(B229,StateCounties[#Headers],0))</f>
        <v>Rabun County</v>
      </c>
      <c r="I229" t="b">
        <f t="shared" si="9"/>
        <v>1</v>
      </c>
      <c r="L229" s="13"/>
      <c r="M229" s="13"/>
      <c r="N229" s="13"/>
      <c r="O229" s="13"/>
      <c r="P229" s="13"/>
      <c r="Q229" s="13"/>
      <c r="R229" s="13"/>
      <c r="S229" s="13" t="s">
        <v>1397</v>
      </c>
      <c r="U229">
        <v>0</v>
      </c>
      <c r="W229">
        <v>0</v>
      </c>
    </row>
    <row r="230" spans="2:23">
      <c r="B230" t="s">
        <v>16</v>
      </c>
      <c r="C230" t="s">
        <v>101</v>
      </c>
      <c r="D230" t="s">
        <v>1302</v>
      </c>
      <c r="E230" t="str">
        <f t="shared" si="8"/>
        <v>Stephens County</v>
      </c>
      <c r="F230" t="s">
        <v>333</v>
      </c>
      <c r="G230" t="str">
        <f>INDEX(StateCounties[],MATCH(D230,StateCounties[Georgia],0),MATCH(B230,StateCounties[#Headers],0))</f>
        <v>Stephens County</v>
      </c>
      <c r="I230" t="b">
        <f t="shared" si="9"/>
        <v>1</v>
      </c>
      <c r="L230" s="13"/>
      <c r="M230" s="13"/>
      <c r="N230" s="13"/>
      <c r="O230" s="13"/>
      <c r="P230" s="13"/>
      <c r="Q230" s="13"/>
      <c r="R230" s="13"/>
      <c r="S230" s="13" t="s">
        <v>1398</v>
      </c>
      <c r="U230">
        <v>0</v>
      </c>
      <c r="W230">
        <v>0</v>
      </c>
    </row>
    <row r="231" spans="2:23">
      <c r="B231" t="s">
        <v>16</v>
      </c>
      <c r="C231" t="s">
        <v>101</v>
      </c>
      <c r="D231" t="s">
        <v>1321</v>
      </c>
      <c r="E231" t="str">
        <f t="shared" si="8"/>
        <v>Towns County</v>
      </c>
      <c r="F231" t="s">
        <v>334</v>
      </c>
      <c r="G231" t="str">
        <f>INDEX(StateCounties[],MATCH(D231,StateCounties[Georgia],0),MATCH(B231,StateCounties[#Headers],0))</f>
        <v>Towns County</v>
      </c>
      <c r="I231" t="b">
        <f t="shared" si="9"/>
        <v>1</v>
      </c>
      <c r="L231" s="13"/>
      <c r="M231" s="13"/>
      <c r="N231" s="13"/>
      <c r="O231" s="13"/>
      <c r="P231" s="13"/>
      <c r="Q231" s="13"/>
      <c r="R231" s="13"/>
      <c r="S231" s="13" t="s">
        <v>1399</v>
      </c>
      <c r="U231">
        <v>0</v>
      </c>
      <c r="W231">
        <v>0</v>
      </c>
    </row>
    <row r="232" spans="2:23">
      <c r="B232" t="s">
        <v>16</v>
      </c>
      <c r="C232" t="s">
        <v>101</v>
      </c>
      <c r="D232" t="s">
        <v>1149</v>
      </c>
      <c r="E232" t="str">
        <f t="shared" si="8"/>
        <v>Union County</v>
      </c>
      <c r="F232" t="s">
        <v>257</v>
      </c>
      <c r="G232" t="str">
        <f>INDEX(StateCounties[],MATCH(D232,StateCounties[Georgia],0),MATCH(B232,StateCounties[#Headers],0))</f>
        <v>Union County</v>
      </c>
      <c r="I232" t="b">
        <f t="shared" si="9"/>
        <v>1</v>
      </c>
      <c r="L232" s="13"/>
      <c r="M232" s="13"/>
      <c r="N232" s="13"/>
      <c r="O232" s="13"/>
      <c r="P232" s="13"/>
      <c r="Q232" s="13"/>
      <c r="R232" s="13"/>
      <c r="S232" s="13" t="s">
        <v>1400</v>
      </c>
      <c r="U232">
        <v>0</v>
      </c>
      <c r="W232">
        <v>0</v>
      </c>
    </row>
    <row r="233" spans="2:23">
      <c r="B233" t="s">
        <v>16</v>
      </c>
      <c r="C233" t="s">
        <v>101</v>
      </c>
      <c r="D233" t="s">
        <v>1258</v>
      </c>
      <c r="E233" t="str">
        <f t="shared" si="8"/>
        <v>White County</v>
      </c>
      <c r="F233" t="s">
        <v>335</v>
      </c>
      <c r="G233" t="str">
        <f>INDEX(StateCounties[],MATCH(D233,StateCounties[Georgia],0),MATCH(B233,StateCounties[#Headers],0))</f>
        <v>White County</v>
      </c>
      <c r="I233" t="b">
        <f t="shared" si="9"/>
        <v>1</v>
      </c>
      <c r="L233" s="13"/>
      <c r="M233" s="13"/>
      <c r="N233" s="13"/>
      <c r="O233" s="13"/>
      <c r="P233" s="13"/>
      <c r="Q233" s="13"/>
      <c r="R233" s="13"/>
      <c r="S233" s="13" t="s">
        <v>1401</v>
      </c>
      <c r="U233">
        <v>0</v>
      </c>
      <c r="W233">
        <v>0</v>
      </c>
    </row>
    <row r="234" spans="2:23">
      <c r="B234" t="s">
        <v>16</v>
      </c>
      <c r="C234" t="s">
        <v>103</v>
      </c>
      <c r="D234" t="s">
        <v>825</v>
      </c>
      <c r="E234" t="str">
        <f t="shared" si="8"/>
        <v>Atkinson County</v>
      </c>
      <c r="F234" t="s">
        <v>336</v>
      </c>
      <c r="G234" t="str">
        <f>INDEX(StateCounties[],MATCH(D234,StateCounties[Georgia],0),MATCH(B234,StateCounties[#Headers],0))</f>
        <v>Atkinson County</v>
      </c>
      <c r="I234" t="b">
        <f t="shared" si="9"/>
        <v>1</v>
      </c>
      <c r="L234" s="13"/>
      <c r="M234" s="13"/>
      <c r="N234" s="13"/>
      <c r="O234" s="13"/>
      <c r="P234" s="13"/>
      <c r="Q234" s="13"/>
      <c r="R234" s="13"/>
      <c r="S234" s="13" t="s">
        <v>1402</v>
      </c>
      <c r="U234">
        <v>0</v>
      </c>
      <c r="W234">
        <v>0</v>
      </c>
    </row>
    <row r="235" spans="2:23">
      <c r="B235" t="s">
        <v>16</v>
      </c>
      <c r="C235" t="s">
        <v>103</v>
      </c>
      <c r="D235" t="s">
        <v>907</v>
      </c>
      <c r="E235" t="str">
        <f t="shared" si="8"/>
        <v>Coffee County</v>
      </c>
      <c r="F235" t="s">
        <v>123</v>
      </c>
      <c r="G235" t="str">
        <f>INDEX(StateCounties[],MATCH(D235,StateCounties[Georgia],0),MATCH(B235,StateCounties[#Headers],0))</f>
        <v>Coffee County</v>
      </c>
      <c r="I235" t="b">
        <f t="shared" si="9"/>
        <v>1</v>
      </c>
      <c r="L235" s="13"/>
      <c r="M235" s="13"/>
      <c r="N235" s="13"/>
      <c r="O235" s="13"/>
      <c r="P235" s="13"/>
      <c r="Q235" s="13"/>
      <c r="R235" s="13"/>
      <c r="S235" s="13" t="s">
        <v>1403</v>
      </c>
      <c r="U235">
        <v>0</v>
      </c>
      <c r="W235">
        <v>0</v>
      </c>
    </row>
    <row r="236" spans="2:23">
      <c r="B236" t="s">
        <v>16</v>
      </c>
      <c r="C236" t="s">
        <v>103</v>
      </c>
      <c r="D236" t="s">
        <v>1219</v>
      </c>
      <c r="E236" t="str">
        <f t="shared" si="8"/>
        <v>Jeff Davis County</v>
      </c>
      <c r="F236" t="s">
        <v>337</v>
      </c>
      <c r="G236" t="str">
        <f>INDEX(StateCounties[],MATCH(D236,StateCounties[Georgia],0),MATCH(B236,StateCounties[#Headers],0))</f>
        <v>Jeff Davis County</v>
      </c>
      <c r="I236" t="b">
        <f t="shared" si="9"/>
        <v>1</v>
      </c>
      <c r="L236" s="13"/>
      <c r="M236" s="13"/>
      <c r="N236" s="13"/>
      <c r="O236" s="13"/>
      <c r="P236" s="13"/>
      <c r="Q236" s="13"/>
      <c r="R236" s="13"/>
      <c r="S236" s="13" t="s">
        <v>1404</v>
      </c>
      <c r="U236">
        <v>0</v>
      </c>
      <c r="W236">
        <v>0</v>
      </c>
    </row>
    <row r="237" spans="2:23">
      <c r="B237" t="s">
        <v>16</v>
      </c>
      <c r="C237" t="s">
        <v>103</v>
      </c>
      <c r="D237" t="s">
        <v>1064</v>
      </c>
      <c r="E237" t="str">
        <f t="shared" si="8"/>
        <v>Johnson County</v>
      </c>
      <c r="F237" t="s">
        <v>338</v>
      </c>
      <c r="G237" t="str">
        <f>INDEX(StateCounties[],MATCH(D237,StateCounties[Georgia],0),MATCH(B237,StateCounties[#Headers],0))</f>
        <v>Johnson County</v>
      </c>
      <c r="I237" t="b">
        <f t="shared" si="9"/>
        <v>1</v>
      </c>
      <c r="L237" s="13"/>
      <c r="M237" s="13"/>
      <c r="N237" s="13"/>
      <c r="O237" s="13"/>
      <c r="P237" s="13"/>
      <c r="Q237" s="13"/>
      <c r="R237" s="13"/>
      <c r="S237" s="13" t="s">
        <v>1405</v>
      </c>
      <c r="U237">
        <v>0</v>
      </c>
      <c r="W237">
        <v>0</v>
      </c>
    </row>
    <row r="238" spans="2:23">
      <c r="B238" t="s">
        <v>16</v>
      </c>
      <c r="C238" t="s">
        <v>103</v>
      </c>
      <c r="D238" t="s">
        <v>1242</v>
      </c>
      <c r="E238" t="str">
        <f t="shared" si="8"/>
        <v>Laurens County</v>
      </c>
      <c r="F238" t="s">
        <v>339</v>
      </c>
      <c r="G238" t="str">
        <f>INDEX(StateCounties[],MATCH(D238,StateCounties[Georgia],0),MATCH(B238,StateCounties[#Headers],0))</f>
        <v>Laurens County</v>
      </c>
      <c r="I238" t="b">
        <f t="shared" si="9"/>
        <v>1</v>
      </c>
      <c r="L238" s="13"/>
      <c r="M238" s="13"/>
      <c r="N238" s="13"/>
      <c r="O238" s="13"/>
      <c r="P238" s="13"/>
      <c r="Q238" s="13"/>
      <c r="R238" s="13"/>
      <c r="S238" s="13" t="s">
        <v>1406</v>
      </c>
      <c r="U238">
        <v>0</v>
      </c>
      <c r="W238">
        <v>0</v>
      </c>
    </row>
    <row r="239" spans="2:23">
      <c r="B239" t="s">
        <v>16</v>
      </c>
      <c r="C239" t="s">
        <v>103</v>
      </c>
      <c r="D239" t="s">
        <v>1079</v>
      </c>
      <c r="E239" t="str">
        <f t="shared" si="8"/>
        <v>Montgomery County</v>
      </c>
      <c r="F239" t="s">
        <v>107</v>
      </c>
      <c r="G239" t="str">
        <f>INDEX(StateCounties[],MATCH(D239,StateCounties[Georgia],0),MATCH(B239,StateCounties[#Headers],0))</f>
        <v>Montgomery County</v>
      </c>
      <c r="I239" t="b">
        <f t="shared" si="9"/>
        <v>1</v>
      </c>
      <c r="L239" s="13"/>
      <c r="M239" s="13"/>
      <c r="N239" s="13"/>
      <c r="O239" s="13"/>
      <c r="P239" s="13"/>
      <c r="Q239" s="13"/>
      <c r="R239" s="13"/>
      <c r="S239" s="13" t="s">
        <v>1154</v>
      </c>
      <c r="U239">
        <v>0</v>
      </c>
      <c r="W239">
        <v>0</v>
      </c>
    </row>
    <row r="240" spans="2:23">
      <c r="B240" t="s">
        <v>16</v>
      </c>
      <c r="C240" t="s">
        <v>103</v>
      </c>
      <c r="D240" t="s">
        <v>1312</v>
      </c>
      <c r="E240" t="str">
        <f t="shared" si="8"/>
        <v>Telfair County</v>
      </c>
      <c r="F240" t="s">
        <v>340</v>
      </c>
      <c r="G240" t="str">
        <f>INDEX(StateCounties[],MATCH(D240,StateCounties[Georgia],0),MATCH(B240,StateCounties[#Headers],0))</f>
        <v>Telfair County</v>
      </c>
      <c r="I240" t="b">
        <f t="shared" si="9"/>
        <v>1</v>
      </c>
      <c r="L240" s="13"/>
      <c r="M240" s="13"/>
      <c r="N240" s="13"/>
      <c r="O240" s="13"/>
      <c r="P240" s="13"/>
      <c r="Q240" s="13"/>
      <c r="R240" s="13"/>
      <c r="S240" s="13" t="s">
        <v>1407</v>
      </c>
      <c r="U240">
        <v>0</v>
      </c>
      <c r="W240">
        <v>0</v>
      </c>
    </row>
    <row r="241" spans="2:23">
      <c r="B241" t="s">
        <v>16</v>
      </c>
      <c r="C241" t="s">
        <v>103</v>
      </c>
      <c r="D241" t="s">
        <v>1320</v>
      </c>
      <c r="E241" t="str">
        <f t="shared" si="8"/>
        <v>Toombs County</v>
      </c>
      <c r="F241" t="s">
        <v>341</v>
      </c>
      <c r="G241" t="str">
        <f>INDEX(StateCounties[],MATCH(D241,StateCounties[Georgia],0),MATCH(B241,StateCounties[#Headers],0))</f>
        <v>Toombs County</v>
      </c>
      <c r="I241" t="b">
        <f t="shared" si="9"/>
        <v>1</v>
      </c>
      <c r="L241" s="13"/>
      <c r="M241" s="13"/>
      <c r="N241" s="13"/>
      <c r="O241" s="13"/>
      <c r="P241" s="13"/>
      <c r="Q241" s="13"/>
      <c r="R241" s="13"/>
      <c r="S241" s="13" t="s">
        <v>1408</v>
      </c>
      <c r="U241">
        <v>0</v>
      </c>
      <c r="W241">
        <v>0</v>
      </c>
    </row>
    <row r="242" spans="2:23">
      <c r="B242" t="s">
        <v>16</v>
      </c>
      <c r="C242" t="s">
        <v>103</v>
      </c>
      <c r="D242" t="s">
        <v>1322</v>
      </c>
      <c r="E242" t="str">
        <f t="shared" si="8"/>
        <v>Treutlen County</v>
      </c>
      <c r="F242" t="s">
        <v>342</v>
      </c>
      <c r="G242" t="str">
        <f>INDEX(StateCounties[],MATCH(D242,StateCounties[Georgia],0),MATCH(B242,StateCounties[#Headers],0))</f>
        <v>Treutlen County</v>
      </c>
      <c r="I242" t="b">
        <f t="shared" si="9"/>
        <v>1</v>
      </c>
      <c r="L242" s="13"/>
      <c r="M242" s="13"/>
      <c r="N242" s="13"/>
      <c r="O242" s="13"/>
      <c r="P242" s="13"/>
      <c r="Q242" s="13"/>
      <c r="R242" s="13"/>
      <c r="S242" s="13" t="s">
        <v>1160</v>
      </c>
      <c r="U242">
        <v>0</v>
      </c>
      <c r="W242">
        <v>0</v>
      </c>
    </row>
    <row r="243" spans="2:23">
      <c r="B243" t="s">
        <v>16</v>
      </c>
      <c r="C243" t="s">
        <v>103</v>
      </c>
      <c r="D243" t="s">
        <v>1337</v>
      </c>
      <c r="E243" t="str">
        <f t="shared" si="8"/>
        <v>Wheeler County</v>
      </c>
      <c r="F243" t="s">
        <v>343</v>
      </c>
      <c r="G243" t="str">
        <f>INDEX(StateCounties[],MATCH(D243,StateCounties[Georgia],0),MATCH(B243,StateCounties[#Headers],0))</f>
        <v>Wheeler County</v>
      </c>
      <c r="I243" t="b">
        <f t="shared" si="9"/>
        <v>1</v>
      </c>
      <c r="L243" s="13"/>
      <c r="M243" s="13"/>
      <c r="N243" s="13"/>
      <c r="O243" s="13"/>
      <c r="P243" s="13"/>
      <c r="Q243" s="13"/>
      <c r="R243" s="13"/>
      <c r="S243" s="13" t="s">
        <v>1409</v>
      </c>
      <c r="U243">
        <v>0</v>
      </c>
      <c r="W243">
        <v>0</v>
      </c>
    </row>
    <row r="244" spans="2:23">
      <c r="B244" t="s">
        <v>16</v>
      </c>
      <c r="C244" t="s">
        <v>108</v>
      </c>
      <c r="D244" t="s">
        <v>837</v>
      </c>
      <c r="E244" t="str">
        <f t="shared" si="8"/>
        <v>Bibb County</v>
      </c>
      <c r="F244" t="s">
        <v>77</v>
      </c>
      <c r="G244" t="str">
        <f>INDEX(StateCounties[],MATCH(D244,StateCounties[Georgia],0),MATCH(B244,StateCounties[#Headers],0))</f>
        <v>Bibb County</v>
      </c>
      <c r="I244" t="b">
        <f t="shared" si="9"/>
        <v>1</v>
      </c>
      <c r="L244" s="13"/>
      <c r="M244" s="13"/>
      <c r="N244" s="13"/>
      <c r="O244" s="13"/>
      <c r="P244" s="13"/>
      <c r="Q244" s="13"/>
      <c r="R244" s="13"/>
      <c r="S244" s="13" t="s">
        <v>1410</v>
      </c>
      <c r="U244">
        <v>0</v>
      </c>
      <c r="W244">
        <v>0</v>
      </c>
    </row>
    <row r="245" spans="2:23">
      <c r="B245" t="s">
        <v>16</v>
      </c>
      <c r="C245" t="s">
        <v>108</v>
      </c>
      <c r="D245" t="s">
        <v>886</v>
      </c>
      <c r="E245" t="str">
        <f t="shared" si="8"/>
        <v>Bleckley County</v>
      </c>
      <c r="F245" t="s">
        <v>344</v>
      </c>
      <c r="G245" t="str">
        <f>INDEX(StateCounties[],MATCH(D245,StateCounties[Georgia],0),MATCH(B245,StateCounties[#Headers],0))</f>
        <v>Bleckley County</v>
      </c>
      <c r="I245" t="b">
        <f t="shared" si="9"/>
        <v>1</v>
      </c>
      <c r="L245" s="13"/>
      <c r="M245" s="13"/>
      <c r="N245" s="13"/>
      <c r="O245" s="13"/>
      <c r="P245" s="13"/>
      <c r="Q245" s="13"/>
      <c r="R245" s="13"/>
      <c r="S245" s="13" t="s">
        <v>1337</v>
      </c>
      <c r="U245">
        <v>0</v>
      </c>
      <c r="W245">
        <v>0</v>
      </c>
    </row>
    <row r="246" spans="2:23">
      <c r="B246" t="s">
        <v>16</v>
      </c>
      <c r="C246" t="s">
        <v>108</v>
      </c>
      <c r="D246" t="s">
        <v>1030</v>
      </c>
      <c r="E246" t="str">
        <f t="shared" si="8"/>
        <v>Crawford County</v>
      </c>
      <c r="F246" t="s">
        <v>345</v>
      </c>
      <c r="G246" t="str">
        <f>INDEX(StateCounties[],MATCH(D246,StateCounties[Georgia],0),MATCH(B246,StateCounties[#Headers],0))</f>
        <v>Crawford County</v>
      </c>
      <c r="I246" t="b">
        <f t="shared" si="9"/>
        <v>1</v>
      </c>
      <c r="L246" s="13"/>
      <c r="M246" s="13"/>
      <c r="N246" s="13"/>
      <c r="O246" s="13"/>
      <c r="P246" s="13"/>
      <c r="Q246" s="13"/>
      <c r="R246" s="13"/>
      <c r="S246" s="13" t="s">
        <v>1411</v>
      </c>
      <c r="U246">
        <v>0</v>
      </c>
      <c r="W246">
        <v>0</v>
      </c>
    </row>
    <row r="247" spans="2:23">
      <c r="B247" t="s">
        <v>16</v>
      </c>
      <c r="C247" t="s">
        <v>108</v>
      </c>
      <c r="D247" t="s">
        <v>1058</v>
      </c>
      <c r="E247" t="str">
        <f t="shared" si="8"/>
        <v>Dodge County</v>
      </c>
      <c r="F247" t="s">
        <v>346</v>
      </c>
      <c r="G247" t="str">
        <f>INDEX(StateCounties[],MATCH(D247,StateCounties[Georgia],0),MATCH(B247,StateCounties[#Headers],0))</f>
        <v>Dodge County</v>
      </c>
      <c r="I247" t="b">
        <f t="shared" si="9"/>
        <v>1</v>
      </c>
      <c r="L247" s="13"/>
      <c r="M247" s="13"/>
      <c r="N247" s="13"/>
      <c r="O247" s="13"/>
      <c r="P247" s="13"/>
      <c r="Q247" s="13"/>
      <c r="R247" s="13"/>
      <c r="S247" s="13" t="s">
        <v>1412</v>
      </c>
      <c r="U247">
        <v>0</v>
      </c>
      <c r="W247">
        <v>0</v>
      </c>
    </row>
    <row r="248" spans="2:23">
      <c r="B248" t="s">
        <v>16</v>
      </c>
      <c r="C248" t="s">
        <v>108</v>
      </c>
      <c r="D248" t="s">
        <v>1062</v>
      </c>
      <c r="E248" t="str">
        <f t="shared" si="8"/>
        <v>Dooly County</v>
      </c>
      <c r="F248" t="s">
        <v>347</v>
      </c>
      <c r="G248" t="str">
        <f>INDEX(StateCounties[],MATCH(D248,StateCounties[Georgia],0),MATCH(B248,StateCounties[#Headers],0))</f>
        <v>Dooly County</v>
      </c>
      <c r="I248" t="b">
        <f t="shared" si="9"/>
        <v>1</v>
      </c>
      <c r="L248" s="13"/>
      <c r="M248" s="13"/>
      <c r="N248" s="13"/>
      <c r="O248" s="13"/>
      <c r="P248" s="13"/>
      <c r="Q248" s="13"/>
      <c r="R248" s="13"/>
      <c r="S248" s="13" t="s">
        <v>1413</v>
      </c>
      <c r="U248">
        <v>0</v>
      </c>
      <c r="W248">
        <v>0</v>
      </c>
    </row>
    <row r="249" spans="2:23">
      <c r="B249" t="s">
        <v>16</v>
      </c>
      <c r="C249" t="s">
        <v>108</v>
      </c>
      <c r="D249" t="s">
        <v>1009</v>
      </c>
      <c r="E249" t="str">
        <f t="shared" si="8"/>
        <v>Houston County</v>
      </c>
      <c r="F249" t="s">
        <v>92</v>
      </c>
      <c r="G249" t="str">
        <f>INDEX(StateCounties[],MATCH(D249,StateCounties[Georgia],0),MATCH(B249,StateCounties[#Headers],0))</f>
        <v>Houston County</v>
      </c>
      <c r="I249" t="b">
        <f t="shared" si="9"/>
        <v>1</v>
      </c>
      <c r="L249" s="13"/>
      <c r="M249" s="13"/>
      <c r="N249" s="13"/>
      <c r="O249" s="13"/>
      <c r="P249" s="13"/>
      <c r="Q249" s="13"/>
      <c r="R249" s="13"/>
      <c r="S249" s="13" t="s">
        <v>1261</v>
      </c>
      <c r="U249">
        <v>0</v>
      </c>
      <c r="W249">
        <v>0</v>
      </c>
    </row>
    <row r="250" spans="2:23">
      <c r="B250" t="s">
        <v>16</v>
      </c>
      <c r="C250" t="s">
        <v>108</v>
      </c>
      <c r="D250" t="s">
        <v>1006</v>
      </c>
      <c r="E250" t="str">
        <f t="shared" si="8"/>
        <v>Jones County</v>
      </c>
      <c r="F250" t="s">
        <v>348</v>
      </c>
      <c r="G250" t="str">
        <f>INDEX(StateCounties[],MATCH(D250,StateCounties[Georgia],0),MATCH(B250,StateCounties[#Headers],0))</f>
        <v>Jones County</v>
      </c>
      <c r="I250" t="b">
        <f t="shared" si="9"/>
        <v>1</v>
      </c>
      <c r="L250" s="13"/>
      <c r="M250" s="13"/>
      <c r="N250" s="13"/>
      <c r="O250" s="13"/>
      <c r="P250" s="13"/>
      <c r="Q250" s="13"/>
      <c r="R250" s="13"/>
      <c r="S250" s="13" t="s">
        <v>1265</v>
      </c>
      <c r="U250">
        <v>0</v>
      </c>
      <c r="W250">
        <v>0</v>
      </c>
    </row>
    <row r="251" spans="2:23">
      <c r="B251" t="s">
        <v>16</v>
      </c>
      <c r="C251" t="s">
        <v>108</v>
      </c>
      <c r="D251" t="s">
        <v>1055</v>
      </c>
      <c r="E251" t="str">
        <f t="shared" si="8"/>
        <v>Monroe County</v>
      </c>
      <c r="F251" t="s">
        <v>141</v>
      </c>
      <c r="G251" t="str">
        <f>INDEX(StateCounties[],MATCH(D251,StateCounties[Georgia],0),MATCH(B251,StateCounties[#Headers],0))</f>
        <v>Monroe County</v>
      </c>
      <c r="I251" t="b">
        <f t="shared" si="9"/>
        <v>1</v>
      </c>
      <c r="L251" s="13"/>
      <c r="M251" s="13"/>
      <c r="N251" s="13"/>
      <c r="O251" s="13"/>
      <c r="P251" s="13"/>
      <c r="Q251" s="13"/>
      <c r="R251" s="13"/>
      <c r="S251" s="13" t="s">
        <v>1414</v>
      </c>
      <c r="U251">
        <v>0</v>
      </c>
      <c r="W251">
        <v>0</v>
      </c>
    </row>
    <row r="252" spans="2:23">
      <c r="B252" t="s">
        <v>16</v>
      </c>
      <c r="C252" t="s">
        <v>108</v>
      </c>
      <c r="D252" t="s">
        <v>1284</v>
      </c>
      <c r="E252" t="str">
        <f t="shared" si="8"/>
        <v>Peach County</v>
      </c>
      <c r="F252" t="s">
        <v>349</v>
      </c>
      <c r="G252" t="str">
        <f>INDEX(StateCounties[],MATCH(D252,StateCounties[Georgia],0),MATCH(B252,StateCounties[#Headers],0))</f>
        <v>Peach County</v>
      </c>
      <c r="I252" t="b">
        <f t="shared" si="9"/>
        <v>1</v>
      </c>
      <c r="L252" s="13"/>
      <c r="M252" s="13"/>
      <c r="N252" s="13"/>
      <c r="O252" s="13"/>
      <c r="P252" s="13"/>
      <c r="Q252" s="13"/>
      <c r="R252" s="13"/>
      <c r="S252" s="13" t="s">
        <v>1415</v>
      </c>
      <c r="U252">
        <v>0</v>
      </c>
      <c r="W252">
        <v>0</v>
      </c>
    </row>
    <row r="253" spans="2:23">
      <c r="B253" t="s">
        <v>16</v>
      </c>
      <c r="C253" t="s">
        <v>108</v>
      </c>
      <c r="D253" t="s">
        <v>1290</v>
      </c>
      <c r="E253" t="str">
        <f t="shared" si="8"/>
        <v>Pulaski County</v>
      </c>
      <c r="F253" t="s">
        <v>350</v>
      </c>
      <c r="G253" t="str">
        <f>INDEX(StateCounties[],MATCH(D253,StateCounties[Georgia],0),MATCH(B253,StateCounties[#Headers],0))</f>
        <v>Pulaski County</v>
      </c>
      <c r="I253" t="b">
        <f t="shared" si="9"/>
        <v>1</v>
      </c>
      <c r="L253" s="13"/>
      <c r="M253" s="13"/>
      <c r="N253" s="13"/>
      <c r="O253" s="13"/>
      <c r="P253" s="13"/>
      <c r="Q253" s="13"/>
      <c r="R253" s="13"/>
      <c r="S253" s="13" t="s">
        <v>1416</v>
      </c>
      <c r="U253">
        <v>0</v>
      </c>
      <c r="W253">
        <v>0</v>
      </c>
    </row>
    <row r="254" spans="2:23">
      <c r="B254" t="s">
        <v>16</v>
      </c>
      <c r="C254" t="s">
        <v>108</v>
      </c>
      <c r="D254" t="s">
        <v>1103</v>
      </c>
      <c r="E254" t="str">
        <f t="shared" si="8"/>
        <v>Putnam County</v>
      </c>
      <c r="F254" t="s">
        <v>240</v>
      </c>
      <c r="G254" t="str">
        <f>INDEX(StateCounties[],MATCH(D254,StateCounties[Georgia],0),MATCH(B254,StateCounties[#Headers],0))</f>
        <v>Putnam County</v>
      </c>
      <c r="I254" t="b">
        <f t="shared" si="9"/>
        <v>1</v>
      </c>
      <c r="L254" s="13"/>
      <c r="M254" s="13"/>
      <c r="N254" s="13"/>
      <c r="O254" s="13"/>
      <c r="P254" s="13"/>
      <c r="Q254" s="13"/>
      <c r="R254" s="13"/>
      <c r="S254" s="13" t="s">
        <v>1417</v>
      </c>
      <c r="U254">
        <v>0</v>
      </c>
      <c r="W254">
        <v>0</v>
      </c>
    </row>
    <row r="255" spans="2:23">
      <c r="B255" t="s">
        <v>16</v>
      </c>
      <c r="C255" t="s">
        <v>108</v>
      </c>
      <c r="D255" t="s">
        <v>1328</v>
      </c>
      <c r="E255" t="str">
        <f t="shared" si="8"/>
        <v>Twiggs County</v>
      </c>
      <c r="F255" t="s">
        <v>351</v>
      </c>
      <c r="G255" t="str">
        <f>INDEX(StateCounties[],MATCH(D255,StateCounties[Georgia],0),MATCH(B255,StateCounties[#Headers],0))</f>
        <v>Twiggs County</v>
      </c>
      <c r="I255" t="b">
        <f t="shared" si="9"/>
        <v>1</v>
      </c>
      <c r="L255" s="13"/>
      <c r="M255" s="13"/>
      <c r="N255" s="13"/>
      <c r="O255" s="13"/>
      <c r="P255" s="13"/>
      <c r="Q255" s="13"/>
      <c r="R255" s="13"/>
      <c r="S255" s="13" t="s">
        <v>1418</v>
      </c>
      <c r="U255">
        <v>0</v>
      </c>
      <c r="W255">
        <v>0</v>
      </c>
    </row>
    <row r="256" spans="2:23">
      <c r="B256" t="s">
        <v>16</v>
      </c>
      <c r="C256" t="s">
        <v>108</v>
      </c>
      <c r="D256" t="s">
        <v>1166</v>
      </c>
      <c r="E256" t="str">
        <f t="shared" si="8"/>
        <v>Wilcox County</v>
      </c>
      <c r="F256" t="s">
        <v>149</v>
      </c>
      <c r="G256" t="str">
        <f>INDEX(StateCounties[],MATCH(D256,StateCounties[Georgia],0),MATCH(B256,StateCounties[#Headers],0))</f>
        <v>Wilcox County</v>
      </c>
      <c r="I256" t="b">
        <f t="shared" si="9"/>
        <v>1</v>
      </c>
      <c r="L256" s="13"/>
      <c r="M256" s="13"/>
      <c r="N256" s="13"/>
      <c r="O256" s="13"/>
      <c r="P256" s="13"/>
      <c r="Q256" s="13"/>
      <c r="R256" s="13"/>
      <c r="S256" s="13" t="s">
        <v>1419</v>
      </c>
      <c r="U256">
        <v>0</v>
      </c>
      <c r="W256">
        <v>0</v>
      </c>
    </row>
    <row r="257" spans="2:23">
      <c r="B257" t="s">
        <v>16</v>
      </c>
      <c r="C257" t="s">
        <v>112</v>
      </c>
      <c r="D257" t="s">
        <v>970</v>
      </c>
      <c r="E257" t="str">
        <f t="shared" si="8"/>
        <v>Chattooga County</v>
      </c>
      <c r="F257" t="s">
        <v>352</v>
      </c>
      <c r="G257" t="str">
        <f>INDEX(StateCounties[],MATCH(D257,StateCounties[Georgia],0),MATCH(B257,StateCounties[#Headers],0))</f>
        <v>Chattooga County</v>
      </c>
      <c r="I257" t="b">
        <f t="shared" si="9"/>
        <v>1</v>
      </c>
      <c r="L257" s="16"/>
      <c r="M257" s="16"/>
      <c r="N257" s="16"/>
      <c r="O257" s="16"/>
      <c r="P257" s="16"/>
      <c r="Q257" s="16"/>
      <c r="R257" s="16"/>
      <c r="S257" s="16" t="s">
        <v>1420</v>
      </c>
      <c r="U257">
        <v>0</v>
      </c>
      <c r="W257">
        <v>0</v>
      </c>
    </row>
    <row r="258" spans="2:23">
      <c r="B258" t="s">
        <v>16</v>
      </c>
      <c r="C258" t="s">
        <v>112</v>
      </c>
      <c r="D258" t="s">
        <v>1121</v>
      </c>
      <c r="E258" t="str">
        <f t="shared" si="8"/>
        <v>Floyd County</v>
      </c>
      <c r="F258" t="s">
        <v>353</v>
      </c>
      <c r="G258" t="str">
        <f>INDEX(StateCounties[],MATCH(D258,StateCounties[Georgia],0),MATCH(B258,StateCounties[#Headers],0))</f>
        <v>Floyd County</v>
      </c>
      <c r="I258" t="b">
        <f t="shared" si="9"/>
        <v>1</v>
      </c>
      <c r="U258">
        <v>0</v>
      </c>
      <c r="W258">
        <v>0</v>
      </c>
    </row>
    <row r="259" spans="2:23">
      <c r="B259" t="s">
        <v>16</v>
      </c>
      <c r="C259" t="s">
        <v>112</v>
      </c>
      <c r="D259" t="s">
        <v>1138</v>
      </c>
      <c r="E259" t="str">
        <f t="shared" ref="E259:E294" si="10">F259&amp; " County"</f>
        <v>Gilmer County</v>
      </c>
      <c r="F259" t="s">
        <v>354</v>
      </c>
      <c r="G259" t="str">
        <f>INDEX(StateCounties[],MATCH(D259,StateCounties[Georgia],0),MATCH(B259,StateCounties[#Headers],0))</f>
        <v>Gilmer County</v>
      </c>
      <c r="I259" t="b">
        <f t="shared" si="9"/>
        <v>1</v>
      </c>
      <c r="U259">
        <v>0</v>
      </c>
      <c r="W259">
        <v>0</v>
      </c>
    </row>
    <row r="260" spans="2:23">
      <c r="B260" t="s">
        <v>16</v>
      </c>
      <c r="C260" t="s">
        <v>112</v>
      </c>
      <c r="D260" t="s">
        <v>1156</v>
      </c>
      <c r="E260" t="str">
        <f t="shared" si="10"/>
        <v>Gordon County</v>
      </c>
      <c r="F260" t="s">
        <v>355</v>
      </c>
      <c r="G260" t="str">
        <f>INDEX(StateCounties[],MATCH(D260,StateCounties[Georgia],0),MATCH(B260,StateCounties[#Headers],0))</f>
        <v>Gordon County</v>
      </c>
      <c r="I260" t="b">
        <f t="shared" ref="I260:I323" si="11">E260=D260</f>
        <v>1</v>
      </c>
      <c r="U260">
        <v>0</v>
      </c>
      <c r="W260">
        <v>0</v>
      </c>
    </row>
    <row r="261" spans="2:23">
      <c r="B261" t="s">
        <v>16</v>
      </c>
      <c r="C261" t="s">
        <v>112</v>
      </c>
      <c r="D261" t="s">
        <v>1102</v>
      </c>
      <c r="E261" t="str">
        <f t="shared" si="10"/>
        <v>Pickens County</v>
      </c>
      <c r="F261" t="s">
        <v>143</v>
      </c>
      <c r="G261" t="str">
        <f>INDEX(StateCounties[],MATCH(D261,StateCounties[Georgia],0),MATCH(B261,StateCounties[#Headers],0))</f>
        <v>Pickens County</v>
      </c>
      <c r="I261" t="b">
        <f t="shared" si="11"/>
        <v>1</v>
      </c>
    </row>
    <row r="262" spans="2:23">
      <c r="B262" t="s">
        <v>16</v>
      </c>
      <c r="C262" t="s">
        <v>112</v>
      </c>
      <c r="D262" t="s">
        <v>1098</v>
      </c>
      <c r="E262" t="str">
        <f t="shared" si="10"/>
        <v>Polk County</v>
      </c>
      <c r="F262" t="s">
        <v>238</v>
      </c>
      <c r="G262" t="str">
        <f>INDEX(StateCounties[],MATCH(D262,StateCounties[Georgia],0),MATCH(B262,StateCounties[#Headers],0))</f>
        <v>Polk County</v>
      </c>
      <c r="I262" t="b">
        <f t="shared" si="11"/>
        <v>1</v>
      </c>
    </row>
    <row r="263" spans="2:23">
      <c r="B263" t="s">
        <v>16</v>
      </c>
      <c r="C263" t="s">
        <v>167</v>
      </c>
      <c r="D263" t="s">
        <v>819</v>
      </c>
      <c r="E263" t="str">
        <f t="shared" si="10"/>
        <v>Appling County</v>
      </c>
      <c r="F263" t="s">
        <v>356</v>
      </c>
      <c r="G263" t="str">
        <f>INDEX(StateCounties[],MATCH(D263,StateCounties[Georgia],0),MATCH(B263,StateCounties[#Headers],0))</f>
        <v>Appling County</v>
      </c>
      <c r="I263" t="b">
        <f t="shared" si="11"/>
        <v>1</v>
      </c>
    </row>
    <row r="264" spans="2:23">
      <c r="B264" t="s">
        <v>16</v>
      </c>
      <c r="C264" t="s">
        <v>167</v>
      </c>
      <c r="D264" t="s">
        <v>902</v>
      </c>
      <c r="E264" t="str">
        <f t="shared" si="10"/>
        <v>Bryan County</v>
      </c>
      <c r="F264" t="s">
        <v>357</v>
      </c>
      <c r="G264" t="str">
        <f>INDEX(StateCounties[],MATCH(D264,StateCounties[Georgia],0),MATCH(B264,StateCounties[#Headers],0))</f>
        <v>Bryan County</v>
      </c>
      <c r="I264" t="b">
        <f t="shared" si="11"/>
        <v>1</v>
      </c>
    </row>
    <row r="265" spans="2:23">
      <c r="B265" t="s">
        <v>16</v>
      </c>
      <c r="C265" t="s">
        <v>167</v>
      </c>
      <c r="D265" t="s">
        <v>909</v>
      </c>
      <c r="E265" t="str">
        <f t="shared" si="10"/>
        <v>Bulloch County</v>
      </c>
      <c r="F265" t="s">
        <v>358</v>
      </c>
      <c r="G265" t="str">
        <f>INDEX(StateCounties[],MATCH(D265,StateCounties[Georgia],0),MATCH(B265,StateCounties[#Headers],0))</f>
        <v>Bulloch County</v>
      </c>
      <c r="I265" t="b">
        <f t="shared" si="11"/>
        <v>1</v>
      </c>
    </row>
    <row r="266" spans="2:23">
      <c r="B266" t="s">
        <v>16</v>
      </c>
      <c r="C266" t="s">
        <v>167</v>
      </c>
      <c r="D266" t="s">
        <v>936</v>
      </c>
      <c r="E266" t="str">
        <f t="shared" si="10"/>
        <v>Candler County</v>
      </c>
      <c r="F266" t="s">
        <v>359</v>
      </c>
      <c r="G266" t="str">
        <f>INDEX(StateCounties[],MATCH(D266,StateCounties[Georgia],0),MATCH(B266,StateCounties[#Headers],0))</f>
        <v>Candler County</v>
      </c>
      <c r="I266" t="b">
        <f t="shared" si="11"/>
        <v>1</v>
      </c>
    </row>
    <row r="267" spans="2:23">
      <c r="B267" t="s">
        <v>16</v>
      </c>
      <c r="C267" t="s">
        <v>167</v>
      </c>
      <c r="D267" t="s">
        <v>927</v>
      </c>
      <c r="E267" t="str">
        <f t="shared" si="10"/>
        <v>Chatham County</v>
      </c>
      <c r="F267" t="s">
        <v>360</v>
      </c>
      <c r="G267" t="str">
        <f>INDEX(StateCounties[],MATCH(D267,StateCounties[Georgia],0),MATCH(B267,StateCounties[#Headers],0))</f>
        <v>Chatham County</v>
      </c>
      <c r="I267" t="b">
        <f t="shared" si="11"/>
        <v>1</v>
      </c>
    </row>
    <row r="268" spans="2:23">
      <c r="B268" t="s">
        <v>16</v>
      </c>
      <c r="C268" t="s">
        <v>167</v>
      </c>
      <c r="D268" t="s">
        <v>1087</v>
      </c>
      <c r="E268" t="str">
        <f t="shared" si="10"/>
        <v>Effingham County</v>
      </c>
      <c r="F268" t="s">
        <v>361</v>
      </c>
      <c r="G268" t="str">
        <f>INDEX(StateCounties[],MATCH(D268,StateCounties[Georgia],0),MATCH(B268,StateCounties[#Headers],0))</f>
        <v>Effingham County</v>
      </c>
      <c r="I268" t="b">
        <f t="shared" si="11"/>
        <v>1</v>
      </c>
    </row>
    <row r="269" spans="2:23">
      <c r="B269" t="s">
        <v>16</v>
      </c>
      <c r="C269" t="s">
        <v>167</v>
      </c>
      <c r="D269" t="s">
        <v>1104</v>
      </c>
      <c r="E269" t="str">
        <f t="shared" si="10"/>
        <v>Evans County</v>
      </c>
      <c r="F269" t="s">
        <v>362</v>
      </c>
      <c r="G269" t="str">
        <f>INDEX(StateCounties[],MATCH(D269,StateCounties[Georgia],0),MATCH(B269,StateCounties[#Headers],0))</f>
        <v>Evans County</v>
      </c>
      <c r="I269" t="b">
        <f t="shared" si="11"/>
        <v>1</v>
      </c>
    </row>
    <row r="270" spans="2:23">
      <c r="B270" t="s">
        <v>16</v>
      </c>
      <c r="C270" t="s">
        <v>167</v>
      </c>
      <c r="D270" t="s">
        <v>1023</v>
      </c>
      <c r="E270" t="str">
        <f t="shared" si="10"/>
        <v>Liberty County</v>
      </c>
      <c r="F270" t="s">
        <v>211</v>
      </c>
      <c r="G270" t="str">
        <f>INDEX(StateCounties[],MATCH(D270,StateCounties[Georgia],0),MATCH(B270,StateCounties[#Headers],0))</f>
        <v>Liberty County</v>
      </c>
      <c r="I270" t="b">
        <f t="shared" si="11"/>
        <v>1</v>
      </c>
    </row>
    <row r="271" spans="2:23">
      <c r="B271" t="s">
        <v>16</v>
      </c>
      <c r="C271" t="s">
        <v>167</v>
      </c>
      <c r="D271" t="s">
        <v>1251</v>
      </c>
      <c r="E271" t="str">
        <f t="shared" si="10"/>
        <v>Long County</v>
      </c>
      <c r="F271" t="s">
        <v>363</v>
      </c>
      <c r="G271" t="str">
        <f>INDEX(StateCounties[],MATCH(D271,StateCounties[Georgia],0),MATCH(B271,StateCounties[#Headers],0))</f>
        <v>Long County</v>
      </c>
      <c r="I271" t="b">
        <f t="shared" si="11"/>
        <v>1</v>
      </c>
    </row>
    <row r="272" spans="2:23">
      <c r="B272" t="s">
        <v>16</v>
      </c>
      <c r="C272" t="s">
        <v>167</v>
      </c>
      <c r="D272" t="s">
        <v>1298</v>
      </c>
      <c r="E272" t="str">
        <f t="shared" si="10"/>
        <v>Screven County</v>
      </c>
      <c r="F272" t="s">
        <v>364</v>
      </c>
      <c r="G272" t="str">
        <f>INDEX(StateCounties[],MATCH(D272,StateCounties[Georgia],0),MATCH(B272,StateCounties[#Headers],0))</f>
        <v>Screven County</v>
      </c>
      <c r="I272" t="b">
        <f t="shared" si="11"/>
        <v>1</v>
      </c>
    </row>
    <row r="273" spans="2:9">
      <c r="B273" t="s">
        <v>16</v>
      </c>
      <c r="C273" t="s">
        <v>167</v>
      </c>
      <c r="D273" t="s">
        <v>1309</v>
      </c>
      <c r="E273" t="str">
        <f t="shared" si="10"/>
        <v>Tattnall County</v>
      </c>
      <c r="F273" t="s">
        <v>365</v>
      </c>
      <c r="G273" t="str">
        <f>INDEX(StateCounties[],MATCH(D273,StateCounties[Georgia],0),MATCH(B273,StateCounties[#Headers],0))</f>
        <v>Tattnall County</v>
      </c>
      <c r="I273" t="b">
        <f t="shared" si="11"/>
        <v>1</v>
      </c>
    </row>
    <row r="274" spans="2:9">
      <c r="B274" t="s">
        <v>16</v>
      </c>
      <c r="C274" t="s">
        <v>169</v>
      </c>
      <c r="D274" t="s">
        <v>868</v>
      </c>
      <c r="E274" t="str">
        <f t="shared" si="10"/>
        <v>Ben Hill County</v>
      </c>
      <c r="F274" t="s">
        <v>366</v>
      </c>
      <c r="G274" t="str">
        <f>INDEX(StateCounties[],MATCH(D274,StateCounties[Georgia],0),MATCH(B274,StateCounties[#Headers],0))</f>
        <v>Ben Hill County</v>
      </c>
      <c r="I274" t="b">
        <f t="shared" si="11"/>
        <v>1</v>
      </c>
    </row>
    <row r="275" spans="2:9">
      <c r="B275" t="s">
        <v>16</v>
      </c>
      <c r="C275" t="s">
        <v>169</v>
      </c>
      <c r="D275" t="s">
        <v>874</v>
      </c>
      <c r="E275" t="str">
        <f t="shared" si="10"/>
        <v>Berrien County</v>
      </c>
      <c r="F275" t="s">
        <v>367</v>
      </c>
      <c r="G275" t="str">
        <f>INDEX(StateCounties[],MATCH(D275,StateCounties[Georgia],0),MATCH(B275,StateCounties[#Headers],0))</f>
        <v>Berrien County</v>
      </c>
      <c r="I275" t="b">
        <f t="shared" si="11"/>
        <v>1</v>
      </c>
    </row>
    <row r="276" spans="2:9">
      <c r="B276" t="s">
        <v>16</v>
      </c>
      <c r="C276" t="s">
        <v>169</v>
      </c>
      <c r="D276" t="s">
        <v>896</v>
      </c>
      <c r="E276" t="str">
        <f t="shared" si="10"/>
        <v>Brooks County</v>
      </c>
      <c r="F276" t="s">
        <v>368</v>
      </c>
      <c r="G276" t="str">
        <f>INDEX(StateCounties[],MATCH(D276,StateCounties[Georgia],0),MATCH(B276,StateCounties[#Headers],0))</f>
        <v>Brooks County</v>
      </c>
      <c r="I276" t="b">
        <f t="shared" si="11"/>
        <v>1</v>
      </c>
    </row>
    <row r="277" spans="2:9">
      <c r="B277" t="s">
        <v>16</v>
      </c>
      <c r="C277" t="s">
        <v>169</v>
      </c>
      <c r="D277" t="s">
        <v>994</v>
      </c>
      <c r="E277" t="str">
        <f t="shared" si="10"/>
        <v>Clinch County</v>
      </c>
      <c r="F277" t="s">
        <v>369</v>
      </c>
      <c r="G277" t="str">
        <f>INDEX(StateCounties[],MATCH(D277,StateCounties[Georgia],0),MATCH(B277,StateCounties[#Headers],0))</f>
        <v>Clinch County</v>
      </c>
      <c r="I277" t="b">
        <f t="shared" si="11"/>
        <v>1</v>
      </c>
    </row>
    <row r="278" spans="2:9">
      <c r="B278" t="s">
        <v>16</v>
      </c>
      <c r="C278" t="s">
        <v>169</v>
      </c>
      <c r="D278" t="s">
        <v>1011</v>
      </c>
      <c r="E278" t="str">
        <f t="shared" si="10"/>
        <v>Colquitt County</v>
      </c>
      <c r="F278" t="s">
        <v>370</v>
      </c>
      <c r="G278" t="str">
        <f>INDEX(StateCounties[],MATCH(D278,StateCounties[Georgia],0),MATCH(B278,StateCounties[#Headers],0))</f>
        <v>Colquitt County</v>
      </c>
      <c r="I278" t="b">
        <f t="shared" si="11"/>
        <v>1</v>
      </c>
    </row>
    <row r="279" spans="2:9">
      <c r="B279" t="s">
        <v>16</v>
      </c>
      <c r="C279" t="s">
        <v>169</v>
      </c>
      <c r="D279" t="s">
        <v>1019</v>
      </c>
      <c r="E279" t="str">
        <f t="shared" si="10"/>
        <v>Cook County</v>
      </c>
      <c r="F279" t="s">
        <v>371</v>
      </c>
      <c r="G279" t="str">
        <f>INDEX(StateCounties[],MATCH(D279,StateCounties[Georgia],0),MATCH(B279,StateCounties[#Headers],0))</f>
        <v>Cook County</v>
      </c>
      <c r="I279" t="b">
        <f t="shared" si="11"/>
        <v>1</v>
      </c>
    </row>
    <row r="280" spans="2:9">
      <c r="B280" t="s">
        <v>16</v>
      </c>
      <c r="C280" t="s">
        <v>169</v>
      </c>
      <c r="D280" t="s">
        <v>932</v>
      </c>
      <c r="E280" t="str">
        <f t="shared" si="10"/>
        <v>Decatur County</v>
      </c>
      <c r="F280" t="s">
        <v>372</v>
      </c>
      <c r="G280" t="str">
        <f>INDEX(StateCounties[],MATCH(D280,StateCounties[Georgia],0),MATCH(B280,StateCounties[#Headers],0))</f>
        <v>Decatur County</v>
      </c>
      <c r="I280" t="b">
        <f t="shared" si="11"/>
        <v>1</v>
      </c>
    </row>
    <row r="281" spans="2:9">
      <c r="B281" t="s">
        <v>16</v>
      </c>
      <c r="C281" t="s">
        <v>169</v>
      </c>
      <c r="D281" t="s">
        <v>1078</v>
      </c>
      <c r="E281" t="str">
        <f t="shared" si="10"/>
        <v>Early County</v>
      </c>
      <c r="F281" t="s">
        <v>373</v>
      </c>
      <c r="G281" t="str">
        <f>INDEX(StateCounties[],MATCH(D281,StateCounties[Georgia],0),MATCH(B281,StateCounties[#Headers],0))</f>
        <v>Early County</v>
      </c>
      <c r="I281" t="b">
        <f t="shared" si="11"/>
        <v>1</v>
      </c>
    </row>
    <row r="282" spans="2:9">
      <c r="B282" t="s">
        <v>16</v>
      </c>
      <c r="C282" t="s">
        <v>169</v>
      </c>
      <c r="D282" t="s">
        <v>1083</v>
      </c>
      <c r="E282" t="str">
        <f t="shared" si="10"/>
        <v>Echols County</v>
      </c>
      <c r="F282" t="s">
        <v>374</v>
      </c>
      <c r="G282" t="str">
        <f>INDEX(StateCounties[],MATCH(D282,StateCounties[Georgia],0),MATCH(B282,StateCounties[#Headers],0))</f>
        <v>Echols County</v>
      </c>
      <c r="I282" t="b">
        <f t="shared" si="11"/>
        <v>1</v>
      </c>
    </row>
    <row r="283" spans="2:9">
      <c r="B283" t="s">
        <v>16</v>
      </c>
      <c r="C283" t="s">
        <v>169</v>
      </c>
      <c r="D283" t="s">
        <v>1162</v>
      </c>
      <c r="E283" t="str">
        <f t="shared" si="10"/>
        <v>Grady County</v>
      </c>
      <c r="F283" t="s">
        <v>375</v>
      </c>
      <c r="G283" t="str">
        <f>INDEX(StateCounties[],MATCH(D283,StateCounties[Georgia],0),MATCH(B283,StateCounties[#Headers],0))</f>
        <v>Grady County</v>
      </c>
      <c r="I283" t="b">
        <f t="shared" si="11"/>
        <v>1</v>
      </c>
    </row>
    <row r="284" spans="2:9">
      <c r="B284" t="s">
        <v>16</v>
      </c>
      <c r="C284" t="s">
        <v>169</v>
      </c>
      <c r="D284" t="s">
        <v>1208</v>
      </c>
      <c r="E284" t="str">
        <f t="shared" si="10"/>
        <v>Irwin County</v>
      </c>
      <c r="F284" t="s">
        <v>376</v>
      </c>
      <c r="G284" t="str">
        <f>INDEX(StateCounties[],MATCH(D284,StateCounties[Georgia],0),MATCH(B284,StateCounties[#Headers],0))</f>
        <v>Irwin County</v>
      </c>
      <c r="I284" t="b">
        <f t="shared" si="11"/>
        <v>1</v>
      </c>
    </row>
    <row r="285" spans="2:9">
      <c r="B285" t="s">
        <v>16</v>
      </c>
      <c r="C285" t="s">
        <v>169</v>
      </c>
      <c r="D285" t="s">
        <v>1238</v>
      </c>
      <c r="E285" t="str">
        <f t="shared" si="10"/>
        <v>Lanier County</v>
      </c>
      <c r="F285" t="s">
        <v>377</v>
      </c>
      <c r="G285" t="str">
        <f>INDEX(StateCounties[],MATCH(D285,StateCounties[Georgia],0),MATCH(B285,StateCounties[#Headers],0))</f>
        <v>Lanier County</v>
      </c>
      <c r="I285" t="b">
        <f t="shared" si="11"/>
        <v>1</v>
      </c>
    </row>
    <row r="286" spans="2:9">
      <c r="B286" t="s">
        <v>16</v>
      </c>
      <c r="C286" t="s">
        <v>169</v>
      </c>
      <c r="D286" t="s">
        <v>1049</v>
      </c>
      <c r="E286" t="str">
        <f t="shared" si="10"/>
        <v>Lowndes County</v>
      </c>
      <c r="F286" t="s">
        <v>106</v>
      </c>
      <c r="G286" t="str">
        <f>INDEX(StateCounties[],MATCH(D286,StateCounties[Georgia],0),MATCH(B286,StateCounties[#Headers],0))</f>
        <v>Lowndes County</v>
      </c>
      <c r="I286" t="b">
        <f t="shared" si="11"/>
        <v>1</v>
      </c>
    </row>
    <row r="287" spans="2:9">
      <c r="B287" t="s">
        <v>16</v>
      </c>
      <c r="C287" t="s">
        <v>169</v>
      </c>
      <c r="D287" t="s">
        <v>1270</v>
      </c>
      <c r="E287" t="str">
        <f t="shared" si="10"/>
        <v>Miller County</v>
      </c>
      <c r="F287" t="s">
        <v>378</v>
      </c>
      <c r="G287" t="str">
        <f>INDEX(StateCounties[],MATCH(D287,StateCounties[Georgia],0),MATCH(B287,StateCounties[#Headers],0))</f>
        <v>Miller County</v>
      </c>
      <c r="I287" t="b">
        <f t="shared" si="11"/>
        <v>1</v>
      </c>
    </row>
    <row r="288" spans="2:9">
      <c r="B288" t="s">
        <v>16</v>
      </c>
      <c r="C288" t="s">
        <v>169</v>
      </c>
      <c r="D288" t="s">
        <v>1127</v>
      </c>
      <c r="E288" t="str">
        <f t="shared" si="10"/>
        <v>Seminole County</v>
      </c>
      <c r="F288" t="s">
        <v>246</v>
      </c>
      <c r="G288" t="str">
        <f>INDEX(StateCounties[],MATCH(D288,StateCounties[Georgia],0),MATCH(B288,StateCounties[#Headers],0))</f>
        <v>Seminole County</v>
      </c>
      <c r="I288" t="b">
        <f t="shared" si="11"/>
        <v>1</v>
      </c>
    </row>
    <row r="289" spans="2:9">
      <c r="B289" t="s">
        <v>16</v>
      </c>
      <c r="C289" t="s">
        <v>169</v>
      </c>
      <c r="D289" t="s">
        <v>1316</v>
      </c>
      <c r="E289" t="str">
        <f t="shared" si="10"/>
        <v>Thomas County</v>
      </c>
      <c r="F289" t="s">
        <v>379</v>
      </c>
      <c r="G289" t="str">
        <f>INDEX(StateCounties[],MATCH(D289,StateCounties[Georgia],0),MATCH(B289,StateCounties[#Headers],0))</f>
        <v>Thomas County</v>
      </c>
      <c r="I289" t="b">
        <f t="shared" si="11"/>
        <v>1</v>
      </c>
    </row>
    <row r="290" spans="2:9">
      <c r="B290" t="s">
        <v>16</v>
      </c>
      <c r="C290" t="s">
        <v>169</v>
      </c>
      <c r="D290" t="s">
        <v>1318</v>
      </c>
      <c r="E290" t="str">
        <f t="shared" si="10"/>
        <v>Tift County</v>
      </c>
      <c r="F290" t="s">
        <v>380</v>
      </c>
      <c r="G290" t="str">
        <f>INDEX(StateCounties[],MATCH(D290,StateCounties[Georgia],0),MATCH(B290,StateCounties[#Headers],0))</f>
        <v>Tift County</v>
      </c>
      <c r="I290" t="b">
        <f t="shared" si="11"/>
        <v>1</v>
      </c>
    </row>
    <row r="291" spans="2:9">
      <c r="B291" t="s">
        <v>16</v>
      </c>
      <c r="C291" t="s">
        <v>169</v>
      </c>
      <c r="D291" t="s">
        <v>1326</v>
      </c>
      <c r="E291" t="str">
        <f t="shared" si="10"/>
        <v>Turner County</v>
      </c>
      <c r="F291" t="s">
        <v>381</v>
      </c>
      <c r="G291" t="str">
        <f>INDEX(StateCounties[],MATCH(D291,StateCounties[Georgia],0),MATCH(B291,StateCounties[#Headers],0))</f>
        <v>Turner County</v>
      </c>
      <c r="I291" t="b">
        <f t="shared" si="11"/>
        <v>1</v>
      </c>
    </row>
    <row r="292" spans="2:9">
      <c r="B292" t="s">
        <v>16</v>
      </c>
      <c r="C292" t="s">
        <v>171</v>
      </c>
      <c r="D292" t="s">
        <v>823</v>
      </c>
      <c r="E292" t="str">
        <f t="shared" si="10"/>
        <v>Baldwin County</v>
      </c>
      <c r="F292" t="s">
        <v>113</v>
      </c>
      <c r="G292" t="str">
        <f>INDEX(StateCounties[],MATCH(D292,StateCounties[Georgia],0),MATCH(B292,StateCounties[#Headers],0))</f>
        <v>Baldwin County</v>
      </c>
      <c r="I292" t="b">
        <f t="shared" si="11"/>
        <v>1</v>
      </c>
    </row>
    <row r="293" spans="2:9">
      <c r="B293" t="s">
        <v>16</v>
      </c>
      <c r="C293" t="s">
        <v>171</v>
      </c>
      <c r="D293" t="s">
        <v>949</v>
      </c>
      <c r="E293" t="str">
        <f t="shared" si="10"/>
        <v>Hancock County</v>
      </c>
      <c r="F293" t="s">
        <v>382</v>
      </c>
      <c r="G293" t="str">
        <f>INDEX(StateCounties[],MATCH(D293,StateCounties[Georgia],0),MATCH(B293,StateCounties[#Headers],0))</f>
        <v>Hancock County</v>
      </c>
      <c r="I293" t="b">
        <f t="shared" si="11"/>
        <v>1</v>
      </c>
    </row>
    <row r="294" spans="2:9">
      <c r="B294" t="s">
        <v>16</v>
      </c>
      <c r="C294" t="s">
        <v>171</v>
      </c>
      <c r="D294" t="s">
        <v>1160</v>
      </c>
      <c r="E294" t="str">
        <f t="shared" si="10"/>
        <v>Washington County</v>
      </c>
      <c r="F294" t="s">
        <v>59</v>
      </c>
      <c r="G294" t="str">
        <f>INDEX(StateCounties[],MATCH(D294,StateCounties[Georgia],0),MATCH(B294,StateCounties[#Headers],0))</f>
        <v>Washington County</v>
      </c>
      <c r="I294" t="b">
        <f t="shared" si="11"/>
        <v>1</v>
      </c>
    </row>
    <row r="295" spans="2:9">
      <c r="B295" t="s">
        <v>16</v>
      </c>
      <c r="C295" t="s">
        <v>171</v>
      </c>
      <c r="D295" t="s">
        <v>1216</v>
      </c>
      <c r="E295" t="str">
        <f>F295&amp; " County"</f>
        <v>Wilkinson County</v>
      </c>
      <c r="F295" t="s">
        <v>383</v>
      </c>
      <c r="G295" t="str">
        <f>INDEX(StateCounties[],MATCH(D295,StateCounties[Georgia],0),MATCH(B295,StateCounties[#Headers],0))</f>
        <v>Wilkinson County</v>
      </c>
      <c r="I295" t="b">
        <f t="shared" si="11"/>
        <v>1</v>
      </c>
    </row>
    <row r="296" spans="2:9">
      <c r="B296" t="s">
        <v>24</v>
      </c>
      <c r="C296" t="s">
        <v>72</v>
      </c>
      <c r="D296" t="s">
        <v>384</v>
      </c>
      <c r="E296" t="s">
        <v>384</v>
      </c>
      <c r="F296" t="s">
        <v>384</v>
      </c>
      <c r="G296" t="str">
        <f>INDEX(StateCounties[],MATCH(D296,StateCounties[Louisiana],0),MATCH(B296,StateCounties[#Headers],0))</f>
        <v>Orleans Parish</v>
      </c>
      <c r="I296" t="b">
        <f t="shared" si="11"/>
        <v>1</v>
      </c>
    </row>
    <row r="297" spans="2:9">
      <c r="B297" t="s">
        <v>24</v>
      </c>
      <c r="C297" t="s">
        <v>72</v>
      </c>
      <c r="D297" t="s">
        <v>385</v>
      </c>
      <c r="E297" t="s">
        <v>385</v>
      </c>
      <c r="F297" t="s">
        <v>385</v>
      </c>
      <c r="G297" t="str">
        <f>INDEX(StateCounties[],MATCH(D297,StateCounties[Louisiana],0),MATCH(B297,StateCounties[#Headers],0))</f>
        <v>St. Bernard Parish</v>
      </c>
      <c r="I297" t="b">
        <f t="shared" si="11"/>
        <v>1</v>
      </c>
    </row>
    <row r="298" spans="2:9">
      <c r="B298" t="s">
        <v>24</v>
      </c>
      <c r="C298" t="s">
        <v>72</v>
      </c>
      <c r="D298" t="s">
        <v>386</v>
      </c>
      <c r="E298" t="s">
        <v>386</v>
      </c>
      <c r="F298" t="s">
        <v>386</v>
      </c>
      <c r="G298" t="str">
        <f>INDEX(StateCounties[],MATCH(D298,StateCounties[Louisiana],0),MATCH(B298,StateCounties[#Headers],0))</f>
        <v>Plaquemines Parish</v>
      </c>
      <c r="I298" t="b">
        <f t="shared" si="11"/>
        <v>1</v>
      </c>
    </row>
    <row r="299" spans="2:9">
      <c r="B299" t="s">
        <v>24</v>
      </c>
      <c r="C299" t="s">
        <v>72</v>
      </c>
      <c r="D299" t="s">
        <v>387</v>
      </c>
      <c r="E299" t="s">
        <v>387</v>
      </c>
      <c r="F299" t="s">
        <v>387</v>
      </c>
      <c r="G299" t="str">
        <f>INDEX(StateCounties[],MATCH(D299,StateCounties[Louisiana],0),MATCH(B299,StateCounties[#Headers],0))</f>
        <v>Jefferson Parish</v>
      </c>
      <c r="I299" t="b">
        <f t="shared" si="11"/>
        <v>1</v>
      </c>
    </row>
    <row r="300" spans="2:9">
      <c r="B300" t="s">
        <v>24</v>
      </c>
      <c r="C300" t="s">
        <v>72</v>
      </c>
      <c r="D300" t="s">
        <v>388</v>
      </c>
      <c r="E300" t="s">
        <v>388</v>
      </c>
      <c r="F300" t="s">
        <v>388</v>
      </c>
      <c r="G300" t="str">
        <f>INDEX(StateCounties[],MATCH(D300,StateCounties[Louisiana],0),MATCH(B300,StateCounties[#Headers],0))</f>
        <v>St. Charles Parish</v>
      </c>
      <c r="I300" t="b">
        <f t="shared" si="11"/>
        <v>1</v>
      </c>
    </row>
    <row r="301" spans="2:9">
      <c r="B301" t="s">
        <v>24</v>
      </c>
      <c r="C301" t="s">
        <v>72</v>
      </c>
      <c r="D301" t="s">
        <v>389</v>
      </c>
      <c r="E301" t="s">
        <v>389</v>
      </c>
      <c r="F301" t="s">
        <v>389</v>
      </c>
      <c r="G301" t="str">
        <f>INDEX(StateCounties[],MATCH(D301,StateCounties[Louisiana],0),MATCH(B301,StateCounties[#Headers],0))</f>
        <v>St. John the Baptist Parish</v>
      </c>
      <c r="I301" t="b">
        <f t="shared" si="11"/>
        <v>1</v>
      </c>
    </row>
    <row r="302" spans="2:9">
      <c r="B302" t="s">
        <v>24</v>
      </c>
      <c r="C302" t="s">
        <v>72</v>
      </c>
      <c r="D302" t="s">
        <v>390</v>
      </c>
      <c r="E302" t="s">
        <v>390</v>
      </c>
      <c r="F302" t="s">
        <v>390</v>
      </c>
      <c r="G302" t="str">
        <f>INDEX(StateCounties[],MATCH(D302,StateCounties[Louisiana],0),MATCH(B302,StateCounties[#Headers],0))</f>
        <v>St. James Parish</v>
      </c>
      <c r="I302" t="b">
        <f t="shared" si="11"/>
        <v>1</v>
      </c>
    </row>
    <row r="303" spans="2:9">
      <c r="B303" t="s">
        <v>24</v>
      </c>
      <c r="C303" t="s">
        <v>72</v>
      </c>
      <c r="D303" t="s">
        <v>391</v>
      </c>
      <c r="E303" t="s">
        <v>391</v>
      </c>
      <c r="F303" t="s">
        <v>391</v>
      </c>
      <c r="G303" t="str">
        <f>INDEX(StateCounties[],MATCH(D303,StateCounties[Louisiana],0),MATCH(B303,StateCounties[#Headers],0))</f>
        <v>St. Tammany Parish</v>
      </c>
      <c r="I303" t="b">
        <f t="shared" si="11"/>
        <v>1</v>
      </c>
    </row>
    <row r="304" spans="2:9">
      <c r="B304" t="s">
        <v>24</v>
      </c>
      <c r="C304" t="s">
        <v>74</v>
      </c>
      <c r="D304" t="s">
        <v>392</v>
      </c>
      <c r="E304" t="s">
        <v>392</v>
      </c>
      <c r="F304" t="s">
        <v>392</v>
      </c>
      <c r="G304" t="str">
        <f>INDEX(StateCounties[],MATCH(D304,StateCounties[Louisiana],0),MATCH(B304,StateCounties[#Headers],0))</f>
        <v>Lafourche Parish</v>
      </c>
      <c r="I304" t="b">
        <f t="shared" si="11"/>
        <v>1</v>
      </c>
    </row>
    <row r="305" spans="2:9">
      <c r="B305" t="s">
        <v>24</v>
      </c>
      <c r="C305" t="s">
        <v>74</v>
      </c>
      <c r="D305" t="s">
        <v>393</v>
      </c>
      <c r="E305" t="s">
        <v>393</v>
      </c>
      <c r="F305" t="s">
        <v>393</v>
      </c>
      <c r="G305" t="str">
        <f>INDEX(StateCounties[],MATCH(D305,StateCounties[Louisiana],0),MATCH(B305,StateCounties[#Headers],0))</f>
        <v>Terrebonne Parish</v>
      </c>
      <c r="I305" t="b">
        <f t="shared" si="11"/>
        <v>1</v>
      </c>
    </row>
    <row r="306" spans="2:9">
      <c r="B306" t="s">
        <v>24</v>
      </c>
      <c r="C306" t="s">
        <v>74</v>
      </c>
      <c r="D306" t="s">
        <v>394</v>
      </c>
      <c r="E306" t="s">
        <v>394</v>
      </c>
      <c r="F306" t="s">
        <v>394</v>
      </c>
      <c r="G306" t="str">
        <f>INDEX(StateCounties[],MATCH(D306,StateCounties[Louisiana],0),MATCH(B306,StateCounties[#Headers],0))</f>
        <v>Assumption Parish</v>
      </c>
      <c r="I306" t="b">
        <f t="shared" si="11"/>
        <v>1</v>
      </c>
    </row>
    <row r="307" spans="2:9">
      <c r="B307" t="s">
        <v>24</v>
      </c>
      <c r="C307" t="s">
        <v>76</v>
      </c>
      <c r="D307" t="s">
        <v>395</v>
      </c>
      <c r="E307" t="s">
        <v>395</v>
      </c>
      <c r="F307" t="s">
        <v>395</v>
      </c>
      <c r="G307" t="str">
        <f>INDEX(StateCounties[],MATCH(D307,StateCounties[Louisiana],0),MATCH(B307,StateCounties[#Headers],0))</f>
        <v>Lafayette Parish</v>
      </c>
      <c r="I307" t="b">
        <f t="shared" si="11"/>
        <v>1</v>
      </c>
    </row>
    <row r="308" spans="2:9">
      <c r="B308" t="s">
        <v>24</v>
      </c>
      <c r="C308" t="s">
        <v>76</v>
      </c>
      <c r="D308" t="s">
        <v>396</v>
      </c>
      <c r="E308" t="s">
        <v>396</v>
      </c>
      <c r="F308" t="s">
        <v>396</v>
      </c>
      <c r="G308" t="str">
        <f>INDEX(StateCounties[],MATCH(D308,StateCounties[Louisiana],0),MATCH(B308,StateCounties[#Headers],0))</f>
        <v>St. Martin Parish</v>
      </c>
      <c r="I308" t="b">
        <f t="shared" si="11"/>
        <v>1</v>
      </c>
    </row>
    <row r="309" spans="2:9">
      <c r="B309" t="s">
        <v>24</v>
      </c>
      <c r="C309" t="s">
        <v>76</v>
      </c>
      <c r="D309" t="s">
        <v>397</v>
      </c>
      <c r="E309" t="s">
        <v>397</v>
      </c>
      <c r="F309" t="s">
        <v>397</v>
      </c>
      <c r="G309" t="str">
        <f>INDEX(StateCounties[],MATCH(D309,StateCounties[Louisiana],0),MATCH(B309,StateCounties[#Headers],0))</f>
        <v>St. Mary Parish</v>
      </c>
      <c r="I309" t="b">
        <f t="shared" si="11"/>
        <v>1</v>
      </c>
    </row>
    <row r="310" spans="2:9">
      <c r="B310" t="s">
        <v>24</v>
      </c>
      <c r="C310" t="s">
        <v>76</v>
      </c>
      <c r="D310" t="s">
        <v>398</v>
      </c>
      <c r="E310" t="s">
        <v>398</v>
      </c>
      <c r="F310" t="s">
        <v>398</v>
      </c>
      <c r="G310" t="str">
        <f>INDEX(StateCounties[],MATCH(D310,StateCounties[Louisiana],0),MATCH(B310,StateCounties[#Headers],0))</f>
        <v>Iberia Parish</v>
      </c>
      <c r="I310" t="b">
        <f t="shared" si="11"/>
        <v>1</v>
      </c>
    </row>
    <row r="311" spans="2:9">
      <c r="B311" t="s">
        <v>24</v>
      </c>
      <c r="C311" t="s">
        <v>76</v>
      </c>
      <c r="D311" s="18" t="s">
        <v>1122</v>
      </c>
      <c r="E311" s="17" t="s">
        <v>399</v>
      </c>
      <c r="F311" t="s">
        <v>399</v>
      </c>
      <c r="G311" t="str">
        <f>INDEX(StateCounties[],MATCH(D311,StateCounties[Louisiana],0),MATCH(B311,StateCounties[#Headers],0))</f>
        <v>Vermilion Parish</v>
      </c>
      <c r="I311" t="b">
        <f t="shared" si="11"/>
        <v>0</v>
      </c>
    </row>
    <row r="312" spans="2:9">
      <c r="B312" t="s">
        <v>24</v>
      </c>
      <c r="C312" t="s">
        <v>76</v>
      </c>
      <c r="D312" t="s">
        <v>400</v>
      </c>
      <c r="E312" t="s">
        <v>400</v>
      </c>
      <c r="F312" t="s">
        <v>400</v>
      </c>
      <c r="G312" t="str">
        <f>INDEX(StateCounties[],MATCH(D312,StateCounties[Louisiana],0),MATCH(B312,StateCounties[#Headers],0))</f>
        <v>Acadia Parish</v>
      </c>
      <c r="I312" t="b">
        <f t="shared" si="11"/>
        <v>1</v>
      </c>
    </row>
    <row r="313" spans="2:9">
      <c r="B313" t="s">
        <v>24</v>
      </c>
      <c r="C313" t="s">
        <v>76</v>
      </c>
      <c r="D313" t="s">
        <v>401</v>
      </c>
      <c r="E313" t="s">
        <v>401</v>
      </c>
      <c r="F313" t="s">
        <v>401</v>
      </c>
      <c r="G313" t="str">
        <f>INDEX(StateCounties[],MATCH(D313,StateCounties[Louisiana],0),MATCH(B313,StateCounties[#Headers],0))</f>
        <v>St. Landry Parish</v>
      </c>
      <c r="I313" t="b">
        <f t="shared" si="11"/>
        <v>1</v>
      </c>
    </row>
    <row r="314" spans="2:9">
      <c r="B314" t="s">
        <v>24</v>
      </c>
      <c r="C314" t="s">
        <v>76</v>
      </c>
      <c r="D314" t="s">
        <v>402</v>
      </c>
      <c r="E314" t="s">
        <v>402</v>
      </c>
      <c r="F314" t="s">
        <v>402</v>
      </c>
      <c r="G314" t="str">
        <f>INDEX(StateCounties[],MATCH(D314,StateCounties[Louisiana],0),MATCH(B314,StateCounties[#Headers],0))</f>
        <v>Evangeline Parish</v>
      </c>
      <c r="I314" t="b">
        <f t="shared" si="11"/>
        <v>1</v>
      </c>
    </row>
    <row r="315" spans="2:9">
      <c r="B315" t="s">
        <v>24</v>
      </c>
      <c r="C315" t="s">
        <v>84</v>
      </c>
      <c r="D315" t="s">
        <v>403</v>
      </c>
      <c r="E315" t="s">
        <v>403</v>
      </c>
      <c r="F315" t="s">
        <v>403</v>
      </c>
      <c r="G315" t="str">
        <f>INDEX(StateCounties[],MATCH(D315,StateCounties[Louisiana],0),MATCH(B315,StateCounties[#Headers],0))</f>
        <v>Cameron Parish</v>
      </c>
      <c r="I315" t="b">
        <f t="shared" si="11"/>
        <v>1</v>
      </c>
    </row>
    <row r="316" spans="2:9">
      <c r="B316" t="s">
        <v>24</v>
      </c>
      <c r="C316" t="s">
        <v>84</v>
      </c>
      <c r="D316" t="s">
        <v>404</v>
      </c>
      <c r="E316" t="s">
        <v>404</v>
      </c>
      <c r="F316" t="s">
        <v>404</v>
      </c>
      <c r="G316" t="str">
        <f>INDEX(StateCounties[],MATCH(D316,StateCounties[Louisiana],0),MATCH(B316,StateCounties[#Headers],0))</f>
        <v>Jefferson Davis Parish</v>
      </c>
      <c r="I316" t="b">
        <f t="shared" si="11"/>
        <v>1</v>
      </c>
    </row>
    <row r="317" spans="2:9">
      <c r="B317" t="s">
        <v>24</v>
      </c>
      <c r="C317" t="s">
        <v>84</v>
      </c>
      <c r="D317" t="s">
        <v>405</v>
      </c>
      <c r="E317" t="s">
        <v>405</v>
      </c>
      <c r="F317" t="s">
        <v>405</v>
      </c>
      <c r="G317" t="str">
        <f>INDEX(StateCounties[],MATCH(D317,StateCounties[Louisiana],0),MATCH(B317,StateCounties[#Headers],0))</f>
        <v>Calcasieu Parish</v>
      </c>
      <c r="I317" t="b">
        <f t="shared" si="11"/>
        <v>1</v>
      </c>
    </row>
    <row r="318" spans="2:9">
      <c r="B318" t="s">
        <v>24</v>
      </c>
      <c r="C318" t="s">
        <v>84</v>
      </c>
      <c r="D318" t="s">
        <v>406</v>
      </c>
      <c r="E318" t="s">
        <v>406</v>
      </c>
      <c r="F318" t="s">
        <v>406</v>
      </c>
      <c r="G318" t="str">
        <f>INDEX(StateCounties[],MATCH(D318,StateCounties[Louisiana],0),MATCH(B318,StateCounties[#Headers],0))</f>
        <v>Allen Parish</v>
      </c>
      <c r="I318" t="b">
        <f t="shared" si="11"/>
        <v>1</v>
      </c>
    </row>
    <row r="319" spans="2:9">
      <c r="B319" t="s">
        <v>24</v>
      </c>
      <c r="C319" t="s">
        <v>84</v>
      </c>
      <c r="D319" t="s">
        <v>407</v>
      </c>
      <c r="E319" t="s">
        <v>407</v>
      </c>
      <c r="F319" t="s">
        <v>407</v>
      </c>
      <c r="G319" t="str">
        <f>INDEX(StateCounties[],MATCH(D319,StateCounties[Louisiana],0),MATCH(B319,StateCounties[#Headers],0))</f>
        <v>Beauregard Parish</v>
      </c>
      <c r="I319" t="b">
        <f t="shared" si="11"/>
        <v>1</v>
      </c>
    </row>
    <row r="320" spans="2:9">
      <c r="B320" t="s">
        <v>24</v>
      </c>
      <c r="C320" t="s">
        <v>86</v>
      </c>
      <c r="D320" t="s">
        <v>408</v>
      </c>
      <c r="E320" t="s">
        <v>408</v>
      </c>
      <c r="F320" t="s">
        <v>408</v>
      </c>
      <c r="G320" t="str">
        <f>INDEX(StateCounties[],MATCH(D320,StateCounties[Louisiana],0),MATCH(B320,StateCounties[#Headers],0))</f>
        <v>East Baton Rouge Parish</v>
      </c>
      <c r="I320" t="b">
        <f t="shared" si="11"/>
        <v>1</v>
      </c>
    </row>
    <row r="321" spans="2:9">
      <c r="B321" t="s">
        <v>24</v>
      </c>
      <c r="C321" t="s">
        <v>86</v>
      </c>
      <c r="D321" t="s">
        <v>409</v>
      </c>
      <c r="E321" t="s">
        <v>409</v>
      </c>
      <c r="F321" t="s">
        <v>409</v>
      </c>
      <c r="G321" t="str">
        <f>INDEX(StateCounties[],MATCH(D321,StateCounties[Louisiana],0),MATCH(B321,StateCounties[#Headers],0))</f>
        <v>West Baton Rouge Parish</v>
      </c>
      <c r="I321" t="b">
        <f t="shared" si="11"/>
        <v>1</v>
      </c>
    </row>
    <row r="322" spans="2:9">
      <c r="B322" t="s">
        <v>24</v>
      </c>
      <c r="C322" t="s">
        <v>86</v>
      </c>
      <c r="D322" t="s">
        <v>410</v>
      </c>
      <c r="E322" t="s">
        <v>410</v>
      </c>
      <c r="F322" t="s">
        <v>410</v>
      </c>
      <c r="G322" t="str">
        <f>INDEX(StateCounties[],MATCH(D322,StateCounties[Louisiana],0),MATCH(B322,StateCounties[#Headers],0))</f>
        <v>Iberville Parish</v>
      </c>
      <c r="I322" t="b">
        <f t="shared" si="11"/>
        <v>1</v>
      </c>
    </row>
    <row r="323" spans="2:9">
      <c r="B323" t="s">
        <v>24</v>
      </c>
      <c r="C323" t="s">
        <v>86</v>
      </c>
      <c r="D323" t="s">
        <v>411</v>
      </c>
      <c r="E323" t="s">
        <v>411</v>
      </c>
      <c r="F323" t="s">
        <v>411</v>
      </c>
      <c r="G323" t="str">
        <f>INDEX(StateCounties[],MATCH(D323,StateCounties[Louisiana],0),MATCH(B323,StateCounties[#Headers],0))</f>
        <v>Pointe Coupee Parish</v>
      </c>
      <c r="I323" t="b">
        <f t="shared" si="11"/>
        <v>1</v>
      </c>
    </row>
    <row r="324" spans="2:9">
      <c r="B324" t="s">
        <v>24</v>
      </c>
      <c r="C324" t="s">
        <v>86</v>
      </c>
      <c r="D324" t="s">
        <v>412</v>
      </c>
      <c r="E324" t="s">
        <v>412</v>
      </c>
      <c r="F324" t="s">
        <v>412</v>
      </c>
      <c r="G324" t="str">
        <f>INDEX(StateCounties[],MATCH(D324,StateCounties[Louisiana],0),MATCH(B324,StateCounties[#Headers],0))</f>
        <v>West Feliciana Parish</v>
      </c>
      <c r="I324" t="b">
        <f t="shared" ref="I324:I387" si="12">E324=D324</f>
        <v>1</v>
      </c>
    </row>
    <row r="325" spans="2:9">
      <c r="B325" t="s">
        <v>24</v>
      </c>
      <c r="C325" t="s">
        <v>86</v>
      </c>
      <c r="D325" t="s">
        <v>413</v>
      </c>
      <c r="E325" t="s">
        <v>413</v>
      </c>
      <c r="F325" t="s">
        <v>413</v>
      </c>
      <c r="G325" t="str">
        <f>INDEX(StateCounties[],MATCH(D325,StateCounties[Louisiana],0),MATCH(B325,StateCounties[#Headers],0))</f>
        <v>East Feliciana Parish</v>
      </c>
      <c r="I325" t="b">
        <f t="shared" si="12"/>
        <v>1</v>
      </c>
    </row>
    <row r="326" spans="2:9">
      <c r="B326" t="s">
        <v>24</v>
      </c>
      <c r="C326" t="s">
        <v>86</v>
      </c>
      <c r="D326" t="s">
        <v>414</v>
      </c>
      <c r="E326" t="s">
        <v>414</v>
      </c>
      <c r="F326" t="s">
        <v>414</v>
      </c>
      <c r="G326" t="str">
        <f>INDEX(StateCounties[],MATCH(D326,StateCounties[Louisiana],0),MATCH(B326,StateCounties[#Headers],0))</f>
        <v>Ascension Parish</v>
      </c>
      <c r="I326" t="b">
        <f t="shared" si="12"/>
        <v>1</v>
      </c>
    </row>
    <row r="327" spans="2:9">
      <c r="B327" t="s">
        <v>24</v>
      </c>
      <c r="C327" t="s">
        <v>86</v>
      </c>
      <c r="D327" t="s">
        <v>415</v>
      </c>
      <c r="E327" t="s">
        <v>415</v>
      </c>
      <c r="F327" t="s">
        <v>415</v>
      </c>
      <c r="G327" t="str">
        <f>INDEX(StateCounties[],MATCH(D327,StateCounties[Louisiana],0),MATCH(B327,StateCounties[#Headers],0))</f>
        <v>Livingston Parish</v>
      </c>
      <c r="I327" t="b">
        <f t="shared" si="12"/>
        <v>1</v>
      </c>
    </row>
    <row r="328" spans="2:9">
      <c r="B328" t="s">
        <v>24</v>
      </c>
      <c r="C328" t="s">
        <v>86</v>
      </c>
      <c r="D328" t="s">
        <v>416</v>
      </c>
      <c r="E328" t="s">
        <v>416</v>
      </c>
      <c r="F328" t="s">
        <v>416</v>
      </c>
      <c r="G328" t="str">
        <f>INDEX(StateCounties[],MATCH(D328,StateCounties[Louisiana],0),MATCH(B328,StateCounties[#Headers],0))</f>
        <v>St. Helena Parish</v>
      </c>
      <c r="I328" t="b">
        <f t="shared" si="12"/>
        <v>1</v>
      </c>
    </row>
    <row r="329" spans="2:9">
      <c r="B329" t="s">
        <v>24</v>
      </c>
      <c r="C329" t="s">
        <v>86</v>
      </c>
      <c r="D329" t="s">
        <v>417</v>
      </c>
      <c r="E329" t="s">
        <v>417</v>
      </c>
      <c r="F329" t="s">
        <v>417</v>
      </c>
      <c r="G329" t="str">
        <f>INDEX(StateCounties[],MATCH(D329,StateCounties[Louisiana],0),MATCH(B329,StateCounties[#Headers],0))</f>
        <v>Tangipahoa Parish</v>
      </c>
      <c r="I329" t="b">
        <f t="shared" si="12"/>
        <v>1</v>
      </c>
    </row>
    <row r="330" spans="2:9">
      <c r="B330" t="s">
        <v>24</v>
      </c>
      <c r="C330" t="s">
        <v>86</v>
      </c>
      <c r="D330" t="s">
        <v>418</v>
      </c>
      <c r="E330" t="s">
        <v>418</v>
      </c>
      <c r="F330" t="s">
        <v>418</v>
      </c>
      <c r="G330" t="str">
        <f>INDEX(StateCounties[],MATCH(D330,StateCounties[Louisiana],0),MATCH(B330,StateCounties[#Headers],0))</f>
        <v>Washington Parish</v>
      </c>
      <c r="I330" t="b">
        <f t="shared" si="12"/>
        <v>1</v>
      </c>
    </row>
    <row r="331" spans="2:9">
      <c r="B331" t="s">
        <v>24</v>
      </c>
      <c r="C331" t="s">
        <v>89</v>
      </c>
      <c r="D331" t="s">
        <v>419</v>
      </c>
      <c r="E331" t="s">
        <v>419</v>
      </c>
      <c r="F331" t="s">
        <v>419</v>
      </c>
      <c r="G331" t="str">
        <f>INDEX(StateCounties[],MATCH(D331,StateCounties[Louisiana],0),MATCH(B331,StateCounties[#Headers],0))</f>
        <v>Rapides Parish</v>
      </c>
      <c r="I331" t="b">
        <f t="shared" si="12"/>
        <v>1</v>
      </c>
    </row>
    <row r="332" spans="2:9">
      <c r="B332" t="s">
        <v>24</v>
      </c>
      <c r="C332" t="s">
        <v>89</v>
      </c>
      <c r="D332" t="s">
        <v>420</v>
      </c>
      <c r="E332" t="s">
        <v>420</v>
      </c>
      <c r="F332" t="s">
        <v>420</v>
      </c>
      <c r="G332" t="str">
        <f>INDEX(StateCounties[],MATCH(D332,StateCounties[Louisiana],0),MATCH(B332,StateCounties[#Headers],0))</f>
        <v>Vernon Parish</v>
      </c>
      <c r="I332" t="b">
        <f t="shared" si="12"/>
        <v>1</v>
      </c>
    </row>
    <row r="333" spans="2:9">
      <c r="B333" t="s">
        <v>24</v>
      </c>
      <c r="C333" t="s">
        <v>89</v>
      </c>
      <c r="D333" t="s">
        <v>421</v>
      </c>
      <c r="E333" t="s">
        <v>421</v>
      </c>
      <c r="F333" t="s">
        <v>421</v>
      </c>
      <c r="G333" t="str">
        <f>INDEX(StateCounties[],MATCH(D333,StateCounties[Louisiana],0),MATCH(B333,StateCounties[#Headers],0))</f>
        <v>Avoyelles Parish</v>
      </c>
      <c r="I333" t="b">
        <f t="shared" si="12"/>
        <v>1</v>
      </c>
    </row>
    <row r="334" spans="2:9">
      <c r="B334" t="s">
        <v>24</v>
      </c>
      <c r="C334" t="s">
        <v>89</v>
      </c>
      <c r="D334" t="s">
        <v>422</v>
      </c>
      <c r="E334" t="s">
        <v>422</v>
      </c>
      <c r="F334" t="s">
        <v>422</v>
      </c>
      <c r="G334" t="str">
        <f>INDEX(StateCounties[],MATCH(D334,StateCounties[Louisiana],0),MATCH(B334,StateCounties[#Headers],0))</f>
        <v>Concordia Parish</v>
      </c>
      <c r="I334" t="b">
        <f t="shared" si="12"/>
        <v>1</v>
      </c>
    </row>
    <row r="335" spans="2:9">
      <c r="B335" t="s">
        <v>24</v>
      </c>
      <c r="C335" t="s">
        <v>89</v>
      </c>
      <c r="D335" t="s">
        <v>423</v>
      </c>
      <c r="E335" t="s">
        <v>423</v>
      </c>
      <c r="F335" t="s">
        <v>423</v>
      </c>
      <c r="G335" t="str">
        <f>INDEX(StateCounties[],MATCH(D335,StateCounties[Louisiana],0),MATCH(B335,StateCounties[#Headers],0))</f>
        <v>Catahoula Parish</v>
      </c>
      <c r="I335" t="b">
        <f t="shared" si="12"/>
        <v>1</v>
      </c>
    </row>
    <row r="336" spans="2:9">
      <c r="B336" t="s">
        <v>24</v>
      </c>
      <c r="C336" t="s">
        <v>89</v>
      </c>
      <c r="D336" s="18" t="s">
        <v>983</v>
      </c>
      <c r="E336" t="s">
        <v>424</v>
      </c>
      <c r="F336" t="s">
        <v>424</v>
      </c>
      <c r="G336" t="str">
        <f>INDEX(StateCounties[],MATCH(D336,StateCounties[Louisiana],0),MATCH(B336,StateCounties[#Headers],0))</f>
        <v>LaSalle Parish</v>
      </c>
      <c r="I336" t="b">
        <f t="shared" si="12"/>
        <v>0</v>
      </c>
    </row>
    <row r="337" spans="2:9">
      <c r="B337" t="s">
        <v>24</v>
      </c>
      <c r="C337" t="s">
        <v>89</v>
      </c>
      <c r="D337" t="s">
        <v>425</v>
      </c>
      <c r="E337" t="s">
        <v>425</v>
      </c>
      <c r="F337" t="s">
        <v>425</v>
      </c>
      <c r="G337" t="str">
        <f>INDEX(StateCounties[],MATCH(D337,StateCounties[Louisiana],0),MATCH(B337,StateCounties[#Headers],0))</f>
        <v>Grant Parish</v>
      </c>
      <c r="I337" t="b">
        <f t="shared" si="12"/>
        <v>1</v>
      </c>
    </row>
    <row r="338" spans="2:9">
      <c r="B338" t="s">
        <v>24</v>
      </c>
      <c r="C338" t="s">
        <v>89</v>
      </c>
      <c r="D338" t="s">
        <v>426</v>
      </c>
      <c r="E338" t="s">
        <v>426</v>
      </c>
      <c r="F338" t="s">
        <v>426</v>
      </c>
      <c r="G338" t="str">
        <f>INDEX(StateCounties[],MATCH(D338,StateCounties[Louisiana],0),MATCH(B338,StateCounties[#Headers],0))</f>
        <v>Winn Parish</v>
      </c>
      <c r="I338" t="b">
        <f t="shared" si="12"/>
        <v>1</v>
      </c>
    </row>
    <row r="339" spans="2:9">
      <c r="B339" t="s">
        <v>24</v>
      </c>
      <c r="C339" t="s">
        <v>93</v>
      </c>
      <c r="D339" t="s">
        <v>427</v>
      </c>
      <c r="E339" t="s">
        <v>427</v>
      </c>
      <c r="F339" t="s">
        <v>427</v>
      </c>
      <c r="G339" t="str">
        <f>INDEX(StateCounties[],MATCH(D339,StateCounties[Louisiana],0),MATCH(B339,StateCounties[#Headers],0))</f>
        <v>Ouachita Parish</v>
      </c>
      <c r="I339" t="b">
        <f t="shared" si="12"/>
        <v>1</v>
      </c>
    </row>
    <row r="340" spans="2:9">
      <c r="B340" t="s">
        <v>24</v>
      </c>
      <c r="C340" t="s">
        <v>93</v>
      </c>
      <c r="D340" t="s">
        <v>428</v>
      </c>
      <c r="E340" t="s">
        <v>428</v>
      </c>
      <c r="F340" t="s">
        <v>428</v>
      </c>
      <c r="G340" t="str">
        <f>INDEX(StateCounties[],MATCH(D340,StateCounties[Louisiana],0),MATCH(B340,StateCounties[#Headers],0))</f>
        <v>East Carroll Parish</v>
      </c>
      <c r="I340" t="b">
        <f t="shared" si="12"/>
        <v>1</v>
      </c>
    </row>
    <row r="341" spans="2:9">
      <c r="B341" t="s">
        <v>24</v>
      </c>
      <c r="C341" t="s">
        <v>93</v>
      </c>
      <c r="D341" t="s">
        <v>429</v>
      </c>
      <c r="E341" t="s">
        <v>429</v>
      </c>
      <c r="F341" t="s">
        <v>429</v>
      </c>
      <c r="G341" t="str">
        <f>INDEX(StateCounties[],MATCH(D341,StateCounties[Louisiana],0),MATCH(B341,StateCounties[#Headers],0))</f>
        <v>West Carroll Parish</v>
      </c>
      <c r="I341" t="b">
        <f t="shared" si="12"/>
        <v>1</v>
      </c>
    </row>
    <row r="342" spans="2:9">
      <c r="B342" t="s">
        <v>24</v>
      </c>
      <c r="C342" t="s">
        <v>93</v>
      </c>
      <c r="D342" t="s">
        <v>430</v>
      </c>
      <c r="E342" t="s">
        <v>430</v>
      </c>
      <c r="F342" t="s">
        <v>430</v>
      </c>
      <c r="G342" t="str">
        <f>INDEX(StateCounties[],MATCH(D342,StateCounties[Louisiana],0),MATCH(B342,StateCounties[#Headers],0))</f>
        <v>Madison Parish</v>
      </c>
      <c r="I342" t="b">
        <f t="shared" si="12"/>
        <v>1</v>
      </c>
    </row>
    <row r="343" spans="2:9">
      <c r="B343" t="s">
        <v>24</v>
      </c>
      <c r="C343" t="s">
        <v>93</v>
      </c>
      <c r="D343" t="s">
        <v>431</v>
      </c>
      <c r="E343" t="s">
        <v>431</v>
      </c>
      <c r="F343" t="s">
        <v>431</v>
      </c>
      <c r="G343" t="str">
        <f>INDEX(StateCounties[],MATCH(D343,StateCounties[Louisiana],0),MATCH(B343,StateCounties[#Headers],0))</f>
        <v>Tensas Parish</v>
      </c>
      <c r="I343" t="b">
        <f t="shared" si="12"/>
        <v>1</v>
      </c>
    </row>
    <row r="344" spans="2:9">
      <c r="B344" t="s">
        <v>24</v>
      </c>
      <c r="C344" t="s">
        <v>93</v>
      </c>
      <c r="D344" t="s">
        <v>432</v>
      </c>
      <c r="E344" t="s">
        <v>432</v>
      </c>
      <c r="F344" t="s">
        <v>432</v>
      </c>
      <c r="G344" t="str">
        <f>INDEX(StateCounties[],MATCH(D344,StateCounties[Louisiana],0),MATCH(B344,StateCounties[#Headers],0))</f>
        <v>Franklin Parish</v>
      </c>
      <c r="I344" t="b">
        <f t="shared" si="12"/>
        <v>1</v>
      </c>
    </row>
    <row r="345" spans="2:9">
      <c r="B345" t="s">
        <v>24</v>
      </c>
      <c r="C345" t="s">
        <v>93</v>
      </c>
      <c r="D345" t="s">
        <v>433</v>
      </c>
      <c r="E345" t="s">
        <v>433</v>
      </c>
      <c r="F345" t="s">
        <v>433</v>
      </c>
      <c r="G345" t="str">
        <f>INDEX(StateCounties[],MATCH(D345,StateCounties[Louisiana],0),MATCH(B345,StateCounties[#Headers],0))</f>
        <v>Richland Parish</v>
      </c>
      <c r="I345" t="b">
        <f t="shared" si="12"/>
        <v>1</v>
      </c>
    </row>
    <row r="346" spans="2:9">
      <c r="B346" t="s">
        <v>24</v>
      </c>
      <c r="C346" t="s">
        <v>93</v>
      </c>
      <c r="D346" t="s">
        <v>434</v>
      </c>
      <c r="E346" t="s">
        <v>434</v>
      </c>
      <c r="F346" t="s">
        <v>434</v>
      </c>
      <c r="G346" t="str">
        <f>INDEX(StateCounties[],MATCH(D346,StateCounties[Louisiana],0),MATCH(B346,StateCounties[#Headers],0))</f>
        <v>Morehouse Parish</v>
      </c>
      <c r="I346" t="b">
        <f t="shared" si="12"/>
        <v>1</v>
      </c>
    </row>
    <row r="347" spans="2:9">
      <c r="B347" t="s">
        <v>24</v>
      </c>
      <c r="C347" t="s">
        <v>93</v>
      </c>
      <c r="D347" t="s">
        <v>435</v>
      </c>
      <c r="E347" t="s">
        <v>435</v>
      </c>
      <c r="F347" t="s">
        <v>435</v>
      </c>
      <c r="G347" t="str">
        <f>INDEX(StateCounties[],MATCH(D347,StateCounties[Louisiana],0),MATCH(B347,StateCounties[#Headers],0))</f>
        <v>Caldwell Parish</v>
      </c>
      <c r="I347" t="b">
        <f t="shared" si="12"/>
        <v>1</v>
      </c>
    </row>
    <row r="348" spans="2:9">
      <c r="B348" t="s">
        <v>24</v>
      </c>
      <c r="C348" t="s">
        <v>93</v>
      </c>
      <c r="D348" t="s">
        <v>436</v>
      </c>
      <c r="E348" t="s">
        <v>436</v>
      </c>
      <c r="F348" t="s">
        <v>436</v>
      </c>
      <c r="G348" t="str">
        <f>INDEX(StateCounties[],MATCH(D348,StateCounties[Louisiana],0),MATCH(B348,StateCounties[#Headers],0))</f>
        <v>Jackson Parish</v>
      </c>
      <c r="I348" t="b">
        <f t="shared" si="12"/>
        <v>1</v>
      </c>
    </row>
    <row r="349" spans="2:9">
      <c r="B349" t="s">
        <v>24</v>
      </c>
      <c r="C349" t="s">
        <v>93</v>
      </c>
      <c r="D349" t="s">
        <v>437</v>
      </c>
      <c r="E349" t="s">
        <v>437</v>
      </c>
      <c r="F349" t="s">
        <v>437</v>
      </c>
      <c r="G349" t="str">
        <f>INDEX(StateCounties[],MATCH(D349,StateCounties[Louisiana],0),MATCH(B349,StateCounties[#Headers],0))</f>
        <v>Lincoln Parish</v>
      </c>
      <c r="I349" t="b">
        <f t="shared" si="12"/>
        <v>1</v>
      </c>
    </row>
    <row r="350" spans="2:9">
      <c r="B350" t="s">
        <v>24</v>
      </c>
      <c r="C350" t="s">
        <v>93</v>
      </c>
      <c r="D350" t="s">
        <v>438</v>
      </c>
      <c r="E350" t="s">
        <v>438</v>
      </c>
      <c r="F350" t="s">
        <v>438</v>
      </c>
      <c r="G350" t="str">
        <f>INDEX(StateCounties[],MATCH(D350,StateCounties[Louisiana],0),MATCH(B350,StateCounties[#Headers],0))</f>
        <v>Union Parish</v>
      </c>
      <c r="I350" t="b">
        <f t="shared" si="12"/>
        <v>1</v>
      </c>
    </row>
    <row r="351" spans="2:9">
      <c r="B351" t="s">
        <v>24</v>
      </c>
      <c r="C351" t="s">
        <v>96</v>
      </c>
      <c r="D351" t="s">
        <v>439</v>
      </c>
      <c r="E351" t="s">
        <v>439</v>
      </c>
      <c r="F351" t="s">
        <v>439</v>
      </c>
      <c r="G351" t="str">
        <f>INDEX(StateCounties[],MATCH(D351,StateCounties[Louisiana],0),MATCH(B351,StateCounties[#Headers],0))</f>
        <v>Bossier Parish</v>
      </c>
      <c r="I351" t="b">
        <f t="shared" si="12"/>
        <v>1</v>
      </c>
    </row>
    <row r="352" spans="2:9">
      <c r="B352" t="s">
        <v>24</v>
      </c>
      <c r="C352" t="s">
        <v>96</v>
      </c>
      <c r="D352" t="s">
        <v>440</v>
      </c>
      <c r="E352" t="s">
        <v>440</v>
      </c>
      <c r="F352" t="s">
        <v>440</v>
      </c>
      <c r="G352" t="str">
        <f>INDEX(StateCounties[],MATCH(D352,StateCounties[Louisiana],0),MATCH(B352,StateCounties[#Headers],0))</f>
        <v>Caddo Parish</v>
      </c>
      <c r="I352" t="b">
        <f t="shared" si="12"/>
        <v>1</v>
      </c>
    </row>
    <row r="353" spans="2:9">
      <c r="B353" t="s">
        <v>24</v>
      </c>
      <c r="C353" t="s">
        <v>96</v>
      </c>
      <c r="D353" t="s">
        <v>441</v>
      </c>
      <c r="E353" t="s">
        <v>441</v>
      </c>
      <c r="F353" t="s">
        <v>441</v>
      </c>
      <c r="G353" t="str">
        <f>INDEX(StateCounties[],MATCH(D353,StateCounties[Louisiana],0),MATCH(B353,StateCounties[#Headers],0))</f>
        <v>Webster Parish</v>
      </c>
      <c r="I353" t="b">
        <f t="shared" si="12"/>
        <v>1</v>
      </c>
    </row>
    <row r="354" spans="2:9">
      <c r="B354" t="s">
        <v>24</v>
      </c>
      <c r="C354" t="s">
        <v>96</v>
      </c>
      <c r="D354" t="s">
        <v>442</v>
      </c>
      <c r="E354" t="s">
        <v>442</v>
      </c>
      <c r="F354" t="s">
        <v>442</v>
      </c>
      <c r="G354" t="str">
        <f>INDEX(StateCounties[],MATCH(D354,StateCounties[Louisiana],0),MATCH(B354,StateCounties[#Headers],0))</f>
        <v>Claiborne Parish</v>
      </c>
      <c r="I354" t="b">
        <f t="shared" si="12"/>
        <v>1</v>
      </c>
    </row>
    <row r="355" spans="2:9">
      <c r="B355" t="s">
        <v>24</v>
      </c>
      <c r="C355" t="s">
        <v>96</v>
      </c>
      <c r="D355" t="s">
        <v>443</v>
      </c>
      <c r="E355" t="s">
        <v>443</v>
      </c>
      <c r="F355" t="s">
        <v>443</v>
      </c>
      <c r="G355" t="str">
        <f>INDEX(StateCounties[],MATCH(D355,StateCounties[Louisiana],0),MATCH(B355,StateCounties[#Headers],0))</f>
        <v>Bienville Parish</v>
      </c>
      <c r="I355" t="b">
        <f t="shared" si="12"/>
        <v>1</v>
      </c>
    </row>
    <row r="356" spans="2:9">
      <c r="B356" t="s">
        <v>24</v>
      </c>
      <c r="C356" t="s">
        <v>96</v>
      </c>
      <c r="D356" t="s">
        <v>444</v>
      </c>
      <c r="E356" t="s">
        <v>444</v>
      </c>
      <c r="F356" t="s">
        <v>444</v>
      </c>
      <c r="G356" t="str">
        <f>INDEX(StateCounties[],MATCH(D356,StateCounties[Louisiana],0),MATCH(B356,StateCounties[#Headers],0))</f>
        <v>Red River Parish</v>
      </c>
      <c r="I356" t="b">
        <f t="shared" si="12"/>
        <v>1</v>
      </c>
    </row>
    <row r="357" spans="2:9">
      <c r="B357" t="s">
        <v>24</v>
      </c>
      <c r="C357" t="s">
        <v>96</v>
      </c>
      <c r="D357" t="s">
        <v>445</v>
      </c>
      <c r="E357" t="s">
        <v>445</v>
      </c>
      <c r="F357" t="s">
        <v>445</v>
      </c>
      <c r="G357" t="str">
        <f>INDEX(StateCounties[],MATCH(D357,StateCounties[Louisiana],0),MATCH(B357,StateCounties[#Headers],0))</f>
        <v>De Soto Parish</v>
      </c>
      <c r="I357" t="b">
        <f t="shared" si="12"/>
        <v>1</v>
      </c>
    </row>
    <row r="358" spans="2:9">
      <c r="B358" t="s">
        <v>24</v>
      </c>
      <c r="C358" t="s">
        <v>96</v>
      </c>
      <c r="D358" t="s">
        <v>446</v>
      </c>
      <c r="E358" t="s">
        <v>446</v>
      </c>
      <c r="F358" t="s">
        <v>446</v>
      </c>
      <c r="G358" t="str">
        <f>INDEX(StateCounties[],MATCH(D358,StateCounties[Louisiana],0),MATCH(B358,StateCounties[#Headers],0))</f>
        <v>Natchitoches Parish</v>
      </c>
      <c r="I358" t="b">
        <f t="shared" si="12"/>
        <v>1</v>
      </c>
    </row>
    <row r="359" spans="2:9">
      <c r="B359" t="s">
        <v>24</v>
      </c>
      <c r="C359" t="s">
        <v>96</v>
      </c>
      <c r="D359" t="s">
        <v>447</v>
      </c>
      <c r="E359" t="s">
        <v>447</v>
      </c>
      <c r="F359" t="s">
        <v>447</v>
      </c>
      <c r="G359" t="str">
        <f>INDEX(StateCounties[],MATCH(D359,StateCounties[Louisiana],0),MATCH(B359,StateCounties[#Headers],0))</f>
        <v>Sabine Parish</v>
      </c>
      <c r="I359" t="b">
        <f t="shared" si="12"/>
        <v>1</v>
      </c>
    </row>
    <row r="360" spans="2:9">
      <c r="B360" t="s">
        <v>30</v>
      </c>
      <c r="C360" t="s">
        <v>72</v>
      </c>
      <c r="D360" t="s">
        <v>1193</v>
      </c>
      <c r="E360" t="str">
        <f>F360&amp; " County"</f>
        <v>Tunica County</v>
      </c>
      <c r="F360" t="s">
        <v>450</v>
      </c>
      <c r="G360" t="str">
        <f>INDEX(StateCounties[],MATCH(D360,StateCounties[Mississippi],0),MATCH(B360,StateCounties[#Headers],0))</f>
        <v>Tunica County</v>
      </c>
      <c r="I360" t="b">
        <f t="shared" si="12"/>
        <v>1</v>
      </c>
    </row>
    <row r="361" spans="2:9">
      <c r="B361" t="s">
        <v>30</v>
      </c>
      <c r="C361" t="s">
        <v>72</v>
      </c>
      <c r="D361" t="s">
        <v>1181</v>
      </c>
      <c r="E361" t="str">
        <f t="shared" ref="E361:E424" si="13">F361&amp; " County"</f>
        <v>Tate County</v>
      </c>
      <c r="F361" t="s">
        <v>451</v>
      </c>
      <c r="G361" t="str">
        <f>INDEX(StateCounties[],MATCH(D361,StateCounties[Mississippi],0),MATCH(B361,StateCounties[#Headers],0))</f>
        <v>Tate County</v>
      </c>
      <c r="I361" t="b">
        <f t="shared" si="12"/>
        <v>1</v>
      </c>
    </row>
    <row r="362" spans="2:9">
      <c r="B362" t="s">
        <v>30</v>
      </c>
      <c r="C362" t="s">
        <v>72</v>
      </c>
      <c r="D362" t="s">
        <v>1068</v>
      </c>
      <c r="E362" t="str">
        <f t="shared" si="13"/>
        <v>Marshall County</v>
      </c>
      <c r="F362" t="s">
        <v>140</v>
      </c>
      <c r="G362" t="str">
        <f>INDEX(StateCounties[],MATCH(D362,StateCounties[Mississippi],0),MATCH(B362,StateCounties[#Headers],0))</f>
        <v>Marshall County</v>
      </c>
      <c r="I362" t="b">
        <f t="shared" si="12"/>
        <v>1</v>
      </c>
    </row>
    <row r="363" spans="2:9">
      <c r="B363" t="s">
        <v>30</v>
      </c>
      <c r="C363" t="s">
        <v>72</v>
      </c>
      <c r="D363" t="s">
        <v>891</v>
      </c>
      <c r="E363" t="str">
        <f t="shared" si="13"/>
        <v>DeSoto County</v>
      </c>
      <c r="F363" t="s">
        <v>452</v>
      </c>
      <c r="G363" t="str">
        <f>INDEX(StateCounties[],MATCH(D363,StateCounties[Mississippi],0),MATCH(B363,StateCounties[#Headers],0))</f>
        <v>DeSoto County</v>
      </c>
      <c r="I363" t="b">
        <f t="shared" si="12"/>
        <v>1</v>
      </c>
    </row>
    <row r="364" spans="2:9">
      <c r="B364" t="s">
        <v>30</v>
      </c>
      <c r="C364" t="s">
        <v>74</v>
      </c>
      <c r="D364" t="s">
        <v>835</v>
      </c>
      <c r="E364" t="str">
        <f t="shared" si="13"/>
        <v>Benton County</v>
      </c>
      <c r="F364" t="s">
        <v>453</v>
      </c>
      <c r="G364" t="str">
        <f>INDEX(StateCounties[],MATCH(D364,StateCounties[Mississippi],0),MATCH(B364,StateCounties[#Headers],0))</f>
        <v>Benton County</v>
      </c>
      <c r="I364" t="b">
        <f t="shared" si="12"/>
        <v>1</v>
      </c>
    </row>
    <row r="365" spans="2:9">
      <c r="B365" t="s">
        <v>30</v>
      </c>
      <c r="C365" t="s">
        <v>74</v>
      </c>
      <c r="D365" t="s">
        <v>1185</v>
      </c>
      <c r="E365" t="str">
        <f t="shared" si="13"/>
        <v>Tippah County</v>
      </c>
      <c r="F365" t="s">
        <v>454</v>
      </c>
      <c r="G365" t="str">
        <f>INDEX(StateCounties[],MATCH(D365,StateCounties[Mississippi],0),MATCH(B365,StateCounties[#Headers],0))</f>
        <v>Tippah County</v>
      </c>
      <c r="I365" t="b">
        <f t="shared" si="12"/>
        <v>1</v>
      </c>
    </row>
    <row r="366" spans="2:9">
      <c r="B366" t="s">
        <v>30</v>
      </c>
      <c r="C366" t="s">
        <v>74</v>
      </c>
      <c r="D366" t="s">
        <v>1149</v>
      </c>
      <c r="E366" t="str">
        <f t="shared" si="13"/>
        <v>Union County</v>
      </c>
      <c r="F366" t="s">
        <v>257</v>
      </c>
      <c r="G366" t="str">
        <f>INDEX(StateCounties[],MATCH(D366,StateCounties[Mississippi],0),MATCH(B366,StateCounties[#Headers],0))</f>
        <v>Union County</v>
      </c>
      <c r="I366" t="b">
        <f t="shared" si="12"/>
        <v>1</v>
      </c>
    </row>
    <row r="367" spans="2:9">
      <c r="B367" t="s">
        <v>30</v>
      </c>
      <c r="C367" t="s">
        <v>74</v>
      </c>
      <c r="D367" t="s">
        <v>1125</v>
      </c>
      <c r="E367" t="str">
        <f t="shared" si="13"/>
        <v>Pontotoc County</v>
      </c>
      <c r="F367" t="s">
        <v>455</v>
      </c>
      <c r="G367" t="str">
        <f>INDEX(StateCounties[],MATCH(D367,StateCounties[Mississippi],0),MATCH(B367,StateCounties[#Headers],0))</f>
        <v>Pontotoc County</v>
      </c>
      <c r="I367" t="b">
        <f t="shared" si="12"/>
        <v>1</v>
      </c>
    </row>
    <row r="368" spans="2:9">
      <c r="B368" t="s">
        <v>30</v>
      </c>
      <c r="C368" t="s">
        <v>74</v>
      </c>
      <c r="D368" t="s">
        <v>1010</v>
      </c>
      <c r="E368" t="str">
        <f t="shared" si="13"/>
        <v>Lee County</v>
      </c>
      <c r="F368" t="s">
        <v>75</v>
      </c>
      <c r="G368" t="str">
        <f>INDEX(StateCounties[],MATCH(D368,StateCounties[Mississippi],0),MATCH(B368,StateCounties[#Headers],0))</f>
        <v>Lee County</v>
      </c>
      <c r="I368" t="b">
        <f t="shared" si="12"/>
        <v>1</v>
      </c>
    </row>
    <row r="369" spans="2:9">
      <c r="B369" t="s">
        <v>30</v>
      </c>
      <c r="C369" t="s">
        <v>74</v>
      </c>
      <c r="D369" t="s">
        <v>980</v>
      </c>
      <c r="E369" t="str">
        <f t="shared" si="13"/>
        <v>Itawamba County</v>
      </c>
      <c r="F369" t="s">
        <v>456</v>
      </c>
      <c r="G369" t="str">
        <f>INDEX(StateCounties[],MATCH(D369,StateCounties[Mississippi],0),MATCH(B369,StateCounties[#Headers],0))</f>
        <v>Itawamba County</v>
      </c>
      <c r="I369" t="b">
        <f t="shared" si="12"/>
        <v>1</v>
      </c>
    </row>
    <row r="370" spans="2:9">
      <c r="B370" t="s">
        <v>30</v>
      </c>
      <c r="C370" t="s">
        <v>76</v>
      </c>
      <c r="D370" t="s">
        <v>1205</v>
      </c>
      <c r="E370" t="str">
        <f t="shared" si="13"/>
        <v>Warren County</v>
      </c>
      <c r="F370" t="s">
        <v>300</v>
      </c>
      <c r="G370" t="str">
        <f>INDEX(StateCounties[],MATCH(D370,StateCounties[Mississippi],0),MATCH(B370,StateCounties[#Headers],0))</f>
        <v>Warren County</v>
      </c>
      <c r="I370" t="b">
        <f t="shared" si="12"/>
        <v>1</v>
      </c>
    </row>
    <row r="371" spans="2:9">
      <c r="B371" t="s">
        <v>30</v>
      </c>
      <c r="C371" t="s">
        <v>76</v>
      </c>
      <c r="D371" t="s">
        <v>1029</v>
      </c>
      <c r="E371" t="str">
        <f t="shared" si="13"/>
        <v>Madison County</v>
      </c>
      <c r="F371" t="s">
        <v>100</v>
      </c>
      <c r="G371" t="str">
        <f>INDEX(StateCounties[],MATCH(D371,StateCounties[Mississippi],0),MATCH(B371,StateCounties[#Headers],0))</f>
        <v>Madison County</v>
      </c>
      <c r="I371" t="b">
        <f t="shared" si="12"/>
        <v>1</v>
      </c>
    </row>
    <row r="372" spans="2:9">
      <c r="B372" t="s">
        <v>30</v>
      </c>
      <c r="C372" t="s">
        <v>76</v>
      </c>
      <c r="D372" t="s">
        <v>960</v>
      </c>
      <c r="E372" t="str">
        <f t="shared" si="13"/>
        <v>Hinds County</v>
      </c>
      <c r="F372" t="s">
        <v>457</v>
      </c>
      <c r="G372" t="str">
        <f>INDEX(StateCounties[],MATCH(D372,StateCounties[Mississippi],0),MATCH(B372,StateCounties[#Headers],0))</f>
        <v>Hinds County</v>
      </c>
      <c r="I372" t="b">
        <f t="shared" si="12"/>
        <v>1</v>
      </c>
    </row>
    <row r="373" spans="2:9">
      <c r="B373" t="s">
        <v>30</v>
      </c>
      <c r="C373" t="s">
        <v>76</v>
      </c>
      <c r="D373" t="s">
        <v>1139</v>
      </c>
      <c r="E373" t="str">
        <f t="shared" si="13"/>
        <v>Rankin County</v>
      </c>
      <c r="F373" t="s">
        <v>458</v>
      </c>
      <c r="G373" t="str">
        <f>INDEX(StateCounties[],MATCH(D373,StateCounties[Mississippi],0),MATCH(B373,StateCounties[#Headers],0))</f>
        <v>Rankin County</v>
      </c>
      <c r="I373" t="b">
        <f t="shared" si="12"/>
        <v>1</v>
      </c>
    </row>
    <row r="374" spans="2:9">
      <c r="B374" t="s">
        <v>30</v>
      </c>
      <c r="C374" t="s">
        <v>76</v>
      </c>
      <c r="D374" t="s">
        <v>903</v>
      </c>
      <c r="E374" t="str">
        <f t="shared" si="13"/>
        <v>Copiah County</v>
      </c>
      <c r="F374" t="s">
        <v>459</v>
      </c>
      <c r="G374" t="str">
        <f>INDEX(StateCounties[],MATCH(D374,StateCounties[Mississippi],0),MATCH(B374,StateCounties[#Headers],0))</f>
        <v>Copiah County</v>
      </c>
      <c r="I374" t="b">
        <f t="shared" si="12"/>
        <v>1</v>
      </c>
    </row>
    <row r="375" spans="2:9">
      <c r="B375" t="s">
        <v>30</v>
      </c>
      <c r="C375" t="s">
        <v>76</v>
      </c>
      <c r="D375" t="s">
        <v>1157</v>
      </c>
      <c r="E375" t="str">
        <f t="shared" si="13"/>
        <v>Simpson County</v>
      </c>
      <c r="F375" t="s">
        <v>460</v>
      </c>
      <c r="G375" t="str">
        <f>INDEX(StateCounties[],MATCH(D375,StateCounties[Mississippi],0),MATCH(B375,StateCounties[#Headers],0))</f>
        <v>Simpson County</v>
      </c>
      <c r="I375" t="b">
        <f t="shared" si="12"/>
        <v>1</v>
      </c>
    </row>
    <row r="376" spans="2:9">
      <c r="B376" t="s">
        <v>30</v>
      </c>
      <c r="C376" t="s">
        <v>84</v>
      </c>
      <c r="D376" t="s">
        <v>1020</v>
      </c>
      <c r="E376" t="str">
        <f t="shared" si="13"/>
        <v>Lamar County</v>
      </c>
      <c r="F376" t="s">
        <v>136</v>
      </c>
      <c r="G376" t="str">
        <f>INDEX(StateCounties[],MATCH(D376,StateCounties[Mississippi],0),MATCH(B376,StateCounties[#Headers],0))</f>
        <v>Lamar County</v>
      </c>
      <c r="I376" t="b">
        <f t="shared" si="12"/>
        <v>1</v>
      </c>
    </row>
    <row r="377" spans="2:9">
      <c r="B377" t="s">
        <v>30</v>
      </c>
      <c r="C377" t="s">
        <v>84</v>
      </c>
      <c r="D377" t="s">
        <v>921</v>
      </c>
      <c r="E377" t="str">
        <f t="shared" si="13"/>
        <v>Forrest County</v>
      </c>
      <c r="F377" t="s">
        <v>461</v>
      </c>
      <c r="G377" t="str">
        <f>INDEX(StateCounties[],MATCH(D377,StateCounties[Mississippi],0),MATCH(B377,StateCounties[#Headers],0))</f>
        <v>Forrest County</v>
      </c>
      <c r="I377" t="b">
        <f t="shared" si="12"/>
        <v>1</v>
      </c>
    </row>
    <row r="378" spans="2:9">
      <c r="B378" t="s">
        <v>30</v>
      </c>
      <c r="C378" t="s">
        <v>84</v>
      </c>
      <c r="D378" t="s">
        <v>1097</v>
      </c>
      <c r="E378" t="str">
        <f t="shared" si="13"/>
        <v>Perry County</v>
      </c>
      <c r="F378" t="s">
        <v>142</v>
      </c>
      <c r="G378" t="str">
        <f>INDEX(StateCounties[],MATCH(D378,StateCounties[Mississippi],0),MATCH(B378,StateCounties[#Headers],0))</f>
        <v>Perry County</v>
      </c>
      <c r="I378" t="b">
        <f t="shared" si="12"/>
        <v>1</v>
      </c>
    </row>
    <row r="379" spans="2:9">
      <c r="B379" t="s">
        <v>30</v>
      </c>
      <c r="C379" t="s">
        <v>84</v>
      </c>
      <c r="D379" t="s">
        <v>937</v>
      </c>
      <c r="E379" t="str">
        <f t="shared" si="13"/>
        <v>Greene County</v>
      </c>
      <c r="F379" t="s">
        <v>109</v>
      </c>
      <c r="G379" t="str">
        <f>INDEX(StateCounties[],MATCH(D379,StateCounties[Mississippi],0),MATCH(B379,StateCounties[#Headers],0))</f>
        <v>Greene County</v>
      </c>
      <c r="I379" t="b">
        <f t="shared" si="12"/>
        <v>1</v>
      </c>
    </row>
    <row r="380" spans="2:9">
      <c r="B380" t="s">
        <v>30</v>
      </c>
      <c r="C380" t="s">
        <v>84</v>
      </c>
      <c r="D380" t="s">
        <v>1112</v>
      </c>
      <c r="E380" t="str">
        <f t="shared" si="13"/>
        <v>Pearl River County</v>
      </c>
      <c r="F380" t="s">
        <v>462</v>
      </c>
      <c r="G380" t="str">
        <f>INDEX(StateCounties[],MATCH(D380,StateCounties[Mississippi],0),MATCH(B380,StateCounties[#Headers],0))</f>
        <v>Pearl River County</v>
      </c>
      <c r="I380" t="b">
        <f t="shared" si="12"/>
        <v>1</v>
      </c>
    </row>
    <row r="381" spans="2:9">
      <c r="B381" t="s">
        <v>30</v>
      </c>
      <c r="C381" t="s">
        <v>84</v>
      </c>
      <c r="D381" t="s">
        <v>1006</v>
      </c>
      <c r="E381" t="str">
        <f t="shared" si="13"/>
        <v>Jones County</v>
      </c>
      <c r="F381" t="s">
        <v>348</v>
      </c>
      <c r="G381" t="str">
        <f>INDEX(StateCounties[],MATCH(D381,StateCounties[Mississippi],0),MATCH(B381,StateCounties[#Headers],0))</f>
        <v>Jones County</v>
      </c>
      <c r="I381" t="b">
        <f t="shared" si="12"/>
        <v>1</v>
      </c>
    </row>
    <row r="382" spans="2:9">
      <c r="B382" t="s">
        <v>30</v>
      </c>
      <c r="C382" t="s">
        <v>86</v>
      </c>
      <c r="D382" t="s">
        <v>1168</v>
      </c>
      <c r="E382" t="str">
        <f t="shared" si="13"/>
        <v>Stone County</v>
      </c>
      <c r="F382" t="s">
        <v>463</v>
      </c>
      <c r="G382" t="str">
        <f>INDEX(StateCounties[],MATCH(D382,StateCounties[Mississippi],0),MATCH(B382,StateCounties[#Headers],0))</f>
        <v>Stone County</v>
      </c>
      <c r="I382" t="b">
        <f t="shared" si="12"/>
        <v>1</v>
      </c>
    </row>
    <row r="383" spans="2:9">
      <c r="B383" t="s">
        <v>30</v>
      </c>
      <c r="C383" t="s">
        <v>86</v>
      </c>
      <c r="D383" t="s">
        <v>931</v>
      </c>
      <c r="E383" t="str">
        <f t="shared" si="13"/>
        <v>George County</v>
      </c>
      <c r="F383" t="s">
        <v>464</v>
      </c>
      <c r="G383" t="str">
        <f>INDEX(StateCounties[],MATCH(D383,StateCounties[Mississippi],0),MATCH(B383,StateCounties[#Headers],0))</f>
        <v>George County</v>
      </c>
      <c r="I383" t="b">
        <f t="shared" si="12"/>
        <v>1</v>
      </c>
    </row>
    <row r="384" spans="2:9">
      <c r="B384" t="s">
        <v>30</v>
      </c>
      <c r="C384" t="s">
        <v>86</v>
      </c>
      <c r="D384" t="s">
        <v>949</v>
      </c>
      <c r="E384" t="str">
        <f t="shared" si="13"/>
        <v>Hancock County</v>
      </c>
      <c r="F384" t="s">
        <v>382</v>
      </c>
      <c r="G384" t="str">
        <f>INDEX(StateCounties[],MATCH(D384,StateCounties[Mississippi],0),MATCH(B384,StateCounties[#Headers],0))</f>
        <v>Hancock County</v>
      </c>
      <c r="I384" t="b">
        <f t="shared" si="12"/>
        <v>1</v>
      </c>
    </row>
    <row r="385" spans="2:9">
      <c r="B385" t="s">
        <v>30</v>
      </c>
      <c r="C385" t="s">
        <v>86</v>
      </c>
      <c r="D385" t="s">
        <v>956</v>
      </c>
      <c r="E385" t="str">
        <f t="shared" si="13"/>
        <v>Harrison County</v>
      </c>
      <c r="F385" t="s">
        <v>465</v>
      </c>
      <c r="G385" t="str">
        <f>INDEX(StateCounties[],MATCH(D385,StateCounties[Mississippi],0),MATCH(B385,StateCounties[#Headers],0))</f>
        <v>Harrison County</v>
      </c>
      <c r="I385" t="b">
        <f t="shared" si="12"/>
        <v>1</v>
      </c>
    </row>
    <row r="386" spans="2:9">
      <c r="B386" t="s">
        <v>30</v>
      </c>
      <c r="C386" t="s">
        <v>86</v>
      </c>
      <c r="D386" t="s">
        <v>984</v>
      </c>
      <c r="E386" t="str">
        <f t="shared" si="13"/>
        <v>Jackson County</v>
      </c>
      <c r="F386" t="s">
        <v>135</v>
      </c>
      <c r="G386" t="str">
        <f>INDEX(StateCounties[],MATCH(D386,StateCounties[Mississippi],0),MATCH(B386,StateCounties[#Headers],0))</f>
        <v>Jackson County</v>
      </c>
      <c r="I386" t="b">
        <f t="shared" si="12"/>
        <v>1</v>
      </c>
    </row>
    <row r="387" spans="2:9">
      <c r="B387" t="s">
        <v>30</v>
      </c>
      <c r="C387" t="s">
        <v>89</v>
      </c>
      <c r="D387" t="s">
        <v>820</v>
      </c>
      <c r="E387" t="str">
        <f t="shared" si="13"/>
        <v>Adams County</v>
      </c>
      <c r="F387" t="s">
        <v>466</v>
      </c>
      <c r="G387" t="str">
        <f>INDEX(StateCounties[],MATCH(D387,StateCounties[Mississippi],0),MATCH(B387,StateCounties[#Headers],0))</f>
        <v>Adams County</v>
      </c>
      <c r="I387" t="b">
        <f t="shared" si="12"/>
        <v>1</v>
      </c>
    </row>
    <row r="388" spans="2:9">
      <c r="B388" t="s">
        <v>30</v>
      </c>
      <c r="C388" t="s">
        <v>89</v>
      </c>
      <c r="D388" t="s">
        <v>826</v>
      </c>
      <c r="E388" t="str">
        <f t="shared" si="13"/>
        <v>Alcorn County</v>
      </c>
      <c r="F388" t="s">
        <v>467</v>
      </c>
      <c r="G388" t="str">
        <f>INDEX(StateCounties[],MATCH(D388,StateCounties[Mississippi],0),MATCH(B388,StateCounties[#Headers],0))</f>
        <v>Alcorn County</v>
      </c>
      <c r="I388" t="b">
        <f t="shared" ref="I388:I451" si="14">E388=D388</f>
        <v>1</v>
      </c>
    </row>
    <row r="389" spans="2:9">
      <c r="B389" t="s">
        <v>30</v>
      </c>
      <c r="C389" t="s">
        <v>89</v>
      </c>
      <c r="D389" t="s">
        <v>833</v>
      </c>
      <c r="E389" t="str">
        <f t="shared" si="13"/>
        <v>Amite County</v>
      </c>
      <c r="F389" t="s">
        <v>468</v>
      </c>
      <c r="G389" t="str">
        <f>INDEX(StateCounties[],MATCH(D389,StateCounties[Mississippi],0),MATCH(B389,StateCounties[#Headers],0))</f>
        <v>Amite County</v>
      </c>
      <c r="I389" t="b">
        <f t="shared" si="14"/>
        <v>1</v>
      </c>
    </row>
    <row r="390" spans="2:9">
      <c r="B390" t="s">
        <v>30</v>
      </c>
      <c r="C390" t="s">
        <v>89</v>
      </c>
      <c r="D390" t="s">
        <v>839</v>
      </c>
      <c r="E390" t="str">
        <f t="shared" si="13"/>
        <v>Attala County</v>
      </c>
      <c r="F390" t="s">
        <v>469</v>
      </c>
      <c r="G390" t="str">
        <f>INDEX(StateCounties[],MATCH(D390,StateCounties[Mississippi],0),MATCH(B390,StateCounties[#Headers],0))</f>
        <v>Attala County</v>
      </c>
      <c r="I390" t="b">
        <f t="shared" si="14"/>
        <v>1</v>
      </c>
    </row>
    <row r="391" spans="2:9">
      <c r="B391" t="s">
        <v>30</v>
      </c>
      <c r="C391" t="s">
        <v>89</v>
      </c>
      <c r="D391" t="s">
        <v>850</v>
      </c>
      <c r="E391" t="str">
        <f t="shared" si="13"/>
        <v>Bolivar County</v>
      </c>
      <c r="F391" t="s">
        <v>470</v>
      </c>
      <c r="G391" t="str">
        <f>INDEX(StateCounties[],MATCH(D391,StateCounties[Mississippi],0),MATCH(B391,StateCounties[#Headers],0))</f>
        <v>Bolivar County</v>
      </c>
      <c r="I391" t="b">
        <f t="shared" si="14"/>
        <v>1</v>
      </c>
    </row>
    <row r="392" spans="2:9">
      <c r="B392" t="s">
        <v>30</v>
      </c>
      <c r="C392" t="s">
        <v>89</v>
      </c>
      <c r="D392" t="s">
        <v>855</v>
      </c>
      <c r="E392" t="str">
        <f t="shared" si="13"/>
        <v>Calhoun County</v>
      </c>
      <c r="F392" t="s">
        <v>73</v>
      </c>
      <c r="G392" t="str">
        <f>INDEX(StateCounties[],MATCH(D392,StateCounties[Mississippi],0),MATCH(B392,StateCounties[#Headers],0))</f>
        <v>Calhoun County</v>
      </c>
      <c r="I392" t="b">
        <f t="shared" si="14"/>
        <v>1</v>
      </c>
    </row>
    <row r="393" spans="2:9">
      <c r="B393" t="s">
        <v>30</v>
      </c>
      <c r="C393" t="s">
        <v>89</v>
      </c>
      <c r="D393" t="s">
        <v>862</v>
      </c>
      <c r="E393" t="str">
        <f t="shared" si="13"/>
        <v>Carroll County</v>
      </c>
      <c r="F393" t="s">
        <v>289</v>
      </c>
      <c r="G393" t="str">
        <f>INDEX(StateCounties[],MATCH(D393,StateCounties[Mississippi],0),MATCH(B393,StateCounties[#Headers],0))</f>
        <v>Carroll County</v>
      </c>
      <c r="I393" t="b">
        <f t="shared" si="14"/>
        <v>1</v>
      </c>
    </row>
    <row r="394" spans="2:9">
      <c r="B394" t="s">
        <v>30</v>
      </c>
      <c r="C394" t="s">
        <v>89</v>
      </c>
      <c r="D394" t="s">
        <v>869</v>
      </c>
      <c r="E394" t="str">
        <f t="shared" si="13"/>
        <v>Chickasaw County</v>
      </c>
      <c r="F394" t="s">
        <v>471</v>
      </c>
      <c r="G394" t="str">
        <f>INDEX(StateCounties[],MATCH(D394,StateCounties[Mississippi],0),MATCH(B394,StateCounties[#Headers],0))</f>
        <v>Chickasaw County</v>
      </c>
      <c r="I394" t="b">
        <f t="shared" si="14"/>
        <v>1</v>
      </c>
    </row>
    <row r="395" spans="2:9">
      <c r="B395" t="s">
        <v>30</v>
      </c>
      <c r="C395" t="s">
        <v>89</v>
      </c>
      <c r="D395" t="s">
        <v>875</v>
      </c>
      <c r="E395" t="str">
        <f t="shared" si="13"/>
        <v>Choctaw County</v>
      </c>
      <c r="F395" t="s">
        <v>119</v>
      </c>
      <c r="G395" t="str">
        <f>INDEX(StateCounties[],MATCH(D395,StateCounties[Mississippi],0),MATCH(B395,StateCounties[#Headers],0))</f>
        <v>Choctaw County</v>
      </c>
      <c r="I395" t="b">
        <f t="shared" si="14"/>
        <v>1</v>
      </c>
    </row>
    <row r="396" spans="2:9">
      <c r="B396" t="s">
        <v>30</v>
      </c>
      <c r="C396" t="s">
        <v>89</v>
      </c>
      <c r="D396" t="s">
        <v>881</v>
      </c>
      <c r="E396" t="str">
        <f t="shared" si="13"/>
        <v>Claiborne County</v>
      </c>
      <c r="F396" t="s">
        <v>472</v>
      </c>
      <c r="G396" t="str">
        <f>INDEX(StateCounties[],MATCH(D396,StateCounties[Mississippi],0),MATCH(B396,StateCounties[#Headers],0))</f>
        <v>Claiborne County</v>
      </c>
      <c r="I396" t="b">
        <f t="shared" si="14"/>
        <v>1</v>
      </c>
    </row>
    <row r="397" spans="2:9">
      <c r="B397" t="s">
        <v>30</v>
      </c>
      <c r="C397" t="s">
        <v>89</v>
      </c>
      <c r="D397" t="s">
        <v>887</v>
      </c>
      <c r="E397" t="str">
        <f t="shared" si="13"/>
        <v>Clarke County</v>
      </c>
      <c r="F397" t="s">
        <v>120</v>
      </c>
      <c r="G397" t="str">
        <f>INDEX(StateCounties[],MATCH(D397,StateCounties[Mississippi],0),MATCH(B397,StateCounties[#Headers],0))</f>
        <v>Clarke County</v>
      </c>
      <c r="I397" t="b">
        <f t="shared" si="14"/>
        <v>1</v>
      </c>
    </row>
    <row r="398" spans="2:9">
      <c r="B398" t="s">
        <v>30</v>
      </c>
      <c r="C398" t="s">
        <v>89</v>
      </c>
      <c r="D398" t="s">
        <v>873</v>
      </c>
      <c r="E398" t="str">
        <f t="shared" si="13"/>
        <v>Clay County</v>
      </c>
      <c r="F398" t="s">
        <v>121</v>
      </c>
      <c r="G398" t="str">
        <f>INDEX(StateCounties[],MATCH(D398,StateCounties[Mississippi],0),MATCH(B398,StateCounties[#Headers],0))</f>
        <v>Clay County</v>
      </c>
      <c r="I398" t="b">
        <f t="shared" si="14"/>
        <v>1</v>
      </c>
    </row>
    <row r="399" spans="2:9">
      <c r="B399" t="s">
        <v>30</v>
      </c>
      <c r="C399" t="s">
        <v>89</v>
      </c>
      <c r="D399" t="s">
        <v>897</v>
      </c>
      <c r="E399" t="str">
        <f t="shared" si="13"/>
        <v>Coahoma County</v>
      </c>
      <c r="F399" t="s">
        <v>473</v>
      </c>
      <c r="G399" t="str">
        <f>INDEX(StateCounties[],MATCH(D399,StateCounties[Mississippi],0),MATCH(B399,StateCounties[#Headers],0))</f>
        <v>Coahoma County</v>
      </c>
      <c r="I399" t="b">
        <f t="shared" si="14"/>
        <v>1</v>
      </c>
    </row>
    <row r="400" spans="2:9">
      <c r="B400" t="s">
        <v>30</v>
      </c>
      <c r="C400" t="s">
        <v>89</v>
      </c>
      <c r="D400" t="s">
        <v>910</v>
      </c>
      <c r="E400" t="str">
        <f t="shared" si="13"/>
        <v>Covington County</v>
      </c>
      <c r="F400" t="s">
        <v>126</v>
      </c>
      <c r="G400" t="str">
        <f>INDEX(StateCounties[],MATCH(D400,StateCounties[Mississippi],0),MATCH(B400,StateCounties[#Headers],0))</f>
        <v>Covington County</v>
      </c>
      <c r="I400" t="b">
        <f t="shared" si="14"/>
        <v>1</v>
      </c>
    </row>
    <row r="401" spans="2:9">
      <c r="B401" t="s">
        <v>30</v>
      </c>
      <c r="C401" t="s">
        <v>89</v>
      </c>
      <c r="D401" t="s">
        <v>919</v>
      </c>
      <c r="E401" t="str">
        <f t="shared" si="13"/>
        <v>Franklin County</v>
      </c>
      <c r="F401" t="s">
        <v>134</v>
      </c>
      <c r="G401" t="str">
        <f>INDEX(StateCounties[],MATCH(D401,StateCounties[Mississippi],0),MATCH(B401,StateCounties[#Headers],0))</f>
        <v>Franklin County</v>
      </c>
      <c r="I401" t="b">
        <f t="shared" si="14"/>
        <v>1</v>
      </c>
    </row>
    <row r="402" spans="2:9">
      <c r="B402" t="s">
        <v>30</v>
      </c>
      <c r="C402" t="s">
        <v>89</v>
      </c>
      <c r="D402" t="s">
        <v>943</v>
      </c>
      <c r="E402" t="str">
        <f t="shared" si="13"/>
        <v>Grenada County</v>
      </c>
      <c r="F402" t="s">
        <v>474</v>
      </c>
      <c r="G402" t="str">
        <f>INDEX(StateCounties[],MATCH(D402,StateCounties[Mississippi],0),MATCH(B402,StateCounties[#Headers],0))</f>
        <v>Grenada County</v>
      </c>
      <c r="I402" t="b">
        <f t="shared" si="14"/>
        <v>1</v>
      </c>
    </row>
    <row r="403" spans="2:9">
      <c r="B403" t="s">
        <v>30</v>
      </c>
      <c r="C403" t="s">
        <v>89</v>
      </c>
      <c r="D403" t="s">
        <v>967</v>
      </c>
      <c r="E403" t="str">
        <f t="shared" si="13"/>
        <v>Holmes County</v>
      </c>
      <c r="F403" t="s">
        <v>196</v>
      </c>
      <c r="G403" t="str">
        <f>INDEX(StateCounties[],MATCH(D403,StateCounties[Mississippi],0),MATCH(B403,StateCounties[#Headers],0))</f>
        <v>Holmes County</v>
      </c>
      <c r="I403" t="b">
        <f t="shared" si="14"/>
        <v>1</v>
      </c>
    </row>
    <row r="404" spans="2:9">
      <c r="B404" t="s">
        <v>30</v>
      </c>
      <c r="C404" t="s">
        <v>89</v>
      </c>
      <c r="D404" t="s">
        <v>971</v>
      </c>
      <c r="E404" t="str">
        <f t="shared" si="13"/>
        <v>Humphreys County</v>
      </c>
      <c r="F404" t="s">
        <v>475</v>
      </c>
      <c r="G404" t="str">
        <f>INDEX(StateCounties[],MATCH(D404,StateCounties[Mississippi],0),MATCH(B404,StateCounties[#Headers],0))</f>
        <v>Humphreys County</v>
      </c>
      <c r="I404" t="b">
        <f t="shared" si="14"/>
        <v>1</v>
      </c>
    </row>
    <row r="405" spans="2:9">
      <c r="B405" t="s">
        <v>30</v>
      </c>
      <c r="C405" t="s">
        <v>89</v>
      </c>
      <c r="D405" t="s">
        <v>977</v>
      </c>
      <c r="E405" t="str">
        <f t="shared" si="13"/>
        <v>Issaquena County</v>
      </c>
      <c r="F405" t="s">
        <v>476</v>
      </c>
      <c r="G405" t="str">
        <f>INDEX(StateCounties[],MATCH(D405,StateCounties[Mississippi],0),MATCH(B405,StateCounties[#Headers],0))</f>
        <v>Issaquena County</v>
      </c>
      <c r="I405" t="b">
        <f t="shared" si="14"/>
        <v>1</v>
      </c>
    </row>
    <row r="406" spans="2:9">
      <c r="B406" t="s">
        <v>30</v>
      </c>
      <c r="C406" t="s">
        <v>89</v>
      </c>
      <c r="D406" t="s">
        <v>989</v>
      </c>
      <c r="E406" t="str">
        <f t="shared" si="13"/>
        <v>Jasper County</v>
      </c>
      <c r="F406" t="s">
        <v>284</v>
      </c>
      <c r="G406" t="str">
        <f>INDEX(StateCounties[],MATCH(D406,StateCounties[Mississippi],0),MATCH(B406,StateCounties[#Headers],0))</f>
        <v>Jasper County</v>
      </c>
      <c r="I406" t="b">
        <f t="shared" si="14"/>
        <v>1</v>
      </c>
    </row>
    <row r="407" spans="2:9">
      <c r="B407" t="s">
        <v>30</v>
      </c>
      <c r="C407" t="s">
        <v>89</v>
      </c>
      <c r="D407" t="s">
        <v>993</v>
      </c>
      <c r="E407" t="str">
        <f t="shared" si="13"/>
        <v>Jefferson County</v>
      </c>
      <c r="F407" t="s">
        <v>80</v>
      </c>
      <c r="G407" t="str">
        <f>INDEX(StateCounties[],MATCH(D407,StateCounties[Mississippi],0),MATCH(B407,StateCounties[#Headers],0))</f>
        <v>Jefferson County</v>
      </c>
      <c r="I407" t="b">
        <f t="shared" si="14"/>
        <v>1</v>
      </c>
    </row>
    <row r="408" spans="2:9">
      <c r="B408" t="s">
        <v>30</v>
      </c>
      <c r="C408" t="s">
        <v>89</v>
      </c>
      <c r="D408" t="s">
        <v>1001</v>
      </c>
      <c r="E408" t="str">
        <f t="shared" si="13"/>
        <v>Jefferson Davis County</v>
      </c>
      <c r="F408" t="s">
        <v>477</v>
      </c>
      <c r="G408" t="str">
        <f>INDEX(StateCounties[],MATCH(D408,StateCounties[Mississippi],0),MATCH(B408,StateCounties[#Headers],0))</f>
        <v>Jefferson Davis County</v>
      </c>
      <c r="I408" t="b">
        <f t="shared" si="14"/>
        <v>1</v>
      </c>
    </row>
    <row r="409" spans="2:9">
      <c r="B409" t="s">
        <v>30</v>
      </c>
      <c r="C409" t="s">
        <v>89</v>
      </c>
      <c r="D409" t="s">
        <v>1012</v>
      </c>
      <c r="E409" t="str">
        <f t="shared" si="13"/>
        <v>Kemper County</v>
      </c>
      <c r="F409" t="s">
        <v>478</v>
      </c>
      <c r="G409" t="str">
        <f>INDEX(StateCounties[],MATCH(D409,StateCounties[Mississippi],0),MATCH(B409,StateCounties[#Headers],0))</f>
        <v>Kemper County</v>
      </c>
      <c r="I409" t="b">
        <f t="shared" si="14"/>
        <v>1</v>
      </c>
    </row>
    <row r="410" spans="2:9">
      <c r="B410" t="s">
        <v>30</v>
      </c>
      <c r="C410" t="s">
        <v>89</v>
      </c>
      <c r="D410" t="s">
        <v>999</v>
      </c>
      <c r="E410" t="str">
        <f t="shared" si="13"/>
        <v>Lafayette County</v>
      </c>
      <c r="F410" t="s">
        <v>202</v>
      </c>
      <c r="G410" t="str">
        <f>INDEX(StateCounties[],MATCH(D410,StateCounties[Mississippi],0),MATCH(B410,StateCounties[#Headers],0))</f>
        <v>Lafayette County</v>
      </c>
      <c r="I410" t="b">
        <f t="shared" si="14"/>
        <v>1</v>
      </c>
    </row>
    <row r="411" spans="2:9">
      <c r="B411" t="s">
        <v>30</v>
      </c>
      <c r="C411" t="s">
        <v>89</v>
      </c>
      <c r="D411" t="s">
        <v>1025</v>
      </c>
      <c r="E411" t="str">
        <f t="shared" si="13"/>
        <v>Lauderdale County</v>
      </c>
      <c r="F411" t="s">
        <v>95</v>
      </c>
      <c r="G411" t="str">
        <f>INDEX(StateCounties[],MATCH(D411,StateCounties[Mississippi],0),MATCH(B411,StateCounties[#Headers],0))</f>
        <v>Lauderdale County</v>
      </c>
      <c r="I411" t="b">
        <f t="shared" si="14"/>
        <v>1</v>
      </c>
    </row>
    <row r="412" spans="2:9">
      <c r="B412" t="s">
        <v>30</v>
      </c>
      <c r="C412" t="s">
        <v>89</v>
      </c>
      <c r="D412" t="s">
        <v>1031</v>
      </c>
      <c r="E412" t="str">
        <f t="shared" si="13"/>
        <v>Lawrence County</v>
      </c>
      <c r="F412" t="s">
        <v>87</v>
      </c>
      <c r="G412" t="str">
        <f>INDEX(StateCounties[],MATCH(D412,StateCounties[Mississippi],0),MATCH(B412,StateCounties[#Headers],0))</f>
        <v>Lawrence County</v>
      </c>
      <c r="I412" t="b">
        <f t="shared" si="14"/>
        <v>1</v>
      </c>
    </row>
    <row r="413" spans="2:9">
      <c r="B413" t="s">
        <v>30</v>
      </c>
      <c r="C413" t="s">
        <v>89</v>
      </c>
      <c r="D413" t="s">
        <v>1036</v>
      </c>
      <c r="E413" t="str">
        <f t="shared" si="13"/>
        <v>Leake County</v>
      </c>
      <c r="F413" t="s">
        <v>479</v>
      </c>
      <c r="G413" t="str">
        <f>INDEX(StateCounties[],MATCH(D413,StateCounties[Mississippi],0),MATCH(B413,StateCounties[#Headers],0))</f>
        <v>Leake County</v>
      </c>
      <c r="I413" t="b">
        <f t="shared" si="14"/>
        <v>1</v>
      </c>
    </row>
    <row r="414" spans="2:9">
      <c r="B414" t="s">
        <v>30</v>
      </c>
      <c r="C414" t="s">
        <v>89</v>
      </c>
      <c r="D414" t="s">
        <v>1046</v>
      </c>
      <c r="E414" t="str">
        <f t="shared" si="13"/>
        <v>Leflore County</v>
      </c>
      <c r="F414" t="s">
        <v>480</v>
      </c>
      <c r="G414" t="str">
        <f>INDEX(StateCounties[],MATCH(D414,StateCounties[Mississippi],0),MATCH(B414,StateCounties[#Headers],0))</f>
        <v>Leflore County</v>
      </c>
      <c r="I414" t="b">
        <f t="shared" si="14"/>
        <v>1</v>
      </c>
    </row>
    <row r="415" spans="2:9">
      <c r="B415" t="s">
        <v>30</v>
      </c>
      <c r="C415" t="s">
        <v>89</v>
      </c>
      <c r="D415" t="s">
        <v>1051</v>
      </c>
      <c r="E415" t="str">
        <f t="shared" si="13"/>
        <v>Lincoln County</v>
      </c>
      <c r="F415" t="s">
        <v>296</v>
      </c>
      <c r="G415" t="str">
        <f>INDEX(StateCounties[],MATCH(D415,StateCounties[Mississippi],0),MATCH(B415,StateCounties[#Headers],0))</f>
        <v>Lincoln County</v>
      </c>
      <c r="I415" t="b">
        <f t="shared" si="14"/>
        <v>1</v>
      </c>
    </row>
    <row r="416" spans="2:9">
      <c r="B416" t="s">
        <v>30</v>
      </c>
      <c r="C416" t="s">
        <v>89</v>
      </c>
      <c r="D416" t="s">
        <v>1049</v>
      </c>
      <c r="E416" t="str">
        <f t="shared" si="13"/>
        <v>Lowndes County</v>
      </c>
      <c r="F416" t="s">
        <v>106</v>
      </c>
      <c r="G416" t="str">
        <f>INDEX(StateCounties[],MATCH(D416,StateCounties[Mississippi],0),MATCH(B416,StateCounties[#Headers],0))</f>
        <v>Lowndes County</v>
      </c>
      <c r="I416" t="b">
        <f t="shared" si="14"/>
        <v>1</v>
      </c>
    </row>
    <row r="417" spans="2:9">
      <c r="B417" t="s">
        <v>30</v>
      </c>
      <c r="C417" t="s">
        <v>89</v>
      </c>
      <c r="D417" t="s">
        <v>1038</v>
      </c>
      <c r="E417" t="str">
        <f t="shared" si="13"/>
        <v>Marion County</v>
      </c>
      <c r="F417" t="s">
        <v>138</v>
      </c>
      <c r="G417" t="str">
        <f>INDEX(StateCounties[],MATCH(D417,StateCounties[Mississippi],0),MATCH(B417,StateCounties[#Headers],0))</f>
        <v>Marion County</v>
      </c>
      <c r="I417" t="b">
        <f t="shared" si="14"/>
        <v>1</v>
      </c>
    </row>
    <row r="418" spans="2:9">
      <c r="B418" t="s">
        <v>30</v>
      </c>
      <c r="C418" t="s">
        <v>89</v>
      </c>
      <c r="D418" t="s">
        <v>1055</v>
      </c>
      <c r="E418" t="str">
        <f t="shared" si="13"/>
        <v>Monroe County</v>
      </c>
      <c r="F418" t="s">
        <v>141</v>
      </c>
      <c r="G418" t="str">
        <f>INDEX(StateCounties[],MATCH(D418,StateCounties[Mississippi],0),MATCH(B418,StateCounties[#Headers],0))</f>
        <v>Monroe County</v>
      </c>
      <c r="I418" t="b">
        <f t="shared" si="14"/>
        <v>1</v>
      </c>
    </row>
    <row r="419" spans="2:9">
      <c r="B419" t="s">
        <v>30</v>
      </c>
      <c r="C419" t="s">
        <v>89</v>
      </c>
      <c r="D419" t="s">
        <v>1079</v>
      </c>
      <c r="E419" t="str">
        <f t="shared" si="13"/>
        <v>Montgomery County</v>
      </c>
      <c r="F419" t="s">
        <v>107</v>
      </c>
      <c r="G419" t="str">
        <f>INDEX(StateCounties[],MATCH(D419,StateCounties[Mississippi],0),MATCH(B419,StateCounties[#Headers],0))</f>
        <v>Montgomery County</v>
      </c>
      <c r="I419" t="b">
        <f t="shared" si="14"/>
        <v>1</v>
      </c>
    </row>
    <row r="420" spans="2:9">
      <c r="B420" t="s">
        <v>30</v>
      </c>
      <c r="C420" t="s">
        <v>89</v>
      </c>
      <c r="D420" t="s">
        <v>1084</v>
      </c>
      <c r="E420" t="str">
        <f t="shared" si="13"/>
        <v>Neshoba County</v>
      </c>
      <c r="F420" t="s">
        <v>481</v>
      </c>
      <c r="G420" t="str">
        <f>INDEX(StateCounties[],MATCH(D420,StateCounties[Mississippi],0),MATCH(B420,StateCounties[#Headers],0))</f>
        <v>Neshoba County</v>
      </c>
      <c r="I420" t="b">
        <f t="shared" si="14"/>
        <v>1</v>
      </c>
    </row>
    <row r="421" spans="2:9">
      <c r="B421" t="s">
        <v>30</v>
      </c>
      <c r="C421" t="s">
        <v>89</v>
      </c>
      <c r="D421" t="s">
        <v>1088</v>
      </c>
      <c r="E421" t="str">
        <f t="shared" si="13"/>
        <v>Newton County</v>
      </c>
      <c r="F421" t="s">
        <v>285</v>
      </c>
      <c r="G421" t="str">
        <f>INDEX(StateCounties[],MATCH(D421,StateCounties[Mississippi],0),MATCH(B421,StateCounties[#Headers],0))</f>
        <v>Newton County</v>
      </c>
      <c r="I421" t="b">
        <f t="shared" si="14"/>
        <v>1</v>
      </c>
    </row>
    <row r="422" spans="2:9">
      <c r="B422" t="s">
        <v>30</v>
      </c>
      <c r="C422" t="s">
        <v>89</v>
      </c>
      <c r="D422" t="s">
        <v>1095</v>
      </c>
      <c r="E422" t="str">
        <f t="shared" si="13"/>
        <v>Noxubee County</v>
      </c>
      <c r="F422" t="s">
        <v>482</v>
      </c>
      <c r="G422" t="str">
        <f>INDEX(StateCounties[],MATCH(D422,StateCounties[Mississippi],0),MATCH(B422,StateCounties[#Headers],0))</f>
        <v>Noxubee County</v>
      </c>
      <c r="I422" t="b">
        <f t="shared" si="14"/>
        <v>1</v>
      </c>
    </row>
    <row r="423" spans="2:9">
      <c r="B423" t="s">
        <v>30</v>
      </c>
      <c r="C423" t="s">
        <v>89</v>
      </c>
      <c r="D423" t="s">
        <v>1100</v>
      </c>
      <c r="E423" t="str">
        <f t="shared" si="13"/>
        <v>Oktibbeha County</v>
      </c>
      <c r="F423" t="s">
        <v>483</v>
      </c>
      <c r="G423" t="str">
        <f>INDEX(StateCounties[],MATCH(D423,StateCounties[Mississippi],0),MATCH(B423,StateCounties[#Headers],0))</f>
        <v>Oktibbeha County</v>
      </c>
      <c r="I423" t="b">
        <f t="shared" si="14"/>
        <v>1</v>
      </c>
    </row>
    <row r="424" spans="2:9">
      <c r="B424" t="s">
        <v>30</v>
      </c>
      <c r="C424" t="s">
        <v>89</v>
      </c>
      <c r="D424" t="s">
        <v>1105</v>
      </c>
      <c r="E424" t="str">
        <f t="shared" si="13"/>
        <v>Panola County</v>
      </c>
      <c r="F424" t="s">
        <v>484</v>
      </c>
      <c r="G424" t="str">
        <f>INDEX(StateCounties[],MATCH(D424,StateCounties[Mississippi],0),MATCH(B424,StateCounties[#Headers],0))</f>
        <v>Panola County</v>
      </c>
      <c r="I424" t="b">
        <f t="shared" si="14"/>
        <v>1</v>
      </c>
    </row>
    <row r="425" spans="2:9">
      <c r="B425" t="s">
        <v>30</v>
      </c>
      <c r="C425" t="s">
        <v>89</v>
      </c>
      <c r="D425" t="s">
        <v>1109</v>
      </c>
      <c r="E425" t="str">
        <f t="shared" ref="E425:E488" si="15">F425&amp; " County"</f>
        <v>Pike County</v>
      </c>
      <c r="F425" t="s">
        <v>144</v>
      </c>
      <c r="G425" t="str">
        <f>INDEX(StateCounties[],MATCH(D425,StateCounties[Mississippi],0),MATCH(B425,StateCounties[#Headers],0))</f>
        <v>Pike County</v>
      </c>
      <c r="I425" t="b">
        <f t="shared" si="14"/>
        <v>1</v>
      </c>
    </row>
    <row r="426" spans="2:9">
      <c r="B426" t="s">
        <v>30</v>
      </c>
      <c r="C426" t="s">
        <v>89</v>
      </c>
      <c r="D426" t="s">
        <v>1128</v>
      </c>
      <c r="E426" t="str">
        <f t="shared" si="15"/>
        <v>Prentiss County</v>
      </c>
      <c r="F426" t="s">
        <v>485</v>
      </c>
      <c r="G426" t="str">
        <f>INDEX(StateCounties[],MATCH(D426,StateCounties[Mississippi],0),MATCH(B426,StateCounties[#Headers],0))</f>
        <v>Prentiss County</v>
      </c>
      <c r="I426" t="b">
        <f t="shared" si="14"/>
        <v>1</v>
      </c>
    </row>
    <row r="427" spans="2:9">
      <c r="B427" t="s">
        <v>30</v>
      </c>
      <c r="C427" t="s">
        <v>89</v>
      </c>
      <c r="D427" t="s">
        <v>1132</v>
      </c>
      <c r="E427" t="str">
        <f t="shared" si="15"/>
        <v>Quitman County</v>
      </c>
      <c r="F427" t="s">
        <v>317</v>
      </c>
      <c r="G427" t="str">
        <f>INDEX(StateCounties[],MATCH(D427,StateCounties[Mississippi],0),MATCH(B427,StateCounties[#Headers],0))</f>
        <v>Quitman County</v>
      </c>
      <c r="I427" t="b">
        <f t="shared" si="14"/>
        <v>1</v>
      </c>
    </row>
    <row r="428" spans="2:9">
      <c r="B428" t="s">
        <v>30</v>
      </c>
      <c r="C428" t="s">
        <v>89</v>
      </c>
      <c r="D428" t="s">
        <v>1146</v>
      </c>
      <c r="E428" t="str">
        <f t="shared" si="15"/>
        <v>Scott County</v>
      </c>
      <c r="F428" t="s">
        <v>486</v>
      </c>
      <c r="G428" t="str">
        <f>INDEX(StateCounties[],MATCH(D428,StateCounties[Mississippi],0),MATCH(B428,StateCounties[#Headers],0))</f>
        <v>Scott County</v>
      </c>
      <c r="I428" t="b">
        <f t="shared" si="14"/>
        <v>1</v>
      </c>
    </row>
    <row r="429" spans="2:9">
      <c r="B429" t="s">
        <v>30</v>
      </c>
      <c r="C429" t="s">
        <v>89</v>
      </c>
      <c r="D429" t="s">
        <v>1151</v>
      </c>
      <c r="E429" t="str">
        <f t="shared" si="15"/>
        <v>Sharkey County</v>
      </c>
      <c r="F429" t="s">
        <v>487</v>
      </c>
      <c r="G429" t="str">
        <f>INDEX(StateCounties[],MATCH(D429,StateCounties[Mississippi],0),MATCH(B429,StateCounties[#Headers],0))</f>
        <v>Sharkey County</v>
      </c>
      <c r="I429" t="b">
        <f t="shared" si="14"/>
        <v>1</v>
      </c>
    </row>
    <row r="430" spans="2:9">
      <c r="B430" t="s">
        <v>30</v>
      </c>
      <c r="C430" t="s">
        <v>89</v>
      </c>
      <c r="D430" t="s">
        <v>1163</v>
      </c>
      <c r="E430" t="str">
        <f t="shared" si="15"/>
        <v>Smith County</v>
      </c>
      <c r="F430" t="s">
        <v>488</v>
      </c>
      <c r="G430" t="str">
        <f>INDEX(StateCounties[],MATCH(D430,StateCounties[Mississippi],0),MATCH(B430,StateCounties[#Headers],0))</f>
        <v>Smith County</v>
      </c>
      <c r="I430" t="b">
        <f t="shared" si="14"/>
        <v>1</v>
      </c>
    </row>
    <row r="431" spans="2:9">
      <c r="B431" t="s">
        <v>30</v>
      </c>
      <c r="C431" t="s">
        <v>89</v>
      </c>
      <c r="D431" t="s">
        <v>1173</v>
      </c>
      <c r="E431" t="str">
        <f t="shared" si="15"/>
        <v>Sunflower County</v>
      </c>
      <c r="F431" t="s">
        <v>489</v>
      </c>
      <c r="G431" t="str">
        <f>INDEX(StateCounties[],MATCH(D431,StateCounties[Mississippi],0),MATCH(B431,StateCounties[#Headers],0))</f>
        <v>Sunflower County</v>
      </c>
      <c r="I431" t="b">
        <f t="shared" si="14"/>
        <v>1</v>
      </c>
    </row>
    <row r="432" spans="2:9">
      <c r="B432" t="s">
        <v>30</v>
      </c>
      <c r="C432" t="s">
        <v>89</v>
      </c>
      <c r="D432" t="s">
        <v>1178</v>
      </c>
      <c r="E432" t="str">
        <f t="shared" si="15"/>
        <v>Tallahatchie County</v>
      </c>
      <c r="F432" t="s">
        <v>490</v>
      </c>
      <c r="G432" t="str">
        <f>INDEX(StateCounties[],MATCH(D432,StateCounties[Mississippi],0),MATCH(B432,StateCounties[#Headers],0))</f>
        <v>Tallahatchie County</v>
      </c>
      <c r="I432" t="b">
        <f t="shared" si="14"/>
        <v>1</v>
      </c>
    </row>
    <row r="433" spans="2:9">
      <c r="B433" t="s">
        <v>30</v>
      </c>
      <c r="C433" t="s">
        <v>89</v>
      </c>
      <c r="D433" t="s">
        <v>1189</v>
      </c>
      <c r="E433" t="str">
        <f t="shared" si="15"/>
        <v>Tishomingo County</v>
      </c>
      <c r="F433" t="s">
        <v>491</v>
      </c>
      <c r="G433" t="str">
        <f>INDEX(StateCounties[],MATCH(D433,StateCounties[Mississippi],0),MATCH(B433,StateCounties[#Headers],0))</f>
        <v>Tishomingo County</v>
      </c>
      <c r="I433" t="b">
        <f t="shared" si="14"/>
        <v>1</v>
      </c>
    </row>
    <row r="434" spans="2:9">
      <c r="B434" t="s">
        <v>30</v>
      </c>
      <c r="C434" t="s">
        <v>89</v>
      </c>
      <c r="D434" t="s">
        <v>1202</v>
      </c>
      <c r="E434" t="str">
        <f t="shared" si="15"/>
        <v>Walthall County</v>
      </c>
      <c r="F434" t="s">
        <v>492</v>
      </c>
      <c r="G434" t="str">
        <f>INDEX(StateCounties[],MATCH(D434,StateCounties[Mississippi],0),MATCH(B434,StateCounties[#Headers],0))</f>
        <v>Walthall County</v>
      </c>
      <c r="I434" t="b">
        <f t="shared" si="14"/>
        <v>1</v>
      </c>
    </row>
    <row r="435" spans="2:9">
      <c r="B435" t="s">
        <v>30</v>
      </c>
      <c r="C435" t="s">
        <v>89</v>
      </c>
      <c r="D435" t="s">
        <v>1160</v>
      </c>
      <c r="E435" t="str">
        <f t="shared" si="15"/>
        <v>Washington County</v>
      </c>
      <c r="F435" t="s">
        <v>59</v>
      </c>
      <c r="G435" t="str">
        <f>INDEX(StateCounties[],MATCH(D435,StateCounties[Mississippi],0),MATCH(B435,StateCounties[#Headers],0))</f>
        <v>Washington County</v>
      </c>
      <c r="I435" t="b">
        <f t="shared" si="14"/>
        <v>1</v>
      </c>
    </row>
    <row r="436" spans="2:9">
      <c r="B436" t="s">
        <v>30</v>
      </c>
      <c r="C436" t="s">
        <v>89</v>
      </c>
      <c r="D436" t="s">
        <v>1209</v>
      </c>
      <c r="E436" t="str">
        <f t="shared" si="15"/>
        <v>Wayne County</v>
      </c>
      <c r="F436" t="s">
        <v>310</v>
      </c>
      <c r="G436" t="str">
        <f>INDEX(StateCounties[],MATCH(D436,StateCounties[Mississippi],0),MATCH(B436,StateCounties[#Headers],0))</f>
        <v>Wayne County</v>
      </c>
      <c r="I436" t="b">
        <f t="shared" si="14"/>
        <v>1</v>
      </c>
    </row>
    <row r="437" spans="2:9">
      <c r="B437" t="s">
        <v>30</v>
      </c>
      <c r="C437" t="s">
        <v>89</v>
      </c>
      <c r="D437" t="s">
        <v>1212</v>
      </c>
      <c r="E437" t="str">
        <f t="shared" si="15"/>
        <v>Webster County</v>
      </c>
      <c r="F437" t="s">
        <v>322</v>
      </c>
      <c r="G437" t="str">
        <f>INDEX(StateCounties[],MATCH(D437,StateCounties[Mississippi],0),MATCH(B437,StateCounties[#Headers],0))</f>
        <v>Webster County</v>
      </c>
      <c r="I437" t="b">
        <f t="shared" si="14"/>
        <v>1</v>
      </c>
    </row>
    <row r="438" spans="2:9">
      <c r="B438" t="s">
        <v>30</v>
      </c>
      <c r="C438" t="s">
        <v>89</v>
      </c>
      <c r="D438" t="s">
        <v>1216</v>
      </c>
      <c r="E438" t="str">
        <f t="shared" si="15"/>
        <v>Wilkinson County</v>
      </c>
      <c r="F438" t="s">
        <v>383</v>
      </c>
      <c r="G438" t="str">
        <f>INDEX(StateCounties[],MATCH(D438,StateCounties[Mississippi],0),MATCH(B438,StateCounties[#Headers],0))</f>
        <v>Wilkinson County</v>
      </c>
      <c r="I438" t="b">
        <f t="shared" si="14"/>
        <v>1</v>
      </c>
    </row>
    <row r="439" spans="2:9">
      <c r="B439" t="s">
        <v>30</v>
      </c>
      <c r="C439" t="s">
        <v>89</v>
      </c>
      <c r="D439" t="s">
        <v>1171</v>
      </c>
      <c r="E439" t="str">
        <f t="shared" si="15"/>
        <v>Winston County</v>
      </c>
      <c r="F439" t="s">
        <v>150</v>
      </c>
      <c r="G439" t="str">
        <f>INDEX(StateCounties[],MATCH(D439,StateCounties[Mississippi],0),MATCH(B439,StateCounties[#Headers],0))</f>
        <v>Winston County</v>
      </c>
      <c r="I439" t="b">
        <f t="shared" si="14"/>
        <v>1</v>
      </c>
    </row>
    <row r="440" spans="2:9">
      <c r="B440" t="s">
        <v>30</v>
      </c>
      <c r="C440" t="s">
        <v>89</v>
      </c>
      <c r="D440" t="s">
        <v>1221</v>
      </c>
      <c r="E440" t="str">
        <f t="shared" si="15"/>
        <v>Yalobusha County</v>
      </c>
      <c r="F440" t="s">
        <v>493</v>
      </c>
      <c r="G440" t="str">
        <f>INDEX(StateCounties[],MATCH(D440,StateCounties[Mississippi],0),MATCH(B440,StateCounties[#Headers],0))</f>
        <v>Yalobusha County</v>
      </c>
      <c r="I440" t="b">
        <f t="shared" si="14"/>
        <v>1</v>
      </c>
    </row>
    <row r="441" spans="2:9">
      <c r="B441" t="s">
        <v>30</v>
      </c>
      <c r="C441" t="s">
        <v>89</v>
      </c>
      <c r="D441" t="s">
        <v>1225</v>
      </c>
      <c r="E441" t="str">
        <f t="shared" si="15"/>
        <v>Yazoo County</v>
      </c>
      <c r="F441" t="s">
        <v>494</v>
      </c>
      <c r="G441" t="str">
        <f>INDEX(StateCounties[],MATCH(D441,StateCounties[Mississippi],0),MATCH(B441,StateCounties[#Headers],0))</f>
        <v>Yazoo County</v>
      </c>
      <c r="I441" t="b">
        <f t="shared" si="14"/>
        <v>1</v>
      </c>
    </row>
    <row r="442" spans="2:9">
      <c r="B442" t="s">
        <v>45</v>
      </c>
      <c r="C442" t="s">
        <v>72</v>
      </c>
      <c r="D442" t="s">
        <v>851</v>
      </c>
      <c r="E442" t="str">
        <f t="shared" si="15"/>
        <v>Avery County</v>
      </c>
      <c r="F442" t="s">
        <v>496</v>
      </c>
      <c r="G442" t="str">
        <f>INDEX(StateCounties[],MATCH(D442,StateCounties[North Carolina],0),MATCH(B442,StateCounties[#Headers],0))</f>
        <v>Avery County</v>
      </c>
      <c r="I442" t="b">
        <f t="shared" si="14"/>
        <v>1</v>
      </c>
    </row>
    <row r="443" spans="2:9">
      <c r="B443" t="s">
        <v>45</v>
      </c>
      <c r="C443" t="s">
        <v>72</v>
      </c>
      <c r="D443" t="s">
        <v>882</v>
      </c>
      <c r="E443" t="str">
        <f t="shared" si="15"/>
        <v>Buncombe County</v>
      </c>
      <c r="F443" t="s">
        <v>497</v>
      </c>
      <c r="G443" t="str">
        <f>INDEX(StateCounties[],MATCH(D443,StateCounties[North Carolina],0),MATCH(B443,StateCounties[#Headers],0))</f>
        <v>Buncombe County</v>
      </c>
      <c r="I443" t="b">
        <f t="shared" si="14"/>
        <v>1</v>
      </c>
    </row>
    <row r="444" spans="2:9">
      <c r="B444" t="s">
        <v>45</v>
      </c>
      <c r="C444" t="s">
        <v>72</v>
      </c>
      <c r="D444" t="s">
        <v>872</v>
      </c>
      <c r="E444" t="str">
        <f t="shared" si="15"/>
        <v>Cherokee County</v>
      </c>
      <c r="F444" t="s">
        <v>118</v>
      </c>
      <c r="G444" t="str">
        <f>INDEX(StateCounties[],MATCH(D444,StateCounties[North Carolina],0),MATCH(B444,StateCounties[#Headers],0))</f>
        <v>Cherokee County</v>
      </c>
      <c r="I444" t="b">
        <f t="shared" si="14"/>
        <v>1</v>
      </c>
    </row>
    <row r="445" spans="2:9">
      <c r="B445" t="s">
        <v>45</v>
      </c>
      <c r="C445" t="s">
        <v>72</v>
      </c>
      <c r="D445" t="s">
        <v>873</v>
      </c>
      <c r="E445" t="str">
        <f t="shared" si="15"/>
        <v>Clay County</v>
      </c>
      <c r="F445" t="s">
        <v>121</v>
      </c>
      <c r="G445" t="str">
        <f>INDEX(StateCounties[],MATCH(D445,StateCounties[North Carolina],0),MATCH(B445,StateCounties[#Headers],0))</f>
        <v>Clay County</v>
      </c>
      <c r="I445" t="b">
        <f t="shared" si="14"/>
        <v>1</v>
      </c>
    </row>
    <row r="446" spans="2:9">
      <c r="B446" t="s">
        <v>45</v>
      </c>
      <c r="C446" t="s">
        <v>72</v>
      </c>
      <c r="D446" t="s">
        <v>1026</v>
      </c>
      <c r="E446" t="str">
        <f t="shared" si="15"/>
        <v>Graham County</v>
      </c>
      <c r="F446" t="s">
        <v>498</v>
      </c>
      <c r="G446" t="str">
        <f>INDEX(StateCounties[],MATCH(D446,StateCounties[North Carolina],0),MATCH(B446,StateCounties[#Headers],0))</f>
        <v>Graham County</v>
      </c>
      <c r="I446" t="b">
        <f t="shared" si="14"/>
        <v>1</v>
      </c>
    </row>
    <row r="447" spans="2:9">
      <c r="B447" t="s">
        <v>45</v>
      </c>
      <c r="C447" t="s">
        <v>72</v>
      </c>
      <c r="D447" t="s">
        <v>1027</v>
      </c>
      <c r="E447" t="str">
        <f t="shared" si="15"/>
        <v>Haywood County</v>
      </c>
      <c r="F447" t="s">
        <v>499</v>
      </c>
      <c r="G447" t="str">
        <f>INDEX(StateCounties[],MATCH(D447,StateCounties[North Carolina],0),MATCH(B447,StateCounties[#Headers],0))</f>
        <v>Haywood County</v>
      </c>
      <c r="I447" t="b">
        <f t="shared" si="14"/>
        <v>1</v>
      </c>
    </row>
    <row r="448" spans="2:9">
      <c r="B448" t="s">
        <v>45</v>
      </c>
      <c r="C448" t="s">
        <v>72</v>
      </c>
      <c r="D448" t="s">
        <v>1033</v>
      </c>
      <c r="E448" t="str">
        <f t="shared" si="15"/>
        <v>Henderson County</v>
      </c>
      <c r="F448" t="s">
        <v>500</v>
      </c>
      <c r="G448" t="str">
        <f>INDEX(StateCounties[],MATCH(D448,StateCounties[North Carolina],0),MATCH(B448,StateCounties[#Headers],0))</f>
        <v>Henderson County</v>
      </c>
      <c r="I448" t="b">
        <f t="shared" si="14"/>
        <v>1</v>
      </c>
    </row>
    <row r="449" spans="2:9">
      <c r="B449" t="s">
        <v>45</v>
      </c>
      <c r="C449" t="s">
        <v>72</v>
      </c>
      <c r="D449" t="s">
        <v>984</v>
      </c>
      <c r="E449" t="str">
        <f t="shared" si="15"/>
        <v>Jackson County</v>
      </c>
      <c r="F449" t="s">
        <v>135</v>
      </c>
      <c r="G449" t="str">
        <f>INDEX(StateCounties[],MATCH(D449,StateCounties[North Carolina],0),MATCH(B449,StateCounties[#Headers],0))</f>
        <v>Jackson County</v>
      </c>
      <c r="I449" t="b">
        <f t="shared" si="14"/>
        <v>1</v>
      </c>
    </row>
    <row r="450" spans="2:9">
      <c r="B450" t="s">
        <v>45</v>
      </c>
      <c r="C450" t="s">
        <v>72</v>
      </c>
      <c r="D450" t="s">
        <v>1117</v>
      </c>
      <c r="E450" t="str">
        <f t="shared" si="15"/>
        <v>McDowell County</v>
      </c>
      <c r="F450" t="s">
        <v>501</v>
      </c>
      <c r="G450" t="str">
        <f>INDEX(StateCounties[],MATCH(D450,StateCounties[North Carolina],0),MATCH(B450,StateCounties[#Headers],0))</f>
        <v>McDowell County</v>
      </c>
      <c r="I450" t="b">
        <f t="shared" si="14"/>
        <v>1</v>
      </c>
    </row>
    <row r="451" spans="2:9">
      <c r="B451" t="s">
        <v>45</v>
      </c>
      <c r="C451" t="s">
        <v>72</v>
      </c>
      <c r="D451" t="s">
        <v>1054</v>
      </c>
      <c r="E451" t="str">
        <f t="shared" si="15"/>
        <v>Macon County</v>
      </c>
      <c r="F451" t="s">
        <v>137</v>
      </c>
      <c r="G451" t="str">
        <f>INDEX(StateCounties[],MATCH(D451,StateCounties[North Carolina],0),MATCH(B451,StateCounties[#Headers],0))</f>
        <v>Macon County</v>
      </c>
      <c r="I451" t="b">
        <f t="shared" si="14"/>
        <v>1</v>
      </c>
    </row>
    <row r="452" spans="2:9">
      <c r="B452" t="s">
        <v>45</v>
      </c>
      <c r="C452" t="s">
        <v>72</v>
      </c>
      <c r="D452" t="s">
        <v>1029</v>
      </c>
      <c r="E452" t="str">
        <f t="shared" si="15"/>
        <v>Madison County</v>
      </c>
      <c r="F452" t="s">
        <v>100</v>
      </c>
      <c r="G452" t="str">
        <f>INDEX(StateCounties[],MATCH(D452,StateCounties[North Carolina],0),MATCH(B452,StateCounties[#Headers],0))</f>
        <v>Madison County</v>
      </c>
      <c r="I452" t="b">
        <f t="shared" ref="I452:I515" si="16">E452=D452</f>
        <v>1</v>
      </c>
    </row>
    <row r="453" spans="2:9">
      <c r="B453" t="s">
        <v>45</v>
      </c>
      <c r="C453" t="s">
        <v>72</v>
      </c>
      <c r="D453" t="s">
        <v>1140</v>
      </c>
      <c r="E453" t="str">
        <f t="shared" si="15"/>
        <v>Mitchell County</v>
      </c>
      <c r="F453" t="s">
        <v>267</v>
      </c>
      <c r="G453" t="str">
        <f>INDEX(StateCounties[],MATCH(D453,StateCounties[North Carolina],0),MATCH(B453,StateCounties[#Headers],0))</f>
        <v>Mitchell County</v>
      </c>
      <c r="I453" t="b">
        <f t="shared" si="16"/>
        <v>1</v>
      </c>
    </row>
    <row r="454" spans="2:9">
      <c r="B454" t="s">
        <v>45</v>
      </c>
      <c r="C454" t="s">
        <v>72</v>
      </c>
      <c r="D454" t="s">
        <v>1098</v>
      </c>
      <c r="E454" t="str">
        <f t="shared" si="15"/>
        <v>Polk County</v>
      </c>
      <c r="F454" t="s">
        <v>238</v>
      </c>
      <c r="G454" t="str">
        <f>INDEX(StateCounties[],MATCH(D454,StateCounties[North Carolina],0),MATCH(B454,StateCounties[#Headers],0))</f>
        <v>Polk County</v>
      </c>
      <c r="I454" t="b">
        <f t="shared" si="16"/>
        <v>1</v>
      </c>
    </row>
    <row r="455" spans="2:9">
      <c r="B455" t="s">
        <v>45</v>
      </c>
      <c r="C455" t="s">
        <v>72</v>
      </c>
      <c r="D455" t="s">
        <v>1206</v>
      </c>
      <c r="E455" t="str">
        <f t="shared" si="15"/>
        <v>Rutherford County</v>
      </c>
      <c r="F455" t="s">
        <v>502</v>
      </c>
      <c r="G455" t="str">
        <f>INDEX(StateCounties[],MATCH(D455,StateCounties[North Carolina],0),MATCH(B455,StateCounties[#Headers],0))</f>
        <v>Rutherford County</v>
      </c>
      <c r="I455" t="b">
        <f t="shared" si="16"/>
        <v>1</v>
      </c>
    </row>
    <row r="456" spans="2:9">
      <c r="B456" t="s">
        <v>45</v>
      </c>
      <c r="C456" t="s">
        <v>72</v>
      </c>
      <c r="D456" t="s">
        <v>1243</v>
      </c>
      <c r="E456" t="str">
        <f t="shared" si="15"/>
        <v>Swain County</v>
      </c>
      <c r="F456" t="s">
        <v>503</v>
      </c>
      <c r="G456" t="str">
        <f>INDEX(StateCounties[],MATCH(D456,StateCounties[North Carolina],0),MATCH(B456,StateCounties[#Headers],0))</f>
        <v>Swain County</v>
      </c>
      <c r="I456" t="b">
        <f t="shared" si="16"/>
        <v>1</v>
      </c>
    </row>
    <row r="457" spans="2:9">
      <c r="B457" t="s">
        <v>45</v>
      </c>
      <c r="C457" t="s">
        <v>72</v>
      </c>
      <c r="D457" t="s">
        <v>1245</v>
      </c>
      <c r="E457" t="str">
        <f t="shared" si="15"/>
        <v>Transylvania County</v>
      </c>
      <c r="F457" t="s">
        <v>504</v>
      </c>
      <c r="G457" t="str">
        <f>INDEX(StateCounties[],MATCH(D457,StateCounties[North Carolina],0),MATCH(B457,StateCounties[#Headers],0))</f>
        <v>Transylvania County</v>
      </c>
      <c r="I457" t="b">
        <f t="shared" si="16"/>
        <v>1</v>
      </c>
    </row>
    <row r="458" spans="2:9">
      <c r="B458" t="s">
        <v>45</v>
      </c>
      <c r="C458" t="s">
        <v>72</v>
      </c>
      <c r="D458" t="s">
        <v>1271</v>
      </c>
      <c r="E458" t="str">
        <f t="shared" si="15"/>
        <v>Yancey County</v>
      </c>
      <c r="F458" t="s">
        <v>505</v>
      </c>
      <c r="G458" t="str">
        <f>INDEX(StateCounties[],MATCH(D458,StateCounties[North Carolina],0),MATCH(B458,StateCounties[#Headers],0))</f>
        <v>Yancey County</v>
      </c>
      <c r="I458" t="b">
        <f t="shared" si="16"/>
        <v>1</v>
      </c>
    </row>
    <row r="459" spans="2:9">
      <c r="B459" t="s">
        <v>45</v>
      </c>
      <c r="C459" t="s">
        <v>74</v>
      </c>
      <c r="D459" t="s">
        <v>827</v>
      </c>
      <c r="E459" t="str">
        <f t="shared" si="15"/>
        <v>Alexander County</v>
      </c>
      <c r="F459" t="s">
        <v>506</v>
      </c>
      <c r="G459" t="str">
        <f>INDEX(StateCounties[],MATCH(D459,StateCounties[North Carolina],0),MATCH(B459,StateCounties[#Headers],0))</f>
        <v>Alexander County</v>
      </c>
      <c r="I459" t="b">
        <f t="shared" si="16"/>
        <v>1</v>
      </c>
    </row>
    <row r="460" spans="2:9">
      <c r="B460" t="s">
        <v>45</v>
      </c>
      <c r="C460" t="s">
        <v>74</v>
      </c>
      <c r="D460" t="s">
        <v>888</v>
      </c>
      <c r="E460" t="str">
        <f t="shared" si="15"/>
        <v>Burke County</v>
      </c>
      <c r="F460" t="s">
        <v>292</v>
      </c>
      <c r="G460" t="str">
        <f>INDEX(StateCounties[],MATCH(D460,StateCounties[North Carolina],0),MATCH(B460,StateCounties[#Headers],0))</f>
        <v>Burke County</v>
      </c>
      <c r="I460" t="b">
        <f t="shared" si="16"/>
        <v>1</v>
      </c>
    </row>
    <row r="461" spans="2:9">
      <c r="B461" t="s">
        <v>45</v>
      </c>
      <c r="C461" t="s">
        <v>74</v>
      </c>
      <c r="D461" t="s">
        <v>898</v>
      </c>
      <c r="E461" t="str">
        <f t="shared" si="15"/>
        <v>Caldwell County</v>
      </c>
      <c r="F461" t="s">
        <v>507</v>
      </c>
      <c r="G461" t="str">
        <f>INDEX(StateCounties[],MATCH(D461,StateCounties[North Carolina],0),MATCH(B461,StateCounties[#Headers],0))</f>
        <v>Caldwell County</v>
      </c>
      <c r="I461" t="b">
        <f t="shared" si="16"/>
        <v>1</v>
      </c>
    </row>
    <row r="462" spans="2:9">
      <c r="B462" t="s">
        <v>45</v>
      </c>
      <c r="C462" t="s">
        <v>74</v>
      </c>
      <c r="D462" t="s">
        <v>1080</v>
      </c>
      <c r="E462" t="str">
        <f t="shared" si="15"/>
        <v>Iredell County</v>
      </c>
      <c r="F462" t="s">
        <v>508</v>
      </c>
      <c r="G462" t="str">
        <f>INDEX(StateCounties[],MATCH(D462,StateCounties[North Carolina],0),MATCH(B462,StateCounties[#Headers],0))</f>
        <v>Iredell County</v>
      </c>
      <c r="I462" t="b">
        <f t="shared" si="16"/>
        <v>1</v>
      </c>
    </row>
    <row r="463" spans="2:9">
      <c r="B463" t="s">
        <v>45</v>
      </c>
      <c r="C463" t="s">
        <v>74</v>
      </c>
      <c r="D463" t="s">
        <v>922</v>
      </c>
      <c r="E463" t="str">
        <f t="shared" si="15"/>
        <v>Catawba County</v>
      </c>
      <c r="F463" t="s">
        <v>509</v>
      </c>
      <c r="G463" t="str">
        <f>INDEX(StateCounties[],MATCH(D463,StateCounties[North Carolina],0),MATCH(B463,StateCounties[#Headers],0))</f>
        <v>Catawba County</v>
      </c>
      <c r="I463" t="b">
        <f t="shared" si="16"/>
        <v>1</v>
      </c>
    </row>
    <row r="464" spans="2:9">
      <c r="B464" t="s">
        <v>45</v>
      </c>
      <c r="C464" t="s">
        <v>76</v>
      </c>
      <c r="D464" t="s">
        <v>834</v>
      </c>
      <c r="E464" t="str">
        <f t="shared" si="15"/>
        <v>Alleghany County</v>
      </c>
      <c r="F464" t="s">
        <v>510</v>
      </c>
      <c r="G464" t="str">
        <f>INDEX(StateCounties[],MATCH(D464,StateCounties[North Carolina],0),MATCH(B464,StateCounties[#Headers],0))</f>
        <v>Alleghany County</v>
      </c>
      <c r="I464" t="b">
        <f t="shared" si="16"/>
        <v>1</v>
      </c>
    </row>
    <row r="465" spans="2:9">
      <c r="B465" t="s">
        <v>45</v>
      </c>
      <c r="C465" t="s">
        <v>76</v>
      </c>
      <c r="D465" t="s">
        <v>845</v>
      </c>
      <c r="E465" t="str">
        <f t="shared" si="15"/>
        <v>Ashe County</v>
      </c>
      <c r="F465" t="s">
        <v>511</v>
      </c>
      <c r="G465" t="str">
        <f>INDEX(StateCounties[],MATCH(D465,StateCounties[North Carolina],0),MATCH(B465,StateCounties[#Headers],0))</f>
        <v>Ashe County</v>
      </c>
      <c r="I465" t="b">
        <f t="shared" si="16"/>
        <v>1</v>
      </c>
    </row>
    <row r="466" spans="2:9">
      <c r="B466" t="s">
        <v>45</v>
      </c>
      <c r="C466" t="s">
        <v>76</v>
      </c>
      <c r="D466" t="s">
        <v>1264</v>
      </c>
      <c r="E466" t="str">
        <f t="shared" si="15"/>
        <v>Watauga County</v>
      </c>
      <c r="F466" t="s">
        <v>512</v>
      </c>
      <c r="G466" t="str">
        <f>INDEX(StateCounties[],MATCH(D466,StateCounties[North Carolina],0),MATCH(B466,StateCounties[#Headers],0))</f>
        <v>Watauga County</v>
      </c>
      <c r="I466" t="b">
        <f t="shared" si="16"/>
        <v>1</v>
      </c>
    </row>
    <row r="467" spans="2:9">
      <c r="B467" t="s">
        <v>45</v>
      </c>
      <c r="C467" t="s">
        <v>76</v>
      </c>
      <c r="D467" t="s">
        <v>1266</v>
      </c>
      <c r="E467" t="str">
        <f t="shared" si="15"/>
        <v>Wilkes County</v>
      </c>
      <c r="F467" t="s">
        <v>301</v>
      </c>
      <c r="G467" t="str">
        <f>INDEX(StateCounties[],MATCH(D467,StateCounties[North Carolina],0),MATCH(B467,StateCounties[#Headers],0))</f>
        <v>Wilkes County</v>
      </c>
      <c r="I467" t="b">
        <f t="shared" si="16"/>
        <v>1</v>
      </c>
    </row>
    <row r="468" spans="2:9">
      <c r="B468" t="s">
        <v>45</v>
      </c>
      <c r="C468" t="s">
        <v>84</v>
      </c>
      <c r="D468" t="s">
        <v>840</v>
      </c>
      <c r="E468" t="str">
        <f t="shared" si="15"/>
        <v>Anson County</v>
      </c>
      <c r="F468" t="s">
        <v>513</v>
      </c>
      <c r="G468" t="str">
        <f>INDEX(StateCounties[],MATCH(D468,StateCounties[North Carolina],0),MATCH(B468,StateCounties[#Headers],0))</f>
        <v>Anson County</v>
      </c>
      <c r="I468" t="b">
        <f t="shared" si="16"/>
        <v>1</v>
      </c>
    </row>
    <row r="469" spans="2:9">
      <c r="B469" t="s">
        <v>45</v>
      </c>
      <c r="C469" t="s">
        <v>84</v>
      </c>
      <c r="D469" t="s">
        <v>893</v>
      </c>
      <c r="E469" t="str">
        <f t="shared" si="15"/>
        <v>Cabarrus County</v>
      </c>
      <c r="F469" t="s">
        <v>514</v>
      </c>
      <c r="G469" t="str">
        <f>INDEX(StateCounties[],MATCH(D469,StateCounties[North Carolina],0),MATCH(B469,StateCounties[#Headers],0))</f>
        <v>Cabarrus County</v>
      </c>
      <c r="I469" t="b">
        <f t="shared" si="16"/>
        <v>1</v>
      </c>
    </row>
    <row r="470" spans="2:9">
      <c r="B470" t="s">
        <v>45</v>
      </c>
      <c r="C470" t="s">
        <v>84</v>
      </c>
      <c r="D470" t="s">
        <v>1133</v>
      </c>
      <c r="E470" t="str">
        <f t="shared" si="15"/>
        <v>Mecklenburg County</v>
      </c>
      <c r="F470" t="s">
        <v>515</v>
      </c>
      <c r="G470" t="str">
        <f>INDEX(StateCounties[],MATCH(D470,StateCounties[North Carolina],0),MATCH(B470,StateCounties[#Headers],0))</f>
        <v>Mecklenburg County</v>
      </c>
      <c r="I470" t="b">
        <f t="shared" si="16"/>
        <v>1</v>
      </c>
    </row>
    <row r="471" spans="2:9">
      <c r="B471" t="s">
        <v>45</v>
      </c>
      <c r="C471" t="s">
        <v>84</v>
      </c>
      <c r="D471" t="s">
        <v>1220</v>
      </c>
      <c r="E471" t="str">
        <f t="shared" si="15"/>
        <v>Rowan County</v>
      </c>
      <c r="F471" t="s">
        <v>516</v>
      </c>
      <c r="G471" t="str">
        <f>INDEX(StateCounties[],MATCH(D471,StateCounties[North Carolina],0),MATCH(B471,StateCounties[#Headers],0))</f>
        <v>Rowan County</v>
      </c>
      <c r="I471" t="b">
        <f t="shared" si="16"/>
        <v>1</v>
      </c>
    </row>
    <row r="472" spans="2:9">
      <c r="B472" t="s">
        <v>45</v>
      </c>
      <c r="C472" t="s">
        <v>84</v>
      </c>
      <c r="D472" t="s">
        <v>1232</v>
      </c>
      <c r="E472" t="str">
        <f t="shared" si="15"/>
        <v>Stanly County</v>
      </c>
      <c r="F472" t="s">
        <v>517</v>
      </c>
      <c r="G472" t="str">
        <f>INDEX(StateCounties[],MATCH(D472,StateCounties[North Carolina],0),MATCH(B472,StateCounties[#Headers],0))</f>
        <v>Stanly County</v>
      </c>
      <c r="I472" t="b">
        <f t="shared" si="16"/>
        <v>1</v>
      </c>
    </row>
    <row r="473" spans="2:9">
      <c r="B473" t="s">
        <v>45</v>
      </c>
      <c r="C473" t="s">
        <v>84</v>
      </c>
      <c r="D473" t="s">
        <v>1149</v>
      </c>
      <c r="E473" t="str">
        <f t="shared" si="15"/>
        <v>Union County</v>
      </c>
      <c r="F473" t="s">
        <v>257</v>
      </c>
      <c r="G473" t="str">
        <f>INDEX(StateCounties[],MATCH(D473,StateCounties[North Carolina],0),MATCH(B473,StateCounties[#Headers],0))</f>
        <v>Union County</v>
      </c>
      <c r="I473" t="b">
        <f t="shared" si="16"/>
        <v>1</v>
      </c>
    </row>
    <row r="474" spans="2:9">
      <c r="B474" t="s">
        <v>45</v>
      </c>
      <c r="C474" t="s">
        <v>86</v>
      </c>
      <c r="D474" t="s">
        <v>950</v>
      </c>
      <c r="E474" t="str">
        <f t="shared" si="15"/>
        <v>Cleveland County</v>
      </c>
      <c r="F474" t="s">
        <v>518</v>
      </c>
      <c r="G474" t="str">
        <f>INDEX(StateCounties[],MATCH(D474,StateCounties[North Carolina],0),MATCH(B474,StateCounties[#Headers],0))</f>
        <v>Cleveland County</v>
      </c>
      <c r="I474" t="b">
        <f t="shared" si="16"/>
        <v>1</v>
      </c>
    </row>
    <row r="475" spans="2:9">
      <c r="B475" t="s">
        <v>45</v>
      </c>
      <c r="C475" t="s">
        <v>86</v>
      </c>
      <c r="D475" t="s">
        <v>1016</v>
      </c>
      <c r="E475" t="str">
        <f t="shared" si="15"/>
        <v>Gaston County</v>
      </c>
      <c r="F475" t="s">
        <v>519</v>
      </c>
      <c r="G475" t="str">
        <f>INDEX(StateCounties[],MATCH(D475,StateCounties[North Carolina],0),MATCH(B475,StateCounties[#Headers],0))</f>
        <v>Gaston County</v>
      </c>
      <c r="I475" t="b">
        <f t="shared" si="16"/>
        <v>1</v>
      </c>
    </row>
    <row r="476" spans="2:9">
      <c r="B476" t="s">
        <v>45</v>
      </c>
      <c r="C476" t="s">
        <v>86</v>
      </c>
      <c r="D476" t="s">
        <v>1051</v>
      </c>
      <c r="E476" t="str">
        <f t="shared" si="15"/>
        <v>Lincoln County</v>
      </c>
      <c r="F476" t="s">
        <v>296</v>
      </c>
      <c r="G476" t="str">
        <f>INDEX(StateCounties[],MATCH(D476,StateCounties[North Carolina],0),MATCH(B476,StateCounties[#Headers],0))</f>
        <v>Lincoln County</v>
      </c>
      <c r="I476" t="b">
        <f t="shared" si="16"/>
        <v>1</v>
      </c>
    </row>
    <row r="477" spans="2:9">
      <c r="B477" t="s">
        <v>45</v>
      </c>
      <c r="C477" t="s">
        <v>89</v>
      </c>
      <c r="D477" t="s">
        <v>928</v>
      </c>
      <c r="E477" t="str">
        <f t="shared" si="15"/>
        <v>Davidson County</v>
      </c>
      <c r="F477" t="s">
        <v>520</v>
      </c>
      <c r="G477" t="str">
        <f>INDEX(StateCounties[],MATCH(D477,StateCounties[North Carolina],0),MATCH(B477,StateCounties[#Headers],0))</f>
        <v>Davidson County</v>
      </c>
      <c r="I477" t="b">
        <f t="shared" si="16"/>
        <v>1</v>
      </c>
    </row>
    <row r="478" spans="2:9">
      <c r="B478" t="s">
        <v>45</v>
      </c>
      <c r="C478" t="s">
        <v>89</v>
      </c>
      <c r="D478" t="s">
        <v>985</v>
      </c>
      <c r="E478" t="str">
        <f t="shared" si="15"/>
        <v>Davie County</v>
      </c>
      <c r="F478" t="s">
        <v>521</v>
      </c>
      <c r="G478" t="str">
        <f>INDEX(StateCounties[],MATCH(D478,StateCounties[North Carolina],0),MATCH(B478,StateCounties[#Headers],0))</f>
        <v>Davie County</v>
      </c>
      <c r="I478" t="b">
        <f t="shared" si="16"/>
        <v>1</v>
      </c>
    </row>
    <row r="479" spans="2:9">
      <c r="B479" t="s">
        <v>45</v>
      </c>
      <c r="C479" t="s">
        <v>89</v>
      </c>
      <c r="D479" t="s">
        <v>1007</v>
      </c>
      <c r="E479" t="str">
        <f t="shared" si="15"/>
        <v>Forsyth County</v>
      </c>
      <c r="F479" t="s">
        <v>281</v>
      </c>
      <c r="G479" t="str">
        <f>INDEX(StateCounties[],MATCH(D479,StateCounties[North Carolina],0),MATCH(B479,StateCounties[#Headers],0))</f>
        <v>Forsyth County</v>
      </c>
      <c r="I479" t="b">
        <f t="shared" si="16"/>
        <v>1</v>
      </c>
    </row>
    <row r="480" spans="2:9">
      <c r="B480" t="s">
        <v>45</v>
      </c>
      <c r="C480" t="s">
        <v>89</v>
      </c>
      <c r="D480" t="s">
        <v>1235</v>
      </c>
      <c r="E480" t="str">
        <f t="shared" si="15"/>
        <v>Stokes County</v>
      </c>
      <c r="F480" t="s">
        <v>522</v>
      </c>
      <c r="G480" t="str">
        <f>INDEX(StateCounties[],MATCH(D480,StateCounties[North Carolina],0),MATCH(B480,StateCounties[#Headers],0))</f>
        <v>Stokes County</v>
      </c>
      <c r="I480" t="b">
        <f t="shared" si="16"/>
        <v>1</v>
      </c>
    </row>
    <row r="481" spans="2:9">
      <c r="B481" t="s">
        <v>45</v>
      </c>
      <c r="C481" t="s">
        <v>89</v>
      </c>
      <c r="D481" t="s">
        <v>1239</v>
      </c>
      <c r="E481" t="str">
        <f t="shared" si="15"/>
        <v>Surry County</v>
      </c>
      <c r="F481" t="s">
        <v>523</v>
      </c>
      <c r="G481" t="str">
        <f>INDEX(StateCounties[],MATCH(D481,StateCounties[North Carolina],0),MATCH(B481,StateCounties[#Headers],0))</f>
        <v>Surry County</v>
      </c>
      <c r="I481" t="b">
        <f t="shared" si="16"/>
        <v>1</v>
      </c>
    </row>
    <row r="482" spans="2:9">
      <c r="B482" t="s">
        <v>45</v>
      </c>
      <c r="C482" t="s">
        <v>89</v>
      </c>
      <c r="D482" t="s">
        <v>1269</v>
      </c>
      <c r="E482" t="str">
        <f t="shared" si="15"/>
        <v>Yadkin County</v>
      </c>
      <c r="F482" t="s">
        <v>524</v>
      </c>
      <c r="G482" t="str">
        <f>INDEX(StateCounties[],MATCH(D482,StateCounties[North Carolina],0),MATCH(B482,StateCounties[#Headers],0))</f>
        <v>Yadkin County</v>
      </c>
      <c r="I482" t="b">
        <f t="shared" si="16"/>
        <v>1</v>
      </c>
    </row>
    <row r="483" spans="2:9">
      <c r="B483" t="s">
        <v>45</v>
      </c>
      <c r="C483" t="s">
        <v>93</v>
      </c>
      <c r="D483" t="s">
        <v>1040</v>
      </c>
      <c r="E483" t="str">
        <f t="shared" si="15"/>
        <v>Guilford County</v>
      </c>
      <c r="F483" t="s">
        <v>525</v>
      </c>
      <c r="G483" t="str">
        <f>INDEX(StateCounties[],MATCH(D483,StateCounties[North Carolina],0),MATCH(B483,StateCounties[#Headers],0))</f>
        <v>Guilford County</v>
      </c>
      <c r="I483" t="b">
        <f t="shared" si="16"/>
        <v>1</v>
      </c>
    </row>
    <row r="484" spans="2:9">
      <c r="B484" t="s">
        <v>45</v>
      </c>
      <c r="C484" t="s">
        <v>93</v>
      </c>
      <c r="D484" t="s">
        <v>1115</v>
      </c>
      <c r="E484" t="str">
        <f t="shared" si="15"/>
        <v>Randolph County</v>
      </c>
      <c r="F484" t="s">
        <v>145</v>
      </c>
      <c r="G484" t="str">
        <f>INDEX(StateCounties[],MATCH(D484,StateCounties[North Carolina],0),MATCH(B484,StateCounties[#Headers],0))</f>
        <v>Randolph County</v>
      </c>
      <c r="I484" t="b">
        <f t="shared" si="16"/>
        <v>1</v>
      </c>
    </row>
    <row r="485" spans="2:9">
      <c r="B485" t="s">
        <v>45</v>
      </c>
      <c r="C485" t="s">
        <v>93</v>
      </c>
      <c r="D485" t="s">
        <v>1217</v>
      </c>
      <c r="E485" t="str">
        <f t="shared" si="15"/>
        <v>Rockingham County</v>
      </c>
      <c r="F485" t="s">
        <v>526</v>
      </c>
      <c r="G485" t="str">
        <f>INDEX(StateCounties[],MATCH(D485,StateCounties[North Carolina],0),MATCH(B485,StateCounties[#Headers],0))</f>
        <v>Rockingham County</v>
      </c>
      <c r="I485" t="b">
        <f t="shared" si="16"/>
        <v>1</v>
      </c>
    </row>
    <row r="486" spans="2:9">
      <c r="B486" t="s">
        <v>45</v>
      </c>
      <c r="C486" t="s">
        <v>96</v>
      </c>
      <c r="D486" t="s">
        <v>1079</v>
      </c>
      <c r="E486" t="str">
        <f t="shared" si="15"/>
        <v>Montgomery County</v>
      </c>
      <c r="F486" t="s">
        <v>107</v>
      </c>
      <c r="G486" t="str">
        <f>INDEX(StateCounties[],MATCH(D486,StateCounties[North Carolina],0),MATCH(B486,StateCounties[#Headers],0))</f>
        <v>Montgomery County</v>
      </c>
      <c r="I486" t="b">
        <f t="shared" si="16"/>
        <v>1</v>
      </c>
    </row>
    <row r="487" spans="2:9">
      <c r="B487" t="s">
        <v>45</v>
      </c>
      <c r="C487" t="s">
        <v>96</v>
      </c>
      <c r="D487" t="s">
        <v>1152</v>
      </c>
      <c r="E487" t="str">
        <f t="shared" si="15"/>
        <v>Moore County</v>
      </c>
      <c r="F487" t="s">
        <v>527</v>
      </c>
      <c r="G487" t="str">
        <f>INDEX(StateCounties[],MATCH(D487,StateCounties[North Carolina],0),MATCH(B487,StateCounties[#Headers],0))</f>
        <v>Moore County</v>
      </c>
      <c r="I487" t="b">
        <f t="shared" si="16"/>
        <v>1</v>
      </c>
    </row>
    <row r="488" spans="2:9">
      <c r="B488" t="s">
        <v>45</v>
      </c>
      <c r="C488" t="s">
        <v>98</v>
      </c>
      <c r="D488" t="s">
        <v>870</v>
      </c>
      <c r="E488" t="str">
        <f t="shared" si="15"/>
        <v>Bladen County</v>
      </c>
      <c r="F488" t="s">
        <v>528</v>
      </c>
      <c r="G488" t="str">
        <f>INDEX(StateCounties[],MATCH(D488,StateCounties[North Carolina],0),MATCH(B488,StateCounties[#Headers],0))</f>
        <v>Bladen County</v>
      </c>
      <c r="I488" t="b">
        <f t="shared" si="16"/>
        <v>1</v>
      </c>
    </row>
    <row r="489" spans="2:9">
      <c r="B489" t="s">
        <v>45</v>
      </c>
      <c r="C489" t="s">
        <v>98</v>
      </c>
      <c r="D489" t="s">
        <v>923</v>
      </c>
      <c r="E489" t="str">
        <f t="shared" ref="E489:E552" si="17">F489&amp; " County"</f>
        <v>Cumberland County</v>
      </c>
      <c r="F489" t="s">
        <v>529</v>
      </c>
      <c r="G489" t="str">
        <f>INDEX(StateCounties[],MATCH(D489,StateCounties[North Carolina],0),MATCH(B489,StateCounties[#Headers],0))</f>
        <v>Cumberland County</v>
      </c>
      <c r="I489" t="b">
        <f t="shared" si="16"/>
        <v>1</v>
      </c>
    </row>
    <row r="490" spans="2:9">
      <c r="B490" t="s">
        <v>45</v>
      </c>
      <c r="C490" t="s">
        <v>98</v>
      </c>
      <c r="D490" t="s">
        <v>1052</v>
      </c>
      <c r="E490" t="str">
        <f t="shared" si="17"/>
        <v>Harnett County</v>
      </c>
      <c r="F490" t="s">
        <v>530</v>
      </c>
      <c r="G490" t="str">
        <f>INDEX(StateCounties[],MATCH(D490,StateCounties[North Carolina],0),MATCH(B490,StateCounties[#Headers],0))</f>
        <v>Harnett County</v>
      </c>
      <c r="I490" t="b">
        <f t="shared" si="16"/>
        <v>1</v>
      </c>
    </row>
    <row r="491" spans="2:9">
      <c r="B491" t="s">
        <v>45</v>
      </c>
      <c r="C491" t="s">
        <v>98</v>
      </c>
      <c r="D491" t="s">
        <v>1069</v>
      </c>
      <c r="E491" t="str">
        <f t="shared" si="17"/>
        <v>Hoke County</v>
      </c>
      <c r="F491" t="s">
        <v>531</v>
      </c>
      <c r="G491" t="str">
        <f>INDEX(StateCounties[],MATCH(D491,StateCounties[North Carolina],0),MATCH(B491,StateCounties[#Headers],0))</f>
        <v>Hoke County</v>
      </c>
      <c r="I491" t="b">
        <f t="shared" si="16"/>
        <v>1</v>
      </c>
    </row>
    <row r="492" spans="2:9">
      <c r="B492" t="s">
        <v>45</v>
      </c>
      <c r="C492" t="s">
        <v>98</v>
      </c>
      <c r="D492" t="s">
        <v>1210</v>
      </c>
      <c r="E492" t="str">
        <f t="shared" si="17"/>
        <v>Richmond County</v>
      </c>
      <c r="F492" t="s">
        <v>298</v>
      </c>
      <c r="G492" t="str">
        <f>INDEX(StateCounties[],MATCH(D492,StateCounties[North Carolina],0),MATCH(B492,StateCounties[#Headers],0))</f>
        <v>Richmond County</v>
      </c>
      <c r="I492" t="b">
        <f t="shared" si="16"/>
        <v>1</v>
      </c>
    </row>
    <row r="493" spans="2:9">
      <c r="B493" t="s">
        <v>45</v>
      </c>
      <c r="C493" t="s">
        <v>98</v>
      </c>
      <c r="D493" t="s">
        <v>1213</v>
      </c>
      <c r="E493" t="str">
        <f t="shared" si="17"/>
        <v>Robeson County</v>
      </c>
      <c r="F493" t="s">
        <v>532</v>
      </c>
      <c r="G493" t="str">
        <f>INDEX(StateCounties[],MATCH(D493,StateCounties[North Carolina],0),MATCH(B493,StateCounties[#Headers],0))</f>
        <v>Robeson County</v>
      </c>
      <c r="I493" t="b">
        <f t="shared" si="16"/>
        <v>1</v>
      </c>
    </row>
    <row r="494" spans="2:9">
      <c r="B494" t="s">
        <v>45</v>
      </c>
      <c r="C494" t="s">
        <v>98</v>
      </c>
      <c r="D494" t="s">
        <v>1226</v>
      </c>
      <c r="E494" t="str">
        <f t="shared" si="17"/>
        <v>Sampson County</v>
      </c>
      <c r="F494" t="s">
        <v>533</v>
      </c>
      <c r="G494" t="str">
        <f>INDEX(StateCounties[],MATCH(D494,StateCounties[North Carolina],0),MATCH(B494,StateCounties[#Headers],0))</f>
        <v>Sampson County</v>
      </c>
      <c r="I494" t="b">
        <f t="shared" si="16"/>
        <v>1</v>
      </c>
    </row>
    <row r="495" spans="2:9">
      <c r="B495" t="s">
        <v>45</v>
      </c>
      <c r="C495" t="s">
        <v>98</v>
      </c>
      <c r="D495" t="s">
        <v>1229</v>
      </c>
      <c r="E495" t="str">
        <f t="shared" si="17"/>
        <v>Scotland County</v>
      </c>
      <c r="F495" t="s">
        <v>534</v>
      </c>
      <c r="G495" t="str">
        <f>INDEX(StateCounties[],MATCH(D495,StateCounties[North Carolina],0),MATCH(B495,StateCounties[#Headers],0))</f>
        <v>Scotland County</v>
      </c>
      <c r="I495" t="b">
        <f t="shared" si="16"/>
        <v>1</v>
      </c>
    </row>
    <row r="496" spans="2:9">
      <c r="B496" t="s">
        <v>45</v>
      </c>
      <c r="C496" t="s">
        <v>101</v>
      </c>
      <c r="D496" t="s">
        <v>1032</v>
      </c>
      <c r="E496" t="str">
        <f t="shared" si="17"/>
        <v>Granville County</v>
      </c>
      <c r="F496" t="s">
        <v>535</v>
      </c>
      <c r="G496" t="str">
        <f>INDEX(StateCounties[],MATCH(D496,StateCounties[North Carolina],0),MATCH(B496,StateCounties[#Headers],0))</f>
        <v>Granville County</v>
      </c>
      <c r="I496" t="b">
        <f t="shared" si="16"/>
        <v>1</v>
      </c>
    </row>
    <row r="497" spans="2:9">
      <c r="B497" t="s">
        <v>45</v>
      </c>
      <c r="C497" t="s">
        <v>101</v>
      </c>
      <c r="D497" t="s">
        <v>1252</v>
      </c>
      <c r="E497" t="str">
        <f t="shared" si="17"/>
        <v>Vance County</v>
      </c>
      <c r="F497" t="s">
        <v>536</v>
      </c>
      <c r="G497" t="str">
        <f>INDEX(StateCounties[],MATCH(D497,StateCounties[North Carolina],0),MATCH(B497,StateCounties[#Headers],0))</f>
        <v>Vance County</v>
      </c>
      <c r="I497" t="b">
        <f t="shared" si="16"/>
        <v>1</v>
      </c>
    </row>
    <row r="498" spans="2:9">
      <c r="B498" t="s">
        <v>45</v>
      </c>
      <c r="C498" t="s">
        <v>101</v>
      </c>
      <c r="D498" t="s">
        <v>1205</v>
      </c>
      <c r="E498" t="str">
        <f t="shared" si="17"/>
        <v>Warren County</v>
      </c>
      <c r="F498" t="s">
        <v>300</v>
      </c>
      <c r="G498" t="str">
        <f>INDEX(StateCounties[],MATCH(D498,StateCounties[North Carolina],0),MATCH(B498,StateCounties[#Headers],0))</f>
        <v>Warren County</v>
      </c>
      <c r="I498" t="b">
        <f t="shared" si="16"/>
        <v>1</v>
      </c>
    </row>
    <row r="499" spans="2:9">
      <c r="B499" t="s">
        <v>45</v>
      </c>
      <c r="C499" t="s">
        <v>103</v>
      </c>
      <c r="D499" t="s">
        <v>821</v>
      </c>
      <c r="E499" t="str">
        <f t="shared" si="17"/>
        <v>Alamance County</v>
      </c>
      <c r="F499" t="s">
        <v>537</v>
      </c>
      <c r="G499" t="str">
        <f>INDEX(StateCounties[],MATCH(D499,StateCounties[North Carolina],0),MATCH(B499,StateCounties[#Headers],0))</f>
        <v>Alamance County</v>
      </c>
      <c r="I499" t="b">
        <f t="shared" si="16"/>
        <v>1</v>
      </c>
    </row>
    <row r="500" spans="2:9">
      <c r="B500" t="s">
        <v>45</v>
      </c>
      <c r="C500" t="s">
        <v>103</v>
      </c>
      <c r="D500" t="s">
        <v>915</v>
      </c>
      <c r="E500" t="str">
        <f t="shared" si="17"/>
        <v>Caswell County</v>
      </c>
      <c r="F500" t="s">
        <v>538</v>
      </c>
      <c r="G500" t="str">
        <f>INDEX(StateCounties[],MATCH(D500,StateCounties[North Carolina],0),MATCH(B500,StateCounties[#Headers],0))</f>
        <v>Caswell County</v>
      </c>
      <c r="I500" t="b">
        <f t="shared" si="16"/>
        <v>1</v>
      </c>
    </row>
    <row r="501" spans="2:9">
      <c r="B501" t="s">
        <v>45</v>
      </c>
      <c r="C501" t="s">
        <v>103</v>
      </c>
      <c r="D501" t="s">
        <v>927</v>
      </c>
      <c r="E501" t="str">
        <f t="shared" si="17"/>
        <v>Chatham County</v>
      </c>
      <c r="F501" t="s">
        <v>360</v>
      </c>
      <c r="G501" t="str">
        <f>INDEX(StateCounties[],MATCH(D501,StateCounties[North Carolina],0),MATCH(B501,StateCounties[#Headers],0))</f>
        <v>Chatham County</v>
      </c>
      <c r="I501" t="b">
        <f t="shared" si="16"/>
        <v>1</v>
      </c>
    </row>
    <row r="502" spans="2:9">
      <c r="B502" t="s">
        <v>45</v>
      </c>
      <c r="C502" t="s">
        <v>103</v>
      </c>
      <c r="D502" t="s">
        <v>995</v>
      </c>
      <c r="E502" t="str">
        <f t="shared" si="17"/>
        <v>Durham County</v>
      </c>
      <c r="F502" t="s">
        <v>539</v>
      </c>
      <c r="G502" t="str">
        <f>INDEX(StateCounties[],MATCH(D502,StateCounties[North Carolina],0),MATCH(B502,StateCounties[#Headers],0))</f>
        <v>Durham County</v>
      </c>
      <c r="I502" t="b">
        <f t="shared" si="16"/>
        <v>1</v>
      </c>
    </row>
    <row r="503" spans="2:9">
      <c r="B503" t="s">
        <v>45</v>
      </c>
      <c r="C503" t="s">
        <v>103</v>
      </c>
      <c r="D503" t="s">
        <v>1010</v>
      </c>
      <c r="E503" t="str">
        <f t="shared" si="17"/>
        <v>Lee County</v>
      </c>
      <c r="F503" t="s">
        <v>75</v>
      </c>
      <c r="G503" t="str">
        <f>INDEX(StateCounties[],MATCH(D503,StateCounties[North Carolina],0),MATCH(B503,StateCounties[#Headers],0))</f>
        <v>Lee County</v>
      </c>
      <c r="I503" t="b">
        <f t="shared" si="16"/>
        <v>1</v>
      </c>
    </row>
    <row r="504" spans="2:9">
      <c r="B504" t="s">
        <v>45</v>
      </c>
      <c r="C504" t="s">
        <v>103</v>
      </c>
      <c r="D504" t="s">
        <v>1072</v>
      </c>
      <c r="E504" t="str">
        <f t="shared" si="17"/>
        <v>Orange County</v>
      </c>
      <c r="F504" t="s">
        <v>228</v>
      </c>
      <c r="G504" t="str">
        <f>INDEX(StateCounties[],MATCH(D504,StateCounties[North Carolina],0),MATCH(B504,StateCounties[#Headers],0))</f>
        <v>Orange County</v>
      </c>
      <c r="I504" t="b">
        <f t="shared" si="16"/>
        <v>1</v>
      </c>
    </row>
    <row r="505" spans="2:9">
      <c r="B505" t="s">
        <v>45</v>
      </c>
      <c r="C505" t="s">
        <v>103</v>
      </c>
      <c r="D505" t="s">
        <v>1198</v>
      </c>
      <c r="E505" t="str">
        <f t="shared" si="17"/>
        <v>Person County</v>
      </c>
      <c r="F505" t="s">
        <v>540</v>
      </c>
      <c r="G505" t="str">
        <f>INDEX(StateCounties[],MATCH(D505,StateCounties[North Carolina],0),MATCH(B505,StateCounties[#Headers],0))</f>
        <v>Person County</v>
      </c>
      <c r="I505" t="b">
        <f t="shared" si="16"/>
        <v>1</v>
      </c>
    </row>
    <row r="506" spans="2:9">
      <c r="B506" t="s">
        <v>45</v>
      </c>
      <c r="C506" t="s">
        <v>108</v>
      </c>
      <c r="D506" t="s">
        <v>863</v>
      </c>
      <c r="E506" t="str">
        <f t="shared" si="17"/>
        <v>Bertie County</v>
      </c>
      <c r="F506" t="s">
        <v>541</v>
      </c>
      <c r="G506" t="str">
        <f>INDEX(StateCounties[],MATCH(D506,StateCounties[North Carolina],0),MATCH(B506,StateCounties[#Headers],0))</f>
        <v>Bertie County</v>
      </c>
      <c r="I506" t="b">
        <f t="shared" si="16"/>
        <v>1</v>
      </c>
    </row>
    <row r="507" spans="2:9">
      <c r="B507" t="s">
        <v>45</v>
      </c>
      <c r="C507" t="s">
        <v>108</v>
      </c>
      <c r="D507" t="s">
        <v>904</v>
      </c>
      <c r="E507" t="str">
        <f t="shared" si="17"/>
        <v>Camden County</v>
      </c>
      <c r="F507" t="s">
        <v>304</v>
      </c>
      <c r="G507" t="str">
        <f>INDEX(StateCounties[],MATCH(D507,StateCounties[North Carolina],0),MATCH(B507,StateCounties[#Headers],0))</f>
        <v>Camden County</v>
      </c>
      <c r="I507" t="b">
        <f t="shared" si="16"/>
        <v>1</v>
      </c>
    </row>
    <row r="508" spans="2:9">
      <c r="B508" t="s">
        <v>45</v>
      </c>
      <c r="C508" t="s">
        <v>108</v>
      </c>
      <c r="D508" t="s">
        <v>938</v>
      </c>
      <c r="E508" t="str">
        <f t="shared" si="17"/>
        <v>Chowan County</v>
      </c>
      <c r="F508" t="s">
        <v>542</v>
      </c>
      <c r="G508" t="str">
        <f>INDEX(StateCounties[],MATCH(D508,StateCounties[North Carolina],0),MATCH(B508,StateCounties[#Headers],0))</f>
        <v>Chowan County</v>
      </c>
      <c r="I508" t="b">
        <f t="shared" si="16"/>
        <v>1</v>
      </c>
    </row>
    <row r="509" spans="2:9">
      <c r="B509" t="s">
        <v>45</v>
      </c>
      <c r="C509" t="s">
        <v>108</v>
      </c>
      <c r="D509" t="s">
        <v>972</v>
      </c>
      <c r="E509" t="str">
        <f t="shared" si="17"/>
        <v>Currituck County</v>
      </c>
      <c r="F509" t="s">
        <v>543</v>
      </c>
      <c r="G509" t="str">
        <f>INDEX(StateCounties[],MATCH(D509,StateCounties[North Carolina],0),MATCH(B509,StateCounties[#Headers],0))</f>
        <v>Currituck County</v>
      </c>
      <c r="I509" t="b">
        <f t="shared" si="16"/>
        <v>1</v>
      </c>
    </row>
    <row r="510" spans="2:9">
      <c r="B510" t="s">
        <v>45</v>
      </c>
      <c r="C510" t="s">
        <v>108</v>
      </c>
      <c r="D510" t="s">
        <v>1021</v>
      </c>
      <c r="E510" t="str">
        <f t="shared" si="17"/>
        <v>Gates County</v>
      </c>
      <c r="F510" t="s">
        <v>544</v>
      </c>
      <c r="G510" t="str">
        <f>INDEX(StateCounties[],MATCH(D510,StateCounties[North Carolina],0),MATCH(B510,StateCounties[#Headers],0))</f>
        <v>Gates County</v>
      </c>
      <c r="I510" t="b">
        <f t="shared" si="16"/>
        <v>1</v>
      </c>
    </row>
    <row r="511" spans="2:9">
      <c r="B511" t="s">
        <v>45</v>
      </c>
      <c r="C511" t="s">
        <v>108</v>
      </c>
      <c r="D511" t="s">
        <v>1047</v>
      </c>
      <c r="E511" t="str">
        <f t="shared" si="17"/>
        <v>Halifax County</v>
      </c>
      <c r="F511" t="s">
        <v>545</v>
      </c>
      <c r="G511" t="str">
        <f>INDEX(StateCounties[],MATCH(D511,StateCounties[North Carolina],0),MATCH(B511,StateCounties[#Headers],0))</f>
        <v>Halifax County</v>
      </c>
      <c r="I511" t="b">
        <f t="shared" si="16"/>
        <v>1</v>
      </c>
    </row>
    <row r="512" spans="2:9">
      <c r="B512" t="s">
        <v>45</v>
      </c>
      <c r="C512" t="s">
        <v>108</v>
      </c>
      <c r="D512" t="s">
        <v>1063</v>
      </c>
      <c r="E512" t="str">
        <f t="shared" si="17"/>
        <v>Hertford County</v>
      </c>
      <c r="F512" t="s">
        <v>546</v>
      </c>
      <c r="G512" t="str">
        <f>INDEX(StateCounties[],MATCH(D512,StateCounties[North Carolina],0),MATCH(B512,StateCounties[#Headers],0))</f>
        <v>Hertford County</v>
      </c>
      <c r="I512" t="b">
        <f t="shared" si="16"/>
        <v>1</v>
      </c>
    </row>
    <row r="513" spans="2:9">
      <c r="B513" t="s">
        <v>45</v>
      </c>
      <c r="C513" t="s">
        <v>108</v>
      </c>
      <c r="D513" t="s">
        <v>1044</v>
      </c>
      <c r="E513" t="str">
        <f t="shared" si="17"/>
        <v>Martin County</v>
      </c>
      <c r="F513" t="s">
        <v>217</v>
      </c>
      <c r="G513" t="str">
        <f>INDEX(StateCounties[],MATCH(D513,StateCounties[North Carolina],0),MATCH(B513,StateCounties[#Headers],0))</f>
        <v>Martin County</v>
      </c>
      <c r="I513" t="b">
        <f t="shared" si="16"/>
        <v>1</v>
      </c>
    </row>
    <row r="514" spans="2:9">
      <c r="B514" t="s">
        <v>45</v>
      </c>
      <c r="C514" t="s">
        <v>108</v>
      </c>
      <c r="D514" t="s">
        <v>1169</v>
      </c>
      <c r="E514" t="str">
        <f t="shared" si="17"/>
        <v>Northampton County</v>
      </c>
      <c r="F514" t="s">
        <v>547</v>
      </c>
      <c r="G514" t="str">
        <f>INDEX(StateCounties[],MATCH(D514,StateCounties[North Carolina],0),MATCH(B514,StateCounties[#Headers],0))</f>
        <v>Northampton County</v>
      </c>
      <c r="I514" t="b">
        <f t="shared" si="16"/>
        <v>1</v>
      </c>
    </row>
    <row r="515" spans="2:9">
      <c r="B515" t="s">
        <v>45</v>
      </c>
      <c r="C515" t="s">
        <v>108</v>
      </c>
      <c r="D515" t="s">
        <v>1186</v>
      </c>
      <c r="E515" t="str">
        <f t="shared" si="17"/>
        <v>Pasquotank County</v>
      </c>
      <c r="F515" t="s">
        <v>548</v>
      </c>
      <c r="G515" t="str">
        <f>INDEX(StateCounties[],MATCH(D515,StateCounties[North Carolina],0),MATCH(B515,StateCounties[#Headers],0))</f>
        <v>Pasquotank County</v>
      </c>
      <c r="I515" t="b">
        <f t="shared" si="16"/>
        <v>1</v>
      </c>
    </row>
    <row r="516" spans="2:9">
      <c r="B516" t="s">
        <v>45</v>
      </c>
      <c r="C516" t="s">
        <v>108</v>
      </c>
      <c r="D516" t="s">
        <v>1194</v>
      </c>
      <c r="E516" t="str">
        <f t="shared" si="17"/>
        <v>Perquimans County</v>
      </c>
      <c r="F516" t="s">
        <v>549</v>
      </c>
      <c r="G516" t="str">
        <f>INDEX(StateCounties[],MATCH(D516,StateCounties[North Carolina],0),MATCH(B516,StateCounties[#Headers],0))</f>
        <v>Perquimans County</v>
      </c>
      <c r="I516" t="b">
        <f t="shared" ref="I516:I579" si="18">E516=D516</f>
        <v>1</v>
      </c>
    </row>
    <row r="517" spans="2:9">
      <c r="B517" t="s">
        <v>45</v>
      </c>
      <c r="C517" t="s">
        <v>112</v>
      </c>
      <c r="D517" t="s">
        <v>919</v>
      </c>
      <c r="E517" t="str">
        <f t="shared" si="17"/>
        <v>Franklin County</v>
      </c>
      <c r="F517" t="s">
        <v>134</v>
      </c>
      <c r="G517" t="str">
        <f>INDEX(StateCounties[],MATCH(D517,StateCounties[North Carolina],0),MATCH(B517,StateCounties[#Headers],0))</f>
        <v>Franklin County</v>
      </c>
      <c r="I517" t="b">
        <f t="shared" si="18"/>
        <v>1</v>
      </c>
    </row>
    <row r="518" spans="2:9">
      <c r="B518" t="s">
        <v>45</v>
      </c>
      <c r="C518" t="s">
        <v>112</v>
      </c>
      <c r="D518" t="s">
        <v>1089</v>
      </c>
      <c r="E518" t="str">
        <f t="shared" si="17"/>
        <v>Johnston County</v>
      </c>
      <c r="F518" t="s">
        <v>550</v>
      </c>
      <c r="G518" t="str">
        <f>INDEX(StateCounties[],MATCH(D518,StateCounties[North Carolina],0),MATCH(B518,StateCounties[#Headers],0))</f>
        <v>Johnston County</v>
      </c>
      <c r="I518" t="b">
        <f t="shared" si="18"/>
        <v>1</v>
      </c>
    </row>
    <row r="519" spans="2:9">
      <c r="B519" t="s">
        <v>45</v>
      </c>
      <c r="C519" t="s">
        <v>112</v>
      </c>
      <c r="D519" t="s">
        <v>1254</v>
      </c>
      <c r="E519" t="str">
        <f t="shared" si="17"/>
        <v>Wake County</v>
      </c>
      <c r="F519" t="s">
        <v>551</v>
      </c>
      <c r="G519" t="str">
        <f>INDEX(StateCounties[],MATCH(D519,StateCounties[North Carolina],0),MATCH(B519,StateCounties[#Headers],0))</f>
        <v>Wake County</v>
      </c>
      <c r="I519" t="b">
        <f t="shared" si="18"/>
        <v>1</v>
      </c>
    </row>
    <row r="520" spans="2:9">
      <c r="B520" t="s">
        <v>45</v>
      </c>
      <c r="C520" t="s">
        <v>167</v>
      </c>
      <c r="D520" t="s">
        <v>1002</v>
      </c>
      <c r="E520" t="str">
        <f t="shared" si="17"/>
        <v>Edgecombe County</v>
      </c>
      <c r="F520" t="s">
        <v>552</v>
      </c>
      <c r="G520" t="str">
        <f>INDEX(StateCounties[],MATCH(D520,StateCounties[North Carolina],0),MATCH(B520,StateCounties[#Headers],0))</f>
        <v>Edgecombe County</v>
      </c>
      <c r="I520" t="b">
        <f t="shared" si="18"/>
        <v>1</v>
      </c>
    </row>
    <row r="521" spans="2:9">
      <c r="B521" t="s">
        <v>45</v>
      </c>
      <c r="C521" t="s">
        <v>167</v>
      </c>
      <c r="D521" t="s">
        <v>937</v>
      </c>
      <c r="E521" t="str">
        <f t="shared" si="17"/>
        <v>Greene County</v>
      </c>
      <c r="F521" t="s">
        <v>109</v>
      </c>
      <c r="G521" t="str">
        <f>INDEX(StateCounties[],MATCH(D521,StateCounties[North Carolina],0),MATCH(B521,StateCounties[#Headers],0))</f>
        <v>Greene County</v>
      </c>
      <c r="I521" t="b">
        <f t="shared" si="18"/>
        <v>1</v>
      </c>
    </row>
    <row r="522" spans="2:9">
      <c r="B522" t="s">
        <v>45</v>
      </c>
      <c r="C522" t="s">
        <v>167</v>
      </c>
      <c r="D522" t="s">
        <v>1158</v>
      </c>
      <c r="E522" t="str">
        <f t="shared" si="17"/>
        <v>Nash County</v>
      </c>
      <c r="F522" t="s">
        <v>553</v>
      </c>
      <c r="G522" t="str">
        <f>INDEX(StateCounties[],MATCH(D522,StateCounties[North Carolina],0),MATCH(B522,StateCounties[#Headers],0))</f>
        <v>Nash County</v>
      </c>
      <c r="I522" t="b">
        <f t="shared" si="18"/>
        <v>1</v>
      </c>
    </row>
    <row r="523" spans="2:9">
      <c r="B523" t="s">
        <v>45</v>
      </c>
      <c r="C523" t="s">
        <v>167</v>
      </c>
      <c r="D523" t="s">
        <v>1203</v>
      </c>
      <c r="E523" t="str">
        <f t="shared" si="17"/>
        <v>Pitt County</v>
      </c>
      <c r="F523" t="s">
        <v>554</v>
      </c>
      <c r="G523" t="str">
        <f>INDEX(StateCounties[],MATCH(D523,StateCounties[North Carolina],0),MATCH(B523,StateCounties[#Headers],0))</f>
        <v>Pitt County</v>
      </c>
      <c r="I523" t="b">
        <f t="shared" si="18"/>
        <v>1</v>
      </c>
    </row>
    <row r="524" spans="2:9">
      <c r="B524" t="s">
        <v>45</v>
      </c>
      <c r="C524" t="s">
        <v>167</v>
      </c>
      <c r="D524" t="s">
        <v>1265</v>
      </c>
      <c r="E524" t="str">
        <f t="shared" si="17"/>
        <v>Wilson County</v>
      </c>
      <c r="F524" t="s">
        <v>555</v>
      </c>
      <c r="G524" t="str">
        <f>INDEX(StateCounties[],MATCH(D524,StateCounties[North Carolina],0),MATCH(B524,StateCounties[#Headers],0))</f>
        <v>Wilson County</v>
      </c>
      <c r="I524" t="b">
        <f t="shared" si="18"/>
        <v>1</v>
      </c>
    </row>
    <row r="525" spans="2:9">
      <c r="B525" t="s">
        <v>45</v>
      </c>
      <c r="C525" t="s">
        <v>167</v>
      </c>
      <c r="D525" t="s">
        <v>1209</v>
      </c>
      <c r="E525" t="str">
        <f t="shared" si="17"/>
        <v>Wayne County</v>
      </c>
      <c r="F525" t="s">
        <v>310</v>
      </c>
      <c r="G525" t="str">
        <f>INDEX(StateCounties[],MATCH(D525,StateCounties[North Carolina],0),MATCH(B525,StateCounties[#Headers],0))</f>
        <v>Wayne County</v>
      </c>
      <c r="I525" t="b">
        <f t="shared" si="18"/>
        <v>1</v>
      </c>
    </row>
    <row r="526" spans="2:9">
      <c r="B526" t="s">
        <v>45</v>
      </c>
      <c r="C526" t="s">
        <v>169</v>
      </c>
      <c r="D526" t="s">
        <v>876</v>
      </c>
      <c r="E526" t="str">
        <f t="shared" si="17"/>
        <v>Brunswick County</v>
      </c>
      <c r="F526" t="s">
        <v>556</v>
      </c>
      <c r="G526" t="str">
        <f>INDEX(StateCounties[],MATCH(D526,StateCounties[North Carolina],0),MATCH(B526,StateCounties[#Headers],0))</f>
        <v>Brunswick County</v>
      </c>
      <c r="I526" t="b">
        <f t="shared" si="18"/>
        <v>1</v>
      </c>
    </row>
    <row r="527" spans="2:9">
      <c r="B527" t="s">
        <v>45</v>
      </c>
      <c r="C527" t="s">
        <v>169</v>
      </c>
      <c r="D527" t="s">
        <v>957</v>
      </c>
      <c r="E527" t="str">
        <f t="shared" si="17"/>
        <v>Columbus County</v>
      </c>
      <c r="F527" t="s">
        <v>557</v>
      </c>
      <c r="G527" t="str">
        <f>INDEX(StateCounties[],MATCH(D527,StateCounties[North Carolina],0),MATCH(B527,StateCounties[#Headers],0))</f>
        <v>Columbus County</v>
      </c>
      <c r="I527" t="b">
        <f t="shared" si="18"/>
        <v>1</v>
      </c>
    </row>
    <row r="528" spans="2:9">
      <c r="B528" t="s">
        <v>45</v>
      </c>
      <c r="C528" t="s">
        <v>169</v>
      </c>
      <c r="D528" t="s">
        <v>990</v>
      </c>
      <c r="E528" t="str">
        <f t="shared" si="17"/>
        <v>Duplin County</v>
      </c>
      <c r="F528" t="s">
        <v>558</v>
      </c>
      <c r="G528" t="str">
        <f>INDEX(StateCounties[],MATCH(D528,StateCounties[North Carolina],0),MATCH(B528,StateCounties[#Headers],0))</f>
        <v>Duplin County</v>
      </c>
      <c r="I528" t="b">
        <f t="shared" si="18"/>
        <v>1</v>
      </c>
    </row>
    <row r="529" spans="2:9">
      <c r="B529" t="s">
        <v>45</v>
      </c>
      <c r="C529" t="s">
        <v>169</v>
      </c>
      <c r="D529" t="s">
        <v>1164</v>
      </c>
      <c r="E529" t="str">
        <f t="shared" si="17"/>
        <v>New Hanover County</v>
      </c>
      <c r="F529" t="s">
        <v>559</v>
      </c>
      <c r="G529" t="str">
        <f>INDEX(StateCounties[],MATCH(D529,StateCounties[North Carolina],0),MATCH(B529,StateCounties[#Headers],0))</f>
        <v>New Hanover County</v>
      </c>
      <c r="I529" t="b">
        <f t="shared" si="18"/>
        <v>1</v>
      </c>
    </row>
    <row r="530" spans="2:9">
      <c r="B530" t="s">
        <v>45</v>
      </c>
      <c r="C530" t="s">
        <v>169</v>
      </c>
      <c r="D530" t="s">
        <v>1174</v>
      </c>
      <c r="E530" t="str">
        <f t="shared" si="17"/>
        <v>Onslow County</v>
      </c>
      <c r="F530" t="s">
        <v>560</v>
      </c>
      <c r="G530" t="str">
        <f>INDEX(StateCounties[],MATCH(D530,StateCounties[North Carolina],0),MATCH(B530,StateCounties[#Headers],0))</f>
        <v>Onslow County</v>
      </c>
      <c r="I530" t="b">
        <f t="shared" si="18"/>
        <v>1</v>
      </c>
    </row>
    <row r="531" spans="2:9">
      <c r="B531" t="s">
        <v>45</v>
      </c>
      <c r="C531" t="s">
        <v>169</v>
      </c>
      <c r="D531" t="s">
        <v>1190</v>
      </c>
      <c r="E531" t="str">
        <f t="shared" si="17"/>
        <v>Pender County</v>
      </c>
      <c r="F531" t="s">
        <v>561</v>
      </c>
      <c r="G531" t="str">
        <f>INDEX(StateCounties[],MATCH(D531,StateCounties[North Carolina],0),MATCH(B531,StateCounties[#Headers],0))</f>
        <v>Pender County</v>
      </c>
      <c r="I531" t="b">
        <f t="shared" si="18"/>
        <v>1</v>
      </c>
    </row>
    <row r="532" spans="2:9">
      <c r="B532" t="s">
        <v>45</v>
      </c>
      <c r="C532" t="s">
        <v>171</v>
      </c>
      <c r="D532" t="s">
        <v>857</v>
      </c>
      <c r="E532" t="str">
        <f t="shared" si="17"/>
        <v>Beaufort County</v>
      </c>
      <c r="F532" t="s">
        <v>562</v>
      </c>
      <c r="G532" t="str">
        <f>INDEX(StateCounties[],MATCH(D532,StateCounties[North Carolina],0),MATCH(B532,StateCounties[#Headers],0))</f>
        <v>Beaufort County</v>
      </c>
      <c r="I532" t="b">
        <f t="shared" si="18"/>
        <v>1</v>
      </c>
    </row>
    <row r="533" spans="2:9">
      <c r="B533" t="s">
        <v>45</v>
      </c>
      <c r="C533" t="s">
        <v>171</v>
      </c>
      <c r="D533" t="s">
        <v>911</v>
      </c>
      <c r="E533" t="str">
        <f t="shared" si="17"/>
        <v>Carteret County</v>
      </c>
      <c r="F533" t="s">
        <v>563</v>
      </c>
      <c r="G533" t="str">
        <f>INDEX(StateCounties[],MATCH(D533,StateCounties[North Carolina],0),MATCH(B533,StateCounties[#Headers],0))</f>
        <v>Carteret County</v>
      </c>
      <c r="I533" t="b">
        <f t="shared" si="18"/>
        <v>1</v>
      </c>
    </row>
    <row r="534" spans="2:9">
      <c r="B534" t="s">
        <v>45</v>
      </c>
      <c r="C534" t="s">
        <v>171</v>
      </c>
      <c r="D534" t="s">
        <v>961</v>
      </c>
      <c r="E534" t="str">
        <f t="shared" si="17"/>
        <v>Craven County</v>
      </c>
      <c r="F534" t="s">
        <v>564</v>
      </c>
      <c r="G534" t="str">
        <f>INDEX(StateCounties[],MATCH(D534,StateCounties[North Carolina],0),MATCH(B534,StateCounties[#Headers],0))</f>
        <v>Craven County</v>
      </c>
      <c r="I534" t="b">
        <f t="shared" si="18"/>
        <v>1</v>
      </c>
    </row>
    <row r="535" spans="2:9">
      <c r="B535" t="s">
        <v>45</v>
      </c>
      <c r="C535" t="s">
        <v>171</v>
      </c>
      <c r="D535" t="s">
        <v>978</v>
      </c>
      <c r="E535" t="str">
        <f t="shared" si="17"/>
        <v>Dare County</v>
      </c>
      <c r="F535" t="s">
        <v>565</v>
      </c>
      <c r="G535" t="str">
        <f>INDEX(StateCounties[],MATCH(D535,StateCounties[North Carolina],0),MATCH(B535,StateCounties[#Headers],0))</f>
        <v>Dare County</v>
      </c>
      <c r="I535" t="b">
        <f t="shared" si="18"/>
        <v>1</v>
      </c>
    </row>
    <row r="536" spans="2:9">
      <c r="B536" t="s">
        <v>45</v>
      </c>
      <c r="C536" t="s">
        <v>171</v>
      </c>
      <c r="D536" t="s">
        <v>1074</v>
      </c>
      <c r="E536" t="str">
        <f t="shared" si="17"/>
        <v>Hyde County</v>
      </c>
      <c r="F536" t="s">
        <v>566</v>
      </c>
      <c r="G536" t="str">
        <f>INDEX(StateCounties[],MATCH(D536,StateCounties[North Carolina],0),MATCH(B536,StateCounties[#Headers],0))</f>
        <v>Hyde County</v>
      </c>
      <c r="I536" t="b">
        <f t="shared" si="18"/>
        <v>1</v>
      </c>
    </row>
    <row r="537" spans="2:9">
      <c r="B537" t="s">
        <v>45</v>
      </c>
      <c r="C537" t="s">
        <v>171</v>
      </c>
      <c r="D537" t="s">
        <v>1006</v>
      </c>
      <c r="E537" t="str">
        <f t="shared" si="17"/>
        <v>Jones County</v>
      </c>
      <c r="F537" t="s">
        <v>348</v>
      </c>
      <c r="G537" t="str">
        <f>INDEX(StateCounties[],MATCH(D537,StateCounties[North Carolina],0),MATCH(B537,StateCounties[#Headers],0))</f>
        <v>Jones County</v>
      </c>
      <c r="I537" t="b">
        <f t="shared" si="18"/>
        <v>1</v>
      </c>
    </row>
    <row r="538" spans="2:9">
      <c r="B538" t="s">
        <v>45</v>
      </c>
      <c r="C538" t="s">
        <v>171</v>
      </c>
      <c r="D538" t="s">
        <v>1182</v>
      </c>
      <c r="E538" t="str">
        <f t="shared" si="17"/>
        <v>Pamlico County</v>
      </c>
      <c r="F538" t="s">
        <v>567</v>
      </c>
      <c r="G538" t="str">
        <f>INDEX(StateCounties[],MATCH(D538,StateCounties[North Carolina],0),MATCH(B538,StateCounties[#Headers],0))</f>
        <v>Pamlico County</v>
      </c>
      <c r="I538" t="b">
        <f t="shared" si="18"/>
        <v>1</v>
      </c>
    </row>
    <row r="539" spans="2:9">
      <c r="B539" t="s">
        <v>45</v>
      </c>
      <c r="C539" t="s">
        <v>171</v>
      </c>
      <c r="D539" t="s">
        <v>1248</v>
      </c>
      <c r="E539" t="str">
        <f t="shared" si="17"/>
        <v>Tyrrell County</v>
      </c>
      <c r="F539" t="s">
        <v>568</v>
      </c>
      <c r="G539" t="str">
        <f>INDEX(StateCounties[],MATCH(D539,StateCounties[North Carolina],0),MATCH(B539,StateCounties[#Headers],0))</f>
        <v>Tyrrell County</v>
      </c>
      <c r="I539" t="b">
        <f t="shared" si="18"/>
        <v>1</v>
      </c>
    </row>
    <row r="540" spans="2:9">
      <c r="B540" t="s">
        <v>45</v>
      </c>
      <c r="C540" t="s">
        <v>171</v>
      </c>
      <c r="D540" t="s">
        <v>1160</v>
      </c>
      <c r="E540" t="str">
        <f t="shared" si="17"/>
        <v>Washington County</v>
      </c>
      <c r="F540" t="s">
        <v>59</v>
      </c>
      <c r="G540" t="str">
        <f>INDEX(StateCounties[],MATCH(D540,StateCounties[North Carolina],0),MATCH(B540,StateCounties[#Headers],0))</f>
        <v>Washington County</v>
      </c>
      <c r="I540" t="b">
        <f t="shared" si="18"/>
        <v>1</v>
      </c>
    </row>
    <row r="541" spans="2:9">
      <c r="B541" t="s">
        <v>45</v>
      </c>
      <c r="C541" t="s">
        <v>171</v>
      </c>
      <c r="D541" t="s">
        <v>1106</v>
      </c>
      <c r="E541" t="str">
        <f t="shared" si="17"/>
        <v>Lenoir County</v>
      </c>
      <c r="F541" t="s">
        <v>569</v>
      </c>
      <c r="G541" t="str">
        <f>INDEX(StateCounties[],MATCH(D541,StateCounties[North Carolina],0),MATCH(B541,StateCounties[#Headers],0))</f>
        <v>Lenoir County</v>
      </c>
      <c r="I541" t="b">
        <f t="shared" si="18"/>
        <v>1</v>
      </c>
    </row>
    <row r="542" spans="2:9">
      <c r="B542" t="s">
        <v>54</v>
      </c>
      <c r="C542" t="s">
        <v>72</v>
      </c>
      <c r="D542" t="s">
        <v>877</v>
      </c>
      <c r="E542" t="str">
        <f t="shared" si="17"/>
        <v>Carter County</v>
      </c>
      <c r="F542" t="s">
        <v>571</v>
      </c>
      <c r="G542" t="str">
        <f>INDEX(StateCounties[],MATCH(D542,StateCounties[Tennessee],0),MATCH(B542,StateCounties[#Headers],0))</f>
        <v>Carter County</v>
      </c>
      <c r="I542" t="b">
        <f t="shared" si="18"/>
        <v>1</v>
      </c>
    </row>
    <row r="543" spans="2:9">
      <c r="B543" t="s">
        <v>54</v>
      </c>
      <c r="C543" t="s">
        <v>72</v>
      </c>
      <c r="D543" t="s">
        <v>937</v>
      </c>
      <c r="E543" t="str">
        <f t="shared" si="17"/>
        <v>Greene County</v>
      </c>
      <c r="F543" t="s">
        <v>109</v>
      </c>
      <c r="G543" t="str">
        <f>INDEX(StateCounties[],MATCH(D543,StateCounties[Tennessee],0),MATCH(B543,StateCounties[#Headers],0))</f>
        <v>Greene County</v>
      </c>
      <c r="I543" t="b">
        <f t="shared" si="18"/>
        <v>1</v>
      </c>
    </row>
    <row r="544" spans="2:9">
      <c r="B544" t="s">
        <v>54</v>
      </c>
      <c r="C544" t="s">
        <v>72</v>
      </c>
      <c r="D544" t="s">
        <v>949</v>
      </c>
      <c r="E544" t="str">
        <f t="shared" si="17"/>
        <v>Hancock County</v>
      </c>
      <c r="F544" t="s">
        <v>382</v>
      </c>
      <c r="G544" t="str">
        <f>INDEX(StateCounties[],MATCH(D544,StateCounties[Tennessee],0),MATCH(B544,StateCounties[#Headers],0))</f>
        <v>Hancock County</v>
      </c>
      <c r="I544" t="b">
        <f t="shared" si="18"/>
        <v>1</v>
      </c>
    </row>
    <row r="545" spans="2:9">
      <c r="B545" t="s">
        <v>54</v>
      </c>
      <c r="C545" t="s">
        <v>72</v>
      </c>
      <c r="D545" t="s">
        <v>1022</v>
      </c>
      <c r="E545" t="str">
        <f t="shared" si="17"/>
        <v>Hawkins County</v>
      </c>
      <c r="F545" t="s">
        <v>572</v>
      </c>
      <c r="G545" t="str">
        <f>INDEX(StateCounties[],MATCH(D545,StateCounties[Tennessee],0),MATCH(B545,StateCounties[#Headers],0))</f>
        <v>Hawkins County</v>
      </c>
      <c r="I545" t="b">
        <f t="shared" si="18"/>
        <v>1</v>
      </c>
    </row>
    <row r="546" spans="2:9">
      <c r="B546" t="s">
        <v>54</v>
      </c>
      <c r="C546" t="s">
        <v>72</v>
      </c>
      <c r="D546" t="s">
        <v>1064</v>
      </c>
      <c r="E546" t="str">
        <f t="shared" si="17"/>
        <v>Johnson County</v>
      </c>
      <c r="F546" t="s">
        <v>338</v>
      </c>
      <c r="G546" t="str">
        <f>INDEX(StateCounties[],MATCH(D546,StateCounties[Tennessee],0),MATCH(B546,StateCounties[#Headers],0))</f>
        <v>Johnson County</v>
      </c>
      <c r="I546" t="b">
        <f t="shared" si="18"/>
        <v>1</v>
      </c>
    </row>
    <row r="547" spans="2:9">
      <c r="B547" t="s">
        <v>54</v>
      </c>
      <c r="C547" t="s">
        <v>72</v>
      </c>
      <c r="D547" t="s">
        <v>1227</v>
      </c>
      <c r="E547" t="str">
        <f t="shared" si="17"/>
        <v>Sullivan County</v>
      </c>
      <c r="F547" t="s">
        <v>573</v>
      </c>
      <c r="G547" t="str">
        <f>INDEX(StateCounties[],MATCH(D547,StateCounties[Tennessee],0),MATCH(B547,StateCounties[#Headers],0))</f>
        <v>Sullivan County</v>
      </c>
      <c r="I547" t="b">
        <f t="shared" si="18"/>
        <v>1</v>
      </c>
    </row>
    <row r="548" spans="2:9">
      <c r="B548" t="s">
        <v>54</v>
      </c>
      <c r="C548" t="s">
        <v>72</v>
      </c>
      <c r="D548" t="s">
        <v>1240</v>
      </c>
      <c r="E548" t="str">
        <f t="shared" si="17"/>
        <v>Unicoi County</v>
      </c>
      <c r="F548" t="s">
        <v>574</v>
      </c>
      <c r="G548" t="str">
        <f>INDEX(StateCounties[],MATCH(D548,StateCounties[Tennessee],0),MATCH(B548,StateCounties[#Headers],0))</f>
        <v>Unicoi County</v>
      </c>
      <c r="I548" t="b">
        <f t="shared" si="18"/>
        <v>1</v>
      </c>
    </row>
    <row r="549" spans="2:9">
      <c r="B549" t="s">
        <v>54</v>
      </c>
      <c r="C549" t="s">
        <v>72</v>
      </c>
      <c r="D549" t="s">
        <v>1160</v>
      </c>
      <c r="E549" t="str">
        <f t="shared" si="17"/>
        <v>Washington County</v>
      </c>
      <c r="F549" t="s">
        <v>59</v>
      </c>
      <c r="G549" t="str">
        <f>INDEX(StateCounties[],MATCH(D549,StateCounties[Tennessee],0),MATCH(B549,StateCounties[#Headers],0))</f>
        <v>Washington County</v>
      </c>
      <c r="I549" t="b">
        <f t="shared" si="18"/>
        <v>1</v>
      </c>
    </row>
    <row r="550" spans="2:9">
      <c r="B550" t="s">
        <v>54</v>
      </c>
      <c r="C550" t="s">
        <v>74</v>
      </c>
      <c r="D550" t="s">
        <v>822</v>
      </c>
      <c r="E550" t="str">
        <f t="shared" si="17"/>
        <v>Anderson County</v>
      </c>
      <c r="F550" t="s">
        <v>575</v>
      </c>
      <c r="G550" t="str">
        <f>INDEX(StateCounties[],MATCH(D550,StateCounties[Tennessee],0),MATCH(B550,StateCounties[#Headers],0))</f>
        <v>Anderson County</v>
      </c>
      <c r="I550" t="b">
        <f t="shared" si="18"/>
        <v>1</v>
      </c>
    </row>
    <row r="551" spans="2:9">
      <c r="B551" t="s">
        <v>54</v>
      </c>
      <c r="C551" t="s">
        <v>74</v>
      </c>
      <c r="D551" t="s">
        <v>843</v>
      </c>
      <c r="E551" t="str">
        <f t="shared" si="17"/>
        <v>Blount County</v>
      </c>
      <c r="F551" t="s">
        <v>78</v>
      </c>
      <c r="G551" t="str">
        <f>INDEX(StateCounties[],MATCH(D551,StateCounties[Tennessee],0),MATCH(B551,StateCounties[#Headers],0))</f>
        <v>Blount County</v>
      </c>
      <c r="I551" t="b">
        <f t="shared" si="18"/>
        <v>1</v>
      </c>
    </row>
    <row r="552" spans="2:9">
      <c r="B552" t="s">
        <v>54</v>
      </c>
      <c r="C552" t="s">
        <v>74</v>
      </c>
      <c r="D552" t="s">
        <v>858</v>
      </c>
      <c r="E552" t="str">
        <f t="shared" si="17"/>
        <v>Campbell County</v>
      </c>
      <c r="F552" t="s">
        <v>576</v>
      </c>
      <c r="G552" t="str">
        <f>INDEX(StateCounties[],MATCH(D552,StateCounties[Tennessee],0),MATCH(B552,StateCounties[#Headers],0))</f>
        <v>Campbell County</v>
      </c>
      <c r="I552" t="b">
        <f t="shared" si="18"/>
        <v>1</v>
      </c>
    </row>
    <row r="553" spans="2:9">
      <c r="B553" t="s">
        <v>54</v>
      </c>
      <c r="C553" t="s">
        <v>74</v>
      </c>
      <c r="D553" t="s">
        <v>881</v>
      </c>
      <c r="E553" t="str">
        <f t="shared" ref="E553:E616" si="19">F553&amp; " County"</f>
        <v>Claiborne County</v>
      </c>
      <c r="F553" t="s">
        <v>472</v>
      </c>
      <c r="G553" t="str">
        <f>INDEX(StateCounties[],MATCH(D553,StateCounties[Tennessee],0),MATCH(B553,StateCounties[#Headers],0))</f>
        <v>Claiborne County</v>
      </c>
      <c r="I553" t="b">
        <f t="shared" si="18"/>
        <v>1</v>
      </c>
    </row>
    <row r="554" spans="2:9">
      <c r="B554" t="s">
        <v>54</v>
      </c>
      <c r="C554" t="s">
        <v>74</v>
      </c>
      <c r="D554" t="s">
        <v>905</v>
      </c>
      <c r="E554" t="str">
        <f t="shared" si="19"/>
        <v>Cocke County</v>
      </c>
      <c r="F554" t="s">
        <v>577</v>
      </c>
      <c r="G554" t="str">
        <f>INDEX(StateCounties[],MATCH(D554,StateCounties[Tennessee],0),MATCH(B554,StateCounties[#Headers],0))</f>
        <v>Cocke County</v>
      </c>
      <c r="I554" t="b">
        <f t="shared" si="18"/>
        <v>1</v>
      </c>
    </row>
    <row r="555" spans="2:9">
      <c r="B555" t="s">
        <v>54</v>
      </c>
      <c r="C555" t="s">
        <v>74</v>
      </c>
      <c r="D555" t="s">
        <v>981</v>
      </c>
      <c r="E555" t="str">
        <f t="shared" si="19"/>
        <v>Grainger County</v>
      </c>
      <c r="F555" t="s">
        <v>578</v>
      </c>
      <c r="G555" t="str">
        <f>INDEX(StateCounties[],MATCH(D555,StateCounties[Tennessee],0),MATCH(B555,StateCounties[#Headers],0))</f>
        <v>Grainger County</v>
      </c>
      <c r="I555" t="b">
        <f t="shared" si="18"/>
        <v>1</v>
      </c>
    </row>
    <row r="556" spans="2:9">
      <c r="B556" t="s">
        <v>54</v>
      </c>
      <c r="C556" t="s">
        <v>74</v>
      </c>
      <c r="D556" t="s">
        <v>996</v>
      </c>
      <c r="E556" t="str">
        <f t="shared" si="19"/>
        <v>Hamblen County</v>
      </c>
      <c r="F556" t="s">
        <v>579</v>
      </c>
      <c r="G556" t="str">
        <f>INDEX(StateCounties[],MATCH(D556,StateCounties[Tennessee],0),MATCH(B556,StateCounties[#Headers],0))</f>
        <v>Hamblen County</v>
      </c>
      <c r="I556" t="b">
        <f t="shared" si="18"/>
        <v>1</v>
      </c>
    </row>
    <row r="557" spans="2:9">
      <c r="B557" t="s">
        <v>54</v>
      </c>
      <c r="C557" t="s">
        <v>74</v>
      </c>
      <c r="D557" t="s">
        <v>993</v>
      </c>
      <c r="E557" t="str">
        <f t="shared" si="19"/>
        <v>Jefferson County</v>
      </c>
      <c r="F557" t="s">
        <v>80</v>
      </c>
      <c r="G557" t="str">
        <f>INDEX(StateCounties[],MATCH(D557,StateCounties[Tennessee],0),MATCH(B557,StateCounties[#Headers],0))</f>
        <v>Jefferson County</v>
      </c>
      <c r="I557" t="b">
        <f t="shared" si="18"/>
        <v>1</v>
      </c>
    </row>
    <row r="558" spans="2:9">
      <c r="B558" t="s">
        <v>54</v>
      </c>
      <c r="C558" t="s">
        <v>74</v>
      </c>
      <c r="D558" t="s">
        <v>1070</v>
      </c>
      <c r="E558" t="str">
        <f t="shared" si="19"/>
        <v>Knox County</v>
      </c>
      <c r="F558" t="s">
        <v>580</v>
      </c>
      <c r="G558" t="str">
        <f>INDEX(StateCounties[],MATCH(D558,StateCounties[Tennessee],0),MATCH(B558,StateCounties[#Headers],0))</f>
        <v>Knox County</v>
      </c>
      <c r="I558" t="b">
        <f t="shared" si="18"/>
        <v>1</v>
      </c>
    </row>
    <row r="559" spans="2:9">
      <c r="B559" t="s">
        <v>54</v>
      </c>
      <c r="C559" t="s">
        <v>74</v>
      </c>
      <c r="D559" t="s">
        <v>1101</v>
      </c>
      <c r="E559" t="str">
        <f t="shared" si="19"/>
        <v>Loudon County</v>
      </c>
      <c r="F559" t="s">
        <v>581</v>
      </c>
      <c r="G559" t="str">
        <f>INDEX(StateCounties[],MATCH(D559,StateCounties[Tennessee],0),MATCH(B559,StateCounties[#Headers],0))</f>
        <v>Loudon County</v>
      </c>
      <c r="I559" t="b">
        <f t="shared" si="18"/>
        <v>1</v>
      </c>
    </row>
    <row r="560" spans="2:9">
      <c r="B560" t="s">
        <v>54</v>
      </c>
      <c r="C560" t="s">
        <v>74</v>
      </c>
      <c r="D560" t="s">
        <v>1055</v>
      </c>
      <c r="E560" t="str">
        <f t="shared" si="19"/>
        <v>Monroe County</v>
      </c>
      <c r="F560" t="s">
        <v>141</v>
      </c>
      <c r="G560" t="str">
        <f>INDEX(StateCounties[],MATCH(D560,StateCounties[Tennessee],0),MATCH(B560,StateCounties[#Headers],0))</f>
        <v>Monroe County</v>
      </c>
      <c r="I560" t="b">
        <f t="shared" si="18"/>
        <v>1</v>
      </c>
    </row>
    <row r="561" spans="2:9">
      <c r="B561" t="s">
        <v>54</v>
      </c>
      <c r="C561" t="s">
        <v>74</v>
      </c>
      <c r="D561" t="s">
        <v>1092</v>
      </c>
      <c r="E561" t="str">
        <f t="shared" si="19"/>
        <v>Morgan County</v>
      </c>
      <c r="F561" t="s">
        <v>88</v>
      </c>
      <c r="G561" t="str">
        <f>INDEX(StateCounties[],MATCH(D561,StateCounties[Tennessee],0),MATCH(B561,StateCounties[#Headers],0))</f>
        <v>Morgan County</v>
      </c>
      <c r="I561" t="b">
        <f t="shared" si="18"/>
        <v>1</v>
      </c>
    </row>
    <row r="562" spans="2:9">
      <c r="B562" t="s">
        <v>54</v>
      </c>
      <c r="C562" t="s">
        <v>74</v>
      </c>
      <c r="D562" t="s">
        <v>1199</v>
      </c>
      <c r="E562" t="str">
        <f t="shared" si="19"/>
        <v>Roane County</v>
      </c>
      <c r="F562" t="s">
        <v>582</v>
      </c>
      <c r="G562" t="str">
        <f>INDEX(StateCounties[],MATCH(D562,StateCounties[Tennessee],0),MATCH(B562,StateCounties[#Headers],0))</f>
        <v>Roane County</v>
      </c>
      <c r="I562" t="b">
        <f t="shared" si="18"/>
        <v>1</v>
      </c>
    </row>
    <row r="563" spans="2:9">
      <c r="B563" t="s">
        <v>54</v>
      </c>
      <c r="C563" t="s">
        <v>74</v>
      </c>
      <c r="D563" t="s">
        <v>1146</v>
      </c>
      <c r="E563" t="str">
        <f t="shared" si="19"/>
        <v>Scott County</v>
      </c>
      <c r="F563" t="s">
        <v>486</v>
      </c>
      <c r="G563" t="str">
        <f>INDEX(StateCounties[],MATCH(D563,StateCounties[Tennessee],0),MATCH(B563,StateCounties[#Headers],0))</f>
        <v>Scott County</v>
      </c>
      <c r="I563" t="b">
        <f t="shared" si="18"/>
        <v>1</v>
      </c>
    </row>
    <row r="564" spans="2:9">
      <c r="B564" t="s">
        <v>54</v>
      </c>
      <c r="C564" t="s">
        <v>74</v>
      </c>
      <c r="D564" t="s">
        <v>1214</v>
      </c>
      <c r="E564" t="str">
        <f t="shared" si="19"/>
        <v>Sevier County</v>
      </c>
      <c r="F564" t="s">
        <v>583</v>
      </c>
      <c r="G564" t="str">
        <f>INDEX(StateCounties[],MATCH(D564,StateCounties[Tennessee],0),MATCH(B564,StateCounties[#Headers],0))</f>
        <v>Sevier County</v>
      </c>
      <c r="I564" t="b">
        <f t="shared" si="18"/>
        <v>1</v>
      </c>
    </row>
    <row r="565" spans="2:9">
      <c r="B565" t="s">
        <v>54</v>
      </c>
      <c r="C565" t="s">
        <v>74</v>
      </c>
      <c r="D565" t="s">
        <v>1149</v>
      </c>
      <c r="E565" t="str">
        <f t="shared" si="19"/>
        <v>Union County</v>
      </c>
      <c r="F565" t="s">
        <v>257</v>
      </c>
      <c r="G565" t="str">
        <f>INDEX(StateCounties[],MATCH(D565,StateCounties[Tennessee],0),MATCH(B565,StateCounties[#Headers],0))</f>
        <v>Union County</v>
      </c>
      <c r="I565" t="b">
        <f t="shared" si="18"/>
        <v>1</v>
      </c>
    </row>
    <row r="566" spans="2:9">
      <c r="B566" t="s">
        <v>54</v>
      </c>
      <c r="C566" t="s">
        <v>76</v>
      </c>
      <c r="D566" t="s">
        <v>841</v>
      </c>
      <c r="E566" t="str">
        <f t="shared" si="19"/>
        <v>Bledsoe County</v>
      </c>
      <c r="F566" t="s">
        <v>584</v>
      </c>
      <c r="G566" t="str">
        <f>INDEX(StateCounties[],MATCH(D566,StateCounties[Tennessee],0),MATCH(B566,StateCounties[#Headers],0))</f>
        <v>Bledsoe County</v>
      </c>
      <c r="I566" t="b">
        <f t="shared" si="18"/>
        <v>1</v>
      </c>
    </row>
    <row r="567" spans="2:9">
      <c r="B567" t="s">
        <v>54</v>
      </c>
      <c r="C567" t="s">
        <v>76</v>
      </c>
      <c r="D567" t="s">
        <v>852</v>
      </c>
      <c r="E567" t="str">
        <f t="shared" si="19"/>
        <v>Bradley County</v>
      </c>
      <c r="F567" t="s">
        <v>585</v>
      </c>
      <c r="G567" t="str">
        <f>INDEX(StateCounties[],MATCH(D567,StateCounties[Tennessee],0),MATCH(B567,StateCounties[#Headers],0))</f>
        <v>Bradley County</v>
      </c>
      <c r="I567" t="b">
        <f t="shared" si="18"/>
        <v>1</v>
      </c>
    </row>
    <row r="568" spans="2:9">
      <c r="B568" t="s">
        <v>54</v>
      </c>
      <c r="C568" t="s">
        <v>76</v>
      </c>
      <c r="D568" t="s">
        <v>919</v>
      </c>
      <c r="E568" t="str">
        <f t="shared" si="19"/>
        <v>Franklin County</v>
      </c>
      <c r="F568" t="s">
        <v>134</v>
      </c>
      <c r="G568" t="str">
        <f>INDEX(StateCounties[],MATCH(D568,StateCounties[Tennessee],0),MATCH(B568,StateCounties[#Headers],0))</f>
        <v>Franklin County</v>
      </c>
      <c r="I568" t="b">
        <f t="shared" si="18"/>
        <v>1</v>
      </c>
    </row>
    <row r="569" spans="2:9">
      <c r="B569" t="s">
        <v>54</v>
      </c>
      <c r="C569" t="s">
        <v>76</v>
      </c>
      <c r="D569" t="s">
        <v>991</v>
      </c>
      <c r="E569" t="str">
        <f t="shared" si="19"/>
        <v>Grundy County</v>
      </c>
      <c r="F569" t="s">
        <v>586</v>
      </c>
      <c r="G569" t="str">
        <f>INDEX(StateCounties[],MATCH(D569,StateCounties[Tennessee],0),MATCH(B569,StateCounties[#Headers],0))</f>
        <v>Grundy County</v>
      </c>
      <c r="I569" t="b">
        <f t="shared" si="18"/>
        <v>1</v>
      </c>
    </row>
    <row r="570" spans="2:9">
      <c r="B570" t="s">
        <v>54</v>
      </c>
      <c r="C570" t="s">
        <v>76</v>
      </c>
      <c r="D570" t="s">
        <v>947</v>
      </c>
      <c r="E570" t="str">
        <f t="shared" si="19"/>
        <v>Hamilton County</v>
      </c>
      <c r="F570" t="s">
        <v>184</v>
      </c>
      <c r="G570" t="str">
        <f>INDEX(StateCounties[],MATCH(D570,StateCounties[Tennessee],0),MATCH(B570,StateCounties[#Headers],0))</f>
        <v>Hamilton County</v>
      </c>
      <c r="I570" t="b">
        <f t="shared" si="18"/>
        <v>1</v>
      </c>
    </row>
    <row r="571" spans="2:9">
      <c r="B571" t="s">
        <v>54</v>
      </c>
      <c r="C571" t="s">
        <v>76</v>
      </c>
      <c r="D571" t="s">
        <v>1038</v>
      </c>
      <c r="E571" t="str">
        <f t="shared" si="19"/>
        <v>Marion County</v>
      </c>
      <c r="F571" t="s">
        <v>138</v>
      </c>
      <c r="G571" t="str">
        <f>INDEX(StateCounties[],MATCH(D571,StateCounties[Tennessee],0),MATCH(B571,StateCounties[#Headers],0))</f>
        <v>Marion County</v>
      </c>
      <c r="I571" t="b">
        <f t="shared" si="18"/>
        <v>1</v>
      </c>
    </row>
    <row r="572" spans="2:9">
      <c r="B572" t="s">
        <v>54</v>
      </c>
      <c r="C572" t="s">
        <v>76</v>
      </c>
      <c r="D572" t="s">
        <v>1107</v>
      </c>
      <c r="E572" t="str">
        <f t="shared" si="19"/>
        <v>McMinn County</v>
      </c>
      <c r="F572" t="s">
        <v>587</v>
      </c>
      <c r="G572" t="str">
        <f>INDEX(StateCounties[],MATCH(D572,StateCounties[Tennessee],0),MATCH(B572,StateCounties[#Headers],0))</f>
        <v>McMinn County</v>
      </c>
      <c r="I572" t="b">
        <f t="shared" si="18"/>
        <v>1</v>
      </c>
    </row>
    <row r="573" spans="2:9">
      <c r="B573" t="s">
        <v>54</v>
      </c>
      <c r="C573" t="s">
        <v>76</v>
      </c>
      <c r="D573" t="s">
        <v>1141</v>
      </c>
      <c r="E573" t="str">
        <f t="shared" si="19"/>
        <v>Meigs County</v>
      </c>
      <c r="F573" t="s">
        <v>588</v>
      </c>
      <c r="G573" t="str">
        <f>INDEX(StateCounties[],MATCH(D573,StateCounties[Tennessee],0),MATCH(B573,StateCounties[#Headers],0))</f>
        <v>Meigs County</v>
      </c>
      <c r="I573" t="b">
        <f t="shared" si="18"/>
        <v>1</v>
      </c>
    </row>
    <row r="574" spans="2:9">
      <c r="B574" t="s">
        <v>54</v>
      </c>
      <c r="C574" t="s">
        <v>76</v>
      </c>
      <c r="D574" t="s">
        <v>1098</v>
      </c>
      <c r="E574" t="str">
        <f t="shared" si="19"/>
        <v>Polk County</v>
      </c>
      <c r="F574" t="s">
        <v>238</v>
      </c>
      <c r="G574" t="str">
        <f>INDEX(StateCounties[],MATCH(D574,StateCounties[Tennessee],0),MATCH(B574,StateCounties[#Headers],0))</f>
        <v>Polk County</v>
      </c>
      <c r="I574" t="b">
        <f t="shared" si="18"/>
        <v>1</v>
      </c>
    </row>
    <row r="575" spans="2:9">
      <c r="B575" t="s">
        <v>54</v>
      </c>
      <c r="C575" t="s">
        <v>76</v>
      </c>
      <c r="D575" t="s">
        <v>1195</v>
      </c>
      <c r="E575" t="str">
        <f t="shared" si="19"/>
        <v>Rhea County</v>
      </c>
      <c r="F575" t="s">
        <v>589</v>
      </c>
      <c r="G575" t="str">
        <f>INDEX(StateCounties[],MATCH(D575,StateCounties[Tennessee],0),MATCH(B575,StateCounties[#Headers],0))</f>
        <v>Rhea County</v>
      </c>
      <c r="I575" t="b">
        <f t="shared" si="18"/>
        <v>1</v>
      </c>
    </row>
    <row r="576" spans="2:9">
      <c r="B576" t="s">
        <v>54</v>
      </c>
      <c r="C576" t="s">
        <v>76</v>
      </c>
      <c r="D576" t="s">
        <v>1211</v>
      </c>
      <c r="E576" t="str">
        <f t="shared" si="19"/>
        <v>Sequatchie County</v>
      </c>
      <c r="F576" t="s">
        <v>590</v>
      </c>
      <c r="G576" t="str">
        <f>INDEX(StateCounties[],MATCH(D576,StateCounties[Tennessee],0),MATCH(B576,StateCounties[#Headers],0))</f>
        <v>Sequatchie County</v>
      </c>
      <c r="I576" t="b">
        <f t="shared" si="18"/>
        <v>1</v>
      </c>
    </row>
    <row r="577" spans="2:9">
      <c r="B577" t="s">
        <v>54</v>
      </c>
      <c r="C577" t="s">
        <v>84</v>
      </c>
      <c r="D577" t="s">
        <v>883</v>
      </c>
      <c r="E577" t="str">
        <f t="shared" si="19"/>
        <v>Cheatham County</v>
      </c>
      <c r="F577" t="s">
        <v>591</v>
      </c>
      <c r="G577" t="str">
        <f>INDEX(StateCounties[],MATCH(D577,StateCounties[Tennessee],0),MATCH(B577,StateCounties[#Headers],0))</f>
        <v>Cheatham County</v>
      </c>
      <c r="I577" t="b">
        <f t="shared" si="18"/>
        <v>1</v>
      </c>
    </row>
    <row r="578" spans="2:9">
      <c r="B578" t="s">
        <v>54</v>
      </c>
      <c r="C578" t="s">
        <v>84</v>
      </c>
      <c r="D578" t="s">
        <v>928</v>
      </c>
      <c r="E578" t="str">
        <f t="shared" si="19"/>
        <v>Davidson County</v>
      </c>
      <c r="F578" t="s">
        <v>520</v>
      </c>
      <c r="G578" t="str">
        <f>INDEX(StateCounties[],MATCH(D578,StateCounties[Tennessee],0),MATCH(B578,StateCounties[#Headers],0))</f>
        <v>Davidson County</v>
      </c>
      <c r="I578" t="b">
        <f t="shared" si="18"/>
        <v>1</v>
      </c>
    </row>
    <row r="579" spans="2:9">
      <c r="B579" t="s">
        <v>54</v>
      </c>
      <c r="C579" t="s">
        <v>84</v>
      </c>
      <c r="D579" t="s">
        <v>1079</v>
      </c>
      <c r="E579" t="str">
        <f t="shared" si="19"/>
        <v>Montgomery County</v>
      </c>
      <c r="F579" t="s">
        <v>107</v>
      </c>
      <c r="G579" t="str">
        <f>INDEX(StateCounties[],MATCH(D579,StateCounties[Tennessee],0),MATCH(B579,StateCounties[#Headers],0))</f>
        <v>Montgomery County</v>
      </c>
      <c r="I579" t="b">
        <f t="shared" si="18"/>
        <v>1</v>
      </c>
    </row>
    <row r="580" spans="2:9">
      <c r="B580" t="s">
        <v>54</v>
      </c>
      <c r="C580" t="s">
        <v>84</v>
      </c>
      <c r="D580" t="s">
        <v>1204</v>
      </c>
      <c r="E580" t="str">
        <f t="shared" si="19"/>
        <v>Robertson County</v>
      </c>
      <c r="F580" t="s">
        <v>592</v>
      </c>
      <c r="G580" t="str">
        <f>INDEX(StateCounties[],MATCH(D580,StateCounties[Tennessee],0),MATCH(B580,StateCounties[#Headers],0))</f>
        <v>Robertson County</v>
      </c>
      <c r="I580" t="b">
        <f t="shared" ref="I580:I643" si="20">E580=D580</f>
        <v>1</v>
      </c>
    </row>
    <row r="581" spans="2:9">
      <c r="B581" t="s">
        <v>54</v>
      </c>
      <c r="C581" t="s">
        <v>84</v>
      </c>
      <c r="D581" t="s">
        <v>1206</v>
      </c>
      <c r="E581" t="str">
        <f t="shared" si="19"/>
        <v>Rutherford County</v>
      </c>
      <c r="F581" t="s">
        <v>502</v>
      </c>
      <c r="G581" t="str">
        <f>INDEX(StateCounties[],MATCH(D581,StateCounties[Tennessee],0),MATCH(B581,StateCounties[#Headers],0))</f>
        <v>Rutherford County</v>
      </c>
      <c r="I581" t="b">
        <f t="shared" si="20"/>
        <v>1</v>
      </c>
    </row>
    <row r="582" spans="2:9">
      <c r="B582" t="s">
        <v>54</v>
      </c>
      <c r="C582" t="s">
        <v>84</v>
      </c>
      <c r="D582" t="s">
        <v>1230</v>
      </c>
      <c r="E582" t="str">
        <f t="shared" si="19"/>
        <v>Sumner County</v>
      </c>
      <c r="F582" t="s">
        <v>593</v>
      </c>
      <c r="G582" t="str">
        <f>INDEX(StateCounties[],MATCH(D582,StateCounties[Tennessee],0),MATCH(B582,StateCounties[#Headers],0))</f>
        <v>Sumner County</v>
      </c>
      <c r="I582" t="b">
        <f t="shared" si="20"/>
        <v>1</v>
      </c>
    </row>
    <row r="583" spans="2:9">
      <c r="B583" t="s">
        <v>54</v>
      </c>
      <c r="C583" t="s">
        <v>84</v>
      </c>
      <c r="D583" t="s">
        <v>1236</v>
      </c>
      <c r="E583" t="str">
        <f t="shared" si="19"/>
        <v>Trousdale County</v>
      </c>
      <c r="F583" t="s">
        <v>594</v>
      </c>
      <c r="G583" t="str">
        <f>INDEX(StateCounties[],MATCH(D583,StateCounties[Tennessee],0),MATCH(B583,StateCounties[#Headers],0))</f>
        <v>Trousdale County</v>
      </c>
      <c r="I583" t="b">
        <f t="shared" si="20"/>
        <v>1</v>
      </c>
    </row>
    <row r="584" spans="2:9">
      <c r="B584" t="s">
        <v>54</v>
      </c>
      <c r="C584" t="s">
        <v>84</v>
      </c>
      <c r="D584" t="s">
        <v>1261</v>
      </c>
      <c r="E584" t="str">
        <f t="shared" si="19"/>
        <v>Williamson County</v>
      </c>
      <c r="F584" t="s">
        <v>595</v>
      </c>
      <c r="G584" t="str">
        <f>INDEX(StateCounties[],MATCH(D584,StateCounties[Tennessee],0),MATCH(B584,StateCounties[#Headers],0))</f>
        <v>Williamson County</v>
      </c>
      <c r="I584" t="b">
        <f t="shared" si="20"/>
        <v>1</v>
      </c>
    </row>
    <row r="585" spans="2:9">
      <c r="B585" t="s">
        <v>54</v>
      </c>
      <c r="C585" t="s">
        <v>84</v>
      </c>
      <c r="D585" t="s">
        <v>1265</v>
      </c>
      <c r="E585" t="str">
        <f t="shared" si="19"/>
        <v>Wilson County</v>
      </c>
      <c r="F585" t="s">
        <v>555</v>
      </c>
      <c r="G585" t="str">
        <f>INDEX(StateCounties[],MATCH(D585,StateCounties[Tennessee],0),MATCH(B585,StateCounties[#Headers],0))</f>
        <v>Wilson County</v>
      </c>
      <c r="I585" t="b">
        <f t="shared" si="20"/>
        <v>1</v>
      </c>
    </row>
    <row r="586" spans="2:9">
      <c r="B586" t="s">
        <v>54</v>
      </c>
      <c r="C586" t="s">
        <v>86</v>
      </c>
      <c r="D586" t="s">
        <v>835</v>
      </c>
      <c r="E586" t="str">
        <f t="shared" si="19"/>
        <v>Benton County</v>
      </c>
      <c r="F586" t="s">
        <v>453</v>
      </c>
      <c r="G586" t="str">
        <f>INDEX(StateCounties[],MATCH(D586,StateCounties[Tennessee],0),MATCH(B586,StateCounties[#Headers],0))</f>
        <v>Benton County</v>
      </c>
      <c r="I586" t="b">
        <f t="shared" si="20"/>
        <v>1</v>
      </c>
    </row>
    <row r="587" spans="2:9">
      <c r="B587" t="s">
        <v>54</v>
      </c>
      <c r="C587" t="s">
        <v>86</v>
      </c>
      <c r="D587" t="s">
        <v>862</v>
      </c>
      <c r="E587" t="str">
        <f t="shared" si="19"/>
        <v>Carroll County</v>
      </c>
      <c r="F587" t="s">
        <v>289</v>
      </c>
      <c r="G587" t="str">
        <f>INDEX(StateCounties[],MATCH(D587,StateCounties[Tennessee],0),MATCH(B587,StateCounties[#Headers],0))</f>
        <v>Carroll County</v>
      </c>
      <c r="I587" t="b">
        <f t="shared" si="20"/>
        <v>1</v>
      </c>
    </row>
    <row r="588" spans="2:9">
      <c r="B588" t="s">
        <v>54</v>
      </c>
      <c r="C588" t="s">
        <v>86</v>
      </c>
      <c r="D588" t="s">
        <v>889</v>
      </c>
      <c r="E588" t="str">
        <f t="shared" si="19"/>
        <v>Chester County</v>
      </c>
      <c r="F588" t="s">
        <v>596</v>
      </c>
      <c r="G588" t="str">
        <f>INDEX(StateCounties[],MATCH(D588,StateCounties[Tennessee],0),MATCH(B588,StateCounties[#Headers],0))</f>
        <v>Chester County</v>
      </c>
      <c r="I588" t="b">
        <f t="shared" si="20"/>
        <v>1</v>
      </c>
    </row>
    <row r="589" spans="2:9">
      <c r="B589" t="s">
        <v>54</v>
      </c>
      <c r="C589" t="s">
        <v>86</v>
      </c>
      <c r="D589" t="s">
        <v>916</v>
      </c>
      <c r="E589" t="str">
        <f t="shared" si="19"/>
        <v>Crockett County</v>
      </c>
      <c r="F589" t="s">
        <v>597</v>
      </c>
      <c r="G589" t="str">
        <f>INDEX(StateCounties[],MATCH(D589,StateCounties[Tennessee],0),MATCH(B589,StateCounties[#Headers],0))</f>
        <v>Crockett County</v>
      </c>
      <c r="I589" t="b">
        <f t="shared" si="20"/>
        <v>1</v>
      </c>
    </row>
    <row r="590" spans="2:9">
      <c r="B590" t="s">
        <v>54</v>
      </c>
      <c r="C590" t="s">
        <v>86</v>
      </c>
      <c r="D590" t="s">
        <v>932</v>
      </c>
      <c r="E590" t="str">
        <f t="shared" si="19"/>
        <v>Decatur County</v>
      </c>
      <c r="F590" t="s">
        <v>372</v>
      </c>
      <c r="G590" t="str">
        <f>INDEX(StateCounties[],MATCH(D590,StateCounties[Tennessee],0),MATCH(B590,StateCounties[#Headers],0))</f>
        <v>Decatur County</v>
      </c>
      <c r="I590" t="b">
        <f t="shared" si="20"/>
        <v>1</v>
      </c>
    </row>
    <row r="591" spans="2:9">
      <c r="B591" t="s">
        <v>54</v>
      </c>
      <c r="C591" t="s">
        <v>86</v>
      </c>
      <c r="D591" t="s">
        <v>951</v>
      </c>
      <c r="E591" t="str">
        <f t="shared" si="19"/>
        <v>Dyer County</v>
      </c>
      <c r="F591" t="s">
        <v>598</v>
      </c>
      <c r="G591" t="str">
        <f>INDEX(StateCounties[],MATCH(D591,StateCounties[Tennessee],0),MATCH(B591,StateCounties[#Headers],0))</f>
        <v>Dyer County</v>
      </c>
      <c r="I591" t="b">
        <f t="shared" si="20"/>
        <v>1</v>
      </c>
    </row>
    <row r="592" spans="2:9">
      <c r="B592" t="s">
        <v>54</v>
      </c>
      <c r="C592" t="s">
        <v>86</v>
      </c>
      <c r="D592" t="s">
        <v>973</v>
      </c>
      <c r="E592" t="str">
        <f t="shared" si="19"/>
        <v>Gibson County</v>
      </c>
      <c r="F592" t="s">
        <v>599</v>
      </c>
      <c r="G592" t="str">
        <f>INDEX(StateCounties[],MATCH(D592,StateCounties[Tennessee],0),MATCH(B592,StateCounties[#Headers],0))</f>
        <v>Gibson County</v>
      </c>
      <c r="I592" t="b">
        <f t="shared" si="20"/>
        <v>1</v>
      </c>
    </row>
    <row r="593" spans="2:9">
      <c r="B593" t="s">
        <v>54</v>
      </c>
      <c r="C593" t="s">
        <v>86</v>
      </c>
      <c r="D593" t="s">
        <v>1013</v>
      </c>
      <c r="E593" t="str">
        <f t="shared" si="19"/>
        <v>Hardeman County</v>
      </c>
      <c r="F593" t="s">
        <v>600</v>
      </c>
      <c r="G593" t="str">
        <f>INDEX(StateCounties[],MATCH(D593,StateCounties[Tennessee],0),MATCH(B593,StateCounties[#Headers],0))</f>
        <v>Hardeman County</v>
      </c>
      <c r="I593" t="b">
        <f t="shared" si="20"/>
        <v>1</v>
      </c>
    </row>
    <row r="594" spans="2:9">
      <c r="B594" t="s">
        <v>54</v>
      </c>
      <c r="C594" t="s">
        <v>86</v>
      </c>
      <c r="D594" t="s">
        <v>1017</v>
      </c>
      <c r="E594" t="str">
        <f t="shared" si="19"/>
        <v>Hardin County</v>
      </c>
      <c r="F594" t="s">
        <v>601</v>
      </c>
      <c r="G594" t="str">
        <f>INDEX(StateCounties[],MATCH(D594,StateCounties[Tennessee],0),MATCH(B594,StateCounties[#Headers],0))</f>
        <v>Hardin County</v>
      </c>
      <c r="I594" t="b">
        <f t="shared" si="20"/>
        <v>1</v>
      </c>
    </row>
    <row r="595" spans="2:9">
      <c r="B595" t="s">
        <v>54</v>
      </c>
      <c r="C595" t="s">
        <v>86</v>
      </c>
      <c r="D595" t="s">
        <v>1033</v>
      </c>
      <c r="E595" t="str">
        <f t="shared" si="19"/>
        <v>Henderson County</v>
      </c>
      <c r="F595" t="s">
        <v>500</v>
      </c>
      <c r="G595" t="str">
        <f>INDEX(StateCounties[],MATCH(D595,StateCounties[Tennessee],0),MATCH(B595,StateCounties[#Headers],0))</f>
        <v>Henderson County</v>
      </c>
      <c r="I595" t="b">
        <f t="shared" si="20"/>
        <v>1</v>
      </c>
    </row>
    <row r="596" spans="2:9">
      <c r="B596" t="s">
        <v>54</v>
      </c>
      <c r="C596" t="s">
        <v>86</v>
      </c>
      <c r="D596" t="s">
        <v>1004</v>
      </c>
      <c r="E596" t="str">
        <f t="shared" si="19"/>
        <v>Henry County</v>
      </c>
      <c r="F596" t="s">
        <v>91</v>
      </c>
      <c r="G596" t="str">
        <f>INDEX(StateCounties[],MATCH(D596,StateCounties[Tennessee],0),MATCH(B596,StateCounties[#Headers],0))</f>
        <v>Henry County</v>
      </c>
      <c r="I596" t="b">
        <f t="shared" si="20"/>
        <v>1</v>
      </c>
    </row>
    <row r="597" spans="2:9">
      <c r="B597" t="s">
        <v>54</v>
      </c>
      <c r="C597" t="s">
        <v>86</v>
      </c>
      <c r="D597" t="s">
        <v>1005</v>
      </c>
      <c r="E597" t="str">
        <f t="shared" si="19"/>
        <v>Lake County</v>
      </c>
      <c r="F597" t="s">
        <v>204</v>
      </c>
      <c r="G597" t="str">
        <f>INDEX(StateCounties[],MATCH(D597,StateCounties[Tennessee],0),MATCH(B597,StateCounties[#Headers],0))</f>
        <v>Lake County</v>
      </c>
      <c r="I597" t="b">
        <f t="shared" si="20"/>
        <v>1</v>
      </c>
    </row>
    <row r="598" spans="2:9">
      <c r="B598" t="s">
        <v>54</v>
      </c>
      <c r="C598" t="s">
        <v>86</v>
      </c>
      <c r="D598" t="s">
        <v>1029</v>
      </c>
      <c r="E598" t="str">
        <f t="shared" si="19"/>
        <v>Madison County</v>
      </c>
      <c r="F598" t="s">
        <v>100</v>
      </c>
      <c r="G598" t="str">
        <f>INDEX(StateCounties[],MATCH(D598,StateCounties[Tennessee],0),MATCH(B598,StateCounties[#Headers],0))</f>
        <v>Madison County</v>
      </c>
      <c r="I598" t="b">
        <f t="shared" si="20"/>
        <v>1</v>
      </c>
    </row>
    <row r="599" spans="2:9">
      <c r="B599" t="s">
        <v>54</v>
      </c>
      <c r="C599" t="s">
        <v>86</v>
      </c>
      <c r="D599" t="s">
        <v>1113</v>
      </c>
      <c r="E599" t="str">
        <f t="shared" si="19"/>
        <v>McNairy County</v>
      </c>
      <c r="F599" t="s">
        <v>602</v>
      </c>
      <c r="G599" t="str">
        <f>INDEX(StateCounties[],MATCH(D599,StateCounties[Tennessee],0),MATCH(B599,StateCounties[#Headers],0))</f>
        <v>McNairy County</v>
      </c>
      <c r="I599" t="b">
        <f t="shared" si="20"/>
        <v>1</v>
      </c>
    </row>
    <row r="600" spans="2:9">
      <c r="B600" t="s">
        <v>54</v>
      </c>
      <c r="C600" t="s">
        <v>86</v>
      </c>
      <c r="D600" t="s">
        <v>1170</v>
      </c>
      <c r="E600" t="str">
        <f t="shared" si="19"/>
        <v>Obion County</v>
      </c>
      <c r="F600" t="s">
        <v>603</v>
      </c>
      <c r="G600" t="str">
        <f>INDEX(StateCounties[],MATCH(D600,StateCounties[Tennessee],0),MATCH(B600,StateCounties[#Headers],0))</f>
        <v>Obion County</v>
      </c>
      <c r="I600" t="b">
        <f t="shared" si="20"/>
        <v>1</v>
      </c>
    </row>
    <row r="601" spans="2:9">
      <c r="B601" t="s">
        <v>54</v>
      </c>
      <c r="C601" t="s">
        <v>86</v>
      </c>
      <c r="D601" t="s">
        <v>1255</v>
      </c>
      <c r="E601" t="str">
        <f t="shared" si="19"/>
        <v>Weakley County</v>
      </c>
      <c r="F601" t="s">
        <v>604</v>
      </c>
      <c r="G601" t="str">
        <f>INDEX(StateCounties[],MATCH(D601,StateCounties[Tennessee],0),MATCH(B601,StateCounties[#Headers],0))</f>
        <v>Weakley County</v>
      </c>
      <c r="I601" t="b">
        <f t="shared" si="20"/>
        <v>1</v>
      </c>
    </row>
    <row r="602" spans="2:9">
      <c r="B602" t="s">
        <v>54</v>
      </c>
      <c r="C602" t="s">
        <v>89</v>
      </c>
      <c r="D602" t="s">
        <v>958</v>
      </c>
      <c r="E602" t="str">
        <f t="shared" si="19"/>
        <v>Fayette County</v>
      </c>
      <c r="F602" t="s">
        <v>133</v>
      </c>
      <c r="G602" t="str">
        <f>INDEX(StateCounties[],MATCH(D602,StateCounties[Tennessee],0),MATCH(B602,StateCounties[#Headers],0))</f>
        <v>Fayette County</v>
      </c>
      <c r="I602" t="b">
        <f t="shared" si="20"/>
        <v>1</v>
      </c>
    </row>
    <row r="603" spans="2:9">
      <c r="B603" t="s">
        <v>54</v>
      </c>
      <c r="C603" t="s">
        <v>89</v>
      </c>
      <c r="D603" t="s">
        <v>1027</v>
      </c>
      <c r="E603" t="str">
        <f t="shared" si="19"/>
        <v>Haywood County</v>
      </c>
      <c r="F603" t="s">
        <v>499</v>
      </c>
      <c r="G603" t="str">
        <f>INDEX(StateCounties[],MATCH(D603,StateCounties[Tennessee],0),MATCH(B603,StateCounties[#Headers],0))</f>
        <v>Haywood County</v>
      </c>
      <c r="I603" t="b">
        <f t="shared" si="20"/>
        <v>1</v>
      </c>
    </row>
    <row r="604" spans="2:9">
      <c r="B604" t="s">
        <v>54</v>
      </c>
      <c r="C604" t="s">
        <v>89</v>
      </c>
      <c r="D604" t="s">
        <v>1025</v>
      </c>
      <c r="E604" t="str">
        <f t="shared" si="19"/>
        <v>Lauderdale County</v>
      </c>
      <c r="F604" t="s">
        <v>95</v>
      </c>
      <c r="G604" t="str">
        <f>INDEX(StateCounties[],MATCH(D604,StateCounties[Tennessee],0),MATCH(B604,StateCounties[#Headers],0))</f>
        <v>Lauderdale County</v>
      </c>
      <c r="I604" t="b">
        <f t="shared" si="20"/>
        <v>1</v>
      </c>
    </row>
    <row r="605" spans="2:9">
      <c r="B605" t="s">
        <v>54</v>
      </c>
      <c r="C605" t="s">
        <v>89</v>
      </c>
      <c r="D605" t="s">
        <v>1126</v>
      </c>
      <c r="E605" t="str">
        <f t="shared" si="19"/>
        <v>Shelby County</v>
      </c>
      <c r="F605" t="s">
        <v>82</v>
      </c>
      <c r="G605" t="str">
        <f>INDEX(StateCounties[],MATCH(D605,StateCounties[Tennessee],0),MATCH(B605,StateCounties[#Headers],0))</f>
        <v>Shelby County</v>
      </c>
      <c r="I605" t="b">
        <f t="shared" si="20"/>
        <v>1</v>
      </c>
    </row>
    <row r="606" spans="2:9">
      <c r="B606" t="s">
        <v>54</v>
      </c>
      <c r="C606" t="s">
        <v>89</v>
      </c>
      <c r="D606" t="s">
        <v>1233</v>
      </c>
      <c r="E606" t="str">
        <f t="shared" si="19"/>
        <v>Tipton County</v>
      </c>
      <c r="F606" t="s">
        <v>605</v>
      </c>
      <c r="G606" t="str">
        <f>INDEX(StateCounties[],MATCH(D606,StateCounties[Tennessee],0),MATCH(B606,StateCounties[#Headers],0))</f>
        <v>Tipton County</v>
      </c>
      <c r="I606" t="b">
        <f t="shared" si="20"/>
        <v>1</v>
      </c>
    </row>
    <row r="607" spans="2:9">
      <c r="B607" t="s">
        <v>54</v>
      </c>
      <c r="C607" t="s">
        <v>93</v>
      </c>
      <c r="D607" t="s">
        <v>864</v>
      </c>
      <c r="E607" t="str">
        <f t="shared" si="19"/>
        <v>Cannon County</v>
      </c>
      <c r="F607" t="s">
        <v>606</v>
      </c>
      <c r="G607" t="str">
        <f>INDEX(StateCounties[],MATCH(D607,StateCounties[Tennessee],0),MATCH(B607,StateCounties[#Headers],0))</f>
        <v>Cannon County</v>
      </c>
      <c r="I607" t="b">
        <f t="shared" si="20"/>
        <v>1</v>
      </c>
    </row>
    <row r="608" spans="2:9">
      <c r="B608" t="s">
        <v>54</v>
      </c>
      <c r="C608" t="s">
        <v>93</v>
      </c>
      <c r="D608" t="s">
        <v>873</v>
      </c>
      <c r="E608" t="str">
        <f t="shared" si="19"/>
        <v>Clay County</v>
      </c>
      <c r="F608" t="s">
        <v>121</v>
      </c>
      <c r="G608" t="str">
        <f>INDEX(StateCounties[],MATCH(D608,StateCounties[Tennessee],0),MATCH(B608,StateCounties[#Headers],0))</f>
        <v>Clay County</v>
      </c>
      <c r="I608" t="b">
        <f t="shared" si="20"/>
        <v>1</v>
      </c>
    </row>
    <row r="609" spans="2:9">
      <c r="B609" t="s">
        <v>54</v>
      </c>
      <c r="C609" t="s">
        <v>93</v>
      </c>
      <c r="D609" t="s">
        <v>923</v>
      </c>
      <c r="E609" t="str">
        <f t="shared" si="19"/>
        <v>Cumberland County</v>
      </c>
      <c r="F609" t="s">
        <v>529</v>
      </c>
      <c r="G609" t="str">
        <f>INDEX(StateCounties[],MATCH(D609,StateCounties[Tennessee],0),MATCH(B609,StateCounties[#Headers],0))</f>
        <v>Cumberland County</v>
      </c>
      <c r="I609" t="b">
        <f t="shared" si="20"/>
        <v>1</v>
      </c>
    </row>
    <row r="610" spans="2:9">
      <c r="B610" t="s">
        <v>54</v>
      </c>
      <c r="C610" t="s">
        <v>93</v>
      </c>
      <c r="D610" t="s">
        <v>939</v>
      </c>
      <c r="E610" t="str">
        <f t="shared" si="19"/>
        <v>DeKalb County</v>
      </c>
      <c r="F610" t="s">
        <v>131</v>
      </c>
      <c r="G610" t="str">
        <f>INDEX(StateCounties[],MATCH(D610,StateCounties[Tennessee],0),MATCH(B610,StateCounties[#Headers],0))</f>
        <v>DeKalb County</v>
      </c>
      <c r="I610" t="b">
        <f t="shared" si="20"/>
        <v>1</v>
      </c>
    </row>
    <row r="611" spans="2:9">
      <c r="B611" t="s">
        <v>54</v>
      </c>
      <c r="C611" t="s">
        <v>93</v>
      </c>
      <c r="D611" t="s">
        <v>962</v>
      </c>
      <c r="E611" t="str">
        <f t="shared" si="19"/>
        <v>Fentress County</v>
      </c>
      <c r="F611" t="s">
        <v>607</v>
      </c>
      <c r="G611" t="str">
        <f>INDEX(StateCounties[],MATCH(D611,StateCounties[Tennessee],0),MATCH(B611,StateCounties[#Headers],0))</f>
        <v>Fentress County</v>
      </c>
      <c r="I611" t="b">
        <f t="shared" si="20"/>
        <v>1</v>
      </c>
    </row>
    <row r="612" spans="2:9">
      <c r="B612" t="s">
        <v>54</v>
      </c>
      <c r="C612" t="s">
        <v>93</v>
      </c>
      <c r="D612" t="s">
        <v>984</v>
      </c>
      <c r="E612" t="str">
        <f t="shared" si="19"/>
        <v>Jackson County</v>
      </c>
      <c r="F612" t="s">
        <v>135</v>
      </c>
      <c r="G612" t="str">
        <f>INDEX(StateCounties[],MATCH(D612,StateCounties[Tennessee],0),MATCH(B612,StateCounties[#Headers],0))</f>
        <v>Jackson County</v>
      </c>
      <c r="I612" t="b">
        <f t="shared" si="20"/>
        <v>1</v>
      </c>
    </row>
    <row r="613" spans="2:9">
      <c r="B613" t="s">
        <v>54</v>
      </c>
      <c r="C613" t="s">
        <v>93</v>
      </c>
      <c r="D613" t="s">
        <v>1054</v>
      </c>
      <c r="E613" t="str">
        <f t="shared" si="19"/>
        <v>Macon County</v>
      </c>
      <c r="F613" t="s">
        <v>137</v>
      </c>
      <c r="G613" t="str">
        <f>INDEX(StateCounties[],MATCH(D613,StateCounties[Tennessee],0),MATCH(B613,StateCounties[#Headers],0))</f>
        <v>Macon County</v>
      </c>
      <c r="I613" t="b">
        <f t="shared" si="20"/>
        <v>1</v>
      </c>
    </row>
    <row r="614" spans="2:9">
      <c r="B614" t="s">
        <v>54</v>
      </c>
      <c r="C614" t="s">
        <v>93</v>
      </c>
      <c r="D614" t="s">
        <v>1175</v>
      </c>
      <c r="E614" t="str">
        <f t="shared" si="19"/>
        <v>Overton County</v>
      </c>
      <c r="F614" t="s">
        <v>608</v>
      </c>
      <c r="G614" t="str">
        <f>INDEX(StateCounties[],MATCH(D614,StateCounties[Tennessee],0),MATCH(B614,StateCounties[#Headers],0))</f>
        <v>Overton County</v>
      </c>
      <c r="I614" t="b">
        <f t="shared" si="20"/>
        <v>1</v>
      </c>
    </row>
    <row r="615" spans="2:9">
      <c r="B615" t="s">
        <v>54</v>
      </c>
      <c r="C615" t="s">
        <v>93</v>
      </c>
      <c r="D615" t="s">
        <v>1183</v>
      </c>
      <c r="E615" t="str">
        <f t="shared" si="19"/>
        <v>Pickett County</v>
      </c>
      <c r="F615" t="s">
        <v>609</v>
      </c>
      <c r="G615" t="str">
        <f>INDEX(StateCounties[],MATCH(D615,StateCounties[Tennessee],0),MATCH(B615,StateCounties[#Headers],0))</f>
        <v>Pickett County</v>
      </c>
      <c r="I615" t="b">
        <f t="shared" si="20"/>
        <v>1</v>
      </c>
    </row>
    <row r="616" spans="2:9">
      <c r="B616" t="s">
        <v>54</v>
      </c>
      <c r="C616" t="s">
        <v>93</v>
      </c>
      <c r="D616" t="s">
        <v>1103</v>
      </c>
      <c r="E616" t="str">
        <f t="shared" si="19"/>
        <v>Putnam County</v>
      </c>
      <c r="F616" t="s">
        <v>240</v>
      </c>
      <c r="G616" t="str">
        <f>INDEX(StateCounties[],MATCH(D616,StateCounties[Tennessee],0),MATCH(B616,StateCounties[#Headers],0))</f>
        <v>Putnam County</v>
      </c>
      <c r="I616" t="b">
        <f t="shared" si="20"/>
        <v>1</v>
      </c>
    </row>
    <row r="617" spans="2:9">
      <c r="B617" t="s">
        <v>54</v>
      </c>
      <c r="C617" t="s">
        <v>93</v>
      </c>
      <c r="D617" t="s">
        <v>1163</v>
      </c>
      <c r="E617" t="str">
        <f t="shared" ref="E617:E680" si="21">F617&amp; " County"</f>
        <v>Smith County</v>
      </c>
      <c r="F617" t="s">
        <v>488</v>
      </c>
      <c r="G617" t="str">
        <f>INDEX(StateCounties[],MATCH(D617,StateCounties[Tennessee],0),MATCH(B617,StateCounties[#Headers],0))</f>
        <v>Smith County</v>
      </c>
      <c r="I617" t="b">
        <f t="shared" si="20"/>
        <v>1</v>
      </c>
    </row>
    <row r="618" spans="2:9">
      <c r="B618" t="s">
        <v>54</v>
      </c>
      <c r="C618" t="s">
        <v>93</v>
      </c>
      <c r="D618" t="s">
        <v>1246</v>
      </c>
      <c r="E618" t="str">
        <f t="shared" si="21"/>
        <v>Van Buren County</v>
      </c>
      <c r="F618" t="s">
        <v>610</v>
      </c>
      <c r="G618" t="str">
        <f>INDEX(StateCounties[],MATCH(D618,StateCounties[Tennessee],0),MATCH(B618,StateCounties[#Headers],0))</f>
        <v>Van Buren County</v>
      </c>
      <c r="I618" t="b">
        <f t="shared" si="20"/>
        <v>1</v>
      </c>
    </row>
    <row r="619" spans="2:9">
      <c r="B619" t="s">
        <v>54</v>
      </c>
      <c r="C619" t="s">
        <v>93</v>
      </c>
      <c r="D619" t="s">
        <v>1205</v>
      </c>
      <c r="E619" t="str">
        <f t="shared" si="21"/>
        <v>Warren County</v>
      </c>
      <c r="F619" t="s">
        <v>300</v>
      </c>
      <c r="G619" t="str">
        <f>INDEX(StateCounties[],MATCH(D619,StateCounties[Tennessee],0),MATCH(B619,StateCounties[#Headers],0))</f>
        <v>Warren County</v>
      </c>
      <c r="I619" t="b">
        <f t="shared" si="20"/>
        <v>1</v>
      </c>
    </row>
    <row r="620" spans="2:9">
      <c r="B620" t="s">
        <v>54</v>
      </c>
      <c r="C620" t="s">
        <v>93</v>
      </c>
      <c r="D620" t="s">
        <v>1258</v>
      </c>
      <c r="E620" t="str">
        <f t="shared" si="21"/>
        <v>White County</v>
      </c>
      <c r="F620" t="s">
        <v>335</v>
      </c>
      <c r="G620" t="str">
        <f>INDEX(StateCounties[],MATCH(D620,StateCounties[Tennessee],0),MATCH(B620,StateCounties[#Headers],0))</f>
        <v>White County</v>
      </c>
      <c r="I620" t="b">
        <f t="shared" si="20"/>
        <v>1</v>
      </c>
    </row>
    <row r="621" spans="2:9">
      <c r="B621" t="s">
        <v>54</v>
      </c>
      <c r="C621" t="s">
        <v>96</v>
      </c>
      <c r="D621" t="s">
        <v>828</v>
      </c>
      <c r="E621" t="str">
        <f t="shared" si="21"/>
        <v>Bedford County</v>
      </c>
      <c r="F621" t="s">
        <v>611</v>
      </c>
      <c r="G621" t="str">
        <f>INDEX(StateCounties[],MATCH(D621,StateCounties[Tennessee],0),MATCH(B621,StateCounties[#Headers],0))</f>
        <v>Bedford County</v>
      </c>
      <c r="I621" t="b">
        <f t="shared" si="20"/>
        <v>1</v>
      </c>
    </row>
    <row r="622" spans="2:9">
      <c r="B622" t="s">
        <v>54</v>
      </c>
      <c r="C622" t="s">
        <v>96</v>
      </c>
      <c r="D622" t="s">
        <v>907</v>
      </c>
      <c r="E622" t="str">
        <f t="shared" si="21"/>
        <v>Coffee County</v>
      </c>
      <c r="F622" t="s">
        <v>123</v>
      </c>
      <c r="G622" t="str">
        <f>INDEX(StateCounties[],MATCH(D622,StateCounties[Tennessee],0),MATCH(B622,StateCounties[#Headers],0))</f>
        <v>Coffee County</v>
      </c>
      <c r="I622" t="b">
        <f t="shared" si="20"/>
        <v>1</v>
      </c>
    </row>
    <row r="623" spans="2:9">
      <c r="B623" t="s">
        <v>54</v>
      </c>
      <c r="C623" t="s">
        <v>96</v>
      </c>
      <c r="D623" t="s">
        <v>944</v>
      </c>
      <c r="E623" t="str">
        <f t="shared" si="21"/>
        <v>Dickson County</v>
      </c>
      <c r="F623" t="s">
        <v>612</v>
      </c>
      <c r="G623" t="str">
        <f>INDEX(StateCounties[],MATCH(D623,StateCounties[Tennessee],0),MATCH(B623,StateCounties[#Headers],0))</f>
        <v>Dickson County</v>
      </c>
      <c r="I623" t="b">
        <f t="shared" si="20"/>
        <v>1</v>
      </c>
    </row>
    <row r="624" spans="2:9">
      <c r="B624" t="s">
        <v>54</v>
      </c>
      <c r="C624" t="s">
        <v>96</v>
      </c>
      <c r="D624" t="s">
        <v>979</v>
      </c>
      <c r="E624" t="str">
        <f t="shared" si="21"/>
        <v>Giles County</v>
      </c>
      <c r="F624" t="s">
        <v>613</v>
      </c>
      <c r="G624" t="str">
        <f>INDEX(StateCounties[],MATCH(D624,StateCounties[Tennessee],0),MATCH(B624,StateCounties[#Headers],0))</f>
        <v>Giles County</v>
      </c>
      <c r="I624" t="b">
        <f t="shared" si="20"/>
        <v>1</v>
      </c>
    </row>
    <row r="625" spans="2:9">
      <c r="B625" t="s">
        <v>54</v>
      </c>
      <c r="C625" t="s">
        <v>96</v>
      </c>
      <c r="D625" t="s">
        <v>1041</v>
      </c>
      <c r="E625" t="str">
        <f t="shared" si="21"/>
        <v>Hickman County</v>
      </c>
      <c r="F625" t="s">
        <v>614</v>
      </c>
      <c r="G625" t="str">
        <f>INDEX(StateCounties[],MATCH(D625,StateCounties[Tennessee],0),MATCH(B625,StateCounties[#Headers],0))</f>
        <v>Hickman County</v>
      </c>
      <c r="I625" t="b">
        <f t="shared" si="20"/>
        <v>1</v>
      </c>
    </row>
    <row r="626" spans="2:9">
      <c r="B626" t="s">
        <v>54</v>
      </c>
      <c r="C626" t="s">
        <v>96</v>
      </c>
      <c r="D626" t="s">
        <v>1009</v>
      </c>
      <c r="E626" t="str">
        <f t="shared" si="21"/>
        <v>Houston County</v>
      </c>
      <c r="F626" t="s">
        <v>92</v>
      </c>
      <c r="G626" t="str">
        <f>INDEX(StateCounties[],MATCH(D626,StateCounties[Tennessee],0),MATCH(B626,StateCounties[#Headers],0))</f>
        <v>Houston County</v>
      </c>
      <c r="I626" t="b">
        <f t="shared" si="20"/>
        <v>1</v>
      </c>
    </row>
    <row r="627" spans="2:9">
      <c r="B627" t="s">
        <v>54</v>
      </c>
      <c r="C627" t="s">
        <v>96</v>
      </c>
      <c r="D627" t="s">
        <v>971</v>
      </c>
      <c r="E627" t="str">
        <f t="shared" si="21"/>
        <v>Humphreys County</v>
      </c>
      <c r="F627" t="s">
        <v>475</v>
      </c>
      <c r="G627" t="str">
        <f>INDEX(StateCounties[],MATCH(D627,StateCounties[Tennessee],0),MATCH(B627,StateCounties[#Headers],0))</f>
        <v>Humphreys County</v>
      </c>
      <c r="I627" t="b">
        <f t="shared" si="20"/>
        <v>1</v>
      </c>
    </row>
    <row r="628" spans="2:9">
      <c r="B628" t="s">
        <v>54</v>
      </c>
      <c r="C628" t="s">
        <v>96</v>
      </c>
      <c r="D628" t="s">
        <v>1031</v>
      </c>
      <c r="E628" t="str">
        <f t="shared" si="21"/>
        <v>Lawrence County</v>
      </c>
      <c r="F628" t="s">
        <v>87</v>
      </c>
      <c r="G628" t="str">
        <f>INDEX(StateCounties[],MATCH(D628,StateCounties[Tennessee],0),MATCH(B628,StateCounties[#Headers],0))</f>
        <v>Lawrence County</v>
      </c>
      <c r="I628" t="b">
        <f t="shared" si="20"/>
        <v>1</v>
      </c>
    </row>
    <row r="629" spans="2:9">
      <c r="B629" t="s">
        <v>54</v>
      </c>
      <c r="C629" t="s">
        <v>96</v>
      </c>
      <c r="D629" t="s">
        <v>1090</v>
      </c>
      <c r="E629" t="str">
        <f t="shared" si="21"/>
        <v>Lewis County</v>
      </c>
      <c r="F629" t="s">
        <v>615</v>
      </c>
      <c r="G629" t="str">
        <f>INDEX(StateCounties[],MATCH(D629,StateCounties[Tennessee],0),MATCH(B629,StateCounties[#Headers],0))</f>
        <v>Lewis County</v>
      </c>
      <c r="I629" t="b">
        <f t="shared" si="20"/>
        <v>1</v>
      </c>
    </row>
    <row r="630" spans="2:9">
      <c r="B630" t="s">
        <v>54</v>
      </c>
      <c r="C630" t="s">
        <v>96</v>
      </c>
      <c r="D630" t="s">
        <v>1051</v>
      </c>
      <c r="E630" t="str">
        <f t="shared" si="21"/>
        <v>Lincoln County</v>
      </c>
      <c r="F630" t="s">
        <v>296</v>
      </c>
      <c r="G630" t="str">
        <f>INDEX(StateCounties[],MATCH(D630,StateCounties[Tennessee],0),MATCH(B630,StateCounties[#Headers],0))</f>
        <v>Lincoln County</v>
      </c>
      <c r="I630" t="b">
        <f t="shared" si="20"/>
        <v>1</v>
      </c>
    </row>
    <row r="631" spans="2:9">
      <c r="B631" t="s">
        <v>54</v>
      </c>
      <c r="C631" t="s">
        <v>96</v>
      </c>
      <c r="D631" t="s">
        <v>1068</v>
      </c>
      <c r="E631" t="str">
        <f t="shared" si="21"/>
        <v>Marshall County</v>
      </c>
      <c r="F631" t="s">
        <v>140</v>
      </c>
      <c r="G631" t="str">
        <f>INDEX(StateCounties[],MATCH(D631,StateCounties[Tennessee],0),MATCH(B631,StateCounties[#Headers],0))</f>
        <v>Marshall County</v>
      </c>
      <c r="I631" t="b">
        <f t="shared" si="20"/>
        <v>1</v>
      </c>
    </row>
    <row r="632" spans="2:9">
      <c r="B632" t="s">
        <v>54</v>
      </c>
      <c r="C632" t="s">
        <v>96</v>
      </c>
      <c r="D632" t="s">
        <v>1134</v>
      </c>
      <c r="E632" t="str">
        <f t="shared" si="21"/>
        <v>Maury County</v>
      </c>
      <c r="F632" t="s">
        <v>616</v>
      </c>
      <c r="G632" t="str">
        <f>INDEX(StateCounties[],MATCH(D632,StateCounties[Tennessee],0),MATCH(B632,StateCounties[#Headers],0))</f>
        <v>Maury County</v>
      </c>
      <c r="I632" t="b">
        <f t="shared" si="20"/>
        <v>1</v>
      </c>
    </row>
    <row r="633" spans="2:9">
      <c r="B633" t="s">
        <v>54</v>
      </c>
      <c r="C633" t="s">
        <v>96</v>
      </c>
      <c r="D633" t="s">
        <v>1152</v>
      </c>
      <c r="E633" t="str">
        <f t="shared" si="21"/>
        <v>Moore County</v>
      </c>
      <c r="F633" t="s">
        <v>527</v>
      </c>
      <c r="G633" t="str">
        <f>INDEX(StateCounties[],MATCH(D633,StateCounties[Tennessee],0),MATCH(B633,StateCounties[#Headers],0))</f>
        <v>Moore County</v>
      </c>
      <c r="I633" t="b">
        <f t="shared" si="20"/>
        <v>1</v>
      </c>
    </row>
    <row r="634" spans="2:9">
      <c r="B634" t="s">
        <v>54</v>
      </c>
      <c r="C634" t="s">
        <v>96</v>
      </c>
      <c r="D634" t="s">
        <v>1097</v>
      </c>
      <c r="E634" t="str">
        <f t="shared" si="21"/>
        <v>Perry County</v>
      </c>
      <c r="F634" t="s">
        <v>142</v>
      </c>
      <c r="G634" t="str">
        <f>INDEX(StateCounties[],MATCH(D634,StateCounties[Tennessee],0),MATCH(B634,StateCounties[#Headers],0))</f>
        <v>Perry County</v>
      </c>
      <c r="I634" t="b">
        <f t="shared" si="20"/>
        <v>1</v>
      </c>
    </row>
    <row r="635" spans="2:9">
      <c r="B635" t="s">
        <v>54</v>
      </c>
      <c r="C635" t="s">
        <v>96</v>
      </c>
      <c r="D635" t="s">
        <v>1222</v>
      </c>
      <c r="E635" t="str">
        <f t="shared" si="21"/>
        <v>Stewart County</v>
      </c>
      <c r="F635" t="s">
        <v>318</v>
      </c>
      <c r="G635" t="str">
        <f>INDEX(StateCounties[],MATCH(D635,StateCounties[Tennessee],0),MATCH(B635,StateCounties[#Headers],0))</f>
        <v>Stewart County</v>
      </c>
      <c r="I635" t="b">
        <f t="shared" si="20"/>
        <v>1</v>
      </c>
    </row>
    <row r="636" spans="2:9">
      <c r="B636" t="s">
        <v>54</v>
      </c>
      <c r="C636" t="s">
        <v>96</v>
      </c>
      <c r="D636" t="s">
        <v>1209</v>
      </c>
      <c r="E636" t="str">
        <f t="shared" si="21"/>
        <v>Wayne County</v>
      </c>
      <c r="F636" t="s">
        <v>310</v>
      </c>
      <c r="G636" t="str">
        <f>INDEX(StateCounties[],MATCH(D636,StateCounties[Tennessee],0),MATCH(B636,StateCounties[#Headers],0))</f>
        <v>Wayne County</v>
      </c>
      <c r="I636" t="b">
        <f t="shared" si="20"/>
        <v>1</v>
      </c>
    </row>
    <row r="637" spans="2:9">
      <c r="B637" t="s">
        <v>55</v>
      </c>
      <c r="C637" t="s">
        <v>72</v>
      </c>
      <c r="D637" t="s">
        <v>986</v>
      </c>
      <c r="E637" t="str">
        <f t="shared" si="21"/>
        <v>Callahan County</v>
      </c>
      <c r="F637" t="s">
        <v>618</v>
      </c>
      <c r="G637" t="str">
        <f>INDEX(StateCounties[],MATCH(D637,StateCounties[Texas],0),MATCH(B637,StateCounties[#Headers],0))</f>
        <v>Callahan County</v>
      </c>
      <c r="I637" t="b">
        <f t="shared" si="20"/>
        <v>1</v>
      </c>
    </row>
    <row r="638" spans="2:9">
      <c r="B638" t="s">
        <v>55</v>
      </c>
      <c r="C638" t="s">
        <v>72</v>
      </c>
      <c r="D638" t="s">
        <v>1006</v>
      </c>
      <c r="E638" t="str">
        <f t="shared" si="21"/>
        <v>Jones County</v>
      </c>
      <c r="F638" t="s">
        <v>348</v>
      </c>
      <c r="G638" t="str">
        <f>INDEX(StateCounties[],MATCH(D638,StateCounties[Texas],0),MATCH(B638,StateCounties[#Headers],0))</f>
        <v>Jones County</v>
      </c>
      <c r="I638" t="b">
        <f t="shared" si="20"/>
        <v>1</v>
      </c>
    </row>
    <row r="639" spans="2:9">
      <c r="B639" t="s">
        <v>55</v>
      </c>
      <c r="C639" t="s">
        <v>72</v>
      </c>
      <c r="D639" t="s">
        <v>1144</v>
      </c>
      <c r="E639" t="str">
        <f t="shared" si="21"/>
        <v>Taylor County</v>
      </c>
      <c r="F639" t="s">
        <v>255</v>
      </c>
      <c r="G639" t="str">
        <f>INDEX(StateCounties[],MATCH(D639,StateCounties[Texas],0),MATCH(B639,StateCounties[#Headers],0))</f>
        <v>Taylor County</v>
      </c>
      <c r="I639" t="b">
        <f t="shared" si="20"/>
        <v>1</v>
      </c>
    </row>
    <row r="640" spans="2:9">
      <c r="B640" t="s">
        <v>55</v>
      </c>
      <c r="C640" t="s">
        <v>74</v>
      </c>
      <c r="D640" t="s">
        <v>853</v>
      </c>
      <c r="E640" t="str">
        <f t="shared" si="21"/>
        <v>Armstrong County</v>
      </c>
      <c r="F640" t="s">
        <v>619</v>
      </c>
      <c r="G640" t="str">
        <f>INDEX(StateCounties[],MATCH(D640,StateCounties[Texas],0),MATCH(B640,StateCounties[#Headers],0))</f>
        <v>Armstrong County</v>
      </c>
      <c r="I640" t="b">
        <f t="shared" si="20"/>
        <v>1</v>
      </c>
    </row>
    <row r="641" spans="2:9">
      <c r="B641" t="s">
        <v>55</v>
      </c>
      <c r="C641" t="s">
        <v>74</v>
      </c>
      <c r="D641" t="s">
        <v>1003</v>
      </c>
      <c r="E641" t="str">
        <f t="shared" si="21"/>
        <v>Carson County</v>
      </c>
      <c r="F641" t="s">
        <v>620</v>
      </c>
      <c r="G641" t="str">
        <f>INDEX(StateCounties[],MATCH(D641,StateCounties[Texas],0),MATCH(B641,StateCounties[#Headers],0))</f>
        <v>Carson County</v>
      </c>
      <c r="I641" t="b">
        <f t="shared" si="20"/>
        <v>1</v>
      </c>
    </row>
    <row r="642" spans="2:9">
      <c r="B642" t="s">
        <v>55</v>
      </c>
      <c r="C642" t="s">
        <v>74</v>
      </c>
      <c r="D642" t="s">
        <v>1365</v>
      </c>
      <c r="E642" t="str">
        <f t="shared" si="21"/>
        <v>Potter County</v>
      </c>
      <c r="F642" t="s">
        <v>621</v>
      </c>
      <c r="G642" t="str">
        <f>INDEX(StateCounties[],MATCH(D642,StateCounties[Texas],0),MATCH(B642,StateCounties[#Headers],0))</f>
        <v>Potter County</v>
      </c>
      <c r="I642" t="b">
        <f t="shared" si="20"/>
        <v>1</v>
      </c>
    </row>
    <row r="643" spans="2:9">
      <c r="B643" t="s">
        <v>55</v>
      </c>
      <c r="C643" t="s">
        <v>74</v>
      </c>
      <c r="D643" t="s">
        <v>1368</v>
      </c>
      <c r="E643" t="str">
        <f t="shared" si="21"/>
        <v>Randall County</v>
      </c>
      <c r="F643" t="s">
        <v>622</v>
      </c>
      <c r="G643" t="str">
        <f>INDEX(StateCounties[],MATCH(D643,StateCounties[Texas],0),MATCH(B643,StateCounties[#Headers],0))</f>
        <v>Randall County</v>
      </c>
      <c r="I643" t="b">
        <f t="shared" si="20"/>
        <v>1</v>
      </c>
    </row>
    <row r="644" spans="2:9">
      <c r="B644" t="s">
        <v>55</v>
      </c>
      <c r="C644" t="s">
        <v>76</v>
      </c>
      <c r="D644" t="s">
        <v>884</v>
      </c>
      <c r="E644" t="str">
        <f t="shared" si="21"/>
        <v>Bastrop County</v>
      </c>
      <c r="F644" t="s">
        <v>623</v>
      </c>
      <c r="G644" t="str">
        <f>INDEX(StateCounties[],MATCH(D644,StateCounties[Texas],0),MATCH(B644,StateCounties[#Headers],0))</f>
        <v>Bastrop County</v>
      </c>
      <c r="I644" t="b">
        <f t="shared" ref="I644:I707" si="22">E644=D644</f>
        <v>1</v>
      </c>
    </row>
    <row r="645" spans="2:9">
      <c r="B645" t="s">
        <v>55</v>
      </c>
      <c r="C645" t="s">
        <v>76</v>
      </c>
      <c r="D645" t="s">
        <v>898</v>
      </c>
      <c r="E645" t="str">
        <f t="shared" si="21"/>
        <v>Caldwell County</v>
      </c>
      <c r="F645" t="s">
        <v>507</v>
      </c>
      <c r="G645" t="str">
        <f>INDEX(StateCounties[],MATCH(D645,StateCounties[Texas],0),MATCH(B645,StateCounties[#Headers],0))</f>
        <v>Caldwell County</v>
      </c>
      <c r="I645" t="b">
        <f t="shared" si="22"/>
        <v>1</v>
      </c>
    </row>
    <row r="646" spans="2:9">
      <c r="B646" t="s">
        <v>55</v>
      </c>
      <c r="C646" t="s">
        <v>76</v>
      </c>
      <c r="D646" t="s">
        <v>1275</v>
      </c>
      <c r="E646" t="str">
        <f t="shared" si="21"/>
        <v>Hays County</v>
      </c>
      <c r="F646" t="s">
        <v>624</v>
      </c>
      <c r="G646" t="str">
        <f>INDEX(StateCounties[],MATCH(D646,StateCounties[Texas],0),MATCH(B646,StateCounties[#Headers],0))</f>
        <v>Hays County</v>
      </c>
      <c r="I646" t="b">
        <f t="shared" si="22"/>
        <v>1</v>
      </c>
    </row>
    <row r="647" spans="2:9">
      <c r="B647" t="s">
        <v>55</v>
      </c>
      <c r="C647" t="s">
        <v>76</v>
      </c>
      <c r="D647" t="s">
        <v>1398</v>
      </c>
      <c r="E647" t="str">
        <f t="shared" si="21"/>
        <v>Travis County</v>
      </c>
      <c r="F647" t="s">
        <v>625</v>
      </c>
      <c r="G647" t="str">
        <f>INDEX(StateCounties[],MATCH(D647,StateCounties[Texas],0),MATCH(B647,StateCounties[#Headers],0))</f>
        <v>Travis County</v>
      </c>
      <c r="I647" t="b">
        <f t="shared" si="22"/>
        <v>1</v>
      </c>
    </row>
    <row r="648" spans="2:9">
      <c r="B648" t="s">
        <v>55</v>
      </c>
      <c r="C648" t="s">
        <v>76</v>
      </c>
      <c r="D648" t="s">
        <v>1261</v>
      </c>
      <c r="E648" t="str">
        <f t="shared" si="21"/>
        <v>Williamson County</v>
      </c>
      <c r="F648" t="s">
        <v>595</v>
      </c>
      <c r="G648" t="str">
        <f>INDEX(StateCounties[],MATCH(D648,StateCounties[Texas],0),MATCH(B648,StateCounties[#Headers],0))</f>
        <v>Williamson County</v>
      </c>
      <c r="I648" t="b">
        <f t="shared" si="22"/>
        <v>1</v>
      </c>
    </row>
    <row r="649" spans="2:9">
      <c r="B649" t="s">
        <v>55</v>
      </c>
      <c r="C649" t="s">
        <v>84</v>
      </c>
      <c r="D649" t="s">
        <v>1017</v>
      </c>
      <c r="E649" t="str">
        <f t="shared" si="21"/>
        <v>Hardin County</v>
      </c>
      <c r="F649" t="s">
        <v>601</v>
      </c>
      <c r="G649" t="str">
        <f>INDEX(StateCounties[],MATCH(D649,StateCounties[Texas],0),MATCH(B649,StateCounties[#Headers],0))</f>
        <v>Hardin County</v>
      </c>
      <c r="I649" t="b">
        <f t="shared" si="22"/>
        <v>1</v>
      </c>
    </row>
    <row r="650" spans="2:9">
      <c r="B650" t="s">
        <v>55</v>
      </c>
      <c r="C650" t="s">
        <v>84</v>
      </c>
      <c r="D650" t="s">
        <v>993</v>
      </c>
      <c r="E650" t="str">
        <f t="shared" si="21"/>
        <v>Jefferson County</v>
      </c>
      <c r="F650" t="s">
        <v>80</v>
      </c>
      <c r="G650" t="str">
        <f>INDEX(StateCounties[],MATCH(D650,StateCounties[Texas],0),MATCH(B650,StateCounties[#Headers],0))</f>
        <v>Jefferson County</v>
      </c>
      <c r="I650" t="b">
        <f t="shared" si="22"/>
        <v>1</v>
      </c>
    </row>
    <row r="651" spans="2:9">
      <c r="B651" t="s">
        <v>55</v>
      </c>
      <c r="C651" t="s">
        <v>84</v>
      </c>
      <c r="D651" t="s">
        <v>1072</v>
      </c>
      <c r="E651" t="str">
        <f t="shared" si="21"/>
        <v>Orange County</v>
      </c>
      <c r="F651" t="s">
        <v>228</v>
      </c>
      <c r="G651" t="str">
        <f>INDEX(StateCounties[],MATCH(D651,StateCounties[Texas],0),MATCH(B651,StateCounties[#Headers],0))</f>
        <v>Orange County</v>
      </c>
      <c r="I651" t="b">
        <f t="shared" si="22"/>
        <v>1</v>
      </c>
    </row>
    <row r="652" spans="2:9">
      <c r="B652" t="s">
        <v>55</v>
      </c>
      <c r="C652" t="s">
        <v>86</v>
      </c>
      <c r="D652" t="s">
        <v>992</v>
      </c>
      <c r="E652" t="str">
        <f t="shared" si="21"/>
        <v>Cameron County</v>
      </c>
      <c r="F652" t="s">
        <v>626</v>
      </c>
      <c r="G652" t="str">
        <f>INDEX(StateCounties[],MATCH(D652,StateCounties[Texas],0),MATCH(B652,StateCounties[#Headers],0))</f>
        <v>Cameron County</v>
      </c>
      <c r="I652" t="b">
        <f t="shared" si="22"/>
        <v>1</v>
      </c>
    </row>
    <row r="653" spans="2:9">
      <c r="B653" t="s">
        <v>55</v>
      </c>
      <c r="C653" t="s">
        <v>89</v>
      </c>
      <c r="D653" t="s">
        <v>940</v>
      </c>
      <c r="E653" t="str">
        <f t="shared" si="21"/>
        <v>Brazos County</v>
      </c>
      <c r="F653" t="s">
        <v>627</v>
      </c>
      <c r="G653" t="str">
        <f>INDEX(StateCounties[],MATCH(D653,StateCounties[Texas],0),MATCH(B653,StateCounties[#Headers],0))</f>
        <v>Brazos County</v>
      </c>
      <c r="I653" t="b">
        <f t="shared" si="22"/>
        <v>1</v>
      </c>
    </row>
    <row r="654" spans="2:9">
      <c r="B654" t="s">
        <v>55</v>
      </c>
      <c r="C654" t="s">
        <v>89</v>
      </c>
      <c r="D654" t="s">
        <v>968</v>
      </c>
      <c r="E654" t="str">
        <f t="shared" si="21"/>
        <v>Burleson County</v>
      </c>
      <c r="F654" t="s">
        <v>628</v>
      </c>
      <c r="G654" t="str">
        <f>INDEX(StateCounties[],MATCH(D654,StateCounties[Texas],0),MATCH(B654,StateCounties[#Headers],0))</f>
        <v>Burleson County</v>
      </c>
      <c r="I654" t="b">
        <f t="shared" si="22"/>
        <v>1</v>
      </c>
    </row>
    <row r="655" spans="2:9">
      <c r="B655" t="s">
        <v>55</v>
      </c>
      <c r="C655" t="s">
        <v>89</v>
      </c>
      <c r="D655" t="s">
        <v>1204</v>
      </c>
      <c r="E655" t="str">
        <f t="shared" si="21"/>
        <v>Robertson County</v>
      </c>
      <c r="F655" t="s">
        <v>592</v>
      </c>
      <c r="G655" t="str">
        <f>INDEX(StateCounties[],MATCH(D655,StateCounties[Texas],0),MATCH(B655,StateCounties[#Headers],0))</f>
        <v>Robertson County</v>
      </c>
      <c r="I655" t="b">
        <f t="shared" si="22"/>
        <v>1</v>
      </c>
    </row>
    <row r="656" spans="2:9">
      <c r="B656" t="s">
        <v>55</v>
      </c>
      <c r="C656" t="s">
        <v>93</v>
      </c>
      <c r="D656" t="s">
        <v>842</v>
      </c>
      <c r="E656" t="str">
        <f t="shared" si="21"/>
        <v>Aransas County</v>
      </c>
      <c r="F656" t="s">
        <v>629</v>
      </c>
      <c r="G656" t="str">
        <f>INDEX(StateCounties[],MATCH(D656,StateCounties[Texas],0),MATCH(B656,StateCounties[#Headers],0))</f>
        <v>Aransas County</v>
      </c>
      <c r="I656" t="b">
        <f t="shared" si="22"/>
        <v>1</v>
      </c>
    </row>
    <row r="657" spans="2:9">
      <c r="B657" t="s">
        <v>55</v>
      </c>
      <c r="C657" t="s">
        <v>93</v>
      </c>
      <c r="D657" t="s">
        <v>1358</v>
      </c>
      <c r="E657" t="str">
        <f t="shared" si="21"/>
        <v>Nueces County</v>
      </c>
      <c r="F657" t="s">
        <v>630</v>
      </c>
      <c r="G657" t="str">
        <f>INDEX(StateCounties[],MATCH(D657,StateCounties[Texas],0),MATCH(B657,StateCounties[#Headers],0))</f>
        <v>Nueces County</v>
      </c>
      <c r="I657" t="b">
        <f t="shared" si="22"/>
        <v>1</v>
      </c>
    </row>
    <row r="658" spans="2:9">
      <c r="B658" t="s">
        <v>55</v>
      </c>
      <c r="C658" t="s">
        <v>93</v>
      </c>
      <c r="D658" t="s">
        <v>1381</v>
      </c>
      <c r="E658" t="str">
        <f t="shared" si="21"/>
        <v>San Patricio County</v>
      </c>
      <c r="F658" t="s">
        <v>631</v>
      </c>
      <c r="G658" t="str">
        <f>INDEX(StateCounties[],MATCH(D658,StateCounties[Texas],0),MATCH(B658,StateCounties[#Headers],0))</f>
        <v>San Patricio County</v>
      </c>
      <c r="I658" t="b">
        <f t="shared" si="22"/>
        <v>1</v>
      </c>
    </row>
    <row r="659" spans="2:9">
      <c r="B659" t="s">
        <v>55</v>
      </c>
      <c r="C659" t="s">
        <v>96</v>
      </c>
      <c r="D659" t="s">
        <v>1053</v>
      </c>
      <c r="E659" t="str">
        <f t="shared" si="21"/>
        <v>Collin County</v>
      </c>
      <c r="F659" t="s">
        <v>632</v>
      </c>
      <c r="G659" t="str">
        <f>INDEX(StateCounties[],MATCH(D659,StateCounties[Texas],0),MATCH(B659,StateCounties[#Headers],0))</f>
        <v>Collin County</v>
      </c>
      <c r="I659" t="b">
        <f t="shared" si="22"/>
        <v>1</v>
      </c>
    </row>
    <row r="660" spans="2:9">
      <c r="B660" t="s">
        <v>55</v>
      </c>
      <c r="C660" t="s">
        <v>96</v>
      </c>
      <c r="D660" t="s">
        <v>953</v>
      </c>
      <c r="E660" t="str">
        <f t="shared" si="21"/>
        <v>Dallas County</v>
      </c>
      <c r="F660" t="s">
        <v>130</v>
      </c>
      <c r="G660" t="str">
        <f>INDEX(StateCounties[],MATCH(D660,StateCounties[Texas],0),MATCH(B660,StateCounties[#Headers],0))</f>
        <v>Dallas County</v>
      </c>
      <c r="I660" t="b">
        <f t="shared" si="22"/>
        <v>1</v>
      </c>
    </row>
    <row r="661" spans="2:9">
      <c r="B661" t="s">
        <v>55</v>
      </c>
      <c r="C661" t="s">
        <v>96</v>
      </c>
      <c r="D661" t="s">
        <v>1135</v>
      </c>
      <c r="E661" t="str">
        <f t="shared" si="21"/>
        <v>Delta County</v>
      </c>
      <c r="F661" t="s">
        <v>633</v>
      </c>
      <c r="G661" t="str">
        <f>INDEX(StateCounties[],MATCH(D661,StateCounties[Texas],0),MATCH(B661,StateCounties[#Headers],0))</f>
        <v>Delta County</v>
      </c>
      <c r="I661" t="b">
        <f t="shared" si="22"/>
        <v>1</v>
      </c>
    </row>
    <row r="662" spans="2:9">
      <c r="B662" t="s">
        <v>55</v>
      </c>
      <c r="C662" t="s">
        <v>96</v>
      </c>
      <c r="D662" t="s">
        <v>1142</v>
      </c>
      <c r="E662" t="str">
        <f t="shared" si="21"/>
        <v>Denton County</v>
      </c>
      <c r="F662" t="s">
        <v>634</v>
      </c>
      <c r="G662" t="str">
        <f>INDEX(StateCounties[],MATCH(D662,StateCounties[Texas],0),MATCH(B662,StateCounties[#Headers],0))</f>
        <v>Denton County</v>
      </c>
      <c r="I662" t="b">
        <f t="shared" si="22"/>
        <v>1</v>
      </c>
    </row>
    <row r="663" spans="2:9">
      <c r="B663" t="s">
        <v>55</v>
      </c>
      <c r="C663" t="s">
        <v>96</v>
      </c>
      <c r="D663" t="s">
        <v>1187</v>
      </c>
      <c r="E663" t="str">
        <f t="shared" si="21"/>
        <v>Ellis County</v>
      </c>
      <c r="F663" t="s">
        <v>635</v>
      </c>
      <c r="G663" t="str">
        <f>INDEX(StateCounties[],MATCH(D663,StateCounties[Texas],0),MATCH(B663,StateCounties[#Headers],0))</f>
        <v>Ellis County</v>
      </c>
      <c r="I663" t="b">
        <f t="shared" si="22"/>
        <v>1</v>
      </c>
    </row>
    <row r="664" spans="2:9">
      <c r="B664" t="s">
        <v>55</v>
      </c>
      <c r="C664" t="s">
        <v>96</v>
      </c>
      <c r="D664" t="s">
        <v>1291</v>
      </c>
      <c r="E664" t="str">
        <f t="shared" si="21"/>
        <v>Hunt County</v>
      </c>
      <c r="F664" t="s">
        <v>636</v>
      </c>
      <c r="G664" t="str">
        <f>INDEX(StateCounties[],MATCH(D664,StateCounties[Texas],0),MATCH(B664,StateCounties[#Headers],0))</f>
        <v>Hunt County</v>
      </c>
      <c r="I664" t="b">
        <f t="shared" si="22"/>
        <v>1</v>
      </c>
    </row>
    <row r="665" spans="2:9">
      <c r="B665" t="s">
        <v>55</v>
      </c>
      <c r="C665" t="s">
        <v>96</v>
      </c>
      <c r="D665" t="s">
        <v>1064</v>
      </c>
      <c r="E665" t="str">
        <f t="shared" si="21"/>
        <v>Johnson County</v>
      </c>
      <c r="F665" t="s">
        <v>338</v>
      </c>
      <c r="G665" t="str">
        <f>INDEX(StateCounties[],MATCH(D665,StateCounties[Texas],0),MATCH(B665,StateCounties[#Headers],0))</f>
        <v>Johnson County</v>
      </c>
      <c r="I665" t="b">
        <f t="shared" si="22"/>
        <v>1</v>
      </c>
    </row>
    <row r="666" spans="2:9">
      <c r="B666" t="s">
        <v>55</v>
      </c>
      <c r="C666" t="s">
        <v>96</v>
      </c>
      <c r="D666" t="s">
        <v>1304</v>
      </c>
      <c r="E666" t="str">
        <f t="shared" si="21"/>
        <v>Kaufman County</v>
      </c>
      <c r="F666" t="s">
        <v>637</v>
      </c>
      <c r="G666" t="str">
        <f>INDEX(StateCounties[],MATCH(D666,StateCounties[Texas],0),MATCH(B666,StateCounties[#Headers],0))</f>
        <v>Kaufman County</v>
      </c>
      <c r="I666" t="b">
        <f t="shared" si="22"/>
        <v>1</v>
      </c>
    </row>
    <row r="667" spans="2:9">
      <c r="B667" t="s">
        <v>55</v>
      </c>
      <c r="C667" t="s">
        <v>96</v>
      </c>
      <c r="D667" t="s">
        <v>1362</v>
      </c>
      <c r="E667" t="str">
        <f t="shared" si="21"/>
        <v>Parker County</v>
      </c>
      <c r="F667" t="s">
        <v>638</v>
      </c>
      <c r="G667" t="str">
        <f>INDEX(StateCounties[],MATCH(D667,StateCounties[Texas],0),MATCH(B667,StateCounties[#Headers],0))</f>
        <v>Parker County</v>
      </c>
      <c r="I667" t="b">
        <f t="shared" si="22"/>
        <v>1</v>
      </c>
    </row>
    <row r="668" spans="2:9">
      <c r="B668" t="s">
        <v>55</v>
      </c>
      <c r="C668" t="s">
        <v>96</v>
      </c>
      <c r="D668" t="s">
        <v>1375</v>
      </c>
      <c r="E668" t="str">
        <f t="shared" si="21"/>
        <v>Rockwall County</v>
      </c>
      <c r="F668" t="s">
        <v>639</v>
      </c>
      <c r="G668" t="str">
        <f>INDEX(StateCounties[],MATCH(D668,StateCounties[Texas],0),MATCH(B668,StateCounties[#Headers],0))</f>
        <v>Rockwall County</v>
      </c>
      <c r="I668" t="b">
        <f t="shared" si="22"/>
        <v>1</v>
      </c>
    </row>
    <row r="669" spans="2:9">
      <c r="B669" t="s">
        <v>55</v>
      </c>
      <c r="C669" t="s">
        <v>96</v>
      </c>
      <c r="D669" t="s">
        <v>1393</v>
      </c>
      <c r="E669" t="str">
        <f t="shared" si="21"/>
        <v>Tarrant County</v>
      </c>
      <c r="F669" t="s">
        <v>640</v>
      </c>
      <c r="G669" t="str">
        <f>INDEX(StateCounties[],MATCH(D669,StateCounties[Texas],0),MATCH(B669,StateCounties[#Headers],0))</f>
        <v>Tarrant County</v>
      </c>
      <c r="I669" t="b">
        <f t="shared" si="22"/>
        <v>1</v>
      </c>
    </row>
    <row r="670" spans="2:9">
      <c r="B670" t="s">
        <v>55</v>
      </c>
      <c r="C670" t="s">
        <v>96</v>
      </c>
      <c r="D670" t="s">
        <v>1415</v>
      </c>
      <c r="E670" t="str">
        <f t="shared" si="21"/>
        <v>Wise County</v>
      </c>
      <c r="F670" t="s">
        <v>641</v>
      </c>
      <c r="G670" t="str">
        <f>INDEX(StateCounties[],MATCH(D670,StateCounties[Texas],0),MATCH(B670,StateCounties[#Headers],0))</f>
        <v>Wise County</v>
      </c>
      <c r="I670" t="b">
        <f t="shared" si="22"/>
        <v>1</v>
      </c>
    </row>
    <row r="671" spans="2:9">
      <c r="B671" t="s">
        <v>55</v>
      </c>
      <c r="C671" t="s">
        <v>98</v>
      </c>
      <c r="D671" t="s">
        <v>1191</v>
      </c>
      <c r="E671" t="str">
        <f t="shared" si="21"/>
        <v>El Paso County</v>
      </c>
      <c r="F671" t="s">
        <v>642</v>
      </c>
      <c r="G671" t="str">
        <f>INDEX(StateCounties[],MATCH(D671,StateCounties[Texas],0),MATCH(B671,StateCounties[#Headers],0))</f>
        <v>El Paso County</v>
      </c>
      <c r="I671" t="b">
        <f t="shared" si="22"/>
        <v>1</v>
      </c>
    </row>
    <row r="672" spans="2:9">
      <c r="B672" t="s">
        <v>55</v>
      </c>
      <c r="C672" t="s">
        <v>101</v>
      </c>
      <c r="D672" t="s">
        <v>865</v>
      </c>
      <c r="E672" t="str">
        <f t="shared" si="21"/>
        <v>Austin County</v>
      </c>
      <c r="F672" t="s">
        <v>643</v>
      </c>
      <c r="G672" t="str">
        <f>INDEX(StateCounties[],MATCH(D672,StateCounties[Texas],0),MATCH(B672,StateCounties[#Headers],0))</f>
        <v>Austin County</v>
      </c>
      <c r="I672" t="b">
        <f t="shared" si="22"/>
        <v>1</v>
      </c>
    </row>
    <row r="673" spans="2:9">
      <c r="B673" t="s">
        <v>55</v>
      </c>
      <c r="C673" t="s">
        <v>101</v>
      </c>
      <c r="D673" t="s">
        <v>933</v>
      </c>
      <c r="E673" t="str">
        <f t="shared" si="21"/>
        <v>Brazoria County</v>
      </c>
      <c r="F673" t="s">
        <v>644</v>
      </c>
      <c r="G673" t="str">
        <f>INDEX(StateCounties[],MATCH(D673,StateCounties[Texas],0),MATCH(B673,StateCounties[#Headers],0))</f>
        <v>Brazoria County</v>
      </c>
      <c r="I673" t="b">
        <f t="shared" si="22"/>
        <v>1</v>
      </c>
    </row>
    <row r="674" spans="2:9">
      <c r="B674" t="s">
        <v>55</v>
      </c>
      <c r="C674" t="s">
        <v>101</v>
      </c>
      <c r="D674" t="s">
        <v>866</v>
      </c>
      <c r="E674" t="str">
        <f t="shared" si="21"/>
        <v>Chambers County</v>
      </c>
      <c r="F674" t="s">
        <v>117</v>
      </c>
      <c r="G674" t="str">
        <f>INDEX(StateCounties[],MATCH(D674,StateCounties[Texas],0),MATCH(B674,StateCounties[#Headers],0))</f>
        <v>Chambers County</v>
      </c>
      <c r="I674" t="b">
        <f t="shared" si="22"/>
        <v>1</v>
      </c>
    </row>
    <row r="675" spans="2:9">
      <c r="B675" t="s">
        <v>55</v>
      </c>
      <c r="C675" t="s">
        <v>101</v>
      </c>
      <c r="D675" t="s">
        <v>1218</v>
      </c>
      <c r="E675" t="str">
        <f t="shared" si="21"/>
        <v>Fort Bend County</v>
      </c>
      <c r="F675" t="s">
        <v>645</v>
      </c>
      <c r="G675" t="str">
        <f>INDEX(StateCounties[],MATCH(D675,StateCounties[Texas],0),MATCH(B675,StateCounties[#Headers],0))</f>
        <v>Fort Bend County</v>
      </c>
      <c r="I675" t="b">
        <f t="shared" si="22"/>
        <v>1</v>
      </c>
    </row>
    <row r="676" spans="2:9">
      <c r="B676" t="s">
        <v>55</v>
      </c>
      <c r="C676" t="s">
        <v>101</v>
      </c>
      <c r="D676" t="s">
        <v>1234</v>
      </c>
      <c r="E676" t="str">
        <f t="shared" si="21"/>
        <v>Galveston County</v>
      </c>
      <c r="F676" t="s">
        <v>646</v>
      </c>
      <c r="G676" t="str">
        <f>INDEX(StateCounties[],MATCH(D676,StateCounties[Texas],0),MATCH(B676,StateCounties[#Headers],0))</f>
        <v>Galveston County</v>
      </c>
      <c r="I676" t="b">
        <f t="shared" si="22"/>
        <v>1</v>
      </c>
    </row>
    <row r="677" spans="2:9">
      <c r="B677" t="s">
        <v>55</v>
      </c>
      <c r="C677" t="s">
        <v>101</v>
      </c>
      <c r="D677" t="s">
        <v>1192</v>
      </c>
      <c r="E677" t="str">
        <f t="shared" si="21"/>
        <v>Harris County</v>
      </c>
      <c r="F677" t="s">
        <v>314</v>
      </c>
      <c r="G677" t="str">
        <f>INDEX(StateCounties[],MATCH(D677,StateCounties[Texas],0),MATCH(B677,StateCounties[#Headers],0))</f>
        <v>Harris County</v>
      </c>
      <c r="I677" t="b">
        <f t="shared" si="22"/>
        <v>1</v>
      </c>
    </row>
    <row r="678" spans="2:9">
      <c r="B678" t="s">
        <v>55</v>
      </c>
      <c r="C678" t="s">
        <v>101</v>
      </c>
      <c r="D678" t="s">
        <v>1023</v>
      </c>
      <c r="E678" t="str">
        <f t="shared" si="21"/>
        <v>Liberty County</v>
      </c>
      <c r="F678" t="s">
        <v>211</v>
      </c>
      <c r="G678" t="str">
        <f>INDEX(StateCounties[],MATCH(D678,StateCounties[Texas],0),MATCH(B678,StateCounties[#Headers],0))</f>
        <v>Liberty County</v>
      </c>
      <c r="I678" t="b">
        <f t="shared" si="22"/>
        <v>1</v>
      </c>
    </row>
    <row r="679" spans="2:9">
      <c r="B679" t="s">
        <v>55</v>
      </c>
      <c r="C679" t="s">
        <v>101</v>
      </c>
      <c r="D679" t="s">
        <v>1079</v>
      </c>
      <c r="E679" t="str">
        <f t="shared" si="21"/>
        <v>Montgomery County</v>
      </c>
      <c r="F679" t="s">
        <v>107</v>
      </c>
      <c r="G679" t="str">
        <f>INDEX(StateCounties[],MATCH(D679,StateCounties[Texas],0),MATCH(B679,StateCounties[#Headers],0))</f>
        <v>Montgomery County</v>
      </c>
      <c r="I679" t="b">
        <f t="shared" si="22"/>
        <v>1</v>
      </c>
    </row>
    <row r="680" spans="2:9">
      <c r="B680" t="s">
        <v>55</v>
      </c>
      <c r="C680" t="s">
        <v>101</v>
      </c>
      <c r="D680" t="s">
        <v>1380</v>
      </c>
      <c r="E680" t="str">
        <f t="shared" si="21"/>
        <v>San Jacinto County</v>
      </c>
      <c r="F680" t="s">
        <v>647</v>
      </c>
      <c r="G680" t="str">
        <f>INDEX(StateCounties[],MATCH(D680,StateCounties[Texas],0),MATCH(B680,StateCounties[#Headers],0))</f>
        <v>San Jacinto County</v>
      </c>
      <c r="I680" t="b">
        <f t="shared" si="22"/>
        <v>1</v>
      </c>
    </row>
    <row r="681" spans="2:9">
      <c r="B681" t="s">
        <v>55</v>
      </c>
      <c r="C681" t="s">
        <v>101</v>
      </c>
      <c r="D681" t="s">
        <v>1407</v>
      </c>
      <c r="E681" t="str">
        <f t="shared" ref="E681:E744" si="23">F681&amp; " County"</f>
        <v>Waller County</v>
      </c>
      <c r="F681" t="s">
        <v>648</v>
      </c>
      <c r="G681" t="str">
        <f>INDEX(StateCounties[],MATCH(D681,StateCounties[Texas],0),MATCH(B681,StateCounties[#Headers],0))</f>
        <v>Waller County</v>
      </c>
      <c r="I681" t="b">
        <f t="shared" si="22"/>
        <v>1</v>
      </c>
    </row>
    <row r="682" spans="2:9">
      <c r="B682" t="s">
        <v>55</v>
      </c>
      <c r="C682" t="s">
        <v>103</v>
      </c>
      <c r="D682" t="s">
        <v>899</v>
      </c>
      <c r="E682" t="str">
        <f t="shared" si="23"/>
        <v>Bell County</v>
      </c>
      <c r="F682" t="s">
        <v>649</v>
      </c>
      <c r="G682" t="str">
        <f>INDEX(StateCounties[],MATCH(D682,StateCounties[Texas],0),MATCH(B682,StateCounties[#Headers],0))</f>
        <v>Bell County</v>
      </c>
      <c r="I682" t="b">
        <f t="shared" si="22"/>
        <v>1</v>
      </c>
    </row>
    <row r="683" spans="2:9">
      <c r="B683" t="s">
        <v>55</v>
      </c>
      <c r="C683" t="s">
        <v>103</v>
      </c>
      <c r="D683" t="s">
        <v>1085</v>
      </c>
      <c r="E683" t="str">
        <f t="shared" si="23"/>
        <v>Coryell County</v>
      </c>
      <c r="F683" t="s">
        <v>650</v>
      </c>
      <c r="G683" t="str">
        <f>INDEX(StateCounties[],MATCH(D683,StateCounties[Texas],0),MATCH(B683,StateCounties[#Headers],0))</f>
        <v>Coryell County</v>
      </c>
      <c r="I683" t="b">
        <f t="shared" si="22"/>
        <v>1</v>
      </c>
    </row>
    <row r="684" spans="2:9">
      <c r="B684" t="s">
        <v>55</v>
      </c>
      <c r="C684" t="s">
        <v>103</v>
      </c>
      <c r="D684" t="s">
        <v>1325</v>
      </c>
      <c r="E684" t="str">
        <f t="shared" si="23"/>
        <v>Lampasas County</v>
      </c>
      <c r="F684" t="s">
        <v>651</v>
      </c>
      <c r="G684" t="str">
        <f>INDEX(StateCounties[],MATCH(D684,StateCounties[Texas],0),MATCH(B684,StateCounties[#Headers],0))</f>
        <v>Lampasas County</v>
      </c>
      <c r="I684" t="b">
        <f t="shared" si="22"/>
        <v>1</v>
      </c>
    </row>
    <row r="685" spans="2:9">
      <c r="B685" t="s">
        <v>55</v>
      </c>
      <c r="C685" t="s">
        <v>108</v>
      </c>
      <c r="D685" t="s">
        <v>1409</v>
      </c>
      <c r="E685" t="str">
        <f t="shared" si="23"/>
        <v>Webb County</v>
      </c>
      <c r="F685" t="s">
        <v>652</v>
      </c>
      <c r="G685" t="str">
        <f>INDEX(StateCounties[],MATCH(D685,StateCounties[Texas],0),MATCH(B685,StateCounties[#Headers],0))</f>
        <v>Webb County</v>
      </c>
      <c r="I685" t="b">
        <f t="shared" si="22"/>
        <v>1</v>
      </c>
    </row>
    <row r="686" spans="2:9">
      <c r="B686" t="s">
        <v>55</v>
      </c>
      <c r="C686" t="s">
        <v>112</v>
      </c>
      <c r="D686" t="s">
        <v>1256</v>
      </c>
      <c r="E686" t="str">
        <f t="shared" si="23"/>
        <v>Gregg County</v>
      </c>
      <c r="F686" t="s">
        <v>653</v>
      </c>
      <c r="G686" t="str">
        <f>INDEX(StateCounties[],MATCH(D686,StateCounties[Texas],0),MATCH(B686,StateCounties[#Headers],0))</f>
        <v>Gregg County</v>
      </c>
      <c r="I686" t="b">
        <f t="shared" si="22"/>
        <v>1</v>
      </c>
    </row>
    <row r="687" spans="2:9">
      <c r="B687" t="s">
        <v>55</v>
      </c>
      <c r="C687" t="s">
        <v>112</v>
      </c>
      <c r="D687" t="s">
        <v>1377</v>
      </c>
      <c r="E687" t="str">
        <f t="shared" si="23"/>
        <v>Rusk County</v>
      </c>
      <c r="F687" t="s">
        <v>654</v>
      </c>
      <c r="G687" t="str">
        <f>INDEX(StateCounties[],MATCH(D687,StateCounties[Texas],0),MATCH(B687,StateCounties[#Headers],0))</f>
        <v>Rusk County</v>
      </c>
      <c r="I687" t="b">
        <f t="shared" si="22"/>
        <v>1</v>
      </c>
    </row>
    <row r="688" spans="2:9">
      <c r="B688" t="s">
        <v>55</v>
      </c>
      <c r="C688" t="s">
        <v>112</v>
      </c>
      <c r="D688" t="s">
        <v>1401</v>
      </c>
      <c r="E688" t="str">
        <f t="shared" si="23"/>
        <v>Upshur County</v>
      </c>
      <c r="F688" t="s">
        <v>655</v>
      </c>
      <c r="G688" t="str">
        <f>INDEX(StateCounties[],MATCH(D688,StateCounties[Texas],0),MATCH(B688,StateCounties[#Headers],0))</f>
        <v>Upshur County</v>
      </c>
      <c r="I688" t="b">
        <f t="shared" si="22"/>
        <v>1</v>
      </c>
    </row>
    <row r="689" spans="2:9">
      <c r="B689" t="s">
        <v>55</v>
      </c>
      <c r="C689" t="s">
        <v>167</v>
      </c>
      <c r="D689" t="s">
        <v>1108</v>
      </c>
      <c r="E689" t="str">
        <f t="shared" si="23"/>
        <v>Crosby County</v>
      </c>
      <c r="F689" t="s">
        <v>656</v>
      </c>
      <c r="G689" t="str">
        <f>INDEX(StateCounties[],MATCH(D689,StateCounties[Texas],0),MATCH(B689,StateCounties[#Headers],0))</f>
        <v>Crosby County</v>
      </c>
      <c r="I689" t="b">
        <f t="shared" si="22"/>
        <v>1</v>
      </c>
    </row>
    <row r="690" spans="2:9">
      <c r="B690" t="s">
        <v>55</v>
      </c>
      <c r="C690" t="s">
        <v>167</v>
      </c>
      <c r="D690" t="s">
        <v>1336</v>
      </c>
      <c r="E690" t="str">
        <f t="shared" si="23"/>
        <v>Lubbock County</v>
      </c>
      <c r="F690" t="s">
        <v>657</v>
      </c>
      <c r="G690" t="str">
        <f>INDEX(StateCounties[],MATCH(D690,StateCounties[Texas],0),MATCH(B690,StateCounties[#Headers],0))</f>
        <v>Lubbock County</v>
      </c>
      <c r="I690" t="b">
        <f t="shared" si="22"/>
        <v>1</v>
      </c>
    </row>
    <row r="691" spans="2:9">
      <c r="B691" t="s">
        <v>55</v>
      </c>
      <c r="C691" t="s">
        <v>169</v>
      </c>
      <c r="D691" t="s">
        <v>1279</v>
      </c>
      <c r="E691" t="str">
        <f t="shared" si="23"/>
        <v>Hidalgo County</v>
      </c>
      <c r="F691" t="s">
        <v>658</v>
      </c>
      <c r="G691" t="str">
        <f>INDEX(StateCounties[],MATCH(D691,StateCounties[Texas],0),MATCH(B691,StateCounties[#Headers],0))</f>
        <v>Hidalgo County</v>
      </c>
      <c r="I691" t="b">
        <f t="shared" si="22"/>
        <v>1</v>
      </c>
    </row>
    <row r="692" spans="2:9">
      <c r="B692" t="s">
        <v>55</v>
      </c>
      <c r="C692" t="s">
        <v>171</v>
      </c>
      <c r="D692" t="s">
        <v>1349</v>
      </c>
      <c r="E692" t="str">
        <f t="shared" si="23"/>
        <v>Midland County</v>
      </c>
      <c r="F692" t="s">
        <v>659</v>
      </c>
      <c r="G692" t="str">
        <f>INDEX(StateCounties[],MATCH(D692,StateCounties[Texas],0),MATCH(B692,StateCounties[#Headers],0))</f>
        <v>Midland County</v>
      </c>
      <c r="I692" t="b">
        <f t="shared" si="22"/>
        <v>1</v>
      </c>
    </row>
    <row r="693" spans="2:9">
      <c r="B693" t="s">
        <v>55</v>
      </c>
      <c r="C693" t="s">
        <v>172</v>
      </c>
      <c r="D693" t="s">
        <v>1179</v>
      </c>
      <c r="E693" t="str">
        <f t="shared" si="23"/>
        <v>Ector County</v>
      </c>
      <c r="F693" t="s">
        <v>660</v>
      </c>
      <c r="G693" t="str">
        <f>INDEX(StateCounties[],MATCH(D693,StateCounties[Texas],0),MATCH(B693,StateCounties[#Headers],0))</f>
        <v>Ector County</v>
      </c>
      <c r="I693" t="b">
        <f t="shared" si="22"/>
        <v>1</v>
      </c>
    </row>
    <row r="694" spans="2:9">
      <c r="B694" t="s">
        <v>55</v>
      </c>
      <c r="C694" t="s">
        <v>174</v>
      </c>
      <c r="D694" t="s">
        <v>1293</v>
      </c>
      <c r="E694" t="str">
        <f t="shared" si="23"/>
        <v>Irion County</v>
      </c>
      <c r="F694" t="s">
        <v>661</v>
      </c>
      <c r="G694" t="str">
        <f>INDEX(StateCounties[],MATCH(D694,StateCounties[Texas],0),MATCH(B694,StateCounties[#Headers],0))</f>
        <v>Irion County</v>
      </c>
      <c r="I694" t="b">
        <f t="shared" si="22"/>
        <v>1</v>
      </c>
    </row>
    <row r="695" spans="2:9">
      <c r="B695" t="s">
        <v>55</v>
      </c>
      <c r="C695" t="s">
        <v>174</v>
      </c>
      <c r="D695" t="s">
        <v>1397</v>
      </c>
      <c r="E695" t="str">
        <f t="shared" si="23"/>
        <v>Tom Green County</v>
      </c>
      <c r="F695" t="s">
        <v>662</v>
      </c>
      <c r="G695" t="str">
        <f>INDEX(StateCounties[],MATCH(D695,StateCounties[Texas],0),MATCH(B695,StateCounties[#Headers],0))</f>
        <v>Tom Green County</v>
      </c>
      <c r="I695" t="b">
        <f t="shared" si="22"/>
        <v>1</v>
      </c>
    </row>
    <row r="696" spans="2:9">
      <c r="B696" t="s">
        <v>55</v>
      </c>
      <c r="C696" t="s">
        <v>175</v>
      </c>
      <c r="D696" t="s">
        <v>859</v>
      </c>
      <c r="E696" t="str">
        <f t="shared" si="23"/>
        <v>Atascosa County</v>
      </c>
      <c r="F696" t="s">
        <v>663</v>
      </c>
      <c r="G696" t="str">
        <f>INDEX(StateCounties[],MATCH(D696,StateCounties[Texas],0),MATCH(B696,StateCounties[#Headers],0))</f>
        <v>Atascosa County</v>
      </c>
      <c r="I696" t="b">
        <f t="shared" si="22"/>
        <v>1</v>
      </c>
    </row>
    <row r="697" spans="2:9">
      <c r="B697" t="s">
        <v>55</v>
      </c>
      <c r="C697" t="s">
        <v>175</v>
      </c>
      <c r="D697" t="s">
        <v>878</v>
      </c>
      <c r="E697" t="str">
        <f t="shared" si="23"/>
        <v>Bandera County</v>
      </c>
      <c r="F697" t="s">
        <v>664</v>
      </c>
      <c r="G697" t="str">
        <f>INDEX(StateCounties[],MATCH(D697,StateCounties[Texas],0),MATCH(B697,StateCounties[#Headers],0))</f>
        <v>Bandera County</v>
      </c>
      <c r="I697" t="b">
        <f t="shared" si="22"/>
        <v>1</v>
      </c>
    </row>
    <row r="698" spans="2:9">
      <c r="B698" t="s">
        <v>55</v>
      </c>
      <c r="C698" t="s">
        <v>175</v>
      </c>
      <c r="D698" t="s">
        <v>906</v>
      </c>
      <c r="E698" t="str">
        <f t="shared" si="23"/>
        <v>Bexar County</v>
      </c>
      <c r="F698" t="s">
        <v>665</v>
      </c>
      <c r="G698" t="str">
        <f>INDEX(StateCounties[],MATCH(D698,StateCounties[Texas],0),MATCH(B698,StateCounties[#Headers],0))</f>
        <v>Bexar County</v>
      </c>
      <c r="I698" t="b">
        <f t="shared" si="22"/>
        <v>1</v>
      </c>
    </row>
    <row r="699" spans="2:9">
      <c r="B699" t="s">
        <v>55</v>
      </c>
      <c r="C699" t="s">
        <v>175</v>
      </c>
      <c r="D699" t="s">
        <v>1065</v>
      </c>
      <c r="E699" t="str">
        <f t="shared" si="23"/>
        <v>Comal County</v>
      </c>
      <c r="F699" t="s">
        <v>666</v>
      </c>
      <c r="G699" t="str">
        <f>INDEX(StateCounties[],MATCH(D699,StateCounties[Texas],0),MATCH(B699,StateCounties[#Headers],0))</f>
        <v>Comal County</v>
      </c>
      <c r="I699" t="b">
        <f t="shared" si="22"/>
        <v>1</v>
      </c>
    </row>
    <row r="700" spans="2:9">
      <c r="B700" t="s">
        <v>55</v>
      </c>
      <c r="C700" t="s">
        <v>175</v>
      </c>
      <c r="D700" t="s">
        <v>1262</v>
      </c>
      <c r="E700" t="str">
        <f t="shared" si="23"/>
        <v>Guadalupe County</v>
      </c>
      <c r="F700" t="s">
        <v>667</v>
      </c>
      <c r="G700" t="str">
        <f>INDEX(StateCounties[],MATCH(D700,StateCounties[Texas],0),MATCH(B700,StateCounties[#Headers],0))</f>
        <v>Guadalupe County</v>
      </c>
      <c r="I700" t="b">
        <f t="shared" si="22"/>
        <v>1</v>
      </c>
    </row>
    <row r="701" spans="2:9">
      <c r="B701" t="s">
        <v>55</v>
      </c>
      <c r="C701" t="s">
        <v>175</v>
      </c>
      <c r="D701" t="s">
        <v>1306</v>
      </c>
      <c r="E701" t="str">
        <f t="shared" si="23"/>
        <v>Kendall County</v>
      </c>
      <c r="F701" t="s">
        <v>668</v>
      </c>
      <c r="G701" t="str">
        <f>INDEX(StateCounties[],MATCH(D701,StateCounties[Texas],0),MATCH(B701,StateCounties[#Headers],0))</f>
        <v>Kendall County</v>
      </c>
      <c r="I701" t="b">
        <f t="shared" si="22"/>
        <v>1</v>
      </c>
    </row>
    <row r="702" spans="2:9">
      <c r="B702" t="s">
        <v>55</v>
      </c>
      <c r="C702" t="s">
        <v>175</v>
      </c>
      <c r="D702" t="s">
        <v>1347</v>
      </c>
      <c r="E702" t="str">
        <f t="shared" si="23"/>
        <v>Medina County</v>
      </c>
      <c r="F702" t="s">
        <v>669</v>
      </c>
      <c r="G702" t="str">
        <f>INDEX(StateCounties[],MATCH(D702,StateCounties[Texas],0),MATCH(B702,StateCounties[#Headers],0))</f>
        <v>Medina County</v>
      </c>
      <c r="I702" t="b">
        <f t="shared" si="22"/>
        <v>1</v>
      </c>
    </row>
    <row r="703" spans="2:9">
      <c r="B703" t="s">
        <v>55</v>
      </c>
      <c r="C703" t="s">
        <v>175</v>
      </c>
      <c r="D703" t="s">
        <v>1265</v>
      </c>
      <c r="E703" t="str">
        <f t="shared" si="23"/>
        <v>Wilson County</v>
      </c>
      <c r="F703" t="s">
        <v>555</v>
      </c>
      <c r="G703" t="str">
        <f>INDEX(StateCounties[],MATCH(D703,StateCounties[Texas],0),MATCH(B703,StateCounties[#Headers],0))</f>
        <v>Wilson County</v>
      </c>
      <c r="I703" t="b">
        <f t="shared" si="22"/>
        <v>1</v>
      </c>
    </row>
    <row r="704" spans="2:9">
      <c r="B704" t="s">
        <v>55</v>
      </c>
      <c r="C704" t="s">
        <v>177</v>
      </c>
      <c r="D704" t="s">
        <v>1253</v>
      </c>
      <c r="E704" t="str">
        <f t="shared" si="23"/>
        <v>Grayson County</v>
      </c>
      <c r="F704" t="s">
        <v>670</v>
      </c>
      <c r="G704" t="str">
        <f>INDEX(StateCounties[],MATCH(D704,StateCounties[Texas],0),MATCH(B704,StateCounties[#Headers],0))</f>
        <v>Grayson County</v>
      </c>
      <c r="I704" t="b">
        <f t="shared" si="22"/>
        <v>1</v>
      </c>
    </row>
    <row r="705" spans="2:9">
      <c r="B705" t="s">
        <v>55</v>
      </c>
      <c r="C705" t="s">
        <v>179</v>
      </c>
      <c r="D705" t="s">
        <v>929</v>
      </c>
      <c r="E705" t="str">
        <f t="shared" si="23"/>
        <v>Bowie County</v>
      </c>
      <c r="F705" t="s">
        <v>671</v>
      </c>
      <c r="G705" t="str">
        <f>INDEX(StateCounties[],MATCH(D705,StateCounties[Texas],0),MATCH(B705,StateCounties[#Headers],0))</f>
        <v>Bowie County</v>
      </c>
      <c r="I705" t="b">
        <f t="shared" si="22"/>
        <v>1</v>
      </c>
    </row>
    <row r="706" spans="2:9">
      <c r="B706" t="s">
        <v>55</v>
      </c>
      <c r="C706" t="s">
        <v>181</v>
      </c>
      <c r="D706" t="s">
        <v>1163</v>
      </c>
      <c r="E706" t="str">
        <f t="shared" si="23"/>
        <v>Smith County</v>
      </c>
      <c r="F706" t="s">
        <v>488</v>
      </c>
      <c r="G706" t="str">
        <f>INDEX(StateCounties[],MATCH(D706,StateCounties[Texas],0),MATCH(B706,StateCounties[#Headers],0))</f>
        <v>Smith County</v>
      </c>
      <c r="I706" t="b">
        <f t="shared" si="22"/>
        <v>1</v>
      </c>
    </row>
    <row r="707" spans="2:9">
      <c r="B707" t="s">
        <v>55</v>
      </c>
      <c r="C707" t="s">
        <v>183</v>
      </c>
      <c r="D707" t="s">
        <v>855</v>
      </c>
      <c r="E707" t="str">
        <f t="shared" si="23"/>
        <v>Calhoun County</v>
      </c>
      <c r="F707" t="s">
        <v>73</v>
      </c>
      <c r="G707" t="str">
        <f>INDEX(StateCounties[],MATCH(D707,StateCounties[Texas],0),MATCH(B707,StateCounties[#Headers],0))</f>
        <v>Calhoun County</v>
      </c>
      <c r="I707" t="b">
        <f t="shared" si="22"/>
        <v>1</v>
      </c>
    </row>
    <row r="708" spans="2:9">
      <c r="B708" t="s">
        <v>55</v>
      </c>
      <c r="C708" t="s">
        <v>183</v>
      </c>
      <c r="D708" t="s">
        <v>1247</v>
      </c>
      <c r="E708" t="str">
        <f t="shared" si="23"/>
        <v>Goliad County</v>
      </c>
      <c r="F708" t="s">
        <v>672</v>
      </c>
      <c r="G708" t="str">
        <f>INDEX(StateCounties[],MATCH(D708,StateCounties[Texas],0),MATCH(B708,StateCounties[#Headers],0))</f>
        <v>Goliad County</v>
      </c>
      <c r="I708" t="b">
        <f t="shared" ref="I708:I771" si="24">E708=D708</f>
        <v>1</v>
      </c>
    </row>
    <row r="709" spans="2:9">
      <c r="B709" t="s">
        <v>55</v>
      </c>
      <c r="C709" t="s">
        <v>183</v>
      </c>
      <c r="D709" t="s">
        <v>1406</v>
      </c>
      <c r="E709" t="str">
        <f t="shared" si="23"/>
        <v>Victoria County</v>
      </c>
      <c r="F709" t="s">
        <v>673</v>
      </c>
      <c r="G709" t="str">
        <f>INDEX(StateCounties[],MATCH(D709,StateCounties[Texas],0),MATCH(B709,StateCounties[#Headers],0))</f>
        <v>Victoria County</v>
      </c>
      <c r="I709" t="b">
        <f t="shared" si="24"/>
        <v>1</v>
      </c>
    </row>
    <row r="710" spans="2:9">
      <c r="B710" t="s">
        <v>55</v>
      </c>
      <c r="C710" t="s">
        <v>185</v>
      </c>
      <c r="D710" t="s">
        <v>1341</v>
      </c>
      <c r="E710" t="str">
        <f t="shared" si="23"/>
        <v>McLennan County</v>
      </c>
      <c r="F710" t="s">
        <v>674</v>
      </c>
      <c r="G710" t="str">
        <f>INDEX(StateCounties[],MATCH(D710,StateCounties[Texas],0),MATCH(B710,StateCounties[#Headers],0))</f>
        <v>McLennan County</v>
      </c>
      <c r="I710" t="b">
        <f t="shared" si="24"/>
        <v>1</v>
      </c>
    </row>
    <row r="711" spans="2:9">
      <c r="B711" t="s">
        <v>55</v>
      </c>
      <c r="C711" t="s">
        <v>187</v>
      </c>
      <c r="D711" t="s">
        <v>846</v>
      </c>
      <c r="E711" t="str">
        <f t="shared" si="23"/>
        <v>Archer County</v>
      </c>
      <c r="F711" t="s">
        <v>675</v>
      </c>
      <c r="G711" t="str">
        <f>INDEX(StateCounties[],MATCH(D711,StateCounties[Texas],0),MATCH(B711,StateCounties[#Headers],0))</f>
        <v>Archer County</v>
      </c>
      <c r="I711" t="b">
        <f t="shared" si="24"/>
        <v>1</v>
      </c>
    </row>
    <row r="712" spans="2:9">
      <c r="B712" t="s">
        <v>55</v>
      </c>
      <c r="C712" t="s">
        <v>187</v>
      </c>
      <c r="D712" t="s">
        <v>873</v>
      </c>
      <c r="E712" t="str">
        <f t="shared" si="23"/>
        <v>Clay County</v>
      </c>
      <c r="F712" t="s">
        <v>121</v>
      </c>
      <c r="G712" t="str">
        <f>INDEX(StateCounties[],MATCH(D712,StateCounties[Texas],0),MATCH(B712,StateCounties[#Headers],0))</f>
        <v>Clay County</v>
      </c>
      <c r="I712" t="b">
        <f t="shared" si="24"/>
        <v>1</v>
      </c>
    </row>
    <row r="713" spans="2:9">
      <c r="B713" t="s">
        <v>55</v>
      </c>
      <c r="C713" t="s">
        <v>187</v>
      </c>
      <c r="D713" t="s">
        <v>1411</v>
      </c>
      <c r="E713" t="str">
        <f t="shared" si="23"/>
        <v>Wichita County</v>
      </c>
      <c r="F713" t="s">
        <v>676</v>
      </c>
      <c r="G713" t="str">
        <f>INDEX(StateCounties[],MATCH(D713,StateCounties[Texas],0),MATCH(B713,StateCounties[#Headers],0))</f>
        <v>Wichita County</v>
      </c>
      <c r="I713" t="b">
        <f t="shared" si="24"/>
        <v>1</v>
      </c>
    </row>
    <row r="714" spans="2:9">
      <c r="B714" t="s">
        <v>55</v>
      </c>
      <c r="C714" t="s">
        <v>189</v>
      </c>
      <c r="D714" t="s">
        <v>1300</v>
      </c>
      <c r="E714" t="str">
        <f t="shared" si="23"/>
        <v>Jim Wells County</v>
      </c>
      <c r="F714" t="s">
        <v>677</v>
      </c>
      <c r="G714" t="str">
        <f>INDEX(StateCounties[],MATCH(D714,StateCounties[Texas],0),MATCH(B714,StateCounties[#Headers],0))</f>
        <v>Jim Wells County</v>
      </c>
      <c r="I714" t="b">
        <f t="shared" si="24"/>
        <v>1</v>
      </c>
    </row>
    <row r="715" spans="2:9">
      <c r="B715" t="s">
        <v>55</v>
      </c>
      <c r="C715" t="s">
        <v>189</v>
      </c>
      <c r="D715" t="s">
        <v>829</v>
      </c>
      <c r="E715" t="str">
        <f t="shared" si="23"/>
        <v>Andrews County</v>
      </c>
      <c r="F715" t="s">
        <v>678</v>
      </c>
      <c r="G715" t="str">
        <f>INDEX(StateCounties[],MATCH(D715,StateCounties[Texas],0),MATCH(B715,StateCounties[#Headers],0))</f>
        <v>Andrews County</v>
      </c>
      <c r="I715" t="b">
        <f t="shared" si="24"/>
        <v>1</v>
      </c>
    </row>
    <row r="716" spans="2:9">
      <c r="B716" t="s">
        <v>55</v>
      </c>
      <c r="C716" t="s">
        <v>189</v>
      </c>
      <c r="D716" t="s">
        <v>1033</v>
      </c>
      <c r="E716" t="str">
        <f t="shared" si="23"/>
        <v>Henderson County</v>
      </c>
      <c r="F716" t="s">
        <v>500</v>
      </c>
      <c r="G716" t="str">
        <f>INDEX(StateCounties[],MATCH(D716,StateCounties[Texas],0),MATCH(B716,StateCounties[#Headers],0))</f>
        <v>Henderson County</v>
      </c>
      <c r="I716" t="b">
        <f t="shared" si="24"/>
        <v>1</v>
      </c>
    </row>
    <row r="717" spans="2:9">
      <c r="B717" t="s">
        <v>55</v>
      </c>
      <c r="C717" t="s">
        <v>189</v>
      </c>
      <c r="D717" t="s">
        <v>1345</v>
      </c>
      <c r="E717" t="str">
        <f t="shared" si="23"/>
        <v>Matagorda County</v>
      </c>
      <c r="F717" t="s">
        <v>679</v>
      </c>
      <c r="G717" t="str">
        <f>INDEX(StateCounties[],MATCH(D717,StateCounties[Texas],0),MATCH(B717,StateCounties[#Headers],0))</f>
        <v>Matagorda County</v>
      </c>
      <c r="I717" t="b">
        <f t="shared" si="24"/>
        <v>1</v>
      </c>
    </row>
    <row r="718" spans="2:9">
      <c r="B718" t="s">
        <v>55</v>
      </c>
      <c r="C718" t="s">
        <v>189</v>
      </c>
      <c r="D718" t="s">
        <v>894</v>
      </c>
      <c r="E718" t="str">
        <f t="shared" si="23"/>
        <v>Bee County</v>
      </c>
      <c r="F718" t="s">
        <v>680</v>
      </c>
      <c r="G718" t="str">
        <f>INDEX(StateCounties[],MATCH(D718,StateCounties[Texas],0),MATCH(B718,StateCounties[#Headers],0))</f>
        <v>Bee County</v>
      </c>
      <c r="I718" t="b">
        <f t="shared" si="24"/>
        <v>1</v>
      </c>
    </row>
    <row r="719" spans="2:9">
      <c r="B719" t="s">
        <v>55</v>
      </c>
      <c r="C719" t="s">
        <v>189</v>
      </c>
      <c r="D719" t="s">
        <v>1288</v>
      </c>
      <c r="E719" t="str">
        <f t="shared" si="23"/>
        <v>Howard County</v>
      </c>
      <c r="F719" t="s">
        <v>681</v>
      </c>
      <c r="G719" t="str">
        <f>INDEX(StateCounties[],MATCH(D719,StateCounties[Texas],0),MATCH(B719,StateCounties[#Headers],0))</f>
        <v>Howard County</v>
      </c>
      <c r="I719" t="b">
        <f t="shared" si="24"/>
        <v>1</v>
      </c>
    </row>
    <row r="720" spans="2:9">
      <c r="B720" t="s">
        <v>55</v>
      </c>
      <c r="C720" t="s">
        <v>189</v>
      </c>
      <c r="D720" t="s">
        <v>1111</v>
      </c>
      <c r="E720" t="str">
        <f t="shared" si="23"/>
        <v>Fannin County</v>
      </c>
      <c r="F720" t="s">
        <v>323</v>
      </c>
      <c r="G720" t="str">
        <f>INDEX(StateCounties[],MATCH(D720,StateCounties[Texas],0),MATCH(B720,StateCounties[#Headers],0))</f>
        <v>Fannin County</v>
      </c>
      <c r="I720" t="b">
        <f t="shared" si="24"/>
        <v>1</v>
      </c>
    </row>
    <row r="721" spans="2:9">
      <c r="B721" t="s">
        <v>55</v>
      </c>
      <c r="C721" t="s">
        <v>189</v>
      </c>
      <c r="D721" t="s">
        <v>1292</v>
      </c>
      <c r="E721" t="str">
        <f t="shared" si="23"/>
        <v>Hutchinson County</v>
      </c>
      <c r="F721" t="s">
        <v>682</v>
      </c>
      <c r="G721" t="str">
        <f>INDEX(StateCounties[],MATCH(D721,StateCounties[Texas],0),MATCH(B721,StateCounties[#Headers],0))</f>
        <v>Hutchinson County</v>
      </c>
      <c r="I721" t="b">
        <f t="shared" si="24"/>
        <v>1</v>
      </c>
    </row>
    <row r="722" spans="2:9">
      <c r="B722" t="s">
        <v>55</v>
      </c>
      <c r="C722" t="s">
        <v>189</v>
      </c>
      <c r="D722" t="s">
        <v>1160</v>
      </c>
      <c r="E722" t="str">
        <f t="shared" si="23"/>
        <v>Washington County</v>
      </c>
      <c r="F722" t="s">
        <v>59</v>
      </c>
      <c r="G722" t="str">
        <f>INDEX(StateCounties[],MATCH(D722,StateCounties[Texas],0),MATCH(B722,StateCounties[#Headers],0))</f>
        <v>Washington County</v>
      </c>
      <c r="I722" t="b">
        <f t="shared" si="24"/>
        <v>1</v>
      </c>
    </row>
    <row r="723" spans="2:9">
      <c r="B723" t="s">
        <v>55</v>
      </c>
      <c r="C723" t="s">
        <v>189</v>
      </c>
      <c r="D723" t="s">
        <v>963</v>
      </c>
      <c r="E723" t="str">
        <f t="shared" si="23"/>
        <v>Brown County</v>
      </c>
      <c r="F723" t="s">
        <v>683</v>
      </c>
      <c r="G723" t="str">
        <f>INDEX(StateCounties[],MATCH(D723,StateCounties[Texas],0),MATCH(B723,StateCounties[#Headers],0))</f>
        <v>Brown County</v>
      </c>
      <c r="I723" t="b">
        <f t="shared" si="24"/>
        <v>1</v>
      </c>
    </row>
    <row r="724" spans="2:9">
      <c r="B724" t="s">
        <v>55</v>
      </c>
      <c r="C724" t="s">
        <v>189</v>
      </c>
      <c r="D724" t="s">
        <v>1356</v>
      </c>
      <c r="E724" t="str">
        <f t="shared" si="23"/>
        <v>Navarro County</v>
      </c>
      <c r="F724" t="s">
        <v>684</v>
      </c>
      <c r="G724" t="str">
        <f>INDEX(StateCounties[],MATCH(D724,StateCounties[Texas],0),MATCH(B724,StateCounties[#Headers],0))</f>
        <v>Navarro County</v>
      </c>
      <c r="I724" t="b">
        <f t="shared" si="24"/>
        <v>1</v>
      </c>
    </row>
    <row r="725" spans="2:9">
      <c r="B725" t="s">
        <v>55</v>
      </c>
      <c r="C725" t="s">
        <v>189</v>
      </c>
      <c r="D725" t="s">
        <v>1404</v>
      </c>
      <c r="E725" t="str">
        <f t="shared" si="23"/>
        <v>Val Verde County</v>
      </c>
      <c r="F725" t="s">
        <v>685</v>
      </c>
      <c r="G725" t="str">
        <f>INDEX(StateCounties[],MATCH(D725,StateCounties[Texas],0),MATCH(B725,StateCounties[#Headers],0))</f>
        <v>Val Verde County</v>
      </c>
      <c r="I725" t="b">
        <f t="shared" si="24"/>
        <v>1</v>
      </c>
    </row>
    <row r="726" spans="2:9">
      <c r="B726" t="s">
        <v>55</v>
      </c>
      <c r="C726" t="s">
        <v>189</v>
      </c>
      <c r="D726" t="s">
        <v>1152</v>
      </c>
      <c r="E726" t="str">
        <f t="shared" si="23"/>
        <v>Moore County</v>
      </c>
      <c r="F726" t="s">
        <v>527</v>
      </c>
      <c r="G726" t="str">
        <f>INDEX(StateCounties[],MATCH(D726,StateCounties[Texas],0),MATCH(B726,StateCounties[#Headers],0))</f>
        <v>Moore County</v>
      </c>
      <c r="I726" t="b">
        <f t="shared" si="24"/>
        <v>1</v>
      </c>
    </row>
    <row r="727" spans="2:9">
      <c r="B727" t="s">
        <v>55</v>
      </c>
      <c r="C727" t="s">
        <v>189</v>
      </c>
      <c r="D727" t="s">
        <v>1346</v>
      </c>
      <c r="E727" t="str">
        <f t="shared" si="23"/>
        <v>Maverick County</v>
      </c>
      <c r="F727" t="s">
        <v>686</v>
      </c>
      <c r="G727" t="str">
        <f>INDEX(StateCounties[],MATCH(D727,StateCounties[Texas],0),MATCH(B727,StateCounties[#Headers],0))</f>
        <v>Maverick County</v>
      </c>
      <c r="I727" t="b">
        <f t="shared" si="24"/>
        <v>1</v>
      </c>
    </row>
    <row r="728" spans="2:9">
      <c r="B728" t="s">
        <v>55</v>
      </c>
      <c r="C728" t="s">
        <v>189</v>
      </c>
      <c r="D728" t="s">
        <v>1410</v>
      </c>
      <c r="E728" t="str">
        <f t="shared" si="23"/>
        <v>Wharton County</v>
      </c>
      <c r="F728" t="s">
        <v>687</v>
      </c>
      <c r="G728" t="str">
        <f>INDEX(StateCounties[],MATCH(D728,StateCounties[Texas],0),MATCH(B728,StateCounties[#Headers],0))</f>
        <v>Wharton County</v>
      </c>
      <c r="I728" t="b">
        <f t="shared" si="24"/>
        <v>1</v>
      </c>
    </row>
    <row r="729" spans="2:9">
      <c r="B729" t="s">
        <v>55</v>
      </c>
      <c r="C729" t="s">
        <v>189</v>
      </c>
      <c r="D729" t="s">
        <v>1241</v>
      </c>
      <c r="E729" t="str">
        <f t="shared" si="23"/>
        <v>Gillespie County</v>
      </c>
      <c r="F729" t="s">
        <v>688</v>
      </c>
      <c r="G729" t="str">
        <f>INDEX(StateCounties[],MATCH(D729,StateCounties[Texas],0),MATCH(B729,StateCounties[#Headers],0))</f>
        <v>Gillespie County</v>
      </c>
      <c r="I729" t="b">
        <f t="shared" si="24"/>
        <v>1</v>
      </c>
    </row>
    <row r="730" spans="2:9">
      <c r="B730" t="s">
        <v>55</v>
      </c>
      <c r="C730" t="s">
        <v>189</v>
      </c>
      <c r="D730" t="s">
        <v>1081</v>
      </c>
      <c r="E730" t="str">
        <f t="shared" si="23"/>
        <v>Cooke County</v>
      </c>
      <c r="F730" t="s">
        <v>689</v>
      </c>
      <c r="G730" t="str">
        <f>INDEX(StateCounties[],MATCH(D730,StateCounties[Texas],0),MATCH(B730,StateCounties[#Headers],0))</f>
        <v>Cooke County</v>
      </c>
      <c r="I730" t="b">
        <f t="shared" si="24"/>
        <v>1</v>
      </c>
    </row>
    <row r="731" spans="2:9">
      <c r="B731" t="s">
        <v>55</v>
      </c>
      <c r="C731" t="s">
        <v>189</v>
      </c>
      <c r="D731" t="s">
        <v>1285</v>
      </c>
      <c r="E731" t="str">
        <f t="shared" si="23"/>
        <v>Hood County</v>
      </c>
      <c r="F731" t="s">
        <v>690</v>
      </c>
      <c r="G731" t="str">
        <f>INDEX(StateCounties[],MATCH(D731,StateCounties[Texas],0),MATCH(B731,StateCounties[#Headers],0))</f>
        <v>Hood County</v>
      </c>
      <c r="I731" t="b">
        <f t="shared" si="24"/>
        <v>1</v>
      </c>
    </row>
    <row r="732" spans="2:9">
      <c r="B732" t="s">
        <v>55</v>
      </c>
      <c r="C732" t="s">
        <v>189</v>
      </c>
      <c r="D732" t="s">
        <v>1387</v>
      </c>
      <c r="E732" t="str">
        <f t="shared" si="23"/>
        <v>Somervell County</v>
      </c>
      <c r="F732" t="s">
        <v>691</v>
      </c>
      <c r="G732" t="str">
        <f>INDEX(StateCounties[],MATCH(D732,StateCounties[Texas],0),MATCH(B732,StateCounties[#Headers],0))</f>
        <v>Somervell County</v>
      </c>
      <c r="I732" t="b">
        <f t="shared" si="24"/>
        <v>1</v>
      </c>
    </row>
    <row r="733" spans="2:9">
      <c r="B733" t="s">
        <v>55</v>
      </c>
      <c r="C733" t="s">
        <v>189</v>
      </c>
      <c r="D733" t="s">
        <v>1129</v>
      </c>
      <c r="E733" t="str">
        <f t="shared" si="23"/>
        <v>Deaf Smith County</v>
      </c>
      <c r="F733" t="s">
        <v>692</v>
      </c>
      <c r="G733" t="str">
        <f>INDEX(StateCounties[],MATCH(D733,StateCounties[Texas],0),MATCH(B733,StateCounties[#Headers],0))</f>
        <v>Deaf Smith County</v>
      </c>
      <c r="I733" t="b">
        <f t="shared" si="24"/>
        <v>1</v>
      </c>
    </row>
    <row r="734" spans="2:9">
      <c r="B734" t="s">
        <v>55</v>
      </c>
      <c r="C734" t="s">
        <v>189</v>
      </c>
      <c r="D734" t="s">
        <v>1154</v>
      </c>
      <c r="E734" t="str">
        <f t="shared" si="23"/>
        <v>Walker County</v>
      </c>
      <c r="F734" t="s">
        <v>83</v>
      </c>
      <c r="G734" t="str">
        <f>INDEX(StateCounties[],MATCH(D734,StateCounties[Texas],0),MATCH(B734,StateCounties[#Headers],0))</f>
        <v>Walker County</v>
      </c>
      <c r="I734" t="b">
        <f t="shared" si="24"/>
        <v>1</v>
      </c>
    </row>
    <row r="735" spans="2:9">
      <c r="B735" t="s">
        <v>55</v>
      </c>
      <c r="C735" t="s">
        <v>189</v>
      </c>
      <c r="D735" t="s">
        <v>872</v>
      </c>
      <c r="E735" t="str">
        <f t="shared" si="23"/>
        <v>Cherokee County</v>
      </c>
      <c r="F735" t="s">
        <v>118</v>
      </c>
      <c r="G735" t="str">
        <f>INDEX(StateCounties[],MATCH(D735,StateCounties[Texas],0),MATCH(B735,StateCounties[#Headers],0))</f>
        <v>Cherokee County</v>
      </c>
      <c r="I735" t="b">
        <f t="shared" si="24"/>
        <v>1</v>
      </c>
    </row>
    <row r="736" spans="2:9">
      <c r="B736" t="s">
        <v>55</v>
      </c>
      <c r="C736" t="s">
        <v>189</v>
      </c>
      <c r="D736" t="s">
        <v>1311</v>
      </c>
      <c r="E736" t="str">
        <f t="shared" si="23"/>
        <v>Kerr County</v>
      </c>
      <c r="F736" t="s">
        <v>693</v>
      </c>
      <c r="G736" t="str">
        <f>INDEX(StateCounties[],MATCH(D736,StateCounties[Texas],0),MATCH(B736,StateCounties[#Headers],0))</f>
        <v>Kerr County</v>
      </c>
      <c r="I736" t="b">
        <f t="shared" si="24"/>
        <v>1</v>
      </c>
    </row>
    <row r="737" spans="2:9">
      <c r="B737" t="s">
        <v>55</v>
      </c>
      <c r="C737" t="s">
        <v>189</v>
      </c>
      <c r="D737" t="s">
        <v>1308</v>
      </c>
      <c r="E737" t="str">
        <f t="shared" si="23"/>
        <v>Kenedy County</v>
      </c>
      <c r="F737" t="s">
        <v>694</v>
      </c>
      <c r="G737" t="str">
        <f>INDEX(StateCounties[],MATCH(D737,StateCounties[Texas],0),MATCH(B737,StateCounties[#Headers],0))</f>
        <v>Kenedy County</v>
      </c>
      <c r="I737" t="b">
        <f t="shared" si="24"/>
        <v>1</v>
      </c>
    </row>
    <row r="738" spans="2:9">
      <c r="B738" t="s">
        <v>55</v>
      </c>
      <c r="C738" t="s">
        <v>189</v>
      </c>
      <c r="D738" t="s">
        <v>1319</v>
      </c>
      <c r="E738" t="str">
        <f t="shared" si="23"/>
        <v>Kleberg County</v>
      </c>
      <c r="F738" t="s">
        <v>695</v>
      </c>
      <c r="G738" t="str">
        <f>INDEX(StateCounties[],MATCH(D738,StateCounties[Texas],0),MATCH(B738,StateCounties[#Headers],0))</f>
        <v>Kleberg County</v>
      </c>
      <c r="I738" t="b">
        <f t="shared" si="24"/>
        <v>1</v>
      </c>
    </row>
    <row r="739" spans="2:9">
      <c r="B739" t="s">
        <v>55</v>
      </c>
      <c r="C739" t="s">
        <v>189</v>
      </c>
      <c r="D739" t="s">
        <v>1045</v>
      </c>
      <c r="E739" t="str">
        <f t="shared" si="23"/>
        <v>Dawson County</v>
      </c>
      <c r="F739" t="s">
        <v>327</v>
      </c>
      <c r="G739" t="str">
        <f>INDEX(StateCounties[],MATCH(D739,StateCounties[Texas],0),MATCH(B739,StateCounties[#Headers],0))</f>
        <v>Dawson County</v>
      </c>
      <c r="I739" t="b">
        <f t="shared" si="24"/>
        <v>1</v>
      </c>
    </row>
    <row r="740" spans="2:9">
      <c r="B740" t="s">
        <v>55</v>
      </c>
      <c r="C740" t="s">
        <v>189</v>
      </c>
      <c r="D740" t="s">
        <v>1283</v>
      </c>
      <c r="E740" t="str">
        <f t="shared" si="23"/>
        <v>Hockley County</v>
      </c>
      <c r="F740" t="s">
        <v>696</v>
      </c>
      <c r="G740" t="str">
        <f>INDEX(StateCounties[],MATCH(D740,StateCounties[Texas],0),MATCH(B740,StateCounties[#Headers],0))</f>
        <v>Hockley County</v>
      </c>
      <c r="I740" t="b">
        <f t="shared" si="24"/>
        <v>1</v>
      </c>
    </row>
    <row r="741" spans="2:9">
      <c r="B741" t="s">
        <v>55</v>
      </c>
      <c r="C741" t="s">
        <v>189</v>
      </c>
      <c r="D741" t="s">
        <v>836</v>
      </c>
      <c r="E741" t="str">
        <f t="shared" si="23"/>
        <v>Angelina County</v>
      </c>
      <c r="F741" t="s">
        <v>697</v>
      </c>
      <c r="G741" t="str">
        <f>INDEX(StateCounties[],MATCH(D741,StateCounties[Texas],0),MATCH(B741,StateCounties[#Headers],0))</f>
        <v>Angelina County</v>
      </c>
      <c r="I741" t="b">
        <f t="shared" si="24"/>
        <v>1</v>
      </c>
    </row>
    <row r="742" spans="2:9">
      <c r="B742" t="s">
        <v>55</v>
      </c>
      <c r="C742" t="s">
        <v>189</v>
      </c>
      <c r="D742" t="s">
        <v>974</v>
      </c>
      <c r="E742" t="str">
        <f t="shared" si="23"/>
        <v>Burnet County</v>
      </c>
      <c r="F742" t="s">
        <v>698</v>
      </c>
      <c r="G742" t="str">
        <f>INDEX(StateCounties[],MATCH(D742,StateCounties[Texas],0),MATCH(B742,StateCounties[#Headers],0))</f>
        <v>Burnet County</v>
      </c>
      <c r="I742" t="b">
        <f t="shared" si="24"/>
        <v>1</v>
      </c>
    </row>
    <row r="743" spans="2:9">
      <c r="B743" t="s">
        <v>55</v>
      </c>
      <c r="C743" t="s">
        <v>189</v>
      </c>
      <c r="D743" t="s">
        <v>956</v>
      </c>
      <c r="E743" t="str">
        <f t="shared" si="23"/>
        <v>Harrison County</v>
      </c>
      <c r="F743" t="s">
        <v>465</v>
      </c>
      <c r="G743" t="str">
        <f>INDEX(StateCounties[],MATCH(D743,StateCounties[Texas],0),MATCH(B743,StateCounties[#Headers],0))</f>
        <v>Harrison County</v>
      </c>
      <c r="I743" t="b">
        <f t="shared" si="24"/>
        <v>1</v>
      </c>
    </row>
    <row r="744" spans="2:9">
      <c r="B744" t="s">
        <v>55</v>
      </c>
      <c r="C744" t="s">
        <v>189</v>
      </c>
      <c r="D744" t="s">
        <v>1361</v>
      </c>
      <c r="E744" t="str">
        <f t="shared" si="23"/>
        <v>Palo Pinto County</v>
      </c>
      <c r="F744" t="s">
        <v>699</v>
      </c>
      <c r="G744" t="str">
        <f>INDEX(StateCounties[],MATCH(D744,StateCounties[Texas],0),MATCH(B744,StateCounties[#Headers],0))</f>
        <v>Palo Pinto County</v>
      </c>
      <c r="I744" t="b">
        <f t="shared" si="24"/>
        <v>1</v>
      </c>
    </row>
    <row r="745" spans="2:9">
      <c r="B745" t="s">
        <v>55</v>
      </c>
      <c r="C745" t="s">
        <v>189</v>
      </c>
      <c r="D745" t="s">
        <v>1396</v>
      </c>
      <c r="E745" t="str">
        <f t="shared" ref="E745:E808" si="25">F745&amp; " County"</f>
        <v>Titus County</v>
      </c>
      <c r="F745" t="s">
        <v>700</v>
      </c>
      <c r="G745" t="str">
        <f>INDEX(StateCounties[],MATCH(D745,StateCounties[Texas],0),MATCH(B745,StateCounties[#Headers],0))</f>
        <v>Titus County</v>
      </c>
      <c r="I745" t="b">
        <f t="shared" si="24"/>
        <v>1</v>
      </c>
    </row>
    <row r="746" spans="2:9">
      <c r="B746" t="s">
        <v>55</v>
      </c>
      <c r="C746" t="s">
        <v>189</v>
      </c>
      <c r="D746" t="s">
        <v>1355</v>
      </c>
      <c r="E746" t="str">
        <f t="shared" si="25"/>
        <v>Nacogdoches County</v>
      </c>
      <c r="F746" t="s">
        <v>701</v>
      </c>
      <c r="G746" t="str">
        <f>INDEX(StateCounties[],MATCH(D746,StateCounties[Texas],0),MATCH(B746,StateCounties[#Headers],0))</f>
        <v>Nacogdoches County</v>
      </c>
      <c r="I746" t="b">
        <f t="shared" si="24"/>
        <v>1</v>
      </c>
    </row>
    <row r="747" spans="2:9">
      <c r="B747" t="s">
        <v>55</v>
      </c>
      <c r="C747" t="s">
        <v>189</v>
      </c>
      <c r="D747" t="s">
        <v>822</v>
      </c>
      <c r="E747" t="str">
        <f t="shared" si="25"/>
        <v>Anderson County</v>
      </c>
      <c r="F747" t="s">
        <v>575</v>
      </c>
      <c r="G747" t="str">
        <f>INDEX(StateCounties[],MATCH(D747,StateCounties[Texas],0),MATCH(B747,StateCounties[#Headers],0))</f>
        <v>Anderson County</v>
      </c>
      <c r="I747" t="b">
        <f t="shared" si="24"/>
        <v>1</v>
      </c>
    </row>
    <row r="748" spans="2:9">
      <c r="B748" t="s">
        <v>55</v>
      </c>
      <c r="C748" t="s">
        <v>189</v>
      </c>
      <c r="D748" t="s">
        <v>1250</v>
      </c>
      <c r="E748" t="str">
        <f t="shared" si="25"/>
        <v>Gray County</v>
      </c>
      <c r="F748" t="s">
        <v>702</v>
      </c>
      <c r="G748" t="str">
        <f>INDEX(StateCounties[],MATCH(D748,StateCounties[Texas],0),MATCH(B748,StateCounties[#Headers],0))</f>
        <v>Gray County</v>
      </c>
      <c r="I748" t="b">
        <f t="shared" si="24"/>
        <v>1</v>
      </c>
    </row>
    <row r="749" spans="2:9">
      <c r="B749" t="s">
        <v>55</v>
      </c>
      <c r="C749" t="s">
        <v>189</v>
      </c>
      <c r="D749" t="s">
        <v>1374</v>
      </c>
      <c r="E749" t="str">
        <f t="shared" si="25"/>
        <v>Roberts County</v>
      </c>
      <c r="F749" t="s">
        <v>703</v>
      </c>
      <c r="G749" t="str">
        <f>INDEX(StateCounties[],MATCH(D749,StateCounties[Texas],0),MATCH(B749,StateCounties[#Headers],0))</f>
        <v>Roberts County</v>
      </c>
      <c r="I749" t="b">
        <f t="shared" si="24"/>
        <v>1</v>
      </c>
    </row>
    <row r="750" spans="2:9">
      <c r="B750" t="s">
        <v>55</v>
      </c>
      <c r="C750" t="s">
        <v>189</v>
      </c>
      <c r="D750" t="s">
        <v>1020</v>
      </c>
      <c r="E750" t="str">
        <f t="shared" si="25"/>
        <v>Lamar County</v>
      </c>
      <c r="F750" t="s">
        <v>136</v>
      </c>
      <c r="G750" t="str">
        <f>INDEX(StateCounties[],MATCH(D750,StateCounties[Texas],0),MATCH(B750,StateCounties[#Headers],0))</f>
        <v>Lamar County</v>
      </c>
      <c r="I750" t="b">
        <f t="shared" si="24"/>
        <v>1</v>
      </c>
    </row>
    <row r="751" spans="2:9">
      <c r="B751" t="s">
        <v>55</v>
      </c>
      <c r="C751" t="s">
        <v>189</v>
      </c>
      <c r="D751" t="s">
        <v>1372</v>
      </c>
      <c r="E751" t="str">
        <f t="shared" si="25"/>
        <v>Reeves County</v>
      </c>
      <c r="F751" t="s">
        <v>704</v>
      </c>
      <c r="G751" t="str">
        <f>INDEX(StateCounties[],MATCH(D751,StateCounties[Texas],0),MATCH(B751,StateCounties[#Headers],0))</f>
        <v>Reeves County</v>
      </c>
      <c r="I751" t="b">
        <f t="shared" si="24"/>
        <v>1</v>
      </c>
    </row>
    <row r="752" spans="2:9">
      <c r="B752" t="s">
        <v>55</v>
      </c>
      <c r="C752" t="s">
        <v>189</v>
      </c>
      <c r="D752" t="s">
        <v>998</v>
      </c>
      <c r="E752" t="str">
        <f t="shared" si="25"/>
        <v>Hale County</v>
      </c>
      <c r="F752" t="s">
        <v>110</v>
      </c>
      <c r="G752" t="str">
        <f>INDEX(StateCounties[],MATCH(D752,StateCounties[Texas],0),MATCH(B752,StateCounties[#Headers],0))</f>
        <v>Hale County</v>
      </c>
      <c r="I752" t="b">
        <f t="shared" si="24"/>
        <v>1</v>
      </c>
    </row>
    <row r="753" spans="2:9">
      <c r="B753" t="s">
        <v>55</v>
      </c>
      <c r="C753" t="s">
        <v>189</v>
      </c>
      <c r="D753" t="s">
        <v>1413</v>
      </c>
      <c r="E753" t="str">
        <f t="shared" si="25"/>
        <v>Willacy County</v>
      </c>
      <c r="F753" t="s">
        <v>705</v>
      </c>
      <c r="G753" t="str">
        <f>INDEX(StateCounties[],MATCH(D753,StateCounties[Texas],0),MATCH(B753,StateCounties[#Headers],0))</f>
        <v>Willacy County</v>
      </c>
      <c r="I753" t="b">
        <f t="shared" si="24"/>
        <v>1</v>
      </c>
    </row>
    <row r="754" spans="2:9">
      <c r="B754" t="s">
        <v>55</v>
      </c>
      <c r="C754" t="s">
        <v>189</v>
      </c>
      <c r="D754" t="s">
        <v>1388</v>
      </c>
      <c r="E754" t="str">
        <f t="shared" si="25"/>
        <v>Starr County</v>
      </c>
      <c r="F754" t="s">
        <v>706</v>
      </c>
      <c r="G754" t="str">
        <f>INDEX(StateCounties[],MATCH(D754,StateCounties[Texas],0),MATCH(B754,StateCounties[#Headers],0))</f>
        <v>Starr County</v>
      </c>
      <c r="I754" t="b">
        <f t="shared" si="24"/>
        <v>1</v>
      </c>
    </row>
    <row r="755" spans="2:9">
      <c r="B755" t="s">
        <v>55</v>
      </c>
      <c r="C755" t="s">
        <v>189</v>
      </c>
      <c r="D755" t="s">
        <v>1384</v>
      </c>
      <c r="E755" t="str">
        <f t="shared" si="25"/>
        <v>Scurry County</v>
      </c>
      <c r="F755" t="s">
        <v>707</v>
      </c>
      <c r="G755" t="str">
        <f>INDEX(StateCounties[],MATCH(D755,StateCounties[Texas],0),MATCH(B755,StateCounties[#Headers],0))</f>
        <v>Scurry County</v>
      </c>
      <c r="I755" t="b">
        <f t="shared" si="24"/>
        <v>1</v>
      </c>
    </row>
    <row r="756" spans="2:9">
      <c r="B756" t="s">
        <v>55</v>
      </c>
      <c r="C756" t="s">
        <v>189</v>
      </c>
      <c r="D756" t="s">
        <v>1196</v>
      </c>
      <c r="E756" t="str">
        <f t="shared" si="25"/>
        <v>Erath County</v>
      </c>
      <c r="F756" t="s">
        <v>708</v>
      </c>
      <c r="G756" t="str">
        <f>INDEX(StateCounties[],MATCH(D756,StateCounties[Texas],0),MATCH(B756,StateCounties[#Headers],0))</f>
        <v>Erath County</v>
      </c>
      <c r="I756" t="b">
        <f t="shared" si="24"/>
        <v>1</v>
      </c>
    </row>
    <row r="757" spans="2:9">
      <c r="B757" t="s">
        <v>55</v>
      </c>
      <c r="C757" t="s">
        <v>189</v>
      </c>
      <c r="D757" t="s">
        <v>1286</v>
      </c>
      <c r="E757" t="str">
        <f t="shared" si="25"/>
        <v>Hopkins County</v>
      </c>
      <c r="F757" t="s">
        <v>709</v>
      </c>
      <c r="G757" t="str">
        <f>INDEX(StateCounties[],MATCH(D757,StateCounties[Texas],0),MATCH(B757,StateCounties[#Headers],0))</f>
        <v>Hopkins County</v>
      </c>
      <c r="I757" t="b">
        <f t="shared" si="24"/>
        <v>1</v>
      </c>
    </row>
    <row r="758" spans="2:9">
      <c r="B758" t="s">
        <v>55</v>
      </c>
      <c r="C758" t="s">
        <v>189</v>
      </c>
      <c r="D758" t="s">
        <v>1357</v>
      </c>
      <c r="E758" t="str">
        <f t="shared" si="25"/>
        <v>Nolan County</v>
      </c>
      <c r="F758" t="s">
        <v>710</v>
      </c>
      <c r="G758" t="str">
        <f>INDEX(StateCounties[],MATCH(D758,StateCounties[Texas],0),MATCH(B758,StateCounties[#Headers],0))</f>
        <v>Nolan County</v>
      </c>
      <c r="I758" t="b">
        <f t="shared" si="24"/>
        <v>1</v>
      </c>
    </row>
    <row r="759" spans="2:9">
      <c r="B759" t="s">
        <v>55</v>
      </c>
      <c r="C759" t="s">
        <v>189</v>
      </c>
      <c r="D759" t="s">
        <v>1403</v>
      </c>
      <c r="E759" t="str">
        <f t="shared" si="25"/>
        <v>Uvalde County</v>
      </c>
      <c r="F759" t="s">
        <v>711</v>
      </c>
      <c r="G759" t="str">
        <f>INDEX(StateCounties[],MATCH(D759,StateCounties[Texas],0),MATCH(B759,StateCounties[#Headers],0))</f>
        <v>Uvalde County</v>
      </c>
      <c r="I759" t="b">
        <f t="shared" si="24"/>
        <v>1</v>
      </c>
    </row>
    <row r="760" spans="2:9">
      <c r="B760" t="s">
        <v>55</v>
      </c>
      <c r="C760" t="s">
        <v>189</v>
      </c>
      <c r="D760" t="s">
        <v>1412</v>
      </c>
      <c r="E760" t="str">
        <f t="shared" si="25"/>
        <v>Wilbarger County</v>
      </c>
      <c r="F760" t="s">
        <v>712</v>
      </c>
      <c r="G760" t="str">
        <f>INDEX(StateCounties[],MATCH(D760,StateCounties[Texas],0),MATCH(B760,StateCounties[#Headers],0))</f>
        <v>Wilbarger County</v>
      </c>
      <c r="I760" t="b">
        <f t="shared" si="24"/>
        <v>1</v>
      </c>
    </row>
    <row r="761" spans="2:9">
      <c r="B761" t="s">
        <v>55</v>
      </c>
      <c r="C761" t="s">
        <v>189</v>
      </c>
      <c r="D761" t="s">
        <v>997</v>
      </c>
      <c r="E761" t="str">
        <f t="shared" si="25"/>
        <v>Camp County</v>
      </c>
      <c r="F761" t="s">
        <v>713</v>
      </c>
      <c r="G761" t="str">
        <f>INDEX(StateCounties[],MATCH(D761,StateCounties[Texas],0),MATCH(B761,StateCounties[#Headers],0))</f>
        <v>Camp County</v>
      </c>
      <c r="I761" t="b">
        <f t="shared" si="24"/>
        <v>1</v>
      </c>
    </row>
    <row r="762" spans="2:9">
      <c r="B762" t="s">
        <v>55</v>
      </c>
      <c r="C762" t="s">
        <v>189</v>
      </c>
      <c r="D762" t="s">
        <v>1008</v>
      </c>
      <c r="E762" t="str">
        <f t="shared" si="25"/>
        <v>Cass County</v>
      </c>
      <c r="F762" t="s">
        <v>714</v>
      </c>
      <c r="G762" t="str">
        <f>INDEX(StateCounties[],MATCH(D762,StateCounties[Texas],0),MATCH(B762,StateCounties[#Headers],0))</f>
        <v>Cass County</v>
      </c>
      <c r="I762" t="b">
        <f t="shared" si="24"/>
        <v>1</v>
      </c>
    </row>
    <row r="763" spans="2:9">
      <c r="B763" t="s">
        <v>55</v>
      </c>
      <c r="C763" t="s">
        <v>189</v>
      </c>
      <c r="D763" t="s">
        <v>1014</v>
      </c>
      <c r="E763" t="str">
        <f t="shared" si="25"/>
        <v>Castro County</v>
      </c>
      <c r="F763" t="s">
        <v>715</v>
      </c>
      <c r="G763" t="str">
        <f>INDEX(StateCounties[],MATCH(D763,StateCounties[Texas],0),MATCH(B763,StateCounties[#Headers],0))</f>
        <v>Castro County</v>
      </c>
      <c r="I763" t="b">
        <f t="shared" si="24"/>
        <v>1</v>
      </c>
    </row>
    <row r="764" spans="2:9">
      <c r="B764" t="s">
        <v>55</v>
      </c>
      <c r="C764" t="s">
        <v>189</v>
      </c>
      <c r="D764" t="s">
        <v>1028</v>
      </c>
      <c r="E764" t="str">
        <f t="shared" si="25"/>
        <v>Childress County</v>
      </c>
      <c r="F764" t="s">
        <v>716</v>
      </c>
      <c r="G764" t="str">
        <f>INDEX(StateCounties[],MATCH(D764,StateCounties[Texas],0),MATCH(B764,StateCounties[#Headers],0))</f>
        <v>Childress County</v>
      </c>
      <c r="I764" t="b">
        <f t="shared" si="24"/>
        <v>1</v>
      </c>
    </row>
    <row r="765" spans="2:9">
      <c r="B765" t="s">
        <v>55</v>
      </c>
      <c r="C765" t="s">
        <v>189</v>
      </c>
      <c r="D765" t="s">
        <v>1037</v>
      </c>
      <c r="E765" t="str">
        <f t="shared" si="25"/>
        <v>Cochran County</v>
      </c>
      <c r="F765" t="s">
        <v>717</v>
      </c>
      <c r="G765" t="str">
        <f>INDEX(StateCounties[],MATCH(D765,StateCounties[Texas],0),MATCH(B765,StateCounties[#Headers],0))</f>
        <v>Cochran County</v>
      </c>
      <c r="I765" t="b">
        <f t="shared" si="24"/>
        <v>1</v>
      </c>
    </row>
    <row r="766" spans="2:9">
      <c r="B766" t="s">
        <v>55</v>
      </c>
      <c r="C766" t="s">
        <v>189</v>
      </c>
      <c r="D766" t="s">
        <v>1042</v>
      </c>
      <c r="E766" t="str">
        <f t="shared" si="25"/>
        <v>Coke County</v>
      </c>
      <c r="F766" t="s">
        <v>718</v>
      </c>
      <c r="G766" t="str">
        <f>INDEX(StateCounties[],MATCH(D766,StateCounties[Texas],0),MATCH(B766,StateCounties[#Headers],0))</f>
        <v>Coke County</v>
      </c>
      <c r="I766" t="b">
        <f t="shared" si="24"/>
        <v>1</v>
      </c>
    </row>
    <row r="767" spans="2:9">
      <c r="B767" t="s">
        <v>55</v>
      </c>
      <c r="C767" t="s">
        <v>189</v>
      </c>
      <c r="D767" t="s">
        <v>1048</v>
      </c>
      <c r="E767" t="str">
        <f t="shared" si="25"/>
        <v>Coleman County</v>
      </c>
      <c r="F767" t="s">
        <v>719</v>
      </c>
      <c r="G767" t="str">
        <f>INDEX(StateCounties[],MATCH(D767,StateCounties[Texas],0),MATCH(B767,StateCounties[#Headers],0))</f>
        <v>Coleman County</v>
      </c>
      <c r="I767" t="b">
        <f t="shared" si="24"/>
        <v>1</v>
      </c>
    </row>
    <row r="768" spans="2:9">
      <c r="B768" t="s">
        <v>55</v>
      </c>
      <c r="C768" t="s">
        <v>189</v>
      </c>
      <c r="D768" t="s">
        <v>1056</v>
      </c>
      <c r="E768" t="str">
        <f t="shared" si="25"/>
        <v>Collingsworth County</v>
      </c>
      <c r="F768" t="s">
        <v>720</v>
      </c>
      <c r="G768" t="str">
        <f>INDEX(StateCounties[],MATCH(D768,StateCounties[Texas],0),MATCH(B768,StateCounties[#Headers],0))</f>
        <v>Collingsworth County</v>
      </c>
      <c r="I768" t="b">
        <f t="shared" si="24"/>
        <v>1</v>
      </c>
    </row>
    <row r="769" spans="2:9">
      <c r="B769" t="s">
        <v>55</v>
      </c>
      <c r="C769" t="s">
        <v>189</v>
      </c>
      <c r="D769" t="s">
        <v>1059</v>
      </c>
      <c r="E769" t="str">
        <f t="shared" si="25"/>
        <v>Colorado County</v>
      </c>
      <c r="F769" t="s">
        <v>11</v>
      </c>
      <c r="G769" t="str">
        <f>INDEX(StateCounties[],MATCH(D769,StateCounties[Texas],0),MATCH(B769,StateCounties[#Headers],0))</f>
        <v>Colorado County</v>
      </c>
      <c r="I769" t="b">
        <f t="shared" si="24"/>
        <v>1</v>
      </c>
    </row>
    <row r="770" spans="2:9">
      <c r="B770" t="s">
        <v>55</v>
      </c>
      <c r="C770" t="s">
        <v>189</v>
      </c>
      <c r="D770" t="s">
        <v>1071</v>
      </c>
      <c r="E770" t="str">
        <f t="shared" si="25"/>
        <v>Comanche County</v>
      </c>
      <c r="F770" t="s">
        <v>721</v>
      </c>
      <c r="G770" t="str">
        <f>INDEX(StateCounties[],MATCH(D770,StateCounties[Texas],0),MATCH(B770,StateCounties[#Headers],0))</f>
        <v>Comanche County</v>
      </c>
      <c r="I770" t="b">
        <f t="shared" si="24"/>
        <v>1</v>
      </c>
    </row>
    <row r="771" spans="2:9">
      <c r="B771" t="s">
        <v>55</v>
      </c>
      <c r="C771" t="s">
        <v>189</v>
      </c>
      <c r="D771" t="s">
        <v>1075</v>
      </c>
      <c r="E771" t="str">
        <f t="shared" si="25"/>
        <v>Concho County</v>
      </c>
      <c r="F771" t="s">
        <v>722</v>
      </c>
      <c r="G771" t="str">
        <f>INDEX(StateCounties[],MATCH(D771,StateCounties[Texas],0),MATCH(B771,StateCounties[#Headers],0))</f>
        <v>Concho County</v>
      </c>
      <c r="I771" t="b">
        <f t="shared" si="24"/>
        <v>1</v>
      </c>
    </row>
    <row r="772" spans="2:9">
      <c r="B772" t="s">
        <v>55</v>
      </c>
      <c r="C772" t="s">
        <v>189</v>
      </c>
      <c r="D772" t="s">
        <v>1091</v>
      </c>
      <c r="E772" t="str">
        <f t="shared" si="25"/>
        <v>Cottle County</v>
      </c>
      <c r="F772" t="s">
        <v>723</v>
      </c>
      <c r="G772" t="str">
        <f>INDEX(StateCounties[],MATCH(D772,StateCounties[Texas],0),MATCH(B772,StateCounties[#Headers],0))</f>
        <v>Cottle County</v>
      </c>
      <c r="I772" t="b">
        <f t="shared" ref="I772:I835" si="26">E772=D772</f>
        <v>1</v>
      </c>
    </row>
    <row r="773" spans="2:9">
      <c r="B773" t="s">
        <v>55</v>
      </c>
      <c r="C773" t="s">
        <v>189</v>
      </c>
      <c r="D773" t="s">
        <v>1096</v>
      </c>
      <c r="E773" t="str">
        <f t="shared" si="25"/>
        <v>Crane County</v>
      </c>
      <c r="F773" t="s">
        <v>724</v>
      </c>
      <c r="G773" t="str">
        <f>INDEX(StateCounties[],MATCH(D773,StateCounties[Texas],0),MATCH(B773,StateCounties[#Headers],0))</f>
        <v>Crane County</v>
      </c>
      <c r="I773" t="b">
        <f t="shared" si="26"/>
        <v>1</v>
      </c>
    </row>
    <row r="774" spans="2:9">
      <c r="B774" t="s">
        <v>55</v>
      </c>
      <c r="C774" t="s">
        <v>189</v>
      </c>
      <c r="D774" t="s">
        <v>916</v>
      </c>
      <c r="E774" t="str">
        <f t="shared" si="25"/>
        <v>Crockett County</v>
      </c>
      <c r="F774" t="s">
        <v>597</v>
      </c>
      <c r="G774" t="str">
        <f>INDEX(StateCounties[],MATCH(D774,StateCounties[Texas],0),MATCH(B774,StateCounties[#Headers],0))</f>
        <v>Crockett County</v>
      </c>
      <c r="I774" t="b">
        <f t="shared" si="26"/>
        <v>1</v>
      </c>
    </row>
    <row r="775" spans="2:9">
      <c r="B775" t="s">
        <v>55</v>
      </c>
      <c r="C775" t="s">
        <v>189</v>
      </c>
      <c r="D775" s="17" t="s">
        <v>1423</v>
      </c>
      <c r="E775" t="str">
        <f t="shared" si="25"/>
        <v>Culbertson County</v>
      </c>
      <c r="F775" t="s">
        <v>725</v>
      </c>
      <c r="G775" t="e">
        <f>INDEX(StateCounties[],MATCH(D775,StateCounties[Texas],0),MATCH(B775,StateCounties[#Headers],0))</f>
        <v>#N/A</v>
      </c>
      <c r="I775" t="b">
        <f t="shared" si="26"/>
        <v>1</v>
      </c>
    </row>
    <row r="776" spans="2:9">
      <c r="B776" t="s">
        <v>55</v>
      </c>
      <c r="C776" t="s">
        <v>189</v>
      </c>
      <c r="D776" t="s">
        <v>1118</v>
      </c>
      <c r="E776" t="str">
        <f t="shared" si="25"/>
        <v>Dallam County</v>
      </c>
      <c r="F776" t="s">
        <v>726</v>
      </c>
      <c r="G776" t="str">
        <f>INDEX(StateCounties[],MATCH(D776,StateCounties[Texas],0),MATCH(B776,StateCounties[#Headers],0))</f>
        <v>Dallam County</v>
      </c>
      <c r="I776" t="b">
        <f t="shared" si="26"/>
        <v>1</v>
      </c>
    </row>
    <row r="777" spans="2:9">
      <c r="B777" t="s">
        <v>55</v>
      </c>
      <c r="C777" t="s">
        <v>189</v>
      </c>
      <c r="D777" t="s">
        <v>1147</v>
      </c>
      <c r="E777" t="str">
        <f t="shared" si="25"/>
        <v>DeWitt County</v>
      </c>
      <c r="F777" t="s">
        <v>727</v>
      </c>
      <c r="G777" t="str">
        <f>INDEX(StateCounties[],MATCH(D777,StateCounties[Texas],0),MATCH(B777,StateCounties[#Headers],0))</f>
        <v>DeWitt County</v>
      </c>
      <c r="I777" t="b">
        <f t="shared" si="26"/>
        <v>1</v>
      </c>
    </row>
    <row r="778" spans="2:9">
      <c r="B778" t="s">
        <v>55</v>
      </c>
      <c r="C778" t="s">
        <v>189</v>
      </c>
      <c r="D778" t="s">
        <v>1153</v>
      </c>
      <c r="E778" t="str">
        <f t="shared" si="25"/>
        <v>Dickens County</v>
      </c>
      <c r="F778" t="s">
        <v>728</v>
      </c>
      <c r="G778" t="str">
        <f>INDEX(StateCounties[],MATCH(D778,StateCounties[Texas],0),MATCH(B778,StateCounties[#Headers],0))</f>
        <v>Dickens County</v>
      </c>
      <c r="I778" t="b">
        <f t="shared" si="26"/>
        <v>1</v>
      </c>
    </row>
    <row r="779" spans="2:9">
      <c r="B779" t="s">
        <v>55</v>
      </c>
      <c r="C779" t="s">
        <v>189</v>
      </c>
      <c r="D779" t="s">
        <v>1159</v>
      </c>
      <c r="E779" t="str">
        <f t="shared" si="25"/>
        <v>Dimmit County</v>
      </c>
      <c r="F779" t="s">
        <v>729</v>
      </c>
      <c r="G779" t="str">
        <f>INDEX(StateCounties[],MATCH(D779,StateCounties[Texas],0),MATCH(B779,StateCounties[#Headers],0))</f>
        <v>Dimmit County</v>
      </c>
      <c r="I779" t="b">
        <f t="shared" si="26"/>
        <v>1</v>
      </c>
    </row>
    <row r="780" spans="2:9">
      <c r="B780" t="s">
        <v>55</v>
      </c>
      <c r="C780" t="s">
        <v>189</v>
      </c>
      <c r="D780" t="s">
        <v>1165</v>
      </c>
      <c r="E780" t="str">
        <f t="shared" si="25"/>
        <v>Donley County</v>
      </c>
      <c r="F780" t="s">
        <v>730</v>
      </c>
      <c r="G780" t="str">
        <f>INDEX(StateCounties[],MATCH(D780,StateCounties[Texas],0),MATCH(B780,StateCounties[#Headers],0))</f>
        <v>Donley County</v>
      </c>
      <c r="I780" t="b">
        <f t="shared" si="26"/>
        <v>1</v>
      </c>
    </row>
    <row r="781" spans="2:9">
      <c r="B781" t="s">
        <v>55</v>
      </c>
      <c r="C781" t="s">
        <v>189</v>
      </c>
      <c r="D781" t="s">
        <v>901</v>
      </c>
      <c r="E781" t="str">
        <f t="shared" si="25"/>
        <v>Duval County</v>
      </c>
      <c r="F781" t="s">
        <v>170</v>
      </c>
      <c r="G781" t="str">
        <f>INDEX(StateCounties[],MATCH(D781,StateCounties[Texas],0),MATCH(B781,StateCounties[#Headers],0))</f>
        <v>Duval County</v>
      </c>
      <c r="I781" t="b">
        <f t="shared" si="26"/>
        <v>1</v>
      </c>
    </row>
    <row r="782" spans="2:9">
      <c r="B782" t="s">
        <v>55</v>
      </c>
      <c r="C782" t="s">
        <v>189</v>
      </c>
      <c r="D782" t="s">
        <v>1176</v>
      </c>
      <c r="E782" t="str">
        <f t="shared" si="25"/>
        <v>Eastland County</v>
      </c>
      <c r="F782" t="s">
        <v>731</v>
      </c>
      <c r="G782" t="str">
        <f>INDEX(StateCounties[],MATCH(D782,StateCounties[Texas],0),MATCH(B782,StateCounties[#Headers],0))</f>
        <v>Eastland County</v>
      </c>
      <c r="I782" t="b">
        <f t="shared" si="26"/>
        <v>1</v>
      </c>
    </row>
    <row r="783" spans="2:9">
      <c r="B783" t="s">
        <v>55</v>
      </c>
      <c r="C783" t="s">
        <v>189</v>
      </c>
      <c r="D783" t="s">
        <v>1184</v>
      </c>
      <c r="E783" t="str">
        <f t="shared" si="25"/>
        <v>Edwards County</v>
      </c>
      <c r="F783" t="s">
        <v>732</v>
      </c>
      <c r="G783" t="str">
        <f>INDEX(StateCounties[],MATCH(D783,StateCounties[Texas],0),MATCH(B783,StateCounties[#Headers],0))</f>
        <v>Edwards County</v>
      </c>
      <c r="I783" t="b">
        <f t="shared" si="26"/>
        <v>1</v>
      </c>
    </row>
    <row r="784" spans="2:9">
      <c r="B784" t="s">
        <v>55</v>
      </c>
      <c r="C784" t="s">
        <v>189</v>
      </c>
      <c r="D784" t="s">
        <v>1200</v>
      </c>
      <c r="E784" t="str">
        <f t="shared" si="25"/>
        <v>Falls County</v>
      </c>
      <c r="F784" t="s">
        <v>733</v>
      </c>
      <c r="G784" t="str">
        <f>INDEX(StateCounties[],MATCH(D784,StateCounties[Texas],0),MATCH(B784,StateCounties[#Headers],0))</f>
        <v>Falls County</v>
      </c>
      <c r="I784" t="b">
        <f t="shared" si="26"/>
        <v>1</v>
      </c>
    </row>
    <row r="785" spans="2:9">
      <c r="B785" t="s">
        <v>55</v>
      </c>
      <c r="C785" t="s">
        <v>189</v>
      </c>
      <c r="D785" t="s">
        <v>958</v>
      </c>
      <c r="E785" t="str">
        <f t="shared" si="25"/>
        <v>Fayette County</v>
      </c>
      <c r="F785" t="s">
        <v>133</v>
      </c>
      <c r="G785" t="str">
        <f>INDEX(StateCounties[],MATCH(D785,StateCounties[Texas],0),MATCH(B785,StateCounties[#Headers],0))</f>
        <v>Fayette County</v>
      </c>
      <c r="I785" t="b">
        <f t="shared" si="26"/>
        <v>1</v>
      </c>
    </row>
    <row r="786" spans="2:9">
      <c r="B786" t="s">
        <v>55</v>
      </c>
      <c r="C786" t="s">
        <v>189</v>
      </c>
      <c r="D786" t="s">
        <v>1207</v>
      </c>
      <c r="E786" t="str">
        <f t="shared" si="25"/>
        <v>Fisher County</v>
      </c>
      <c r="F786" t="s">
        <v>734</v>
      </c>
      <c r="G786" t="str">
        <f>INDEX(StateCounties[],MATCH(D786,StateCounties[Texas],0),MATCH(B786,StateCounties[#Headers],0))</f>
        <v>Fisher County</v>
      </c>
      <c r="I786" t="b">
        <f t="shared" si="26"/>
        <v>1</v>
      </c>
    </row>
    <row r="787" spans="2:9">
      <c r="B787" t="s">
        <v>55</v>
      </c>
      <c r="C787" t="s">
        <v>189</v>
      </c>
      <c r="D787" t="s">
        <v>1121</v>
      </c>
      <c r="E787" t="str">
        <f t="shared" si="25"/>
        <v>Floyd County</v>
      </c>
      <c r="F787" t="s">
        <v>353</v>
      </c>
      <c r="G787" t="str">
        <f>INDEX(StateCounties[],MATCH(D787,StateCounties[Texas],0),MATCH(B787,StateCounties[#Headers],0))</f>
        <v>Floyd County</v>
      </c>
      <c r="I787" t="b">
        <f t="shared" si="26"/>
        <v>1</v>
      </c>
    </row>
    <row r="788" spans="2:9">
      <c r="B788" t="s">
        <v>55</v>
      </c>
      <c r="C788" t="s">
        <v>189</v>
      </c>
      <c r="D788" t="s">
        <v>1215</v>
      </c>
      <c r="E788" t="str">
        <f t="shared" si="25"/>
        <v>Foard County</v>
      </c>
      <c r="F788" t="s">
        <v>735</v>
      </c>
      <c r="G788" t="str">
        <f>INDEX(StateCounties[],MATCH(D788,StateCounties[Texas],0),MATCH(B788,StateCounties[#Headers],0))</f>
        <v>Foard County</v>
      </c>
      <c r="I788" t="b">
        <f t="shared" si="26"/>
        <v>1</v>
      </c>
    </row>
    <row r="789" spans="2:9">
      <c r="B789" t="s">
        <v>55</v>
      </c>
      <c r="C789" t="s">
        <v>189</v>
      </c>
      <c r="D789" t="s">
        <v>919</v>
      </c>
      <c r="E789" t="str">
        <f t="shared" si="25"/>
        <v>Franklin County</v>
      </c>
      <c r="F789" t="s">
        <v>134</v>
      </c>
      <c r="G789" t="str">
        <f>INDEX(StateCounties[],MATCH(D789,StateCounties[Texas],0),MATCH(B789,StateCounties[#Headers],0))</f>
        <v>Franklin County</v>
      </c>
      <c r="I789" t="b">
        <f t="shared" si="26"/>
        <v>1</v>
      </c>
    </row>
    <row r="790" spans="2:9">
      <c r="B790" t="s">
        <v>55</v>
      </c>
      <c r="C790" t="s">
        <v>189</v>
      </c>
      <c r="D790" t="s">
        <v>1223</v>
      </c>
      <c r="E790" t="str">
        <f t="shared" si="25"/>
        <v>Freestone County</v>
      </c>
      <c r="F790" t="s">
        <v>736</v>
      </c>
      <c r="G790" t="str">
        <f>INDEX(StateCounties[],MATCH(D790,StateCounties[Texas],0),MATCH(B790,StateCounties[#Headers],0))</f>
        <v>Freestone County</v>
      </c>
      <c r="I790" t="b">
        <f t="shared" si="26"/>
        <v>1</v>
      </c>
    </row>
    <row r="791" spans="2:9">
      <c r="B791" t="s">
        <v>55</v>
      </c>
      <c r="C791" t="s">
        <v>189</v>
      </c>
      <c r="D791" t="s">
        <v>1228</v>
      </c>
      <c r="E791" t="str">
        <f t="shared" si="25"/>
        <v>Frio County</v>
      </c>
      <c r="F791" t="s">
        <v>737</v>
      </c>
      <c r="G791" t="str">
        <f>INDEX(StateCounties[],MATCH(D791,StateCounties[Texas],0),MATCH(B791,StateCounties[#Headers],0))</f>
        <v>Frio County</v>
      </c>
      <c r="I791" t="b">
        <f t="shared" si="26"/>
        <v>1</v>
      </c>
    </row>
    <row r="792" spans="2:9">
      <c r="B792" t="s">
        <v>55</v>
      </c>
      <c r="C792" t="s">
        <v>189</v>
      </c>
      <c r="D792" t="s">
        <v>1231</v>
      </c>
      <c r="E792" t="str">
        <f t="shared" si="25"/>
        <v>Gaines County</v>
      </c>
      <c r="F792" t="s">
        <v>738</v>
      </c>
      <c r="G792" t="str">
        <f>INDEX(StateCounties[],MATCH(D792,StateCounties[Texas],0),MATCH(B792,StateCounties[#Headers],0))</f>
        <v>Gaines County</v>
      </c>
      <c r="I792" t="b">
        <f t="shared" si="26"/>
        <v>1</v>
      </c>
    </row>
    <row r="793" spans="2:9">
      <c r="B793" t="s">
        <v>55</v>
      </c>
      <c r="C793" t="s">
        <v>189</v>
      </c>
      <c r="D793" t="s">
        <v>1237</v>
      </c>
      <c r="E793" t="str">
        <f t="shared" si="25"/>
        <v>Garza County</v>
      </c>
      <c r="F793" t="s">
        <v>739</v>
      </c>
      <c r="G793" t="str">
        <f>INDEX(StateCounties[],MATCH(D793,StateCounties[Texas],0),MATCH(B793,StateCounties[#Headers],0))</f>
        <v>Garza County</v>
      </c>
      <c r="I793" t="b">
        <f t="shared" si="26"/>
        <v>1</v>
      </c>
    </row>
    <row r="794" spans="2:9">
      <c r="B794" t="s">
        <v>55</v>
      </c>
      <c r="C794" t="s">
        <v>189</v>
      </c>
      <c r="D794" t="s">
        <v>1244</v>
      </c>
      <c r="E794" t="str">
        <f t="shared" si="25"/>
        <v>Glasscock County</v>
      </c>
      <c r="F794" t="s">
        <v>740</v>
      </c>
      <c r="G794" t="str">
        <f>INDEX(StateCounties[],MATCH(D794,StateCounties[Texas],0),MATCH(B794,StateCounties[#Headers],0))</f>
        <v>Glasscock County</v>
      </c>
      <c r="I794" t="b">
        <f t="shared" si="26"/>
        <v>1</v>
      </c>
    </row>
    <row r="795" spans="2:9">
      <c r="B795" t="s">
        <v>55</v>
      </c>
      <c r="C795" t="s">
        <v>189</v>
      </c>
      <c r="D795" t="s">
        <v>1249</v>
      </c>
      <c r="E795" t="str">
        <f t="shared" si="25"/>
        <v>Gonzales County</v>
      </c>
      <c r="F795" t="s">
        <v>741</v>
      </c>
      <c r="G795" t="str">
        <f>INDEX(StateCounties[],MATCH(D795,StateCounties[Texas],0),MATCH(B795,StateCounties[#Headers],0))</f>
        <v>Gonzales County</v>
      </c>
      <c r="I795" t="b">
        <f t="shared" si="26"/>
        <v>1</v>
      </c>
    </row>
    <row r="796" spans="2:9">
      <c r="B796" t="s">
        <v>55</v>
      </c>
      <c r="C796" t="s">
        <v>189</v>
      </c>
      <c r="D796" t="s">
        <v>1259</v>
      </c>
      <c r="E796" t="str">
        <f t="shared" si="25"/>
        <v>Grimes County</v>
      </c>
      <c r="F796" t="s">
        <v>742</v>
      </c>
      <c r="G796" t="str">
        <f>INDEX(StateCounties[],MATCH(D796,StateCounties[Texas],0),MATCH(B796,StateCounties[#Headers],0))</f>
        <v>Grimes County</v>
      </c>
      <c r="I796" t="b">
        <f t="shared" si="26"/>
        <v>1</v>
      </c>
    </row>
    <row r="797" spans="2:9">
      <c r="B797" t="s">
        <v>55</v>
      </c>
      <c r="C797" t="s">
        <v>189</v>
      </c>
      <c r="D797" t="s">
        <v>1402</v>
      </c>
      <c r="E797" t="str">
        <f t="shared" si="25"/>
        <v>Upton County</v>
      </c>
      <c r="F797" t="s">
        <v>743</v>
      </c>
      <c r="G797" t="str">
        <f>INDEX(StateCounties[],MATCH(D797,StateCounties[Texas],0),MATCH(B797,StateCounties[#Headers],0))</f>
        <v>Upton County</v>
      </c>
      <c r="I797" t="b">
        <f t="shared" si="26"/>
        <v>1</v>
      </c>
    </row>
    <row r="798" spans="2:9">
      <c r="B798" t="s">
        <v>55</v>
      </c>
      <c r="C798" t="s">
        <v>189</v>
      </c>
      <c r="D798" t="s">
        <v>1405</v>
      </c>
      <c r="E798" t="str">
        <f t="shared" si="25"/>
        <v>Van Zandt County</v>
      </c>
      <c r="F798" t="s">
        <v>744</v>
      </c>
      <c r="G798" t="str">
        <f>INDEX(StateCounties[],MATCH(D798,StateCounties[Texas],0),MATCH(B798,StateCounties[#Headers],0))</f>
        <v>Van Zandt County</v>
      </c>
      <c r="I798" t="b">
        <f t="shared" si="26"/>
        <v>1</v>
      </c>
    </row>
    <row r="799" spans="2:9">
      <c r="B799" t="s">
        <v>55</v>
      </c>
      <c r="C799" t="s">
        <v>189</v>
      </c>
      <c r="D799" t="s">
        <v>1408</v>
      </c>
      <c r="E799" t="str">
        <f t="shared" si="25"/>
        <v>Ward County</v>
      </c>
      <c r="F799" t="s">
        <v>745</v>
      </c>
      <c r="G799" t="str">
        <f>INDEX(StateCounties[],MATCH(D799,StateCounties[Texas],0),MATCH(B799,StateCounties[#Headers],0))</f>
        <v>Ward County</v>
      </c>
      <c r="I799" t="b">
        <f t="shared" si="26"/>
        <v>1</v>
      </c>
    </row>
    <row r="800" spans="2:9">
      <c r="B800" t="s">
        <v>55</v>
      </c>
      <c r="C800" t="s">
        <v>189</v>
      </c>
      <c r="D800" s="17" t="s">
        <v>1337</v>
      </c>
      <c r="E800" t="str">
        <f t="shared" si="25"/>
        <v>Wheiler County</v>
      </c>
      <c r="F800" t="s">
        <v>746</v>
      </c>
      <c r="G800" t="str">
        <f>INDEX(StateCounties[],MATCH(D800,StateCounties[Texas],0),MATCH(B800,StateCounties[#Headers],0))</f>
        <v>Wheeler County</v>
      </c>
      <c r="H800" s="19" t="s">
        <v>1154</v>
      </c>
      <c r="I800" t="b">
        <f t="shared" si="26"/>
        <v>0</v>
      </c>
    </row>
    <row r="801" spans="2:9">
      <c r="B801" t="s">
        <v>55</v>
      </c>
      <c r="C801" t="s">
        <v>189</v>
      </c>
      <c r="D801" t="s">
        <v>1414</v>
      </c>
      <c r="E801" t="str">
        <f t="shared" si="25"/>
        <v>Winkler County</v>
      </c>
      <c r="F801" t="s">
        <v>747</v>
      </c>
      <c r="G801" t="str">
        <f>INDEX(StateCounties[],MATCH(D801,StateCounties[Texas],0),MATCH(B801,StateCounties[#Headers],0))</f>
        <v>Winkler County</v>
      </c>
      <c r="H801" s="19" t="s">
        <v>1407</v>
      </c>
      <c r="I801" t="b">
        <f t="shared" si="26"/>
        <v>1</v>
      </c>
    </row>
    <row r="802" spans="2:9">
      <c r="B802" t="s">
        <v>55</v>
      </c>
      <c r="C802" t="s">
        <v>189</v>
      </c>
      <c r="D802" t="s">
        <v>1416</v>
      </c>
      <c r="E802" t="str">
        <f t="shared" si="25"/>
        <v>Wood County</v>
      </c>
      <c r="F802" t="s">
        <v>748</v>
      </c>
      <c r="G802" t="str">
        <f>INDEX(StateCounties[],MATCH(D802,StateCounties[Texas],0),MATCH(B802,StateCounties[#Headers],0))</f>
        <v>Wood County</v>
      </c>
      <c r="H802" s="19" t="s">
        <v>1408</v>
      </c>
      <c r="I802" t="b">
        <f t="shared" si="26"/>
        <v>1</v>
      </c>
    </row>
    <row r="803" spans="2:9">
      <c r="B803" t="s">
        <v>55</v>
      </c>
      <c r="C803" t="s">
        <v>189</v>
      </c>
      <c r="D803" t="s">
        <v>1417</v>
      </c>
      <c r="E803" t="str">
        <f t="shared" si="25"/>
        <v>Yoakum County</v>
      </c>
      <c r="F803" t="s">
        <v>749</v>
      </c>
      <c r="G803" t="str">
        <f>INDEX(StateCounties[],MATCH(D803,StateCounties[Texas],0),MATCH(B803,StateCounties[#Headers],0))</f>
        <v>Yoakum County</v>
      </c>
      <c r="H803" s="19" t="s">
        <v>1160</v>
      </c>
      <c r="I803" t="b">
        <f t="shared" si="26"/>
        <v>1</v>
      </c>
    </row>
    <row r="804" spans="2:9">
      <c r="B804" t="s">
        <v>55</v>
      </c>
      <c r="C804" t="s">
        <v>189</v>
      </c>
      <c r="D804" t="s">
        <v>1418</v>
      </c>
      <c r="E804" t="str">
        <f t="shared" si="25"/>
        <v>Young County</v>
      </c>
      <c r="F804" t="s">
        <v>750</v>
      </c>
      <c r="G804" t="str">
        <f>INDEX(StateCounties[],MATCH(D804,StateCounties[Texas],0),MATCH(B804,StateCounties[#Headers],0))</f>
        <v>Young County</v>
      </c>
      <c r="H804" s="19" t="s">
        <v>1409</v>
      </c>
      <c r="I804" t="b">
        <f t="shared" si="26"/>
        <v>1</v>
      </c>
    </row>
    <row r="805" spans="2:9">
      <c r="B805" t="s">
        <v>55</v>
      </c>
      <c r="C805" t="s">
        <v>189</v>
      </c>
      <c r="D805" t="s">
        <v>1419</v>
      </c>
      <c r="E805" t="str">
        <f t="shared" si="25"/>
        <v>Zapata County</v>
      </c>
      <c r="F805" t="s">
        <v>751</v>
      </c>
      <c r="G805" t="str">
        <f>INDEX(StateCounties[],MATCH(D805,StateCounties[Texas],0),MATCH(B805,StateCounties[#Headers],0))</f>
        <v>Zapata County</v>
      </c>
      <c r="H805" s="19" t="s">
        <v>1410</v>
      </c>
      <c r="I805" t="b">
        <f t="shared" si="26"/>
        <v>1</v>
      </c>
    </row>
    <row r="806" spans="2:9">
      <c r="B806" t="s">
        <v>55</v>
      </c>
      <c r="C806" t="s">
        <v>189</v>
      </c>
      <c r="D806" t="s">
        <v>1420</v>
      </c>
      <c r="E806" t="str">
        <f t="shared" si="25"/>
        <v>Zavala County</v>
      </c>
      <c r="F806" t="s">
        <v>752</v>
      </c>
      <c r="G806" t="str">
        <f>INDEX(StateCounties[],MATCH(D806,StateCounties[Texas],0),MATCH(B806,StateCounties[#Headers],0))</f>
        <v>Zavala County</v>
      </c>
      <c r="H806" s="19" t="s">
        <v>1337</v>
      </c>
      <c r="I806" t="b">
        <f t="shared" si="26"/>
        <v>1</v>
      </c>
    </row>
    <row r="807" spans="2:9">
      <c r="B807" t="s">
        <v>55</v>
      </c>
      <c r="C807" t="s">
        <v>189</v>
      </c>
      <c r="D807" t="s">
        <v>896</v>
      </c>
      <c r="E807" t="str">
        <f t="shared" si="25"/>
        <v>Brooks County</v>
      </c>
      <c r="F807" t="s">
        <v>368</v>
      </c>
      <c r="G807" t="str">
        <f>INDEX(StateCounties[],MATCH(D807,StateCounties[Texas],0),MATCH(B807,StateCounties[#Headers],0))</f>
        <v>Brooks County</v>
      </c>
      <c r="H807" s="19" t="s">
        <v>1411</v>
      </c>
      <c r="I807" t="b">
        <f t="shared" si="26"/>
        <v>1</v>
      </c>
    </row>
    <row r="808" spans="2:9">
      <c r="B808" t="s">
        <v>55</v>
      </c>
      <c r="C808" t="s">
        <v>189</v>
      </c>
      <c r="D808" t="s">
        <v>871</v>
      </c>
      <c r="E808" t="str">
        <f t="shared" si="25"/>
        <v>Bailey County</v>
      </c>
      <c r="F808" t="s">
        <v>753</v>
      </c>
      <c r="G808" t="str">
        <f>INDEX(StateCounties[],MATCH(D808,StateCounties[Texas],0),MATCH(B808,StateCounties[#Headers],0))</f>
        <v>Bailey County</v>
      </c>
      <c r="H808" s="19" t="s">
        <v>1412</v>
      </c>
      <c r="I808" t="b">
        <f t="shared" si="26"/>
        <v>1</v>
      </c>
    </row>
    <row r="809" spans="2:9">
      <c r="B809" t="s">
        <v>55</v>
      </c>
      <c r="C809" t="s">
        <v>189</v>
      </c>
      <c r="D809" t="s">
        <v>890</v>
      </c>
      <c r="E809" t="str">
        <f t="shared" ref="E809:E872" si="27">F809&amp; " County"</f>
        <v>Baylor County</v>
      </c>
      <c r="F809" t="s">
        <v>754</v>
      </c>
      <c r="G809" t="str">
        <f>INDEX(StateCounties[],MATCH(D809,StateCounties[Texas],0),MATCH(B809,StateCounties[#Headers],0))</f>
        <v>Baylor County</v>
      </c>
      <c r="H809" s="19" t="s">
        <v>1413</v>
      </c>
      <c r="I809" t="b">
        <f t="shared" si="26"/>
        <v>1</v>
      </c>
    </row>
    <row r="810" spans="2:9">
      <c r="B810" t="s">
        <v>55</v>
      </c>
      <c r="C810" t="s">
        <v>189</v>
      </c>
      <c r="D810" t="s">
        <v>912</v>
      </c>
      <c r="E810" t="str">
        <f t="shared" si="27"/>
        <v>Blanco County</v>
      </c>
      <c r="F810" t="s">
        <v>755</v>
      </c>
      <c r="G810" t="str">
        <f>INDEX(StateCounties[],MATCH(D810,StateCounties[Texas],0),MATCH(B810,StateCounties[#Headers],0))</f>
        <v>Blanco County</v>
      </c>
      <c r="H810" s="19" t="s">
        <v>1261</v>
      </c>
      <c r="I810" t="b">
        <f t="shared" si="26"/>
        <v>1</v>
      </c>
    </row>
    <row r="811" spans="2:9">
      <c r="B811" t="s">
        <v>55</v>
      </c>
      <c r="C811" t="s">
        <v>189</v>
      </c>
      <c r="D811" t="s">
        <v>917</v>
      </c>
      <c r="E811" t="str">
        <f t="shared" si="27"/>
        <v>Borden County</v>
      </c>
      <c r="F811" t="s">
        <v>756</v>
      </c>
      <c r="G811" t="str">
        <f>INDEX(StateCounties[],MATCH(D811,StateCounties[Texas],0),MATCH(B811,StateCounties[#Headers],0))</f>
        <v>Borden County</v>
      </c>
      <c r="H811" s="19" t="s">
        <v>1265</v>
      </c>
      <c r="I811" t="b">
        <f t="shared" si="26"/>
        <v>1</v>
      </c>
    </row>
    <row r="812" spans="2:9">
      <c r="B812" t="s">
        <v>55</v>
      </c>
      <c r="C812" t="s">
        <v>189</v>
      </c>
      <c r="D812" t="s">
        <v>924</v>
      </c>
      <c r="E812" t="str">
        <f t="shared" si="27"/>
        <v>Bosque County</v>
      </c>
      <c r="F812" t="s">
        <v>757</v>
      </c>
      <c r="G812" t="str">
        <f>INDEX(StateCounties[],MATCH(D812,StateCounties[Texas],0),MATCH(B812,StateCounties[#Headers],0))</f>
        <v>Bosque County</v>
      </c>
      <c r="H812" s="19" t="s">
        <v>1414</v>
      </c>
      <c r="I812" t="b">
        <f t="shared" si="26"/>
        <v>1</v>
      </c>
    </row>
    <row r="813" spans="2:9">
      <c r="B813" t="s">
        <v>55</v>
      </c>
      <c r="C813" t="s">
        <v>189</v>
      </c>
      <c r="D813" t="s">
        <v>945</v>
      </c>
      <c r="E813" t="str">
        <f t="shared" si="27"/>
        <v>Brewster County</v>
      </c>
      <c r="F813" t="s">
        <v>758</v>
      </c>
      <c r="G813" t="str">
        <f>INDEX(StateCounties[],MATCH(D813,StateCounties[Texas],0),MATCH(B813,StateCounties[#Headers],0))</f>
        <v>Brewster County</v>
      </c>
      <c r="H813" s="19" t="s">
        <v>1415</v>
      </c>
      <c r="I813" t="b">
        <f t="shared" si="26"/>
        <v>1</v>
      </c>
    </row>
    <row r="814" spans="2:9">
      <c r="B814" t="s">
        <v>55</v>
      </c>
      <c r="C814" t="s">
        <v>189</v>
      </c>
      <c r="D814" t="s">
        <v>952</v>
      </c>
      <c r="E814" t="str">
        <f t="shared" si="27"/>
        <v>Briscoe County</v>
      </c>
      <c r="F814" t="s">
        <v>759</v>
      </c>
      <c r="G814" t="str">
        <f>INDEX(StateCounties[],MATCH(D814,StateCounties[Texas],0),MATCH(B814,StateCounties[#Headers],0))</f>
        <v>Briscoe County</v>
      </c>
      <c r="H814" s="19" t="s">
        <v>1416</v>
      </c>
      <c r="I814" t="b">
        <f t="shared" si="26"/>
        <v>1</v>
      </c>
    </row>
    <row r="815" spans="2:9">
      <c r="B815" t="s">
        <v>55</v>
      </c>
      <c r="C815" t="s">
        <v>189</v>
      </c>
      <c r="D815" t="s">
        <v>1385</v>
      </c>
      <c r="E815" t="str">
        <f t="shared" si="27"/>
        <v>Shackelford County</v>
      </c>
      <c r="F815" t="s">
        <v>760</v>
      </c>
      <c r="G815" t="str">
        <f>INDEX(StateCounties[],MATCH(D815,StateCounties[Texas],0),MATCH(B815,StateCounties[#Headers],0))</f>
        <v>Shackelford County</v>
      </c>
      <c r="I815" t="b">
        <f t="shared" si="26"/>
        <v>1</v>
      </c>
    </row>
    <row r="816" spans="2:9">
      <c r="B816" t="s">
        <v>55</v>
      </c>
      <c r="C816" t="s">
        <v>189</v>
      </c>
      <c r="D816" t="s">
        <v>1126</v>
      </c>
      <c r="E816" t="str">
        <f t="shared" si="27"/>
        <v>Shelby County</v>
      </c>
      <c r="F816" t="s">
        <v>82</v>
      </c>
      <c r="G816" t="str">
        <f>INDEX(StateCounties[],MATCH(D816,StateCounties[Texas],0),MATCH(B816,StateCounties[#Headers],0))</f>
        <v>Shelby County</v>
      </c>
      <c r="I816" t="b">
        <f t="shared" si="26"/>
        <v>1</v>
      </c>
    </row>
    <row r="817" spans="2:9">
      <c r="B817" t="s">
        <v>55</v>
      </c>
      <c r="C817" t="s">
        <v>189</v>
      </c>
      <c r="D817" t="s">
        <v>1386</v>
      </c>
      <c r="E817" t="str">
        <f t="shared" si="27"/>
        <v>Sherman County</v>
      </c>
      <c r="F817" t="s">
        <v>761</v>
      </c>
      <c r="G817" t="str">
        <f>INDEX(StateCounties[],MATCH(D817,StateCounties[Texas],0),MATCH(B817,StateCounties[#Headers],0))</f>
        <v>Sherman County</v>
      </c>
      <c r="I817" t="b">
        <f t="shared" si="26"/>
        <v>1</v>
      </c>
    </row>
    <row r="818" spans="2:9">
      <c r="B818" t="s">
        <v>55</v>
      </c>
      <c r="C818" t="s">
        <v>189</v>
      </c>
      <c r="D818" t="s">
        <v>1302</v>
      </c>
      <c r="E818" t="str">
        <f t="shared" si="27"/>
        <v>Stephens County</v>
      </c>
      <c r="F818" t="s">
        <v>333</v>
      </c>
      <c r="G818" t="str">
        <f>INDEX(StateCounties[],MATCH(D818,StateCounties[Texas],0),MATCH(B818,StateCounties[#Headers],0))</f>
        <v>Stephens County</v>
      </c>
      <c r="I818" t="b">
        <f t="shared" si="26"/>
        <v>1</v>
      </c>
    </row>
    <row r="819" spans="2:9">
      <c r="B819" t="s">
        <v>55</v>
      </c>
      <c r="C819" t="s">
        <v>189</v>
      </c>
      <c r="D819" t="s">
        <v>1389</v>
      </c>
      <c r="E819" t="str">
        <f t="shared" si="27"/>
        <v>Sterling County</v>
      </c>
      <c r="F819" t="s">
        <v>762</v>
      </c>
      <c r="G819" t="str">
        <f>INDEX(StateCounties[],MATCH(D819,StateCounties[Texas],0),MATCH(B819,StateCounties[#Headers],0))</f>
        <v>Sterling County</v>
      </c>
      <c r="I819" t="b">
        <f t="shared" si="26"/>
        <v>1</v>
      </c>
    </row>
    <row r="820" spans="2:9">
      <c r="B820" t="s">
        <v>55</v>
      </c>
      <c r="C820" t="s">
        <v>189</v>
      </c>
      <c r="D820" t="s">
        <v>1390</v>
      </c>
      <c r="E820" t="str">
        <f t="shared" si="27"/>
        <v>Stonewall County</v>
      </c>
      <c r="F820" t="s">
        <v>763</v>
      </c>
      <c r="G820" t="str">
        <f>INDEX(StateCounties[],MATCH(D820,StateCounties[Texas],0),MATCH(B820,StateCounties[#Headers],0))</f>
        <v>Stonewall County</v>
      </c>
      <c r="I820" t="b">
        <f t="shared" si="26"/>
        <v>1</v>
      </c>
    </row>
    <row r="821" spans="2:9">
      <c r="B821" t="s">
        <v>55</v>
      </c>
      <c r="C821" t="s">
        <v>189</v>
      </c>
      <c r="D821" t="s">
        <v>1391</v>
      </c>
      <c r="E821" t="str">
        <f t="shared" si="27"/>
        <v>Sutton County</v>
      </c>
      <c r="F821" t="s">
        <v>764</v>
      </c>
      <c r="G821" t="str">
        <f>INDEX(StateCounties[],MATCH(D821,StateCounties[Texas],0),MATCH(B821,StateCounties[#Headers],0))</f>
        <v>Sutton County</v>
      </c>
      <c r="I821" t="b">
        <f t="shared" si="26"/>
        <v>1</v>
      </c>
    </row>
    <row r="822" spans="2:9">
      <c r="B822" t="s">
        <v>55</v>
      </c>
      <c r="C822" t="s">
        <v>189</v>
      </c>
      <c r="D822" t="s">
        <v>1392</v>
      </c>
      <c r="E822" t="str">
        <f t="shared" si="27"/>
        <v>Swisher County</v>
      </c>
      <c r="F822" t="s">
        <v>765</v>
      </c>
      <c r="G822" t="str">
        <f>INDEX(StateCounties[],MATCH(D822,StateCounties[Texas],0),MATCH(B822,StateCounties[#Headers],0))</f>
        <v>Swisher County</v>
      </c>
      <c r="I822" t="b">
        <f t="shared" si="26"/>
        <v>1</v>
      </c>
    </row>
    <row r="823" spans="2:9">
      <c r="B823" t="s">
        <v>55</v>
      </c>
      <c r="C823" t="s">
        <v>189</v>
      </c>
      <c r="D823" t="s">
        <v>1314</v>
      </c>
      <c r="E823" t="str">
        <f t="shared" si="27"/>
        <v>Terrell County</v>
      </c>
      <c r="F823" t="s">
        <v>269</v>
      </c>
      <c r="G823" t="str">
        <f>INDEX(StateCounties[],MATCH(D823,StateCounties[Texas],0),MATCH(B823,StateCounties[#Headers],0))</f>
        <v>Terrell County</v>
      </c>
      <c r="I823" t="b">
        <f t="shared" si="26"/>
        <v>1</v>
      </c>
    </row>
    <row r="824" spans="2:9">
      <c r="B824" t="s">
        <v>55</v>
      </c>
      <c r="C824" t="s">
        <v>189</v>
      </c>
      <c r="D824" t="s">
        <v>1394</v>
      </c>
      <c r="E824" t="str">
        <f t="shared" si="27"/>
        <v>Terry County</v>
      </c>
      <c r="F824" t="s">
        <v>766</v>
      </c>
      <c r="G824" t="str">
        <f>INDEX(StateCounties[],MATCH(D824,StateCounties[Texas],0),MATCH(B824,StateCounties[#Headers],0))</f>
        <v>Terry County</v>
      </c>
      <c r="I824" t="b">
        <f t="shared" si="26"/>
        <v>1</v>
      </c>
    </row>
    <row r="825" spans="2:9">
      <c r="B825" t="s">
        <v>55</v>
      </c>
      <c r="C825" t="s">
        <v>189</v>
      </c>
      <c r="D825" t="s">
        <v>1395</v>
      </c>
      <c r="E825" t="str">
        <f t="shared" si="27"/>
        <v>Throckmorton County</v>
      </c>
      <c r="F825" t="s">
        <v>767</v>
      </c>
      <c r="G825" t="str">
        <f>INDEX(StateCounties[],MATCH(D825,StateCounties[Texas],0),MATCH(B825,StateCounties[#Headers],0))</f>
        <v>Throckmorton County</v>
      </c>
      <c r="I825" t="b">
        <f t="shared" si="26"/>
        <v>1</v>
      </c>
    </row>
    <row r="826" spans="2:9">
      <c r="B826" t="s">
        <v>55</v>
      </c>
      <c r="C826" t="s">
        <v>189</v>
      </c>
      <c r="D826" t="s">
        <v>1399</v>
      </c>
      <c r="E826" t="str">
        <f t="shared" si="27"/>
        <v>Trinity County</v>
      </c>
      <c r="F826" t="s">
        <v>768</v>
      </c>
      <c r="G826" t="str">
        <f>INDEX(StateCounties[],MATCH(D826,StateCounties[Texas],0),MATCH(B826,StateCounties[#Headers],0))</f>
        <v>Trinity County</v>
      </c>
      <c r="I826" t="b">
        <f t="shared" si="26"/>
        <v>1</v>
      </c>
    </row>
    <row r="827" spans="2:9">
      <c r="B827" t="s">
        <v>55</v>
      </c>
      <c r="C827" t="s">
        <v>189</v>
      </c>
      <c r="D827" t="s">
        <v>1400</v>
      </c>
      <c r="E827" t="str">
        <f t="shared" si="27"/>
        <v>Tyler County</v>
      </c>
      <c r="F827" t="s">
        <v>769</v>
      </c>
      <c r="G827" t="str">
        <f>INDEX(StateCounties[],MATCH(D827,StateCounties[Texas],0),MATCH(B827,StateCounties[#Headers],0))</f>
        <v>Tyler County</v>
      </c>
      <c r="I827" t="b">
        <f t="shared" si="26"/>
        <v>1</v>
      </c>
    </row>
    <row r="828" spans="2:9">
      <c r="B828" t="s">
        <v>55</v>
      </c>
      <c r="C828" t="s">
        <v>189</v>
      </c>
      <c r="D828" t="s">
        <v>1367</v>
      </c>
      <c r="E828" t="str">
        <f t="shared" si="27"/>
        <v>Rains County</v>
      </c>
      <c r="F828" t="s">
        <v>770</v>
      </c>
      <c r="G828" t="str">
        <f>INDEX(StateCounties[],MATCH(D828,StateCounties[Texas],0),MATCH(B828,StateCounties[#Headers],0))</f>
        <v>Rains County</v>
      </c>
      <c r="I828" t="b">
        <f t="shared" si="26"/>
        <v>1</v>
      </c>
    </row>
    <row r="829" spans="2:9">
      <c r="B829" t="s">
        <v>55</v>
      </c>
      <c r="C829" t="s">
        <v>189</v>
      </c>
      <c r="D829" t="s">
        <v>1369</v>
      </c>
      <c r="E829" t="str">
        <f t="shared" si="27"/>
        <v>Reagan County</v>
      </c>
      <c r="F829" t="s">
        <v>771</v>
      </c>
      <c r="G829" t="str">
        <f>INDEX(StateCounties[],MATCH(D829,StateCounties[Texas],0),MATCH(B829,StateCounties[#Headers],0))</f>
        <v>Reagan County</v>
      </c>
      <c r="I829" t="b">
        <f t="shared" si="26"/>
        <v>1</v>
      </c>
    </row>
    <row r="830" spans="2:9">
      <c r="B830" t="s">
        <v>55</v>
      </c>
      <c r="C830" t="s">
        <v>189</v>
      </c>
      <c r="D830" t="s">
        <v>1370</v>
      </c>
      <c r="E830" t="str">
        <f t="shared" si="27"/>
        <v>Real County</v>
      </c>
      <c r="F830" t="s">
        <v>772</v>
      </c>
      <c r="G830" t="str">
        <f>INDEX(StateCounties[],MATCH(D830,StateCounties[Texas],0),MATCH(B830,StateCounties[#Headers],0))</f>
        <v>Real County</v>
      </c>
      <c r="I830" t="b">
        <f t="shared" si="26"/>
        <v>1</v>
      </c>
    </row>
    <row r="831" spans="2:9">
      <c r="B831" t="s">
        <v>55</v>
      </c>
      <c r="C831" t="s">
        <v>189</v>
      </c>
      <c r="D831" t="s">
        <v>1371</v>
      </c>
      <c r="E831" t="str">
        <f t="shared" si="27"/>
        <v>Red River County</v>
      </c>
      <c r="F831" t="s">
        <v>773</v>
      </c>
      <c r="G831" t="str">
        <f>INDEX(StateCounties[],MATCH(D831,StateCounties[Texas],0),MATCH(B831,StateCounties[#Headers],0))</f>
        <v>Red River County</v>
      </c>
      <c r="I831" t="b">
        <f t="shared" si="26"/>
        <v>1</v>
      </c>
    </row>
    <row r="832" spans="2:9">
      <c r="B832" t="s">
        <v>55</v>
      </c>
      <c r="C832" t="s">
        <v>189</v>
      </c>
      <c r="D832" t="s">
        <v>1373</v>
      </c>
      <c r="E832" t="str">
        <f t="shared" si="27"/>
        <v>Refugio County</v>
      </c>
      <c r="F832" t="s">
        <v>774</v>
      </c>
      <c r="G832" t="str">
        <f>INDEX(StateCounties[],MATCH(D832,StateCounties[Texas],0),MATCH(B832,StateCounties[#Headers],0))</f>
        <v>Refugio County</v>
      </c>
      <c r="I832" t="b">
        <f t="shared" si="26"/>
        <v>1</v>
      </c>
    </row>
    <row r="833" spans="2:9">
      <c r="B833" t="s">
        <v>55</v>
      </c>
      <c r="C833" t="s">
        <v>189</v>
      </c>
      <c r="D833" t="s">
        <v>1376</v>
      </c>
      <c r="E833" t="str">
        <f t="shared" si="27"/>
        <v>Runnels County</v>
      </c>
      <c r="F833" t="s">
        <v>775</v>
      </c>
      <c r="G833" t="str">
        <f>INDEX(StateCounties[],MATCH(D833,StateCounties[Texas],0),MATCH(B833,StateCounties[#Headers],0))</f>
        <v>Runnels County</v>
      </c>
      <c r="I833" t="b">
        <f t="shared" si="26"/>
        <v>1</v>
      </c>
    </row>
    <row r="834" spans="2:9">
      <c r="B834" t="s">
        <v>55</v>
      </c>
      <c r="C834" t="s">
        <v>189</v>
      </c>
      <c r="D834" t="s">
        <v>1378</v>
      </c>
      <c r="E834" t="str">
        <f t="shared" si="27"/>
        <v>Sabine County</v>
      </c>
      <c r="F834" t="s">
        <v>776</v>
      </c>
      <c r="G834" t="str">
        <f>INDEX(StateCounties[],MATCH(D834,StateCounties[Texas],0),MATCH(B834,StateCounties[#Headers],0))</f>
        <v>Sabine County</v>
      </c>
      <c r="I834" t="b">
        <f t="shared" si="26"/>
        <v>1</v>
      </c>
    </row>
    <row r="835" spans="2:9">
      <c r="B835" t="s">
        <v>55</v>
      </c>
      <c r="C835" t="s">
        <v>189</v>
      </c>
      <c r="D835" t="s">
        <v>1379</v>
      </c>
      <c r="E835" t="str">
        <f t="shared" si="27"/>
        <v>San Augustine County</v>
      </c>
      <c r="F835" t="s">
        <v>777</v>
      </c>
      <c r="G835" t="str">
        <f>INDEX(StateCounties[],MATCH(D835,StateCounties[Texas],0),MATCH(B835,StateCounties[#Headers],0))</f>
        <v>San Augustine County</v>
      </c>
      <c r="I835" t="b">
        <f t="shared" si="26"/>
        <v>1</v>
      </c>
    </row>
    <row r="836" spans="2:9">
      <c r="B836" t="s">
        <v>55</v>
      </c>
      <c r="C836" t="s">
        <v>189</v>
      </c>
      <c r="D836" t="s">
        <v>1382</v>
      </c>
      <c r="E836" t="str">
        <f t="shared" si="27"/>
        <v>San Saba County</v>
      </c>
      <c r="F836" t="s">
        <v>778</v>
      </c>
      <c r="G836" t="str">
        <f>INDEX(StateCounties[],MATCH(D836,StateCounties[Texas],0),MATCH(B836,StateCounties[#Headers],0))</f>
        <v>San Saba County</v>
      </c>
      <c r="I836" t="b">
        <f t="shared" ref="I836:I891" si="28">E836=D836</f>
        <v>1</v>
      </c>
    </row>
    <row r="837" spans="2:9">
      <c r="B837" t="s">
        <v>55</v>
      </c>
      <c r="C837" t="s">
        <v>189</v>
      </c>
      <c r="D837" t="s">
        <v>1383</v>
      </c>
      <c r="E837" t="str">
        <f t="shared" si="27"/>
        <v>Schleicher County</v>
      </c>
      <c r="F837" t="s">
        <v>779</v>
      </c>
      <c r="G837" t="str">
        <f>INDEX(StateCounties[],MATCH(D837,StateCounties[Texas],0),MATCH(B837,StateCounties[#Headers],0))</f>
        <v>Schleicher County</v>
      </c>
      <c r="I837" t="b">
        <f t="shared" si="28"/>
        <v>1</v>
      </c>
    </row>
    <row r="838" spans="2:9">
      <c r="B838" t="s">
        <v>55</v>
      </c>
      <c r="C838" t="s">
        <v>189</v>
      </c>
      <c r="D838" t="s">
        <v>1353</v>
      </c>
      <c r="E838" t="str">
        <f t="shared" si="27"/>
        <v>Morris County</v>
      </c>
      <c r="F838" t="s">
        <v>780</v>
      </c>
      <c r="G838" t="str">
        <f>INDEX(StateCounties[],MATCH(D838,StateCounties[Texas],0),MATCH(B838,StateCounties[#Headers],0))</f>
        <v>Morris County</v>
      </c>
      <c r="I838" t="b">
        <f t="shared" si="28"/>
        <v>1</v>
      </c>
    </row>
    <row r="839" spans="2:9">
      <c r="B839" t="s">
        <v>55</v>
      </c>
      <c r="C839" t="s">
        <v>189</v>
      </c>
      <c r="D839" t="s">
        <v>1354</v>
      </c>
      <c r="E839" t="str">
        <f t="shared" si="27"/>
        <v>Motley County</v>
      </c>
      <c r="F839" t="s">
        <v>781</v>
      </c>
      <c r="G839" t="str">
        <f>INDEX(StateCounties[],MATCH(D839,StateCounties[Texas],0),MATCH(B839,StateCounties[#Headers],0))</f>
        <v>Motley County</v>
      </c>
      <c r="I839" t="b">
        <f t="shared" si="28"/>
        <v>1</v>
      </c>
    </row>
    <row r="840" spans="2:9">
      <c r="B840" t="s">
        <v>55</v>
      </c>
      <c r="C840" t="s">
        <v>189</v>
      </c>
      <c r="D840" t="s">
        <v>1088</v>
      </c>
      <c r="E840" t="str">
        <f t="shared" si="27"/>
        <v>Newton County</v>
      </c>
      <c r="F840" t="s">
        <v>285</v>
      </c>
      <c r="G840" t="str">
        <f>INDEX(StateCounties[],MATCH(D840,StateCounties[Texas],0),MATCH(B840,StateCounties[#Headers],0))</f>
        <v>Newton County</v>
      </c>
      <c r="I840" t="b">
        <f t="shared" si="28"/>
        <v>1</v>
      </c>
    </row>
    <row r="841" spans="2:9">
      <c r="B841" t="s">
        <v>55</v>
      </c>
      <c r="C841" t="s">
        <v>189</v>
      </c>
      <c r="D841" t="s">
        <v>1357</v>
      </c>
      <c r="E841" t="str">
        <f t="shared" si="27"/>
        <v>Nolan County</v>
      </c>
      <c r="F841" t="s">
        <v>710</v>
      </c>
      <c r="G841" t="str">
        <f>INDEX(StateCounties[],MATCH(D841,StateCounties[Texas],0),MATCH(B841,StateCounties[#Headers],0))</f>
        <v>Nolan County</v>
      </c>
      <c r="I841" t="b">
        <f t="shared" si="28"/>
        <v>1</v>
      </c>
    </row>
    <row r="842" spans="2:9">
      <c r="B842" t="s">
        <v>55</v>
      </c>
      <c r="C842" t="s">
        <v>189</v>
      </c>
      <c r="D842" s="20" t="s">
        <v>1359</v>
      </c>
      <c r="E842" t="str">
        <f t="shared" si="27"/>
        <v>Ochittree County</v>
      </c>
      <c r="F842" t="s">
        <v>782</v>
      </c>
      <c r="G842" t="str">
        <f>INDEX(StateCounties[],MATCH(D842,StateCounties[Texas],0),MATCH(B842,StateCounties[#Headers],0))</f>
        <v>Ochiltree County</v>
      </c>
      <c r="I842" t="b">
        <f t="shared" si="28"/>
        <v>0</v>
      </c>
    </row>
    <row r="843" spans="2:9">
      <c r="B843" t="s">
        <v>55</v>
      </c>
      <c r="C843" t="s">
        <v>189</v>
      </c>
      <c r="D843" t="s">
        <v>1360</v>
      </c>
      <c r="E843" t="str">
        <f t="shared" si="27"/>
        <v>Oldham County</v>
      </c>
      <c r="F843" t="s">
        <v>783</v>
      </c>
      <c r="G843" t="str">
        <f>INDEX(StateCounties[],MATCH(D843,StateCounties[Texas],0),MATCH(B843,StateCounties[#Headers],0))</f>
        <v>Oldham County</v>
      </c>
      <c r="I843" t="b">
        <f t="shared" si="28"/>
        <v>1</v>
      </c>
    </row>
    <row r="844" spans="2:9">
      <c r="B844" t="s">
        <v>55</v>
      </c>
      <c r="C844" t="s">
        <v>189</v>
      </c>
      <c r="D844" t="s">
        <v>1105</v>
      </c>
      <c r="E844" t="str">
        <f t="shared" si="27"/>
        <v>Panola County</v>
      </c>
      <c r="F844" t="s">
        <v>484</v>
      </c>
      <c r="G844" t="str">
        <f>INDEX(StateCounties[],MATCH(D844,StateCounties[Texas],0),MATCH(B844,StateCounties[#Headers],0))</f>
        <v>Panola County</v>
      </c>
      <c r="I844" t="b">
        <f t="shared" si="28"/>
        <v>1</v>
      </c>
    </row>
    <row r="845" spans="2:9">
      <c r="B845" t="s">
        <v>55</v>
      </c>
      <c r="C845" t="s">
        <v>189</v>
      </c>
      <c r="D845" t="s">
        <v>1363</v>
      </c>
      <c r="E845" t="str">
        <f t="shared" si="27"/>
        <v>Parmer County</v>
      </c>
      <c r="F845" t="s">
        <v>784</v>
      </c>
      <c r="G845" t="str">
        <f>INDEX(StateCounties[],MATCH(D845,StateCounties[Texas],0),MATCH(B845,StateCounties[#Headers],0))</f>
        <v>Parmer County</v>
      </c>
      <c r="I845" t="b">
        <f t="shared" si="28"/>
        <v>1</v>
      </c>
    </row>
    <row r="846" spans="2:9">
      <c r="B846" t="s">
        <v>55</v>
      </c>
      <c r="C846" t="s">
        <v>189</v>
      </c>
      <c r="D846" t="s">
        <v>1364</v>
      </c>
      <c r="E846" t="str">
        <f t="shared" si="27"/>
        <v>Pecos County</v>
      </c>
      <c r="F846" t="s">
        <v>785</v>
      </c>
      <c r="G846" t="str">
        <f>INDEX(StateCounties[],MATCH(D846,StateCounties[Texas],0),MATCH(B846,StateCounties[#Headers],0))</f>
        <v>Pecos County</v>
      </c>
      <c r="I846" t="b">
        <f t="shared" si="28"/>
        <v>1</v>
      </c>
    </row>
    <row r="847" spans="2:9">
      <c r="B847" t="s">
        <v>55</v>
      </c>
      <c r="C847" t="s">
        <v>189</v>
      </c>
      <c r="D847" t="s">
        <v>1098</v>
      </c>
      <c r="E847" t="str">
        <f t="shared" si="27"/>
        <v>Polk County</v>
      </c>
      <c r="F847" t="s">
        <v>238</v>
      </c>
      <c r="G847" t="str">
        <f>INDEX(StateCounties[],MATCH(D847,StateCounties[Texas],0),MATCH(B847,StateCounties[#Headers],0))</f>
        <v>Polk County</v>
      </c>
      <c r="I847" t="b">
        <f t="shared" si="28"/>
        <v>1</v>
      </c>
    </row>
    <row r="848" spans="2:9">
      <c r="B848" t="s">
        <v>55</v>
      </c>
      <c r="C848" t="s">
        <v>189</v>
      </c>
      <c r="D848" t="s">
        <v>1366</v>
      </c>
      <c r="E848" t="str">
        <f t="shared" si="27"/>
        <v>Presidio County</v>
      </c>
      <c r="F848" t="s">
        <v>786</v>
      </c>
      <c r="G848" t="str">
        <f>INDEX(StateCounties[],MATCH(D848,StateCounties[Texas],0),MATCH(B848,StateCounties[#Headers],0))</f>
        <v>Presidio County</v>
      </c>
      <c r="I848" t="b">
        <f t="shared" si="28"/>
        <v>1</v>
      </c>
    </row>
    <row r="849" spans="2:9">
      <c r="B849" t="s">
        <v>55</v>
      </c>
      <c r="C849" t="s">
        <v>189</v>
      </c>
      <c r="D849" t="s">
        <v>1029</v>
      </c>
      <c r="E849" t="str">
        <f t="shared" si="27"/>
        <v>Madison County</v>
      </c>
      <c r="F849" t="s">
        <v>100</v>
      </c>
      <c r="G849" t="str">
        <f>INDEX(StateCounties[],MATCH(D849,StateCounties[Texas],0),MATCH(B849,StateCounties[#Headers],0))</f>
        <v>Madison County</v>
      </c>
      <c r="I849" t="b">
        <f t="shared" si="28"/>
        <v>1</v>
      </c>
    </row>
    <row r="850" spans="2:9">
      <c r="B850" t="s">
        <v>55</v>
      </c>
      <c r="C850" t="s">
        <v>189</v>
      </c>
      <c r="D850" t="s">
        <v>1038</v>
      </c>
      <c r="E850" t="str">
        <f t="shared" si="27"/>
        <v>Marion County</v>
      </c>
      <c r="F850" t="s">
        <v>138</v>
      </c>
      <c r="G850" t="str">
        <f>INDEX(StateCounties[],MATCH(D850,StateCounties[Texas],0),MATCH(B850,StateCounties[#Headers],0))</f>
        <v>Marion County</v>
      </c>
      <c r="I850" t="b">
        <f t="shared" si="28"/>
        <v>1</v>
      </c>
    </row>
    <row r="851" spans="2:9">
      <c r="B851" t="s">
        <v>55</v>
      </c>
      <c r="C851" t="s">
        <v>189</v>
      </c>
      <c r="D851" t="s">
        <v>1044</v>
      </c>
      <c r="E851" t="str">
        <f t="shared" si="27"/>
        <v>Martin County</v>
      </c>
      <c r="F851" t="s">
        <v>217</v>
      </c>
      <c r="G851" t="str">
        <f>INDEX(StateCounties[],MATCH(D851,StateCounties[Texas],0),MATCH(B851,StateCounties[#Headers],0))</f>
        <v>Martin County</v>
      </c>
      <c r="I851" t="b">
        <f t="shared" si="28"/>
        <v>1</v>
      </c>
    </row>
    <row r="852" spans="2:9">
      <c r="B852" t="s">
        <v>55</v>
      </c>
      <c r="C852" t="s">
        <v>189</v>
      </c>
      <c r="D852" t="s">
        <v>1344</v>
      </c>
      <c r="E852" t="str">
        <f t="shared" si="27"/>
        <v>Mason County</v>
      </c>
      <c r="F852" t="s">
        <v>787</v>
      </c>
      <c r="G852" t="str">
        <f>INDEX(StateCounties[],MATCH(D852,StateCounties[Texas],0),MATCH(B852,StateCounties[#Headers],0))</f>
        <v>Mason County</v>
      </c>
      <c r="I852" t="b">
        <f t="shared" si="28"/>
        <v>1</v>
      </c>
    </row>
    <row r="853" spans="2:9">
      <c r="B853" t="s">
        <v>55</v>
      </c>
      <c r="C853" t="s">
        <v>189</v>
      </c>
      <c r="D853" t="s">
        <v>1339</v>
      </c>
      <c r="E853" t="str">
        <f t="shared" si="27"/>
        <v>McCulloch County</v>
      </c>
      <c r="F853" t="s">
        <v>788</v>
      </c>
      <c r="G853" t="str">
        <f>INDEX(StateCounties[],MATCH(D853,StateCounties[Texas],0),MATCH(B853,StateCounties[#Headers],0))</f>
        <v>McCulloch County</v>
      </c>
      <c r="I853" t="b">
        <f t="shared" si="28"/>
        <v>1</v>
      </c>
    </row>
    <row r="854" spans="2:9">
      <c r="B854" t="s">
        <v>55</v>
      </c>
      <c r="C854" t="s">
        <v>189</v>
      </c>
      <c r="D854" t="s">
        <v>1342</v>
      </c>
      <c r="E854" t="str">
        <f t="shared" si="27"/>
        <v>McMullen County</v>
      </c>
      <c r="F854" t="s">
        <v>789</v>
      </c>
      <c r="G854" t="str">
        <f>INDEX(StateCounties[],MATCH(D854,StateCounties[Texas],0),MATCH(B854,StateCounties[#Headers],0))</f>
        <v>McMullen County</v>
      </c>
      <c r="I854" t="b">
        <f t="shared" si="28"/>
        <v>1</v>
      </c>
    </row>
    <row r="855" spans="2:9">
      <c r="B855" t="s">
        <v>55</v>
      </c>
      <c r="C855" t="s">
        <v>189</v>
      </c>
      <c r="D855" t="s">
        <v>1348</v>
      </c>
      <c r="E855" t="str">
        <f t="shared" si="27"/>
        <v>Menard County</v>
      </c>
      <c r="F855" t="s">
        <v>790</v>
      </c>
      <c r="G855" t="str">
        <f>INDEX(StateCounties[],MATCH(D855,StateCounties[Texas],0),MATCH(B855,StateCounties[#Headers],0))</f>
        <v>Menard County</v>
      </c>
      <c r="I855" t="b">
        <f t="shared" si="28"/>
        <v>1</v>
      </c>
    </row>
    <row r="856" spans="2:9">
      <c r="B856" t="s">
        <v>55</v>
      </c>
      <c r="C856" t="s">
        <v>189</v>
      </c>
      <c r="D856" t="s">
        <v>1350</v>
      </c>
      <c r="E856" t="str">
        <f t="shared" si="27"/>
        <v>Milam County</v>
      </c>
      <c r="F856" t="s">
        <v>791</v>
      </c>
      <c r="G856" t="str">
        <f>INDEX(StateCounties[],MATCH(D856,StateCounties[Texas],0),MATCH(B856,StateCounties[#Headers],0))</f>
        <v>Milam County</v>
      </c>
      <c r="I856" t="b">
        <f t="shared" si="28"/>
        <v>1</v>
      </c>
    </row>
    <row r="857" spans="2:9">
      <c r="B857" t="s">
        <v>55</v>
      </c>
      <c r="C857" t="s">
        <v>189</v>
      </c>
      <c r="D857" t="s">
        <v>1351</v>
      </c>
      <c r="E857" t="str">
        <f t="shared" si="27"/>
        <v>Mills County</v>
      </c>
      <c r="F857" t="s">
        <v>792</v>
      </c>
      <c r="G857" t="str">
        <f>INDEX(StateCounties[],MATCH(D857,StateCounties[Texas],0),MATCH(B857,StateCounties[#Headers],0))</f>
        <v>Mills County</v>
      </c>
      <c r="I857" t="b">
        <f t="shared" si="28"/>
        <v>1</v>
      </c>
    </row>
    <row r="858" spans="2:9">
      <c r="B858" t="s">
        <v>55</v>
      </c>
      <c r="C858" t="s">
        <v>189</v>
      </c>
      <c r="D858" t="s">
        <v>1140</v>
      </c>
      <c r="E858" t="str">
        <f t="shared" si="27"/>
        <v>Mitchell County</v>
      </c>
      <c r="F858" t="s">
        <v>267</v>
      </c>
      <c r="G858" t="str">
        <f>INDEX(StateCounties[],MATCH(D858,StateCounties[Texas],0),MATCH(B858,StateCounties[#Headers],0))</f>
        <v>Mitchell County</v>
      </c>
      <c r="I858" t="b">
        <f t="shared" si="28"/>
        <v>1</v>
      </c>
    </row>
    <row r="859" spans="2:9">
      <c r="B859" t="s">
        <v>55</v>
      </c>
      <c r="C859" t="s">
        <v>189</v>
      </c>
      <c r="D859" t="s">
        <v>1352</v>
      </c>
      <c r="E859" t="str">
        <f t="shared" si="27"/>
        <v>Montague County</v>
      </c>
      <c r="F859" t="s">
        <v>793</v>
      </c>
      <c r="G859" t="str">
        <f>INDEX(StateCounties[],MATCH(D859,StateCounties[Texas],0),MATCH(B859,StateCounties[#Headers],0))</f>
        <v>Montague County</v>
      </c>
      <c r="I859" t="b">
        <f t="shared" si="28"/>
        <v>1</v>
      </c>
    </row>
    <row r="860" spans="2:9">
      <c r="B860" t="s">
        <v>55</v>
      </c>
      <c r="C860" t="s">
        <v>189</v>
      </c>
      <c r="D860" t="s">
        <v>1180</v>
      </c>
      <c r="E860" t="str">
        <f t="shared" si="27"/>
        <v>Hall County</v>
      </c>
      <c r="F860" t="s">
        <v>329</v>
      </c>
      <c r="G860" t="str">
        <f>INDEX(StateCounties[],MATCH(D860,StateCounties[Texas],0),MATCH(B860,StateCounties[#Headers],0))</f>
        <v>Hall County</v>
      </c>
      <c r="I860" t="b">
        <f t="shared" si="28"/>
        <v>1</v>
      </c>
    </row>
    <row r="861" spans="2:9">
      <c r="B861" t="s">
        <v>55</v>
      </c>
      <c r="C861" t="s">
        <v>189</v>
      </c>
      <c r="D861" t="s">
        <v>947</v>
      </c>
      <c r="E861" t="str">
        <f t="shared" si="27"/>
        <v>Hamilton County</v>
      </c>
      <c r="F861" t="s">
        <v>184</v>
      </c>
      <c r="G861" t="str">
        <f>INDEX(StateCounties[],MATCH(D861,StateCounties[Texas],0),MATCH(B861,StateCounties[#Headers],0))</f>
        <v>Hamilton County</v>
      </c>
      <c r="I861" t="b">
        <f t="shared" si="28"/>
        <v>1</v>
      </c>
    </row>
    <row r="862" spans="2:9">
      <c r="B862" t="s">
        <v>55</v>
      </c>
      <c r="C862" t="s">
        <v>189</v>
      </c>
      <c r="D862" t="s">
        <v>1267</v>
      </c>
      <c r="E862" t="str">
        <f t="shared" si="27"/>
        <v>Hansford County</v>
      </c>
      <c r="F862" t="s">
        <v>794</v>
      </c>
      <c r="G862" t="str">
        <f>INDEX(StateCounties[],MATCH(D862,StateCounties[Texas],0),MATCH(B862,StateCounties[#Headers],0))</f>
        <v>Hansford County</v>
      </c>
      <c r="I862" t="b">
        <f t="shared" si="28"/>
        <v>1</v>
      </c>
    </row>
    <row r="863" spans="2:9">
      <c r="B863" t="s">
        <v>55</v>
      </c>
      <c r="C863" t="s">
        <v>189</v>
      </c>
      <c r="D863" t="s">
        <v>1013</v>
      </c>
      <c r="E863" t="str">
        <f t="shared" si="27"/>
        <v>Hardeman County</v>
      </c>
      <c r="F863" t="s">
        <v>600</v>
      </c>
      <c r="G863" t="str">
        <f>INDEX(StateCounties[],MATCH(D863,StateCounties[Texas],0),MATCH(B863,StateCounties[#Headers],0))</f>
        <v>Hardeman County</v>
      </c>
      <c r="I863" t="b">
        <f t="shared" si="28"/>
        <v>1</v>
      </c>
    </row>
    <row r="864" spans="2:9">
      <c r="B864" t="s">
        <v>55</v>
      </c>
      <c r="C864" t="s">
        <v>189</v>
      </c>
      <c r="D864" t="s">
        <v>1272</v>
      </c>
      <c r="E864" t="str">
        <f t="shared" si="27"/>
        <v>Hartley County</v>
      </c>
      <c r="F864" t="s">
        <v>795</v>
      </c>
      <c r="G864" t="str">
        <f>INDEX(StateCounties[],MATCH(D864,StateCounties[Texas],0),MATCH(B864,StateCounties[#Headers],0))</f>
        <v>Hartley County</v>
      </c>
      <c r="I864" t="b">
        <f t="shared" si="28"/>
        <v>1</v>
      </c>
    </row>
    <row r="865" spans="2:9">
      <c r="B865" t="s">
        <v>55</v>
      </c>
      <c r="C865" t="s">
        <v>189</v>
      </c>
      <c r="D865" t="s">
        <v>1273</v>
      </c>
      <c r="E865" t="str">
        <f t="shared" si="27"/>
        <v>Haskell County</v>
      </c>
      <c r="F865" t="s">
        <v>796</v>
      </c>
      <c r="G865" t="str">
        <f>INDEX(StateCounties[],MATCH(D865,StateCounties[Texas],0),MATCH(B865,StateCounties[#Headers],0))</f>
        <v>Haskell County</v>
      </c>
      <c r="I865" t="b">
        <f t="shared" si="28"/>
        <v>1</v>
      </c>
    </row>
    <row r="866" spans="2:9">
      <c r="B866" t="s">
        <v>55</v>
      </c>
      <c r="C866" t="s">
        <v>189</v>
      </c>
      <c r="D866" t="s">
        <v>1277</v>
      </c>
      <c r="E866" t="str">
        <f t="shared" si="27"/>
        <v>Hemphill County</v>
      </c>
      <c r="F866" t="s">
        <v>797</v>
      </c>
      <c r="G866" t="str">
        <f>INDEX(StateCounties[],MATCH(D866,StateCounties[Texas],0),MATCH(B866,StateCounties[#Headers],0))</f>
        <v>Hemphill County</v>
      </c>
      <c r="I866" t="b">
        <f t="shared" si="28"/>
        <v>1</v>
      </c>
    </row>
    <row r="867" spans="2:9">
      <c r="B867" t="s">
        <v>55</v>
      </c>
      <c r="C867" t="s">
        <v>189</v>
      </c>
      <c r="D867" t="s">
        <v>1281</v>
      </c>
      <c r="E867" t="str">
        <f t="shared" si="27"/>
        <v>Hill County</v>
      </c>
      <c r="F867" t="s">
        <v>798</v>
      </c>
      <c r="G867" t="str">
        <f>INDEX(StateCounties[],MATCH(D867,StateCounties[Texas],0),MATCH(B867,StateCounties[#Headers],0))</f>
        <v>Hill County</v>
      </c>
      <c r="I867" t="b">
        <f t="shared" si="28"/>
        <v>1</v>
      </c>
    </row>
    <row r="868" spans="2:9">
      <c r="B868" t="s">
        <v>55</v>
      </c>
      <c r="C868" t="s">
        <v>189</v>
      </c>
      <c r="D868" t="s">
        <v>1009</v>
      </c>
      <c r="E868" t="str">
        <f t="shared" si="27"/>
        <v>Houston County</v>
      </c>
      <c r="F868" t="s">
        <v>92</v>
      </c>
      <c r="G868" t="str">
        <f>INDEX(StateCounties[],MATCH(D868,StateCounties[Texas],0),MATCH(B868,StateCounties[#Headers],0))</f>
        <v>Houston County</v>
      </c>
      <c r="I868" t="b">
        <f t="shared" si="28"/>
        <v>1</v>
      </c>
    </row>
    <row r="869" spans="2:9">
      <c r="B869" t="s">
        <v>55</v>
      </c>
      <c r="C869" t="s">
        <v>189</v>
      </c>
      <c r="D869" t="s">
        <v>1289</v>
      </c>
      <c r="E869" t="str">
        <f t="shared" si="27"/>
        <v>Hudspeth County</v>
      </c>
      <c r="F869" t="s">
        <v>799</v>
      </c>
      <c r="G869" t="str">
        <f>INDEX(StateCounties[],MATCH(D869,StateCounties[Texas],0),MATCH(B869,StateCounties[#Headers],0))</f>
        <v>Hudspeth County</v>
      </c>
      <c r="I869" t="b">
        <f t="shared" si="28"/>
        <v>1</v>
      </c>
    </row>
    <row r="870" spans="2:9">
      <c r="B870" t="s">
        <v>55</v>
      </c>
      <c r="C870" t="s">
        <v>189</v>
      </c>
      <c r="D870" t="s">
        <v>1295</v>
      </c>
      <c r="E870" t="str">
        <f t="shared" si="27"/>
        <v>Jack County</v>
      </c>
      <c r="F870" t="s">
        <v>800</v>
      </c>
      <c r="G870" t="str">
        <f>INDEX(StateCounties[],MATCH(D870,StateCounties[Texas],0),MATCH(B870,StateCounties[#Headers],0))</f>
        <v>Jack County</v>
      </c>
      <c r="I870" t="b">
        <f t="shared" si="28"/>
        <v>1</v>
      </c>
    </row>
    <row r="871" spans="2:9">
      <c r="B871" t="s">
        <v>55</v>
      </c>
      <c r="C871" t="s">
        <v>189</v>
      </c>
      <c r="D871" t="s">
        <v>984</v>
      </c>
      <c r="E871" t="str">
        <f t="shared" si="27"/>
        <v>Jackson County</v>
      </c>
      <c r="F871" t="s">
        <v>135</v>
      </c>
      <c r="G871" t="str">
        <f>INDEX(StateCounties[],MATCH(D871,StateCounties[Texas],0),MATCH(B871,StateCounties[#Headers],0))</f>
        <v>Jackson County</v>
      </c>
      <c r="I871" t="b">
        <f t="shared" si="28"/>
        <v>1</v>
      </c>
    </row>
    <row r="872" spans="2:9">
      <c r="B872" t="s">
        <v>55</v>
      </c>
      <c r="C872" t="s">
        <v>189</v>
      </c>
      <c r="D872" t="s">
        <v>989</v>
      </c>
      <c r="E872" t="str">
        <f t="shared" si="27"/>
        <v>Jasper County</v>
      </c>
      <c r="F872" t="s">
        <v>284</v>
      </c>
      <c r="G872" t="str">
        <f>INDEX(StateCounties[],MATCH(D872,StateCounties[Texas],0),MATCH(B872,StateCounties[#Headers],0))</f>
        <v>Jasper County</v>
      </c>
      <c r="I872" t="b">
        <f t="shared" si="28"/>
        <v>1</v>
      </c>
    </row>
    <row r="873" spans="2:9">
      <c r="B873" t="s">
        <v>55</v>
      </c>
      <c r="C873" t="s">
        <v>189</v>
      </c>
      <c r="D873" t="s">
        <v>1299</v>
      </c>
      <c r="E873" t="str">
        <f t="shared" ref="E873:E891" si="29">F873&amp; " County"</f>
        <v>Jim Hogg County</v>
      </c>
      <c r="F873" t="s">
        <v>801</v>
      </c>
      <c r="G873" t="str">
        <f>INDEX(StateCounties[],MATCH(D873,StateCounties[Texas],0),MATCH(B873,StateCounties[#Headers],0))</f>
        <v>Jim Hogg County</v>
      </c>
      <c r="I873" t="b">
        <f t="shared" si="28"/>
        <v>1</v>
      </c>
    </row>
    <row r="874" spans="2:9">
      <c r="B874" t="s">
        <v>55</v>
      </c>
      <c r="C874" t="s">
        <v>189</v>
      </c>
      <c r="D874" t="s">
        <v>1219</v>
      </c>
      <c r="E874" t="str">
        <f t="shared" si="29"/>
        <v>Jeff Davis County</v>
      </c>
      <c r="F874" t="s">
        <v>337</v>
      </c>
      <c r="G874" t="str">
        <f>INDEX(StateCounties[],MATCH(D874,StateCounties[Texas],0),MATCH(B874,StateCounties[#Headers],0))</f>
        <v>Jeff Davis County</v>
      </c>
      <c r="I874" t="b">
        <f t="shared" si="28"/>
        <v>1</v>
      </c>
    </row>
    <row r="875" spans="2:9">
      <c r="B875" t="s">
        <v>55</v>
      </c>
      <c r="C875" t="s">
        <v>189</v>
      </c>
      <c r="D875" t="s">
        <v>1303</v>
      </c>
      <c r="E875" t="str">
        <f t="shared" si="29"/>
        <v>Karnes County</v>
      </c>
      <c r="F875" t="s">
        <v>802</v>
      </c>
      <c r="G875" t="str">
        <f>INDEX(StateCounties[],MATCH(D875,StateCounties[Texas],0),MATCH(B875,StateCounties[#Headers],0))</f>
        <v>Karnes County</v>
      </c>
      <c r="I875" t="b">
        <f t="shared" si="28"/>
        <v>1</v>
      </c>
    </row>
    <row r="876" spans="2:9">
      <c r="B876" t="s">
        <v>55</v>
      </c>
      <c r="C876" t="s">
        <v>189</v>
      </c>
      <c r="D876" t="s">
        <v>1310</v>
      </c>
      <c r="E876" t="str">
        <f t="shared" si="29"/>
        <v>Kent County</v>
      </c>
      <c r="F876" t="s">
        <v>803</v>
      </c>
      <c r="G876" t="str">
        <f>INDEX(StateCounties[],MATCH(D876,StateCounties[Texas],0),MATCH(B876,StateCounties[#Headers],0))</f>
        <v>Kent County</v>
      </c>
      <c r="I876" t="b">
        <f t="shared" si="28"/>
        <v>1</v>
      </c>
    </row>
    <row r="877" spans="2:9">
      <c r="B877" t="s">
        <v>55</v>
      </c>
      <c r="C877" t="s">
        <v>189</v>
      </c>
      <c r="D877" t="s">
        <v>1313</v>
      </c>
      <c r="E877" t="str">
        <f t="shared" si="29"/>
        <v>Kimble County</v>
      </c>
      <c r="F877" t="s">
        <v>804</v>
      </c>
      <c r="G877" t="str">
        <f>INDEX(StateCounties[],MATCH(D877,StateCounties[Texas],0),MATCH(B877,StateCounties[#Headers],0))</f>
        <v>Kimble County</v>
      </c>
      <c r="I877" t="b">
        <f t="shared" si="28"/>
        <v>1</v>
      </c>
    </row>
    <row r="878" spans="2:9">
      <c r="B878" t="s">
        <v>55</v>
      </c>
      <c r="C878" t="s">
        <v>189</v>
      </c>
      <c r="D878" t="s">
        <v>1315</v>
      </c>
      <c r="E878" t="str">
        <f t="shared" si="29"/>
        <v>King County</v>
      </c>
      <c r="F878" t="s">
        <v>805</v>
      </c>
      <c r="G878" t="str">
        <f>INDEX(StateCounties[],MATCH(D878,StateCounties[Texas],0),MATCH(B878,StateCounties[#Headers],0))</f>
        <v>King County</v>
      </c>
      <c r="I878" t="b">
        <f t="shared" si="28"/>
        <v>1</v>
      </c>
    </row>
    <row r="879" spans="2:9">
      <c r="B879" t="s">
        <v>55</v>
      </c>
      <c r="C879" t="s">
        <v>189</v>
      </c>
      <c r="D879" t="s">
        <v>1317</v>
      </c>
      <c r="E879" t="str">
        <f t="shared" si="29"/>
        <v>Kinney County</v>
      </c>
      <c r="F879" t="s">
        <v>806</v>
      </c>
      <c r="G879" t="str">
        <f>INDEX(StateCounties[],MATCH(D879,StateCounties[Texas],0),MATCH(B879,StateCounties[#Headers],0))</f>
        <v>Kinney County</v>
      </c>
      <c r="I879" t="b">
        <f t="shared" si="28"/>
        <v>1</v>
      </c>
    </row>
    <row r="880" spans="2:9">
      <c r="B880" t="s">
        <v>55</v>
      </c>
      <c r="C880" t="s">
        <v>189</v>
      </c>
      <c r="D880" t="s">
        <v>1070</v>
      </c>
      <c r="E880" t="str">
        <f t="shared" si="29"/>
        <v>Knox County</v>
      </c>
      <c r="F880" t="s">
        <v>580</v>
      </c>
      <c r="G880" t="str">
        <f>INDEX(StateCounties[],MATCH(D880,StateCounties[Texas],0),MATCH(B880,StateCounties[#Headers],0))</f>
        <v>Knox County</v>
      </c>
      <c r="I880" t="b">
        <f t="shared" si="28"/>
        <v>1</v>
      </c>
    </row>
    <row r="881" spans="2:9">
      <c r="B881" t="s">
        <v>55</v>
      </c>
      <c r="C881" t="s">
        <v>189</v>
      </c>
      <c r="D881" t="s">
        <v>1327</v>
      </c>
      <c r="E881" t="str">
        <f t="shared" si="29"/>
        <v>La Salle County</v>
      </c>
      <c r="F881" t="s">
        <v>807</v>
      </c>
      <c r="G881" t="str">
        <f>INDEX(StateCounties[],MATCH(D881,StateCounties[Texas],0),MATCH(B881,StateCounties[#Headers],0))</f>
        <v>La Salle County</v>
      </c>
      <c r="I881" t="b">
        <f t="shared" si="28"/>
        <v>1</v>
      </c>
    </row>
    <row r="882" spans="2:9">
      <c r="B882" t="s">
        <v>55</v>
      </c>
      <c r="C882" t="s">
        <v>189</v>
      </c>
      <c r="D882" t="s">
        <v>1323</v>
      </c>
      <c r="E882" t="str">
        <f t="shared" si="29"/>
        <v>Lamb County</v>
      </c>
      <c r="F882" t="s">
        <v>808</v>
      </c>
      <c r="G882" t="str">
        <f>INDEX(StateCounties[],MATCH(D882,StateCounties[Texas],0),MATCH(B882,StateCounties[#Headers],0))</f>
        <v>Lamb County</v>
      </c>
      <c r="I882" t="b">
        <f t="shared" si="28"/>
        <v>1</v>
      </c>
    </row>
    <row r="883" spans="2:9">
      <c r="B883" t="s">
        <v>55</v>
      </c>
      <c r="C883" t="s">
        <v>189</v>
      </c>
      <c r="D883" t="s">
        <v>1329</v>
      </c>
      <c r="E883" t="str">
        <f t="shared" si="29"/>
        <v>Lavaca County</v>
      </c>
      <c r="F883" t="s">
        <v>809</v>
      </c>
      <c r="G883" t="str">
        <f>INDEX(StateCounties[],MATCH(D883,StateCounties[Texas],0),MATCH(B883,StateCounties[#Headers],0))</f>
        <v>Lavaca County</v>
      </c>
      <c r="I883" t="b">
        <f t="shared" si="28"/>
        <v>1</v>
      </c>
    </row>
    <row r="884" spans="2:9">
      <c r="B884" t="s">
        <v>55</v>
      </c>
      <c r="C884" t="s">
        <v>189</v>
      </c>
      <c r="D884" t="s">
        <v>1010</v>
      </c>
      <c r="E884" t="str">
        <f t="shared" si="29"/>
        <v>Lee County</v>
      </c>
      <c r="F884" t="s">
        <v>75</v>
      </c>
      <c r="G884" t="str">
        <f>INDEX(StateCounties[],MATCH(D884,StateCounties[Texas],0),MATCH(B884,StateCounties[#Headers],0))</f>
        <v>Lee County</v>
      </c>
      <c r="I884" t="b">
        <f t="shared" si="28"/>
        <v>1</v>
      </c>
    </row>
    <row r="885" spans="2:9">
      <c r="B885" t="s">
        <v>55</v>
      </c>
      <c r="C885" t="s">
        <v>189</v>
      </c>
      <c r="D885" t="s">
        <v>1015</v>
      </c>
      <c r="E885" t="str">
        <f t="shared" si="29"/>
        <v>Leon County</v>
      </c>
      <c r="F885" t="s">
        <v>207</v>
      </c>
      <c r="G885" t="str">
        <f>INDEX(StateCounties[],MATCH(D885,StateCounties[Texas],0),MATCH(B885,StateCounties[#Headers],0))</f>
        <v>Leon County</v>
      </c>
      <c r="I885" t="b">
        <f t="shared" si="28"/>
        <v>1</v>
      </c>
    </row>
    <row r="886" spans="2:9">
      <c r="B886" t="s">
        <v>55</v>
      </c>
      <c r="C886" t="s">
        <v>189</v>
      </c>
      <c r="D886" t="s">
        <v>1043</v>
      </c>
      <c r="E886" t="str">
        <f t="shared" si="29"/>
        <v>Limestone County</v>
      </c>
      <c r="F886" t="s">
        <v>99</v>
      </c>
      <c r="G886" t="str">
        <f>INDEX(StateCounties[],MATCH(D886,StateCounties[Texas],0),MATCH(B886,StateCounties[#Headers],0))</f>
        <v>Limestone County</v>
      </c>
      <c r="I886" t="b">
        <f t="shared" si="28"/>
        <v>1</v>
      </c>
    </row>
    <row r="887" spans="2:9">
      <c r="B887" t="s">
        <v>55</v>
      </c>
      <c r="C887" t="s">
        <v>189</v>
      </c>
      <c r="D887" t="s">
        <v>1332</v>
      </c>
      <c r="E887" t="str">
        <f t="shared" si="29"/>
        <v>Lipscomb County</v>
      </c>
      <c r="F887" t="s">
        <v>810</v>
      </c>
      <c r="G887" t="str">
        <f>INDEX(StateCounties[],MATCH(D887,StateCounties[Texas],0),MATCH(B887,StateCounties[#Headers],0))</f>
        <v>Lipscomb County</v>
      </c>
      <c r="I887" t="b">
        <f t="shared" si="28"/>
        <v>1</v>
      </c>
    </row>
    <row r="888" spans="2:9">
      <c r="B888" t="s">
        <v>55</v>
      </c>
      <c r="C888" t="s">
        <v>189</v>
      </c>
      <c r="D888" t="s">
        <v>1333</v>
      </c>
      <c r="E888" t="str">
        <f t="shared" si="29"/>
        <v>Live Oak County</v>
      </c>
      <c r="F888" t="s">
        <v>811</v>
      </c>
      <c r="G888" t="str">
        <f>INDEX(StateCounties[],MATCH(D888,StateCounties[Texas],0),MATCH(B888,StateCounties[#Headers],0))</f>
        <v>Live Oak County</v>
      </c>
      <c r="I888" t="b">
        <f t="shared" si="28"/>
        <v>1</v>
      </c>
    </row>
    <row r="889" spans="2:9">
      <c r="B889" t="s">
        <v>55</v>
      </c>
      <c r="C889" t="s">
        <v>189</v>
      </c>
      <c r="D889" t="s">
        <v>1334</v>
      </c>
      <c r="E889" t="str">
        <f t="shared" si="29"/>
        <v>Llano County</v>
      </c>
      <c r="F889" t="s">
        <v>812</v>
      </c>
      <c r="G889" t="str">
        <f>INDEX(StateCounties[],MATCH(D889,StateCounties[Texas],0),MATCH(B889,StateCounties[#Headers],0))</f>
        <v>Llano County</v>
      </c>
      <c r="I889" t="b">
        <f t="shared" si="28"/>
        <v>1</v>
      </c>
    </row>
    <row r="890" spans="2:9">
      <c r="B890" t="s">
        <v>55</v>
      </c>
      <c r="C890" t="s">
        <v>189</v>
      </c>
      <c r="D890" t="s">
        <v>1335</v>
      </c>
      <c r="E890" t="str">
        <f t="shared" si="29"/>
        <v>Loving County</v>
      </c>
      <c r="F890" t="s">
        <v>813</v>
      </c>
      <c r="G890" t="str">
        <f>INDEX(StateCounties[],MATCH(D890,StateCounties[Texas],0),MATCH(B890,StateCounties[#Headers],0))</f>
        <v>Loving County</v>
      </c>
      <c r="I890" t="b">
        <f t="shared" si="28"/>
        <v>1</v>
      </c>
    </row>
    <row r="891" spans="2:9">
      <c r="B891" t="s">
        <v>55</v>
      </c>
      <c r="C891" t="s">
        <v>189</v>
      </c>
      <c r="D891" t="s">
        <v>1338</v>
      </c>
      <c r="E891" t="str">
        <f t="shared" si="29"/>
        <v>Lynn County</v>
      </c>
      <c r="F891" t="s">
        <v>814</v>
      </c>
      <c r="G891" t="str">
        <f>INDEX(StateCounties[],MATCH(D891,StateCounties[Texas],0),MATCH(B891,StateCounties[#Headers],0))</f>
        <v>Lynn County</v>
      </c>
      <c r="I891" t="b">
        <f t="shared" si="28"/>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58E2B-4A12-4A04-939E-D1450606970E}">
  <dimension ref="B5:V180"/>
  <sheetViews>
    <sheetView workbookViewId="0"/>
  </sheetViews>
  <sheetFormatPr defaultRowHeight="15"/>
  <cols>
    <col min="3" max="3" width="16.28515625" customWidth="1"/>
    <col min="4" max="4" width="13.7109375" bestFit="1" customWidth="1"/>
    <col min="5" max="5" width="3.5703125" bestFit="1" customWidth="1"/>
    <col min="6" max="7" width="10.140625" bestFit="1" customWidth="1"/>
    <col min="8" max="8" width="16.28515625" bestFit="1" customWidth="1"/>
    <col min="9" max="9" width="20.5703125" bestFit="1" customWidth="1"/>
    <col min="11" max="11" width="11.5703125" bestFit="1" customWidth="1"/>
    <col min="12" max="12" width="11.7109375" bestFit="1" customWidth="1"/>
  </cols>
  <sheetData>
    <row r="5" spans="2:22">
      <c r="B5" s="22" t="s">
        <v>1602</v>
      </c>
    </row>
    <row r="6" spans="2:22">
      <c r="C6" t="s">
        <v>1601</v>
      </c>
    </row>
    <row r="7" spans="2:22">
      <c r="C7" t="s">
        <v>0</v>
      </c>
      <c r="D7" t="s">
        <v>1427</v>
      </c>
      <c r="E7" t="s">
        <v>1428</v>
      </c>
      <c r="F7" t="s">
        <v>1429</v>
      </c>
      <c r="G7" t="s">
        <v>1430</v>
      </c>
      <c r="H7" t="s">
        <v>1431</v>
      </c>
      <c r="I7" t="s">
        <v>1432</v>
      </c>
      <c r="J7">
        <v>2018</v>
      </c>
      <c r="K7" t="s">
        <v>1603</v>
      </c>
      <c r="L7" t="s">
        <v>1604</v>
      </c>
      <c r="M7" t="s">
        <v>1606</v>
      </c>
      <c r="N7" t="s">
        <v>1605</v>
      </c>
      <c r="O7">
        <v>2019</v>
      </c>
      <c r="P7" t="s">
        <v>1607</v>
      </c>
      <c r="Q7" t="s">
        <v>1608</v>
      </c>
      <c r="R7" t="s">
        <v>1610</v>
      </c>
      <c r="S7" t="s">
        <v>1609</v>
      </c>
      <c r="T7">
        <v>2020</v>
      </c>
      <c r="U7" t="s">
        <v>1611</v>
      </c>
      <c r="V7" t="s">
        <v>1612</v>
      </c>
    </row>
    <row r="8" spans="2:22">
      <c r="C8" t="s">
        <v>2</v>
      </c>
      <c r="D8" t="s">
        <v>72</v>
      </c>
      <c r="E8">
        <v>1</v>
      </c>
      <c r="F8" t="s">
        <v>1433</v>
      </c>
      <c r="G8" t="s">
        <v>1434</v>
      </c>
      <c r="H8">
        <v>9</v>
      </c>
      <c r="I8" s="23">
        <v>417.6</v>
      </c>
      <c r="J8">
        <v>459.81</v>
      </c>
      <c r="K8" s="23">
        <v>783.62</v>
      </c>
      <c r="L8" s="23">
        <f>K8/J8</f>
        <v>1.7042256584241318</v>
      </c>
      <c r="M8">
        <v>8</v>
      </c>
      <c r="N8">
        <v>400.58</v>
      </c>
      <c r="O8">
        <v>435.84</v>
      </c>
      <c r="P8">
        <v>742.76</v>
      </c>
      <c r="Q8" s="23">
        <f>P8/O8</f>
        <v>1.7042033773861969</v>
      </c>
      <c r="R8">
        <v>10</v>
      </c>
      <c r="S8">
        <v>328.59</v>
      </c>
      <c r="T8">
        <v>409.94</v>
      </c>
      <c r="U8">
        <v>698.62</v>
      </c>
      <c r="V8" s="23">
        <f>U8/T8</f>
        <v>1.704200614724106</v>
      </c>
    </row>
    <row r="9" spans="2:22">
      <c r="C9" t="s">
        <v>2</v>
      </c>
      <c r="D9" t="s">
        <v>74</v>
      </c>
      <c r="E9">
        <v>2</v>
      </c>
      <c r="F9" t="s">
        <v>1433</v>
      </c>
      <c r="G9" t="s">
        <v>1435</v>
      </c>
      <c r="H9">
        <v>10</v>
      </c>
      <c r="I9" s="23">
        <v>426.49</v>
      </c>
      <c r="J9">
        <v>469.6</v>
      </c>
      <c r="K9" s="23">
        <v>800.29</v>
      </c>
      <c r="L9" s="23">
        <f>K9/J9</f>
        <v>1.7041950596252129</v>
      </c>
      <c r="M9">
        <v>8</v>
      </c>
      <c r="N9">
        <v>443.65</v>
      </c>
      <c r="O9">
        <v>482.7</v>
      </c>
      <c r="P9">
        <v>822.62</v>
      </c>
      <c r="Q9" s="23">
        <f t="shared" ref="Q9:Q72" si="0">P9/O9</f>
        <v>1.7042055106691527</v>
      </c>
      <c r="R9">
        <v>10</v>
      </c>
      <c r="S9">
        <v>363.92</v>
      </c>
      <c r="T9">
        <v>454.02</v>
      </c>
      <c r="U9">
        <v>773.75</v>
      </c>
      <c r="V9" s="23">
        <f t="shared" ref="V9:V72" si="1">U9/T9</f>
        <v>1.7042200784106427</v>
      </c>
    </row>
    <row r="10" spans="2:22">
      <c r="C10" t="s">
        <v>2</v>
      </c>
      <c r="D10" t="s">
        <v>76</v>
      </c>
      <c r="E10">
        <v>3</v>
      </c>
      <c r="F10" t="s">
        <v>1433</v>
      </c>
      <c r="G10" t="s">
        <v>1436</v>
      </c>
      <c r="H10">
        <v>22</v>
      </c>
      <c r="I10" s="23">
        <v>383.15</v>
      </c>
      <c r="J10">
        <v>447.46</v>
      </c>
      <c r="K10" s="23">
        <v>762.56</v>
      </c>
      <c r="L10" s="23">
        <f>K10/J10</f>
        <v>1.7041970231976042</v>
      </c>
      <c r="M10">
        <v>12</v>
      </c>
      <c r="N10">
        <v>408.85</v>
      </c>
      <c r="O10">
        <v>430.73</v>
      </c>
      <c r="P10">
        <v>734.05</v>
      </c>
      <c r="Q10" s="23">
        <f t="shared" si="0"/>
        <v>1.7041998467717594</v>
      </c>
      <c r="R10">
        <v>22</v>
      </c>
      <c r="S10">
        <v>353.32</v>
      </c>
      <c r="T10">
        <v>430.78</v>
      </c>
      <c r="U10">
        <v>734.14</v>
      </c>
      <c r="V10" s="23">
        <f t="shared" si="1"/>
        <v>1.7042109661544176</v>
      </c>
    </row>
    <row r="11" spans="2:22">
      <c r="C11" t="s">
        <v>2</v>
      </c>
      <c r="D11" t="s">
        <v>84</v>
      </c>
      <c r="E11">
        <v>4</v>
      </c>
      <c r="F11" t="s">
        <v>1433</v>
      </c>
      <c r="G11" t="s">
        <v>1437</v>
      </c>
      <c r="H11">
        <v>10</v>
      </c>
      <c r="I11" s="23">
        <v>426.49</v>
      </c>
      <c r="J11">
        <v>469.6</v>
      </c>
      <c r="K11" s="23">
        <v>800.29</v>
      </c>
      <c r="L11" s="23">
        <f>K11/J11</f>
        <v>1.7041950596252129</v>
      </c>
      <c r="M11">
        <v>8</v>
      </c>
      <c r="N11">
        <v>443.65</v>
      </c>
      <c r="O11">
        <v>482.7</v>
      </c>
      <c r="P11">
        <v>822.62</v>
      </c>
      <c r="Q11" s="23">
        <f t="shared" si="0"/>
        <v>1.7042055106691527</v>
      </c>
      <c r="R11">
        <v>10</v>
      </c>
      <c r="S11">
        <v>363.92</v>
      </c>
      <c r="T11">
        <v>454.02</v>
      </c>
      <c r="U11">
        <v>773.75</v>
      </c>
      <c r="V11" s="23">
        <f t="shared" si="1"/>
        <v>1.7042200784106427</v>
      </c>
    </row>
    <row r="12" spans="2:22">
      <c r="C12" t="s">
        <v>2</v>
      </c>
      <c r="D12" t="s">
        <v>86</v>
      </c>
      <c r="E12">
        <v>5</v>
      </c>
      <c r="F12" t="s">
        <v>1433</v>
      </c>
      <c r="G12" t="s">
        <v>1438</v>
      </c>
      <c r="H12">
        <v>10</v>
      </c>
      <c r="I12" s="23">
        <v>417.6</v>
      </c>
      <c r="J12">
        <v>459.81</v>
      </c>
      <c r="K12" s="23">
        <v>783.62</v>
      </c>
      <c r="L12" s="23">
        <f t="shared" ref="L12:L75" si="2">K12/J12</f>
        <v>1.7042256584241318</v>
      </c>
      <c r="M12">
        <v>8</v>
      </c>
      <c r="N12">
        <v>400.58</v>
      </c>
      <c r="O12">
        <v>435.84</v>
      </c>
      <c r="P12">
        <v>742.76</v>
      </c>
      <c r="Q12" s="23">
        <f t="shared" si="0"/>
        <v>1.7042033773861969</v>
      </c>
      <c r="R12">
        <v>10</v>
      </c>
      <c r="S12">
        <v>328.59</v>
      </c>
      <c r="T12">
        <v>409.94</v>
      </c>
      <c r="U12">
        <v>698.62</v>
      </c>
      <c r="V12" s="23">
        <f t="shared" si="1"/>
        <v>1.704200614724106</v>
      </c>
    </row>
    <row r="13" spans="2:22">
      <c r="C13" t="s">
        <v>2</v>
      </c>
      <c r="D13" t="s">
        <v>89</v>
      </c>
      <c r="E13">
        <v>6</v>
      </c>
      <c r="F13" t="s">
        <v>1433</v>
      </c>
      <c r="G13" t="s">
        <v>1439</v>
      </c>
      <c r="H13">
        <v>10</v>
      </c>
      <c r="I13" s="23">
        <v>426.49</v>
      </c>
      <c r="J13">
        <v>469.6</v>
      </c>
      <c r="K13" s="23">
        <v>800.29</v>
      </c>
      <c r="L13" s="23">
        <f t="shared" si="2"/>
        <v>1.7041950596252129</v>
      </c>
      <c r="M13">
        <v>8</v>
      </c>
      <c r="N13">
        <v>400.58</v>
      </c>
      <c r="O13">
        <v>435.84</v>
      </c>
      <c r="P13">
        <v>742.76</v>
      </c>
      <c r="Q13" s="23">
        <f t="shared" si="0"/>
        <v>1.7042033773861969</v>
      </c>
      <c r="R13">
        <v>10</v>
      </c>
      <c r="S13">
        <v>328.59</v>
      </c>
      <c r="T13">
        <v>409.94</v>
      </c>
      <c r="U13">
        <v>698.62</v>
      </c>
      <c r="V13" s="23">
        <f t="shared" si="1"/>
        <v>1.704200614724106</v>
      </c>
    </row>
    <row r="14" spans="2:22">
      <c r="C14" t="s">
        <v>2</v>
      </c>
      <c r="D14" t="s">
        <v>93</v>
      </c>
      <c r="E14">
        <v>7</v>
      </c>
      <c r="F14" t="s">
        <v>1433</v>
      </c>
      <c r="G14" t="s">
        <v>1440</v>
      </c>
      <c r="H14">
        <v>10</v>
      </c>
      <c r="I14" s="23">
        <v>386.5</v>
      </c>
      <c r="J14">
        <v>425.57</v>
      </c>
      <c r="K14" s="23">
        <v>725.26</v>
      </c>
      <c r="L14" s="23">
        <f t="shared" si="2"/>
        <v>1.7042084733416358</v>
      </c>
      <c r="M14">
        <v>8</v>
      </c>
      <c r="N14">
        <v>400.58</v>
      </c>
      <c r="O14">
        <v>435.84</v>
      </c>
      <c r="P14">
        <v>742.76</v>
      </c>
      <c r="Q14" s="23">
        <f t="shared" si="0"/>
        <v>1.7042033773861969</v>
      </c>
      <c r="R14">
        <v>10</v>
      </c>
      <c r="S14">
        <v>328.59</v>
      </c>
      <c r="T14">
        <v>409.94</v>
      </c>
      <c r="U14">
        <v>698.62</v>
      </c>
      <c r="V14" s="23">
        <f t="shared" si="1"/>
        <v>1.704200614724106</v>
      </c>
    </row>
    <row r="15" spans="2:22">
      <c r="C15" t="s">
        <v>2</v>
      </c>
      <c r="D15" t="s">
        <v>96</v>
      </c>
      <c r="E15">
        <v>8</v>
      </c>
      <c r="F15" t="s">
        <v>1433</v>
      </c>
      <c r="G15" t="s">
        <v>1441</v>
      </c>
      <c r="H15">
        <v>10</v>
      </c>
      <c r="I15" s="23">
        <v>417.6</v>
      </c>
      <c r="J15">
        <v>459.81</v>
      </c>
      <c r="K15" s="23">
        <v>783.62</v>
      </c>
      <c r="L15" s="23">
        <f t="shared" si="2"/>
        <v>1.7042256584241318</v>
      </c>
      <c r="M15">
        <v>8</v>
      </c>
      <c r="N15">
        <v>400.58</v>
      </c>
      <c r="O15">
        <v>435.84</v>
      </c>
      <c r="P15">
        <v>742.76</v>
      </c>
      <c r="Q15" s="23">
        <f t="shared" si="0"/>
        <v>1.7042033773861969</v>
      </c>
      <c r="R15">
        <v>10</v>
      </c>
      <c r="S15">
        <v>328.59</v>
      </c>
      <c r="T15">
        <v>409.94</v>
      </c>
      <c r="U15">
        <v>698.62</v>
      </c>
      <c r="V15" s="23">
        <f t="shared" si="1"/>
        <v>1.704200614724106</v>
      </c>
    </row>
    <row r="16" spans="2:22">
      <c r="C16" t="s">
        <v>2</v>
      </c>
      <c r="D16" t="s">
        <v>98</v>
      </c>
      <c r="E16">
        <v>9</v>
      </c>
      <c r="F16" t="s">
        <v>1433</v>
      </c>
      <c r="G16" t="s">
        <v>1442</v>
      </c>
      <c r="H16">
        <v>10</v>
      </c>
      <c r="I16" s="23">
        <v>455.36</v>
      </c>
      <c r="J16">
        <v>501.39</v>
      </c>
      <c r="K16" s="23">
        <v>854.47</v>
      </c>
      <c r="L16" s="23">
        <f t="shared" si="2"/>
        <v>1.7042023175571912</v>
      </c>
      <c r="M16">
        <v>8</v>
      </c>
      <c r="N16">
        <v>447.96</v>
      </c>
      <c r="O16">
        <v>487.39</v>
      </c>
      <c r="P16">
        <v>830.61</v>
      </c>
      <c r="Q16" s="23">
        <f t="shared" si="0"/>
        <v>1.7041999220336896</v>
      </c>
      <c r="R16">
        <v>10</v>
      </c>
      <c r="S16">
        <v>367.46</v>
      </c>
      <c r="T16">
        <v>458.43</v>
      </c>
      <c r="U16">
        <v>781.26</v>
      </c>
      <c r="V16" s="23">
        <f t="shared" si="1"/>
        <v>1.7042078398010601</v>
      </c>
    </row>
    <row r="17" spans="3:22">
      <c r="C17" t="s">
        <v>2</v>
      </c>
      <c r="D17" t="s">
        <v>101</v>
      </c>
      <c r="E17">
        <v>10</v>
      </c>
      <c r="F17" t="s">
        <v>1433</v>
      </c>
      <c r="G17" t="s">
        <v>1443</v>
      </c>
      <c r="H17">
        <v>10</v>
      </c>
      <c r="I17" s="23">
        <v>426.49</v>
      </c>
      <c r="J17">
        <v>469.6</v>
      </c>
      <c r="K17" s="23">
        <v>800.29</v>
      </c>
      <c r="L17" s="23">
        <f t="shared" si="2"/>
        <v>1.7041950596252129</v>
      </c>
      <c r="M17">
        <v>8</v>
      </c>
      <c r="N17">
        <v>413.5</v>
      </c>
      <c r="O17">
        <v>449.9</v>
      </c>
      <c r="P17">
        <v>766.72</v>
      </c>
      <c r="Q17" s="23">
        <f t="shared" si="0"/>
        <v>1.7042009335407871</v>
      </c>
      <c r="R17">
        <v>10</v>
      </c>
      <c r="S17">
        <v>339.19</v>
      </c>
      <c r="T17">
        <v>423.17</v>
      </c>
      <c r="U17">
        <v>721.16</v>
      </c>
      <c r="V17" s="23">
        <f t="shared" si="1"/>
        <v>1.7041850792825577</v>
      </c>
    </row>
    <row r="18" spans="3:22">
      <c r="C18" t="s">
        <v>2</v>
      </c>
      <c r="D18" t="s">
        <v>103</v>
      </c>
      <c r="E18">
        <v>11</v>
      </c>
      <c r="F18" t="s">
        <v>1433</v>
      </c>
      <c r="G18" t="s">
        <v>1444</v>
      </c>
      <c r="H18">
        <v>10</v>
      </c>
      <c r="I18" s="23">
        <v>417.6</v>
      </c>
      <c r="J18">
        <v>459.81</v>
      </c>
      <c r="K18" s="23">
        <v>783.62</v>
      </c>
      <c r="L18" s="23">
        <f t="shared" si="2"/>
        <v>1.7042256584241318</v>
      </c>
      <c r="M18">
        <v>8</v>
      </c>
      <c r="N18">
        <v>430.73</v>
      </c>
      <c r="O18">
        <v>468.64</v>
      </c>
      <c r="P18">
        <v>798.66</v>
      </c>
      <c r="Q18" s="23">
        <f t="shared" si="0"/>
        <v>1.7042079207920793</v>
      </c>
      <c r="R18">
        <v>10</v>
      </c>
      <c r="S18">
        <v>353.32</v>
      </c>
      <c r="T18">
        <v>440.8</v>
      </c>
      <c r="U18">
        <v>751.21</v>
      </c>
      <c r="V18" s="23">
        <f t="shared" si="1"/>
        <v>1.7041969147005445</v>
      </c>
    </row>
    <row r="19" spans="3:22">
      <c r="C19" t="s">
        <v>2</v>
      </c>
      <c r="D19" t="s">
        <v>108</v>
      </c>
      <c r="E19">
        <v>12</v>
      </c>
      <c r="F19" t="s">
        <v>1433</v>
      </c>
      <c r="G19" t="s">
        <v>1445</v>
      </c>
      <c r="H19">
        <v>10</v>
      </c>
      <c r="I19" s="23">
        <v>386.5</v>
      </c>
      <c r="J19">
        <v>425.57</v>
      </c>
      <c r="K19" s="23">
        <v>725.26</v>
      </c>
      <c r="L19" s="23">
        <f t="shared" si="2"/>
        <v>1.7042084733416358</v>
      </c>
      <c r="M19">
        <v>8</v>
      </c>
      <c r="N19">
        <v>391.96</v>
      </c>
      <c r="O19">
        <v>426.47</v>
      </c>
      <c r="P19">
        <v>726.78</v>
      </c>
      <c r="Q19" s="23">
        <f t="shared" si="0"/>
        <v>1.7041761436912326</v>
      </c>
      <c r="R19">
        <v>10</v>
      </c>
      <c r="S19">
        <v>321.52</v>
      </c>
      <c r="T19">
        <v>401.13</v>
      </c>
      <c r="U19">
        <v>683.6</v>
      </c>
      <c r="V19" s="23">
        <f t="shared" si="1"/>
        <v>1.7041856754668063</v>
      </c>
    </row>
    <row r="20" spans="3:22">
      <c r="C20" t="s">
        <v>2</v>
      </c>
      <c r="D20" t="s">
        <v>112</v>
      </c>
      <c r="E20">
        <v>13</v>
      </c>
      <c r="F20" t="s">
        <v>1433</v>
      </c>
      <c r="G20" t="s">
        <v>1446</v>
      </c>
      <c r="H20">
        <v>10</v>
      </c>
      <c r="I20" s="23">
        <v>404.27</v>
      </c>
      <c r="J20">
        <v>445.14</v>
      </c>
      <c r="K20" s="23">
        <v>758.61</v>
      </c>
      <c r="L20" s="23">
        <f t="shared" si="2"/>
        <v>1.7042054185200162</v>
      </c>
      <c r="M20">
        <v>8</v>
      </c>
      <c r="N20">
        <v>404.88</v>
      </c>
      <c r="O20">
        <v>440.53</v>
      </c>
      <c r="P20">
        <v>750.74</v>
      </c>
      <c r="Q20" s="23">
        <f t="shared" si="0"/>
        <v>1.7041745170589973</v>
      </c>
      <c r="R20">
        <v>10</v>
      </c>
      <c r="S20">
        <v>332.12</v>
      </c>
      <c r="T20">
        <v>414.35</v>
      </c>
      <c r="U20">
        <v>706.14</v>
      </c>
      <c r="V20" s="23">
        <f t="shared" si="1"/>
        <v>1.7042114154700132</v>
      </c>
    </row>
    <row r="21" spans="3:22">
      <c r="C21" t="s">
        <v>15</v>
      </c>
      <c r="D21" t="s">
        <v>72</v>
      </c>
      <c r="E21">
        <v>1</v>
      </c>
      <c r="F21" t="s">
        <v>1447</v>
      </c>
      <c r="G21" t="s">
        <v>1448</v>
      </c>
      <c r="H21">
        <v>104</v>
      </c>
      <c r="I21" s="23">
        <v>307.13</v>
      </c>
      <c r="J21">
        <v>379.83</v>
      </c>
      <c r="K21" s="23">
        <v>647.29999999999995</v>
      </c>
      <c r="L21" s="23">
        <f t="shared" si="2"/>
        <v>1.7041834504910092</v>
      </c>
      <c r="M21">
        <v>96</v>
      </c>
      <c r="N21">
        <v>403.86</v>
      </c>
      <c r="O21">
        <v>442.03</v>
      </c>
      <c r="P21">
        <v>753.3</v>
      </c>
      <c r="Q21" s="23">
        <f t="shared" si="0"/>
        <v>1.7041829740062893</v>
      </c>
      <c r="R21">
        <v>104</v>
      </c>
      <c r="S21">
        <v>309.33</v>
      </c>
      <c r="T21">
        <v>324.73</v>
      </c>
      <c r="U21">
        <v>553.41</v>
      </c>
      <c r="V21" s="23">
        <f t="shared" si="1"/>
        <v>1.7042158100575862</v>
      </c>
    </row>
    <row r="22" spans="3:22">
      <c r="C22" t="s">
        <v>15</v>
      </c>
      <c r="D22" t="s">
        <v>74</v>
      </c>
      <c r="E22">
        <v>2</v>
      </c>
      <c r="F22" t="s">
        <v>1447</v>
      </c>
      <c r="G22" t="s">
        <v>1449</v>
      </c>
      <c r="H22">
        <v>52</v>
      </c>
      <c r="I22" s="23">
        <v>319.85000000000002</v>
      </c>
      <c r="J22">
        <v>402.34</v>
      </c>
      <c r="K22" s="23">
        <v>685.66</v>
      </c>
      <c r="L22" s="23">
        <f t="shared" si="2"/>
        <v>1.7041805438186608</v>
      </c>
      <c r="M22">
        <v>48</v>
      </c>
      <c r="N22">
        <v>395.03</v>
      </c>
      <c r="O22">
        <v>425.48</v>
      </c>
      <c r="P22">
        <v>725.1</v>
      </c>
      <c r="Q22" s="23">
        <f t="shared" si="0"/>
        <v>1.7041929115352072</v>
      </c>
      <c r="R22">
        <v>52</v>
      </c>
      <c r="S22">
        <v>393.09</v>
      </c>
      <c r="T22">
        <v>399.78</v>
      </c>
      <c r="U22">
        <v>681.31</v>
      </c>
      <c r="V22" s="23">
        <f t="shared" si="1"/>
        <v>1.7042123167742258</v>
      </c>
    </row>
    <row r="23" spans="3:22">
      <c r="C23" t="s">
        <v>15</v>
      </c>
      <c r="D23" t="s">
        <v>76</v>
      </c>
      <c r="E23">
        <v>3</v>
      </c>
      <c r="F23" t="s">
        <v>1447</v>
      </c>
      <c r="G23" t="s">
        <v>1450</v>
      </c>
      <c r="H23">
        <v>52</v>
      </c>
      <c r="I23" s="23">
        <v>276.3</v>
      </c>
      <c r="J23">
        <v>378.09</v>
      </c>
      <c r="K23" s="23">
        <v>644.34</v>
      </c>
      <c r="L23" s="23">
        <f t="shared" si="2"/>
        <v>1.7041974133142905</v>
      </c>
      <c r="M23">
        <v>48</v>
      </c>
      <c r="N23">
        <v>338.66</v>
      </c>
      <c r="O23">
        <v>364.76</v>
      </c>
      <c r="P23">
        <v>621.62</v>
      </c>
      <c r="Q23" s="23">
        <f t="shared" si="0"/>
        <v>1.7041890558175239</v>
      </c>
      <c r="R23">
        <v>52</v>
      </c>
      <c r="S23">
        <v>338.7</v>
      </c>
      <c r="T23">
        <v>362.61</v>
      </c>
      <c r="U23">
        <v>617.96</v>
      </c>
      <c r="V23" s="23">
        <f t="shared" si="1"/>
        <v>1.7042001047957862</v>
      </c>
    </row>
    <row r="24" spans="3:22">
      <c r="C24" t="s">
        <v>15</v>
      </c>
      <c r="D24" t="s">
        <v>84</v>
      </c>
      <c r="E24">
        <v>4</v>
      </c>
      <c r="F24" t="s">
        <v>1447</v>
      </c>
      <c r="G24" t="s">
        <v>1451</v>
      </c>
      <c r="H24">
        <v>36</v>
      </c>
      <c r="I24" s="23">
        <v>344.71</v>
      </c>
      <c r="J24">
        <v>466.62</v>
      </c>
      <c r="K24" s="23">
        <v>777.39</v>
      </c>
      <c r="L24" s="23">
        <f t="shared" si="2"/>
        <v>1.6660023145171658</v>
      </c>
      <c r="M24">
        <v>32</v>
      </c>
      <c r="N24">
        <v>429.18</v>
      </c>
      <c r="O24">
        <v>485.34</v>
      </c>
      <c r="P24">
        <v>827.11</v>
      </c>
      <c r="Q24" s="23">
        <f t="shared" si="0"/>
        <v>1.7041867556764332</v>
      </c>
      <c r="R24">
        <v>36</v>
      </c>
      <c r="S24">
        <v>365.11</v>
      </c>
      <c r="T24">
        <v>384.78</v>
      </c>
      <c r="U24">
        <v>655.75</v>
      </c>
      <c r="V24" s="23">
        <f t="shared" si="1"/>
        <v>1.7042205935859454</v>
      </c>
    </row>
    <row r="25" spans="3:22">
      <c r="C25" t="s">
        <v>15</v>
      </c>
      <c r="D25" t="s">
        <v>86</v>
      </c>
      <c r="E25">
        <v>5</v>
      </c>
      <c r="F25" t="s">
        <v>1447</v>
      </c>
      <c r="G25" t="s">
        <v>1452</v>
      </c>
      <c r="H25">
        <v>162</v>
      </c>
      <c r="I25" s="23">
        <v>290.22000000000003</v>
      </c>
      <c r="J25">
        <v>365.07</v>
      </c>
      <c r="K25" s="23">
        <v>622.15</v>
      </c>
      <c r="L25" s="23">
        <f t="shared" si="2"/>
        <v>1.7041937162735914</v>
      </c>
      <c r="M25">
        <v>116</v>
      </c>
      <c r="N25">
        <v>352</v>
      </c>
      <c r="O25">
        <v>352.47</v>
      </c>
      <c r="P25">
        <v>600.67999999999995</v>
      </c>
      <c r="Q25" s="23">
        <f t="shared" si="0"/>
        <v>1.7042017760376766</v>
      </c>
      <c r="R25">
        <v>162</v>
      </c>
      <c r="S25">
        <v>274.02999999999997</v>
      </c>
      <c r="T25">
        <v>350.16</v>
      </c>
      <c r="U25">
        <v>596.75</v>
      </c>
      <c r="V25" s="23">
        <f t="shared" si="1"/>
        <v>1.7042209275759652</v>
      </c>
    </row>
    <row r="26" spans="3:22">
      <c r="C26" t="s">
        <v>15</v>
      </c>
      <c r="D26" t="s">
        <v>89</v>
      </c>
      <c r="E26">
        <v>6</v>
      </c>
      <c r="F26" t="s">
        <v>1447</v>
      </c>
      <c r="G26" t="s">
        <v>1453</v>
      </c>
      <c r="H26">
        <v>137</v>
      </c>
      <c r="I26" s="23">
        <v>282.39</v>
      </c>
      <c r="J26">
        <v>349.24</v>
      </c>
      <c r="K26" s="23">
        <v>595.16999999999996</v>
      </c>
      <c r="L26" s="23">
        <f t="shared" si="2"/>
        <v>1.7041862329630053</v>
      </c>
      <c r="M26">
        <v>100</v>
      </c>
      <c r="N26">
        <v>357.36</v>
      </c>
      <c r="O26">
        <v>363.39</v>
      </c>
      <c r="P26">
        <v>619.28</v>
      </c>
      <c r="Q26" s="23">
        <f t="shared" si="0"/>
        <v>1.7041745782767825</v>
      </c>
      <c r="R26">
        <v>137</v>
      </c>
      <c r="S26">
        <v>269.64</v>
      </c>
      <c r="T26">
        <v>283.69</v>
      </c>
      <c r="U26">
        <v>483.47</v>
      </c>
      <c r="V26" s="23">
        <f t="shared" si="1"/>
        <v>1.7042193944093906</v>
      </c>
    </row>
    <row r="27" spans="3:22">
      <c r="C27" t="s">
        <v>15</v>
      </c>
      <c r="D27" t="s">
        <v>93</v>
      </c>
      <c r="E27">
        <v>7</v>
      </c>
      <c r="F27" t="s">
        <v>1447</v>
      </c>
      <c r="G27" t="s">
        <v>1454</v>
      </c>
      <c r="H27">
        <v>16</v>
      </c>
      <c r="I27" s="23">
        <v>451.45</v>
      </c>
      <c r="J27">
        <v>590.42999999999995</v>
      </c>
      <c r="K27" s="23">
        <v>1006.21</v>
      </c>
      <c r="L27" s="23">
        <f t="shared" si="2"/>
        <v>1.7041986348932137</v>
      </c>
      <c r="M27">
        <v>16</v>
      </c>
      <c r="N27">
        <v>523.9</v>
      </c>
      <c r="O27">
        <v>566.29999999999995</v>
      </c>
      <c r="P27">
        <v>965.08</v>
      </c>
      <c r="Q27" s="23">
        <f t="shared" si="0"/>
        <v>1.704185060921773</v>
      </c>
      <c r="R27">
        <v>16</v>
      </c>
      <c r="S27">
        <v>501.87</v>
      </c>
      <c r="T27">
        <v>541.35</v>
      </c>
      <c r="U27">
        <v>922.58</v>
      </c>
      <c r="V27" s="23">
        <f t="shared" si="1"/>
        <v>1.704220929158585</v>
      </c>
    </row>
    <row r="28" spans="3:22">
      <c r="C28" t="s">
        <v>15</v>
      </c>
      <c r="D28" t="s">
        <v>96</v>
      </c>
      <c r="E28">
        <v>8</v>
      </c>
      <c r="F28" t="s">
        <v>1447</v>
      </c>
      <c r="G28" t="s">
        <v>1455</v>
      </c>
      <c r="H28">
        <v>120</v>
      </c>
      <c r="I28" s="23">
        <v>308.07</v>
      </c>
      <c r="J28">
        <v>341.45</v>
      </c>
      <c r="K28" s="23">
        <v>581.91</v>
      </c>
      <c r="L28" s="23">
        <f t="shared" si="2"/>
        <v>1.7042319519695417</v>
      </c>
      <c r="M28">
        <v>96</v>
      </c>
      <c r="N28">
        <v>354.79</v>
      </c>
      <c r="O28">
        <v>360.18</v>
      </c>
      <c r="P28">
        <v>613.80999999999995</v>
      </c>
      <c r="Q28" s="23">
        <f t="shared" si="0"/>
        <v>1.7041756899328111</v>
      </c>
      <c r="R28">
        <v>120</v>
      </c>
      <c r="S28">
        <v>271.75</v>
      </c>
      <c r="T28">
        <v>295.13</v>
      </c>
      <c r="U28">
        <v>502.96</v>
      </c>
      <c r="V28" s="23">
        <f t="shared" si="1"/>
        <v>1.7041981499678107</v>
      </c>
    </row>
    <row r="29" spans="3:22">
      <c r="C29" t="s">
        <v>15</v>
      </c>
      <c r="D29" t="s">
        <v>98</v>
      </c>
      <c r="E29">
        <v>9</v>
      </c>
      <c r="F29" t="s">
        <v>1447</v>
      </c>
      <c r="G29" t="s">
        <v>1456</v>
      </c>
      <c r="H29">
        <v>120</v>
      </c>
      <c r="I29" s="23">
        <v>313.07</v>
      </c>
      <c r="J29">
        <v>338.64</v>
      </c>
      <c r="K29" s="23">
        <v>577.11</v>
      </c>
      <c r="L29" s="23">
        <f t="shared" si="2"/>
        <v>1.7041991495393338</v>
      </c>
      <c r="M29">
        <v>96</v>
      </c>
      <c r="N29">
        <v>354.05</v>
      </c>
      <c r="O29">
        <v>360.02</v>
      </c>
      <c r="P29">
        <v>613.54999999999995</v>
      </c>
      <c r="Q29" s="23">
        <f t="shared" si="0"/>
        <v>1.7042108771734903</v>
      </c>
      <c r="R29">
        <v>120</v>
      </c>
      <c r="S29">
        <v>280.77999999999997</v>
      </c>
      <c r="T29">
        <v>291.22000000000003</v>
      </c>
      <c r="U29">
        <v>496.29</v>
      </c>
      <c r="V29" s="23">
        <f t="shared" si="1"/>
        <v>1.7041755373944096</v>
      </c>
    </row>
    <row r="30" spans="3:22">
      <c r="C30" t="s">
        <v>15</v>
      </c>
      <c r="D30" t="s">
        <v>101</v>
      </c>
      <c r="E30">
        <v>10</v>
      </c>
      <c r="F30" t="s">
        <v>1447</v>
      </c>
      <c r="G30" t="s">
        <v>1457</v>
      </c>
      <c r="H30">
        <v>122</v>
      </c>
      <c r="I30" s="23">
        <v>310.57</v>
      </c>
      <c r="J30">
        <v>370.14</v>
      </c>
      <c r="K30" s="23">
        <v>630.78</v>
      </c>
      <c r="L30" s="23">
        <f t="shared" si="2"/>
        <v>1.7041659912465554</v>
      </c>
      <c r="M30">
        <v>96</v>
      </c>
      <c r="N30">
        <v>363.62</v>
      </c>
      <c r="O30">
        <v>378.32</v>
      </c>
      <c r="P30">
        <v>644.73</v>
      </c>
      <c r="Q30" s="23">
        <f t="shared" si="0"/>
        <v>1.7041922182279552</v>
      </c>
      <c r="R30">
        <v>122</v>
      </c>
      <c r="S30">
        <v>303.10000000000002</v>
      </c>
      <c r="T30">
        <v>309.13</v>
      </c>
      <c r="U30">
        <v>526.82000000000005</v>
      </c>
      <c r="V30" s="23">
        <f t="shared" si="1"/>
        <v>1.7042021156147902</v>
      </c>
    </row>
    <row r="31" spans="3:22">
      <c r="C31" t="s">
        <v>15</v>
      </c>
      <c r="D31" t="s">
        <v>103</v>
      </c>
      <c r="E31">
        <v>11</v>
      </c>
      <c r="F31" t="s">
        <v>1447</v>
      </c>
      <c r="G31" t="s">
        <v>1458</v>
      </c>
      <c r="H31">
        <v>52</v>
      </c>
      <c r="I31" s="23">
        <v>320.48</v>
      </c>
      <c r="J31">
        <v>450.93</v>
      </c>
      <c r="K31" s="23">
        <v>768.48</v>
      </c>
      <c r="L31" s="23">
        <f t="shared" si="2"/>
        <v>1.7042112966535825</v>
      </c>
      <c r="M31">
        <v>32</v>
      </c>
      <c r="N31">
        <v>389.67</v>
      </c>
      <c r="O31">
        <v>440.65</v>
      </c>
      <c r="P31">
        <v>750.96</v>
      </c>
      <c r="Q31" s="23">
        <f t="shared" si="0"/>
        <v>1.7042096902303416</v>
      </c>
      <c r="R31">
        <v>52</v>
      </c>
      <c r="S31">
        <v>298.69</v>
      </c>
      <c r="T31">
        <v>314.77999999999997</v>
      </c>
      <c r="U31">
        <v>536.44000000000005</v>
      </c>
      <c r="V31" s="23">
        <f t="shared" si="1"/>
        <v>1.7041743439862764</v>
      </c>
    </row>
    <row r="32" spans="3:22">
      <c r="C32" t="s">
        <v>15</v>
      </c>
      <c r="D32" t="s">
        <v>108</v>
      </c>
      <c r="E32">
        <v>12</v>
      </c>
      <c r="F32" t="s">
        <v>1447</v>
      </c>
      <c r="G32" t="s">
        <v>1459</v>
      </c>
      <c r="H32">
        <v>36</v>
      </c>
      <c r="I32" s="23">
        <v>361.78</v>
      </c>
      <c r="J32">
        <v>485.28</v>
      </c>
      <c r="K32" s="23">
        <v>808.49</v>
      </c>
      <c r="L32" s="23">
        <f t="shared" si="2"/>
        <v>1.6660278602044183</v>
      </c>
      <c r="M32">
        <v>32</v>
      </c>
      <c r="N32">
        <v>440.04</v>
      </c>
      <c r="O32">
        <v>497.62</v>
      </c>
      <c r="P32">
        <v>848.05</v>
      </c>
      <c r="Q32" s="23">
        <f t="shared" si="0"/>
        <v>1.7042120493549293</v>
      </c>
      <c r="R32">
        <v>36</v>
      </c>
      <c r="S32">
        <v>383.48</v>
      </c>
      <c r="T32">
        <v>404.15</v>
      </c>
      <c r="U32">
        <v>688.75</v>
      </c>
      <c r="V32" s="23">
        <f t="shared" si="1"/>
        <v>1.7041939873809231</v>
      </c>
    </row>
    <row r="33" spans="3:22">
      <c r="C33" t="s">
        <v>15</v>
      </c>
      <c r="D33" t="s">
        <v>112</v>
      </c>
      <c r="E33">
        <v>13</v>
      </c>
      <c r="F33" t="s">
        <v>1447</v>
      </c>
      <c r="G33" t="s">
        <v>1460</v>
      </c>
      <c r="H33">
        <v>36</v>
      </c>
      <c r="I33" s="23">
        <v>368.93</v>
      </c>
      <c r="J33">
        <v>519.1</v>
      </c>
      <c r="K33" s="23">
        <v>884.64</v>
      </c>
      <c r="L33" s="23">
        <f t="shared" si="2"/>
        <v>1.7041803120785974</v>
      </c>
      <c r="M33">
        <v>32</v>
      </c>
      <c r="N33">
        <v>454.86</v>
      </c>
      <c r="O33">
        <v>514.38</v>
      </c>
      <c r="P33">
        <v>876.6</v>
      </c>
      <c r="Q33" s="23">
        <f t="shared" si="0"/>
        <v>1.704187565612971</v>
      </c>
      <c r="R33">
        <v>36</v>
      </c>
      <c r="S33">
        <v>383.08</v>
      </c>
      <c r="T33">
        <v>403.71</v>
      </c>
      <c r="U33">
        <v>688</v>
      </c>
      <c r="V33" s="23">
        <f t="shared" si="1"/>
        <v>1.7041936043199326</v>
      </c>
    </row>
    <row r="34" spans="3:22">
      <c r="C34" t="s">
        <v>15</v>
      </c>
      <c r="D34" t="s">
        <v>167</v>
      </c>
      <c r="E34">
        <v>14</v>
      </c>
      <c r="F34" t="s">
        <v>1447</v>
      </c>
      <c r="G34" t="s">
        <v>1461</v>
      </c>
      <c r="H34">
        <v>36</v>
      </c>
      <c r="I34" s="23">
        <v>366.55</v>
      </c>
      <c r="J34">
        <v>494.03</v>
      </c>
      <c r="K34" s="23">
        <v>823.06</v>
      </c>
      <c r="L34" s="23">
        <f t="shared" si="2"/>
        <v>1.666012185494808</v>
      </c>
      <c r="M34">
        <v>32</v>
      </c>
      <c r="N34">
        <v>459.31</v>
      </c>
      <c r="O34">
        <v>519.41</v>
      </c>
      <c r="P34">
        <v>885.18</v>
      </c>
      <c r="Q34" s="23">
        <f t="shared" si="0"/>
        <v>1.7042028455362817</v>
      </c>
      <c r="R34">
        <v>36</v>
      </c>
      <c r="S34">
        <v>400.2</v>
      </c>
      <c r="T34">
        <v>421.77</v>
      </c>
      <c r="U34">
        <v>718.78</v>
      </c>
      <c r="V34" s="23">
        <f t="shared" si="1"/>
        <v>1.7041989710031533</v>
      </c>
    </row>
    <row r="35" spans="3:22">
      <c r="C35" t="s">
        <v>15</v>
      </c>
      <c r="D35" t="s">
        <v>169</v>
      </c>
      <c r="E35">
        <v>15</v>
      </c>
      <c r="F35" t="s">
        <v>1447</v>
      </c>
      <c r="G35" t="s">
        <v>1462</v>
      </c>
      <c r="H35">
        <v>125</v>
      </c>
      <c r="I35" s="23">
        <v>321.26</v>
      </c>
      <c r="J35">
        <v>366.95</v>
      </c>
      <c r="K35" s="23">
        <v>625.36</v>
      </c>
      <c r="L35" s="23">
        <f t="shared" si="2"/>
        <v>1.7042103828859518</v>
      </c>
      <c r="M35">
        <v>100</v>
      </c>
      <c r="N35">
        <v>378.69</v>
      </c>
      <c r="O35">
        <v>384.71</v>
      </c>
      <c r="P35">
        <v>655.62</v>
      </c>
      <c r="Q35" s="23">
        <f t="shared" si="0"/>
        <v>1.7041927685789298</v>
      </c>
      <c r="R35">
        <v>125</v>
      </c>
      <c r="S35">
        <v>290.20999999999998</v>
      </c>
      <c r="T35">
        <v>308.66000000000003</v>
      </c>
      <c r="U35">
        <v>526.02</v>
      </c>
      <c r="V35" s="23">
        <f t="shared" si="1"/>
        <v>1.7042052744119742</v>
      </c>
    </row>
    <row r="36" spans="3:22">
      <c r="C36" t="s">
        <v>15</v>
      </c>
      <c r="D36" t="s">
        <v>171</v>
      </c>
      <c r="E36">
        <v>16</v>
      </c>
      <c r="F36" t="s">
        <v>1447</v>
      </c>
      <c r="G36" t="s">
        <v>1463</v>
      </c>
      <c r="H36">
        <v>110</v>
      </c>
      <c r="I36" s="23">
        <v>309.85000000000002</v>
      </c>
      <c r="J36">
        <v>390.38</v>
      </c>
      <c r="K36" s="23">
        <v>650.38</v>
      </c>
      <c r="L36" s="23">
        <f t="shared" si="2"/>
        <v>1.6660177263179465</v>
      </c>
      <c r="M36">
        <v>48</v>
      </c>
      <c r="N36">
        <v>373.09</v>
      </c>
      <c r="O36">
        <v>401.83</v>
      </c>
      <c r="P36">
        <v>684.81</v>
      </c>
      <c r="Q36" s="23">
        <f t="shared" si="0"/>
        <v>1.7042281561854515</v>
      </c>
      <c r="R36">
        <v>110</v>
      </c>
      <c r="S36">
        <v>311.73</v>
      </c>
      <c r="T36">
        <v>313.32</v>
      </c>
      <c r="U36">
        <v>533.96</v>
      </c>
      <c r="V36" s="23">
        <f t="shared" si="1"/>
        <v>1.7042001787310099</v>
      </c>
    </row>
    <row r="37" spans="3:22">
      <c r="C37" t="s">
        <v>15</v>
      </c>
      <c r="D37" t="s">
        <v>172</v>
      </c>
      <c r="E37">
        <v>17</v>
      </c>
      <c r="F37" t="s">
        <v>1447</v>
      </c>
      <c r="G37" t="s">
        <v>1464</v>
      </c>
      <c r="H37">
        <v>163</v>
      </c>
      <c r="I37" s="23">
        <v>373.59</v>
      </c>
      <c r="J37">
        <v>412.84</v>
      </c>
      <c r="K37" s="23">
        <v>703.57</v>
      </c>
      <c r="L37" s="23">
        <f t="shared" si="2"/>
        <v>1.7042195523689567</v>
      </c>
      <c r="M37">
        <v>148</v>
      </c>
      <c r="N37">
        <v>400.7</v>
      </c>
      <c r="O37">
        <v>405.89</v>
      </c>
      <c r="P37">
        <v>691.72</v>
      </c>
      <c r="Q37" s="23">
        <f t="shared" si="0"/>
        <v>1.7042055729384811</v>
      </c>
      <c r="R37">
        <v>163</v>
      </c>
      <c r="S37">
        <v>300.33999999999997</v>
      </c>
      <c r="T37">
        <v>324.44</v>
      </c>
      <c r="U37">
        <v>552.91999999999996</v>
      </c>
      <c r="V37" s="23">
        <f t="shared" si="1"/>
        <v>1.7042288250523978</v>
      </c>
    </row>
    <row r="38" spans="3:22">
      <c r="C38" t="s">
        <v>15</v>
      </c>
      <c r="D38" t="s">
        <v>174</v>
      </c>
      <c r="E38">
        <v>18</v>
      </c>
      <c r="F38" t="s">
        <v>1447</v>
      </c>
      <c r="G38" t="s">
        <v>1465</v>
      </c>
      <c r="H38">
        <v>16</v>
      </c>
      <c r="I38" s="23">
        <v>477.7</v>
      </c>
      <c r="J38">
        <v>624.75</v>
      </c>
      <c r="K38" s="23">
        <v>1064.71</v>
      </c>
      <c r="L38" s="23">
        <f t="shared" si="2"/>
        <v>1.70421768707483</v>
      </c>
      <c r="M38">
        <v>16</v>
      </c>
      <c r="N38">
        <v>547.33000000000004</v>
      </c>
      <c r="O38">
        <v>591.63</v>
      </c>
      <c r="P38">
        <v>1008.25</v>
      </c>
      <c r="Q38" s="23">
        <f t="shared" si="0"/>
        <v>1.7041901188242652</v>
      </c>
      <c r="R38">
        <v>16</v>
      </c>
      <c r="S38">
        <v>524.34</v>
      </c>
      <c r="T38">
        <v>565.6</v>
      </c>
      <c r="U38">
        <v>963.89</v>
      </c>
      <c r="V38" s="23">
        <f t="shared" si="1"/>
        <v>1.7041902404526166</v>
      </c>
    </row>
    <row r="39" spans="3:22">
      <c r="C39" t="s">
        <v>15</v>
      </c>
      <c r="D39" t="s">
        <v>175</v>
      </c>
      <c r="E39">
        <v>19</v>
      </c>
      <c r="F39" t="s">
        <v>1447</v>
      </c>
      <c r="G39" t="s">
        <v>1466</v>
      </c>
      <c r="H39">
        <v>16</v>
      </c>
      <c r="I39" s="23">
        <v>524.94000000000005</v>
      </c>
      <c r="J39">
        <v>686.54</v>
      </c>
      <c r="K39" s="23">
        <v>1170.01</v>
      </c>
      <c r="L39" s="23">
        <f t="shared" si="2"/>
        <v>1.7042124275351764</v>
      </c>
      <c r="M39">
        <v>16</v>
      </c>
      <c r="N39">
        <v>601.78</v>
      </c>
      <c r="O39">
        <v>650.49</v>
      </c>
      <c r="P39">
        <v>1108.57</v>
      </c>
      <c r="Q39" s="23">
        <f t="shared" si="0"/>
        <v>1.7042075973496902</v>
      </c>
      <c r="R39">
        <v>16</v>
      </c>
      <c r="S39">
        <v>576.78</v>
      </c>
      <c r="T39">
        <v>622.16</v>
      </c>
      <c r="U39">
        <v>1060.28</v>
      </c>
      <c r="V39" s="23">
        <f t="shared" si="1"/>
        <v>1.7041918477562041</v>
      </c>
    </row>
    <row r="40" spans="3:22">
      <c r="C40" t="s">
        <v>15</v>
      </c>
      <c r="D40" t="s">
        <v>177</v>
      </c>
      <c r="E40">
        <v>20</v>
      </c>
      <c r="F40" t="s">
        <v>1447</v>
      </c>
      <c r="G40" t="s">
        <v>1467</v>
      </c>
      <c r="H40">
        <v>36</v>
      </c>
      <c r="I40" s="23">
        <v>362.58</v>
      </c>
      <c r="J40">
        <v>485.87</v>
      </c>
      <c r="K40" s="23">
        <v>809.46</v>
      </c>
      <c r="L40" s="23">
        <f t="shared" si="2"/>
        <v>1.6660011937349497</v>
      </c>
      <c r="M40">
        <v>32</v>
      </c>
      <c r="N40">
        <v>455.85</v>
      </c>
      <c r="O40">
        <v>515.5</v>
      </c>
      <c r="P40">
        <v>878.52</v>
      </c>
      <c r="Q40" s="23">
        <f t="shared" si="0"/>
        <v>1.7042095053346265</v>
      </c>
      <c r="R40">
        <v>36</v>
      </c>
      <c r="S40">
        <v>388.92</v>
      </c>
      <c r="T40">
        <v>409.87</v>
      </c>
      <c r="U40">
        <v>698.5</v>
      </c>
      <c r="V40" s="23">
        <f t="shared" si="1"/>
        <v>1.7041988923317148</v>
      </c>
    </row>
    <row r="41" spans="3:22">
      <c r="C41" t="s">
        <v>15</v>
      </c>
      <c r="D41" t="s">
        <v>179</v>
      </c>
      <c r="E41">
        <v>21</v>
      </c>
      <c r="F41" t="s">
        <v>1447</v>
      </c>
      <c r="G41" t="s">
        <v>1468</v>
      </c>
      <c r="H41">
        <v>16</v>
      </c>
      <c r="I41" s="23">
        <v>525.53</v>
      </c>
      <c r="J41">
        <v>687.31</v>
      </c>
      <c r="K41" s="23">
        <v>1171.31</v>
      </c>
      <c r="L41" s="23">
        <f t="shared" si="2"/>
        <v>1.704194613784173</v>
      </c>
      <c r="M41">
        <v>16</v>
      </c>
      <c r="N41">
        <v>637.63</v>
      </c>
      <c r="O41">
        <v>689.25</v>
      </c>
      <c r="P41">
        <v>1174.6199999999999</v>
      </c>
      <c r="Q41" s="23">
        <f t="shared" si="0"/>
        <v>1.7042002176278561</v>
      </c>
      <c r="R41">
        <v>16</v>
      </c>
      <c r="S41">
        <v>634.66</v>
      </c>
      <c r="T41">
        <v>684.6</v>
      </c>
      <c r="U41">
        <v>1166.69</v>
      </c>
      <c r="V41" s="23">
        <f t="shared" si="1"/>
        <v>1.7041922290388549</v>
      </c>
    </row>
    <row r="42" spans="3:22">
      <c r="C42" t="s">
        <v>15</v>
      </c>
      <c r="D42" t="s">
        <v>181</v>
      </c>
      <c r="E42">
        <v>22</v>
      </c>
      <c r="F42" t="s">
        <v>1447</v>
      </c>
      <c r="G42" t="s">
        <v>1469</v>
      </c>
      <c r="H42">
        <v>32</v>
      </c>
      <c r="I42" s="23">
        <v>273.8</v>
      </c>
      <c r="J42">
        <v>374.67</v>
      </c>
      <c r="K42" s="23">
        <v>638.51</v>
      </c>
      <c r="L42" s="23">
        <f t="shared" si="2"/>
        <v>1.7041930231937437</v>
      </c>
      <c r="M42">
        <v>32</v>
      </c>
      <c r="N42">
        <v>331.78</v>
      </c>
      <c r="O42">
        <v>357.34</v>
      </c>
      <c r="P42">
        <v>608.97</v>
      </c>
      <c r="Q42" s="23">
        <f t="shared" si="0"/>
        <v>1.7041752952370293</v>
      </c>
      <c r="R42">
        <v>32</v>
      </c>
      <c r="S42">
        <v>331.86</v>
      </c>
      <c r="T42">
        <v>355.27</v>
      </c>
      <c r="U42">
        <v>605.45000000000005</v>
      </c>
      <c r="V42" s="23">
        <f t="shared" si="1"/>
        <v>1.7041968080614747</v>
      </c>
    </row>
    <row r="43" spans="3:22">
      <c r="C43" t="s">
        <v>15</v>
      </c>
      <c r="D43" t="s">
        <v>183</v>
      </c>
      <c r="E43">
        <v>23</v>
      </c>
      <c r="F43" t="s">
        <v>1447</v>
      </c>
      <c r="G43" t="s">
        <v>1470</v>
      </c>
      <c r="H43">
        <v>16</v>
      </c>
      <c r="I43" s="23">
        <v>480.61</v>
      </c>
      <c r="J43">
        <v>628.57000000000005</v>
      </c>
      <c r="K43" s="23">
        <v>1071.21</v>
      </c>
      <c r="L43" s="23">
        <f t="shared" si="2"/>
        <v>1.7042016004581828</v>
      </c>
      <c r="M43">
        <v>16</v>
      </c>
      <c r="N43">
        <v>577.66</v>
      </c>
      <c r="O43">
        <v>624.41999999999996</v>
      </c>
      <c r="P43">
        <v>1064.1300000000001</v>
      </c>
      <c r="Q43" s="23">
        <f t="shared" si="0"/>
        <v>1.7041894878447201</v>
      </c>
      <c r="R43">
        <v>16</v>
      </c>
      <c r="S43">
        <v>578.13</v>
      </c>
      <c r="T43">
        <v>623.62</v>
      </c>
      <c r="U43">
        <v>1062.78</v>
      </c>
      <c r="V43" s="23">
        <f t="shared" si="1"/>
        <v>1.7042108976620378</v>
      </c>
    </row>
    <row r="44" spans="3:22">
      <c r="C44" t="s">
        <v>15</v>
      </c>
      <c r="D44" t="s">
        <v>185</v>
      </c>
      <c r="E44">
        <v>24</v>
      </c>
      <c r="F44" t="s">
        <v>1447</v>
      </c>
      <c r="G44" t="s">
        <v>1471</v>
      </c>
      <c r="H44">
        <v>16</v>
      </c>
      <c r="I44" s="23">
        <v>566.35</v>
      </c>
      <c r="J44">
        <v>740.71</v>
      </c>
      <c r="K44" s="23">
        <v>1262.31</v>
      </c>
      <c r="L44" s="23">
        <f t="shared" si="2"/>
        <v>1.7041892238527898</v>
      </c>
      <c r="M44">
        <v>16</v>
      </c>
      <c r="N44">
        <v>683.82</v>
      </c>
      <c r="O44">
        <v>739.16</v>
      </c>
      <c r="P44">
        <v>1259.68</v>
      </c>
      <c r="Q44" s="23">
        <f t="shared" si="0"/>
        <v>1.7042047729855514</v>
      </c>
      <c r="R44">
        <v>16</v>
      </c>
      <c r="S44">
        <v>695.93</v>
      </c>
      <c r="T44">
        <v>750.7</v>
      </c>
      <c r="U44">
        <v>1279.3499999999999</v>
      </c>
      <c r="V44" s="23">
        <f t="shared" si="1"/>
        <v>1.7042094045557477</v>
      </c>
    </row>
    <row r="45" spans="3:22">
      <c r="C45" t="s">
        <v>15</v>
      </c>
      <c r="D45" t="s">
        <v>187</v>
      </c>
      <c r="E45">
        <v>25</v>
      </c>
      <c r="F45" t="s">
        <v>1447</v>
      </c>
      <c r="G45" t="s">
        <v>1472</v>
      </c>
      <c r="H45">
        <v>36</v>
      </c>
      <c r="I45" s="23">
        <v>349.87</v>
      </c>
      <c r="J45">
        <v>492.28</v>
      </c>
      <c r="K45" s="23">
        <v>838.94</v>
      </c>
      <c r="L45" s="23">
        <f t="shared" si="2"/>
        <v>1.7041927358413913</v>
      </c>
      <c r="M45">
        <v>32</v>
      </c>
      <c r="N45">
        <v>434.12</v>
      </c>
      <c r="O45">
        <v>490.93</v>
      </c>
      <c r="P45">
        <v>836.63</v>
      </c>
      <c r="Q45" s="23">
        <f t="shared" si="0"/>
        <v>1.7041737111197115</v>
      </c>
      <c r="R45">
        <v>36</v>
      </c>
      <c r="S45">
        <v>378.06</v>
      </c>
      <c r="T45">
        <v>398.43</v>
      </c>
      <c r="U45">
        <v>679</v>
      </c>
      <c r="V45" s="23">
        <f t="shared" si="1"/>
        <v>1.7041889415957634</v>
      </c>
    </row>
    <row r="46" spans="3:22">
      <c r="C46" t="s">
        <v>15</v>
      </c>
      <c r="D46" t="s">
        <v>189</v>
      </c>
      <c r="E46">
        <v>26</v>
      </c>
      <c r="F46" t="s">
        <v>1447</v>
      </c>
      <c r="G46" t="s">
        <v>1473</v>
      </c>
      <c r="H46">
        <v>115</v>
      </c>
      <c r="I46" s="23">
        <v>288.08</v>
      </c>
      <c r="J46">
        <v>358.46</v>
      </c>
      <c r="K46" s="23">
        <v>610.88</v>
      </c>
      <c r="L46" s="23">
        <f t="shared" si="2"/>
        <v>1.7041789878926519</v>
      </c>
      <c r="M46">
        <v>96</v>
      </c>
      <c r="N46">
        <v>357.6</v>
      </c>
      <c r="O46">
        <v>381.63</v>
      </c>
      <c r="P46">
        <v>650.37</v>
      </c>
      <c r="Q46" s="23">
        <f t="shared" si="0"/>
        <v>1.7041899221759296</v>
      </c>
      <c r="R46">
        <v>115</v>
      </c>
      <c r="S46">
        <v>278.64999999999998</v>
      </c>
      <c r="T46">
        <v>299.29000000000002</v>
      </c>
      <c r="U46">
        <v>510.06</v>
      </c>
      <c r="V46" s="23">
        <f t="shared" si="1"/>
        <v>1.7042333522670319</v>
      </c>
    </row>
    <row r="47" spans="3:22">
      <c r="C47" t="s">
        <v>15</v>
      </c>
      <c r="D47" t="s">
        <v>191</v>
      </c>
      <c r="E47">
        <v>27</v>
      </c>
      <c r="F47" t="s">
        <v>1447</v>
      </c>
      <c r="G47" t="s">
        <v>1474</v>
      </c>
      <c r="H47">
        <v>77</v>
      </c>
      <c r="I47" s="23">
        <v>317.35000000000002</v>
      </c>
      <c r="J47">
        <v>434.26</v>
      </c>
      <c r="K47" s="23">
        <v>740.06</v>
      </c>
      <c r="L47" s="23">
        <f t="shared" si="2"/>
        <v>1.7041864320913738</v>
      </c>
      <c r="M47">
        <v>80</v>
      </c>
      <c r="N47">
        <v>370.94</v>
      </c>
      <c r="O47">
        <v>394.86</v>
      </c>
      <c r="P47">
        <v>672.92</v>
      </c>
      <c r="Q47" s="23">
        <f t="shared" si="0"/>
        <v>1.7041989565922098</v>
      </c>
      <c r="R47">
        <v>77</v>
      </c>
      <c r="S47">
        <v>310.23</v>
      </c>
      <c r="T47">
        <v>380.25</v>
      </c>
      <c r="U47">
        <v>648.01</v>
      </c>
      <c r="V47" s="23">
        <f t="shared" si="1"/>
        <v>1.7041683103221565</v>
      </c>
    </row>
    <row r="48" spans="3:22">
      <c r="C48" t="s">
        <v>15</v>
      </c>
      <c r="D48" t="s">
        <v>193</v>
      </c>
      <c r="E48">
        <v>28</v>
      </c>
      <c r="F48" t="s">
        <v>1447</v>
      </c>
      <c r="G48" t="s">
        <v>1475</v>
      </c>
      <c r="H48">
        <v>143</v>
      </c>
      <c r="I48" s="23">
        <v>318.79000000000002</v>
      </c>
      <c r="J48">
        <v>350.67</v>
      </c>
      <c r="K48" s="23">
        <v>597.62</v>
      </c>
      <c r="L48" s="23">
        <f t="shared" si="2"/>
        <v>1.7042233438845638</v>
      </c>
      <c r="M48">
        <v>100</v>
      </c>
      <c r="N48">
        <v>383.1</v>
      </c>
      <c r="O48">
        <v>389.56</v>
      </c>
      <c r="P48">
        <v>663.88</v>
      </c>
      <c r="Q48" s="23">
        <f t="shared" si="0"/>
        <v>1.7041790738268816</v>
      </c>
      <c r="R48">
        <v>143</v>
      </c>
      <c r="S48">
        <v>280.49</v>
      </c>
      <c r="T48">
        <v>284.23</v>
      </c>
      <c r="U48">
        <v>484.38</v>
      </c>
      <c r="V48" s="23">
        <f t="shared" si="1"/>
        <v>1.7041832318896666</v>
      </c>
    </row>
    <row r="49" spans="3:22">
      <c r="C49" t="s">
        <v>15</v>
      </c>
      <c r="D49" t="s">
        <v>195</v>
      </c>
      <c r="E49">
        <v>29</v>
      </c>
      <c r="F49" t="s">
        <v>1447</v>
      </c>
      <c r="G49" t="s">
        <v>1476</v>
      </c>
      <c r="H49">
        <v>16</v>
      </c>
      <c r="I49" s="23">
        <v>462.53</v>
      </c>
      <c r="J49">
        <v>604.92999999999995</v>
      </c>
      <c r="K49" s="23">
        <v>1030.9100000000001</v>
      </c>
      <c r="L49" s="23">
        <f t="shared" si="2"/>
        <v>1.7041806490007112</v>
      </c>
      <c r="M49">
        <v>16</v>
      </c>
      <c r="N49">
        <v>530.1</v>
      </c>
      <c r="O49">
        <v>573</v>
      </c>
      <c r="P49">
        <v>976.51</v>
      </c>
      <c r="Q49" s="23">
        <f t="shared" si="0"/>
        <v>1.7042059336823734</v>
      </c>
      <c r="R49">
        <v>16</v>
      </c>
      <c r="S49">
        <v>508</v>
      </c>
      <c r="T49">
        <v>547.97</v>
      </c>
      <c r="U49">
        <v>933.85</v>
      </c>
      <c r="V49" s="23">
        <f t="shared" si="1"/>
        <v>1.7041991349891417</v>
      </c>
    </row>
    <row r="50" spans="3:22">
      <c r="C50" t="s">
        <v>15</v>
      </c>
      <c r="D50" t="s">
        <v>197</v>
      </c>
      <c r="E50">
        <v>30</v>
      </c>
      <c r="F50" t="s">
        <v>1447</v>
      </c>
      <c r="G50" t="s">
        <v>1477</v>
      </c>
      <c r="H50">
        <v>33</v>
      </c>
      <c r="I50" s="23">
        <v>284.51</v>
      </c>
      <c r="J50">
        <v>389.32</v>
      </c>
      <c r="K50" s="23">
        <v>663.48</v>
      </c>
      <c r="L50" s="23">
        <f t="shared" si="2"/>
        <v>1.7042021987054352</v>
      </c>
      <c r="M50">
        <v>32</v>
      </c>
      <c r="N50">
        <v>353.29</v>
      </c>
      <c r="O50">
        <v>380.52</v>
      </c>
      <c r="P50">
        <v>648.48</v>
      </c>
      <c r="Q50" s="23">
        <f t="shared" si="0"/>
        <v>1.7041942604856513</v>
      </c>
      <c r="R50">
        <v>33</v>
      </c>
      <c r="S50">
        <v>352.84</v>
      </c>
      <c r="T50">
        <v>377.73</v>
      </c>
      <c r="U50">
        <v>643.73</v>
      </c>
      <c r="V50" s="23">
        <f t="shared" si="1"/>
        <v>1.7042067084954862</v>
      </c>
    </row>
    <row r="51" spans="3:22">
      <c r="C51" t="s">
        <v>15</v>
      </c>
      <c r="D51" t="s">
        <v>199</v>
      </c>
      <c r="E51">
        <v>31</v>
      </c>
      <c r="F51" t="s">
        <v>1447</v>
      </c>
      <c r="G51" t="s">
        <v>1478</v>
      </c>
      <c r="H51">
        <v>16</v>
      </c>
      <c r="I51" s="23">
        <v>464.28</v>
      </c>
      <c r="J51">
        <v>607.21</v>
      </c>
      <c r="K51" s="23">
        <v>1034.81</v>
      </c>
      <c r="L51" s="23">
        <f t="shared" si="2"/>
        <v>1.7042044762108659</v>
      </c>
      <c r="M51">
        <v>16</v>
      </c>
      <c r="N51">
        <v>532.16</v>
      </c>
      <c r="O51">
        <v>575.24</v>
      </c>
      <c r="P51">
        <v>980.32</v>
      </c>
      <c r="Q51" s="23">
        <f t="shared" si="0"/>
        <v>1.7041930324734025</v>
      </c>
      <c r="R51">
        <v>16</v>
      </c>
      <c r="S51">
        <v>510.04</v>
      </c>
      <c r="T51">
        <v>550.16999999999996</v>
      </c>
      <c r="U51">
        <v>937.6</v>
      </c>
      <c r="V51" s="23">
        <f t="shared" si="1"/>
        <v>1.7042005198393226</v>
      </c>
    </row>
    <row r="52" spans="3:22">
      <c r="C52" t="s">
        <v>15</v>
      </c>
      <c r="D52" t="s">
        <v>200</v>
      </c>
      <c r="E52">
        <v>32</v>
      </c>
      <c r="F52" t="s">
        <v>1447</v>
      </c>
      <c r="G52" t="s">
        <v>1479</v>
      </c>
      <c r="H52">
        <v>16</v>
      </c>
      <c r="I52" s="23">
        <v>524.36</v>
      </c>
      <c r="J52">
        <v>685.78</v>
      </c>
      <c r="K52" s="23">
        <v>1168.7</v>
      </c>
      <c r="L52" s="23">
        <f t="shared" si="2"/>
        <v>1.7041908483770307</v>
      </c>
      <c r="M52">
        <v>16</v>
      </c>
      <c r="N52">
        <v>624.53</v>
      </c>
      <c r="O52">
        <v>675.09</v>
      </c>
      <c r="P52">
        <v>1150.49</v>
      </c>
      <c r="Q52" s="23">
        <f t="shared" si="0"/>
        <v>1.7042024026426106</v>
      </c>
      <c r="R52">
        <v>16</v>
      </c>
      <c r="S52">
        <v>598.57000000000005</v>
      </c>
      <c r="T52">
        <v>645.66</v>
      </c>
      <c r="U52">
        <v>1100.3399999999999</v>
      </c>
      <c r="V52" s="23">
        <f t="shared" si="1"/>
        <v>1.7042096459436855</v>
      </c>
    </row>
    <row r="53" spans="3:22">
      <c r="C53" t="s">
        <v>15</v>
      </c>
      <c r="D53" t="s">
        <v>201</v>
      </c>
      <c r="E53">
        <v>33</v>
      </c>
      <c r="F53" t="s">
        <v>1447</v>
      </c>
      <c r="G53" t="s">
        <v>1480</v>
      </c>
      <c r="H53">
        <v>16</v>
      </c>
      <c r="I53" s="23">
        <v>470.7</v>
      </c>
      <c r="J53">
        <v>615.61</v>
      </c>
      <c r="K53" s="23">
        <v>1049.1099999999999</v>
      </c>
      <c r="L53" s="23">
        <f t="shared" si="2"/>
        <v>1.7041795942236153</v>
      </c>
      <c r="M53">
        <v>16</v>
      </c>
      <c r="N53">
        <v>544.57000000000005</v>
      </c>
      <c r="O53">
        <v>588.65</v>
      </c>
      <c r="P53">
        <v>1003.18</v>
      </c>
      <c r="Q53" s="23">
        <f t="shared" si="0"/>
        <v>1.7042045358022593</v>
      </c>
      <c r="R53">
        <v>16</v>
      </c>
      <c r="S53">
        <v>521.61</v>
      </c>
      <c r="T53">
        <v>562.66</v>
      </c>
      <c r="U53">
        <v>958.89</v>
      </c>
      <c r="V53" s="23">
        <f t="shared" si="1"/>
        <v>1.7042085806703871</v>
      </c>
    </row>
    <row r="54" spans="3:22">
      <c r="C54" t="s">
        <v>15</v>
      </c>
      <c r="D54" t="s">
        <v>203</v>
      </c>
      <c r="E54">
        <v>34</v>
      </c>
      <c r="F54" t="s">
        <v>1447</v>
      </c>
      <c r="G54" t="s">
        <v>1481</v>
      </c>
      <c r="H54">
        <v>128</v>
      </c>
      <c r="I54" s="23">
        <v>292.72000000000003</v>
      </c>
      <c r="J54">
        <v>368.21</v>
      </c>
      <c r="K54" s="23">
        <v>627.51</v>
      </c>
      <c r="L54" s="23">
        <f t="shared" si="2"/>
        <v>1.7042177018549198</v>
      </c>
      <c r="M54">
        <v>109</v>
      </c>
      <c r="N54">
        <v>286.29000000000002</v>
      </c>
      <c r="O54">
        <v>359.32</v>
      </c>
      <c r="P54">
        <v>612.35</v>
      </c>
      <c r="Q54" s="23">
        <f t="shared" si="0"/>
        <v>1.7041912501391518</v>
      </c>
      <c r="R54">
        <v>128</v>
      </c>
      <c r="S54">
        <v>292.94</v>
      </c>
      <c r="T54">
        <v>298.49</v>
      </c>
      <c r="U54">
        <v>508.68</v>
      </c>
      <c r="V54" s="23">
        <f t="shared" si="1"/>
        <v>1.7041776943951221</v>
      </c>
    </row>
    <row r="55" spans="3:22">
      <c r="C55" t="s">
        <v>15</v>
      </c>
      <c r="D55" t="s">
        <v>205</v>
      </c>
      <c r="E55">
        <v>35</v>
      </c>
      <c r="F55" t="s">
        <v>1447</v>
      </c>
      <c r="G55" t="s">
        <v>1482</v>
      </c>
      <c r="H55">
        <v>37</v>
      </c>
      <c r="I55" s="23">
        <v>397.53</v>
      </c>
      <c r="J55">
        <v>550.02</v>
      </c>
      <c r="K55" s="23">
        <v>916.34</v>
      </c>
      <c r="L55" s="23">
        <f t="shared" si="2"/>
        <v>1.6660121450129088</v>
      </c>
      <c r="M55">
        <v>32</v>
      </c>
      <c r="N55">
        <v>486.96</v>
      </c>
      <c r="O55">
        <v>550.67999999999995</v>
      </c>
      <c r="P55">
        <v>938.47</v>
      </c>
      <c r="Q55" s="23">
        <f t="shared" si="0"/>
        <v>1.7042020774315394</v>
      </c>
      <c r="R55">
        <v>37</v>
      </c>
      <c r="S55">
        <v>404.79</v>
      </c>
      <c r="T55">
        <v>426.61</v>
      </c>
      <c r="U55">
        <v>727.03</v>
      </c>
      <c r="V55" s="23">
        <f t="shared" si="1"/>
        <v>1.7042029019479148</v>
      </c>
    </row>
    <row r="56" spans="3:22">
      <c r="C56" t="s">
        <v>15</v>
      </c>
      <c r="D56" t="s">
        <v>206</v>
      </c>
      <c r="E56">
        <v>36</v>
      </c>
      <c r="F56" t="s">
        <v>1447</v>
      </c>
      <c r="G56" t="s">
        <v>1483</v>
      </c>
      <c r="H56">
        <v>16</v>
      </c>
      <c r="I56" s="23">
        <v>467.2</v>
      </c>
      <c r="J56">
        <v>611.03</v>
      </c>
      <c r="K56" s="23">
        <v>1041.31</v>
      </c>
      <c r="L56" s="23">
        <f t="shared" si="2"/>
        <v>1.7041880104086542</v>
      </c>
      <c r="M56">
        <v>16</v>
      </c>
      <c r="N56">
        <v>543.19000000000005</v>
      </c>
      <c r="O56">
        <v>587.16</v>
      </c>
      <c r="P56">
        <v>1000.64</v>
      </c>
      <c r="Q56" s="23">
        <f t="shared" si="0"/>
        <v>1.7042032836024252</v>
      </c>
      <c r="R56">
        <v>16</v>
      </c>
      <c r="S56">
        <v>520.25</v>
      </c>
      <c r="T56">
        <v>561.19000000000005</v>
      </c>
      <c r="U56">
        <v>956.39</v>
      </c>
      <c r="V56" s="23">
        <f t="shared" si="1"/>
        <v>1.704217822840749</v>
      </c>
    </row>
    <row r="57" spans="3:22">
      <c r="C57" t="s">
        <v>15</v>
      </c>
      <c r="D57" t="s">
        <v>208</v>
      </c>
      <c r="E57">
        <v>37</v>
      </c>
      <c r="F57" t="s">
        <v>1447</v>
      </c>
      <c r="G57" t="s">
        <v>1484</v>
      </c>
      <c r="H57">
        <v>36</v>
      </c>
      <c r="I57" s="23">
        <v>338.75</v>
      </c>
      <c r="J57">
        <v>476.63</v>
      </c>
      <c r="K57" s="23">
        <v>812.27</v>
      </c>
      <c r="L57" s="23">
        <f t="shared" si="2"/>
        <v>1.7041940289113149</v>
      </c>
      <c r="M57">
        <v>32</v>
      </c>
      <c r="N57">
        <v>431.16</v>
      </c>
      <c r="O57">
        <v>487.57</v>
      </c>
      <c r="P57">
        <v>830.92</v>
      </c>
      <c r="Q57" s="23">
        <f t="shared" si="0"/>
        <v>1.7042065754660869</v>
      </c>
      <c r="R57">
        <v>36</v>
      </c>
      <c r="S57">
        <v>367.62</v>
      </c>
      <c r="T57">
        <v>387.42</v>
      </c>
      <c r="U57">
        <v>660.25</v>
      </c>
      <c r="V57" s="23">
        <f t="shared" si="1"/>
        <v>1.7042228072892467</v>
      </c>
    </row>
    <row r="58" spans="3:22">
      <c r="C58" t="s">
        <v>15</v>
      </c>
      <c r="D58" t="s">
        <v>210</v>
      </c>
      <c r="E58">
        <v>38</v>
      </c>
      <c r="F58" t="s">
        <v>1447</v>
      </c>
      <c r="G58" t="s">
        <v>1485</v>
      </c>
      <c r="H58">
        <v>16</v>
      </c>
      <c r="I58" s="23">
        <v>487.03</v>
      </c>
      <c r="J58">
        <v>636.96</v>
      </c>
      <c r="K58" s="23">
        <v>1085.51</v>
      </c>
      <c r="L58" s="23">
        <f t="shared" si="2"/>
        <v>1.7042043456417983</v>
      </c>
      <c r="M58">
        <v>16</v>
      </c>
      <c r="N58">
        <v>561.12</v>
      </c>
      <c r="O58">
        <v>606.53</v>
      </c>
      <c r="P58">
        <v>1033.6500000000001</v>
      </c>
      <c r="Q58" s="23">
        <f t="shared" si="0"/>
        <v>1.704202595090103</v>
      </c>
      <c r="R58">
        <v>16</v>
      </c>
      <c r="S58">
        <v>540.67999999999995</v>
      </c>
      <c r="T58">
        <v>583.22</v>
      </c>
      <c r="U58">
        <v>993.93</v>
      </c>
      <c r="V58" s="23">
        <f t="shared" si="1"/>
        <v>1.7042111038716092</v>
      </c>
    </row>
    <row r="59" spans="3:22">
      <c r="C59" t="s">
        <v>15</v>
      </c>
      <c r="D59" t="s">
        <v>212</v>
      </c>
      <c r="E59">
        <v>39</v>
      </c>
      <c r="F59" t="s">
        <v>1447</v>
      </c>
      <c r="G59" t="s">
        <v>1486</v>
      </c>
      <c r="H59">
        <v>16</v>
      </c>
      <c r="I59" s="23">
        <v>457.29</v>
      </c>
      <c r="J59">
        <v>598.05999999999995</v>
      </c>
      <c r="K59" s="23">
        <v>1019.22</v>
      </c>
      <c r="L59" s="23">
        <f t="shared" si="2"/>
        <v>1.7042102799050265</v>
      </c>
      <c r="M59">
        <v>16</v>
      </c>
      <c r="N59">
        <v>533.54999999999995</v>
      </c>
      <c r="O59">
        <v>576.72</v>
      </c>
      <c r="P59">
        <v>982.85</v>
      </c>
      <c r="Q59" s="23">
        <f t="shared" si="0"/>
        <v>1.7042065473713413</v>
      </c>
      <c r="R59">
        <v>16</v>
      </c>
      <c r="S59">
        <v>511.4</v>
      </c>
      <c r="T59">
        <v>551.65</v>
      </c>
      <c r="U59">
        <v>940.11</v>
      </c>
      <c r="V59" s="23">
        <f t="shared" si="1"/>
        <v>1.7041783739690022</v>
      </c>
    </row>
    <row r="60" spans="3:22">
      <c r="C60" t="s">
        <v>15</v>
      </c>
      <c r="D60" t="s">
        <v>213</v>
      </c>
      <c r="E60">
        <v>40</v>
      </c>
      <c r="F60" t="s">
        <v>1447</v>
      </c>
      <c r="G60" t="s">
        <v>1487</v>
      </c>
      <c r="H60">
        <v>105</v>
      </c>
      <c r="I60" s="23">
        <v>298.64</v>
      </c>
      <c r="J60">
        <v>342.54</v>
      </c>
      <c r="K60" s="23">
        <v>583.76</v>
      </c>
      <c r="L60" s="23">
        <f t="shared" si="2"/>
        <v>1.7042097273311145</v>
      </c>
      <c r="M60">
        <v>96</v>
      </c>
      <c r="N60">
        <v>353.32</v>
      </c>
      <c r="O60">
        <v>359.27</v>
      </c>
      <c r="P60">
        <v>612.27</v>
      </c>
      <c r="Q60" s="23">
        <f t="shared" si="0"/>
        <v>1.7042057505497259</v>
      </c>
      <c r="R60">
        <v>105</v>
      </c>
      <c r="S60">
        <v>275.82</v>
      </c>
      <c r="T60">
        <v>307.91000000000003</v>
      </c>
      <c r="U60">
        <v>524.74</v>
      </c>
      <c r="V60" s="23">
        <f t="shared" si="1"/>
        <v>1.7041992790101002</v>
      </c>
    </row>
    <row r="61" spans="3:22">
      <c r="C61" t="s">
        <v>15</v>
      </c>
      <c r="D61" t="s">
        <v>215</v>
      </c>
      <c r="E61">
        <v>41</v>
      </c>
      <c r="F61" t="s">
        <v>1447</v>
      </c>
      <c r="G61" t="s">
        <v>1488</v>
      </c>
      <c r="H61">
        <v>114</v>
      </c>
      <c r="I61" s="23">
        <v>277.37</v>
      </c>
      <c r="J61">
        <v>334.78</v>
      </c>
      <c r="K61" s="23">
        <v>557.74</v>
      </c>
      <c r="L61" s="23">
        <f t="shared" si="2"/>
        <v>1.6659896051138063</v>
      </c>
      <c r="M61">
        <v>96</v>
      </c>
      <c r="N61">
        <v>338.23</v>
      </c>
      <c r="O61">
        <v>357.36</v>
      </c>
      <c r="P61">
        <v>609.02</v>
      </c>
      <c r="Q61" s="23">
        <f t="shared" si="0"/>
        <v>1.7042198343407207</v>
      </c>
      <c r="R61">
        <v>114</v>
      </c>
      <c r="S61">
        <v>276.35000000000002</v>
      </c>
      <c r="T61">
        <v>290.58</v>
      </c>
      <c r="U61">
        <v>495.21</v>
      </c>
      <c r="V61" s="23">
        <f t="shared" si="1"/>
        <v>1.7042122651249225</v>
      </c>
    </row>
    <row r="62" spans="3:22">
      <c r="C62" t="s">
        <v>15</v>
      </c>
      <c r="D62" t="s">
        <v>216</v>
      </c>
      <c r="E62">
        <v>42</v>
      </c>
      <c r="F62" t="s">
        <v>1447</v>
      </c>
      <c r="G62" t="s">
        <v>1489</v>
      </c>
      <c r="H62">
        <v>75</v>
      </c>
      <c r="I62" s="23">
        <v>297</v>
      </c>
      <c r="J62">
        <v>373.6</v>
      </c>
      <c r="K62" s="23">
        <v>636.69000000000005</v>
      </c>
      <c r="L62" s="23">
        <f t="shared" si="2"/>
        <v>1.7042023554603856</v>
      </c>
      <c r="M62">
        <v>48</v>
      </c>
      <c r="N62">
        <v>364.05</v>
      </c>
      <c r="O62">
        <v>392.1</v>
      </c>
      <c r="P62">
        <v>668.21</v>
      </c>
      <c r="Q62" s="23">
        <f t="shared" si="0"/>
        <v>1.7041826064779393</v>
      </c>
      <c r="R62">
        <v>75</v>
      </c>
      <c r="S62">
        <v>295.48</v>
      </c>
      <c r="T62">
        <v>310.19</v>
      </c>
      <c r="U62">
        <v>528.62</v>
      </c>
      <c r="V62" s="23">
        <f t="shared" si="1"/>
        <v>1.7041813082304393</v>
      </c>
    </row>
    <row r="63" spans="3:22">
      <c r="C63" t="s">
        <v>15</v>
      </c>
      <c r="D63" t="s">
        <v>218</v>
      </c>
      <c r="E63">
        <v>43</v>
      </c>
      <c r="F63" t="s">
        <v>1447</v>
      </c>
      <c r="G63" t="s">
        <v>1490</v>
      </c>
      <c r="H63">
        <v>137</v>
      </c>
      <c r="I63" s="23">
        <v>293.35000000000002</v>
      </c>
      <c r="J63">
        <v>362.79</v>
      </c>
      <c r="K63" s="23">
        <v>618.26</v>
      </c>
      <c r="L63" s="23">
        <f t="shared" si="2"/>
        <v>1.7041814824002866</v>
      </c>
      <c r="M63">
        <v>100</v>
      </c>
      <c r="N63">
        <v>360.67</v>
      </c>
      <c r="O63">
        <v>366.75</v>
      </c>
      <c r="P63">
        <v>625.02</v>
      </c>
      <c r="Q63" s="23">
        <f t="shared" si="0"/>
        <v>1.7042126789366052</v>
      </c>
      <c r="R63">
        <v>137</v>
      </c>
      <c r="S63">
        <v>283.01</v>
      </c>
      <c r="T63">
        <v>289.75</v>
      </c>
      <c r="U63">
        <v>493.79</v>
      </c>
      <c r="V63" s="23">
        <f t="shared" si="1"/>
        <v>1.704193270060397</v>
      </c>
    </row>
    <row r="64" spans="3:22">
      <c r="C64" t="s">
        <v>15</v>
      </c>
      <c r="D64" t="s">
        <v>220</v>
      </c>
      <c r="E64">
        <v>44</v>
      </c>
      <c r="F64" t="s">
        <v>1447</v>
      </c>
      <c r="G64" t="s">
        <v>1491</v>
      </c>
      <c r="H64">
        <v>16</v>
      </c>
      <c r="I64" s="23">
        <v>628.77</v>
      </c>
      <c r="J64">
        <v>822.33</v>
      </c>
      <c r="K64" s="23">
        <v>1401.42</v>
      </c>
      <c r="L64" s="23">
        <f t="shared" si="2"/>
        <v>1.704206340520229</v>
      </c>
      <c r="M64">
        <v>16</v>
      </c>
      <c r="N64">
        <v>721.04</v>
      </c>
      <c r="O64">
        <v>779.41</v>
      </c>
      <c r="P64">
        <v>1328.27</v>
      </c>
      <c r="Q64" s="23">
        <f t="shared" si="0"/>
        <v>1.7041993302626346</v>
      </c>
      <c r="R64">
        <v>16</v>
      </c>
      <c r="S64">
        <v>691.18</v>
      </c>
      <c r="T64">
        <v>745.56</v>
      </c>
      <c r="U64">
        <v>1270.58</v>
      </c>
      <c r="V64" s="23">
        <f t="shared" si="1"/>
        <v>1.7041955040506465</v>
      </c>
    </row>
    <row r="65" spans="3:22">
      <c r="C65" t="s">
        <v>15</v>
      </c>
      <c r="D65" t="s">
        <v>221</v>
      </c>
      <c r="E65">
        <v>45</v>
      </c>
      <c r="F65" t="s">
        <v>1447</v>
      </c>
      <c r="G65" t="s">
        <v>1492</v>
      </c>
      <c r="H65">
        <v>41</v>
      </c>
      <c r="I65" s="23">
        <v>413.01</v>
      </c>
      <c r="J65">
        <v>561.67999999999995</v>
      </c>
      <c r="K65" s="23">
        <v>935.78</v>
      </c>
      <c r="L65" s="23">
        <f t="shared" si="2"/>
        <v>1.6660376014812706</v>
      </c>
      <c r="M65">
        <v>32</v>
      </c>
      <c r="N65">
        <v>528.95000000000005</v>
      </c>
      <c r="O65">
        <v>598.16</v>
      </c>
      <c r="P65">
        <v>1019.38</v>
      </c>
      <c r="Q65" s="23">
        <f t="shared" si="0"/>
        <v>1.7041928580981678</v>
      </c>
      <c r="R65">
        <v>41</v>
      </c>
      <c r="S65">
        <v>381.13</v>
      </c>
      <c r="T65">
        <v>435.29</v>
      </c>
      <c r="U65">
        <v>741.82</v>
      </c>
      <c r="V65" s="23">
        <f t="shared" si="1"/>
        <v>1.704197201865423</v>
      </c>
    </row>
    <row r="66" spans="3:22">
      <c r="C66" t="s">
        <v>15</v>
      </c>
      <c r="D66" t="s">
        <v>223</v>
      </c>
      <c r="E66">
        <v>46</v>
      </c>
      <c r="F66" t="s">
        <v>1447</v>
      </c>
      <c r="G66" t="s">
        <v>1493</v>
      </c>
      <c r="H66">
        <v>97</v>
      </c>
      <c r="I66" s="23">
        <v>302.70999999999998</v>
      </c>
      <c r="J66">
        <v>409.04</v>
      </c>
      <c r="K66" s="23">
        <v>681.46</v>
      </c>
      <c r="L66" s="23">
        <f t="shared" si="2"/>
        <v>1.665998435360845</v>
      </c>
      <c r="M66">
        <v>48</v>
      </c>
      <c r="N66">
        <v>374.81</v>
      </c>
      <c r="O66">
        <v>403.69</v>
      </c>
      <c r="P66">
        <v>687.97</v>
      </c>
      <c r="Q66" s="23">
        <f t="shared" si="0"/>
        <v>1.7042037206767571</v>
      </c>
      <c r="R66">
        <v>97</v>
      </c>
      <c r="S66">
        <v>300.51</v>
      </c>
      <c r="T66">
        <v>357.55</v>
      </c>
      <c r="U66">
        <v>609.33000000000004</v>
      </c>
      <c r="V66" s="23">
        <f t="shared" si="1"/>
        <v>1.704181233393931</v>
      </c>
    </row>
    <row r="67" spans="3:22">
      <c r="C67" t="s">
        <v>15</v>
      </c>
      <c r="D67" t="s">
        <v>225</v>
      </c>
      <c r="E67">
        <v>47</v>
      </c>
      <c r="F67" t="s">
        <v>1447</v>
      </c>
      <c r="G67" t="s">
        <v>1494</v>
      </c>
      <c r="H67">
        <v>81</v>
      </c>
      <c r="I67" s="23">
        <v>424.53</v>
      </c>
      <c r="J67">
        <v>569.27</v>
      </c>
      <c r="K67" s="23">
        <v>948.42</v>
      </c>
      <c r="L67" s="23">
        <f t="shared" si="2"/>
        <v>1.6660284223654855</v>
      </c>
      <c r="M67">
        <v>80</v>
      </c>
      <c r="N67">
        <v>359.94</v>
      </c>
      <c r="O67">
        <v>366</v>
      </c>
      <c r="P67">
        <v>623.74</v>
      </c>
      <c r="Q67" s="23">
        <f t="shared" si="0"/>
        <v>1.704207650273224</v>
      </c>
      <c r="R67">
        <v>81</v>
      </c>
      <c r="S67">
        <v>277.95</v>
      </c>
      <c r="T67">
        <v>355.17</v>
      </c>
      <c r="U67">
        <v>605.29</v>
      </c>
      <c r="V67" s="23">
        <f t="shared" si="1"/>
        <v>1.7042261452262295</v>
      </c>
    </row>
    <row r="68" spans="3:22">
      <c r="C68" t="s">
        <v>15</v>
      </c>
      <c r="D68" t="s">
        <v>227</v>
      </c>
      <c r="E68">
        <v>48</v>
      </c>
      <c r="F68" t="s">
        <v>1447</v>
      </c>
      <c r="G68" t="s">
        <v>1495</v>
      </c>
      <c r="H68">
        <v>143</v>
      </c>
      <c r="I68" s="23">
        <v>310.66000000000003</v>
      </c>
      <c r="J68">
        <v>384.2</v>
      </c>
      <c r="K68" s="23">
        <v>654.75</v>
      </c>
      <c r="L68" s="23">
        <f t="shared" si="2"/>
        <v>1.7041905257678294</v>
      </c>
      <c r="M68">
        <v>109</v>
      </c>
      <c r="N68">
        <v>291.54000000000002</v>
      </c>
      <c r="O68">
        <v>383.33</v>
      </c>
      <c r="P68">
        <v>653.28</v>
      </c>
      <c r="Q68" s="23">
        <f t="shared" si="0"/>
        <v>1.7042235149870868</v>
      </c>
      <c r="R68">
        <v>143</v>
      </c>
      <c r="S68">
        <v>301.74</v>
      </c>
      <c r="T68">
        <v>308.52</v>
      </c>
      <c r="U68">
        <v>525.79</v>
      </c>
      <c r="V68" s="23">
        <f t="shared" si="1"/>
        <v>1.7042331129262285</v>
      </c>
    </row>
    <row r="69" spans="3:22">
      <c r="C69" t="s">
        <v>15</v>
      </c>
      <c r="D69" t="s">
        <v>229</v>
      </c>
      <c r="E69">
        <v>49</v>
      </c>
      <c r="F69" t="s">
        <v>1447</v>
      </c>
      <c r="G69" t="s">
        <v>1496</v>
      </c>
      <c r="H69">
        <v>143</v>
      </c>
      <c r="I69" s="23">
        <v>304.3</v>
      </c>
      <c r="J69">
        <v>377.21</v>
      </c>
      <c r="K69" s="23">
        <v>642.84</v>
      </c>
      <c r="L69" s="23">
        <f t="shared" si="2"/>
        <v>1.7041966013626364</v>
      </c>
      <c r="M69">
        <v>113</v>
      </c>
      <c r="N69">
        <v>286.29000000000002</v>
      </c>
      <c r="O69">
        <v>376.43</v>
      </c>
      <c r="P69">
        <v>641.52</v>
      </c>
      <c r="Q69" s="23">
        <f t="shared" si="0"/>
        <v>1.7042212363520441</v>
      </c>
      <c r="R69">
        <v>143</v>
      </c>
      <c r="S69">
        <v>292.55</v>
      </c>
      <c r="T69">
        <v>292.94</v>
      </c>
      <c r="U69">
        <v>499.23</v>
      </c>
      <c r="V69" s="23">
        <f t="shared" si="1"/>
        <v>1.704205639380078</v>
      </c>
    </row>
    <row r="70" spans="3:22">
      <c r="C70" t="s">
        <v>15</v>
      </c>
      <c r="D70" t="s">
        <v>231</v>
      </c>
      <c r="E70">
        <v>50</v>
      </c>
      <c r="F70" t="s">
        <v>1447</v>
      </c>
      <c r="G70" t="s">
        <v>1497</v>
      </c>
      <c r="H70">
        <v>157</v>
      </c>
      <c r="I70" s="23">
        <v>301.47000000000003</v>
      </c>
      <c r="J70">
        <v>348.71</v>
      </c>
      <c r="K70" s="23">
        <v>594.27</v>
      </c>
      <c r="L70" s="23">
        <f t="shared" si="2"/>
        <v>1.7041954632789424</v>
      </c>
      <c r="M70">
        <v>100</v>
      </c>
      <c r="N70">
        <v>364.35</v>
      </c>
      <c r="O70">
        <v>370.49</v>
      </c>
      <c r="P70">
        <v>631.39</v>
      </c>
      <c r="Q70" s="23">
        <f t="shared" si="0"/>
        <v>1.704202542578747</v>
      </c>
      <c r="R70">
        <v>157</v>
      </c>
      <c r="S70">
        <v>281.25</v>
      </c>
      <c r="T70">
        <v>301.52</v>
      </c>
      <c r="U70">
        <v>513.85</v>
      </c>
      <c r="V70" s="23">
        <f t="shared" si="1"/>
        <v>1.7041987264526401</v>
      </c>
    </row>
    <row r="71" spans="3:22">
      <c r="C71" t="s">
        <v>15</v>
      </c>
      <c r="D71" t="s">
        <v>233</v>
      </c>
      <c r="E71">
        <v>51</v>
      </c>
      <c r="F71" t="s">
        <v>1447</v>
      </c>
      <c r="G71" t="s">
        <v>1498</v>
      </c>
      <c r="H71">
        <v>143</v>
      </c>
      <c r="I71" s="23">
        <v>319.5</v>
      </c>
      <c r="J71">
        <v>362.7</v>
      </c>
      <c r="K71" s="23">
        <v>618.12</v>
      </c>
      <c r="L71" s="23">
        <f t="shared" si="2"/>
        <v>1.7042183622828784</v>
      </c>
      <c r="M71">
        <v>96</v>
      </c>
      <c r="N71">
        <v>388.24</v>
      </c>
      <c r="O71">
        <v>394.79</v>
      </c>
      <c r="P71">
        <v>672.8</v>
      </c>
      <c r="Q71" s="23">
        <f t="shared" si="0"/>
        <v>1.7041971681146937</v>
      </c>
      <c r="R71">
        <v>143</v>
      </c>
      <c r="S71">
        <v>292.58</v>
      </c>
      <c r="T71">
        <v>295.89</v>
      </c>
      <c r="U71">
        <v>504.26</v>
      </c>
      <c r="V71" s="23">
        <f t="shared" si="1"/>
        <v>1.704214404001487</v>
      </c>
    </row>
    <row r="72" spans="3:22">
      <c r="C72" t="s">
        <v>15</v>
      </c>
      <c r="D72" t="s">
        <v>235</v>
      </c>
      <c r="E72">
        <v>52</v>
      </c>
      <c r="F72" t="s">
        <v>1447</v>
      </c>
      <c r="G72" t="s">
        <v>1499</v>
      </c>
      <c r="H72">
        <v>143</v>
      </c>
      <c r="I72" s="23">
        <v>332.22</v>
      </c>
      <c r="J72">
        <v>359.17</v>
      </c>
      <c r="K72" s="23">
        <v>612.09</v>
      </c>
      <c r="L72" s="23">
        <f t="shared" si="2"/>
        <v>1.7041790795445053</v>
      </c>
      <c r="M72">
        <v>100</v>
      </c>
      <c r="N72">
        <v>394.86</v>
      </c>
      <c r="O72">
        <v>399.8</v>
      </c>
      <c r="P72">
        <v>681.34</v>
      </c>
      <c r="Q72" s="23">
        <f t="shared" si="0"/>
        <v>1.7042021010505253</v>
      </c>
      <c r="R72">
        <v>143</v>
      </c>
      <c r="S72">
        <v>292.58</v>
      </c>
      <c r="T72">
        <v>300.64999999999998</v>
      </c>
      <c r="U72">
        <v>512.37</v>
      </c>
      <c r="V72" s="23">
        <f t="shared" si="1"/>
        <v>1.7042075503076668</v>
      </c>
    </row>
    <row r="73" spans="3:22">
      <c r="C73" t="s">
        <v>15</v>
      </c>
      <c r="D73" t="s">
        <v>237</v>
      </c>
      <c r="E73">
        <v>53</v>
      </c>
      <c r="F73" t="s">
        <v>1447</v>
      </c>
      <c r="G73" t="s">
        <v>1500</v>
      </c>
      <c r="H73">
        <v>113</v>
      </c>
      <c r="I73" s="23">
        <v>326.56</v>
      </c>
      <c r="J73">
        <v>353.5</v>
      </c>
      <c r="K73" s="23">
        <v>602.44000000000005</v>
      </c>
      <c r="L73" s="23">
        <f t="shared" si="2"/>
        <v>1.7042149929278643</v>
      </c>
      <c r="M73">
        <v>100</v>
      </c>
      <c r="N73">
        <v>388.24</v>
      </c>
      <c r="O73">
        <v>388.58</v>
      </c>
      <c r="P73">
        <v>662.21</v>
      </c>
      <c r="Q73" s="23">
        <f t="shared" ref="Q73:Q136" si="3">P73/O73</f>
        <v>1.7041793195738331</v>
      </c>
      <c r="R73">
        <v>113</v>
      </c>
      <c r="S73">
        <v>299.24</v>
      </c>
      <c r="T73">
        <v>333.13</v>
      </c>
      <c r="U73">
        <v>567.72</v>
      </c>
      <c r="V73" s="23">
        <f t="shared" ref="V73:V136" si="4">U73/T73</f>
        <v>1.7041995617326571</v>
      </c>
    </row>
    <row r="74" spans="3:22">
      <c r="C74" t="s">
        <v>15</v>
      </c>
      <c r="D74" t="s">
        <v>239</v>
      </c>
      <c r="E74">
        <v>54</v>
      </c>
      <c r="F74" t="s">
        <v>1447</v>
      </c>
      <c r="G74" t="s">
        <v>1501</v>
      </c>
      <c r="H74">
        <v>84</v>
      </c>
      <c r="I74" s="23">
        <v>478.86</v>
      </c>
      <c r="J74">
        <v>626.28</v>
      </c>
      <c r="K74" s="23">
        <v>1067.31</v>
      </c>
      <c r="L74" s="23">
        <f t="shared" si="2"/>
        <v>1.7042057865491473</v>
      </c>
      <c r="M74">
        <v>64</v>
      </c>
      <c r="N74">
        <v>375.01</v>
      </c>
      <c r="O74">
        <v>381.33</v>
      </c>
      <c r="P74">
        <v>649.86</v>
      </c>
      <c r="Q74" s="23">
        <f t="shared" si="3"/>
        <v>1.7041932184721895</v>
      </c>
      <c r="R74">
        <v>84</v>
      </c>
      <c r="S74">
        <v>289.81</v>
      </c>
      <c r="T74">
        <v>337.39</v>
      </c>
      <c r="U74">
        <v>574.98</v>
      </c>
      <c r="V74" s="23">
        <f t="shared" si="4"/>
        <v>1.7041998873706987</v>
      </c>
    </row>
    <row r="75" spans="3:22">
      <c r="C75" t="s">
        <v>15</v>
      </c>
      <c r="D75" t="s">
        <v>241</v>
      </c>
      <c r="E75">
        <v>55</v>
      </c>
      <c r="F75" t="s">
        <v>1447</v>
      </c>
      <c r="G75" t="s">
        <v>1502</v>
      </c>
      <c r="H75">
        <v>65</v>
      </c>
      <c r="I75" s="23">
        <v>319.85000000000002</v>
      </c>
      <c r="J75">
        <v>402.34</v>
      </c>
      <c r="K75" s="23">
        <v>685.66</v>
      </c>
      <c r="L75" s="23">
        <f t="shared" si="2"/>
        <v>1.7041805438186608</v>
      </c>
      <c r="M75">
        <v>48</v>
      </c>
      <c r="N75">
        <v>394.17</v>
      </c>
      <c r="O75">
        <v>424.54</v>
      </c>
      <c r="P75">
        <v>723.51</v>
      </c>
      <c r="Q75" s="23">
        <f t="shared" si="3"/>
        <v>1.7042210392424741</v>
      </c>
      <c r="R75">
        <v>65</v>
      </c>
      <c r="S75">
        <v>309.62</v>
      </c>
      <c r="T75">
        <v>362.1</v>
      </c>
      <c r="U75">
        <v>617.09</v>
      </c>
      <c r="V75" s="23">
        <f t="shared" si="4"/>
        <v>1.7041977354322011</v>
      </c>
    </row>
    <row r="76" spans="3:22">
      <c r="C76" t="s">
        <v>15</v>
      </c>
      <c r="D76" t="s">
        <v>243</v>
      </c>
      <c r="E76">
        <v>56</v>
      </c>
      <c r="F76" t="s">
        <v>1447</v>
      </c>
      <c r="G76" t="s">
        <v>1503</v>
      </c>
      <c r="H76">
        <v>98</v>
      </c>
      <c r="I76" s="23">
        <v>299.5</v>
      </c>
      <c r="J76">
        <v>376.75</v>
      </c>
      <c r="K76" s="23">
        <v>642.04999999999995</v>
      </c>
      <c r="L76" s="23">
        <f t="shared" ref="L76:L139" si="5">K76/J76</f>
        <v>1.7041804910418048</v>
      </c>
      <c r="M76">
        <v>96</v>
      </c>
      <c r="N76">
        <v>355.87</v>
      </c>
      <c r="O76">
        <v>383.3</v>
      </c>
      <c r="P76">
        <v>653.21</v>
      </c>
      <c r="Q76" s="23">
        <f t="shared" si="3"/>
        <v>1.7041742760240022</v>
      </c>
      <c r="R76">
        <v>98</v>
      </c>
      <c r="S76">
        <v>318.5</v>
      </c>
      <c r="T76">
        <v>353.7</v>
      </c>
      <c r="U76">
        <v>602.78</v>
      </c>
      <c r="V76" s="23">
        <f t="shared" si="4"/>
        <v>1.704212609556121</v>
      </c>
    </row>
    <row r="77" spans="3:22">
      <c r="C77" t="s">
        <v>15</v>
      </c>
      <c r="D77" t="s">
        <v>245</v>
      </c>
      <c r="E77">
        <v>57</v>
      </c>
      <c r="F77" t="s">
        <v>1447</v>
      </c>
      <c r="G77" t="s">
        <v>1504</v>
      </c>
      <c r="H77">
        <v>207</v>
      </c>
      <c r="I77" s="23">
        <v>315.97000000000003</v>
      </c>
      <c r="J77">
        <v>376.16</v>
      </c>
      <c r="K77" s="23">
        <v>626.67999999999995</v>
      </c>
      <c r="L77" s="23">
        <f t="shared" si="5"/>
        <v>1.6659931943853676</v>
      </c>
      <c r="M77">
        <v>177</v>
      </c>
      <c r="N77">
        <v>286.29000000000002</v>
      </c>
      <c r="O77">
        <v>376.43</v>
      </c>
      <c r="P77">
        <v>641.52</v>
      </c>
      <c r="Q77" s="23">
        <f t="shared" si="3"/>
        <v>1.7042212363520441</v>
      </c>
      <c r="R77">
        <v>207</v>
      </c>
      <c r="S77">
        <v>292.94</v>
      </c>
      <c r="T77">
        <v>301.11</v>
      </c>
      <c r="U77">
        <v>513.15</v>
      </c>
      <c r="V77" s="23">
        <f t="shared" si="4"/>
        <v>1.7041944804224369</v>
      </c>
    </row>
    <row r="78" spans="3:22">
      <c r="C78" t="s">
        <v>15</v>
      </c>
      <c r="D78" t="s">
        <v>247</v>
      </c>
      <c r="E78">
        <v>58</v>
      </c>
      <c r="F78" t="s">
        <v>1447</v>
      </c>
      <c r="G78" t="s">
        <v>1505</v>
      </c>
      <c r="H78">
        <v>80</v>
      </c>
      <c r="I78" s="23">
        <v>294.86</v>
      </c>
      <c r="J78">
        <v>375.69</v>
      </c>
      <c r="K78" s="23">
        <v>625.9</v>
      </c>
      <c r="L78" s="23">
        <f t="shared" si="5"/>
        <v>1.6660012244137454</v>
      </c>
      <c r="M78">
        <v>48</v>
      </c>
      <c r="N78">
        <v>346.41</v>
      </c>
      <c r="O78">
        <v>373.1</v>
      </c>
      <c r="P78">
        <v>635.83000000000004</v>
      </c>
      <c r="Q78" s="23">
        <f t="shared" si="3"/>
        <v>1.7041811846689896</v>
      </c>
      <c r="R78">
        <v>80</v>
      </c>
      <c r="S78">
        <v>343.82</v>
      </c>
      <c r="T78">
        <v>353.27</v>
      </c>
      <c r="U78">
        <v>602.04</v>
      </c>
      <c r="V78" s="23">
        <f t="shared" si="4"/>
        <v>1.7041922608769495</v>
      </c>
    </row>
    <row r="79" spans="3:22">
      <c r="C79" t="s">
        <v>15</v>
      </c>
      <c r="D79" t="s">
        <v>249</v>
      </c>
      <c r="E79">
        <v>59</v>
      </c>
      <c r="F79" t="s">
        <v>1447</v>
      </c>
      <c r="G79" t="s">
        <v>1506</v>
      </c>
      <c r="H79">
        <v>104</v>
      </c>
      <c r="I79" s="23">
        <v>363.38</v>
      </c>
      <c r="J79">
        <v>388.63</v>
      </c>
      <c r="K79" s="23">
        <v>662.3</v>
      </c>
      <c r="L79" s="23">
        <f t="shared" si="5"/>
        <v>1.7041916475825334</v>
      </c>
      <c r="M79">
        <v>80</v>
      </c>
      <c r="N79">
        <v>404.05</v>
      </c>
      <c r="O79">
        <v>410.87</v>
      </c>
      <c r="P79">
        <v>700.2</v>
      </c>
      <c r="Q79" s="23">
        <f t="shared" si="3"/>
        <v>1.7041886728162194</v>
      </c>
      <c r="R79">
        <v>104</v>
      </c>
      <c r="S79">
        <v>305.79000000000002</v>
      </c>
      <c r="T79">
        <v>318.62</v>
      </c>
      <c r="U79">
        <v>542.99</v>
      </c>
      <c r="V79" s="23">
        <f t="shared" si="4"/>
        <v>1.7041930826690102</v>
      </c>
    </row>
    <row r="80" spans="3:22">
      <c r="C80" t="s">
        <v>15</v>
      </c>
      <c r="D80" t="s">
        <v>251</v>
      </c>
      <c r="E80">
        <v>60</v>
      </c>
      <c r="F80" t="s">
        <v>1447</v>
      </c>
      <c r="G80" t="s">
        <v>1507</v>
      </c>
      <c r="H80">
        <v>53</v>
      </c>
      <c r="I80" s="23">
        <v>282.01</v>
      </c>
      <c r="J80">
        <v>354.74</v>
      </c>
      <c r="K80" s="23">
        <v>604.54</v>
      </c>
      <c r="L80" s="23">
        <f t="shared" si="5"/>
        <v>1.7041777076168461</v>
      </c>
      <c r="M80">
        <v>48</v>
      </c>
      <c r="N80">
        <v>350.28</v>
      </c>
      <c r="O80">
        <v>377.27</v>
      </c>
      <c r="P80">
        <v>642.94000000000005</v>
      </c>
      <c r="Q80" s="23">
        <f t="shared" si="3"/>
        <v>1.7041906327033691</v>
      </c>
      <c r="R80">
        <v>53</v>
      </c>
      <c r="S80">
        <v>356.27</v>
      </c>
      <c r="T80">
        <v>381.4</v>
      </c>
      <c r="U80">
        <v>649.98</v>
      </c>
      <c r="V80" s="23">
        <f t="shared" si="4"/>
        <v>1.7041950707918199</v>
      </c>
    </row>
    <row r="81" spans="3:22">
      <c r="C81" t="s">
        <v>15</v>
      </c>
      <c r="D81" t="s">
        <v>252</v>
      </c>
      <c r="E81">
        <v>61</v>
      </c>
      <c r="F81" t="s">
        <v>1447</v>
      </c>
      <c r="G81" t="s">
        <v>1508</v>
      </c>
      <c r="H81">
        <v>36</v>
      </c>
      <c r="I81" s="23">
        <v>350.67</v>
      </c>
      <c r="J81">
        <v>481.78</v>
      </c>
      <c r="K81" s="23">
        <v>802.66</v>
      </c>
      <c r="L81" s="23">
        <f t="shared" si="5"/>
        <v>1.6660301382373697</v>
      </c>
      <c r="M81">
        <v>32</v>
      </c>
      <c r="N81">
        <v>432.14</v>
      </c>
      <c r="O81">
        <v>488.69</v>
      </c>
      <c r="P81">
        <v>832.83</v>
      </c>
      <c r="Q81" s="23">
        <f t="shared" si="3"/>
        <v>1.704209212384129</v>
      </c>
      <c r="R81">
        <v>36</v>
      </c>
      <c r="S81">
        <v>375.97</v>
      </c>
      <c r="T81">
        <v>396.23</v>
      </c>
      <c r="U81">
        <v>675.25</v>
      </c>
      <c r="V81" s="23">
        <f t="shared" si="4"/>
        <v>1.7041869621179617</v>
      </c>
    </row>
    <row r="82" spans="3:22">
      <c r="C82" t="s">
        <v>15</v>
      </c>
      <c r="D82" t="s">
        <v>254</v>
      </c>
      <c r="E82">
        <v>62</v>
      </c>
      <c r="F82" t="s">
        <v>1447</v>
      </c>
      <c r="G82" t="s">
        <v>1509</v>
      </c>
      <c r="H82">
        <v>16</v>
      </c>
      <c r="I82" s="23">
        <v>449.7</v>
      </c>
      <c r="J82">
        <v>588.14</v>
      </c>
      <c r="K82" s="23">
        <v>1002.3</v>
      </c>
      <c r="L82" s="23">
        <f t="shared" si="5"/>
        <v>1.7041860781446594</v>
      </c>
      <c r="M82">
        <v>16</v>
      </c>
      <c r="N82">
        <v>517.69000000000005</v>
      </c>
      <c r="O82">
        <v>559.59</v>
      </c>
      <c r="P82">
        <v>953.65</v>
      </c>
      <c r="Q82" s="23">
        <f t="shared" si="3"/>
        <v>1.7041941421397808</v>
      </c>
      <c r="R82">
        <v>16</v>
      </c>
      <c r="S82">
        <v>502.55</v>
      </c>
      <c r="T82">
        <v>542.09</v>
      </c>
      <c r="U82">
        <v>923.83</v>
      </c>
      <c r="V82" s="23">
        <f t="shared" si="4"/>
        <v>1.7042004095260934</v>
      </c>
    </row>
    <row r="83" spans="3:22">
      <c r="C83" t="s">
        <v>15</v>
      </c>
      <c r="D83" t="s">
        <v>256</v>
      </c>
      <c r="E83">
        <v>63</v>
      </c>
      <c r="F83" t="s">
        <v>1447</v>
      </c>
      <c r="G83" t="s">
        <v>1510</v>
      </c>
      <c r="H83">
        <v>16</v>
      </c>
      <c r="I83" s="23">
        <v>505.11</v>
      </c>
      <c r="J83">
        <v>660.61</v>
      </c>
      <c r="K83" s="23">
        <v>1125.81</v>
      </c>
      <c r="L83" s="23">
        <f t="shared" si="5"/>
        <v>1.7041976355186872</v>
      </c>
      <c r="M83">
        <v>16</v>
      </c>
      <c r="N83">
        <v>599.03</v>
      </c>
      <c r="O83">
        <v>647.52</v>
      </c>
      <c r="P83">
        <v>1103.5</v>
      </c>
      <c r="Q83" s="23">
        <f t="shared" si="3"/>
        <v>1.7041944650358292</v>
      </c>
      <c r="R83">
        <v>16</v>
      </c>
      <c r="S83">
        <v>583.58000000000004</v>
      </c>
      <c r="T83">
        <v>629.5</v>
      </c>
      <c r="U83">
        <v>1072.8</v>
      </c>
      <c r="V83" s="23">
        <f t="shared" si="4"/>
        <v>1.7042096902303414</v>
      </c>
    </row>
    <row r="84" spans="3:22">
      <c r="C84" t="s">
        <v>15</v>
      </c>
      <c r="D84" t="s">
        <v>258</v>
      </c>
      <c r="E84">
        <v>64</v>
      </c>
      <c r="F84" t="s">
        <v>1447</v>
      </c>
      <c r="G84" t="s">
        <v>1511</v>
      </c>
      <c r="H84">
        <v>176</v>
      </c>
      <c r="I84" s="23">
        <v>347.13</v>
      </c>
      <c r="J84">
        <v>355.8</v>
      </c>
      <c r="K84" s="23">
        <v>606.35</v>
      </c>
      <c r="L84" s="23">
        <f t="shared" si="5"/>
        <v>1.7041877459246768</v>
      </c>
      <c r="M84">
        <v>148</v>
      </c>
      <c r="N84">
        <v>371.02</v>
      </c>
      <c r="O84">
        <v>384.65</v>
      </c>
      <c r="P84">
        <v>655.52</v>
      </c>
      <c r="Q84" s="23">
        <f t="shared" si="3"/>
        <v>1.7041986221240089</v>
      </c>
      <c r="R84">
        <v>176</v>
      </c>
      <c r="S84">
        <v>291.99</v>
      </c>
      <c r="T84">
        <v>299.20999999999998</v>
      </c>
      <c r="U84">
        <v>509.91</v>
      </c>
      <c r="V84" s="23">
        <f t="shared" si="4"/>
        <v>1.7041876942615557</v>
      </c>
    </row>
    <row r="85" spans="3:22">
      <c r="C85" t="s">
        <v>15</v>
      </c>
      <c r="D85" t="s">
        <v>260</v>
      </c>
      <c r="E85">
        <v>65</v>
      </c>
      <c r="F85" t="s">
        <v>1447</v>
      </c>
      <c r="G85" t="s">
        <v>1512</v>
      </c>
      <c r="H85">
        <v>16</v>
      </c>
      <c r="I85" s="23">
        <v>537.19000000000005</v>
      </c>
      <c r="J85">
        <v>702.57</v>
      </c>
      <c r="K85" s="23">
        <v>1197.32</v>
      </c>
      <c r="L85" s="23">
        <f t="shared" si="5"/>
        <v>1.7042002932092173</v>
      </c>
      <c r="M85">
        <v>16</v>
      </c>
      <c r="N85">
        <v>625.23</v>
      </c>
      <c r="O85">
        <v>675.83</v>
      </c>
      <c r="P85">
        <v>1151.76</v>
      </c>
      <c r="Q85" s="23">
        <f t="shared" si="3"/>
        <v>1.704215557166743</v>
      </c>
      <c r="R85">
        <v>16</v>
      </c>
      <c r="S85">
        <v>599.25</v>
      </c>
      <c r="T85">
        <v>646.4</v>
      </c>
      <c r="U85">
        <v>1101.5899999999999</v>
      </c>
      <c r="V85" s="23">
        <f t="shared" si="4"/>
        <v>1.7041924504950494</v>
      </c>
    </row>
    <row r="86" spans="3:22">
      <c r="C86" t="s">
        <v>15</v>
      </c>
      <c r="D86" t="s">
        <v>262</v>
      </c>
      <c r="E86">
        <v>66</v>
      </c>
      <c r="F86" t="s">
        <v>1447</v>
      </c>
      <c r="G86" t="s">
        <v>1513</v>
      </c>
      <c r="H86">
        <v>97</v>
      </c>
      <c r="I86" s="23">
        <v>313.77999999999997</v>
      </c>
      <c r="J86">
        <v>399.51</v>
      </c>
      <c r="K86" s="23">
        <v>665.6</v>
      </c>
      <c r="L86" s="23">
        <f t="shared" si="5"/>
        <v>1.6660409001026257</v>
      </c>
      <c r="M86">
        <v>48</v>
      </c>
      <c r="N86">
        <v>389.44</v>
      </c>
      <c r="O86">
        <v>419.45</v>
      </c>
      <c r="P86">
        <v>714.83</v>
      </c>
      <c r="Q86" s="23">
        <f t="shared" si="3"/>
        <v>1.7042078912862082</v>
      </c>
      <c r="R86">
        <v>97</v>
      </c>
      <c r="S86">
        <v>281.79000000000002</v>
      </c>
      <c r="T86">
        <v>360.08</v>
      </c>
      <c r="U86">
        <v>613.64</v>
      </c>
      <c r="V86" s="23">
        <f t="shared" si="4"/>
        <v>1.7041768495889802</v>
      </c>
    </row>
    <row r="87" spans="3:22">
      <c r="C87" t="s">
        <v>15</v>
      </c>
      <c r="D87" t="s">
        <v>264</v>
      </c>
      <c r="E87">
        <v>67</v>
      </c>
      <c r="F87" t="s">
        <v>1447</v>
      </c>
      <c r="G87" t="s">
        <v>1514</v>
      </c>
      <c r="H87">
        <v>16</v>
      </c>
      <c r="I87" s="23">
        <v>460.2</v>
      </c>
      <c r="J87">
        <v>601.88</v>
      </c>
      <c r="K87" s="23">
        <v>1025.72</v>
      </c>
      <c r="L87" s="23">
        <f t="shared" si="5"/>
        <v>1.7041935269488935</v>
      </c>
      <c r="M87">
        <v>16</v>
      </c>
      <c r="N87">
        <v>530.79</v>
      </c>
      <c r="O87">
        <v>573.75</v>
      </c>
      <c r="P87">
        <v>977.78</v>
      </c>
      <c r="Q87" s="23">
        <f t="shared" si="3"/>
        <v>1.7041917211328976</v>
      </c>
      <c r="R87">
        <v>16</v>
      </c>
      <c r="S87">
        <v>514.13</v>
      </c>
      <c r="T87">
        <v>554.58000000000004</v>
      </c>
      <c r="U87">
        <v>945.12</v>
      </c>
      <c r="V87" s="23">
        <f t="shared" si="4"/>
        <v>1.7042085902845396</v>
      </c>
    </row>
    <row r="88" spans="3:22">
      <c r="C88" t="s">
        <v>16</v>
      </c>
      <c r="D88" t="s">
        <v>72</v>
      </c>
      <c r="E88">
        <v>1</v>
      </c>
      <c r="F88" t="s">
        <v>1515</v>
      </c>
      <c r="G88" t="s">
        <v>1516</v>
      </c>
      <c r="H88">
        <v>12</v>
      </c>
      <c r="I88" s="23">
        <v>433.92</v>
      </c>
      <c r="J88">
        <v>454.27</v>
      </c>
      <c r="K88" s="23">
        <v>774.17</v>
      </c>
      <c r="L88" s="23">
        <f t="shared" si="5"/>
        <v>1.7042067492900697</v>
      </c>
      <c r="M88">
        <v>44</v>
      </c>
      <c r="N88">
        <v>412.95</v>
      </c>
      <c r="O88">
        <v>434.22</v>
      </c>
      <c r="P88">
        <v>740</v>
      </c>
      <c r="Q88" s="23">
        <f t="shared" si="3"/>
        <v>1.7042052415826079</v>
      </c>
      <c r="R88">
        <v>12</v>
      </c>
      <c r="S88">
        <v>358.56</v>
      </c>
      <c r="T88">
        <v>392.69</v>
      </c>
      <c r="U88">
        <v>669.23</v>
      </c>
      <c r="V88" s="23">
        <f t="shared" si="4"/>
        <v>1.7042196134355345</v>
      </c>
    </row>
    <row r="89" spans="3:22">
      <c r="C89" t="s">
        <v>16</v>
      </c>
      <c r="D89" t="s">
        <v>74</v>
      </c>
      <c r="E89">
        <v>2</v>
      </c>
      <c r="F89" t="s">
        <v>1515</v>
      </c>
      <c r="G89" t="s">
        <v>1517</v>
      </c>
      <c r="H89">
        <v>41</v>
      </c>
      <c r="I89" s="23">
        <v>316.99</v>
      </c>
      <c r="J89">
        <v>331.86</v>
      </c>
      <c r="K89" s="23">
        <v>565.54999999999995</v>
      </c>
      <c r="L89" s="23">
        <f t="shared" si="5"/>
        <v>1.7041824865907309</v>
      </c>
      <c r="M89">
        <v>61</v>
      </c>
      <c r="N89">
        <v>309</v>
      </c>
      <c r="O89">
        <v>324.92</v>
      </c>
      <c r="P89">
        <v>553.74</v>
      </c>
      <c r="Q89" s="23">
        <f t="shared" si="3"/>
        <v>1.7042348885879601</v>
      </c>
      <c r="R89">
        <v>41</v>
      </c>
      <c r="S89">
        <v>315.45</v>
      </c>
      <c r="T89">
        <v>345.48</v>
      </c>
      <c r="U89">
        <v>588.77</v>
      </c>
      <c r="V89" s="23">
        <f t="shared" si="4"/>
        <v>1.7042086372583072</v>
      </c>
    </row>
    <row r="90" spans="3:22">
      <c r="C90" t="s">
        <v>16</v>
      </c>
      <c r="D90" t="s">
        <v>76</v>
      </c>
      <c r="E90">
        <v>3</v>
      </c>
      <c r="F90" t="s">
        <v>1515</v>
      </c>
      <c r="G90" t="s">
        <v>1518</v>
      </c>
      <c r="H90">
        <v>147</v>
      </c>
      <c r="I90" s="23">
        <v>342</v>
      </c>
      <c r="J90">
        <v>346.16</v>
      </c>
      <c r="K90" s="23">
        <v>589.92999999999995</v>
      </c>
      <c r="L90" s="23">
        <f t="shared" si="5"/>
        <v>1.704211925121331</v>
      </c>
      <c r="M90">
        <v>126</v>
      </c>
      <c r="N90">
        <v>359.45</v>
      </c>
      <c r="O90">
        <v>360.62</v>
      </c>
      <c r="P90">
        <v>614.57000000000005</v>
      </c>
      <c r="Q90" s="23">
        <f t="shared" si="3"/>
        <v>1.7042038711108647</v>
      </c>
      <c r="R90">
        <v>147</v>
      </c>
      <c r="S90">
        <v>343.28</v>
      </c>
      <c r="T90">
        <v>348.46</v>
      </c>
      <c r="U90">
        <v>593.84</v>
      </c>
      <c r="V90" s="23">
        <f t="shared" si="4"/>
        <v>1.7041841244332205</v>
      </c>
    </row>
    <row r="91" spans="3:22">
      <c r="C91" t="s">
        <v>16</v>
      </c>
      <c r="D91" t="s">
        <v>84</v>
      </c>
      <c r="E91">
        <v>4</v>
      </c>
      <c r="F91" t="s">
        <v>1515</v>
      </c>
      <c r="G91" t="s">
        <v>1519</v>
      </c>
      <c r="H91">
        <v>8</v>
      </c>
      <c r="I91" s="23">
        <v>546.47</v>
      </c>
      <c r="J91">
        <v>570.79</v>
      </c>
      <c r="K91" s="23">
        <v>972.74</v>
      </c>
      <c r="L91" s="23">
        <f t="shared" si="5"/>
        <v>1.7041994428774156</v>
      </c>
      <c r="M91">
        <v>8</v>
      </c>
      <c r="N91">
        <v>596.75</v>
      </c>
      <c r="O91">
        <v>715.35</v>
      </c>
      <c r="P91">
        <v>1219.1099999999999</v>
      </c>
      <c r="Q91" s="23">
        <f t="shared" si="3"/>
        <v>1.7042147200670998</v>
      </c>
      <c r="R91">
        <v>8</v>
      </c>
      <c r="S91">
        <v>594.20000000000005</v>
      </c>
      <c r="T91">
        <v>680.13</v>
      </c>
      <c r="U91">
        <v>1159.08</v>
      </c>
      <c r="V91" s="23">
        <f t="shared" si="4"/>
        <v>1.7042036081337391</v>
      </c>
    </row>
    <row r="92" spans="3:22">
      <c r="C92" t="s">
        <v>16</v>
      </c>
      <c r="D92" t="s">
        <v>86</v>
      </c>
      <c r="E92">
        <v>5</v>
      </c>
      <c r="F92" t="s">
        <v>1515</v>
      </c>
      <c r="G92" t="s">
        <v>1520</v>
      </c>
      <c r="H92">
        <v>52</v>
      </c>
      <c r="I92" s="23">
        <v>380.83</v>
      </c>
      <c r="J92">
        <v>396.25</v>
      </c>
      <c r="K92" s="23">
        <v>675.29</v>
      </c>
      <c r="L92" s="23">
        <f t="shared" si="5"/>
        <v>1.7042018927444793</v>
      </c>
      <c r="M92">
        <v>16</v>
      </c>
      <c r="N92">
        <v>388.3</v>
      </c>
      <c r="O92">
        <v>401.94</v>
      </c>
      <c r="P92">
        <v>684.98</v>
      </c>
      <c r="Q92" s="23">
        <f t="shared" si="3"/>
        <v>1.7041847041847042</v>
      </c>
      <c r="R92">
        <v>52</v>
      </c>
      <c r="S92">
        <v>328.98</v>
      </c>
      <c r="T92">
        <v>360.3</v>
      </c>
      <c r="U92">
        <v>614.03</v>
      </c>
      <c r="V92" s="23">
        <f t="shared" si="4"/>
        <v>1.7042187066333609</v>
      </c>
    </row>
    <row r="93" spans="3:22">
      <c r="C93" t="s">
        <v>16</v>
      </c>
      <c r="D93" t="s">
        <v>89</v>
      </c>
      <c r="E93">
        <v>6</v>
      </c>
      <c r="F93" t="s">
        <v>1515</v>
      </c>
      <c r="G93" t="s">
        <v>1521</v>
      </c>
      <c r="H93">
        <v>32</v>
      </c>
      <c r="I93" s="23">
        <v>524.01</v>
      </c>
      <c r="J93">
        <v>547.33000000000004</v>
      </c>
      <c r="K93" s="23">
        <v>932.76</v>
      </c>
      <c r="L93" s="23">
        <f t="shared" si="5"/>
        <v>1.7042003909889827</v>
      </c>
      <c r="M93">
        <v>52</v>
      </c>
      <c r="N93">
        <v>288.85000000000002</v>
      </c>
      <c r="O93">
        <v>303.73</v>
      </c>
      <c r="P93">
        <v>517.62</v>
      </c>
      <c r="Q93" s="23">
        <f t="shared" si="3"/>
        <v>1.7042109768544429</v>
      </c>
      <c r="R93">
        <v>32</v>
      </c>
      <c r="S93">
        <v>310.23</v>
      </c>
      <c r="T93">
        <v>339.76</v>
      </c>
      <c r="U93">
        <v>579.03</v>
      </c>
      <c r="V93" s="23">
        <f t="shared" si="4"/>
        <v>1.7042323993407111</v>
      </c>
    </row>
    <row r="94" spans="3:22">
      <c r="C94" t="s">
        <v>16</v>
      </c>
      <c r="D94" t="s">
        <v>93</v>
      </c>
      <c r="E94">
        <v>7</v>
      </c>
      <c r="F94" t="s">
        <v>1515</v>
      </c>
      <c r="G94" t="s">
        <v>1522</v>
      </c>
      <c r="H94">
        <v>12</v>
      </c>
      <c r="I94" s="23">
        <v>414.68</v>
      </c>
      <c r="J94">
        <v>517.14</v>
      </c>
      <c r="K94" s="23">
        <v>881.3</v>
      </c>
      <c r="L94" s="23">
        <f t="shared" si="5"/>
        <v>1.7041806860811386</v>
      </c>
      <c r="M94">
        <v>44</v>
      </c>
      <c r="N94">
        <v>341.53</v>
      </c>
      <c r="O94">
        <v>359.13</v>
      </c>
      <c r="P94">
        <v>612.02</v>
      </c>
      <c r="Q94" s="23">
        <f t="shared" si="3"/>
        <v>1.7041739759975496</v>
      </c>
      <c r="R94">
        <v>12</v>
      </c>
      <c r="S94">
        <v>346.98</v>
      </c>
      <c r="T94">
        <v>380.02</v>
      </c>
      <c r="U94">
        <v>647.62</v>
      </c>
      <c r="V94" s="23">
        <f t="shared" si="4"/>
        <v>1.7041734645544973</v>
      </c>
    </row>
    <row r="95" spans="3:22">
      <c r="C95" t="s">
        <v>16</v>
      </c>
      <c r="D95" t="s">
        <v>96</v>
      </c>
      <c r="E95">
        <v>8</v>
      </c>
      <c r="F95" t="s">
        <v>1515</v>
      </c>
      <c r="G95" t="s">
        <v>1523</v>
      </c>
      <c r="H95">
        <v>37</v>
      </c>
      <c r="I95" s="23">
        <v>334.56</v>
      </c>
      <c r="J95">
        <v>350.26</v>
      </c>
      <c r="K95" s="23">
        <v>596.91</v>
      </c>
      <c r="L95" s="23">
        <f t="shared" si="5"/>
        <v>1.7041911722720264</v>
      </c>
      <c r="M95">
        <v>52</v>
      </c>
      <c r="N95">
        <v>318.2</v>
      </c>
      <c r="O95">
        <v>334.59</v>
      </c>
      <c r="P95">
        <v>570.21</v>
      </c>
      <c r="Q95" s="23">
        <f t="shared" si="3"/>
        <v>1.7042051465973282</v>
      </c>
      <c r="R95">
        <v>37</v>
      </c>
      <c r="S95">
        <v>327.68</v>
      </c>
      <c r="T95">
        <v>334.55</v>
      </c>
      <c r="U95">
        <v>570.13</v>
      </c>
      <c r="V95" s="23">
        <f t="shared" si="4"/>
        <v>1.704169780301898</v>
      </c>
    </row>
    <row r="96" spans="3:22">
      <c r="C96" t="s">
        <v>16</v>
      </c>
      <c r="D96" t="s">
        <v>98</v>
      </c>
      <c r="E96">
        <v>9</v>
      </c>
      <c r="F96" t="s">
        <v>1515</v>
      </c>
      <c r="G96" t="s">
        <v>1524</v>
      </c>
      <c r="H96">
        <v>59</v>
      </c>
      <c r="I96" s="23">
        <v>407.91</v>
      </c>
      <c r="J96">
        <v>508.71</v>
      </c>
      <c r="K96" s="23">
        <v>866.93</v>
      </c>
      <c r="L96" s="23">
        <f t="shared" si="5"/>
        <v>1.7041733010949263</v>
      </c>
      <c r="M96">
        <v>95</v>
      </c>
      <c r="N96">
        <v>325.27</v>
      </c>
      <c r="O96">
        <v>334.32</v>
      </c>
      <c r="P96">
        <v>569.75</v>
      </c>
      <c r="Q96" s="23">
        <f t="shared" si="3"/>
        <v>1.7042055515673606</v>
      </c>
      <c r="R96">
        <v>59</v>
      </c>
      <c r="S96">
        <v>302.93</v>
      </c>
      <c r="T96">
        <v>336.92</v>
      </c>
      <c r="U96">
        <v>574.17999999999995</v>
      </c>
      <c r="V96" s="23">
        <f t="shared" si="4"/>
        <v>1.7042027781075624</v>
      </c>
    </row>
    <row r="97" spans="3:22">
      <c r="C97" t="s">
        <v>16</v>
      </c>
      <c r="D97" t="s">
        <v>101</v>
      </c>
      <c r="E97">
        <v>10</v>
      </c>
      <c r="F97" t="s">
        <v>1515</v>
      </c>
      <c r="G97" t="s">
        <v>1525</v>
      </c>
      <c r="H97">
        <v>152</v>
      </c>
      <c r="I97" s="23">
        <v>486.79</v>
      </c>
      <c r="J97">
        <v>607.07000000000005</v>
      </c>
      <c r="K97" s="23">
        <v>1034.57</v>
      </c>
      <c r="L97" s="23">
        <f t="shared" si="5"/>
        <v>1.7042021513169814</v>
      </c>
      <c r="M97">
        <v>132</v>
      </c>
      <c r="N97">
        <v>421.84</v>
      </c>
      <c r="O97">
        <v>421.84</v>
      </c>
      <c r="P97">
        <v>718.9</v>
      </c>
      <c r="Q97" s="23">
        <f t="shared" si="3"/>
        <v>1.7042006447942348</v>
      </c>
      <c r="R97">
        <v>152</v>
      </c>
      <c r="S97">
        <v>382.46</v>
      </c>
      <c r="T97">
        <v>398.25</v>
      </c>
      <c r="U97">
        <v>678.69</v>
      </c>
      <c r="V97" s="23">
        <f t="shared" si="4"/>
        <v>1.7041807909604521</v>
      </c>
    </row>
    <row r="98" spans="3:22">
      <c r="C98" t="s">
        <v>16</v>
      </c>
      <c r="D98" t="s">
        <v>103</v>
      </c>
      <c r="E98">
        <v>11</v>
      </c>
      <c r="F98" t="s">
        <v>1515</v>
      </c>
      <c r="G98" t="s">
        <v>1526</v>
      </c>
      <c r="H98">
        <v>32</v>
      </c>
      <c r="I98" s="23">
        <v>515.6</v>
      </c>
      <c r="J98">
        <v>538.54999999999995</v>
      </c>
      <c r="K98" s="23">
        <v>917.79</v>
      </c>
      <c r="L98" s="23">
        <f t="shared" si="5"/>
        <v>1.704187169250766</v>
      </c>
      <c r="M98">
        <v>52</v>
      </c>
      <c r="N98">
        <v>265.52</v>
      </c>
      <c r="O98">
        <v>279.2</v>
      </c>
      <c r="P98">
        <v>475.81</v>
      </c>
      <c r="Q98" s="23">
        <f t="shared" si="3"/>
        <v>1.7041905444126075</v>
      </c>
      <c r="R98">
        <v>32</v>
      </c>
      <c r="S98">
        <v>300.95</v>
      </c>
      <c r="T98">
        <v>329.61</v>
      </c>
      <c r="U98">
        <v>561.72</v>
      </c>
      <c r="V98" s="23">
        <f t="shared" si="4"/>
        <v>1.7041958678438154</v>
      </c>
    </row>
    <row r="99" spans="3:22">
      <c r="C99" t="s">
        <v>16</v>
      </c>
      <c r="D99" t="s">
        <v>108</v>
      </c>
      <c r="E99">
        <v>12</v>
      </c>
      <c r="F99" t="s">
        <v>1515</v>
      </c>
      <c r="G99" t="s">
        <v>1527</v>
      </c>
      <c r="H99">
        <v>41</v>
      </c>
      <c r="I99" s="23">
        <v>450.8</v>
      </c>
      <c r="J99">
        <v>469</v>
      </c>
      <c r="K99" s="23">
        <v>799.27</v>
      </c>
      <c r="L99" s="23">
        <f t="shared" si="5"/>
        <v>1.7042004264392323</v>
      </c>
      <c r="M99">
        <v>52</v>
      </c>
      <c r="N99">
        <v>321.73</v>
      </c>
      <c r="O99">
        <v>338.31</v>
      </c>
      <c r="P99">
        <v>576.54</v>
      </c>
      <c r="Q99" s="23">
        <f t="shared" si="3"/>
        <v>1.7041766427241287</v>
      </c>
      <c r="R99">
        <v>41</v>
      </c>
      <c r="S99">
        <v>305.2</v>
      </c>
      <c r="T99">
        <v>348.29</v>
      </c>
      <c r="U99">
        <v>593.54999999999995</v>
      </c>
      <c r="V99" s="23">
        <f t="shared" si="4"/>
        <v>1.7041832955295872</v>
      </c>
    </row>
    <row r="100" spans="3:22">
      <c r="C100" t="s">
        <v>16</v>
      </c>
      <c r="D100" t="s">
        <v>112</v>
      </c>
      <c r="E100">
        <v>13</v>
      </c>
      <c r="F100" t="s">
        <v>1515</v>
      </c>
      <c r="G100" t="s">
        <v>1528</v>
      </c>
      <c r="H100">
        <v>86</v>
      </c>
      <c r="I100" s="23">
        <v>447.58</v>
      </c>
      <c r="J100">
        <v>558.16999999999996</v>
      </c>
      <c r="K100" s="23">
        <v>951.23</v>
      </c>
      <c r="L100" s="23">
        <f t="shared" si="5"/>
        <v>1.7041940627407421</v>
      </c>
      <c r="M100">
        <v>113</v>
      </c>
      <c r="N100">
        <v>288.85000000000002</v>
      </c>
      <c r="O100">
        <v>303.73</v>
      </c>
      <c r="P100">
        <v>517.62</v>
      </c>
      <c r="Q100" s="23">
        <f t="shared" si="3"/>
        <v>1.7042109768544429</v>
      </c>
      <c r="R100">
        <v>86</v>
      </c>
      <c r="S100">
        <v>307.10000000000002</v>
      </c>
      <c r="T100">
        <v>336.34</v>
      </c>
      <c r="U100">
        <v>573.19000000000005</v>
      </c>
      <c r="V100" s="23">
        <f t="shared" si="4"/>
        <v>1.7041981328417675</v>
      </c>
    </row>
    <row r="101" spans="3:22">
      <c r="C101" t="s">
        <v>16</v>
      </c>
      <c r="D101" t="s">
        <v>167</v>
      </c>
      <c r="E101">
        <v>14</v>
      </c>
      <c r="F101" t="s">
        <v>1515</v>
      </c>
      <c r="G101" t="s">
        <v>1529</v>
      </c>
      <c r="H101">
        <v>36</v>
      </c>
      <c r="I101" s="23">
        <v>305.5</v>
      </c>
      <c r="J101">
        <v>319.83</v>
      </c>
      <c r="K101" s="23">
        <v>545.04999999999995</v>
      </c>
      <c r="L101" s="23">
        <f t="shared" si="5"/>
        <v>1.7041865991307881</v>
      </c>
      <c r="M101">
        <v>44</v>
      </c>
      <c r="N101">
        <v>326.68</v>
      </c>
      <c r="O101">
        <v>343.51</v>
      </c>
      <c r="P101">
        <v>585.41</v>
      </c>
      <c r="Q101" s="23">
        <f t="shared" si="3"/>
        <v>1.7042007510698378</v>
      </c>
      <c r="R101">
        <v>36</v>
      </c>
      <c r="S101">
        <v>330.08</v>
      </c>
      <c r="T101">
        <v>354.56</v>
      </c>
      <c r="U101">
        <v>604.24</v>
      </c>
      <c r="V101" s="23">
        <f t="shared" si="4"/>
        <v>1.7041967509025271</v>
      </c>
    </row>
    <row r="102" spans="3:22">
      <c r="C102" t="s">
        <v>16</v>
      </c>
      <c r="D102" t="s">
        <v>169</v>
      </c>
      <c r="E102">
        <v>15</v>
      </c>
      <c r="F102" t="s">
        <v>1515</v>
      </c>
      <c r="G102" t="s">
        <v>1530</v>
      </c>
      <c r="H102">
        <v>32</v>
      </c>
      <c r="I102" s="23">
        <v>606.91</v>
      </c>
      <c r="J102">
        <v>633.91</v>
      </c>
      <c r="K102" s="23">
        <v>1080.32</v>
      </c>
      <c r="L102" s="23">
        <f t="shared" si="5"/>
        <v>1.7042166869113913</v>
      </c>
      <c r="M102">
        <v>52</v>
      </c>
      <c r="N102">
        <v>267.27999999999997</v>
      </c>
      <c r="O102">
        <v>281.06</v>
      </c>
      <c r="P102">
        <v>478.98</v>
      </c>
      <c r="Q102" s="23">
        <f t="shared" si="3"/>
        <v>1.7041912758841529</v>
      </c>
      <c r="R102">
        <v>32</v>
      </c>
      <c r="S102">
        <v>316.38</v>
      </c>
      <c r="T102">
        <v>346.5</v>
      </c>
      <c r="U102">
        <v>590.5</v>
      </c>
      <c r="V102" s="23">
        <f t="shared" si="4"/>
        <v>1.7041847041847042</v>
      </c>
    </row>
    <row r="103" spans="3:22">
      <c r="C103" t="s">
        <v>16</v>
      </c>
      <c r="D103" t="s">
        <v>171</v>
      </c>
      <c r="E103">
        <v>16</v>
      </c>
      <c r="F103" t="s">
        <v>1515</v>
      </c>
      <c r="G103" t="s">
        <v>1531</v>
      </c>
      <c r="H103">
        <v>41</v>
      </c>
      <c r="I103" s="23">
        <v>449.62</v>
      </c>
      <c r="J103">
        <v>469.63</v>
      </c>
      <c r="K103" s="23">
        <v>800.34</v>
      </c>
      <c r="L103" s="23">
        <f t="shared" si="5"/>
        <v>1.7041926623086261</v>
      </c>
      <c r="M103">
        <v>8</v>
      </c>
      <c r="N103">
        <v>458</v>
      </c>
      <c r="O103">
        <v>549.03</v>
      </c>
      <c r="P103">
        <v>935.65</v>
      </c>
      <c r="Q103" s="23">
        <f t="shared" si="3"/>
        <v>1.7041873850244977</v>
      </c>
      <c r="R103">
        <v>41</v>
      </c>
      <c r="S103">
        <v>303.26</v>
      </c>
      <c r="T103">
        <v>305.2</v>
      </c>
      <c r="U103">
        <v>520.12</v>
      </c>
      <c r="V103" s="23">
        <f t="shared" si="4"/>
        <v>1.7041939711664482</v>
      </c>
    </row>
    <row r="104" spans="3:22">
      <c r="C104" t="s">
        <v>24</v>
      </c>
      <c r="D104" t="s">
        <v>72</v>
      </c>
      <c r="E104">
        <v>1</v>
      </c>
      <c r="F104" t="s">
        <v>1532</v>
      </c>
      <c r="G104" t="s">
        <v>1533</v>
      </c>
      <c r="H104">
        <v>48</v>
      </c>
      <c r="I104" s="23">
        <v>335.1</v>
      </c>
      <c r="J104">
        <v>337.56</v>
      </c>
      <c r="K104" s="23">
        <v>575.27</v>
      </c>
      <c r="L104" s="23">
        <f t="shared" si="5"/>
        <v>1.7042007346842043</v>
      </c>
      <c r="M104">
        <v>60</v>
      </c>
      <c r="N104">
        <v>314.76</v>
      </c>
      <c r="O104">
        <v>349.73</v>
      </c>
      <c r="P104">
        <v>596.01</v>
      </c>
      <c r="Q104" s="23">
        <f t="shared" si="3"/>
        <v>1.7042003831527177</v>
      </c>
      <c r="R104">
        <v>48</v>
      </c>
      <c r="S104">
        <v>353.28</v>
      </c>
      <c r="T104">
        <v>355.84</v>
      </c>
      <c r="U104">
        <v>606.41999999999996</v>
      </c>
      <c r="V104" s="23">
        <f t="shared" si="4"/>
        <v>1.7041928956834533</v>
      </c>
    </row>
    <row r="105" spans="3:22">
      <c r="C105" t="s">
        <v>24</v>
      </c>
      <c r="D105" t="s">
        <v>74</v>
      </c>
      <c r="E105">
        <v>2</v>
      </c>
      <c r="F105" t="s">
        <v>1532</v>
      </c>
      <c r="G105" t="s">
        <v>1534</v>
      </c>
      <c r="H105">
        <v>30</v>
      </c>
      <c r="I105" s="23">
        <v>370.48</v>
      </c>
      <c r="J105">
        <v>409.67</v>
      </c>
      <c r="K105" s="23">
        <v>698.17</v>
      </c>
      <c r="L105" s="23">
        <f t="shared" si="5"/>
        <v>1.7042253521126758</v>
      </c>
      <c r="M105">
        <v>32</v>
      </c>
      <c r="N105">
        <v>349.73</v>
      </c>
      <c r="O105">
        <v>395</v>
      </c>
      <c r="P105">
        <v>673.16</v>
      </c>
      <c r="Q105" s="23">
        <f t="shared" si="3"/>
        <v>1.7042025316455696</v>
      </c>
      <c r="R105">
        <v>30</v>
      </c>
      <c r="S105">
        <v>392.54</v>
      </c>
      <c r="T105">
        <v>452.29</v>
      </c>
      <c r="U105">
        <v>770.78</v>
      </c>
      <c r="V105" s="23">
        <f t="shared" si="4"/>
        <v>1.7041721019699749</v>
      </c>
    </row>
    <row r="106" spans="3:22">
      <c r="C106" t="s">
        <v>24</v>
      </c>
      <c r="D106" t="s">
        <v>76</v>
      </c>
      <c r="E106">
        <v>3</v>
      </c>
      <c r="F106" t="s">
        <v>1532</v>
      </c>
      <c r="G106" t="s">
        <v>1535</v>
      </c>
      <c r="H106">
        <v>39</v>
      </c>
      <c r="I106" s="23">
        <v>373.52</v>
      </c>
      <c r="J106">
        <v>393.18</v>
      </c>
      <c r="K106" s="23">
        <v>670.05</v>
      </c>
      <c r="L106" s="23">
        <f t="shared" si="5"/>
        <v>1.7041812910117502</v>
      </c>
      <c r="M106">
        <v>40</v>
      </c>
      <c r="N106">
        <v>350.85</v>
      </c>
      <c r="O106">
        <v>369.32</v>
      </c>
      <c r="P106">
        <v>629.39</v>
      </c>
      <c r="Q106" s="23">
        <f t="shared" si="3"/>
        <v>1.7041860716993393</v>
      </c>
      <c r="R106">
        <v>39</v>
      </c>
      <c r="S106">
        <v>393.8</v>
      </c>
      <c r="T106">
        <v>396.64</v>
      </c>
      <c r="U106">
        <v>675.95</v>
      </c>
      <c r="V106" s="23">
        <f t="shared" si="4"/>
        <v>1.7041901976603471</v>
      </c>
    </row>
    <row r="107" spans="3:22">
      <c r="C107" t="s">
        <v>24</v>
      </c>
      <c r="D107" t="s">
        <v>84</v>
      </c>
      <c r="E107">
        <v>4</v>
      </c>
      <c r="F107" t="s">
        <v>1532</v>
      </c>
      <c r="G107" t="s">
        <v>1536</v>
      </c>
      <c r="H107">
        <v>38</v>
      </c>
      <c r="I107" s="23">
        <v>395.3</v>
      </c>
      <c r="J107">
        <v>437.12</v>
      </c>
      <c r="K107" s="23">
        <v>744.94</v>
      </c>
      <c r="L107" s="23">
        <f t="shared" si="5"/>
        <v>1.7042002196193267</v>
      </c>
      <c r="M107">
        <v>32</v>
      </c>
      <c r="N107">
        <v>373.16</v>
      </c>
      <c r="O107">
        <v>421.47</v>
      </c>
      <c r="P107">
        <v>718.28</v>
      </c>
      <c r="Q107" s="23">
        <f t="shared" si="3"/>
        <v>1.7042256862884664</v>
      </c>
      <c r="R107">
        <v>38</v>
      </c>
      <c r="S107">
        <v>353.42</v>
      </c>
      <c r="T107">
        <v>381.7</v>
      </c>
      <c r="U107">
        <v>650.48</v>
      </c>
      <c r="V107" s="23">
        <f t="shared" si="4"/>
        <v>1.7041655750589468</v>
      </c>
    </row>
    <row r="108" spans="3:22">
      <c r="C108" t="s">
        <v>24</v>
      </c>
      <c r="D108" t="s">
        <v>86</v>
      </c>
      <c r="E108">
        <v>5</v>
      </c>
      <c r="F108" t="s">
        <v>1532</v>
      </c>
      <c r="G108" t="s">
        <v>1537</v>
      </c>
      <c r="H108">
        <v>40</v>
      </c>
      <c r="I108" s="23">
        <v>337.28</v>
      </c>
      <c r="J108">
        <v>405.84</v>
      </c>
      <c r="K108" s="23">
        <v>691.63</v>
      </c>
      <c r="L108" s="23">
        <f t="shared" si="5"/>
        <v>1.7041937709442145</v>
      </c>
      <c r="M108">
        <v>48</v>
      </c>
      <c r="N108">
        <v>362.89</v>
      </c>
      <c r="O108">
        <v>381.2</v>
      </c>
      <c r="P108">
        <v>649.64</v>
      </c>
      <c r="Q108" s="23">
        <f t="shared" si="3"/>
        <v>1.7041972717733473</v>
      </c>
      <c r="R108">
        <v>40</v>
      </c>
      <c r="S108">
        <v>355.53</v>
      </c>
      <c r="T108">
        <v>383.09</v>
      </c>
      <c r="U108">
        <v>652.85</v>
      </c>
      <c r="V108" s="23">
        <f t="shared" si="4"/>
        <v>1.7041687331958548</v>
      </c>
    </row>
    <row r="109" spans="3:22">
      <c r="C109" t="s">
        <v>24</v>
      </c>
      <c r="D109" t="s">
        <v>89</v>
      </c>
      <c r="E109">
        <v>6</v>
      </c>
      <c r="F109" t="s">
        <v>1532</v>
      </c>
      <c r="G109" t="s">
        <v>1538</v>
      </c>
      <c r="H109">
        <v>38</v>
      </c>
      <c r="I109" s="23">
        <v>403.82</v>
      </c>
      <c r="J109">
        <v>446.54</v>
      </c>
      <c r="K109" s="23">
        <v>761</v>
      </c>
      <c r="L109" s="23">
        <f t="shared" si="5"/>
        <v>1.7042146280288439</v>
      </c>
      <c r="M109">
        <v>32</v>
      </c>
      <c r="N109">
        <v>381.2</v>
      </c>
      <c r="O109">
        <v>430.56</v>
      </c>
      <c r="P109">
        <v>733.76</v>
      </c>
      <c r="Q109" s="23">
        <f t="shared" si="3"/>
        <v>1.704199182460052</v>
      </c>
      <c r="R109">
        <v>38</v>
      </c>
      <c r="S109">
        <v>359.54</v>
      </c>
      <c r="T109">
        <v>388.3</v>
      </c>
      <c r="U109">
        <v>661.74</v>
      </c>
      <c r="V109" s="23">
        <f t="shared" si="4"/>
        <v>1.7041977852176151</v>
      </c>
    </row>
    <row r="110" spans="3:22">
      <c r="C110" t="s">
        <v>24</v>
      </c>
      <c r="D110" t="s">
        <v>93</v>
      </c>
      <c r="E110">
        <v>7</v>
      </c>
      <c r="F110" t="s">
        <v>1532</v>
      </c>
      <c r="G110" t="s">
        <v>1539</v>
      </c>
      <c r="H110">
        <v>30</v>
      </c>
      <c r="I110" s="23">
        <v>403.82</v>
      </c>
      <c r="J110">
        <v>446.54</v>
      </c>
      <c r="K110" s="23">
        <v>761</v>
      </c>
      <c r="L110" s="23">
        <f t="shared" si="5"/>
        <v>1.7042146280288439</v>
      </c>
      <c r="M110">
        <v>32</v>
      </c>
      <c r="N110">
        <v>381.2</v>
      </c>
      <c r="O110">
        <v>430.56</v>
      </c>
      <c r="P110">
        <v>733.76</v>
      </c>
      <c r="Q110" s="23">
        <f t="shared" si="3"/>
        <v>1.704199182460052</v>
      </c>
      <c r="R110">
        <v>30</v>
      </c>
      <c r="S110">
        <v>427.87</v>
      </c>
      <c r="T110">
        <v>492.99</v>
      </c>
      <c r="U110">
        <v>840.15</v>
      </c>
      <c r="V110" s="23">
        <f t="shared" si="4"/>
        <v>1.7041927828150671</v>
      </c>
    </row>
    <row r="111" spans="3:22">
      <c r="C111" t="s">
        <v>24</v>
      </c>
      <c r="D111" t="s">
        <v>96</v>
      </c>
      <c r="E111">
        <v>8</v>
      </c>
      <c r="F111" t="s">
        <v>1532</v>
      </c>
      <c r="G111" t="s">
        <v>1540</v>
      </c>
      <c r="H111">
        <v>47</v>
      </c>
      <c r="I111" s="23">
        <v>324.37</v>
      </c>
      <c r="J111">
        <v>373.1</v>
      </c>
      <c r="K111" s="23">
        <v>635.83000000000004</v>
      </c>
      <c r="L111" s="23">
        <f t="shared" si="5"/>
        <v>1.7041811846689896</v>
      </c>
      <c r="M111">
        <v>40</v>
      </c>
      <c r="N111">
        <v>304.69</v>
      </c>
      <c r="O111">
        <v>351.57</v>
      </c>
      <c r="P111">
        <v>599.15</v>
      </c>
      <c r="Q111" s="23">
        <f t="shared" si="3"/>
        <v>1.7042125323548654</v>
      </c>
      <c r="R111">
        <v>47</v>
      </c>
      <c r="S111">
        <v>341.97</v>
      </c>
      <c r="T111">
        <v>344.45</v>
      </c>
      <c r="U111">
        <v>587</v>
      </c>
      <c r="V111" s="23">
        <f t="shared" si="4"/>
        <v>1.7041660618377124</v>
      </c>
    </row>
    <row r="112" spans="3:22">
      <c r="C112" t="s">
        <v>30</v>
      </c>
      <c r="D112" t="s">
        <v>72</v>
      </c>
      <c r="E112">
        <v>1</v>
      </c>
      <c r="F112" t="s">
        <v>1541</v>
      </c>
      <c r="G112" t="s">
        <v>1542</v>
      </c>
      <c r="H112">
        <v>25</v>
      </c>
      <c r="I112" s="23">
        <v>361.65</v>
      </c>
      <c r="J112">
        <v>382.54</v>
      </c>
      <c r="K112" s="23">
        <v>651.92999999999995</v>
      </c>
      <c r="L112" s="23">
        <f t="shared" si="5"/>
        <v>1.7042139384116692</v>
      </c>
      <c r="M112">
        <v>12</v>
      </c>
      <c r="N112">
        <v>343.36</v>
      </c>
      <c r="O112">
        <v>391.78</v>
      </c>
      <c r="P112">
        <v>667.68</v>
      </c>
      <c r="Q112" s="23">
        <f t="shared" si="3"/>
        <v>1.7042217571085814</v>
      </c>
      <c r="R112">
        <v>25</v>
      </c>
      <c r="S112">
        <v>327.17</v>
      </c>
      <c r="T112">
        <v>328.15</v>
      </c>
      <c r="U112">
        <v>559.23</v>
      </c>
      <c r="V112" s="23">
        <f t="shared" si="4"/>
        <v>1.7041901569404239</v>
      </c>
    </row>
    <row r="113" spans="3:22">
      <c r="C113" t="s">
        <v>30</v>
      </c>
      <c r="D113" t="s">
        <v>74</v>
      </c>
      <c r="E113">
        <v>2</v>
      </c>
      <c r="F113" t="s">
        <v>1541</v>
      </c>
      <c r="G113" t="s">
        <v>1543</v>
      </c>
      <c r="H113">
        <v>25</v>
      </c>
      <c r="I113" s="23">
        <v>362.83</v>
      </c>
      <c r="J113">
        <v>375.6</v>
      </c>
      <c r="K113" s="23">
        <v>640.09</v>
      </c>
      <c r="L113" s="23">
        <f t="shared" si="5"/>
        <v>1.7041799787007454</v>
      </c>
      <c r="M113">
        <v>12</v>
      </c>
      <c r="N113">
        <v>382.26</v>
      </c>
      <c r="O113">
        <v>436.17</v>
      </c>
      <c r="P113">
        <v>743.32</v>
      </c>
      <c r="Q113" s="23">
        <f t="shared" si="3"/>
        <v>1.7041979044867828</v>
      </c>
      <c r="R113">
        <v>25</v>
      </c>
      <c r="S113">
        <v>386.39</v>
      </c>
      <c r="T113">
        <v>387.55</v>
      </c>
      <c r="U113">
        <v>660.46</v>
      </c>
      <c r="V113" s="23">
        <f t="shared" si="4"/>
        <v>1.7041930073538898</v>
      </c>
    </row>
    <row r="114" spans="3:22">
      <c r="C114" t="s">
        <v>30</v>
      </c>
      <c r="D114" t="s">
        <v>76</v>
      </c>
      <c r="E114">
        <v>3</v>
      </c>
      <c r="F114" t="s">
        <v>1541</v>
      </c>
      <c r="G114" t="s">
        <v>1544</v>
      </c>
      <c r="H114">
        <v>25</v>
      </c>
      <c r="I114" s="23">
        <v>393.71</v>
      </c>
      <c r="J114">
        <v>407.56</v>
      </c>
      <c r="K114" s="23">
        <v>694.57</v>
      </c>
      <c r="L114" s="23">
        <f t="shared" si="5"/>
        <v>1.7042153302581216</v>
      </c>
      <c r="M114">
        <v>12</v>
      </c>
      <c r="N114">
        <v>389.74</v>
      </c>
      <c r="O114">
        <v>444.71</v>
      </c>
      <c r="P114">
        <v>757.87</v>
      </c>
      <c r="Q114" s="23">
        <f t="shared" si="3"/>
        <v>1.7041892469249624</v>
      </c>
      <c r="R114">
        <v>25</v>
      </c>
      <c r="S114">
        <v>364.92</v>
      </c>
      <c r="T114">
        <v>366.02</v>
      </c>
      <c r="U114">
        <v>623.77</v>
      </c>
      <c r="V114" s="23">
        <f t="shared" si="4"/>
        <v>1.704196491994973</v>
      </c>
    </row>
    <row r="115" spans="3:22">
      <c r="C115" t="s">
        <v>30</v>
      </c>
      <c r="D115" t="s">
        <v>84</v>
      </c>
      <c r="E115">
        <v>4</v>
      </c>
      <c r="F115" t="s">
        <v>1541</v>
      </c>
      <c r="G115" t="s">
        <v>1545</v>
      </c>
      <c r="H115">
        <v>25</v>
      </c>
      <c r="I115" s="23">
        <v>370.55</v>
      </c>
      <c r="J115">
        <v>383.59</v>
      </c>
      <c r="K115" s="23">
        <v>653.71</v>
      </c>
      <c r="L115" s="23">
        <f t="shared" si="5"/>
        <v>1.7041893688573739</v>
      </c>
      <c r="M115">
        <v>12</v>
      </c>
      <c r="N115">
        <v>398.71</v>
      </c>
      <c r="O115">
        <v>454.95</v>
      </c>
      <c r="P115">
        <v>775.32</v>
      </c>
      <c r="Q115" s="23">
        <f t="shared" si="3"/>
        <v>1.7041872733267394</v>
      </c>
      <c r="R115">
        <v>25</v>
      </c>
      <c r="S115">
        <v>380.7</v>
      </c>
      <c r="T115">
        <v>390.23</v>
      </c>
      <c r="U115">
        <v>665.03</v>
      </c>
      <c r="V115" s="23">
        <f t="shared" si="4"/>
        <v>1.7042000871281038</v>
      </c>
    </row>
    <row r="116" spans="3:22">
      <c r="C116" t="s">
        <v>30</v>
      </c>
      <c r="D116" t="s">
        <v>86</v>
      </c>
      <c r="E116">
        <v>5</v>
      </c>
      <c r="F116" t="s">
        <v>1541</v>
      </c>
      <c r="G116" t="s">
        <v>1546</v>
      </c>
      <c r="H116">
        <v>25</v>
      </c>
      <c r="I116" s="23">
        <v>405.29</v>
      </c>
      <c r="J116">
        <v>419.55</v>
      </c>
      <c r="K116" s="23">
        <v>715</v>
      </c>
      <c r="L116" s="23">
        <f t="shared" si="5"/>
        <v>1.7042068883327375</v>
      </c>
      <c r="M116">
        <v>12</v>
      </c>
      <c r="N116">
        <v>437.99</v>
      </c>
      <c r="O116">
        <v>499.76</v>
      </c>
      <c r="P116">
        <v>851.69</v>
      </c>
      <c r="Q116" s="23">
        <f t="shared" si="3"/>
        <v>1.7041980150472229</v>
      </c>
      <c r="R116">
        <v>25</v>
      </c>
      <c r="S116">
        <v>399.58</v>
      </c>
      <c r="T116">
        <v>400.77</v>
      </c>
      <c r="U116">
        <v>683</v>
      </c>
      <c r="V116" s="23">
        <f t="shared" si="4"/>
        <v>1.7042193776979315</v>
      </c>
    </row>
    <row r="117" spans="3:22">
      <c r="C117" t="s">
        <v>30</v>
      </c>
      <c r="D117" t="s">
        <v>89</v>
      </c>
      <c r="E117">
        <v>6</v>
      </c>
      <c r="F117" t="s">
        <v>1541</v>
      </c>
      <c r="G117" t="s">
        <v>1547</v>
      </c>
      <c r="H117">
        <v>25</v>
      </c>
      <c r="I117" s="23">
        <v>365.58</v>
      </c>
      <c r="J117">
        <v>390.35</v>
      </c>
      <c r="K117" s="23">
        <v>665.23</v>
      </c>
      <c r="L117" s="23">
        <f t="shared" si="5"/>
        <v>1.7041885487383117</v>
      </c>
      <c r="M117">
        <v>12</v>
      </c>
      <c r="N117">
        <v>344.11</v>
      </c>
      <c r="O117">
        <v>392.64</v>
      </c>
      <c r="P117">
        <v>669.13</v>
      </c>
      <c r="Q117" s="23">
        <f t="shared" si="3"/>
        <v>1.7041819478402609</v>
      </c>
      <c r="R117">
        <v>25</v>
      </c>
      <c r="S117">
        <v>362.3</v>
      </c>
      <c r="T117">
        <v>363.39</v>
      </c>
      <c r="U117">
        <v>619.28</v>
      </c>
      <c r="V117" s="23">
        <f t="shared" si="4"/>
        <v>1.7041745782767825</v>
      </c>
    </row>
    <row r="118" spans="3:22">
      <c r="C118" t="s">
        <v>45</v>
      </c>
      <c r="D118" t="s">
        <v>72</v>
      </c>
      <c r="E118">
        <v>1</v>
      </c>
      <c r="F118" t="s">
        <v>1548</v>
      </c>
      <c r="G118" t="s">
        <v>1549</v>
      </c>
      <c r="H118">
        <v>8</v>
      </c>
      <c r="I118" s="23">
        <v>499.9</v>
      </c>
      <c r="J118">
        <v>538.24</v>
      </c>
      <c r="K118" s="23">
        <v>917.27</v>
      </c>
      <c r="L118" s="23">
        <f t="shared" si="5"/>
        <v>1.7042025862068966</v>
      </c>
      <c r="M118">
        <v>12</v>
      </c>
      <c r="N118">
        <v>544.89</v>
      </c>
      <c r="O118">
        <v>561.41999999999996</v>
      </c>
      <c r="P118">
        <v>956.78</v>
      </c>
      <c r="Q118" s="23">
        <f t="shared" si="3"/>
        <v>1.7042143137045349</v>
      </c>
      <c r="R118">
        <v>8</v>
      </c>
      <c r="S118">
        <v>542.25</v>
      </c>
      <c r="T118">
        <v>577.16999999999996</v>
      </c>
      <c r="U118">
        <v>983.6</v>
      </c>
      <c r="V118" s="23">
        <f t="shared" si="4"/>
        <v>1.7041772787913441</v>
      </c>
    </row>
    <row r="119" spans="3:22">
      <c r="C119" t="s">
        <v>45</v>
      </c>
      <c r="D119" t="s">
        <v>74</v>
      </c>
      <c r="E119">
        <v>2</v>
      </c>
      <c r="F119" t="s">
        <v>1548</v>
      </c>
      <c r="G119" t="s">
        <v>1550</v>
      </c>
      <c r="H119">
        <v>8</v>
      </c>
      <c r="I119" s="23">
        <v>473.59</v>
      </c>
      <c r="J119">
        <v>526.77</v>
      </c>
      <c r="K119" s="23">
        <v>897.72</v>
      </c>
      <c r="L119" s="23">
        <f t="shared" si="5"/>
        <v>1.7041972777493024</v>
      </c>
      <c r="M119">
        <v>8</v>
      </c>
      <c r="N119">
        <v>460.01</v>
      </c>
      <c r="O119">
        <v>622.74</v>
      </c>
      <c r="P119">
        <v>1061.28</v>
      </c>
      <c r="Q119" s="23">
        <f t="shared" si="3"/>
        <v>1.7042104248964254</v>
      </c>
      <c r="R119">
        <v>8</v>
      </c>
      <c r="S119">
        <v>474.7</v>
      </c>
      <c r="T119">
        <v>588.82000000000005</v>
      </c>
      <c r="U119">
        <v>1003.46</v>
      </c>
      <c r="V119" s="23">
        <f t="shared" si="4"/>
        <v>1.7041880370911313</v>
      </c>
    </row>
    <row r="120" spans="3:22">
      <c r="C120" t="s">
        <v>45</v>
      </c>
      <c r="D120" t="s">
        <v>76</v>
      </c>
      <c r="E120">
        <v>3</v>
      </c>
      <c r="F120" t="s">
        <v>1548</v>
      </c>
      <c r="G120" t="s">
        <v>1551</v>
      </c>
      <c r="H120">
        <v>16</v>
      </c>
      <c r="I120" s="23">
        <v>526.77</v>
      </c>
      <c r="J120">
        <v>567.19000000000005</v>
      </c>
      <c r="K120" s="23">
        <v>966.6</v>
      </c>
      <c r="L120" s="23">
        <f t="shared" si="5"/>
        <v>1.704190835522488</v>
      </c>
      <c r="M120">
        <v>12</v>
      </c>
      <c r="N120">
        <v>550.62</v>
      </c>
      <c r="O120">
        <v>567.33000000000004</v>
      </c>
      <c r="P120">
        <v>966.85</v>
      </c>
      <c r="Q120" s="23">
        <f t="shared" si="3"/>
        <v>1.7042109530608287</v>
      </c>
      <c r="R120">
        <v>16</v>
      </c>
      <c r="S120">
        <v>383.6</v>
      </c>
      <c r="T120">
        <v>408.86</v>
      </c>
      <c r="U120">
        <v>696.77</v>
      </c>
      <c r="V120" s="23">
        <f t="shared" si="4"/>
        <v>1.704177469060314</v>
      </c>
    </row>
    <row r="121" spans="3:22">
      <c r="C121" t="s">
        <v>45</v>
      </c>
      <c r="D121" t="s">
        <v>84</v>
      </c>
      <c r="E121">
        <v>4</v>
      </c>
      <c r="F121" t="s">
        <v>1548</v>
      </c>
      <c r="G121" t="s">
        <v>1552</v>
      </c>
      <c r="H121">
        <v>40</v>
      </c>
      <c r="I121" s="23">
        <v>540.55999999999995</v>
      </c>
      <c r="J121">
        <v>560.26</v>
      </c>
      <c r="K121" s="23">
        <v>954.8</v>
      </c>
      <c r="L121" s="23">
        <f t="shared" si="5"/>
        <v>1.7042087602184699</v>
      </c>
      <c r="M121">
        <v>16</v>
      </c>
      <c r="N121">
        <v>412.57</v>
      </c>
      <c r="O121">
        <v>439.75</v>
      </c>
      <c r="P121">
        <v>749.42</v>
      </c>
      <c r="Q121" s="23">
        <f t="shared" si="3"/>
        <v>1.704195565662308</v>
      </c>
      <c r="R121">
        <v>40</v>
      </c>
      <c r="S121">
        <v>332.45</v>
      </c>
      <c r="T121">
        <v>335.81</v>
      </c>
      <c r="U121">
        <v>572.28</v>
      </c>
      <c r="V121" s="23">
        <f t="shared" si="4"/>
        <v>1.704177957773741</v>
      </c>
    </row>
    <row r="122" spans="3:22">
      <c r="C122" t="s">
        <v>45</v>
      </c>
      <c r="D122" t="s">
        <v>86</v>
      </c>
      <c r="E122">
        <v>5</v>
      </c>
      <c r="F122" t="s">
        <v>1548</v>
      </c>
      <c r="G122" t="s">
        <v>1553</v>
      </c>
      <c r="H122">
        <v>40</v>
      </c>
      <c r="I122" s="23">
        <v>511.85</v>
      </c>
      <c r="J122">
        <v>530.52</v>
      </c>
      <c r="K122" s="23">
        <v>904.11</v>
      </c>
      <c r="L122" s="23">
        <f t="shared" si="5"/>
        <v>1.7041958832843249</v>
      </c>
      <c r="M122">
        <v>16</v>
      </c>
      <c r="N122">
        <v>412.57</v>
      </c>
      <c r="O122">
        <v>439.75</v>
      </c>
      <c r="P122">
        <v>749.42</v>
      </c>
      <c r="Q122" s="23">
        <f t="shared" si="3"/>
        <v>1.704195565662308</v>
      </c>
      <c r="R122">
        <v>40</v>
      </c>
      <c r="S122">
        <v>332.45</v>
      </c>
      <c r="T122">
        <v>335.81</v>
      </c>
      <c r="U122">
        <v>572.28</v>
      </c>
      <c r="V122" s="23">
        <f t="shared" si="4"/>
        <v>1.704177957773741</v>
      </c>
    </row>
    <row r="123" spans="3:22">
      <c r="C123" t="s">
        <v>45</v>
      </c>
      <c r="D123" t="s">
        <v>89</v>
      </c>
      <c r="E123">
        <v>6</v>
      </c>
      <c r="F123" t="s">
        <v>1548</v>
      </c>
      <c r="G123" t="s">
        <v>1554</v>
      </c>
      <c r="H123">
        <v>36</v>
      </c>
      <c r="I123" s="23">
        <v>487.94</v>
      </c>
      <c r="J123">
        <v>542.73</v>
      </c>
      <c r="K123" s="23">
        <v>924.92</v>
      </c>
      <c r="L123" s="23">
        <f t="shared" si="5"/>
        <v>1.7041991413778488</v>
      </c>
      <c r="M123">
        <v>20</v>
      </c>
      <c r="N123">
        <v>460.01</v>
      </c>
      <c r="O123">
        <v>490.35</v>
      </c>
      <c r="P123">
        <v>835.65</v>
      </c>
      <c r="Q123" s="23">
        <f t="shared" si="3"/>
        <v>1.7041908840624043</v>
      </c>
      <c r="R123">
        <v>36</v>
      </c>
      <c r="S123">
        <v>379.76</v>
      </c>
      <c r="T123">
        <v>404.77</v>
      </c>
      <c r="U123">
        <v>689.81</v>
      </c>
      <c r="V123" s="23">
        <f t="shared" si="4"/>
        <v>1.7042023865405045</v>
      </c>
    </row>
    <row r="124" spans="3:22">
      <c r="C124" t="s">
        <v>45</v>
      </c>
      <c r="D124" t="s">
        <v>93</v>
      </c>
      <c r="E124">
        <v>7</v>
      </c>
      <c r="F124" t="s">
        <v>1548</v>
      </c>
      <c r="G124" t="s">
        <v>1555</v>
      </c>
      <c r="H124">
        <v>36</v>
      </c>
      <c r="I124" s="23">
        <v>499.9</v>
      </c>
      <c r="J124">
        <v>538.24</v>
      </c>
      <c r="K124" s="23">
        <v>917.27</v>
      </c>
      <c r="L124" s="23">
        <f t="shared" si="5"/>
        <v>1.7042025862068966</v>
      </c>
      <c r="M124">
        <v>12</v>
      </c>
      <c r="N124">
        <v>544.89</v>
      </c>
      <c r="O124">
        <v>561.41999999999996</v>
      </c>
      <c r="P124">
        <v>956.78</v>
      </c>
      <c r="Q124" s="23">
        <f t="shared" si="3"/>
        <v>1.7042143137045349</v>
      </c>
      <c r="R124">
        <v>36</v>
      </c>
      <c r="S124">
        <v>360.59</v>
      </c>
      <c r="T124">
        <v>384.32</v>
      </c>
      <c r="U124">
        <v>654.96</v>
      </c>
      <c r="V124" s="23">
        <f t="shared" si="4"/>
        <v>1.7042048293089094</v>
      </c>
    </row>
    <row r="125" spans="3:22">
      <c r="C125" t="s">
        <v>45</v>
      </c>
      <c r="D125" t="s">
        <v>96</v>
      </c>
      <c r="E125">
        <v>8</v>
      </c>
      <c r="F125" t="s">
        <v>1548</v>
      </c>
      <c r="G125" t="s">
        <v>1556</v>
      </c>
      <c r="H125">
        <v>8</v>
      </c>
      <c r="I125" s="23">
        <v>532.14</v>
      </c>
      <c r="J125">
        <v>572.97</v>
      </c>
      <c r="K125" s="23">
        <v>976.46</v>
      </c>
      <c r="L125" s="23">
        <f t="shared" si="5"/>
        <v>1.7042078991919298</v>
      </c>
      <c r="M125">
        <v>12</v>
      </c>
      <c r="N125">
        <v>579.29</v>
      </c>
      <c r="O125">
        <v>596.89</v>
      </c>
      <c r="P125">
        <v>1017.22</v>
      </c>
      <c r="Q125" s="23">
        <f t="shared" si="3"/>
        <v>1.7042001038717352</v>
      </c>
      <c r="R125">
        <v>8</v>
      </c>
      <c r="S125">
        <v>575.11</v>
      </c>
      <c r="T125">
        <v>612.14</v>
      </c>
      <c r="U125">
        <v>1043.2</v>
      </c>
      <c r="V125" s="23">
        <f t="shared" si="4"/>
        <v>1.7041853170843273</v>
      </c>
    </row>
    <row r="126" spans="3:22">
      <c r="C126" t="s">
        <v>45</v>
      </c>
      <c r="D126" t="s">
        <v>98</v>
      </c>
      <c r="E126">
        <v>9</v>
      </c>
      <c r="F126" t="s">
        <v>1548</v>
      </c>
      <c r="G126" t="s">
        <v>1557</v>
      </c>
      <c r="H126">
        <v>8</v>
      </c>
      <c r="I126" s="23">
        <v>542.9</v>
      </c>
      <c r="J126">
        <v>584.54</v>
      </c>
      <c r="K126" s="23">
        <v>996.18</v>
      </c>
      <c r="L126" s="23">
        <f t="shared" si="5"/>
        <v>1.7042118588975947</v>
      </c>
      <c r="M126">
        <v>12</v>
      </c>
      <c r="N126">
        <v>573.55999999999995</v>
      </c>
      <c r="O126">
        <v>590.98</v>
      </c>
      <c r="P126">
        <v>1007.14</v>
      </c>
      <c r="Q126" s="23">
        <f t="shared" si="3"/>
        <v>1.7041862668787437</v>
      </c>
      <c r="R126">
        <v>8</v>
      </c>
      <c r="S126">
        <v>553.21</v>
      </c>
      <c r="T126">
        <v>588.82000000000005</v>
      </c>
      <c r="U126">
        <v>1003.46</v>
      </c>
      <c r="V126" s="23">
        <f t="shared" si="4"/>
        <v>1.7041880370911313</v>
      </c>
    </row>
    <row r="127" spans="3:22">
      <c r="C127" t="s">
        <v>45</v>
      </c>
      <c r="D127" t="s">
        <v>101</v>
      </c>
      <c r="E127">
        <v>10</v>
      </c>
      <c r="F127" t="s">
        <v>1548</v>
      </c>
      <c r="G127" t="s">
        <v>1558</v>
      </c>
      <c r="H127">
        <v>28</v>
      </c>
      <c r="I127" s="23">
        <v>482.29</v>
      </c>
      <c r="J127">
        <v>548.27</v>
      </c>
      <c r="K127" s="23">
        <v>934.36</v>
      </c>
      <c r="L127" s="23">
        <f t="shared" si="5"/>
        <v>1.7041968373246759</v>
      </c>
      <c r="M127">
        <v>12</v>
      </c>
      <c r="N127">
        <v>550.62</v>
      </c>
      <c r="O127">
        <v>567.33000000000004</v>
      </c>
      <c r="P127">
        <v>966.85</v>
      </c>
      <c r="Q127" s="23">
        <f t="shared" si="3"/>
        <v>1.7042109530608287</v>
      </c>
      <c r="R127">
        <v>28</v>
      </c>
      <c r="S127">
        <v>395.51</v>
      </c>
      <c r="T127">
        <v>402.25</v>
      </c>
      <c r="U127">
        <v>685.51</v>
      </c>
      <c r="V127" s="23">
        <f t="shared" si="4"/>
        <v>1.7041889372280921</v>
      </c>
    </row>
    <row r="128" spans="3:22">
      <c r="C128" t="s">
        <v>45</v>
      </c>
      <c r="D128" t="s">
        <v>103</v>
      </c>
      <c r="E128">
        <v>11</v>
      </c>
      <c r="F128" t="s">
        <v>1548</v>
      </c>
      <c r="G128" t="s">
        <v>1559</v>
      </c>
      <c r="H128">
        <v>36</v>
      </c>
      <c r="I128" s="23">
        <v>436.95</v>
      </c>
      <c r="J128">
        <v>477.56</v>
      </c>
      <c r="K128" s="23">
        <v>813.86</v>
      </c>
      <c r="L128" s="23">
        <f t="shared" si="5"/>
        <v>1.7042047072619149</v>
      </c>
      <c r="M128">
        <v>28</v>
      </c>
      <c r="N128">
        <v>370.28</v>
      </c>
      <c r="O128">
        <v>394.68</v>
      </c>
      <c r="P128">
        <v>672.61</v>
      </c>
      <c r="Q128" s="23">
        <f t="shared" si="3"/>
        <v>1.7041907367994324</v>
      </c>
      <c r="R128">
        <v>36</v>
      </c>
      <c r="S128">
        <v>358.38</v>
      </c>
      <c r="T128">
        <v>381.98</v>
      </c>
      <c r="U128">
        <v>650.96</v>
      </c>
      <c r="V128" s="23">
        <f t="shared" si="4"/>
        <v>1.7041729933504373</v>
      </c>
    </row>
    <row r="129" spans="3:22">
      <c r="C129" t="s">
        <v>45</v>
      </c>
      <c r="D129" t="s">
        <v>108</v>
      </c>
      <c r="E129">
        <v>12</v>
      </c>
      <c r="F129" t="s">
        <v>1548</v>
      </c>
      <c r="G129" t="s">
        <v>1560</v>
      </c>
      <c r="H129">
        <v>8</v>
      </c>
      <c r="I129" s="23">
        <v>521.39</v>
      </c>
      <c r="J129">
        <v>561.39</v>
      </c>
      <c r="K129" s="23">
        <v>956.72</v>
      </c>
      <c r="L129" s="23">
        <f t="shared" si="5"/>
        <v>1.7041985072765815</v>
      </c>
      <c r="M129">
        <v>12</v>
      </c>
      <c r="N129">
        <v>550.62</v>
      </c>
      <c r="O129">
        <v>567.33000000000004</v>
      </c>
      <c r="P129">
        <v>966.85</v>
      </c>
      <c r="Q129" s="23">
        <f t="shared" si="3"/>
        <v>1.7042109530608287</v>
      </c>
      <c r="R129">
        <v>8</v>
      </c>
      <c r="S129">
        <v>547.73</v>
      </c>
      <c r="T129">
        <v>582.99</v>
      </c>
      <c r="U129">
        <v>993.53</v>
      </c>
      <c r="V129" s="23">
        <f t="shared" si="4"/>
        <v>1.7041973275699411</v>
      </c>
    </row>
    <row r="130" spans="3:22">
      <c r="C130" t="s">
        <v>45</v>
      </c>
      <c r="D130" t="s">
        <v>112</v>
      </c>
      <c r="E130">
        <v>13</v>
      </c>
      <c r="F130" t="s">
        <v>1548</v>
      </c>
      <c r="G130" t="s">
        <v>1561</v>
      </c>
      <c r="H130">
        <v>36</v>
      </c>
      <c r="I130" s="23">
        <v>443.28</v>
      </c>
      <c r="J130">
        <v>468.11</v>
      </c>
      <c r="K130" s="23">
        <v>797.75</v>
      </c>
      <c r="L130" s="23">
        <f t="shared" si="5"/>
        <v>1.7041934588024181</v>
      </c>
      <c r="M130">
        <v>28</v>
      </c>
      <c r="N130">
        <v>370.28</v>
      </c>
      <c r="O130">
        <v>385</v>
      </c>
      <c r="P130">
        <v>656.12</v>
      </c>
      <c r="Q130" s="23">
        <f t="shared" si="3"/>
        <v>1.7042077922077923</v>
      </c>
      <c r="R130">
        <v>36</v>
      </c>
      <c r="S130">
        <v>336.41</v>
      </c>
      <c r="T130">
        <v>342.14</v>
      </c>
      <c r="U130">
        <v>583.08000000000004</v>
      </c>
      <c r="V130" s="23">
        <f t="shared" si="4"/>
        <v>1.7042146489741044</v>
      </c>
    </row>
    <row r="131" spans="3:22">
      <c r="C131" t="s">
        <v>45</v>
      </c>
      <c r="D131" t="s">
        <v>167</v>
      </c>
      <c r="E131">
        <v>14</v>
      </c>
      <c r="F131" t="s">
        <v>1548</v>
      </c>
      <c r="G131" t="s">
        <v>1562</v>
      </c>
      <c r="H131">
        <v>16</v>
      </c>
      <c r="I131" s="23">
        <v>433.73</v>
      </c>
      <c r="J131">
        <v>526.77</v>
      </c>
      <c r="K131" s="23">
        <v>897.72</v>
      </c>
      <c r="L131" s="23">
        <f t="shared" si="5"/>
        <v>1.7041972777493024</v>
      </c>
      <c r="M131">
        <v>20</v>
      </c>
      <c r="N131">
        <v>433.56</v>
      </c>
      <c r="O131">
        <v>460.81</v>
      </c>
      <c r="P131">
        <v>785.31</v>
      </c>
      <c r="Q131" s="23">
        <f t="shared" si="3"/>
        <v>1.7041947874395085</v>
      </c>
      <c r="R131">
        <v>16</v>
      </c>
      <c r="S131">
        <v>427.9</v>
      </c>
      <c r="T131">
        <v>432.68</v>
      </c>
      <c r="U131">
        <v>737.37</v>
      </c>
      <c r="V131" s="23">
        <f t="shared" si="4"/>
        <v>1.7041924748081723</v>
      </c>
    </row>
    <row r="132" spans="3:22">
      <c r="C132" t="s">
        <v>45</v>
      </c>
      <c r="D132" t="s">
        <v>169</v>
      </c>
      <c r="E132">
        <v>15</v>
      </c>
      <c r="F132" t="s">
        <v>1548</v>
      </c>
      <c r="G132" t="s">
        <v>1563</v>
      </c>
      <c r="H132">
        <v>8</v>
      </c>
      <c r="I132" s="23">
        <v>479.06</v>
      </c>
      <c r="J132">
        <v>532.14</v>
      </c>
      <c r="K132" s="23">
        <v>906.88</v>
      </c>
      <c r="L132" s="23">
        <f t="shared" si="5"/>
        <v>1.7042131769835007</v>
      </c>
      <c r="M132">
        <v>8</v>
      </c>
      <c r="N132">
        <v>464.65</v>
      </c>
      <c r="O132">
        <v>629.03</v>
      </c>
      <c r="P132">
        <v>1071.99</v>
      </c>
      <c r="Q132" s="23">
        <f t="shared" si="3"/>
        <v>1.7041953483935584</v>
      </c>
      <c r="R132">
        <v>8</v>
      </c>
      <c r="S132">
        <v>479.41</v>
      </c>
      <c r="T132">
        <v>594.66</v>
      </c>
      <c r="U132">
        <v>1013.41</v>
      </c>
      <c r="V132" s="23">
        <f t="shared" si="4"/>
        <v>1.704183903406989</v>
      </c>
    </row>
    <row r="133" spans="3:22">
      <c r="C133" t="s">
        <v>45</v>
      </c>
      <c r="D133" t="s">
        <v>171</v>
      </c>
      <c r="E133">
        <v>16</v>
      </c>
      <c r="F133" t="s">
        <v>1548</v>
      </c>
      <c r="G133" t="s">
        <v>1564</v>
      </c>
      <c r="H133">
        <v>8</v>
      </c>
      <c r="I133" s="23">
        <v>510.65</v>
      </c>
      <c r="J133">
        <v>549.82000000000005</v>
      </c>
      <c r="K133" s="23">
        <v>937.01</v>
      </c>
      <c r="L133" s="23">
        <f t="shared" si="5"/>
        <v>1.7042122876577788</v>
      </c>
      <c r="M133">
        <v>12</v>
      </c>
      <c r="N133">
        <v>556.35</v>
      </c>
      <c r="O133">
        <v>573.25</v>
      </c>
      <c r="P133">
        <v>976.92</v>
      </c>
      <c r="Q133" s="23">
        <f t="shared" si="3"/>
        <v>1.7041779328390754</v>
      </c>
      <c r="R133">
        <v>8</v>
      </c>
      <c r="S133">
        <v>553.21</v>
      </c>
      <c r="T133">
        <v>588.82000000000005</v>
      </c>
      <c r="U133">
        <v>1003.46</v>
      </c>
      <c r="V133" s="23">
        <f t="shared" si="4"/>
        <v>1.7041880370911313</v>
      </c>
    </row>
    <row r="134" spans="3:22">
      <c r="C134" t="s">
        <v>54</v>
      </c>
      <c r="D134" t="s">
        <v>72</v>
      </c>
      <c r="E134">
        <v>1</v>
      </c>
      <c r="F134" t="s">
        <v>1565</v>
      </c>
      <c r="G134" t="s">
        <v>1566</v>
      </c>
      <c r="H134">
        <v>17</v>
      </c>
      <c r="I134" s="23">
        <v>430.02</v>
      </c>
      <c r="J134">
        <v>513.21</v>
      </c>
      <c r="K134" s="23">
        <v>874.62</v>
      </c>
      <c r="L134" s="23">
        <f t="shared" si="5"/>
        <v>1.7042146489741041</v>
      </c>
      <c r="M134">
        <v>17</v>
      </c>
      <c r="N134">
        <v>317.20999999999998</v>
      </c>
      <c r="O134">
        <v>405.76</v>
      </c>
      <c r="P134">
        <v>691.5</v>
      </c>
      <c r="Q134" s="23">
        <f t="shared" si="3"/>
        <v>1.7042093848580442</v>
      </c>
      <c r="R134">
        <v>17</v>
      </c>
      <c r="S134">
        <v>315.64999999999998</v>
      </c>
      <c r="T134">
        <v>386.54</v>
      </c>
      <c r="U134">
        <v>658.74</v>
      </c>
      <c r="V134" s="23">
        <f t="shared" si="4"/>
        <v>1.7041962022041703</v>
      </c>
    </row>
    <row r="135" spans="3:22">
      <c r="C135" t="s">
        <v>54</v>
      </c>
      <c r="D135" t="s">
        <v>74</v>
      </c>
      <c r="E135">
        <v>2</v>
      </c>
      <c r="F135" t="s">
        <v>1565</v>
      </c>
      <c r="G135" t="s">
        <v>1567</v>
      </c>
      <c r="H135">
        <v>62</v>
      </c>
      <c r="I135" s="23">
        <v>513.04999999999995</v>
      </c>
      <c r="J135">
        <v>355.97</v>
      </c>
      <c r="K135" s="23">
        <v>606.65</v>
      </c>
      <c r="L135" s="23">
        <f t="shared" si="5"/>
        <v>1.7042166474702922</v>
      </c>
      <c r="M135">
        <v>25</v>
      </c>
      <c r="N135">
        <v>294.36</v>
      </c>
      <c r="O135">
        <v>392.93</v>
      </c>
      <c r="P135">
        <v>669.62</v>
      </c>
      <c r="Q135" s="23">
        <f t="shared" si="3"/>
        <v>1.704171226427099</v>
      </c>
      <c r="R135">
        <v>62</v>
      </c>
      <c r="S135">
        <v>287.29000000000002</v>
      </c>
      <c r="T135">
        <v>359.47</v>
      </c>
      <c r="U135">
        <v>612.6</v>
      </c>
      <c r="V135" s="23">
        <f t="shared" si="4"/>
        <v>1.7041755918435473</v>
      </c>
    </row>
    <row r="136" spans="3:22">
      <c r="C136" t="s">
        <v>54</v>
      </c>
      <c r="D136" t="s">
        <v>76</v>
      </c>
      <c r="E136">
        <v>3</v>
      </c>
      <c r="F136" t="s">
        <v>1565</v>
      </c>
      <c r="G136" t="s">
        <v>1568</v>
      </c>
      <c r="H136">
        <v>45</v>
      </c>
      <c r="I136" s="23">
        <v>510.46</v>
      </c>
      <c r="J136">
        <v>288.05</v>
      </c>
      <c r="K136" s="23">
        <v>490.9</v>
      </c>
      <c r="L136" s="23">
        <f t="shared" si="5"/>
        <v>1.7042180177052593</v>
      </c>
      <c r="M136">
        <v>21</v>
      </c>
      <c r="N136">
        <v>337.07</v>
      </c>
      <c r="O136">
        <v>423.59</v>
      </c>
      <c r="P136">
        <v>721.88</v>
      </c>
      <c r="Q136" s="23">
        <f t="shared" si="3"/>
        <v>1.704195094312897</v>
      </c>
      <c r="R136">
        <v>45</v>
      </c>
      <c r="S136">
        <v>325.73</v>
      </c>
      <c r="T136">
        <v>394.9</v>
      </c>
      <c r="U136">
        <v>672.99</v>
      </c>
      <c r="V136" s="23">
        <f t="shared" si="4"/>
        <v>1.7042035958470501</v>
      </c>
    </row>
    <row r="137" spans="3:22">
      <c r="C137" t="s">
        <v>54</v>
      </c>
      <c r="D137" t="s">
        <v>84</v>
      </c>
      <c r="E137">
        <v>4</v>
      </c>
      <c r="F137" t="s">
        <v>1565</v>
      </c>
      <c r="G137" t="s">
        <v>1569</v>
      </c>
      <c r="H137">
        <v>79</v>
      </c>
      <c r="I137" s="23">
        <v>435.87</v>
      </c>
      <c r="J137">
        <v>484.57</v>
      </c>
      <c r="K137" s="23">
        <v>825.8</v>
      </c>
      <c r="L137" s="23">
        <f t="shared" si="5"/>
        <v>1.7041913449037289</v>
      </c>
      <c r="M137">
        <v>29</v>
      </c>
      <c r="N137">
        <v>397.8</v>
      </c>
      <c r="O137">
        <v>398.67</v>
      </c>
      <c r="P137">
        <v>679.41</v>
      </c>
      <c r="Q137" s="23">
        <f t="shared" ref="Q137:Q167" si="6">P137/O137</f>
        <v>1.7041914365264503</v>
      </c>
      <c r="R137">
        <v>79</v>
      </c>
      <c r="S137">
        <v>339.49</v>
      </c>
      <c r="T137">
        <v>354.05</v>
      </c>
      <c r="U137">
        <v>603.38</v>
      </c>
      <c r="V137" s="23">
        <f t="shared" ref="V137:V167" si="7">U137/T137</f>
        <v>1.7042225674339782</v>
      </c>
    </row>
    <row r="138" spans="3:22">
      <c r="C138" t="s">
        <v>54</v>
      </c>
      <c r="D138" t="s">
        <v>86</v>
      </c>
      <c r="E138">
        <v>5</v>
      </c>
      <c r="F138" t="s">
        <v>1565</v>
      </c>
      <c r="G138" t="s">
        <v>1570</v>
      </c>
      <c r="H138">
        <v>17</v>
      </c>
      <c r="I138" s="23">
        <v>540.9</v>
      </c>
      <c r="J138">
        <v>357.79</v>
      </c>
      <c r="K138" s="23">
        <v>609.75</v>
      </c>
      <c r="L138" s="23">
        <f t="shared" si="5"/>
        <v>1.7042119679141394</v>
      </c>
      <c r="M138">
        <v>9</v>
      </c>
      <c r="N138">
        <v>357.17</v>
      </c>
      <c r="O138">
        <v>476.76</v>
      </c>
      <c r="P138">
        <v>812.49</v>
      </c>
      <c r="Q138" s="23">
        <f t="shared" si="6"/>
        <v>1.70419078781777</v>
      </c>
      <c r="R138">
        <v>17</v>
      </c>
      <c r="S138">
        <v>328.08</v>
      </c>
      <c r="T138">
        <v>412.89</v>
      </c>
      <c r="U138">
        <v>703.65</v>
      </c>
      <c r="V138" s="23">
        <f t="shared" si="7"/>
        <v>1.7042069316282786</v>
      </c>
    </row>
    <row r="139" spans="3:22">
      <c r="C139" t="s">
        <v>54</v>
      </c>
      <c r="D139" t="s">
        <v>89</v>
      </c>
      <c r="E139">
        <v>6</v>
      </c>
      <c r="F139" t="s">
        <v>1565</v>
      </c>
      <c r="G139" t="s">
        <v>1571</v>
      </c>
      <c r="H139">
        <v>79</v>
      </c>
      <c r="I139" s="23">
        <v>492.89</v>
      </c>
      <c r="J139">
        <v>337.09</v>
      </c>
      <c r="K139" s="23">
        <v>574.47</v>
      </c>
      <c r="L139" s="23">
        <f t="shared" si="5"/>
        <v>1.7042036251446204</v>
      </c>
      <c r="M139">
        <v>41</v>
      </c>
      <c r="N139">
        <v>380.58</v>
      </c>
      <c r="O139">
        <v>408.65</v>
      </c>
      <c r="P139">
        <v>696.43</v>
      </c>
      <c r="Q139" s="23">
        <f t="shared" si="6"/>
        <v>1.7042212161996819</v>
      </c>
      <c r="R139">
        <v>79</v>
      </c>
      <c r="S139">
        <v>300.81</v>
      </c>
      <c r="T139">
        <v>349.81</v>
      </c>
      <c r="U139">
        <v>596.15</v>
      </c>
      <c r="V139" s="23">
        <f t="shared" si="7"/>
        <v>1.7042108573225465</v>
      </c>
    </row>
    <row r="140" spans="3:22">
      <c r="C140" t="s">
        <v>54</v>
      </c>
      <c r="D140" t="s">
        <v>93</v>
      </c>
      <c r="E140">
        <v>7</v>
      </c>
      <c r="F140" t="s">
        <v>1565</v>
      </c>
      <c r="G140" t="s">
        <v>1572</v>
      </c>
      <c r="H140">
        <v>9</v>
      </c>
      <c r="I140" s="23">
        <v>483.38</v>
      </c>
      <c r="J140">
        <v>382.31</v>
      </c>
      <c r="K140" s="23">
        <v>651.53</v>
      </c>
      <c r="L140" s="23">
        <f t="shared" ref="L140:L167" si="8">K140/J140</f>
        <v>1.7041929324370275</v>
      </c>
      <c r="M140">
        <v>9</v>
      </c>
      <c r="N140">
        <v>319.18</v>
      </c>
      <c r="O140">
        <v>426.05</v>
      </c>
      <c r="P140">
        <v>726.08</v>
      </c>
      <c r="Q140" s="23">
        <f t="shared" si="6"/>
        <v>1.70421312052576</v>
      </c>
      <c r="R140">
        <v>9</v>
      </c>
      <c r="S140">
        <v>305.39999999999998</v>
      </c>
      <c r="T140">
        <v>425.76</v>
      </c>
      <c r="U140">
        <v>725.58</v>
      </c>
      <c r="V140" s="23">
        <f t="shared" si="7"/>
        <v>1.7041995490417137</v>
      </c>
    </row>
    <row r="141" spans="3:22">
      <c r="C141" t="s">
        <v>54</v>
      </c>
      <c r="D141" t="s">
        <v>96</v>
      </c>
      <c r="E141">
        <v>8</v>
      </c>
      <c r="F141" t="s">
        <v>1565</v>
      </c>
      <c r="G141" t="s">
        <v>1573</v>
      </c>
      <c r="H141">
        <v>9</v>
      </c>
      <c r="I141" s="23">
        <v>548.24</v>
      </c>
      <c r="J141">
        <v>317.35000000000002</v>
      </c>
      <c r="K141" s="23">
        <v>540.83000000000004</v>
      </c>
      <c r="L141" s="23">
        <f t="shared" si="8"/>
        <v>1.7042067118323618</v>
      </c>
      <c r="M141">
        <v>9</v>
      </c>
      <c r="N141">
        <v>362.01</v>
      </c>
      <c r="O141">
        <v>483.22</v>
      </c>
      <c r="P141">
        <v>823.51</v>
      </c>
      <c r="Q141" s="23">
        <f t="shared" si="6"/>
        <v>1.704213401763172</v>
      </c>
      <c r="R141">
        <v>9</v>
      </c>
      <c r="S141">
        <v>346.37</v>
      </c>
      <c r="T141">
        <v>482.89</v>
      </c>
      <c r="U141">
        <v>822.94</v>
      </c>
      <c r="V141" s="23">
        <f t="shared" si="7"/>
        <v>1.7041976433556298</v>
      </c>
    </row>
    <row r="142" spans="3:22">
      <c r="C142" t="s">
        <v>55</v>
      </c>
      <c r="D142" t="s">
        <v>72</v>
      </c>
      <c r="E142">
        <v>1</v>
      </c>
      <c r="F142" t="s">
        <v>1574</v>
      </c>
      <c r="G142" t="s">
        <v>1575</v>
      </c>
      <c r="H142">
        <v>18</v>
      </c>
      <c r="I142" s="23">
        <v>426.68</v>
      </c>
      <c r="J142">
        <v>440.94</v>
      </c>
      <c r="K142" s="23">
        <v>751.45</v>
      </c>
      <c r="L142" s="23">
        <f t="shared" si="8"/>
        <v>1.7042001179298771</v>
      </c>
      <c r="M142">
        <v>18</v>
      </c>
      <c r="N142">
        <v>332.87</v>
      </c>
      <c r="O142">
        <v>370.28</v>
      </c>
      <c r="P142">
        <v>631.02</v>
      </c>
      <c r="Q142" s="23">
        <f t="shared" si="6"/>
        <v>1.7041698174354543</v>
      </c>
      <c r="R142">
        <v>18</v>
      </c>
      <c r="S142">
        <v>336.64</v>
      </c>
      <c r="T142">
        <v>358.04</v>
      </c>
      <c r="U142">
        <v>610.16999999999996</v>
      </c>
      <c r="V142" s="23">
        <f t="shared" si="7"/>
        <v>1.7041950620042452</v>
      </c>
    </row>
    <row r="143" spans="3:22">
      <c r="C143" t="s">
        <v>55</v>
      </c>
      <c r="D143" t="s">
        <v>74</v>
      </c>
      <c r="E143">
        <v>2</v>
      </c>
      <c r="F143" t="s">
        <v>1574</v>
      </c>
      <c r="G143" t="s">
        <v>1576</v>
      </c>
      <c r="H143">
        <v>94</v>
      </c>
      <c r="I143" s="23">
        <v>411.21</v>
      </c>
      <c r="J143">
        <v>454.38</v>
      </c>
      <c r="K143" s="23">
        <v>774.36</v>
      </c>
      <c r="L143" s="23">
        <f t="shared" si="8"/>
        <v>1.7042123332893173</v>
      </c>
      <c r="M143">
        <v>18</v>
      </c>
      <c r="N143">
        <v>357.28</v>
      </c>
      <c r="O143">
        <v>373.39</v>
      </c>
      <c r="P143">
        <v>636.33000000000004</v>
      </c>
      <c r="Q143" s="23">
        <f t="shared" si="6"/>
        <v>1.7041966844318275</v>
      </c>
      <c r="R143">
        <v>94</v>
      </c>
      <c r="S143">
        <v>323.52999999999997</v>
      </c>
      <c r="T143">
        <v>330.69</v>
      </c>
      <c r="U143">
        <v>563.54999999999995</v>
      </c>
      <c r="V143" s="23">
        <f t="shared" si="7"/>
        <v>1.7041640206840243</v>
      </c>
    </row>
    <row r="144" spans="3:22">
      <c r="C144" t="s">
        <v>55</v>
      </c>
      <c r="D144" t="s">
        <v>76</v>
      </c>
      <c r="E144">
        <v>3</v>
      </c>
      <c r="F144" t="s">
        <v>1574</v>
      </c>
      <c r="G144" t="s">
        <v>1577</v>
      </c>
      <c r="H144">
        <v>168</v>
      </c>
      <c r="I144" s="23">
        <v>279.87</v>
      </c>
      <c r="J144">
        <v>333.99</v>
      </c>
      <c r="K144" s="23">
        <v>569.19000000000005</v>
      </c>
      <c r="L144" s="23">
        <f t="shared" si="8"/>
        <v>1.7042127009790713</v>
      </c>
      <c r="M144">
        <v>69</v>
      </c>
      <c r="N144">
        <v>310.44</v>
      </c>
      <c r="O144">
        <v>347.09</v>
      </c>
      <c r="P144">
        <v>591.51</v>
      </c>
      <c r="Q144" s="23">
        <f t="shared" si="6"/>
        <v>1.7041977585064394</v>
      </c>
      <c r="R144">
        <v>168</v>
      </c>
      <c r="S144">
        <v>320.51</v>
      </c>
      <c r="T144">
        <v>328.59</v>
      </c>
      <c r="U144">
        <v>559.98</v>
      </c>
      <c r="V144" s="23">
        <f t="shared" si="7"/>
        <v>1.7041906327033691</v>
      </c>
    </row>
    <row r="145" spans="3:22">
      <c r="C145" t="s">
        <v>55</v>
      </c>
      <c r="D145" t="s">
        <v>84</v>
      </c>
      <c r="E145">
        <v>4</v>
      </c>
      <c r="F145" t="s">
        <v>1574</v>
      </c>
      <c r="G145" t="s">
        <v>1578</v>
      </c>
      <c r="H145">
        <v>42</v>
      </c>
      <c r="I145" s="23">
        <v>333.99</v>
      </c>
      <c r="J145">
        <v>342.99</v>
      </c>
      <c r="K145" s="23">
        <v>584.53</v>
      </c>
      <c r="L145" s="23">
        <f t="shared" si="8"/>
        <v>1.7042187818886847</v>
      </c>
      <c r="M145">
        <v>38</v>
      </c>
      <c r="N145">
        <v>346.17</v>
      </c>
      <c r="O145">
        <v>358.46</v>
      </c>
      <c r="P145">
        <v>610.89</v>
      </c>
      <c r="Q145" s="23">
        <f t="shared" si="6"/>
        <v>1.7042068850080903</v>
      </c>
      <c r="R145">
        <v>42</v>
      </c>
      <c r="S145">
        <v>331.03</v>
      </c>
      <c r="T145">
        <v>340.59</v>
      </c>
      <c r="U145">
        <v>580.42999999999995</v>
      </c>
      <c r="V145" s="23">
        <f t="shared" si="7"/>
        <v>1.7041897883085235</v>
      </c>
    </row>
    <row r="146" spans="3:22">
      <c r="C146" t="s">
        <v>55</v>
      </c>
      <c r="D146" t="s">
        <v>86</v>
      </c>
      <c r="E146">
        <v>5</v>
      </c>
      <c r="F146" t="s">
        <v>1574</v>
      </c>
      <c r="G146" t="s">
        <v>1579</v>
      </c>
      <c r="H146">
        <v>86</v>
      </c>
      <c r="I146" s="23">
        <v>284.27999999999997</v>
      </c>
      <c r="J146">
        <v>299.88</v>
      </c>
      <c r="K146" s="23">
        <v>511.05</v>
      </c>
      <c r="L146" s="23">
        <f t="shared" si="8"/>
        <v>1.7041816726690677</v>
      </c>
      <c r="M146">
        <v>54</v>
      </c>
      <c r="N146">
        <v>274.73</v>
      </c>
      <c r="O146">
        <v>279.92</v>
      </c>
      <c r="P146">
        <v>477.04</v>
      </c>
      <c r="Q146" s="23">
        <f t="shared" si="6"/>
        <v>1.7042012003429552</v>
      </c>
      <c r="R146">
        <v>86</v>
      </c>
      <c r="S146">
        <v>278.36</v>
      </c>
      <c r="T146">
        <v>299.17</v>
      </c>
      <c r="U146">
        <v>509.85</v>
      </c>
      <c r="V146" s="23">
        <f t="shared" si="7"/>
        <v>1.7042149948189993</v>
      </c>
    </row>
    <row r="147" spans="3:22">
      <c r="C147" t="s">
        <v>55</v>
      </c>
      <c r="D147" t="s">
        <v>89</v>
      </c>
      <c r="E147">
        <v>6</v>
      </c>
      <c r="F147" t="s">
        <v>1574</v>
      </c>
      <c r="G147" t="s">
        <v>1580</v>
      </c>
      <c r="H147">
        <v>70</v>
      </c>
      <c r="I147" s="23">
        <v>330.15</v>
      </c>
      <c r="J147">
        <v>348.26</v>
      </c>
      <c r="K147" s="23">
        <v>593.51</v>
      </c>
      <c r="L147" s="23">
        <f t="shared" si="8"/>
        <v>1.7042152414862459</v>
      </c>
      <c r="M147">
        <v>37</v>
      </c>
      <c r="N147">
        <v>336.93</v>
      </c>
      <c r="O147">
        <v>356.08</v>
      </c>
      <c r="P147">
        <v>606.84</v>
      </c>
      <c r="Q147" s="23">
        <f t="shared" si="6"/>
        <v>1.7042237699393397</v>
      </c>
      <c r="R147">
        <v>70</v>
      </c>
      <c r="S147">
        <v>344.28</v>
      </c>
      <c r="T147">
        <v>357.23</v>
      </c>
      <c r="U147">
        <v>608.79999999999995</v>
      </c>
      <c r="V147" s="23">
        <f t="shared" si="7"/>
        <v>1.7042241693026898</v>
      </c>
    </row>
    <row r="148" spans="3:22">
      <c r="C148" t="s">
        <v>55</v>
      </c>
      <c r="D148" t="s">
        <v>93</v>
      </c>
      <c r="E148">
        <v>7</v>
      </c>
      <c r="F148" t="s">
        <v>1574</v>
      </c>
      <c r="G148" t="s">
        <v>1581</v>
      </c>
      <c r="H148">
        <v>94</v>
      </c>
      <c r="I148" s="23">
        <v>391.72</v>
      </c>
      <c r="J148">
        <v>427.96</v>
      </c>
      <c r="K148" s="23">
        <v>729.33</v>
      </c>
      <c r="L148" s="23">
        <f t="shared" si="8"/>
        <v>1.7042013272268437</v>
      </c>
      <c r="M148">
        <v>18</v>
      </c>
      <c r="N148">
        <v>338.68</v>
      </c>
      <c r="O148">
        <v>354.76</v>
      </c>
      <c r="P148">
        <v>604.58000000000004</v>
      </c>
      <c r="Q148" s="23">
        <f t="shared" si="6"/>
        <v>1.704194384936295</v>
      </c>
      <c r="R148">
        <v>94</v>
      </c>
      <c r="S148">
        <v>363</v>
      </c>
      <c r="T148">
        <v>365.17</v>
      </c>
      <c r="U148">
        <v>622.30999999999995</v>
      </c>
      <c r="V148" s="23">
        <f t="shared" si="7"/>
        <v>1.7041651833392664</v>
      </c>
    </row>
    <row r="149" spans="3:22">
      <c r="C149" t="s">
        <v>55</v>
      </c>
      <c r="D149" t="s">
        <v>96</v>
      </c>
      <c r="E149">
        <v>8</v>
      </c>
      <c r="F149" t="s">
        <v>1574</v>
      </c>
      <c r="G149" t="s">
        <v>1582</v>
      </c>
      <c r="H149">
        <v>259</v>
      </c>
      <c r="I149" s="23">
        <v>337.27</v>
      </c>
      <c r="J149">
        <v>344.77</v>
      </c>
      <c r="K149" s="23">
        <v>587.54999999999995</v>
      </c>
      <c r="L149" s="23">
        <f t="shared" si="8"/>
        <v>1.7041795979928647</v>
      </c>
      <c r="M149">
        <v>81</v>
      </c>
      <c r="N149">
        <v>336.6</v>
      </c>
      <c r="O149">
        <v>342.96</v>
      </c>
      <c r="P149">
        <v>584.48</v>
      </c>
      <c r="Q149" s="23">
        <f t="shared" si="6"/>
        <v>1.7042220667133194</v>
      </c>
      <c r="R149">
        <v>259</v>
      </c>
      <c r="S149">
        <v>285.92</v>
      </c>
      <c r="T149">
        <v>334.41</v>
      </c>
      <c r="U149">
        <v>569.9</v>
      </c>
      <c r="V149" s="23">
        <f t="shared" si="7"/>
        <v>1.7041954487006965</v>
      </c>
    </row>
    <row r="150" spans="3:22">
      <c r="C150" t="s">
        <v>55</v>
      </c>
      <c r="D150" t="s">
        <v>98</v>
      </c>
      <c r="E150">
        <v>9</v>
      </c>
      <c r="F150" t="s">
        <v>1574</v>
      </c>
      <c r="G150" t="s">
        <v>1583</v>
      </c>
      <c r="H150">
        <v>119</v>
      </c>
      <c r="I150" s="23">
        <v>311.42</v>
      </c>
      <c r="J150">
        <v>324.17</v>
      </c>
      <c r="K150" s="23">
        <v>552.45000000000005</v>
      </c>
      <c r="L150" s="23">
        <f t="shared" si="8"/>
        <v>1.7041984144121911</v>
      </c>
      <c r="M150">
        <v>67</v>
      </c>
      <c r="N150">
        <v>258.32</v>
      </c>
      <c r="O150">
        <v>305.5</v>
      </c>
      <c r="P150">
        <v>520.64</v>
      </c>
      <c r="Q150" s="23">
        <f t="shared" si="6"/>
        <v>1.7042225859247135</v>
      </c>
      <c r="R150">
        <v>119</v>
      </c>
      <c r="S150">
        <v>276.83999999999997</v>
      </c>
      <c r="T150">
        <v>323.66000000000003</v>
      </c>
      <c r="U150">
        <v>551.58000000000004</v>
      </c>
      <c r="V150" s="23">
        <f t="shared" si="7"/>
        <v>1.7041957609837484</v>
      </c>
    </row>
    <row r="151" spans="3:22">
      <c r="C151" t="s">
        <v>55</v>
      </c>
      <c r="D151" t="s">
        <v>101</v>
      </c>
      <c r="E151">
        <v>10</v>
      </c>
      <c r="F151" t="s">
        <v>1574</v>
      </c>
      <c r="G151" t="s">
        <v>1584</v>
      </c>
      <c r="H151">
        <v>191</v>
      </c>
      <c r="I151" s="23">
        <v>319.49</v>
      </c>
      <c r="J151">
        <v>329.27</v>
      </c>
      <c r="K151" s="23">
        <v>561.14</v>
      </c>
      <c r="L151" s="23">
        <f t="shared" si="8"/>
        <v>1.704194126400826</v>
      </c>
      <c r="M151">
        <v>70</v>
      </c>
      <c r="N151">
        <v>316.08</v>
      </c>
      <c r="O151">
        <v>322.06</v>
      </c>
      <c r="P151">
        <v>548.85</v>
      </c>
      <c r="Q151" s="23">
        <f t="shared" si="6"/>
        <v>1.7041855554865553</v>
      </c>
      <c r="R151">
        <v>191</v>
      </c>
      <c r="S151">
        <v>289.14</v>
      </c>
      <c r="T151">
        <v>312.48</v>
      </c>
      <c r="U151">
        <v>532.53</v>
      </c>
      <c r="V151" s="23">
        <f t="shared" si="7"/>
        <v>1.7042050691244237</v>
      </c>
    </row>
    <row r="152" spans="3:22">
      <c r="C152" t="s">
        <v>55</v>
      </c>
      <c r="D152" t="s">
        <v>103</v>
      </c>
      <c r="E152">
        <v>11</v>
      </c>
      <c r="F152" t="s">
        <v>1574</v>
      </c>
      <c r="G152" t="s">
        <v>1585</v>
      </c>
      <c r="H152">
        <v>94</v>
      </c>
      <c r="I152" s="23">
        <v>354.71</v>
      </c>
      <c r="J152">
        <v>374.16</v>
      </c>
      <c r="K152" s="23">
        <v>637.65</v>
      </c>
      <c r="L152" s="23">
        <f t="shared" si="8"/>
        <v>1.7042174470814624</v>
      </c>
      <c r="M152">
        <v>37</v>
      </c>
      <c r="N152">
        <v>328.36</v>
      </c>
      <c r="O152">
        <v>348.44</v>
      </c>
      <c r="P152">
        <v>593.80999999999995</v>
      </c>
      <c r="Q152" s="23">
        <f t="shared" si="6"/>
        <v>1.7041958443347491</v>
      </c>
      <c r="R152">
        <v>94</v>
      </c>
      <c r="S152">
        <v>325.74</v>
      </c>
      <c r="T152">
        <v>346.79</v>
      </c>
      <c r="U152">
        <v>590.99</v>
      </c>
      <c r="V152" s="23">
        <f t="shared" si="7"/>
        <v>1.7041725539952131</v>
      </c>
    </row>
    <row r="153" spans="3:22">
      <c r="C153" t="s">
        <v>55</v>
      </c>
      <c r="D153" t="s">
        <v>108</v>
      </c>
      <c r="E153">
        <v>12</v>
      </c>
      <c r="F153" t="s">
        <v>1574</v>
      </c>
      <c r="G153" t="s">
        <v>1586</v>
      </c>
      <c r="H153">
        <v>102</v>
      </c>
      <c r="I153" s="23">
        <v>317.62</v>
      </c>
      <c r="J153">
        <v>326.18</v>
      </c>
      <c r="K153" s="23">
        <v>555.87</v>
      </c>
      <c r="L153" s="23">
        <f t="shared" si="8"/>
        <v>1.7041817401434791</v>
      </c>
      <c r="M153">
        <v>18</v>
      </c>
      <c r="N153">
        <v>335.57</v>
      </c>
      <c r="O153">
        <v>344.81</v>
      </c>
      <c r="P153">
        <v>587.63</v>
      </c>
      <c r="Q153" s="23">
        <f t="shared" si="6"/>
        <v>1.7042139149096605</v>
      </c>
      <c r="R153">
        <v>102</v>
      </c>
      <c r="S153">
        <v>276.64999999999998</v>
      </c>
      <c r="T153">
        <v>282.77</v>
      </c>
      <c r="U153">
        <v>481.9</v>
      </c>
      <c r="V153" s="23">
        <f t="shared" si="7"/>
        <v>1.7042119036672914</v>
      </c>
    </row>
    <row r="154" spans="3:22">
      <c r="C154" t="s">
        <v>55</v>
      </c>
      <c r="D154" t="s">
        <v>112</v>
      </c>
      <c r="E154">
        <v>13</v>
      </c>
      <c r="F154" t="s">
        <v>1574</v>
      </c>
      <c r="G154" t="s">
        <v>1587</v>
      </c>
      <c r="H154">
        <v>18</v>
      </c>
      <c r="I154" s="23">
        <v>432.89</v>
      </c>
      <c r="J154">
        <v>507.11</v>
      </c>
      <c r="K154" s="23">
        <v>864.22</v>
      </c>
      <c r="L154" s="23">
        <f t="shared" si="8"/>
        <v>1.7042061880065469</v>
      </c>
      <c r="M154">
        <v>18</v>
      </c>
      <c r="N154">
        <v>332.05</v>
      </c>
      <c r="O154">
        <v>359.18</v>
      </c>
      <c r="P154">
        <v>612.11</v>
      </c>
      <c r="Q154" s="23">
        <f t="shared" si="6"/>
        <v>1.7041873155520908</v>
      </c>
      <c r="R154">
        <v>18</v>
      </c>
      <c r="S154">
        <v>314.35000000000002</v>
      </c>
      <c r="T154">
        <v>347.93</v>
      </c>
      <c r="U154">
        <v>592.95000000000005</v>
      </c>
      <c r="V154" s="23">
        <f t="shared" si="7"/>
        <v>1.7042221136435491</v>
      </c>
    </row>
    <row r="155" spans="3:22">
      <c r="C155" t="s">
        <v>55</v>
      </c>
      <c r="D155" t="s">
        <v>167</v>
      </c>
      <c r="E155">
        <v>14</v>
      </c>
      <c r="F155" t="s">
        <v>1574</v>
      </c>
      <c r="G155" t="s">
        <v>1588</v>
      </c>
      <c r="H155">
        <v>18</v>
      </c>
      <c r="I155" s="23">
        <v>426.84</v>
      </c>
      <c r="J155">
        <v>449.24</v>
      </c>
      <c r="K155" s="23">
        <v>765.59</v>
      </c>
      <c r="L155" s="23">
        <f t="shared" si="8"/>
        <v>1.7041892974801889</v>
      </c>
      <c r="M155">
        <v>18</v>
      </c>
      <c r="N155">
        <v>355.43</v>
      </c>
      <c r="O155">
        <v>371.54</v>
      </c>
      <c r="P155">
        <v>633.17999999999995</v>
      </c>
      <c r="Q155" s="23">
        <f t="shared" si="6"/>
        <v>1.7042041233783709</v>
      </c>
      <c r="R155">
        <v>18</v>
      </c>
      <c r="S155">
        <v>365.6</v>
      </c>
      <c r="T155">
        <v>381.4</v>
      </c>
      <c r="U155">
        <v>649.98</v>
      </c>
      <c r="V155" s="23">
        <f t="shared" si="7"/>
        <v>1.7041950707918199</v>
      </c>
    </row>
    <row r="156" spans="3:22">
      <c r="C156" t="s">
        <v>55</v>
      </c>
      <c r="D156" t="s">
        <v>169</v>
      </c>
      <c r="E156">
        <v>15</v>
      </c>
      <c r="F156" t="s">
        <v>1574</v>
      </c>
      <c r="G156" t="s">
        <v>1589</v>
      </c>
      <c r="H156">
        <v>86</v>
      </c>
      <c r="I156" s="23">
        <v>261.67</v>
      </c>
      <c r="J156">
        <v>276.02</v>
      </c>
      <c r="K156" s="23">
        <v>470.4</v>
      </c>
      <c r="L156" s="23">
        <f t="shared" si="8"/>
        <v>1.7042243315701762</v>
      </c>
      <c r="M156">
        <v>45</v>
      </c>
      <c r="N156">
        <v>287.23</v>
      </c>
      <c r="O156">
        <v>292.66000000000003</v>
      </c>
      <c r="P156">
        <v>498.75</v>
      </c>
      <c r="Q156" s="23">
        <f t="shared" si="6"/>
        <v>1.7041959953529691</v>
      </c>
      <c r="R156">
        <v>86</v>
      </c>
      <c r="S156">
        <v>295.99</v>
      </c>
      <c r="T156">
        <v>314.45999999999998</v>
      </c>
      <c r="U156">
        <v>535.9</v>
      </c>
      <c r="V156" s="23">
        <f t="shared" si="7"/>
        <v>1.7041913120905681</v>
      </c>
    </row>
    <row r="157" spans="3:22">
      <c r="C157" t="s">
        <v>55</v>
      </c>
      <c r="D157" t="s">
        <v>171</v>
      </c>
      <c r="E157">
        <v>16</v>
      </c>
      <c r="F157" t="s">
        <v>1574</v>
      </c>
      <c r="G157" t="s">
        <v>1590</v>
      </c>
      <c r="H157">
        <v>18</v>
      </c>
      <c r="I157" s="23">
        <v>413.91</v>
      </c>
      <c r="J157">
        <v>437.06</v>
      </c>
      <c r="K157" s="23">
        <v>744.84</v>
      </c>
      <c r="L157" s="23">
        <f t="shared" si="8"/>
        <v>1.7042053722601016</v>
      </c>
      <c r="M157">
        <v>18</v>
      </c>
      <c r="N157">
        <v>324.95</v>
      </c>
      <c r="O157">
        <v>346.3</v>
      </c>
      <c r="P157">
        <v>590.16</v>
      </c>
      <c r="Q157" s="23">
        <f t="shared" si="6"/>
        <v>1.7041871209933581</v>
      </c>
      <c r="R157">
        <v>18</v>
      </c>
      <c r="S157">
        <v>313.45999999999998</v>
      </c>
      <c r="T157">
        <v>328.26</v>
      </c>
      <c r="U157">
        <v>559.41999999999996</v>
      </c>
      <c r="V157" s="23">
        <f t="shared" si="7"/>
        <v>1.7041978919149454</v>
      </c>
    </row>
    <row r="158" spans="3:22">
      <c r="C158" t="s">
        <v>55</v>
      </c>
      <c r="D158" t="s">
        <v>172</v>
      </c>
      <c r="E158">
        <v>17</v>
      </c>
      <c r="F158" t="s">
        <v>1574</v>
      </c>
      <c r="G158" t="s">
        <v>1591</v>
      </c>
      <c r="H158">
        <v>18</v>
      </c>
      <c r="I158" s="23">
        <v>400.16</v>
      </c>
      <c r="J158">
        <v>442.16</v>
      </c>
      <c r="K158" s="23">
        <v>753.53</v>
      </c>
      <c r="L158" s="23">
        <f t="shared" si="8"/>
        <v>1.7042020987877691</v>
      </c>
      <c r="M158">
        <v>18</v>
      </c>
      <c r="N158">
        <v>345.93</v>
      </c>
      <c r="O158">
        <v>362.03</v>
      </c>
      <c r="P158">
        <v>616.97</v>
      </c>
      <c r="Q158" s="23">
        <f t="shared" si="6"/>
        <v>1.7041957848797062</v>
      </c>
      <c r="R158">
        <v>18</v>
      </c>
      <c r="S158">
        <v>327.10000000000002</v>
      </c>
      <c r="T158">
        <v>350.57</v>
      </c>
      <c r="U158">
        <v>597.44000000000005</v>
      </c>
      <c r="V158" s="23">
        <f t="shared" si="7"/>
        <v>1.7041960236186784</v>
      </c>
    </row>
    <row r="159" spans="3:22">
      <c r="C159" t="s">
        <v>55</v>
      </c>
      <c r="D159" t="s">
        <v>174</v>
      </c>
      <c r="E159">
        <v>18</v>
      </c>
      <c r="F159" t="s">
        <v>1574</v>
      </c>
      <c r="G159" t="s">
        <v>1592</v>
      </c>
      <c r="H159">
        <v>10</v>
      </c>
      <c r="I159" s="23">
        <v>484.07</v>
      </c>
      <c r="J159">
        <v>567.07000000000005</v>
      </c>
      <c r="K159" s="23">
        <v>966.39</v>
      </c>
      <c r="L159" s="23">
        <f t="shared" si="8"/>
        <v>1.7041811416579962</v>
      </c>
      <c r="M159">
        <v>10</v>
      </c>
      <c r="N159">
        <v>376.53</v>
      </c>
      <c r="O159">
        <v>392.67</v>
      </c>
      <c r="P159">
        <v>669.19</v>
      </c>
      <c r="Q159" s="23">
        <f t="shared" si="6"/>
        <v>1.704204548348486</v>
      </c>
      <c r="R159">
        <v>10</v>
      </c>
      <c r="S159">
        <v>373</v>
      </c>
      <c r="T159">
        <v>390.32</v>
      </c>
      <c r="U159">
        <v>665.18</v>
      </c>
      <c r="V159" s="23">
        <f t="shared" si="7"/>
        <v>1.7041914326706291</v>
      </c>
    </row>
    <row r="160" spans="3:22">
      <c r="C160" t="s">
        <v>55</v>
      </c>
      <c r="D160" t="s">
        <v>175</v>
      </c>
      <c r="E160">
        <v>19</v>
      </c>
      <c r="F160" t="s">
        <v>1574</v>
      </c>
      <c r="G160" t="s">
        <v>1593</v>
      </c>
      <c r="H160">
        <v>171</v>
      </c>
      <c r="I160" s="23">
        <v>255.59</v>
      </c>
      <c r="J160">
        <v>305.02</v>
      </c>
      <c r="K160" s="23">
        <v>519.80999999999995</v>
      </c>
      <c r="L160" s="23">
        <f t="shared" si="8"/>
        <v>1.7041833322405087</v>
      </c>
      <c r="M160">
        <v>86</v>
      </c>
      <c r="N160">
        <v>276.17</v>
      </c>
      <c r="O160">
        <v>322.49</v>
      </c>
      <c r="P160">
        <v>549.59</v>
      </c>
      <c r="Q160" s="23">
        <f t="shared" si="6"/>
        <v>1.7042078824149587</v>
      </c>
      <c r="R160">
        <v>171</v>
      </c>
      <c r="S160">
        <v>283.14</v>
      </c>
      <c r="T160">
        <v>324.73</v>
      </c>
      <c r="U160">
        <v>553.41</v>
      </c>
      <c r="V160" s="23">
        <f t="shared" si="7"/>
        <v>1.7042158100575862</v>
      </c>
    </row>
    <row r="161" spans="2:22">
      <c r="C161" t="s">
        <v>55</v>
      </c>
      <c r="D161" t="s">
        <v>177</v>
      </c>
      <c r="E161">
        <v>20</v>
      </c>
      <c r="F161" t="s">
        <v>1574</v>
      </c>
      <c r="G161" t="s">
        <v>1594</v>
      </c>
      <c r="H161">
        <v>10</v>
      </c>
      <c r="I161" s="23">
        <v>452</v>
      </c>
      <c r="J161">
        <v>529.51</v>
      </c>
      <c r="K161" s="23">
        <v>902.38</v>
      </c>
      <c r="L161" s="23">
        <f t="shared" si="8"/>
        <v>1.7041793356121697</v>
      </c>
      <c r="M161">
        <v>10</v>
      </c>
      <c r="N161">
        <v>370.47</v>
      </c>
      <c r="O161">
        <v>387.37</v>
      </c>
      <c r="P161">
        <v>660.16</v>
      </c>
      <c r="Q161" s="23">
        <f t="shared" si="6"/>
        <v>1.7042104447943824</v>
      </c>
      <c r="R161">
        <v>10</v>
      </c>
      <c r="S161">
        <v>368.27</v>
      </c>
      <c r="T161">
        <v>385.39</v>
      </c>
      <c r="U161">
        <v>656.79</v>
      </c>
      <c r="V161" s="23">
        <f t="shared" si="7"/>
        <v>1.7042216975012325</v>
      </c>
    </row>
    <row r="162" spans="2:22">
      <c r="C162" t="s">
        <v>55</v>
      </c>
      <c r="D162" t="s">
        <v>179</v>
      </c>
      <c r="E162">
        <v>21</v>
      </c>
      <c r="F162" t="s">
        <v>1574</v>
      </c>
      <c r="G162" t="s">
        <v>1595</v>
      </c>
      <c r="H162">
        <v>18</v>
      </c>
      <c r="I162" s="23">
        <v>374.84</v>
      </c>
      <c r="J162">
        <v>421.12</v>
      </c>
      <c r="K162" s="23">
        <v>717.68</v>
      </c>
      <c r="L162" s="23">
        <f t="shared" si="8"/>
        <v>1.7042173252279633</v>
      </c>
      <c r="M162">
        <v>18</v>
      </c>
      <c r="N162">
        <v>344.8</v>
      </c>
      <c r="O162">
        <v>361</v>
      </c>
      <c r="P162">
        <v>615.22</v>
      </c>
      <c r="Q162" s="23">
        <f t="shared" si="6"/>
        <v>1.7042105263157896</v>
      </c>
      <c r="R162">
        <v>18</v>
      </c>
      <c r="S162">
        <v>359.44</v>
      </c>
      <c r="T162">
        <v>378.38</v>
      </c>
      <c r="U162">
        <v>644.83000000000004</v>
      </c>
      <c r="V162" s="23">
        <f t="shared" si="7"/>
        <v>1.7041862677731383</v>
      </c>
    </row>
    <row r="163" spans="2:22">
      <c r="C163" t="s">
        <v>55</v>
      </c>
      <c r="D163" t="s">
        <v>181</v>
      </c>
      <c r="E163">
        <v>22</v>
      </c>
      <c r="F163" t="s">
        <v>1574</v>
      </c>
      <c r="G163" t="s">
        <v>1596</v>
      </c>
      <c r="H163">
        <v>18</v>
      </c>
      <c r="I163" s="23">
        <v>427.62</v>
      </c>
      <c r="J163">
        <v>456.8</v>
      </c>
      <c r="K163" s="23">
        <v>778.48</v>
      </c>
      <c r="L163" s="23">
        <f t="shared" si="8"/>
        <v>1.7042031523642731</v>
      </c>
      <c r="M163">
        <v>18</v>
      </c>
      <c r="N163">
        <v>336.59</v>
      </c>
      <c r="O163">
        <v>358.5</v>
      </c>
      <c r="P163">
        <v>610.95000000000005</v>
      </c>
      <c r="Q163" s="23">
        <f t="shared" si="6"/>
        <v>1.7041841004184102</v>
      </c>
      <c r="R163">
        <v>18</v>
      </c>
      <c r="S163">
        <v>321.32</v>
      </c>
      <c r="T163">
        <v>348.71</v>
      </c>
      <c r="U163">
        <v>594.28</v>
      </c>
      <c r="V163" s="23">
        <f t="shared" si="7"/>
        <v>1.7042241404032004</v>
      </c>
    </row>
    <row r="164" spans="2:22">
      <c r="C164" t="s">
        <v>55</v>
      </c>
      <c r="D164" t="s">
        <v>183</v>
      </c>
      <c r="E164">
        <v>23</v>
      </c>
      <c r="F164" t="s">
        <v>1574</v>
      </c>
      <c r="G164" t="s">
        <v>1597</v>
      </c>
      <c r="H164">
        <v>10</v>
      </c>
      <c r="I164" s="23">
        <v>321.81</v>
      </c>
      <c r="J164">
        <v>491.45</v>
      </c>
      <c r="K164" s="23">
        <v>837.53</v>
      </c>
      <c r="L164" s="23">
        <f t="shared" si="8"/>
        <v>1.704201851663445</v>
      </c>
      <c r="M164">
        <v>10</v>
      </c>
      <c r="N164">
        <v>354.82</v>
      </c>
      <c r="O164">
        <v>371.36</v>
      </c>
      <c r="P164">
        <v>632.87</v>
      </c>
      <c r="Q164" s="23">
        <f t="shared" si="6"/>
        <v>1.7041953899181388</v>
      </c>
      <c r="R164">
        <v>10</v>
      </c>
      <c r="S164">
        <v>362.91</v>
      </c>
      <c r="T164">
        <v>378.55</v>
      </c>
      <c r="U164">
        <v>645.12</v>
      </c>
      <c r="V164" s="23">
        <f t="shared" si="7"/>
        <v>1.7041870294544974</v>
      </c>
    </row>
    <row r="165" spans="2:22">
      <c r="C165" t="s">
        <v>55</v>
      </c>
      <c r="D165" t="s">
        <v>185</v>
      </c>
      <c r="E165">
        <v>24</v>
      </c>
      <c r="F165" t="s">
        <v>1574</v>
      </c>
      <c r="G165" t="s">
        <v>1598</v>
      </c>
      <c r="H165">
        <v>78</v>
      </c>
      <c r="I165" s="23">
        <v>274.58999999999997</v>
      </c>
      <c r="J165">
        <v>289.64999999999998</v>
      </c>
      <c r="K165" s="23">
        <v>493.63</v>
      </c>
      <c r="L165" s="23">
        <f t="shared" si="8"/>
        <v>1.7042292421888487</v>
      </c>
      <c r="M165">
        <v>45</v>
      </c>
      <c r="N165">
        <v>306.14</v>
      </c>
      <c r="O165">
        <v>311.93</v>
      </c>
      <c r="P165">
        <v>531.59</v>
      </c>
      <c r="Q165" s="23">
        <f t="shared" si="6"/>
        <v>1.7041964543327028</v>
      </c>
      <c r="R165">
        <v>78</v>
      </c>
      <c r="S165">
        <v>341.85</v>
      </c>
      <c r="T165">
        <v>342.25</v>
      </c>
      <c r="U165">
        <v>583.26</v>
      </c>
      <c r="V165" s="23">
        <f t="shared" si="7"/>
        <v>1.7041928414901388</v>
      </c>
    </row>
    <row r="166" spans="2:22">
      <c r="C166" t="s">
        <v>55</v>
      </c>
      <c r="D166" t="s">
        <v>187</v>
      </c>
      <c r="E166">
        <v>25</v>
      </c>
      <c r="F166" t="s">
        <v>1574</v>
      </c>
      <c r="G166" t="s">
        <v>1599</v>
      </c>
      <c r="H166">
        <v>10</v>
      </c>
      <c r="I166" s="23">
        <v>501.92</v>
      </c>
      <c r="J166">
        <v>587.97</v>
      </c>
      <c r="K166" s="23">
        <v>1002.03</v>
      </c>
      <c r="L166" s="23">
        <f t="shared" si="8"/>
        <v>1.7042196030409713</v>
      </c>
      <c r="M166">
        <v>10</v>
      </c>
      <c r="N166">
        <v>370.45</v>
      </c>
      <c r="O166">
        <v>406.32</v>
      </c>
      <c r="P166">
        <v>692.45</v>
      </c>
      <c r="Q166" s="23">
        <f t="shared" si="6"/>
        <v>1.7041986611537705</v>
      </c>
      <c r="R166">
        <v>10</v>
      </c>
      <c r="S166">
        <v>398.85</v>
      </c>
      <c r="T166">
        <v>415.14</v>
      </c>
      <c r="U166">
        <v>707.48</v>
      </c>
      <c r="V166" s="23">
        <f t="shared" si="7"/>
        <v>1.7041961747844101</v>
      </c>
    </row>
    <row r="167" spans="2:22">
      <c r="C167" t="s">
        <v>55</v>
      </c>
      <c r="D167" t="s">
        <v>189</v>
      </c>
      <c r="E167">
        <v>26</v>
      </c>
      <c r="F167" t="s">
        <v>1574</v>
      </c>
      <c r="G167" t="s">
        <v>1600</v>
      </c>
      <c r="H167">
        <v>115</v>
      </c>
      <c r="I167" s="23">
        <v>241.96</v>
      </c>
      <c r="J167">
        <v>255.23</v>
      </c>
      <c r="K167" s="23">
        <v>434.97</v>
      </c>
      <c r="L167" s="23">
        <f t="shared" si="8"/>
        <v>1.7042275594561769</v>
      </c>
      <c r="M167">
        <v>71</v>
      </c>
      <c r="N167">
        <v>276.33</v>
      </c>
      <c r="O167">
        <v>281.56</v>
      </c>
      <c r="P167">
        <v>479.83</v>
      </c>
      <c r="Q167" s="23">
        <f t="shared" si="6"/>
        <v>1.7041838329308139</v>
      </c>
      <c r="R167">
        <v>115</v>
      </c>
      <c r="S167">
        <v>308.54000000000002</v>
      </c>
      <c r="T167">
        <v>312.08</v>
      </c>
      <c r="U167">
        <v>531.85</v>
      </c>
      <c r="V167" s="23">
        <f t="shared" si="7"/>
        <v>1.7042104588567035</v>
      </c>
    </row>
    <row r="169" spans="2:22">
      <c r="B169" s="22" t="s">
        <v>1613</v>
      </c>
    </row>
    <row r="170" spans="2:22">
      <c r="C170" t="s">
        <v>1614</v>
      </c>
    </row>
    <row r="172" spans="2:22">
      <c r="B172" s="22" t="s">
        <v>1615</v>
      </c>
    </row>
    <row r="173" spans="2:22">
      <c r="C173" t="s">
        <v>1616</v>
      </c>
    </row>
    <row r="174" spans="2:22">
      <c r="C174" t="s">
        <v>1617</v>
      </c>
    </row>
    <row r="175" spans="2:22">
      <c r="C175" t="s">
        <v>1618</v>
      </c>
    </row>
    <row r="176" spans="2:22">
      <c r="C176" t="s">
        <v>1619</v>
      </c>
    </row>
    <row r="177" spans="3:4">
      <c r="C177">
        <v>2020</v>
      </c>
      <c r="D177" t="s">
        <v>1620</v>
      </c>
    </row>
    <row r="178" spans="3:4">
      <c r="C178">
        <v>2018</v>
      </c>
      <c r="D178" t="s">
        <v>1621</v>
      </c>
    </row>
    <row r="179" spans="3:4">
      <c r="C179">
        <v>2019</v>
      </c>
      <c r="D179" t="s">
        <v>1623</v>
      </c>
    </row>
    <row r="180" spans="3:4">
      <c r="C180">
        <v>2020</v>
      </c>
      <c r="D180" t="s">
        <v>1622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C203-A385-44C3-A4ED-D1C7BE8811D0}">
  <dimension ref="A1:V2607"/>
  <sheetViews>
    <sheetView workbookViewId="0">
      <pane ySplit="3" topLeftCell="A4" activePane="bottomLeft" state="frozen"/>
      <selection pane="bottomLeft" activeCell="A4" sqref="A4"/>
    </sheetView>
  </sheetViews>
  <sheetFormatPr defaultRowHeight="15"/>
  <cols>
    <col min="1" max="1" width="18.7109375" customWidth="1"/>
    <col min="2" max="2" width="13.5703125" bestFit="1" customWidth="1"/>
    <col min="3" max="3" width="32.7109375" bestFit="1" customWidth="1"/>
    <col min="4" max="8" width="14.7109375" style="33" customWidth="1"/>
    <col min="9" max="9" width="21.42578125" style="33" customWidth="1"/>
  </cols>
  <sheetData>
    <row r="1" spans="1:22">
      <c r="A1" s="24" t="s">
        <v>1624</v>
      </c>
      <c r="B1" s="24"/>
      <c r="C1" s="24"/>
      <c r="D1" s="25"/>
      <c r="E1" s="25"/>
      <c r="F1" s="25"/>
      <c r="G1" s="25"/>
      <c r="H1" s="25"/>
      <c r="I1" s="25"/>
      <c r="N1" t="s">
        <v>5200</v>
      </c>
    </row>
    <row r="2" spans="1:22">
      <c r="A2" s="26" t="s">
        <v>1625</v>
      </c>
      <c r="B2" s="26"/>
      <c r="C2" s="26"/>
      <c r="D2" s="27"/>
      <c r="E2" s="27"/>
      <c r="F2" s="27"/>
      <c r="G2" s="27"/>
      <c r="H2" s="27"/>
      <c r="I2" s="27"/>
    </row>
    <row r="3" spans="1:22" s="21" customFormat="1">
      <c r="A3" s="28" t="s">
        <v>1626</v>
      </c>
      <c r="B3" s="29" t="s">
        <v>1627</v>
      </c>
      <c r="C3" s="29" t="s">
        <v>1628</v>
      </c>
      <c r="D3" s="30" t="s">
        <v>1629</v>
      </c>
      <c r="E3" s="30" t="s">
        <v>1630</v>
      </c>
      <c r="F3" s="30" t="s">
        <v>5196</v>
      </c>
      <c r="G3" s="30" t="s">
        <v>1631</v>
      </c>
      <c r="H3" s="30" t="s">
        <v>1632</v>
      </c>
      <c r="I3" s="31" t="s">
        <v>1633</v>
      </c>
      <c r="N3" t="s">
        <v>1626</v>
      </c>
      <c r="O3" t="s">
        <v>1627</v>
      </c>
      <c r="P3" t="s">
        <v>1628</v>
      </c>
      <c r="Q3" t="s">
        <v>1629</v>
      </c>
      <c r="R3" t="s">
        <v>1630</v>
      </c>
      <c r="S3" t="s">
        <v>5198</v>
      </c>
      <c r="T3" t="s">
        <v>1631</v>
      </c>
      <c r="U3" t="s">
        <v>1632</v>
      </c>
      <c r="V3" t="s">
        <v>1633</v>
      </c>
    </row>
    <row r="4" spans="1:22">
      <c r="A4" s="32" t="s">
        <v>1634</v>
      </c>
      <c r="B4" s="32" t="s">
        <v>1635</v>
      </c>
      <c r="C4" s="32" t="s">
        <v>1636</v>
      </c>
      <c r="D4" s="33">
        <v>0</v>
      </c>
      <c r="E4" s="33">
        <v>0</v>
      </c>
      <c r="F4" s="33">
        <v>21</v>
      </c>
      <c r="G4" s="33">
        <v>17</v>
      </c>
      <c r="H4" s="33">
        <v>0</v>
      </c>
      <c r="I4" s="33">
        <v>38</v>
      </c>
      <c r="K4" t="b">
        <f>QHPSelections2016[[#This Row],[County Name]]=P4</f>
        <v>1</v>
      </c>
      <c r="L4" t="b">
        <f>QHPSelections2016[[#This Row],[Silver]]=S4</f>
        <v>1</v>
      </c>
      <c r="N4">
        <v>2013</v>
      </c>
      <c r="O4" t="s">
        <v>1635</v>
      </c>
      <c r="P4" t="s">
        <v>1636</v>
      </c>
      <c r="Q4">
        <v>0</v>
      </c>
      <c r="R4">
        <v>0</v>
      </c>
      <c r="S4">
        <v>21</v>
      </c>
      <c r="T4">
        <v>17</v>
      </c>
      <c r="U4">
        <v>0</v>
      </c>
      <c r="V4">
        <v>38</v>
      </c>
    </row>
    <row r="5" spans="1:22">
      <c r="A5" s="32" t="s">
        <v>1637</v>
      </c>
      <c r="B5" s="32" t="s">
        <v>1635</v>
      </c>
      <c r="C5" s="32" t="s">
        <v>1638</v>
      </c>
      <c r="D5" s="33">
        <v>0</v>
      </c>
      <c r="E5" s="33" t="s">
        <v>1639</v>
      </c>
      <c r="F5" s="33">
        <v>20</v>
      </c>
      <c r="G5" s="33">
        <v>17</v>
      </c>
      <c r="H5" s="33" t="s">
        <v>1639</v>
      </c>
      <c r="I5" s="33">
        <v>38</v>
      </c>
      <c r="K5" t="b">
        <f>QHPSelections2016[[#This Row],[County Name]]=P5</f>
        <v>1</v>
      </c>
      <c r="L5" t="b">
        <f>QHPSelections2016[[#This Row],[Silver]]=S5</f>
        <v>1</v>
      </c>
      <c r="N5">
        <v>2016</v>
      </c>
      <c r="O5" t="s">
        <v>1635</v>
      </c>
      <c r="P5" t="s">
        <v>1638</v>
      </c>
      <c r="Q5">
        <v>0</v>
      </c>
      <c r="S5">
        <v>20</v>
      </c>
      <c r="T5">
        <v>17</v>
      </c>
      <c r="V5">
        <v>38</v>
      </c>
    </row>
    <row r="6" spans="1:22">
      <c r="A6" s="32" t="s">
        <v>1640</v>
      </c>
      <c r="B6" s="32" t="s">
        <v>1635</v>
      </c>
      <c r="C6" s="32" t="s">
        <v>1641</v>
      </c>
      <c r="D6" s="33">
        <v>0</v>
      </c>
      <c r="E6" s="33">
        <v>334</v>
      </c>
      <c r="F6" s="33">
        <v>5038</v>
      </c>
      <c r="G6" s="33">
        <v>4055</v>
      </c>
      <c r="H6" s="33">
        <v>57</v>
      </c>
      <c r="I6" s="33">
        <v>9484</v>
      </c>
      <c r="K6" t="b">
        <f>QHPSelections2016[[#This Row],[County Name]]=P6</f>
        <v>1</v>
      </c>
      <c r="L6" t="b">
        <f>QHPSelections2016[[#This Row],[Silver]]=S6</f>
        <v>1</v>
      </c>
      <c r="N6">
        <v>2020</v>
      </c>
      <c r="O6" t="s">
        <v>1635</v>
      </c>
      <c r="P6" t="s">
        <v>1641</v>
      </c>
      <c r="Q6">
        <v>0</v>
      </c>
      <c r="R6">
        <v>334</v>
      </c>
      <c r="S6" s="51">
        <v>5038</v>
      </c>
      <c r="T6" s="51">
        <v>4055</v>
      </c>
      <c r="U6">
        <v>57</v>
      </c>
      <c r="V6" s="51">
        <v>9484</v>
      </c>
    </row>
    <row r="7" spans="1:22">
      <c r="A7" s="32" t="s">
        <v>1642</v>
      </c>
      <c r="B7" s="32" t="s">
        <v>1635</v>
      </c>
      <c r="C7" s="32" t="s">
        <v>1643</v>
      </c>
      <c r="D7" s="33">
        <v>0</v>
      </c>
      <c r="E7" s="33" t="s">
        <v>1639</v>
      </c>
      <c r="F7" s="33">
        <v>21</v>
      </c>
      <c r="G7" s="33">
        <v>51</v>
      </c>
      <c r="H7" s="33" t="s">
        <v>1639</v>
      </c>
      <c r="I7" s="33">
        <v>73</v>
      </c>
      <c r="K7" t="b">
        <f>QHPSelections2016[[#This Row],[County Name]]=P7</f>
        <v>1</v>
      </c>
      <c r="L7" t="b">
        <f>QHPSelections2016[[#This Row],[Silver]]=S7</f>
        <v>1</v>
      </c>
      <c r="N7">
        <v>2050</v>
      </c>
      <c r="O7" t="s">
        <v>1635</v>
      </c>
      <c r="P7" t="s">
        <v>1643</v>
      </c>
      <c r="Q7">
        <v>0</v>
      </c>
      <c r="S7">
        <v>21</v>
      </c>
      <c r="T7">
        <v>51</v>
      </c>
      <c r="V7">
        <v>73</v>
      </c>
    </row>
    <row r="8" spans="1:22">
      <c r="A8" s="32" t="s">
        <v>1644</v>
      </c>
      <c r="B8" s="32" t="s">
        <v>1635</v>
      </c>
      <c r="C8" s="32" t="s">
        <v>1645</v>
      </c>
      <c r="D8" s="33">
        <v>0</v>
      </c>
      <c r="E8" s="33" t="s">
        <v>1639</v>
      </c>
      <c r="F8" s="33">
        <v>19</v>
      </c>
      <c r="G8" s="33" t="s">
        <v>1639</v>
      </c>
      <c r="H8" s="33" t="s">
        <v>1639</v>
      </c>
      <c r="I8" s="33">
        <v>34</v>
      </c>
      <c r="K8" t="b">
        <f>QHPSelections2016[[#This Row],[County Name]]=P8</f>
        <v>1</v>
      </c>
      <c r="L8" t="b">
        <f>QHPSelections2016[[#This Row],[Silver]]=S8</f>
        <v>1</v>
      </c>
      <c r="N8">
        <v>2060</v>
      </c>
      <c r="O8" t="s">
        <v>1635</v>
      </c>
      <c r="P8" t="s">
        <v>1645</v>
      </c>
      <c r="Q8">
        <v>0</v>
      </c>
      <c r="S8">
        <v>19</v>
      </c>
      <c r="V8">
        <v>34</v>
      </c>
    </row>
    <row r="9" spans="1:22">
      <c r="A9" s="32" t="s">
        <v>1646</v>
      </c>
      <c r="B9" s="32" t="s">
        <v>1635</v>
      </c>
      <c r="C9" s="32" t="s">
        <v>1647</v>
      </c>
      <c r="D9" s="33">
        <v>0</v>
      </c>
      <c r="E9" s="33" t="s">
        <v>1639</v>
      </c>
      <c r="F9" s="33">
        <v>75</v>
      </c>
      <c r="G9" s="33">
        <v>84</v>
      </c>
      <c r="H9" s="33" t="s">
        <v>1639</v>
      </c>
      <c r="I9" s="33">
        <v>164</v>
      </c>
      <c r="K9" t="b">
        <f>QHPSelections2016[[#This Row],[County Name]]=P9</f>
        <v>1</v>
      </c>
      <c r="L9" t="b">
        <f>QHPSelections2016[[#This Row],[Silver]]=S9</f>
        <v>1</v>
      </c>
      <c r="N9">
        <v>2068</v>
      </c>
      <c r="O9" t="s">
        <v>1635</v>
      </c>
      <c r="P9" t="s">
        <v>1647</v>
      </c>
      <c r="Q9">
        <v>0</v>
      </c>
      <c r="S9">
        <v>75</v>
      </c>
      <c r="T9">
        <v>84</v>
      </c>
      <c r="V9">
        <v>164</v>
      </c>
    </row>
    <row r="10" spans="1:22">
      <c r="A10" s="32" t="s">
        <v>1648</v>
      </c>
      <c r="B10" s="32" t="s">
        <v>1635</v>
      </c>
      <c r="C10" s="32" t="s">
        <v>1649</v>
      </c>
      <c r="D10" s="33">
        <v>0</v>
      </c>
      <c r="E10" s="33" t="s">
        <v>1639</v>
      </c>
      <c r="F10" s="33" t="s">
        <v>1639</v>
      </c>
      <c r="G10" s="33">
        <v>21</v>
      </c>
      <c r="H10" s="33">
        <v>0</v>
      </c>
      <c r="I10" s="33">
        <v>31</v>
      </c>
      <c r="K10" t="b">
        <f>QHPSelections2016[[#This Row],[County Name]]=P10</f>
        <v>1</v>
      </c>
      <c r="L10" t="b">
        <f>QHPSelections2016[[#This Row],[Silver]]=S10</f>
        <v>0</v>
      </c>
      <c r="N10">
        <v>2070</v>
      </c>
      <c r="O10" t="s">
        <v>1635</v>
      </c>
      <c r="P10" t="s">
        <v>1649</v>
      </c>
      <c r="Q10">
        <v>0</v>
      </c>
      <c r="T10">
        <v>21</v>
      </c>
      <c r="U10">
        <v>0</v>
      </c>
      <c r="V10">
        <v>31</v>
      </c>
    </row>
    <row r="11" spans="1:22">
      <c r="A11" s="32" t="s">
        <v>1650</v>
      </c>
      <c r="B11" s="32" t="s">
        <v>1635</v>
      </c>
      <c r="C11" s="32" t="s">
        <v>1651</v>
      </c>
      <c r="D11" s="33">
        <v>0</v>
      </c>
      <c r="E11" s="33">
        <v>107</v>
      </c>
      <c r="F11" s="33">
        <v>1323</v>
      </c>
      <c r="G11" s="33">
        <v>935</v>
      </c>
      <c r="H11" s="33">
        <v>17</v>
      </c>
      <c r="I11" s="33">
        <v>2382</v>
      </c>
      <c r="K11" t="b">
        <f>QHPSelections2016[[#This Row],[County Name]]=P11</f>
        <v>1</v>
      </c>
      <c r="L11" t="b">
        <f>QHPSelections2016[[#This Row],[Silver]]=S11</f>
        <v>1</v>
      </c>
      <c r="N11">
        <v>2090</v>
      </c>
      <c r="O11" t="s">
        <v>1635</v>
      </c>
      <c r="P11" t="s">
        <v>1651</v>
      </c>
      <c r="Q11">
        <v>0</v>
      </c>
      <c r="R11">
        <v>107</v>
      </c>
      <c r="S11" s="51">
        <v>1323</v>
      </c>
      <c r="T11">
        <v>935</v>
      </c>
      <c r="U11">
        <v>17</v>
      </c>
      <c r="V11" s="51">
        <v>2382</v>
      </c>
    </row>
    <row r="12" spans="1:22">
      <c r="A12" s="32" t="s">
        <v>1652</v>
      </c>
      <c r="B12" s="32" t="s">
        <v>1635</v>
      </c>
      <c r="C12" s="32" t="s">
        <v>1653</v>
      </c>
      <c r="D12" s="33">
        <v>0</v>
      </c>
      <c r="E12" s="33" t="s">
        <v>1639</v>
      </c>
      <c r="F12" s="33">
        <v>122</v>
      </c>
      <c r="G12" s="33">
        <v>159</v>
      </c>
      <c r="H12" s="33" t="s">
        <v>1639</v>
      </c>
      <c r="I12" s="33">
        <v>285</v>
      </c>
      <c r="K12" t="b">
        <f>QHPSelections2016[[#This Row],[County Name]]=P12</f>
        <v>1</v>
      </c>
      <c r="L12" t="b">
        <f>QHPSelections2016[[#This Row],[Silver]]=S12</f>
        <v>1</v>
      </c>
      <c r="N12">
        <v>2100</v>
      </c>
      <c r="O12" t="s">
        <v>1635</v>
      </c>
      <c r="P12" t="s">
        <v>1653</v>
      </c>
      <c r="Q12">
        <v>0</v>
      </c>
      <c r="S12">
        <v>122</v>
      </c>
      <c r="T12">
        <v>159</v>
      </c>
      <c r="V12">
        <v>285</v>
      </c>
    </row>
    <row r="13" spans="1:22">
      <c r="A13" s="32" t="s">
        <v>1654</v>
      </c>
      <c r="B13" s="32" t="s">
        <v>1635</v>
      </c>
      <c r="C13" s="32" t="s">
        <v>1655</v>
      </c>
      <c r="D13" s="33">
        <v>0</v>
      </c>
      <c r="E13" s="33" t="s">
        <v>1639</v>
      </c>
      <c r="F13" s="33">
        <v>67</v>
      </c>
      <c r="G13" s="33">
        <v>49</v>
      </c>
      <c r="H13" s="33" t="s">
        <v>1639</v>
      </c>
      <c r="I13" s="33">
        <v>117</v>
      </c>
      <c r="K13" t="b">
        <f>QHPSelections2016[[#This Row],[County Name]]=P13</f>
        <v>1</v>
      </c>
      <c r="L13" t="b">
        <f>QHPSelections2016[[#This Row],[Silver]]=S13</f>
        <v>1</v>
      </c>
      <c r="N13">
        <v>2105</v>
      </c>
      <c r="O13" t="s">
        <v>1635</v>
      </c>
      <c r="P13" t="s">
        <v>1655</v>
      </c>
      <c r="Q13">
        <v>0</v>
      </c>
      <c r="S13">
        <v>67</v>
      </c>
      <c r="T13">
        <v>49</v>
      </c>
      <c r="V13">
        <v>117</v>
      </c>
    </row>
    <row r="14" spans="1:22">
      <c r="A14" s="32" t="s">
        <v>1656</v>
      </c>
      <c r="B14" s="32" t="s">
        <v>1635</v>
      </c>
      <c r="C14" s="32" t="s">
        <v>1657</v>
      </c>
      <c r="D14" s="33">
        <v>0</v>
      </c>
      <c r="E14" s="33" t="s">
        <v>1639</v>
      </c>
      <c r="F14" s="33">
        <v>507</v>
      </c>
      <c r="G14" s="33">
        <v>520</v>
      </c>
      <c r="H14" s="33" t="s">
        <v>1639</v>
      </c>
      <c r="I14" s="33">
        <v>1082</v>
      </c>
      <c r="K14" t="b">
        <f>QHPSelections2016[[#This Row],[County Name]]=P14</f>
        <v>1</v>
      </c>
      <c r="L14" t="b">
        <f>QHPSelections2016[[#This Row],[Silver]]=S14</f>
        <v>1</v>
      </c>
      <c r="N14">
        <v>2110</v>
      </c>
      <c r="O14" t="s">
        <v>1635</v>
      </c>
      <c r="P14" t="s">
        <v>1657</v>
      </c>
      <c r="Q14">
        <v>0</v>
      </c>
      <c r="S14">
        <v>507</v>
      </c>
      <c r="T14">
        <v>520</v>
      </c>
      <c r="V14" s="51">
        <v>1082</v>
      </c>
    </row>
    <row r="15" spans="1:22">
      <c r="A15" s="32" t="s">
        <v>1658</v>
      </c>
      <c r="B15" s="32" t="s">
        <v>1635</v>
      </c>
      <c r="C15" s="32" t="s">
        <v>1659</v>
      </c>
      <c r="D15" s="33">
        <v>0</v>
      </c>
      <c r="E15" s="33">
        <v>65</v>
      </c>
      <c r="F15" s="33">
        <v>1483</v>
      </c>
      <c r="G15" s="33">
        <v>1157</v>
      </c>
      <c r="H15" s="33">
        <v>16</v>
      </c>
      <c r="I15" s="33">
        <v>2721</v>
      </c>
      <c r="K15" t="b">
        <f>QHPSelections2016[[#This Row],[County Name]]=P15</f>
        <v>1</v>
      </c>
      <c r="L15" t="b">
        <f>QHPSelections2016[[#This Row],[Silver]]=S15</f>
        <v>1</v>
      </c>
      <c r="N15">
        <v>2122</v>
      </c>
      <c r="O15" t="s">
        <v>1635</v>
      </c>
      <c r="P15" t="s">
        <v>1659</v>
      </c>
      <c r="Q15">
        <v>0</v>
      </c>
      <c r="R15">
        <v>65</v>
      </c>
      <c r="S15" s="51">
        <v>1483</v>
      </c>
      <c r="T15" s="51">
        <v>1157</v>
      </c>
      <c r="U15">
        <v>16</v>
      </c>
      <c r="V15" s="51">
        <v>2721</v>
      </c>
    </row>
    <row r="16" spans="1:22">
      <c r="A16" s="32" t="s">
        <v>1660</v>
      </c>
      <c r="B16" s="32" t="s">
        <v>1635</v>
      </c>
      <c r="C16" s="32" t="s">
        <v>1661</v>
      </c>
      <c r="D16" s="33">
        <v>0</v>
      </c>
      <c r="E16" s="33" t="s">
        <v>1639</v>
      </c>
      <c r="F16" s="33">
        <v>224</v>
      </c>
      <c r="G16" s="33">
        <v>319</v>
      </c>
      <c r="H16" s="33" t="s">
        <v>1639</v>
      </c>
      <c r="I16" s="33">
        <v>553</v>
      </c>
      <c r="K16" t="b">
        <f>QHPSelections2016[[#This Row],[County Name]]=P16</f>
        <v>1</v>
      </c>
      <c r="L16" t="b">
        <f>QHPSelections2016[[#This Row],[Silver]]=S16</f>
        <v>1</v>
      </c>
      <c r="N16">
        <v>2130</v>
      </c>
      <c r="O16" t="s">
        <v>1635</v>
      </c>
      <c r="P16" t="s">
        <v>1661</v>
      </c>
      <c r="Q16">
        <v>0</v>
      </c>
      <c r="S16">
        <v>224</v>
      </c>
      <c r="T16">
        <v>319</v>
      </c>
      <c r="V16">
        <v>553</v>
      </c>
    </row>
    <row r="17" spans="1:22">
      <c r="A17" s="32" t="s">
        <v>1662</v>
      </c>
      <c r="B17" s="32" t="s">
        <v>1635</v>
      </c>
      <c r="C17" s="32" t="s">
        <v>1663</v>
      </c>
      <c r="D17" s="33">
        <v>0</v>
      </c>
      <c r="E17" s="33">
        <v>11</v>
      </c>
      <c r="F17" s="33">
        <v>291</v>
      </c>
      <c r="G17" s="33">
        <v>546</v>
      </c>
      <c r="H17" s="33">
        <v>0</v>
      </c>
      <c r="I17" s="33">
        <v>848</v>
      </c>
      <c r="K17" t="b">
        <f>QHPSelections2016[[#This Row],[County Name]]=P17</f>
        <v>1</v>
      </c>
      <c r="L17" t="b">
        <f>QHPSelections2016[[#This Row],[Silver]]=S17</f>
        <v>1</v>
      </c>
      <c r="N17">
        <v>2150</v>
      </c>
      <c r="O17" t="s">
        <v>1635</v>
      </c>
      <c r="P17" t="s">
        <v>1663</v>
      </c>
      <c r="Q17">
        <v>0</v>
      </c>
      <c r="R17">
        <v>11</v>
      </c>
      <c r="S17">
        <v>291</v>
      </c>
      <c r="T17">
        <v>546</v>
      </c>
      <c r="U17">
        <v>0</v>
      </c>
      <c r="V17">
        <v>848</v>
      </c>
    </row>
    <row r="18" spans="1:22">
      <c r="A18" s="32" t="s">
        <v>1664</v>
      </c>
      <c r="B18" s="32" t="s">
        <v>1635</v>
      </c>
      <c r="C18" s="32" t="s">
        <v>1665</v>
      </c>
      <c r="D18" s="33">
        <v>0</v>
      </c>
      <c r="E18" s="33">
        <v>0</v>
      </c>
      <c r="F18" s="33">
        <v>17</v>
      </c>
      <c r="G18" s="33">
        <v>17</v>
      </c>
      <c r="H18" s="33">
        <v>0</v>
      </c>
      <c r="I18" s="33">
        <v>34</v>
      </c>
      <c r="K18" t="b">
        <f>QHPSelections2016[[#This Row],[County Name]]=P18</f>
        <v>1</v>
      </c>
      <c r="L18" t="b">
        <f>QHPSelections2016[[#This Row],[Silver]]=S18</f>
        <v>1</v>
      </c>
      <c r="N18">
        <v>2164</v>
      </c>
      <c r="O18" t="s">
        <v>1635</v>
      </c>
      <c r="P18" t="s">
        <v>1665</v>
      </c>
      <c r="Q18">
        <v>0</v>
      </c>
      <c r="R18">
        <v>0</v>
      </c>
      <c r="S18">
        <v>17</v>
      </c>
      <c r="T18">
        <v>17</v>
      </c>
      <c r="U18">
        <v>0</v>
      </c>
      <c r="V18">
        <v>34</v>
      </c>
    </row>
    <row r="19" spans="1:22">
      <c r="A19" s="32" t="s">
        <v>1666</v>
      </c>
      <c r="B19" s="32" t="s">
        <v>1635</v>
      </c>
      <c r="C19" s="32" t="s">
        <v>1667</v>
      </c>
      <c r="D19" s="33">
        <v>0</v>
      </c>
      <c r="E19" s="33">
        <v>113</v>
      </c>
      <c r="F19" s="33">
        <v>1587</v>
      </c>
      <c r="G19" s="33">
        <v>1506</v>
      </c>
      <c r="H19" s="33">
        <v>12</v>
      </c>
      <c r="I19" s="33">
        <v>3218</v>
      </c>
      <c r="K19" t="b">
        <f>QHPSelections2016[[#This Row],[County Name]]=P19</f>
        <v>1</v>
      </c>
      <c r="L19" t="b">
        <f>QHPSelections2016[[#This Row],[Silver]]=S19</f>
        <v>1</v>
      </c>
      <c r="N19">
        <v>2170</v>
      </c>
      <c r="O19" t="s">
        <v>1635</v>
      </c>
      <c r="P19" t="s">
        <v>1667</v>
      </c>
      <c r="Q19">
        <v>0</v>
      </c>
      <c r="R19">
        <v>113</v>
      </c>
      <c r="S19" s="51">
        <v>1587</v>
      </c>
      <c r="T19" s="51">
        <v>1506</v>
      </c>
      <c r="U19">
        <v>12</v>
      </c>
      <c r="V19" s="51">
        <v>3218</v>
      </c>
    </row>
    <row r="20" spans="1:22">
      <c r="A20" s="32" t="s">
        <v>1668</v>
      </c>
      <c r="B20" s="32" t="s">
        <v>1635</v>
      </c>
      <c r="C20" s="32" t="s">
        <v>1669</v>
      </c>
      <c r="D20" s="33">
        <v>0</v>
      </c>
      <c r="E20" s="33">
        <v>0</v>
      </c>
      <c r="F20" s="33">
        <v>21</v>
      </c>
      <c r="G20" s="33">
        <v>36</v>
      </c>
      <c r="H20" s="33">
        <v>0</v>
      </c>
      <c r="I20" s="33">
        <v>57</v>
      </c>
      <c r="K20" t="b">
        <f>QHPSelections2016[[#This Row],[County Name]]=P20</f>
        <v>1</v>
      </c>
      <c r="L20" t="b">
        <f>QHPSelections2016[[#This Row],[Silver]]=S20</f>
        <v>1</v>
      </c>
      <c r="N20">
        <v>2180</v>
      </c>
      <c r="O20" t="s">
        <v>1635</v>
      </c>
      <c r="P20" t="s">
        <v>1669</v>
      </c>
      <c r="Q20">
        <v>0</v>
      </c>
      <c r="R20">
        <v>0</v>
      </c>
      <c r="S20">
        <v>21</v>
      </c>
      <c r="T20">
        <v>36</v>
      </c>
      <c r="U20">
        <v>0</v>
      </c>
      <c r="V20">
        <v>57</v>
      </c>
    </row>
    <row r="21" spans="1:22">
      <c r="A21" s="32" t="s">
        <v>1670</v>
      </c>
      <c r="B21" s="32" t="s">
        <v>1635</v>
      </c>
      <c r="C21" s="32" t="s">
        <v>1671</v>
      </c>
      <c r="D21" s="33">
        <v>0</v>
      </c>
      <c r="E21" s="33" t="s">
        <v>1639</v>
      </c>
      <c r="F21" s="33">
        <v>11</v>
      </c>
      <c r="G21" s="33">
        <v>20</v>
      </c>
      <c r="H21" s="33" t="s">
        <v>1639</v>
      </c>
      <c r="I21" s="33">
        <v>33</v>
      </c>
      <c r="K21" t="b">
        <f>QHPSelections2016[[#This Row],[County Name]]=P21</f>
        <v>1</v>
      </c>
      <c r="L21" t="b">
        <f>QHPSelections2016[[#This Row],[Silver]]=S21</f>
        <v>1</v>
      </c>
      <c r="N21">
        <v>2185</v>
      </c>
      <c r="O21" t="s">
        <v>1635</v>
      </c>
      <c r="P21" t="s">
        <v>1671</v>
      </c>
      <c r="Q21">
        <v>0</v>
      </c>
      <c r="S21">
        <v>11</v>
      </c>
      <c r="T21">
        <v>20</v>
      </c>
      <c r="V21">
        <v>33</v>
      </c>
    </row>
    <row r="22" spans="1:22">
      <c r="A22" s="32" t="s">
        <v>1672</v>
      </c>
      <c r="B22" s="32" t="s">
        <v>1635</v>
      </c>
      <c r="C22" s="32" t="s">
        <v>1673</v>
      </c>
      <c r="D22" s="33">
        <v>0</v>
      </c>
      <c r="E22" s="33" t="s">
        <v>1639</v>
      </c>
      <c r="F22" s="33" t="s">
        <v>1639</v>
      </c>
      <c r="G22" s="33">
        <v>18</v>
      </c>
      <c r="H22" s="33">
        <v>0</v>
      </c>
      <c r="I22" s="33">
        <v>28</v>
      </c>
      <c r="K22" t="b">
        <f>QHPSelections2016[[#This Row],[County Name]]=P22</f>
        <v>1</v>
      </c>
      <c r="L22" t="b">
        <f>QHPSelections2016[[#This Row],[Silver]]=S22</f>
        <v>0</v>
      </c>
      <c r="N22">
        <v>2188</v>
      </c>
      <c r="O22" t="s">
        <v>1635</v>
      </c>
      <c r="P22" t="s">
        <v>1673</v>
      </c>
      <c r="Q22">
        <v>0</v>
      </c>
      <c r="T22">
        <v>18</v>
      </c>
      <c r="U22">
        <v>0</v>
      </c>
      <c r="V22">
        <v>28</v>
      </c>
    </row>
    <row r="23" spans="1:22">
      <c r="A23" s="32" t="s">
        <v>1674</v>
      </c>
      <c r="B23" s="32" t="s">
        <v>1635</v>
      </c>
      <c r="C23" s="32" t="s">
        <v>1675</v>
      </c>
      <c r="D23" s="33">
        <v>0</v>
      </c>
      <c r="E23" s="33" t="s">
        <v>1639</v>
      </c>
      <c r="F23" s="33">
        <v>106</v>
      </c>
      <c r="G23" s="33">
        <v>118</v>
      </c>
      <c r="H23" s="33" t="s">
        <v>1639</v>
      </c>
      <c r="I23" s="33">
        <v>229</v>
      </c>
      <c r="K23" t="b">
        <f>QHPSelections2016[[#This Row],[County Name]]=P23</f>
        <v>1</v>
      </c>
      <c r="L23" t="b">
        <f>QHPSelections2016[[#This Row],[Silver]]=S23</f>
        <v>1</v>
      </c>
      <c r="N23">
        <v>2195</v>
      </c>
      <c r="O23" t="s">
        <v>1635</v>
      </c>
      <c r="P23" t="s">
        <v>1675</v>
      </c>
      <c r="Q23">
        <v>0</v>
      </c>
      <c r="S23">
        <v>106</v>
      </c>
      <c r="T23">
        <v>118</v>
      </c>
      <c r="V23">
        <v>229</v>
      </c>
    </row>
    <row r="24" spans="1:22">
      <c r="A24" s="32" t="s">
        <v>1676</v>
      </c>
      <c r="B24" s="32" t="s">
        <v>1635</v>
      </c>
      <c r="C24" s="32" t="s">
        <v>1677</v>
      </c>
      <c r="D24" s="33">
        <v>0</v>
      </c>
      <c r="E24" s="33" t="s">
        <v>1639</v>
      </c>
      <c r="F24" s="33">
        <v>59</v>
      </c>
      <c r="G24" s="33">
        <v>49</v>
      </c>
      <c r="H24" s="33" t="s">
        <v>1639</v>
      </c>
      <c r="I24" s="33">
        <v>112</v>
      </c>
      <c r="K24" t="b">
        <f>QHPSelections2016[[#This Row],[County Name]]=P24</f>
        <v>1</v>
      </c>
      <c r="L24" t="b">
        <f>QHPSelections2016[[#This Row],[Silver]]=S24</f>
        <v>1</v>
      </c>
      <c r="N24">
        <v>2198</v>
      </c>
      <c r="O24" t="s">
        <v>1635</v>
      </c>
      <c r="P24" t="s">
        <v>1677</v>
      </c>
      <c r="Q24">
        <v>0</v>
      </c>
      <c r="S24">
        <v>59</v>
      </c>
      <c r="T24">
        <v>49</v>
      </c>
      <c r="V24">
        <v>112</v>
      </c>
    </row>
    <row r="25" spans="1:22">
      <c r="A25" s="32" t="s">
        <v>1678</v>
      </c>
      <c r="B25" s="32" t="s">
        <v>1635</v>
      </c>
      <c r="C25" s="32" t="s">
        <v>1679</v>
      </c>
      <c r="D25" s="33">
        <v>0</v>
      </c>
      <c r="E25" s="33" t="s">
        <v>1639</v>
      </c>
      <c r="F25" s="33">
        <v>215</v>
      </c>
      <c r="G25" s="33">
        <v>247</v>
      </c>
      <c r="H25" s="33" t="s">
        <v>1639</v>
      </c>
      <c r="I25" s="33">
        <v>472</v>
      </c>
      <c r="K25" t="b">
        <f>QHPSelections2016[[#This Row],[County Name]]=P25</f>
        <v>1</v>
      </c>
      <c r="L25" t="b">
        <f>QHPSelections2016[[#This Row],[Silver]]=S25</f>
        <v>1</v>
      </c>
      <c r="N25">
        <v>2220</v>
      </c>
      <c r="O25" t="s">
        <v>1635</v>
      </c>
      <c r="P25" t="s">
        <v>1679</v>
      </c>
      <c r="Q25">
        <v>0</v>
      </c>
      <c r="S25">
        <v>215</v>
      </c>
      <c r="T25">
        <v>247</v>
      </c>
      <c r="V25">
        <v>472</v>
      </c>
    </row>
    <row r="26" spans="1:22">
      <c r="A26" s="32" t="s">
        <v>1680</v>
      </c>
      <c r="B26" s="32" t="s">
        <v>1635</v>
      </c>
      <c r="C26" s="32" t="s">
        <v>1681</v>
      </c>
      <c r="D26" s="33">
        <v>0</v>
      </c>
      <c r="E26" s="33">
        <v>0</v>
      </c>
      <c r="F26" s="33">
        <v>73</v>
      </c>
      <c r="G26" s="33">
        <v>103</v>
      </c>
      <c r="H26" s="33">
        <v>0</v>
      </c>
      <c r="I26" s="33">
        <v>176</v>
      </c>
      <c r="K26" t="b">
        <f>QHPSelections2016[[#This Row],[County Name]]=P26</f>
        <v>1</v>
      </c>
      <c r="L26" t="b">
        <f>QHPSelections2016[[#This Row],[Silver]]=S26</f>
        <v>1</v>
      </c>
      <c r="N26">
        <v>2230</v>
      </c>
      <c r="O26" t="s">
        <v>1635</v>
      </c>
      <c r="P26" t="s">
        <v>1681</v>
      </c>
      <c r="Q26">
        <v>0</v>
      </c>
      <c r="R26">
        <v>0</v>
      </c>
      <c r="S26">
        <v>73</v>
      </c>
      <c r="T26">
        <v>103</v>
      </c>
      <c r="U26">
        <v>0</v>
      </c>
      <c r="V26">
        <v>176</v>
      </c>
    </row>
    <row r="27" spans="1:22">
      <c r="A27" s="32" t="s">
        <v>1682</v>
      </c>
      <c r="B27" s="32" t="s">
        <v>1635</v>
      </c>
      <c r="C27" s="32" t="s">
        <v>1683</v>
      </c>
      <c r="D27" s="33">
        <v>0</v>
      </c>
      <c r="E27" s="33" t="s">
        <v>1639</v>
      </c>
      <c r="F27" s="33">
        <v>81</v>
      </c>
      <c r="G27" s="33">
        <v>91</v>
      </c>
      <c r="H27" s="33" t="s">
        <v>1639</v>
      </c>
      <c r="I27" s="33">
        <v>174</v>
      </c>
      <c r="K27" t="b">
        <f>QHPSelections2016[[#This Row],[County Name]]=P27</f>
        <v>1</v>
      </c>
      <c r="L27" t="b">
        <f>QHPSelections2016[[#This Row],[Silver]]=S27</f>
        <v>1</v>
      </c>
      <c r="N27">
        <v>2240</v>
      </c>
      <c r="O27" t="s">
        <v>1635</v>
      </c>
      <c r="P27" t="s">
        <v>1683</v>
      </c>
      <c r="Q27">
        <v>0</v>
      </c>
      <c r="S27">
        <v>81</v>
      </c>
      <c r="T27">
        <v>91</v>
      </c>
      <c r="V27">
        <v>174</v>
      </c>
    </row>
    <row r="28" spans="1:22">
      <c r="A28" s="32" t="s">
        <v>1684</v>
      </c>
      <c r="B28" s="32" t="s">
        <v>1635</v>
      </c>
      <c r="C28" s="32" t="s">
        <v>1685</v>
      </c>
      <c r="D28" s="33">
        <v>0</v>
      </c>
      <c r="E28" s="33">
        <v>16</v>
      </c>
      <c r="F28" s="33">
        <v>215</v>
      </c>
      <c r="G28" s="33">
        <v>218</v>
      </c>
      <c r="H28" s="33">
        <v>12</v>
      </c>
      <c r="I28" s="33">
        <v>461</v>
      </c>
      <c r="K28" t="b">
        <f>QHPSelections2016[[#This Row],[County Name]]=P28</f>
        <v>1</v>
      </c>
      <c r="L28" t="b">
        <f>QHPSelections2016[[#This Row],[Silver]]=S28</f>
        <v>1</v>
      </c>
      <c r="N28">
        <v>2261</v>
      </c>
      <c r="O28" t="s">
        <v>1635</v>
      </c>
      <c r="P28" t="s">
        <v>1685</v>
      </c>
      <c r="Q28">
        <v>0</v>
      </c>
      <c r="R28">
        <v>16</v>
      </c>
      <c r="S28">
        <v>215</v>
      </c>
      <c r="T28">
        <v>218</v>
      </c>
      <c r="U28">
        <v>12</v>
      </c>
      <c r="V28">
        <v>461</v>
      </c>
    </row>
    <row r="29" spans="1:22">
      <c r="A29" s="32" t="s">
        <v>1686</v>
      </c>
      <c r="B29" s="32" t="s">
        <v>1635</v>
      </c>
      <c r="C29" s="32" t="s">
        <v>1687</v>
      </c>
      <c r="D29" s="33">
        <v>0</v>
      </c>
      <c r="E29" s="33">
        <v>0</v>
      </c>
      <c r="F29" s="33" t="s">
        <v>1639</v>
      </c>
      <c r="G29" s="33" t="s">
        <v>1639</v>
      </c>
      <c r="H29" s="33">
        <v>0</v>
      </c>
      <c r="I29" s="33">
        <v>16</v>
      </c>
      <c r="K29" t="b">
        <f>QHPSelections2016[[#This Row],[County Name]]=P29</f>
        <v>1</v>
      </c>
      <c r="L29" t="b">
        <f>QHPSelections2016[[#This Row],[Silver]]=S29</f>
        <v>0</v>
      </c>
      <c r="N29">
        <v>2270</v>
      </c>
      <c r="O29" t="s">
        <v>1635</v>
      </c>
      <c r="P29" t="s">
        <v>1687</v>
      </c>
      <c r="Q29">
        <v>0</v>
      </c>
      <c r="R29">
        <v>0</v>
      </c>
      <c r="U29">
        <v>0</v>
      </c>
      <c r="V29">
        <v>16</v>
      </c>
    </row>
    <row r="30" spans="1:22">
      <c r="A30" s="32" t="s">
        <v>1688</v>
      </c>
      <c r="B30" s="32" t="s">
        <v>1635</v>
      </c>
      <c r="C30" s="32" t="s">
        <v>1689</v>
      </c>
      <c r="D30" s="33">
        <v>0</v>
      </c>
      <c r="E30" s="33" t="s">
        <v>1639</v>
      </c>
      <c r="F30" s="33">
        <v>36</v>
      </c>
      <c r="G30" s="33">
        <v>55</v>
      </c>
      <c r="H30" s="33" t="s">
        <v>1639</v>
      </c>
      <c r="I30" s="33">
        <v>96</v>
      </c>
      <c r="K30" t="b">
        <f>QHPSelections2016[[#This Row],[County Name]]=P30</f>
        <v>1</v>
      </c>
      <c r="L30" t="b">
        <f>QHPSelections2016[[#This Row],[Silver]]=S30</f>
        <v>1</v>
      </c>
      <c r="N30">
        <v>2275</v>
      </c>
      <c r="O30" t="s">
        <v>1635</v>
      </c>
      <c r="P30" t="s">
        <v>1689</v>
      </c>
      <c r="Q30">
        <v>0</v>
      </c>
      <c r="S30">
        <v>36</v>
      </c>
      <c r="T30">
        <v>55</v>
      </c>
      <c r="V30">
        <v>96</v>
      </c>
    </row>
    <row r="31" spans="1:22">
      <c r="A31" s="32" t="s">
        <v>1690</v>
      </c>
      <c r="B31" s="32" t="s">
        <v>1635</v>
      </c>
      <c r="C31" s="32" t="s">
        <v>1691</v>
      </c>
      <c r="D31" s="33">
        <v>0</v>
      </c>
      <c r="E31" s="33" t="s">
        <v>1639</v>
      </c>
      <c r="F31" s="33" t="s">
        <v>1639</v>
      </c>
      <c r="G31" s="33">
        <v>13</v>
      </c>
      <c r="H31" s="33">
        <v>0</v>
      </c>
      <c r="I31" s="33">
        <v>17</v>
      </c>
      <c r="K31" t="b">
        <f>QHPSelections2016[[#This Row],[County Name]]=P31</f>
        <v>1</v>
      </c>
      <c r="L31" t="b">
        <f>QHPSelections2016[[#This Row],[Silver]]=S31</f>
        <v>0</v>
      </c>
      <c r="N31">
        <v>2282</v>
      </c>
      <c r="O31" t="s">
        <v>1635</v>
      </c>
      <c r="P31" t="s">
        <v>1691</v>
      </c>
      <c r="Q31">
        <v>0</v>
      </c>
      <c r="T31">
        <v>13</v>
      </c>
      <c r="U31">
        <v>0</v>
      </c>
      <c r="V31">
        <v>17</v>
      </c>
    </row>
    <row r="32" spans="1:22">
      <c r="A32" s="32" t="s">
        <v>1692</v>
      </c>
      <c r="B32" s="32" t="s">
        <v>1635</v>
      </c>
      <c r="C32" s="32" t="s">
        <v>1693</v>
      </c>
      <c r="D32" s="33">
        <v>0</v>
      </c>
      <c r="E32" s="33" t="s">
        <v>1639</v>
      </c>
      <c r="F32" s="33">
        <v>19</v>
      </c>
      <c r="G32" s="33">
        <v>32</v>
      </c>
      <c r="H32" s="33" t="s">
        <v>1639</v>
      </c>
      <c r="I32" s="33">
        <v>55</v>
      </c>
      <c r="K32" t="b">
        <f>QHPSelections2016[[#This Row],[County Name]]=P32</f>
        <v>1</v>
      </c>
      <c r="L32" t="b">
        <f>QHPSelections2016[[#This Row],[Silver]]=S32</f>
        <v>1</v>
      </c>
      <c r="N32">
        <v>2290</v>
      </c>
      <c r="O32" t="s">
        <v>1635</v>
      </c>
      <c r="P32" t="s">
        <v>1693</v>
      </c>
      <c r="Q32">
        <v>0</v>
      </c>
      <c r="S32">
        <v>19</v>
      </c>
      <c r="T32">
        <v>32</v>
      </c>
      <c r="V32">
        <v>55</v>
      </c>
    </row>
    <row r="33" spans="1:22">
      <c r="A33" s="32" t="s">
        <v>1694</v>
      </c>
      <c r="B33" s="32" t="s">
        <v>1433</v>
      </c>
      <c r="C33" s="32" t="s">
        <v>817</v>
      </c>
      <c r="D33" s="33">
        <v>0</v>
      </c>
      <c r="E33" s="33">
        <v>97</v>
      </c>
      <c r="F33" s="33">
        <v>1594</v>
      </c>
      <c r="G33" s="33">
        <v>171</v>
      </c>
      <c r="H33" s="33">
        <v>34</v>
      </c>
      <c r="I33" s="33">
        <v>1896</v>
      </c>
      <c r="K33" t="b">
        <f>QHPSelections2016[[#This Row],[County Name]]=P33</f>
        <v>1</v>
      </c>
      <c r="L33" t="b">
        <f>QHPSelections2016[[#This Row],[Silver]]=S33</f>
        <v>1</v>
      </c>
      <c r="N33">
        <v>1001</v>
      </c>
      <c r="O33" t="s">
        <v>1433</v>
      </c>
      <c r="P33" t="s">
        <v>817</v>
      </c>
      <c r="Q33">
        <v>0</v>
      </c>
      <c r="R33">
        <v>97</v>
      </c>
      <c r="S33" s="51">
        <v>1594</v>
      </c>
      <c r="T33">
        <v>171</v>
      </c>
      <c r="U33">
        <v>34</v>
      </c>
      <c r="V33" s="51">
        <v>1896</v>
      </c>
    </row>
    <row r="34" spans="1:22">
      <c r="A34" s="32" t="s">
        <v>1695</v>
      </c>
      <c r="B34" s="32" t="s">
        <v>1433</v>
      </c>
      <c r="C34" s="32" t="s">
        <v>823</v>
      </c>
      <c r="D34" s="33">
        <v>0</v>
      </c>
      <c r="E34" s="33">
        <v>624</v>
      </c>
      <c r="F34" s="33">
        <v>10108</v>
      </c>
      <c r="G34" s="33">
        <v>928</v>
      </c>
      <c r="H34" s="33">
        <v>118</v>
      </c>
      <c r="I34" s="33">
        <v>11778</v>
      </c>
      <c r="K34" t="b">
        <f>QHPSelections2016[[#This Row],[County Name]]=P34</f>
        <v>1</v>
      </c>
      <c r="L34" t="b">
        <f>QHPSelections2016[[#This Row],[Silver]]=S34</f>
        <v>1</v>
      </c>
      <c r="N34">
        <v>1003</v>
      </c>
      <c r="O34" t="s">
        <v>1433</v>
      </c>
      <c r="P34" t="s">
        <v>823</v>
      </c>
      <c r="Q34">
        <v>0</v>
      </c>
      <c r="R34">
        <v>624</v>
      </c>
      <c r="S34" s="51">
        <v>10108</v>
      </c>
      <c r="T34">
        <v>928</v>
      </c>
      <c r="U34">
        <v>118</v>
      </c>
      <c r="V34" s="51">
        <v>11778</v>
      </c>
    </row>
    <row r="35" spans="1:22">
      <c r="A35" s="32" t="s">
        <v>1696</v>
      </c>
      <c r="B35" s="32" t="s">
        <v>1433</v>
      </c>
      <c r="C35" s="32" t="s">
        <v>830</v>
      </c>
      <c r="D35" s="33" t="s">
        <v>1639</v>
      </c>
      <c r="E35" s="33">
        <v>15</v>
      </c>
      <c r="F35" s="33">
        <v>693</v>
      </c>
      <c r="G35" s="33">
        <v>84</v>
      </c>
      <c r="H35" s="33" t="s">
        <v>1639</v>
      </c>
      <c r="I35" s="33">
        <v>801</v>
      </c>
      <c r="K35" t="b">
        <f>QHPSelections2016[[#This Row],[County Name]]=P35</f>
        <v>1</v>
      </c>
      <c r="L35" t="b">
        <f>QHPSelections2016[[#This Row],[Silver]]=S35</f>
        <v>1</v>
      </c>
      <c r="N35">
        <v>1005</v>
      </c>
      <c r="O35" t="s">
        <v>1433</v>
      </c>
      <c r="P35" t="s">
        <v>830</v>
      </c>
      <c r="R35">
        <v>15</v>
      </c>
      <c r="S35">
        <v>693</v>
      </c>
      <c r="T35">
        <v>84</v>
      </c>
      <c r="V35">
        <v>801</v>
      </c>
    </row>
    <row r="36" spans="1:22">
      <c r="A36" s="32" t="s">
        <v>1697</v>
      </c>
      <c r="B36" s="32" t="s">
        <v>1433</v>
      </c>
      <c r="C36" s="32" t="s">
        <v>837</v>
      </c>
      <c r="D36" s="33" t="s">
        <v>1639</v>
      </c>
      <c r="E36" s="33">
        <v>31</v>
      </c>
      <c r="F36" s="33">
        <v>538</v>
      </c>
      <c r="G36" s="33">
        <v>50</v>
      </c>
      <c r="H36" s="33" t="s">
        <v>1639</v>
      </c>
      <c r="I36" s="33">
        <v>629</v>
      </c>
      <c r="K36" t="b">
        <f>QHPSelections2016[[#This Row],[County Name]]=P36</f>
        <v>1</v>
      </c>
      <c r="L36" t="b">
        <f>QHPSelections2016[[#This Row],[Silver]]=S36</f>
        <v>1</v>
      </c>
      <c r="N36">
        <v>1007</v>
      </c>
      <c r="O36" t="s">
        <v>1433</v>
      </c>
      <c r="P36" t="s">
        <v>837</v>
      </c>
      <c r="R36">
        <v>31</v>
      </c>
      <c r="S36">
        <v>538</v>
      </c>
      <c r="T36">
        <v>50</v>
      </c>
      <c r="V36">
        <v>629</v>
      </c>
    </row>
    <row r="37" spans="1:22">
      <c r="A37" s="32" t="s">
        <v>1698</v>
      </c>
      <c r="B37" s="32" t="s">
        <v>1433</v>
      </c>
      <c r="C37" s="32" t="s">
        <v>843</v>
      </c>
      <c r="D37" s="33">
        <v>19</v>
      </c>
      <c r="E37" s="33">
        <v>92</v>
      </c>
      <c r="F37" s="33">
        <v>1962</v>
      </c>
      <c r="G37" s="33">
        <v>159</v>
      </c>
      <c r="H37" s="33">
        <v>32</v>
      </c>
      <c r="I37" s="33">
        <v>2264</v>
      </c>
      <c r="K37" t="b">
        <f>QHPSelections2016[[#This Row],[County Name]]=P37</f>
        <v>1</v>
      </c>
      <c r="L37" t="b">
        <f>QHPSelections2016[[#This Row],[Silver]]=S37</f>
        <v>1</v>
      </c>
      <c r="N37">
        <v>1009</v>
      </c>
      <c r="O37" t="s">
        <v>1433</v>
      </c>
      <c r="P37" t="s">
        <v>843</v>
      </c>
      <c r="Q37">
        <v>19</v>
      </c>
      <c r="R37">
        <v>92</v>
      </c>
      <c r="S37" s="51">
        <v>1962</v>
      </c>
      <c r="T37">
        <v>159</v>
      </c>
      <c r="U37">
        <v>32</v>
      </c>
      <c r="V37" s="51">
        <v>2264</v>
      </c>
    </row>
    <row r="38" spans="1:22">
      <c r="A38" s="32" t="s">
        <v>1699</v>
      </c>
      <c r="B38" s="32" t="s">
        <v>1433</v>
      </c>
      <c r="C38" s="32" t="s">
        <v>847</v>
      </c>
      <c r="D38" s="33">
        <v>0</v>
      </c>
      <c r="E38" s="33" t="s">
        <v>1639</v>
      </c>
      <c r="F38" s="33">
        <v>293</v>
      </c>
      <c r="G38" s="33">
        <v>26</v>
      </c>
      <c r="H38" s="33" t="s">
        <v>1639</v>
      </c>
      <c r="I38" s="33">
        <v>334</v>
      </c>
      <c r="K38" t="b">
        <f>QHPSelections2016[[#This Row],[County Name]]=P38</f>
        <v>1</v>
      </c>
      <c r="L38" t="b">
        <f>QHPSelections2016[[#This Row],[Silver]]=S38</f>
        <v>1</v>
      </c>
      <c r="N38">
        <v>1011</v>
      </c>
      <c r="O38" t="s">
        <v>1433</v>
      </c>
      <c r="P38" t="s">
        <v>847</v>
      </c>
      <c r="Q38">
        <v>0</v>
      </c>
      <c r="S38">
        <v>293</v>
      </c>
      <c r="T38">
        <v>26</v>
      </c>
      <c r="V38">
        <v>334</v>
      </c>
    </row>
    <row r="39" spans="1:22">
      <c r="A39" s="32" t="s">
        <v>1700</v>
      </c>
      <c r="B39" s="32" t="s">
        <v>1433</v>
      </c>
      <c r="C39" s="32" t="s">
        <v>854</v>
      </c>
      <c r="D39" s="33">
        <v>0</v>
      </c>
      <c r="E39" s="33">
        <v>30</v>
      </c>
      <c r="F39" s="33">
        <v>723</v>
      </c>
      <c r="G39" s="33">
        <v>46</v>
      </c>
      <c r="H39" s="33">
        <v>17</v>
      </c>
      <c r="I39" s="33">
        <v>816</v>
      </c>
      <c r="K39" t="b">
        <f>QHPSelections2016[[#This Row],[County Name]]=P39</f>
        <v>1</v>
      </c>
      <c r="L39" t="b">
        <f>QHPSelections2016[[#This Row],[Silver]]=S39</f>
        <v>1</v>
      </c>
      <c r="N39">
        <v>1013</v>
      </c>
      <c r="O39" t="s">
        <v>1433</v>
      </c>
      <c r="P39" t="s">
        <v>854</v>
      </c>
      <c r="Q39">
        <v>0</v>
      </c>
      <c r="R39">
        <v>30</v>
      </c>
      <c r="S39">
        <v>723</v>
      </c>
      <c r="T39">
        <v>46</v>
      </c>
      <c r="U39">
        <v>17</v>
      </c>
      <c r="V39">
        <v>816</v>
      </c>
    </row>
    <row r="40" spans="1:22">
      <c r="A40" s="32" t="s">
        <v>1701</v>
      </c>
      <c r="B40" s="32" t="s">
        <v>1433</v>
      </c>
      <c r="C40" s="32" t="s">
        <v>855</v>
      </c>
      <c r="D40" s="33">
        <v>0</v>
      </c>
      <c r="E40" s="33">
        <v>155</v>
      </c>
      <c r="F40" s="33">
        <v>3403</v>
      </c>
      <c r="G40" s="33">
        <v>353</v>
      </c>
      <c r="H40" s="33">
        <v>55</v>
      </c>
      <c r="I40" s="33">
        <v>3966</v>
      </c>
      <c r="K40" t="b">
        <f>QHPSelections2016[[#This Row],[County Name]]=P40</f>
        <v>1</v>
      </c>
      <c r="L40" t="b">
        <f>QHPSelections2016[[#This Row],[Silver]]=S40</f>
        <v>1</v>
      </c>
      <c r="N40">
        <v>1015</v>
      </c>
      <c r="O40" t="s">
        <v>1433</v>
      </c>
      <c r="P40" t="s">
        <v>855</v>
      </c>
      <c r="Q40">
        <v>0</v>
      </c>
      <c r="R40">
        <v>155</v>
      </c>
      <c r="S40" s="51">
        <v>3403</v>
      </c>
      <c r="T40">
        <v>353</v>
      </c>
      <c r="U40">
        <v>55</v>
      </c>
      <c r="V40" s="51">
        <v>3966</v>
      </c>
    </row>
    <row r="41" spans="1:22">
      <c r="A41" s="32" t="s">
        <v>1702</v>
      </c>
      <c r="B41" s="32" t="s">
        <v>1433</v>
      </c>
      <c r="C41" s="32" t="s">
        <v>866</v>
      </c>
      <c r="D41" s="33">
        <v>0</v>
      </c>
      <c r="E41" s="33">
        <v>26</v>
      </c>
      <c r="F41" s="33">
        <v>989</v>
      </c>
      <c r="G41" s="33">
        <v>92</v>
      </c>
      <c r="H41" s="33">
        <v>21</v>
      </c>
      <c r="I41" s="33">
        <v>1128</v>
      </c>
      <c r="K41" t="b">
        <f>QHPSelections2016[[#This Row],[County Name]]=P41</f>
        <v>1</v>
      </c>
      <c r="L41" t="b">
        <f>QHPSelections2016[[#This Row],[Silver]]=S41</f>
        <v>1</v>
      </c>
      <c r="N41">
        <v>1017</v>
      </c>
      <c r="O41" t="s">
        <v>1433</v>
      </c>
      <c r="P41" t="s">
        <v>866</v>
      </c>
      <c r="Q41">
        <v>0</v>
      </c>
      <c r="R41">
        <v>26</v>
      </c>
      <c r="S41">
        <v>989</v>
      </c>
      <c r="T41">
        <v>92</v>
      </c>
      <c r="U41">
        <v>21</v>
      </c>
      <c r="V41" s="51">
        <v>1128</v>
      </c>
    </row>
    <row r="42" spans="1:22">
      <c r="A42" s="32" t="s">
        <v>1703</v>
      </c>
      <c r="B42" s="32" t="s">
        <v>1433</v>
      </c>
      <c r="C42" s="32" t="s">
        <v>872</v>
      </c>
      <c r="D42" s="33" t="s">
        <v>1639</v>
      </c>
      <c r="E42" s="33">
        <v>33</v>
      </c>
      <c r="F42" s="33">
        <v>827</v>
      </c>
      <c r="G42" s="33">
        <v>56</v>
      </c>
      <c r="H42" s="33" t="s">
        <v>1639</v>
      </c>
      <c r="I42" s="33">
        <v>926</v>
      </c>
      <c r="K42" t="b">
        <f>QHPSelections2016[[#This Row],[County Name]]=P42</f>
        <v>1</v>
      </c>
      <c r="L42" t="b">
        <f>QHPSelections2016[[#This Row],[Silver]]=S42</f>
        <v>1</v>
      </c>
      <c r="N42">
        <v>1019</v>
      </c>
      <c r="O42" t="s">
        <v>1433</v>
      </c>
      <c r="P42" t="s">
        <v>872</v>
      </c>
      <c r="R42">
        <v>33</v>
      </c>
      <c r="S42">
        <v>827</v>
      </c>
      <c r="T42">
        <v>56</v>
      </c>
      <c r="V42">
        <v>926</v>
      </c>
    </row>
    <row r="43" spans="1:22">
      <c r="A43" s="32" t="s">
        <v>1704</v>
      </c>
      <c r="B43" s="32" t="s">
        <v>1433</v>
      </c>
      <c r="C43" s="32" t="s">
        <v>879</v>
      </c>
      <c r="D43" s="33">
        <v>0</v>
      </c>
      <c r="E43" s="33">
        <v>81</v>
      </c>
      <c r="F43" s="33">
        <v>1698</v>
      </c>
      <c r="G43" s="33">
        <v>136</v>
      </c>
      <c r="H43" s="33">
        <v>24</v>
      </c>
      <c r="I43" s="33">
        <v>1939</v>
      </c>
      <c r="K43" t="b">
        <f>QHPSelections2016[[#This Row],[County Name]]=P43</f>
        <v>1</v>
      </c>
      <c r="L43" t="b">
        <f>QHPSelections2016[[#This Row],[Silver]]=S43</f>
        <v>1</v>
      </c>
      <c r="N43">
        <v>1021</v>
      </c>
      <c r="O43" t="s">
        <v>1433</v>
      </c>
      <c r="P43" t="s">
        <v>879</v>
      </c>
      <c r="Q43">
        <v>0</v>
      </c>
      <c r="R43">
        <v>81</v>
      </c>
      <c r="S43" s="51">
        <v>1698</v>
      </c>
      <c r="T43">
        <v>136</v>
      </c>
      <c r="U43">
        <v>24</v>
      </c>
      <c r="V43" s="51">
        <v>1939</v>
      </c>
    </row>
    <row r="44" spans="1:22">
      <c r="A44" s="32" t="s">
        <v>1705</v>
      </c>
      <c r="B44" s="32" t="s">
        <v>1433</v>
      </c>
      <c r="C44" s="32" t="s">
        <v>875</v>
      </c>
      <c r="D44" s="33" t="s">
        <v>1639</v>
      </c>
      <c r="E44" s="33">
        <v>39</v>
      </c>
      <c r="F44" s="33">
        <v>574</v>
      </c>
      <c r="G44" s="33">
        <v>32</v>
      </c>
      <c r="H44" s="33" t="s">
        <v>1639</v>
      </c>
      <c r="I44" s="33">
        <v>652</v>
      </c>
      <c r="K44" t="b">
        <f>QHPSelections2016[[#This Row],[County Name]]=P44</f>
        <v>1</v>
      </c>
      <c r="L44" t="b">
        <f>QHPSelections2016[[#This Row],[Silver]]=S44</f>
        <v>1</v>
      </c>
      <c r="N44">
        <v>1023</v>
      </c>
      <c r="O44" t="s">
        <v>1433</v>
      </c>
      <c r="P44" t="s">
        <v>875</v>
      </c>
      <c r="R44">
        <v>39</v>
      </c>
      <c r="S44">
        <v>574</v>
      </c>
      <c r="T44">
        <v>32</v>
      </c>
      <c r="V44">
        <v>652</v>
      </c>
    </row>
    <row r="45" spans="1:22">
      <c r="A45" s="32" t="s">
        <v>1706</v>
      </c>
      <c r="B45" s="32" t="s">
        <v>1433</v>
      </c>
      <c r="C45" s="32" t="s">
        <v>887</v>
      </c>
      <c r="D45" s="33">
        <v>0</v>
      </c>
      <c r="E45" s="33">
        <v>43</v>
      </c>
      <c r="F45" s="33">
        <v>1121</v>
      </c>
      <c r="G45" s="33">
        <v>92</v>
      </c>
      <c r="H45" s="33">
        <v>16</v>
      </c>
      <c r="I45" s="33">
        <v>1272</v>
      </c>
      <c r="K45" t="b">
        <f>QHPSelections2016[[#This Row],[County Name]]=P45</f>
        <v>1</v>
      </c>
      <c r="L45" t="b">
        <f>QHPSelections2016[[#This Row],[Silver]]=S45</f>
        <v>1</v>
      </c>
      <c r="N45">
        <v>1025</v>
      </c>
      <c r="O45" t="s">
        <v>1433</v>
      </c>
      <c r="P45" t="s">
        <v>887</v>
      </c>
      <c r="Q45">
        <v>0</v>
      </c>
      <c r="R45">
        <v>43</v>
      </c>
      <c r="S45" s="51">
        <v>1121</v>
      </c>
      <c r="T45">
        <v>92</v>
      </c>
      <c r="U45">
        <v>16</v>
      </c>
      <c r="V45" s="51">
        <v>1272</v>
      </c>
    </row>
    <row r="46" spans="1:22">
      <c r="A46" s="32" t="s">
        <v>1707</v>
      </c>
      <c r="B46" s="32" t="s">
        <v>1433</v>
      </c>
      <c r="C46" s="32" t="s">
        <v>873</v>
      </c>
      <c r="D46" s="33" t="s">
        <v>1639</v>
      </c>
      <c r="E46" s="33">
        <v>26</v>
      </c>
      <c r="F46" s="33">
        <v>411</v>
      </c>
      <c r="G46" s="33">
        <v>45</v>
      </c>
      <c r="H46" s="33" t="s">
        <v>1639</v>
      </c>
      <c r="I46" s="33">
        <v>489</v>
      </c>
      <c r="K46" t="b">
        <f>QHPSelections2016[[#This Row],[County Name]]=P46</f>
        <v>1</v>
      </c>
      <c r="L46" t="b">
        <f>QHPSelections2016[[#This Row],[Silver]]=S46</f>
        <v>1</v>
      </c>
      <c r="N46">
        <v>1027</v>
      </c>
      <c r="O46" t="s">
        <v>1433</v>
      </c>
      <c r="P46" t="s">
        <v>873</v>
      </c>
      <c r="R46">
        <v>26</v>
      </c>
      <c r="S46">
        <v>411</v>
      </c>
      <c r="T46">
        <v>45</v>
      </c>
      <c r="V46">
        <v>489</v>
      </c>
    </row>
    <row r="47" spans="1:22">
      <c r="A47" s="32" t="s">
        <v>1708</v>
      </c>
      <c r="B47" s="32" t="s">
        <v>1433</v>
      </c>
      <c r="C47" s="32" t="s">
        <v>900</v>
      </c>
      <c r="D47" s="33" t="s">
        <v>1639</v>
      </c>
      <c r="E47" s="33">
        <v>20</v>
      </c>
      <c r="F47" s="33">
        <v>548</v>
      </c>
      <c r="G47" s="33">
        <v>39</v>
      </c>
      <c r="H47" s="33" t="s">
        <v>1639</v>
      </c>
      <c r="I47" s="33">
        <v>610</v>
      </c>
      <c r="K47" t="b">
        <f>QHPSelections2016[[#This Row],[County Name]]=P47</f>
        <v>1</v>
      </c>
      <c r="L47" t="b">
        <f>QHPSelections2016[[#This Row],[Silver]]=S47</f>
        <v>1</v>
      </c>
      <c r="N47">
        <v>1029</v>
      </c>
      <c r="O47" t="s">
        <v>1433</v>
      </c>
      <c r="P47" t="s">
        <v>900</v>
      </c>
      <c r="R47">
        <v>20</v>
      </c>
      <c r="S47">
        <v>548</v>
      </c>
      <c r="T47">
        <v>39</v>
      </c>
      <c r="V47">
        <v>610</v>
      </c>
    </row>
    <row r="48" spans="1:22">
      <c r="A48" s="32" t="s">
        <v>1709</v>
      </c>
      <c r="B48" s="32" t="s">
        <v>1433</v>
      </c>
      <c r="C48" s="32" t="s">
        <v>907</v>
      </c>
      <c r="D48" s="33">
        <v>0</v>
      </c>
      <c r="E48" s="33">
        <v>67</v>
      </c>
      <c r="F48" s="33">
        <v>1262</v>
      </c>
      <c r="G48" s="33">
        <v>138</v>
      </c>
      <c r="H48" s="33">
        <v>21</v>
      </c>
      <c r="I48" s="33">
        <v>1488</v>
      </c>
      <c r="K48" t="b">
        <f>QHPSelections2016[[#This Row],[County Name]]=P48</f>
        <v>1</v>
      </c>
      <c r="L48" t="b">
        <f>QHPSelections2016[[#This Row],[Silver]]=S48</f>
        <v>1</v>
      </c>
      <c r="N48">
        <v>1031</v>
      </c>
      <c r="O48" t="s">
        <v>1433</v>
      </c>
      <c r="P48" t="s">
        <v>907</v>
      </c>
      <c r="Q48">
        <v>0</v>
      </c>
      <c r="R48">
        <v>67</v>
      </c>
      <c r="S48" s="51">
        <v>1262</v>
      </c>
      <c r="T48">
        <v>138</v>
      </c>
      <c r="U48">
        <v>21</v>
      </c>
      <c r="V48" s="51">
        <v>1488</v>
      </c>
    </row>
    <row r="49" spans="1:22">
      <c r="A49" s="32" t="s">
        <v>1710</v>
      </c>
      <c r="B49" s="32" t="s">
        <v>1433</v>
      </c>
      <c r="C49" s="32" t="s">
        <v>913</v>
      </c>
      <c r="D49" s="33">
        <v>0</v>
      </c>
      <c r="E49" s="33">
        <v>105</v>
      </c>
      <c r="F49" s="33">
        <v>2009</v>
      </c>
      <c r="G49" s="33">
        <v>111</v>
      </c>
      <c r="H49" s="33">
        <v>25</v>
      </c>
      <c r="I49" s="33">
        <v>2250</v>
      </c>
      <c r="K49" t="b">
        <f>QHPSelections2016[[#This Row],[County Name]]=P49</f>
        <v>1</v>
      </c>
      <c r="L49" t="b">
        <f>QHPSelections2016[[#This Row],[Silver]]=S49</f>
        <v>1</v>
      </c>
      <c r="N49">
        <v>1033</v>
      </c>
      <c r="O49" t="s">
        <v>1433</v>
      </c>
      <c r="P49" t="s">
        <v>913</v>
      </c>
      <c r="Q49">
        <v>0</v>
      </c>
      <c r="R49">
        <v>105</v>
      </c>
      <c r="S49" s="51">
        <v>2009</v>
      </c>
      <c r="T49">
        <v>111</v>
      </c>
      <c r="U49">
        <v>25</v>
      </c>
      <c r="V49" s="51">
        <v>2250</v>
      </c>
    </row>
    <row r="50" spans="1:22">
      <c r="A50" s="32" t="s">
        <v>1711</v>
      </c>
      <c r="B50" s="32" t="s">
        <v>1433</v>
      </c>
      <c r="C50" s="32" t="s">
        <v>918</v>
      </c>
      <c r="D50" s="33" t="s">
        <v>1639</v>
      </c>
      <c r="E50" s="33">
        <v>28</v>
      </c>
      <c r="F50" s="33">
        <v>475</v>
      </c>
      <c r="G50" s="33">
        <v>37</v>
      </c>
      <c r="H50" s="33" t="s">
        <v>1639</v>
      </c>
      <c r="I50" s="33">
        <v>548</v>
      </c>
      <c r="K50" t="b">
        <f>QHPSelections2016[[#This Row],[County Name]]=P50</f>
        <v>1</v>
      </c>
      <c r="L50" t="b">
        <f>QHPSelections2016[[#This Row],[Silver]]=S50</f>
        <v>1</v>
      </c>
      <c r="N50">
        <v>1035</v>
      </c>
      <c r="O50" t="s">
        <v>1433</v>
      </c>
      <c r="P50" t="s">
        <v>918</v>
      </c>
      <c r="R50">
        <v>28</v>
      </c>
      <c r="S50">
        <v>475</v>
      </c>
      <c r="T50">
        <v>37</v>
      </c>
      <c r="V50">
        <v>548</v>
      </c>
    </row>
    <row r="51" spans="1:22">
      <c r="A51" s="32" t="s">
        <v>1712</v>
      </c>
      <c r="B51" s="32" t="s">
        <v>1433</v>
      </c>
      <c r="C51" s="32" t="s">
        <v>925</v>
      </c>
      <c r="D51" s="33">
        <v>0</v>
      </c>
      <c r="E51" s="33" t="s">
        <v>1639</v>
      </c>
      <c r="F51" s="33">
        <v>341</v>
      </c>
      <c r="G51" s="33">
        <v>27</v>
      </c>
      <c r="H51" s="33" t="s">
        <v>1639</v>
      </c>
      <c r="I51" s="33">
        <v>384</v>
      </c>
      <c r="K51" t="b">
        <f>QHPSelections2016[[#This Row],[County Name]]=P51</f>
        <v>1</v>
      </c>
      <c r="L51" t="b">
        <f>QHPSelections2016[[#This Row],[Silver]]=S51</f>
        <v>1</v>
      </c>
      <c r="N51">
        <v>1037</v>
      </c>
      <c r="O51" t="s">
        <v>1433</v>
      </c>
      <c r="P51" t="s">
        <v>925</v>
      </c>
      <c r="Q51">
        <v>0</v>
      </c>
      <c r="S51">
        <v>341</v>
      </c>
      <c r="T51">
        <v>27</v>
      </c>
      <c r="V51">
        <v>384</v>
      </c>
    </row>
    <row r="52" spans="1:22">
      <c r="A52" s="32" t="s">
        <v>1713</v>
      </c>
      <c r="B52" s="32" t="s">
        <v>1433</v>
      </c>
      <c r="C52" s="32" t="s">
        <v>910</v>
      </c>
      <c r="D52" s="33">
        <v>0</v>
      </c>
      <c r="E52" s="33">
        <v>52</v>
      </c>
      <c r="F52" s="33">
        <v>1268</v>
      </c>
      <c r="G52" s="33">
        <v>108</v>
      </c>
      <c r="H52" s="33">
        <v>24</v>
      </c>
      <c r="I52" s="33">
        <v>1452</v>
      </c>
      <c r="K52" t="b">
        <f>QHPSelections2016[[#This Row],[County Name]]=P52</f>
        <v>1</v>
      </c>
      <c r="L52" t="b">
        <f>QHPSelections2016[[#This Row],[Silver]]=S52</f>
        <v>1</v>
      </c>
      <c r="N52">
        <v>1039</v>
      </c>
      <c r="O52" t="s">
        <v>1433</v>
      </c>
      <c r="P52" t="s">
        <v>910</v>
      </c>
      <c r="Q52">
        <v>0</v>
      </c>
      <c r="R52">
        <v>52</v>
      </c>
      <c r="S52" s="51">
        <v>1268</v>
      </c>
      <c r="T52">
        <v>108</v>
      </c>
      <c r="U52">
        <v>24</v>
      </c>
      <c r="V52" s="51">
        <v>1452</v>
      </c>
    </row>
    <row r="53" spans="1:22">
      <c r="A53" s="32" t="s">
        <v>1714</v>
      </c>
      <c r="B53" s="32" t="s">
        <v>1433</v>
      </c>
      <c r="C53" s="32" t="s">
        <v>934</v>
      </c>
      <c r="D53" s="33" t="s">
        <v>1639</v>
      </c>
      <c r="E53" s="33">
        <v>15</v>
      </c>
      <c r="F53" s="33">
        <v>500</v>
      </c>
      <c r="G53" s="33">
        <v>47</v>
      </c>
      <c r="H53" s="33" t="s">
        <v>1639</v>
      </c>
      <c r="I53" s="33">
        <v>566</v>
      </c>
      <c r="K53" t="b">
        <f>QHPSelections2016[[#This Row],[County Name]]=P53</f>
        <v>1</v>
      </c>
      <c r="L53" t="b">
        <f>QHPSelections2016[[#This Row],[Silver]]=S53</f>
        <v>1</v>
      </c>
      <c r="N53">
        <v>1041</v>
      </c>
      <c r="O53" t="s">
        <v>1433</v>
      </c>
      <c r="P53" t="s">
        <v>934</v>
      </c>
      <c r="R53">
        <v>15</v>
      </c>
      <c r="S53">
        <v>500</v>
      </c>
      <c r="T53">
        <v>47</v>
      </c>
      <c r="V53">
        <v>566</v>
      </c>
    </row>
    <row r="54" spans="1:22">
      <c r="A54" s="32" t="s">
        <v>1715</v>
      </c>
      <c r="B54" s="32" t="s">
        <v>1433</v>
      </c>
      <c r="C54" s="32" t="s">
        <v>941</v>
      </c>
      <c r="D54" s="33">
        <v>0</v>
      </c>
      <c r="E54" s="33">
        <v>127</v>
      </c>
      <c r="F54" s="33">
        <v>2981</v>
      </c>
      <c r="G54" s="33">
        <v>255</v>
      </c>
      <c r="H54" s="33">
        <v>32</v>
      </c>
      <c r="I54" s="33">
        <v>3395</v>
      </c>
      <c r="K54" t="b">
        <f>QHPSelections2016[[#This Row],[County Name]]=P54</f>
        <v>1</v>
      </c>
      <c r="L54" t="b">
        <f>QHPSelections2016[[#This Row],[Silver]]=S54</f>
        <v>1</v>
      </c>
      <c r="N54">
        <v>1043</v>
      </c>
      <c r="O54" t="s">
        <v>1433</v>
      </c>
      <c r="P54" t="s">
        <v>941</v>
      </c>
      <c r="Q54">
        <v>0</v>
      </c>
      <c r="R54">
        <v>127</v>
      </c>
      <c r="S54" s="51">
        <v>2981</v>
      </c>
      <c r="T54">
        <v>255</v>
      </c>
      <c r="U54">
        <v>32</v>
      </c>
      <c r="V54" s="51">
        <v>3395</v>
      </c>
    </row>
    <row r="55" spans="1:22">
      <c r="A55" s="32" t="s">
        <v>1716</v>
      </c>
      <c r="B55" s="32" t="s">
        <v>1433</v>
      </c>
      <c r="C55" s="32" t="s">
        <v>946</v>
      </c>
      <c r="D55" s="33">
        <v>0</v>
      </c>
      <c r="E55" s="33">
        <v>49</v>
      </c>
      <c r="F55" s="33">
        <v>1310</v>
      </c>
      <c r="G55" s="33">
        <v>92</v>
      </c>
      <c r="H55" s="33">
        <v>24</v>
      </c>
      <c r="I55" s="33">
        <v>1475</v>
      </c>
      <c r="K55" t="b">
        <f>QHPSelections2016[[#This Row],[County Name]]=P55</f>
        <v>1</v>
      </c>
      <c r="L55" t="b">
        <f>QHPSelections2016[[#This Row],[Silver]]=S55</f>
        <v>1</v>
      </c>
      <c r="N55">
        <v>1045</v>
      </c>
      <c r="O55" t="s">
        <v>1433</v>
      </c>
      <c r="P55" t="s">
        <v>946</v>
      </c>
      <c r="Q55">
        <v>0</v>
      </c>
      <c r="R55">
        <v>49</v>
      </c>
      <c r="S55" s="51">
        <v>1310</v>
      </c>
      <c r="T55">
        <v>92</v>
      </c>
      <c r="U55">
        <v>24</v>
      </c>
      <c r="V55" s="51">
        <v>1475</v>
      </c>
    </row>
    <row r="56" spans="1:22">
      <c r="A56" s="32" t="s">
        <v>1717</v>
      </c>
      <c r="B56" s="32" t="s">
        <v>1433</v>
      </c>
      <c r="C56" s="32" t="s">
        <v>953</v>
      </c>
      <c r="D56" s="33">
        <v>0</v>
      </c>
      <c r="E56" s="33">
        <v>43</v>
      </c>
      <c r="F56" s="33">
        <v>1455</v>
      </c>
      <c r="G56" s="33">
        <v>148</v>
      </c>
      <c r="H56" s="33">
        <v>38</v>
      </c>
      <c r="I56" s="33">
        <v>1684</v>
      </c>
      <c r="K56" t="b">
        <f>QHPSelections2016[[#This Row],[County Name]]=P56</f>
        <v>1</v>
      </c>
      <c r="L56" t="b">
        <f>QHPSelections2016[[#This Row],[Silver]]=S56</f>
        <v>1</v>
      </c>
      <c r="N56">
        <v>1047</v>
      </c>
      <c r="O56" t="s">
        <v>1433</v>
      </c>
      <c r="P56" t="s">
        <v>953</v>
      </c>
      <c r="Q56">
        <v>0</v>
      </c>
      <c r="R56">
        <v>43</v>
      </c>
      <c r="S56" s="51">
        <v>1455</v>
      </c>
      <c r="T56">
        <v>148</v>
      </c>
      <c r="U56">
        <v>38</v>
      </c>
      <c r="V56" s="51">
        <v>1684</v>
      </c>
    </row>
    <row r="57" spans="1:22">
      <c r="A57" s="32" t="s">
        <v>1718</v>
      </c>
      <c r="B57" s="32" t="s">
        <v>1433</v>
      </c>
      <c r="C57" s="32" t="s">
        <v>939</v>
      </c>
      <c r="D57" s="33">
        <v>0</v>
      </c>
      <c r="E57" s="33">
        <v>103</v>
      </c>
      <c r="F57" s="33">
        <v>2704</v>
      </c>
      <c r="G57" s="33">
        <v>220</v>
      </c>
      <c r="H57" s="33">
        <v>20</v>
      </c>
      <c r="I57" s="33">
        <v>3047</v>
      </c>
      <c r="K57" t="b">
        <f>QHPSelections2016[[#This Row],[County Name]]=P57</f>
        <v>1</v>
      </c>
      <c r="L57" t="b">
        <f>QHPSelections2016[[#This Row],[Silver]]=S57</f>
        <v>1</v>
      </c>
      <c r="N57">
        <v>1049</v>
      </c>
      <c r="O57" t="s">
        <v>1433</v>
      </c>
      <c r="P57" t="s">
        <v>939</v>
      </c>
      <c r="Q57">
        <v>0</v>
      </c>
      <c r="R57">
        <v>103</v>
      </c>
      <c r="S57" s="51">
        <v>2704</v>
      </c>
      <c r="T57">
        <v>220</v>
      </c>
      <c r="U57">
        <v>20</v>
      </c>
      <c r="V57" s="51">
        <v>3047</v>
      </c>
    </row>
    <row r="58" spans="1:22">
      <c r="A58" s="32" t="s">
        <v>1719</v>
      </c>
      <c r="B58" s="32" t="s">
        <v>1433</v>
      </c>
      <c r="C58" s="32" t="s">
        <v>964</v>
      </c>
      <c r="D58" s="33">
        <v>0</v>
      </c>
      <c r="E58" s="33">
        <v>115</v>
      </c>
      <c r="F58" s="33">
        <v>2247</v>
      </c>
      <c r="G58" s="33">
        <v>195</v>
      </c>
      <c r="H58" s="33">
        <v>52</v>
      </c>
      <c r="I58" s="33">
        <v>2609</v>
      </c>
      <c r="K58" t="b">
        <f>QHPSelections2016[[#This Row],[County Name]]=P58</f>
        <v>1</v>
      </c>
      <c r="L58" t="b">
        <f>QHPSelections2016[[#This Row],[Silver]]=S58</f>
        <v>1</v>
      </c>
      <c r="N58">
        <v>1051</v>
      </c>
      <c r="O58" t="s">
        <v>1433</v>
      </c>
      <c r="P58" t="s">
        <v>964</v>
      </c>
      <c r="Q58">
        <v>0</v>
      </c>
      <c r="R58">
        <v>115</v>
      </c>
      <c r="S58" s="51">
        <v>2247</v>
      </c>
      <c r="T58">
        <v>195</v>
      </c>
      <c r="U58">
        <v>52</v>
      </c>
      <c r="V58" s="51">
        <v>2609</v>
      </c>
    </row>
    <row r="59" spans="1:22">
      <c r="A59" s="32" t="s">
        <v>1720</v>
      </c>
      <c r="B59" s="32" t="s">
        <v>1433</v>
      </c>
      <c r="C59" s="32" t="s">
        <v>908</v>
      </c>
      <c r="D59" s="33">
        <v>0</v>
      </c>
      <c r="E59" s="33">
        <v>58</v>
      </c>
      <c r="F59" s="33">
        <v>1023</v>
      </c>
      <c r="G59" s="33">
        <v>97</v>
      </c>
      <c r="H59" s="33">
        <v>24</v>
      </c>
      <c r="I59" s="33">
        <v>1202</v>
      </c>
      <c r="K59" t="b">
        <f>QHPSelections2016[[#This Row],[County Name]]=P59</f>
        <v>1</v>
      </c>
      <c r="L59" t="b">
        <f>QHPSelections2016[[#This Row],[Silver]]=S59</f>
        <v>1</v>
      </c>
      <c r="N59">
        <v>1053</v>
      </c>
      <c r="O59" t="s">
        <v>1433</v>
      </c>
      <c r="P59" t="s">
        <v>908</v>
      </c>
      <c r="Q59">
        <v>0</v>
      </c>
      <c r="R59">
        <v>58</v>
      </c>
      <c r="S59" s="51">
        <v>1023</v>
      </c>
      <c r="T59">
        <v>97</v>
      </c>
      <c r="U59">
        <v>24</v>
      </c>
      <c r="V59" s="51">
        <v>1202</v>
      </c>
    </row>
    <row r="60" spans="1:22">
      <c r="A60" s="32" t="s">
        <v>1721</v>
      </c>
      <c r="B60" s="32" t="s">
        <v>1433</v>
      </c>
      <c r="C60" s="32" t="s">
        <v>975</v>
      </c>
      <c r="D60" s="33">
        <v>0</v>
      </c>
      <c r="E60" s="33">
        <v>142</v>
      </c>
      <c r="F60" s="33">
        <v>4143</v>
      </c>
      <c r="G60" s="33">
        <v>312</v>
      </c>
      <c r="H60" s="33">
        <v>42</v>
      </c>
      <c r="I60" s="33">
        <v>4639</v>
      </c>
      <c r="K60" t="b">
        <f>QHPSelections2016[[#This Row],[County Name]]=P60</f>
        <v>1</v>
      </c>
      <c r="L60" t="b">
        <f>QHPSelections2016[[#This Row],[Silver]]=S60</f>
        <v>1</v>
      </c>
      <c r="N60">
        <v>1055</v>
      </c>
      <c r="O60" t="s">
        <v>1433</v>
      </c>
      <c r="P60" t="s">
        <v>975</v>
      </c>
      <c r="Q60">
        <v>0</v>
      </c>
      <c r="R60">
        <v>142</v>
      </c>
      <c r="S60" s="51">
        <v>4143</v>
      </c>
      <c r="T60">
        <v>312</v>
      </c>
      <c r="U60">
        <v>42</v>
      </c>
      <c r="V60" s="51">
        <v>4639</v>
      </c>
    </row>
    <row r="61" spans="1:22">
      <c r="A61" s="32" t="s">
        <v>1722</v>
      </c>
      <c r="B61" s="32" t="s">
        <v>1433</v>
      </c>
      <c r="C61" s="32" t="s">
        <v>958</v>
      </c>
      <c r="D61" s="33" t="s">
        <v>1639</v>
      </c>
      <c r="E61" s="33">
        <v>38</v>
      </c>
      <c r="F61" s="33">
        <v>485</v>
      </c>
      <c r="G61" s="33">
        <v>47</v>
      </c>
      <c r="H61" s="33" t="s">
        <v>1639</v>
      </c>
      <c r="I61" s="33">
        <v>577</v>
      </c>
      <c r="K61" t="b">
        <f>QHPSelections2016[[#This Row],[County Name]]=P61</f>
        <v>1</v>
      </c>
      <c r="L61" t="b">
        <f>QHPSelections2016[[#This Row],[Silver]]=S61</f>
        <v>1</v>
      </c>
      <c r="N61">
        <v>1057</v>
      </c>
      <c r="O61" t="s">
        <v>1433</v>
      </c>
      <c r="P61" t="s">
        <v>958</v>
      </c>
      <c r="R61">
        <v>38</v>
      </c>
      <c r="S61">
        <v>485</v>
      </c>
      <c r="T61">
        <v>47</v>
      </c>
      <c r="V61">
        <v>577</v>
      </c>
    </row>
    <row r="62" spans="1:22">
      <c r="A62" s="32" t="s">
        <v>1723</v>
      </c>
      <c r="B62" s="32" t="s">
        <v>1433</v>
      </c>
      <c r="C62" s="32" t="s">
        <v>919</v>
      </c>
      <c r="D62" s="33">
        <v>0</v>
      </c>
      <c r="E62" s="33">
        <v>51</v>
      </c>
      <c r="F62" s="33">
        <v>906</v>
      </c>
      <c r="G62" s="33">
        <v>92</v>
      </c>
      <c r="H62" s="33">
        <v>11</v>
      </c>
      <c r="I62" s="33">
        <v>1060</v>
      </c>
      <c r="K62" t="b">
        <f>QHPSelections2016[[#This Row],[County Name]]=P62</f>
        <v>1</v>
      </c>
      <c r="L62" t="b">
        <f>QHPSelections2016[[#This Row],[Silver]]=S62</f>
        <v>1</v>
      </c>
      <c r="N62">
        <v>1059</v>
      </c>
      <c r="O62" t="s">
        <v>1433</v>
      </c>
      <c r="P62" t="s">
        <v>919</v>
      </c>
      <c r="Q62">
        <v>0</v>
      </c>
      <c r="R62">
        <v>51</v>
      </c>
      <c r="S62">
        <v>906</v>
      </c>
      <c r="T62">
        <v>92</v>
      </c>
      <c r="U62">
        <v>11</v>
      </c>
      <c r="V62" s="51">
        <v>1060</v>
      </c>
    </row>
    <row r="63" spans="1:22">
      <c r="A63" s="32" t="s">
        <v>1724</v>
      </c>
      <c r="B63" s="32" t="s">
        <v>1433</v>
      </c>
      <c r="C63" s="32" t="s">
        <v>987</v>
      </c>
      <c r="D63" s="33">
        <v>0</v>
      </c>
      <c r="E63" s="33">
        <v>31</v>
      </c>
      <c r="F63" s="33">
        <v>836</v>
      </c>
      <c r="G63" s="33">
        <v>89</v>
      </c>
      <c r="H63" s="33">
        <v>17</v>
      </c>
      <c r="I63" s="33">
        <v>973</v>
      </c>
      <c r="K63" t="b">
        <f>QHPSelections2016[[#This Row],[County Name]]=P63</f>
        <v>1</v>
      </c>
      <c r="L63" t="b">
        <f>QHPSelections2016[[#This Row],[Silver]]=S63</f>
        <v>1</v>
      </c>
      <c r="N63">
        <v>1061</v>
      </c>
      <c r="O63" t="s">
        <v>1433</v>
      </c>
      <c r="P63" t="s">
        <v>987</v>
      </c>
      <c r="Q63">
        <v>0</v>
      </c>
      <c r="R63">
        <v>31</v>
      </c>
      <c r="S63">
        <v>836</v>
      </c>
      <c r="T63">
        <v>89</v>
      </c>
      <c r="U63">
        <v>17</v>
      </c>
      <c r="V63">
        <v>973</v>
      </c>
    </row>
    <row r="64" spans="1:22">
      <c r="A64" s="32" t="s">
        <v>1725</v>
      </c>
      <c r="B64" s="32" t="s">
        <v>1433</v>
      </c>
      <c r="C64" s="32" t="s">
        <v>937</v>
      </c>
      <c r="D64" s="33">
        <v>0</v>
      </c>
      <c r="E64" s="33" t="s">
        <v>1639</v>
      </c>
      <c r="F64" s="33">
        <v>281</v>
      </c>
      <c r="G64" s="33">
        <v>29</v>
      </c>
      <c r="H64" s="33" t="s">
        <v>1639</v>
      </c>
      <c r="I64" s="33">
        <v>323</v>
      </c>
      <c r="K64" t="b">
        <f>QHPSelections2016[[#This Row],[County Name]]=P64</f>
        <v>1</v>
      </c>
      <c r="L64" t="b">
        <f>QHPSelections2016[[#This Row],[Silver]]=S64</f>
        <v>1</v>
      </c>
      <c r="N64">
        <v>1063</v>
      </c>
      <c r="O64" t="s">
        <v>1433</v>
      </c>
      <c r="P64" t="s">
        <v>937</v>
      </c>
      <c r="Q64">
        <v>0</v>
      </c>
      <c r="S64">
        <v>281</v>
      </c>
      <c r="T64">
        <v>29</v>
      </c>
      <c r="V64">
        <v>323</v>
      </c>
    </row>
    <row r="65" spans="1:22">
      <c r="A65" s="32" t="s">
        <v>1726</v>
      </c>
      <c r="B65" s="32" t="s">
        <v>1433</v>
      </c>
      <c r="C65" s="32" t="s">
        <v>998</v>
      </c>
      <c r="D65" s="33" t="s">
        <v>1639</v>
      </c>
      <c r="E65" s="33">
        <v>12</v>
      </c>
      <c r="F65" s="33">
        <v>513</v>
      </c>
      <c r="G65" s="33">
        <v>61</v>
      </c>
      <c r="H65" s="33" t="s">
        <v>1639</v>
      </c>
      <c r="I65" s="33">
        <v>593</v>
      </c>
      <c r="K65" t="b">
        <f>QHPSelections2016[[#This Row],[County Name]]=P65</f>
        <v>1</v>
      </c>
      <c r="L65" t="b">
        <f>QHPSelections2016[[#This Row],[Silver]]=S65</f>
        <v>1</v>
      </c>
      <c r="N65">
        <v>1065</v>
      </c>
      <c r="O65" t="s">
        <v>1433</v>
      </c>
      <c r="P65" t="s">
        <v>998</v>
      </c>
      <c r="R65">
        <v>12</v>
      </c>
      <c r="S65">
        <v>513</v>
      </c>
      <c r="T65">
        <v>61</v>
      </c>
      <c r="V65">
        <v>593</v>
      </c>
    </row>
    <row r="66" spans="1:22">
      <c r="A66" s="32" t="s">
        <v>1727</v>
      </c>
      <c r="B66" s="32" t="s">
        <v>1433</v>
      </c>
      <c r="C66" s="32" t="s">
        <v>1004</v>
      </c>
      <c r="D66" s="33">
        <v>0</v>
      </c>
      <c r="E66" s="33">
        <v>18</v>
      </c>
      <c r="F66" s="33">
        <v>635</v>
      </c>
      <c r="G66" s="33">
        <v>51</v>
      </c>
      <c r="H66" s="33">
        <v>18</v>
      </c>
      <c r="I66" s="33">
        <v>722</v>
      </c>
      <c r="K66" t="b">
        <f>QHPSelections2016[[#This Row],[County Name]]=P66</f>
        <v>1</v>
      </c>
      <c r="L66" t="b">
        <f>QHPSelections2016[[#This Row],[Silver]]=S66</f>
        <v>1</v>
      </c>
      <c r="N66">
        <v>1067</v>
      </c>
      <c r="O66" t="s">
        <v>1433</v>
      </c>
      <c r="P66" t="s">
        <v>1004</v>
      </c>
      <c r="Q66">
        <v>0</v>
      </c>
      <c r="R66">
        <v>18</v>
      </c>
      <c r="S66">
        <v>635</v>
      </c>
      <c r="T66">
        <v>51</v>
      </c>
      <c r="U66">
        <v>18</v>
      </c>
      <c r="V66">
        <v>722</v>
      </c>
    </row>
    <row r="67" spans="1:22">
      <c r="A67" s="32" t="s">
        <v>1728</v>
      </c>
      <c r="B67" s="32" t="s">
        <v>1433</v>
      </c>
      <c r="C67" s="32" t="s">
        <v>1009</v>
      </c>
      <c r="D67" s="33">
        <v>0</v>
      </c>
      <c r="E67" s="33">
        <v>153</v>
      </c>
      <c r="F67" s="33">
        <v>3448</v>
      </c>
      <c r="G67" s="33">
        <v>374</v>
      </c>
      <c r="H67" s="33">
        <v>83</v>
      </c>
      <c r="I67" s="33">
        <v>4058</v>
      </c>
      <c r="K67" t="b">
        <f>QHPSelections2016[[#This Row],[County Name]]=P67</f>
        <v>1</v>
      </c>
      <c r="L67" t="b">
        <f>QHPSelections2016[[#This Row],[Silver]]=S67</f>
        <v>1</v>
      </c>
      <c r="N67">
        <v>1069</v>
      </c>
      <c r="O67" t="s">
        <v>1433</v>
      </c>
      <c r="P67" t="s">
        <v>1009</v>
      </c>
      <c r="Q67">
        <v>0</v>
      </c>
      <c r="R67">
        <v>153</v>
      </c>
      <c r="S67" s="51">
        <v>3448</v>
      </c>
      <c r="T67">
        <v>374</v>
      </c>
      <c r="U67">
        <v>83</v>
      </c>
      <c r="V67" s="51">
        <v>4058</v>
      </c>
    </row>
    <row r="68" spans="1:22">
      <c r="A68" s="32" t="s">
        <v>1729</v>
      </c>
      <c r="B68" s="32" t="s">
        <v>1433</v>
      </c>
      <c r="C68" s="32" t="s">
        <v>984</v>
      </c>
      <c r="D68" s="33">
        <v>0</v>
      </c>
      <c r="E68" s="33">
        <v>75</v>
      </c>
      <c r="F68" s="33">
        <v>1799</v>
      </c>
      <c r="G68" s="33">
        <v>173</v>
      </c>
      <c r="H68" s="33">
        <v>30</v>
      </c>
      <c r="I68" s="33">
        <v>2077</v>
      </c>
      <c r="K68" t="b">
        <f>QHPSelections2016[[#This Row],[County Name]]=P68</f>
        <v>1</v>
      </c>
      <c r="L68" t="b">
        <f>QHPSelections2016[[#This Row],[Silver]]=S68</f>
        <v>1</v>
      </c>
      <c r="N68">
        <v>1071</v>
      </c>
      <c r="O68" t="s">
        <v>1433</v>
      </c>
      <c r="P68" t="s">
        <v>984</v>
      </c>
      <c r="Q68">
        <v>0</v>
      </c>
      <c r="R68">
        <v>75</v>
      </c>
      <c r="S68" s="51">
        <v>1799</v>
      </c>
      <c r="T68">
        <v>173</v>
      </c>
      <c r="U68">
        <v>30</v>
      </c>
      <c r="V68" s="51">
        <v>2077</v>
      </c>
    </row>
    <row r="69" spans="1:22">
      <c r="A69" s="32" t="s">
        <v>1730</v>
      </c>
      <c r="B69" s="32" t="s">
        <v>1433</v>
      </c>
      <c r="C69" s="32" t="s">
        <v>993</v>
      </c>
      <c r="D69" s="33">
        <v>263</v>
      </c>
      <c r="E69" s="33">
        <v>1183</v>
      </c>
      <c r="F69" s="33">
        <v>21656</v>
      </c>
      <c r="G69" s="33">
        <v>2877</v>
      </c>
      <c r="H69" s="33">
        <v>670</v>
      </c>
      <c r="I69" s="33">
        <v>26649</v>
      </c>
      <c r="K69" t="b">
        <f>QHPSelections2016[[#This Row],[County Name]]=P69</f>
        <v>1</v>
      </c>
      <c r="L69" t="b">
        <f>QHPSelections2016[[#This Row],[Silver]]=S69</f>
        <v>1</v>
      </c>
      <c r="N69">
        <v>1073</v>
      </c>
      <c r="O69" t="s">
        <v>1433</v>
      </c>
      <c r="P69" t="s">
        <v>993</v>
      </c>
      <c r="Q69">
        <v>263</v>
      </c>
      <c r="R69" s="51">
        <v>1183</v>
      </c>
      <c r="S69" s="51">
        <v>21656</v>
      </c>
      <c r="T69" s="51">
        <v>2877</v>
      </c>
      <c r="U69">
        <v>670</v>
      </c>
      <c r="V69" s="51">
        <v>26649</v>
      </c>
    </row>
    <row r="70" spans="1:22">
      <c r="A70" s="32" t="s">
        <v>1731</v>
      </c>
      <c r="B70" s="32" t="s">
        <v>1433</v>
      </c>
      <c r="C70" s="32" t="s">
        <v>1020</v>
      </c>
      <c r="D70" s="33" t="s">
        <v>1639</v>
      </c>
      <c r="E70" s="33">
        <v>27</v>
      </c>
      <c r="F70" s="33">
        <v>454</v>
      </c>
      <c r="G70" s="33">
        <v>18</v>
      </c>
      <c r="H70" s="33" t="s">
        <v>1639</v>
      </c>
      <c r="I70" s="33">
        <v>507</v>
      </c>
      <c r="K70" t="b">
        <f>QHPSelections2016[[#This Row],[County Name]]=P70</f>
        <v>1</v>
      </c>
      <c r="L70" t="b">
        <f>QHPSelections2016[[#This Row],[Silver]]=S70</f>
        <v>1</v>
      </c>
      <c r="N70">
        <v>1075</v>
      </c>
      <c r="O70" t="s">
        <v>1433</v>
      </c>
      <c r="P70" t="s">
        <v>1020</v>
      </c>
      <c r="R70">
        <v>27</v>
      </c>
      <c r="S70">
        <v>454</v>
      </c>
      <c r="T70">
        <v>18</v>
      </c>
      <c r="V70">
        <v>507</v>
      </c>
    </row>
    <row r="71" spans="1:22">
      <c r="A71" s="32" t="s">
        <v>1732</v>
      </c>
      <c r="B71" s="32" t="s">
        <v>1433</v>
      </c>
      <c r="C71" s="32" t="s">
        <v>1025</v>
      </c>
      <c r="D71" s="33">
        <v>0</v>
      </c>
      <c r="E71" s="33">
        <v>189</v>
      </c>
      <c r="F71" s="33">
        <v>3484</v>
      </c>
      <c r="G71" s="33">
        <v>275</v>
      </c>
      <c r="H71" s="33">
        <v>58</v>
      </c>
      <c r="I71" s="33">
        <v>4006</v>
      </c>
      <c r="K71" t="b">
        <f>QHPSelections2016[[#This Row],[County Name]]=P71</f>
        <v>1</v>
      </c>
      <c r="L71" t="b">
        <f>QHPSelections2016[[#This Row],[Silver]]=S71</f>
        <v>1</v>
      </c>
      <c r="N71">
        <v>1077</v>
      </c>
      <c r="O71" t="s">
        <v>1433</v>
      </c>
      <c r="P71" t="s">
        <v>1025</v>
      </c>
      <c r="Q71">
        <v>0</v>
      </c>
      <c r="R71">
        <v>189</v>
      </c>
      <c r="S71" s="51">
        <v>3484</v>
      </c>
      <c r="T71">
        <v>275</v>
      </c>
      <c r="U71">
        <v>58</v>
      </c>
      <c r="V71" s="51">
        <v>4006</v>
      </c>
    </row>
    <row r="72" spans="1:22">
      <c r="A72" s="32" t="s">
        <v>1733</v>
      </c>
      <c r="B72" s="32" t="s">
        <v>1433</v>
      </c>
      <c r="C72" s="32" t="s">
        <v>1031</v>
      </c>
      <c r="D72" s="33">
        <v>0</v>
      </c>
      <c r="E72" s="33">
        <v>72</v>
      </c>
      <c r="F72" s="33">
        <v>1265</v>
      </c>
      <c r="G72" s="33">
        <v>120</v>
      </c>
      <c r="H72" s="33">
        <v>11</v>
      </c>
      <c r="I72" s="33">
        <v>1468</v>
      </c>
      <c r="K72" t="b">
        <f>QHPSelections2016[[#This Row],[County Name]]=P72</f>
        <v>1</v>
      </c>
      <c r="L72" t="b">
        <f>QHPSelections2016[[#This Row],[Silver]]=S72</f>
        <v>1</v>
      </c>
      <c r="N72">
        <v>1079</v>
      </c>
      <c r="O72" t="s">
        <v>1433</v>
      </c>
      <c r="P72" t="s">
        <v>1031</v>
      </c>
      <c r="Q72">
        <v>0</v>
      </c>
      <c r="R72">
        <v>72</v>
      </c>
      <c r="S72" s="51">
        <v>1265</v>
      </c>
      <c r="T72">
        <v>120</v>
      </c>
      <c r="U72">
        <v>11</v>
      </c>
      <c r="V72" s="51">
        <v>1468</v>
      </c>
    </row>
    <row r="73" spans="1:22">
      <c r="A73" s="32" t="s">
        <v>1734</v>
      </c>
      <c r="B73" s="32" t="s">
        <v>1433</v>
      </c>
      <c r="C73" s="32" t="s">
        <v>1010</v>
      </c>
      <c r="D73" s="33">
        <v>0</v>
      </c>
      <c r="E73" s="33">
        <v>220</v>
      </c>
      <c r="F73" s="33">
        <v>4591</v>
      </c>
      <c r="G73" s="33">
        <v>536</v>
      </c>
      <c r="H73" s="33">
        <v>108</v>
      </c>
      <c r="I73" s="33">
        <v>5455</v>
      </c>
      <c r="K73" t="b">
        <f>QHPSelections2016[[#This Row],[County Name]]=P73</f>
        <v>1</v>
      </c>
      <c r="L73" t="b">
        <f>QHPSelections2016[[#This Row],[Silver]]=S73</f>
        <v>1</v>
      </c>
      <c r="N73">
        <v>1081</v>
      </c>
      <c r="O73" t="s">
        <v>1433</v>
      </c>
      <c r="P73" t="s">
        <v>1010</v>
      </c>
      <c r="Q73">
        <v>0</v>
      </c>
      <c r="R73">
        <v>220</v>
      </c>
      <c r="S73" s="51">
        <v>4591</v>
      </c>
      <c r="T73">
        <v>536</v>
      </c>
      <c r="U73">
        <v>108</v>
      </c>
      <c r="V73" s="51">
        <v>5455</v>
      </c>
    </row>
    <row r="74" spans="1:22">
      <c r="A74" s="32" t="s">
        <v>1735</v>
      </c>
      <c r="B74" s="32" t="s">
        <v>1433</v>
      </c>
      <c r="C74" s="32" t="s">
        <v>1043</v>
      </c>
      <c r="D74" s="33">
        <v>49</v>
      </c>
      <c r="E74" s="33">
        <v>136</v>
      </c>
      <c r="F74" s="33">
        <v>2728</v>
      </c>
      <c r="G74" s="33">
        <v>291</v>
      </c>
      <c r="H74" s="33">
        <v>55</v>
      </c>
      <c r="I74" s="33">
        <v>3259</v>
      </c>
      <c r="K74" t="b">
        <f>QHPSelections2016[[#This Row],[County Name]]=P74</f>
        <v>1</v>
      </c>
      <c r="L74" t="b">
        <f>QHPSelections2016[[#This Row],[Silver]]=S74</f>
        <v>1</v>
      </c>
      <c r="N74">
        <v>1083</v>
      </c>
      <c r="O74" t="s">
        <v>1433</v>
      </c>
      <c r="P74" t="s">
        <v>1043</v>
      </c>
      <c r="Q74">
        <v>49</v>
      </c>
      <c r="R74">
        <v>136</v>
      </c>
      <c r="S74" s="51">
        <v>2728</v>
      </c>
      <c r="T74">
        <v>291</v>
      </c>
      <c r="U74">
        <v>55</v>
      </c>
      <c r="V74" s="51">
        <v>3259</v>
      </c>
    </row>
    <row r="75" spans="1:22">
      <c r="A75" s="32" t="s">
        <v>1736</v>
      </c>
      <c r="B75" s="32" t="s">
        <v>1433</v>
      </c>
      <c r="C75" s="32" t="s">
        <v>1049</v>
      </c>
      <c r="D75" s="33" t="s">
        <v>1639</v>
      </c>
      <c r="E75" s="33">
        <v>16</v>
      </c>
      <c r="F75" s="33">
        <v>363</v>
      </c>
      <c r="G75" s="33">
        <v>28</v>
      </c>
      <c r="H75" s="33" t="s">
        <v>1639</v>
      </c>
      <c r="I75" s="33">
        <v>415</v>
      </c>
      <c r="K75" t="b">
        <f>QHPSelections2016[[#This Row],[County Name]]=P75</f>
        <v>1</v>
      </c>
      <c r="L75" t="b">
        <f>QHPSelections2016[[#This Row],[Silver]]=S75</f>
        <v>1</v>
      </c>
      <c r="N75">
        <v>1085</v>
      </c>
      <c r="O75" t="s">
        <v>1433</v>
      </c>
      <c r="P75" t="s">
        <v>1049</v>
      </c>
      <c r="R75">
        <v>16</v>
      </c>
      <c r="S75">
        <v>363</v>
      </c>
      <c r="T75">
        <v>28</v>
      </c>
      <c r="V75">
        <v>415</v>
      </c>
    </row>
    <row r="76" spans="1:22">
      <c r="A76" s="32" t="s">
        <v>1737</v>
      </c>
      <c r="B76" s="32" t="s">
        <v>1433</v>
      </c>
      <c r="C76" s="32" t="s">
        <v>1054</v>
      </c>
      <c r="D76" s="33">
        <v>0</v>
      </c>
      <c r="E76" s="33">
        <v>17</v>
      </c>
      <c r="F76" s="33">
        <v>602</v>
      </c>
      <c r="G76" s="33">
        <v>72</v>
      </c>
      <c r="H76" s="33">
        <v>18</v>
      </c>
      <c r="I76" s="33">
        <v>709</v>
      </c>
      <c r="K76" t="b">
        <f>QHPSelections2016[[#This Row],[County Name]]=P76</f>
        <v>1</v>
      </c>
      <c r="L76" t="b">
        <f>QHPSelections2016[[#This Row],[Silver]]=S76</f>
        <v>1</v>
      </c>
      <c r="N76">
        <v>1087</v>
      </c>
      <c r="O76" t="s">
        <v>1433</v>
      </c>
      <c r="P76" t="s">
        <v>1054</v>
      </c>
      <c r="Q76">
        <v>0</v>
      </c>
      <c r="R76">
        <v>17</v>
      </c>
      <c r="S76">
        <v>602</v>
      </c>
      <c r="T76">
        <v>72</v>
      </c>
      <c r="U76">
        <v>18</v>
      </c>
      <c r="V76">
        <v>709</v>
      </c>
    </row>
    <row r="77" spans="1:22">
      <c r="A77" s="32" t="s">
        <v>1738</v>
      </c>
      <c r="B77" s="32" t="s">
        <v>1433</v>
      </c>
      <c r="C77" s="32" t="s">
        <v>1029</v>
      </c>
      <c r="D77" s="33">
        <v>245</v>
      </c>
      <c r="E77" s="33">
        <v>593</v>
      </c>
      <c r="F77" s="33">
        <v>12758</v>
      </c>
      <c r="G77" s="33">
        <v>1332</v>
      </c>
      <c r="H77" s="33">
        <v>430</v>
      </c>
      <c r="I77" s="33">
        <v>15358</v>
      </c>
      <c r="K77" t="b">
        <f>QHPSelections2016[[#This Row],[County Name]]=P77</f>
        <v>1</v>
      </c>
      <c r="L77" t="b">
        <f>QHPSelections2016[[#This Row],[Silver]]=S77</f>
        <v>1</v>
      </c>
      <c r="N77">
        <v>1089</v>
      </c>
      <c r="O77" t="s">
        <v>1433</v>
      </c>
      <c r="P77" t="s">
        <v>1029</v>
      </c>
      <c r="Q77">
        <v>245</v>
      </c>
      <c r="R77">
        <v>593</v>
      </c>
      <c r="S77" s="51">
        <v>12758</v>
      </c>
      <c r="T77" s="51">
        <v>1332</v>
      </c>
      <c r="U77">
        <v>430</v>
      </c>
      <c r="V77" s="51">
        <v>15358</v>
      </c>
    </row>
    <row r="78" spans="1:22">
      <c r="A78" s="32" t="s">
        <v>1739</v>
      </c>
      <c r="B78" s="32" t="s">
        <v>1433</v>
      </c>
      <c r="C78" s="32" t="s">
        <v>1060</v>
      </c>
      <c r="D78" s="33">
        <v>0</v>
      </c>
      <c r="E78" s="33">
        <v>31</v>
      </c>
      <c r="F78" s="33">
        <v>670</v>
      </c>
      <c r="G78" s="33">
        <v>68</v>
      </c>
      <c r="H78" s="33">
        <v>15</v>
      </c>
      <c r="I78" s="33">
        <v>784</v>
      </c>
      <c r="K78" t="b">
        <f>QHPSelections2016[[#This Row],[County Name]]=P78</f>
        <v>1</v>
      </c>
      <c r="L78" t="b">
        <f>QHPSelections2016[[#This Row],[Silver]]=S78</f>
        <v>1</v>
      </c>
      <c r="N78">
        <v>1091</v>
      </c>
      <c r="O78" t="s">
        <v>1433</v>
      </c>
      <c r="P78" t="s">
        <v>1060</v>
      </c>
      <c r="Q78">
        <v>0</v>
      </c>
      <c r="R78">
        <v>31</v>
      </c>
      <c r="S78">
        <v>670</v>
      </c>
      <c r="T78">
        <v>68</v>
      </c>
      <c r="U78">
        <v>15</v>
      </c>
      <c r="V78">
        <v>784</v>
      </c>
    </row>
    <row r="79" spans="1:22">
      <c r="A79" s="32" t="s">
        <v>1740</v>
      </c>
      <c r="B79" s="32" t="s">
        <v>1433</v>
      </c>
      <c r="C79" s="32" t="s">
        <v>1038</v>
      </c>
      <c r="D79" s="33">
        <v>0</v>
      </c>
      <c r="E79" s="33">
        <v>30</v>
      </c>
      <c r="F79" s="33">
        <v>1038</v>
      </c>
      <c r="G79" s="33">
        <v>72</v>
      </c>
      <c r="H79" s="33">
        <v>12</v>
      </c>
      <c r="I79" s="33">
        <v>1152</v>
      </c>
      <c r="K79" t="b">
        <f>QHPSelections2016[[#This Row],[County Name]]=P79</f>
        <v>1</v>
      </c>
      <c r="L79" t="b">
        <f>QHPSelections2016[[#This Row],[Silver]]=S79</f>
        <v>1</v>
      </c>
      <c r="N79">
        <v>1093</v>
      </c>
      <c r="O79" t="s">
        <v>1433</v>
      </c>
      <c r="P79" t="s">
        <v>1038</v>
      </c>
      <c r="Q79">
        <v>0</v>
      </c>
      <c r="R79">
        <v>30</v>
      </c>
      <c r="S79" s="51">
        <v>1038</v>
      </c>
      <c r="T79">
        <v>72</v>
      </c>
      <c r="U79">
        <v>12</v>
      </c>
      <c r="V79" s="51">
        <v>1152</v>
      </c>
    </row>
    <row r="80" spans="1:22">
      <c r="A80" s="32" t="s">
        <v>1741</v>
      </c>
      <c r="B80" s="32" t="s">
        <v>1433</v>
      </c>
      <c r="C80" s="32" t="s">
        <v>1068</v>
      </c>
      <c r="D80" s="33">
        <v>0</v>
      </c>
      <c r="E80" s="33">
        <v>139</v>
      </c>
      <c r="F80" s="33">
        <v>3355</v>
      </c>
      <c r="G80" s="33">
        <v>282</v>
      </c>
      <c r="H80" s="33">
        <v>42</v>
      </c>
      <c r="I80" s="33">
        <v>3818</v>
      </c>
      <c r="K80" t="b">
        <f>QHPSelections2016[[#This Row],[County Name]]=P80</f>
        <v>1</v>
      </c>
      <c r="L80" t="b">
        <f>QHPSelections2016[[#This Row],[Silver]]=S80</f>
        <v>1</v>
      </c>
      <c r="N80">
        <v>1095</v>
      </c>
      <c r="O80" t="s">
        <v>1433</v>
      </c>
      <c r="P80" t="s">
        <v>1068</v>
      </c>
      <c r="Q80">
        <v>0</v>
      </c>
      <c r="R80">
        <v>139</v>
      </c>
      <c r="S80" s="51">
        <v>3355</v>
      </c>
      <c r="T80">
        <v>282</v>
      </c>
      <c r="U80">
        <v>42</v>
      </c>
      <c r="V80" s="51">
        <v>3818</v>
      </c>
    </row>
    <row r="81" spans="1:22">
      <c r="A81" s="32" t="s">
        <v>1742</v>
      </c>
      <c r="B81" s="32" t="s">
        <v>1433</v>
      </c>
      <c r="C81" s="32" t="s">
        <v>1076</v>
      </c>
      <c r="D81" s="33">
        <v>0</v>
      </c>
      <c r="E81" s="33">
        <v>1013</v>
      </c>
      <c r="F81" s="33">
        <v>16554</v>
      </c>
      <c r="G81" s="33">
        <v>1394</v>
      </c>
      <c r="H81" s="33">
        <v>352</v>
      </c>
      <c r="I81" s="33">
        <v>19313</v>
      </c>
      <c r="K81" t="b">
        <f>QHPSelections2016[[#This Row],[County Name]]=P81</f>
        <v>1</v>
      </c>
      <c r="L81" t="b">
        <f>QHPSelections2016[[#This Row],[Silver]]=S81</f>
        <v>1</v>
      </c>
      <c r="N81">
        <v>1097</v>
      </c>
      <c r="O81" t="s">
        <v>1433</v>
      </c>
      <c r="P81" t="s">
        <v>1076</v>
      </c>
      <c r="Q81">
        <v>0</v>
      </c>
      <c r="R81" s="51">
        <v>1013</v>
      </c>
      <c r="S81" s="51">
        <v>16554</v>
      </c>
      <c r="T81" s="51">
        <v>1394</v>
      </c>
      <c r="U81">
        <v>352</v>
      </c>
      <c r="V81" s="51">
        <v>19313</v>
      </c>
    </row>
    <row r="82" spans="1:22">
      <c r="A82" s="32" t="s">
        <v>1743</v>
      </c>
      <c r="B82" s="32" t="s">
        <v>1433</v>
      </c>
      <c r="C82" s="32" t="s">
        <v>1055</v>
      </c>
      <c r="D82" s="33">
        <v>0</v>
      </c>
      <c r="E82" s="33">
        <v>34</v>
      </c>
      <c r="F82" s="33">
        <v>934</v>
      </c>
      <c r="G82" s="33">
        <v>52</v>
      </c>
      <c r="H82" s="33">
        <v>15</v>
      </c>
      <c r="I82" s="33">
        <v>1035</v>
      </c>
      <c r="K82" t="b">
        <f>QHPSelections2016[[#This Row],[County Name]]=P82</f>
        <v>1</v>
      </c>
      <c r="L82" t="b">
        <f>QHPSelections2016[[#This Row],[Silver]]=S82</f>
        <v>1</v>
      </c>
      <c r="N82">
        <v>1099</v>
      </c>
      <c r="O82" t="s">
        <v>1433</v>
      </c>
      <c r="P82" t="s">
        <v>1055</v>
      </c>
      <c r="Q82">
        <v>0</v>
      </c>
      <c r="R82">
        <v>34</v>
      </c>
      <c r="S82">
        <v>934</v>
      </c>
      <c r="T82">
        <v>52</v>
      </c>
      <c r="U82">
        <v>15</v>
      </c>
      <c r="V82" s="51">
        <v>1035</v>
      </c>
    </row>
    <row r="83" spans="1:22">
      <c r="A83" s="32" t="s">
        <v>1744</v>
      </c>
      <c r="B83" s="32" t="s">
        <v>1433</v>
      </c>
      <c r="C83" s="32" t="s">
        <v>1079</v>
      </c>
      <c r="D83" s="33">
        <v>0</v>
      </c>
      <c r="E83" s="33">
        <v>322</v>
      </c>
      <c r="F83" s="33">
        <v>7361</v>
      </c>
      <c r="G83" s="33">
        <v>806</v>
      </c>
      <c r="H83" s="33">
        <v>227</v>
      </c>
      <c r="I83" s="33">
        <v>8716</v>
      </c>
      <c r="K83" t="b">
        <f>QHPSelections2016[[#This Row],[County Name]]=P83</f>
        <v>1</v>
      </c>
      <c r="L83" t="b">
        <f>QHPSelections2016[[#This Row],[Silver]]=S83</f>
        <v>1</v>
      </c>
      <c r="N83">
        <v>1101</v>
      </c>
      <c r="O83" t="s">
        <v>1433</v>
      </c>
      <c r="P83" t="s">
        <v>1079</v>
      </c>
      <c r="Q83">
        <v>0</v>
      </c>
      <c r="R83">
        <v>322</v>
      </c>
      <c r="S83" s="51">
        <v>7361</v>
      </c>
      <c r="T83">
        <v>806</v>
      </c>
      <c r="U83">
        <v>227</v>
      </c>
      <c r="V83" s="51">
        <v>8716</v>
      </c>
    </row>
    <row r="84" spans="1:22">
      <c r="A84" s="32" t="s">
        <v>1745</v>
      </c>
      <c r="B84" s="32" t="s">
        <v>1433</v>
      </c>
      <c r="C84" s="32" t="s">
        <v>1092</v>
      </c>
      <c r="D84" s="33">
        <v>85</v>
      </c>
      <c r="E84" s="33">
        <v>195</v>
      </c>
      <c r="F84" s="33">
        <v>4560</v>
      </c>
      <c r="G84" s="33">
        <v>356</v>
      </c>
      <c r="H84" s="33">
        <v>91</v>
      </c>
      <c r="I84" s="33">
        <v>5287</v>
      </c>
      <c r="K84" t="b">
        <f>QHPSelections2016[[#This Row],[County Name]]=P84</f>
        <v>1</v>
      </c>
      <c r="L84" t="b">
        <f>QHPSelections2016[[#This Row],[Silver]]=S84</f>
        <v>1</v>
      </c>
      <c r="N84">
        <v>1103</v>
      </c>
      <c r="O84" t="s">
        <v>1433</v>
      </c>
      <c r="P84" t="s">
        <v>1092</v>
      </c>
      <c r="Q84">
        <v>85</v>
      </c>
      <c r="R84">
        <v>195</v>
      </c>
      <c r="S84" s="51">
        <v>4560</v>
      </c>
      <c r="T84">
        <v>356</v>
      </c>
      <c r="U84">
        <v>91</v>
      </c>
      <c r="V84" s="51">
        <v>5287</v>
      </c>
    </row>
    <row r="85" spans="1:22">
      <c r="A85" s="32" t="s">
        <v>1746</v>
      </c>
      <c r="B85" s="32" t="s">
        <v>1433</v>
      </c>
      <c r="C85" s="32" t="s">
        <v>1097</v>
      </c>
      <c r="D85" s="33">
        <v>0</v>
      </c>
      <c r="E85" s="33" t="s">
        <v>1639</v>
      </c>
      <c r="F85" s="33">
        <v>301</v>
      </c>
      <c r="G85" s="33">
        <v>26</v>
      </c>
      <c r="H85" s="33" t="s">
        <v>1639</v>
      </c>
      <c r="I85" s="33">
        <v>344</v>
      </c>
      <c r="K85" t="b">
        <f>QHPSelections2016[[#This Row],[County Name]]=P85</f>
        <v>1</v>
      </c>
      <c r="L85" t="b">
        <f>QHPSelections2016[[#This Row],[Silver]]=S85</f>
        <v>1</v>
      </c>
      <c r="N85">
        <v>1105</v>
      </c>
      <c r="O85" t="s">
        <v>1433</v>
      </c>
      <c r="P85" t="s">
        <v>1097</v>
      </c>
      <c r="Q85">
        <v>0</v>
      </c>
      <c r="S85">
        <v>301</v>
      </c>
      <c r="T85">
        <v>26</v>
      </c>
      <c r="V85">
        <v>344</v>
      </c>
    </row>
    <row r="86" spans="1:22">
      <c r="A86" s="32" t="s">
        <v>1747</v>
      </c>
      <c r="B86" s="32" t="s">
        <v>1433</v>
      </c>
      <c r="C86" s="32" t="s">
        <v>1102</v>
      </c>
      <c r="D86" s="33" t="s">
        <v>1639</v>
      </c>
      <c r="E86" s="33">
        <v>29</v>
      </c>
      <c r="F86" s="33">
        <v>557</v>
      </c>
      <c r="G86" s="33">
        <v>41</v>
      </c>
      <c r="H86" s="33" t="s">
        <v>1639</v>
      </c>
      <c r="I86" s="33">
        <v>633</v>
      </c>
      <c r="K86" t="b">
        <f>QHPSelections2016[[#This Row],[County Name]]=P86</f>
        <v>1</v>
      </c>
      <c r="L86" t="b">
        <f>QHPSelections2016[[#This Row],[Silver]]=S86</f>
        <v>1</v>
      </c>
      <c r="N86">
        <v>1107</v>
      </c>
      <c r="O86" t="s">
        <v>1433</v>
      </c>
      <c r="P86" t="s">
        <v>1102</v>
      </c>
      <c r="R86">
        <v>29</v>
      </c>
      <c r="S86">
        <v>557</v>
      </c>
      <c r="T86">
        <v>41</v>
      </c>
      <c r="V86">
        <v>633</v>
      </c>
    </row>
    <row r="87" spans="1:22">
      <c r="A87" s="32" t="s">
        <v>1748</v>
      </c>
      <c r="B87" s="32" t="s">
        <v>1433</v>
      </c>
      <c r="C87" s="32" t="s">
        <v>1109</v>
      </c>
      <c r="D87" s="33">
        <v>0</v>
      </c>
      <c r="E87" s="33">
        <v>40</v>
      </c>
      <c r="F87" s="33">
        <v>863</v>
      </c>
      <c r="G87" s="33">
        <v>92</v>
      </c>
      <c r="H87" s="33">
        <v>19</v>
      </c>
      <c r="I87" s="33">
        <v>1014</v>
      </c>
      <c r="K87" t="b">
        <f>QHPSelections2016[[#This Row],[County Name]]=P87</f>
        <v>1</v>
      </c>
      <c r="L87" t="b">
        <f>QHPSelections2016[[#This Row],[Silver]]=S87</f>
        <v>1</v>
      </c>
      <c r="N87">
        <v>1109</v>
      </c>
      <c r="O87" t="s">
        <v>1433</v>
      </c>
      <c r="P87" t="s">
        <v>1109</v>
      </c>
      <c r="Q87">
        <v>0</v>
      </c>
      <c r="R87">
        <v>40</v>
      </c>
      <c r="S87">
        <v>863</v>
      </c>
      <c r="T87">
        <v>92</v>
      </c>
      <c r="U87">
        <v>19</v>
      </c>
      <c r="V87" s="51">
        <v>1014</v>
      </c>
    </row>
    <row r="88" spans="1:22">
      <c r="A88" s="32" t="s">
        <v>1749</v>
      </c>
      <c r="B88" s="32" t="s">
        <v>1433</v>
      </c>
      <c r="C88" s="32" t="s">
        <v>1115</v>
      </c>
      <c r="D88" s="33" t="s">
        <v>1639</v>
      </c>
      <c r="E88" s="33">
        <v>17</v>
      </c>
      <c r="F88" s="33">
        <v>769</v>
      </c>
      <c r="G88" s="33">
        <v>47</v>
      </c>
      <c r="H88" s="33" t="s">
        <v>1639</v>
      </c>
      <c r="I88" s="33">
        <v>843</v>
      </c>
      <c r="K88" t="b">
        <f>QHPSelections2016[[#This Row],[County Name]]=P88</f>
        <v>1</v>
      </c>
      <c r="L88" t="b">
        <f>QHPSelections2016[[#This Row],[Silver]]=S88</f>
        <v>1</v>
      </c>
      <c r="N88">
        <v>1111</v>
      </c>
      <c r="O88" t="s">
        <v>1433</v>
      </c>
      <c r="P88" t="s">
        <v>1115</v>
      </c>
      <c r="R88">
        <v>17</v>
      </c>
      <c r="S88">
        <v>769</v>
      </c>
      <c r="T88">
        <v>47</v>
      </c>
      <c r="V88">
        <v>843</v>
      </c>
    </row>
    <row r="89" spans="1:22">
      <c r="A89" s="32" t="s">
        <v>1750</v>
      </c>
      <c r="B89" s="32" t="s">
        <v>1433</v>
      </c>
      <c r="C89" s="32" t="s">
        <v>1119</v>
      </c>
      <c r="D89" s="33">
        <v>0</v>
      </c>
      <c r="E89" s="33">
        <v>88</v>
      </c>
      <c r="F89" s="33">
        <v>1696</v>
      </c>
      <c r="G89" s="33">
        <v>157</v>
      </c>
      <c r="H89" s="33">
        <v>38</v>
      </c>
      <c r="I89" s="33">
        <v>1979</v>
      </c>
      <c r="K89" t="b">
        <f>QHPSelections2016[[#This Row],[County Name]]=P89</f>
        <v>1</v>
      </c>
      <c r="L89" t="b">
        <f>QHPSelections2016[[#This Row],[Silver]]=S89</f>
        <v>1</v>
      </c>
      <c r="N89">
        <v>1113</v>
      </c>
      <c r="O89" t="s">
        <v>1433</v>
      </c>
      <c r="P89" t="s">
        <v>1119</v>
      </c>
      <c r="Q89">
        <v>0</v>
      </c>
      <c r="R89">
        <v>88</v>
      </c>
      <c r="S89" s="51">
        <v>1696</v>
      </c>
      <c r="T89">
        <v>157</v>
      </c>
      <c r="U89">
        <v>38</v>
      </c>
      <c r="V89" s="51">
        <v>1979</v>
      </c>
    </row>
    <row r="90" spans="1:22">
      <c r="A90" s="32" t="s">
        <v>1751</v>
      </c>
      <c r="B90" s="32" t="s">
        <v>1433</v>
      </c>
      <c r="C90" s="32" t="s">
        <v>1123</v>
      </c>
      <c r="D90" s="33">
        <v>31</v>
      </c>
      <c r="E90" s="33">
        <v>130</v>
      </c>
      <c r="F90" s="33">
        <v>2797</v>
      </c>
      <c r="G90" s="33">
        <v>306</v>
      </c>
      <c r="H90" s="33">
        <v>51</v>
      </c>
      <c r="I90" s="33">
        <v>3315</v>
      </c>
      <c r="K90" t="b">
        <f>QHPSelections2016[[#This Row],[County Name]]=P90</f>
        <v>0</v>
      </c>
      <c r="L90" t="b">
        <f>QHPSelections2016[[#This Row],[Silver]]=S90</f>
        <v>0</v>
      </c>
      <c r="N90">
        <v>1117</v>
      </c>
      <c r="O90" t="s">
        <v>1433</v>
      </c>
      <c r="P90" t="s">
        <v>1126</v>
      </c>
      <c r="Q90">
        <v>85</v>
      </c>
      <c r="R90">
        <v>488</v>
      </c>
      <c r="S90" s="51">
        <v>7088</v>
      </c>
      <c r="T90">
        <v>738</v>
      </c>
      <c r="U90">
        <v>157</v>
      </c>
      <c r="V90" s="51">
        <v>8556</v>
      </c>
    </row>
    <row r="91" spans="1:22">
      <c r="A91" s="32" t="s">
        <v>1752</v>
      </c>
      <c r="B91" s="32" t="s">
        <v>1433</v>
      </c>
      <c r="C91" s="32" t="s">
        <v>1126</v>
      </c>
      <c r="D91" s="33">
        <v>85</v>
      </c>
      <c r="E91" s="33">
        <v>488</v>
      </c>
      <c r="F91" s="33">
        <v>7088</v>
      </c>
      <c r="G91" s="33">
        <v>738</v>
      </c>
      <c r="H91" s="33">
        <v>157</v>
      </c>
      <c r="I91" s="33">
        <v>8556</v>
      </c>
      <c r="K91" t="b">
        <f>QHPSelections2016[[#This Row],[County Name]]=P91</f>
        <v>0</v>
      </c>
      <c r="L91" t="b">
        <f>QHPSelections2016[[#This Row],[Silver]]=S91</f>
        <v>0</v>
      </c>
      <c r="N91">
        <v>1115</v>
      </c>
      <c r="O91" t="s">
        <v>1433</v>
      </c>
      <c r="P91" t="s">
        <v>1123</v>
      </c>
      <c r="Q91">
        <v>31</v>
      </c>
      <c r="R91">
        <v>130</v>
      </c>
      <c r="S91" s="51">
        <v>2797</v>
      </c>
      <c r="T91">
        <v>306</v>
      </c>
      <c r="U91">
        <v>51</v>
      </c>
      <c r="V91" s="51">
        <v>3315</v>
      </c>
    </row>
    <row r="92" spans="1:22">
      <c r="A92" s="32" t="s">
        <v>1753</v>
      </c>
      <c r="B92" s="32" t="s">
        <v>1433</v>
      </c>
      <c r="C92" s="32" t="s">
        <v>1130</v>
      </c>
      <c r="D92" s="33">
        <v>0</v>
      </c>
      <c r="E92" s="33" t="s">
        <v>1639</v>
      </c>
      <c r="F92" s="33">
        <v>422</v>
      </c>
      <c r="G92" s="33">
        <v>36</v>
      </c>
      <c r="H92" s="33" t="s">
        <v>1639</v>
      </c>
      <c r="I92" s="33">
        <v>475</v>
      </c>
      <c r="K92" t="b">
        <f>QHPSelections2016[[#This Row],[County Name]]=P92</f>
        <v>1</v>
      </c>
      <c r="L92" t="b">
        <f>QHPSelections2016[[#This Row],[Silver]]=S92</f>
        <v>1</v>
      </c>
      <c r="N92">
        <v>1119</v>
      </c>
      <c r="O92" t="s">
        <v>1433</v>
      </c>
      <c r="P92" t="s">
        <v>1130</v>
      </c>
      <c r="Q92">
        <v>0</v>
      </c>
      <c r="S92">
        <v>422</v>
      </c>
      <c r="T92">
        <v>36</v>
      </c>
      <c r="V92">
        <v>475</v>
      </c>
    </row>
    <row r="93" spans="1:22">
      <c r="A93" s="32" t="s">
        <v>1754</v>
      </c>
      <c r="B93" s="32" t="s">
        <v>1433</v>
      </c>
      <c r="C93" s="32" t="s">
        <v>1136</v>
      </c>
      <c r="D93" s="33">
        <v>0</v>
      </c>
      <c r="E93" s="33">
        <v>105</v>
      </c>
      <c r="F93" s="33">
        <v>2206</v>
      </c>
      <c r="G93" s="33">
        <v>214</v>
      </c>
      <c r="H93" s="33">
        <v>46</v>
      </c>
      <c r="I93" s="33">
        <v>2571</v>
      </c>
      <c r="K93" t="b">
        <f>QHPSelections2016[[#This Row],[County Name]]=P93</f>
        <v>1</v>
      </c>
      <c r="L93" t="b">
        <f>QHPSelections2016[[#This Row],[Silver]]=S93</f>
        <v>1</v>
      </c>
      <c r="N93">
        <v>1121</v>
      </c>
      <c r="O93" t="s">
        <v>1433</v>
      </c>
      <c r="P93" t="s">
        <v>1136</v>
      </c>
      <c r="Q93">
        <v>0</v>
      </c>
      <c r="R93">
        <v>105</v>
      </c>
      <c r="S93" s="51">
        <v>2206</v>
      </c>
      <c r="T93">
        <v>214</v>
      </c>
      <c r="U93">
        <v>46</v>
      </c>
      <c r="V93" s="51">
        <v>2571</v>
      </c>
    </row>
    <row r="94" spans="1:22">
      <c r="A94" s="32" t="s">
        <v>1755</v>
      </c>
      <c r="B94" s="32" t="s">
        <v>1433</v>
      </c>
      <c r="C94" s="32" t="s">
        <v>1143</v>
      </c>
      <c r="D94" s="33">
        <v>0</v>
      </c>
      <c r="E94" s="33">
        <v>50</v>
      </c>
      <c r="F94" s="33">
        <v>1383</v>
      </c>
      <c r="G94" s="33">
        <v>134</v>
      </c>
      <c r="H94" s="33">
        <v>29</v>
      </c>
      <c r="I94" s="33">
        <v>1596</v>
      </c>
      <c r="K94" t="b">
        <f>QHPSelections2016[[#This Row],[County Name]]=P94</f>
        <v>1</v>
      </c>
      <c r="L94" t="b">
        <f>QHPSelections2016[[#This Row],[Silver]]=S94</f>
        <v>1</v>
      </c>
      <c r="N94">
        <v>1123</v>
      </c>
      <c r="O94" t="s">
        <v>1433</v>
      </c>
      <c r="P94" t="s">
        <v>1143</v>
      </c>
      <c r="Q94">
        <v>0</v>
      </c>
      <c r="R94">
        <v>50</v>
      </c>
      <c r="S94" s="51">
        <v>1383</v>
      </c>
      <c r="T94">
        <v>134</v>
      </c>
      <c r="U94">
        <v>29</v>
      </c>
      <c r="V94" s="51">
        <v>1596</v>
      </c>
    </row>
    <row r="95" spans="1:22">
      <c r="A95" s="32" t="s">
        <v>1756</v>
      </c>
      <c r="B95" s="32" t="s">
        <v>1433</v>
      </c>
      <c r="C95" s="32" t="s">
        <v>1148</v>
      </c>
      <c r="D95" s="33">
        <v>0</v>
      </c>
      <c r="E95" s="33">
        <v>314</v>
      </c>
      <c r="F95" s="33">
        <v>5647</v>
      </c>
      <c r="G95" s="33">
        <v>513</v>
      </c>
      <c r="H95" s="33">
        <v>131</v>
      </c>
      <c r="I95" s="33">
        <v>6605</v>
      </c>
      <c r="K95" t="b">
        <f>QHPSelections2016[[#This Row],[County Name]]=P95</f>
        <v>1</v>
      </c>
      <c r="L95" t="b">
        <f>QHPSelections2016[[#This Row],[Silver]]=S95</f>
        <v>1</v>
      </c>
      <c r="N95">
        <v>1125</v>
      </c>
      <c r="O95" t="s">
        <v>1433</v>
      </c>
      <c r="P95" t="s">
        <v>1148</v>
      </c>
      <c r="Q95">
        <v>0</v>
      </c>
      <c r="R95">
        <v>314</v>
      </c>
      <c r="S95" s="51">
        <v>5647</v>
      </c>
      <c r="T95">
        <v>513</v>
      </c>
      <c r="U95">
        <v>131</v>
      </c>
      <c r="V95" s="51">
        <v>6605</v>
      </c>
    </row>
    <row r="96" spans="1:22">
      <c r="A96" s="32" t="s">
        <v>1757</v>
      </c>
      <c r="B96" s="32" t="s">
        <v>1433</v>
      </c>
      <c r="C96" s="32" t="s">
        <v>1154</v>
      </c>
      <c r="D96" s="33">
        <v>0</v>
      </c>
      <c r="E96" s="33">
        <v>107</v>
      </c>
      <c r="F96" s="33">
        <v>2111</v>
      </c>
      <c r="G96" s="33">
        <v>163</v>
      </c>
      <c r="H96" s="33">
        <v>34</v>
      </c>
      <c r="I96" s="33">
        <v>2415</v>
      </c>
      <c r="K96" t="b">
        <f>QHPSelections2016[[#This Row],[County Name]]=P96</f>
        <v>1</v>
      </c>
      <c r="L96" t="b">
        <f>QHPSelections2016[[#This Row],[Silver]]=S96</f>
        <v>1</v>
      </c>
      <c r="N96">
        <v>1127</v>
      </c>
      <c r="O96" t="s">
        <v>1433</v>
      </c>
      <c r="P96" t="s">
        <v>1154</v>
      </c>
      <c r="Q96">
        <v>0</v>
      </c>
      <c r="R96">
        <v>107</v>
      </c>
      <c r="S96" s="51">
        <v>2111</v>
      </c>
      <c r="T96">
        <v>163</v>
      </c>
      <c r="U96">
        <v>34</v>
      </c>
      <c r="V96" s="51">
        <v>2415</v>
      </c>
    </row>
    <row r="97" spans="1:22">
      <c r="A97" s="32" t="s">
        <v>1758</v>
      </c>
      <c r="B97" s="32" t="s">
        <v>1433</v>
      </c>
      <c r="C97" s="32" t="s">
        <v>1160</v>
      </c>
      <c r="D97" s="33" t="s">
        <v>1639</v>
      </c>
      <c r="E97" s="33">
        <v>31</v>
      </c>
      <c r="F97" s="33">
        <v>548</v>
      </c>
      <c r="G97" s="33">
        <v>35</v>
      </c>
      <c r="H97" s="33" t="s">
        <v>1639</v>
      </c>
      <c r="I97" s="33">
        <v>620</v>
      </c>
      <c r="K97" t="b">
        <f>QHPSelections2016[[#This Row],[County Name]]=P97</f>
        <v>1</v>
      </c>
      <c r="L97" t="b">
        <f>QHPSelections2016[[#This Row],[Silver]]=S97</f>
        <v>1</v>
      </c>
      <c r="N97">
        <v>1129</v>
      </c>
      <c r="O97" t="s">
        <v>1433</v>
      </c>
      <c r="P97" t="s">
        <v>1160</v>
      </c>
      <c r="R97">
        <v>31</v>
      </c>
      <c r="S97">
        <v>548</v>
      </c>
      <c r="T97">
        <v>35</v>
      </c>
      <c r="V97">
        <v>620</v>
      </c>
    </row>
    <row r="98" spans="1:22">
      <c r="A98" s="32" t="s">
        <v>1759</v>
      </c>
      <c r="B98" s="32" t="s">
        <v>1433</v>
      </c>
      <c r="C98" s="32" t="s">
        <v>1166</v>
      </c>
      <c r="D98" s="33">
        <v>0</v>
      </c>
      <c r="E98" s="33">
        <v>11</v>
      </c>
      <c r="F98" s="33">
        <v>443</v>
      </c>
      <c r="G98" s="33">
        <v>33</v>
      </c>
      <c r="H98" s="33">
        <v>14</v>
      </c>
      <c r="I98" s="33">
        <v>501</v>
      </c>
      <c r="K98" t="b">
        <f>QHPSelections2016[[#This Row],[County Name]]=P98</f>
        <v>1</v>
      </c>
      <c r="L98" t="b">
        <f>QHPSelections2016[[#This Row],[Silver]]=S98</f>
        <v>1</v>
      </c>
      <c r="N98">
        <v>1131</v>
      </c>
      <c r="O98" t="s">
        <v>1433</v>
      </c>
      <c r="P98" t="s">
        <v>1166</v>
      </c>
      <c r="Q98">
        <v>0</v>
      </c>
      <c r="R98">
        <v>11</v>
      </c>
      <c r="S98">
        <v>443</v>
      </c>
      <c r="T98">
        <v>33</v>
      </c>
      <c r="U98">
        <v>14</v>
      </c>
      <c r="V98">
        <v>501</v>
      </c>
    </row>
    <row r="99" spans="1:22">
      <c r="A99" s="32" t="s">
        <v>1760</v>
      </c>
      <c r="B99" s="32" t="s">
        <v>1433</v>
      </c>
      <c r="C99" s="32" t="s">
        <v>1171</v>
      </c>
      <c r="D99" s="33">
        <v>0</v>
      </c>
      <c r="E99" s="33">
        <v>48</v>
      </c>
      <c r="F99" s="33">
        <v>913</v>
      </c>
      <c r="G99" s="33">
        <v>55</v>
      </c>
      <c r="H99" s="33">
        <v>11</v>
      </c>
      <c r="I99" s="33">
        <v>1027</v>
      </c>
      <c r="K99" t="b">
        <f>QHPSelections2016[[#This Row],[County Name]]=P99</f>
        <v>1</v>
      </c>
      <c r="L99" t="b">
        <f>QHPSelections2016[[#This Row],[Silver]]=S99</f>
        <v>1</v>
      </c>
      <c r="N99">
        <v>1133</v>
      </c>
      <c r="O99" t="s">
        <v>1433</v>
      </c>
      <c r="P99" t="s">
        <v>1171</v>
      </c>
      <c r="Q99">
        <v>0</v>
      </c>
      <c r="R99">
        <v>48</v>
      </c>
      <c r="S99">
        <v>913</v>
      </c>
      <c r="T99">
        <v>55</v>
      </c>
      <c r="U99">
        <v>11</v>
      </c>
      <c r="V99" s="51">
        <v>1027</v>
      </c>
    </row>
    <row r="100" spans="1:22">
      <c r="A100" s="32" t="s">
        <v>1761</v>
      </c>
      <c r="B100" s="32" t="s">
        <v>1762</v>
      </c>
      <c r="C100" s="32" t="s">
        <v>1763</v>
      </c>
      <c r="D100" s="33">
        <v>0</v>
      </c>
      <c r="E100" s="33" t="s">
        <v>1639</v>
      </c>
      <c r="F100" s="33">
        <v>293</v>
      </c>
      <c r="G100" s="33">
        <v>105</v>
      </c>
      <c r="H100" s="33" t="s">
        <v>1639</v>
      </c>
      <c r="I100" s="33">
        <v>465</v>
      </c>
      <c r="K100" t="b">
        <f>QHPSelections2016[[#This Row],[County Name]]=P100</f>
        <v>1</v>
      </c>
      <c r="L100" t="b">
        <f>QHPSelections2016[[#This Row],[Silver]]=S100</f>
        <v>1</v>
      </c>
      <c r="N100">
        <v>5001</v>
      </c>
      <c r="O100" t="s">
        <v>1762</v>
      </c>
      <c r="P100" t="s">
        <v>1763</v>
      </c>
      <c r="Q100">
        <v>0</v>
      </c>
      <c r="S100">
        <v>293</v>
      </c>
      <c r="T100">
        <v>105</v>
      </c>
      <c r="V100">
        <v>465</v>
      </c>
    </row>
    <row r="101" spans="1:22">
      <c r="A101" s="32" t="s">
        <v>1764</v>
      </c>
      <c r="B101" s="32" t="s">
        <v>1762</v>
      </c>
      <c r="C101" s="32" t="s">
        <v>1765</v>
      </c>
      <c r="D101" s="33">
        <v>0</v>
      </c>
      <c r="E101" s="33" t="s">
        <v>1639</v>
      </c>
      <c r="F101" s="33">
        <v>404</v>
      </c>
      <c r="G101" s="33">
        <v>90</v>
      </c>
      <c r="H101" s="33" t="s">
        <v>1639</v>
      </c>
      <c r="I101" s="33">
        <v>552</v>
      </c>
      <c r="K101" t="b">
        <f>QHPSelections2016[[#This Row],[County Name]]=P101</f>
        <v>1</v>
      </c>
      <c r="L101" t="b">
        <f>QHPSelections2016[[#This Row],[Silver]]=S101</f>
        <v>1</v>
      </c>
      <c r="N101">
        <v>5003</v>
      </c>
      <c r="O101" t="s">
        <v>1762</v>
      </c>
      <c r="P101" t="s">
        <v>1765</v>
      </c>
      <c r="Q101">
        <v>0</v>
      </c>
      <c r="S101">
        <v>404</v>
      </c>
      <c r="T101">
        <v>90</v>
      </c>
      <c r="V101">
        <v>552</v>
      </c>
    </row>
    <row r="102" spans="1:22">
      <c r="A102" s="32" t="s">
        <v>1766</v>
      </c>
      <c r="B102" s="32" t="s">
        <v>1762</v>
      </c>
      <c r="C102" s="32" t="s">
        <v>1767</v>
      </c>
      <c r="D102" s="33">
        <v>0</v>
      </c>
      <c r="E102" s="33" t="s">
        <v>1639</v>
      </c>
      <c r="F102" s="33">
        <v>995</v>
      </c>
      <c r="G102" s="33">
        <v>246</v>
      </c>
      <c r="H102" s="33" t="s">
        <v>1639</v>
      </c>
      <c r="I102" s="33">
        <v>1360</v>
      </c>
      <c r="K102" t="b">
        <f>QHPSelections2016[[#This Row],[County Name]]=P102</f>
        <v>1</v>
      </c>
      <c r="L102" t="b">
        <f>QHPSelections2016[[#This Row],[Silver]]=S102</f>
        <v>1</v>
      </c>
      <c r="N102">
        <v>5005</v>
      </c>
      <c r="O102" t="s">
        <v>1762</v>
      </c>
      <c r="P102" t="s">
        <v>1767</v>
      </c>
      <c r="Q102">
        <v>0</v>
      </c>
      <c r="S102">
        <v>995</v>
      </c>
      <c r="T102">
        <v>246</v>
      </c>
      <c r="V102" s="51">
        <v>1360</v>
      </c>
    </row>
    <row r="103" spans="1:22">
      <c r="A103" s="32" t="s">
        <v>1768</v>
      </c>
      <c r="B103" s="32" t="s">
        <v>1762</v>
      </c>
      <c r="C103" s="32" t="s">
        <v>835</v>
      </c>
      <c r="D103" s="33">
        <v>0</v>
      </c>
      <c r="E103" s="33">
        <v>661</v>
      </c>
      <c r="F103" s="33">
        <v>4398</v>
      </c>
      <c r="G103" s="33">
        <v>1503</v>
      </c>
      <c r="H103" s="33">
        <v>52</v>
      </c>
      <c r="I103" s="33">
        <v>6614</v>
      </c>
      <c r="K103" t="b">
        <f>QHPSelections2016[[#This Row],[County Name]]=P103</f>
        <v>1</v>
      </c>
      <c r="L103" t="b">
        <f>QHPSelections2016[[#This Row],[Silver]]=S103</f>
        <v>1</v>
      </c>
      <c r="N103">
        <v>5007</v>
      </c>
      <c r="O103" t="s">
        <v>1762</v>
      </c>
      <c r="P103" t="s">
        <v>835</v>
      </c>
      <c r="Q103">
        <v>0</v>
      </c>
      <c r="R103">
        <v>661</v>
      </c>
      <c r="S103" s="51">
        <v>4398</v>
      </c>
      <c r="T103" s="51">
        <v>1503</v>
      </c>
      <c r="U103">
        <v>52</v>
      </c>
      <c r="V103" s="51">
        <v>6614</v>
      </c>
    </row>
    <row r="104" spans="1:22">
      <c r="A104" s="32" t="s">
        <v>1769</v>
      </c>
      <c r="B104" s="32" t="s">
        <v>1762</v>
      </c>
      <c r="C104" s="32" t="s">
        <v>1770</v>
      </c>
      <c r="D104" s="33">
        <v>0</v>
      </c>
      <c r="E104" s="33" t="s">
        <v>1639</v>
      </c>
      <c r="F104" s="33">
        <v>751</v>
      </c>
      <c r="G104" s="33">
        <v>238</v>
      </c>
      <c r="H104" s="33" t="s">
        <v>1639</v>
      </c>
      <c r="I104" s="33">
        <v>1050</v>
      </c>
      <c r="K104" t="b">
        <f>QHPSelections2016[[#This Row],[County Name]]=P104</f>
        <v>1</v>
      </c>
      <c r="L104" t="b">
        <f>QHPSelections2016[[#This Row],[Silver]]=S104</f>
        <v>1</v>
      </c>
      <c r="N104">
        <v>5009</v>
      </c>
      <c r="O104" t="s">
        <v>1762</v>
      </c>
      <c r="P104" t="s">
        <v>1770</v>
      </c>
      <c r="Q104">
        <v>0</v>
      </c>
      <c r="S104">
        <v>751</v>
      </c>
      <c r="T104">
        <v>238</v>
      </c>
      <c r="V104" s="51">
        <v>1050</v>
      </c>
    </row>
    <row r="105" spans="1:22">
      <c r="A105" s="32" t="s">
        <v>1771</v>
      </c>
      <c r="B105" s="32" t="s">
        <v>1762</v>
      </c>
      <c r="C105" s="32" t="s">
        <v>852</v>
      </c>
      <c r="D105" s="33">
        <v>0</v>
      </c>
      <c r="E105" s="33">
        <v>19</v>
      </c>
      <c r="F105" s="33">
        <v>218</v>
      </c>
      <c r="G105" s="33">
        <v>51</v>
      </c>
      <c r="H105" s="33">
        <v>0</v>
      </c>
      <c r="I105" s="33">
        <v>288</v>
      </c>
      <c r="K105" t="b">
        <f>QHPSelections2016[[#This Row],[County Name]]=P105</f>
        <v>1</v>
      </c>
      <c r="L105" t="b">
        <f>QHPSelections2016[[#This Row],[Silver]]=S105</f>
        <v>1</v>
      </c>
      <c r="N105">
        <v>5011</v>
      </c>
      <c r="O105" t="s">
        <v>1762</v>
      </c>
      <c r="P105" t="s">
        <v>852</v>
      </c>
      <c r="Q105">
        <v>0</v>
      </c>
      <c r="R105">
        <v>19</v>
      </c>
      <c r="S105">
        <v>218</v>
      </c>
      <c r="T105">
        <v>51</v>
      </c>
      <c r="U105">
        <v>0</v>
      </c>
      <c r="V105">
        <v>288</v>
      </c>
    </row>
    <row r="106" spans="1:22">
      <c r="A106" s="32" t="s">
        <v>1772</v>
      </c>
      <c r="B106" s="32" t="s">
        <v>1762</v>
      </c>
      <c r="C106" s="32" t="s">
        <v>855</v>
      </c>
      <c r="D106" s="33">
        <v>0</v>
      </c>
      <c r="E106" s="33" t="s">
        <v>1639</v>
      </c>
      <c r="F106" s="33">
        <v>95</v>
      </c>
      <c r="G106" s="33">
        <v>28</v>
      </c>
      <c r="H106" s="33" t="s">
        <v>1639</v>
      </c>
      <c r="I106" s="33">
        <v>129</v>
      </c>
      <c r="K106" t="b">
        <f>QHPSelections2016[[#This Row],[County Name]]=P106</f>
        <v>1</v>
      </c>
      <c r="L106" t="b">
        <f>QHPSelections2016[[#This Row],[Silver]]=S106</f>
        <v>1</v>
      </c>
      <c r="N106">
        <v>5013</v>
      </c>
      <c r="O106" t="s">
        <v>1762</v>
      </c>
      <c r="P106" t="s">
        <v>855</v>
      </c>
      <c r="Q106">
        <v>0</v>
      </c>
      <c r="S106">
        <v>95</v>
      </c>
      <c r="T106">
        <v>28</v>
      </c>
      <c r="V106">
        <v>129</v>
      </c>
    </row>
    <row r="107" spans="1:22">
      <c r="A107" s="32" t="s">
        <v>1773</v>
      </c>
      <c r="B107" s="32" t="s">
        <v>1762</v>
      </c>
      <c r="C107" s="32" t="s">
        <v>862</v>
      </c>
      <c r="D107" s="33">
        <v>0</v>
      </c>
      <c r="E107" s="33" t="s">
        <v>1639</v>
      </c>
      <c r="F107" s="33">
        <v>721</v>
      </c>
      <c r="G107" s="33">
        <v>221</v>
      </c>
      <c r="H107" s="33" t="s">
        <v>1639</v>
      </c>
      <c r="I107" s="33">
        <v>1032</v>
      </c>
      <c r="K107" t="b">
        <f>QHPSelections2016[[#This Row],[County Name]]=P107</f>
        <v>1</v>
      </c>
      <c r="L107" t="b">
        <f>QHPSelections2016[[#This Row],[Silver]]=S107</f>
        <v>1</v>
      </c>
      <c r="N107">
        <v>5015</v>
      </c>
      <c r="O107" t="s">
        <v>1762</v>
      </c>
      <c r="P107" t="s">
        <v>862</v>
      </c>
      <c r="Q107">
        <v>0</v>
      </c>
      <c r="S107">
        <v>721</v>
      </c>
      <c r="T107">
        <v>221</v>
      </c>
      <c r="V107" s="51">
        <v>1032</v>
      </c>
    </row>
    <row r="108" spans="1:22">
      <c r="A108" s="32" t="s">
        <v>1774</v>
      </c>
      <c r="B108" s="32" t="s">
        <v>1762</v>
      </c>
      <c r="C108" s="32" t="s">
        <v>1775</v>
      </c>
      <c r="D108" s="33">
        <v>0</v>
      </c>
      <c r="E108" s="33">
        <v>21</v>
      </c>
      <c r="F108" s="33">
        <v>184</v>
      </c>
      <c r="G108" s="33">
        <v>55</v>
      </c>
      <c r="H108" s="33">
        <v>0</v>
      </c>
      <c r="I108" s="33">
        <v>260</v>
      </c>
      <c r="K108" t="b">
        <f>QHPSelections2016[[#This Row],[County Name]]=P108</f>
        <v>1</v>
      </c>
      <c r="L108" t="b">
        <f>QHPSelections2016[[#This Row],[Silver]]=S108</f>
        <v>1</v>
      </c>
      <c r="N108">
        <v>5017</v>
      </c>
      <c r="O108" t="s">
        <v>1762</v>
      </c>
      <c r="P108" t="s">
        <v>1775</v>
      </c>
      <c r="Q108">
        <v>0</v>
      </c>
      <c r="R108">
        <v>21</v>
      </c>
      <c r="S108">
        <v>184</v>
      </c>
      <c r="T108">
        <v>55</v>
      </c>
      <c r="U108">
        <v>0</v>
      </c>
      <c r="V108">
        <v>260</v>
      </c>
    </row>
    <row r="109" spans="1:22">
      <c r="A109" s="32" t="s">
        <v>1776</v>
      </c>
      <c r="B109" s="32" t="s">
        <v>1762</v>
      </c>
      <c r="C109" s="32" t="s">
        <v>1777</v>
      </c>
      <c r="D109" s="33">
        <v>0</v>
      </c>
      <c r="E109" s="33" t="s">
        <v>1639</v>
      </c>
      <c r="F109" s="33">
        <v>321</v>
      </c>
      <c r="G109" s="33">
        <v>96</v>
      </c>
      <c r="H109" s="33" t="s">
        <v>1639</v>
      </c>
      <c r="I109" s="33">
        <v>476</v>
      </c>
      <c r="K109" t="b">
        <f>QHPSelections2016[[#This Row],[County Name]]=P109</f>
        <v>1</v>
      </c>
      <c r="L109" t="b">
        <f>QHPSelections2016[[#This Row],[Silver]]=S109</f>
        <v>1</v>
      </c>
      <c r="N109">
        <v>5019</v>
      </c>
      <c r="O109" t="s">
        <v>1762</v>
      </c>
      <c r="P109" t="s">
        <v>1777</v>
      </c>
      <c r="Q109">
        <v>0</v>
      </c>
      <c r="S109">
        <v>321</v>
      </c>
      <c r="T109">
        <v>96</v>
      </c>
      <c r="V109">
        <v>476</v>
      </c>
    </row>
    <row r="110" spans="1:22">
      <c r="A110" s="32" t="s">
        <v>1778</v>
      </c>
      <c r="B110" s="32" t="s">
        <v>1762</v>
      </c>
      <c r="C110" s="32" t="s">
        <v>873</v>
      </c>
      <c r="D110" s="33">
        <v>0</v>
      </c>
      <c r="E110" s="33" t="s">
        <v>1639</v>
      </c>
      <c r="F110" s="33">
        <v>239</v>
      </c>
      <c r="G110" s="33">
        <v>76</v>
      </c>
      <c r="H110" s="33" t="s">
        <v>1639</v>
      </c>
      <c r="I110" s="33">
        <v>348</v>
      </c>
      <c r="K110" t="b">
        <f>QHPSelections2016[[#This Row],[County Name]]=P110</f>
        <v>1</v>
      </c>
      <c r="L110" t="b">
        <f>QHPSelections2016[[#This Row],[Silver]]=S110</f>
        <v>1</v>
      </c>
      <c r="N110">
        <v>5021</v>
      </c>
      <c r="O110" t="s">
        <v>1762</v>
      </c>
      <c r="P110" t="s">
        <v>873</v>
      </c>
      <c r="Q110">
        <v>0</v>
      </c>
      <c r="S110">
        <v>239</v>
      </c>
      <c r="T110">
        <v>76</v>
      </c>
      <c r="V110">
        <v>348</v>
      </c>
    </row>
    <row r="111" spans="1:22">
      <c r="A111" s="32" t="s">
        <v>1779</v>
      </c>
      <c r="B111" s="32" t="s">
        <v>1762</v>
      </c>
      <c r="C111" s="32" t="s">
        <v>900</v>
      </c>
      <c r="D111" s="33">
        <v>0</v>
      </c>
      <c r="E111" s="33" t="s">
        <v>1639</v>
      </c>
      <c r="F111" s="33">
        <v>612</v>
      </c>
      <c r="G111" s="33">
        <v>177</v>
      </c>
      <c r="H111" s="33" t="s">
        <v>1639</v>
      </c>
      <c r="I111" s="33">
        <v>879</v>
      </c>
      <c r="K111" t="b">
        <f>QHPSelections2016[[#This Row],[County Name]]=P111</f>
        <v>1</v>
      </c>
      <c r="L111" t="b">
        <f>QHPSelections2016[[#This Row],[Silver]]=S111</f>
        <v>1</v>
      </c>
      <c r="N111">
        <v>5023</v>
      </c>
      <c r="O111" t="s">
        <v>1762</v>
      </c>
      <c r="P111" t="s">
        <v>900</v>
      </c>
      <c r="Q111">
        <v>0</v>
      </c>
      <c r="S111">
        <v>612</v>
      </c>
      <c r="T111">
        <v>177</v>
      </c>
      <c r="V111">
        <v>879</v>
      </c>
    </row>
    <row r="112" spans="1:22">
      <c r="A112" s="32" t="s">
        <v>1780</v>
      </c>
      <c r="B112" s="32" t="s">
        <v>1762</v>
      </c>
      <c r="C112" s="32" t="s">
        <v>950</v>
      </c>
      <c r="D112" s="33">
        <v>0</v>
      </c>
      <c r="E112" s="33" t="s">
        <v>1639</v>
      </c>
      <c r="F112" s="33">
        <v>129</v>
      </c>
      <c r="G112" s="33">
        <v>21</v>
      </c>
      <c r="H112" s="33" t="s">
        <v>1639</v>
      </c>
      <c r="I112" s="33">
        <v>162</v>
      </c>
      <c r="K112" t="b">
        <f>QHPSelections2016[[#This Row],[County Name]]=P112</f>
        <v>1</v>
      </c>
      <c r="L112" t="b">
        <f>QHPSelections2016[[#This Row],[Silver]]=S112</f>
        <v>1</v>
      </c>
      <c r="N112">
        <v>5025</v>
      </c>
      <c r="O112" t="s">
        <v>1762</v>
      </c>
      <c r="P112" t="s">
        <v>950</v>
      </c>
      <c r="Q112">
        <v>0</v>
      </c>
      <c r="S112">
        <v>129</v>
      </c>
      <c r="T112">
        <v>21</v>
      </c>
      <c r="V112">
        <v>162</v>
      </c>
    </row>
    <row r="113" spans="1:22">
      <c r="A113" s="32" t="s">
        <v>1781</v>
      </c>
      <c r="B113" s="32" t="s">
        <v>1762</v>
      </c>
      <c r="C113" s="32" t="s">
        <v>885</v>
      </c>
      <c r="D113" s="33">
        <v>0</v>
      </c>
      <c r="E113" s="33" t="s">
        <v>1639</v>
      </c>
      <c r="F113" s="33">
        <v>324</v>
      </c>
      <c r="G113" s="33">
        <v>62</v>
      </c>
      <c r="H113" s="33" t="s">
        <v>1639</v>
      </c>
      <c r="I113" s="33">
        <v>431</v>
      </c>
      <c r="K113" t="b">
        <f>QHPSelections2016[[#This Row],[County Name]]=P113</f>
        <v>1</v>
      </c>
      <c r="L113" t="b">
        <f>QHPSelections2016[[#This Row],[Silver]]=S113</f>
        <v>1</v>
      </c>
      <c r="N113">
        <v>5027</v>
      </c>
      <c r="O113" t="s">
        <v>1762</v>
      </c>
      <c r="P113" t="s">
        <v>885</v>
      </c>
      <c r="Q113">
        <v>0</v>
      </c>
      <c r="S113">
        <v>324</v>
      </c>
      <c r="T113">
        <v>62</v>
      </c>
      <c r="V113">
        <v>431</v>
      </c>
    </row>
    <row r="114" spans="1:22">
      <c r="A114" s="32" t="s">
        <v>1782</v>
      </c>
      <c r="B114" s="32" t="s">
        <v>1762</v>
      </c>
      <c r="C114" s="32" t="s">
        <v>1783</v>
      </c>
      <c r="D114" s="33">
        <v>0</v>
      </c>
      <c r="E114" s="33" t="s">
        <v>1639</v>
      </c>
      <c r="F114" s="33">
        <v>367</v>
      </c>
      <c r="G114" s="33">
        <v>117</v>
      </c>
      <c r="H114" s="33" t="s">
        <v>1639</v>
      </c>
      <c r="I114" s="33">
        <v>549</v>
      </c>
      <c r="K114" t="b">
        <f>QHPSelections2016[[#This Row],[County Name]]=P114</f>
        <v>1</v>
      </c>
      <c r="L114" t="b">
        <f>QHPSelections2016[[#This Row],[Silver]]=S114</f>
        <v>1</v>
      </c>
      <c r="N114">
        <v>5029</v>
      </c>
      <c r="O114" t="s">
        <v>1762</v>
      </c>
      <c r="P114" t="s">
        <v>1783</v>
      </c>
      <c r="Q114">
        <v>0</v>
      </c>
      <c r="S114">
        <v>367</v>
      </c>
      <c r="T114">
        <v>117</v>
      </c>
      <c r="V114">
        <v>549</v>
      </c>
    </row>
    <row r="115" spans="1:22">
      <c r="A115" s="32" t="s">
        <v>1784</v>
      </c>
      <c r="B115" s="32" t="s">
        <v>1762</v>
      </c>
      <c r="C115" s="32" t="s">
        <v>1785</v>
      </c>
      <c r="D115" s="33">
        <v>0</v>
      </c>
      <c r="E115" s="33">
        <v>212</v>
      </c>
      <c r="F115" s="33">
        <v>1727</v>
      </c>
      <c r="G115" s="33">
        <v>460</v>
      </c>
      <c r="H115" s="33">
        <v>21</v>
      </c>
      <c r="I115" s="33">
        <v>2420</v>
      </c>
      <c r="K115" t="b">
        <f>QHPSelections2016[[#This Row],[County Name]]=P115</f>
        <v>1</v>
      </c>
      <c r="L115" t="b">
        <f>QHPSelections2016[[#This Row],[Silver]]=S115</f>
        <v>1</v>
      </c>
      <c r="N115">
        <v>5031</v>
      </c>
      <c r="O115" t="s">
        <v>1762</v>
      </c>
      <c r="P115" t="s">
        <v>1785</v>
      </c>
      <c r="Q115">
        <v>0</v>
      </c>
      <c r="R115">
        <v>212</v>
      </c>
      <c r="S115" s="51">
        <v>1727</v>
      </c>
      <c r="T115">
        <v>460</v>
      </c>
      <c r="U115">
        <v>21</v>
      </c>
      <c r="V115" s="51">
        <v>2420</v>
      </c>
    </row>
    <row r="116" spans="1:22">
      <c r="A116" s="32" t="s">
        <v>1786</v>
      </c>
      <c r="B116" s="32" t="s">
        <v>1762</v>
      </c>
      <c r="C116" s="32" t="s">
        <v>1030</v>
      </c>
      <c r="D116" s="33">
        <v>0</v>
      </c>
      <c r="E116" s="33">
        <v>131</v>
      </c>
      <c r="F116" s="33">
        <v>1077</v>
      </c>
      <c r="G116" s="33">
        <v>251</v>
      </c>
      <c r="H116" s="33">
        <v>17</v>
      </c>
      <c r="I116" s="33">
        <v>1476</v>
      </c>
      <c r="K116" t="b">
        <f>QHPSelections2016[[#This Row],[County Name]]=P116</f>
        <v>1</v>
      </c>
      <c r="L116" t="b">
        <f>QHPSelections2016[[#This Row],[Silver]]=S116</f>
        <v>1</v>
      </c>
      <c r="N116">
        <v>5033</v>
      </c>
      <c r="O116" t="s">
        <v>1762</v>
      </c>
      <c r="P116" t="s">
        <v>1030</v>
      </c>
      <c r="Q116">
        <v>0</v>
      </c>
      <c r="R116">
        <v>131</v>
      </c>
      <c r="S116" s="51">
        <v>1077</v>
      </c>
      <c r="T116">
        <v>251</v>
      </c>
      <c r="U116">
        <v>17</v>
      </c>
      <c r="V116" s="51">
        <v>1476</v>
      </c>
    </row>
    <row r="117" spans="1:22">
      <c r="A117" s="32" t="s">
        <v>1787</v>
      </c>
      <c r="B117" s="32" t="s">
        <v>1762</v>
      </c>
      <c r="C117" s="32" t="s">
        <v>1788</v>
      </c>
      <c r="D117" s="33">
        <v>0</v>
      </c>
      <c r="E117" s="33">
        <v>103</v>
      </c>
      <c r="F117" s="33">
        <v>717</v>
      </c>
      <c r="G117" s="33">
        <v>258</v>
      </c>
      <c r="H117" s="33">
        <v>15</v>
      </c>
      <c r="I117" s="33">
        <v>1093</v>
      </c>
      <c r="K117" t="b">
        <f>QHPSelections2016[[#This Row],[County Name]]=P117</f>
        <v>1</v>
      </c>
      <c r="L117" t="b">
        <f>QHPSelections2016[[#This Row],[Silver]]=S117</f>
        <v>1</v>
      </c>
      <c r="N117">
        <v>5035</v>
      </c>
      <c r="O117" t="s">
        <v>1762</v>
      </c>
      <c r="P117" t="s">
        <v>1788</v>
      </c>
      <c r="Q117">
        <v>0</v>
      </c>
      <c r="R117">
        <v>103</v>
      </c>
      <c r="S117">
        <v>717</v>
      </c>
      <c r="T117">
        <v>258</v>
      </c>
      <c r="U117">
        <v>15</v>
      </c>
      <c r="V117" s="51">
        <v>1093</v>
      </c>
    </row>
    <row r="118" spans="1:22">
      <c r="A118" s="32" t="s">
        <v>1789</v>
      </c>
      <c r="B118" s="32" t="s">
        <v>1762</v>
      </c>
      <c r="C118" s="32" t="s">
        <v>1790</v>
      </c>
      <c r="D118" s="33">
        <v>0</v>
      </c>
      <c r="E118" s="33" t="s">
        <v>1639</v>
      </c>
      <c r="F118" s="33">
        <v>322</v>
      </c>
      <c r="G118" s="33">
        <v>65</v>
      </c>
      <c r="H118" s="33" t="s">
        <v>1639</v>
      </c>
      <c r="I118" s="33">
        <v>421</v>
      </c>
      <c r="K118" t="b">
        <f>QHPSelections2016[[#This Row],[County Name]]=P118</f>
        <v>1</v>
      </c>
      <c r="L118" t="b">
        <f>QHPSelections2016[[#This Row],[Silver]]=S118</f>
        <v>1</v>
      </c>
      <c r="N118">
        <v>5037</v>
      </c>
      <c r="O118" t="s">
        <v>1762</v>
      </c>
      <c r="P118" t="s">
        <v>1790</v>
      </c>
      <c r="Q118">
        <v>0</v>
      </c>
      <c r="S118">
        <v>322</v>
      </c>
      <c r="T118">
        <v>65</v>
      </c>
      <c r="V118">
        <v>421</v>
      </c>
    </row>
    <row r="119" spans="1:22">
      <c r="A119" s="32" t="s">
        <v>1791</v>
      </c>
      <c r="B119" s="32" t="s">
        <v>1762</v>
      </c>
      <c r="C119" s="32" t="s">
        <v>953</v>
      </c>
      <c r="D119" s="33">
        <v>0</v>
      </c>
      <c r="E119" s="33" t="s">
        <v>1639</v>
      </c>
      <c r="F119" s="33">
        <v>104</v>
      </c>
      <c r="G119" s="33">
        <v>35</v>
      </c>
      <c r="H119" s="33" t="s">
        <v>1639</v>
      </c>
      <c r="I119" s="33">
        <v>149</v>
      </c>
      <c r="K119" t="b">
        <f>QHPSelections2016[[#This Row],[County Name]]=P119</f>
        <v>1</v>
      </c>
      <c r="L119" t="b">
        <f>QHPSelections2016[[#This Row],[Silver]]=S119</f>
        <v>1</v>
      </c>
      <c r="N119">
        <v>5039</v>
      </c>
      <c r="O119" t="s">
        <v>1762</v>
      </c>
      <c r="P119" t="s">
        <v>953</v>
      </c>
      <c r="Q119">
        <v>0</v>
      </c>
      <c r="S119">
        <v>104</v>
      </c>
      <c r="T119">
        <v>35</v>
      </c>
      <c r="V119">
        <v>149</v>
      </c>
    </row>
    <row r="120" spans="1:22">
      <c r="A120" s="32" t="s">
        <v>1792</v>
      </c>
      <c r="B120" s="32" t="s">
        <v>1762</v>
      </c>
      <c r="C120" s="32" t="s">
        <v>1793</v>
      </c>
      <c r="D120" s="33">
        <v>0</v>
      </c>
      <c r="E120" s="33">
        <v>25</v>
      </c>
      <c r="F120" s="33">
        <v>220</v>
      </c>
      <c r="G120" s="33">
        <v>58</v>
      </c>
      <c r="H120" s="33">
        <v>0</v>
      </c>
      <c r="I120" s="33">
        <v>303</v>
      </c>
      <c r="K120" t="b">
        <f>QHPSelections2016[[#This Row],[County Name]]=P120</f>
        <v>1</v>
      </c>
      <c r="L120" t="b">
        <f>QHPSelections2016[[#This Row],[Silver]]=S120</f>
        <v>1</v>
      </c>
      <c r="N120">
        <v>5041</v>
      </c>
      <c r="O120" t="s">
        <v>1762</v>
      </c>
      <c r="P120" t="s">
        <v>1793</v>
      </c>
      <c r="Q120">
        <v>0</v>
      </c>
      <c r="R120">
        <v>25</v>
      </c>
      <c r="S120">
        <v>220</v>
      </c>
      <c r="T120">
        <v>58</v>
      </c>
      <c r="U120">
        <v>0</v>
      </c>
      <c r="V120">
        <v>303</v>
      </c>
    </row>
    <row r="121" spans="1:22">
      <c r="A121" s="32" t="s">
        <v>1794</v>
      </c>
      <c r="B121" s="32" t="s">
        <v>1762</v>
      </c>
      <c r="C121" s="32" t="s">
        <v>1795</v>
      </c>
      <c r="D121" s="33">
        <v>0</v>
      </c>
      <c r="E121" s="33" t="s">
        <v>1639</v>
      </c>
      <c r="F121" s="33">
        <v>323</v>
      </c>
      <c r="G121" s="33">
        <v>108</v>
      </c>
      <c r="H121" s="33" t="s">
        <v>1639</v>
      </c>
      <c r="I121" s="33">
        <v>510</v>
      </c>
      <c r="K121" t="b">
        <f>QHPSelections2016[[#This Row],[County Name]]=P121</f>
        <v>1</v>
      </c>
      <c r="L121" t="b">
        <f>QHPSelections2016[[#This Row],[Silver]]=S121</f>
        <v>1</v>
      </c>
      <c r="N121">
        <v>5043</v>
      </c>
      <c r="O121" t="s">
        <v>1762</v>
      </c>
      <c r="P121" t="s">
        <v>1795</v>
      </c>
      <c r="Q121">
        <v>0</v>
      </c>
      <c r="S121">
        <v>323</v>
      </c>
      <c r="T121">
        <v>108</v>
      </c>
      <c r="V121">
        <v>510</v>
      </c>
    </row>
    <row r="122" spans="1:22">
      <c r="A122" s="32" t="s">
        <v>1796</v>
      </c>
      <c r="B122" s="32" t="s">
        <v>1762</v>
      </c>
      <c r="C122" s="32" t="s">
        <v>1797</v>
      </c>
      <c r="D122" s="33">
        <v>0</v>
      </c>
      <c r="E122" s="33">
        <v>305</v>
      </c>
      <c r="F122" s="33">
        <v>2031</v>
      </c>
      <c r="G122" s="33">
        <v>684</v>
      </c>
      <c r="H122" s="33">
        <v>28</v>
      </c>
      <c r="I122" s="33">
        <v>3048</v>
      </c>
      <c r="K122" t="b">
        <f>QHPSelections2016[[#This Row],[County Name]]=P122</f>
        <v>1</v>
      </c>
      <c r="L122" t="b">
        <f>QHPSelections2016[[#This Row],[Silver]]=S122</f>
        <v>1</v>
      </c>
      <c r="N122">
        <v>5045</v>
      </c>
      <c r="O122" t="s">
        <v>1762</v>
      </c>
      <c r="P122" t="s">
        <v>1797</v>
      </c>
      <c r="Q122">
        <v>0</v>
      </c>
      <c r="R122">
        <v>305</v>
      </c>
      <c r="S122" s="51">
        <v>2031</v>
      </c>
      <c r="T122">
        <v>684</v>
      </c>
      <c r="U122">
        <v>28</v>
      </c>
      <c r="V122" s="51">
        <v>3048</v>
      </c>
    </row>
    <row r="123" spans="1:22">
      <c r="A123" s="32" t="s">
        <v>1798</v>
      </c>
      <c r="B123" s="32" t="s">
        <v>1762</v>
      </c>
      <c r="C123" s="32" t="s">
        <v>919</v>
      </c>
      <c r="D123" s="33">
        <v>0</v>
      </c>
      <c r="E123" s="33" t="s">
        <v>1639</v>
      </c>
      <c r="F123" s="33">
        <v>264</v>
      </c>
      <c r="G123" s="33">
        <v>60</v>
      </c>
      <c r="H123" s="33" t="s">
        <v>1639</v>
      </c>
      <c r="I123" s="33">
        <v>358</v>
      </c>
      <c r="K123" t="b">
        <f>QHPSelections2016[[#This Row],[County Name]]=P123</f>
        <v>1</v>
      </c>
      <c r="L123" t="b">
        <f>QHPSelections2016[[#This Row],[Silver]]=S123</f>
        <v>1</v>
      </c>
      <c r="N123">
        <v>5047</v>
      </c>
      <c r="O123" t="s">
        <v>1762</v>
      </c>
      <c r="P123" t="s">
        <v>919</v>
      </c>
      <c r="Q123">
        <v>0</v>
      </c>
      <c r="S123">
        <v>264</v>
      </c>
      <c r="T123">
        <v>60</v>
      </c>
      <c r="V123">
        <v>358</v>
      </c>
    </row>
    <row r="124" spans="1:22">
      <c r="A124" s="32" t="s">
        <v>1799</v>
      </c>
      <c r="B124" s="32" t="s">
        <v>1762</v>
      </c>
      <c r="C124" s="32" t="s">
        <v>1131</v>
      </c>
      <c r="D124" s="33">
        <v>0</v>
      </c>
      <c r="E124" s="33" t="s">
        <v>1639</v>
      </c>
      <c r="F124" s="33">
        <v>183</v>
      </c>
      <c r="G124" s="33">
        <v>73</v>
      </c>
      <c r="H124" s="33" t="s">
        <v>1639</v>
      </c>
      <c r="I124" s="33">
        <v>281</v>
      </c>
      <c r="K124" t="b">
        <f>QHPSelections2016[[#This Row],[County Name]]=P124</f>
        <v>1</v>
      </c>
      <c r="L124" t="b">
        <f>QHPSelections2016[[#This Row],[Silver]]=S124</f>
        <v>1</v>
      </c>
      <c r="N124">
        <v>5049</v>
      </c>
      <c r="O124" t="s">
        <v>1762</v>
      </c>
      <c r="P124" t="s">
        <v>1131</v>
      </c>
      <c r="Q124">
        <v>0</v>
      </c>
      <c r="S124">
        <v>183</v>
      </c>
      <c r="T124">
        <v>73</v>
      </c>
      <c r="V124">
        <v>281</v>
      </c>
    </row>
    <row r="125" spans="1:22">
      <c r="A125" s="32" t="s">
        <v>1800</v>
      </c>
      <c r="B125" s="32" t="s">
        <v>1762</v>
      </c>
      <c r="C125" s="32" t="s">
        <v>1801</v>
      </c>
      <c r="D125" s="33">
        <v>0</v>
      </c>
      <c r="E125" s="33">
        <v>281</v>
      </c>
      <c r="F125" s="33">
        <v>2362</v>
      </c>
      <c r="G125" s="33">
        <v>643</v>
      </c>
      <c r="H125" s="33">
        <v>16</v>
      </c>
      <c r="I125" s="33">
        <v>3302</v>
      </c>
      <c r="K125" t="b">
        <f>QHPSelections2016[[#This Row],[County Name]]=P125</f>
        <v>1</v>
      </c>
      <c r="L125" t="b">
        <f>QHPSelections2016[[#This Row],[Silver]]=S125</f>
        <v>1</v>
      </c>
      <c r="N125">
        <v>5051</v>
      </c>
      <c r="O125" t="s">
        <v>1762</v>
      </c>
      <c r="P125" t="s">
        <v>1801</v>
      </c>
      <c r="Q125">
        <v>0</v>
      </c>
      <c r="R125">
        <v>281</v>
      </c>
      <c r="S125" s="51">
        <v>2362</v>
      </c>
      <c r="T125">
        <v>643</v>
      </c>
      <c r="U125">
        <v>16</v>
      </c>
      <c r="V125" s="51">
        <v>3302</v>
      </c>
    </row>
    <row r="126" spans="1:22">
      <c r="A126" s="32" t="s">
        <v>1802</v>
      </c>
      <c r="B126" s="32" t="s">
        <v>1762</v>
      </c>
      <c r="C126" s="32" t="s">
        <v>1803</v>
      </c>
      <c r="D126" s="33">
        <v>0</v>
      </c>
      <c r="E126" s="33" t="s">
        <v>1639</v>
      </c>
      <c r="F126" s="33">
        <v>350</v>
      </c>
      <c r="G126" s="33">
        <v>60</v>
      </c>
      <c r="H126" s="33" t="s">
        <v>1639</v>
      </c>
      <c r="I126" s="33">
        <v>464</v>
      </c>
      <c r="K126" t="b">
        <f>QHPSelections2016[[#This Row],[County Name]]=P126</f>
        <v>1</v>
      </c>
      <c r="L126" t="b">
        <f>QHPSelections2016[[#This Row],[Silver]]=S126</f>
        <v>1</v>
      </c>
      <c r="N126">
        <v>5053</v>
      </c>
      <c r="O126" t="s">
        <v>1762</v>
      </c>
      <c r="P126" t="s">
        <v>1803</v>
      </c>
      <c r="Q126">
        <v>0</v>
      </c>
      <c r="S126">
        <v>350</v>
      </c>
      <c r="T126">
        <v>60</v>
      </c>
      <c r="V126">
        <v>464</v>
      </c>
    </row>
    <row r="127" spans="1:22">
      <c r="A127" s="32" t="s">
        <v>1804</v>
      </c>
      <c r="B127" s="32" t="s">
        <v>1762</v>
      </c>
      <c r="C127" s="32" t="s">
        <v>937</v>
      </c>
      <c r="D127" s="33">
        <v>0</v>
      </c>
      <c r="E127" s="33" t="s">
        <v>1639</v>
      </c>
      <c r="F127" s="33">
        <v>625</v>
      </c>
      <c r="G127" s="33">
        <v>182</v>
      </c>
      <c r="H127" s="33" t="s">
        <v>1639</v>
      </c>
      <c r="I127" s="33">
        <v>911</v>
      </c>
      <c r="K127" t="b">
        <f>QHPSelections2016[[#This Row],[County Name]]=P127</f>
        <v>1</v>
      </c>
      <c r="L127" t="b">
        <f>QHPSelections2016[[#This Row],[Silver]]=S127</f>
        <v>1</v>
      </c>
      <c r="N127">
        <v>5055</v>
      </c>
      <c r="O127" t="s">
        <v>1762</v>
      </c>
      <c r="P127" t="s">
        <v>937</v>
      </c>
      <c r="Q127">
        <v>0</v>
      </c>
      <c r="S127">
        <v>625</v>
      </c>
      <c r="T127">
        <v>182</v>
      </c>
      <c r="V127">
        <v>911</v>
      </c>
    </row>
    <row r="128" spans="1:22">
      <c r="A128" s="32" t="s">
        <v>1805</v>
      </c>
      <c r="B128" s="32" t="s">
        <v>1762</v>
      </c>
      <c r="C128" s="32" t="s">
        <v>1806</v>
      </c>
      <c r="D128" s="33">
        <v>0</v>
      </c>
      <c r="E128" s="33" t="s">
        <v>1639</v>
      </c>
      <c r="F128" s="33">
        <v>262</v>
      </c>
      <c r="G128" s="33">
        <v>105</v>
      </c>
      <c r="H128" s="33" t="s">
        <v>1639</v>
      </c>
      <c r="I128" s="33">
        <v>410</v>
      </c>
      <c r="K128" t="b">
        <f>QHPSelections2016[[#This Row],[County Name]]=P128</f>
        <v>1</v>
      </c>
      <c r="L128" t="b">
        <f>QHPSelections2016[[#This Row],[Silver]]=S128</f>
        <v>1</v>
      </c>
      <c r="N128">
        <v>5057</v>
      </c>
      <c r="O128" t="s">
        <v>1762</v>
      </c>
      <c r="P128" t="s">
        <v>1806</v>
      </c>
      <c r="Q128">
        <v>0</v>
      </c>
      <c r="S128">
        <v>262</v>
      </c>
      <c r="T128">
        <v>105</v>
      </c>
      <c r="V128">
        <v>410</v>
      </c>
    </row>
    <row r="129" spans="1:22">
      <c r="A129" s="32" t="s">
        <v>1807</v>
      </c>
      <c r="B129" s="32" t="s">
        <v>1762</v>
      </c>
      <c r="C129" s="32" t="s">
        <v>1808</v>
      </c>
      <c r="D129" s="33">
        <v>0</v>
      </c>
      <c r="E129" s="33" t="s">
        <v>1639</v>
      </c>
      <c r="F129" s="33">
        <v>628</v>
      </c>
      <c r="G129" s="33">
        <v>157</v>
      </c>
      <c r="H129" s="33" t="s">
        <v>1639</v>
      </c>
      <c r="I129" s="33">
        <v>856</v>
      </c>
      <c r="K129" t="b">
        <f>QHPSelections2016[[#This Row],[County Name]]=P129</f>
        <v>1</v>
      </c>
      <c r="L129" t="b">
        <f>QHPSelections2016[[#This Row],[Silver]]=S129</f>
        <v>1</v>
      </c>
      <c r="N129">
        <v>5059</v>
      </c>
      <c r="O129" t="s">
        <v>1762</v>
      </c>
      <c r="P129" t="s">
        <v>1808</v>
      </c>
      <c r="Q129">
        <v>0</v>
      </c>
      <c r="S129">
        <v>628</v>
      </c>
      <c r="T129">
        <v>157</v>
      </c>
      <c r="V129">
        <v>856</v>
      </c>
    </row>
    <row r="130" spans="1:22">
      <c r="A130" s="32" t="s">
        <v>1809</v>
      </c>
      <c r="B130" s="32" t="s">
        <v>1762</v>
      </c>
      <c r="C130" s="32" t="s">
        <v>1288</v>
      </c>
      <c r="D130" s="33">
        <v>0</v>
      </c>
      <c r="E130" s="33" t="s">
        <v>1639</v>
      </c>
      <c r="F130" s="33">
        <v>199</v>
      </c>
      <c r="G130" s="33">
        <v>61</v>
      </c>
      <c r="H130" s="33" t="s">
        <v>1639</v>
      </c>
      <c r="I130" s="33">
        <v>294</v>
      </c>
      <c r="K130" t="b">
        <f>QHPSelections2016[[#This Row],[County Name]]=P130</f>
        <v>1</v>
      </c>
      <c r="L130" t="b">
        <f>QHPSelections2016[[#This Row],[Silver]]=S130</f>
        <v>1</v>
      </c>
      <c r="N130">
        <v>5061</v>
      </c>
      <c r="O130" t="s">
        <v>1762</v>
      </c>
      <c r="P130" t="s">
        <v>1288</v>
      </c>
      <c r="Q130">
        <v>0</v>
      </c>
      <c r="S130">
        <v>199</v>
      </c>
      <c r="T130">
        <v>61</v>
      </c>
      <c r="V130">
        <v>294</v>
      </c>
    </row>
    <row r="131" spans="1:22">
      <c r="A131" s="32" t="s">
        <v>1810</v>
      </c>
      <c r="B131" s="32" t="s">
        <v>1762</v>
      </c>
      <c r="C131" s="32" t="s">
        <v>1811</v>
      </c>
      <c r="D131" s="33">
        <v>0</v>
      </c>
      <c r="E131" s="33" t="s">
        <v>1639</v>
      </c>
      <c r="F131" s="33">
        <v>794</v>
      </c>
      <c r="G131" s="33">
        <v>193</v>
      </c>
      <c r="H131" s="33" t="s">
        <v>1639</v>
      </c>
      <c r="I131" s="33">
        <v>1094</v>
      </c>
      <c r="K131" t="b">
        <f>QHPSelections2016[[#This Row],[County Name]]=P131</f>
        <v>1</v>
      </c>
      <c r="L131" t="b">
        <f>QHPSelections2016[[#This Row],[Silver]]=S131</f>
        <v>1</v>
      </c>
      <c r="N131">
        <v>5063</v>
      </c>
      <c r="O131" t="s">
        <v>1762</v>
      </c>
      <c r="P131" t="s">
        <v>1811</v>
      </c>
      <c r="Q131">
        <v>0</v>
      </c>
      <c r="S131">
        <v>794</v>
      </c>
      <c r="T131">
        <v>193</v>
      </c>
      <c r="V131" s="51">
        <v>1094</v>
      </c>
    </row>
    <row r="132" spans="1:22">
      <c r="A132" s="32" t="s">
        <v>1812</v>
      </c>
      <c r="B132" s="32" t="s">
        <v>1762</v>
      </c>
      <c r="C132" s="32" t="s">
        <v>1813</v>
      </c>
      <c r="D132" s="33">
        <v>0</v>
      </c>
      <c r="E132" s="33" t="s">
        <v>1639</v>
      </c>
      <c r="F132" s="33">
        <v>219</v>
      </c>
      <c r="G132" s="33">
        <v>54</v>
      </c>
      <c r="H132" s="33" t="s">
        <v>1639</v>
      </c>
      <c r="I132" s="33">
        <v>307</v>
      </c>
      <c r="K132" t="b">
        <f>QHPSelections2016[[#This Row],[County Name]]=P132</f>
        <v>1</v>
      </c>
      <c r="L132" t="b">
        <f>QHPSelections2016[[#This Row],[Silver]]=S132</f>
        <v>1</v>
      </c>
      <c r="N132">
        <v>5065</v>
      </c>
      <c r="O132" t="s">
        <v>1762</v>
      </c>
      <c r="P132" t="s">
        <v>1813</v>
      </c>
      <c r="Q132">
        <v>0</v>
      </c>
      <c r="S132">
        <v>219</v>
      </c>
      <c r="T132">
        <v>54</v>
      </c>
      <c r="V132">
        <v>307</v>
      </c>
    </row>
    <row r="133" spans="1:22">
      <c r="A133" s="32" t="s">
        <v>1814</v>
      </c>
      <c r="B133" s="32" t="s">
        <v>1762</v>
      </c>
      <c r="C133" s="32" t="s">
        <v>984</v>
      </c>
      <c r="D133" s="33">
        <v>0</v>
      </c>
      <c r="E133" s="33" t="s">
        <v>1639</v>
      </c>
      <c r="F133" s="33">
        <v>243</v>
      </c>
      <c r="G133" s="33">
        <v>74</v>
      </c>
      <c r="H133" s="33" t="s">
        <v>1639</v>
      </c>
      <c r="I133" s="33">
        <v>355</v>
      </c>
      <c r="K133" t="b">
        <f>QHPSelections2016[[#This Row],[County Name]]=P133</f>
        <v>1</v>
      </c>
      <c r="L133" t="b">
        <f>QHPSelections2016[[#This Row],[Silver]]=S133</f>
        <v>1</v>
      </c>
      <c r="N133">
        <v>5067</v>
      </c>
      <c r="O133" t="s">
        <v>1762</v>
      </c>
      <c r="P133" t="s">
        <v>984</v>
      </c>
      <c r="Q133">
        <v>0</v>
      </c>
      <c r="S133">
        <v>243</v>
      </c>
      <c r="T133">
        <v>74</v>
      </c>
      <c r="V133">
        <v>355</v>
      </c>
    </row>
    <row r="134" spans="1:22">
      <c r="A134" s="32" t="s">
        <v>1815</v>
      </c>
      <c r="B134" s="32" t="s">
        <v>1762</v>
      </c>
      <c r="C134" s="32" t="s">
        <v>993</v>
      </c>
      <c r="D134" s="33">
        <v>0</v>
      </c>
      <c r="E134" s="33">
        <v>129</v>
      </c>
      <c r="F134" s="33">
        <v>939</v>
      </c>
      <c r="G134" s="33">
        <v>190</v>
      </c>
      <c r="H134" s="33">
        <v>11</v>
      </c>
      <c r="I134" s="33">
        <v>1269</v>
      </c>
      <c r="K134" t="b">
        <f>QHPSelections2016[[#This Row],[County Name]]=P134</f>
        <v>1</v>
      </c>
      <c r="L134" t="b">
        <f>QHPSelections2016[[#This Row],[Silver]]=S134</f>
        <v>1</v>
      </c>
      <c r="N134">
        <v>5069</v>
      </c>
      <c r="O134" t="s">
        <v>1762</v>
      </c>
      <c r="P134" t="s">
        <v>993</v>
      </c>
      <c r="Q134">
        <v>0</v>
      </c>
      <c r="R134">
        <v>129</v>
      </c>
      <c r="S134">
        <v>939</v>
      </c>
      <c r="T134">
        <v>190</v>
      </c>
      <c r="U134">
        <v>11</v>
      </c>
      <c r="V134" s="51">
        <v>1269</v>
      </c>
    </row>
    <row r="135" spans="1:22">
      <c r="A135" s="32" t="s">
        <v>1816</v>
      </c>
      <c r="B135" s="32" t="s">
        <v>1762</v>
      </c>
      <c r="C135" s="32" t="s">
        <v>1064</v>
      </c>
      <c r="D135" s="33">
        <v>0</v>
      </c>
      <c r="E135" s="33" t="s">
        <v>1639</v>
      </c>
      <c r="F135" s="33">
        <v>345</v>
      </c>
      <c r="G135" s="33">
        <v>112</v>
      </c>
      <c r="H135" s="33" t="s">
        <v>1639</v>
      </c>
      <c r="I135" s="33">
        <v>493</v>
      </c>
      <c r="K135" t="b">
        <f>QHPSelections2016[[#This Row],[County Name]]=P135</f>
        <v>1</v>
      </c>
      <c r="L135" t="b">
        <f>QHPSelections2016[[#This Row],[Silver]]=S135</f>
        <v>1</v>
      </c>
      <c r="N135">
        <v>5071</v>
      </c>
      <c r="O135" t="s">
        <v>1762</v>
      </c>
      <c r="P135" t="s">
        <v>1064</v>
      </c>
      <c r="Q135">
        <v>0</v>
      </c>
      <c r="S135">
        <v>345</v>
      </c>
      <c r="T135">
        <v>112</v>
      </c>
      <c r="V135">
        <v>493</v>
      </c>
    </row>
    <row r="136" spans="1:22">
      <c r="A136" s="32" t="s">
        <v>1817</v>
      </c>
      <c r="B136" s="32" t="s">
        <v>1762</v>
      </c>
      <c r="C136" s="32" t="s">
        <v>999</v>
      </c>
      <c r="D136" s="33">
        <v>0</v>
      </c>
      <c r="E136" s="33" t="s">
        <v>1639</v>
      </c>
      <c r="F136" s="33">
        <v>117</v>
      </c>
      <c r="G136" s="33">
        <v>26</v>
      </c>
      <c r="H136" s="33" t="s">
        <v>1639</v>
      </c>
      <c r="I136" s="33">
        <v>151</v>
      </c>
      <c r="K136" t="b">
        <f>QHPSelections2016[[#This Row],[County Name]]=P136</f>
        <v>1</v>
      </c>
      <c r="L136" t="b">
        <f>QHPSelections2016[[#This Row],[Silver]]=S136</f>
        <v>1</v>
      </c>
      <c r="N136">
        <v>5073</v>
      </c>
      <c r="O136" t="s">
        <v>1762</v>
      </c>
      <c r="P136" t="s">
        <v>999</v>
      </c>
      <c r="Q136">
        <v>0</v>
      </c>
      <c r="S136">
        <v>117</v>
      </c>
      <c r="T136">
        <v>26</v>
      </c>
      <c r="V136">
        <v>151</v>
      </c>
    </row>
    <row r="137" spans="1:22">
      <c r="A137" s="32" t="s">
        <v>1818</v>
      </c>
      <c r="B137" s="32" t="s">
        <v>1762</v>
      </c>
      <c r="C137" s="32" t="s">
        <v>1031</v>
      </c>
      <c r="D137" s="33">
        <v>0</v>
      </c>
      <c r="E137" s="33" t="s">
        <v>1639</v>
      </c>
      <c r="F137" s="33">
        <v>308</v>
      </c>
      <c r="G137" s="33">
        <v>79</v>
      </c>
      <c r="H137" s="33" t="s">
        <v>1639</v>
      </c>
      <c r="I137" s="33">
        <v>426</v>
      </c>
      <c r="K137" t="b">
        <f>QHPSelections2016[[#This Row],[County Name]]=P137</f>
        <v>1</v>
      </c>
      <c r="L137" t="b">
        <f>QHPSelections2016[[#This Row],[Silver]]=S137</f>
        <v>1</v>
      </c>
      <c r="N137">
        <v>5075</v>
      </c>
      <c r="O137" t="s">
        <v>1762</v>
      </c>
      <c r="P137" t="s">
        <v>1031</v>
      </c>
      <c r="Q137">
        <v>0</v>
      </c>
      <c r="S137">
        <v>308</v>
      </c>
      <c r="T137">
        <v>79</v>
      </c>
      <c r="V137">
        <v>426</v>
      </c>
    </row>
    <row r="138" spans="1:22">
      <c r="A138" s="32" t="s">
        <v>1819</v>
      </c>
      <c r="B138" s="32" t="s">
        <v>1762</v>
      </c>
      <c r="C138" s="32" t="s">
        <v>1010</v>
      </c>
      <c r="D138" s="33">
        <v>0</v>
      </c>
      <c r="E138" s="33" t="s">
        <v>1639</v>
      </c>
      <c r="F138" s="33">
        <v>115</v>
      </c>
      <c r="G138" s="33">
        <v>71</v>
      </c>
      <c r="H138" s="33" t="s">
        <v>1639</v>
      </c>
      <c r="I138" s="33">
        <v>203</v>
      </c>
      <c r="K138" t="b">
        <f>QHPSelections2016[[#This Row],[County Name]]=P138</f>
        <v>1</v>
      </c>
      <c r="L138" t="b">
        <f>QHPSelections2016[[#This Row],[Silver]]=S138</f>
        <v>1</v>
      </c>
      <c r="N138">
        <v>5077</v>
      </c>
      <c r="O138" t="s">
        <v>1762</v>
      </c>
      <c r="P138" t="s">
        <v>1010</v>
      </c>
      <c r="Q138">
        <v>0</v>
      </c>
      <c r="S138">
        <v>115</v>
      </c>
      <c r="T138">
        <v>71</v>
      </c>
      <c r="V138">
        <v>203</v>
      </c>
    </row>
    <row r="139" spans="1:22">
      <c r="A139" s="32" t="s">
        <v>1820</v>
      </c>
      <c r="B139" s="32" t="s">
        <v>1762</v>
      </c>
      <c r="C139" s="32" t="s">
        <v>1051</v>
      </c>
      <c r="D139" s="33">
        <v>0</v>
      </c>
      <c r="E139" s="33" t="s">
        <v>1639</v>
      </c>
      <c r="F139" s="33">
        <v>189</v>
      </c>
      <c r="G139" s="33">
        <v>45</v>
      </c>
      <c r="H139" s="33" t="s">
        <v>1639</v>
      </c>
      <c r="I139" s="33">
        <v>262</v>
      </c>
      <c r="K139" t="b">
        <f>QHPSelections2016[[#This Row],[County Name]]=P139</f>
        <v>1</v>
      </c>
      <c r="L139" t="b">
        <f>QHPSelections2016[[#This Row],[Silver]]=S139</f>
        <v>1</v>
      </c>
      <c r="N139">
        <v>5079</v>
      </c>
      <c r="O139" t="s">
        <v>1762</v>
      </c>
      <c r="P139" t="s">
        <v>1051</v>
      </c>
      <c r="Q139">
        <v>0</v>
      </c>
      <c r="S139">
        <v>189</v>
      </c>
      <c r="T139">
        <v>45</v>
      </c>
      <c r="V139">
        <v>262</v>
      </c>
    </row>
    <row r="140" spans="1:22">
      <c r="A140" s="32" t="s">
        <v>1821</v>
      </c>
      <c r="B140" s="32" t="s">
        <v>1762</v>
      </c>
      <c r="C140" s="32" t="s">
        <v>1822</v>
      </c>
      <c r="D140" s="33">
        <v>0</v>
      </c>
      <c r="E140" s="33">
        <v>39</v>
      </c>
      <c r="F140" s="33">
        <v>179</v>
      </c>
      <c r="G140" s="33">
        <v>45</v>
      </c>
      <c r="H140" s="33">
        <v>0</v>
      </c>
      <c r="I140" s="33">
        <v>263</v>
      </c>
      <c r="K140" t="b">
        <f>QHPSelections2016[[#This Row],[County Name]]=P140</f>
        <v>1</v>
      </c>
      <c r="L140" t="b">
        <f>QHPSelections2016[[#This Row],[Silver]]=S140</f>
        <v>1</v>
      </c>
      <c r="N140">
        <v>5081</v>
      </c>
      <c r="O140" t="s">
        <v>1762</v>
      </c>
      <c r="P140" t="s">
        <v>1822</v>
      </c>
      <c r="Q140">
        <v>0</v>
      </c>
      <c r="R140">
        <v>39</v>
      </c>
      <c r="S140">
        <v>179</v>
      </c>
      <c r="T140">
        <v>45</v>
      </c>
      <c r="U140">
        <v>0</v>
      </c>
      <c r="V140">
        <v>263</v>
      </c>
    </row>
    <row r="141" spans="1:22">
      <c r="A141" s="32" t="s">
        <v>1823</v>
      </c>
      <c r="B141" s="32" t="s">
        <v>1762</v>
      </c>
      <c r="C141" s="32" t="s">
        <v>1824</v>
      </c>
      <c r="D141" s="33">
        <v>0</v>
      </c>
      <c r="E141" s="33" t="s">
        <v>1639</v>
      </c>
      <c r="F141" s="33">
        <v>331</v>
      </c>
      <c r="G141" s="33">
        <v>81</v>
      </c>
      <c r="H141" s="33" t="s">
        <v>1639</v>
      </c>
      <c r="I141" s="33">
        <v>467</v>
      </c>
      <c r="K141" t="b">
        <f>QHPSelections2016[[#This Row],[County Name]]=P141</f>
        <v>1</v>
      </c>
      <c r="L141" t="b">
        <f>QHPSelections2016[[#This Row],[Silver]]=S141</f>
        <v>1</v>
      </c>
      <c r="N141">
        <v>5083</v>
      </c>
      <c r="O141" t="s">
        <v>1762</v>
      </c>
      <c r="P141" t="s">
        <v>1824</v>
      </c>
      <c r="Q141">
        <v>0</v>
      </c>
      <c r="S141">
        <v>331</v>
      </c>
      <c r="T141">
        <v>81</v>
      </c>
      <c r="V141">
        <v>467</v>
      </c>
    </row>
    <row r="142" spans="1:22">
      <c r="A142" s="32" t="s">
        <v>1825</v>
      </c>
      <c r="B142" s="32" t="s">
        <v>1762</v>
      </c>
      <c r="C142" s="32" t="s">
        <v>1826</v>
      </c>
      <c r="D142" s="33">
        <v>0</v>
      </c>
      <c r="E142" s="33">
        <v>128</v>
      </c>
      <c r="F142" s="33">
        <v>1050</v>
      </c>
      <c r="G142" s="33">
        <v>347</v>
      </c>
      <c r="H142" s="33">
        <v>15</v>
      </c>
      <c r="I142" s="33">
        <v>1540</v>
      </c>
      <c r="K142" t="b">
        <f>QHPSelections2016[[#This Row],[County Name]]=P142</f>
        <v>1</v>
      </c>
      <c r="L142" t="b">
        <f>QHPSelections2016[[#This Row],[Silver]]=S142</f>
        <v>1</v>
      </c>
      <c r="N142">
        <v>5085</v>
      </c>
      <c r="O142" t="s">
        <v>1762</v>
      </c>
      <c r="P142" t="s">
        <v>1826</v>
      </c>
      <c r="Q142">
        <v>0</v>
      </c>
      <c r="R142">
        <v>128</v>
      </c>
      <c r="S142" s="51">
        <v>1050</v>
      </c>
      <c r="T142">
        <v>347</v>
      </c>
      <c r="U142">
        <v>15</v>
      </c>
      <c r="V142" s="51">
        <v>1540</v>
      </c>
    </row>
    <row r="143" spans="1:22">
      <c r="A143" s="32" t="s">
        <v>1827</v>
      </c>
      <c r="B143" s="32" t="s">
        <v>1762</v>
      </c>
      <c r="C143" s="32" t="s">
        <v>1029</v>
      </c>
      <c r="D143" s="33">
        <v>0</v>
      </c>
      <c r="E143" s="33" t="s">
        <v>1639</v>
      </c>
      <c r="F143" s="33">
        <v>326</v>
      </c>
      <c r="G143" s="33">
        <v>100</v>
      </c>
      <c r="H143" s="33" t="s">
        <v>1639</v>
      </c>
      <c r="I143" s="33">
        <v>444</v>
      </c>
      <c r="K143" t="b">
        <f>QHPSelections2016[[#This Row],[County Name]]=P143</f>
        <v>1</v>
      </c>
      <c r="L143" t="b">
        <f>QHPSelections2016[[#This Row],[Silver]]=S143</f>
        <v>1</v>
      </c>
      <c r="N143">
        <v>5087</v>
      </c>
      <c r="O143" t="s">
        <v>1762</v>
      </c>
      <c r="P143" t="s">
        <v>1029</v>
      </c>
      <c r="Q143">
        <v>0</v>
      </c>
      <c r="S143">
        <v>326</v>
      </c>
      <c r="T143">
        <v>100</v>
      </c>
      <c r="V143">
        <v>444</v>
      </c>
    </row>
    <row r="144" spans="1:22">
      <c r="A144" s="32" t="s">
        <v>1828</v>
      </c>
      <c r="B144" s="32" t="s">
        <v>1762</v>
      </c>
      <c r="C144" s="32" t="s">
        <v>1038</v>
      </c>
      <c r="D144" s="33">
        <v>0</v>
      </c>
      <c r="E144" s="33" t="s">
        <v>1639</v>
      </c>
      <c r="F144" s="33">
        <v>354</v>
      </c>
      <c r="G144" s="33">
        <v>81</v>
      </c>
      <c r="H144" s="33" t="s">
        <v>1639</v>
      </c>
      <c r="I144" s="33">
        <v>466</v>
      </c>
      <c r="K144" t="b">
        <f>QHPSelections2016[[#This Row],[County Name]]=P144</f>
        <v>1</v>
      </c>
      <c r="L144" t="b">
        <f>QHPSelections2016[[#This Row],[Silver]]=S144</f>
        <v>1</v>
      </c>
      <c r="N144">
        <v>5089</v>
      </c>
      <c r="O144" t="s">
        <v>1762</v>
      </c>
      <c r="P144" t="s">
        <v>1038</v>
      </c>
      <c r="Q144">
        <v>0</v>
      </c>
      <c r="S144">
        <v>354</v>
      </c>
      <c r="T144">
        <v>81</v>
      </c>
      <c r="V144">
        <v>466</v>
      </c>
    </row>
    <row r="145" spans="1:22">
      <c r="A145" s="32" t="s">
        <v>1829</v>
      </c>
      <c r="B145" s="32" t="s">
        <v>1762</v>
      </c>
      <c r="C145" s="32" t="s">
        <v>1270</v>
      </c>
      <c r="D145" s="33">
        <v>0</v>
      </c>
      <c r="E145" s="33" t="s">
        <v>1639</v>
      </c>
      <c r="F145" s="33">
        <v>565</v>
      </c>
      <c r="G145" s="33">
        <v>215</v>
      </c>
      <c r="H145" s="33" t="s">
        <v>1639</v>
      </c>
      <c r="I145" s="33">
        <v>864</v>
      </c>
      <c r="K145" t="b">
        <f>QHPSelections2016[[#This Row],[County Name]]=P145</f>
        <v>1</v>
      </c>
      <c r="L145" t="b">
        <f>QHPSelections2016[[#This Row],[Silver]]=S145</f>
        <v>1</v>
      </c>
      <c r="N145">
        <v>5091</v>
      </c>
      <c r="O145" t="s">
        <v>1762</v>
      </c>
      <c r="P145" t="s">
        <v>1270</v>
      </c>
      <c r="Q145">
        <v>0</v>
      </c>
      <c r="S145">
        <v>565</v>
      </c>
      <c r="T145">
        <v>215</v>
      </c>
      <c r="V145">
        <v>864</v>
      </c>
    </row>
    <row r="146" spans="1:22">
      <c r="A146" s="32" t="s">
        <v>1830</v>
      </c>
      <c r="B146" s="32" t="s">
        <v>1762</v>
      </c>
      <c r="C146" s="32" t="s">
        <v>1831</v>
      </c>
      <c r="D146" s="33">
        <v>0</v>
      </c>
      <c r="E146" s="33" t="s">
        <v>1639</v>
      </c>
      <c r="F146" s="33">
        <v>653</v>
      </c>
      <c r="G146" s="33">
        <v>140</v>
      </c>
      <c r="H146" s="33" t="s">
        <v>1639</v>
      </c>
      <c r="I146" s="33">
        <v>854</v>
      </c>
      <c r="K146" t="b">
        <f>QHPSelections2016[[#This Row],[County Name]]=P146</f>
        <v>1</v>
      </c>
      <c r="L146" t="b">
        <f>QHPSelections2016[[#This Row],[Silver]]=S146</f>
        <v>1</v>
      </c>
      <c r="N146">
        <v>5093</v>
      </c>
      <c r="O146" t="s">
        <v>1762</v>
      </c>
      <c r="P146" t="s">
        <v>1831</v>
      </c>
      <c r="Q146">
        <v>0</v>
      </c>
      <c r="S146">
        <v>653</v>
      </c>
      <c r="T146">
        <v>140</v>
      </c>
      <c r="V146">
        <v>854</v>
      </c>
    </row>
    <row r="147" spans="1:22">
      <c r="A147" s="32" t="s">
        <v>1832</v>
      </c>
      <c r="B147" s="32" t="s">
        <v>1762</v>
      </c>
      <c r="C147" s="32" t="s">
        <v>1055</v>
      </c>
      <c r="D147" s="33">
        <v>0</v>
      </c>
      <c r="E147" s="33" t="s">
        <v>1639</v>
      </c>
      <c r="F147" s="33">
        <v>129</v>
      </c>
      <c r="G147" s="33">
        <v>48</v>
      </c>
      <c r="H147" s="33" t="s">
        <v>1639</v>
      </c>
      <c r="I147" s="33">
        <v>198</v>
      </c>
      <c r="K147" t="b">
        <f>QHPSelections2016[[#This Row],[County Name]]=P147</f>
        <v>1</v>
      </c>
      <c r="L147" t="b">
        <f>QHPSelections2016[[#This Row],[Silver]]=S147</f>
        <v>1</v>
      </c>
      <c r="N147">
        <v>5095</v>
      </c>
      <c r="O147" t="s">
        <v>1762</v>
      </c>
      <c r="P147" t="s">
        <v>1055</v>
      </c>
      <c r="Q147">
        <v>0</v>
      </c>
      <c r="S147">
        <v>129</v>
      </c>
      <c r="T147">
        <v>48</v>
      </c>
      <c r="V147">
        <v>198</v>
      </c>
    </row>
    <row r="148" spans="1:22">
      <c r="A148" s="32" t="s">
        <v>1833</v>
      </c>
      <c r="B148" s="32" t="s">
        <v>1762</v>
      </c>
      <c r="C148" s="32" t="s">
        <v>1079</v>
      </c>
      <c r="D148" s="33">
        <v>0</v>
      </c>
      <c r="E148" s="33">
        <v>36</v>
      </c>
      <c r="F148" s="33">
        <v>223</v>
      </c>
      <c r="G148" s="33">
        <v>72</v>
      </c>
      <c r="H148" s="33">
        <v>0</v>
      </c>
      <c r="I148" s="33">
        <v>331</v>
      </c>
      <c r="K148" t="b">
        <f>QHPSelections2016[[#This Row],[County Name]]=P148</f>
        <v>1</v>
      </c>
      <c r="L148" t="b">
        <f>QHPSelections2016[[#This Row],[Silver]]=S148</f>
        <v>1</v>
      </c>
      <c r="N148">
        <v>5097</v>
      </c>
      <c r="O148" t="s">
        <v>1762</v>
      </c>
      <c r="P148" t="s">
        <v>1079</v>
      </c>
      <c r="Q148">
        <v>0</v>
      </c>
      <c r="R148">
        <v>36</v>
      </c>
      <c r="S148">
        <v>223</v>
      </c>
      <c r="T148">
        <v>72</v>
      </c>
      <c r="U148">
        <v>0</v>
      </c>
      <c r="V148">
        <v>331</v>
      </c>
    </row>
    <row r="149" spans="1:22">
      <c r="A149" s="32" t="s">
        <v>1834</v>
      </c>
      <c r="B149" s="32" t="s">
        <v>1762</v>
      </c>
      <c r="C149" s="32" t="s">
        <v>1835</v>
      </c>
      <c r="D149" s="33">
        <v>0</v>
      </c>
      <c r="E149" s="33">
        <v>20</v>
      </c>
      <c r="F149" s="33">
        <v>147</v>
      </c>
      <c r="G149" s="33">
        <v>33</v>
      </c>
      <c r="H149" s="33">
        <v>0</v>
      </c>
      <c r="I149" s="33">
        <v>200</v>
      </c>
      <c r="K149" t="b">
        <f>QHPSelections2016[[#This Row],[County Name]]=P149</f>
        <v>1</v>
      </c>
      <c r="L149" t="b">
        <f>QHPSelections2016[[#This Row],[Silver]]=S149</f>
        <v>1</v>
      </c>
      <c r="N149">
        <v>5099</v>
      </c>
      <c r="O149" t="s">
        <v>1762</v>
      </c>
      <c r="P149" t="s">
        <v>1835</v>
      </c>
      <c r="Q149">
        <v>0</v>
      </c>
      <c r="R149">
        <v>20</v>
      </c>
      <c r="S149">
        <v>147</v>
      </c>
      <c r="T149">
        <v>33</v>
      </c>
      <c r="U149">
        <v>0</v>
      </c>
      <c r="V149">
        <v>200</v>
      </c>
    </row>
    <row r="150" spans="1:22">
      <c r="A150" s="32" t="s">
        <v>1836</v>
      </c>
      <c r="B150" s="32" t="s">
        <v>1762</v>
      </c>
      <c r="C150" s="32" t="s">
        <v>1088</v>
      </c>
      <c r="D150" s="33">
        <v>0</v>
      </c>
      <c r="E150" s="33">
        <v>12</v>
      </c>
      <c r="F150" s="33">
        <v>177</v>
      </c>
      <c r="G150" s="33">
        <v>56</v>
      </c>
      <c r="H150" s="33">
        <v>0</v>
      </c>
      <c r="I150" s="33">
        <v>245</v>
      </c>
      <c r="K150" t="b">
        <f>QHPSelections2016[[#This Row],[County Name]]=P150</f>
        <v>1</v>
      </c>
      <c r="L150" t="b">
        <f>QHPSelections2016[[#This Row],[Silver]]=S150</f>
        <v>1</v>
      </c>
      <c r="N150">
        <v>5101</v>
      </c>
      <c r="O150" t="s">
        <v>1762</v>
      </c>
      <c r="P150" t="s">
        <v>1088</v>
      </c>
      <c r="Q150">
        <v>0</v>
      </c>
      <c r="R150">
        <v>12</v>
      </c>
      <c r="S150">
        <v>177</v>
      </c>
      <c r="T150">
        <v>56</v>
      </c>
      <c r="U150">
        <v>0</v>
      </c>
      <c r="V150">
        <v>245</v>
      </c>
    </row>
    <row r="151" spans="1:22">
      <c r="A151" s="32" t="s">
        <v>1837</v>
      </c>
      <c r="B151" s="32" t="s">
        <v>1762</v>
      </c>
      <c r="C151" s="32" t="s">
        <v>1838</v>
      </c>
      <c r="D151" s="33">
        <v>0</v>
      </c>
      <c r="E151" s="33" t="s">
        <v>1639</v>
      </c>
      <c r="F151" s="33">
        <v>361</v>
      </c>
      <c r="G151" s="33">
        <v>136</v>
      </c>
      <c r="H151" s="33" t="s">
        <v>1639</v>
      </c>
      <c r="I151" s="33">
        <v>539</v>
      </c>
      <c r="K151" t="b">
        <f>QHPSelections2016[[#This Row],[County Name]]=P151</f>
        <v>1</v>
      </c>
      <c r="L151" t="b">
        <f>QHPSelections2016[[#This Row],[Silver]]=S151</f>
        <v>1</v>
      </c>
      <c r="N151">
        <v>5103</v>
      </c>
      <c r="O151" t="s">
        <v>1762</v>
      </c>
      <c r="P151" t="s">
        <v>1838</v>
      </c>
      <c r="Q151">
        <v>0</v>
      </c>
      <c r="S151">
        <v>361</v>
      </c>
      <c r="T151">
        <v>136</v>
      </c>
      <c r="V151">
        <v>539</v>
      </c>
    </row>
    <row r="152" spans="1:22">
      <c r="A152" s="32" t="s">
        <v>1839</v>
      </c>
      <c r="B152" s="32" t="s">
        <v>1762</v>
      </c>
      <c r="C152" s="32" t="s">
        <v>1097</v>
      </c>
      <c r="D152" s="33">
        <v>0</v>
      </c>
      <c r="E152" s="33" t="s">
        <v>1639</v>
      </c>
      <c r="F152" s="33">
        <v>178</v>
      </c>
      <c r="G152" s="33">
        <v>56</v>
      </c>
      <c r="H152" s="33" t="s">
        <v>1639</v>
      </c>
      <c r="I152" s="33">
        <v>257</v>
      </c>
      <c r="K152" t="b">
        <f>QHPSelections2016[[#This Row],[County Name]]=P152</f>
        <v>1</v>
      </c>
      <c r="L152" t="b">
        <f>QHPSelections2016[[#This Row],[Silver]]=S152</f>
        <v>1</v>
      </c>
      <c r="N152">
        <v>5105</v>
      </c>
      <c r="O152" t="s">
        <v>1762</v>
      </c>
      <c r="P152" t="s">
        <v>1097</v>
      </c>
      <c r="Q152">
        <v>0</v>
      </c>
      <c r="S152">
        <v>178</v>
      </c>
      <c r="T152">
        <v>56</v>
      </c>
      <c r="V152">
        <v>257</v>
      </c>
    </row>
    <row r="153" spans="1:22">
      <c r="A153" s="32" t="s">
        <v>1840</v>
      </c>
      <c r="B153" s="32" t="s">
        <v>1762</v>
      </c>
      <c r="C153" s="32" t="s">
        <v>1841</v>
      </c>
      <c r="D153" s="33">
        <v>0</v>
      </c>
      <c r="E153" s="33" t="s">
        <v>1639</v>
      </c>
      <c r="F153" s="33">
        <v>281</v>
      </c>
      <c r="G153" s="33">
        <v>81</v>
      </c>
      <c r="H153" s="33" t="s">
        <v>1639</v>
      </c>
      <c r="I153" s="33">
        <v>399</v>
      </c>
      <c r="K153" t="b">
        <f>QHPSelections2016[[#This Row],[County Name]]=P153</f>
        <v>1</v>
      </c>
      <c r="L153" t="b">
        <f>QHPSelections2016[[#This Row],[Silver]]=S153</f>
        <v>1</v>
      </c>
      <c r="N153">
        <v>5107</v>
      </c>
      <c r="O153" t="s">
        <v>1762</v>
      </c>
      <c r="P153" t="s">
        <v>1841</v>
      </c>
      <c r="Q153">
        <v>0</v>
      </c>
      <c r="S153">
        <v>281</v>
      </c>
      <c r="T153">
        <v>81</v>
      </c>
      <c r="V153">
        <v>399</v>
      </c>
    </row>
    <row r="154" spans="1:22">
      <c r="A154" s="32" t="s">
        <v>1842</v>
      </c>
      <c r="B154" s="32" t="s">
        <v>1762</v>
      </c>
      <c r="C154" s="32" t="s">
        <v>1109</v>
      </c>
      <c r="D154" s="33">
        <v>0</v>
      </c>
      <c r="E154" s="33" t="s">
        <v>1639</v>
      </c>
      <c r="F154" s="33">
        <v>242</v>
      </c>
      <c r="G154" s="33">
        <v>63</v>
      </c>
      <c r="H154" s="33" t="s">
        <v>1639</v>
      </c>
      <c r="I154" s="33">
        <v>342</v>
      </c>
      <c r="K154" t="b">
        <f>QHPSelections2016[[#This Row],[County Name]]=P154</f>
        <v>1</v>
      </c>
      <c r="L154" t="b">
        <f>QHPSelections2016[[#This Row],[Silver]]=S154</f>
        <v>1</v>
      </c>
      <c r="N154">
        <v>5109</v>
      </c>
      <c r="O154" t="s">
        <v>1762</v>
      </c>
      <c r="P154" t="s">
        <v>1109</v>
      </c>
      <c r="Q154">
        <v>0</v>
      </c>
      <c r="S154">
        <v>242</v>
      </c>
      <c r="T154">
        <v>63</v>
      </c>
      <c r="V154">
        <v>342</v>
      </c>
    </row>
    <row r="155" spans="1:22">
      <c r="A155" s="32" t="s">
        <v>1843</v>
      </c>
      <c r="B155" s="32" t="s">
        <v>1762</v>
      </c>
      <c r="C155" s="32" t="s">
        <v>1844</v>
      </c>
      <c r="D155" s="33">
        <v>0</v>
      </c>
      <c r="E155" s="33">
        <v>36</v>
      </c>
      <c r="F155" s="33">
        <v>442</v>
      </c>
      <c r="G155" s="33">
        <v>100</v>
      </c>
      <c r="H155" s="33">
        <v>0</v>
      </c>
      <c r="I155" s="33">
        <v>578</v>
      </c>
      <c r="K155" t="b">
        <f>QHPSelections2016[[#This Row],[County Name]]=P155</f>
        <v>1</v>
      </c>
      <c r="L155" t="b">
        <f>QHPSelections2016[[#This Row],[Silver]]=S155</f>
        <v>1</v>
      </c>
      <c r="N155">
        <v>5111</v>
      </c>
      <c r="O155" t="s">
        <v>1762</v>
      </c>
      <c r="P155" t="s">
        <v>1844</v>
      </c>
      <c r="Q155">
        <v>0</v>
      </c>
      <c r="R155">
        <v>36</v>
      </c>
      <c r="S155">
        <v>442</v>
      </c>
      <c r="T155">
        <v>100</v>
      </c>
      <c r="U155">
        <v>0</v>
      </c>
      <c r="V155">
        <v>578</v>
      </c>
    </row>
    <row r="156" spans="1:22">
      <c r="A156" s="32" t="s">
        <v>1845</v>
      </c>
      <c r="B156" s="32" t="s">
        <v>1762</v>
      </c>
      <c r="C156" s="32" t="s">
        <v>1098</v>
      </c>
      <c r="D156" s="33">
        <v>0</v>
      </c>
      <c r="E156" s="33" t="s">
        <v>1639</v>
      </c>
      <c r="F156" s="33">
        <v>392</v>
      </c>
      <c r="G156" s="33">
        <v>70</v>
      </c>
      <c r="H156" s="33" t="s">
        <v>1639</v>
      </c>
      <c r="I156" s="33">
        <v>499</v>
      </c>
      <c r="K156" t="b">
        <f>QHPSelections2016[[#This Row],[County Name]]=P156</f>
        <v>1</v>
      </c>
      <c r="L156" t="b">
        <f>QHPSelections2016[[#This Row],[Silver]]=S156</f>
        <v>1</v>
      </c>
      <c r="N156">
        <v>5113</v>
      </c>
      <c r="O156" t="s">
        <v>1762</v>
      </c>
      <c r="P156" t="s">
        <v>1098</v>
      </c>
      <c r="Q156">
        <v>0</v>
      </c>
      <c r="S156">
        <v>392</v>
      </c>
      <c r="T156">
        <v>70</v>
      </c>
      <c r="V156">
        <v>499</v>
      </c>
    </row>
    <row r="157" spans="1:22">
      <c r="A157" s="32" t="s">
        <v>1846</v>
      </c>
      <c r="B157" s="32" t="s">
        <v>1762</v>
      </c>
      <c r="C157" s="32" t="s">
        <v>1847</v>
      </c>
      <c r="D157" s="33">
        <v>0</v>
      </c>
      <c r="E157" s="33">
        <v>95</v>
      </c>
      <c r="F157" s="33">
        <v>973</v>
      </c>
      <c r="G157" s="33">
        <v>299</v>
      </c>
      <c r="H157" s="33">
        <v>15</v>
      </c>
      <c r="I157" s="33">
        <v>1382</v>
      </c>
      <c r="K157" t="b">
        <f>QHPSelections2016[[#This Row],[County Name]]=P157</f>
        <v>1</v>
      </c>
      <c r="L157" t="b">
        <f>QHPSelections2016[[#This Row],[Silver]]=S157</f>
        <v>1</v>
      </c>
      <c r="N157">
        <v>5115</v>
      </c>
      <c r="O157" t="s">
        <v>1762</v>
      </c>
      <c r="P157" t="s">
        <v>1847</v>
      </c>
      <c r="Q157">
        <v>0</v>
      </c>
      <c r="R157">
        <v>95</v>
      </c>
      <c r="S157">
        <v>973</v>
      </c>
      <c r="T157">
        <v>299</v>
      </c>
      <c r="U157">
        <v>15</v>
      </c>
      <c r="V157" s="51">
        <v>1382</v>
      </c>
    </row>
    <row r="158" spans="1:22">
      <c r="A158" s="32" t="s">
        <v>1848</v>
      </c>
      <c r="B158" s="32" t="s">
        <v>1762</v>
      </c>
      <c r="C158" s="32" t="s">
        <v>1849</v>
      </c>
      <c r="D158" s="33">
        <v>0</v>
      </c>
      <c r="E158" s="33" t="s">
        <v>1639</v>
      </c>
      <c r="F158" s="33">
        <v>167</v>
      </c>
      <c r="G158" s="33">
        <v>40</v>
      </c>
      <c r="H158" s="33" t="s">
        <v>1639</v>
      </c>
      <c r="I158" s="33">
        <v>216</v>
      </c>
      <c r="K158" t="b">
        <f>QHPSelections2016[[#This Row],[County Name]]=P158</f>
        <v>1</v>
      </c>
      <c r="L158" t="b">
        <f>QHPSelections2016[[#This Row],[Silver]]=S158</f>
        <v>1</v>
      </c>
      <c r="N158">
        <v>5117</v>
      </c>
      <c r="O158" t="s">
        <v>1762</v>
      </c>
      <c r="P158" t="s">
        <v>1849</v>
      </c>
      <c r="Q158">
        <v>0</v>
      </c>
      <c r="S158">
        <v>167</v>
      </c>
      <c r="T158">
        <v>40</v>
      </c>
      <c r="V158">
        <v>216</v>
      </c>
    </row>
    <row r="159" spans="1:22">
      <c r="A159" s="32" t="s">
        <v>1850</v>
      </c>
      <c r="B159" s="32" t="s">
        <v>1762</v>
      </c>
      <c r="C159" s="32" t="s">
        <v>1290</v>
      </c>
      <c r="D159" s="33">
        <v>0</v>
      </c>
      <c r="E159" s="33">
        <v>955</v>
      </c>
      <c r="F159" s="33">
        <v>6493</v>
      </c>
      <c r="G159" s="33">
        <v>1987</v>
      </c>
      <c r="H159" s="33">
        <v>128</v>
      </c>
      <c r="I159" s="33">
        <v>9563</v>
      </c>
      <c r="K159" t="b">
        <f>QHPSelections2016[[#This Row],[County Name]]=P159</f>
        <v>1</v>
      </c>
      <c r="L159" t="b">
        <f>QHPSelections2016[[#This Row],[Silver]]=S159</f>
        <v>1</v>
      </c>
      <c r="N159">
        <v>5119</v>
      </c>
      <c r="O159" t="s">
        <v>1762</v>
      </c>
      <c r="P159" t="s">
        <v>1290</v>
      </c>
      <c r="Q159">
        <v>0</v>
      </c>
      <c r="R159">
        <v>955</v>
      </c>
      <c r="S159" s="51">
        <v>6493</v>
      </c>
      <c r="T159" s="51">
        <v>1987</v>
      </c>
      <c r="U159">
        <v>128</v>
      </c>
      <c r="V159" s="51">
        <v>9563</v>
      </c>
    </row>
    <row r="160" spans="1:22">
      <c r="A160" s="32" t="s">
        <v>1851</v>
      </c>
      <c r="B160" s="32" t="s">
        <v>1762</v>
      </c>
      <c r="C160" s="32" t="s">
        <v>1115</v>
      </c>
      <c r="D160" s="33">
        <v>0</v>
      </c>
      <c r="E160" s="33" t="s">
        <v>1639</v>
      </c>
      <c r="F160" s="33">
        <v>324</v>
      </c>
      <c r="G160" s="33">
        <v>90</v>
      </c>
      <c r="H160" s="33" t="s">
        <v>1639</v>
      </c>
      <c r="I160" s="33">
        <v>438</v>
      </c>
      <c r="K160" t="b">
        <f>QHPSelections2016[[#This Row],[County Name]]=P160</f>
        <v>1</v>
      </c>
      <c r="L160" t="b">
        <f>QHPSelections2016[[#This Row],[Silver]]=S160</f>
        <v>1</v>
      </c>
      <c r="N160">
        <v>5121</v>
      </c>
      <c r="O160" t="s">
        <v>1762</v>
      </c>
      <c r="P160" t="s">
        <v>1115</v>
      </c>
      <c r="Q160">
        <v>0</v>
      </c>
      <c r="S160">
        <v>324</v>
      </c>
      <c r="T160">
        <v>90</v>
      </c>
      <c r="V160">
        <v>438</v>
      </c>
    </row>
    <row r="161" spans="1:22">
      <c r="A161" s="32" t="s">
        <v>1852</v>
      </c>
      <c r="B161" s="32" t="s">
        <v>1762</v>
      </c>
      <c r="C161" s="32" t="s">
        <v>1853</v>
      </c>
      <c r="D161" s="33">
        <v>0</v>
      </c>
      <c r="E161" s="33" t="s">
        <v>1639</v>
      </c>
      <c r="F161" s="33">
        <v>313</v>
      </c>
      <c r="G161" s="33">
        <v>102</v>
      </c>
      <c r="H161" s="33" t="s">
        <v>1639</v>
      </c>
      <c r="I161" s="33">
        <v>450</v>
      </c>
      <c r="K161" t="b">
        <f>QHPSelections2016[[#This Row],[County Name]]=P161</f>
        <v>0</v>
      </c>
      <c r="L161" t="b">
        <f>QHPSelections2016[[#This Row],[Silver]]=S161</f>
        <v>0</v>
      </c>
      <c r="N161">
        <v>5125</v>
      </c>
      <c r="O161" t="s">
        <v>1762</v>
      </c>
      <c r="P161" t="s">
        <v>1855</v>
      </c>
      <c r="Q161">
        <v>0</v>
      </c>
      <c r="R161">
        <v>254</v>
      </c>
      <c r="S161" s="51">
        <v>1893</v>
      </c>
      <c r="T161">
        <v>567</v>
      </c>
      <c r="U161">
        <v>34</v>
      </c>
      <c r="V161" s="51">
        <v>2748</v>
      </c>
    </row>
    <row r="162" spans="1:22">
      <c r="A162" s="32" t="s">
        <v>1854</v>
      </c>
      <c r="B162" s="32" t="s">
        <v>1762</v>
      </c>
      <c r="C162" s="32" t="s">
        <v>1855</v>
      </c>
      <c r="D162" s="33">
        <v>0</v>
      </c>
      <c r="E162" s="33">
        <v>254</v>
      </c>
      <c r="F162" s="33">
        <v>1893</v>
      </c>
      <c r="G162" s="33">
        <v>567</v>
      </c>
      <c r="H162" s="33">
        <v>34</v>
      </c>
      <c r="I162" s="33">
        <v>2748</v>
      </c>
      <c r="K162" t="b">
        <f>QHPSelections2016[[#This Row],[County Name]]=P162</f>
        <v>0</v>
      </c>
      <c r="L162" t="b">
        <f>QHPSelections2016[[#This Row],[Silver]]=S162</f>
        <v>0</v>
      </c>
      <c r="N162">
        <v>5127</v>
      </c>
      <c r="O162" t="s">
        <v>1762</v>
      </c>
      <c r="P162" t="s">
        <v>1146</v>
      </c>
      <c r="Q162">
        <v>0</v>
      </c>
      <c r="S162">
        <v>110</v>
      </c>
      <c r="T162">
        <v>31</v>
      </c>
      <c r="V162">
        <v>154</v>
      </c>
    </row>
    <row r="163" spans="1:22">
      <c r="A163" s="32" t="s">
        <v>1856</v>
      </c>
      <c r="B163" s="32" t="s">
        <v>1762</v>
      </c>
      <c r="C163" s="32" t="s">
        <v>1146</v>
      </c>
      <c r="D163" s="33">
        <v>0</v>
      </c>
      <c r="E163" s="33" t="s">
        <v>1639</v>
      </c>
      <c r="F163" s="33">
        <v>110</v>
      </c>
      <c r="G163" s="33">
        <v>31</v>
      </c>
      <c r="H163" s="33" t="s">
        <v>1639</v>
      </c>
      <c r="I163" s="33">
        <v>154</v>
      </c>
      <c r="K163" t="b">
        <f>QHPSelections2016[[#This Row],[County Name]]=P163</f>
        <v>0</v>
      </c>
      <c r="L163" t="b">
        <f>QHPSelections2016[[#This Row],[Silver]]=S163</f>
        <v>0</v>
      </c>
      <c r="N163">
        <v>5129</v>
      </c>
      <c r="O163" t="s">
        <v>1762</v>
      </c>
      <c r="P163" t="s">
        <v>1858</v>
      </c>
      <c r="Q163">
        <v>0</v>
      </c>
      <c r="S163">
        <v>198</v>
      </c>
      <c r="T163">
        <v>57</v>
      </c>
      <c r="V163">
        <v>274</v>
      </c>
    </row>
    <row r="164" spans="1:22">
      <c r="A164" s="32" t="s">
        <v>1857</v>
      </c>
      <c r="B164" s="32" t="s">
        <v>1762</v>
      </c>
      <c r="C164" s="32" t="s">
        <v>1858</v>
      </c>
      <c r="D164" s="33">
        <v>0</v>
      </c>
      <c r="E164" s="33" t="s">
        <v>1639</v>
      </c>
      <c r="F164" s="33">
        <v>198</v>
      </c>
      <c r="G164" s="33">
        <v>57</v>
      </c>
      <c r="H164" s="33" t="s">
        <v>1639</v>
      </c>
      <c r="I164" s="33">
        <v>274</v>
      </c>
      <c r="K164" t="b">
        <f>QHPSelections2016[[#This Row],[County Name]]=P164</f>
        <v>0</v>
      </c>
      <c r="L164" t="b">
        <f>QHPSelections2016[[#This Row],[Silver]]=S164</f>
        <v>0</v>
      </c>
      <c r="N164">
        <v>5131</v>
      </c>
      <c r="O164" t="s">
        <v>1762</v>
      </c>
      <c r="P164" t="s">
        <v>1860</v>
      </c>
      <c r="Q164">
        <v>0</v>
      </c>
      <c r="R164">
        <v>269</v>
      </c>
      <c r="S164" s="51">
        <v>2035</v>
      </c>
      <c r="T164">
        <v>520</v>
      </c>
      <c r="U164">
        <v>19</v>
      </c>
      <c r="V164" s="51">
        <v>2843</v>
      </c>
    </row>
    <row r="165" spans="1:22">
      <c r="A165" s="32" t="s">
        <v>1859</v>
      </c>
      <c r="B165" s="32" t="s">
        <v>1762</v>
      </c>
      <c r="C165" s="32" t="s">
        <v>1860</v>
      </c>
      <c r="D165" s="33">
        <v>0</v>
      </c>
      <c r="E165" s="33">
        <v>269</v>
      </c>
      <c r="F165" s="33">
        <v>2035</v>
      </c>
      <c r="G165" s="33">
        <v>520</v>
      </c>
      <c r="H165" s="33">
        <v>19</v>
      </c>
      <c r="I165" s="33">
        <v>2843</v>
      </c>
      <c r="K165" t="b">
        <f>QHPSelections2016[[#This Row],[County Name]]=P165</f>
        <v>0</v>
      </c>
      <c r="L165" t="b">
        <f>QHPSelections2016[[#This Row],[Silver]]=S165</f>
        <v>0</v>
      </c>
      <c r="N165">
        <v>5133</v>
      </c>
      <c r="O165" t="s">
        <v>1762</v>
      </c>
      <c r="P165" t="s">
        <v>1214</v>
      </c>
      <c r="Q165">
        <v>0</v>
      </c>
      <c r="S165">
        <v>236</v>
      </c>
      <c r="T165">
        <v>48</v>
      </c>
      <c r="V165">
        <v>314</v>
      </c>
    </row>
    <row r="166" spans="1:22">
      <c r="A166" s="32" t="s">
        <v>1861</v>
      </c>
      <c r="B166" s="32" t="s">
        <v>1762</v>
      </c>
      <c r="C166" s="32" t="s">
        <v>1214</v>
      </c>
      <c r="D166" s="33">
        <v>0</v>
      </c>
      <c r="E166" s="33" t="s">
        <v>1639</v>
      </c>
      <c r="F166" s="33">
        <v>236</v>
      </c>
      <c r="G166" s="33">
        <v>48</v>
      </c>
      <c r="H166" s="33" t="s">
        <v>1639</v>
      </c>
      <c r="I166" s="33">
        <v>314</v>
      </c>
      <c r="K166" t="b">
        <f>QHPSelections2016[[#This Row],[County Name]]=P166</f>
        <v>0</v>
      </c>
      <c r="L166" t="b">
        <f>QHPSelections2016[[#This Row],[Silver]]=S166</f>
        <v>0</v>
      </c>
      <c r="N166">
        <v>5135</v>
      </c>
      <c r="O166" t="s">
        <v>1762</v>
      </c>
      <c r="P166" t="s">
        <v>1863</v>
      </c>
      <c r="Q166">
        <v>0</v>
      </c>
      <c r="S166">
        <v>373</v>
      </c>
      <c r="T166">
        <v>102</v>
      </c>
      <c r="V166">
        <v>513</v>
      </c>
    </row>
    <row r="167" spans="1:22">
      <c r="A167" s="32" t="s">
        <v>1862</v>
      </c>
      <c r="B167" s="32" t="s">
        <v>1762</v>
      </c>
      <c r="C167" s="32" t="s">
        <v>1863</v>
      </c>
      <c r="D167" s="33">
        <v>0</v>
      </c>
      <c r="E167" s="33" t="s">
        <v>1639</v>
      </c>
      <c r="F167" s="33">
        <v>373</v>
      </c>
      <c r="G167" s="33">
        <v>102</v>
      </c>
      <c r="H167" s="33" t="s">
        <v>1639</v>
      </c>
      <c r="I167" s="33">
        <v>513</v>
      </c>
      <c r="K167" t="b">
        <f>QHPSelections2016[[#This Row],[County Name]]=P167</f>
        <v>0</v>
      </c>
      <c r="L167" t="b">
        <f>QHPSelections2016[[#This Row],[Silver]]=S167</f>
        <v>0</v>
      </c>
      <c r="N167">
        <v>5123</v>
      </c>
      <c r="O167" t="s">
        <v>1762</v>
      </c>
      <c r="P167" t="s">
        <v>1853</v>
      </c>
      <c r="Q167">
        <v>0</v>
      </c>
      <c r="S167">
        <v>313</v>
      </c>
      <c r="T167">
        <v>102</v>
      </c>
      <c r="V167">
        <v>450</v>
      </c>
    </row>
    <row r="168" spans="1:22">
      <c r="A168" s="32" t="s">
        <v>1864</v>
      </c>
      <c r="B168" s="32" t="s">
        <v>1762</v>
      </c>
      <c r="C168" s="32" t="s">
        <v>1168</v>
      </c>
      <c r="D168" s="33">
        <v>0</v>
      </c>
      <c r="E168" s="33" t="s">
        <v>1639</v>
      </c>
      <c r="F168" s="33">
        <v>256</v>
      </c>
      <c r="G168" s="33">
        <v>81</v>
      </c>
      <c r="H168" s="33" t="s">
        <v>1639</v>
      </c>
      <c r="I168" s="33">
        <v>371</v>
      </c>
      <c r="K168" t="b">
        <f>QHPSelections2016[[#This Row],[County Name]]=P168</f>
        <v>1</v>
      </c>
      <c r="L168" t="b">
        <f>QHPSelections2016[[#This Row],[Silver]]=S168</f>
        <v>1</v>
      </c>
      <c r="N168">
        <v>5137</v>
      </c>
      <c r="O168" t="s">
        <v>1762</v>
      </c>
      <c r="P168" t="s">
        <v>1168</v>
      </c>
      <c r="Q168">
        <v>0</v>
      </c>
      <c r="S168">
        <v>256</v>
      </c>
      <c r="T168">
        <v>81</v>
      </c>
      <c r="V168">
        <v>371</v>
      </c>
    </row>
    <row r="169" spans="1:22">
      <c r="A169" s="32" t="s">
        <v>1865</v>
      </c>
      <c r="B169" s="32" t="s">
        <v>1762</v>
      </c>
      <c r="C169" s="32" t="s">
        <v>1149</v>
      </c>
      <c r="D169" s="33">
        <v>0</v>
      </c>
      <c r="E169" s="33" t="s">
        <v>1639</v>
      </c>
      <c r="F169" s="33">
        <v>613</v>
      </c>
      <c r="G169" s="33">
        <v>160</v>
      </c>
      <c r="H169" s="33" t="s">
        <v>1639</v>
      </c>
      <c r="I169" s="33">
        <v>871</v>
      </c>
      <c r="K169" t="b">
        <f>QHPSelections2016[[#This Row],[County Name]]=P169</f>
        <v>1</v>
      </c>
      <c r="L169" t="b">
        <f>QHPSelections2016[[#This Row],[Silver]]=S169</f>
        <v>1</v>
      </c>
      <c r="N169">
        <v>5139</v>
      </c>
      <c r="O169" t="s">
        <v>1762</v>
      </c>
      <c r="P169" t="s">
        <v>1149</v>
      </c>
      <c r="Q169">
        <v>0</v>
      </c>
      <c r="S169">
        <v>613</v>
      </c>
      <c r="T169">
        <v>160</v>
      </c>
      <c r="V169">
        <v>871</v>
      </c>
    </row>
    <row r="170" spans="1:22">
      <c r="A170" s="32" t="s">
        <v>1866</v>
      </c>
      <c r="B170" s="32" t="s">
        <v>1762</v>
      </c>
      <c r="C170" s="32" t="s">
        <v>1246</v>
      </c>
      <c r="D170" s="33">
        <v>0</v>
      </c>
      <c r="E170" s="33" t="s">
        <v>1639</v>
      </c>
      <c r="F170" s="33">
        <v>333</v>
      </c>
      <c r="G170" s="33">
        <v>99</v>
      </c>
      <c r="H170" s="33" t="s">
        <v>1639</v>
      </c>
      <c r="I170" s="33">
        <v>470</v>
      </c>
      <c r="K170" t="b">
        <f>QHPSelections2016[[#This Row],[County Name]]=P170</f>
        <v>1</v>
      </c>
      <c r="L170" t="b">
        <f>QHPSelections2016[[#This Row],[Silver]]=S170</f>
        <v>1</v>
      </c>
      <c r="N170">
        <v>5141</v>
      </c>
      <c r="O170" t="s">
        <v>1762</v>
      </c>
      <c r="P170" t="s">
        <v>1246</v>
      </c>
      <c r="Q170">
        <v>0</v>
      </c>
      <c r="S170">
        <v>333</v>
      </c>
      <c r="T170">
        <v>99</v>
      </c>
      <c r="V170">
        <v>470</v>
      </c>
    </row>
    <row r="171" spans="1:22">
      <c r="A171" s="32" t="s">
        <v>1867</v>
      </c>
      <c r="B171" s="32" t="s">
        <v>1762</v>
      </c>
      <c r="C171" s="32" t="s">
        <v>1160</v>
      </c>
      <c r="D171" s="33">
        <v>0</v>
      </c>
      <c r="E171" s="33">
        <v>552</v>
      </c>
      <c r="F171" s="33">
        <v>4346</v>
      </c>
      <c r="G171" s="33">
        <v>1536</v>
      </c>
      <c r="H171" s="33">
        <v>93</v>
      </c>
      <c r="I171" s="33">
        <v>6527</v>
      </c>
      <c r="K171" t="b">
        <f>QHPSelections2016[[#This Row],[County Name]]=P171</f>
        <v>1</v>
      </c>
      <c r="L171" t="b">
        <f>QHPSelections2016[[#This Row],[Silver]]=S171</f>
        <v>1</v>
      </c>
      <c r="N171">
        <v>5143</v>
      </c>
      <c r="O171" t="s">
        <v>1762</v>
      </c>
      <c r="P171" t="s">
        <v>1160</v>
      </c>
      <c r="Q171">
        <v>0</v>
      </c>
      <c r="R171">
        <v>552</v>
      </c>
      <c r="S171" s="51">
        <v>4346</v>
      </c>
      <c r="T171" s="51">
        <v>1536</v>
      </c>
      <c r="U171">
        <v>93</v>
      </c>
      <c r="V171" s="51">
        <v>6527</v>
      </c>
    </row>
    <row r="172" spans="1:22">
      <c r="A172" s="32" t="s">
        <v>1868</v>
      </c>
      <c r="B172" s="32" t="s">
        <v>1762</v>
      </c>
      <c r="C172" s="32" t="s">
        <v>1258</v>
      </c>
      <c r="D172" s="33">
        <v>0</v>
      </c>
      <c r="E172" s="33" t="s">
        <v>1639</v>
      </c>
      <c r="F172" s="33">
        <v>1319</v>
      </c>
      <c r="G172" s="33">
        <v>419</v>
      </c>
      <c r="H172" s="33" t="s">
        <v>1639</v>
      </c>
      <c r="I172" s="33">
        <v>1943</v>
      </c>
      <c r="K172" t="b">
        <f>QHPSelections2016[[#This Row],[County Name]]=P172</f>
        <v>1</v>
      </c>
      <c r="L172" t="b">
        <f>QHPSelections2016[[#This Row],[Silver]]=S172</f>
        <v>1</v>
      </c>
      <c r="N172">
        <v>5145</v>
      </c>
      <c r="O172" t="s">
        <v>1762</v>
      </c>
      <c r="P172" t="s">
        <v>1258</v>
      </c>
      <c r="Q172">
        <v>0</v>
      </c>
      <c r="S172" s="51">
        <v>1319</v>
      </c>
      <c r="T172">
        <v>419</v>
      </c>
      <c r="V172" s="51">
        <v>1943</v>
      </c>
    </row>
    <row r="173" spans="1:22">
      <c r="A173" s="32" t="s">
        <v>1869</v>
      </c>
      <c r="B173" s="32" t="s">
        <v>1762</v>
      </c>
      <c r="C173" s="32" t="s">
        <v>1870</v>
      </c>
      <c r="D173" s="33">
        <v>0</v>
      </c>
      <c r="E173" s="33">
        <v>18</v>
      </c>
      <c r="F173" s="33">
        <v>128</v>
      </c>
      <c r="G173" s="33">
        <v>26</v>
      </c>
      <c r="H173" s="33">
        <v>0</v>
      </c>
      <c r="I173" s="33">
        <v>172</v>
      </c>
      <c r="K173" t="b">
        <f>QHPSelections2016[[#This Row],[County Name]]=P173</f>
        <v>1</v>
      </c>
      <c r="L173" t="b">
        <f>QHPSelections2016[[#This Row],[Silver]]=S173</f>
        <v>1</v>
      </c>
      <c r="N173">
        <v>5147</v>
      </c>
      <c r="O173" t="s">
        <v>1762</v>
      </c>
      <c r="P173" t="s">
        <v>1870</v>
      </c>
      <c r="Q173">
        <v>0</v>
      </c>
      <c r="R173">
        <v>18</v>
      </c>
      <c r="S173">
        <v>128</v>
      </c>
      <c r="T173">
        <v>26</v>
      </c>
      <c r="U173">
        <v>0</v>
      </c>
      <c r="V173">
        <v>172</v>
      </c>
    </row>
    <row r="174" spans="1:22">
      <c r="A174" s="32" t="s">
        <v>1871</v>
      </c>
      <c r="B174" s="32" t="s">
        <v>1762</v>
      </c>
      <c r="C174" s="32" t="s">
        <v>1872</v>
      </c>
      <c r="D174" s="33">
        <v>0</v>
      </c>
      <c r="E174" s="33" t="s">
        <v>1639</v>
      </c>
      <c r="F174" s="33">
        <v>329</v>
      </c>
      <c r="G174" s="33">
        <v>89</v>
      </c>
      <c r="H174" s="33" t="s">
        <v>1639</v>
      </c>
      <c r="I174" s="33">
        <v>457</v>
      </c>
      <c r="K174" t="b">
        <f>QHPSelections2016[[#This Row],[County Name]]=P174</f>
        <v>1</v>
      </c>
      <c r="L174" t="b">
        <f>QHPSelections2016[[#This Row],[Silver]]=S174</f>
        <v>1</v>
      </c>
      <c r="N174">
        <v>5149</v>
      </c>
      <c r="O174" t="s">
        <v>1762</v>
      </c>
      <c r="P174" t="s">
        <v>1872</v>
      </c>
      <c r="Q174">
        <v>0</v>
      </c>
      <c r="S174">
        <v>329</v>
      </c>
      <c r="T174">
        <v>89</v>
      </c>
      <c r="V174">
        <v>457</v>
      </c>
    </row>
    <row r="175" spans="1:22">
      <c r="A175" s="32" t="s">
        <v>1873</v>
      </c>
      <c r="B175" s="32" t="s">
        <v>1874</v>
      </c>
      <c r="C175" s="32" t="s">
        <v>1875</v>
      </c>
      <c r="D175" s="33" t="s">
        <v>1639</v>
      </c>
      <c r="E175" s="33">
        <v>16</v>
      </c>
      <c r="F175" s="33">
        <v>329</v>
      </c>
      <c r="G175" s="33">
        <v>158</v>
      </c>
      <c r="H175" s="33" t="s">
        <v>1639</v>
      </c>
      <c r="I175" s="33">
        <v>509</v>
      </c>
      <c r="K175" t="b">
        <f>QHPSelections2016[[#This Row],[County Name]]=P175</f>
        <v>1</v>
      </c>
      <c r="L175" t="b">
        <f>QHPSelections2016[[#This Row],[Silver]]=S175</f>
        <v>1</v>
      </c>
      <c r="N175">
        <v>4001</v>
      </c>
      <c r="O175" t="s">
        <v>1874</v>
      </c>
      <c r="P175" t="s">
        <v>1875</v>
      </c>
      <c r="R175">
        <v>16</v>
      </c>
      <c r="S175">
        <v>329</v>
      </c>
      <c r="T175">
        <v>158</v>
      </c>
      <c r="V175">
        <v>509</v>
      </c>
    </row>
    <row r="176" spans="1:22">
      <c r="A176" s="32" t="s">
        <v>1876</v>
      </c>
      <c r="B176" s="32" t="s">
        <v>1874</v>
      </c>
      <c r="C176" s="32" t="s">
        <v>1877</v>
      </c>
      <c r="D176" s="33">
        <v>0</v>
      </c>
      <c r="E176" s="33">
        <v>281</v>
      </c>
      <c r="F176" s="33">
        <v>2049</v>
      </c>
      <c r="G176" s="33">
        <v>843</v>
      </c>
      <c r="H176" s="33">
        <v>33</v>
      </c>
      <c r="I176" s="33">
        <v>3206</v>
      </c>
      <c r="K176" t="b">
        <f>QHPSelections2016[[#This Row],[County Name]]=P176</f>
        <v>1</v>
      </c>
      <c r="L176" t="b">
        <f>QHPSelections2016[[#This Row],[Silver]]=S176</f>
        <v>1</v>
      </c>
      <c r="N176">
        <v>4003</v>
      </c>
      <c r="O176" t="s">
        <v>1874</v>
      </c>
      <c r="P176" t="s">
        <v>1877</v>
      </c>
      <c r="Q176">
        <v>0</v>
      </c>
      <c r="R176">
        <v>281</v>
      </c>
      <c r="S176" s="51">
        <v>2049</v>
      </c>
      <c r="T176">
        <v>843</v>
      </c>
      <c r="U176">
        <v>33</v>
      </c>
      <c r="V176" s="51">
        <v>3206</v>
      </c>
    </row>
    <row r="177" spans="1:22">
      <c r="A177" s="32" t="s">
        <v>1878</v>
      </c>
      <c r="B177" s="32" t="s">
        <v>1874</v>
      </c>
      <c r="C177" s="32" t="s">
        <v>1879</v>
      </c>
      <c r="D177" s="33">
        <v>0</v>
      </c>
      <c r="E177" s="33">
        <v>175</v>
      </c>
      <c r="F177" s="33">
        <v>2421</v>
      </c>
      <c r="G177" s="33">
        <v>1527</v>
      </c>
      <c r="H177" s="33">
        <v>74</v>
      </c>
      <c r="I177" s="33">
        <v>4197</v>
      </c>
      <c r="K177" t="b">
        <f>QHPSelections2016[[#This Row],[County Name]]=P177</f>
        <v>1</v>
      </c>
      <c r="L177" t="b">
        <f>QHPSelections2016[[#This Row],[Silver]]=S177</f>
        <v>1</v>
      </c>
      <c r="N177">
        <v>4005</v>
      </c>
      <c r="O177" t="s">
        <v>1874</v>
      </c>
      <c r="P177" t="s">
        <v>1879</v>
      </c>
      <c r="Q177">
        <v>0</v>
      </c>
      <c r="R177">
        <v>175</v>
      </c>
      <c r="S177" s="51">
        <v>2421</v>
      </c>
      <c r="T177" s="51">
        <v>1527</v>
      </c>
      <c r="U177">
        <v>74</v>
      </c>
      <c r="V177" s="51">
        <v>4197</v>
      </c>
    </row>
    <row r="178" spans="1:22">
      <c r="A178" s="32" t="s">
        <v>1880</v>
      </c>
      <c r="B178" s="32" t="s">
        <v>1874</v>
      </c>
      <c r="C178" s="32" t="s">
        <v>1881</v>
      </c>
      <c r="D178" s="33">
        <v>0</v>
      </c>
      <c r="E178" s="33">
        <v>124</v>
      </c>
      <c r="F178" s="33">
        <v>996</v>
      </c>
      <c r="G178" s="33">
        <v>321</v>
      </c>
      <c r="H178" s="33">
        <v>11</v>
      </c>
      <c r="I178" s="33">
        <v>1452</v>
      </c>
      <c r="K178" t="b">
        <f>QHPSelections2016[[#This Row],[County Name]]=P178</f>
        <v>1</v>
      </c>
      <c r="L178" t="b">
        <f>QHPSelections2016[[#This Row],[Silver]]=S178</f>
        <v>1</v>
      </c>
      <c r="N178">
        <v>4007</v>
      </c>
      <c r="O178" t="s">
        <v>1874</v>
      </c>
      <c r="P178" t="s">
        <v>1881</v>
      </c>
      <c r="Q178">
        <v>0</v>
      </c>
      <c r="R178">
        <v>124</v>
      </c>
      <c r="S178">
        <v>996</v>
      </c>
      <c r="T178">
        <v>321</v>
      </c>
      <c r="U178">
        <v>11</v>
      </c>
      <c r="V178" s="51">
        <v>1452</v>
      </c>
    </row>
    <row r="179" spans="1:22">
      <c r="A179" s="32" t="s">
        <v>1882</v>
      </c>
      <c r="B179" s="32" t="s">
        <v>1874</v>
      </c>
      <c r="C179" s="32" t="s">
        <v>1026</v>
      </c>
      <c r="D179" s="33" t="s">
        <v>1639</v>
      </c>
      <c r="E179" s="33">
        <v>55</v>
      </c>
      <c r="F179" s="33">
        <v>744</v>
      </c>
      <c r="G179" s="33">
        <v>102</v>
      </c>
      <c r="H179" s="33" t="s">
        <v>1639</v>
      </c>
      <c r="I179" s="33">
        <v>905</v>
      </c>
      <c r="K179" t="b">
        <f>QHPSelections2016[[#This Row],[County Name]]=P179</f>
        <v>1</v>
      </c>
      <c r="L179" t="b">
        <f>QHPSelections2016[[#This Row],[Silver]]=S179</f>
        <v>1</v>
      </c>
      <c r="N179">
        <v>4009</v>
      </c>
      <c r="O179" t="s">
        <v>1874</v>
      </c>
      <c r="P179" t="s">
        <v>1026</v>
      </c>
      <c r="R179">
        <v>55</v>
      </c>
      <c r="S179">
        <v>744</v>
      </c>
      <c r="T179">
        <v>102</v>
      </c>
      <c r="V179">
        <v>905</v>
      </c>
    </row>
    <row r="180" spans="1:22">
      <c r="A180" s="32" t="s">
        <v>1883</v>
      </c>
      <c r="B180" s="32" t="s">
        <v>1874</v>
      </c>
      <c r="C180" s="32" t="s">
        <v>1884</v>
      </c>
      <c r="D180" s="33" t="s">
        <v>1639</v>
      </c>
      <c r="E180" s="33">
        <v>18</v>
      </c>
      <c r="F180" s="33">
        <v>73</v>
      </c>
      <c r="G180" s="33">
        <v>15</v>
      </c>
      <c r="H180" s="33" t="s">
        <v>1639</v>
      </c>
      <c r="I180" s="33">
        <v>108</v>
      </c>
      <c r="K180" t="b">
        <f>QHPSelections2016[[#This Row],[County Name]]=P180</f>
        <v>1</v>
      </c>
      <c r="L180" t="b">
        <f>QHPSelections2016[[#This Row],[Silver]]=S180</f>
        <v>1</v>
      </c>
      <c r="N180">
        <v>4011</v>
      </c>
      <c r="O180" t="s">
        <v>1874</v>
      </c>
      <c r="P180" t="s">
        <v>1884</v>
      </c>
      <c r="R180">
        <v>18</v>
      </c>
      <c r="S180">
        <v>73</v>
      </c>
      <c r="T180">
        <v>15</v>
      </c>
      <c r="V180">
        <v>108</v>
      </c>
    </row>
    <row r="181" spans="1:22">
      <c r="A181" s="32" t="s">
        <v>1885</v>
      </c>
      <c r="B181" s="32" t="s">
        <v>1874</v>
      </c>
      <c r="C181" s="32" t="s">
        <v>1886</v>
      </c>
      <c r="D181" s="33" t="s">
        <v>1639</v>
      </c>
      <c r="E181" s="33">
        <v>41</v>
      </c>
      <c r="F181" s="33">
        <v>218</v>
      </c>
      <c r="G181" s="33">
        <v>66</v>
      </c>
      <c r="H181" s="33" t="s">
        <v>1639</v>
      </c>
      <c r="I181" s="33">
        <v>331</v>
      </c>
      <c r="K181" t="b">
        <f>QHPSelections2016[[#This Row],[County Name]]=P181</f>
        <v>1</v>
      </c>
      <c r="L181" t="b">
        <f>QHPSelections2016[[#This Row],[Silver]]=S181</f>
        <v>1</v>
      </c>
      <c r="N181">
        <v>4012</v>
      </c>
      <c r="O181" t="s">
        <v>1874</v>
      </c>
      <c r="P181" t="s">
        <v>1886</v>
      </c>
      <c r="R181">
        <v>41</v>
      </c>
      <c r="S181">
        <v>218</v>
      </c>
      <c r="T181">
        <v>66</v>
      </c>
      <c r="V181">
        <v>331</v>
      </c>
    </row>
    <row r="182" spans="1:22">
      <c r="A182" s="32" t="s">
        <v>1887</v>
      </c>
      <c r="B182" s="32" t="s">
        <v>1874</v>
      </c>
      <c r="C182" s="32" t="s">
        <v>1888</v>
      </c>
      <c r="D182" s="33">
        <v>974</v>
      </c>
      <c r="E182" s="33">
        <v>15787</v>
      </c>
      <c r="F182" s="33">
        <v>78825</v>
      </c>
      <c r="G182" s="33">
        <v>27050</v>
      </c>
      <c r="H182" s="33">
        <v>3681</v>
      </c>
      <c r="I182" s="33">
        <v>126317</v>
      </c>
      <c r="K182" t="b">
        <f>QHPSelections2016[[#This Row],[County Name]]=P182</f>
        <v>1</v>
      </c>
      <c r="L182" t="b">
        <f>QHPSelections2016[[#This Row],[Silver]]=S182</f>
        <v>1</v>
      </c>
      <c r="N182">
        <v>4013</v>
      </c>
      <c r="O182" t="s">
        <v>1874</v>
      </c>
      <c r="P182" t="s">
        <v>1888</v>
      </c>
      <c r="Q182">
        <v>974</v>
      </c>
      <c r="R182" s="51">
        <v>15787</v>
      </c>
      <c r="S182" s="51">
        <v>78825</v>
      </c>
      <c r="T182" s="51">
        <v>27050</v>
      </c>
      <c r="U182" s="51">
        <v>3681</v>
      </c>
      <c r="V182" s="51">
        <v>126317</v>
      </c>
    </row>
    <row r="183" spans="1:22">
      <c r="A183" s="32" t="s">
        <v>1889</v>
      </c>
      <c r="B183" s="32" t="s">
        <v>1874</v>
      </c>
      <c r="C183" s="32" t="s">
        <v>1890</v>
      </c>
      <c r="D183" s="33">
        <v>0</v>
      </c>
      <c r="E183" s="33">
        <v>276</v>
      </c>
      <c r="F183" s="33">
        <v>4105</v>
      </c>
      <c r="G183" s="33">
        <v>2097</v>
      </c>
      <c r="H183" s="33">
        <v>47</v>
      </c>
      <c r="I183" s="33">
        <v>6525</v>
      </c>
      <c r="K183" t="b">
        <f>QHPSelections2016[[#This Row],[County Name]]=P183</f>
        <v>1</v>
      </c>
      <c r="L183" t="b">
        <f>QHPSelections2016[[#This Row],[Silver]]=S183</f>
        <v>1</v>
      </c>
      <c r="N183">
        <v>4015</v>
      </c>
      <c r="O183" t="s">
        <v>1874</v>
      </c>
      <c r="P183" t="s">
        <v>1890</v>
      </c>
      <c r="Q183">
        <v>0</v>
      </c>
      <c r="R183">
        <v>276</v>
      </c>
      <c r="S183" s="51">
        <v>4105</v>
      </c>
      <c r="T183" s="51">
        <v>2097</v>
      </c>
      <c r="U183">
        <v>47</v>
      </c>
      <c r="V183" s="51">
        <v>6525</v>
      </c>
    </row>
    <row r="184" spans="1:22">
      <c r="A184" s="32" t="s">
        <v>1891</v>
      </c>
      <c r="B184" s="32" t="s">
        <v>1874</v>
      </c>
      <c r="C184" s="32" t="s">
        <v>1892</v>
      </c>
      <c r="D184" s="33" t="s">
        <v>1639</v>
      </c>
      <c r="E184" s="33">
        <v>99</v>
      </c>
      <c r="F184" s="33">
        <v>1365</v>
      </c>
      <c r="G184" s="33">
        <v>672</v>
      </c>
      <c r="H184" s="33" t="s">
        <v>1639</v>
      </c>
      <c r="I184" s="33">
        <v>2142</v>
      </c>
      <c r="K184" t="b">
        <f>QHPSelections2016[[#This Row],[County Name]]=P184</f>
        <v>1</v>
      </c>
      <c r="L184" t="b">
        <f>QHPSelections2016[[#This Row],[Silver]]=S184</f>
        <v>1</v>
      </c>
      <c r="N184">
        <v>4017</v>
      </c>
      <c r="O184" t="s">
        <v>1874</v>
      </c>
      <c r="P184" t="s">
        <v>1892</v>
      </c>
      <c r="R184">
        <v>99</v>
      </c>
      <c r="S184" s="51">
        <v>1365</v>
      </c>
      <c r="T184">
        <v>672</v>
      </c>
      <c r="V184" s="51">
        <v>2142</v>
      </c>
    </row>
    <row r="185" spans="1:22">
      <c r="A185" s="32" t="s">
        <v>1893</v>
      </c>
      <c r="B185" s="32" t="s">
        <v>1874</v>
      </c>
      <c r="C185" s="32" t="s">
        <v>1894</v>
      </c>
      <c r="D185" s="33">
        <v>430</v>
      </c>
      <c r="E185" s="33">
        <v>4118</v>
      </c>
      <c r="F185" s="33">
        <v>20802</v>
      </c>
      <c r="G185" s="33">
        <v>5400</v>
      </c>
      <c r="H185" s="33">
        <v>411</v>
      </c>
      <c r="I185" s="33">
        <v>31161</v>
      </c>
      <c r="K185" t="b">
        <f>QHPSelections2016[[#This Row],[County Name]]=P185</f>
        <v>1</v>
      </c>
      <c r="L185" t="b">
        <f>QHPSelections2016[[#This Row],[Silver]]=S185</f>
        <v>1</v>
      </c>
      <c r="N185">
        <v>4019</v>
      </c>
      <c r="O185" t="s">
        <v>1874</v>
      </c>
      <c r="P185" t="s">
        <v>1894</v>
      </c>
      <c r="Q185">
        <v>430</v>
      </c>
      <c r="R185" s="51">
        <v>4118</v>
      </c>
      <c r="S185" s="51">
        <v>20802</v>
      </c>
      <c r="T185" s="51">
        <v>5400</v>
      </c>
      <c r="U185">
        <v>411</v>
      </c>
      <c r="V185" s="51">
        <v>31161</v>
      </c>
    </row>
    <row r="186" spans="1:22">
      <c r="A186" s="32" t="s">
        <v>1895</v>
      </c>
      <c r="B186" s="32" t="s">
        <v>1874</v>
      </c>
      <c r="C186" s="32" t="s">
        <v>1896</v>
      </c>
      <c r="D186" s="33">
        <v>0</v>
      </c>
      <c r="E186" s="33">
        <v>747</v>
      </c>
      <c r="F186" s="33">
        <v>6614</v>
      </c>
      <c r="G186" s="33">
        <v>2246</v>
      </c>
      <c r="H186" s="33">
        <v>60</v>
      </c>
      <c r="I186" s="33">
        <v>9667</v>
      </c>
      <c r="K186" t="b">
        <f>QHPSelections2016[[#This Row],[County Name]]=P186</f>
        <v>1</v>
      </c>
      <c r="L186" t="b">
        <f>QHPSelections2016[[#This Row],[Silver]]=S186</f>
        <v>1</v>
      </c>
      <c r="N186">
        <v>4021</v>
      </c>
      <c r="O186" t="s">
        <v>1874</v>
      </c>
      <c r="P186" t="s">
        <v>1896</v>
      </c>
      <c r="Q186">
        <v>0</v>
      </c>
      <c r="R186">
        <v>747</v>
      </c>
      <c r="S186" s="51">
        <v>6614</v>
      </c>
      <c r="T186" s="51">
        <v>2246</v>
      </c>
      <c r="U186">
        <v>60</v>
      </c>
      <c r="V186" s="51">
        <v>9667</v>
      </c>
    </row>
    <row r="187" spans="1:22">
      <c r="A187" s="32" t="s">
        <v>1897</v>
      </c>
      <c r="B187" s="32" t="s">
        <v>1874</v>
      </c>
      <c r="C187" s="32" t="s">
        <v>1898</v>
      </c>
      <c r="D187" s="33" t="s">
        <v>1639</v>
      </c>
      <c r="E187" s="33">
        <v>219</v>
      </c>
      <c r="F187" s="33">
        <v>1458</v>
      </c>
      <c r="G187" s="33">
        <v>427</v>
      </c>
      <c r="H187" s="33" t="s">
        <v>1639</v>
      </c>
      <c r="I187" s="33">
        <v>2111</v>
      </c>
      <c r="K187" t="b">
        <f>QHPSelections2016[[#This Row],[County Name]]=P187</f>
        <v>1</v>
      </c>
      <c r="L187" t="b">
        <f>QHPSelections2016[[#This Row],[Silver]]=S187</f>
        <v>1</v>
      </c>
      <c r="N187">
        <v>4023</v>
      </c>
      <c r="O187" t="s">
        <v>1874</v>
      </c>
      <c r="P187" t="s">
        <v>1898</v>
      </c>
      <c r="R187">
        <v>219</v>
      </c>
      <c r="S187" s="51">
        <v>1458</v>
      </c>
      <c r="T187">
        <v>427</v>
      </c>
      <c r="V187" s="51">
        <v>2111</v>
      </c>
    </row>
    <row r="188" spans="1:22">
      <c r="A188" s="32" t="s">
        <v>1899</v>
      </c>
      <c r="B188" s="32" t="s">
        <v>1874</v>
      </c>
      <c r="C188" s="32" t="s">
        <v>1900</v>
      </c>
      <c r="D188" s="33">
        <v>0</v>
      </c>
      <c r="E188" s="33">
        <v>433</v>
      </c>
      <c r="F188" s="33">
        <v>5673</v>
      </c>
      <c r="G188" s="33">
        <v>3718</v>
      </c>
      <c r="H188" s="33">
        <v>51</v>
      </c>
      <c r="I188" s="33">
        <v>9875</v>
      </c>
      <c r="K188" t="b">
        <f>QHPSelections2016[[#This Row],[County Name]]=P188</f>
        <v>1</v>
      </c>
      <c r="L188" t="b">
        <f>QHPSelections2016[[#This Row],[Silver]]=S188</f>
        <v>1</v>
      </c>
      <c r="N188">
        <v>4025</v>
      </c>
      <c r="O188" t="s">
        <v>1874</v>
      </c>
      <c r="P188" t="s">
        <v>1900</v>
      </c>
      <c r="Q188">
        <v>0</v>
      </c>
      <c r="R188">
        <v>433</v>
      </c>
      <c r="S188" s="51">
        <v>5673</v>
      </c>
      <c r="T188" s="51">
        <v>3718</v>
      </c>
      <c r="U188">
        <v>51</v>
      </c>
      <c r="V188" s="51">
        <v>9875</v>
      </c>
    </row>
    <row r="189" spans="1:22">
      <c r="A189" s="32" t="s">
        <v>1901</v>
      </c>
      <c r="B189" s="32" t="s">
        <v>1874</v>
      </c>
      <c r="C189" s="32" t="s">
        <v>1902</v>
      </c>
      <c r="D189" s="33">
        <v>0</v>
      </c>
      <c r="E189" s="33">
        <v>335</v>
      </c>
      <c r="F189" s="33">
        <v>2808</v>
      </c>
      <c r="G189" s="33">
        <v>1390</v>
      </c>
      <c r="H189" s="33">
        <v>25</v>
      </c>
      <c r="I189" s="33">
        <v>4558</v>
      </c>
      <c r="K189" t="b">
        <f>QHPSelections2016[[#This Row],[County Name]]=P189</f>
        <v>1</v>
      </c>
      <c r="L189" t="b">
        <f>QHPSelections2016[[#This Row],[Silver]]=S189</f>
        <v>1</v>
      </c>
      <c r="N189">
        <v>4027</v>
      </c>
      <c r="O189" t="s">
        <v>1874</v>
      </c>
      <c r="P189" t="s">
        <v>1902</v>
      </c>
      <c r="Q189">
        <v>0</v>
      </c>
      <c r="R189">
        <v>335</v>
      </c>
      <c r="S189" s="51">
        <v>2808</v>
      </c>
      <c r="T189" s="51">
        <v>1390</v>
      </c>
      <c r="U189">
        <v>25</v>
      </c>
      <c r="V189" s="51">
        <v>4558</v>
      </c>
    </row>
    <row r="190" spans="1:22">
      <c r="A190" s="32" t="s">
        <v>1903</v>
      </c>
      <c r="B190" s="32" t="s">
        <v>1904</v>
      </c>
      <c r="C190" s="32" t="s">
        <v>1310</v>
      </c>
      <c r="D190" s="33">
        <v>95</v>
      </c>
      <c r="E190" s="33">
        <v>443</v>
      </c>
      <c r="F190" s="33">
        <v>2455</v>
      </c>
      <c r="G190" s="33">
        <v>806</v>
      </c>
      <c r="H190" s="33">
        <v>21</v>
      </c>
      <c r="I190" s="33">
        <v>3820</v>
      </c>
      <c r="K190" t="b">
        <f>QHPSelections2016[[#This Row],[County Name]]=P190</f>
        <v>1</v>
      </c>
      <c r="L190" t="b">
        <f>QHPSelections2016[[#This Row],[Silver]]=S190</f>
        <v>1</v>
      </c>
      <c r="N190">
        <v>10001</v>
      </c>
      <c r="O190" t="s">
        <v>1904</v>
      </c>
      <c r="P190" t="s">
        <v>1310</v>
      </c>
      <c r="Q190">
        <v>95</v>
      </c>
      <c r="R190">
        <v>443</v>
      </c>
      <c r="S190" s="51">
        <v>2455</v>
      </c>
      <c r="T190">
        <v>806</v>
      </c>
      <c r="U190">
        <v>21</v>
      </c>
      <c r="V190" s="51">
        <v>3820</v>
      </c>
    </row>
    <row r="191" spans="1:22">
      <c r="A191" s="32" t="s">
        <v>1905</v>
      </c>
      <c r="B191" s="32" t="s">
        <v>1904</v>
      </c>
      <c r="C191" s="32" t="s">
        <v>1906</v>
      </c>
      <c r="D191" s="33">
        <v>518</v>
      </c>
      <c r="E191" s="33">
        <v>2212</v>
      </c>
      <c r="F191" s="33">
        <v>10030</v>
      </c>
      <c r="G191" s="33">
        <v>3847</v>
      </c>
      <c r="H191" s="33">
        <v>93</v>
      </c>
      <c r="I191" s="33">
        <v>16700</v>
      </c>
      <c r="K191" t="b">
        <f>QHPSelections2016[[#This Row],[County Name]]=P191</f>
        <v>1</v>
      </c>
      <c r="L191" t="b">
        <f>QHPSelections2016[[#This Row],[Silver]]=S191</f>
        <v>1</v>
      </c>
      <c r="N191">
        <v>10003</v>
      </c>
      <c r="O191" t="s">
        <v>1904</v>
      </c>
      <c r="P191" t="s">
        <v>1906</v>
      </c>
      <c r="Q191">
        <v>518</v>
      </c>
      <c r="R191" s="51">
        <v>2212</v>
      </c>
      <c r="S191" s="51">
        <v>10030</v>
      </c>
      <c r="T191" s="51">
        <v>3847</v>
      </c>
      <c r="U191">
        <v>93</v>
      </c>
      <c r="V191" s="51">
        <v>16700</v>
      </c>
    </row>
    <row r="192" spans="1:22">
      <c r="A192" s="32" t="s">
        <v>1907</v>
      </c>
      <c r="B192" s="32" t="s">
        <v>1904</v>
      </c>
      <c r="C192" s="32" t="s">
        <v>1908</v>
      </c>
      <c r="D192" s="33">
        <v>197</v>
      </c>
      <c r="E192" s="33">
        <v>1148</v>
      </c>
      <c r="F192" s="33">
        <v>4868</v>
      </c>
      <c r="G192" s="33">
        <v>1496</v>
      </c>
      <c r="H192" s="33">
        <v>27</v>
      </c>
      <c r="I192" s="33">
        <v>7736</v>
      </c>
      <c r="K192" t="b">
        <f>QHPSelections2016[[#This Row],[County Name]]=P192</f>
        <v>1</v>
      </c>
      <c r="L192" t="b">
        <f>QHPSelections2016[[#This Row],[Silver]]=S192</f>
        <v>1</v>
      </c>
      <c r="N192">
        <v>10005</v>
      </c>
      <c r="O192" t="s">
        <v>1904</v>
      </c>
      <c r="P192" t="s">
        <v>1908</v>
      </c>
      <c r="Q192">
        <v>197</v>
      </c>
      <c r="R192" s="51">
        <v>1148</v>
      </c>
      <c r="S192" s="51">
        <v>4868</v>
      </c>
      <c r="T192" s="51">
        <v>1496</v>
      </c>
      <c r="U192">
        <v>27</v>
      </c>
      <c r="V192" s="51">
        <v>7736</v>
      </c>
    </row>
    <row r="193" spans="1:22">
      <c r="A193" s="32" t="s">
        <v>1909</v>
      </c>
      <c r="B193" s="32" t="s">
        <v>1447</v>
      </c>
      <c r="C193" s="32" t="s">
        <v>818</v>
      </c>
      <c r="D193" s="33">
        <v>486</v>
      </c>
      <c r="E193" s="33">
        <v>767</v>
      </c>
      <c r="F193" s="33">
        <v>11629</v>
      </c>
      <c r="G193" s="33">
        <v>1803</v>
      </c>
      <c r="H193" s="33">
        <v>141</v>
      </c>
      <c r="I193" s="33">
        <v>14826</v>
      </c>
      <c r="K193" t="b">
        <f>QHPSelections2016[[#This Row],[County Name]]=P193</f>
        <v>1</v>
      </c>
      <c r="L193" t="b">
        <f>QHPSelections2016[[#This Row],[Silver]]=S193</f>
        <v>1</v>
      </c>
      <c r="N193">
        <v>12001</v>
      </c>
      <c r="O193" t="s">
        <v>1447</v>
      </c>
      <c r="P193" t="s">
        <v>818</v>
      </c>
      <c r="Q193">
        <v>486</v>
      </c>
      <c r="R193">
        <v>767</v>
      </c>
      <c r="S193" s="51">
        <v>11629</v>
      </c>
      <c r="T193" s="51">
        <v>1803</v>
      </c>
      <c r="U193">
        <v>141</v>
      </c>
      <c r="V193" s="51">
        <v>14826</v>
      </c>
    </row>
    <row r="194" spans="1:22">
      <c r="A194" s="32" t="s">
        <v>1910</v>
      </c>
      <c r="B194" s="32" t="s">
        <v>1447</v>
      </c>
      <c r="C194" s="32" t="s">
        <v>824</v>
      </c>
      <c r="D194" s="33" t="s">
        <v>1639</v>
      </c>
      <c r="E194" s="33">
        <v>67</v>
      </c>
      <c r="F194" s="33">
        <v>850</v>
      </c>
      <c r="G194" s="33">
        <v>92</v>
      </c>
      <c r="H194" s="33" t="s">
        <v>1639</v>
      </c>
      <c r="I194" s="33">
        <v>1043</v>
      </c>
      <c r="K194" t="b">
        <f>QHPSelections2016[[#This Row],[County Name]]=P194</f>
        <v>1</v>
      </c>
      <c r="L194" t="b">
        <f>QHPSelections2016[[#This Row],[Silver]]=S194</f>
        <v>1</v>
      </c>
      <c r="N194">
        <v>12003</v>
      </c>
      <c r="O194" t="s">
        <v>1447</v>
      </c>
      <c r="P194" t="s">
        <v>824</v>
      </c>
      <c r="R194">
        <v>67</v>
      </c>
      <c r="S194">
        <v>850</v>
      </c>
      <c r="T194">
        <v>92</v>
      </c>
      <c r="V194" s="51">
        <v>1043</v>
      </c>
    </row>
    <row r="195" spans="1:22">
      <c r="A195" s="32" t="s">
        <v>1911</v>
      </c>
      <c r="B195" s="32" t="s">
        <v>1447</v>
      </c>
      <c r="C195" s="32" t="s">
        <v>831</v>
      </c>
      <c r="D195" s="33">
        <v>492</v>
      </c>
      <c r="E195" s="33">
        <v>694</v>
      </c>
      <c r="F195" s="33">
        <v>9276</v>
      </c>
      <c r="G195" s="33">
        <v>1085</v>
      </c>
      <c r="H195" s="33">
        <v>20</v>
      </c>
      <c r="I195" s="33">
        <v>11567</v>
      </c>
      <c r="K195" t="b">
        <f>QHPSelections2016[[#This Row],[County Name]]=P195</f>
        <v>1</v>
      </c>
      <c r="L195" t="b">
        <f>QHPSelections2016[[#This Row],[Silver]]=S195</f>
        <v>1</v>
      </c>
      <c r="N195">
        <v>12005</v>
      </c>
      <c r="O195" t="s">
        <v>1447</v>
      </c>
      <c r="P195" t="s">
        <v>831</v>
      </c>
      <c r="Q195">
        <v>492</v>
      </c>
      <c r="R195">
        <v>694</v>
      </c>
      <c r="S195" s="51">
        <v>9276</v>
      </c>
      <c r="T195" s="51">
        <v>1085</v>
      </c>
      <c r="U195">
        <v>20</v>
      </c>
      <c r="V195" s="51">
        <v>11567</v>
      </c>
    </row>
    <row r="196" spans="1:22">
      <c r="A196" s="32" t="s">
        <v>1912</v>
      </c>
      <c r="B196" s="32" t="s">
        <v>1447</v>
      </c>
      <c r="C196" s="32" t="s">
        <v>838</v>
      </c>
      <c r="D196" s="33" t="s">
        <v>1639</v>
      </c>
      <c r="E196" s="33">
        <v>65</v>
      </c>
      <c r="F196" s="33">
        <v>939</v>
      </c>
      <c r="G196" s="33">
        <v>107</v>
      </c>
      <c r="H196" s="33" t="s">
        <v>1639</v>
      </c>
      <c r="I196" s="33">
        <v>1163</v>
      </c>
      <c r="K196" t="b">
        <f>QHPSelections2016[[#This Row],[County Name]]=P196</f>
        <v>1</v>
      </c>
      <c r="L196" t="b">
        <f>QHPSelections2016[[#This Row],[Silver]]=S196</f>
        <v>1</v>
      </c>
      <c r="N196">
        <v>12007</v>
      </c>
      <c r="O196" t="s">
        <v>1447</v>
      </c>
      <c r="P196" t="s">
        <v>838</v>
      </c>
      <c r="R196">
        <v>65</v>
      </c>
      <c r="S196">
        <v>939</v>
      </c>
      <c r="T196">
        <v>107</v>
      </c>
      <c r="V196" s="51">
        <v>1163</v>
      </c>
    </row>
    <row r="197" spans="1:22">
      <c r="A197" s="32" t="s">
        <v>1913</v>
      </c>
      <c r="B197" s="32" t="s">
        <v>1447</v>
      </c>
      <c r="C197" s="32" t="s">
        <v>844</v>
      </c>
      <c r="D197" s="33">
        <v>1007</v>
      </c>
      <c r="E197" s="33">
        <v>1867</v>
      </c>
      <c r="F197" s="33">
        <v>28564</v>
      </c>
      <c r="G197" s="33">
        <v>6111</v>
      </c>
      <c r="H197" s="33">
        <v>230</v>
      </c>
      <c r="I197" s="33">
        <v>37779</v>
      </c>
      <c r="K197" t="b">
        <f>QHPSelections2016[[#This Row],[County Name]]=P197</f>
        <v>1</v>
      </c>
      <c r="L197" t="b">
        <f>QHPSelections2016[[#This Row],[Silver]]=S197</f>
        <v>1</v>
      </c>
      <c r="N197">
        <v>12009</v>
      </c>
      <c r="O197" t="s">
        <v>1447</v>
      </c>
      <c r="P197" t="s">
        <v>844</v>
      </c>
      <c r="Q197" s="51">
        <v>1007</v>
      </c>
      <c r="R197" s="51">
        <v>1867</v>
      </c>
      <c r="S197" s="51">
        <v>28564</v>
      </c>
      <c r="T197" s="51">
        <v>6111</v>
      </c>
      <c r="U197">
        <v>230</v>
      </c>
      <c r="V197" s="51">
        <v>37779</v>
      </c>
    </row>
    <row r="198" spans="1:22">
      <c r="A198" s="32" t="s">
        <v>1914</v>
      </c>
      <c r="B198" s="32" t="s">
        <v>1447</v>
      </c>
      <c r="C198" s="32" t="s">
        <v>848</v>
      </c>
      <c r="D198" s="33">
        <v>1875</v>
      </c>
      <c r="E198" s="33">
        <v>10452</v>
      </c>
      <c r="F198" s="33">
        <v>190594</v>
      </c>
      <c r="G198" s="33">
        <v>37179</v>
      </c>
      <c r="H198" s="33">
        <v>1684</v>
      </c>
      <c r="I198" s="33">
        <v>241784</v>
      </c>
      <c r="K198" t="b">
        <f>QHPSelections2016[[#This Row],[County Name]]=P198</f>
        <v>1</v>
      </c>
      <c r="L198" t="b">
        <f>QHPSelections2016[[#This Row],[Silver]]=S198</f>
        <v>1</v>
      </c>
      <c r="N198">
        <v>12011</v>
      </c>
      <c r="O198" t="s">
        <v>1447</v>
      </c>
      <c r="P198" t="s">
        <v>848</v>
      </c>
      <c r="Q198" s="51">
        <v>1875</v>
      </c>
      <c r="R198" s="51">
        <v>10452</v>
      </c>
      <c r="S198" s="51">
        <v>190594</v>
      </c>
      <c r="T198" s="51">
        <v>37179</v>
      </c>
      <c r="U198" s="51">
        <v>1684</v>
      </c>
      <c r="V198" s="51">
        <v>241784</v>
      </c>
    </row>
    <row r="199" spans="1:22">
      <c r="A199" s="32" t="s">
        <v>1915</v>
      </c>
      <c r="B199" s="32" t="s">
        <v>1447</v>
      </c>
      <c r="C199" s="32" t="s">
        <v>855</v>
      </c>
      <c r="D199" s="33" t="s">
        <v>1639</v>
      </c>
      <c r="E199" s="33">
        <v>36</v>
      </c>
      <c r="F199" s="33">
        <v>391</v>
      </c>
      <c r="G199" s="33">
        <v>56</v>
      </c>
      <c r="H199" s="33" t="s">
        <v>1639</v>
      </c>
      <c r="I199" s="33">
        <v>503</v>
      </c>
      <c r="K199" t="b">
        <f>QHPSelections2016[[#This Row],[County Name]]=P199</f>
        <v>1</v>
      </c>
      <c r="L199" t="b">
        <f>QHPSelections2016[[#This Row],[Silver]]=S199</f>
        <v>1</v>
      </c>
      <c r="N199">
        <v>12013</v>
      </c>
      <c r="O199" t="s">
        <v>1447</v>
      </c>
      <c r="P199" t="s">
        <v>855</v>
      </c>
      <c r="R199">
        <v>36</v>
      </c>
      <c r="S199">
        <v>391</v>
      </c>
      <c r="T199">
        <v>56</v>
      </c>
      <c r="V199">
        <v>503</v>
      </c>
    </row>
    <row r="200" spans="1:22">
      <c r="A200" s="32" t="s">
        <v>1916</v>
      </c>
      <c r="B200" s="32" t="s">
        <v>1447</v>
      </c>
      <c r="C200" s="32" t="s">
        <v>860</v>
      </c>
      <c r="D200" s="33">
        <v>336</v>
      </c>
      <c r="E200" s="33">
        <v>587</v>
      </c>
      <c r="F200" s="33">
        <v>8627</v>
      </c>
      <c r="G200" s="33">
        <v>1820</v>
      </c>
      <c r="H200" s="33">
        <v>81</v>
      </c>
      <c r="I200" s="33">
        <v>11451</v>
      </c>
      <c r="K200" t="b">
        <f>QHPSelections2016[[#This Row],[County Name]]=P200</f>
        <v>1</v>
      </c>
      <c r="L200" t="b">
        <f>QHPSelections2016[[#This Row],[Silver]]=S200</f>
        <v>1</v>
      </c>
      <c r="N200">
        <v>12015</v>
      </c>
      <c r="O200" t="s">
        <v>1447</v>
      </c>
      <c r="P200" t="s">
        <v>860</v>
      </c>
      <c r="Q200">
        <v>336</v>
      </c>
      <c r="R200">
        <v>587</v>
      </c>
      <c r="S200" s="51">
        <v>8627</v>
      </c>
      <c r="T200" s="51">
        <v>1820</v>
      </c>
      <c r="U200">
        <v>81</v>
      </c>
      <c r="V200" s="51">
        <v>11451</v>
      </c>
    </row>
    <row r="201" spans="1:22">
      <c r="A201" s="32" t="s">
        <v>1917</v>
      </c>
      <c r="B201" s="32" t="s">
        <v>1447</v>
      </c>
      <c r="C201" s="32" t="s">
        <v>867</v>
      </c>
      <c r="D201" s="33">
        <v>285</v>
      </c>
      <c r="E201" s="33">
        <v>474</v>
      </c>
      <c r="F201" s="33">
        <v>8033</v>
      </c>
      <c r="G201" s="33">
        <v>1204</v>
      </c>
      <c r="H201" s="33">
        <v>21</v>
      </c>
      <c r="I201" s="33">
        <v>10017</v>
      </c>
      <c r="K201" t="b">
        <f>QHPSelections2016[[#This Row],[County Name]]=P201</f>
        <v>1</v>
      </c>
      <c r="L201" t="b">
        <f>QHPSelections2016[[#This Row],[Silver]]=S201</f>
        <v>1</v>
      </c>
      <c r="N201">
        <v>12017</v>
      </c>
      <c r="O201" t="s">
        <v>1447</v>
      </c>
      <c r="P201" t="s">
        <v>867</v>
      </c>
      <c r="Q201">
        <v>285</v>
      </c>
      <c r="R201">
        <v>474</v>
      </c>
      <c r="S201" s="51">
        <v>8033</v>
      </c>
      <c r="T201" s="51">
        <v>1204</v>
      </c>
      <c r="U201">
        <v>21</v>
      </c>
      <c r="V201" s="51">
        <v>10017</v>
      </c>
    </row>
    <row r="202" spans="1:22">
      <c r="A202" s="32" t="s">
        <v>1918</v>
      </c>
      <c r="B202" s="32" t="s">
        <v>1447</v>
      </c>
      <c r="C202" s="32" t="s">
        <v>873</v>
      </c>
      <c r="D202" s="33">
        <v>278</v>
      </c>
      <c r="E202" s="33">
        <v>570</v>
      </c>
      <c r="F202" s="33">
        <v>7912</v>
      </c>
      <c r="G202" s="33">
        <v>1612</v>
      </c>
      <c r="H202" s="33">
        <v>77</v>
      </c>
      <c r="I202" s="33">
        <v>10449</v>
      </c>
      <c r="K202" t="b">
        <f>QHPSelections2016[[#This Row],[County Name]]=P202</f>
        <v>1</v>
      </c>
      <c r="L202" t="b">
        <f>QHPSelections2016[[#This Row],[Silver]]=S202</f>
        <v>1</v>
      </c>
      <c r="N202">
        <v>12019</v>
      </c>
      <c r="O202" t="s">
        <v>1447</v>
      </c>
      <c r="P202" t="s">
        <v>873</v>
      </c>
      <c r="Q202">
        <v>278</v>
      </c>
      <c r="R202">
        <v>570</v>
      </c>
      <c r="S202" s="51">
        <v>7912</v>
      </c>
      <c r="T202" s="51">
        <v>1612</v>
      </c>
      <c r="U202">
        <v>77</v>
      </c>
      <c r="V202" s="51">
        <v>10449</v>
      </c>
    </row>
    <row r="203" spans="1:22">
      <c r="A203" s="32" t="s">
        <v>1919</v>
      </c>
      <c r="B203" s="32" t="s">
        <v>1447</v>
      </c>
      <c r="C203" s="32" t="s">
        <v>880</v>
      </c>
      <c r="D203" s="33">
        <v>893</v>
      </c>
      <c r="E203" s="33">
        <v>1359</v>
      </c>
      <c r="F203" s="33">
        <v>22222</v>
      </c>
      <c r="G203" s="33">
        <v>3751</v>
      </c>
      <c r="H203" s="33">
        <v>58</v>
      </c>
      <c r="I203" s="33">
        <v>28283</v>
      </c>
      <c r="K203" t="b">
        <f>QHPSelections2016[[#This Row],[County Name]]=P203</f>
        <v>1</v>
      </c>
      <c r="L203" t="b">
        <f>QHPSelections2016[[#This Row],[Silver]]=S203</f>
        <v>1</v>
      </c>
      <c r="N203">
        <v>12021</v>
      </c>
      <c r="O203" t="s">
        <v>1447</v>
      </c>
      <c r="P203" t="s">
        <v>880</v>
      </c>
      <c r="Q203">
        <v>893</v>
      </c>
      <c r="R203" s="51">
        <v>1359</v>
      </c>
      <c r="S203" s="51">
        <v>22222</v>
      </c>
      <c r="T203" s="51">
        <v>3751</v>
      </c>
      <c r="U203">
        <v>58</v>
      </c>
      <c r="V203" s="51">
        <v>28283</v>
      </c>
    </row>
    <row r="204" spans="1:22">
      <c r="A204" s="32" t="s">
        <v>1920</v>
      </c>
      <c r="B204" s="32" t="s">
        <v>1447</v>
      </c>
      <c r="C204" s="32" t="s">
        <v>885</v>
      </c>
      <c r="D204" s="33">
        <v>71</v>
      </c>
      <c r="E204" s="33">
        <v>194</v>
      </c>
      <c r="F204" s="33">
        <v>2811</v>
      </c>
      <c r="G204" s="33">
        <v>388</v>
      </c>
      <c r="H204" s="33">
        <v>25</v>
      </c>
      <c r="I204" s="33">
        <v>3489</v>
      </c>
      <c r="K204" t="b">
        <f>QHPSelections2016[[#This Row],[County Name]]=P204</f>
        <v>1</v>
      </c>
      <c r="L204" t="b">
        <f>QHPSelections2016[[#This Row],[Silver]]=S204</f>
        <v>1</v>
      </c>
      <c r="N204">
        <v>12023</v>
      </c>
      <c r="O204" t="s">
        <v>1447</v>
      </c>
      <c r="P204" t="s">
        <v>885</v>
      </c>
      <c r="Q204">
        <v>71</v>
      </c>
      <c r="R204">
        <v>194</v>
      </c>
      <c r="S204" s="51">
        <v>2811</v>
      </c>
      <c r="T204">
        <v>388</v>
      </c>
      <c r="U204">
        <v>25</v>
      </c>
      <c r="V204" s="51">
        <v>3489</v>
      </c>
    </row>
    <row r="205" spans="1:22">
      <c r="A205" s="32" t="s">
        <v>1921</v>
      </c>
      <c r="B205" s="32" t="s">
        <v>1447</v>
      </c>
      <c r="C205" s="32" t="s">
        <v>891</v>
      </c>
      <c r="D205" s="33" t="s">
        <v>1639</v>
      </c>
      <c r="E205" s="33">
        <v>50</v>
      </c>
      <c r="F205" s="33">
        <v>1182</v>
      </c>
      <c r="G205" s="33">
        <v>171</v>
      </c>
      <c r="H205" s="33" t="s">
        <v>1639</v>
      </c>
      <c r="I205" s="33">
        <v>1432</v>
      </c>
      <c r="K205" t="b">
        <f>QHPSelections2016[[#This Row],[County Name]]=P205</f>
        <v>1</v>
      </c>
      <c r="L205" t="b">
        <f>QHPSelections2016[[#This Row],[Silver]]=S205</f>
        <v>1</v>
      </c>
      <c r="N205">
        <v>12027</v>
      </c>
      <c r="O205" t="s">
        <v>1447</v>
      </c>
      <c r="P205" t="s">
        <v>891</v>
      </c>
      <c r="R205">
        <v>50</v>
      </c>
      <c r="S205" s="51">
        <v>1182</v>
      </c>
      <c r="T205">
        <v>171</v>
      </c>
      <c r="V205" s="51">
        <v>1432</v>
      </c>
    </row>
    <row r="206" spans="1:22">
      <c r="A206" s="32" t="s">
        <v>1922</v>
      </c>
      <c r="B206" s="32" t="s">
        <v>1447</v>
      </c>
      <c r="C206" s="32" t="s">
        <v>895</v>
      </c>
      <c r="D206" s="33" t="s">
        <v>1639</v>
      </c>
      <c r="E206" s="33">
        <v>27</v>
      </c>
      <c r="F206" s="33">
        <v>578</v>
      </c>
      <c r="G206" s="33">
        <v>56</v>
      </c>
      <c r="H206" s="33" t="s">
        <v>1639</v>
      </c>
      <c r="I206" s="33">
        <v>667</v>
      </c>
      <c r="K206" t="b">
        <f>QHPSelections2016[[#This Row],[County Name]]=P206</f>
        <v>1</v>
      </c>
      <c r="L206" t="b">
        <f>QHPSelections2016[[#This Row],[Silver]]=S206</f>
        <v>1</v>
      </c>
      <c r="N206">
        <v>12029</v>
      </c>
      <c r="O206" t="s">
        <v>1447</v>
      </c>
      <c r="P206" t="s">
        <v>895</v>
      </c>
      <c r="R206">
        <v>27</v>
      </c>
      <c r="S206">
        <v>578</v>
      </c>
      <c r="T206">
        <v>56</v>
      </c>
      <c r="V206">
        <v>667</v>
      </c>
    </row>
    <row r="207" spans="1:22">
      <c r="A207" s="32" t="s">
        <v>1923</v>
      </c>
      <c r="B207" s="32" t="s">
        <v>1447</v>
      </c>
      <c r="C207" s="32" t="s">
        <v>901</v>
      </c>
      <c r="D207" s="33">
        <v>841</v>
      </c>
      <c r="E207" s="33">
        <v>2627</v>
      </c>
      <c r="F207" s="33">
        <v>40247</v>
      </c>
      <c r="G207" s="33">
        <v>11959</v>
      </c>
      <c r="H207" s="33">
        <v>578</v>
      </c>
      <c r="I207" s="33">
        <v>56252</v>
      </c>
      <c r="K207" t="b">
        <f>QHPSelections2016[[#This Row],[County Name]]=P207</f>
        <v>1</v>
      </c>
      <c r="L207" t="b">
        <f>QHPSelections2016[[#This Row],[Silver]]=S207</f>
        <v>1</v>
      </c>
      <c r="N207">
        <v>12031</v>
      </c>
      <c r="O207" t="s">
        <v>1447</v>
      </c>
      <c r="P207" t="s">
        <v>901</v>
      </c>
      <c r="Q207">
        <v>841</v>
      </c>
      <c r="R207" s="51">
        <v>2627</v>
      </c>
      <c r="S207" s="51">
        <v>40247</v>
      </c>
      <c r="T207" s="51">
        <v>11959</v>
      </c>
      <c r="U207">
        <v>578</v>
      </c>
      <c r="V207" s="51">
        <v>56252</v>
      </c>
    </row>
    <row r="208" spans="1:22">
      <c r="A208" s="32" t="s">
        <v>1924</v>
      </c>
      <c r="B208" s="32" t="s">
        <v>1447</v>
      </c>
      <c r="C208" s="32" t="s">
        <v>908</v>
      </c>
      <c r="D208" s="33">
        <v>324</v>
      </c>
      <c r="E208" s="33">
        <v>758</v>
      </c>
      <c r="F208" s="33">
        <v>10354</v>
      </c>
      <c r="G208" s="33">
        <v>2386</v>
      </c>
      <c r="H208" s="33">
        <v>135</v>
      </c>
      <c r="I208" s="33">
        <v>13957</v>
      </c>
      <c r="K208" t="b">
        <f>QHPSelections2016[[#This Row],[County Name]]=P208</f>
        <v>1</v>
      </c>
      <c r="L208" t="b">
        <f>QHPSelections2016[[#This Row],[Silver]]=S208</f>
        <v>1</v>
      </c>
      <c r="N208">
        <v>12033</v>
      </c>
      <c r="O208" t="s">
        <v>1447</v>
      </c>
      <c r="P208" t="s">
        <v>908</v>
      </c>
      <c r="Q208">
        <v>324</v>
      </c>
      <c r="R208">
        <v>758</v>
      </c>
      <c r="S208" s="51">
        <v>10354</v>
      </c>
      <c r="T208" s="51">
        <v>2386</v>
      </c>
      <c r="U208">
        <v>135</v>
      </c>
      <c r="V208" s="51">
        <v>13957</v>
      </c>
    </row>
    <row r="209" spans="1:22">
      <c r="A209" s="32" t="s">
        <v>1925</v>
      </c>
      <c r="B209" s="32" t="s">
        <v>1447</v>
      </c>
      <c r="C209" s="32" t="s">
        <v>914</v>
      </c>
      <c r="D209" s="33">
        <v>169</v>
      </c>
      <c r="E209" s="33">
        <v>321</v>
      </c>
      <c r="F209" s="33">
        <v>5479</v>
      </c>
      <c r="G209" s="33">
        <v>1459</v>
      </c>
      <c r="H209" s="33">
        <v>45</v>
      </c>
      <c r="I209" s="33">
        <v>7473</v>
      </c>
      <c r="K209" t="b">
        <f>QHPSelections2016[[#This Row],[County Name]]=P209</f>
        <v>1</v>
      </c>
      <c r="L209" t="b">
        <f>QHPSelections2016[[#This Row],[Silver]]=S209</f>
        <v>1</v>
      </c>
      <c r="N209">
        <v>12035</v>
      </c>
      <c r="O209" t="s">
        <v>1447</v>
      </c>
      <c r="P209" t="s">
        <v>914</v>
      </c>
      <c r="Q209">
        <v>169</v>
      </c>
      <c r="R209">
        <v>321</v>
      </c>
      <c r="S209" s="51">
        <v>5479</v>
      </c>
      <c r="T209" s="51">
        <v>1459</v>
      </c>
      <c r="U209">
        <v>45</v>
      </c>
      <c r="V209" s="51">
        <v>7473</v>
      </c>
    </row>
    <row r="210" spans="1:22">
      <c r="A210" s="32" t="s">
        <v>1926</v>
      </c>
      <c r="B210" s="32" t="s">
        <v>1447</v>
      </c>
      <c r="C210" s="32" t="s">
        <v>919</v>
      </c>
      <c r="D210" s="33" t="s">
        <v>1639</v>
      </c>
      <c r="E210" s="33">
        <v>34</v>
      </c>
      <c r="F210" s="33">
        <v>617</v>
      </c>
      <c r="G210" s="33">
        <v>77</v>
      </c>
      <c r="H210" s="33" t="s">
        <v>1639</v>
      </c>
      <c r="I210" s="33">
        <v>748</v>
      </c>
      <c r="K210" t="b">
        <f>QHPSelections2016[[#This Row],[County Name]]=P210</f>
        <v>1</v>
      </c>
      <c r="L210" t="b">
        <f>QHPSelections2016[[#This Row],[Silver]]=S210</f>
        <v>1</v>
      </c>
      <c r="N210">
        <v>12037</v>
      </c>
      <c r="O210" t="s">
        <v>1447</v>
      </c>
      <c r="P210" t="s">
        <v>919</v>
      </c>
      <c r="R210">
        <v>34</v>
      </c>
      <c r="S210">
        <v>617</v>
      </c>
      <c r="T210">
        <v>77</v>
      </c>
      <c r="V210">
        <v>748</v>
      </c>
    </row>
    <row r="211" spans="1:22">
      <c r="A211" s="32" t="s">
        <v>1927</v>
      </c>
      <c r="B211" s="32" t="s">
        <v>1447</v>
      </c>
      <c r="C211" s="32" t="s">
        <v>926</v>
      </c>
      <c r="D211" s="33">
        <v>23</v>
      </c>
      <c r="E211" s="33">
        <v>59</v>
      </c>
      <c r="F211" s="33">
        <v>1388</v>
      </c>
      <c r="G211" s="33">
        <v>199</v>
      </c>
      <c r="H211" s="33">
        <v>24</v>
      </c>
      <c r="I211" s="33">
        <v>1693</v>
      </c>
      <c r="K211" t="b">
        <f>QHPSelections2016[[#This Row],[County Name]]=P211</f>
        <v>1</v>
      </c>
      <c r="L211" t="b">
        <f>QHPSelections2016[[#This Row],[Silver]]=S211</f>
        <v>1</v>
      </c>
      <c r="N211">
        <v>12039</v>
      </c>
      <c r="O211" t="s">
        <v>1447</v>
      </c>
      <c r="P211" t="s">
        <v>926</v>
      </c>
      <c r="Q211">
        <v>23</v>
      </c>
      <c r="R211">
        <v>59</v>
      </c>
      <c r="S211" s="51">
        <v>1388</v>
      </c>
      <c r="T211">
        <v>199</v>
      </c>
      <c r="U211">
        <v>24</v>
      </c>
      <c r="V211" s="51">
        <v>1693</v>
      </c>
    </row>
    <row r="212" spans="1:22">
      <c r="A212" s="32" t="s">
        <v>1928</v>
      </c>
      <c r="B212" s="32" t="s">
        <v>1447</v>
      </c>
      <c r="C212" s="32" t="s">
        <v>930</v>
      </c>
      <c r="D212" s="33" t="s">
        <v>1639</v>
      </c>
      <c r="E212" s="33">
        <v>50</v>
      </c>
      <c r="F212" s="33">
        <v>600</v>
      </c>
      <c r="G212" s="33">
        <v>88</v>
      </c>
      <c r="H212" s="33" t="s">
        <v>1639</v>
      </c>
      <c r="I212" s="33">
        <v>747</v>
      </c>
      <c r="K212" t="b">
        <f>QHPSelections2016[[#This Row],[County Name]]=P212</f>
        <v>1</v>
      </c>
      <c r="L212" t="b">
        <f>QHPSelections2016[[#This Row],[Silver]]=S212</f>
        <v>1</v>
      </c>
      <c r="N212">
        <v>12041</v>
      </c>
      <c r="O212" t="s">
        <v>1447</v>
      </c>
      <c r="P212" t="s">
        <v>930</v>
      </c>
      <c r="R212">
        <v>50</v>
      </c>
      <c r="S212">
        <v>600</v>
      </c>
      <c r="T212">
        <v>88</v>
      </c>
      <c r="V212">
        <v>747</v>
      </c>
    </row>
    <row r="213" spans="1:22">
      <c r="A213" s="32" t="s">
        <v>1929</v>
      </c>
      <c r="B213" s="32" t="s">
        <v>1447</v>
      </c>
      <c r="C213" s="32" t="s">
        <v>935</v>
      </c>
      <c r="D213" s="33" t="s">
        <v>1639</v>
      </c>
      <c r="E213" s="33">
        <v>16</v>
      </c>
      <c r="F213" s="33">
        <v>418</v>
      </c>
      <c r="G213" s="33">
        <v>66</v>
      </c>
      <c r="H213" s="33" t="s">
        <v>1639</v>
      </c>
      <c r="I213" s="33">
        <v>507</v>
      </c>
      <c r="K213" t="b">
        <f>QHPSelections2016[[#This Row],[County Name]]=P213</f>
        <v>1</v>
      </c>
      <c r="L213" t="b">
        <f>QHPSelections2016[[#This Row],[Silver]]=S213</f>
        <v>1</v>
      </c>
      <c r="N213">
        <v>12043</v>
      </c>
      <c r="O213" t="s">
        <v>1447</v>
      </c>
      <c r="P213" t="s">
        <v>935</v>
      </c>
      <c r="R213">
        <v>16</v>
      </c>
      <c r="S213">
        <v>418</v>
      </c>
      <c r="T213">
        <v>66</v>
      </c>
      <c r="V213">
        <v>507</v>
      </c>
    </row>
    <row r="214" spans="1:22">
      <c r="A214" s="32" t="s">
        <v>1930</v>
      </c>
      <c r="B214" s="32" t="s">
        <v>1447</v>
      </c>
      <c r="C214" s="32" t="s">
        <v>942</v>
      </c>
      <c r="D214" s="33">
        <v>39</v>
      </c>
      <c r="E214" s="33">
        <v>47</v>
      </c>
      <c r="F214" s="33">
        <v>640</v>
      </c>
      <c r="G214" s="33">
        <v>95</v>
      </c>
      <c r="H214" s="33">
        <v>0</v>
      </c>
      <c r="I214" s="33">
        <v>821</v>
      </c>
      <c r="K214" t="b">
        <f>QHPSelections2016[[#This Row],[County Name]]=P214</f>
        <v>1</v>
      </c>
      <c r="L214" t="b">
        <f>QHPSelections2016[[#This Row],[Silver]]=S214</f>
        <v>1</v>
      </c>
      <c r="N214">
        <v>12045</v>
      </c>
      <c r="O214" t="s">
        <v>1447</v>
      </c>
      <c r="P214" t="s">
        <v>942</v>
      </c>
      <c r="Q214">
        <v>39</v>
      </c>
      <c r="R214">
        <v>47</v>
      </c>
      <c r="S214">
        <v>640</v>
      </c>
      <c r="T214">
        <v>95</v>
      </c>
      <c r="U214">
        <v>0</v>
      </c>
      <c r="V214">
        <v>821</v>
      </c>
    </row>
    <row r="215" spans="1:22">
      <c r="A215" s="32" t="s">
        <v>1931</v>
      </c>
      <c r="B215" s="32" t="s">
        <v>1447</v>
      </c>
      <c r="C215" s="32" t="s">
        <v>947</v>
      </c>
      <c r="D215" s="33" t="s">
        <v>1639</v>
      </c>
      <c r="E215" s="33">
        <v>30</v>
      </c>
      <c r="F215" s="33">
        <v>450</v>
      </c>
      <c r="G215" s="33">
        <v>55</v>
      </c>
      <c r="H215" s="33" t="s">
        <v>1639</v>
      </c>
      <c r="I215" s="33">
        <v>543</v>
      </c>
      <c r="K215" t="b">
        <f>QHPSelections2016[[#This Row],[County Name]]=P215</f>
        <v>1</v>
      </c>
      <c r="L215" t="b">
        <f>QHPSelections2016[[#This Row],[Silver]]=S215</f>
        <v>1</v>
      </c>
      <c r="N215">
        <v>12047</v>
      </c>
      <c r="O215" t="s">
        <v>1447</v>
      </c>
      <c r="P215" t="s">
        <v>947</v>
      </c>
      <c r="R215">
        <v>30</v>
      </c>
      <c r="S215">
        <v>450</v>
      </c>
      <c r="T215">
        <v>55</v>
      </c>
      <c r="V215">
        <v>543</v>
      </c>
    </row>
    <row r="216" spans="1:22">
      <c r="A216" s="32" t="s">
        <v>1932</v>
      </c>
      <c r="B216" s="32" t="s">
        <v>1447</v>
      </c>
      <c r="C216" s="32" t="s">
        <v>954</v>
      </c>
      <c r="D216" s="33" t="s">
        <v>1639</v>
      </c>
      <c r="E216" s="33">
        <v>65</v>
      </c>
      <c r="F216" s="33">
        <v>876</v>
      </c>
      <c r="G216" s="33">
        <v>181</v>
      </c>
      <c r="H216" s="33" t="s">
        <v>1639</v>
      </c>
      <c r="I216" s="33">
        <v>1137</v>
      </c>
      <c r="K216" t="b">
        <f>QHPSelections2016[[#This Row],[County Name]]=P216</f>
        <v>1</v>
      </c>
      <c r="L216" t="b">
        <f>QHPSelections2016[[#This Row],[Silver]]=S216</f>
        <v>1</v>
      </c>
      <c r="N216">
        <v>12049</v>
      </c>
      <c r="O216" t="s">
        <v>1447</v>
      </c>
      <c r="P216" t="s">
        <v>954</v>
      </c>
      <c r="R216">
        <v>65</v>
      </c>
      <c r="S216">
        <v>876</v>
      </c>
      <c r="T216">
        <v>181</v>
      </c>
      <c r="V216" s="51">
        <v>1137</v>
      </c>
    </row>
    <row r="217" spans="1:22">
      <c r="A217" s="32" t="s">
        <v>1933</v>
      </c>
      <c r="B217" s="32" t="s">
        <v>1447</v>
      </c>
      <c r="C217" s="32" t="s">
        <v>959</v>
      </c>
      <c r="D217" s="33" t="s">
        <v>1639</v>
      </c>
      <c r="E217" s="33">
        <v>87</v>
      </c>
      <c r="F217" s="33">
        <v>2332</v>
      </c>
      <c r="G217" s="33">
        <v>180</v>
      </c>
      <c r="H217" s="33" t="s">
        <v>1639</v>
      </c>
      <c r="I217" s="33">
        <v>2641</v>
      </c>
      <c r="K217" t="b">
        <f>QHPSelections2016[[#This Row],[County Name]]=P217</f>
        <v>1</v>
      </c>
      <c r="L217" t="b">
        <f>QHPSelections2016[[#This Row],[Silver]]=S217</f>
        <v>1</v>
      </c>
      <c r="N217">
        <v>12051</v>
      </c>
      <c r="O217" t="s">
        <v>1447</v>
      </c>
      <c r="P217" t="s">
        <v>959</v>
      </c>
      <c r="R217">
        <v>87</v>
      </c>
      <c r="S217" s="51">
        <v>2332</v>
      </c>
      <c r="T217">
        <v>180</v>
      </c>
      <c r="V217" s="51">
        <v>2641</v>
      </c>
    </row>
    <row r="218" spans="1:22">
      <c r="A218" s="32" t="s">
        <v>1934</v>
      </c>
      <c r="B218" s="32" t="s">
        <v>1447</v>
      </c>
      <c r="C218" s="32" t="s">
        <v>965</v>
      </c>
      <c r="D218" s="33">
        <v>316</v>
      </c>
      <c r="E218" s="33">
        <v>530</v>
      </c>
      <c r="F218" s="33">
        <v>9962</v>
      </c>
      <c r="G218" s="33">
        <v>1206</v>
      </c>
      <c r="H218" s="33">
        <v>21</v>
      </c>
      <c r="I218" s="33">
        <v>12035</v>
      </c>
      <c r="K218" t="b">
        <f>QHPSelections2016[[#This Row],[County Name]]=P218</f>
        <v>1</v>
      </c>
      <c r="L218" t="b">
        <f>QHPSelections2016[[#This Row],[Silver]]=S218</f>
        <v>1</v>
      </c>
      <c r="N218">
        <v>12053</v>
      </c>
      <c r="O218" t="s">
        <v>1447</v>
      </c>
      <c r="P218" t="s">
        <v>965</v>
      </c>
      <c r="Q218">
        <v>316</v>
      </c>
      <c r="R218">
        <v>530</v>
      </c>
      <c r="S218" s="51">
        <v>9962</v>
      </c>
      <c r="T218" s="51">
        <v>1206</v>
      </c>
      <c r="U218">
        <v>21</v>
      </c>
      <c r="V218" s="51">
        <v>12035</v>
      </c>
    </row>
    <row r="219" spans="1:22">
      <c r="A219" s="32" t="s">
        <v>1935</v>
      </c>
      <c r="B219" s="32" t="s">
        <v>1447</v>
      </c>
      <c r="C219" s="32" t="s">
        <v>969</v>
      </c>
      <c r="D219" s="33">
        <v>95</v>
      </c>
      <c r="E219" s="33">
        <v>261</v>
      </c>
      <c r="F219" s="33">
        <v>4317</v>
      </c>
      <c r="G219" s="33">
        <v>613</v>
      </c>
      <c r="H219" s="33">
        <v>24</v>
      </c>
      <c r="I219" s="33">
        <v>5310</v>
      </c>
      <c r="K219" t="b">
        <f>QHPSelections2016[[#This Row],[County Name]]=P219</f>
        <v>1</v>
      </c>
      <c r="L219" t="b">
        <f>QHPSelections2016[[#This Row],[Silver]]=S219</f>
        <v>1</v>
      </c>
      <c r="N219">
        <v>12055</v>
      </c>
      <c r="O219" t="s">
        <v>1447</v>
      </c>
      <c r="P219" t="s">
        <v>969</v>
      </c>
      <c r="Q219">
        <v>95</v>
      </c>
      <c r="R219">
        <v>261</v>
      </c>
      <c r="S219" s="51">
        <v>4317</v>
      </c>
      <c r="T219">
        <v>613</v>
      </c>
      <c r="U219">
        <v>24</v>
      </c>
      <c r="V219" s="51">
        <v>5310</v>
      </c>
    </row>
    <row r="220" spans="1:22">
      <c r="A220" s="32" t="s">
        <v>1936</v>
      </c>
      <c r="B220" s="32" t="s">
        <v>1447</v>
      </c>
      <c r="C220" s="32" t="s">
        <v>976</v>
      </c>
      <c r="D220" s="33">
        <v>1907</v>
      </c>
      <c r="E220" s="33">
        <v>3334</v>
      </c>
      <c r="F220" s="33">
        <v>65078</v>
      </c>
      <c r="G220" s="33">
        <v>12509</v>
      </c>
      <c r="H220" s="33">
        <v>1113</v>
      </c>
      <c r="I220" s="33">
        <v>83941</v>
      </c>
      <c r="K220" t="b">
        <f>QHPSelections2016[[#This Row],[County Name]]=P220</f>
        <v>1</v>
      </c>
      <c r="L220" t="b">
        <f>QHPSelections2016[[#This Row],[Silver]]=S220</f>
        <v>1</v>
      </c>
      <c r="N220">
        <v>12057</v>
      </c>
      <c r="O220" t="s">
        <v>1447</v>
      </c>
      <c r="P220" t="s">
        <v>976</v>
      </c>
      <c r="Q220" s="51">
        <v>1907</v>
      </c>
      <c r="R220" s="51">
        <v>3334</v>
      </c>
      <c r="S220" s="51">
        <v>65078</v>
      </c>
      <c r="T220" s="51">
        <v>12509</v>
      </c>
      <c r="U220" s="51">
        <v>1113</v>
      </c>
      <c r="V220" s="51">
        <v>83941</v>
      </c>
    </row>
    <row r="221" spans="1:22">
      <c r="A221" s="32" t="s">
        <v>1937</v>
      </c>
      <c r="B221" s="32" t="s">
        <v>1447</v>
      </c>
      <c r="C221" s="32" t="s">
        <v>967</v>
      </c>
      <c r="D221" s="33" t="s">
        <v>1639</v>
      </c>
      <c r="E221" s="33">
        <v>36</v>
      </c>
      <c r="F221" s="33">
        <v>649</v>
      </c>
      <c r="G221" s="33">
        <v>86</v>
      </c>
      <c r="H221" s="33" t="s">
        <v>1639</v>
      </c>
      <c r="I221" s="33">
        <v>789</v>
      </c>
      <c r="K221" t="b">
        <f>QHPSelections2016[[#This Row],[County Name]]=P221</f>
        <v>1</v>
      </c>
      <c r="L221" t="b">
        <f>QHPSelections2016[[#This Row],[Silver]]=S221</f>
        <v>1</v>
      </c>
      <c r="N221">
        <v>12059</v>
      </c>
      <c r="O221" t="s">
        <v>1447</v>
      </c>
      <c r="P221" t="s">
        <v>967</v>
      </c>
      <c r="R221">
        <v>36</v>
      </c>
      <c r="S221">
        <v>649</v>
      </c>
      <c r="T221">
        <v>86</v>
      </c>
      <c r="V221">
        <v>789</v>
      </c>
    </row>
    <row r="222" spans="1:22">
      <c r="A222" s="32" t="s">
        <v>1938</v>
      </c>
      <c r="B222" s="32" t="s">
        <v>1447</v>
      </c>
      <c r="C222" s="32" t="s">
        <v>982</v>
      </c>
      <c r="D222" s="33">
        <v>291</v>
      </c>
      <c r="E222" s="33">
        <v>663</v>
      </c>
      <c r="F222" s="33">
        <v>8006</v>
      </c>
      <c r="G222" s="33">
        <v>1386</v>
      </c>
      <c r="H222" s="33">
        <v>50</v>
      </c>
      <c r="I222" s="33">
        <v>10396</v>
      </c>
      <c r="K222" t="b">
        <f>QHPSelections2016[[#This Row],[County Name]]=P222</f>
        <v>1</v>
      </c>
      <c r="L222" t="b">
        <f>QHPSelections2016[[#This Row],[Silver]]=S222</f>
        <v>1</v>
      </c>
      <c r="N222">
        <v>12061</v>
      </c>
      <c r="O222" t="s">
        <v>1447</v>
      </c>
      <c r="P222" t="s">
        <v>982</v>
      </c>
      <c r="Q222">
        <v>291</v>
      </c>
      <c r="R222">
        <v>663</v>
      </c>
      <c r="S222" s="51">
        <v>8006</v>
      </c>
      <c r="T222" s="51">
        <v>1386</v>
      </c>
      <c r="U222">
        <v>50</v>
      </c>
      <c r="V222" s="51">
        <v>10396</v>
      </c>
    </row>
    <row r="223" spans="1:22">
      <c r="A223" s="32" t="s">
        <v>1939</v>
      </c>
      <c r="B223" s="32" t="s">
        <v>1447</v>
      </c>
      <c r="C223" s="32" t="s">
        <v>984</v>
      </c>
      <c r="D223" s="33" t="s">
        <v>1639</v>
      </c>
      <c r="E223" s="33">
        <v>84</v>
      </c>
      <c r="F223" s="33">
        <v>1556</v>
      </c>
      <c r="G223" s="33">
        <v>207</v>
      </c>
      <c r="H223" s="33" t="s">
        <v>1639</v>
      </c>
      <c r="I223" s="33">
        <v>1895</v>
      </c>
      <c r="K223" t="b">
        <f>QHPSelections2016[[#This Row],[County Name]]=P223</f>
        <v>1</v>
      </c>
      <c r="L223" t="b">
        <f>QHPSelections2016[[#This Row],[Silver]]=S223</f>
        <v>1</v>
      </c>
      <c r="N223">
        <v>12063</v>
      </c>
      <c r="O223" t="s">
        <v>1447</v>
      </c>
      <c r="P223" t="s">
        <v>984</v>
      </c>
      <c r="R223">
        <v>84</v>
      </c>
      <c r="S223" s="51">
        <v>1556</v>
      </c>
      <c r="T223">
        <v>207</v>
      </c>
      <c r="V223" s="51">
        <v>1895</v>
      </c>
    </row>
    <row r="224" spans="1:22">
      <c r="A224" s="32" t="s">
        <v>1940</v>
      </c>
      <c r="B224" s="32" t="s">
        <v>1447</v>
      </c>
      <c r="C224" s="32" t="s">
        <v>993</v>
      </c>
      <c r="D224" s="33" t="s">
        <v>1639</v>
      </c>
      <c r="E224" s="33">
        <v>40</v>
      </c>
      <c r="F224" s="33">
        <v>479</v>
      </c>
      <c r="G224" s="33">
        <v>98</v>
      </c>
      <c r="H224" s="33" t="s">
        <v>1639</v>
      </c>
      <c r="I224" s="33">
        <v>626</v>
      </c>
      <c r="K224" t="b">
        <f>QHPSelections2016[[#This Row],[County Name]]=P224</f>
        <v>1</v>
      </c>
      <c r="L224" t="b">
        <f>QHPSelections2016[[#This Row],[Silver]]=S224</f>
        <v>1</v>
      </c>
      <c r="N224">
        <v>12065</v>
      </c>
      <c r="O224" t="s">
        <v>1447</v>
      </c>
      <c r="P224" t="s">
        <v>993</v>
      </c>
      <c r="R224">
        <v>40</v>
      </c>
      <c r="S224">
        <v>479</v>
      </c>
      <c r="T224">
        <v>98</v>
      </c>
      <c r="V224">
        <v>626</v>
      </c>
    </row>
    <row r="225" spans="1:22">
      <c r="A225" s="32" t="s">
        <v>1941</v>
      </c>
      <c r="B225" s="32" t="s">
        <v>1447</v>
      </c>
      <c r="C225" s="32" t="s">
        <v>999</v>
      </c>
      <c r="D225" s="33" t="s">
        <v>1639</v>
      </c>
      <c r="E225" s="33">
        <v>25</v>
      </c>
      <c r="F225" s="33">
        <v>264</v>
      </c>
      <c r="G225" s="33" t="s">
        <v>1639</v>
      </c>
      <c r="H225" s="33" t="s">
        <v>1639</v>
      </c>
      <c r="I225" s="33">
        <v>320</v>
      </c>
      <c r="K225" t="b">
        <f>QHPSelections2016[[#This Row],[County Name]]=P225</f>
        <v>1</v>
      </c>
      <c r="L225" t="b">
        <f>QHPSelections2016[[#This Row],[Silver]]=S225</f>
        <v>1</v>
      </c>
      <c r="N225">
        <v>12067</v>
      </c>
      <c r="O225" t="s">
        <v>1447</v>
      </c>
      <c r="P225" t="s">
        <v>999</v>
      </c>
      <c r="R225">
        <v>25</v>
      </c>
      <c r="S225">
        <v>264</v>
      </c>
      <c r="V225">
        <v>320</v>
      </c>
    </row>
    <row r="226" spans="1:22">
      <c r="A226" s="32" t="s">
        <v>1942</v>
      </c>
      <c r="B226" s="32" t="s">
        <v>1447</v>
      </c>
      <c r="C226" s="32" t="s">
        <v>1005</v>
      </c>
      <c r="D226" s="33">
        <v>693</v>
      </c>
      <c r="E226" s="33">
        <v>1037</v>
      </c>
      <c r="F226" s="33">
        <v>17560</v>
      </c>
      <c r="G226" s="33">
        <v>2869</v>
      </c>
      <c r="H226" s="33">
        <v>164</v>
      </c>
      <c r="I226" s="33">
        <v>22323</v>
      </c>
      <c r="K226" t="b">
        <f>QHPSelections2016[[#This Row],[County Name]]=P226</f>
        <v>1</v>
      </c>
      <c r="L226" t="b">
        <f>QHPSelections2016[[#This Row],[Silver]]=S226</f>
        <v>1</v>
      </c>
      <c r="N226">
        <v>12069</v>
      </c>
      <c r="O226" t="s">
        <v>1447</v>
      </c>
      <c r="P226" t="s">
        <v>1005</v>
      </c>
      <c r="Q226">
        <v>693</v>
      </c>
      <c r="R226" s="51">
        <v>1037</v>
      </c>
      <c r="S226" s="51">
        <v>17560</v>
      </c>
      <c r="T226" s="51">
        <v>2869</v>
      </c>
      <c r="U226">
        <v>164</v>
      </c>
      <c r="V226" s="51">
        <v>22323</v>
      </c>
    </row>
    <row r="227" spans="1:22">
      <c r="A227" s="32" t="s">
        <v>1943</v>
      </c>
      <c r="B227" s="32" t="s">
        <v>1447</v>
      </c>
      <c r="C227" s="32" t="s">
        <v>1010</v>
      </c>
      <c r="D227" s="33">
        <v>982</v>
      </c>
      <c r="E227" s="33">
        <v>2454</v>
      </c>
      <c r="F227" s="33">
        <v>39711</v>
      </c>
      <c r="G227" s="33">
        <v>6473</v>
      </c>
      <c r="H227" s="33">
        <v>201</v>
      </c>
      <c r="I227" s="33">
        <v>49821</v>
      </c>
      <c r="K227" t="b">
        <f>QHPSelections2016[[#This Row],[County Name]]=P227</f>
        <v>1</v>
      </c>
      <c r="L227" t="b">
        <f>QHPSelections2016[[#This Row],[Silver]]=S227</f>
        <v>1</v>
      </c>
      <c r="N227">
        <v>12071</v>
      </c>
      <c r="O227" t="s">
        <v>1447</v>
      </c>
      <c r="P227" t="s">
        <v>1010</v>
      </c>
      <c r="Q227">
        <v>982</v>
      </c>
      <c r="R227" s="51">
        <v>2454</v>
      </c>
      <c r="S227" s="51">
        <v>39711</v>
      </c>
      <c r="T227" s="51">
        <v>6473</v>
      </c>
      <c r="U227">
        <v>201</v>
      </c>
      <c r="V227" s="51">
        <v>49821</v>
      </c>
    </row>
    <row r="228" spans="1:22">
      <c r="A228" s="32" t="s">
        <v>1944</v>
      </c>
      <c r="B228" s="32" t="s">
        <v>1447</v>
      </c>
      <c r="C228" s="32" t="s">
        <v>1015</v>
      </c>
      <c r="D228" s="33">
        <v>337</v>
      </c>
      <c r="E228" s="33">
        <v>677</v>
      </c>
      <c r="F228" s="33">
        <v>9601</v>
      </c>
      <c r="G228" s="33">
        <v>1541</v>
      </c>
      <c r="H228" s="33">
        <v>140</v>
      </c>
      <c r="I228" s="33">
        <v>12296</v>
      </c>
      <c r="K228" t="b">
        <f>QHPSelections2016[[#This Row],[County Name]]=P228</f>
        <v>1</v>
      </c>
      <c r="L228" t="b">
        <f>QHPSelections2016[[#This Row],[Silver]]=S228</f>
        <v>1</v>
      </c>
      <c r="N228">
        <v>12073</v>
      </c>
      <c r="O228" t="s">
        <v>1447</v>
      </c>
      <c r="P228" t="s">
        <v>1015</v>
      </c>
      <c r="Q228">
        <v>337</v>
      </c>
      <c r="R228">
        <v>677</v>
      </c>
      <c r="S228" s="51">
        <v>9601</v>
      </c>
      <c r="T228" s="51">
        <v>1541</v>
      </c>
      <c r="U228">
        <v>140</v>
      </c>
      <c r="V228" s="51">
        <v>12296</v>
      </c>
    </row>
    <row r="229" spans="1:22">
      <c r="A229" s="32" t="s">
        <v>1945</v>
      </c>
      <c r="B229" s="32" t="s">
        <v>1447</v>
      </c>
      <c r="C229" s="32" t="s">
        <v>1018</v>
      </c>
      <c r="D229" s="33" t="s">
        <v>1639</v>
      </c>
      <c r="E229" s="33">
        <v>96</v>
      </c>
      <c r="F229" s="33">
        <v>1902</v>
      </c>
      <c r="G229" s="33">
        <v>286</v>
      </c>
      <c r="H229" s="33" t="s">
        <v>1639</v>
      </c>
      <c r="I229" s="33">
        <v>2353</v>
      </c>
      <c r="K229" t="b">
        <f>QHPSelections2016[[#This Row],[County Name]]=P229</f>
        <v>1</v>
      </c>
      <c r="L229" t="b">
        <f>QHPSelections2016[[#This Row],[Silver]]=S229</f>
        <v>1</v>
      </c>
      <c r="N229">
        <v>12075</v>
      </c>
      <c r="O229" t="s">
        <v>1447</v>
      </c>
      <c r="P229" t="s">
        <v>1018</v>
      </c>
      <c r="R229">
        <v>96</v>
      </c>
      <c r="S229" s="51">
        <v>1902</v>
      </c>
      <c r="T229">
        <v>286</v>
      </c>
      <c r="V229" s="51">
        <v>2353</v>
      </c>
    </row>
    <row r="230" spans="1:22">
      <c r="A230" s="32" t="s">
        <v>1946</v>
      </c>
      <c r="B230" s="32" t="s">
        <v>1447</v>
      </c>
      <c r="C230" s="32" t="s">
        <v>1023</v>
      </c>
      <c r="D230" s="33" t="s">
        <v>1639</v>
      </c>
      <c r="E230" s="33" t="s">
        <v>1639</v>
      </c>
      <c r="F230" s="33">
        <v>165</v>
      </c>
      <c r="G230" s="33" t="s">
        <v>1639</v>
      </c>
      <c r="H230" s="33" t="s">
        <v>1639</v>
      </c>
      <c r="I230" s="33">
        <v>195</v>
      </c>
      <c r="K230" t="b">
        <f>QHPSelections2016[[#This Row],[County Name]]=P230</f>
        <v>1</v>
      </c>
      <c r="L230" t="b">
        <f>QHPSelections2016[[#This Row],[Silver]]=S230</f>
        <v>1</v>
      </c>
      <c r="N230">
        <v>12077</v>
      </c>
      <c r="O230" t="s">
        <v>1447</v>
      </c>
      <c r="P230" t="s">
        <v>1023</v>
      </c>
      <c r="S230">
        <v>165</v>
      </c>
      <c r="V230">
        <v>195</v>
      </c>
    </row>
    <row r="231" spans="1:22">
      <c r="A231" s="32" t="s">
        <v>1947</v>
      </c>
      <c r="B231" s="32" t="s">
        <v>1447</v>
      </c>
      <c r="C231" s="32" t="s">
        <v>1029</v>
      </c>
      <c r="D231" s="33">
        <v>23</v>
      </c>
      <c r="E231" s="33" t="s">
        <v>1639</v>
      </c>
      <c r="F231" s="33">
        <v>674</v>
      </c>
      <c r="G231" s="33">
        <v>104</v>
      </c>
      <c r="H231" s="33" t="s">
        <v>1639</v>
      </c>
      <c r="I231" s="33">
        <v>820</v>
      </c>
      <c r="K231" t="b">
        <f>QHPSelections2016[[#This Row],[County Name]]=P231</f>
        <v>1</v>
      </c>
      <c r="L231" t="b">
        <f>QHPSelections2016[[#This Row],[Silver]]=S231</f>
        <v>1</v>
      </c>
      <c r="N231">
        <v>12079</v>
      </c>
      <c r="O231" t="s">
        <v>1447</v>
      </c>
      <c r="P231" t="s">
        <v>1029</v>
      </c>
      <c r="Q231">
        <v>23</v>
      </c>
      <c r="S231">
        <v>674</v>
      </c>
      <c r="T231">
        <v>104</v>
      </c>
      <c r="V231">
        <v>820</v>
      </c>
    </row>
    <row r="232" spans="1:22">
      <c r="A232" s="32" t="s">
        <v>1948</v>
      </c>
      <c r="B232" s="32" t="s">
        <v>1447</v>
      </c>
      <c r="C232" s="32" t="s">
        <v>1034</v>
      </c>
      <c r="D232" s="33">
        <v>544</v>
      </c>
      <c r="E232" s="33">
        <v>1540</v>
      </c>
      <c r="F232" s="33">
        <v>15266</v>
      </c>
      <c r="G232" s="33">
        <v>3801</v>
      </c>
      <c r="H232" s="33">
        <v>173</v>
      </c>
      <c r="I232" s="33">
        <v>21324</v>
      </c>
      <c r="K232" t="b">
        <f>QHPSelections2016[[#This Row],[County Name]]=P232</f>
        <v>1</v>
      </c>
      <c r="L232" t="b">
        <f>QHPSelections2016[[#This Row],[Silver]]=S232</f>
        <v>1</v>
      </c>
      <c r="N232">
        <v>12081</v>
      </c>
      <c r="O232" t="s">
        <v>1447</v>
      </c>
      <c r="P232" t="s">
        <v>1034</v>
      </c>
      <c r="Q232">
        <v>544</v>
      </c>
      <c r="R232" s="51">
        <v>1540</v>
      </c>
      <c r="S232" s="51">
        <v>15266</v>
      </c>
      <c r="T232" s="51">
        <v>3801</v>
      </c>
      <c r="U232">
        <v>173</v>
      </c>
      <c r="V232" s="51">
        <v>21324</v>
      </c>
    </row>
    <row r="233" spans="1:22">
      <c r="A233" s="32" t="s">
        <v>1949</v>
      </c>
      <c r="B233" s="32" t="s">
        <v>1447</v>
      </c>
      <c r="C233" s="32" t="s">
        <v>1038</v>
      </c>
      <c r="D233" s="33">
        <v>608</v>
      </c>
      <c r="E233" s="33">
        <v>927</v>
      </c>
      <c r="F233" s="33">
        <v>18167</v>
      </c>
      <c r="G233" s="33">
        <v>2470</v>
      </c>
      <c r="H233" s="33">
        <v>98</v>
      </c>
      <c r="I233" s="33">
        <v>22270</v>
      </c>
      <c r="K233" t="b">
        <f>QHPSelections2016[[#This Row],[County Name]]=P233</f>
        <v>1</v>
      </c>
      <c r="L233" t="b">
        <f>QHPSelections2016[[#This Row],[Silver]]=S233</f>
        <v>1</v>
      </c>
      <c r="N233">
        <v>12083</v>
      </c>
      <c r="O233" t="s">
        <v>1447</v>
      </c>
      <c r="P233" t="s">
        <v>1038</v>
      </c>
      <c r="Q233">
        <v>608</v>
      </c>
      <c r="R233">
        <v>927</v>
      </c>
      <c r="S233" s="51">
        <v>18167</v>
      </c>
      <c r="T233" s="51">
        <v>2470</v>
      </c>
      <c r="U233">
        <v>98</v>
      </c>
      <c r="V233" s="51">
        <v>22270</v>
      </c>
    </row>
    <row r="234" spans="1:22">
      <c r="A234" s="32" t="s">
        <v>1950</v>
      </c>
      <c r="B234" s="32" t="s">
        <v>1447</v>
      </c>
      <c r="C234" s="32" t="s">
        <v>1044</v>
      </c>
      <c r="D234" s="33">
        <v>413</v>
      </c>
      <c r="E234" s="33">
        <v>920</v>
      </c>
      <c r="F234" s="33">
        <v>8756</v>
      </c>
      <c r="G234" s="33">
        <v>1796</v>
      </c>
      <c r="H234" s="33">
        <v>18</v>
      </c>
      <c r="I234" s="33">
        <v>11903</v>
      </c>
      <c r="K234" t="b">
        <f>QHPSelections2016[[#This Row],[County Name]]=P234</f>
        <v>1</v>
      </c>
      <c r="L234" t="b">
        <f>QHPSelections2016[[#This Row],[Silver]]=S234</f>
        <v>1</v>
      </c>
      <c r="N234">
        <v>12085</v>
      </c>
      <c r="O234" t="s">
        <v>1447</v>
      </c>
      <c r="P234" t="s">
        <v>1044</v>
      </c>
      <c r="Q234">
        <v>413</v>
      </c>
      <c r="R234">
        <v>920</v>
      </c>
      <c r="S234" s="51">
        <v>8756</v>
      </c>
      <c r="T234" s="51">
        <v>1796</v>
      </c>
      <c r="U234">
        <v>18</v>
      </c>
      <c r="V234" s="51">
        <v>11903</v>
      </c>
    </row>
    <row r="235" spans="1:22">
      <c r="A235" s="32" t="s">
        <v>1951</v>
      </c>
      <c r="B235" s="32" t="s">
        <v>1447</v>
      </c>
      <c r="C235" s="32" t="s">
        <v>1050</v>
      </c>
      <c r="D235" s="33">
        <v>2072</v>
      </c>
      <c r="E235" s="33">
        <v>6911</v>
      </c>
      <c r="F235" s="33">
        <v>311075</v>
      </c>
      <c r="G235" s="33">
        <v>71607</v>
      </c>
      <c r="H235" s="33">
        <v>1236</v>
      </c>
      <c r="I235" s="33">
        <v>392901</v>
      </c>
      <c r="K235" t="b">
        <f>QHPSelections2016[[#This Row],[County Name]]=P235</f>
        <v>1</v>
      </c>
      <c r="L235" t="b">
        <f>QHPSelections2016[[#This Row],[Silver]]=S235</f>
        <v>1</v>
      </c>
      <c r="N235">
        <v>12086</v>
      </c>
      <c r="O235" t="s">
        <v>1447</v>
      </c>
      <c r="P235" t="s">
        <v>1050</v>
      </c>
      <c r="Q235" s="51">
        <v>2072</v>
      </c>
      <c r="R235" s="51">
        <v>6911</v>
      </c>
      <c r="S235" s="51">
        <v>311075</v>
      </c>
      <c r="T235" s="51">
        <v>71607</v>
      </c>
      <c r="U235" s="51">
        <v>1236</v>
      </c>
      <c r="V235" s="51">
        <v>392901</v>
      </c>
    </row>
    <row r="236" spans="1:22">
      <c r="A236" s="32" t="s">
        <v>1952</v>
      </c>
      <c r="B236" s="32" t="s">
        <v>1447</v>
      </c>
      <c r="C236" s="32" t="s">
        <v>1055</v>
      </c>
      <c r="D236" s="33">
        <v>84</v>
      </c>
      <c r="E236" s="33">
        <v>399</v>
      </c>
      <c r="F236" s="33">
        <v>5013</v>
      </c>
      <c r="G236" s="33">
        <v>1615</v>
      </c>
      <c r="H236" s="33">
        <v>38</v>
      </c>
      <c r="I236" s="33">
        <v>7149</v>
      </c>
      <c r="K236" t="b">
        <f>QHPSelections2016[[#This Row],[County Name]]=P236</f>
        <v>1</v>
      </c>
      <c r="L236" t="b">
        <f>QHPSelections2016[[#This Row],[Silver]]=S236</f>
        <v>1</v>
      </c>
      <c r="N236">
        <v>12087</v>
      </c>
      <c r="O236" t="s">
        <v>1447</v>
      </c>
      <c r="P236" t="s">
        <v>1055</v>
      </c>
      <c r="Q236">
        <v>84</v>
      </c>
      <c r="R236">
        <v>399</v>
      </c>
      <c r="S236" s="51">
        <v>5013</v>
      </c>
      <c r="T236" s="51">
        <v>1615</v>
      </c>
      <c r="U236">
        <v>38</v>
      </c>
      <c r="V236" s="51">
        <v>7149</v>
      </c>
    </row>
    <row r="237" spans="1:22">
      <c r="A237" s="32" t="s">
        <v>1953</v>
      </c>
      <c r="B237" s="32" t="s">
        <v>1447</v>
      </c>
      <c r="C237" s="32" t="s">
        <v>1057</v>
      </c>
      <c r="D237" s="33">
        <v>66</v>
      </c>
      <c r="E237" s="33">
        <v>301</v>
      </c>
      <c r="F237" s="33">
        <v>3220</v>
      </c>
      <c r="G237" s="33">
        <v>599</v>
      </c>
      <c r="H237" s="33">
        <v>24</v>
      </c>
      <c r="I237" s="33">
        <v>4210</v>
      </c>
      <c r="K237" t="b">
        <f>QHPSelections2016[[#This Row],[County Name]]=P237</f>
        <v>1</v>
      </c>
      <c r="L237" t="b">
        <f>QHPSelections2016[[#This Row],[Silver]]=S237</f>
        <v>1</v>
      </c>
      <c r="N237">
        <v>12089</v>
      </c>
      <c r="O237" t="s">
        <v>1447</v>
      </c>
      <c r="P237" t="s">
        <v>1057</v>
      </c>
      <c r="Q237">
        <v>66</v>
      </c>
      <c r="R237">
        <v>301</v>
      </c>
      <c r="S237" s="51">
        <v>3220</v>
      </c>
      <c r="T237">
        <v>599</v>
      </c>
      <c r="U237">
        <v>24</v>
      </c>
      <c r="V237" s="51">
        <v>4210</v>
      </c>
    </row>
    <row r="238" spans="1:22">
      <c r="A238" s="32" t="s">
        <v>1954</v>
      </c>
      <c r="B238" s="32" t="s">
        <v>1447</v>
      </c>
      <c r="C238" s="32" t="s">
        <v>1061</v>
      </c>
      <c r="D238" s="33">
        <v>372</v>
      </c>
      <c r="E238" s="33">
        <v>543</v>
      </c>
      <c r="F238" s="33">
        <v>7300</v>
      </c>
      <c r="G238" s="33">
        <v>1135</v>
      </c>
      <c r="H238" s="33">
        <v>18</v>
      </c>
      <c r="I238" s="33">
        <v>9368</v>
      </c>
      <c r="K238" t="b">
        <f>QHPSelections2016[[#This Row],[County Name]]=P238</f>
        <v>1</v>
      </c>
      <c r="L238" t="b">
        <f>QHPSelections2016[[#This Row],[Silver]]=S238</f>
        <v>1</v>
      </c>
      <c r="N238">
        <v>12091</v>
      </c>
      <c r="O238" t="s">
        <v>1447</v>
      </c>
      <c r="P238" t="s">
        <v>1061</v>
      </c>
      <c r="Q238">
        <v>372</v>
      </c>
      <c r="R238">
        <v>543</v>
      </c>
      <c r="S238" s="51">
        <v>7300</v>
      </c>
      <c r="T238" s="51">
        <v>1135</v>
      </c>
      <c r="U238">
        <v>18</v>
      </c>
      <c r="V238" s="51">
        <v>9368</v>
      </c>
    </row>
    <row r="239" spans="1:22">
      <c r="A239" s="32" t="s">
        <v>1955</v>
      </c>
      <c r="B239" s="32" t="s">
        <v>1447</v>
      </c>
      <c r="C239" s="32" t="s">
        <v>1066</v>
      </c>
      <c r="D239" s="33" t="s">
        <v>1639</v>
      </c>
      <c r="E239" s="33">
        <v>81</v>
      </c>
      <c r="F239" s="33">
        <v>1492</v>
      </c>
      <c r="G239" s="33">
        <v>183</v>
      </c>
      <c r="H239" s="33" t="s">
        <v>1639</v>
      </c>
      <c r="I239" s="33">
        <v>1801</v>
      </c>
      <c r="K239" t="b">
        <f>QHPSelections2016[[#This Row],[County Name]]=P239</f>
        <v>1</v>
      </c>
      <c r="L239" t="b">
        <f>QHPSelections2016[[#This Row],[Silver]]=S239</f>
        <v>1</v>
      </c>
      <c r="N239">
        <v>12093</v>
      </c>
      <c r="O239" t="s">
        <v>1447</v>
      </c>
      <c r="P239" t="s">
        <v>1066</v>
      </c>
      <c r="R239">
        <v>81</v>
      </c>
      <c r="S239" s="51">
        <v>1492</v>
      </c>
      <c r="T239">
        <v>183</v>
      </c>
      <c r="V239" s="51">
        <v>1801</v>
      </c>
    </row>
    <row r="240" spans="1:22">
      <c r="A240" s="32" t="s">
        <v>1956</v>
      </c>
      <c r="B240" s="32" t="s">
        <v>1447</v>
      </c>
      <c r="C240" s="32" t="s">
        <v>1072</v>
      </c>
      <c r="D240" s="33">
        <v>1845</v>
      </c>
      <c r="E240" s="33">
        <v>3900</v>
      </c>
      <c r="F240" s="33">
        <v>99478</v>
      </c>
      <c r="G240" s="33">
        <v>14175</v>
      </c>
      <c r="H240" s="33">
        <v>1515</v>
      </c>
      <c r="I240" s="33">
        <v>120913</v>
      </c>
      <c r="K240" t="b">
        <f>QHPSelections2016[[#This Row],[County Name]]=P240</f>
        <v>1</v>
      </c>
      <c r="L240" t="b">
        <f>QHPSelections2016[[#This Row],[Silver]]=S240</f>
        <v>1</v>
      </c>
      <c r="N240">
        <v>12095</v>
      </c>
      <c r="O240" t="s">
        <v>1447</v>
      </c>
      <c r="P240" t="s">
        <v>1072</v>
      </c>
      <c r="Q240" s="51">
        <v>1845</v>
      </c>
      <c r="R240" s="51">
        <v>3900</v>
      </c>
      <c r="S240" s="51">
        <v>99478</v>
      </c>
      <c r="T240" s="51">
        <v>14175</v>
      </c>
      <c r="U240" s="51">
        <v>1515</v>
      </c>
      <c r="V240" s="51">
        <v>120913</v>
      </c>
    </row>
    <row r="241" spans="1:22">
      <c r="A241" s="32" t="s">
        <v>1957</v>
      </c>
      <c r="B241" s="32" t="s">
        <v>1447</v>
      </c>
      <c r="C241" s="32" t="s">
        <v>1077</v>
      </c>
      <c r="D241" s="33">
        <v>282</v>
      </c>
      <c r="E241" s="33">
        <v>662</v>
      </c>
      <c r="F241" s="33">
        <v>30801</v>
      </c>
      <c r="G241" s="33">
        <v>3700</v>
      </c>
      <c r="H241" s="33">
        <v>287</v>
      </c>
      <c r="I241" s="33">
        <v>35732</v>
      </c>
      <c r="K241" t="b">
        <f>QHPSelections2016[[#This Row],[County Name]]=P241</f>
        <v>1</v>
      </c>
      <c r="L241" t="b">
        <f>QHPSelections2016[[#This Row],[Silver]]=S241</f>
        <v>1</v>
      </c>
      <c r="N241">
        <v>12097</v>
      </c>
      <c r="O241" t="s">
        <v>1447</v>
      </c>
      <c r="P241" t="s">
        <v>1077</v>
      </c>
      <c r="Q241">
        <v>282</v>
      </c>
      <c r="R241">
        <v>662</v>
      </c>
      <c r="S241" s="51">
        <v>30801</v>
      </c>
      <c r="T241" s="51">
        <v>3700</v>
      </c>
      <c r="U241">
        <v>287</v>
      </c>
      <c r="V241" s="51">
        <v>35732</v>
      </c>
    </row>
    <row r="242" spans="1:22">
      <c r="A242" s="32" t="s">
        <v>1958</v>
      </c>
      <c r="B242" s="32" t="s">
        <v>1447</v>
      </c>
      <c r="C242" s="32" t="s">
        <v>1082</v>
      </c>
      <c r="D242" s="33">
        <v>2888</v>
      </c>
      <c r="E242" s="33">
        <v>6338</v>
      </c>
      <c r="F242" s="33">
        <v>117476</v>
      </c>
      <c r="G242" s="33">
        <v>20870</v>
      </c>
      <c r="H242" s="33">
        <v>1389</v>
      </c>
      <c r="I242" s="33">
        <v>148961</v>
      </c>
      <c r="K242" t="b">
        <f>QHPSelections2016[[#This Row],[County Name]]=P242</f>
        <v>1</v>
      </c>
      <c r="L242" t="b">
        <f>QHPSelections2016[[#This Row],[Silver]]=S242</f>
        <v>1</v>
      </c>
      <c r="N242">
        <v>12099</v>
      </c>
      <c r="O242" t="s">
        <v>1447</v>
      </c>
      <c r="P242" t="s">
        <v>1082</v>
      </c>
      <c r="Q242" s="51">
        <v>2888</v>
      </c>
      <c r="R242" s="51">
        <v>6338</v>
      </c>
      <c r="S242" s="51">
        <v>117476</v>
      </c>
      <c r="T242" s="51">
        <v>20870</v>
      </c>
      <c r="U242" s="51">
        <v>1389</v>
      </c>
      <c r="V242" s="51">
        <v>148961</v>
      </c>
    </row>
    <row r="243" spans="1:22">
      <c r="A243" s="32" t="s">
        <v>1959</v>
      </c>
      <c r="B243" s="32" t="s">
        <v>1447</v>
      </c>
      <c r="C243" s="32" t="s">
        <v>1086</v>
      </c>
      <c r="D243" s="33">
        <v>786</v>
      </c>
      <c r="E243" s="33">
        <v>1502</v>
      </c>
      <c r="F243" s="33">
        <v>25587</v>
      </c>
      <c r="G243" s="33">
        <v>4408</v>
      </c>
      <c r="H243" s="33">
        <v>372</v>
      </c>
      <c r="I243" s="33">
        <v>32655</v>
      </c>
      <c r="K243" t="b">
        <f>QHPSelections2016[[#This Row],[County Name]]=P243</f>
        <v>1</v>
      </c>
      <c r="L243" t="b">
        <f>QHPSelections2016[[#This Row],[Silver]]=S243</f>
        <v>1</v>
      </c>
      <c r="N243">
        <v>12101</v>
      </c>
      <c r="O243" t="s">
        <v>1447</v>
      </c>
      <c r="P243" t="s">
        <v>1086</v>
      </c>
      <c r="Q243">
        <v>786</v>
      </c>
      <c r="R243" s="51">
        <v>1502</v>
      </c>
      <c r="S243" s="51">
        <v>25587</v>
      </c>
      <c r="T243" s="51">
        <v>4408</v>
      </c>
      <c r="U243">
        <v>372</v>
      </c>
      <c r="V243" s="51">
        <v>32655</v>
      </c>
    </row>
    <row r="244" spans="1:22">
      <c r="A244" s="32" t="s">
        <v>1960</v>
      </c>
      <c r="B244" s="32" t="s">
        <v>1447</v>
      </c>
      <c r="C244" s="32" t="s">
        <v>1093</v>
      </c>
      <c r="D244" s="33">
        <v>1449</v>
      </c>
      <c r="E244" s="33">
        <v>3088</v>
      </c>
      <c r="F244" s="33">
        <v>50638</v>
      </c>
      <c r="G244" s="33">
        <v>10200</v>
      </c>
      <c r="H244" s="33">
        <v>846</v>
      </c>
      <c r="I244" s="33">
        <v>66221</v>
      </c>
      <c r="K244" t="b">
        <f>QHPSelections2016[[#This Row],[County Name]]=P244</f>
        <v>1</v>
      </c>
      <c r="L244" t="b">
        <f>QHPSelections2016[[#This Row],[Silver]]=S244</f>
        <v>1</v>
      </c>
      <c r="N244">
        <v>12103</v>
      </c>
      <c r="O244" t="s">
        <v>1447</v>
      </c>
      <c r="P244" t="s">
        <v>1093</v>
      </c>
      <c r="Q244" s="51">
        <v>1449</v>
      </c>
      <c r="R244" s="51">
        <v>3088</v>
      </c>
      <c r="S244" s="51">
        <v>50638</v>
      </c>
      <c r="T244" s="51">
        <v>10200</v>
      </c>
      <c r="U244">
        <v>846</v>
      </c>
      <c r="V244" s="51">
        <v>66221</v>
      </c>
    </row>
    <row r="245" spans="1:22">
      <c r="A245" s="32" t="s">
        <v>1961</v>
      </c>
      <c r="B245" s="32" t="s">
        <v>1447</v>
      </c>
      <c r="C245" s="32" t="s">
        <v>1098</v>
      </c>
      <c r="D245" s="33">
        <v>424</v>
      </c>
      <c r="E245" s="33">
        <v>1167</v>
      </c>
      <c r="F245" s="33">
        <v>26841</v>
      </c>
      <c r="G245" s="33">
        <v>5365</v>
      </c>
      <c r="H245" s="33">
        <v>359</v>
      </c>
      <c r="I245" s="33">
        <v>34156</v>
      </c>
      <c r="K245" t="b">
        <f>QHPSelections2016[[#This Row],[County Name]]=P245</f>
        <v>1</v>
      </c>
      <c r="L245" t="b">
        <f>QHPSelections2016[[#This Row],[Silver]]=S245</f>
        <v>1</v>
      </c>
      <c r="N245">
        <v>12105</v>
      </c>
      <c r="O245" t="s">
        <v>1447</v>
      </c>
      <c r="P245" t="s">
        <v>1098</v>
      </c>
      <c r="Q245">
        <v>424</v>
      </c>
      <c r="R245" s="51">
        <v>1167</v>
      </c>
      <c r="S245" s="51">
        <v>26841</v>
      </c>
      <c r="T245" s="51">
        <v>5365</v>
      </c>
      <c r="U245">
        <v>359</v>
      </c>
      <c r="V245" s="51">
        <v>34156</v>
      </c>
    </row>
    <row r="246" spans="1:22">
      <c r="A246" s="32" t="s">
        <v>1962</v>
      </c>
      <c r="B246" s="32" t="s">
        <v>1447</v>
      </c>
      <c r="C246" s="32" t="s">
        <v>1103</v>
      </c>
      <c r="D246" s="33">
        <v>60</v>
      </c>
      <c r="E246" s="33">
        <v>162</v>
      </c>
      <c r="F246" s="33">
        <v>2702</v>
      </c>
      <c r="G246" s="33">
        <v>770</v>
      </c>
      <c r="H246" s="33">
        <v>34</v>
      </c>
      <c r="I246" s="33">
        <v>3728</v>
      </c>
      <c r="K246" t="b">
        <f>QHPSelections2016[[#This Row],[County Name]]=P246</f>
        <v>1</v>
      </c>
      <c r="L246" t="b">
        <f>QHPSelections2016[[#This Row],[Silver]]=S246</f>
        <v>1</v>
      </c>
      <c r="N246">
        <v>12107</v>
      </c>
      <c r="O246" t="s">
        <v>1447</v>
      </c>
      <c r="P246" t="s">
        <v>1103</v>
      </c>
      <c r="Q246">
        <v>60</v>
      </c>
      <c r="R246">
        <v>162</v>
      </c>
      <c r="S246" s="51">
        <v>2702</v>
      </c>
      <c r="T246">
        <v>770</v>
      </c>
      <c r="U246">
        <v>34</v>
      </c>
      <c r="V246" s="51">
        <v>3728</v>
      </c>
    </row>
    <row r="247" spans="1:22">
      <c r="A247" s="32" t="s">
        <v>1963</v>
      </c>
      <c r="B247" s="32" t="s">
        <v>1447</v>
      </c>
      <c r="C247" s="32" t="s">
        <v>1110</v>
      </c>
      <c r="D247" s="33">
        <v>411</v>
      </c>
      <c r="E247" s="33">
        <v>1067</v>
      </c>
      <c r="F247" s="33">
        <v>9295</v>
      </c>
      <c r="G247" s="33">
        <v>2257</v>
      </c>
      <c r="H247" s="33">
        <v>109</v>
      </c>
      <c r="I247" s="33">
        <v>13139</v>
      </c>
      <c r="K247" t="b">
        <f>QHPSelections2016[[#This Row],[County Name]]=P247</f>
        <v>0</v>
      </c>
      <c r="L247" t="b">
        <f>QHPSelections2016[[#This Row],[Silver]]=S247</f>
        <v>0</v>
      </c>
      <c r="N247">
        <v>12113</v>
      </c>
      <c r="O247" t="s">
        <v>1447</v>
      </c>
      <c r="P247" t="s">
        <v>1120</v>
      </c>
      <c r="Q247">
        <v>188</v>
      </c>
      <c r="R247">
        <v>549</v>
      </c>
      <c r="S247" s="51">
        <v>5065</v>
      </c>
      <c r="T247" s="51">
        <v>1245</v>
      </c>
      <c r="U247">
        <v>67</v>
      </c>
      <c r="V247" s="51">
        <v>7114</v>
      </c>
    </row>
    <row r="248" spans="1:22">
      <c r="A248" s="32" t="s">
        <v>1964</v>
      </c>
      <c r="B248" s="32" t="s">
        <v>1447</v>
      </c>
      <c r="C248" s="32" t="s">
        <v>1116</v>
      </c>
      <c r="D248" s="33">
        <v>357</v>
      </c>
      <c r="E248" s="33">
        <v>1264</v>
      </c>
      <c r="F248" s="33">
        <v>21277</v>
      </c>
      <c r="G248" s="33">
        <v>2586</v>
      </c>
      <c r="H248" s="33">
        <v>143</v>
      </c>
      <c r="I248" s="33">
        <v>25627</v>
      </c>
      <c r="K248" t="b">
        <f>QHPSelections2016[[#This Row],[County Name]]=P248</f>
        <v>0</v>
      </c>
      <c r="L248" t="b">
        <f>QHPSelections2016[[#This Row],[Silver]]=S248</f>
        <v>0</v>
      </c>
      <c r="N248">
        <v>12115</v>
      </c>
      <c r="O248" t="s">
        <v>1447</v>
      </c>
      <c r="P248" t="s">
        <v>1124</v>
      </c>
      <c r="Q248">
        <v>825</v>
      </c>
      <c r="R248" s="51">
        <v>1902</v>
      </c>
      <c r="S248" s="51">
        <v>20670</v>
      </c>
      <c r="T248" s="51">
        <v>4825</v>
      </c>
      <c r="U248">
        <v>203</v>
      </c>
      <c r="V248" s="51">
        <v>28425</v>
      </c>
    </row>
    <row r="249" spans="1:22">
      <c r="A249" s="32" t="s">
        <v>1965</v>
      </c>
      <c r="B249" s="32" t="s">
        <v>1447</v>
      </c>
      <c r="C249" s="32" t="s">
        <v>1120</v>
      </c>
      <c r="D249" s="33">
        <v>188</v>
      </c>
      <c r="E249" s="33">
        <v>549</v>
      </c>
      <c r="F249" s="33">
        <v>5065</v>
      </c>
      <c r="G249" s="33">
        <v>1245</v>
      </c>
      <c r="H249" s="33">
        <v>67</v>
      </c>
      <c r="I249" s="33">
        <v>7114</v>
      </c>
      <c r="K249" t="b">
        <f>QHPSelections2016[[#This Row],[County Name]]=P249</f>
        <v>0</v>
      </c>
      <c r="L249" t="b">
        <f>QHPSelections2016[[#This Row],[Silver]]=S249</f>
        <v>0</v>
      </c>
      <c r="N249">
        <v>12117</v>
      </c>
      <c r="O249" t="s">
        <v>1447</v>
      </c>
      <c r="P249" t="s">
        <v>1127</v>
      </c>
      <c r="Q249">
        <v>724</v>
      </c>
      <c r="R249" s="51">
        <v>1699</v>
      </c>
      <c r="S249" s="51">
        <v>27830</v>
      </c>
      <c r="T249" s="51">
        <v>6426</v>
      </c>
      <c r="U249">
        <v>451</v>
      </c>
      <c r="V249" s="51">
        <v>37130</v>
      </c>
    </row>
    <row r="250" spans="1:22">
      <c r="A250" s="32" t="s">
        <v>1966</v>
      </c>
      <c r="B250" s="32" t="s">
        <v>1447</v>
      </c>
      <c r="C250" s="32" t="s">
        <v>1124</v>
      </c>
      <c r="D250" s="33">
        <v>825</v>
      </c>
      <c r="E250" s="33">
        <v>1902</v>
      </c>
      <c r="F250" s="33">
        <v>20670</v>
      </c>
      <c r="G250" s="33">
        <v>4825</v>
      </c>
      <c r="H250" s="33">
        <v>203</v>
      </c>
      <c r="I250" s="33">
        <v>28425</v>
      </c>
      <c r="K250" t="b">
        <f>QHPSelections2016[[#This Row],[County Name]]=P250</f>
        <v>0</v>
      </c>
      <c r="L250" t="b">
        <f>QHPSelections2016[[#This Row],[Silver]]=S250</f>
        <v>0</v>
      </c>
      <c r="N250">
        <v>12109</v>
      </c>
      <c r="O250" t="s">
        <v>1447</v>
      </c>
      <c r="P250" t="s">
        <v>1110</v>
      </c>
      <c r="Q250">
        <v>411</v>
      </c>
      <c r="R250" s="51">
        <v>1067</v>
      </c>
      <c r="S250" s="51">
        <v>9295</v>
      </c>
      <c r="T250" s="51">
        <v>2257</v>
      </c>
      <c r="U250">
        <v>109</v>
      </c>
      <c r="V250" s="51">
        <v>13139</v>
      </c>
    </row>
    <row r="251" spans="1:22">
      <c r="A251" s="32" t="s">
        <v>1967</v>
      </c>
      <c r="B251" s="32" t="s">
        <v>1447</v>
      </c>
      <c r="C251" s="32" t="s">
        <v>1127</v>
      </c>
      <c r="D251" s="33">
        <v>724</v>
      </c>
      <c r="E251" s="33">
        <v>1699</v>
      </c>
      <c r="F251" s="33">
        <v>27830</v>
      </c>
      <c r="G251" s="33">
        <v>6426</v>
      </c>
      <c r="H251" s="33">
        <v>451</v>
      </c>
      <c r="I251" s="33">
        <v>37130</v>
      </c>
      <c r="K251" t="b">
        <f>QHPSelections2016[[#This Row],[County Name]]=P251</f>
        <v>0</v>
      </c>
      <c r="L251" t="b">
        <f>QHPSelections2016[[#This Row],[Silver]]=S251</f>
        <v>0</v>
      </c>
      <c r="N251">
        <v>12111</v>
      </c>
      <c r="O251" t="s">
        <v>1447</v>
      </c>
      <c r="P251" t="s">
        <v>1116</v>
      </c>
      <c r="Q251">
        <v>357</v>
      </c>
      <c r="R251" s="51">
        <v>1264</v>
      </c>
      <c r="S251" s="51">
        <v>21277</v>
      </c>
      <c r="T251" s="51">
        <v>2586</v>
      </c>
      <c r="U251">
        <v>143</v>
      </c>
      <c r="V251" s="51">
        <v>25627</v>
      </c>
    </row>
    <row r="252" spans="1:22">
      <c r="A252" s="32" t="s">
        <v>1968</v>
      </c>
      <c r="B252" s="32" t="s">
        <v>1447</v>
      </c>
      <c r="C252" s="32" t="s">
        <v>1130</v>
      </c>
      <c r="D252" s="33" t="s">
        <v>1639</v>
      </c>
      <c r="E252" s="33">
        <v>309</v>
      </c>
      <c r="F252" s="33">
        <v>3150</v>
      </c>
      <c r="G252" s="33">
        <v>636</v>
      </c>
      <c r="H252" s="33" t="s">
        <v>1639</v>
      </c>
      <c r="I252" s="33">
        <v>4270</v>
      </c>
      <c r="K252" t="b">
        <f>QHPSelections2016[[#This Row],[County Name]]=P252</f>
        <v>1</v>
      </c>
      <c r="L252" t="b">
        <f>QHPSelections2016[[#This Row],[Silver]]=S252</f>
        <v>1</v>
      </c>
      <c r="N252">
        <v>12119</v>
      </c>
      <c r="O252" t="s">
        <v>1447</v>
      </c>
      <c r="P252" t="s">
        <v>1130</v>
      </c>
      <c r="R252">
        <v>309</v>
      </c>
      <c r="S252" s="51">
        <v>3150</v>
      </c>
      <c r="T252">
        <v>636</v>
      </c>
      <c r="V252" s="51">
        <v>4270</v>
      </c>
    </row>
    <row r="253" spans="1:22">
      <c r="A253" s="32" t="s">
        <v>1969</v>
      </c>
      <c r="B253" s="32" t="s">
        <v>1447</v>
      </c>
      <c r="C253" s="32" t="s">
        <v>1137</v>
      </c>
      <c r="D253" s="33" t="s">
        <v>1639</v>
      </c>
      <c r="E253" s="33">
        <v>97</v>
      </c>
      <c r="F253" s="33">
        <v>1700</v>
      </c>
      <c r="G253" s="33">
        <v>206</v>
      </c>
      <c r="H253" s="33" t="s">
        <v>1639</v>
      </c>
      <c r="I253" s="33">
        <v>2063</v>
      </c>
      <c r="K253" t="b">
        <f>QHPSelections2016[[#This Row],[County Name]]=P253</f>
        <v>1</v>
      </c>
      <c r="L253" t="b">
        <f>QHPSelections2016[[#This Row],[Silver]]=S253</f>
        <v>1</v>
      </c>
      <c r="N253">
        <v>12121</v>
      </c>
      <c r="O253" t="s">
        <v>1447</v>
      </c>
      <c r="P253" t="s">
        <v>1137</v>
      </c>
      <c r="R253">
        <v>97</v>
      </c>
      <c r="S253" s="51">
        <v>1700</v>
      </c>
      <c r="T253">
        <v>206</v>
      </c>
      <c r="V253" s="51">
        <v>2063</v>
      </c>
    </row>
    <row r="254" spans="1:22">
      <c r="A254" s="32" t="s">
        <v>1970</v>
      </c>
      <c r="B254" s="32" t="s">
        <v>1447</v>
      </c>
      <c r="C254" s="32" t="s">
        <v>1144</v>
      </c>
      <c r="D254" s="33" t="s">
        <v>1639</v>
      </c>
      <c r="E254" s="33">
        <v>48</v>
      </c>
      <c r="F254" s="33">
        <v>512</v>
      </c>
      <c r="G254" s="33">
        <v>48</v>
      </c>
      <c r="H254" s="33" t="s">
        <v>1639</v>
      </c>
      <c r="I254" s="33">
        <v>624</v>
      </c>
      <c r="K254" t="b">
        <f>QHPSelections2016[[#This Row],[County Name]]=P254</f>
        <v>1</v>
      </c>
      <c r="L254" t="b">
        <f>QHPSelections2016[[#This Row],[Silver]]=S254</f>
        <v>1</v>
      </c>
      <c r="N254">
        <v>12123</v>
      </c>
      <c r="O254" t="s">
        <v>1447</v>
      </c>
      <c r="P254" t="s">
        <v>1144</v>
      </c>
      <c r="R254">
        <v>48</v>
      </c>
      <c r="S254">
        <v>512</v>
      </c>
      <c r="T254">
        <v>48</v>
      </c>
      <c r="V254">
        <v>624</v>
      </c>
    </row>
    <row r="255" spans="1:22">
      <c r="A255" s="32" t="s">
        <v>1971</v>
      </c>
      <c r="B255" s="32" t="s">
        <v>1447</v>
      </c>
      <c r="C255" s="32" t="s">
        <v>1149</v>
      </c>
      <c r="D255" s="33" t="s">
        <v>1639</v>
      </c>
      <c r="E255" s="33">
        <v>14</v>
      </c>
      <c r="F255" s="33">
        <v>264</v>
      </c>
      <c r="G255" s="33">
        <v>64</v>
      </c>
      <c r="H255" s="33" t="s">
        <v>1639</v>
      </c>
      <c r="I255" s="33">
        <v>358</v>
      </c>
      <c r="K255" t="b">
        <f>QHPSelections2016[[#This Row],[County Name]]=P255</f>
        <v>1</v>
      </c>
      <c r="L255" t="b">
        <f>QHPSelections2016[[#This Row],[Silver]]=S255</f>
        <v>1</v>
      </c>
      <c r="N255">
        <v>12125</v>
      </c>
      <c r="O255" t="s">
        <v>1447</v>
      </c>
      <c r="P255" t="s">
        <v>1149</v>
      </c>
      <c r="R255">
        <v>14</v>
      </c>
      <c r="S255">
        <v>264</v>
      </c>
      <c r="T255">
        <v>64</v>
      </c>
      <c r="V255">
        <v>358</v>
      </c>
    </row>
    <row r="256" spans="1:22">
      <c r="A256" s="32" t="s">
        <v>1972</v>
      </c>
      <c r="B256" s="32" t="s">
        <v>1447</v>
      </c>
      <c r="C256" s="32" t="s">
        <v>1155</v>
      </c>
      <c r="D256" s="33">
        <v>1032</v>
      </c>
      <c r="E256" s="33">
        <v>1606</v>
      </c>
      <c r="F256" s="33">
        <v>30069</v>
      </c>
      <c r="G256" s="33">
        <v>7101</v>
      </c>
      <c r="H256" s="33">
        <v>454</v>
      </c>
      <c r="I256" s="33">
        <v>40262</v>
      </c>
      <c r="K256" t="b">
        <f>QHPSelections2016[[#This Row],[County Name]]=P256</f>
        <v>1</v>
      </c>
      <c r="L256" t="b">
        <f>QHPSelections2016[[#This Row],[Silver]]=S256</f>
        <v>1</v>
      </c>
      <c r="N256">
        <v>12127</v>
      </c>
      <c r="O256" t="s">
        <v>1447</v>
      </c>
      <c r="P256" t="s">
        <v>1155</v>
      </c>
      <c r="Q256" s="51">
        <v>1032</v>
      </c>
      <c r="R256" s="51">
        <v>1606</v>
      </c>
      <c r="S256" s="51">
        <v>30069</v>
      </c>
      <c r="T256" s="51">
        <v>7101</v>
      </c>
      <c r="U256">
        <v>454</v>
      </c>
      <c r="V256" s="51">
        <v>40262</v>
      </c>
    </row>
    <row r="257" spans="1:22">
      <c r="A257" s="32" t="s">
        <v>1973</v>
      </c>
      <c r="B257" s="32" t="s">
        <v>1447</v>
      </c>
      <c r="C257" s="32" t="s">
        <v>1161</v>
      </c>
      <c r="D257" s="33" t="s">
        <v>1639</v>
      </c>
      <c r="E257" s="33">
        <v>62</v>
      </c>
      <c r="F257" s="33">
        <v>781</v>
      </c>
      <c r="G257" s="33">
        <v>134</v>
      </c>
      <c r="H257" s="33" t="s">
        <v>1639</v>
      </c>
      <c r="I257" s="33">
        <v>995</v>
      </c>
      <c r="K257" t="b">
        <f>QHPSelections2016[[#This Row],[County Name]]=P257</f>
        <v>1</v>
      </c>
      <c r="L257" t="b">
        <f>QHPSelections2016[[#This Row],[Silver]]=S257</f>
        <v>1</v>
      </c>
      <c r="N257">
        <v>12129</v>
      </c>
      <c r="O257" t="s">
        <v>1447</v>
      </c>
      <c r="P257" t="s">
        <v>1161</v>
      </c>
      <c r="R257">
        <v>62</v>
      </c>
      <c r="S257">
        <v>781</v>
      </c>
      <c r="T257">
        <v>134</v>
      </c>
      <c r="V257">
        <v>995</v>
      </c>
    </row>
    <row r="258" spans="1:22">
      <c r="A258" s="32" t="s">
        <v>1974</v>
      </c>
      <c r="B258" s="32" t="s">
        <v>1447</v>
      </c>
      <c r="C258" s="32" t="s">
        <v>1167</v>
      </c>
      <c r="D258" s="33" t="s">
        <v>1639</v>
      </c>
      <c r="E258" s="33">
        <v>348</v>
      </c>
      <c r="F258" s="33">
        <v>3279</v>
      </c>
      <c r="G258" s="33">
        <v>635</v>
      </c>
      <c r="H258" s="33" t="s">
        <v>1639</v>
      </c>
      <c r="I258" s="33">
        <v>4454</v>
      </c>
      <c r="K258" t="b">
        <f>QHPSelections2016[[#This Row],[County Name]]=P258</f>
        <v>1</v>
      </c>
      <c r="L258" t="b">
        <f>QHPSelections2016[[#This Row],[Silver]]=S258</f>
        <v>1</v>
      </c>
      <c r="N258">
        <v>12131</v>
      </c>
      <c r="O258" t="s">
        <v>1447</v>
      </c>
      <c r="P258" t="s">
        <v>1167</v>
      </c>
      <c r="R258">
        <v>348</v>
      </c>
      <c r="S258" s="51">
        <v>3279</v>
      </c>
      <c r="T258">
        <v>635</v>
      </c>
      <c r="V258" s="51">
        <v>4454</v>
      </c>
    </row>
    <row r="259" spans="1:22">
      <c r="A259" s="32" t="s">
        <v>1975</v>
      </c>
      <c r="B259" s="32" t="s">
        <v>1447</v>
      </c>
      <c r="C259" s="32" t="s">
        <v>1160</v>
      </c>
      <c r="D259" s="33" t="s">
        <v>1639</v>
      </c>
      <c r="E259" s="33">
        <v>44</v>
      </c>
      <c r="F259" s="33">
        <v>807</v>
      </c>
      <c r="G259" s="33">
        <v>93</v>
      </c>
      <c r="H259" s="33" t="s">
        <v>1639</v>
      </c>
      <c r="I259" s="33">
        <v>961</v>
      </c>
      <c r="K259" t="b">
        <f>QHPSelections2016[[#This Row],[County Name]]=P259</f>
        <v>1</v>
      </c>
      <c r="L259" t="b">
        <f>QHPSelections2016[[#This Row],[Silver]]=S259</f>
        <v>1</v>
      </c>
      <c r="N259">
        <v>12133</v>
      </c>
      <c r="O259" t="s">
        <v>1447</v>
      </c>
      <c r="P259" t="s">
        <v>1160</v>
      </c>
      <c r="R259">
        <v>44</v>
      </c>
      <c r="S259">
        <v>807</v>
      </c>
      <c r="T259">
        <v>93</v>
      </c>
      <c r="V259">
        <v>961</v>
      </c>
    </row>
    <row r="260" spans="1:22">
      <c r="A260" s="32" t="s">
        <v>1976</v>
      </c>
      <c r="B260" s="32" t="s">
        <v>1515</v>
      </c>
      <c r="C260" s="32" t="s">
        <v>819</v>
      </c>
      <c r="D260" s="33">
        <v>0</v>
      </c>
      <c r="E260" s="33" t="s">
        <v>1639</v>
      </c>
      <c r="F260" s="33">
        <v>622</v>
      </c>
      <c r="G260" s="33">
        <v>93</v>
      </c>
      <c r="H260" s="33" t="s">
        <v>1639</v>
      </c>
      <c r="I260" s="33">
        <v>743</v>
      </c>
      <c r="K260" t="b">
        <f>QHPSelections2016[[#This Row],[County Name]]=P260</f>
        <v>1</v>
      </c>
      <c r="L260" t="b">
        <f>QHPSelections2016[[#This Row],[Silver]]=S260</f>
        <v>1</v>
      </c>
      <c r="N260">
        <v>13001</v>
      </c>
      <c r="O260" t="s">
        <v>1515</v>
      </c>
      <c r="P260" t="s">
        <v>819</v>
      </c>
      <c r="Q260">
        <v>0</v>
      </c>
      <c r="S260">
        <v>622</v>
      </c>
      <c r="T260">
        <v>93</v>
      </c>
      <c r="V260">
        <v>743</v>
      </c>
    </row>
    <row r="261" spans="1:22">
      <c r="A261" s="32" t="s">
        <v>1977</v>
      </c>
      <c r="B261" s="32" t="s">
        <v>1515</v>
      </c>
      <c r="C261" s="32" t="s">
        <v>825</v>
      </c>
      <c r="D261" s="33">
        <v>0</v>
      </c>
      <c r="E261" s="33" t="s">
        <v>1639</v>
      </c>
      <c r="F261" s="33">
        <v>192</v>
      </c>
      <c r="G261" s="33">
        <v>51</v>
      </c>
      <c r="H261" s="33" t="s">
        <v>1639</v>
      </c>
      <c r="I261" s="33">
        <v>245</v>
      </c>
      <c r="K261" t="b">
        <f>QHPSelections2016[[#This Row],[County Name]]=P261</f>
        <v>1</v>
      </c>
      <c r="L261" t="b">
        <f>QHPSelections2016[[#This Row],[Silver]]=S261</f>
        <v>1</v>
      </c>
      <c r="N261">
        <v>13003</v>
      </c>
      <c r="O261" t="s">
        <v>1515</v>
      </c>
      <c r="P261" t="s">
        <v>825</v>
      </c>
      <c r="Q261">
        <v>0</v>
      </c>
      <c r="S261">
        <v>192</v>
      </c>
      <c r="T261">
        <v>51</v>
      </c>
      <c r="V261">
        <v>245</v>
      </c>
    </row>
    <row r="262" spans="1:22">
      <c r="A262" s="32" t="s">
        <v>1978</v>
      </c>
      <c r="B262" s="32" t="s">
        <v>1515</v>
      </c>
      <c r="C262" s="32" t="s">
        <v>832</v>
      </c>
      <c r="D262" s="33">
        <v>0</v>
      </c>
      <c r="E262" s="33" t="s">
        <v>1639</v>
      </c>
      <c r="F262" s="33">
        <v>286</v>
      </c>
      <c r="G262" s="33">
        <v>51</v>
      </c>
      <c r="H262" s="33" t="s">
        <v>1639</v>
      </c>
      <c r="I262" s="33">
        <v>355</v>
      </c>
      <c r="K262" t="b">
        <f>QHPSelections2016[[#This Row],[County Name]]=P262</f>
        <v>1</v>
      </c>
      <c r="L262" t="b">
        <f>QHPSelections2016[[#This Row],[Silver]]=S262</f>
        <v>1</v>
      </c>
      <c r="N262">
        <v>13005</v>
      </c>
      <c r="O262" t="s">
        <v>1515</v>
      </c>
      <c r="P262" t="s">
        <v>832</v>
      </c>
      <c r="Q262">
        <v>0</v>
      </c>
      <c r="S262">
        <v>286</v>
      </c>
      <c r="T262">
        <v>51</v>
      </c>
      <c r="V262">
        <v>355</v>
      </c>
    </row>
    <row r="263" spans="1:22">
      <c r="A263" s="32" t="s">
        <v>1979</v>
      </c>
      <c r="B263" s="32" t="s">
        <v>1515</v>
      </c>
      <c r="C263" s="32" t="s">
        <v>824</v>
      </c>
      <c r="D263" s="33">
        <v>0</v>
      </c>
      <c r="E263" s="33" t="s">
        <v>1639</v>
      </c>
      <c r="F263" s="33">
        <v>117</v>
      </c>
      <c r="G263" s="33">
        <v>30</v>
      </c>
      <c r="H263" s="33" t="s">
        <v>1639</v>
      </c>
      <c r="I263" s="33">
        <v>154</v>
      </c>
      <c r="K263" t="b">
        <f>QHPSelections2016[[#This Row],[County Name]]=P263</f>
        <v>1</v>
      </c>
      <c r="L263" t="b">
        <f>QHPSelections2016[[#This Row],[Silver]]=S263</f>
        <v>1</v>
      </c>
      <c r="N263">
        <v>13007</v>
      </c>
      <c r="O263" t="s">
        <v>1515</v>
      </c>
      <c r="P263" t="s">
        <v>824</v>
      </c>
      <c r="Q263">
        <v>0</v>
      </c>
      <c r="S263">
        <v>117</v>
      </c>
      <c r="T263">
        <v>30</v>
      </c>
      <c r="V263">
        <v>154</v>
      </c>
    </row>
    <row r="264" spans="1:22">
      <c r="A264" s="32" t="s">
        <v>1980</v>
      </c>
      <c r="B264" s="32" t="s">
        <v>1515</v>
      </c>
      <c r="C264" s="32" t="s">
        <v>823</v>
      </c>
      <c r="D264" s="33">
        <v>0</v>
      </c>
      <c r="E264" s="33">
        <v>29</v>
      </c>
      <c r="F264" s="33">
        <v>1162</v>
      </c>
      <c r="G264" s="33">
        <v>222</v>
      </c>
      <c r="H264" s="33">
        <v>39</v>
      </c>
      <c r="I264" s="33">
        <v>1452</v>
      </c>
      <c r="K264" t="b">
        <f>QHPSelections2016[[#This Row],[County Name]]=P264</f>
        <v>1</v>
      </c>
      <c r="L264" t="b">
        <f>QHPSelections2016[[#This Row],[Silver]]=S264</f>
        <v>1</v>
      </c>
      <c r="N264">
        <v>13009</v>
      </c>
      <c r="O264" t="s">
        <v>1515</v>
      </c>
      <c r="P264" t="s">
        <v>823</v>
      </c>
      <c r="Q264">
        <v>0</v>
      </c>
      <c r="R264">
        <v>29</v>
      </c>
      <c r="S264" s="51">
        <v>1162</v>
      </c>
      <c r="T264">
        <v>222</v>
      </c>
      <c r="U264">
        <v>39</v>
      </c>
      <c r="V264" s="51">
        <v>1452</v>
      </c>
    </row>
    <row r="265" spans="1:22">
      <c r="A265" s="32" t="s">
        <v>1981</v>
      </c>
      <c r="B265" s="32" t="s">
        <v>1515</v>
      </c>
      <c r="C265" s="32" t="s">
        <v>849</v>
      </c>
      <c r="D265" s="33">
        <v>0</v>
      </c>
      <c r="E265" s="33" t="s">
        <v>1639</v>
      </c>
      <c r="F265" s="33">
        <v>794</v>
      </c>
      <c r="G265" s="33">
        <v>144</v>
      </c>
      <c r="H265" s="33" t="s">
        <v>1639</v>
      </c>
      <c r="I265" s="33">
        <v>1017</v>
      </c>
      <c r="K265" t="b">
        <f>QHPSelections2016[[#This Row],[County Name]]=P265</f>
        <v>1</v>
      </c>
      <c r="L265" t="b">
        <f>QHPSelections2016[[#This Row],[Silver]]=S265</f>
        <v>1</v>
      </c>
      <c r="N265">
        <v>13011</v>
      </c>
      <c r="O265" t="s">
        <v>1515</v>
      </c>
      <c r="P265" t="s">
        <v>849</v>
      </c>
      <c r="Q265">
        <v>0</v>
      </c>
      <c r="S265">
        <v>794</v>
      </c>
      <c r="T265">
        <v>144</v>
      </c>
      <c r="V265" s="51">
        <v>1017</v>
      </c>
    </row>
    <row r="266" spans="1:22">
      <c r="A266" s="32" t="s">
        <v>1982</v>
      </c>
      <c r="B266" s="32" t="s">
        <v>1515</v>
      </c>
      <c r="C266" s="32" t="s">
        <v>856</v>
      </c>
      <c r="D266" s="33">
        <v>0</v>
      </c>
      <c r="E266" s="33">
        <v>96</v>
      </c>
      <c r="F266" s="33">
        <v>2529</v>
      </c>
      <c r="G266" s="33">
        <v>603</v>
      </c>
      <c r="H266" s="33">
        <v>67</v>
      </c>
      <c r="I266" s="33">
        <v>3295</v>
      </c>
      <c r="K266" t="b">
        <f>QHPSelections2016[[#This Row],[County Name]]=P266</f>
        <v>1</v>
      </c>
      <c r="L266" t="b">
        <f>QHPSelections2016[[#This Row],[Silver]]=S266</f>
        <v>1</v>
      </c>
      <c r="N266">
        <v>13013</v>
      </c>
      <c r="O266" t="s">
        <v>1515</v>
      </c>
      <c r="P266" t="s">
        <v>856</v>
      </c>
      <c r="Q266">
        <v>0</v>
      </c>
      <c r="R266">
        <v>96</v>
      </c>
      <c r="S266" s="51">
        <v>2529</v>
      </c>
      <c r="T266">
        <v>603</v>
      </c>
      <c r="U266">
        <v>67</v>
      </c>
      <c r="V266" s="51">
        <v>3295</v>
      </c>
    </row>
    <row r="267" spans="1:22">
      <c r="A267" s="32" t="s">
        <v>1983</v>
      </c>
      <c r="B267" s="32" t="s">
        <v>1515</v>
      </c>
      <c r="C267" s="32" t="s">
        <v>861</v>
      </c>
      <c r="D267" s="33">
        <v>0</v>
      </c>
      <c r="E267" s="33">
        <v>274</v>
      </c>
      <c r="F267" s="33">
        <v>3975</v>
      </c>
      <c r="G267" s="33">
        <v>775</v>
      </c>
      <c r="H267" s="33">
        <v>70</v>
      </c>
      <c r="I267" s="33">
        <v>5094</v>
      </c>
      <c r="K267" t="b">
        <f>QHPSelections2016[[#This Row],[County Name]]=P267</f>
        <v>1</v>
      </c>
      <c r="L267" t="b">
        <f>QHPSelections2016[[#This Row],[Silver]]=S267</f>
        <v>1</v>
      </c>
      <c r="N267">
        <v>13015</v>
      </c>
      <c r="O267" t="s">
        <v>1515</v>
      </c>
      <c r="P267" t="s">
        <v>861</v>
      </c>
      <c r="Q267">
        <v>0</v>
      </c>
      <c r="R267">
        <v>274</v>
      </c>
      <c r="S267" s="51">
        <v>3975</v>
      </c>
      <c r="T267">
        <v>775</v>
      </c>
      <c r="U267">
        <v>70</v>
      </c>
      <c r="V267" s="51">
        <v>5094</v>
      </c>
    </row>
    <row r="268" spans="1:22">
      <c r="A268" s="32" t="s">
        <v>1984</v>
      </c>
      <c r="B268" s="32" t="s">
        <v>1515</v>
      </c>
      <c r="C268" s="32" t="s">
        <v>868</v>
      </c>
      <c r="D268" s="33">
        <v>0</v>
      </c>
      <c r="E268" s="33">
        <v>15</v>
      </c>
      <c r="F268" s="33">
        <v>427</v>
      </c>
      <c r="G268" s="33">
        <v>138</v>
      </c>
      <c r="H268" s="33">
        <v>11</v>
      </c>
      <c r="I268" s="33">
        <v>591</v>
      </c>
      <c r="K268" t="b">
        <f>QHPSelections2016[[#This Row],[County Name]]=P268</f>
        <v>1</v>
      </c>
      <c r="L268" t="b">
        <f>QHPSelections2016[[#This Row],[Silver]]=S268</f>
        <v>1</v>
      </c>
      <c r="N268">
        <v>13017</v>
      </c>
      <c r="O268" t="s">
        <v>1515</v>
      </c>
      <c r="P268" t="s">
        <v>868</v>
      </c>
      <c r="Q268">
        <v>0</v>
      </c>
      <c r="R268">
        <v>15</v>
      </c>
      <c r="S268">
        <v>427</v>
      </c>
      <c r="T268">
        <v>138</v>
      </c>
      <c r="U268">
        <v>11</v>
      </c>
      <c r="V268">
        <v>591</v>
      </c>
    </row>
    <row r="269" spans="1:22">
      <c r="A269" s="32" t="s">
        <v>1985</v>
      </c>
      <c r="B269" s="32" t="s">
        <v>1515</v>
      </c>
      <c r="C269" s="32" t="s">
        <v>874</v>
      </c>
      <c r="D269" s="33">
        <v>0</v>
      </c>
      <c r="E269" s="33" t="s">
        <v>1639</v>
      </c>
      <c r="F269" s="33">
        <v>494</v>
      </c>
      <c r="G269" s="33">
        <v>104</v>
      </c>
      <c r="H269" s="33" t="s">
        <v>1639</v>
      </c>
      <c r="I269" s="33">
        <v>612</v>
      </c>
      <c r="K269" t="b">
        <f>QHPSelections2016[[#This Row],[County Name]]=P269</f>
        <v>1</v>
      </c>
      <c r="L269" t="b">
        <f>QHPSelections2016[[#This Row],[Silver]]=S269</f>
        <v>1</v>
      </c>
      <c r="N269">
        <v>13019</v>
      </c>
      <c r="O269" t="s">
        <v>1515</v>
      </c>
      <c r="P269" t="s">
        <v>874</v>
      </c>
      <c r="Q269">
        <v>0</v>
      </c>
      <c r="S269">
        <v>494</v>
      </c>
      <c r="T269">
        <v>104</v>
      </c>
      <c r="V269">
        <v>612</v>
      </c>
    </row>
    <row r="270" spans="1:22">
      <c r="A270" s="32" t="s">
        <v>1986</v>
      </c>
      <c r="B270" s="32" t="s">
        <v>1515</v>
      </c>
      <c r="C270" s="32" t="s">
        <v>837</v>
      </c>
      <c r="D270" s="33">
        <v>0</v>
      </c>
      <c r="E270" s="33">
        <v>243</v>
      </c>
      <c r="F270" s="33">
        <v>5395</v>
      </c>
      <c r="G270" s="33">
        <v>1118</v>
      </c>
      <c r="H270" s="33">
        <v>175</v>
      </c>
      <c r="I270" s="33">
        <v>6931</v>
      </c>
      <c r="K270" t="b">
        <f>QHPSelections2016[[#This Row],[County Name]]=P270</f>
        <v>1</v>
      </c>
      <c r="L270" t="b">
        <f>QHPSelections2016[[#This Row],[Silver]]=S270</f>
        <v>1</v>
      </c>
      <c r="N270">
        <v>13021</v>
      </c>
      <c r="O270" t="s">
        <v>1515</v>
      </c>
      <c r="P270" t="s">
        <v>837</v>
      </c>
      <c r="Q270">
        <v>0</v>
      </c>
      <c r="R270">
        <v>243</v>
      </c>
      <c r="S270" s="51">
        <v>5395</v>
      </c>
      <c r="T270" s="51">
        <v>1118</v>
      </c>
      <c r="U270">
        <v>175</v>
      </c>
      <c r="V270" s="51">
        <v>6931</v>
      </c>
    </row>
    <row r="271" spans="1:22">
      <c r="A271" s="32" t="s">
        <v>1987</v>
      </c>
      <c r="B271" s="32" t="s">
        <v>1515</v>
      </c>
      <c r="C271" s="32" t="s">
        <v>886</v>
      </c>
      <c r="D271" s="33">
        <v>0</v>
      </c>
      <c r="E271" s="33" t="s">
        <v>1639</v>
      </c>
      <c r="F271" s="33">
        <v>369</v>
      </c>
      <c r="G271" s="33">
        <v>58</v>
      </c>
      <c r="H271" s="33" t="s">
        <v>1639</v>
      </c>
      <c r="I271" s="33">
        <v>439</v>
      </c>
      <c r="K271" t="b">
        <f>QHPSelections2016[[#This Row],[County Name]]=P271</f>
        <v>1</v>
      </c>
      <c r="L271" t="b">
        <f>QHPSelections2016[[#This Row],[Silver]]=S271</f>
        <v>1</v>
      </c>
      <c r="N271">
        <v>13023</v>
      </c>
      <c r="O271" t="s">
        <v>1515</v>
      </c>
      <c r="P271" t="s">
        <v>886</v>
      </c>
      <c r="Q271">
        <v>0</v>
      </c>
      <c r="S271">
        <v>369</v>
      </c>
      <c r="T271">
        <v>58</v>
      </c>
      <c r="V271">
        <v>439</v>
      </c>
    </row>
    <row r="272" spans="1:22">
      <c r="A272" s="32" t="s">
        <v>1988</v>
      </c>
      <c r="B272" s="32" t="s">
        <v>1515</v>
      </c>
      <c r="C272" s="32" t="s">
        <v>892</v>
      </c>
      <c r="D272" s="33">
        <v>0</v>
      </c>
      <c r="E272" s="33" t="s">
        <v>1639</v>
      </c>
      <c r="F272" s="33">
        <v>608</v>
      </c>
      <c r="G272" s="33">
        <v>143</v>
      </c>
      <c r="H272" s="33" t="s">
        <v>1639</v>
      </c>
      <c r="I272" s="33">
        <v>790</v>
      </c>
      <c r="K272" t="b">
        <f>QHPSelections2016[[#This Row],[County Name]]=P272</f>
        <v>1</v>
      </c>
      <c r="L272" t="b">
        <f>QHPSelections2016[[#This Row],[Silver]]=S272</f>
        <v>1</v>
      </c>
      <c r="N272">
        <v>13025</v>
      </c>
      <c r="O272" t="s">
        <v>1515</v>
      </c>
      <c r="P272" t="s">
        <v>892</v>
      </c>
      <c r="Q272">
        <v>0</v>
      </c>
      <c r="S272">
        <v>608</v>
      </c>
      <c r="T272">
        <v>143</v>
      </c>
      <c r="V272">
        <v>790</v>
      </c>
    </row>
    <row r="273" spans="1:22">
      <c r="A273" s="32" t="s">
        <v>1989</v>
      </c>
      <c r="B273" s="32" t="s">
        <v>1515</v>
      </c>
      <c r="C273" s="32" t="s">
        <v>896</v>
      </c>
      <c r="D273" s="33">
        <v>0</v>
      </c>
      <c r="E273" s="33" t="s">
        <v>1639</v>
      </c>
      <c r="F273" s="33">
        <v>510</v>
      </c>
      <c r="G273" s="33">
        <v>116</v>
      </c>
      <c r="H273" s="33" t="s">
        <v>1639</v>
      </c>
      <c r="I273" s="33">
        <v>644</v>
      </c>
      <c r="K273" t="b">
        <f>QHPSelections2016[[#This Row],[County Name]]=P273</f>
        <v>1</v>
      </c>
      <c r="L273" t="b">
        <f>QHPSelections2016[[#This Row],[Silver]]=S273</f>
        <v>1</v>
      </c>
      <c r="N273">
        <v>13027</v>
      </c>
      <c r="O273" t="s">
        <v>1515</v>
      </c>
      <c r="P273" t="s">
        <v>896</v>
      </c>
      <c r="Q273">
        <v>0</v>
      </c>
      <c r="S273">
        <v>510</v>
      </c>
      <c r="T273">
        <v>116</v>
      </c>
      <c r="V273">
        <v>644</v>
      </c>
    </row>
    <row r="274" spans="1:22">
      <c r="A274" s="32" t="s">
        <v>1990</v>
      </c>
      <c r="B274" s="32" t="s">
        <v>1515</v>
      </c>
      <c r="C274" s="32" t="s">
        <v>902</v>
      </c>
      <c r="D274" s="33">
        <v>0</v>
      </c>
      <c r="E274" s="33">
        <v>198</v>
      </c>
      <c r="F274" s="33">
        <v>1765</v>
      </c>
      <c r="G274" s="33">
        <v>232</v>
      </c>
      <c r="H274" s="33">
        <v>23</v>
      </c>
      <c r="I274" s="33">
        <v>2218</v>
      </c>
      <c r="K274" t="b">
        <f>QHPSelections2016[[#This Row],[County Name]]=P274</f>
        <v>1</v>
      </c>
      <c r="L274" t="b">
        <f>QHPSelections2016[[#This Row],[Silver]]=S274</f>
        <v>1</v>
      </c>
      <c r="N274">
        <v>13029</v>
      </c>
      <c r="O274" t="s">
        <v>1515</v>
      </c>
      <c r="P274" t="s">
        <v>902</v>
      </c>
      <c r="Q274">
        <v>0</v>
      </c>
      <c r="R274">
        <v>198</v>
      </c>
      <c r="S274" s="51">
        <v>1765</v>
      </c>
      <c r="T274">
        <v>232</v>
      </c>
      <c r="U274">
        <v>23</v>
      </c>
      <c r="V274" s="51">
        <v>2218</v>
      </c>
    </row>
    <row r="275" spans="1:22">
      <c r="A275" s="32" t="s">
        <v>1991</v>
      </c>
      <c r="B275" s="32" t="s">
        <v>1515</v>
      </c>
      <c r="C275" s="32" t="s">
        <v>909</v>
      </c>
      <c r="D275" s="33">
        <v>0</v>
      </c>
      <c r="E275" s="33">
        <v>434</v>
      </c>
      <c r="F275" s="33">
        <v>3117</v>
      </c>
      <c r="G275" s="33">
        <v>394</v>
      </c>
      <c r="H275" s="33">
        <v>77</v>
      </c>
      <c r="I275" s="33">
        <v>4022</v>
      </c>
      <c r="K275" t="b">
        <f>QHPSelections2016[[#This Row],[County Name]]=P275</f>
        <v>1</v>
      </c>
      <c r="L275" t="b">
        <f>QHPSelections2016[[#This Row],[Silver]]=S275</f>
        <v>1</v>
      </c>
      <c r="N275">
        <v>13031</v>
      </c>
      <c r="O275" t="s">
        <v>1515</v>
      </c>
      <c r="P275" t="s">
        <v>909</v>
      </c>
      <c r="Q275">
        <v>0</v>
      </c>
      <c r="R275">
        <v>434</v>
      </c>
      <c r="S275" s="51">
        <v>3117</v>
      </c>
      <c r="T275">
        <v>394</v>
      </c>
      <c r="U275">
        <v>77</v>
      </c>
      <c r="V275" s="51">
        <v>4022</v>
      </c>
    </row>
    <row r="276" spans="1:22">
      <c r="A276" s="32" t="s">
        <v>1992</v>
      </c>
      <c r="B276" s="32" t="s">
        <v>1515</v>
      </c>
      <c r="C276" s="32" t="s">
        <v>888</v>
      </c>
      <c r="D276" s="33">
        <v>0</v>
      </c>
      <c r="E276" s="33">
        <v>47</v>
      </c>
      <c r="F276" s="33">
        <v>1108</v>
      </c>
      <c r="G276" s="33">
        <v>124</v>
      </c>
      <c r="H276" s="33">
        <v>23</v>
      </c>
      <c r="I276" s="33">
        <v>1302</v>
      </c>
      <c r="K276" t="b">
        <f>QHPSelections2016[[#This Row],[County Name]]=P276</f>
        <v>1</v>
      </c>
      <c r="L276" t="b">
        <f>QHPSelections2016[[#This Row],[Silver]]=S276</f>
        <v>1</v>
      </c>
      <c r="N276">
        <v>13033</v>
      </c>
      <c r="O276" t="s">
        <v>1515</v>
      </c>
      <c r="P276" t="s">
        <v>888</v>
      </c>
      <c r="Q276">
        <v>0</v>
      </c>
      <c r="R276">
        <v>47</v>
      </c>
      <c r="S276" s="51">
        <v>1108</v>
      </c>
      <c r="T276">
        <v>124</v>
      </c>
      <c r="U276">
        <v>23</v>
      </c>
      <c r="V276" s="51">
        <v>1302</v>
      </c>
    </row>
    <row r="277" spans="1:22">
      <c r="A277" s="32" t="s">
        <v>1993</v>
      </c>
      <c r="B277" s="32" t="s">
        <v>1515</v>
      </c>
      <c r="C277" s="32" t="s">
        <v>920</v>
      </c>
      <c r="D277" s="33">
        <v>0</v>
      </c>
      <c r="E277" s="33">
        <v>34</v>
      </c>
      <c r="F277" s="33">
        <v>826</v>
      </c>
      <c r="G277" s="33">
        <v>155</v>
      </c>
      <c r="H277" s="33">
        <v>14</v>
      </c>
      <c r="I277" s="33">
        <v>1029</v>
      </c>
      <c r="K277" t="b">
        <f>QHPSelections2016[[#This Row],[County Name]]=P277</f>
        <v>1</v>
      </c>
      <c r="L277" t="b">
        <f>QHPSelections2016[[#This Row],[Silver]]=S277</f>
        <v>1</v>
      </c>
      <c r="N277">
        <v>13035</v>
      </c>
      <c r="O277" t="s">
        <v>1515</v>
      </c>
      <c r="P277" t="s">
        <v>920</v>
      </c>
      <c r="Q277">
        <v>0</v>
      </c>
      <c r="R277">
        <v>34</v>
      </c>
      <c r="S277">
        <v>826</v>
      </c>
      <c r="T277">
        <v>155</v>
      </c>
      <c r="U277">
        <v>14</v>
      </c>
      <c r="V277" s="51">
        <v>1029</v>
      </c>
    </row>
    <row r="278" spans="1:22">
      <c r="A278" s="32" t="s">
        <v>1994</v>
      </c>
      <c r="B278" s="32" t="s">
        <v>1515</v>
      </c>
      <c r="C278" s="32" t="s">
        <v>855</v>
      </c>
      <c r="D278" s="33">
        <v>0</v>
      </c>
      <c r="E278" s="33" t="s">
        <v>1639</v>
      </c>
      <c r="F278" s="33">
        <v>169</v>
      </c>
      <c r="G278" s="33">
        <v>39</v>
      </c>
      <c r="H278" s="33" t="s">
        <v>1639</v>
      </c>
      <c r="I278" s="33">
        <v>215</v>
      </c>
      <c r="K278" t="b">
        <f>QHPSelections2016[[#This Row],[County Name]]=P278</f>
        <v>1</v>
      </c>
      <c r="L278" t="b">
        <f>QHPSelections2016[[#This Row],[Silver]]=S278</f>
        <v>1</v>
      </c>
      <c r="N278">
        <v>13037</v>
      </c>
      <c r="O278" t="s">
        <v>1515</v>
      </c>
      <c r="P278" t="s">
        <v>855</v>
      </c>
      <c r="Q278">
        <v>0</v>
      </c>
      <c r="S278">
        <v>169</v>
      </c>
      <c r="T278">
        <v>39</v>
      </c>
      <c r="V278">
        <v>215</v>
      </c>
    </row>
    <row r="279" spans="1:22">
      <c r="A279" s="32" t="s">
        <v>1995</v>
      </c>
      <c r="B279" s="32" t="s">
        <v>1515</v>
      </c>
      <c r="C279" s="32" t="s">
        <v>904</v>
      </c>
      <c r="D279" s="33">
        <v>0</v>
      </c>
      <c r="E279" s="33">
        <v>107</v>
      </c>
      <c r="F279" s="33">
        <v>1667</v>
      </c>
      <c r="G279" s="33">
        <v>313</v>
      </c>
      <c r="H279" s="33">
        <v>33</v>
      </c>
      <c r="I279" s="33">
        <v>2120</v>
      </c>
      <c r="K279" t="b">
        <f>QHPSelections2016[[#This Row],[County Name]]=P279</f>
        <v>1</v>
      </c>
      <c r="L279" t="b">
        <f>QHPSelections2016[[#This Row],[Silver]]=S279</f>
        <v>1</v>
      </c>
      <c r="N279">
        <v>13039</v>
      </c>
      <c r="O279" t="s">
        <v>1515</v>
      </c>
      <c r="P279" t="s">
        <v>904</v>
      </c>
      <c r="Q279">
        <v>0</v>
      </c>
      <c r="R279">
        <v>107</v>
      </c>
      <c r="S279" s="51">
        <v>1667</v>
      </c>
      <c r="T279">
        <v>313</v>
      </c>
      <c r="U279">
        <v>33</v>
      </c>
      <c r="V279" s="51">
        <v>2120</v>
      </c>
    </row>
    <row r="280" spans="1:22">
      <c r="A280" s="32" t="s">
        <v>1996</v>
      </c>
      <c r="B280" s="32" t="s">
        <v>1515</v>
      </c>
      <c r="C280" s="32" t="s">
        <v>936</v>
      </c>
      <c r="D280" s="33">
        <v>0</v>
      </c>
      <c r="E280" s="33" t="s">
        <v>1639</v>
      </c>
      <c r="F280" s="33">
        <v>638</v>
      </c>
      <c r="G280" s="33">
        <v>65</v>
      </c>
      <c r="H280" s="33" t="s">
        <v>1639</v>
      </c>
      <c r="I280" s="33">
        <v>752</v>
      </c>
      <c r="K280" t="b">
        <f>QHPSelections2016[[#This Row],[County Name]]=P280</f>
        <v>1</v>
      </c>
      <c r="L280" t="b">
        <f>QHPSelections2016[[#This Row],[Silver]]=S280</f>
        <v>1</v>
      </c>
      <c r="N280">
        <v>13043</v>
      </c>
      <c r="O280" t="s">
        <v>1515</v>
      </c>
      <c r="P280" t="s">
        <v>936</v>
      </c>
      <c r="Q280">
        <v>0</v>
      </c>
      <c r="S280">
        <v>638</v>
      </c>
      <c r="T280">
        <v>65</v>
      </c>
      <c r="V280">
        <v>752</v>
      </c>
    </row>
    <row r="281" spans="1:22">
      <c r="A281" s="32" t="s">
        <v>1997</v>
      </c>
      <c r="B281" s="32" t="s">
        <v>1515</v>
      </c>
      <c r="C281" s="32" t="s">
        <v>862</v>
      </c>
      <c r="D281" s="33">
        <v>0</v>
      </c>
      <c r="E281" s="33">
        <v>491</v>
      </c>
      <c r="F281" s="33">
        <v>5070</v>
      </c>
      <c r="G281" s="33">
        <v>1012</v>
      </c>
      <c r="H281" s="33">
        <v>69</v>
      </c>
      <c r="I281" s="33">
        <v>6642</v>
      </c>
      <c r="K281" t="b">
        <f>QHPSelections2016[[#This Row],[County Name]]=P281</f>
        <v>1</v>
      </c>
      <c r="L281" t="b">
        <f>QHPSelections2016[[#This Row],[Silver]]=S281</f>
        <v>1</v>
      </c>
      <c r="N281">
        <v>13045</v>
      </c>
      <c r="O281" t="s">
        <v>1515</v>
      </c>
      <c r="P281" t="s">
        <v>862</v>
      </c>
      <c r="Q281">
        <v>0</v>
      </c>
      <c r="R281">
        <v>491</v>
      </c>
      <c r="S281" s="51">
        <v>5070</v>
      </c>
      <c r="T281" s="51">
        <v>1012</v>
      </c>
      <c r="U281">
        <v>69</v>
      </c>
      <c r="V281" s="51">
        <v>6642</v>
      </c>
    </row>
    <row r="282" spans="1:22">
      <c r="A282" s="32" t="s">
        <v>1998</v>
      </c>
      <c r="B282" s="32" t="s">
        <v>1515</v>
      </c>
      <c r="C282" s="32" t="s">
        <v>948</v>
      </c>
      <c r="D282" s="33">
        <v>0</v>
      </c>
      <c r="E282" s="33">
        <v>96</v>
      </c>
      <c r="F282" s="33">
        <v>2117</v>
      </c>
      <c r="G282" s="33">
        <v>398</v>
      </c>
      <c r="H282" s="33">
        <v>22</v>
      </c>
      <c r="I282" s="33">
        <v>2633</v>
      </c>
      <c r="K282" t="b">
        <f>QHPSelections2016[[#This Row],[County Name]]=P282</f>
        <v>1</v>
      </c>
      <c r="L282" t="b">
        <f>QHPSelections2016[[#This Row],[Silver]]=S282</f>
        <v>1</v>
      </c>
      <c r="N282">
        <v>13047</v>
      </c>
      <c r="O282" t="s">
        <v>1515</v>
      </c>
      <c r="P282" t="s">
        <v>948</v>
      </c>
      <c r="Q282">
        <v>0</v>
      </c>
      <c r="R282">
        <v>96</v>
      </c>
      <c r="S282" s="51">
        <v>2117</v>
      </c>
      <c r="T282">
        <v>398</v>
      </c>
      <c r="U282">
        <v>22</v>
      </c>
      <c r="V282" s="51">
        <v>2633</v>
      </c>
    </row>
    <row r="283" spans="1:22">
      <c r="A283" s="32" t="s">
        <v>1999</v>
      </c>
      <c r="B283" s="32" t="s">
        <v>1515</v>
      </c>
      <c r="C283" s="32" t="s">
        <v>955</v>
      </c>
      <c r="D283" s="33">
        <v>0</v>
      </c>
      <c r="E283" s="33" t="s">
        <v>1639</v>
      </c>
      <c r="F283" s="33">
        <v>226</v>
      </c>
      <c r="G283" s="33">
        <v>68</v>
      </c>
      <c r="H283" s="33" t="s">
        <v>1639</v>
      </c>
      <c r="I283" s="33">
        <v>308</v>
      </c>
      <c r="K283" t="b">
        <f>QHPSelections2016[[#This Row],[County Name]]=P283</f>
        <v>1</v>
      </c>
      <c r="L283" t="b">
        <f>QHPSelections2016[[#This Row],[Silver]]=S283</f>
        <v>1</v>
      </c>
      <c r="N283">
        <v>13049</v>
      </c>
      <c r="O283" t="s">
        <v>1515</v>
      </c>
      <c r="P283" t="s">
        <v>955</v>
      </c>
      <c r="Q283">
        <v>0</v>
      </c>
      <c r="S283">
        <v>226</v>
      </c>
      <c r="T283">
        <v>68</v>
      </c>
      <c r="V283">
        <v>308</v>
      </c>
    </row>
    <row r="284" spans="1:22">
      <c r="A284" s="32" t="s">
        <v>2000</v>
      </c>
      <c r="B284" s="32" t="s">
        <v>1515</v>
      </c>
      <c r="C284" s="32" t="s">
        <v>927</v>
      </c>
      <c r="D284" s="33">
        <v>0</v>
      </c>
      <c r="E284" s="33">
        <v>1408</v>
      </c>
      <c r="F284" s="33">
        <v>14236</v>
      </c>
      <c r="G284" s="33">
        <v>2842</v>
      </c>
      <c r="H284" s="33">
        <v>453</v>
      </c>
      <c r="I284" s="33">
        <v>18939</v>
      </c>
      <c r="K284" t="b">
        <f>QHPSelections2016[[#This Row],[County Name]]=P284</f>
        <v>1</v>
      </c>
      <c r="L284" t="b">
        <f>QHPSelections2016[[#This Row],[Silver]]=S284</f>
        <v>1</v>
      </c>
      <c r="N284">
        <v>13051</v>
      </c>
      <c r="O284" t="s">
        <v>1515</v>
      </c>
      <c r="P284" t="s">
        <v>927</v>
      </c>
      <c r="Q284">
        <v>0</v>
      </c>
      <c r="R284" s="51">
        <v>1408</v>
      </c>
      <c r="S284" s="51">
        <v>14236</v>
      </c>
      <c r="T284" s="51">
        <v>2842</v>
      </c>
      <c r="U284">
        <v>453</v>
      </c>
      <c r="V284" s="51">
        <v>18939</v>
      </c>
    </row>
    <row r="285" spans="1:22">
      <c r="A285" s="32" t="s">
        <v>2001</v>
      </c>
      <c r="B285" s="32" t="s">
        <v>1515</v>
      </c>
      <c r="C285" s="32" t="s">
        <v>966</v>
      </c>
      <c r="D285" s="33">
        <v>0</v>
      </c>
      <c r="E285" s="33" t="s">
        <v>1639</v>
      </c>
      <c r="F285" s="33">
        <v>99</v>
      </c>
      <c r="G285" s="33">
        <v>16</v>
      </c>
      <c r="H285" s="33" t="s">
        <v>1639</v>
      </c>
      <c r="I285" s="33">
        <v>120</v>
      </c>
      <c r="K285" t="b">
        <f>QHPSelections2016[[#This Row],[County Name]]=P285</f>
        <v>1</v>
      </c>
      <c r="L285" t="b">
        <f>QHPSelections2016[[#This Row],[Silver]]=S285</f>
        <v>1</v>
      </c>
      <c r="N285">
        <v>13053</v>
      </c>
      <c r="O285" t="s">
        <v>1515</v>
      </c>
      <c r="P285" t="s">
        <v>966</v>
      </c>
      <c r="Q285">
        <v>0</v>
      </c>
      <c r="S285">
        <v>99</v>
      </c>
      <c r="T285">
        <v>16</v>
      </c>
      <c r="V285">
        <v>120</v>
      </c>
    </row>
    <row r="286" spans="1:22">
      <c r="A286" s="32" t="s">
        <v>2002</v>
      </c>
      <c r="B286" s="32" t="s">
        <v>1515</v>
      </c>
      <c r="C286" s="32" t="s">
        <v>970</v>
      </c>
      <c r="D286" s="33">
        <v>0</v>
      </c>
      <c r="E286" s="33" t="s">
        <v>1639</v>
      </c>
      <c r="F286" s="33">
        <v>726</v>
      </c>
      <c r="G286" s="33">
        <v>110</v>
      </c>
      <c r="H286" s="33" t="s">
        <v>1639</v>
      </c>
      <c r="I286" s="33">
        <v>869</v>
      </c>
      <c r="K286" t="b">
        <f>QHPSelections2016[[#This Row],[County Name]]=P286</f>
        <v>1</v>
      </c>
      <c r="L286" t="b">
        <f>QHPSelections2016[[#This Row],[Silver]]=S286</f>
        <v>1</v>
      </c>
      <c r="N286">
        <v>13055</v>
      </c>
      <c r="O286" t="s">
        <v>1515</v>
      </c>
      <c r="P286" t="s">
        <v>970</v>
      </c>
      <c r="Q286">
        <v>0</v>
      </c>
      <c r="S286">
        <v>726</v>
      </c>
      <c r="T286">
        <v>110</v>
      </c>
      <c r="V286">
        <v>869</v>
      </c>
    </row>
    <row r="287" spans="1:22">
      <c r="A287" s="32" t="s">
        <v>2003</v>
      </c>
      <c r="B287" s="32" t="s">
        <v>1515</v>
      </c>
      <c r="C287" s="32" t="s">
        <v>872</v>
      </c>
      <c r="D287" s="33">
        <v>0</v>
      </c>
      <c r="E287" s="33">
        <v>1180</v>
      </c>
      <c r="F287" s="33">
        <v>10392</v>
      </c>
      <c r="G287" s="33">
        <v>2362</v>
      </c>
      <c r="H287" s="33">
        <v>211</v>
      </c>
      <c r="I287" s="33">
        <v>14145</v>
      </c>
      <c r="K287" t="b">
        <f>QHPSelections2016[[#This Row],[County Name]]=P287</f>
        <v>1</v>
      </c>
      <c r="L287" t="b">
        <f>QHPSelections2016[[#This Row],[Silver]]=S287</f>
        <v>1</v>
      </c>
      <c r="N287">
        <v>13057</v>
      </c>
      <c r="O287" t="s">
        <v>1515</v>
      </c>
      <c r="P287" t="s">
        <v>872</v>
      </c>
      <c r="Q287">
        <v>0</v>
      </c>
      <c r="R287" s="51">
        <v>1180</v>
      </c>
      <c r="S287" s="51">
        <v>10392</v>
      </c>
      <c r="T287" s="51">
        <v>2362</v>
      </c>
      <c r="U287">
        <v>211</v>
      </c>
      <c r="V287" s="51">
        <v>14145</v>
      </c>
    </row>
    <row r="288" spans="1:22">
      <c r="A288" s="32" t="s">
        <v>2004</v>
      </c>
      <c r="B288" s="32" t="s">
        <v>1515</v>
      </c>
      <c r="C288" s="32" t="s">
        <v>887</v>
      </c>
      <c r="D288" s="33">
        <v>0</v>
      </c>
      <c r="E288" s="33">
        <v>208</v>
      </c>
      <c r="F288" s="33">
        <v>3420</v>
      </c>
      <c r="G288" s="33">
        <v>920</v>
      </c>
      <c r="H288" s="33">
        <v>164</v>
      </c>
      <c r="I288" s="33">
        <v>4712</v>
      </c>
      <c r="K288" t="b">
        <f>QHPSelections2016[[#This Row],[County Name]]=P288</f>
        <v>1</v>
      </c>
      <c r="L288" t="b">
        <f>QHPSelections2016[[#This Row],[Silver]]=S288</f>
        <v>1</v>
      </c>
      <c r="N288">
        <v>13059</v>
      </c>
      <c r="O288" t="s">
        <v>1515</v>
      </c>
      <c r="P288" t="s">
        <v>887</v>
      </c>
      <c r="Q288">
        <v>0</v>
      </c>
      <c r="R288">
        <v>208</v>
      </c>
      <c r="S288" s="51">
        <v>3420</v>
      </c>
      <c r="T288">
        <v>920</v>
      </c>
      <c r="U288">
        <v>164</v>
      </c>
      <c r="V288" s="51">
        <v>4712</v>
      </c>
    </row>
    <row r="289" spans="1:22">
      <c r="A289" s="32" t="s">
        <v>2005</v>
      </c>
      <c r="B289" s="32" t="s">
        <v>1515</v>
      </c>
      <c r="C289" s="32" t="s">
        <v>873</v>
      </c>
      <c r="D289" s="33">
        <v>0</v>
      </c>
      <c r="E289" s="33" t="s">
        <v>1639</v>
      </c>
      <c r="F289" s="33">
        <v>106</v>
      </c>
      <c r="G289" s="33">
        <v>24</v>
      </c>
      <c r="H289" s="33" t="s">
        <v>1639</v>
      </c>
      <c r="I289" s="33">
        <v>132</v>
      </c>
      <c r="K289" t="b">
        <f>QHPSelections2016[[#This Row],[County Name]]=P289</f>
        <v>1</v>
      </c>
      <c r="L289" t="b">
        <f>QHPSelections2016[[#This Row],[Silver]]=S289</f>
        <v>1</v>
      </c>
      <c r="N289">
        <v>13061</v>
      </c>
      <c r="O289" t="s">
        <v>1515</v>
      </c>
      <c r="P289" t="s">
        <v>873</v>
      </c>
      <c r="Q289">
        <v>0</v>
      </c>
      <c r="S289">
        <v>106</v>
      </c>
      <c r="T289">
        <v>24</v>
      </c>
      <c r="V289">
        <v>132</v>
      </c>
    </row>
    <row r="290" spans="1:22">
      <c r="A290" s="32" t="s">
        <v>2006</v>
      </c>
      <c r="B290" s="32" t="s">
        <v>1515</v>
      </c>
      <c r="C290" s="32" t="s">
        <v>988</v>
      </c>
      <c r="D290" s="33">
        <v>0</v>
      </c>
      <c r="E290" s="33">
        <v>308</v>
      </c>
      <c r="F290" s="33">
        <v>16423</v>
      </c>
      <c r="G290" s="33">
        <v>4225</v>
      </c>
      <c r="H290" s="33">
        <v>530</v>
      </c>
      <c r="I290" s="33">
        <v>21486</v>
      </c>
      <c r="K290" t="b">
        <f>QHPSelections2016[[#This Row],[County Name]]=P290</f>
        <v>1</v>
      </c>
      <c r="L290" t="b">
        <f>QHPSelections2016[[#This Row],[Silver]]=S290</f>
        <v>1</v>
      </c>
      <c r="N290">
        <v>13063</v>
      </c>
      <c r="O290" t="s">
        <v>1515</v>
      </c>
      <c r="P290" t="s">
        <v>988</v>
      </c>
      <c r="Q290">
        <v>0</v>
      </c>
      <c r="R290">
        <v>308</v>
      </c>
      <c r="S290" s="51">
        <v>16423</v>
      </c>
      <c r="T290" s="51">
        <v>4225</v>
      </c>
      <c r="U290">
        <v>530</v>
      </c>
      <c r="V290" s="51">
        <v>21486</v>
      </c>
    </row>
    <row r="291" spans="1:22">
      <c r="A291" s="32" t="s">
        <v>2007</v>
      </c>
      <c r="B291" s="32" t="s">
        <v>1515</v>
      </c>
      <c r="C291" s="32" t="s">
        <v>994</v>
      </c>
      <c r="D291" s="33">
        <v>0</v>
      </c>
      <c r="E291" s="33" t="s">
        <v>1639</v>
      </c>
      <c r="F291" s="33">
        <v>109</v>
      </c>
      <c r="G291" s="33">
        <v>47</v>
      </c>
      <c r="H291" s="33" t="s">
        <v>1639</v>
      </c>
      <c r="I291" s="33">
        <v>165</v>
      </c>
      <c r="K291" t="b">
        <f>QHPSelections2016[[#This Row],[County Name]]=P291</f>
        <v>1</v>
      </c>
      <c r="L291" t="b">
        <f>QHPSelections2016[[#This Row],[Silver]]=S291</f>
        <v>1</v>
      </c>
      <c r="N291">
        <v>13065</v>
      </c>
      <c r="O291" t="s">
        <v>1515</v>
      </c>
      <c r="P291" t="s">
        <v>994</v>
      </c>
      <c r="Q291">
        <v>0</v>
      </c>
      <c r="S291">
        <v>109</v>
      </c>
      <c r="T291">
        <v>47</v>
      </c>
      <c r="V291">
        <v>165</v>
      </c>
    </row>
    <row r="292" spans="1:22">
      <c r="A292" s="32" t="s">
        <v>2008</v>
      </c>
      <c r="B292" s="32" t="s">
        <v>1515</v>
      </c>
      <c r="C292" s="32" t="s">
        <v>1000</v>
      </c>
      <c r="D292" s="33">
        <v>0</v>
      </c>
      <c r="E292" s="33">
        <v>3439</v>
      </c>
      <c r="F292" s="33">
        <v>37759</v>
      </c>
      <c r="G292" s="33">
        <v>9085</v>
      </c>
      <c r="H292" s="33">
        <v>1177</v>
      </c>
      <c r="I292" s="33">
        <v>51460</v>
      </c>
      <c r="K292" t="b">
        <f>QHPSelections2016[[#This Row],[County Name]]=P292</f>
        <v>1</v>
      </c>
      <c r="L292" t="b">
        <f>QHPSelections2016[[#This Row],[Silver]]=S292</f>
        <v>1</v>
      </c>
      <c r="N292">
        <v>13067</v>
      </c>
      <c r="O292" t="s">
        <v>1515</v>
      </c>
      <c r="P292" t="s">
        <v>1000</v>
      </c>
      <c r="Q292">
        <v>0</v>
      </c>
      <c r="R292" s="51">
        <v>3439</v>
      </c>
      <c r="S292" s="51">
        <v>37759</v>
      </c>
      <c r="T292" s="51">
        <v>9085</v>
      </c>
      <c r="U292" s="51">
        <v>1177</v>
      </c>
      <c r="V292" s="51">
        <v>51460</v>
      </c>
    </row>
    <row r="293" spans="1:22">
      <c r="A293" s="32" t="s">
        <v>2009</v>
      </c>
      <c r="B293" s="32" t="s">
        <v>1515</v>
      </c>
      <c r="C293" s="32" t="s">
        <v>907</v>
      </c>
      <c r="D293" s="33">
        <v>0</v>
      </c>
      <c r="E293" s="33">
        <v>52</v>
      </c>
      <c r="F293" s="33">
        <v>1300</v>
      </c>
      <c r="G293" s="33">
        <v>263</v>
      </c>
      <c r="H293" s="33">
        <v>18</v>
      </c>
      <c r="I293" s="33">
        <v>1633</v>
      </c>
      <c r="K293" t="b">
        <f>QHPSelections2016[[#This Row],[County Name]]=P293</f>
        <v>1</v>
      </c>
      <c r="L293" t="b">
        <f>QHPSelections2016[[#This Row],[Silver]]=S293</f>
        <v>1</v>
      </c>
      <c r="N293">
        <v>13069</v>
      </c>
      <c r="O293" t="s">
        <v>1515</v>
      </c>
      <c r="P293" t="s">
        <v>907</v>
      </c>
      <c r="Q293">
        <v>0</v>
      </c>
      <c r="R293">
        <v>52</v>
      </c>
      <c r="S293" s="51">
        <v>1300</v>
      </c>
      <c r="T293">
        <v>263</v>
      </c>
      <c r="U293">
        <v>18</v>
      </c>
      <c r="V293" s="51">
        <v>1633</v>
      </c>
    </row>
    <row r="294" spans="1:22">
      <c r="A294" s="32" t="s">
        <v>2010</v>
      </c>
      <c r="B294" s="32" t="s">
        <v>1515</v>
      </c>
      <c r="C294" s="32" t="s">
        <v>1011</v>
      </c>
      <c r="D294" s="33">
        <v>0</v>
      </c>
      <c r="E294" s="33">
        <v>47</v>
      </c>
      <c r="F294" s="33">
        <v>1423</v>
      </c>
      <c r="G294" s="33">
        <v>485</v>
      </c>
      <c r="H294" s="33">
        <v>13</v>
      </c>
      <c r="I294" s="33">
        <v>1968</v>
      </c>
      <c r="K294" t="b">
        <f>QHPSelections2016[[#This Row],[County Name]]=P294</f>
        <v>1</v>
      </c>
      <c r="L294" t="b">
        <f>QHPSelections2016[[#This Row],[Silver]]=S294</f>
        <v>1</v>
      </c>
      <c r="N294">
        <v>13071</v>
      </c>
      <c r="O294" t="s">
        <v>1515</v>
      </c>
      <c r="P294" t="s">
        <v>1011</v>
      </c>
      <c r="Q294">
        <v>0</v>
      </c>
      <c r="R294">
        <v>47</v>
      </c>
      <c r="S294" s="51">
        <v>1423</v>
      </c>
      <c r="T294">
        <v>485</v>
      </c>
      <c r="U294">
        <v>13</v>
      </c>
      <c r="V294" s="51">
        <v>1968</v>
      </c>
    </row>
    <row r="295" spans="1:22">
      <c r="A295" s="32" t="s">
        <v>2011</v>
      </c>
      <c r="B295" s="32" t="s">
        <v>1515</v>
      </c>
      <c r="C295" s="32" t="s">
        <v>885</v>
      </c>
      <c r="D295" s="33">
        <v>0</v>
      </c>
      <c r="E295" s="33">
        <v>496</v>
      </c>
      <c r="F295" s="33">
        <v>4994</v>
      </c>
      <c r="G295" s="33">
        <v>851</v>
      </c>
      <c r="H295" s="33">
        <v>150</v>
      </c>
      <c r="I295" s="33">
        <v>6491</v>
      </c>
      <c r="K295" t="b">
        <f>QHPSelections2016[[#This Row],[County Name]]=P295</f>
        <v>1</v>
      </c>
      <c r="L295" t="b">
        <f>QHPSelections2016[[#This Row],[Silver]]=S295</f>
        <v>1</v>
      </c>
      <c r="N295">
        <v>13073</v>
      </c>
      <c r="O295" t="s">
        <v>1515</v>
      </c>
      <c r="P295" t="s">
        <v>885</v>
      </c>
      <c r="Q295">
        <v>0</v>
      </c>
      <c r="R295">
        <v>496</v>
      </c>
      <c r="S295" s="51">
        <v>4994</v>
      </c>
      <c r="T295">
        <v>851</v>
      </c>
      <c r="U295">
        <v>150</v>
      </c>
      <c r="V295" s="51">
        <v>6491</v>
      </c>
    </row>
    <row r="296" spans="1:22">
      <c r="A296" s="32" t="s">
        <v>2012</v>
      </c>
      <c r="B296" s="32" t="s">
        <v>1515</v>
      </c>
      <c r="C296" s="32" t="s">
        <v>1019</v>
      </c>
      <c r="D296" s="33">
        <v>0</v>
      </c>
      <c r="E296" s="33" t="s">
        <v>1639</v>
      </c>
      <c r="F296" s="33">
        <v>535</v>
      </c>
      <c r="G296" s="33">
        <v>116</v>
      </c>
      <c r="H296" s="33" t="s">
        <v>1639</v>
      </c>
      <c r="I296" s="33">
        <v>672</v>
      </c>
      <c r="K296" t="b">
        <f>QHPSelections2016[[#This Row],[County Name]]=P296</f>
        <v>1</v>
      </c>
      <c r="L296" t="b">
        <f>QHPSelections2016[[#This Row],[Silver]]=S296</f>
        <v>1</v>
      </c>
      <c r="N296">
        <v>13075</v>
      </c>
      <c r="O296" t="s">
        <v>1515</v>
      </c>
      <c r="P296" t="s">
        <v>1019</v>
      </c>
      <c r="Q296">
        <v>0</v>
      </c>
      <c r="S296">
        <v>535</v>
      </c>
      <c r="T296">
        <v>116</v>
      </c>
      <c r="V296">
        <v>672</v>
      </c>
    </row>
    <row r="297" spans="1:22">
      <c r="A297" s="32" t="s">
        <v>2013</v>
      </c>
      <c r="B297" s="32" t="s">
        <v>1515</v>
      </c>
      <c r="C297" s="32" t="s">
        <v>1024</v>
      </c>
      <c r="D297" s="33">
        <v>0</v>
      </c>
      <c r="E297" s="33">
        <v>465</v>
      </c>
      <c r="F297" s="33">
        <v>5469</v>
      </c>
      <c r="G297" s="33">
        <v>1123</v>
      </c>
      <c r="H297" s="33">
        <v>107</v>
      </c>
      <c r="I297" s="33">
        <v>7164</v>
      </c>
      <c r="K297" t="b">
        <f>QHPSelections2016[[#This Row],[County Name]]=P297</f>
        <v>1</v>
      </c>
      <c r="L297" t="b">
        <f>QHPSelections2016[[#This Row],[Silver]]=S297</f>
        <v>1</v>
      </c>
      <c r="N297">
        <v>13077</v>
      </c>
      <c r="O297" t="s">
        <v>1515</v>
      </c>
      <c r="P297" t="s">
        <v>1024</v>
      </c>
      <c r="Q297">
        <v>0</v>
      </c>
      <c r="R297">
        <v>465</v>
      </c>
      <c r="S297" s="51">
        <v>5469</v>
      </c>
      <c r="T297" s="51">
        <v>1123</v>
      </c>
      <c r="U297">
        <v>107</v>
      </c>
      <c r="V297" s="51">
        <v>7164</v>
      </c>
    </row>
    <row r="298" spans="1:22">
      <c r="A298" s="32" t="s">
        <v>2014</v>
      </c>
      <c r="B298" s="32" t="s">
        <v>1515</v>
      </c>
      <c r="C298" s="32" t="s">
        <v>1030</v>
      </c>
      <c r="D298" s="33">
        <v>0</v>
      </c>
      <c r="E298" s="33" t="s">
        <v>1639</v>
      </c>
      <c r="F298" s="33">
        <v>516</v>
      </c>
      <c r="G298" s="33">
        <v>116</v>
      </c>
      <c r="H298" s="33" t="s">
        <v>1639</v>
      </c>
      <c r="I298" s="33">
        <v>658</v>
      </c>
      <c r="K298" t="b">
        <f>QHPSelections2016[[#This Row],[County Name]]=P298</f>
        <v>1</v>
      </c>
      <c r="L298" t="b">
        <f>QHPSelections2016[[#This Row],[Silver]]=S298</f>
        <v>1</v>
      </c>
      <c r="N298">
        <v>13079</v>
      </c>
      <c r="O298" t="s">
        <v>1515</v>
      </c>
      <c r="P298" t="s">
        <v>1030</v>
      </c>
      <c r="Q298">
        <v>0</v>
      </c>
      <c r="S298">
        <v>516</v>
      </c>
      <c r="T298">
        <v>116</v>
      </c>
      <c r="V298">
        <v>658</v>
      </c>
    </row>
    <row r="299" spans="1:22">
      <c r="A299" s="32" t="s">
        <v>2015</v>
      </c>
      <c r="B299" s="32" t="s">
        <v>1515</v>
      </c>
      <c r="C299" s="32" t="s">
        <v>1035</v>
      </c>
      <c r="D299" s="33">
        <v>0</v>
      </c>
      <c r="E299" s="33" t="s">
        <v>1639</v>
      </c>
      <c r="F299" s="33">
        <v>787</v>
      </c>
      <c r="G299" s="33">
        <v>203</v>
      </c>
      <c r="H299" s="33" t="s">
        <v>1639</v>
      </c>
      <c r="I299" s="33">
        <v>1015</v>
      </c>
      <c r="K299" t="b">
        <f>QHPSelections2016[[#This Row],[County Name]]=P299</f>
        <v>1</v>
      </c>
      <c r="L299" t="b">
        <f>QHPSelections2016[[#This Row],[Silver]]=S299</f>
        <v>1</v>
      </c>
      <c r="N299">
        <v>13081</v>
      </c>
      <c r="O299" t="s">
        <v>1515</v>
      </c>
      <c r="P299" t="s">
        <v>1035</v>
      </c>
      <c r="Q299">
        <v>0</v>
      </c>
      <c r="S299">
        <v>787</v>
      </c>
      <c r="T299">
        <v>203</v>
      </c>
      <c r="V299" s="51">
        <v>1015</v>
      </c>
    </row>
    <row r="300" spans="1:22">
      <c r="A300" s="32" t="s">
        <v>2016</v>
      </c>
      <c r="B300" s="32" t="s">
        <v>1515</v>
      </c>
      <c r="C300" s="32" t="s">
        <v>1039</v>
      </c>
      <c r="D300" s="33">
        <v>0</v>
      </c>
      <c r="E300" s="33" t="s">
        <v>1639</v>
      </c>
      <c r="F300" s="33">
        <v>529</v>
      </c>
      <c r="G300" s="33">
        <v>129</v>
      </c>
      <c r="H300" s="33" t="s">
        <v>1639</v>
      </c>
      <c r="I300" s="33">
        <v>685</v>
      </c>
      <c r="K300" t="b">
        <f>QHPSelections2016[[#This Row],[County Name]]=P300</f>
        <v>1</v>
      </c>
      <c r="L300" t="b">
        <f>QHPSelections2016[[#This Row],[Silver]]=S300</f>
        <v>1</v>
      </c>
      <c r="N300">
        <v>13083</v>
      </c>
      <c r="O300" t="s">
        <v>1515</v>
      </c>
      <c r="P300" t="s">
        <v>1039</v>
      </c>
      <c r="Q300">
        <v>0</v>
      </c>
      <c r="S300">
        <v>529</v>
      </c>
      <c r="T300">
        <v>129</v>
      </c>
      <c r="V300">
        <v>685</v>
      </c>
    </row>
    <row r="301" spans="1:22">
      <c r="A301" s="32" t="s">
        <v>2017</v>
      </c>
      <c r="B301" s="32" t="s">
        <v>1515</v>
      </c>
      <c r="C301" s="32" t="s">
        <v>1045</v>
      </c>
      <c r="D301" s="33">
        <v>0</v>
      </c>
      <c r="E301" s="33">
        <v>143</v>
      </c>
      <c r="F301" s="33">
        <v>1107</v>
      </c>
      <c r="G301" s="33">
        <v>232</v>
      </c>
      <c r="H301" s="33">
        <v>15</v>
      </c>
      <c r="I301" s="33">
        <v>1497</v>
      </c>
      <c r="K301" t="b">
        <f>QHPSelections2016[[#This Row],[County Name]]=P301</f>
        <v>1</v>
      </c>
      <c r="L301" t="b">
        <f>QHPSelections2016[[#This Row],[Silver]]=S301</f>
        <v>1</v>
      </c>
      <c r="N301">
        <v>13085</v>
      </c>
      <c r="O301" t="s">
        <v>1515</v>
      </c>
      <c r="P301" t="s">
        <v>1045</v>
      </c>
      <c r="Q301">
        <v>0</v>
      </c>
      <c r="R301">
        <v>143</v>
      </c>
      <c r="S301" s="51">
        <v>1107</v>
      </c>
      <c r="T301">
        <v>232</v>
      </c>
      <c r="U301">
        <v>15</v>
      </c>
      <c r="V301" s="51">
        <v>1497</v>
      </c>
    </row>
    <row r="302" spans="1:22">
      <c r="A302" s="32" t="s">
        <v>2018</v>
      </c>
      <c r="B302" s="32" t="s">
        <v>1515</v>
      </c>
      <c r="C302" s="32" t="s">
        <v>932</v>
      </c>
      <c r="D302" s="33">
        <v>0</v>
      </c>
      <c r="E302" s="33" t="s">
        <v>1639</v>
      </c>
      <c r="F302" s="33">
        <v>1086</v>
      </c>
      <c r="G302" s="33">
        <v>396</v>
      </c>
      <c r="H302" s="33" t="s">
        <v>1639</v>
      </c>
      <c r="I302" s="33">
        <v>1503</v>
      </c>
      <c r="K302" t="b">
        <f>QHPSelections2016[[#This Row],[County Name]]=P302</f>
        <v>1</v>
      </c>
      <c r="L302" t="b">
        <f>QHPSelections2016[[#This Row],[Silver]]=S302</f>
        <v>1</v>
      </c>
      <c r="N302">
        <v>13087</v>
      </c>
      <c r="O302" t="s">
        <v>1515</v>
      </c>
      <c r="P302" t="s">
        <v>932</v>
      </c>
      <c r="Q302">
        <v>0</v>
      </c>
      <c r="S302" s="51">
        <v>1086</v>
      </c>
      <c r="T302">
        <v>396</v>
      </c>
      <c r="V302" s="51">
        <v>1503</v>
      </c>
    </row>
    <row r="303" spans="1:22">
      <c r="A303" s="32" t="s">
        <v>2019</v>
      </c>
      <c r="B303" s="32" t="s">
        <v>1515</v>
      </c>
      <c r="C303" s="32" t="s">
        <v>939</v>
      </c>
      <c r="D303" s="33">
        <v>0</v>
      </c>
      <c r="E303" s="33">
        <v>2613</v>
      </c>
      <c r="F303" s="33">
        <v>38407</v>
      </c>
      <c r="G303" s="33">
        <v>9912</v>
      </c>
      <c r="H303" s="33">
        <v>1386</v>
      </c>
      <c r="I303" s="33">
        <v>52318</v>
      </c>
      <c r="K303" t="b">
        <f>QHPSelections2016[[#This Row],[County Name]]=P303</f>
        <v>1</v>
      </c>
      <c r="L303" t="b">
        <f>QHPSelections2016[[#This Row],[Silver]]=S303</f>
        <v>1</v>
      </c>
      <c r="N303">
        <v>13089</v>
      </c>
      <c r="O303" t="s">
        <v>1515</v>
      </c>
      <c r="P303" t="s">
        <v>939</v>
      </c>
      <c r="Q303">
        <v>0</v>
      </c>
      <c r="R303" s="51">
        <v>2613</v>
      </c>
      <c r="S303" s="51">
        <v>38407</v>
      </c>
      <c r="T303" s="51">
        <v>9912</v>
      </c>
      <c r="U303" s="51">
        <v>1386</v>
      </c>
      <c r="V303" s="51">
        <v>52318</v>
      </c>
    </row>
    <row r="304" spans="1:22">
      <c r="A304" s="32" t="s">
        <v>2020</v>
      </c>
      <c r="B304" s="32" t="s">
        <v>1515</v>
      </c>
      <c r="C304" s="32" t="s">
        <v>1058</v>
      </c>
      <c r="D304" s="33">
        <v>0</v>
      </c>
      <c r="E304" s="33">
        <v>29</v>
      </c>
      <c r="F304" s="33">
        <v>690</v>
      </c>
      <c r="G304" s="33">
        <v>103</v>
      </c>
      <c r="H304" s="33">
        <v>13</v>
      </c>
      <c r="I304" s="33">
        <v>835</v>
      </c>
      <c r="K304" t="b">
        <f>QHPSelections2016[[#This Row],[County Name]]=P304</f>
        <v>1</v>
      </c>
      <c r="L304" t="b">
        <f>QHPSelections2016[[#This Row],[Silver]]=S304</f>
        <v>1</v>
      </c>
      <c r="N304">
        <v>13091</v>
      </c>
      <c r="O304" t="s">
        <v>1515</v>
      </c>
      <c r="P304" t="s">
        <v>1058</v>
      </c>
      <c r="Q304">
        <v>0</v>
      </c>
      <c r="R304">
        <v>29</v>
      </c>
      <c r="S304">
        <v>690</v>
      </c>
      <c r="T304">
        <v>103</v>
      </c>
      <c r="U304">
        <v>13</v>
      </c>
      <c r="V304">
        <v>835</v>
      </c>
    </row>
    <row r="305" spans="1:22">
      <c r="A305" s="32" t="s">
        <v>2021</v>
      </c>
      <c r="B305" s="32" t="s">
        <v>1515</v>
      </c>
      <c r="C305" s="32" t="s">
        <v>1062</v>
      </c>
      <c r="D305" s="33">
        <v>0</v>
      </c>
      <c r="E305" s="33" t="s">
        <v>1639</v>
      </c>
      <c r="F305" s="33">
        <v>297</v>
      </c>
      <c r="G305" s="33">
        <v>64</v>
      </c>
      <c r="H305" s="33" t="s">
        <v>1639</v>
      </c>
      <c r="I305" s="33">
        <v>369</v>
      </c>
      <c r="K305" t="b">
        <f>QHPSelections2016[[#This Row],[County Name]]=P305</f>
        <v>1</v>
      </c>
      <c r="L305" t="b">
        <f>QHPSelections2016[[#This Row],[Silver]]=S305</f>
        <v>1</v>
      </c>
      <c r="N305">
        <v>13093</v>
      </c>
      <c r="O305" t="s">
        <v>1515</v>
      </c>
      <c r="P305" t="s">
        <v>1062</v>
      </c>
      <c r="Q305">
        <v>0</v>
      </c>
      <c r="S305">
        <v>297</v>
      </c>
      <c r="T305">
        <v>64</v>
      </c>
      <c r="V305">
        <v>369</v>
      </c>
    </row>
    <row r="306" spans="1:22">
      <c r="A306" s="32" t="s">
        <v>2022</v>
      </c>
      <c r="B306" s="32" t="s">
        <v>1515</v>
      </c>
      <c r="C306" s="32" t="s">
        <v>1067</v>
      </c>
      <c r="D306" s="33">
        <v>0</v>
      </c>
      <c r="E306" s="33">
        <v>68</v>
      </c>
      <c r="F306" s="33">
        <v>2729</v>
      </c>
      <c r="G306" s="33">
        <v>821</v>
      </c>
      <c r="H306" s="33">
        <v>65</v>
      </c>
      <c r="I306" s="33">
        <v>3683</v>
      </c>
      <c r="K306" t="b">
        <f>QHPSelections2016[[#This Row],[County Name]]=P306</f>
        <v>1</v>
      </c>
      <c r="L306" t="b">
        <f>QHPSelections2016[[#This Row],[Silver]]=S306</f>
        <v>1</v>
      </c>
      <c r="N306">
        <v>13095</v>
      </c>
      <c r="O306" t="s">
        <v>1515</v>
      </c>
      <c r="P306" t="s">
        <v>1067</v>
      </c>
      <c r="Q306">
        <v>0</v>
      </c>
      <c r="R306">
        <v>68</v>
      </c>
      <c r="S306" s="51">
        <v>2729</v>
      </c>
      <c r="T306">
        <v>821</v>
      </c>
      <c r="U306">
        <v>65</v>
      </c>
      <c r="V306" s="51">
        <v>3683</v>
      </c>
    </row>
    <row r="307" spans="1:22">
      <c r="A307" s="32" t="s">
        <v>2023</v>
      </c>
      <c r="B307" s="32" t="s">
        <v>1515</v>
      </c>
      <c r="C307" s="32" t="s">
        <v>1073</v>
      </c>
      <c r="D307" s="33">
        <v>0</v>
      </c>
      <c r="E307" s="33">
        <v>413</v>
      </c>
      <c r="F307" s="33">
        <v>7774</v>
      </c>
      <c r="G307" s="33">
        <v>1587</v>
      </c>
      <c r="H307" s="33">
        <v>200</v>
      </c>
      <c r="I307" s="33">
        <v>9974</v>
      </c>
      <c r="K307" t="b">
        <f>QHPSelections2016[[#This Row],[County Name]]=P307</f>
        <v>1</v>
      </c>
      <c r="L307" t="b">
        <f>QHPSelections2016[[#This Row],[Silver]]=S307</f>
        <v>1</v>
      </c>
      <c r="N307">
        <v>13097</v>
      </c>
      <c r="O307" t="s">
        <v>1515</v>
      </c>
      <c r="P307" t="s">
        <v>1073</v>
      </c>
      <c r="Q307">
        <v>0</v>
      </c>
      <c r="R307">
        <v>413</v>
      </c>
      <c r="S307" s="51">
        <v>7774</v>
      </c>
      <c r="T307" s="51">
        <v>1587</v>
      </c>
      <c r="U307">
        <v>200</v>
      </c>
      <c r="V307" s="51">
        <v>9974</v>
      </c>
    </row>
    <row r="308" spans="1:22">
      <c r="A308" s="32" t="s">
        <v>2024</v>
      </c>
      <c r="B308" s="32" t="s">
        <v>1515</v>
      </c>
      <c r="C308" s="32" t="s">
        <v>1078</v>
      </c>
      <c r="D308" s="33">
        <v>0</v>
      </c>
      <c r="E308" s="33" t="s">
        <v>1639</v>
      </c>
      <c r="F308" s="33">
        <v>345</v>
      </c>
      <c r="G308" s="33">
        <v>74</v>
      </c>
      <c r="H308" s="33" t="s">
        <v>1639</v>
      </c>
      <c r="I308" s="33">
        <v>429</v>
      </c>
      <c r="K308" t="b">
        <f>QHPSelections2016[[#This Row],[County Name]]=P308</f>
        <v>1</v>
      </c>
      <c r="L308" t="b">
        <f>QHPSelections2016[[#This Row],[Silver]]=S308</f>
        <v>1</v>
      </c>
      <c r="N308">
        <v>13099</v>
      </c>
      <c r="O308" t="s">
        <v>1515</v>
      </c>
      <c r="P308" t="s">
        <v>1078</v>
      </c>
      <c r="Q308">
        <v>0</v>
      </c>
      <c r="S308">
        <v>345</v>
      </c>
      <c r="T308">
        <v>74</v>
      </c>
      <c r="V308">
        <v>429</v>
      </c>
    </row>
    <row r="309" spans="1:22">
      <c r="A309" s="32" t="s">
        <v>2025</v>
      </c>
      <c r="B309" s="32" t="s">
        <v>1515</v>
      </c>
      <c r="C309" s="32" t="s">
        <v>1083</v>
      </c>
      <c r="D309" s="33">
        <v>0</v>
      </c>
      <c r="E309" s="33" t="s">
        <v>1639</v>
      </c>
      <c r="F309" s="33">
        <v>58</v>
      </c>
      <c r="G309" s="33">
        <v>17</v>
      </c>
      <c r="H309" s="33" t="s">
        <v>1639</v>
      </c>
      <c r="I309" s="33">
        <v>76</v>
      </c>
      <c r="K309" t="b">
        <f>QHPSelections2016[[#This Row],[County Name]]=P309</f>
        <v>1</v>
      </c>
      <c r="L309" t="b">
        <f>QHPSelections2016[[#This Row],[Silver]]=S309</f>
        <v>1</v>
      </c>
      <c r="N309">
        <v>13101</v>
      </c>
      <c r="O309" t="s">
        <v>1515</v>
      </c>
      <c r="P309" t="s">
        <v>1083</v>
      </c>
      <c r="Q309">
        <v>0</v>
      </c>
      <c r="S309">
        <v>58</v>
      </c>
      <c r="T309">
        <v>17</v>
      </c>
      <c r="V309">
        <v>76</v>
      </c>
    </row>
    <row r="310" spans="1:22">
      <c r="A310" s="32" t="s">
        <v>2026</v>
      </c>
      <c r="B310" s="32" t="s">
        <v>1515</v>
      </c>
      <c r="C310" s="32" t="s">
        <v>1087</v>
      </c>
      <c r="D310" s="33">
        <v>0</v>
      </c>
      <c r="E310" s="33">
        <v>224</v>
      </c>
      <c r="F310" s="33">
        <v>2421</v>
      </c>
      <c r="G310" s="33">
        <v>369</v>
      </c>
      <c r="H310" s="33">
        <v>52</v>
      </c>
      <c r="I310" s="33">
        <v>3066</v>
      </c>
      <c r="K310" t="b">
        <f>QHPSelections2016[[#This Row],[County Name]]=P310</f>
        <v>1</v>
      </c>
      <c r="L310" t="b">
        <f>QHPSelections2016[[#This Row],[Silver]]=S310</f>
        <v>1</v>
      </c>
      <c r="N310">
        <v>13103</v>
      </c>
      <c r="O310" t="s">
        <v>1515</v>
      </c>
      <c r="P310" t="s">
        <v>1087</v>
      </c>
      <c r="Q310">
        <v>0</v>
      </c>
      <c r="R310">
        <v>224</v>
      </c>
      <c r="S310" s="51">
        <v>2421</v>
      </c>
      <c r="T310">
        <v>369</v>
      </c>
      <c r="U310">
        <v>52</v>
      </c>
      <c r="V310" s="51">
        <v>3066</v>
      </c>
    </row>
    <row r="311" spans="1:22">
      <c r="A311" s="32" t="s">
        <v>2027</v>
      </c>
      <c r="B311" s="32" t="s">
        <v>1515</v>
      </c>
      <c r="C311" s="32" t="s">
        <v>1094</v>
      </c>
      <c r="D311" s="33">
        <v>0</v>
      </c>
      <c r="E311" s="33" t="s">
        <v>1639</v>
      </c>
      <c r="F311" s="33">
        <v>697</v>
      </c>
      <c r="G311" s="33">
        <v>85</v>
      </c>
      <c r="H311" s="33" t="s">
        <v>1639</v>
      </c>
      <c r="I311" s="33">
        <v>803</v>
      </c>
      <c r="K311" t="b">
        <f>QHPSelections2016[[#This Row],[County Name]]=P311</f>
        <v>1</v>
      </c>
      <c r="L311" t="b">
        <f>QHPSelections2016[[#This Row],[Silver]]=S311</f>
        <v>1</v>
      </c>
      <c r="N311">
        <v>13105</v>
      </c>
      <c r="O311" t="s">
        <v>1515</v>
      </c>
      <c r="P311" t="s">
        <v>1094</v>
      </c>
      <c r="Q311">
        <v>0</v>
      </c>
      <c r="S311">
        <v>697</v>
      </c>
      <c r="T311">
        <v>85</v>
      </c>
      <c r="V311">
        <v>803</v>
      </c>
    </row>
    <row r="312" spans="1:22">
      <c r="A312" s="32" t="s">
        <v>2028</v>
      </c>
      <c r="B312" s="32" t="s">
        <v>1515</v>
      </c>
      <c r="C312" s="32" t="s">
        <v>1099</v>
      </c>
      <c r="D312" s="33">
        <v>0</v>
      </c>
      <c r="E312" s="33">
        <v>44</v>
      </c>
      <c r="F312" s="33">
        <v>1136</v>
      </c>
      <c r="G312" s="33">
        <v>167</v>
      </c>
      <c r="H312" s="33">
        <v>24</v>
      </c>
      <c r="I312" s="33">
        <v>1371</v>
      </c>
      <c r="K312" t="b">
        <f>QHPSelections2016[[#This Row],[County Name]]=P312</f>
        <v>1</v>
      </c>
      <c r="L312" t="b">
        <f>QHPSelections2016[[#This Row],[Silver]]=S312</f>
        <v>1</v>
      </c>
      <c r="N312">
        <v>13107</v>
      </c>
      <c r="O312" t="s">
        <v>1515</v>
      </c>
      <c r="P312" t="s">
        <v>1099</v>
      </c>
      <c r="Q312">
        <v>0</v>
      </c>
      <c r="R312">
        <v>44</v>
      </c>
      <c r="S312" s="51">
        <v>1136</v>
      </c>
      <c r="T312">
        <v>167</v>
      </c>
      <c r="U312">
        <v>24</v>
      </c>
      <c r="V312" s="51">
        <v>1371</v>
      </c>
    </row>
    <row r="313" spans="1:22">
      <c r="A313" s="32" t="s">
        <v>2029</v>
      </c>
      <c r="B313" s="32" t="s">
        <v>1515</v>
      </c>
      <c r="C313" s="32" t="s">
        <v>1104</v>
      </c>
      <c r="D313" s="33">
        <v>0</v>
      </c>
      <c r="E313" s="33" t="s">
        <v>1639</v>
      </c>
      <c r="F313" s="33">
        <v>477</v>
      </c>
      <c r="G313" s="33">
        <v>57</v>
      </c>
      <c r="H313" s="33" t="s">
        <v>1639</v>
      </c>
      <c r="I313" s="33">
        <v>584</v>
      </c>
      <c r="K313" t="b">
        <f>QHPSelections2016[[#This Row],[County Name]]=P313</f>
        <v>1</v>
      </c>
      <c r="L313" t="b">
        <f>QHPSelections2016[[#This Row],[Silver]]=S313</f>
        <v>1</v>
      </c>
      <c r="N313">
        <v>13109</v>
      </c>
      <c r="O313" t="s">
        <v>1515</v>
      </c>
      <c r="P313" t="s">
        <v>1104</v>
      </c>
      <c r="Q313">
        <v>0</v>
      </c>
      <c r="S313">
        <v>477</v>
      </c>
      <c r="T313">
        <v>57</v>
      </c>
      <c r="V313">
        <v>584</v>
      </c>
    </row>
    <row r="314" spans="1:22">
      <c r="A314" s="32" t="s">
        <v>2030</v>
      </c>
      <c r="B314" s="32" t="s">
        <v>1515</v>
      </c>
      <c r="C314" s="32" t="s">
        <v>1111</v>
      </c>
      <c r="D314" s="33">
        <v>0</v>
      </c>
      <c r="E314" s="33" t="s">
        <v>1639</v>
      </c>
      <c r="F314" s="33">
        <v>1308</v>
      </c>
      <c r="G314" s="33">
        <v>242</v>
      </c>
      <c r="H314" s="33" t="s">
        <v>1639</v>
      </c>
      <c r="I314" s="33">
        <v>1596</v>
      </c>
      <c r="K314" t="b">
        <f>QHPSelections2016[[#This Row],[County Name]]=P314</f>
        <v>1</v>
      </c>
      <c r="L314" t="b">
        <f>QHPSelections2016[[#This Row],[Silver]]=S314</f>
        <v>1</v>
      </c>
      <c r="N314">
        <v>13111</v>
      </c>
      <c r="O314" t="s">
        <v>1515</v>
      </c>
      <c r="P314" t="s">
        <v>1111</v>
      </c>
      <c r="Q314">
        <v>0</v>
      </c>
      <c r="S314" s="51">
        <v>1308</v>
      </c>
      <c r="T314">
        <v>242</v>
      </c>
      <c r="V314" s="51">
        <v>1596</v>
      </c>
    </row>
    <row r="315" spans="1:22">
      <c r="A315" s="32" t="s">
        <v>2031</v>
      </c>
      <c r="B315" s="32" t="s">
        <v>1515</v>
      </c>
      <c r="C315" s="32" t="s">
        <v>958</v>
      </c>
      <c r="D315" s="33">
        <v>0</v>
      </c>
      <c r="E315" s="33">
        <v>484</v>
      </c>
      <c r="F315" s="33">
        <v>4291</v>
      </c>
      <c r="G315" s="33">
        <v>1077</v>
      </c>
      <c r="H315" s="33">
        <v>123</v>
      </c>
      <c r="I315" s="33">
        <v>5975</v>
      </c>
      <c r="K315" t="b">
        <f>QHPSelections2016[[#This Row],[County Name]]=P315</f>
        <v>1</v>
      </c>
      <c r="L315" t="b">
        <f>QHPSelections2016[[#This Row],[Silver]]=S315</f>
        <v>1</v>
      </c>
      <c r="N315">
        <v>13113</v>
      </c>
      <c r="O315" t="s">
        <v>1515</v>
      </c>
      <c r="P315" t="s">
        <v>958</v>
      </c>
      <c r="Q315">
        <v>0</v>
      </c>
      <c r="R315">
        <v>484</v>
      </c>
      <c r="S315" s="51">
        <v>4291</v>
      </c>
      <c r="T315" s="51">
        <v>1077</v>
      </c>
      <c r="U315">
        <v>123</v>
      </c>
      <c r="V315" s="51">
        <v>5975</v>
      </c>
    </row>
    <row r="316" spans="1:22">
      <c r="A316" s="32" t="s">
        <v>2032</v>
      </c>
      <c r="B316" s="32" t="s">
        <v>1515</v>
      </c>
      <c r="C316" s="32" t="s">
        <v>1121</v>
      </c>
      <c r="D316" s="33">
        <v>0</v>
      </c>
      <c r="E316" s="33">
        <v>221</v>
      </c>
      <c r="F316" s="33">
        <v>3598</v>
      </c>
      <c r="G316" s="33">
        <v>659</v>
      </c>
      <c r="H316" s="33">
        <v>71</v>
      </c>
      <c r="I316" s="33">
        <v>4549</v>
      </c>
      <c r="K316" t="b">
        <f>QHPSelections2016[[#This Row],[County Name]]=P316</f>
        <v>1</v>
      </c>
      <c r="L316" t="b">
        <f>QHPSelections2016[[#This Row],[Silver]]=S316</f>
        <v>1</v>
      </c>
      <c r="N316">
        <v>13115</v>
      </c>
      <c r="O316" t="s">
        <v>1515</v>
      </c>
      <c r="P316" t="s">
        <v>1121</v>
      </c>
      <c r="Q316">
        <v>0</v>
      </c>
      <c r="R316">
        <v>221</v>
      </c>
      <c r="S316" s="51">
        <v>3598</v>
      </c>
      <c r="T316">
        <v>659</v>
      </c>
      <c r="U316">
        <v>71</v>
      </c>
      <c r="V316" s="51">
        <v>4549</v>
      </c>
    </row>
    <row r="317" spans="1:22">
      <c r="A317" s="32" t="s">
        <v>2033</v>
      </c>
      <c r="B317" s="32" t="s">
        <v>1515</v>
      </c>
      <c r="C317" s="32" t="s">
        <v>1007</v>
      </c>
      <c r="D317" s="33">
        <v>0</v>
      </c>
      <c r="E317" s="33">
        <v>1181</v>
      </c>
      <c r="F317" s="33">
        <v>8499</v>
      </c>
      <c r="G317" s="33">
        <v>1919</v>
      </c>
      <c r="H317" s="33">
        <v>124</v>
      </c>
      <c r="I317" s="33">
        <v>11723</v>
      </c>
      <c r="K317" t="b">
        <f>QHPSelections2016[[#This Row],[County Name]]=P317</f>
        <v>1</v>
      </c>
      <c r="L317" t="b">
        <f>QHPSelections2016[[#This Row],[Silver]]=S317</f>
        <v>1</v>
      </c>
      <c r="N317">
        <v>13117</v>
      </c>
      <c r="O317" t="s">
        <v>1515</v>
      </c>
      <c r="P317" t="s">
        <v>1007</v>
      </c>
      <c r="Q317">
        <v>0</v>
      </c>
      <c r="R317" s="51">
        <v>1181</v>
      </c>
      <c r="S317" s="51">
        <v>8499</v>
      </c>
      <c r="T317" s="51">
        <v>1919</v>
      </c>
      <c r="U317">
        <v>124</v>
      </c>
      <c r="V317" s="51">
        <v>11723</v>
      </c>
    </row>
    <row r="318" spans="1:22">
      <c r="A318" s="32" t="s">
        <v>2034</v>
      </c>
      <c r="B318" s="32" t="s">
        <v>1515</v>
      </c>
      <c r="C318" s="32" t="s">
        <v>919</v>
      </c>
      <c r="D318" s="33">
        <v>0</v>
      </c>
      <c r="E318" s="33" t="s">
        <v>1639</v>
      </c>
      <c r="F318" s="33">
        <v>757</v>
      </c>
      <c r="G318" s="33">
        <v>155</v>
      </c>
      <c r="H318" s="33" t="s">
        <v>1639</v>
      </c>
      <c r="I318" s="33">
        <v>942</v>
      </c>
      <c r="K318" t="b">
        <f>QHPSelections2016[[#This Row],[County Name]]=P318</f>
        <v>1</v>
      </c>
      <c r="L318" t="b">
        <f>QHPSelections2016[[#This Row],[Silver]]=S318</f>
        <v>1</v>
      </c>
      <c r="N318">
        <v>13119</v>
      </c>
      <c r="O318" t="s">
        <v>1515</v>
      </c>
      <c r="P318" t="s">
        <v>919</v>
      </c>
      <c r="Q318">
        <v>0</v>
      </c>
      <c r="S318">
        <v>757</v>
      </c>
      <c r="T318">
        <v>155</v>
      </c>
      <c r="V318">
        <v>942</v>
      </c>
    </row>
    <row r="319" spans="1:22">
      <c r="A319" s="32" t="s">
        <v>2035</v>
      </c>
      <c r="B319" s="32" t="s">
        <v>1515</v>
      </c>
      <c r="C319" s="32" t="s">
        <v>1131</v>
      </c>
      <c r="D319" s="33">
        <v>0</v>
      </c>
      <c r="E319" s="33">
        <v>5155</v>
      </c>
      <c r="F319" s="33">
        <v>43349</v>
      </c>
      <c r="G319" s="33">
        <v>13046</v>
      </c>
      <c r="H319" s="33">
        <v>1842</v>
      </c>
      <c r="I319" s="33">
        <v>63392</v>
      </c>
      <c r="K319" t="b">
        <f>QHPSelections2016[[#This Row],[County Name]]=P319</f>
        <v>1</v>
      </c>
      <c r="L319" t="b">
        <f>QHPSelections2016[[#This Row],[Silver]]=S319</f>
        <v>1</v>
      </c>
      <c r="N319">
        <v>13121</v>
      </c>
      <c r="O319" t="s">
        <v>1515</v>
      </c>
      <c r="P319" t="s">
        <v>1131</v>
      </c>
      <c r="Q319">
        <v>0</v>
      </c>
      <c r="R319" s="51">
        <v>5155</v>
      </c>
      <c r="S319" s="51">
        <v>43349</v>
      </c>
      <c r="T319" s="51">
        <v>13046</v>
      </c>
      <c r="U319" s="51">
        <v>1842</v>
      </c>
      <c r="V319" s="51">
        <v>63392</v>
      </c>
    </row>
    <row r="320" spans="1:22">
      <c r="A320" s="32" t="s">
        <v>2036</v>
      </c>
      <c r="B320" s="32" t="s">
        <v>1515</v>
      </c>
      <c r="C320" s="32" t="s">
        <v>1138</v>
      </c>
      <c r="D320" s="33">
        <v>0</v>
      </c>
      <c r="E320" s="33">
        <v>50</v>
      </c>
      <c r="F320" s="33">
        <v>1237</v>
      </c>
      <c r="G320" s="33">
        <v>231</v>
      </c>
      <c r="H320" s="33">
        <v>19</v>
      </c>
      <c r="I320" s="33">
        <v>1537</v>
      </c>
      <c r="K320" t="b">
        <f>QHPSelections2016[[#This Row],[County Name]]=P320</f>
        <v>1</v>
      </c>
      <c r="L320" t="b">
        <f>QHPSelections2016[[#This Row],[Silver]]=S320</f>
        <v>1</v>
      </c>
      <c r="N320">
        <v>13123</v>
      </c>
      <c r="O320" t="s">
        <v>1515</v>
      </c>
      <c r="P320" t="s">
        <v>1138</v>
      </c>
      <c r="Q320">
        <v>0</v>
      </c>
      <c r="R320">
        <v>50</v>
      </c>
      <c r="S320" s="51">
        <v>1237</v>
      </c>
      <c r="T320">
        <v>231</v>
      </c>
      <c r="U320">
        <v>19</v>
      </c>
      <c r="V320" s="51">
        <v>1537</v>
      </c>
    </row>
    <row r="321" spans="1:22">
      <c r="A321" s="32" t="s">
        <v>2037</v>
      </c>
      <c r="B321" s="32" t="s">
        <v>1515</v>
      </c>
      <c r="C321" s="32" t="s">
        <v>1145</v>
      </c>
      <c r="D321" s="33">
        <v>0</v>
      </c>
      <c r="E321" s="33" t="s">
        <v>1639</v>
      </c>
      <c r="F321" s="33">
        <v>97</v>
      </c>
      <c r="G321" s="33" t="s">
        <v>1639</v>
      </c>
      <c r="H321" s="33" t="s">
        <v>1639</v>
      </c>
      <c r="I321" s="33">
        <v>113</v>
      </c>
      <c r="K321" t="b">
        <f>QHPSelections2016[[#This Row],[County Name]]=P321</f>
        <v>1</v>
      </c>
      <c r="L321" t="b">
        <f>QHPSelections2016[[#This Row],[Silver]]=S321</f>
        <v>1</v>
      </c>
      <c r="N321">
        <v>13125</v>
      </c>
      <c r="O321" t="s">
        <v>1515</v>
      </c>
      <c r="P321" t="s">
        <v>1145</v>
      </c>
      <c r="Q321">
        <v>0</v>
      </c>
      <c r="S321">
        <v>97</v>
      </c>
      <c r="V321">
        <v>113</v>
      </c>
    </row>
    <row r="322" spans="1:22">
      <c r="A322" s="32" t="s">
        <v>2038</v>
      </c>
      <c r="B322" s="32" t="s">
        <v>1515</v>
      </c>
      <c r="C322" s="32" t="s">
        <v>1150</v>
      </c>
      <c r="D322" s="33">
        <v>0</v>
      </c>
      <c r="E322" s="33">
        <v>392</v>
      </c>
      <c r="F322" s="33">
        <v>4569</v>
      </c>
      <c r="G322" s="33">
        <v>926</v>
      </c>
      <c r="H322" s="33">
        <v>83</v>
      </c>
      <c r="I322" s="33">
        <v>5970</v>
      </c>
      <c r="K322" t="b">
        <f>QHPSelections2016[[#This Row],[County Name]]=P322</f>
        <v>1</v>
      </c>
      <c r="L322" t="b">
        <f>QHPSelections2016[[#This Row],[Silver]]=S322</f>
        <v>1</v>
      </c>
      <c r="N322">
        <v>13127</v>
      </c>
      <c r="O322" t="s">
        <v>1515</v>
      </c>
      <c r="P322" t="s">
        <v>1150</v>
      </c>
      <c r="Q322">
        <v>0</v>
      </c>
      <c r="R322">
        <v>392</v>
      </c>
      <c r="S322" s="51">
        <v>4569</v>
      </c>
      <c r="T322">
        <v>926</v>
      </c>
      <c r="U322">
        <v>83</v>
      </c>
      <c r="V322" s="51">
        <v>5970</v>
      </c>
    </row>
    <row r="323" spans="1:22">
      <c r="A323" s="32" t="s">
        <v>2039</v>
      </c>
      <c r="B323" s="32" t="s">
        <v>1515</v>
      </c>
      <c r="C323" s="32" t="s">
        <v>1156</v>
      </c>
      <c r="D323" s="33">
        <v>0</v>
      </c>
      <c r="E323" s="33">
        <v>62</v>
      </c>
      <c r="F323" s="33">
        <v>1576</v>
      </c>
      <c r="G323" s="33">
        <v>344</v>
      </c>
      <c r="H323" s="33">
        <v>23</v>
      </c>
      <c r="I323" s="33">
        <v>2005</v>
      </c>
      <c r="K323" t="b">
        <f>QHPSelections2016[[#This Row],[County Name]]=P323</f>
        <v>1</v>
      </c>
      <c r="L323" t="b">
        <f>QHPSelections2016[[#This Row],[Silver]]=S323</f>
        <v>1</v>
      </c>
      <c r="N323">
        <v>13129</v>
      </c>
      <c r="O323" t="s">
        <v>1515</v>
      </c>
      <c r="P323" t="s">
        <v>1156</v>
      </c>
      <c r="Q323">
        <v>0</v>
      </c>
      <c r="R323">
        <v>62</v>
      </c>
      <c r="S323" s="51">
        <v>1576</v>
      </c>
      <c r="T323">
        <v>344</v>
      </c>
      <c r="U323">
        <v>23</v>
      </c>
      <c r="V323" s="51">
        <v>2005</v>
      </c>
    </row>
    <row r="324" spans="1:22">
      <c r="A324" s="32" t="s">
        <v>2040</v>
      </c>
      <c r="B324" s="32" t="s">
        <v>1515</v>
      </c>
      <c r="C324" s="32" t="s">
        <v>1162</v>
      </c>
      <c r="D324" s="33">
        <v>0</v>
      </c>
      <c r="E324" s="33" t="s">
        <v>1639</v>
      </c>
      <c r="F324" s="33">
        <v>768</v>
      </c>
      <c r="G324" s="33">
        <v>227</v>
      </c>
      <c r="H324" s="33" t="s">
        <v>1639</v>
      </c>
      <c r="I324" s="33">
        <v>1014</v>
      </c>
      <c r="K324" t="b">
        <f>QHPSelections2016[[#This Row],[County Name]]=P324</f>
        <v>1</v>
      </c>
      <c r="L324" t="b">
        <f>QHPSelections2016[[#This Row],[Silver]]=S324</f>
        <v>1</v>
      </c>
      <c r="N324">
        <v>13131</v>
      </c>
      <c r="O324" t="s">
        <v>1515</v>
      </c>
      <c r="P324" t="s">
        <v>1162</v>
      </c>
      <c r="Q324">
        <v>0</v>
      </c>
      <c r="S324">
        <v>768</v>
      </c>
      <c r="T324">
        <v>227</v>
      </c>
      <c r="V324" s="51">
        <v>1014</v>
      </c>
    </row>
    <row r="325" spans="1:22">
      <c r="A325" s="32" t="s">
        <v>2041</v>
      </c>
      <c r="B325" s="32" t="s">
        <v>1515</v>
      </c>
      <c r="C325" s="32" t="s">
        <v>937</v>
      </c>
      <c r="D325" s="33">
        <v>0</v>
      </c>
      <c r="E325" s="33">
        <v>38</v>
      </c>
      <c r="F325" s="33">
        <v>539</v>
      </c>
      <c r="G325" s="33">
        <v>153</v>
      </c>
      <c r="H325" s="33">
        <v>14</v>
      </c>
      <c r="I325" s="33">
        <v>744</v>
      </c>
      <c r="K325" t="b">
        <f>QHPSelections2016[[#This Row],[County Name]]=P325</f>
        <v>1</v>
      </c>
      <c r="L325" t="b">
        <f>QHPSelections2016[[#This Row],[Silver]]=S325</f>
        <v>1</v>
      </c>
      <c r="N325">
        <v>13133</v>
      </c>
      <c r="O325" t="s">
        <v>1515</v>
      </c>
      <c r="P325" t="s">
        <v>937</v>
      </c>
      <c r="Q325">
        <v>0</v>
      </c>
      <c r="R325">
        <v>38</v>
      </c>
      <c r="S325">
        <v>539</v>
      </c>
      <c r="T325">
        <v>153</v>
      </c>
      <c r="U325">
        <v>14</v>
      </c>
      <c r="V325">
        <v>744</v>
      </c>
    </row>
    <row r="326" spans="1:22">
      <c r="A326" s="32" t="s">
        <v>2042</v>
      </c>
      <c r="B326" s="32" t="s">
        <v>1515</v>
      </c>
      <c r="C326" s="32" t="s">
        <v>1172</v>
      </c>
      <c r="D326" s="33">
        <v>0</v>
      </c>
      <c r="E326" s="33">
        <v>2777</v>
      </c>
      <c r="F326" s="33">
        <v>64975</v>
      </c>
      <c r="G326" s="33">
        <v>12784</v>
      </c>
      <c r="H326" s="33">
        <v>1097</v>
      </c>
      <c r="I326" s="33">
        <v>81633</v>
      </c>
      <c r="K326" t="b">
        <f>QHPSelections2016[[#This Row],[County Name]]=P326</f>
        <v>1</v>
      </c>
      <c r="L326" t="b">
        <f>QHPSelections2016[[#This Row],[Silver]]=S326</f>
        <v>1</v>
      </c>
      <c r="N326">
        <v>13135</v>
      </c>
      <c r="O326" t="s">
        <v>1515</v>
      </c>
      <c r="P326" t="s">
        <v>1172</v>
      </c>
      <c r="Q326">
        <v>0</v>
      </c>
      <c r="R326" s="51">
        <v>2777</v>
      </c>
      <c r="S326" s="51">
        <v>64975</v>
      </c>
      <c r="T326" s="51">
        <v>12784</v>
      </c>
      <c r="U326" s="51">
        <v>1097</v>
      </c>
      <c r="V326" s="51">
        <v>81633</v>
      </c>
    </row>
    <row r="327" spans="1:22">
      <c r="A327" s="32" t="s">
        <v>2043</v>
      </c>
      <c r="B327" s="32" t="s">
        <v>1515</v>
      </c>
      <c r="C327" s="32" t="s">
        <v>1177</v>
      </c>
      <c r="D327" s="33">
        <v>0</v>
      </c>
      <c r="E327" s="33">
        <v>87</v>
      </c>
      <c r="F327" s="33">
        <v>1670</v>
      </c>
      <c r="G327" s="33">
        <v>247</v>
      </c>
      <c r="H327" s="33">
        <v>21</v>
      </c>
      <c r="I327" s="33">
        <v>2025</v>
      </c>
      <c r="K327" t="b">
        <f>QHPSelections2016[[#This Row],[County Name]]=P327</f>
        <v>1</v>
      </c>
      <c r="L327" t="b">
        <f>QHPSelections2016[[#This Row],[Silver]]=S327</f>
        <v>1</v>
      </c>
      <c r="N327">
        <v>13137</v>
      </c>
      <c r="O327" t="s">
        <v>1515</v>
      </c>
      <c r="P327" t="s">
        <v>1177</v>
      </c>
      <c r="Q327">
        <v>0</v>
      </c>
      <c r="R327">
        <v>87</v>
      </c>
      <c r="S327" s="51">
        <v>1670</v>
      </c>
      <c r="T327">
        <v>247</v>
      </c>
      <c r="U327">
        <v>21</v>
      </c>
      <c r="V327" s="51">
        <v>2025</v>
      </c>
    </row>
    <row r="328" spans="1:22">
      <c r="A328" s="32" t="s">
        <v>2044</v>
      </c>
      <c r="B328" s="32" t="s">
        <v>1515</v>
      </c>
      <c r="C328" s="32" t="s">
        <v>1180</v>
      </c>
      <c r="D328" s="33">
        <v>0</v>
      </c>
      <c r="E328" s="33">
        <v>647</v>
      </c>
      <c r="F328" s="33">
        <v>8005</v>
      </c>
      <c r="G328" s="33">
        <v>1583</v>
      </c>
      <c r="H328" s="33">
        <v>117</v>
      </c>
      <c r="I328" s="33">
        <v>10352</v>
      </c>
      <c r="K328" t="b">
        <f>QHPSelections2016[[#This Row],[County Name]]=P328</f>
        <v>1</v>
      </c>
      <c r="L328" t="b">
        <f>QHPSelections2016[[#This Row],[Silver]]=S328</f>
        <v>1</v>
      </c>
      <c r="N328">
        <v>13139</v>
      </c>
      <c r="O328" t="s">
        <v>1515</v>
      </c>
      <c r="P328" t="s">
        <v>1180</v>
      </c>
      <c r="Q328">
        <v>0</v>
      </c>
      <c r="R328">
        <v>647</v>
      </c>
      <c r="S328" s="51">
        <v>8005</v>
      </c>
      <c r="T328" s="51">
        <v>1583</v>
      </c>
      <c r="U328">
        <v>117</v>
      </c>
      <c r="V328" s="51">
        <v>10352</v>
      </c>
    </row>
    <row r="329" spans="1:22">
      <c r="A329" s="32" t="s">
        <v>2045</v>
      </c>
      <c r="B329" s="32" t="s">
        <v>1515</v>
      </c>
      <c r="C329" s="32" t="s">
        <v>949</v>
      </c>
      <c r="D329" s="33">
        <v>0</v>
      </c>
      <c r="E329" s="33" t="s">
        <v>1639</v>
      </c>
      <c r="F329" s="33">
        <v>295</v>
      </c>
      <c r="G329" s="33">
        <v>65</v>
      </c>
      <c r="H329" s="33" t="s">
        <v>1639</v>
      </c>
      <c r="I329" s="33">
        <v>374</v>
      </c>
      <c r="K329" t="b">
        <f>QHPSelections2016[[#This Row],[County Name]]=P329</f>
        <v>1</v>
      </c>
      <c r="L329" t="b">
        <f>QHPSelections2016[[#This Row],[Silver]]=S329</f>
        <v>1</v>
      </c>
      <c r="N329">
        <v>13141</v>
      </c>
      <c r="O329" t="s">
        <v>1515</v>
      </c>
      <c r="P329" t="s">
        <v>949</v>
      </c>
      <c r="Q329">
        <v>0</v>
      </c>
      <c r="S329">
        <v>295</v>
      </c>
      <c r="T329">
        <v>65</v>
      </c>
      <c r="V329">
        <v>374</v>
      </c>
    </row>
    <row r="330" spans="1:22">
      <c r="A330" s="32" t="s">
        <v>2046</v>
      </c>
      <c r="B330" s="32" t="s">
        <v>1515</v>
      </c>
      <c r="C330" s="17" t="s">
        <v>1422</v>
      </c>
      <c r="D330" s="33">
        <v>0</v>
      </c>
      <c r="E330" s="33">
        <v>146</v>
      </c>
      <c r="F330" s="33">
        <v>1499</v>
      </c>
      <c r="G330" s="33">
        <v>214</v>
      </c>
      <c r="H330" s="33">
        <v>21</v>
      </c>
      <c r="I330" s="33">
        <v>1880</v>
      </c>
      <c r="K330" t="b">
        <f>QHPSelections2016[[#This Row],[County Name]]=P330</f>
        <v>0</v>
      </c>
      <c r="L330" t="b">
        <f>QHPSelections2016[[#This Row],[Silver]]=S330</f>
        <v>1</v>
      </c>
      <c r="N330">
        <v>13143</v>
      </c>
      <c r="O330" t="s">
        <v>1515</v>
      </c>
      <c r="P330" t="s">
        <v>1188</v>
      </c>
      <c r="Q330">
        <v>0</v>
      </c>
      <c r="R330">
        <v>146</v>
      </c>
      <c r="S330" s="51">
        <v>1499</v>
      </c>
      <c r="T330">
        <v>214</v>
      </c>
      <c r="U330">
        <v>21</v>
      </c>
      <c r="V330" s="51">
        <v>1880</v>
      </c>
    </row>
    <row r="331" spans="1:22">
      <c r="A331" s="32" t="s">
        <v>2047</v>
      </c>
      <c r="B331" s="32" t="s">
        <v>1515</v>
      </c>
      <c r="C331" s="32" t="s">
        <v>1192</v>
      </c>
      <c r="D331" s="33">
        <v>0</v>
      </c>
      <c r="E331" s="33">
        <v>96</v>
      </c>
      <c r="F331" s="33">
        <v>912</v>
      </c>
      <c r="G331" s="33">
        <v>176</v>
      </c>
      <c r="H331" s="33">
        <v>11</v>
      </c>
      <c r="I331" s="33">
        <v>1195</v>
      </c>
      <c r="K331" t="b">
        <f>QHPSelections2016[[#This Row],[County Name]]=P331</f>
        <v>1</v>
      </c>
      <c r="L331" t="b">
        <f>QHPSelections2016[[#This Row],[Silver]]=S331</f>
        <v>1</v>
      </c>
      <c r="N331">
        <v>13145</v>
      </c>
      <c r="O331" t="s">
        <v>1515</v>
      </c>
      <c r="P331" t="s">
        <v>1192</v>
      </c>
      <c r="Q331">
        <v>0</v>
      </c>
      <c r="R331">
        <v>96</v>
      </c>
      <c r="S331">
        <v>912</v>
      </c>
      <c r="T331">
        <v>176</v>
      </c>
      <c r="U331">
        <v>11</v>
      </c>
      <c r="V331" s="51">
        <v>1195</v>
      </c>
    </row>
    <row r="332" spans="1:22">
      <c r="A332" s="32" t="s">
        <v>2048</v>
      </c>
      <c r="B332" s="32" t="s">
        <v>1515</v>
      </c>
      <c r="C332" s="32" t="s">
        <v>1197</v>
      </c>
      <c r="D332" s="33">
        <v>0</v>
      </c>
      <c r="E332" s="33">
        <v>28</v>
      </c>
      <c r="F332" s="33">
        <v>904</v>
      </c>
      <c r="G332" s="33">
        <v>177</v>
      </c>
      <c r="H332" s="33">
        <v>18</v>
      </c>
      <c r="I332" s="33">
        <v>1127</v>
      </c>
      <c r="K332" t="b">
        <f>QHPSelections2016[[#This Row],[County Name]]=P332</f>
        <v>1</v>
      </c>
      <c r="L332" t="b">
        <f>QHPSelections2016[[#This Row],[Silver]]=S332</f>
        <v>1</v>
      </c>
      <c r="N332">
        <v>13147</v>
      </c>
      <c r="O332" t="s">
        <v>1515</v>
      </c>
      <c r="P332" t="s">
        <v>1197</v>
      </c>
      <c r="Q332">
        <v>0</v>
      </c>
      <c r="R332">
        <v>28</v>
      </c>
      <c r="S332">
        <v>904</v>
      </c>
      <c r="T332">
        <v>177</v>
      </c>
      <c r="U332">
        <v>18</v>
      </c>
      <c r="V332" s="51">
        <v>1127</v>
      </c>
    </row>
    <row r="333" spans="1:22">
      <c r="A333" s="32" t="s">
        <v>2049</v>
      </c>
      <c r="B333" s="32" t="s">
        <v>1515</v>
      </c>
      <c r="C333" s="32" t="s">
        <v>1201</v>
      </c>
      <c r="D333" s="33">
        <v>0</v>
      </c>
      <c r="E333" s="33">
        <v>34</v>
      </c>
      <c r="F333" s="33">
        <v>406</v>
      </c>
      <c r="G333" s="33">
        <v>98</v>
      </c>
      <c r="H333" s="33">
        <v>12</v>
      </c>
      <c r="I333" s="33">
        <v>550</v>
      </c>
      <c r="K333" t="b">
        <f>QHPSelections2016[[#This Row],[County Name]]=P333</f>
        <v>1</v>
      </c>
      <c r="L333" t="b">
        <f>QHPSelections2016[[#This Row],[Silver]]=S333</f>
        <v>1</v>
      </c>
      <c r="N333">
        <v>13149</v>
      </c>
      <c r="O333" t="s">
        <v>1515</v>
      </c>
      <c r="P333" t="s">
        <v>1201</v>
      </c>
      <c r="Q333">
        <v>0</v>
      </c>
      <c r="R333">
        <v>34</v>
      </c>
      <c r="S333">
        <v>406</v>
      </c>
      <c r="T333">
        <v>98</v>
      </c>
      <c r="U333">
        <v>12</v>
      </c>
      <c r="V333">
        <v>550</v>
      </c>
    </row>
    <row r="334" spans="1:22">
      <c r="A334" s="32" t="s">
        <v>2050</v>
      </c>
      <c r="B334" s="32" t="s">
        <v>1515</v>
      </c>
      <c r="C334" s="32" t="s">
        <v>1004</v>
      </c>
      <c r="D334" s="33">
        <v>0</v>
      </c>
      <c r="E334" s="33">
        <v>532</v>
      </c>
      <c r="F334" s="33">
        <v>10182</v>
      </c>
      <c r="G334" s="33">
        <v>2149</v>
      </c>
      <c r="H334" s="33">
        <v>223</v>
      </c>
      <c r="I334" s="33">
        <v>13086</v>
      </c>
      <c r="K334" t="b">
        <f>QHPSelections2016[[#This Row],[County Name]]=P334</f>
        <v>1</v>
      </c>
      <c r="L334" t="b">
        <f>QHPSelections2016[[#This Row],[Silver]]=S334</f>
        <v>1</v>
      </c>
      <c r="N334">
        <v>13151</v>
      </c>
      <c r="O334" t="s">
        <v>1515</v>
      </c>
      <c r="P334" t="s">
        <v>1004</v>
      </c>
      <c r="Q334">
        <v>0</v>
      </c>
      <c r="R334">
        <v>532</v>
      </c>
      <c r="S334" s="51">
        <v>10182</v>
      </c>
      <c r="T334" s="51">
        <v>2149</v>
      </c>
      <c r="U334">
        <v>223</v>
      </c>
      <c r="V334" s="51">
        <v>13086</v>
      </c>
    </row>
    <row r="335" spans="1:22">
      <c r="A335" s="32" t="s">
        <v>2051</v>
      </c>
      <c r="B335" s="32" t="s">
        <v>1515</v>
      </c>
      <c r="C335" s="32" t="s">
        <v>1009</v>
      </c>
      <c r="D335" s="33">
        <v>0</v>
      </c>
      <c r="E335" s="33">
        <v>157</v>
      </c>
      <c r="F335" s="33">
        <v>4164</v>
      </c>
      <c r="G335" s="33">
        <v>792</v>
      </c>
      <c r="H335" s="33">
        <v>119</v>
      </c>
      <c r="I335" s="33">
        <v>5232</v>
      </c>
      <c r="K335" t="b">
        <f>QHPSelections2016[[#This Row],[County Name]]=P335</f>
        <v>1</v>
      </c>
      <c r="L335" t="b">
        <f>QHPSelections2016[[#This Row],[Silver]]=S335</f>
        <v>1</v>
      </c>
      <c r="N335">
        <v>13153</v>
      </c>
      <c r="O335" t="s">
        <v>1515</v>
      </c>
      <c r="P335" t="s">
        <v>1009</v>
      </c>
      <c r="Q335">
        <v>0</v>
      </c>
      <c r="R335">
        <v>157</v>
      </c>
      <c r="S335" s="51">
        <v>4164</v>
      </c>
      <c r="T335">
        <v>792</v>
      </c>
      <c r="U335">
        <v>119</v>
      </c>
      <c r="V335" s="51">
        <v>5232</v>
      </c>
    </row>
    <row r="336" spans="1:22">
      <c r="A336" s="32" t="s">
        <v>2052</v>
      </c>
      <c r="B336" s="32" t="s">
        <v>1515</v>
      </c>
      <c r="C336" s="32" t="s">
        <v>1208</v>
      </c>
      <c r="D336" s="33">
        <v>0</v>
      </c>
      <c r="E336" s="33" t="s">
        <v>1639</v>
      </c>
      <c r="F336" s="33">
        <v>239</v>
      </c>
      <c r="G336" s="33">
        <v>66</v>
      </c>
      <c r="H336" s="33" t="s">
        <v>1639</v>
      </c>
      <c r="I336" s="33">
        <v>323</v>
      </c>
      <c r="K336" t="b">
        <f>QHPSelections2016[[#This Row],[County Name]]=P336</f>
        <v>1</v>
      </c>
      <c r="L336" t="b">
        <f>QHPSelections2016[[#This Row],[Silver]]=S336</f>
        <v>1</v>
      </c>
      <c r="N336">
        <v>13155</v>
      </c>
      <c r="O336" t="s">
        <v>1515</v>
      </c>
      <c r="P336" t="s">
        <v>1208</v>
      </c>
      <c r="Q336">
        <v>0</v>
      </c>
      <c r="S336">
        <v>239</v>
      </c>
      <c r="T336">
        <v>66</v>
      </c>
      <c r="V336">
        <v>323</v>
      </c>
    </row>
    <row r="337" spans="1:22">
      <c r="A337" s="32" t="s">
        <v>2053</v>
      </c>
      <c r="B337" s="32" t="s">
        <v>1515</v>
      </c>
      <c r="C337" s="32" t="s">
        <v>984</v>
      </c>
      <c r="D337" s="33">
        <v>0</v>
      </c>
      <c r="E337" s="33">
        <v>117</v>
      </c>
      <c r="F337" s="33">
        <v>1904</v>
      </c>
      <c r="G337" s="33">
        <v>383</v>
      </c>
      <c r="H337" s="33">
        <v>25</v>
      </c>
      <c r="I337" s="33">
        <v>2429</v>
      </c>
      <c r="K337" t="b">
        <f>QHPSelections2016[[#This Row],[County Name]]=P337</f>
        <v>1</v>
      </c>
      <c r="L337" t="b">
        <f>QHPSelections2016[[#This Row],[Silver]]=S337</f>
        <v>1</v>
      </c>
      <c r="N337">
        <v>13157</v>
      </c>
      <c r="O337" t="s">
        <v>1515</v>
      </c>
      <c r="P337" t="s">
        <v>984</v>
      </c>
      <c r="Q337">
        <v>0</v>
      </c>
      <c r="R337">
        <v>117</v>
      </c>
      <c r="S337" s="51">
        <v>1904</v>
      </c>
      <c r="T337">
        <v>383</v>
      </c>
      <c r="U337">
        <v>25</v>
      </c>
      <c r="V337" s="51">
        <v>2429</v>
      </c>
    </row>
    <row r="338" spans="1:22">
      <c r="A338" s="32" t="s">
        <v>2054</v>
      </c>
      <c r="B338" s="32" t="s">
        <v>1515</v>
      </c>
      <c r="C338" s="32" t="s">
        <v>989</v>
      </c>
      <c r="D338" s="33">
        <v>0</v>
      </c>
      <c r="E338" s="33">
        <v>15</v>
      </c>
      <c r="F338" s="33">
        <v>504</v>
      </c>
      <c r="G338" s="33">
        <v>76</v>
      </c>
      <c r="H338" s="33">
        <v>14</v>
      </c>
      <c r="I338" s="33">
        <v>609</v>
      </c>
      <c r="K338" t="b">
        <f>QHPSelections2016[[#This Row],[County Name]]=P338</f>
        <v>1</v>
      </c>
      <c r="L338" t="b">
        <f>QHPSelections2016[[#This Row],[Silver]]=S338</f>
        <v>1</v>
      </c>
      <c r="N338">
        <v>13159</v>
      </c>
      <c r="O338" t="s">
        <v>1515</v>
      </c>
      <c r="P338" t="s">
        <v>989</v>
      </c>
      <c r="Q338">
        <v>0</v>
      </c>
      <c r="R338">
        <v>15</v>
      </c>
      <c r="S338">
        <v>504</v>
      </c>
      <c r="T338">
        <v>76</v>
      </c>
      <c r="U338">
        <v>14</v>
      </c>
      <c r="V338">
        <v>609</v>
      </c>
    </row>
    <row r="339" spans="1:22">
      <c r="A339" s="32" t="s">
        <v>2055</v>
      </c>
      <c r="B339" s="32" t="s">
        <v>1515</v>
      </c>
      <c r="C339" s="32" t="s">
        <v>1219</v>
      </c>
      <c r="D339" s="33">
        <v>0</v>
      </c>
      <c r="E339" s="33" t="s">
        <v>1639</v>
      </c>
      <c r="F339" s="33">
        <v>464</v>
      </c>
      <c r="G339" s="33">
        <v>103</v>
      </c>
      <c r="H339" s="33" t="s">
        <v>1639</v>
      </c>
      <c r="I339" s="33">
        <v>590</v>
      </c>
      <c r="K339" t="b">
        <f>QHPSelections2016[[#This Row],[County Name]]=P339</f>
        <v>1</v>
      </c>
      <c r="L339" t="b">
        <f>QHPSelections2016[[#This Row],[Silver]]=S339</f>
        <v>1</v>
      </c>
      <c r="N339">
        <v>13161</v>
      </c>
      <c r="O339" t="s">
        <v>1515</v>
      </c>
      <c r="P339" t="s">
        <v>1219</v>
      </c>
      <c r="Q339">
        <v>0</v>
      </c>
      <c r="S339">
        <v>464</v>
      </c>
      <c r="T339">
        <v>103</v>
      </c>
      <c r="V339">
        <v>590</v>
      </c>
    </row>
    <row r="340" spans="1:22">
      <c r="A340" s="32" t="s">
        <v>2056</v>
      </c>
      <c r="B340" s="32" t="s">
        <v>1515</v>
      </c>
      <c r="C340" s="32" t="s">
        <v>993</v>
      </c>
      <c r="D340" s="33">
        <v>0</v>
      </c>
      <c r="E340" s="33">
        <v>44</v>
      </c>
      <c r="F340" s="33">
        <v>685</v>
      </c>
      <c r="G340" s="33">
        <v>93</v>
      </c>
      <c r="H340" s="33">
        <v>15</v>
      </c>
      <c r="I340" s="33">
        <v>837</v>
      </c>
      <c r="K340" t="b">
        <f>QHPSelections2016[[#This Row],[County Name]]=P340</f>
        <v>1</v>
      </c>
      <c r="L340" t="b">
        <f>QHPSelections2016[[#This Row],[Silver]]=S340</f>
        <v>1</v>
      </c>
      <c r="N340">
        <v>13163</v>
      </c>
      <c r="O340" t="s">
        <v>1515</v>
      </c>
      <c r="P340" t="s">
        <v>993</v>
      </c>
      <c r="Q340">
        <v>0</v>
      </c>
      <c r="R340">
        <v>44</v>
      </c>
      <c r="S340">
        <v>685</v>
      </c>
      <c r="T340">
        <v>93</v>
      </c>
      <c r="U340">
        <v>15</v>
      </c>
      <c r="V340">
        <v>837</v>
      </c>
    </row>
    <row r="341" spans="1:22">
      <c r="A341" s="32" t="s">
        <v>2057</v>
      </c>
      <c r="B341" s="32" t="s">
        <v>1515</v>
      </c>
      <c r="C341" s="32" t="s">
        <v>1224</v>
      </c>
      <c r="D341" s="33">
        <v>0</v>
      </c>
      <c r="E341" s="33" t="s">
        <v>1639</v>
      </c>
      <c r="F341" s="33">
        <v>335</v>
      </c>
      <c r="G341" s="33">
        <v>27</v>
      </c>
      <c r="H341" s="33" t="s">
        <v>1639</v>
      </c>
      <c r="I341" s="33">
        <v>388</v>
      </c>
      <c r="K341" t="b">
        <f>QHPSelections2016[[#This Row],[County Name]]=P341</f>
        <v>1</v>
      </c>
      <c r="L341" t="b">
        <f>QHPSelections2016[[#This Row],[Silver]]=S341</f>
        <v>1</v>
      </c>
      <c r="N341">
        <v>13165</v>
      </c>
      <c r="O341" t="s">
        <v>1515</v>
      </c>
      <c r="P341" t="s">
        <v>1224</v>
      </c>
      <c r="Q341">
        <v>0</v>
      </c>
      <c r="S341">
        <v>335</v>
      </c>
      <c r="T341">
        <v>27</v>
      </c>
      <c r="V341">
        <v>388</v>
      </c>
    </row>
    <row r="342" spans="1:22">
      <c r="A342" s="32" t="s">
        <v>2058</v>
      </c>
      <c r="B342" s="32" t="s">
        <v>1515</v>
      </c>
      <c r="C342" s="32" t="s">
        <v>1064</v>
      </c>
      <c r="D342" s="33">
        <v>0</v>
      </c>
      <c r="E342" s="33" t="s">
        <v>1639</v>
      </c>
      <c r="F342" s="33">
        <v>364</v>
      </c>
      <c r="G342" s="33">
        <v>32</v>
      </c>
      <c r="H342" s="33" t="s">
        <v>1639</v>
      </c>
      <c r="I342" s="33">
        <v>417</v>
      </c>
      <c r="K342" t="b">
        <f>QHPSelections2016[[#This Row],[County Name]]=P342</f>
        <v>1</v>
      </c>
      <c r="L342" t="b">
        <f>QHPSelections2016[[#This Row],[Silver]]=S342</f>
        <v>1</v>
      </c>
      <c r="N342">
        <v>13167</v>
      </c>
      <c r="O342" t="s">
        <v>1515</v>
      </c>
      <c r="P342" t="s">
        <v>1064</v>
      </c>
      <c r="Q342">
        <v>0</v>
      </c>
      <c r="S342">
        <v>364</v>
      </c>
      <c r="T342">
        <v>32</v>
      </c>
      <c r="V342">
        <v>417</v>
      </c>
    </row>
    <row r="343" spans="1:22">
      <c r="A343" s="32" t="s">
        <v>2059</v>
      </c>
      <c r="B343" s="32" t="s">
        <v>1515</v>
      </c>
      <c r="C343" s="32" t="s">
        <v>1006</v>
      </c>
      <c r="D343" s="33">
        <v>0</v>
      </c>
      <c r="E343" s="33" t="s">
        <v>1639</v>
      </c>
      <c r="F343" s="33">
        <v>881</v>
      </c>
      <c r="G343" s="33">
        <v>162</v>
      </c>
      <c r="H343" s="33" t="s">
        <v>1639</v>
      </c>
      <c r="I343" s="33">
        <v>1089</v>
      </c>
      <c r="K343" t="b">
        <f>QHPSelections2016[[#This Row],[County Name]]=P343</f>
        <v>1</v>
      </c>
      <c r="L343" t="b">
        <f>QHPSelections2016[[#This Row],[Silver]]=S343</f>
        <v>1</v>
      </c>
      <c r="N343">
        <v>13169</v>
      </c>
      <c r="O343" t="s">
        <v>1515</v>
      </c>
      <c r="P343" t="s">
        <v>1006</v>
      </c>
      <c r="Q343">
        <v>0</v>
      </c>
      <c r="S343">
        <v>881</v>
      </c>
      <c r="T343">
        <v>162</v>
      </c>
      <c r="V343" s="51">
        <v>1089</v>
      </c>
    </row>
    <row r="344" spans="1:22">
      <c r="A344" s="32" t="s">
        <v>2060</v>
      </c>
      <c r="B344" s="32" t="s">
        <v>1515</v>
      </c>
      <c r="C344" s="32" t="s">
        <v>1020</v>
      </c>
      <c r="D344" s="33">
        <v>0</v>
      </c>
      <c r="E344" s="33">
        <v>24</v>
      </c>
      <c r="F344" s="33">
        <v>738</v>
      </c>
      <c r="G344" s="33">
        <v>126</v>
      </c>
      <c r="H344" s="33">
        <v>14</v>
      </c>
      <c r="I344" s="33">
        <v>902</v>
      </c>
      <c r="K344" t="b">
        <f>QHPSelections2016[[#This Row],[County Name]]=P344</f>
        <v>1</v>
      </c>
      <c r="L344" t="b">
        <f>QHPSelections2016[[#This Row],[Silver]]=S344</f>
        <v>1</v>
      </c>
      <c r="N344">
        <v>13171</v>
      </c>
      <c r="O344" t="s">
        <v>1515</v>
      </c>
      <c r="P344" t="s">
        <v>1020</v>
      </c>
      <c r="Q344">
        <v>0</v>
      </c>
      <c r="R344">
        <v>24</v>
      </c>
      <c r="S344">
        <v>738</v>
      </c>
      <c r="T344">
        <v>126</v>
      </c>
      <c r="U344">
        <v>14</v>
      </c>
      <c r="V344">
        <v>902</v>
      </c>
    </row>
    <row r="345" spans="1:22">
      <c r="A345" s="32" t="s">
        <v>2061</v>
      </c>
      <c r="B345" s="32" t="s">
        <v>1515</v>
      </c>
      <c r="C345" s="32" t="s">
        <v>1238</v>
      </c>
      <c r="D345" s="33">
        <v>0</v>
      </c>
      <c r="E345" s="33" t="s">
        <v>1639</v>
      </c>
      <c r="F345" s="33">
        <v>215</v>
      </c>
      <c r="G345" s="33">
        <v>39</v>
      </c>
      <c r="H345" s="33" t="s">
        <v>1639</v>
      </c>
      <c r="I345" s="33">
        <v>259</v>
      </c>
      <c r="K345" t="b">
        <f>QHPSelections2016[[#This Row],[County Name]]=P345</f>
        <v>1</v>
      </c>
      <c r="L345" t="b">
        <f>QHPSelections2016[[#This Row],[Silver]]=S345</f>
        <v>1</v>
      </c>
      <c r="N345">
        <v>13173</v>
      </c>
      <c r="O345" t="s">
        <v>1515</v>
      </c>
      <c r="P345" t="s">
        <v>1238</v>
      </c>
      <c r="Q345">
        <v>0</v>
      </c>
      <c r="S345">
        <v>215</v>
      </c>
      <c r="T345">
        <v>39</v>
      </c>
      <c r="V345">
        <v>259</v>
      </c>
    </row>
    <row r="346" spans="1:22">
      <c r="A346" s="32" t="s">
        <v>2062</v>
      </c>
      <c r="B346" s="32" t="s">
        <v>1515</v>
      </c>
      <c r="C346" s="32" t="s">
        <v>1242</v>
      </c>
      <c r="D346" s="33">
        <v>0</v>
      </c>
      <c r="E346" s="33">
        <v>116</v>
      </c>
      <c r="F346" s="33">
        <v>2266</v>
      </c>
      <c r="G346" s="33">
        <v>270</v>
      </c>
      <c r="H346" s="33">
        <v>31</v>
      </c>
      <c r="I346" s="33">
        <v>2683</v>
      </c>
      <c r="K346" t="b">
        <f>QHPSelections2016[[#This Row],[County Name]]=P346</f>
        <v>1</v>
      </c>
      <c r="L346" t="b">
        <f>QHPSelections2016[[#This Row],[Silver]]=S346</f>
        <v>1</v>
      </c>
      <c r="N346">
        <v>13175</v>
      </c>
      <c r="O346" t="s">
        <v>1515</v>
      </c>
      <c r="P346" t="s">
        <v>1242</v>
      </c>
      <c r="Q346">
        <v>0</v>
      </c>
      <c r="R346">
        <v>116</v>
      </c>
      <c r="S346" s="51">
        <v>2266</v>
      </c>
      <c r="T346">
        <v>270</v>
      </c>
      <c r="U346">
        <v>31</v>
      </c>
      <c r="V346" s="51">
        <v>2683</v>
      </c>
    </row>
    <row r="347" spans="1:22">
      <c r="A347" s="32" t="s">
        <v>2063</v>
      </c>
      <c r="B347" s="32" t="s">
        <v>1515</v>
      </c>
      <c r="C347" s="32" t="s">
        <v>1010</v>
      </c>
      <c r="D347" s="33">
        <v>0</v>
      </c>
      <c r="E347" s="33" t="s">
        <v>1639</v>
      </c>
      <c r="F347" s="33">
        <v>957</v>
      </c>
      <c r="G347" s="33">
        <v>243</v>
      </c>
      <c r="H347" s="33" t="s">
        <v>1639</v>
      </c>
      <c r="I347" s="33">
        <v>1249</v>
      </c>
      <c r="K347" t="b">
        <f>QHPSelections2016[[#This Row],[County Name]]=P347</f>
        <v>1</v>
      </c>
      <c r="L347" t="b">
        <f>QHPSelections2016[[#This Row],[Silver]]=S347</f>
        <v>1</v>
      </c>
      <c r="N347">
        <v>13177</v>
      </c>
      <c r="O347" t="s">
        <v>1515</v>
      </c>
      <c r="P347" t="s">
        <v>1010</v>
      </c>
      <c r="Q347">
        <v>0</v>
      </c>
      <c r="S347">
        <v>957</v>
      </c>
      <c r="T347">
        <v>243</v>
      </c>
      <c r="V347" s="51">
        <v>1249</v>
      </c>
    </row>
    <row r="348" spans="1:22">
      <c r="A348" s="32" t="s">
        <v>2064</v>
      </c>
      <c r="B348" s="32" t="s">
        <v>1515</v>
      </c>
      <c r="C348" s="32" t="s">
        <v>1023</v>
      </c>
      <c r="D348" s="33">
        <v>0</v>
      </c>
      <c r="E348" s="33">
        <v>90</v>
      </c>
      <c r="F348" s="33">
        <v>1626</v>
      </c>
      <c r="G348" s="33">
        <v>371</v>
      </c>
      <c r="H348" s="33">
        <v>67</v>
      </c>
      <c r="I348" s="33">
        <v>2154</v>
      </c>
      <c r="K348" t="b">
        <f>QHPSelections2016[[#This Row],[County Name]]=P348</f>
        <v>1</v>
      </c>
      <c r="L348" t="b">
        <f>QHPSelections2016[[#This Row],[Silver]]=S348</f>
        <v>1</v>
      </c>
      <c r="N348">
        <v>13179</v>
      </c>
      <c r="O348" t="s">
        <v>1515</v>
      </c>
      <c r="P348" t="s">
        <v>1023</v>
      </c>
      <c r="Q348">
        <v>0</v>
      </c>
      <c r="R348">
        <v>90</v>
      </c>
      <c r="S348" s="51">
        <v>1626</v>
      </c>
      <c r="T348">
        <v>371</v>
      </c>
      <c r="U348">
        <v>67</v>
      </c>
      <c r="V348" s="51">
        <v>2154</v>
      </c>
    </row>
    <row r="349" spans="1:22">
      <c r="A349" s="32" t="s">
        <v>2065</v>
      </c>
      <c r="B349" s="32" t="s">
        <v>1515</v>
      </c>
      <c r="C349" s="32" t="s">
        <v>1051</v>
      </c>
      <c r="D349" s="33">
        <v>0</v>
      </c>
      <c r="E349" s="33" t="s">
        <v>1639</v>
      </c>
      <c r="F349" s="33">
        <v>364</v>
      </c>
      <c r="G349" s="33">
        <v>61</v>
      </c>
      <c r="H349" s="33" t="s">
        <v>1639</v>
      </c>
      <c r="I349" s="33">
        <v>440</v>
      </c>
      <c r="K349" t="b">
        <f>QHPSelections2016[[#This Row],[County Name]]=P349</f>
        <v>1</v>
      </c>
      <c r="L349" t="b">
        <f>QHPSelections2016[[#This Row],[Silver]]=S349</f>
        <v>1</v>
      </c>
      <c r="N349">
        <v>13181</v>
      </c>
      <c r="O349" t="s">
        <v>1515</v>
      </c>
      <c r="P349" t="s">
        <v>1051</v>
      </c>
      <c r="Q349">
        <v>0</v>
      </c>
      <c r="S349">
        <v>364</v>
      </c>
      <c r="T349">
        <v>61</v>
      </c>
      <c r="V349">
        <v>440</v>
      </c>
    </row>
    <row r="350" spans="1:22">
      <c r="A350" s="32" t="s">
        <v>2066</v>
      </c>
      <c r="B350" s="32" t="s">
        <v>1515</v>
      </c>
      <c r="C350" s="32" t="s">
        <v>1251</v>
      </c>
      <c r="D350" s="33">
        <v>0</v>
      </c>
      <c r="E350" s="33">
        <v>29</v>
      </c>
      <c r="F350" s="33">
        <v>375</v>
      </c>
      <c r="G350" s="33">
        <v>67</v>
      </c>
      <c r="H350" s="33">
        <v>11</v>
      </c>
      <c r="I350" s="33">
        <v>482</v>
      </c>
      <c r="K350" t="b">
        <f>QHPSelections2016[[#This Row],[County Name]]=P350</f>
        <v>1</v>
      </c>
      <c r="L350" t="b">
        <f>QHPSelections2016[[#This Row],[Silver]]=S350</f>
        <v>1</v>
      </c>
      <c r="N350">
        <v>13183</v>
      </c>
      <c r="O350" t="s">
        <v>1515</v>
      </c>
      <c r="P350" t="s">
        <v>1251</v>
      </c>
      <c r="Q350">
        <v>0</v>
      </c>
      <c r="R350">
        <v>29</v>
      </c>
      <c r="S350">
        <v>375</v>
      </c>
      <c r="T350">
        <v>67</v>
      </c>
      <c r="U350">
        <v>11</v>
      </c>
      <c r="V350">
        <v>482</v>
      </c>
    </row>
    <row r="351" spans="1:22">
      <c r="A351" s="32" t="s">
        <v>2067</v>
      </c>
      <c r="B351" s="32" t="s">
        <v>1515</v>
      </c>
      <c r="C351" s="32" t="s">
        <v>1049</v>
      </c>
      <c r="D351" s="33">
        <v>0</v>
      </c>
      <c r="E351" s="33">
        <v>56</v>
      </c>
      <c r="F351" s="33">
        <v>2681</v>
      </c>
      <c r="G351" s="33">
        <v>698</v>
      </c>
      <c r="H351" s="33">
        <v>51</v>
      </c>
      <c r="I351" s="33">
        <v>3486</v>
      </c>
      <c r="K351" t="b">
        <f>QHPSelections2016[[#This Row],[County Name]]=P351</f>
        <v>1</v>
      </c>
      <c r="L351" t="b">
        <f>QHPSelections2016[[#This Row],[Silver]]=S351</f>
        <v>1</v>
      </c>
      <c r="N351">
        <v>13185</v>
      </c>
      <c r="O351" t="s">
        <v>1515</v>
      </c>
      <c r="P351" t="s">
        <v>1049</v>
      </c>
      <c r="Q351">
        <v>0</v>
      </c>
      <c r="R351">
        <v>56</v>
      </c>
      <c r="S351" s="51">
        <v>2681</v>
      </c>
      <c r="T351">
        <v>698</v>
      </c>
      <c r="U351">
        <v>51</v>
      </c>
      <c r="V351" s="51">
        <v>3486</v>
      </c>
    </row>
    <row r="352" spans="1:22">
      <c r="A352" s="32" t="s">
        <v>2068</v>
      </c>
      <c r="B352" s="32" t="s">
        <v>1515</v>
      </c>
      <c r="C352" s="32" t="s">
        <v>1257</v>
      </c>
      <c r="D352" s="33">
        <v>0</v>
      </c>
      <c r="E352" s="33">
        <v>66</v>
      </c>
      <c r="F352" s="33">
        <v>1189</v>
      </c>
      <c r="G352" s="33">
        <v>231</v>
      </c>
      <c r="H352" s="33">
        <v>17</v>
      </c>
      <c r="I352" s="33">
        <v>1503</v>
      </c>
      <c r="K352" t="b">
        <f>QHPSelections2016[[#This Row],[County Name]]=P352</f>
        <v>1</v>
      </c>
      <c r="L352" t="b">
        <f>QHPSelections2016[[#This Row],[Silver]]=S352</f>
        <v>1</v>
      </c>
      <c r="N352">
        <v>13187</v>
      </c>
      <c r="O352" t="s">
        <v>1515</v>
      </c>
      <c r="P352" t="s">
        <v>1257</v>
      </c>
      <c r="Q352">
        <v>0</v>
      </c>
      <c r="R352">
        <v>66</v>
      </c>
      <c r="S352" s="51">
        <v>1189</v>
      </c>
      <c r="T352">
        <v>231</v>
      </c>
      <c r="U352">
        <v>17</v>
      </c>
      <c r="V352" s="51">
        <v>1503</v>
      </c>
    </row>
    <row r="353" spans="1:22">
      <c r="A353" s="32" t="s">
        <v>2069</v>
      </c>
      <c r="B353" s="32" t="s">
        <v>1515</v>
      </c>
      <c r="C353" s="32" t="s">
        <v>1260</v>
      </c>
      <c r="D353" s="33">
        <v>0</v>
      </c>
      <c r="E353" s="33">
        <v>34</v>
      </c>
      <c r="F353" s="33">
        <v>834</v>
      </c>
      <c r="G353" s="33">
        <v>123</v>
      </c>
      <c r="H353" s="33">
        <v>28</v>
      </c>
      <c r="I353" s="33">
        <v>1019</v>
      </c>
      <c r="K353" t="b">
        <f>QHPSelections2016[[#This Row],[County Name]]=P353</f>
        <v>0</v>
      </c>
      <c r="L353" t="b">
        <f>QHPSelections2016[[#This Row],[Silver]]=S353</f>
        <v>0</v>
      </c>
      <c r="N353">
        <v>13193</v>
      </c>
      <c r="O353" t="s">
        <v>1515</v>
      </c>
      <c r="P353" t="s">
        <v>1054</v>
      </c>
      <c r="Q353">
        <v>0</v>
      </c>
      <c r="S353">
        <v>319</v>
      </c>
      <c r="T353">
        <v>78</v>
      </c>
      <c r="V353">
        <v>415</v>
      </c>
    </row>
    <row r="354" spans="1:22">
      <c r="A354" s="32" t="s">
        <v>2070</v>
      </c>
      <c r="B354" s="32" t="s">
        <v>1515</v>
      </c>
      <c r="C354" s="32" t="s">
        <v>1263</v>
      </c>
      <c r="D354" s="33">
        <v>0</v>
      </c>
      <c r="E354" s="33" t="s">
        <v>1639</v>
      </c>
      <c r="F354" s="33">
        <v>899</v>
      </c>
      <c r="G354" s="33">
        <v>89</v>
      </c>
      <c r="H354" s="33" t="s">
        <v>1639</v>
      </c>
      <c r="I354" s="33">
        <v>1020</v>
      </c>
      <c r="K354" t="b">
        <f>QHPSelections2016[[#This Row],[County Name]]=P354</f>
        <v>0</v>
      </c>
      <c r="L354" t="b">
        <f>QHPSelections2016[[#This Row],[Silver]]=S354</f>
        <v>0</v>
      </c>
      <c r="N354">
        <v>13195</v>
      </c>
      <c r="O354" t="s">
        <v>1515</v>
      </c>
      <c r="P354" t="s">
        <v>1029</v>
      </c>
      <c r="Q354">
        <v>0</v>
      </c>
      <c r="R354">
        <v>37</v>
      </c>
      <c r="S354">
        <v>817</v>
      </c>
      <c r="T354">
        <v>159</v>
      </c>
      <c r="U354">
        <v>13</v>
      </c>
      <c r="V354" s="51">
        <v>1026</v>
      </c>
    </row>
    <row r="355" spans="1:22">
      <c r="A355" s="32" t="s">
        <v>2071</v>
      </c>
      <c r="B355" s="32" t="s">
        <v>1515</v>
      </c>
      <c r="C355" s="32" t="s">
        <v>1054</v>
      </c>
      <c r="D355" s="33">
        <v>0</v>
      </c>
      <c r="E355" s="33" t="s">
        <v>1639</v>
      </c>
      <c r="F355" s="33">
        <v>319</v>
      </c>
      <c r="G355" s="33">
        <v>78</v>
      </c>
      <c r="H355" s="33" t="s">
        <v>1639</v>
      </c>
      <c r="I355" s="33">
        <v>415</v>
      </c>
      <c r="K355" t="b">
        <f>QHPSelections2016[[#This Row],[County Name]]=P355</f>
        <v>0</v>
      </c>
      <c r="L355" t="b">
        <f>QHPSelections2016[[#This Row],[Silver]]=S355</f>
        <v>0</v>
      </c>
      <c r="N355">
        <v>13197</v>
      </c>
      <c r="O355" t="s">
        <v>1515</v>
      </c>
      <c r="P355" t="s">
        <v>1038</v>
      </c>
      <c r="Q355">
        <v>0</v>
      </c>
      <c r="S355">
        <v>229</v>
      </c>
      <c r="T355">
        <v>37</v>
      </c>
      <c r="V355">
        <v>278</v>
      </c>
    </row>
    <row r="356" spans="1:22">
      <c r="A356" s="32" t="s">
        <v>2072</v>
      </c>
      <c r="B356" s="32" t="s">
        <v>1515</v>
      </c>
      <c r="C356" s="32" t="s">
        <v>1029</v>
      </c>
      <c r="D356" s="33">
        <v>0</v>
      </c>
      <c r="E356" s="33">
        <v>37</v>
      </c>
      <c r="F356" s="33">
        <v>817</v>
      </c>
      <c r="G356" s="33">
        <v>159</v>
      </c>
      <c r="H356" s="33">
        <v>13</v>
      </c>
      <c r="I356" s="33">
        <v>1026</v>
      </c>
      <c r="K356" t="b">
        <f>QHPSelections2016[[#This Row],[County Name]]=P356</f>
        <v>0</v>
      </c>
      <c r="L356" t="b">
        <f>QHPSelections2016[[#This Row],[Silver]]=S356</f>
        <v>0</v>
      </c>
      <c r="N356">
        <v>13189</v>
      </c>
      <c r="O356" t="s">
        <v>1515</v>
      </c>
      <c r="P356" t="s">
        <v>1260</v>
      </c>
      <c r="Q356">
        <v>0</v>
      </c>
      <c r="R356">
        <v>34</v>
      </c>
      <c r="S356">
        <v>834</v>
      </c>
      <c r="T356">
        <v>123</v>
      </c>
      <c r="U356">
        <v>28</v>
      </c>
      <c r="V356" s="51">
        <v>1019</v>
      </c>
    </row>
    <row r="357" spans="1:22">
      <c r="A357" s="32" t="s">
        <v>2073</v>
      </c>
      <c r="B357" s="32" t="s">
        <v>1515</v>
      </c>
      <c r="C357" s="32" t="s">
        <v>1038</v>
      </c>
      <c r="D357" s="33">
        <v>0</v>
      </c>
      <c r="E357" s="33" t="s">
        <v>1639</v>
      </c>
      <c r="F357" s="33">
        <v>229</v>
      </c>
      <c r="G357" s="33">
        <v>37</v>
      </c>
      <c r="H357" s="33" t="s">
        <v>1639</v>
      </c>
      <c r="I357" s="33">
        <v>278</v>
      </c>
      <c r="K357" t="b">
        <f>QHPSelections2016[[#This Row],[County Name]]=P357</f>
        <v>0</v>
      </c>
      <c r="L357" t="b">
        <f>QHPSelections2016[[#This Row],[Silver]]=S357</f>
        <v>0</v>
      </c>
      <c r="N357">
        <v>13191</v>
      </c>
      <c r="O357" t="s">
        <v>1515</v>
      </c>
      <c r="P357" t="s">
        <v>1263</v>
      </c>
      <c r="Q357">
        <v>0</v>
      </c>
      <c r="S357">
        <v>899</v>
      </c>
      <c r="T357">
        <v>89</v>
      </c>
      <c r="V357" s="51">
        <v>1020</v>
      </c>
    </row>
    <row r="358" spans="1:22">
      <c r="A358" s="32" t="s">
        <v>2074</v>
      </c>
      <c r="B358" s="32" t="s">
        <v>1515</v>
      </c>
      <c r="C358" s="32" t="s">
        <v>1268</v>
      </c>
      <c r="D358" s="33">
        <v>0</v>
      </c>
      <c r="E358" s="33" t="s">
        <v>1639</v>
      </c>
      <c r="F358" s="33">
        <v>675</v>
      </c>
      <c r="G358" s="33">
        <v>191</v>
      </c>
      <c r="H358" s="33" t="s">
        <v>1639</v>
      </c>
      <c r="I358" s="33">
        <v>903</v>
      </c>
      <c r="K358" t="b">
        <f>QHPSelections2016[[#This Row],[County Name]]=P358</f>
        <v>1</v>
      </c>
      <c r="L358" t="b">
        <f>QHPSelections2016[[#This Row],[Silver]]=S358</f>
        <v>1</v>
      </c>
      <c r="N358">
        <v>13199</v>
      </c>
      <c r="O358" t="s">
        <v>1515</v>
      </c>
      <c r="P358" t="s">
        <v>1268</v>
      </c>
      <c r="Q358">
        <v>0</v>
      </c>
      <c r="S358">
        <v>675</v>
      </c>
      <c r="T358">
        <v>191</v>
      </c>
      <c r="V358">
        <v>903</v>
      </c>
    </row>
    <row r="359" spans="1:22">
      <c r="A359" s="32" t="s">
        <v>2075</v>
      </c>
      <c r="B359" s="32" t="s">
        <v>1515</v>
      </c>
      <c r="C359" s="32" t="s">
        <v>1270</v>
      </c>
      <c r="D359" s="33">
        <v>0</v>
      </c>
      <c r="E359" s="33" t="s">
        <v>1639</v>
      </c>
      <c r="F359" s="33">
        <v>275</v>
      </c>
      <c r="G359" s="33">
        <v>63</v>
      </c>
      <c r="H359" s="33" t="s">
        <v>1639</v>
      </c>
      <c r="I359" s="33">
        <v>341</v>
      </c>
      <c r="K359" t="b">
        <f>QHPSelections2016[[#This Row],[County Name]]=P359</f>
        <v>1</v>
      </c>
      <c r="L359" t="b">
        <f>QHPSelections2016[[#This Row],[Silver]]=S359</f>
        <v>1</v>
      </c>
      <c r="N359">
        <v>13201</v>
      </c>
      <c r="O359" t="s">
        <v>1515</v>
      </c>
      <c r="P359" t="s">
        <v>1270</v>
      </c>
      <c r="Q359">
        <v>0</v>
      </c>
      <c r="S359">
        <v>275</v>
      </c>
      <c r="T359">
        <v>63</v>
      </c>
      <c r="V359">
        <v>341</v>
      </c>
    </row>
    <row r="360" spans="1:22">
      <c r="A360" s="32" t="s">
        <v>2076</v>
      </c>
      <c r="B360" s="32" t="s">
        <v>1515</v>
      </c>
      <c r="C360" s="32" t="s">
        <v>1140</v>
      </c>
      <c r="D360" s="33">
        <v>0</v>
      </c>
      <c r="E360" s="33">
        <v>20</v>
      </c>
      <c r="F360" s="33">
        <v>708</v>
      </c>
      <c r="G360" s="33">
        <v>180</v>
      </c>
      <c r="H360" s="33">
        <v>12</v>
      </c>
      <c r="I360" s="33">
        <v>920</v>
      </c>
      <c r="K360" t="b">
        <f>QHPSelections2016[[#This Row],[County Name]]=P360</f>
        <v>1</v>
      </c>
      <c r="L360" t="b">
        <f>QHPSelections2016[[#This Row],[Silver]]=S360</f>
        <v>1</v>
      </c>
      <c r="N360">
        <v>13205</v>
      </c>
      <c r="O360" t="s">
        <v>1515</v>
      </c>
      <c r="P360" t="s">
        <v>1140</v>
      </c>
      <c r="Q360">
        <v>0</v>
      </c>
      <c r="R360">
        <v>20</v>
      </c>
      <c r="S360">
        <v>708</v>
      </c>
      <c r="T360">
        <v>180</v>
      </c>
      <c r="U360">
        <v>12</v>
      </c>
      <c r="V360">
        <v>920</v>
      </c>
    </row>
    <row r="361" spans="1:22">
      <c r="A361" s="32" t="s">
        <v>2077</v>
      </c>
      <c r="B361" s="32" t="s">
        <v>1515</v>
      </c>
      <c r="C361" s="32" t="s">
        <v>1055</v>
      </c>
      <c r="D361" s="33">
        <v>0</v>
      </c>
      <c r="E361" s="33">
        <v>48</v>
      </c>
      <c r="F361" s="33">
        <v>938</v>
      </c>
      <c r="G361" s="33">
        <v>176</v>
      </c>
      <c r="H361" s="33">
        <v>13</v>
      </c>
      <c r="I361" s="33">
        <v>1175</v>
      </c>
      <c r="K361" t="b">
        <f>QHPSelections2016[[#This Row],[County Name]]=P361</f>
        <v>1</v>
      </c>
      <c r="L361" t="b">
        <f>QHPSelections2016[[#This Row],[Silver]]=S361</f>
        <v>1</v>
      </c>
      <c r="N361">
        <v>13207</v>
      </c>
      <c r="O361" t="s">
        <v>1515</v>
      </c>
      <c r="P361" t="s">
        <v>1055</v>
      </c>
      <c r="Q361">
        <v>0</v>
      </c>
      <c r="R361">
        <v>48</v>
      </c>
      <c r="S361">
        <v>938</v>
      </c>
      <c r="T361">
        <v>176</v>
      </c>
      <c r="U361">
        <v>13</v>
      </c>
      <c r="V361" s="51">
        <v>1175</v>
      </c>
    </row>
    <row r="362" spans="1:22">
      <c r="A362" s="32" t="s">
        <v>2078</v>
      </c>
      <c r="B362" s="32" t="s">
        <v>1515</v>
      </c>
      <c r="C362" s="32" t="s">
        <v>1079</v>
      </c>
      <c r="D362" s="33">
        <v>0</v>
      </c>
      <c r="E362" s="33" t="s">
        <v>1639</v>
      </c>
      <c r="F362" s="33">
        <v>227</v>
      </c>
      <c r="G362" s="33">
        <v>40</v>
      </c>
      <c r="H362" s="33" t="s">
        <v>1639</v>
      </c>
      <c r="I362" s="33">
        <v>272</v>
      </c>
      <c r="K362" t="b">
        <f>QHPSelections2016[[#This Row],[County Name]]=P362</f>
        <v>1</v>
      </c>
      <c r="L362" t="b">
        <f>QHPSelections2016[[#This Row],[Silver]]=S362</f>
        <v>1</v>
      </c>
      <c r="N362">
        <v>13209</v>
      </c>
      <c r="O362" t="s">
        <v>1515</v>
      </c>
      <c r="P362" t="s">
        <v>1079</v>
      </c>
      <c r="Q362">
        <v>0</v>
      </c>
      <c r="S362">
        <v>227</v>
      </c>
      <c r="T362">
        <v>40</v>
      </c>
      <c r="V362">
        <v>272</v>
      </c>
    </row>
    <row r="363" spans="1:22">
      <c r="A363" s="32" t="s">
        <v>2079</v>
      </c>
      <c r="B363" s="32" t="s">
        <v>1515</v>
      </c>
      <c r="C363" s="32" t="s">
        <v>1092</v>
      </c>
      <c r="D363" s="33">
        <v>0</v>
      </c>
      <c r="E363" s="33">
        <v>31</v>
      </c>
      <c r="F363" s="33">
        <v>727</v>
      </c>
      <c r="G363" s="33">
        <v>192</v>
      </c>
      <c r="H363" s="33">
        <v>25</v>
      </c>
      <c r="I363" s="33">
        <v>975</v>
      </c>
      <c r="K363" t="b">
        <f>QHPSelections2016[[#This Row],[County Name]]=P363</f>
        <v>1</v>
      </c>
      <c r="L363" t="b">
        <f>QHPSelections2016[[#This Row],[Silver]]=S363</f>
        <v>1</v>
      </c>
      <c r="N363">
        <v>13211</v>
      </c>
      <c r="O363" t="s">
        <v>1515</v>
      </c>
      <c r="P363" t="s">
        <v>1092</v>
      </c>
      <c r="Q363">
        <v>0</v>
      </c>
      <c r="R363">
        <v>31</v>
      </c>
      <c r="S363">
        <v>727</v>
      </c>
      <c r="T363">
        <v>192</v>
      </c>
      <c r="U363">
        <v>25</v>
      </c>
      <c r="V363">
        <v>975</v>
      </c>
    </row>
    <row r="364" spans="1:22">
      <c r="A364" s="32" t="s">
        <v>2080</v>
      </c>
      <c r="B364" s="32" t="s">
        <v>1515</v>
      </c>
      <c r="C364" s="32" t="s">
        <v>1274</v>
      </c>
      <c r="D364" s="33">
        <v>0</v>
      </c>
      <c r="E364" s="33">
        <v>26</v>
      </c>
      <c r="F364" s="33">
        <v>1062</v>
      </c>
      <c r="G364" s="33">
        <v>149</v>
      </c>
      <c r="H364" s="33">
        <v>11</v>
      </c>
      <c r="I364" s="33">
        <v>1248</v>
      </c>
      <c r="K364" t="b">
        <f>QHPSelections2016[[#This Row],[County Name]]=P364</f>
        <v>1</v>
      </c>
      <c r="L364" t="b">
        <f>QHPSelections2016[[#This Row],[Silver]]=S364</f>
        <v>1</v>
      </c>
      <c r="N364">
        <v>13213</v>
      </c>
      <c r="O364" t="s">
        <v>1515</v>
      </c>
      <c r="P364" t="s">
        <v>1274</v>
      </c>
      <c r="Q364">
        <v>0</v>
      </c>
      <c r="R364">
        <v>26</v>
      </c>
      <c r="S364" s="51">
        <v>1062</v>
      </c>
      <c r="T364">
        <v>149</v>
      </c>
      <c r="U364">
        <v>11</v>
      </c>
      <c r="V364" s="51">
        <v>1248</v>
      </c>
    </row>
    <row r="365" spans="1:22">
      <c r="A365" s="32" t="s">
        <v>2081</v>
      </c>
      <c r="B365" s="32" t="s">
        <v>1515</v>
      </c>
      <c r="C365" s="32" t="s">
        <v>1276</v>
      </c>
      <c r="D365" s="33">
        <v>0</v>
      </c>
      <c r="E365" s="33">
        <v>260</v>
      </c>
      <c r="F365" s="33">
        <v>5405</v>
      </c>
      <c r="G365" s="33">
        <v>953</v>
      </c>
      <c r="H365" s="33">
        <v>222</v>
      </c>
      <c r="I365" s="33">
        <v>6840</v>
      </c>
      <c r="K365" t="b">
        <f>QHPSelections2016[[#This Row],[County Name]]=P365</f>
        <v>1</v>
      </c>
      <c r="L365" t="b">
        <f>QHPSelections2016[[#This Row],[Silver]]=S365</f>
        <v>1</v>
      </c>
      <c r="N365">
        <v>13215</v>
      </c>
      <c r="O365" t="s">
        <v>1515</v>
      </c>
      <c r="P365" t="s">
        <v>1276</v>
      </c>
      <c r="Q365">
        <v>0</v>
      </c>
      <c r="R365">
        <v>260</v>
      </c>
      <c r="S365" s="51">
        <v>5405</v>
      </c>
      <c r="T365">
        <v>953</v>
      </c>
      <c r="U365">
        <v>222</v>
      </c>
      <c r="V365" s="51">
        <v>6840</v>
      </c>
    </row>
    <row r="366" spans="1:22">
      <c r="A366" s="32" t="s">
        <v>2082</v>
      </c>
      <c r="B366" s="32" t="s">
        <v>1515</v>
      </c>
      <c r="C366" s="32" t="s">
        <v>1088</v>
      </c>
      <c r="D366" s="33">
        <v>0</v>
      </c>
      <c r="E366" s="33">
        <v>261</v>
      </c>
      <c r="F366" s="33">
        <v>5328</v>
      </c>
      <c r="G366" s="33">
        <v>872</v>
      </c>
      <c r="H366" s="33">
        <v>134</v>
      </c>
      <c r="I366" s="33">
        <v>6595</v>
      </c>
      <c r="K366" t="b">
        <f>QHPSelections2016[[#This Row],[County Name]]=P366</f>
        <v>1</v>
      </c>
      <c r="L366" t="b">
        <f>QHPSelections2016[[#This Row],[Silver]]=S366</f>
        <v>1</v>
      </c>
      <c r="N366">
        <v>13217</v>
      </c>
      <c r="O366" t="s">
        <v>1515</v>
      </c>
      <c r="P366" t="s">
        <v>1088</v>
      </c>
      <c r="Q366">
        <v>0</v>
      </c>
      <c r="R366">
        <v>261</v>
      </c>
      <c r="S366" s="51">
        <v>5328</v>
      </c>
      <c r="T366">
        <v>872</v>
      </c>
      <c r="U366">
        <v>134</v>
      </c>
      <c r="V366" s="51">
        <v>6595</v>
      </c>
    </row>
    <row r="367" spans="1:22">
      <c r="A367" s="32" t="s">
        <v>2083</v>
      </c>
      <c r="B367" s="32" t="s">
        <v>1515</v>
      </c>
      <c r="C367" s="32" t="s">
        <v>1278</v>
      </c>
      <c r="D367" s="33">
        <v>0</v>
      </c>
      <c r="E367" s="33">
        <v>123</v>
      </c>
      <c r="F367" s="33">
        <v>1100</v>
      </c>
      <c r="G367" s="33">
        <v>275</v>
      </c>
      <c r="H367" s="33">
        <v>42</v>
      </c>
      <c r="I367" s="33">
        <v>1540</v>
      </c>
      <c r="K367" t="b">
        <f>QHPSelections2016[[#This Row],[County Name]]=P367</f>
        <v>1</v>
      </c>
      <c r="L367" t="b">
        <f>QHPSelections2016[[#This Row],[Silver]]=S367</f>
        <v>1</v>
      </c>
      <c r="N367">
        <v>13219</v>
      </c>
      <c r="O367" t="s">
        <v>1515</v>
      </c>
      <c r="P367" t="s">
        <v>1278</v>
      </c>
      <c r="Q367">
        <v>0</v>
      </c>
      <c r="R367">
        <v>123</v>
      </c>
      <c r="S367" s="51">
        <v>1100</v>
      </c>
      <c r="T367">
        <v>275</v>
      </c>
      <c r="U367">
        <v>42</v>
      </c>
      <c r="V367" s="51">
        <v>1540</v>
      </c>
    </row>
    <row r="368" spans="1:22">
      <c r="A368" s="32" t="s">
        <v>2084</v>
      </c>
      <c r="B368" s="32" t="s">
        <v>1515</v>
      </c>
      <c r="C368" s="32" t="s">
        <v>1280</v>
      </c>
      <c r="D368" s="33">
        <v>0</v>
      </c>
      <c r="E368" s="33">
        <v>27</v>
      </c>
      <c r="F368" s="33">
        <v>507</v>
      </c>
      <c r="G368" s="33">
        <v>111</v>
      </c>
      <c r="H368" s="33">
        <v>11</v>
      </c>
      <c r="I368" s="33">
        <v>656</v>
      </c>
      <c r="K368" t="b">
        <f>QHPSelections2016[[#This Row],[County Name]]=P368</f>
        <v>1</v>
      </c>
      <c r="L368" t="b">
        <f>QHPSelections2016[[#This Row],[Silver]]=S368</f>
        <v>1</v>
      </c>
      <c r="N368">
        <v>13221</v>
      </c>
      <c r="O368" t="s">
        <v>1515</v>
      </c>
      <c r="P368" t="s">
        <v>1280</v>
      </c>
      <c r="Q368">
        <v>0</v>
      </c>
      <c r="R368">
        <v>27</v>
      </c>
      <c r="S368">
        <v>507</v>
      </c>
      <c r="T368">
        <v>111</v>
      </c>
      <c r="U368">
        <v>11</v>
      </c>
      <c r="V368">
        <v>656</v>
      </c>
    </row>
    <row r="369" spans="1:22">
      <c r="A369" s="32" t="s">
        <v>2085</v>
      </c>
      <c r="B369" s="32" t="s">
        <v>1515</v>
      </c>
      <c r="C369" s="32" t="s">
        <v>1282</v>
      </c>
      <c r="D369" s="33">
        <v>0</v>
      </c>
      <c r="E369" s="33">
        <v>547</v>
      </c>
      <c r="F369" s="33">
        <v>6723</v>
      </c>
      <c r="G369" s="33">
        <v>1257</v>
      </c>
      <c r="H369" s="33">
        <v>132</v>
      </c>
      <c r="I369" s="33">
        <v>8659</v>
      </c>
      <c r="K369" t="b">
        <f>QHPSelections2016[[#This Row],[County Name]]=P369</f>
        <v>1</v>
      </c>
      <c r="L369" t="b">
        <f>QHPSelections2016[[#This Row],[Silver]]=S369</f>
        <v>1</v>
      </c>
      <c r="N369">
        <v>13223</v>
      </c>
      <c r="O369" t="s">
        <v>1515</v>
      </c>
      <c r="P369" t="s">
        <v>1282</v>
      </c>
      <c r="Q369">
        <v>0</v>
      </c>
      <c r="R369">
        <v>547</v>
      </c>
      <c r="S369" s="51">
        <v>6723</v>
      </c>
      <c r="T369" s="51">
        <v>1257</v>
      </c>
      <c r="U369">
        <v>132</v>
      </c>
      <c r="V369" s="51">
        <v>8659</v>
      </c>
    </row>
    <row r="370" spans="1:22">
      <c r="A370" s="32" t="s">
        <v>2086</v>
      </c>
      <c r="B370" s="32" t="s">
        <v>1515</v>
      </c>
      <c r="C370" s="32" t="s">
        <v>1284</v>
      </c>
      <c r="D370" s="33">
        <v>0</v>
      </c>
      <c r="E370" s="33">
        <v>35</v>
      </c>
      <c r="F370" s="33">
        <v>979</v>
      </c>
      <c r="G370" s="33">
        <v>177</v>
      </c>
      <c r="H370" s="33">
        <v>21</v>
      </c>
      <c r="I370" s="33">
        <v>1212</v>
      </c>
      <c r="K370" t="b">
        <f>QHPSelections2016[[#This Row],[County Name]]=P370</f>
        <v>1</v>
      </c>
      <c r="L370" t="b">
        <f>QHPSelections2016[[#This Row],[Silver]]=S370</f>
        <v>1</v>
      </c>
      <c r="N370">
        <v>13225</v>
      </c>
      <c r="O370" t="s">
        <v>1515</v>
      </c>
      <c r="P370" t="s">
        <v>1284</v>
      </c>
      <c r="Q370">
        <v>0</v>
      </c>
      <c r="R370">
        <v>35</v>
      </c>
      <c r="S370">
        <v>979</v>
      </c>
      <c r="T370">
        <v>177</v>
      </c>
      <c r="U370">
        <v>21</v>
      </c>
      <c r="V370" s="51">
        <v>1212</v>
      </c>
    </row>
    <row r="371" spans="1:22">
      <c r="A371" s="32" t="s">
        <v>2087</v>
      </c>
      <c r="B371" s="32" t="s">
        <v>1515</v>
      </c>
      <c r="C371" s="32" t="s">
        <v>1102</v>
      </c>
      <c r="D371" s="33">
        <v>0</v>
      </c>
      <c r="E371" s="33">
        <v>98</v>
      </c>
      <c r="F371" s="33">
        <v>1146</v>
      </c>
      <c r="G371" s="33">
        <v>294</v>
      </c>
      <c r="H371" s="33">
        <v>11</v>
      </c>
      <c r="I371" s="33">
        <v>1549</v>
      </c>
      <c r="K371" t="b">
        <f>QHPSelections2016[[#This Row],[County Name]]=P371</f>
        <v>1</v>
      </c>
      <c r="L371" t="b">
        <f>QHPSelections2016[[#This Row],[Silver]]=S371</f>
        <v>1</v>
      </c>
      <c r="N371">
        <v>13227</v>
      </c>
      <c r="O371" t="s">
        <v>1515</v>
      </c>
      <c r="P371" t="s">
        <v>1102</v>
      </c>
      <c r="Q371">
        <v>0</v>
      </c>
      <c r="R371">
        <v>98</v>
      </c>
      <c r="S371" s="51">
        <v>1146</v>
      </c>
      <c r="T371">
        <v>294</v>
      </c>
      <c r="U371">
        <v>11</v>
      </c>
      <c r="V371" s="51">
        <v>1549</v>
      </c>
    </row>
    <row r="372" spans="1:22">
      <c r="A372" s="32" t="s">
        <v>2088</v>
      </c>
      <c r="B372" s="32" t="s">
        <v>1515</v>
      </c>
      <c r="C372" s="32" t="s">
        <v>1287</v>
      </c>
      <c r="D372" s="33">
        <v>0</v>
      </c>
      <c r="E372" s="33" t="s">
        <v>1639</v>
      </c>
      <c r="F372" s="33">
        <v>431</v>
      </c>
      <c r="G372" s="33">
        <v>91</v>
      </c>
      <c r="H372" s="33" t="s">
        <v>1639</v>
      </c>
      <c r="I372" s="33">
        <v>531</v>
      </c>
      <c r="K372" t="b">
        <f>QHPSelections2016[[#This Row],[County Name]]=P372</f>
        <v>1</v>
      </c>
      <c r="L372" t="b">
        <f>QHPSelections2016[[#This Row],[Silver]]=S372</f>
        <v>1</v>
      </c>
      <c r="N372">
        <v>13229</v>
      </c>
      <c r="O372" t="s">
        <v>1515</v>
      </c>
      <c r="P372" t="s">
        <v>1287</v>
      </c>
      <c r="Q372">
        <v>0</v>
      </c>
      <c r="S372">
        <v>431</v>
      </c>
      <c r="T372">
        <v>91</v>
      </c>
      <c r="V372">
        <v>531</v>
      </c>
    </row>
    <row r="373" spans="1:22">
      <c r="A373" s="32" t="s">
        <v>2089</v>
      </c>
      <c r="B373" s="32" t="s">
        <v>1515</v>
      </c>
      <c r="C373" s="32" t="s">
        <v>1109</v>
      </c>
      <c r="D373" s="33">
        <v>0</v>
      </c>
      <c r="E373" s="33" t="s">
        <v>1639</v>
      </c>
      <c r="F373" s="33">
        <v>485</v>
      </c>
      <c r="G373" s="33">
        <v>128</v>
      </c>
      <c r="H373" s="33" t="s">
        <v>1639</v>
      </c>
      <c r="I373" s="33">
        <v>640</v>
      </c>
      <c r="K373" t="b">
        <f>QHPSelections2016[[#This Row],[County Name]]=P373</f>
        <v>1</v>
      </c>
      <c r="L373" t="b">
        <f>QHPSelections2016[[#This Row],[Silver]]=S373</f>
        <v>1</v>
      </c>
      <c r="N373">
        <v>13231</v>
      </c>
      <c r="O373" t="s">
        <v>1515</v>
      </c>
      <c r="P373" t="s">
        <v>1109</v>
      </c>
      <c r="Q373">
        <v>0</v>
      </c>
      <c r="S373">
        <v>485</v>
      </c>
      <c r="T373">
        <v>128</v>
      </c>
      <c r="V373">
        <v>640</v>
      </c>
    </row>
    <row r="374" spans="1:22">
      <c r="A374" s="32" t="s">
        <v>2090</v>
      </c>
      <c r="B374" s="32" t="s">
        <v>1515</v>
      </c>
      <c r="C374" s="32" t="s">
        <v>1098</v>
      </c>
      <c r="D374" s="33">
        <v>0</v>
      </c>
      <c r="E374" s="33">
        <v>82</v>
      </c>
      <c r="F374" s="33">
        <v>1636</v>
      </c>
      <c r="G374" s="33">
        <v>262</v>
      </c>
      <c r="H374" s="33">
        <v>26</v>
      </c>
      <c r="I374" s="33">
        <v>2006</v>
      </c>
      <c r="K374" t="b">
        <f>QHPSelections2016[[#This Row],[County Name]]=P374</f>
        <v>1</v>
      </c>
      <c r="L374" t="b">
        <f>QHPSelections2016[[#This Row],[Silver]]=S374</f>
        <v>1</v>
      </c>
      <c r="N374">
        <v>13233</v>
      </c>
      <c r="O374" t="s">
        <v>1515</v>
      </c>
      <c r="P374" t="s">
        <v>1098</v>
      </c>
      <c r="Q374">
        <v>0</v>
      </c>
      <c r="R374">
        <v>82</v>
      </c>
      <c r="S374" s="51">
        <v>1636</v>
      </c>
      <c r="T374">
        <v>262</v>
      </c>
      <c r="U374">
        <v>26</v>
      </c>
      <c r="V374" s="51">
        <v>2006</v>
      </c>
    </row>
    <row r="375" spans="1:22">
      <c r="A375" s="32" t="s">
        <v>2091</v>
      </c>
      <c r="B375" s="32" t="s">
        <v>1515</v>
      </c>
      <c r="C375" s="32" t="s">
        <v>1290</v>
      </c>
      <c r="D375" s="33">
        <v>0</v>
      </c>
      <c r="E375" s="33" t="s">
        <v>1639</v>
      </c>
      <c r="F375" s="33">
        <v>258</v>
      </c>
      <c r="G375" s="33">
        <v>58</v>
      </c>
      <c r="H375" s="33" t="s">
        <v>1639</v>
      </c>
      <c r="I375" s="33">
        <v>321</v>
      </c>
      <c r="K375" t="b">
        <f>QHPSelections2016[[#This Row],[County Name]]=P375</f>
        <v>1</v>
      </c>
      <c r="L375" t="b">
        <f>QHPSelections2016[[#This Row],[Silver]]=S375</f>
        <v>1</v>
      </c>
      <c r="N375">
        <v>13235</v>
      </c>
      <c r="O375" t="s">
        <v>1515</v>
      </c>
      <c r="P375" t="s">
        <v>1290</v>
      </c>
      <c r="Q375">
        <v>0</v>
      </c>
      <c r="S375">
        <v>258</v>
      </c>
      <c r="T375">
        <v>58</v>
      </c>
      <c r="V375">
        <v>321</v>
      </c>
    </row>
    <row r="376" spans="1:22">
      <c r="A376" s="32" t="s">
        <v>2092</v>
      </c>
      <c r="B376" s="32" t="s">
        <v>1515</v>
      </c>
      <c r="C376" s="32" t="s">
        <v>1103</v>
      </c>
      <c r="D376" s="33">
        <v>0</v>
      </c>
      <c r="E376" s="33">
        <v>18</v>
      </c>
      <c r="F376" s="33">
        <v>713</v>
      </c>
      <c r="G376" s="33">
        <v>165</v>
      </c>
      <c r="H376" s="33">
        <v>20</v>
      </c>
      <c r="I376" s="33">
        <v>916</v>
      </c>
      <c r="K376" t="b">
        <f>QHPSelections2016[[#This Row],[County Name]]=P376</f>
        <v>1</v>
      </c>
      <c r="L376" t="b">
        <f>QHPSelections2016[[#This Row],[Silver]]=S376</f>
        <v>1</v>
      </c>
      <c r="N376">
        <v>13237</v>
      </c>
      <c r="O376" t="s">
        <v>1515</v>
      </c>
      <c r="P376" t="s">
        <v>1103</v>
      </c>
      <c r="Q376">
        <v>0</v>
      </c>
      <c r="R376">
        <v>18</v>
      </c>
      <c r="S376">
        <v>713</v>
      </c>
      <c r="T376">
        <v>165</v>
      </c>
      <c r="U376">
        <v>20</v>
      </c>
      <c r="V376">
        <v>916</v>
      </c>
    </row>
    <row r="377" spans="1:22">
      <c r="A377" s="32" t="s">
        <v>2093</v>
      </c>
      <c r="B377" s="32" t="s">
        <v>1515</v>
      </c>
      <c r="C377" s="32" t="s">
        <v>1132</v>
      </c>
      <c r="D377" s="33">
        <v>0</v>
      </c>
      <c r="E377" s="33" t="s">
        <v>1639</v>
      </c>
      <c r="F377" s="33">
        <v>63</v>
      </c>
      <c r="G377" s="33">
        <v>17</v>
      </c>
      <c r="H377" s="33" t="s">
        <v>1639</v>
      </c>
      <c r="I377" s="33">
        <v>84</v>
      </c>
      <c r="K377" t="b">
        <f>QHPSelections2016[[#This Row],[County Name]]=P377</f>
        <v>1</v>
      </c>
      <c r="L377" t="b">
        <f>QHPSelections2016[[#This Row],[Silver]]=S377</f>
        <v>1</v>
      </c>
      <c r="N377">
        <v>13239</v>
      </c>
      <c r="O377" t="s">
        <v>1515</v>
      </c>
      <c r="P377" t="s">
        <v>1132</v>
      </c>
      <c r="Q377">
        <v>0</v>
      </c>
      <c r="S377">
        <v>63</v>
      </c>
      <c r="T377">
        <v>17</v>
      </c>
      <c r="V377">
        <v>84</v>
      </c>
    </row>
    <row r="378" spans="1:22">
      <c r="A378" s="32" t="s">
        <v>2094</v>
      </c>
      <c r="B378" s="32" t="s">
        <v>1515</v>
      </c>
      <c r="C378" s="32" t="s">
        <v>1294</v>
      </c>
      <c r="D378" s="33">
        <v>0</v>
      </c>
      <c r="E378" s="33">
        <v>28</v>
      </c>
      <c r="F378" s="33">
        <v>962</v>
      </c>
      <c r="G378" s="33">
        <v>183</v>
      </c>
      <c r="H378" s="33">
        <v>11</v>
      </c>
      <c r="I378" s="33">
        <v>1184</v>
      </c>
      <c r="K378" t="b">
        <f>QHPSelections2016[[#This Row],[County Name]]=P378</f>
        <v>1</v>
      </c>
      <c r="L378" t="b">
        <f>QHPSelections2016[[#This Row],[Silver]]=S378</f>
        <v>1</v>
      </c>
      <c r="N378">
        <v>13241</v>
      </c>
      <c r="O378" t="s">
        <v>1515</v>
      </c>
      <c r="P378" t="s">
        <v>1294</v>
      </c>
      <c r="Q378">
        <v>0</v>
      </c>
      <c r="R378">
        <v>28</v>
      </c>
      <c r="S378">
        <v>962</v>
      </c>
      <c r="T378">
        <v>183</v>
      </c>
      <c r="U378">
        <v>11</v>
      </c>
      <c r="V378" s="51">
        <v>1184</v>
      </c>
    </row>
    <row r="379" spans="1:22">
      <c r="A379" s="32" t="s">
        <v>2095</v>
      </c>
      <c r="B379" s="32" t="s">
        <v>1515</v>
      </c>
      <c r="C379" s="32" t="s">
        <v>1115</v>
      </c>
      <c r="D379" s="33">
        <v>0</v>
      </c>
      <c r="E379" s="33" t="s">
        <v>1639</v>
      </c>
      <c r="F379" s="33">
        <v>241</v>
      </c>
      <c r="G379" s="33">
        <v>76</v>
      </c>
      <c r="H379" s="33" t="s">
        <v>1639</v>
      </c>
      <c r="I379" s="33">
        <v>320</v>
      </c>
      <c r="K379" t="b">
        <f>QHPSelections2016[[#This Row],[County Name]]=P379</f>
        <v>1</v>
      </c>
      <c r="L379" t="b">
        <f>QHPSelections2016[[#This Row],[Silver]]=S379</f>
        <v>1</v>
      </c>
      <c r="N379">
        <v>13243</v>
      </c>
      <c r="O379" t="s">
        <v>1515</v>
      </c>
      <c r="P379" t="s">
        <v>1115</v>
      </c>
      <c r="Q379">
        <v>0</v>
      </c>
      <c r="S379">
        <v>241</v>
      </c>
      <c r="T379">
        <v>76</v>
      </c>
      <c r="V379">
        <v>320</v>
      </c>
    </row>
    <row r="380" spans="1:22">
      <c r="A380" s="32" t="s">
        <v>2096</v>
      </c>
      <c r="B380" s="32" t="s">
        <v>1515</v>
      </c>
      <c r="C380" s="32" t="s">
        <v>1210</v>
      </c>
      <c r="D380" s="33">
        <v>0</v>
      </c>
      <c r="E380" s="33">
        <v>377</v>
      </c>
      <c r="F380" s="33">
        <v>8181</v>
      </c>
      <c r="G380" s="33">
        <v>1406</v>
      </c>
      <c r="H380" s="33">
        <v>295</v>
      </c>
      <c r="I380" s="33">
        <v>10259</v>
      </c>
      <c r="K380" t="b">
        <f>QHPSelections2016[[#This Row],[County Name]]=P380</f>
        <v>1</v>
      </c>
      <c r="L380" t="b">
        <f>QHPSelections2016[[#This Row],[Silver]]=S380</f>
        <v>1</v>
      </c>
      <c r="N380">
        <v>13245</v>
      </c>
      <c r="O380" t="s">
        <v>1515</v>
      </c>
      <c r="P380" t="s">
        <v>1210</v>
      </c>
      <c r="Q380">
        <v>0</v>
      </c>
      <c r="R380">
        <v>377</v>
      </c>
      <c r="S380" s="51">
        <v>8181</v>
      </c>
      <c r="T380" s="51">
        <v>1406</v>
      </c>
      <c r="U380">
        <v>295</v>
      </c>
      <c r="V380" s="51">
        <v>10259</v>
      </c>
    </row>
    <row r="381" spans="1:22">
      <c r="A381" s="32" t="s">
        <v>2097</v>
      </c>
      <c r="B381" s="32" t="s">
        <v>1515</v>
      </c>
      <c r="C381" s="32" t="s">
        <v>1296</v>
      </c>
      <c r="D381" s="33">
        <v>0</v>
      </c>
      <c r="E381" s="33">
        <v>229</v>
      </c>
      <c r="F381" s="33">
        <v>5210</v>
      </c>
      <c r="G381" s="33">
        <v>1044</v>
      </c>
      <c r="H381" s="33">
        <v>125</v>
      </c>
      <c r="I381" s="33">
        <v>6608</v>
      </c>
      <c r="K381" t="b">
        <f>QHPSelections2016[[#This Row],[County Name]]=P381</f>
        <v>1</v>
      </c>
      <c r="L381" t="b">
        <f>QHPSelections2016[[#This Row],[Silver]]=S381</f>
        <v>1</v>
      </c>
      <c r="N381">
        <v>13247</v>
      </c>
      <c r="O381" t="s">
        <v>1515</v>
      </c>
      <c r="P381" t="s">
        <v>1296</v>
      </c>
      <c r="Q381">
        <v>0</v>
      </c>
      <c r="R381">
        <v>229</v>
      </c>
      <c r="S381" s="51">
        <v>5210</v>
      </c>
      <c r="T381" s="51">
        <v>1044</v>
      </c>
      <c r="U381">
        <v>125</v>
      </c>
      <c r="V381" s="51">
        <v>6608</v>
      </c>
    </row>
    <row r="382" spans="1:22">
      <c r="A382" s="32" t="s">
        <v>2098</v>
      </c>
      <c r="B382" s="32" t="s">
        <v>1515</v>
      </c>
      <c r="C382" s="32" t="s">
        <v>1297</v>
      </c>
      <c r="D382" s="33">
        <v>0</v>
      </c>
      <c r="E382" s="33">
        <v>0</v>
      </c>
      <c r="F382" s="33">
        <v>153</v>
      </c>
      <c r="G382" s="33">
        <v>25</v>
      </c>
      <c r="H382" s="33">
        <v>0</v>
      </c>
      <c r="I382" s="33">
        <v>178</v>
      </c>
      <c r="K382" t="b">
        <f>QHPSelections2016[[#This Row],[County Name]]=P382</f>
        <v>1</v>
      </c>
      <c r="L382" t="b">
        <f>QHPSelections2016[[#This Row],[Silver]]=S382</f>
        <v>1</v>
      </c>
      <c r="N382">
        <v>13249</v>
      </c>
      <c r="O382" t="s">
        <v>1515</v>
      </c>
      <c r="P382" t="s">
        <v>1297</v>
      </c>
      <c r="Q382">
        <v>0</v>
      </c>
      <c r="R382">
        <v>0</v>
      </c>
      <c r="S382">
        <v>153</v>
      </c>
      <c r="T382">
        <v>25</v>
      </c>
      <c r="U382">
        <v>0</v>
      </c>
      <c r="V382">
        <v>178</v>
      </c>
    </row>
    <row r="383" spans="1:22">
      <c r="A383" s="32" t="s">
        <v>2099</v>
      </c>
      <c r="B383" s="32" t="s">
        <v>1515</v>
      </c>
      <c r="C383" s="32" t="s">
        <v>1298</v>
      </c>
      <c r="D383" s="33">
        <v>0</v>
      </c>
      <c r="E383" s="33">
        <v>75</v>
      </c>
      <c r="F383" s="33">
        <v>685</v>
      </c>
      <c r="G383" s="33">
        <v>82</v>
      </c>
      <c r="H383" s="33">
        <v>14</v>
      </c>
      <c r="I383" s="33">
        <v>856</v>
      </c>
      <c r="K383" t="b">
        <f>QHPSelections2016[[#This Row],[County Name]]=P383</f>
        <v>1</v>
      </c>
      <c r="L383" t="b">
        <f>QHPSelections2016[[#This Row],[Silver]]=S383</f>
        <v>1</v>
      </c>
      <c r="N383">
        <v>13251</v>
      </c>
      <c r="O383" t="s">
        <v>1515</v>
      </c>
      <c r="P383" t="s">
        <v>1298</v>
      </c>
      <c r="Q383">
        <v>0</v>
      </c>
      <c r="R383">
        <v>75</v>
      </c>
      <c r="S383">
        <v>685</v>
      </c>
      <c r="T383">
        <v>82</v>
      </c>
      <c r="U383">
        <v>14</v>
      </c>
      <c r="V383">
        <v>856</v>
      </c>
    </row>
    <row r="384" spans="1:22">
      <c r="A384" s="32" t="s">
        <v>2100</v>
      </c>
      <c r="B384" s="32" t="s">
        <v>1515</v>
      </c>
      <c r="C384" s="32" t="s">
        <v>1127</v>
      </c>
      <c r="D384" s="33">
        <v>0</v>
      </c>
      <c r="E384" s="33" t="s">
        <v>1639</v>
      </c>
      <c r="F384" s="33">
        <v>298</v>
      </c>
      <c r="G384" s="33">
        <v>91</v>
      </c>
      <c r="H384" s="33" t="s">
        <v>1639</v>
      </c>
      <c r="I384" s="33">
        <v>398</v>
      </c>
      <c r="K384" t="b">
        <f>QHPSelections2016[[#This Row],[County Name]]=P384</f>
        <v>1</v>
      </c>
      <c r="L384" t="b">
        <f>QHPSelections2016[[#This Row],[Silver]]=S384</f>
        <v>1</v>
      </c>
      <c r="N384">
        <v>13253</v>
      </c>
      <c r="O384" t="s">
        <v>1515</v>
      </c>
      <c r="P384" t="s">
        <v>1127</v>
      </c>
      <c r="Q384">
        <v>0</v>
      </c>
      <c r="S384">
        <v>298</v>
      </c>
      <c r="T384">
        <v>91</v>
      </c>
      <c r="V384">
        <v>398</v>
      </c>
    </row>
    <row r="385" spans="1:22">
      <c r="A385" s="32" t="s">
        <v>2101</v>
      </c>
      <c r="B385" s="32" t="s">
        <v>1515</v>
      </c>
      <c r="C385" s="32" t="s">
        <v>1301</v>
      </c>
      <c r="D385" s="33">
        <v>0</v>
      </c>
      <c r="E385" s="33">
        <v>101</v>
      </c>
      <c r="F385" s="33">
        <v>2096</v>
      </c>
      <c r="G385" s="33">
        <v>540</v>
      </c>
      <c r="H385" s="33">
        <v>69</v>
      </c>
      <c r="I385" s="33">
        <v>2806</v>
      </c>
      <c r="K385" t="b">
        <f>QHPSelections2016[[#This Row],[County Name]]=P385</f>
        <v>1</v>
      </c>
      <c r="L385" t="b">
        <f>QHPSelections2016[[#This Row],[Silver]]=S385</f>
        <v>1</v>
      </c>
      <c r="N385">
        <v>13255</v>
      </c>
      <c r="O385" t="s">
        <v>1515</v>
      </c>
      <c r="P385" t="s">
        <v>1301</v>
      </c>
      <c r="Q385">
        <v>0</v>
      </c>
      <c r="R385">
        <v>101</v>
      </c>
      <c r="S385" s="51">
        <v>2096</v>
      </c>
      <c r="T385">
        <v>540</v>
      </c>
      <c r="U385">
        <v>69</v>
      </c>
      <c r="V385" s="51">
        <v>2806</v>
      </c>
    </row>
    <row r="386" spans="1:22">
      <c r="A386" s="32" t="s">
        <v>2102</v>
      </c>
      <c r="B386" s="32" t="s">
        <v>1515</v>
      </c>
      <c r="C386" s="32" t="s">
        <v>1302</v>
      </c>
      <c r="D386" s="33">
        <v>0</v>
      </c>
      <c r="E386" s="33">
        <v>20</v>
      </c>
      <c r="F386" s="33">
        <v>696</v>
      </c>
      <c r="G386" s="33">
        <v>140</v>
      </c>
      <c r="H386" s="33">
        <v>14</v>
      </c>
      <c r="I386" s="33">
        <v>870</v>
      </c>
      <c r="K386" t="b">
        <f>QHPSelections2016[[#This Row],[County Name]]=P386</f>
        <v>1</v>
      </c>
      <c r="L386" t="b">
        <f>QHPSelections2016[[#This Row],[Silver]]=S386</f>
        <v>1</v>
      </c>
      <c r="N386">
        <v>13257</v>
      </c>
      <c r="O386" t="s">
        <v>1515</v>
      </c>
      <c r="P386" t="s">
        <v>1302</v>
      </c>
      <c r="Q386">
        <v>0</v>
      </c>
      <c r="R386">
        <v>20</v>
      </c>
      <c r="S386">
        <v>696</v>
      </c>
      <c r="T386">
        <v>140</v>
      </c>
      <c r="U386">
        <v>14</v>
      </c>
      <c r="V386">
        <v>870</v>
      </c>
    </row>
    <row r="387" spans="1:22">
      <c r="A387" s="32" t="s">
        <v>2103</v>
      </c>
      <c r="B387" s="32" t="s">
        <v>1515</v>
      </c>
      <c r="C387" s="32" t="s">
        <v>1222</v>
      </c>
      <c r="D387" s="33">
        <v>0</v>
      </c>
      <c r="E387" s="33" t="s">
        <v>1639</v>
      </c>
      <c r="F387" s="33">
        <v>156</v>
      </c>
      <c r="G387" s="33">
        <v>21</v>
      </c>
      <c r="H387" s="33" t="s">
        <v>1639</v>
      </c>
      <c r="I387" s="33">
        <v>182</v>
      </c>
      <c r="K387" t="b">
        <f>QHPSelections2016[[#This Row],[County Name]]=P387</f>
        <v>1</v>
      </c>
      <c r="L387" t="b">
        <f>QHPSelections2016[[#This Row],[Silver]]=S387</f>
        <v>1</v>
      </c>
      <c r="N387">
        <v>13259</v>
      </c>
      <c r="O387" t="s">
        <v>1515</v>
      </c>
      <c r="P387" t="s">
        <v>1222</v>
      </c>
      <c r="Q387">
        <v>0</v>
      </c>
      <c r="S387">
        <v>156</v>
      </c>
      <c r="T387">
        <v>21</v>
      </c>
      <c r="V387">
        <v>182</v>
      </c>
    </row>
    <row r="388" spans="1:22">
      <c r="A388" s="32" t="s">
        <v>2104</v>
      </c>
      <c r="B388" s="32" t="s">
        <v>1515</v>
      </c>
      <c r="C388" s="32" t="s">
        <v>1130</v>
      </c>
      <c r="D388" s="33">
        <v>0</v>
      </c>
      <c r="E388" s="33" t="s">
        <v>1639</v>
      </c>
      <c r="F388" s="33">
        <v>1133</v>
      </c>
      <c r="G388" s="33">
        <v>302</v>
      </c>
      <c r="H388" s="33" t="s">
        <v>1639</v>
      </c>
      <c r="I388" s="33">
        <v>1469</v>
      </c>
      <c r="K388" t="b">
        <f>QHPSelections2016[[#This Row],[County Name]]=P388</f>
        <v>1</v>
      </c>
      <c r="L388" t="b">
        <f>QHPSelections2016[[#This Row],[Silver]]=S388</f>
        <v>1</v>
      </c>
      <c r="N388">
        <v>13261</v>
      </c>
      <c r="O388" t="s">
        <v>1515</v>
      </c>
      <c r="P388" t="s">
        <v>1130</v>
      </c>
      <c r="Q388">
        <v>0</v>
      </c>
      <c r="S388" s="51">
        <v>1133</v>
      </c>
      <c r="T388">
        <v>302</v>
      </c>
      <c r="V388" s="51">
        <v>1469</v>
      </c>
    </row>
    <row r="389" spans="1:22">
      <c r="A389" s="32" t="s">
        <v>2105</v>
      </c>
      <c r="B389" s="32" t="s">
        <v>1515</v>
      </c>
      <c r="C389" s="32" t="s">
        <v>1305</v>
      </c>
      <c r="D389" s="33">
        <v>0</v>
      </c>
      <c r="E389" s="33" t="s">
        <v>1639</v>
      </c>
      <c r="F389" s="33">
        <v>223</v>
      </c>
      <c r="G389" s="33">
        <v>43</v>
      </c>
      <c r="H389" s="33" t="s">
        <v>1639</v>
      </c>
      <c r="I389" s="33">
        <v>286</v>
      </c>
      <c r="K389" t="b">
        <f>QHPSelections2016[[#This Row],[County Name]]=P389</f>
        <v>1</v>
      </c>
      <c r="L389" t="b">
        <f>QHPSelections2016[[#This Row],[Silver]]=S389</f>
        <v>1</v>
      </c>
      <c r="N389">
        <v>13263</v>
      </c>
      <c r="O389" t="s">
        <v>1515</v>
      </c>
      <c r="P389" t="s">
        <v>1305</v>
      </c>
      <c r="Q389">
        <v>0</v>
      </c>
      <c r="S389">
        <v>223</v>
      </c>
      <c r="T389">
        <v>43</v>
      </c>
      <c r="V389">
        <v>286</v>
      </c>
    </row>
    <row r="390" spans="1:22">
      <c r="A390" s="32" t="s">
        <v>2106</v>
      </c>
      <c r="B390" s="32" t="s">
        <v>1515</v>
      </c>
      <c r="C390" s="32" t="s">
        <v>1307</v>
      </c>
      <c r="D390" s="33">
        <v>0</v>
      </c>
      <c r="E390" s="33" t="s">
        <v>1639</v>
      </c>
      <c r="F390" s="33">
        <v>68</v>
      </c>
      <c r="G390" s="33" t="s">
        <v>1639</v>
      </c>
      <c r="H390" s="33">
        <v>0</v>
      </c>
      <c r="I390" s="33">
        <v>78</v>
      </c>
      <c r="K390" t="b">
        <f>QHPSelections2016[[#This Row],[County Name]]=P390</f>
        <v>1</v>
      </c>
      <c r="L390" t="b">
        <f>QHPSelections2016[[#This Row],[Silver]]=S390</f>
        <v>1</v>
      </c>
      <c r="N390">
        <v>13265</v>
      </c>
      <c r="O390" t="s">
        <v>1515</v>
      </c>
      <c r="P390" t="s">
        <v>1307</v>
      </c>
      <c r="Q390">
        <v>0</v>
      </c>
      <c r="S390">
        <v>68</v>
      </c>
      <c r="U390">
        <v>0</v>
      </c>
      <c r="V390">
        <v>78</v>
      </c>
    </row>
    <row r="391" spans="1:22">
      <c r="A391" s="32" t="s">
        <v>2107</v>
      </c>
      <c r="B391" s="32" t="s">
        <v>1515</v>
      </c>
      <c r="C391" s="32" t="s">
        <v>1309</v>
      </c>
      <c r="D391" s="33">
        <v>0</v>
      </c>
      <c r="E391" s="33">
        <v>42</v>
      </c>
      <c r="F391" s="33">
        <v>708</v>
      </c>
      <c r="G391" s="33">
        <v>88</v>
      </c>
      <c r="H391" s="33">
        <v>11</v>
      </c>
      <c r="I391" s="33">
        <v>849</v>
      </c>
      <c r="K391" t="b">
        <f>QHPSelections2016[[#This Row],[County Name]]=P391</f>
        <v>1</v>
      </c>
      <c r="L391" t="b">
        <f>QHPSelections2016[[#This Row],[Silver]]=S391</f>
        <v>1</v>
      </c>
      <c r="N391">
        <v>13267</v>
      </c>
      <c r="O391" t="s">
        <v>1515</v>
      </c>
      <c r="P391" t="s">
        <v>1309</v>
      </c>
      <c r="Q391">
        <v>0</v>
      </c>
      <c r="R391">
        <v>42</v>
      </c>
      <c r="S391">
        <v>708</v>
      </c>
      <c r="T391">
        <v>88</v>
      </c>
      <c r="U391">
        <v>11</v>
      </c>
      <c r="V391">
        <v>849</v>
      </c>
    </row>
    <row r="392" spans="1:22">
      <c r="A392" s="32" t="s">
        <v>2108</v>
      </c>
      <c r="B392" s="32" t="s">
        <v>1515</v>
      </c>
      <c r="C392" s="32" t="s">
        <v>1144</v>
      </c>
      <c r="D392" s="33">
        <v>0</v>
      </c>
      <c r="E392" s="33" t="s">
        <v>1639</v>
      </c>
      <c r="F392" s="33">
        <v>196</v>
      </c>
      <c r="G392" s="33">
        <v>37</v>
      </c>
      <c r="H392" s="33" t="s">
        <v>1639</v>
      </c>
      <c r="I392" s="33">
        <v>237</v>
      </c>
      <c r="K392" t="b">
        <f>QHPSelections2016[[#This Row],[County Name]]=P392</f>
        <v>1</v>
      </c>
      <c r="L392" t="b">
        <f>QHPSelections2016[[#This Row],[Silver]]=S392</f>
        <v>1</v>
      </c>
      <c r="N392">
        <v>13269</v>
      </c>
      <c r="O392" t="s">
        <v>1515</v>
      </c>
      <c r="P392" t="s">
        <v>1144</v>
      </c>
      <c r="Q392">
        <v>0</v>
      </c>
      <c r="S392">
        <v>196</v>
      </c>
      <c r="T392">
        <v>37</v>
      </c>
      <c r="V392">
        <v>237</v>
      </c>
    </row>
    <row r="393" spans="1:22">
      <c r="A393" s="32" t="s">
        <v>2109</v>
      </c>
      <c r="B393" s="32" t="s">
        <v>1515</v>
      </c>
      <c r="C393" s="32" t="s">
        <v>1312</v>
      </c>
      <c r="D393" s="33">
        <v>0</v>
      </c>
      <c r="E393" s="33" t="s">
        <v>1639</v>
      </c>
      <c r="F393" s="33">
        <v>281</v>
      </c>
      <c r="G393" s="33">
        <v>71</v>
      </c>
      <c r="H393" s="33" t="s">
        <v>1639</v>
      </c>
      <c r="I393" s="33">
        <v>363</v>
      </c>
      <c r="K393" t="b">
        <f>QHPSelections2016[[#This Row],[County Name]]=P393</f>
        <v>1</v>
      </c>
      <c r="L393" t="b">
        <f>QHPSelections2016[[#This Row],[Silver]]=S393</f>
        <v>1</v>
      </c>
      <c r="N393">
        <v>13271</v>
      </c>
      <c r="O393" t="s">
        <v>1515</v>
      </c>
      <c r="P393" t="s">
        <v>1312</v>
      </c>
      <c r="Q393">
        <v>0</v>
      </c>
      <c r="S393">
        <v>281</v>
      </c>
      <c r="T393">
        <v>71</v>
      </c>
      <c r="V393">
        <v>363</v>
      </c>
    </row>
    <row r="394" spans="1:22">
      <c r="A394" s="32" t="s">
        <v>2110</v>
      </c>
      <c r="B394" s="32" t="s">
        <v>1515</v>
      </c>
      <c r="C394" s="32" t="s">
        <v>1314</v>
      </c>
      <c r="D394" s="33">
        <v>0</v>
      </c>
      <c r="E394" s="33" t="s">
        <v>1639</v>
      </c>
      <c r="F394" s="33">
        <v>285</v>
      </c>
      <c r="G394" s="33">
        <v>89</v>
      </c>
      <c r="H394" s="33" t="s">
        <v>1639</v>
      </c>
      <c r="I394" s="33">
        <v>389</v>
      </c>
      <c r="K394" t="b">
        <f>QHPSelections2016[[#This Row],[County Name]]=P394</f>
        <v>1</v>
      </c>
      <c r="L394" t="b">
        <f>QHPSelections2016[[#This Row],[Silver]]=S394</f>
        <v>1</v>
      </c>
      <c r="N394">
        <v>13273</v>
      </c>
      <c r="O394" t="s">
        <v>1515</v>
      </c>
      <c r="P394" t="s">
        <v>1314</v>
      </c>
      <c r="Q394">
        <v>0</v>
      </c>
      <c r="S394">
        <v>285</v>
      </c>
      <c r="T394">
        <v>89</v>
      </c>
      <c r="V394">
        <v>389</v>
      </c>
    </row>
    <row r="395" spans="1:22">
      <c r="A395" s="32" t="s">
        <v>2111</v>
      </c>
      <c r="B395" s="32" t="s">
        <v>1515</v>
      </c>
      <c r="C395" s="32" t="s">
        <v>1316</v>
      </c>
      <c r="D395" s="33">
        <v>0</v>
      </c>
      <c r="E395" s="33">
        <v>59</v>
      </c>
      <c r="F395" s="33">
        <v>1662</v>
      </c>
      <c r="G395" s="33">
        <v>450</v>
      </c>
      <c r="H395" s="33">
        <v>33</v>
      </c>
      <c r="I395" s="33">
        <v>2204</v>
      </c>
      <c r="K395" t="b">
        <f>QHPSelections2016[[#This Row],[County Name]]=P395</f>
        <v>1</v>
      </c>
      <c r="L395" t="b">
        <f>QHPSelections2016[[#This Row],[Silver]]=S395</f>
        <v>1</v>
      </c>
      <c r="N395">
        <v>13275</v>
      </c>
      <c r="O395" t="s">
        <v>1515</v>
      </c>
      <c r="P395" t="s">
        <v>1316</v>
      </c>
      <c r="Q395">
        <v>0</v>
      </c>
      <c r="R395">
        <v>59</v>
      </c>
      <c r="S395" s="51">
        <v>1662</v>
      </c>
      <c r="T395">
        <v>450</v>
      </c>
      <c r="U395">
        <v>33</v>
      </c>
      <c r="V395" s="51">
        <v>2204</v>
      </c>
    </row>
    <row r="396" spans="1:22">
      <c r="A396" s="32" t="s">
        <v>2112</v>
      </c>
      <c r="B396" s="32" t="s">
        <v>1515</v>
      </c>
      <c r="C396" s="32" t="s">
        <v>1318</v>
      </c>
      <c r="D396" s="33">
        <v>0</v>
      </c>
      <c r="E396" s="33">
        <v>29</v>
      </c>
      <c r="F396" s="33">
        <v>1074</v>
      </c>
      <c r="G396" s="33">
        <v>282</v>
      </c>
      <c r="H396" s="33">
        <v>22</v>
      </c>
      <c r="I396" s="33">
        <v>1407</v>
      </c>
      <c r="K396" t="b">
        <f>QHPSelections2016[[#This Row],[County Name]]=P396</f>
        <v>1</v>
      </c>
      <c r="L396" t="b">
        <f>QHPSelections2016[[#This Row],[Silver]]=S396</f>
        <v>1</v>
      </c>
      <c r="N396">
        <v>13277</v>
      </c>
      <c r="O396" t="s">
        <v>1515</v>
      </c>
      <c r="P396" t="s">
        <v>1318</v>
      </c>
      <c r="Q396">
        <v>0</v>
      </c>
      <c r="R396">
        <v>29</v>
      </c>
      <c r="S396" s="51">
        <v>1074</v>
      </c>
      <c r="T396">
        <v>282</v>
      </c>
      <c r="U396">
        <v>22</v>
      </c>
      <c r="V396" s="51">
        <v>1407</v>
      </c>
    </row>
    <row r="397" spans="1:22">
      <c r="A397" s="32" t="s">
        <v>2113</v>
      </c>
      <c r="B397" s="32" t="s">
        <v>1515</v>
      </c>
      <c r="C397" s="32" t="s">
        <v>1320</v>
      </c>
      <c r="D397" s="33">
        <v>0</v>
      </c>
      <c r="E397" s="33" t="s">
        <v>1639</v>
      </c>
      <c r="F397" s="33">
        <v>713</v>
      </c>
      <c r="G397" s="33">
        <v>155</v>
      </c>
      <c r="H397" s="33" t="s">
        <v>1639</v>
      </c>
      <c r="I397" s="33">
        <v>900</v>
      </c>
      <c r="K397" t="b">
        <f>QHPSelections2016[[#This Row],[County Name]]=P397</f>
        <v>1</v>
      </c>
      <c r="L397" t="b">
        <f>QHPSelections2016[[#This Row],[Silver]]=S397</f>
        <v>1</v>
      </c>
      <c r="N397">
        <v>13279</v>
      </c>
      <c r="O397" t="s">
        <v>1515</v>
      </c>
      <c r="P397" t="s">
        <v>1320</v>
      </c>
      <c r="Q397">
        <v>0</v>
      </c>
      <c r="S397">
        <v>713</v>
      </c>
      <c r="T397">
        <v>155</v>
      </c>
      <c r="V397">
        <v>900</v>
      </c>
    </row>
    <row r="398" spans="1:22">
      <c r="A398" s="32" t="s">
        <v>2114</v>
      </c>
      <c r="B398" s="32" t="s">
        <v>1515</v>
      </c>
      <c r="C398" s="32" t="s">
        <v>1321</v>
      </c>
      <c r="D398" s="33">
        <v>0</v>
      </c>
      <c r="E398" s="33">
        <v>15</v>
      </c>
      <c r="F398" s="33">
        <v>592</v>
      </c>
      <c r="G398" s="33">
        <v>141</v>
      </c>
      <c r="H398" s="33">
        <v>11</v>
      </c>
      <c r="I398" s="33">
        <v>759</v>
      </c>
      <c r="K398" t="b">
        <f>QHPSelections2016[[#This Row],[County Name]]=P398</f>
        <v>1</v>
      </c>
      <c r="L398" t="b">
        <f>QHPSelections2016[[#This Row],[Silver]]=S398</f>
        <v>1</v>
      </c>
      <c r="N398">
        <v>13281</v>
      </c>
      <c r="O398" t="s">
        <v>1515</v>
      </c>
      <c r="P398" t="s">
        <v>1321</v>
      </c>
      <c r="Q398">
        <v>0</v>
      </c>
      <c r="R398">
        <v>15</v>
      </c>
      <c r="S398">
        <v>592</v>
      </c>
      <c r="T398">
        <v>141</v>
      </c>
      <c r="U398">
        <v>11</v>
      </c>
      <c r="V398">
        <v>759</v>
      </c>
    </row>
    <row r="399" spans="1:22">
      <c r="A399" s="32" t="s">
        <v>2115</v>
      </c>
      <c r="B399" s="32" t="s">
        <v>1515</v>
      </c>
      <c r="C399" s="32" t="s">
        <v>1322</v>
      </c>
      <c r="D399" s="33">
        <v>0</v>
      </c>
      <c r="E399" s="33" t="s">
        <v>1639</v>
      </c>
      <c r="F399" s="33">
        <v>222</v>
      </c>
      <c r="G399" s="33">
        <v>34</v>
      </c>
      <c r="H399" s="33" t="s">
        <v>1639</v>
      </c>
      <c r="I399" s="33">
        <v>263</v>
      </c>
      <c r="K399" t="b">
        <f>QHPSelections2016[[#This Row],[County Name]]=P399</f>
        <v>1</v>
      </c>
      <c r="L399" t="b">
        <f>QHPSelections2016[[#This Row],[Silver]]=S399</f>
        <v>1</v>
      </c>
      <c r="N399">
        <v>13283</v>
      </c>
      <c r="O399" t="s">
        <v>1515</v>
      </c>
      <c r="P399" t="s">
        <v>1322</v>
      </c>
      <c r="Q399">
        <v>0</v>
      </c>
      <c r="S399">
        <v>222</v>
      </c>
      <c r="T399">
        <v>34</v>
      </c>
      <c r="V399">
        <v>263</v>
      </c>
    </row>
    <row r="400" spans="1:22">
      <c r="A400" s="32" t="s">
        <v>2116</v>
      </c>
      <c r="B400" s="32" t="s">
        <v>1515</v>
      </c>
      <c r="C400" s="32" t="s">
        <v>1324</v>
      </c>
      <c r="D400" s="33">
        <v>0</v>
      </c>
      <c r="E400" s="33">
        <v>117</v>
      </c>
      <c r="F400" s="33">
        <v>2624</v>
      </c>
      <c r="G400" s="33">
        <v>383</v>
      </c>
      <c r="H400" s="33">
        <v>49</v>
      </c>
      <c r="I400" s="33">
        <v>3173</v>
      </c>
      <c r="K400" t="b">
        <f>QHPSelections2016[[#This Row],[County Name]]=P400</f>
        <v>1</v>
      </c>
      <c r="L400" t="b">
        <f>QHPSelections2016[[#This Row],[Silver]]=S400</f>
        <v>1</v>
      </c>
      <c r="N400">
        <v>13285</v>
      </c>
      <c r="O400" t="s">
        <v>1515</v>
      </c>
      <c r="P400" t="s">
        <v>1324</v>
      </c>
      <c r="Q400">
        <v>0</v>
      </c>
      <c r="R400">
        <v>117</v>
      </c>
      <c r="S400" s="51">
        <v>2624</v>
      </c>
      <c r="T400">
        <v>383</v>
      </c>
      <c r="U400">
        <v>49</v>
      </c>
      <c r="V400" s="51">
        <v>3173</v>
      </c>
    </row>
    <row r="401" spans="1:22">
      <c r="A401" s="32" t="s">
        <v>2117</v>
      </c>
      <c r="B401" s="32" t="s">
        <v>1515</v>
      </c>
      <c r="C401" s="32" t="s">
        <v>1326</v>
      </c>
      <c r="D401" s="33">
        <v>0</v>
      </c>
      <c r="E401" s="33" t="s">
        <v>1639</v>
      </c>
      <c r="F401" s="33">
        <v>239</v>
      </c>
      <c r="G401" s="33">
        <v>88</v>
      </c>
      <c r="H401" s="33" t="s">
        <v>1639</v>
      </c>
      <c r="I401" s="33">
        <v>333</v>
      </c>
      <c r="K401" t="b">
        <f>QHPSelections2016[[#This Row],[County Name]]=P401</f>
        <v>1</v>
      </c>
      <c r="L401" t="b">
        <f>QHPSelections2016[[#This Row],[Silver]]=S401</f>
        <v>1</v>
      </c>
      <c r="N401">
        <v>13287</v>
      </c>
      <c r="O401" t="s">
        <v>1515</v>
      </c>
      <c r="P401" t="s">
        <v>1326</v>
      </c>
      <c r="Q401">
        <v>0</v>
      </c>
      <c r="S401">
        <v>239</v>
      </c>
      <c r="T401">
        <v>88</v>
      </c>
      <c r="V401">
        <v>333</v>
      </c>
    </row>
    <row r="402" spans="1:22">
      <c r="A402" s="32" t="s">
        <v>2118</v>
      </c>
      <c r="B402" s="32" t="s">
        <v>1515</v>
      </c>
      <c r="C402" s="32" t="s">
        <v>1328</v>
      </c>
      <c r="D402" s="33">
        <v>0</v>
      </c>
      <c r="E402" s="33" t="s">
        <v>1639</v>
      </c>
      <c r="F402" s="33">
        <v>291</v>
      </c>
      <c r="G402" s="33">
        <v>49</v>
      </c>
      <c r="H402" s="33" t="s">
        <v>1639</v>
      </c>
      <c r="I402" s="33">
        <v>350</v>
      </c>
      <c r="K402" t="b">
        <f>QHPSelections2016[[#This Row],[County Name]]=P402</f>
        <v>1</v>
      </c>
      <c r="L402" t="b">
        <f>QHPSelections2016[[#This Row],[Silver]]=S402</f>
        <v>1</v>
      </c>
      <c r="N402">
        <v>13289</v>
      </c>
      <c r="O402" t="s">
        <v>1515</v>
      </c>
      <c r="P402" t="s">
        <v>1328</v>
      </c>
      <c r="Q402">
        <v>0</v>
      </c>
      <c r="S402">
        <v>291</v>
      </c>
      <c r="T402">
        <v>49</v>
      </c>
      <c r="V402">
        <v>350</v>
      </c>
    </row>
    <row r="403" spans="1:22">
      <c r="A403" s="32" t="s">
        <v>2119</v>
      </c>
      <c r="B403" s="32" t="s">
        <v>1515</v>
      </c>
      <c r="C403" s="32" t="s">
        <v>1149</v>
      </c>
      <c r="D403" s="33">
        <v>0</v>
      </c>
      <c r="E403" s="33">
        <v>62</v>
      </c>
      <c r="F403" s="33">
        <v>1007</v>
      </c>
      <c r="G403" s="33">
        <v>249</v>
      </c>
      <c r="H403" s="33">
        <v>13</v>
      </c>
      <c r="I403" s="33">
        <v>1331</v>
      </c>
      <c r="K403" t="b">
        <f>QHPSelections2016[[#This Row],[County Name]]=P403</f>
        <v>1</v>
      </c>
      <c r="L403" t="b">
        <f>QHPSelections2016[[#This Row],[Silver]]=S403</f>
        <v>1</v>
      </c>
      <c r="N403">
        <v>13291</v>
      </c>
      <c r="O403" t="s">
        <v>1515</v>
      </c>
      <c r="P403" t="s">
        <v>1149</v>
      </c>
      <c r="Q403">
        <v>0</v>
      </c>
      <c r="R403">
        <v>62</v>
      </c>
      <c r="S403" s="51">
        <v>1007</v>
      </c>
      <c r="T403">
        <v>249</v>
      </c>
      <c r="U403">
        <v>13</v>
      </c>
      <c r="V403" s="51">
        <v>1331</v>
      </c>
    </row>
    <row r="404" spans="1:22">
      <c r="A404" s="32" t="s">
        <v>2120</v>
      </c>
      <c r="B404" s="32" t="s">
        <v>1515</v>
      </c>
      <c r="C404" s="32" t="s">
        <v>1330</v>
      </c>
      <c r="D404" s="33">
        <v>0</v>
      </c>
      <c r="E404" s="33">
        <v>25</v>
      </c>
      <c r="F404" s="33">
        <v>818</v>
      </c>
      <c r="G404" s="33">
        <v>193</v>
      </c>
      <c r="H404" s="33">
        <v>20</v>
      </c>
      <c r="I404" s="33">
        <v>1056</v>
      </c>
      <c r="K404" t="b">
        <f>QHPSelections2016[[#This Row],[County Name]]=P404</f>
        <v>1</v>
      </c>
      <c r="L404" t="b">
        <f>QHPSelections2016[[#This Row],[Silver]]=S404</f>
        <v>1</v>
      </c>
      <c r="N404">
        <v>13293</v>
      </c>
      <c r="O404" t="s">
        <v>1515</v>
      </c>
      <c r="P404" t="s">
        <v>1330</v>
      </c>
      <c r="Q404">
        <v>0</v>
      </c>
      <c r="R404">
        <v>25</v>
      </c>
      <c r="S404">
        <v>818</v>
      </c>
      <c r="T404">
        <v>193</v>
      </c>
      <c r="U404">
        <v>20</v>
      </c>
      <c r="V404" s="51">
        <v>1056</v>
      </c>
    </row>
    <row r="405" spans="1:22">
      <c r="A405" s="32" t="s">
        <v>2121</v>
      </c>
      <c r="B405" s="32" t="s">
        <v>1515</v>
      </c>
      <c r="C405" s="32" t="s">
        <v>1154</v>
      </c>
      <c r="D405" s="33">
        <v>0</v>
      </c>
      <c r="E405" s="33">
        <v>76</v>
      </c>
      <c r="F405" s="33">
        <v>2138</v>
      </c>
      <c r="G405" s="33">
        <v>429</v>
      </c>
      <c r="H405" s="33">
        <v>37</v>
      </c>
      <c r="I405" s="33">
        <v>2680</v>
      </c>
      <c r="K405" t="b">
        <f>QHPSelections2016[[#This Row],[County Name]]=P405</f>
        <v>1</v>
      </c>
      <c r="L405" t="b">
        <f>QHPSelections2016[[#This Row],[Silver]]=S405</f>
        <v>1</v>
      </c>
      <c r="N405">
        <v>13295</v>
      </c>
      <c r="O405" t="s">
        <v>1515</v>
      </c>
      <c r="P405" t="s">
        <v>1154</v>
      </c>
      <c r="Q405">
        <v>0</v>
      </c>
      <c r="R405">
        <v>76</v>
      </c>
      <c r="S405" s="51">
        <v>2138</v>
      </c>
      <c r="T405">
        <v>429</v>
      </c>
      <c r="U405">
        <v>37</v>
      </c>
      <c r="V405" s="51">
        <v>2680</v>
      </c>
    </row>
    <row r="406" spans="1:22">
      <c r="A406" s="32" t="s">
        <v>2122</v>
      </c>
      <c r="B406" s="32" t="s">
        <v>1515</v>
      </c>
      <c r="C406" s="32" t="s">
        <v>1167</v>
      </c>
      <c r="D406" s="33">
        <v>0</v>
      </c>
      <c r="E406" s="33">
        <v>231</v>
      </c>
      <c r="F406" s="33">
        <v>3317</v>
      </c>
      <c r="G406" s="33">
        <v>710</v>
      </c>
      <c r="H406" s="33">
        <v>69</v>
      </c>
      <c r="I406" s="33">
        <v>4327</v>
      </c>
      <c r="K406" t="b">
        <f>QHPSelections2016[[#This Row],[County Name]]=P406</f>
        <v>1</v>
      </c>
      <c r="L406" t="b">
        <f>QHPSelections2016[[#This Row],[Silver]]=S406</f>
        <v>1</v>
      </c>
      <c r="N406">
        <v>13297</v>
      </c>
      <c r="O406" t="s">
        <v>1515</v>
      </c>
      <c r="P406" t="s">
        <v>1167</v>
      </c>
      <c r="Q406">
        <v>0</v>
      </c>
      <c r="R406">
        <v>231</v>
      </c>
      <c r="S406" s="51">
        <v>3317</v>
      </c>
      <c r="T406">
        <v>710</v>
      </c>
      <c r="U406">
        <v>69</v>
      </c>
      <c r="V406" s="51">
        <v>4327</v>
      </c>
    </row>
    <row r="407" spans="1:22">
      <c r="A407" s="32" t="s">
        <v>2123</v>
      </c>
      <c r="B407" s="32" t="s">
        <v>1515</v>
      </c>
      <c r="C407" s="32" t="s">
        <v>1331</v>
      </c>
      <c r="D407" s="33">
        <v>0</v>
      </c>
      <c r="E407" s="33">
        <v>20</v>
      </c>
      <c r="F407" s="33">
        <v>745</v>
      </c>
      <c r="G407" s="33">
        <v>174</v>
      </c>
      <c r="H407" s="33">
        <v>12</v>
      </c>
      <c r="I407" s="33">
        <v>951</v>
      </c>
      <c r="K407" t="b">
        <f>QHPSelections2016[[#This Row],[County Name]]=P407</f>
        <v>1</v>
      </c>
      <c r="L407" t="b">
        <f>QHPSelections2016[[#This Row],[Silver]]=S407</f>
        <v>1</v>
      </c>
      <c r="N407">
        <v>13299</v>
      </c>
      <c r="O407" t="s">
        <v>1515</v>
      </c>
      <c r="P407" t="s">
        <v>1331</v>
      </c>
      <c r="Q407">
        <v>0</v>
      </c>
      <c r="R407">
        <v>20</v>
      </c>
      <c r="S407">
        <v>745</v>
      </c>
      <c r="T407">
        <v>174</v>
      </c>
      <c r="U407">
        <v>12</v>
      </c>
      <c r="V407">
        <v>951</v>
      </c>
    </row>
    <row r="408" spans="1:22">
      <c r="A408" s="32" t="s">
        <v>2124</v>
      </c>
      <c r="B408" s="32" t="s">
        <v>1515</v>
      </c>
      <c r="C408" s="32" t="s">
        <v>1205</v>
      </c>
      <c r="D408" s="33">
        <v>0</v>
      </c>
      <c r="E408" s="33" t="s">
        <v>1639</v>
      </c>
      <c r="F408" s="33">
        <v>272</v>
      </c>
      <c r="G408" s="33">
        <v>44</v>
      </c>
      <c r="H408" s="33" t="s">
        <v>1639</v>
      </c>
      <c r="I408" s="33">
        <v>323</v>
      </c>
      <c r="K408" t="b">
        <f>QHPSelections2016[[#This Row],[County Name]]=P408</f>
        <v>1</v>
      </c>
      <c r="L408" t="b">
        <f>QHPSelections2016[[#This Row],[Silver]]=S408</f>
        <v>1</v>
      </c>
      <c r="N408">
        <v>13301</v>
      </c>
      <c r="O408" t="s">
        <v>1515</v>
      </c>
      <c r="P408" t="s">
        <v>1205</v>
      </c>
      <c r="Q408">
        <v>0</v>
      </c>
      <c r="S408">
        <v>272</v>
      </c>
      <c r="T408">
        <v>44</v>
      </c>
      <c r="V408">
        <v>323</v>
      </c>
    </row>
    <row r="409" spans="1:22">
      <c r="A409" s="32" t="s">
        <v>2125</v>
      </c>
      <c r="B409" s="32" t="s">
        <v>1515</v>
      </c>
      <c r="C409" s="32" t="s">
        <v>1160</v>
      </c>
      <c r="D409" s="33">
        <v>0</v>
      </c>
      <c r="E409" s="33">
        <v>35</v>
      </c>
      <c r="F409" s="33">
        <v>673</v>
      </c>
      <c r="G409" s="33">
        <v>135</v>
      </c>
      <c r="H409" s="33">
        <v>15</v>
      </c>
      <c r="I409" s="33">
        <v>858</v>
      </c>
      <c r="K409" t="b">
        <f>QHPSelections2016[[#This Row],[County Name]]=P409</f>
        <v>1</v>
      </c>
      <c r="L409" t="b">
        <f>QHPSelections2016[[#This Row],[Silver]]=S409</f>
        <v>1</v>
      </c>
      <c r="N409">
        <v>13303</v>
      </c>
      <c r="O409" t="s">
        <v>1515</v>
      </c>
      <c r="P409" t="s">
        <v>1160</v>
      </c>
      <c r="Q409">
        <v>0</v>
      </c>
      <c r="R409">
        <v>35</v>
      </c>
      <c r="S409">
        <v>673</v>
      </c>
      <c r="T409">
        <v>135</v>
      </c>
      <c r="U409">
        <v>15</v>
      </c>
      <c r="V409">
        <v>858</v>
      </c>
    </row>
    <row r="410" spans="1:22">
      <c r="A410" s="32" t="s">
        <v>2126</v>
      </c>
      <c r="B410" s="32" t="s">
        <v>1515</v>
      </c>
      <c r="C410" s="32" t="s">
        <v>1209</v>
      </c>
      <c r="D410" s="33">
        <v>0</v>
      </c>
      <c r="E410" s="33">
        <v>75</v>
      </c>
      <c r="F410" s="33">
        <v>1094</v>
      </c>
      <c r="G410" s="33">
        <v>214</v>
      </c>
      <c r="H410" s="33">
        <v>14</v>
      </c>
      <c r="I410" s="33">
        <v>1397</v>
      </c>
      <c r="K410" t="b">
        <f>QHPSelections2016[[#This Row],[County Name]]=P410</f>
        <v>1</v>
      </c>
      <c r="L410" t="b">
        <f>QHPSelections2016[[#This Row],[Silver]]=S410</f>
        <v>1</v>
      </c>
      <c r="N410">
        <v>13305</v>
      </c>
      <c r="O410" t="s">
        <v>1515</v>
      </c>
      <c r="P410" t="s">
        <v>1209</v>
      </c>
      <c r="Q410">
        <v>0</v>
      </c>
      <c r="R410">
        <v>75</v>
      </c>
      <c r="S410" s="51">
        <v>1094</v>
      </c>
      <c r="T410">
        <v>214</v>
      </c>
      <c r="U410">
        <v>14</v>
      </c>
      <c r="V410" s="51">
        <v>1397</v>
      </c>
    </row>
    <row r="411" spans="1:22">
      <c r="A411" s="32" t="s">
        <v>2127</v>
      </c>
      <c r="B411" s="32" t="s">
        <v>1515</v>
      </c>
      <c r="C411" s="32" t="s">
        <v>1212</v>
      </c>
      <c r="D411" s="33">
        <v>0</v>
      </c>
      <c r="E411" s="33" t="s">
        <v>1639</v>
      </c>
      <c r="F411" s="33">
        <v>123</v>
      </c>
      <c r="G411" s="33">
        <v>20</v>
      </c>
      <c r="H411" s="33" t="s">
        <v>1639</v>
      </c>
      <c r="I411" s="33">
        <v>145</v>
      </c>
      <c r="K411" t="b">
        <f>QHPSelections2016[[#This Row],[County Name]]=P411</f>
        <v>1</v>
      </c>
      <c r="L411" t="b">
        <f>QHPSelections2016[[#This Row],[Silver]]=S411</f>
        <v>1</v>
      </c>
      <c r="N411">
        <v>13307</v>
      </c>
      <c r="O411" t="s">
        <v>1515</v>
      </c>
      <c r="P411" t="s">
        <v>1212</v>
      </c>
      <c r="Q411">
        <v>0</v>
      </c>
      <c r="S411">
        <v>123</v>
      </c>
      <c r="T411">
        <v>20</v>
      </c>
      <c r="V411">
        <v>145</v>
      </c>
    </row>
    <row r="412" spans="1:22">
      <c r="A412" s="32" t="s">
        <v>2128</v>
      </c>
      <c r="B412" s="32" t="s">
        <v>1515</v>
      </c>
      <c r="C412" s="32" t="s">
        <v>1337</v>
      </c>
      <c r="D412" s="33">
        <v>0</v>
      </c>
      <c r="E412" s="33" t="s">
        <v>1639</v>
      </c>
      <c r="F412" s="33">
        <v>137</v>
      </c>
      <c r="G412" s="33">
        <v>39</v>
      </c>
      <c r="H412" s="33" t="s">
        <v>1639</v>
      </c>
      <c r="I412" s="33">
        <v>178</v>
      </c>
      <c r="K412" t="b">
        <f>QHPSelections2016[[#This Row],[County Name]]=P412</f>
        <v>1</v>
      </c>
      <c r="L412" t="b">
        <f>QHPSelections2016[[#This Row],[Silver]]=S412</f>
        <v>1</v>
      </c>
      <c r="N412">
        <v>13309</v>
      </c>
      <c r="O412" t="s">
        <v>1515</v>
      </c>
      <c r="P412" t="s">
        <v>1337</v>
      </c>
      <c r="Q412">
        <v>0</v>
      </c>
      <c r="S412">
        <v>137</v>
      </c>
      <c r="T412">
        <v>39</v>
      </c>
      <c r="V412">
        <v>178</v>
      </c>
    </row>
    <row r="413" spans="1:22">
      <c r="A413" s="32" t="s">
        <v>2129</v>
      </c>
      <c r="B413" s="32" t="s">
        <v>1515</v>
      </c>
      <c r="C413" s="32" t="s">
        <v>1258</v>
      </c>
      <c r="D413" s="33">
        <v>0</v>
      </c>
      <c r="E413" s="33">
        <v>86</v>
      </c>
      <c r="F413" s="33">
        <v>1729</v>
      </c>
      <c r="G413" s="33">
        <v>162</v>
      </c>
      <c r="H413" s="33">
        <v>14</v>
      </c>
      <c r="I413" s="33">
        <v>1991</v>
      </c>
      <c r="K413" t="b">
        <f>QHPSelections2016[[#This Row],[County Name]]=P413</f>
        <v>1</v>
      </c>
      <c r="L413" t="b">
        <f>QHPSelections2016[[#This Row],[Silver]]=S413</f>
        <v>1</v>
      </c>
      <c r="N413">
        <v>13311</v>
      </c>
      <c r="O413" t="s">
        <v>1515</v>
      </c>
      <c r="P413" t="s">
        <v>1258</v>
      </c>
      <c r="Q413">
        <v>0</v>
      </c>
      <c r="R413">
        <v>86</v>
      </c>
      <c r="S413" s="51">
        <v>1729</v>
      </c>
      <c r="T413">
        <v>162</v>
      </c>
      <c r="U413">
        <v>14</v>
      </c>
      <c r="V413" s="51">
        <v>1991</v>
      </c>
    </row>
    <row r="414" spans="1:22">
      <c r="A414" s="32" t="s">
        <v>2130</v>
      </c>
      <c r="B414" s="32" t="s">
        <v>1515</v>
      </c>
      <c r="C414" s="32" t="s">
        <v>1340</v>
      </c>
      <c r="D414" s="33">
        <v>0</v>
      </c>
      <c r="E414" s="33">
        <v>100</v>
      </c>
      <c r="F414" s="33">
        <v>2962</v>
      </c>
      <c r="G414" s="33">
        <v>460</v>
      </c>
      <c r="H414" s="33">
        <v>46</v>
      </c>
      <c r="I414" s="33">
        <v>3568</v>
      </c>
      <c r="K414" t="b">
        <f>QHPSelections2016[[#This Row],[County Name]]=P414</f>
        <v>1</v>
      </c>
      <c r="L414" t="b">
        <f>QHPSelections2016[[#This Row],[Silver]]=S414</f>
        <v>1</v>
      </c>
      <c r="N414">
        <v>13313</v>
      </c>
      <c r="O414" t="s">
        <v>1515</v>
      </c>
      <c r="P414" t="s">
        <v>1340</v>
      </c>
      <c r="Q414">
        <v>0</v>
      </c>
      <c r="R414">
        <v>100</v>
      </c>
      <c r="S414" s="51">
        <v>2962</v>
      </c>
      <c r="T414">
        <v>460</v>
      </c>
      <c r="U414">
        <v>46</v>
      </c>
      <c r="V414" s="51">
        <v>3568</v>
      </c>
    </row>
    <row r="415" spans="1:22">
      <c r="A415" s="32" t="s">
        <v>2131</v>
      </c>
      <c r="B415" s="32" t="s">
        <v>1515</v>
      </c>
      <c r="C415" s="32" t="s">
        <v>1166</v>
      </c>
      <c r="D415" s="33">
        <v>0</v>
      </c>
      <c r="E415" s="33" t="s">
        <v>1639</v>
      </c>
      <c r="F415" s="33">
        <v>235</v>
      </c>
      <c r="G415" s="33">
        <v>58</v>
      </c>
      <c r="H415" s="33" t="s">
        <v>1639</v>
      </c>
      <c r="I415" s="33">
        <v>294</v>
      </c>
      <c r="K415" t="b">
        <f>QHPSelections2016[[#This Row],[County Name]]=P415</f>
        <v>1</v>
      </c>
      <c r="L415" t="b">
        <f>QHPSelections2016[[#This Row],[Silver]]=S415</f>
        <v>1</v>
      </c>
      <c r="N415">
        <v>13315</v>
      </c>
      <c r="O415" t="s">
        <v>1515</v>
      </c>
      <c r="P415" t="s">
        <v>1166</v>
      </c>
      <c r="Q415">
        <v>0</v>
      </c>
      <c r="S415">
        <v>235</v>
      </c>
      <c r="T415">
        <v>58</v>
      </c>
      <c r="V415">
        <v>294</v>
      </c>
    </row>
    <row r="416" spans="1:22">
      <c r="A416" s="32" t="s">
        <v>2132</v>
      </c>
      <c r="B416" s="32" t="s">
        <v>1515</v>
      </c>
      <c r="C416" s="32" t="s">
        <v>1266</v>
      </c>
      <c r="D416" s="33">
        <v>0</v>
      </c>
      <c r="E416" s="33" t="s">
        <v>1639</v>
      </c>
      <c r="F416" s="33">
        <v>421</v>
      </c>
      <c r="G416" s="33">
        <v>52</v>
      </c>
      <c r="H416" s="33" t="s">
        <v>1639</v>
      </c>
      <c r="I416" s="33">
        <v>498</v>
      </c>
      <c r="K416" t="b">
        <f>QHPSelections2016[[#This Row],[County Name]]=P416</f>
        <v>1</v>
      </c>
      <c r="L416" t="b">
        <f>QHPSelections2016[[#This Row],[Silver]]=S416</f>
        <v>1</v>
      </c>
      <c r="N416">
        <v>13317</v>
      </c>
      <c r="O416" t="s">
        <v>1515</v>
      </c>
      <c r="P416" t="s">
        <v>1266</v>
      </c>
      <c r="Q416">
        <v>0</v>
      </c>
      <c r="S416">
        <v>421</v>
      </c>
      <c r="T416">
        <v>52</v>
      </c>
      <c r="V416">
        <v>498</v>
      </c>
    </row>
    <row r="417" spans="1:22">
      <c r="A417" s="32" t="s">
        <v>2133</v>
      </c>
      <c r="B417" s="32" t="s">
        <v>1515</v>
      </c>
      <c r="C417" s="32" t="s">
        <v>1216</v>
      </c>
      <c r="D417" s="33">
        <v>0</v>
      </c>
      <c r="E417" s="33" t="s">
        <v>1639</v>
      </c>
      <c r="F417" s="33">
        <v>331</v>
      </c>
      <c r="G417" s="33">
        <v>52</v>
      </c>
      <c r="H417" s="33" t="s">
        <v>1639</v>
      </c>
      <c r="I417" s="33">
        <v>410</v>
      </c>
      <c r="K417" t="b">
        <f>QHPSelections2016[[#This Row],[County Name]]=P417</f>
        <v>1</v>
      </c>
      <c r="L417" t="b">
        <f>QHPSelections2016[[#This Row],[Silver]]=S417</f>
        <v>1</v>
      </c>
      <c r="N417">
        <v>13319</v>
      </c>
      <c r="O417" t="s">
        <v>1515</v>
      </c>
      <c r="P417" t="s">
        <v>1216</v>
      </c>
      <c r="Q417">
        <v>0</v>
      </c>
      <c r="S417">
        <v>331</v>
      </c>
      <c r="T417">
        <v>52</v>
      </c>
      <c r="V417">
        <v>410</v>
      </c>
    </row>
    <row r="418" spans="1:22">
      <c r="A418" s="32" t="s">
        <v>2134</v>
      </c>
      <c r="B418" s="32" t="s">
        <v>1515</v>
      </c>
      <c r="C418" s="32" t="s">
        <v>1343</v>
      </c>
      <c r="D418" s="33">
        <v>0</v>
      </c>
      <c r="E418" s="33" t="s">
        <v>1639</v>
      </c>
      <c r="F418" s="33">
        <v>521</v>
      </c>
      <c r="G418" s="33">
        <v>141</v>
      </c>
      <c r="H418" s="33" t="s">
        <v>1639</v>
      </c>
      <c r="I418" s="33">
        <v>685</v>
      </c>
      <c r="K418" t="b">
        <f>QHPSelections2016[[#This Row],[County Name]]=P418</f>
        <v>1</v>
      </c>
      <c r="L418" t="b">
        <f>QHPSelections2016[[#This Row],[Silver]]=S418</f>
        <v>1</v>
      </c>
      <c r="N418">
        <v>13321</v>
      </c>
      <c r="O418" t="s">
        <v>1515</v>
      </c>
      <c r="P418" t="s">
        <v>1343</v>
      </c>
      <c r="Q418">
        <v>0</v>
      </c>
      <c r="S418">
        <v>521</v>
      </c>
      <c r="T418">
        <v>141</v>
      </c>
      <c r="V418">
        <v>685</v>
      </c>
    </row>
    <row r="419" spans="1:22">
      <c r="A419" s="32" t="s">
        <v>2135</v>
      </c>
      <c r="B419" s="32" t="s">
        <v>2136</v>
      </c>
      <c r="C419" s="32" t="s">
        <v>2137</v>
      </c>
      <c r="D419" s="33" t="s">
        <v>1639</v>
      </c>
      <c r="E419" s="33">
        <v>251</v>
      </c>
      <c r="F419" s="33">
        <v>2486</v>
      </c>
      <c r="G419" s="33">
        <v>488</v>
      </c>
      <c r="H419" s="33" t="s">
        <v>1639</v>
      </c>
      <c r="I419" s="33">
        <v>3405</v>
      </c>
      <c r="K419" t="b">
        <f>QHPSelections2016[[#This Row],[County Name]]=P419</f>
        <v>1</v>
      </c>
      <c r="L419" t="b">
        <f>QHPSelections2016[[#This Row],[Silver]]=S419</f>
        <v>1</v>
      </c>
      <c r="N419">
        <v>15001</v>
      </c>
      <c r="O419" t="s">
        <v>2136</v>
      </c>
      <c r="P419" t="s">
        <v>2137</v>
      </c>
      <c r="R419">
        <v>251</v>
      </c>
      <c r="S419" s="51">
        <v>2486</v>
      </c>
      <c r="T419">
        <v>488</v>
      </c>
      <c r="V419" s="51">
        <v>3405</v>
      </c>
    </row>
    <row r="420" spans="1:22">
      <c r="A420" s="32" t="s">
        <v>2138</v>
      </c>
      <c r="B420" s="32" t="s">
        <v>2136</v>
      </c>
      <c r="C420" s="32" t="s">
        <v>2139</v>
      </c>
      <c r="D420" s="33">
        <v>406</v>
      </c>
      <c r="E420" s="33">
        <v>460</v>
      </c>
      <c r="F420" s="33">
        <v>5862</v>
      </c>
      <c r="G420" s="33">
        <v>1161</v>
      </c>
      <c r="H420" s="33">
        <v>34</v>
      </c>
      <c r="I420" s="33">
        <v>7923</v>
      </c>
      <c r="K420" t="b">
        <f>QHPSelections2016[[#This Row],[County Name]]=P420</f>
        <v>1</v>
      </c>
      <c r="L420" t="b">
        <f>QHPSelections2016[[#This Row],[Silver]]=S420</f>
        <v>1</v>
      </c>
      <c r="N420">
        <v>15003</v>
      </c>
      <c r="O420" t="s">
        <v>2136</v>
      </c>
      <c r="P420" t="s">
        <v>2139</v>
      </c>
      <c r="Q420">
        <v>406</v>
      </c>
      <c r="R420">
        <v>460</v>
      </c>
      <c r="S420" s="51">
        <v>5862</v>
      </c>
      <c r="T420" s="51">
        <v>1161</v>
      </c>
      <c r="U420">
        <v>34</v>
      </c>
      <c r="V420" s="51">
        <v>7923</v>
      </c>
    </row>
    <row r="421" spans="1:22">
      <c r="A421" s="32" t="s">
        <v>2140</v>
      </c>
      <c r="B421" s="32" t="s">
        <v>2136</v>
      </c>
      <c r="C421" s="32" t="s">
        <v>2141</v>
      </c>
      <c r="D421" s="33" t="s">
        <v>1639</v>
      </c>
      <c r="E421" s="33">
        <v>76</v>
      </c>
      <c r="F421" s="33">
        <v>493</v>
      </c>
      <c r="G421" s="33">
        <v>201</v>
      </c>
      <c r="H421" s="33" t="s">
        <v>1639</v>
      </c>
      <c r="I421" s="33">
        <v>827</v>
      </c>
      <c r="K421" t="b">
        <f>QHPSelections2016[[#This Row],[County Name]]=P421</f>
        <v>1</v>
      </c>
      <c r="L421" t="b">
        <f>QHPSelections2016[[#This Row],[Silver]]=S421</f>
        <v>1</v>
      </c>
      <c r="N421">
        <v>15007</v>
      </c>
      <c r="O421" t="s">
        <v>2136</v>
      </c>
      <c r="P421" t="s">
        <v>2141</v>
      </c>
      <c r="R421">
        <v>76</v>
      </c>
      <c r="S421">
        <v>493</v>
      </c>
      <c r="T421">
        <v>201</v>
      </c>
      <c r="V421">
        <v>827</v>
      </c>
    </row>
    <row r="422" spans="1:22">
      <c r="A422" s="32" t="s">
        <v>2142</v>
      </c>
      <c r="B422" s="32" t="s">
        <v>2136</v>
      </c>
      <c r="C422" s="32" t="s">
        <v>2143</v>
      </c>
      <c r="D422" s="33" t="s">
        <v>1639</v>
      </c>
      <c r="E422" s="33">
        <v>236</v>
      </c>
      <c r="F422" s="33">
        <v>1505</v>
      </c>
      <c r="G422" s="33">
        <v>466</v>
      </c>
      <c r="H422" s="33" t="s">
        <v>1639</v>
      </c>
      <c r="I422" s="33">
        <v>2409</v>
      </c>
      <c r="K422" t="b">
        <f>QHPSelections2016[[#This Row],[County Name]]=P422</f>
        <v>1</v>
      </c>
      <c r="L422" t="b">
        <f>QHPSelections2016[[#This Row],[Silver]]=S422</f>
        <v>1</v>
      </c>
      <c r="N422">
        <v>15009</v>
      </c>
      <c r="O422" t="s">
        <v>2136</v>
      </c>
      <c r="P422" t="s">
        <v>2143</v>
      </c>
      <c r="R422">
        <v>236</v>
      </c>
      <c r="S422" s="51">
        <v>1505</v>
      </c>
      <c r="T422">
        <v>466</v>
      </c>
      <c r="V422" s="51">
        <v>2409</v>
      </c>
    </row>
    <row r="423" spans="1:22">
      <c r="A423" s="32" t="s">
        <v>2144</v>
      </c>
      <c r="B423" s="32" t="s">
        <v>2145</v>
      </c>
      <c r="C423" s="32" t="s">
        <v>2146</v>
      </c>
      <c r="D423" s="33">
        <v>0</v>
      </c>
      <c r="E423" s="33" t="s">
        <v>1639</v>
      </c>
      <c r="F423" s="33">
        <v>106</v>
      </c>
      <c r="G423" s="33">
        <v>42</v>
      </c>
      <c r="H423" s="33" t="s">
        <v>1639</v>
      </c>
      <c r="I423" s="33">
        <v>155</v>
      </c>
      <c r="K423" t="b">
        <f>QHPSelections2016[[#This Row],[County Name]]=P423</f>
        <v>1</v>
      </c>
      <c r="L423" t="b">
        <f>QHPSelections2016[[#This Row],[Silver]]=S423</f>
        <v>1</v>
      </c>
      <c r="N423">
        <v>19001</v>
      </c>
      <c r="O423" t="s">
        <v>2145</v>
      </c>
      <c r="P423" t="s">
        <v>2146</v>
      </c>
      <c r="Q423">
        <v>0</v>
      </c>
      <c r="S423">
        <v>106</v>
      </c>
      <c r="T423">
        <v>42</v>
      </c>
      <c r="V423">
        <v>155</v>
      </c>
    </row>
    <row r="424" spans="1:22">
      <c r="A424" s="32" t="s">
        <v>2147</v>
      </c>
      <c r="B424" s="32" t="s">
        <v>2145</v>
      </c>
      <c r="C424" s="32" t="s">
        <v>820</v>
      </c>
      <c r="D424" s="33">
        <v>0</v>
      </c>
      <c r="E424" s="33" t="s">
        <v>1639</v>
      </c>
      <c r="F424" s="33">
        <v>50</v>
      </c>
      <c r="G424" s="33">
        <v>13</v>
      </c>
      <c r="H424" s="33" t="s">
        <v>1639</v>
      </c>
      <c r="I424" s="33">
        <v>69</v>
      </c>
      <c r="K424" t="b">
        <f>QHPSelections2016[[#This Row],[County Name]]=P424</f>
        <v>1</v>
      </c>
      <c r="L424" t="b">
        <f>QHPSelections2016[[#This Row],[Silver]]=S424</f>
        <v>1</v>
      </c>
      <c r="N424">
        <v>19003</v>
      </c>
      <c r="O424" t="s">
        <v>2145</v>
      </c>
      <c r="P424" t="s">
        <v>820</v>
      </c>
      <c r="Q424">
        <v>0</v>
      </c>
      <c r="S424">
        <v>50</v>
      </c>
      <c r="T424">
        <v>13</v>
      </c>
      <c r="V424">
        <v>69</v>
      </c>
    </row>
    <row r="425" spans="1:22">
      <c r="A425" s="32" t="s">
        <v>2148</v>
      </c>
      <c r="B425" s="32" t="s">
        <v>2145</v>
      </c>
      <c r="C425" s="32" t="s">
        <v>2149</v>
      </c>
      <c r="D425" s="33" t="s">
        <v>1639</v>
      </c>
      <c r="E425" s="33">
        <v>14</v>
      </c>
      <c r="F425" s="33">
        <v>388</v>
      </c>
      <c r="G425" s="33">
        <v>74</v>
      </c>
      <c r="H425" s="33" t="s">
        <v>1639</v>
      </c>
      <c r="I425" s="33">
        <v>479</v>
      </c>
      <c r="K425" t="b">
        <f>QHPSelections2016[[#This Row],[County Name]]=P425</f>
        <v>1</v>
      </c>
      <c r="L425" t="b">
        <f>QHPSelections2016[[#This Row],[Silver]]=S425</f>
        <v>1</v>
      </c>
      <c r="N425">
        <v>19005</v>
      </c>
      <c r="O425" t="s">
        <v>2145</v>
      </c>
      <c r="P425" t="s">
        <v>2149</v>
      </c>
      <c r="R425">
        <v>14</v>
      </c>
      <c r="S425">
        <v>388</v>
      </c>
      <c r="T425">
        <v>74</v>
      </c>
      <c r="V425">
        <v>479</v>
      </c>
    </row>
    <row r="426" spans="1:22">
      <c r="A426" s="32" t="s">
        <v>2150</v>
      </c>
      <c r="B426" s="32" t="s">
        <v>2145</v>
      </c>
      <c r="C426" s="32" t="s">
        <v>2151</v>
      </c>
      <c r="D426" s="33" t="s">
        <v>1639</v>
      </c>
      <c r="E426" s="33">
        <v>14</v>
      </c>
      <c r="F426" s="33">
        <v>202</v>
      </c>
      <c r="G426" s="33">
        <v>53</v>
      </c>
      <c r="H426" s="33" t="s">
        <v>1639</v>
      </c>
      <c r="I426" s="33">
        <v>270</v>
      </c>
      <c r="K426" t="b">
        <f>QHPSelections2016[[#This Row],[County Name]]=P426</f>
        <v>1</v>
      </c>
      <c r="L426" t="b">
        <f>QHPSelections2016[[#This Row],[Silver]]=S426</f>
        <v>1</v>
      </c>
      <c r="N426">
        <v>19007</v>
      </c>
      <c r="O426" t="s">
        <v>2145</v>
      </c>
      <c r="P426" t="s">
        <v>2151</v>
      </c>
      <c r="R426">
        <v>14</v>
      </c>
      <c r="S426">
        <v>202</v>
      </c>
      <c r="T426">
        <v>53</v>
      </c>
      <c r="V426">
        <v>270</v>
      </c>
    </row>
    <row r="427" spans="1:22">
      <c r="A427" s="32" t="s">
        <v>2152</v>
      </c>
      <c r="B427" s="32" t="s">
        <v>2145</v>
      </c>
      <c r="C427" s="32" t="s">
        <v>2153</v>
      </c>
      <c r="D427" s="33">
        <v>0</v>
      </c>
      <c r="E427" s="33" t="s">
        <v>1639</v>
      </c>
      <c r="F427" s="33">
        <v>87</v>
      </c>
      <c r="G427" s="33">
        <v>44</v>
      </c>
      <c r="H427" s="33" t="s">
        <v>1639</v>
      </c>
      <c r="I427" s="33">
        <v>138</v>
      </c>
      <c r="K427" t="b">
        <f>QHPSelections2016[[#This Row],[County Name]]=P427</f>
        <v>1</v>
      </c>
      <c r="L427" t="b">
        <f>QHPSelections2016[[#This Row],[Silver]]=S427</f>
        <v>1</v>
      </c>
      <c r="N427">
        <v>19009</v>
      </c>
      <c r="O427" t="s">
        <v>2145</v>
      </c>
      <c r="P427" t="s">
        <v>2153</v>
      </c>
      <c r="Q427">
        <v>0</v>
      </c>
      <c r="S427">
        <v>87</v>
      </c>
      <c r="T427">
        <v>44</v>
      </c>
      <c r="V427">
        <v>138</v>
      </c>
    </row>
    <row r="428" spans="1:22">
      <c r="A428" s="32" t="s">
        <v>2154</v>
      </c>
      <c r="B428" s="32" t="s">
        <v>2145</v>
      </c>
      <c r="C428" s="32" t="s">
        <v>835</v>
      </c>
      <c r="D428" s="33">
        <v>0</v>
      </c>
      <c r="E428" s="33">
        <v>45</v>
      </c>
      <c r="F428" s="33">
        <v>326</v>
      </c>
      <c r="G428" s="33">
        <v>133</v>
      </c>
      <c r="H428" s="33">
        <v>0</v>
      </c>
      <c r="I428" s="33">
        <v>504</v>
      </c>
      <c r="K428" t="b">
        <f>QHPSelections2016[[#This Row],[County Name]]=P428</f>
        <v>1</v>
      </c>
      <c r="L428" t="b">
        <f>QHPSelections2016[[#This Row],[Silver]]=S428</f>
        <v>1</v>
      </c>
      <c r="N428">
        <v>19011</v>
      </c>
      <c r="O428" t="s">
        <v>2145</v>
      </c>
      <c r="P428" t="s">
        <v>835</v>
      </c>
      <c r="Q428">
        <v>0</v>
      </c>
      <c r="R428">
        <v>45</v>
      </c>
      <c r="S428">
        <v>326</v>
      </c>
      <c r="T428">
        <v>133</v>
      </c>
      <c r="U428">
        <v>0</v>
      </c>
      <c r="V428">
        <v>504</v>
      </c>
    </row>
    <row r="429" spans="1:22">
      <c r="A429" s="32" t="s">
        <v>2155</v>
      </c>
      <c r="B429" s="32" t="s">
        <v>2145</v>
      </c>
      <c r="C429" s="32" t="s">
        <v>2156</v>
      </c>
      <c r="D429" s="33" t="s">
        <v>1639</v>
      </c>
      <c r="E429" s="33">
        <v>88</v>
      </c>
      <c r="F429" s="33">
        <v>1283</v>
      </c>
      <c r="G429" s="33">
        <v>594</v>
      </c>
      <c r="H429" s="33" t="s">
        <v>1639</v>
      </c>
      <c r="I429" s="33">
        <v>1966</v>
      </c>
      <c r="K429" t="b">
        <f>QHPSelections2016[[#This Row],[County Name]]=P429</f>
        <v>1</v>
      </c>
      <c r="L429" t="b">
        <f>QHPSelections2016[[#This Row],[Silver]]=S429</f>
        <v>1</v>
      </c>
      <c r="N429">
        <v>19013</v>
      </c>
      <c r="O429" t="s">
        <v>2145</v>
      </c>
      <c r="P429" t="s">
        <v>2156</v>
      </c>
      <c r="R429">
        <v>88</v>
      </c>
      <c r="S429" s="51">
        <v>1283</v>
      </c>
      <c r="T429">
        <v>594</v>
      </c>
      <c r="V429" s="51">
        <v>1966</v>
      </c>
    </row>
    <row r="430" spans="1:22">
      <c r="A430" s="32" t="s">
        <v>2157</v>
      </c>
      <c r="B430" s="32" t="s">
        <v>2145</v>
      </c>
      <c r="C430" s="32" t="s">
        <v>1770</v>
      </c>
      <c r="D430" s="33" t="s">
        <v>1639</v>
      </c>
      <c r="E430" s="33">
        <v>32</v>
      </c>
      <c r="F430" s="33">
        <v>272</v>
      </c>
      <c r="G430" s="33">
        <v>115</v>
      </c>
      <c r="H430" s="33" t="s">
        <v>1639</v>
      </c>
      <c r="I430" s="33">
        <v>420</v>
      </c>
      <c r="K430" t="b">
        <f>QHPSelections2016[[#This Row],[County Name]]=P430</f>
        <v>1</v>
      </c>
      <c r="L430" t="b">
        <f>QHPSelections2016[[#This Row],[Silver]]=S430</f>
        <v>1</v>
      </c>
      <c r="N430">
        <v>19015</v>
      </c>
      <c r="O430" t="s">
        <v>2145</v>
      </c>
      <c r="P430" t="s">
        <v>1770</v>
      </c>
      <c r="R430">
        <v>32</v>
      </c>
      <c r="S430">
        <v>272</v>
      </c>
      <c r="T430">
        <v>115</v>
      </c>
      <c r="V430">
        <v>420</v>
      </c>
    </row>
    <row r="431" spans="1:22">
      <c r="A431" s="32" t="s">
        <v>2158</v>
      </c>
      <c r="B431" s="32" t="s">
        <v>2145</v>
      </c>
      <c r="C431" s="32" t="s">
        <v>2159</v>
      </c>
      <c r="D431" s="33" t="s">
        <v>1639</v>
      </c>
      <c r="E431" s="33">
        <v>24</v>
      </c>
      <c r="F431" s="33">
        <v>227</v>
      </c>
      <c r="G431" s="33">
        <v>118</v>
      </c>
      <c r="H431" s="33" t="s">
        <v>1639</v>
      </c>
      <c r="I431" s="33">
        <v>370</v>
      </c>
      <c r="K431" t="b">
        <f>QHPSelections2016[[#This Row],[County Name]]=P431</f>
        <v>1</v>
      </c>
      <c r="L431" t="b">
        <f>QHPSelections2016[[#This Row],[Silver]]=S431</f>
        <v>1</v>
      </c>
      <c r="N431">
        <v>19017</v>
      </c>
      <c r="O431" t="s">
        <v>2145</v>
      </c>
      <c r="P431" t="s">
        <v>2159</v>
      </c>
      <c r="R431">
        <v>24</v>
      </c>
      <c r="S431">
        <v>227</v>
      </c>
      <c r="T431">
        <v>118</v>
      </c>
      <c r="V431">
        <v>370</v>
      </c>
    </row>
    <row r="432" spans="1:22">
      <c r="A432" s="32" t="s">
        <v>2160</v>
      </c>
      <c r="B432" s="32" t="s">
        <v>2145</v>
      </c>
      <c r="C432" s="32" t="s">
        <v>2161</v>
      </c>
      <c r="D432" s="33">
        <v>0</v>
      </c>
      <c r="E432" s="33">
        <v>17</v>
      </c>
      <c r="F432" s="33">
        <v>229</v>
      </c>
      <c r="G432" s="33">
        <v>107</v>
      </c>
      <c r="H432" s="33">
        <v>0</v>
      </c>
      <c r="I432" s="33">
        <v>353</v>
      </c>
      <c r="K432" t="b">
        <f>QHPSelections2016[[#This Row],[County Name]]=P432</f>
        <v>1</v>
      </c>
      <c r="L432" t="b">
        <f>QHPSelections2016[[#This Row],[Silver]]=S432</f>
        <v>1</v>
      </c>
      <c r="N432">
        <v>19019</v>
      </c>
      <c r="O432" t="s">
        <v>2145</v>
      </c>
      <c r="P432" t="s">
        <v>2161</v>
      </c>
      <c r="Q432">
        <v>0</v>
      </c>
      <c r="R432">
        <v>17</v>
      </c>
      <c r="S432">
        <v>229</v>
      </c>
      <c r="T432">
        <v>107</v>
      </c>
      <c r="U432">
        <v>0</v>
      </c>
      <c r="V432">
        <v>353</v>
      </c>
    </row>
    <row r="433" spans="1:22">
      <c r="A433" s="32" t="s">
        <v>2162</v>
      </c>
      <c r="B433" s="32" t="s">
        <v>2145</v>
      </c>
      <c r="C433" s="32" t="s">
        <v>2163</v>
      </c>
      <c r="D433" s="33" t="s">
        <v>1639</v>
      </c>
      <c r="E433" s="33">
        <v>17</v>
      </c>
      <c r="F433" s="33">
        <v>198</v>
      </c>
      <c r="G433" s="33">
        <v>101</v>
      </c>
      <c r="H433" s="33" t="s">
        <v>1639</v>
      </c>
      <c r="I433" s="33">
        <v>318</v>
      </c>
      <c r="K433" t="b">
        <f>QHPSelections2016[[#This Row],[County Name]]=P433</f>
        <v>1</v>
      </c>
      <c r="L433" t="b">
        <f>QHPSelections2016[[#This Row],[Silver]]=S433</f>
        <v>1</v>
      </c>
      <c r="N433">
        <v>19021</v>
      </c>
      <c r="O433" t="s">
        <v>2145</v>
      </c>
      <c r="P433" t="s">
        <v>2163</v>
      </c>
      <c r="R433">
        <v>17</v>
      </c>
      <c r="S433">
        <v>198</v>
      </c>
      <c r="T433">
        <v>101</v>
      </c>
      <c r="V433">
        <v>318</v>
      </c>
    </row>
    <row r="434" spans="1:22">
      <c r="A434" s="32" t="s">
        <v>2164</v>
      </c>
      <c r="B434" s="32" t="s">
        <v>2145</v>
      </c>
      <c r="C434" s="32" t="s">
        <v>854</v>
      </c>
      <c r="D434" s="33">
        <v>0</v>
      </c>
      <c r="E434" s="33">
        <v>21</v>
      </c>
      <c r="F434" s="33">
        <v>181</v>
      </c>
      <c r="G434" s="33">
        <v>72</v>
      </c>
      <c r="H434" s="33">
        <v>0</v>
      </c>
      <c r="I434" s="33">
        <v>274</v>
      </c>
      <c r="K434" t="b">
        <f>QHPSelections2016[[#This Row],[County Name]]=P434</f>
        <v>1</v>
      </c>
      <c r="L434" t="b">
        <f>QHPSelections2016[[#This Row],[Silver]]=S434</f>
        <v>1</v>
      </c>
      <c r="N434">
        <v>19023</v>
      </c>
      <c r="O434" t="s">
        <v>2145</v>
      </c>
      <c r="P434" t="s">
        <v>854</v>
      </c>
      <c r="Q434">
        <v>0</v>
      </c>
      <c r="R434">
        <v>21</v>
      </c>
      <c r="S434">
        <v>181</v>
      </c>
      <c r="T434">
        <v>72</v>
      </c>
      <c r="U434">
        <v>0</v>
      </c>
      <c r="V434">
        <v>274</v>
      </c>
    </row>
    <row r="435" spans="1:22">
      <c r="A435" s="32" t="s">
        <v>2165</v>
      </c>
      <c r="B435" s="32" t="s">
        <v>2145</v>
      </c>
      <c r="C435" s="32" t="s">
        <v>855</v>
      </c>
      <c r="D435" s="33" t="s">
        <v>1639</v>
      </c>
      <c r="E435" s="33">
        <v>17</v>
      </c>
      <c r="F435" s="33">
        <v>135</v>
      </c>
      <c r="G435" s="33">
        <v>64</v>
      </c>
      <c r="H435" s="33" t="s">
        <v>1639</v>
      </c>
      <c r="I435" s="33">
        <v>217</v>
      </c>
      <c r="K435" t="b">
        <f>QHPSelections2016[[#This Row],[County Name]]=P435</f>
        <v>1</v>
      </c>
      <c r="L435" t="b">
        <f>QHPSelections2016[[#This Row],[Silver]]=S435</f>
        <v>1</v>
      </c>
      <c r="N435">
        <v>19025</v>
      </c>
      <c r="O435" t="s">
        <v>2145</v>
      </c>
      <c r="P435" t="s">
        <v>855</v>
      </c>
      <c r="R435">
        <v>17</v>
      </c>
      <c r="S435">
        <v>135</v>
      </c>
      <c r="T435">
        <v>64</v>
      </c>
      <c r="V435">
        <v>217</v>
      </c>
    </row>
    <row r="436" spans="1:22">
      <c r="A436" s="32" t="s">
        <v>2166</v>
      </c>
      <c r="B436" s="32" t="s">
        <v>2145</v>
      </c>
      <c r="C436" s="32" t="s">
        <v>862</v>
      </c>
      <c r="D436" s="33">
        <v>0</v>
      </c>
      <c r="E436" s="33" t="s">
        <v>1639</v>
      </c>
      <c r="F436" s="33">
        <v>201</v>
      </c>
      <c r="G436" s="33">
        <v>98</v>
      </c>
      <c r="H436" s="33" t="s">
        <v>1639</v>
      </c>
      <c r="I436" s="33">
        <v>312</v>
      </c>
      <c r="K436" t="b">
        <f>QHPSelections2016[[#This Row],[County Name]]=P436</f>
        <v>1</v>
      </c>
      <c r="L436" t="b">
        <f>QHPSelections2016[[#This Row],[Silver]]=S436</f>
        <v>1</v>
      </c>
      <c r="N436">
        <v>19027</v>
      </c>
      <c r="O436" t="s">
        <v>2145</v>
      </c>
      <c r="P436" t="s">
        <v>862</v>
      </c>
      <c r="Q436">
        <v>0</v>
      </c>
      <c r="S436">
        <v>201</v>
      </c>
      <c r="T436">
        <v>98</v>
      </c>
      <c r="V436">
        <v>312</v>
      </c>
    </row>
    <row r="437" spans="1:22">
      <c r="A437" s="32" t="s">
        <v>2167</v>
      </c>
      <c r="B437" s="32" t="s">
        <v>2145</v>
      </c>
      <c r="C437" s="32" t="s">
        <v>1008</v>
      </c>
      <c r="D437" s="33" t="s">
        <v>1639</v>
      </c>
      <c r="E437" s="33">
        <v>20</v>
      </c>
      <c r="F437" s="33">
        <v>132</v>
      </c>
      <c r="G437" s="33">
        <v>101</v>
      </c>
      <c r="H437" s="33" t="s">
        <v>1639</v>
      </c>
      <c r="I437" s="33">
        <v>255</v>
      </c>
      <c r="K437" t="b">
        <f>QHPSelections2016[[#This Row],[County Name]]=P437</f>
        <v>1</v>
      </c>
      <c r="L437" t="b">
        <f>QHPSelections2016[[#This Row],[Silver]]=S437</f>
        <v>1</v>
      </c>
      <c r="N437">
        <v>19029</v>
      </c>
      <c r="O437" t="s">
        <v>2145</v>
      </c>
      <c r="P437" t="s">
        <v>1008</v>
      </c>
      <c r="R437">
        <v>20</v>
      </c>
      <c r="S437">
        <v>132</v>
      </c>
      <c r="T437">
        <v>101</v>
      </c>
      <c r="V437">
        <v>255</v>
      </c>
    </row>
    <row r="438" spans="1:22">
      <c r="A438" s="32" t="s">
        <v>2168</v>
      </c>
      <c r="B438" s="32" t="s">
        <v>2145</v>
      </c>
      <c r="C438" s="32" t="s">
        <v>2169</v>
      </c>
      <c r="D438" s="33">
        <v>0</v>
      </c>
      <c r="E438" s="33" t="s">
        <v>1639</v>
      </c>
      <c r="F438" s="33">
        <v>177</v>
      </c>
      <c r="G438" s="33">
        <v>89</v>
      </c>
      <c r="H438" s="33" t="s">
        <v>1639</v>
      </c>
      <c r="I438" s="33">
        <v>277</v>
      </c>
      <c r="K438" t="b">
        <f>QHPSelections2016[[#This Row],[County Name]]=P438</f>
        <v>1</v>
      </c>
      <c r="L438" t="b">
        <f>QHPSelections2016[[#This Row],[Silver]]=S438</f>
        <v>1</v>
      </c>
      <c r="N438">
        <v>19031</v>
      </c>
      <c r="O438" t="s">
        <v>2145</v>
      </c>
      <c r="P438" t="s">
        <v>2169</v>
      </c>
      <c r="Q438">
        <v>0</v>
      </c>
      <c r="S438">
        <v>177</v>
      </c>
      <c r="T438">
        <v>89</v>
      </c>
      <c r="V438">
        <v>277</v>
      </c>
    </row>
    <row r="439" spans="1:22">
      <c r="A439" s="32" t="s">
        <v>2170</v>
      </c>
      <c r="B439" s="32" t="s">
        <v>2145</v>
      </c>
      <c r="C439" s="32" t="s">
        <v>2171</v>
      </c>
      <c r="D439" s="33">
        <v>0</v>
      </c>
      <c r="E439" s="33">
        <v>40</v>
      </c>
      <c r="F439" s="33">
        <v>456</v>
      </c>
      <c r="G439" s="33">
        <v>214</v>
      </c>
      <c r="H439" s="33">
        <v>0</v>
      </c>
      <c r="I439" s="33">
        <v>710</v>
      </c>
      <c r="K439" t="b">
        <f>QHPSelections2016[[#This Row],[County Name]]=P439</f>
        <v>1</v>
      </c>
      <c r="L439" t="b">
        <f>QHPSelections2016[[#This Row],[Silver]]=S439</f>
        <v>1</v>
      </c>
      <c r="N439">
        <v>19033</v>
      </c>
      <c r="O439" t="s">
        <v>2145</v>
      </c>
      <c r="P439" t="s">
        <v>2171</v>
      </c>
      <c r="Q439">
        <v>0</v>
      </c>
      <c r="R439">
        <v>40</v>
      </c>
      <c r="S439">
        <v>456</v>
      </c>
      <c r="T439">
        <v>214</v>
      </c>
      <c r="U439">
        <v>0</v>
      </c>
      <c r="V439">
        <v>710</v>
      </c>
    </row>
    <row r="440" spans="1:22">
      <c r="A440" s="32" t="s">
        <v>2172</v>
      </c>
      <c r="B440" s="32" t="s">
        <v>2145</v>
      </c>
      <c r="C440" s="32" t="s">
        <v>872</v>
      </c>
      <c r="D440" s="33">
        <v>0</v>
      </c>
      <c r="E440" s="33">
        <v>13</v>
      </c>
      <c r="F440" s="33">
        <v>150</v>
      </c>
      <c r="G440" s="33">
        <v>57</v>
      </c>
      <c r="H440" s="33">
        <v>0</v>
      </c>
      <c r="I440" s="33">
        <v>220</v>
      </c>
      <c r="K440" t="b">
        <f>QHPSelections2016[[#This Row],[County Name]]=P440</f>
        <v>1</v>
      </c>
      <c r="L440" t="b">
        <f>QHPSelections2016[[#This Row],[Silver]]=S440</f>
        <v>1</v>
      </c>
      <c r="N440">
        <v>19035</v>
      </c>
      <c r="O440" t="s">
        <v>2145</v>
      </c>
      <c r="P440" t="s">
        <v>872</v>
      </c>
      <c r="Q440">
        <v>0</v>
      </c>
      <c r="R440">
        <v>13</v>
      </c>
      <c r="S440">
        <v>150</v>
      </c>
      <c r="T440">
        <v>57</v>
      </c>
      <c r="U440">
        <v>0</v>
      </c>
      <c r="V440">
        <v>220</v>
      </c>
    </row>
    <row r="441" spans="1:22">
      <c r="A441" s="32" t="s">
        <v>2173</v>
      </c>
      <c r="B441" s="32" t="s">
        <v>2145</v>
      </c>
      <c r="C441" s="32" t="s">
        <v>869</v>
      </c>
      <c r="D441" s="33" t="s">
        <v>1639</v>
      </c>
      <c r="E441" s="33" t="s">
        <v>1639</v>
      </c>
      <c r="F441" s="33">
        <v>179</v>
      </c>
      <c r="G441" s="33">
        <v>82</v>
      </c>
      <c r="H441" s="33">
        <v>0</v>
      </c>
      <c r="I441" s="33">
        <v>269</v>
      </c>
      <c r="K441" t="b">
        <f>QHPSelections2016[[#This Row],[County Name]]=P441</f>
        <v>1</v>
      </c>
      <c r="L441" t="b">
        <f>QHPSelections2016[[#This Row],[Silver]]=S441</f>
        <v>1</v>
      </c>
      <c r="N441">
        <v>19037</v>
      </c>
      <c r="O441" t="s">
        <v>2145</v>
      </c>
      <c r="P441" t="s">
        <v>869</v>
      </c>
      <c r="S441">
        <v>179</v>
      </c>
      <c r="T441">
        <v>82</v>
      </c>
      <c r="U441">
        <v>0</v>
      </c>
      <c r="V441">
        <v>269</v>
      </c>
    </row>
    <row r="442" spans="1:22">
      <c r="A442" s="32" t="s">
        <v>2174</v>
      </c>
      <c r="B442" s="32" t="s">
        <v>2145</v>
      </c>
      <c r="C442" s="32" t="s">
        <v>887</v>
      </c>
      <c r="D442" s="33" t="s">
        <v>1639</v>
      </c>
      <c r="E442" s="33">
        <v>12</v>
      </c>
      <c r="F442" s="33">
        <v>86</v>
      </c>
      <c r="G442" s="33">
        <v>63</v>
      </c>
      <c r="H442" s="33" t="s">
        <v>1639</v>
      </c>
      <c r="I442" s="33">
        <v>162</v>
      </c>
      <c r="K442" t="b">
        <f>QHPSelections2016[[#This Row],[County Name]]=P442</f>
        <v>1</v>
      </c>
      <c r="L442" t="b">
        <f>QHPSelections2016[[#This Row],[Silver]]=S442</f>
        <v>1</v>
      </c>
      <c r="N442">
        <v>19039</v>
      </c>
      <c r="O442" t="s">
        <v>2145</v>
      </c>
      <c r="P442" t="s">
        <v>887</v>
      </c>
      <c r="R442">
        <v>12</v>
      </c>
      <c r="S442">
        <v>86</v>
      </c>
      <c r="T442">
        <v>63</v>
      </c>
      <c r="V442">
        <v>162</v>
      </c>
    </row>
    <row r="443" spans="1:22">
      <c r="A443" s="32" t="s">
        <v>2175</v>
      </c>
      <c r="B443" s="32" t="s">
        <v>2145</v>
      </c>
      <c r="C443" s="32" t="s">
        <v>873</v>
      </c>
      <c r="D443" s="33">
        <v>0</v>
      </c>
      <c r="E443" s="33">
        <v>21</v>
      </c>
      <c r="F443" s="33">
        <v>236</v>
      </c>
      <c r="G443" s="33">
        <v>79</v>
      </c>
      <c r="H443" s="33">
        <v>0</v>
      </c>
      <c r="I443" s="33">
        <v>336</v>
      </c>
      <c r="K443" t="b">
        <f>QHPSelections2016[[#This Row],[County Name]]=P443</f>
        <v>1</v>
      </c>
      <c r="L443" t="b">
        <f>QHPSelections2016[[#This Row],[Silver]]=S443</f>
        <v>1</v>
      </c>
      <c r="N443">
        <v>19041</v>
      </c>
      <c r="O443" t="s">
        <v>2145</v>
      </c>
      <c r="P443" t="s">
        <v>873</v>
      </c>
      <c r="Q443">
        <v>0</v>
      </c>
      <c r="R443">
        <v>21</v>
      </c>
      <c r="S443">
        <v>236</v>
      </c>
      <c r="T443">
        <v>79</v>
      </c>
      <c r="U443">
        <v>0</v>
      </c>
      <c r="V443">
        <v>336</v>
      </c>
    </row>
    <row r="444" spans="1:22">
      <c r="A444" s="32" t="s">
        <v>2176</v>
      </c>
      <c r="B444" s="32" t="s">
        <v>2145</v>
      </c>
      <c r="C444" s="32" t="s">
        <v>988</v>
      </c>
      <c r="D444" s="33" t="s">
        <v>1639</v>
      </c>
      <c r="E444" s="33">
        <v>13</v>
      </c>
      <c r="F444" s="33">
        <v>320</v>
      </c>
      <c r="G444" s="33">
        <v>80</v>
      </c>
      <c r="H444" s="33" t="s">
        <v>1639</v>
      </c>
      <c r="I444" s="33">
        <v>416</v>
      </c>
      <c r="K444" t="b">
        <f>QHPSelections2016[[#This Row],[County Name]]=P444</f>
        <v>1</v>
      </c>
      <c r="L444" t="b">
        <f>QHPSelections2016[[#This Row],[Silver]]=S444</f>
        <v>1</v>
      </c>
      <c r="N444">
        <v>19043</v>
      </c>
      <c r="O444" t="s">
        <v>2145</v>
      </c>
      <c r="P444" t="s">
        <v>988</v>
      </c>
      <c r="R444">
        <v>13</v>
      </c>
      <c r="S444">
        <v>320</v>
      </c>
      <c r="T444">
        <v>80</v>
      </c>
      <c r="V444">
        <v>416</v>
      </c>
    </row>
    <row r="445" spans="1:22">
      <c r="A445" s="32" t="s">
        <v>2177</v>
      </c>
      <c r="B445" s="32" t="s">
        <v>2145</v>
      </c>
      <c r="C445" s="32" t="s">
        <v>2178</v>
      </c>
      <c r="D445" s="33" t="s">
        <v>1639</v>
      </c>
      <c r="E445" s="33">
        <v>36</v>
      </c>
      <c r="F445" s="33">
        <v>561</v>
      </c>
      <c r="G445" s="33">
        <v>251</v>
      </c>
      <c r="H445" s="33" t="s">
        <v>1639</v>
      </c>
      <c r="I445" s="33">
        <v>850</v>
      </c>
      <c r="K445" t="b">
        <f>QHPSelections2016[[#This Row],[County Name]]=P445</f>
        <v>1</v>
      </c>
      <c r="L445" t="b">
        <f>QHPSelections2016[[#This Row],[Silver]]=S445</f>
        <v>1</v>
      </c>
      <c r="N445">
        <v>19045</v>
      </c>
      <c r="O445" t="s">
        <v>2145</v>
      </c>
      <c r="P445" t="s">
        <v>2178</v>
      </c>
      <c r="R445">
        <v>36</v>
      </c>
      <c r="S445">
        <v>561</v>
      </c>
      <c r="T445">
        <v>251</v>
      </c>
      <c r="V445">
        <v>850</v>
      </c>
    </row>
    <row r="446" spans="1:22">
      <c r="A446" s="32" t="s">
        <v>2179</v>
      </c>
      <c r="B446" s="32" t="s">
        <v>2145</v>
      </c>
      <c r="C446" s="32" t="s">
        <v>1030</v>
      </c>
      <c r="D446" s="33" t="s">
        <v>1639</v>
      </c>
      <c r="E446" s="33">
        <v>17</v>
      </c>
      <c r="F446" s="33">
        <v>186</v>
      </c>
      <c r="G446" s="33">
        <v>75</v>
      </c>
      <c r="H446" s="33" t="s">
        <v>1639</v>
      </c>
      <c r="I446" s="33">
        <v>279</v>
      </c>
      <c r="K446" t="b">
        <f>QHPSelections2016[[#This Row],[County Name]]=P446</f>
        <v>1</v>
      </c>
      <c r="L446" t="b">
        <f>QHPSelections2016[[#This Row],[Silver]]=S446</f>
        <v>1</v>
      </c>
      <c r="N446">
        <v>19047</v>
      </c>
      <c r="O446" t="s">
        <v>2145</v>
      </c>
      <c r="P446" t="s">
        <v>1030</v>
      </c>
      <c r="R446">
        <v>17</v>
      </c>
      <c r="S446">
        <v>186</v>
      </c>
      <c r="T446">
        <v>75</v>
      </c>
      <c r="V446">
        <v>279</v>
      </c>
    </row>
    <row r="447" spans="1:22">
      <c r="A447" s="32" t="s">
        <v>2180</v>
      </c>
      <c r="B447" s="32" t="s">
        <v>2145</v>
      </c>
      <c r="C447" s="32" t="s">
        <v>953</v>
      </c>
      <c r="D447" s="33">
        <v>0</v>
      </c>
      <c r="E447" s="33">
        <v>163</v>
      </c>
      <c r="F447" s="33">
        <v>824</v>
      </c>
      <c r="G447" s="33">
        <v>452</v>
      </c>
      <c r="H447" s="33">
        <v>0</v>
      </c>
      <c r="I447" s="33">
        <v>1439</v>
      </c>
      <c r="K447" t="b">
        <f>QHPSelections2016[[#This Row],[County Name]]=P447</f>
        <v>1</v>
      </c>
      <c r="L447" t="b">
        <f>QHPSelections2016[[#This Row],[Silver]]=S447</f>
        <v>1</v>
      </c>
      <c r="N447">
        <v>19049</v>
      </c>
      <c r="O447" t="s">
        <v>2145</v>
      </c>
      <c r="P447" t="s">
        <v>953</v>
      </c>
      <c r="Q447">
        <v>0</v>
      </c>
      <c r="R447">
        <v>163</v>
      </c>
      <c r="S447">
        <v>824</v>
      </c>
      <c r="T447">
        <v>452</v>
      </c>
      <c r="U447">
        <v>0</v>
      </c>
      <c r="V447" s="51">
        <v>1439</v>
      </c>
    </row>
    <row r="448" spans="1:22">
      <c r="A448" s="32" t="s">
        <v>2181</v>
      </c>
      <c r="B448" s="32" t="s">
        <v>2145</v>
      </c>
      <c r="C448" s="32" t="s">
        <v>2182</v>
      </c>
      <c r="D448" s="33" t="s">
        <v>1639</v>
      </c>
      <c r="E448" s="33" t="s">
        <v>1639</v>
      </c>
      <c r="F448" s="33">
        <v>65</v>
      </c>
      <c r="G448" s="33">
        <v>35</v>
      </c>
      <c r="H448" s="33">
        <v>0</v>
      </c>
      <c r="I448" s="33">
        <v>102</v>
      </c>
      <c r="K448" t="b">
        <f>QHPSelections2016[[#This Row],[County Name]]=P448</f>
        <v>1</v>
      </c>
      <c r="L448" t="b">
        <f>QHPSelections2016[[#This Row],[Silver]]=S448</f>
        <v>1</v>
      </c>
      <c r="N448">
        <v>19051</v>
      </c>
      <c r="O448" t="s">
        <v>2145</v>
      </c>
      <c r="P448" t="s">
        <v>2182</v>
      </c>
      <c r="S448">
        <v>65</v>
      </c>
      <c r="T448">
        <v>35</v>
      </c>
      <c r="U448">
        <v>0</v>
      </c>
      <c r="V448">
        <v>102</v>
      </c>
    </row>
    <row r="449" spans="1:22">
      <c r="A449" s="32" t="s">
        <v>2183</v>
      </c>
      <c r="B449" s="32" t="s">
        <v>2145</v>
      </c>
      <c r="C449" s="32" t="s">
        <v>932</v>
      </c>
      <c r="D449" s="33" t="s">
        <v>1639</v>
      </c>
      <c r="E449" s="33" t="s">
        <v>1639</v>
      </c>
      <c r="F449" s="33">
        <v>119</v>
      </c>
      <c r="G449" s="33">
        <v>67</v>
      </c>
      <c r="H449" s="33">
        <v>0</v>
      </c>
      <c r="I449" s="33">
        <v>193</v>
      </c>
      <c r="K449" t="b">
        <f>QHPSelections2016[[#This Row],[County Name]]=P449</f>
        <v>1</v>
      </c>
      <c r="L449" t="b">
        <f>QHPSelections2016[[#This Row],[Silver]]=S449</f>
        <v>1</v>
      </c>
      <c r="N449">
        <v>19053</v>
      </c>
      <c r="O449" t="s">
        <v>2145</v>
      </c>
      <c r="P449" t="s">
        <v>932</v>
      </c>
      <c r="S449">
        <v>119</v>
      </c>
      <c r="T449">
        <v>67</v>
      </c>
      <c r="U449">
        <v>0</v>
      </c>
      <c r="V449">
        <v>193</v>
      </c>
    </row>
    <row r="450" spans="1:22">
      <c r="A450" s="32" t="s">
        <v>2184</v>
      </c>
      <c r="B450" s="32" t="s">
        <v>2145</v>
      </c>
      <c r="C450" s="32" t="s">
        <v>2185</v>
      </c>
      <c r="D450" s="33" t="s">
        <v>1639</v>
      </c>
      <c r="E450" s="33">
        <v>13</v>
      </c>
      <c r="F450" s="33">
        <v>207</v>
      </c>
      <c r="G450" s="33">
        <v>85</v>
      </c>
      <c r="H450" s="33" t="s">
        <v>1639</v>
      </c>
      <c r="I450" s="33">
        <v>306</v>
      </c>
      <c r="K450" t="b">
        <f>QHPSelections2016[[#This Row],[County Name]]=P450</f>
        <v>1</v>
      </c>
      <c r="L450" t="b">
        <f>QHPSelections2016[[#This Row],[Silver]]=S450</f>
        <v>1</v>
      </c>
      <c r="N450">
        <v>19055</v>
      </c>
      <c r="O450" t="s">
        <v>2145</v>
      </c>
      <c r="P450" t="s">
        <v>2185</v>
      </c>
      <c r="R450">
        <v>13</v>
      </c>
      <c r="S450">
        <v>207</v>
      </c>
      <c r="T450">
        <v>85</v>
      </c>
      <c r="V450">
        <v>306</v>
      </c>
    </row>
    <row r="451" spans="1:22">
      <c r="A451" s="32" t="s">
        <v>2186</v>
      </c>
      <c r="B451" s="32" t="s">
        <v>2145</v>
      </c>
      <c r="C451" s="32" t="s">
        <v>2187</v>
      </c>
      <c r="D451" s="33" t="s">
        <v>1639</v>
      </c>
      <c r="E451" s="33">
        <v>39</v>
      </c>
      <c r="F451" s="33">
        <v>423</v>
      </c>
      <c r="G451" s="33">
        <v>170</v>
      </c>
      <c r="H451" s="33" t="s">
        <v>1639</v>
      </c>
      <c r="I451" s="33">
        <v>638</v>
      </c>
      <c r="K451" t="b">
        <f>QHPSelections2016[[#This Row],[County Name]]=P451</f>
        <v>1</v>
      </c>
      <c r="L451" t="b">
        <f>QHPSelections2016[[#This Row],[Silver]]=S451</f>
        <v>1</v>
      </c>
      <c r="N451">
        <v>19057</v>
      </c>
      <c r="O451" t="s">
        <v>2145</v>
      </c>
      <c r="P451" t="s">
        <v>2187</v>
      </c>
      <c r="R451">
        <v>39</v>
      </c>
      <c r="S451">
        <v>423</v>
      </c>
      <c r="T451">
        <v>170</v>
      </c>
      <c r="V451">
        <v>638</v>
      </c>
    </row>
    <row r="452" spans="1:22">
      <c r="A452" s="32" t="s">
        <v>2188</v>
      </c>
      <c r="B452" s="32" t="s">
        <v>2145</v>
      </c>
      <c r="C452" s="32" t="s">
        <v>2189</v>
      </c>
      <c r="D452" s="33" t="s">
        <v>1639</v>
      </c>
      <c r="E452" s="33">
        <v>36</v>
      </c>
      <c r="F452" s="33">
        <v>264</v>
      </c>
      <c r="G452" s="33">
        <v>106</v>
      </c>
      <c r="H452" s="33" t="s">
        <v>1639</v>
      </c>
      <c r="I452" s="33">
        <v>408</v>
      </c>
      <c r="K452" t="b">
        <f>QHPSelections2016[[#This Row],[County Name]]=P452</f>
        <v>1</v>
      </c>
      <c r="L452" t="b">
        <f>QHPSelections2016[[#This Row],[Silver]]=S452</f>
        <v>1</v>
      </c>
      <c r="N452">
        <v>19059</v>
      </c>
      <c r="O452" t="s">
        <v>2145</v>
      </c>
      <c r="P452" t="s">
        <v>2189</v>
      </c>
      <c r="R452">
        <v>36</v>
      </c>
      <c r="S452">
        <v>264</v>
      </c>
      <c r="T452">
        <v>106</v>
      </c>
      <c r="V452">
        <v>408</v>
      </c>
    </row>
    <row r="453" spans="1:22">
      <c r="A453" s="32" t="s">
        <v>2190</v>
      </c>
      <c r="B453" s="32" t="s">
        <v>2145</v>
      </c>
      <c r="C453" s="32" t="s">
        <v>2191</v>
      </c>
      <c r="D453" s="33" t="s">
        <v>1639</v>
      </c>
      <c r="E453" s="33">
        <v>78</v>
      </c>
      <c r="F453" s="33">
        <v>961</v>
      </c>
      <c r="G453" s="33">
        <v>315</v>
      </c>
      <c r="H453" s="33" t="s">
        <v>1639</v>
      </c>
      <c r="I453" s="33">
        <v>1359</v>
      </c>
      <c r="K453" t="b">
        <f>QHPSelections2016[[#This Row],[County Name]]=P453</f>
        <v>1</v>
      </c>
      <c r="L453" t="b">
        <f>QHPSelections2016[[#This Row],[Silver]]=S453</f>
        <v>1</v>
      </c>
      <c r="N453">
        <v>19061</v>
      </c>
      <c r="O453" t="s">
        <v>2145</v>
      </c>
      <c r="P453" t="s">
        <v>2191</v>
      </c>
      <c r="R453">
        <v>78</v>
      </c>
      <c r="S453">
        <v>961</v>
      </c>
      <c r="T453">
        <v>315</v>
      </c>
      <c r="V453" s="51">
        <v>1359</v>
      </c>
    </row>
    <row r="454" spans="1:22">
      <c r="A454" s="32" t="s">
        <v>2192</v>
      </c>
      <c r="B454" s="32" t="s">
        <v>2145</v>
      </c>
      <c r="C454" s="32" t="s">
        <v>2193</v>
      </c>
      <c r="D454" s="33">
        <v>0</v>
      </c>
      <c r="E454" s="33" t="s">
        <v>1639</v>
      </c>
      <c r="F454" s="33">
        <v>116</v>
      </c>
      <c r="G454" s="33">
        <v>42</v>
      </c>
      <c r="H454" s="33" t="s">
        <v>1639</v>
      </c>
      <c r="I454" s="33">
        <v>163</v>
      </c>
      <c r="K454" t="b">
        <f>QHPSelections2016[[#This Row],[County Name]]=P454</f>
        <v>1</v>
      </c>
      <c r="L454" t="b">
        <f>QHPSelections2016[[#This Row],[Silver]]=S454</f>
        <v>1</v>
      </c>
      <c r="N454">
        <v>19063</v>
      </c>
      <c r="O454" t="s">
        <v>2145</v>
      </c>
      <c r="P454" t="s">
        <v>2193</v>
      </c>
      <c r="Q454">
        <v>0</v>
      </c>
      <c r="S454">
        <v>116</v>
      </c>
      <c r="T454">
        <v>42</v>
      </c>
      <c r="V454">
        <v>163</v>
      </c>
    </row>
    <row r="455" spans="1:22">
      <c r="A455" s="32" t="s">
        <v>2194</v>
      </c>
      <c r="B455" s="32" t="s">
        <v>2145</v>
      </c>
      <c r="C455" s="32" t="s">
        <v>958</v>
      </c>
      <c r="D455" s="33" t="s">
        <v>1639</v>
      </c>
      <c r="E455" s="33">
        <v>13</v>
      </c>
      <c r="F455" s="33">
        <v>298</v>
      </c>
      <c r="G455" s="33">
        <v>135</v>
      </c>
      <c r="H455" s="33" t="s">
        <v>1639</v>
      </c>
      <c r="I455" s="33">
        <v>453</v>
      </c>
      <c r="K455" t="b">
        <f>QHPSelections2016[[#This Row],[County Name]]=P455</f>
        <v>1</v>
      </c>
      <c r="L455" t="b">
        <f>QHPSelections2016[[#This Row],[Silver]]=S455</f>
        <v>1</v>
      </c>
      <c r="N455">
        <v>19065</v>
      </c>
      <c r="O455" t="s">
        <v>2145</v>
      </c>
      <c r="P455" t="s">
        <v>958</v>
      </c>
      <c r="R455">
        <v>13</v>
      </c>
      <c r="S455">
        <v>298</v>
      </c>
      <c r="T455">
        <v>135</v>
      </c>
      <c r="V455">
        <v>453</v>
      </c>
    </row>
    <row r="456" spans="1:22">
      <c r="A456" s="32" t="s">
        <v>2195</v>
      </c>
      <c r="B456" s="32" t="s">
        <v>2145</v>
      </c>
      <c r="C456" s="32" t="s">
        <v>1121</v>
      </c>
      <c r="D456" s="33" t="s">
        <v>1639</v>
      </c>
      <c r="E456" s="33" t="s">
        <v>1639</v>
      </c>
      <c r="F456" s="33">
        <v>180</v>
      </c>
      <c r="G456" s="33">
        <v>65</v>
      </c>
      <c r="H456" s="33">
        <v>0</v>
      </c>
      <c r="I456" s="33">
        <v>255</v>
      </c>
      <c r="K456" t="b">
        <f>QHPSelections2016[[#This Row],[County Name]]=P456</f>
        <v>1</v>
      </c>
      <c r="L456" t="b">
        <f>QHPSelections2016[[#This Row],[Silver]]=S456</f>
        <v>1</v>
      </c>
      <c r="N456">
        <v>19067</v>
      </c>
      <c r="O456" t="s">
        <v>2145</v>
      </c>
      <c r="P456" t="s">
        <v>1121</v>
      </c>
      <c r="S456">
        <v>180</v>
      </c>
      <c r="T456">
        <v>65</v>
      </c>
      <c r="U456">
        <v>0</v>
      </c>
      <c r="V456">
        <v>255</v>
      </c>
    </row>
    <row r="457" spans="1:22">
      <c r="A457" s="32" t="s">
        <v>2196</v>
      </c>
      <c r="B457" s="32" t="s">
        <v>2145</v>
      </c>
      <c r="C457" s="32" t="s">
        <v>919</v>
      </c>
      <c r="D457" s="33" t="s">
        <v>1639</v>
      </c>
      <c r="E457" s="33" t="s">
        <v>1639</v>
      </c>
      <c r="F457" s="33">
        <v>111</v>
      </c>
      <c r="G457" s="33">
        <v>40</v>
      </c>
      <c r="H457" s="33">
        <v>0</v>
      </c>
      <c r="I457" s="33">
        <v>159</v>
      </c>
      <c r="K457" t="b">
        <f>QHPSelections2016[[#This Row],[County Name]]=P457</f>
        <v>1</v>
      </c>
      <c r="L457" t="b">
        <f>QHPSelections2016[[#This Row],[Silver]]=S457</f>
        <v>1</v>
      </c>
      <c r="N457">
        <v>19069</v>
      </c>
      <c r="O457" t="s">
        <v>2145</v>
      </c>
      <c r="P457" t="s">
        <v>919</v>
      </c>
      <c r="S457">
        <v>111</v>
      </c>
      <c r="T457">
        <v>40</v>
      </c>
      <c r="U457">
        <v>0</v>
      </c>
      <c r="V457">
        <v>159</v>
      </c>
    </row>
    <row r="458" spans="1:22">
      <c r="A458" s="32" t="s">
        <v>2197</v>
      </c>
      <c r="B458" s="32" t="s">
        <v>2145</v>
      </c>
      <c r="C458" s="32" t="s">
        <v>2198</v>
      </c>
      <c r="D458" s="33">
        <v>0</v>
      </c>
      <c r="E458" s="33">
        <v>11</v>
      </c>
      <c r="F458" s="33">
        <v>93</v>
      </c>
      <c r="G458" s="33">
        <v>53</v>
      </c>
      <c r="H458" s="33">
        <v>0</v>
      </c>
      <c r="I458" s="33">
        <v>157</v>
      </c>
      <c r="K458" t="b">
        <f>QHPSelections2016[[#This Row],[County Name]]=P458</f>
        <v>1</v>
      </c>
      <c r="L458" t="b">
        <f>QHPSelections2016[[#This Row],[Silver]]=S458</f>
        <v>1</v>
      </c>
      <c r="N458">
        <v>19071</v>
      </c>
      <c r="O458" t="s">
        <v>2145</v>
      </c>
      <c r="P458" t="s">
        <v>2198</v>
      </c>
      <c r="Q458">
        <v>0</v>
      </c>
      <c r="R458">
        <v>11</v>
      </c>
      <c r="S458">
        <v>93</v>
      </c>
      <c r="T458">
        <v>53</v>
      </c>
      <c r="U458">
        <v>0</v>
      </c>
      <c r="V458">
        <v>157</v>
      </c>
    </row>
    <row r="459" spans="1:22">
      <c r="A459" s="32" t="s">
        <v>2199</v>
      </c>
      <c r="B459" s="32" t="s">
        <v>2145</v>
      </c>
      <c r="C459" s="32" t="s">
        <v>937</v>
      </c>
      <c r="D459" s="33">
        <v>0</v>
      </c>
      <c r="E459" s="33" t="s">
        <v>1639</v>
      </c>
      <c r="F459" s="33">
        <v>104</v>
      </c>
      <c r="G459" s="33">
        <v>49</v>
      </c>
      <c r="H459" s="33" t="s">
        <v>1639</v>
      </c>
      <c r="I459" s="33">
        <v>161</v>
      </c>
      <c r="K459" t="b">
        <f>QHPSelections2016[[#This Row],[County Name]]=P459</f>
        <v>1</v>
      </c>
      <c r="L459" t="b">
        <f>QHPSelections2016[[#This Row],[Silver]]=S459</f>
        <v>1</v>
      </c>
      <c r="N459">
        <v>19073</v>
      </c>
      <c r="O459" t="s">
        <v>2145</v>
      </c>
      <c r="P459" t="s">
        <v>937</v>
      </c>
      <c r="Q459">
        <v>0</v>
      </c>
      <c r="S459">
        <v>104</v>
      </c>
      <c r="T459">
        <v>49</v>
      </c>
      <c r="V459">
        <v>161</v>
      </c>
    </row>
    <row r="460" spans="1:22">
      <c r="A460" s="32" t="s">
        <v>2200</v>
      </c>
      <c r="B460" s="32" t="s">
        <v>2145</v>
      </c>
      <c r="C460" s="32" t="s">
        <v>991</v>
      </c>
      <c r="D460" s="33" t="s">
        <v>1639</v>
      </c>
      <c r="E460" s="33" t="s">
        <v>1639</v>
      </c>
      <c r="F460" s="33">
        <v>101</v>
      </c>
      <c r="G460" s="33">
        <v>63</v>
      </c>
      <c r="H460" s="33">
        <v>0</v>
      </c>
      <c r="I460" s="33">
        <v>171</v>
      </c>
      <c r="K460" t="b">
        <f>QHPSelections2016[[#This Row],[County Name]]=P460</f>
        <v>1</v>
      </c>
      <c r="L460" t="b">
        <f>QHPSelections2016[[#This Row],[Silver]]=S460</f>
        <v>1</v>
      </c>
      <c r="N460">
        <v>19075</v>
      </c>
      <c r="O460" t="s">
        <v>2145</v>
      </c>
      <c r="P460" t="s">
        <v>991</v>
      </c>
      <c r="S460">
        <v>101</v>
      </c>
      <c r="T460">
        <v>63</v>
      </c>
      <c r="U460">
        <v>0</v>
      </c>
      <c r="V460">
        <v>171</v>
      </c>
    </row>
    <row r="461" spans="1:22">
      <c r="A461" s="32" t="s">
        <v>2201</v>
      </c>
      <c r="B461" s="32" t="s">
        <v>2145</v>
      </c>
      <c r="C461" s="32" t="s">
        <v>2202</v>
      </c>
      <c r="D461" s="33" t="s">
        <v>1639</v>
      </c>
      <c r="E461" s="33">
        <v>17</v>
      </c>
      <c r="F461" s="33">
        <v>175</v>
      </c>
      <c r="G461" s="33">
        <v>103</v>
      </c>
      <c r="H461" s="33" t="s">
        <v>1639</v>
      </c>
      <c r="I461" s="33">
        <v>296</v>
      </c>
      <c r="K461" t="b">
        <f>QHPSelections2016[[#This Row],[County Name]]=P461</f>
        <v>1</v>
      </c>
      <c r="L461" t="b">
        <f>QHPSelections2016[[#This Row],[Silver]]=S461</f>
        <v>1</v>
      </c>
      <c r="N461">
        <v>19077</v>
      </c>
      <c r="O461" t="s">
        <v>2145</v>
      </c>
      <c r="P461" t="s">
        <v>2202</v>
      </c>
      <c r="R461">
        <v>17</v>
      </c>
      <c r="S461">
        <v>175</v>
      </c>
      <c r="T461">
        <v>103</v>
      </c>
      <c r="V461">
        <v>296</v>
      </c>
    </row>
    <row r="462" spans="1:22">
      <c r="A462" s="32" t="s">
        <v>2203</v>
      </c>
      <c r="B462" s="32" t="s">
        <v>2145</v>
      </c>
      <c r="C462" s="32" t="s">
        <v>947</v>
      </c>
      <c r="D462" s="33" t="s">
        <v>1639</v>
      </c>
      <c r="E462" s="33">
        <v>15</v>
      </c>
      <c r="F462" s="33">
        <v>168</v>
      </c>
      <c r="G462" s="33">
        <v>71</v>
      </c>
      <c r="H462" s="33" t="s">
        <v>1639</v>
      </c>
      <c r="I462" s="33">
        <v>257</v>
      </c>
      <c r="K462" t="b">
        <f>QHPSelections2016[[#This Row],[County Name]]=P462</f>
        <v>1</v>
      </c>
      <c r="L462" t="b">
        <f>QHPSelections2016[[#This Row],[Silver]]=S462</f>
        <v>1</v>
      </c>
      <c r="N462">
        <v>19079</v>
      </c>
      <c r="O462" t="s">
        <v>2145</v>
      </c>
      <c r="P462" t="s">
        <v>947</v>
      </c>
      <c r="R462">
        <v>15</v>
      </c>
      <c r="S462">
        <v>168</v>
      </c>
      <c r="T462">
        <v>71</v>
      </c>
      <c r="V462">
        <v>257</v>
      </c>
    </row>
    <row r="463" spans="1:22">
      <c r="A463" s="32" t="s">
        <v>2204</v>
      </c>
      <c r="B463" s="32" t="s">
        <v>2145</v>
      </c>
      <c r="C463" s="32" t="s">
        <v>949</v>
      </c>
      <c r="D463" s="33" t="s">
        <v>1639</v>
      </c>
      <c r="E463" s="33">
        <v>21</v>
      </c>
      <c r="F463" s="33">
        <v>105</v>
      </c>
      <c r="G463" s="33">
        <v>45</v>
      </c>
      <c r="H463" s="33" t="s">
        <v>1639</v>
      </c>
      <c r="I463" s="33">
        <v>172</v>
      </c>
      <c r="K463" t="b">
        <f>QHPSelections2016[[#This Row],[County Name]]=P463</f>
        <v>1</v>
      </c>
      <c r="L463" t="b">
        <f>QHPSelections2016[[#This Row],[Silver]]=S463</f>
        <v>1</v>
      </c>
      <c r="N463">
        <v>19081</v>
      </c>
      <c r="O463" t="s">
        <v>2145</v>
      </c>
      <c r="P463" t="s">
        <v>949</v>
      </c>
      <c r="R463">
        <v>21</v>
      </c>
      <c r="S463">
        <v>105</v>
      </c>
      <c r="T463">
        <v>45</v>
      </c>
      <c r="V463">
        <v>172</v>
      </c>
    </row>
    <row r="464" spans="1:22">
      <c r="A464" s="32" t="s">
        <v>2205</v>
      </c>
      <c r="B464" s="32" t="s">
        <v>2145</v>
      </c>
      <c r="C464" s="32" t="s">
        <v>1017</v>
      </c>
      <c r="D464" s="33" t="s">
        <v>1639</v>
      </c>
      <c r="E464" s="33">
        <v>22</v>
      </c>
      <c r="F464" s="33">
        <v>221</v>
      </c>
      <c r="G464" s="33">
        <v>115</v>
      </c>
      <c r="H464" s="33" t="s">
        <v>1639</v>
      </c>
      <c r="I464" s="33">
        <v>361</v>
      </c>
      <c r="K464" t="b">
        <f>QHPSelections2016[[#This Row],[County Name]]=P464</f>
        <v>1</v>
      </c>
      <c r="L464" t="b">
        <f>QHPSelections2016[[#This Row],[Silver]]=S464</f>
        <v>1</v>
      </c>
      <c r="N464">
        <v>19083</v>
      </c>
      <c r="O464" t="s">
        <v>2145</v>
      </c>
      <c r="P464" t="s">
        <v>1017</v>
      </c>
      <c r="R464">
        <v>22</v>
      </c>
      <c r="S464">
        <v>221</v>
      </c>
      <c r="T464">
        <v>115</v>
      </c>
      <c r="V464">
        <v>361</v>
      </c>
    </row>
    <row r="465" spans="1:22">
      <c r="A465" s="32" t="s">
        <v>2206</v>
      </c>
      <c r="B465" s="32" t="s">
        <v>2145</v>
      </c>
      <c r="C465" s="32" t="s">
        <v>956</v>
      </c>
      <c r="D465" s="33">
        <v>0</v>
      </c>
      <c r="E465" s="33">
        <v>23</v>
      </c>
      <c r="F465" s="33">
        <v>213</v>
      </c>
      <c r="G465" s="33">
        <v>126</v>
      </c>
      <c r="H465" s="33">
        <v>0</v>
      </c>
      <c r="I465" s="33">
        <v>362</v>
      </c>
      <c r="K465" t="b">
        <f>QHPSelections2016[[#This Row],[County Name]]=P465</f>
        <v>1</v>
      </c>
      <c r="L465" t="b">
        <f>QHPSelections2016[[#This Row],[Silver]]=S465</f>
        <v>1</v>
      </c>
      <c r="N465">
        <v>19085</v>
      </c>
      <c r="O465" t="s">
        <v>2145</v>
      </c>
      <c r="P465" t="s">
        <v>956</v>
      </c>
      <c r="Q465">
        <v>0</v>
      </c>
      <c r="R465">
        <v>23</v>
      </c>
      <c r="S465">
        <v>213</v>
      </c>
      <c r="T465">
        <v>126</v>
      </c>
      <c r="U465">
        <v>0</v>
      </c>
      <c r="V465">
        <v>362</v>
      </c>
    </row>
    <row r="466" spans="1:22">
      <c r="A466" s="32" t="s">
        <v>2207</v>
      </c>
      <c r="B466" s="32" t="s">
        <v>2145</v>
      </c>
      <c r="C466" s="32" t="s">
        <v>1004</v>
      </c>
      <c r="D466" s="33" t="s">
        <v>1639</v>
      </c>
      <c r="E466" s="33" t="s">
        <v>1639</v>
      </c>
      <c r="F466" s="33">
        <v>165</v>
      </c>
      <c r="G466" s="33">
        <v>54</v>
      </c>
      <c r="H466" s="33">
        <v>0</v>
      </c>
      <c r="I466" s="33">
        <v>224</v>
      </c>
      <c r="K466" t="b">
        <f>QHPSelections2016[[#This Row],[County Name]]=P466</f>
        <v>1</v>
      </c>
      <c r="L466" t="b">
        <f>QHPSelections2016[[#This Row],[Silver]]=S466</f>
        <v>1</v>
      </c>
      <c r="N466">
        <v>19087</v>
      </c>
      <c r="O466" t="s">
        <v>2145</v>
      </c>
      <c r="P466" t="s">
        <v>1004</v>
      </c>
      <c r="S466">
        <v>165</v>
      </c>
      <c r="T466">
        <v>54</v>
      </c>
      <c r="U466">
        <v>0</v>
      </c>
      <c r="V466">
        <v>224</v>
      </c>
    </row>
    <row r="467" spans="1:22">
      <c r="A467" s="32" t="s">
        <v>2208</v>
      </c>
      <c r="B467" s="32" t="s">
        <v>2145</v>
      </c>
      <c r="C467" s="32" t="s">
        <v>1288</v>
      </c>
      <c r="D467" s="33" t="s">
        <v>1639</v>
      </c>
      <c r="E467" s="33" t="s">
        <v>1639</v>
      </c>
      <c r="F467" s="33">
        <v>177</v>
      </c>
      <c r="G467" s="33">
        <v>97</v>
      </c>
      <c r="H467" s="33" t="s">
        <v>1639</v>
      </c>
      <c r="I467" s="33">
        <v>281</v>
      </c>
      <c r="K467" t="b">
        <f>QHPSelections2016[[#This Row],[County Name]]=P467</f>
        <v>1</v>
      </c>
      <c r="L467" t="b">
        <f>QHPSelections2016[[#This Row],[Silver]]=S467</f>
        <v>1</v>
      </c>
      <c r="N467">
        <v>19089</v>
      </c>
      <c r="O467" t="s">
        <v>2145</v>
      </c>
      <c r="P467" t="s">
        <v>1288</v>
      </c>
      <c r="S467">
        <v>177</v>
      </c>
      <c r="T467">
        <v>97</v>
      </c>
      <c r="V467">
        <v>281</v>
      </c>
    </row>
    <row r="468" spans="1:22">
      <c r="A468" s="32" t="s">
        <v>2209</v>
      </c>
      <c r="B468" s="32" t="s">
        <v>2145</v>
      </c>
      <c r="C468" s="32" t="s">
        <v>2210</v>
      </c>
      <c r="D468" s="33">
        <v>0</v>
      </c>
      <c r="E468" s="33">
        <v>11</v>
      </c>
      <c r="F468" s="33">
        <v>120</v>
      </c>
      <c r="G468" s="33">
        <v>28</v>
      </c>
      <c r="H468" s="33">
        <v>0</v>
      </c>
      <c r="I468" s="33">
        <v>159</v>
      </c>
      <c r="K468" t="b">
        <f>QHPSelections2016[[#This Row],[County Name]]=P468</f>
        <v>1</v>
      </c>
      <c r="L468" t="b">
        <f>QHPSelections2016[[#This Row],[Silver]]=S468</f>
        <v>1</v>
      </c>
      <c r="N468">
        <v>19091</v>
      </c>
      <c r="O468" t="s">
        <v>2145</v>
      </c>
      <c r="P468" t="s">
        <v>2210</v>
      </c>
      <c r="Q468">
        <v>0</v>
      </c>
      <c r="R468">
        <v>11</v>
      </c>
      <c r="S468">
        <v>120</v>
      </c>
      <c r="T468">
        <v>28</v>
      </c>
      <c r="U468">
        <v>0</v>
      </c>
      <c r="V468">
        <v>159</v>
      </c>
    </row>
    <row r="469" spans="1:22">
      <c r="A469" s="32" t="s">
        <v>2211</v>
      </c>
      <c r="B469" s="32" t="s">
        <v>2145</v>
      </c>
      <c r="C469" s="32" t="s">
        <v>2212</v>
      </c>
      <c r="D469" s="33" t="s">
        <v>1639</v>
      </c>
      <c r="E469" s="33" t="s">
        <v>1639</v>
      </c>
      <c r="F469" s="33">
        <v>91</v>
      </c>
      <c r="G469" s="33">
        <v>33</v>
      </c>
      <c r="H469" s="33">
        <v>0</v>
      </c>
      <c r="I469" s="33">
        <v>130</v>
      </c>
      <c r="K469" t="b">
        <f>QHPSelections2016[[#This Row],[County Name]]=P469</f>
        <v>1</v>
      </c>
      <c r="L469" t="b">
        <f>QHPSelections2016[[#This Row],[Silver]]=S469</f>
        <v>1</v>
      </c>
      <c r="N469">
        <v>19093</v>
      </c>
      <c r="O469" t="s">
        <v>2145</v>
      </c>
      <c r="P469" t="s">
        <v>2212</v>
      </c>
      <c r="S469">
        <v>91</v>
      </c>
      <c r="T469">
        <v>33</v>
      </c>
      <c r="U469">
        <v>0</v>
      </c>
      <c r="V469">
        <v>130</v>
      </c>
    </row>
    <row r="470" spans="1:22">
      <c r="A470" s="32" t="s">
        <v>2213</v>
      </c>
      <c r="B470" s="32" t="s">
        <v>2145</v>
      </c>
      <c r="C470" s="32" t="s">
        <v>2214</v>
      </c>
      <c r="D470" s="33" t="s">
        <v>1639</v>
      </c>
      <c r="E470" s="33">
        <v>17</v>
      </c>
      <c r="F470" s="33">
        <v>195</v>
      </c>
      <c r="G470" s="33">
        <v>103</v>
      </c>
      <c r="H470" s="33" t="s">
        <v>1639</v>
      </c>
      <c r="I470" s="33">
        <v>316</v>
      </c>
      <c r="K470" t="b">
        <f>QHPSelections2016[[#This Row],[County Name]]=P470</f>
        <v>1</v>
      </c>
      <c r="L470" t="b">
        <f>QHPSelections2016[[#This Row],[Silver]]=S470</f>
        <v>1</v>
      </c>
      <c r="N470">
        <v>19095</v>
      </c>
      <c r="O470" t="s">
        <v>2145</v>
      </c>
      <c r="P470" t="s">
        <v>2214</v>
      </c>
      <c r="R470">
        <v>17</v>
      </c>
      <c r="S470">
        <v>195</v>
      </c>
      <c r="T470">
        <v>103</v>
      </c>
      <c r="V470">
        <v>316</v>
      </c>
    </row>
    <row r="471" spans="1:22">
      <c r="A471" s="32" t="s">
        <v>2215</v>
      </c>
      <c r="B471" s="32" t="s">
        <v>2145</v>
      </c>
      <c r="C471" s="32" t="s">
        <v>984</v>
      </c>
      <c r="D471" s="33" t="s">
        <v>1639</v>
      </c>
      <c r="E471" s="33">
        <v>23</v>
      </c>
      <c r="F471" s="33">
        <v>240</v>
      </c>
      <c r="G471" s="33">
        <v>85</v>
      </c>
      <c r="H471" s="33" t="s">
        <v>1639</v>
      </c>
      <c r="I471" s="33">
        <v>349</v>
      </c>
      <c r="K471" t="b">
        <f>QHPSelections2016[[#This Row],[County Name]]=P471</f>
        <v>1</v>
      </c>
      <c r="L471" t="b">
        <f>QHPSelections2016[[#This Row],[Silver]]=S471</f>
        <v>1</v>
      </c>
      <c r="N471">
        <v>19097</v>
      </c>
      <c r="O471" t="s">
        <v>2145</v>
      </c>
      <c r="P471" t="s">
        <v>984</v>
      </c>
      <c r="R471">
        <v>23</v>
      </c>
      <c r="S471">
        <v>240</v>
      </c>
      <c r="T471">
        <v>85</v>
      </c>
      <c r="V471">
        <v>349</v>
      </c>
    </row>
    <row r="472" spans="1:22">
      <c r="A472" s="32" t="s">
        <v>2216</v>
      </c>
      <c r="B472" s="32" t="s">
        <v>2145</v>
      </c>
      <c r="C472" s="32" t="s">
        <v>989</v>
      </c>
      <c r="D472" s="33">
        <v>0</v>
      </c>
      <c r="E472" s="33">
        <v>44</v>
      </c>
      <c r="F472" s="33">
        <v>403</v>
      </c>
      <c r="G472" s="33">
        <v>175</v>
      </c>
      <c r="H472" s="33">
        <v>0</v>
      </c>
      <c r="I472" s="33">
        <v>622</v>
      </c>
      <c r="K472" t="b">
        <f>QHPSelections2016[[#This Row],[County Name]]=P472</f>
        <v>1</v>
      </c>
      <c r="L472" t="b">
        <f>QHPSelections2016[[#This Row],[Silver]]=S472</f>
        <v>1</v>
      </c>
      <c r="N472">
        <v>19099</v>
      </c>
      <c r="O472" t="s">
        <v>2145</v>
      </c>
      <c r="P472" t="s">
        <v>989</v>
      </c>
      <c r="Q472">
        <v>0</v>
      </c>
      <c r="R472">
        <v>44</v>
      </c>
      <c r="S472">
        <v>403</v>
      </c>
      <c r="T472">
        <v>175</v>
      </c>
      <c r="U472">
        <v>0</v>
      </c>
      <c r="V472">
        <v>622</v>
      </c>
    </row>
    <row r="473" spans="1:22">
      <c r="A473" s="32" t="s">
        <v>2217</v>
      </c>
      <c r="B473" s="32" t="s">
        <v>2145</v>
      </c>
      <c r="C473" s="32" t="s">
        <v>993</v>
      </c>
      <c r="D473" s="33">
        <v>0</v>
      </c>
      <c r="E473" s="33" t="s">
        <v>1639</v>
      </c>
      <c r="F473" s="33">
        <v>274</v>
      </c>
      <c r="G473" s="33">
        <v>259</v>
      </c>
      <c r="H473" s="33" t="s">
        <v>1639</v>
      </c>
      <c r="I473" s="33">
        <v>545</v>
      </c>
      <c r="K473" t="b">
        <f>QHPSelections2016[[#This Row],[County Name]]=P473</f>
        <v>1</v>
      </c>
      <c r="L473" t="b">
        <f>QHPSelections2016[[#This Row],[Silver]]=S473</f>
        <v>1</v>
      </c>
      <c r="N473">
        <v>19101</v>
      </c>
      <c r="O473" t="s">
        <v>2145</v>
      </c>
      <c r="P473" t="s">
        <v>993</v>
      </c>
      <c r="Q473">
        <v>0</v>
      </c>
      <c r="S473">
        <v>274</v>
      </c>
      <c r="T473">
        <v>259</v>
      </c>
      <c r="V473">
        <v>545</v>
      </c>
    </row>
    <row r="474" spans="1:22">
      <c r="A474" s="32" t="s">
        <v>2218</v>
      </c>
      <c r="B474" s="32" t="s">
        <v>2145</v>
      </c>
      <c r="C474" s="32" t="s">
        <v>1064</v>
      </c>
      <c r="D474" s="33">
        <v>0</v>
      </c>
      <c r="E474" s="33">
        <v>163</v>
      </c>
      <c r="F474" s="33">
        <v>1431</v>
      </c>
      <c r="G474" s="33">
        <v>627</v>
      </c>
      <c r="H474" s="33">
        <v>15</v>
      </c>
      <c r="I474" s="33">
        <v>2236</v>
      </c>
      <c r="K474" t="b">
        <f>QHPSelections2016[[#This Row],[County Name]]=P474</f>
        <v>1</v>
      </c>
      <c r="L474" t="b">
        <f>QHPSelections2016[[#This Row],[Silver]]=S474</f>
        <v>1</v>
      </c>
      <c r="N474">
        <v>19103</v>
      </c>
      <c r="O474" t="s">
        <v>2145</v>
      </c>
      <c r="P474" t="s">
        <v>1064</v>
      </c>
      <c r="Q474">
        <v>0</v>
      </c>
      <c r="R474">
        <v>163</v>
      </c>
      <c r="S474" s="51">
        <v>1431</v>
      </c>
      <c r="T474">
        <v>627</v>
      </c>
      <c r="U474">
        <v>15</v>
      </c>
      <c r="V474" s="51">
        <v>2236</v>
      </c>
    </row>
    <row r="475" spans="1:22">
      <c r="A475" s="32" t="s">
        <v>2219</v>
      </c>
      <c r="B475" s="32" t="s">
        <v>2145</v>
      </c>
      <c r="C475" s="32" t="s">
        <v>1006</v>
      </c>
      <c r="D475" s="33" t="s">
        <v>1639</v>
      </c>
      <c r="E475" s="33">
        <v>28</v>
      </c>
      <c r="F475" s="33">
        <v>213</v>
      </c>
      <c r="G475" s="33">
        <v>96</v>
      </c>
      <c r="H475" s="33" t="s">
        <v>1639</v>
      </c>
      <c r="I475" s="33">
        <v>338</v>
      </c>
      <c r="K475" t="b">
        <f>QHPSelections2016[[#This Row],[County Name]]=P475</f>
        <v>1</v>
      </c>
      <c r="L475" t="b">
        <f>QHPSelections2016[[#This Row],[Silver]]=S475</f>
        <v>1</v>
      </c>
      <c r="N475">
        <v>19105</v>
      </c>
      <c r="O475" t="s">
        <v>2145</v>
      </c>
      <c r="P475" t="s">
        <v>1006</v>
      </c>
      <c r="R475">
        <v>28</v>
      </c>
      <c r="S475">
        <v>213</v>
      </c>
      <c r="T475">
        <v>96</v>
      </c>
      <c r="V475">
        <v>338</v>
      </c>
    </row>
    <row r="476" spans="1:22">
      <c r="A476" s="32" t="s">
        <v>2220</v>
      </c>
      <c r="B476" s="32" t="s">
        <v>2145</v>
      </c>
      <c r="C476" s="32" t="s">
        <v>2221</v>
      </c>
      <c r="D476" s="33">
        <v>0</v>
      </c>
      <c r="E476" s="33">
        <v>17</v>
      </c>
      <c r="F476" s="33">
        <v>106</v>
      </c>
      <c r="G476" s="33">
        <v>40</v>
      </c>
      <c r="H476" s="33">
        <v>0</v>
      </c>
      <c r="I476" s="33">
        <v>163</v>
      </c>
      <c r="K476" t="b">
        <f>QHPSelections2016[[#This Row],[County Name]]=P476</f>
        <v>1</v>
      </c>
      <c r="L476" t="b">
        <f>QHPSelections2016[[#This Row],[Silver]]=S476</f>
        <v>1</v>
      </c>
      <c r="N476">
        <v>19107</v>
      </c>
      <c r="O476" t="s">
        <v>2145</v>
      </c>
      <c r="P476" t="s">
        <v>2221</v>
      </c>
      <c r="Q476">
        <v>0</v>
      </c>
      <c r="R476">
        <v>17</v>
      </c>
      <c r="S476">
        <v>106</v>
      </c>
      <c r="T476">
        <v>40</v>
      </c>
      <c r="U476">
        <v>0</v>
      </c>
      <c r="V476">
        <v>163</v>
      </c>
    </row>
    <row r="477" spans="1:22">
      <c r="A477" s="32" t="s">
        <v>2222</v>
      </c>
      <c r="B477" s="32" t="s">
        <v>2145</v>
      </c>
      <c r="C477" s="32" t="s">
        <v>2223</v>
      </c>
      <c r="D477" s="33" t="s">
        <v>1639</v>
      </c>
      <c r="E477" s="33">
        <v>13</v>
      </c>
      <c r="F477" s="33">
        <v>200</v>
      </c>
      <c r="G477" s="33">
        <v>78</v>
      </c>
      <c r="H477" s="33" t="s">
        <v>1639</v>
      </c>
      <c r="I477" s="33">
        <v>292</v>
      </c>
      <c r="K477" t="b">
        <f>QHPSelections2016[[#This Row],[County Name]]=P477</f>
        <v>1</v>
      </c>
      <c r="L477" t="b">
        <f>QHPSelections2016[[#This Row],[Silver]]=S477</f>
        <v>1</v>
      </c>
      <c r="N477">
        <v>19109</v>
      </c>
      <c r="O477" t="s">
        <v>2145</v>
      </c>
      <c r="P477" t="s">
        <v>2223</v>
      </c>
      <c r="R477">
        <v>13</v>
      </c>
      <c r="S477">
        <v>200</v>
      </c>
      <c r="T477">
        <v>78</v>
      </c>
      <c r="V477">
        <v>292</v>
      </c>
    </row>
    <row r="478" spans="1:22">
      <c r="A478" s="32" t="s">
        <v>2224</v>
      </c>
      <c r="B478" s="32" t="s">
        <v>2145</v>
      </c>
      <c r="C478" s="32" t="s">
        <v>1010</v>
      </c>
      <c r="D478" s="33" t="s">
        <v>1639</v>
      </c>
      <c r="E478" s="33">
        <v>27</v>
      </c>
      <c r="F478" s="33">
        <v>441</v>
      </c>
      <c r="G478" s="33">
        <v>154</v>
      </c>
      <c r="H478" s="33" t="s">
        <v>1639</v>
      </c>
      <c r="I478" s="33">
        <v>624</v>
      </c>
      <c r="K478" t="b">
        <f>QHPSelections2016[[#This Row],[County Name]]=P478</f>
        <v>1</v>
      </c>
      <c r="L478" t="b">
        <f>QHPSelections2016[[#This Row],[Silver]]=S478</f>
        <v>1</v>
      </c>
      <c r="N478">
        <v>19111</v>
      </c>
      <c r="O478" t="s">
        <v>2145</v>
      </c>
      <c r="P478" t="s">
        <v>1010</v>
      </c>
      <c r="R478">
        <v>27</v>
      </c>
      <c r="S478">
        <v>441</v>
      </c>
      <c r="T478">
        <v>154</v>
      </c>
      <c r="V478">
        <v>624</v>
      </c>
    </row>
    <row r="479" spans="1:22">
      <c r="A479" s="32" t="s">
        <v>2225</v>
      </c>
      <c r="B479" s="32" t="s">
        <v>2145</v>
      </c>
      <c r="C479" s="32" t="s">
        <v>2226</v>
      </c>
      <c r="D479" s="33" t="s">
        <v>1639</v>
      </c>
      <c r="E479" s="33">
        <v>214</v>
      </c>
      <c r="F479" s="33">
        <v>2389</v>
      </c>
      <c r="G479" s="33">
        <v>1097</v>
      </c>
      <c r="H479" s="33" t="s">
        <v>1639</v>
      </c>
      <c r="I479" s="33">
        <v>3704</v>
      </c>
      <c r="K479" t="b">
        <f>QHPSelections2016[[#This Row],[County Name]]=P479</f>
        <v>1</v>
      </c>
      <c r="L479" t="b">
        <f>QHPSelections2016[[#This Row],[Silver]]=S479</f>
        <v>1</v>
      </c>
      <c r="N479">
        <v>19113</v>
      </c>
      <c r="O479" t="s">
        <v>2145</v>
      </c>
      <c r="P479" t="s">
        <v>2226</v>
      </c>
      <c r="R479">
        <v>214</v>
      </c>
      <c r="S479" s="51">
        <v>2389</v>
      </c>
      <c r="T479" s="51">
        <v>1097</v>
      </c>
      <c r="V479" s="51">
        <v>3704</v>
      </c>
    </row>
    <row r="480" spans="1:22">
      <c r="A480" s="32" t="s">
        <v>2227</v>
      </c>
      <c r="B480" s="32" t="s">
        <v>2145</v>
      </c>
      <c r="C480" s="32" t="s">
        <v>2228</v>
      </c>
      <c r="D480" s="33" t="s">
        <v>1639</v>
      </c>
      <c r="E480" s="33" t="s">
        <v>1639</v>
      </c>
      <c r="F480" s="33">
        <v>97</v>
      </c>
      <c r="G480" s="33">
        <v>42</v>
      </c>
      <c r="H480" s="33">
        <v>0</v>
      </c>
      <c r="I480" s="33">
        <v>142</v>
      </c>
      <c r="K480" t="b">
        <f>QHPSelections2016[[#This Row],[County Name]]=P480</f>
        <v>1</v>
      </c>
      <c r="L480" t="b">
        <f>QHPSelections2016[[#This Row],[Silver]]=S480</f>
        <v>1</v>
      </c>
      <c r="N480">
        <v>19115</v>
      </c>
      <c r="O480" t="s">
        <v>2145</v>
      </c>
      <c r="P480" t="s">
        <v>2228</v>
      </c>
      <c r="S480">
        <v>97</v>
      </c>
      <c r="T480">
        <v>42</v>
      </c>
      <c r="U480">
        <v>0</v>
      </c>
      <c r="V480">
        <v>142</v>
      </c>
    </row>
    <row r="481" spans="1:22">
      <c r="A481" s="32" t="s">
        <v>2229</v>
      </c>
      <c r="B481" s="32" t="s">
        <v>2145</v>
      </c>
      <c r="C481" s="32" t="s">
        <v>2230</v>
      </c>
      <c r="D481" s="33" t="s">
        <v>1639</v>
      </c>
      <c r="E481" s="33" t="s">
        <v>1639</v>
      </c>
      <c r="F481" s="33">
        <v>76</v>
      </c>
      <c r="G481" s="33">
        <v>43</v>
      </c>
      <c r="H481" s="33">
        <v>0</v>
      </c>
      <c r="I481" s="33">
        <v>128</v>
      </c>
      <c r="K481" t="b">
        <f>QHPSelections2016[[#This Row],[County Name]]=P481</f>
        <v>1</v>
      </c>
      <c r="L481" t="b">
        <f>QHPSelections2016[[#This Row],[Silver]]=S481</f>
        <v>1</v>
      </c>
      <c r="N481">
        <v>19117</v>
      </c>
      <c r="O481" t="s">
        <v>2145</v>
      </c>
      <c r="P481" t="s">
        <v>2230</v>
      </c>
      <c r="S481">
        <v>76</v>
      </c>
      <c r="T481">
        <v>43</v>
      </c>
      <c r="U481">
        <v>0</v>
      </c>
      <c r="V481">
        <v>128</v>
      </c>
    </row>
    <row r="482" spans="1:22">
      <c r="A482" s="32" t="s">
        <v>2231</v>
      </c>
      <c r="B482" s="32" t="s">
        <v>2145</v>
      </c>
      <c r="C482" s="32" t="s">
        <v>2232</v>
      </c>
      <c r="D482" s="33" t="s">
        <v>1639</v>
      </c>
      <c r="E482" s="33" t="s">
        <v>1639</v>
      </c>
      <c r="F482" s="33">
        <v>97</v>
      </c>
      <c r="G482" s="33">
        <v>47</v>
      </c>
      <c r="H482" s="33">
        <v>0</v>
      </c>
      <c r="I482" s="33">
        <v>154</v>
      </c>
      <c r="K482" t="b">
        <f>QHPSelections2016[[#This Row],[County Name]]=P482</f>
        <v>1</v>
      </c>
      <c r="L482" t="b">
        <f>QHPSelections2016[[#This Row],[Silver]]=S482</f>
        <v>1</v>
      </c>
      <c r="N482">
        <v>19119</v>
      </c>
      <c r="O482" t="s">
        <v>2145</v>
      </c>
      <c r="P482" t="s">
        <v>2232</v>
      </c>
      <c r="S482">
        <v>97</v>
      </c>
      <c r="T482">
        <v>47</v>
      </c>
      <c r="U482">
        <v>0</v>
      </c>
      <c r="V482">
        <v>154</v>
      </c>
    </row>
    <row r="483" spans="1:22">
      <c r="A483" s="32" t="s">
        <v>2233</v>
      </c>
      <c r="B483" s="32" t="s">
        <v>2145</v>
      </c>
      <c r="C483" s="32" t="s">
        <v>1029</v>
      </c>
      <c r="D483" s="33">
        <v>0</v>
      </c>
      <c r="E483" s="33">
        <v>32</v>
      </c>
      <c r="F483" s="33">
        <v>239</v>
      </c>
      <c r="G483" s="33">
        <v>87</v>
      </c>
      <c r="H483" s="33">
        <v>0</v>
      </c>
      <c r="I483" s="33">
        <v>358</v>
      </c>
      <c r="K483" t="b">
        <f>QHPSelections2016[[#This Row],[County Name]]=P483</f>
        <v>1</v>
      </c>
      <c r="L483" t="b">
        <f>QHPSelections2016[[#This Row],[Silver]]=S483</f>
        <v>1</v>
      </c>
      <c r="N483">
        <v>19121</v>
      </c>
      <c r="O483" t="s">
        <v>2145</v>
      </c>
      <c r="P483" t="s">
        <v>1029</v>
      </c>
      <c r="Q483">
        <v>0</v>
      </c>
      <c r="R483">
        <v>32</v>
      </c>
      <c r="S483">
        <v>239</v>
      </c>
      <c r="T483">
        <v>87</v>
      </c>
      <c r="U483">
        <v>0</v>
      </c>
      <c r="V483">
        <v>358</v>
      </c>
    </row>
    <row r="484" spans="1:22">
      <c r="A484" s="32" t="s">
        <v>2234</v>
      </c>
      <c r="B484" s="32" t="s">
        <v>2145</v>
      </c>
      <c r="C484" s="32" t="s">
        <v>2235</v>
      </c>
      <c r="D484" s="33" t="s">
        <v>1639</v>
      </c>
      <c r="E484" s="33">
        <v>30</v>
      </c>
      <c r="F484" s="33">
        <v>177</v>
      </c>
      <c r="G484" s="33">
        <v>104</v>
      </c>
      <c r="H484" s="33" t="s">
        <v>1639</v>
      </c>
      <c r="I484" s="33">
        <v>312</v>
      </c>
      <c r="K484" t="b">
        <f>QHPSelections2016[[#This Row],[County Name]]=P484</f>
        <v>1</v>
      </c>
      <c r="L484" t="b">
        <f>QHPSelections2016[[#This Row],[Silver]]=S484</f>
        <v>1</v>
      </c>
      <c r="N484">
        <v>19123</v>
      </c>
      <c r="O484" t="s">
        <v>2145</v>
      </c>
      <c r="P484" t="s">
        <v>2235</v>
      </c>
      <c r="R484">
        <v>30</v>
      </c>
      <c r="S484">
        <v>177</v>
      </c>
      <c r="T484">
        <v>104</v>
      </c>
      <c r="V484">
        <v>312</v>
      </c>
    </row>
    <row r="485" spans="1:22">
      <c r="A485" s="32" t="s">
        <v>2236</v>
      </c>
      <c r="B485" s="32" t="s">
        <v>2145</v>
      </c>
      <c r="C485" s="32" t="s">
        <v>1038</v>
      </c>
      <c r="D485" s="33">
        <v>0</v>
      </c>
      <c r="E485" s="33">
        <v>38</v>
      </c>
      <c r="F485" s="33">
        <v>333</v>
      </c>
      <c r="G485" s="33">
        <v>134</v>
      </c>
      <c r="H485" s="33">
        <v>0</v>
      </c>
      <c r="I485" s="33">
        <v>505</v>
      </c>
      <c r="K485" t="b">
        <f>QHPSelections2016[[#This Row],[County Name]]=P485</f>
        <v>1</v>
      </c>
      <c r="L485" t="b">
        <f>QHPSelections2016[[#This Row],[Silver]]=S485</f>
        <v>1</v>
      </c>
      <c r="N485">
        <v>19125</v>
      </c>
      <c r="O485" t="s">
        <v>2145</v>
      </c>
      <c r="P485" t="s">
        <v>1038</v>
      </c>
      <c r="Q485">
        <v>0</v>
      </c>
      <c r="R485">
        <v>38</v>
      </c>
      <c r="S485">
        <v>333</v>
      </c>
      <c r="T485">
        <v>134</v>
      </c>
      <c r="U485">
        <v>0</v>
      </c>
      <c r="V485">
        <v>505</v>
      </c>
    </row>
    <row r="486" spans="1:22">
      <c r="A486" s="32" t="s">
        <v>2237</v>
      </c>
      <c r="B486" s="32" t="s">
        <v>2145</v>
      </c>
      <c r="C486" s="32" t="s">
        <v>1068</v>
      </c>
      <c r="D486" s="33" t="s">
        <v>1639</v>
      </c>
      <c r="E486" s="33">
        <v>26</v>
      </c>
      <c r="F486" s="33">
        <v>345</v>
      </c>
      <c r="G486" s="33">
        <v>161</v>
      </c>
      <c r="H486" s="33" t="s">
        <v>1639</v>
      </c>
      <c r="I486" s="33">
        <v>533</v>
      </c>
      <c r="K486" t="b">
        <f>QHPSelections2016[[#This Row],[County Name]]=P486</f>
        <v>1</v>
      </c>
      <c r="L486" t="b">
        <f>QHPSelections2016[[#This Row],[Silver]]=S486</f>
        <v>1</v>
      </c>
      <c r="N486">
        <v>19127</v>
      </c>
      <c r="O486" t="s">
        <v>2145</v>
      </c>
      <c r="P486" t="s">
        <v>1068</v>
      </c>
      <c r="R486">
        <v>26</v>
      </c>
      <c r="S486">
        <v>345</v>
      </c>
      <c r="T486">
        <v>161</v>
      </c>
      <c r="V486">
        <v>533</v>
      </c>
    </row>
    <row r="487" spans="1:22">
      <c r="A487" s="32" t="s">
        <v>2238</v>
      </c>
      <c r="B487" s="32" t="s">
        <v>2145</v>
      </c>
      <c r="C487" s="32" t="s">
        <v>1351</v>
      </c>
      <c r="D487" s="33" t="s">
        <v>1639</v>
      </c>
      <c r="E487" s="33">
        <v>32</v>
      </c>
      <c r="F487" s="33">
        <v>155</v>
      </c>
      <c r="G487" s="33">
        <v>93</v>
      </c>
      <c r="H487" s="33" t="s">
        <v>1639</v>
      </c>
      <c r="I487" s="33">
        <v>281</v>
      </c>
      <c r="K487" t="b">
        <f>QHPSelections2016[[#This Row],[County Name]]=P487</f>
        <v>1</v>
      </c>
      <c r="L487" t="b">
        <f>QHPSelections2016[[#This Row],[Silver]]=S487</f>
        <v>1</v>
      </c>
      <c r="N487">
        <v>19129</v>
      </c>
      <c r="O487" t="s">
        <v>2145</v>
      </c>
      <c r="P487" t="s">
        <v>1351</v>
      </c>
      <c r="R487">
        <v>32</v>
      </c>
      <c r="S487">
        <v>155</v>
      </c>
      <c r="T487">
        <v>93</v>
      </c>
      <c r="V487">
        <v>281</v>
      </c>
    </row>
    <row r="488" spans="1:22">
      <c r="A488" s="32" t="s">
        <v>2239</v>
      </c>
      <c r="B488" s="32" t="s">
        <v>2145</v>
      </c>
      <c r="C488" s="32" t="s">
        <v>1140</v>
      </c>
      <c r="D488" s="33" t="s">
        <v>1639</v>
      </c>
      <c r="E488" s="33" t="s">
        <v>1639</v>
      </c>
      <c r="F488" s="33">
        <v>106</v>
      </c>
      <c r="G488" s="33">
        <v>58</v>
      </c>
      <c r="H488" s="33">
        <v>0</v>
      </c>
      <c r="I488" s="33">
        <v>172</v>
      </c>
      <c r="K488" t="b">
        <f>QHPSelections2016[[#This Row],[County Name]]=P488</f>
        <v>1</v>
      </c>
      <c r="L488" t="b">
        <f>QHPSelections2016[[#This Row],[Silver]]=S488</f>
        <v>1</v>
      </c>
      <c r="N488">
        <v>19131</v>
      </c>
      <c r="O488" t="s">
        <v>2145</v>
      </c>
      <c r="P488" t="s">
        <v>1140</v>
      </c>
      <c r="S488">
        <v>106</v>
      </c>
      <c r="T488">
        <v>58</v>
      </c>
      <c r="U488">
        <v>0</v>
      </c>
      <c r="V488">
        <v>172</v>
      </c>
    </row>
    <row r="489" spans="1:22">
      <c r="A489" s="32" t="s">
        <v>2240</v>
      </c>
      <c r="B489" s="32" t="s">
        <v>2145</v>
      </c>
      <c r="C489" s="32" t="s">
        <v>2241</v>
      </c>
      <c r="D489" s="33">
        <v>0</v>
      </c>
      <c r="E489" s="33">
        <v>12</v>
      </c>
      <c r="F489" s="33">
        <v>149</v>
      </c>
      <c r="G489" s="33">
        <v>49</v>
      </c>
      <c r="H489" s="33">
        <v>0</v>
      </c>
      <c r="I489" s="33">
        <v>210</v>
      </c>
      <c r="K489" t="b">
        <f>QHPSelections2016[[#This Row],[County Name]]=P489</f>
        <v>1</v>
      </c>
      <c r="L489" t="b">
        <f>QHPSelections2016[[#This Row],[Silver]]=S489</f>
        <v>1</v>
      </c>
      <c r="N489">
        <v>19133</v>
      </c>
      <c r="O489" t="s">
        <v>2145</v>
      </c>
      <c r="P489" t="s">
        <v>2241</v>
      </c>
      <c r="Q489">
        <v>0</v>
      </c>
      <c r="R489">
        <v>12</v>
      </c>
      <c r="S489">
        <v>149</v>
      </c>
      <c r="T489">
        <v>49</v>
      </c>
      <c r="U489">
        <v>0</v>
      </c>
      <c r="V489">
        <v>210</v>
      </c>
    </row>
    <row r="490" spans="1:22">
      <c r="A490" s="32" t="s">
        <v>2242</v>
      </c>
      <c r="B490" s="32" t="s">
        <v>2145</v>
      </c>
      <c r="C490" s="32" t="s">
        <v>1055</v>
      </c>
      <c r="D490" s="33" t="s">
        <v>1639</v>
      </c>
      <c r="E490" s="33" t="s">
        <v>1639</v>
      </c>
      <c r="F490" s="33">
        <v>78</v>
      </c>
      <c r="G490" s="33">
        <v>34</v>
      </c>
      <c r="H490" s="33">
        <v>0</v>
      </c>
      <c r="I490" s="33">
        <v>122</v>
      </c>
      <c r="K490" t="b">
        <f>QHPSelections2016[[#This Row],[County Name]]=P490</f>
        <v>1</v>
      </c>
      <c r="L490" t="b">
        <f>QHPSelections2016[[#This Row],[Silver]]=S490</f>
        <v>1</v>
      </c>
      <c r="N490">
        <v>19135</v>
      </c>
      <c r="O490" t="s">
        <v>2145</v>
      </c>
      <c r="P490" t="s">
        <v>1055</v>
      </c>
      <c r="S490">
        <v>78</v>
      </c>
      <c r="T490">
        <v>34</v>
      </c>
      <c r="U490">
        <v>0</v>
      </c>
      <c r="V490">
        <v>122</v>
      </c>
    </row>
    <row r="491" spans="1:22">
      <c r="A491" s="32" t="s">
        <v>2243</v>
      </c>
      <c r="B491" s="32" t="s">
        <v>2145</v>
      </c>
      <c r="C491" s="32" t="s">
        <v>1079</v>
      </c>
      <c r="D491" s="33" t="s">
        <v>1639</v>
      </c>
      <c r="E491" s="33">
        <v>11</v>
      </c>
      <c r="F491" s="33">
        <v>129</v>
      </c>
      <c r="G491" s="33">
        <v>58</v>
      </c>
      <c r="H491" s="33" t="s">
        <v>1639</v>
      </c>
      <c r="I491" s="33">
        <v>199</v>
      </c>
      <c r="K491" t="b">
        <f>QHPSelections2016[[#This Row],[County Name]]=P491</f>
        <v>1</v>
      </c>
      <c r="L491" t="b">
        <f>QHPSelections2016[[#This Row],[Silver]]=S491</f>
        <v>1</v>
      </c>
      <c r="N491">
        <v>19137</v>
      </c>
      <c r="O491" t="s">
        <v>2145</v>
      </c>
      <c r="P491" t="s">
        <v>1079</v>
      </c>
      <c r="R491">
        <v>11</v>
      </c>
      <c r="S491">
        <v>129</v>
      </c>
      <c r="T491">
        <v>58</v>
      </c>
      <c r="V491">
        <v>199</v>
      </c>
    </row>
    <row r="492" spans="1:22">
      <c r="A492" s="32" t="s">
        <v>2244</v>
      </c>
      <c r="B492" s="32" t="s">
        <v>2145</v>
      </c>
      <c r="C492" s="32" t="s">
        <v>2245</v>
      </c>
      <c r="D492" s="33" t="s">
        <v>1639</v>
      </c>
      <c r="E492" s="33">
        <v>42</v>
      </c>
      <c r="F492" s="33">
        <v>529</v>
      </c>
      <c r="G492" s="33">
        <v>188</v>
      </c>
      <c r="H492" s="33" t="s">
        <v>1639</v>
      </c>
      <c r="I492" s="33">
        <v>760</v>
      </c>
      <c r="K492" t="b">
        <f>QHPSelections2016[[#This Row],[County Name]]=P492</f>
        <v>1</v>
      </c>
      <c r="L492" t="b">
        <f>QHPSelections2016[[#This Row],[Silver]]=S492</f>
        <v>1</v>
      </c>
      <c r="N492">
        <v>19139</v>
      </c>
      <c r="O492" t="s">
        <v>2145</v>
      </c>
      <c r="P492" t="s">
        <v>2245</v>
      </c>
      <c r="R492">
        <v>42</v>
      </c>
      <c r="S492">
        <v>529</v>
      </c>
      <c r="T492">
        <v>188</v>
      </c>
      <c r="V492">
        <v>760</v>
      </c>
    </row>
    <row r="493" spans="1:22">
      <c r="A493" s="32" t="s">
        <v>2246</v>
      </c>
      <c r="B493" s="32" t="s">
        <v>2145</v>
      </c>
      <c r="C493" s="32" t="s">
        <v>2247</v>
      </c>
      <c r="D493" s="33">
        <v>0</v>
      </c>
      <c r="E493" s="33">
        <v>13</v>
      </c>
      <c r="F493" s="33">
        <v>106</v>
      </c>
      <c r="G493" s="33">
        <v>64</v>
      </c>
      <c r="H493" s="33">
        <v>0</v>
      </c>
      <c r="I493" s="33">
        <v>183</v>
      </c>
      <c r="K493" t="b">
        <f>QHPSelections2016[[#This Row],[County Name]]=P493</f>
        <v>1</v>
      </c>
      <c r="L493" t="b">
        <f>QHPSelections2016[[#This Row],[Silver]]=S493</f>
        <v>1</v>
      </c>
      <c r="N493">
        <v>19141</v>
      </c>
      <c r="O493" t="s">
        <v>2145</v>
      </c>
      <c r="P493" t="s">
        <v>2247</v>
      </c>
      <c r="Q493">
        <v>0</v>
      </c>
      <c r="R493">
        <v>13</v>
      </c>
      <c r="S493">
        <v>106</v>
      </c>
      <c r="T493">
        <v>64</v>
      </c>
      <c r="U493">
        <v>0</v>
      </c>
      <c r="V493">
        <v>183</v>
      </c>
    </row>
    <row r="494" spans="1:22">
      <c r="A494" s="32" t="s">
        <v>2248</v>
      </c>
      <c r="B494" s="32" t="s">
        <v>2145</v>
      </c>
      <c r="C494" s="32" t="s">
        <v>1077</v>
      </c>
      <c r="D494" s="33">
        <v>0</v>
      </c>
      <c r="E494" s="33" t="s">
        <v>1639</v>
      </c>
      <c r="F494" s="33">
        <v>52</v>
      </c>
      <c r="G494" s="33">
        <v>26</v>
      </c>
      <c r="H494" s="33" t="s">
        <v>1639</v>
      </c>
      <c r="I494" s="33">
        <v>84</v>
      </c>
      <c r="K494" t="b">
        <f>QHPSelections2016[[#This Row],[County Name]]=P494</f>
        <v>1</v>
      </c>
      <c r="L494" t="b">
        <f>QHPSelections2016[[#This Row],[Silver]]=S494</f>
        <v>1</v>
      </c>
      <c r="N494">
        <v>19143</v>
      </c>
      <c r="O494" t="s">
        <v>2145</v>
      </c>
      <c r="P494" t="s">
        <v>1077</v>
      </c>
      <c r="Q494">
        <v>0</v>
      </c>
      <c r="S494">
        <v>52</v>
      </c>
      <c r="T494">
        <v>26</v>
      </c>
      <c r="V494">
        <v>84</v>
      </c>
    </row>
    <row r="495" spans="1:22">
      <c r="A495" s="32" t="s">
        <v>2249</v>
      </c>
      <c r="B495" s="32" t="s">
        <v>2145</v>
      </c>
      <c r="C495" s="32" t="s">
        <v>2250</v>
      </c>
      <c r="D495" s="33" t="s">
        <v>1639</v>
      </c>
      <c r="E495" s="33">
        <v>15</v>
      </c>
      <c r="F495" s="33">
        <v>148</v>
      </c>
      <c r="G495" s="33">
        <v>64</v>
      </c>
      <c r="H495" s="33" t="s">
        <v>1639</v>
      </c>
      <c r="I495" s="33">
        <v>228</v>
      </c>
      <c r="K495" t="b">
        <f>QHPSelections2016[[#This Row],[County Name]]=P495</f>
        <v>1</v>
      </c>
      <c r="L495" t="b">
        <f>QHPSelections2016[[#This Row],[Silver]]=S495</f>
        <v>1</v>
      </c>
      <c r="N495">
        <v>19145</v>
      </c>
      <c r="O495" t="s">
        <v>2145</v>
      </c>
      <c r="P495" t="s">
        <v>2250</v>
      </c>
      <c r="R495">
        <v>15</v>
      </c>
      <c r="S495">
        <v>148</v>
      </c>
      <c r="T495">
        <v>64</v>
      </c>
      <c r="V495">
        <v>228</v>
      </c>
    </row>
    <row r="496" spans="1:22">
      <c r="A496" s="32" t="s">
        <v>2251</v>
      </c>
      <c r="B496" s="32" t="s">
        <v>2145</v>
      </c>
      <c r="C496" s="32" t="s">
        <v>2252</v>
      </c>
      <c r="D496" s="33">
        <v>0</v>
      </c>
      <c r="E496" s="33" t="s">
        <v>1639</v>
      </c>
      <c r="F496" s="33">
        <v>113</v>
      </c>
      <c r="G496" s="33">
        <v>33</v>
      </c>
      <c r="H496" s="33" t="s">
        <v>1639</v>
      </c>
      <c r="I496" s="33">
        <v>154</v>
      </c>
      <c r="K496" t="b">
        <f>QHPSelections2016[[#This Row],[County Name]]=P496</f>
        <v>1</v>
      </c>
      <c r="L496" t="b">
        <f>QHPSelections2016[[#This Row],[Silver]]=S496</f>
        <v>1</v>
      </c>
      <c r="N496">
        <v>19147</v>
      </c>
      <c r="O496" t="s">
        <v>2145</v>
      </c>
      <c r="P496" t="s">
        <v>2252</v>
      </c>
      <c r="Q496">
        <v>0</v>
      </c>
      <c r="S496">
        <v>113</v>
      </c>
      <c r="T496">
        <v>33</v>
      </c>
      <c r="V496">
        <v>154</v>
      </c>
    </row>
    <row r="497" spans="1:22">
      <c r="A497" s="32" t="s">
        <v>2253</v>
      </c>
      <c r="B497" s="32" t="s">
        <v>2145</v>
      </c>
      <c r="C497" s="32" t="s">
        <v>2254</v>
      </c>
      <c r="D497" s="33">
        <v>0</v>
      </c>
      <c r="E497" s="33">
        <v>20</v>
      </c>
      <c r="F497" s="33">
        <v>292</v>
      </c>
      <c r="G497" s="33">
        <v>125</v>
      </c>
      <c r="H497" s="33">
        <v>0</v>
      </c>
      <c r="I497" s="33">
        <v>437</v>
      </c>
      <c r="K497" t="b">
        <f>QHPSelections2016[[#This Row],[County Name]]=P497</f>
        <v>1</v>
      </c>
      <c r="L497" t="b">
        <f>QHPSelections2016[[#This Row],[Silver]]=S497</f>
        <v>1</v>
      </c>
      <c r="N497">
        <v>19149</v>
      </c>
      <c r="O497" t="s">
        <v>2145</v>
      </c>
      <c r="P497" t="s">
        <v>2254</v>
      </c>
      <c r="Q497">
        <v>0</v>
      </c>
      <c r="R497">
        <v>20</v>
      </c>
      <c r="S497">
        <v>292</v>
      </c>
      <c r="T497">
        <v>125</v>
      </c>
      <c r="U497">
        <v>0</v>
      </c>
      <c r="V497">
        <v>437</v>
      </c>
    </row>
    <row r="498" spans="1:22">
      <c r="A498" s="32" t="s">
        <v>2255</v>
      </c>
      <c r="B498" s="32" t="s">
        <v>2145</v>
      </c>
      <c r="C498" s="32" t="s">
        <v>2256</v>
      </c>
      <c r="D498" s="33" t="s">
        <v>1639</v>
      </c>
      <c r="E498" s="33" t="s">
        <v>1639</v>
      </c>
      <c r="F498" s="33">
        <v>74</v>
      </c>
      <c r="G498" s="33">
        <v>27</v>
      </c>
      <c r="H498" s="33">
        <v>0</v>
      </c>
      <c r="I498" s="33">
        <v>105</v>
      </c>
      <c r="K498" t="b">
        <f>QHPSelections2016[[#This Row],[County Name]]=P498</f>
        <v>1</v>
      </c>
      <c r="L498" t="b">
        <f>QHPSelections2016[[#This Row],[Silver]]=S498</f>
        <v>1</v>
      </c>
      <c r="N498">
        <v>19151</v>
      </c>
      <c r="O498" t="s">
        <v>2145</v>
      </c>
      <c r="P498" t="s">
        <v>2256</v>
      </c>
      <c r="S498">
        <v>74</v>
      </c>
      <c r="T498">
        <v>27</v>
      </c>
      <c r="U498">
        <v>0</v>
      </c>
      <c r="V498">
        <v>105</v>
      </c>
    </row>
    <row r="499" spans="1:22">
      <c r="A499" s="32" t="s">
        <v>2257</v>
      </c>
      <c r="B499" s="32" t="s">
        <v>2145</v>
      </c>
      <c r="C499" s="32" t="s">
        <v>1098</v>
      </c>
      <c r="D499" s="33" t="s">
        <v>1639</v>
      </c>
      <c r="E499" s="33">
        <v>726</v>
      </c>
      <c r="F499" s="33">
        <v>5624</v>
      </c>
      <c r="G499" s="33">
        <v>2608</v>
      </c>
      <c r="H499" s="33" t="s">
        <v>1639</v>
      </c>
      <c r="I499" s="33">
        <v>8968</v>
      </c>
      <c r="K499" t="b">
        <f>QHPSelections2016[[#This Row],[County Name]]=P499</f>
        <v>1</v>
      </c>
      <c r="L499" t="b">
        <f>QHPSelections2016[[#This Row],[Silver]]=S499</f>
        <v>1</v>
      </c>
      <c r="N499">
        <v>19153</v>
      </c>
      <c r="O499" t="s">
        <v>2145</v>
      </c>
      <c r="P499" t="s">
        <v>1098</v>
      </c>
      <c r="R499">
        <v>726</v>
      </c>
      <c r="S499" s="51">
        <v>5624</v>
      </c>
      <c r="T499" s="51">
        <v>2608</v>
      </c>
      <c r="V499" s="51">
        <v>8968</v>
      </c>
    </row>
    <row r="500" spans="1:22">
      <c r="A500" s="32" t="s">
        <v>2258</v>
      </c>
      <c r="B500" s="32" t="s">
        <v>2145</v>
      </c>
      <c r="C500" s="32" t="s">
        <v>2259</v>
      </c>
      <c r="D500" s="33">
        <v>0</v>
      </c>
      <c r="E500" s="33">
        <v>105</v>
      </c>
      <c r="F500" s="33">
        <v>1118</v>
      </c>
      <c r="G500" s="33">
        <v>520</v>
      </c>
      <c r="H500" s="33">
        <v>0</v>
      </c>
      <c r="I500" s="33">
        <v>1743</v>
      </c>
      <c r="K500" t="b">
        <f>QHPSelections2016[[#This Row],[County Name]]=P500</f>
        <v>1</v>
      </c>
      <c r="L500" t="b">
        <f>QHPSelections2016[[#This Row],[Silver]]=S500</f>
        <v>1</v>
      </c>
      <c r="N500">
        <v>19155</v>
      </c>
      <c r="O500" t="s">
        <v>2145</v>
      </c>
      <c r="P500" t="s">
        <v>2259</v>
      </c>
      <c r="Q500">
        <v>0</v>
      </c>
      <c r="R500">
        <v>105</v>
      </c>
      <c r="S500" s="51">
        <v>1118</v>
      </c>
      <c r="T500">
        <v>520</v>
      </c>
      <c r="U500">
        <v>0</v>
      </c>
      <c r="V500" s="51">
        <v>1743</v>
      </c>
    </row>
    <row r="501" spans="1:22">
      <c r="A501" s="32" t="s">
        <v>2260</v>
      </c>
      <c r="B501" s="32" t="s">
        <v>2145</v>
      </c>
      <c r="C501" s="32" t="s">
        <v>2261</v>
      </c>
      <c r="D501" s="33" t="s">
        <v>1639</v>
      </c>
      <c r="E501" s="33">
        <v>21</v>
      </c>
      <c r="F501" s="33">
        <v>198</v>
      </c>
      <c r="G501" s="33">
        <v>75</v>
      </c>
      <c r="H501" s="33" t="s">
        <v>1639</v>
      </c>
      <c r="I501" s="33">
        <v>295</v>
      </c>
      <c r="K501" t="b">
        <f>QHPSelections2016[[#This Row],[County Name]]=P501</f>
        <v>1</v>
      </c>
      <c r="L501" t="b">
        <f>QHPSelections2016[[#This Row],[Silver]]=S501</f>
        <v>1</v>
      </c>
      <c r="N501">
        <v>19157</v>
      </c>
      <c r="O501" t="s">
        <v>2145</v>
      </c>
      <c r="P501" t="s">
        <v>2261</v>
      </c>
      <c r="R501">
        <v>21</v>
      </c>
      <c r="S501">
        <v>198</v>
      </c>
      <c r="T501">
        <v>75</v>
      </c>
      <c r="V501">
        <v>295</v>
      </c>
    </row>
    <row r="502" spans="1:22">
      <c r="A502" s="32" t="s">
        <v>2262</v>
      </c>
      <c r="B502" s="32" t="s">
        <v>2145</v>
      </c>
      <c r="C502" s="32" t="s">
        <v>2263</v>
      </c>
      <c r="D502" s="33" t="s">
        <v>1639</v>
      </c>
      <c r="E502" s="33" t="s">
        <v>1639</v>
      </c>
      <c r="F502" s="33">
        <v>107</v>
      </c>
      <c r="G502" s="33">
        <v>22</v>
      </c>
      <c r="H502" s="33">
        <v>0</v>
      </c>
      <c r="I502" s="33">
        <v>139</v>
      </c>
      <c r="K502" t="b">
        <f>QHPSelections2016[[#This Row],[County Name]]=P502</f>
        <v>1</v>
      </c>
      <c r="L502" t="b">
        <f>QHPSelections2016[[#This Row],[Silver]]=S502</f>
        <v>1</v>
      </c>
      <c r="N502">
        <v>19159</v>
      </c>
      <c r="O502" t="s">
        <v>2145</v>
      </c>
      <c r="P502" t="s">
        <v>2263</v>
      </c>
      <c r="S502">
        <v>107</v>
      </c>
      <c r="T502">
        <v>22</v>
      </c>
      <c r="U502">
        <v>0</v>
      </c>
      <c r="V502">
        <v>139</v>
      </c>
    </row>
    <row r="503" spans="1:22">
      <c r="A503" s="32" t="s">
        <v>2264</v>
      </c>
      <c r="B503" s="32" t="s">
        <v>2145</v>
      </c>
      <c r="C503" s="32" t="s">
        <v>2265</v>
      </c>
      <c r="D503" s="33">
        <v>0</v>
      </c>
      <c r="E503" s="33" t="s">
        <v>1639</v>
      </c>
      <c r="F503" s="33">
        <v>145</v>
      </c>
      <c r="G503" s="33">
        <v>79</v>
      </c>
      <c r="H503" s="33" t="s">
        <v>1639</v>
      </c>
      <c r="I503" s="33">
        <v>234</v>
      </c>
      <c r="K503" t="b">
        <f>QHPSelections2016[[#This Row],[County Name]]=P503</f>
        <v>1</v>
      </c>
      <c r="L503" t="b">
        <f>QHPSelections2016[[#This Row],[Silver]]=S503</f>
        <v>1</v>
      </c>
      <c r="N503">
        <v>19161</v>
      </c>
      <c r="O503" t="s">
        <v>2145</v>
      </c>
      <c r="P503" t="s">
        <v>2265</v>
      </c>
      <c r="Q503">
        <v>0</v>
      </c>
      <c r="S503">
        <v>145</v>
      </c>
      <c r="T503">
        <v>79</v>
      </c>
      <c r="V503">
        <v>234</v>
      </c>
    </row>
    <row r="504" spans="1:22">
      <c r="A504" s="32" t="s">
        <v>2266</v>
      </c>
      <c r="B504" s="32" t="s">
        <v>2145</v>
      </c>
      <c r="C504" s="32" t="s">
        <v>1146</v>
      </c>
      <c r="D504" s="33" t="s">
        <v>1639</v>
      </c>
      <c r="E504" s="33">
        <v>193</v>
      </c>
      <c r="F504" s="33">
        <v>2134</v>
      </c>
      <c r="G504" s="33">
        <v>1057</v>
      </c>
      <c r="H504" s="33" t="s">
        <v>1639</v>
      </c>
      <c r="I504" s="33">
        <v>3389</v>
      </c>
      <c r="K504" t="b">
        <f>QHPSelections2016[[#This Row],[County Name]]=P504</f>
        <v>1</v>
      </c>
      <c r="L504" t="b">
        <f>QHPSelections2016[[#This Row],[Silver]]=S504</f>
        <v>1</v>
      </c>
      <c r="N504">
        <v>19163</v>
      </c>
      <c r="O504" t="s">
        <v>2145</v>
      </c>
      <c r="P504" t="s">
        <v>1146</v>
      </c>
      <c r="R504">
        <v>193</v>
      </c>
      <c r="S504" s="51">
        <v>2134</v>
      </c>
      <c r="T504" s="51">
        <v>1057</v>
      </c>
      <c r="V504" s="51">
        <v>3389</v>
      </c>
    </row>
    <row r="505" spans="1:22">
      <c r="A505" s="32" t="s">
        <v>2267</v>
      </c>
      <c r="B505" s="32" t="s">
        <v>2145</v>
      </c>
      <c r="C505" s="32" t="s">
        <v>1126</v>
      </c>
      <c r="D505" s="33" t="s">
        <v>1639</v>
      </c>
      <c r="E505" s="33">
        <v>12</v>
      </c>
      <c r="F505" s="33">
        <v>140</v>
      </c>
      <c r="G505" s="33">
        <v>82</v>
      </c>
      <c r="H505" s="33" t="s">
        <v>1639</v>
      </c>
      <c r="I505" s="33">
        <v>235</v>
      </c>
      <c r="K505" t="b">
        <f>QHPSelections2016[[#This Row],[County Name]]=P505</f>
        <v>1</v>
      </c>
      <c r="L505" t="b">
        <f>QHPSelections2016[[#This Row],[Silver]]=S505</f>
        <v>1</v>
      </c>
      <c r="N505">
        <v>19165</v>
      </c>
      <c r="O505" t="s">
        <v>2145</v>
      </c>
      <c r="P505" t="s">
        <v>1126</v>
      </c>
      <c r="R505">
        <v>12</v>
      </c>
      <c r="S505">
        <v>140</v>
      </c>
      <c r="T505">
        <v>82</v>
      </c>
      <c r="V505">
        <v>235</v>
      </c>
    </row>
    <row r="506" spans="1:22">
      <c r="A506" s="32" t="s">
        <v>2268</v>
      </c>
      <c r="B506" s="32" t="s">
        <v>2145</v>
      </c>
      <c r="C506" s="32" t="s">
        <v>2269</v>
      </c>
      <c r="D506" s="33" t="s">
        <v>1639</v>
      </c>
      <c r="E506" s="33">
        <v>24</v>
      </c>
      <c r="F506" s="33">
        <v>248</v>
      </c>
      <c r="G506" s="33">
        <v>134</v>
      </c>
      <c r="H506" s="33" t="s">
        <v>1639</v>
      </c>
      <c r="I506" s="33">
        <v>407</v>
      </c>
      <c r="K506" t="b">
        <f>QHPSelections2016[[#This Row],[County Name]]=P506</f>
        <v>1</v>
      </c>
      <c r="L506" t="b">
        <f>QHPSelections2016[[#This Row],[Silver]]=S506</f>
        <v>1</v>
      </c>
      <c r="N506">
        <v>19167</v>
      </c>
      <c r="O506" t="s">
        <v>2145</v>
      </c>
      <c r="P506" t="s">
        <v>2269</v>
      </c>
      <c r="R506">
        <v>24</v>
      </c>
      <c r="S506">
        <v>248</v>
      </c>
      <c r="T506">
        <v>134</v>
      </c>
      <c r="V506">
        <v>407</v>
      </c>
    </row>
    <row r="507" spans="1:22">
      <c r="A507" s="32" t="s">
        <v>2270</v>
      </c>
      <c r="B507" s="32" t="s">
        <v>2145</v>
      </c>
      <c r="C507" s="32" t="s">
        <v>2271</v>
      </c>
      <c r="D507" s="33" t="s">
        <v>1639</v>
      </c>
      <c r="E507" s="33">
        <v>70</v>
      </c>
      <c r="F507" s="33">
        <v>686</v>
      </c>
      <c r="G507" s="33">
        <v>366</v>
      </c>
      <c r="H507" s="33" t="s">
        <v>1639</v>
      </c>
      <c r="I507" s="33">
        <v>1132</v>
      </c>
      <c r="K507" t="b">
        <f>QHPSelections2016[[#This Row],[County Name]]=P507</f>
        <v>1</v>
      </c>
      <c r="L507" t="b">
        <f>QHPSelections2016[[#This Row],[Silver]]=S507</f>
        <v>1</v>
      </c>
      <c r="N507">
        <v>19169</v>
      </c>
      <c r="O507" t="s">
        <v>2145</v>
      </c>
      <c r="P507" t="s">
        <v>2271</v>
      </c>
      <c r="R507">
        <v>70</v>
      </c>
      <c r="S507">
        <v>686</v>
      </c>
      <c r="T507">
        <v>366</v>
      </c>
      <c r="V507" s="51">
        <v>1132</v>
      </c>
    </row>
    <row r="508" spans="1:22">
      <c r="A508" s="32" t="s">
        <v>2272</v>
      </c>
      <c r="B508" s="32" t="s">
        <v>2145</v>
      </c>
      <c r="C508" s="32" t="s">
        <v>2273</v>
      </c>
      <c r="D508" s="33" t="s">
        <v>1639</v>
      </c>
      <c r="E508" s="33" t="s">
        <v>1639</v>
      </c>
      <c r="F508" s="33">
        <v>175</v>
      </c>
      <c r="G508" s="33">
        <v>72</v>
      </c>
      <c r="H508" s="33">
        <v>0</v>
      </c>
      <c r="I508" s="33">
        <v>255</v>
      </c>
      <c r="K508" t="b">
        <f>QHPSelections2016[[#This Row],[County Name]]=P508</f>
        <v>1</v>
      </c>
      <c r="L508" t="b">
        <f>QHPSelections2016[[#This Row],[Silver]]=S508</f>
        <v>1</v>
      </c>
      <c r="N508">
        <v>19171</v>
      </c>
      <c r="O508" t="s">
        <v>2145</v>
      </c>
      <c r="P508" t="s">
        <v>2273</v>
      </c>
      <c r="S508">
        <v>175</v>
      </c>
      <c r="T508">
        <v>72</v>
      </c>
      <c r="U508">
        <v>0</v>
      </c>
      <c r="V508">
        <v>255</v>
      </c>
    </row>
    <row r="509" spans="1:22">
      <c r="A509" s="32" t="s">
        <v>2274</v>
      </c>
      <c r="B509" s="32" t="s">
        <v>2145</v>
      </c>
      <c r="C509" s="32" t="s">
        <v>1144</v>
      </c>
      <c r="D509" s="33">
        <v>0</v>
      </c>
      <c r="E509" s="33">
        <v>15</v>
      </c>
      <c r="F509" s="33">
        <v>72</v>
      </c>
      <c r="G509" s="33">
        <v>26</v>
      </c>
      <c r="H509" s="33">
        <v>0</v>
      </c>
      <c r="I509" s="33">
        <v>113</v>
      </c>
      <c r="K509" t="b">
        <f>QHPSelections2016[[#This Row],[County Name]]=P509</f>
        <v>1</v>
      </c>
      <c r="L509" t="b">
        <f>QHPSelections2016[[#This Row],[Silver]]=S509</f>
        <v>1</v>
      </c>
      <c r="N509">
        <v>19173</v>
      </c>
      <c r="O509" t="s">
        <v>2145</v>
      </c>
      <c r="P509" t="s">
        <v>1144</v>
      </c>
      <c r="Q509">
        <v>0</v>
      </c>
      <c r="R509">
        <v>15</v>
      </c>
      <c r="S509">
        <v>72</v>
      </c>
      <c r="T509">
        <v>26</v>
      </c>
      <c r="U509">
        <v>0</v>
      </c>
      <c r="V509">
        <v>113</v>
      </c>
    </row>
    <row r="510" spans="1:22">
      <c r="A510" s="32" t="s">
        <v>2275</v>
      </c>
      <c r="B510" s="32" t="s">
        <v>2145</v>
      </c>
      <c r="C510" s="32" t="s">
        <v>1149</v>
      </c>
      <c r="D510" s="33" t="s">
        <v>1639</v>
      </c>
      <c r="E510" s="33">
        <v>14</v>
      </c>
      <c r="F510" s="33">
        <v>149</v>
      </c>
      <c r="G510" s="33">
        <v>69</v>
      </c>
      <c r="H510" s="33" t="s">
        <v>1639</v>
      </c>
      <c r="I510" s="33">
        <v>233</v>
      </c>
      <c r="K510" t="b">
        <f>QHPSelections2016[[#This Row],[County Name]]=P510</f>
        <v>1</v>
      </c>
      <c r="L510" t="b">
        <f>QHPSelections2016[[#This Row],[Silver]]=S510</f>
        <v>1</v>
      </c>
      <c r="N510">
        <v>19175</v>
      </c>
      <c r="O510" t="s">
        <v>2145</v>
      </c>
      <c r="P510" t="s">
        <v>1149</v>
      </c>
      <c r="R510">
        <v>14</v>
      </c>
      <c r="S510">
        <v>149</v>
      </c>
      <c r="T510">
        <v>69</v>
      </c>
      <c r="V510">
        <v>233</v>
      </c>
    </row>
    <row r="511" spans="1:22">
      <c r="A511" s="32" t="s">
        <v>2276</v>
      </c>
      <c r="B511" s="32" t="s">
        <v>2145</v>
      </c>
      <c r="C511" s="32" t="s">
        <v>1246</v>
      </c>
      <c r="D511" s="33">
        <v>0</v>
      </c>
      <c r="E511" s="33" t="s">
        <v>1639</v>
      </c>
      <c r="F511" s="33">
        <v>99</v>
      </c>
      <c r="G511" s="33">
        <v>45</v>
      </c>
      <c r="H511" s="33" t="s">
        <v>1639</v>
      </c>
      <c r="I511" s="33">
        <v>154</v>
      </c>
      <c r="K511" t="b">
        <f>QHPSelections2016[[#This Row],[County Name]]=P511</f>
        <v>1</v>
      </c>
      <c r="L511" t="b">
        <f>QHPSelections2016[[#This Row],[Silver]]=S511</f>
        <v>1</v>
      </c>
      <c r="N511">
        <v>19177</v>
      </c>
      <c r="O511" t="s">
        <v>2145</v>
      </c>
      <c r="P511" t="s">
        <v>1246</v>
      </c>
      <c r="Q511">
        <v>0</v>
      </c>
      <c r="S511">
        <v>99</v>
      </c>
      <c r="T511">
        <v>45</v>
      </c>
      <c r="V511">
        <v>154</v>
      </c>
    </row>
    <row r="512" spans="1:22">
      <c r="A512" s="32" t="s">
        <v>2277</v>
      </c>
      <c r="B512" s="32" t="s">
        <v>2145</v>
      </c>
      <c r="C512" s="32" t="s">
        <v>2278</v>
      </c>
      <c r="D512" s="33" t="s">
        <v>1639</v>
      </c>
      <c r="E512" s="33">
        <v>32</v>
      </c>
      <c r="F512" s="33">
        <v>350</v>
      </c>
      <c r="G512" s="33">
        <v>135</v>
      </c>
      <c r="H512" s="33" t="s">
        <v>1639</v>
      </c>
      <c r="I512" s="33">
        <v>519</v>
      </c>
      <c r="K512" t="b">
        <f>QHPSelections2016[[#This Row],[County Name]]=P512</f>
        <v>1</v>
      </c>
      <c r="L512" t="b">
        <f>QHPSelections2016[[#This Row],[Silver]]=S512</f>
        <v>1</v>
      </c>
      <c r="N512">
        <v>19179</v>
      </c>
      <c r="O512" t="s">
        <v>2145</v>
      </c>
      <c r="P512" t="s">
        <v>2278</v>
      </c>
      <c r="R512">
        <v>32</v>
      </c>
      <c r="S512">
        <v>350</v>
      </c>
      <c r="T512">
        <v>135</v>
      </c>
      <c r="V512">
        <v>519</v>
      </c>
    </row>
    <row r="513" spans="1:22">
      <c r="A513" s="32" t="s">
        <v>2279</v>
      </c>
      <c r="B513" s="32" t="s">
        <v>2145</v>
      </c>
      <c r="C513" s="32" t="s">
        <v>1205</v>
      </c>
      <c r="D513" s="33">
        <v>0</v>
      </c>
      <c r="E513" s="33">
        <v>81</v>
      </c>
      <c r="F513" s="33">
        <v>507</v>
      </c>
      <c r="G513" s="33">
        <v>250</v>
      </c>
      <c r="H513" s="33">
        <v>0</v>
      </c>
      <c r="I513" s="33">
        <v>838</v>
      </c>
      <c r="K513" t="b">
        <f>QHPSelections2016[[#This Row],[County Name]]=P513</f>
        <v>1</v>
      </c>
      <c r="L513" t="b">
        <f>QHPSelections2016[[#This Row],[Silver]]=S513</f>
        <v>1</v>
      </c>
      <c r="N513">
        <v>19181</v>
      </c>
      <c r="O513" t="s">
        <v>2145</v>
      </c>
      <c r="P513" t="s">
        <v>1205</v>
      </c>
      <c r="Q513">
        <v>0</v>
      </c>
      <c r="R513">
        <v>81</v>
      </c>
      <c r="S513">
        <v>507</v>
      </c>
      <c r="T513">
        <v>250</v>
      </c>
      <c r="U513">
        <v>0</v>
      </c>
      <c r="V513">
        <v>838</v>
      </c>
    </row>
    <row r="514" spans="1:22">
      <c r="A514" s="32" t="s">
        <v>2280</v>
      </c>
      <c r="B514" s="32" t="s">
        <v>2145</v>
      </c>
      <c r="C514" s="32" t="s">
        <v>1160</v>
      </c>
      <c r="D514" s="33" t="s">
        <v>1639</v>
      </c>
      <c r="E514" s="33">
        <v>16</v>
      </c>
      <c r="F514" s="33">
        <v>251</v>
      </c>
      <c r="G514" s="33">
        <v>95</v>
      </c>
      <c r="H514" s="33" t="s">
        <v>1639</v>
      </c>
      <c r="I514" s="33">
        <v>363</v>
      </c>
      <c r="K514" t="b">
        <f>QHPSelections2016[[#This Row],[County Name]]=P514</f>
        <v>1</v>
      </c>
      <c r="L514" t="b">
        <f>QHPSelections2016[[#This Row],[Silver]]=S514</f>
        <v>1</v>
      </c>
      <c r="N514">
        <v>19183</v>
      </c>
      <c r="O514" t="s">
        <v>2145</v>
      </c>
      <c r="P514" t="s">
        <v>1160</v>
      </c>
      <c r="R514">
        <v>16</v>
      </c>
      <c r="S514">
        <v>251</v>
      </c>
      <c r="T514">
        <v>95</v>
      </c>
      <c r="V514">
        <v>363</v>
      </c>
    </row>
    <row r="515" spans="1:22">
      <c r="A515" s="32" t="s">
        <v>2281</v>
      </c>
      <c r="B515" s="32" t="s">
        <v>2145</v>
      </c>
      <c r="C515" s="32" t="s">
        <v>1209</v>
      </c>
      <c r="D515" s="33" t="s">
        <v>1639</v>
      </c>
      <c r="E515" s="33" t="s">
        <v>1639</v>
      </c>
      <c r="F515" s="33">
        <v>100</v>
      </c>
      <c r="G515" s="33">
        <v>57</v>
      </c>
      <c r="H515" s="33">
        <v>0</v>
      </c>
      <c r="I515" s="33">
        <v>166</v>
      </c>
      <c r="K515" t="b">
        <f>QHPSelections2016[[#This Row],[County Name]]=P515</f>
        <v>1</v>
      </c>
      <c r="L515" t="b">
        <f>QHPSelections2016[[#This Row],[Silver]]=S515</f>
        <v>1</v>
      </c>
      <c r="N515">
        <v>19185</v>
      </c>
      <c r="O515" t="s">
        <v>2145</v>
      </c>
      <c r="P515" t="s">
        <v>1209</v>
      </c>
      <c r="S515">
        <v>100</v>
      </c>
      <c r="T515">
        <v>57</v>
      </c>
      <c r="U515">
        <v>0</v>
      </c>
      <c r="V515">
        <v>166</v>
      </c>
    </row>
    <row r="516" spans="1:22">
      <c r="A516" s="32" t="s">
        <v>2282</v>
      </c>
      <c r="B516" s="32" t="s">
        <v>2145</v>
      </c>
      <c r="C516" s="32" t="s">
        <v>1212</v>
      </c>
      <c r="D516" s="33" t="s">
        <v>1639</v>
      </c>
      <c r="E516" s="33">
        <v>23</v>
      </c>
      <c r="F516" s="33">
        <v>401</v>
      </c>
      <c r="G516" s="33">
        <v>160</v>
      </c>
      <c r="H516" s="33" t="s">
        <v>1639</v>
      </c>
      <c r="I516" s="33">
        <v>587</v>
      </c>
      <c r="K516" t="b">
        <f>QHPSelections2016[[#This Row],[County Name]]=P516</f>
        <v>1</v>
      </c>
      <c r="L516" t="b">
        <f>QHPSelections2016[[#This Row],[Silver]]=S516</f>
        <v>1</v>
      </c>
      <c r="N516">
        <v>19187</v>
      </c>
      <c r="O516" t="s">
        <v>2145</v>
      </c>
      <c r="P516" t="s">
        <v>1212</v>
      </c>
      <c r="R516">
        <v>23</v>
      </c>
      <c r="S516">
        <v>401</v>
      </c>
      <c r="T516">
        <v>160</v>
      </c>
      <c r="V516">
        <v>587</v>
      </c>
    </row>
    <row r="517" spans="1:22">
      <c r="A517" s="32" t="s">
        <v>2283</v>
      </c>
      <c r="B517" s="32" t="s">
        <v>2145</v>
      </c>
      <c r="C517" s="32" t="s">
        <v>2284</v>
      </c>
      <c r="D517" s="33">
        <v>0</v>
      </c>
      <c r="E517" s="33" t="s">
        <v>1639</v>
      </c>
      <c r="F517" s="33">
        <v>108</v>
      </c>
      <c r="G517" s="33">
        <v>43</v>
      </c>
      <c r="H517" s="33" t="s">
        <v>1639</v>
      </c>
      <c r="I517" s="33">
        <v>155</v>
      </c>
      <c r="K517" t="b">
        <f>QHPSelections2016[[#This Row],[County Name]]=P517</f>
        <v>1</v>
      </c>
      <c r="L517" t="b">
        <f>QHPSelections2016[[#This Row],[Silver]]=S517</f>
        <v>1</v>
      </c>
      <c r="N517">
        <v>19189</v>
      </c>
      <c r="O517" t="s">
        <v>2145</v>
      </c>
      <c r="P517" t="s">
        <v>2284</v>
      </c>
      <c r="Q517">
        <v>0</v>
      </c>
      <c r="S517">
        <v>108</v>
      </c>
      <c r="T517">
        <v>43</v>
      </c>
      <c r="V517">
        <v>155</v>
      </c>
    </row>
    <row r="518" spans="1:22">
      <c r="A518" s="32" t="s">
        <v>2285</v>
      </c>
      <c r="B518" s="32" t="s">
        <v>2145</v>
      </c>
      <c r="C518" s="32" t="s">
        <v>2286</v>
      </c>
      <c r="D518" s="33" t="s">
        <v>1639</v>
      </c>
      <c r="E518" s="33">
        <v>15</v>
      </c>
      <c r="F518" s="33">
        <v>608</v>
      </c>
      <c r="G518" s="33">
        <v>203</v>
      </c>
      <c r="H518" s="33" t="s">
        <v>1639</v>
      </c>
      <c r="I518" s="33">
        <v>832</v>
      </c>
      <c r="K518" t="b">
        <f>QHPSelections2016[[#This Row],[County Name]]=P518</f>
        <v>1</v>
      </c>
      <c r="L518" t="b">
        <f>QHPSelections2016[[#This Row],[Silver]]=S518</f>
        <v>1</v>
      </c>
      <c r="N518">
        <v>19191</v>
      </c>
      <c r="O518" t="s">
        <v>2145</v>
      </c>
      <c r="P518" t="s">
        <v>2286</v>
      </c>
      <c r="R518">
        <v>15</v>
      </c>
      <c r="S518">
        <v>608</v>
      </c>
      <c r="T518">
        <v>203</v>
      </c>
      <c r="V518">
        <v>832</v>
      </c>
    </row>
    <row r="519" spans="1:22">
      <c r="A519" s="32" t="s">
        <v>2287</v>
      </c>
      <c r="B519" s="32" t="s">
        <v>2145</v>
      </c>
      <c r="C519" s="32" t="s">
        <v>2288</v>
      </c>
      <c r="D519" s="33" t="s">
        <v>1639</v>
      </c>
      <c r="E519" s="33">
        <v>113</v>
      </c>
      <c r="F519" s="33">
        <v>1286</v>
      </c>
      <c r="G519" s="33">
        <v>483</v>
      </c>
      <c r="H519" s="33" t="s">
        <v>1639</v>
      </c>
      <c r="I519" s="33">
        <v>1888</v>
      </c>
      <c r="K519" t="b">
        <f>QHPSelections2016[[#This Row],[County Name]]=P519</f>
        <v>1</v>
      </c>
      <c r="L519" t="b">
        <f>QHPSelections2016[[#This Row],[Silver]]=S519</f>
        <v>1</v>
      </c>
      <c r="N519">
        <v>19193</v>
      </c>
      <c r="O519" t="s">
        <v>2145</v>
      </c>
      <c r="P519" t="s">
        <v>2288</v>
      </c>
      <c r="R519">
        <v>113</v>
      </c>
      <c r="S519" s="51">
        <v>1286</v>
      </c>
      <c r="T519">
        <v>483</v>
      </c>
      <c r="V519" s="51">
        <v>1888</v>
      </c>
    </row>
    <row r="520" spans="1:22">
      <c r="A520" s="32" t="s">
        <v>2289</v>
      </c>
      <c r="B520" s="32" t="s">
        <v>2145</v>
      </c>
      <c r="C520" s="32" t="s">
        <v>1343</v>
      </c>
      <c r="D520" s="33" t="s">
        <v>1639</v>
      </c>
      <c r="E520" s="33" t="s">
        <v>1639</v>
      </c>
      <c r="F520" s="33">
        <v>59</v>
      </c>
      <c r="G520" s="33">
        <v>26</v>
      </c>
      <c r="H520" s="33">
        <v>0</v>
      </c>
      <c r="I520" s="33">
        <v>90</v>
      </c>
      <c r="K520" t="b">
        <f>QHPSelections2016[[#This Row],[County Name]]=P520</f>
        <v>1</v>
      </c>
      <c r="L520" t="b">
        <f>QHPSelections2016[[#This Row],[Silver]]=S520</f>
        <v>1</v>
      </c>
      <c r="N520">
        <v>19195</v>
      </c>
      <c r="O520" t="s">
        <v>2145</v>
      </c>
      <c r="P520" t="s">
        <v>1343</v>
      </c>
      <c r="S520">
        <v>59</v>
      </c>
      <c r="T520">
        <v>26</v>
      </c>
      <c r="U520">
        <v>0</v>
      </c>
      <c r="V520">
        <v>90</v>
      </c>
    </row>
    <row r="521" spans="1:22">
      <c r="A521" s="32" t="s">
        <v>2290</v>
      </c>
      <c r="B521" s="32" t="s">
        <v>2145</v>
      </c>
      <c r="C521" s="32" t="s">
        <v>2291</v>
      </c>
      <c r="D521" s="33">
        <v>0</v>
      </c>
      <c r="E521" s="33">
        <v>22</v>
      </c>
      <c r="F521" s="33">
        <v>182</v>
      </c>
      <c r="G521" s="33">
        <v>68</v>
      </c>
      <c r="H521" s="33">
        <v>0</v>
      </c>
      <c r="I521" s="33">
        <v>272</v>
      </c>
      <c r="K521" t="b">
        <f>QHPSelections2016[[#This Row],[County Name]]=P521</f>
        <v>1</v>
      </c>
      <c r="L521" t="b">
        <f>QHPSelections2016[[#This Row],[Silver]]=S521</f>
        <v>1</v>
      </c>
      <c r="N521">
        <v>19197</v>
      </c>
      <c r="O521" t="s">
        <v>2145</v>
      </c>
      <c r="P521" t="s">
        <v>2291</v>
      </c>
      <c r="Q521">
        <v>0</v>
      </c>
      <c r="R521">
        <v>22</v>
      </c>
      <c r="S521">
        <v>182</v>
      </c>
      <c r="T521">
        <v>68</v>
      </c>
      <c r="U521">
        <v>0</v>
      </c>
      <c r="V521">
        <v>272</v>
      </c>
    </row>
    <row r="522" spans="1:22">
      <c r="A522" s="32" t="s">
        <v>2292</v>
      </c>
      <c r="B522" s="32" t="s">
        <v>2293</v>
      </c>
      <c r="C522" s="32" t="s">
        <v>820</v>
      </c>
      <c r="D522" s="33">
        <v>0</v>
      </c>
      <c r="E522" s="33" t="s">
        <v>1639</v>
      </c>
      <c r="F522" s="33">
        <v>944</v>
      </c>
      <c r="G522" s="33">
        <v>667</v>
      </c>
      <c r="H522" s="33" t="s">
        <v>1639</v>
      </c>
      <c r="I522" s="33">
        <v>1740</v>
      </c>
      <c r="K522" t="b">
        <f>QHPSelections2016[[#This Row],[County Name]]=P522</f>
        <v>1</v>
      </c>
      <c r="L522" t="b">
        <f>QHPSelections2016[[#This Row],[Silver]]=S522</f>
        <v>1</v>
      </c>
      <c r="N522">
        <v>17001</v>
      </c>
      <c r="O522" t="s">
        <v>2293</v>
      </c>
      <c r="P522" t="s">
        <v>820</v>
      </c>
      <c r="Q522">
        <v>0</v>
      </c>
      <c r="S522">
        <v>944</v>
      </c>
      <c r="T522">
        <v>667</v>
      </c>
      <c r="V522" s="51">
        <v>1740</v>
      </c>
    </row>
    <row r="523" spans="1:22">
      <c r="A523" s="32" t="s">
        <v>2294</v>
      </c>
      <c r="B523" s="32" t="s">
        <v>2293</v>
      </c>
      <c r="C523" s="32" t="s">
        <v>827</v>
      </c>
      <c r="D523" s="33">
        <v>0</v>
      </c>
      <c r="E523" s="33" t="s">
        <v>1639</v>
      </c>
      <c r="F523" s="33">
        <v>71</v>
      </c>
      <c r="G523" s="33">
        <v>38</v>
      </c>
      <c r="H523" s="33" t="s">
        <v>1639</v>
      </c>
      <c r="I523" s="33">
        <v>116</v>
      </c>
      <c r="K523" t="b">
        <f>QHPSelections2016[[#This Row],[County Name]]=P523</f>
        <v>1</v>
      </c>
      <c r="L523" t="b">
        <f>QHPSelections2016[[#This Row],[Silver]]=S523</f>
        <v>1</v>
      </c>
      <c r="N523">
        <v>17003</v>
      </c>
      <c r="O523" t="s">
        <v>2293</v>
      </c>
      <c r="P523" t="s">
        <v>827</v>
      </c>
      <c r="Q523">
        <v>0</v>
      </c>
      <c r="S523">
        <v>71</v>
      </c>
      <c r="T523">
        <v>38</v>
      </c>
      <c r="V523">
        <v>116</v>
      </c>
    </row>
    <row r="524" spans="1:22">
      <c r="A524" s="32" t="s">
        <v>2295</v>
      </c>
      <c r="B524" s="32" t="s">
        <v>2293</v>
      </c>
      <c r="C524" s="32" t="s">
        <v>2296</v>
      </c>
      <c r="D524" s="33">
        <v>0</v>
      </c>
      <c r="E524" s="33" t="s">
        <v>1639</v>
      </c>
      <c r="F524" s="33">
        <v>272</v>
      </c>
      <c r="G524" s="33">
        <v>178</v>
      </c>
      <c r="H524" s="33" t="s">
        <v>1639</v>
      </c>
      <c r="I524" s="33">
        <v>473</v>
      </c>
      <c r="K524" t="b">
        <f>QHPSelections2016[[#This Row],[County Name]]=P524</f>
        <v>1</v>
      </c>
      <c r="L524" t="b">
        <f>QHPSelections2016[[#This Row],[Silver]]=S524</f>
        <v>1</v>
      </c>
      <c r="N524">
        <v>17005</v>
      </c>
      <c r="O524" t="s">
        <v>2293</v>
      </c>
      <c r="P524" t="s">
        <v>2296</v>
      </c>
      <c r="Q524">
        <v>0</v>
      </c>
      <c r="S524">
        <v>272</v>
      </c>
      <c r="T524">
        <v>178</v>
      </c>
      <c r="V524">
        <v>473</v>
      </c>
    </row>
    <row r="525" spans="1:22">
      <c r="A525" s="32" t="s">
        <v>2297</v>
      </c>
      <c r="B525" s="32" t="s">
        <v>2293</v>
      </c>
      <c r="C525" s="32" t="s">
        <v>1770</v>
      </c>
      <c r="D525" s="33">
        <v>0</v>
      </c>
      <c r="E525" s="33" t="s">
        <v>1639</v>
      </c>
      <c r="F525" s="33">
        <v>908</v>
      </c>
      <c r="G525" s="33">
        <v>581</v>
      </c>
      <c r="H525" s="33" t="s">
        <v>1639</v>
      </c>
      <c r="I525" s="33">
        <v>1612</v>
      </c>
      <c r="K525" t="b">
        <f>QHPSelections2016[[#This Row],[County Name]]=P525</f>
        <v>1</v>
      </c>
      <c r="L525" t="b">
        <f>QHPSelections2016[[#This Row],[Silver]]=S525</f>
        <v>1</v>
      </c>
      <c r="N525">
        <v>17007</v>
      </c>
      <c r="O525" t="s">
        <v>2293</v>
      </c>
      <c r="P525" t="s">
        <v>1770</v>
      </c>
      <c r="Q525">
        <v>0</v>
      </c>
      <c r="S525">
        <v>908</v>
      </c>
      <c r="T525">
        <v>581</v>
      </c>
      <c r="V525" s="51">
        <v>1612</v>
      </c>
    </row>
    <row r="526" spans="1:22">
      <c r="A526" s="32" t="s">
        <v>2298</v>
      </c>
      <c r="B526" s="32" t="s">
        <v>2293</v>
      </c>
      <c r="C526" s="32" t="s">
        <v>963</v>
      </c>
      <c r="D526" s="33">
        <v>0</v>
      </c>
      <c r="E526" s="33" t="s">
        <v>1639</v>
      </c>
      <c r="F526" s="33">
        <v>73</v>
      </c>
      <c r="G526" s="33">
        <v>50</v>
      </c>
      <c r="H526" s="33" t="s">
        <v>1639</v>
      </c>
      <c r="I526" s="33">
        <v>139</v>
      </c>
      <c r="K526" t="b">
        <f>QHPSelections2016[[#This Row],[County Name]]=P526</f>
        <v>1</v>
      </c>
      <c r="L526" t="b">
        <f>QHPSelections2016[[#This Row],[Silver]]=S526</f>
        <v>1</v>
      </c>
      <c r="N526">
        <v>17009</v>
      </c>
      <c r="O526" t="s">
        <v>2293</v>
      </c>
      <c r="P526" t="s">
        <v>963</v>
      </c>
      <c r="Q526">
        <v>0</v>
      </c>
      <c r="S526">
        <v>73</v>
      </c>
      <c r="T526">
        <v>50</v>
      </c>
      <c r="V526">
        <v>139</v>
      </c>
    </row>
    <row r="527" spans="1:22">
      <c r="A527" s="32" t="s">
        <v>2299</v>
      </c>
      <c r="B527" s="32" t="s">
        <v>2293</v>
      </c>
      <c r="C527" s="32" t="s">
        <v>2300</v>
      </c>
      <c r="D527" s="33">
        <v>0</v>
      </c>
      <c r="E527" s="33" t="s">
        <v>1639</v>
      </c>
      <c r="F527" s="33">
        <v>590</v>
      </c>
      <c r="G527" s="33">
        <v>321</v>
      </c>
      <c r="H527" s="33" t="s">
        <v>1639</v>
      </c>
      <c r="I527" s="33">
        <v>986</v>
      </c>
      <c r="K527" t="b">
        <f>QHPSelections2016[[#This Row],[County Name]]=P527</f>
        <v>1</v>
      </c>
      <c r="L527" t="b">
        <f>QHPSelections2016[[#This Row],[Silver]]=S527</f>
        <v>1</v>
      </c>
      <c r="N527">
        <v>17011</v>
      </c>
      <c r="O527" t="s">
        <v>2293</v>
      </c>
      <c r="P527" t="s">
        <v>2300</v>
      </c>
      <c r="Q527">
        <v>0</v>
      </c>
      <c r="S527">
        <v>590</v>
      </c>
      <c r="T527">
        <v>321</v>
      </c>
      <c r="V527">
        <v>986</v>
      </c>
    </row>
    <row r="528" spans="1:22">
      <c r="A528" s="32" t="s">
        <v>2301</v>
      </c>
      <c r="B528" s="32" t="s">
        <v>2293</v>
      </c>
      <c r="C528" s="32" t="s">
        <v>855</v>
      </c>
      <c r="D528" s="33">
        <v>0</v>
      </c>
      <c r="E528" s="33">
        <v>17</v>
      </c>
      <c r="F528" s="33">
        <v>94</v>
      </c>
      <c r="G528" s="33">
        <v>45</v>
      </c>
      <c r="H528" s="33">
        <v>0</v>
      </c>
      <c r="I528" s="33">
        <v>156</v>
      </c>
      <c r="K528" t="b">
        <f>QHPSelections2016[[#This Row],[County Name]]=P528</f>
        <v>1</v>
      </c>
      <c r="L528" t="b">
        <f>QHPSelections2016[[#This Row],[Silver]]=S528</f>
        <v>1</v>
      </c>
      <c r="N528">
        <v>17013</v>
      </c>
      <c r="O528" t="s">
        <v>2293</v>
      </c>
      <c r="P528" t="s">
        <v>855</v>
      </c>
      <c r="Q528">
        <v>0</v>
      </c>
      <c r="R528">
        <v>17</v>
      </c>
      <c r="S528">
        <v>94</v>
      </c>
      <c r="T528">
        <v>45</v>
      </c>
      <c r="U528">
        <v>0</v>
      </c>
      <c r="V528">
        <v>156</v>
      </c>
    </row>
    <row r="529" spans="1:22">
      <c r="A529" s="32" t="s">
        <v>2302</v>
      </c>
      <c r="B529" s="32" t="s">
        <v>2293</v>
      </c>
      <c r="C529" s="32" t="s">
        <v>862</v>
      </c>
      <c r="D529" s="33">
        <v>0</v>
      </c>
      <c r="E529" s="33" t="s">
        <v>1639</v>
      </c>
      <c r="F529" s="33">
        <v>304</v>
      </c>
      <c r="G529" s="33">
        <v>239</v>
      </c>
      <c r="H529" s="33" t="s">
        <v>1639</v>
      </c>
      <c r="I529" s="33">
        <v>574</v>
      </c>
      <c r="K529" t="b">
        <f>QHPSelections2016[[#This Row],[County Name]]=P529</f>
        <v>1</v>
      </c>
      <c r="L529" t="b">
        <f>QHPSelections2016[[#This Row],[Silver]]=S529</f>
        <v>1</v>
      </c>
      <c r="N529">
        <v>17015</v>
      </c>
      <c r="O529" t="s">
        <v>2293</v>
      </c>
      <c r="P529" t="s">
        <v>862</v>
      </c>
      <c r="Q529">
        <v>0</v>
      </c>
      <c r="S529">
        <v>304</v>
      </c>
      <c r="T529">
        <v>239</v>
      </c>
      <c r="V529">
        <v>574</v>
      </c>
    </row>
    <row r="530" spans="1:22">
      <c r="A530" s="32" t="s">
        <v>2303</v>
      </c>
      <c r="B530" s="32" t="s">
        <v>2293</v>
      </c>
      <c r="C530" s="32" t="s">
        <v>1008</v>
      </c>
      <c r="D530" s="33">
        <v>0</v>
      </c>
      <c r="E530" s="33">
        <v>34</v>
      </c>
      <c r="F530" s="33">
        <v>208</v>
      </c>
      <c r="G530" s="33">
        <v>125</v>
      </c>
      <c r="H530" s="33">
        <v>0</v>
      </c>
      <c r="I530" s="33">
        <v>367</v>
      </c>
      <c r="K530" t="b">
        <f>QHPSelections2016[[#This Row],[County Name]]=P530</f>
        <v>1</v>
      </c>
      <c r="L530" t="b">
        <f>QHPSelections2016[[#This Row],[Silver]]=S530</f>
        <v>1</v>
      </c>
      <c r="N530">
        <v>17017</v>
      </c>
      <c r="O530" t="s">
        <v>2293</v>
      </c>
      <c r="P530" t="s">
        <v>1008</v>
      </c>
      <c r="Q530">
        <v>0</v>
      </c>
      <c r="R530">
        <v>34</v>
      </c>
      <c r="S530">
        <v>208</v>
      </c>
      <c r="T530">
        <v>125</v>
      </c>
      <c r="U530">
        <v>0</v>
      </c>
      <c r="V530">
        <v>367</v>
      </c>
    </row>
    <row r="531" spans="1:22">
      <c r="A531" s="32" t="s">
        <v>2304</v>
      </c>
      <c r="B531" s="32" t="s">
        <v>2293</v>
      </c>
      <c r="C531" s="32" t="s">
        <v>2305</v>
      </c>
      <c r="D531" s="33">
        <v>0</v>
      </c>
      <c r="E531" s="33">
        <v>461</v>
      </c>
      <c r="F531" s="33">
        <v>2821</v>
      </c>
      <c r="G531" s="33">
        <v>1140</v>
      </c>
      <c r="H531" s="33">
        <v>48</v>
      </c>
      <c r="I531" s="33">
        <v>4470</v>
      </c>
      <c r="K531" t="b">
        <f>QHPSelections2016[[#This Row],[County Name]]=P531</f>
        <v>1</v>
      </c>
      <c r="L531" t="b">
        <f>QHPSelections2016[[#This Row],[Silver]]=S531</f>
        <v>1</v>
      </c>
      <c r="N531">
        <v>17019</v>
      </c>
      <c r="O531" t="s">
        <v>2293</v>
      </c>
      <c r="P531" t="s">
        <v>2305</v>
      </c>
      <c r="Q531">
        <v>0</v>
      </c>
      <c r="R531">
        <v>461</v>
      </c>
      <c r="S531" s="51">
        <v>2821</v>
      </c>
      <c r="T531" s="51">
        <v>1140</v>
      </c>
      <c r="U531">
        <v>48</v>
      </c>
      <c r="V531" s="51">
        <v>4470</v>
      </c>
    </row>
    <row r="532" spans="1:22">
      <c r="A532" s="32" t="s">
        <v>2306</v>
      </c>
      <c r="B532" s="32" t="s">
        <v>2293</v>
      </c>
      <c r="C532" s="32" t="s">
        <v>2307</v>
      </c>
      <c r="D532" s="33">
        <v>0</v>
      </c>
      <c r="E532" s="33" t="s">
        <v>1639</v>
      </c>
      <c r="F532" s="33">
        <v>471</v>
      </c>
      <c r="G532" s="33">
        <v>241</v>
      </c>
      <c r="H532" s="33" t="s">
        <v>1639</v>
      </c>
      <c r="I532" s="33">
        <v>808</v>
      </c>
      <c r="K532" t="b">
        <f>QHPSelections2016[[#This Row],[County Name]]=P532</f>
        <v>1</v>
      </c>
      <c r="L532" t="b">
        <f>QHPSelections2016[[#This Row],[Silver]]=S532</f>
        <v>1</v>
      </c>
      <c r="N532">
        <v>17021</v>
      </c>
      <c r="O532" t="s">
        <v>2293</v>
      </c>
      <c r="P532" t="s">
        <v>2307</v>
      </c>
      <c r="Q532">
        <v>0</v>
      </c>
      <c r="S532">
        <v>471</v>
      </c>
      <c r="T532">
        <v>241</v>
      </c>
      <c r="V532">
        <v>808</v>
      </c>
    </row>
    <row r="533" spans="1:22">
      <c r="A533" s="32" t="s">
        <v>2308</v>
      </c>
      <c r="B533" s="32" t="s">
        <v>2293</v>
      </c>
      <c r="C533" s="32" t="s">
        <v>1777</v>
      </c>
      <c r="D533" s="33">
        <v>0</v>
      </c>
      <c r="E533" s="33" t="s">
        <v>1639</v>
      </c>
      <c r="F533" s="33">
        <v>292</v>
      </c>
      <c r="G533" s="33">
        <v>199</v>
      </c>
      <c r="H533" s="33" t="s">
        <v>1639</v>
      </c>
      <c r="I533" s="33">
        <v>541</v>
      </c>
      <c r="K533" t="b">
        <f>QHPSelections2016[[#This Row],[County Name]]=P533</f>
        <v>1</v>
      </c>
      <c r="L533" t="b">
        <f>QHPSelections2016[[#This Row],[Silver]]=S533</f>
        <v>1</v>
      </c>
      <c r="N533">
        <v>17023</v>
      </c>
      <c r="O533" t="s">
        <v>2293</v>
      </c>
      <c r="P533" t="s">
        <v>1777</v>
      </c>
      <c r="Q533">
        <v>0</v>
      </c>
      <c r="S533">
        <v>292</v>
      </c>
      <c r="T533">
        <v>199</v>
      </c>
      <c r="V533">
        <v>541</v>
      </c>
    </row>
    <row r="534" spans="1:22">
      <c r="A534" s="32" t="s">
        <v>2309</v>
      </c>
      <c r="B534" s="32" t="s">
        <v>2293</v>
      </c>
      <c r="C534" s="32" t="s">
        <v>873</v>
      </c>
      <c r="D534" s="33">
        <v>0</v>
      </c>
      <c r="E534" s="33" t="s">
        <v>1639</v>
      </c>
      <c r="F534" s="33">
        <v>195</v>
      </c>
      <c r="G534" s="33">
        <v>200</v>
      </c>
      <c r="H534" s="33" t="s">
        <v>1639</v>
      </c>
      <c r="I534" s="33">
        <v>429</v>
      </c>
      <c r="K534" t="b">
        <f>QHPSelections2016[[#This Row],[County Name]]=P534</f>
        <v>1</v>
      </c>
      <c r="L534" t="b">
        <f>QHPSelections2016[[#This Row],[Silver]]=S534</f>
        <v>1</v>
      </c>
      <c r="N534">
        <v>17025</v>
      </c>
      <c r="O534" t="s">
        <v>2293</v>
      </c>
      <c r="P534" t="s">
        <v>873</v>
      </c>
      <c r="Q534">
        <v>0</v>
      </c>
      <c r="S534">
        <v>195</v>
      </c>
      <c r="T534">
        <v>200</v>
      </c>
      <c r="V534">
        <v>429</v>
      </c>
    </row>
    <row r="535" spans="1:22">
      <c r="A535" s="32" t="s">
        <v>2310</v>
      </c>
      <c r="B535" s="32" t="s">
        <v>2293</v>
      </c>
      <c r="C535" s="32" t="s">
        <v>2178</v>
      </c>
      <c r="D535" s="33">
        <v>0</v>
      </c>
      <c r="E535" s="33" t="s">
        <v>1639</v>
      </c>
      <c r="F535" s="33">
        <v>546</v>
      </c>
      <c r="G535" s="33">
        <v>357</v>
      </c>
      <c r="H535" s="33" t="s">
        <v>1639</v>
      </c>
      <c r="I535" s="33">
        <v>974</v>
      </c>
      <c r="K535" t="b">
        <f>QHPSelections2016[[#This Row],[County Name]]=P535</f>
        <v>1</v>
      </c>
      <c r="L535" t="b">
        <f>QHPSelections2016[[#This Row],[Silver]]=S535</f>
        <v>1</v>
      </c>
      <c r="N535">
        <v>17027</v>
      </c>
      <c r="O535" t="s">
        <v>2293</v>
      </c>
      <c r="P535" t="s">
        <v>2178</v>
      </c>
      <c r="Q535">
        <v>0</v>
      </c>
      <c r="S535">
        <v>546</v>
      </c>
      <c r="T535">
        <v>357</v>
      </c>
      <c r="V535">
        <v>974</v>
      </c>
    </row>
    <row r="536" spans="1:22">
      <c r="A536" s="32" t="s">
        <v>2311</v>
      </c>
      <c r="B536" s="32" t="s">
        <v>2293</v>
      </c>
      <c r="C536" s="32" t="s">
        <v>2312</v>
      </c>
      <c r="D536" s="33">
        <v>0</v>
      </c>
      <c r="E536" s="33">
        <v>129</v>
      </c>
      <c r="F536" s="33">
        <v>787</v>
      </c>
      <c r="G536" s="33">
        <v>375</v>
      </c>
      <c r="H536" s="33">
        <v>14</v>
      </c>
      <c r="I536" s="33">
        <v>1305</v>
      </c>
      <c r="K536" t="b">
        <f>QHPSelections2016[[#This Row],[County Name]]=P536</f>
        <v>1</v>
      </c>
      <c r="L536" t="b">
        <f>QHPSelections2016[[#This Row],[Silver]]=S536</f>
        <v>1</v>
      </c>
      <c r="N536">
        <v>17029</v>
      </c>
      <c r="O536" t="s">
        <v>2293</v>
      </c>
      <c r="P536" t="s">
        <v>2312</v>
      </c>
      <c r="Q536">
        <v>0</v>
      </c>
      <c r="R536">
        <v>129</v>
      </c>
      <c r="S536">
        <v>787</v>
      </c>
      <c r="T536">
        <v>375</v>
      </c>
      <c r="U536">
        <v>14</v>
      </c>
      <c r="V536" s="51">
        <v>1305</v>
      </c>
    </row>
    <row r="537" spans="1:22">
      <c r="A537" s="32" t="s">
        <v>2313</v>
      </c>
      <c r="B537" s="32" t="s">
        <v>2293</v>
      </c>
      <c r="C537" s="32" t="s">
        <v>1019</v>
      </c>
      <c r="D537" s="33">
        <v>0</v>
      </c>
      <c r="E537" s="33">
        <v>16835</v>
      </c>
      <c r="F537" s="33">
        <v>99223</v>
      </c>
      <c r="G537" s="33">
        <v>47805</v>
      </c>
      <c r="H537" s="33">
        <v>687</v>
      </c>
      <c r="I537" s="33">
        <v>164550</v>
      </c>
      <c r="K537" t="b">
        <f>QHPSelections2016[[#This Row],[County Name]]=P537</f>
        <v>1</v>
      </c>
      <c r="L537" t="b">
        <f>QHPSelections2016[[#This Row],[Silver]]=S537</f>
        <v>1</v>
      </c>
      <c r="N537">
        <v>17031</v>
      </c>
      <c r="O537" t="s">
        <v>2293</v>
      </c>
      <c r="P537" t="s">
        <v>1019</v>
      </c>
      <c r="Q537">
        <v>0</v>
      </c>
      <c r="R537" s="51">
        <v>16835</v>
      </c>
      <c r="S537" s="51">
        <v>99223</v>
      </c>
      <c r="T537" s="51">
        <v>47805</v>
      </c>
      <c r="U537">
        <v>687</v>
      </c>
      <c r="V537" s="51">
        <v>164550</v>
      </c>
    </row>
    <row r="538" spans="1:22">
      <c r="A538" s="32" t="s">
        <v>2314</v>
      </c>
      <c r="B538" s="32" t="s">
        <v>2293</v>
      </c>
      <c r="C538" s="32" t="s">
        <v>1030</v>
      </c>
      <c r="D538" s="33">
        <v>0</v>
      </c>
      <c r="E538" s="33" t="s">
        <v>1639</v>
      </c>
      <c r="F538" s="33">
        <v>240</v>
      </c>
      <c r="G538" s="33">
        <v>174</v>
      </c>
      <c r="H538" s="33" t="s">
        <v>1639</v>
      </c>
      <c r="I538" s="33">
        <v>456</v>
      </c>
      <c r="K538" t="b">
        <f>QHPSelections2016[[#This Row],[County Name]]=P538</f>
        <v>1</v>
      </c>
      <c r="L538" t="b">
        <f>QHPSelections2016[[#This Row],[Silver]]=S538</f>
        <v>1</v>
      </c>
      <c r="N538">
        <v>17033</v>
      </c>
      <c r="O538" t="s">
        <v>2293</v>
      </c>
      <c r="P538" t="s">
        <v>1030</v>
      </c>
      <c r="Q538">
        <v>0</v>
      </c>
      <c r="S538">
        <v>240</v>
      </c>
      <c r="T538">
        <v>174</v>
      </c>
      <c r="V538">
        <v>456</v>
      </c>
    </row>
    <row r="539" spans="1:22">
      <c r="A539" s="32" t="s">
        <v>2315</v>
      </c>
      <c r="B539" s="32" t="s">
        <v>2293</v>
      </c>
      <c r="C539" s="32" t="s">
        <v>923</v>
      </c>
      <c r="D539" s="33">
        <v>0</v>
      </c>
      <c r="E539" s="33" t="s">
        <v>1639</v>
      </c>
      <c r="F539" s="33">
        <v>204</v>
      </c>
      <c r="G539" s="33">
        <v>168</v>
      </c>
      <c r="H539" s="33" t="s">
        <v>1639</v>
      </c>
      <c r="I539" s="33">
        <v>402</v>
      </c>
      <c r="K539" t="b">
        <f>QHPSelections2016[[#This Row],[County Name]]=P539</f>
        <v>1</v>
      </c>
      <c r="L539" t="b">
        <f>QHPSelections2016[[#This Row],[Silver]]=S539</f>
        <v>1</v>
      </c>
      <c r="N539">
        <v>17035</v>
      </c>
      <c r="O539" t="s">
        <v>2293</v>
      </c>
      <c r="P539" t="s">
        <v>923</v>
      </c>
      <c r="Q539">
        <v>0</v>
      </c>
      <c r="S539">
        <v>204</v>
      </c>
      <c r="T539">
        <v>168</v>
      </c>
      <c r="V539">
        <v>402</v>
      </c>
    </row>
    <row r="540" spans="1:22">
      <c r="A540" s="32" t="s">
        <v>2316</v>
      </c>
      <c r="B540" s="32" t="s">
        <v>2293</v>
      </c>
      <c r="C540" s="32" t="s">
        <v>939</v>
      </c>
      <c r="D540" s="33">
        <v>0</v>
      </c>
      <c r="E540" s="33">
        <v>273</v>
      </c>
      <c r="F540" s="33">
        <v>1780</v>
      </c>
      <c r="G540" s="33">
        <v>1088</v>
      </c>
      <c r="H540" s="33">
        <v>33</v>
      </c>
      <c r="I540" s="33">
        <v>3174</v>
      </c>
      <c r="K540" t="b">
        <f>QHPSelections2016[[#This Row],[County Name]]=P540</f>
        <v>0</v>
      </c>
      <c r="L540" t="b">
        <f>QHPSelections2016[[#This Row],[Silver]]=S540</f>
        <v>0</v>
      </c>
      <c r="N540">
        <v>17039</v>
      </c>
      <c r="O540" t="s">
        <v>2293</v>
      </c>
      <c r="P540" t="s">
        <v>2318</v>
      </c>
      <c r="Q540">
        <v>0</v>
      </c>
      <c r="R540">
        <v>28</v>
      </c>
      <c r="S540">
        <v>276</v>
      </c>
      <c r="T540">
        <v>162</v>
      </c>
      <c r="U540">
        <v>0</v>
      </c>
      <c r="V540">
        <v>466</v>
      </c>
    </row>
    <row r="541" spans="1:22">
      <c r="A541" s="32" t="s">
        <v>2317</v>
      </c>
      <c r="B541" s="32" t="s">
        <v>2293</v>
      </c>
      <c r="C541" s="32" t="s">
        <v>2318</v>
      </c>
      <c r="D541" s="33">
        <v>0</v>
      </c>
      <c r="E541" s="33">
        <v>28</v>
      </c>
      <c r="F541" s="33">
        <v>276</v>
      </c>
      <c r="G541" s="33">
        <v>162</v>
      </c>
      <c r="H541" s="33">
        <v>0</v>
      </c>
      <c r="I541" s="33">
        <v>466</v>
      </c>
      <c r="K541" t="b">
        <f>QHPSelections2016[[#This Row],[County Name]]=P541</f>
        <v>0</v>
      </c>
      <c r="L541" t="b">
        <f>QHPSelections2016[[#This Row],[Silver]]=S541</f>
        <v>0</v>
      </c>
      <c r="N541">
        <v>17037</v>
      </c>
      <c r="O541" t="s">
        <v>2293</v>
      </c>
      <c r="P541" t="s">
        <v>939</v>
      </c>
      <c r="Q541">
        <v>0</v>
      </c>
      <c r="R541">
        <v>273</v>
      </c>
      <c r="S541" s="51">
        <v>1780</v>
      </c>
      <c r="T541" s="51">
        <v>1088</v>
      </c>
      <c r="U541">
        <v>33</v>
      </c>
      <c r="V541" s="51">
        <v>3174</v>
      </c>
    </row>
    <row r="542" spans="1:22">
      <c r="A542" s="32" t="s">
        <v>2319</v>
      </c>
      <c r="B542" s="32" t="s">
        <v>2293</v>
      </c>
      <c r="C542" s="32" t="s">
        <v>1073</v>
      </c>
      <c r="D542" s="33">
        <v>0</v>
      </c>
      <c r="E542" s="33" t="s">
        <v>1639</v>
      </c>
      <c r="F542" s="33">
        <v>396</v>
      </c>
      <c r="G542" s="33">
        <v>136</v>
      </c>
      <c r="H542" s="33" t="s">
        <v>1639</v>
      </c>
      <c r="I542" s="33">
        <v>607</v>
      </c>
      <c r="K542" t="b">
        <f>QHPSelections2016[[#This Row],[County Name]]=P542</f>
        <v>1</v>
      </c>
      <c r="L542" t="b">
        <f>QHPSelections2016[[#This Row],[Silver]]=S542</f>
        <v>1</v>
      </c>
      <c r="N542">
        <v>17041</v>
      </c>
      <c r="O542" t="s">
        <v>2293</v>
      </c>
      <c r="P542" t="s">
        <v>1073</v>
      </c>
      <c r="Q542">
        <v>0</v>
      </c>
      <c r="S542">
        <v>396</v>
      </c>
      <c r="T542">
        <v>136</v>
      </c>
      <c r="V542">
        <v>607</v>
      </c>
    </row>
    <row r="543" spans="1:22">
      <c r="A543" s="32" t="s">
        <v>2320</v>
      </c>
      <c r="B543" s="32" t="s">
        <v>2293</v>
      </c>
      <c r="C543" s="32" t="s">
        <v>2321</v>
      </c>
      <c r="D543" s="33">
        <v>0</v>
      </c>
      <c r="E543" s="33">
        <v>4011</v>
      </c>
      <c r="F543" s="33">
        <v>22221</v>
      </c>
      <c r="G543" s="33">
        <v>9986</v>
      </c>
      <c r="H543" s="33">
        <v>213</v>
      </c>
      <c r="I543" s="33">
        <v>36431</v>
      </c>
      <c r="K543" t="b">
        <f>QHPSelections2016[[#This Row],[County Name]]=P543</f>
        <v>1</v>
      </c>
      <c r="L543" t="b">
        <f>QHPSelections2016[[#This Row],[Silver]]=S543</f>
        <v>1</v>
      </c>
      <c r="N543">
        <v>17043</v>
      </c>
      <c r="O543" t="s">
        <v>2293</v>
      </c>
      <c r="P543" t="s">
        <v>2321</v>
      </c>
      <c r="Q543">
        <v>0</v>
      </c>
      <c r="R543" s="51">
        <v>4011</v>
      </c>
      <c r="S543" s="51">
        <v>22221</v>
      </c>
      <c r="T543" s="51">
        <v>9986</v>
      </c>
      <c r="U543">
        <v>213</v>
      </c>
      <c r="V543" s="51">
        <v>36431</v>
      </c>
    </row>
    <row r="544" spans="1:22">
      <c r="A544" s="32" t="s">
        <v>2322</v>
      </c>
      <c r="B544" s="32" t="s">
        <v>2293</v>
      </c>
      <c r="C544" s="32" t="s">
        <v>2323</v>
      </c>
      <c r="D544" s="33">
        <v>0</v>
      </c>
      <c r="E544" s="33">
        <v>45</v>
      </c>
      <c r="F544" s="33">
        <v>286</v>
      </c>
      <c r="G544" s="33">
        <v>207</v>
      </c>
      <c r="H544" s="33">
        <v>0</v>
      </c>
      <c r="I544" s="33">
        <v>538</v>
      </c>
      <c r="K544" t="b">
        <f>QHPSelections2016[[#This Row],[County Name]]=P544</f>
        <v>1</v>
      </c>
      <c r="L544" t="b">
        <f>QHPSelections2016[[#This Row],[Silver]]=S544</f>
        <v>1</v>
      </c>
      <c r="N544">
        <v>17045</v>
      </c>
      <c r="O544" t="s">
        <v>2293</v>
      </c>
      <c r="P544" t="s">
        <v>2323</v>
      </c>
      <c r="Q544">
        <v>0</v>
      </c>
      <c r="R544">
        <v>45</v>
      </c>
      <c r="S544">
        <v>286</v>
      </c>
      <c r="T544">
        <v>207</v>
      </c>
      <c r="U544">
        <v>0</v>
      </c>
      <c r="V544">
        <v>538</v>
      </c>
    </row>
    <row r="545" spans="1:22">
      <c r="A545" s="32" t="s">
        <v>2324</v>
      </c>
      <c r="B545" s="32" t="s">
        <v>2293</v>
      </c>
      <c r="C545" s="32" t="s">
        <v>1184</v>
      </c>
      <c r="D545" s="33">
        <v>0</v>
      </c>
      <c r="E545" s="33" t="s">
        <v>1639</v>
      </c>
      <c r="F545" s="33">
        <v>69</v>
      </c>
      <c r="G545" s="33">
        <v>90</v>
      </c>
      <c r="H545" s="33" t="s">
        <v>1639</v>
      </c>
      <c r="I545" s="33">
        <v>167</v>
      </c>
      <c r="K545" t="b">
        <f>QHPSelections2016[[#This Row],[County Name]]=P545</f>
        <v>1</v>
      </c>
      <c r="L545" t="b">
        <f>QHPSelections2016[[#This Row],[Silver]]=S545</f>
        <v>1</v>
      </c>
      <c r="N545">
        <v>17047</v>
      </c>
      <c r="O545" t="s">
        <v>2293</v>
      </c>
      <c r="P545" t="s">
        <v>1184</v>
      </c>
      <c r="Q545">
        <v>0</v>
      </c>
      <c r="S545">
        <v>69</v>
      </c>
      <c r="T545">
        <v>90</v>
      </c>
      <c r="V545">
        <v>167</v>
      </c>
    </row>
    <row r="546" spans="1:22">
      <c r="A546" s="32" t="s">
        <v>2325</v>
      </c>
      <c r="B546" s="32" t="s">
        <v>2293</v>
      </c>
      <c r="C546" s="32" t="s">
        <v>1087</v>
      </c>
      <c r="D546" s="33">
        <v>0</v>
      </c>
      <c r="E546" s="33" t="s">
        <v>1639</v>
      </c>
      <c r="F546" s="33">
        <v>766</v>
      </c>
      <c r="G546" s="33">
        <v>700</v>
      </c>
      <c r="H546" s="33" t="s">
        <v>1639</v>
      </c>
      <c r="I546" s="33">
        <v>1569</v>
      </c>
      <c r="K546" t="b">
        <f>QHPSelections2016[[#This Row],[County Name]]=P546</f>
        <v>1</v>
      </c>
      <c r="L546" t="b">
        <f>QHPSelections2016[[#This Row],[Silver]]=S546</f>
        <v>1</v>
      </c>
      <c r="N546">
        <v>17049</v>
      </c>
      <c r="O546" t="s">
        <v>2293</v>
      </c>
      <c r="P546" t="s">
        <v>1087</v>
      </c>
      <c r="Q546">
        <v>0</v>
      </c>
      <c r="S546">
        <v>766</v>
      </c>
      <c r="T546">
        <v>700</v>
      </c>
      <c r="V546" s="51">
        <v>1569</v>
      </c>
    </row>
    <row r="547" spans="1:22">
      <c r="A547" s="32" t="s">
        <v>2326</v>
      </c>
      <c r="B547" s="32" t="s">
        <v>2293</v>
      </c>
      <c r="C547" s="32" t="s">
        <v>958</v>
      </c>
      <c r="D547" s="33">
        <v>0</v>
      </c>
      <c r="E547" s="33">
        <v>35</v>
      </c>
      <c r="F547" s="33">
        <v>321</v>
      </c>
      <c r="G547" s="33">
        <v>256</v>
      </c>
      <c r="H547" s="33">
        <v>0</v>
      </c>
      <c r="I547" s="33">
        <v>612</v>
      </c>
      <c r="K547" t="b">
        <f>QHPSelections2016[[#This Row],[County Name]]=P547</f>
        <v>1</v>
      </c>
      <c r="L547" t="b">
        <f>QHPSelections2016[[#This Row],[Silver]]=S547</f>
        <v>1</v>
      </c>
      <c r="N547">
        <v>17051</v>
      </c>
      <c r="O547" t="s">
        <v>2293</v>
      </c>
      <c r="P547" t="s">
        <v>958</v>
      </c>
      <c r="Q547">
        <v>0</v>
      </c>
      <c r="R547">
        <v>35</v>
      </c>
      <c r="S547">
        <v>321</v>
      </c>
      <c r="T547">
        <v>256</v>
      </c>
      <c r="U547">
        <v>0</v>
      </c>
      <c r="V547">
        <v>612</v>
      </c>
    </row>
    <row r="548" spans="1:22">
      <c r="A548" s="32" t="s">
        <v>2327</v>
      </c>
      <c r="B548" s="32" t="s">
        <v>2293</v>
      </c>
      <c r="C548" s="32" t="s">
        <v>2328</v>
      </c>
      <c r="D548" s="33">
        <v>0</v>
      </c>
      <c r="E548" s="33" t="s">
        <v>1639</v>
      </c>
      <c r="F548" s="33">
        <v>321</v>
      </c>
      <c r="G548" s="33">
        <v>117</v>
      </c>
      <c r="H548" s="33" t="s">
        <v>1639</v>
      </c>
      <c r="I548" s="33">
        <v>488</v>
      </c>
      <c r="K548" t="b">
        <f>QHPSelections2016[[#This Row],[County Name]]=P548</f>
        <v>1</v>
      </c>
      <c r="L548" t="b">
        <f>QHPSelections2016[[#This Row],[Silver]]=S548</f>
        <v>1</v>
      </c>
      <c r="N548">
        <v>17053</v>
      </c>
      <c r="O548" t="s">
        <v>2293</v>
      </c>
      <c r="P548" t="s">
        <v>2328</v>
      </c>
      <c r="Q548">
        <v>0</v>
      </c>
      <c r="S548">
        <v>321</v>
      </c>
      <c r="T548">
        <v>117</v>
      </c>
      <c r="V548">
        <v>488</v>
      </c>
    </row>
    <row r="549" spans="1:22">
      <c r="A549" s="32" t="s">
        <v>2329</v>
      </c>
      <c r="B549" s="32" t="s">
        <v>2293</v>
      </c>
      <c r="C549" s="32" t="s">
        <v>919</v>
      </c>
      <c r="D549" s="33">
        <v>0</v>
      </c>
      <c r="E549" s="33" t="s">
        <v>1639</v>
      </c>
      <c r="F549" s="33">
        <v>582</v>
      </c>
      <c r="G549" s="33">
        <v>344</v>
      </c>
      <c r="H549" s="33" t="s">
        <v>1639</v>
      </c>
      <c r="I549" s="33">
        <v>1000</v>
      </c>
      <c r="K549" t="b">
        <f>QHPSelections2016[[#This Row],[County Name]]=P549</f>
        <v>1</v>
      </c>
      <c r="L549" t="b">
        <f>QHPSelections2016[[#This Row],[Silver]]=S549</f>
        <v>1</v>
      </c>
      <c r="N549">
        <v>17055</v>
      </c>
      <c r="O549" t="s">
        <v>2293</v>
      </c>
      <c r="P549" t="s">
        <v>919</v>
      </c>
      <c r="Q549">
        <v>0</v>
      </c>
      <c r="S549">
        <v>582</v>
      </c>
      <c r="T549">
        <v>344</v>
      </c>
      <c r="V549" s="51">
        <v>1000</v>
      </c>
    </row>
    <row r="550" spans="1:22">
      <c r="A550" s="32" t="s">
        <v>2330</v>
      </c>
      <c r="B550" s="32" t="s">
        <v>2293</v>
      </c>
      <c r="C550" s="32" t="s">
        <v>1131</v>
      </c>
      <c r="D550" s="33">
        <v>0</v>
      </c>
      <c r="E550" s="33" t="s">
        <v>1639</v>
      </c>
      <c r="F550" s="33">
        <v>511</v>
      </c>
      <c r="G550" s="33">
        <v>276</v>
      </c>
      <c r="H550" s="33" t="s">
        <v>1639</v>
      </c>
      <c r="I550" s="33">
        <v>875</v>
      </c>
      <c r="K550" t="b">
        <f>QHPSelections2016[[#This Row],[County Name]]=P550</f>
        <v>1</v>
      </c>
      <c r="L550" t="b">
        <f>QHPSelections2016[[#This Row],[Silver]]=S550</f>
        <v>1</v>
      </c>
      <c r="N550">
        <v>17057</v>
      </c>
      <c r="O550" t="s">
        <v>2293</v>
      </c>
      <c r="P550" t="s">
        <v>1131</v>
      </c>
      <c r="Q550">
        <v>0</v>
      </c>
      <c r="S550">
        <v>511</v>
      </c>
      <c r="T550">
        <v>276</v>
      </c>
      <c r="V550">
        <v>875</v>
      </c>
    </row>
    <row r="551" spans="1:22">
      <c r="A551" s="32" t="s">
        <v>2331</v>
      </c>
      <c r="B551" s="32" t="s">
        <v>2293</v>
      </c>
      <c r="C551" s="32" t="s">
        <v>2332</v>
      </c>
      <c r="D551" s="33">
        <v>0</v>
      </c>
      <c r="E551" s="33">
        <v>12</v>
      </c>
      <c r="F551" s="33">
        <v>77</v>
      </c>
      <c r="G551" s="33">
        <v>72</v>
      </c>
      <c r="H551" s="33">
        <v>0</v>
      </c>
      <c r="I551" s="33">
        <v>161</v>
      </c>
      <c r="K551" t="b">
        <f>QHPSelections2016[[#This Row],[County Name]]=P551</f>
        <v>1</v>
      </c>
      <c r="L551" t="b">
        <f>QHPSelections2016[[#This Row],[Silver]]=S551</f>
        <v>1</v>
      </c>
      <c r="N551">
        <v>17059</v>
      </c>
      <c r="O551" t="s">
        <v>2293</v>
      </c>
      <c r="P551" t="s">
        <v>2332</v>
      </c>
      <c r="Q551">
        <v>0</v>
      </c>
      <c r="R551">
        <v>12</v>
      </c>
      <c r="S551">
        <v>77</v>
      </c>
      <c r="T551">
        <v>72</v>
      </c>
      <c r="U551">
        <v>0</v>
      </c>
      <c r="V551">
        <v>161</v>
      </c>
    </row>
    <row r="552" spans="1:22">
      <c r="A552" s="32" t="s">
        <v>2333</v>
      </c>
      <c r="B552" s="32" t="s">
        <v>2293</v>
      </c>
      <c r="C552" s="32" t="s">
        <v>937</v>
      </c>
      <c r="D552" s="33">
        <v>0</v>
      </c>
      <c r="E552" s="33" t="s">
        <v>1639</v>
      </c>
      <c r="F552" s="33">
        <v>217</v>
      </c>
      <c r="G552" s="33">
        <v>108</v>
      </c>
      <c r="H552" s="33" t="s">
        <v>1639</v>
      </c>
      <c r="I552" s="33">
        <v>352</v>
      </c>
      <c r="K552" t="b">
        <f>QHPSelections2016[[#This Row],[County Name]]=P552</f>
        <v>1</v>
      </c>
      <c r="L552" t="b">
        <f>QHPSelections2016[[#This Row],[Silver]]=S552</f>
        <v>1</v>
      </c>
      <c r="N552">
        <v>17061</v>
      </c>
      <c r="O552" t="s">
        <v>2293</v>
      </c>
      <c r="P552" t="s">
        <v>937</v>
      </c>
      <c r="Q552">
        <v>0</v>
      </c>
      <c r="S552">
        <v>217</v>
      </c>
      <c r="T552">
        <v>108</v>
      </c>
      <c r="V552">
        <v>352</v>
      </c>
    </row>
    <row r="553" spans="1:22">
      <c r="A553" s="32" t="s">
        <v>2334</v>
      </c>
      <c r="B553" s="32" t="s">
        <v>2293</v>
      </c>
      <c r="C553" s="32" t="s">
        <v>991</v>
      </c>
      <c r="D553" s="33">
        <v>0</v>
      </c>
      <c r="E553" s="33" t="s">
        <v>1639</v>
      </c>
      <c r="F553" s="33">
        <v>790</v>
      </c>
      <c r="G553" s="33">
        <v>312</v>
      </c>
      <c r="H553" s="33" t="s">
        <v>1639</v>
      </c>
      <c r="I553" s="33">
        <v>1235</v>
      </c>
      <c r="K553" t="b">
        <f>QHPSelections2016[[#This Row],[County Name]]=P553</f>
        <v>1</v>
      </c>
      <c r="L553" t="b">
        <f>QHPSelections2016[[#This Row],[Silver]]=S553</f>
        <v>1</v>
      </c>
      <c r="N553">
        <v>17063</v>
      </c>
      <c r="O553" t="s">
        <v>2293</v>
      </c>
      <c r="P553" t="s">
        <v>991</v>
      </c>
      <c r="Q553">
        <v>0</v>
      </c>
      <c r="S553">
        <v>790</v>
      </c>
      <c r="T553">
        <v>312</v>
      </c>
      <c r="V553" s="51">
        <v>1235</v>
      </c>
    </row>
    <row r="554" spans="1:22">
      <c r="A554" s="32" t="s">
        <v>2335</v>
      </c>
      <c r="B554" s="32" t="s">
        <v>2293</v>
      </c>
      <c r="C554" s="32" t="s">
        <v>947</v>
      </c>
      <c r="D554" s="33">
        <v>0</v>
      </c>
      <c r="E554" s="33" t="s">
        <v>1639</v>
      </c>
      <c r="F554" s="33">
        <v>128</v>
      </c>
      <c r="G554" s="33">
        <v>122</v>
      </c>
      <c r="H554" s="33" t="s">
        <v>1639</v>
      </c>
      <c r="I554" s="33">
        <v>267</v>
      </c>
      <c r="K554" t="b">
        <f>QHPSelections2016[[#This Row],[County Name]]=P554</f>
        <v>1</v>
      </c>
      <c r="L554" t="b">
        <f>QHPSelections2016[[#This Row],[Silver]]=S554</f>
        <v>1</v>
      </c>
      <c r="N554">
        <v>17065</v>
      </c>
      <c r="O554" t="s">
        <v>2293</v>
      </c>
      <c r="P554" t="s">
        <v>947</v>
      </c>
      <c r="Q554">
        <v>0</v>
      </c>
      <c r="S554">
        <v>128</v>
      </c>
      <c r="T554">
        <v>122</v>
      </c>
      <c r="V554">
        <v>267</v>
      </c>
    </row>
    <row r="555" spans="1:22">
      <c r="A555" s="32" t="s">
        <v>2336</v>
      </c>
      <c r="B555" s="32" t="s">
        <v>2293</v>
      </c>
      <c r="C555" s="32" t="s">
        <v>949</v>
      </c>
      <c r="D555" s="33">
        <v>0</v>
      </c>
      <c r="E555" s="33" t="s">
        <v>1639</v>
      </c>
      <c r="F555" s="33">
        <v>249</v>
      </c>
      <c r="G555" s="33">
        <v>153</v>
      </c>
      <c r="H555" s="33" t="s">
        <v>1639</v>
      </c>
      <c r="I555" s="33">
        <v>443</v>
      </c>
      <c r="K555" t="b">
        <f>QHPSelections2016[[#This Row],[County Name]]=P555</f>
        <v>1</v>
      </c>
      <c r="L555" t="b">
        <f>QHPSelections2016[[#This Row],[Silver]]=S555</f>
        <v>1</v>
      </c>
      <c r="N555">
        <v>17067</v>
      </c>
      <c r="O555" t="s">
        <v>2293</v>
      </c>
      <c r="P555" t="s">
        <v>949</v>
      </c>
      <c r="Q555">
        <v>0</v>
      </c>
      <c r="S555">
        <v>249</v>
      </c>
      <c r="T555">
        <v>153</v>
      </c>
      <c r="V555">
        <v>443</v>
      </c>
    </row>
    <row r="556" spans="1:22">
      <c r="A556" s="32" t="s">
        <v>2337</v>
      </c>
      <c r="B556" s="32" t="s">
        <v>2293</v>
      </c>
      <c r="C556" s="32" t="s">
        <v>1017</v>
      </c>
      <c r="D556" s="33">
        <v>0</v>
      </c>
      <c r="E556" s="33" t="s">
        <v>1639</v>
      </c>
      <c r="F556" s="33">
        <v>52</v>
      </c>
      <c r="G556" s="33">
        <v>17</v>
      </c>
      <c r="H556" s="33" t="s">
        <v>1639</v>
      </c>
      <c r="I556" s="33">
        <v>76</v>
      </c>
      <c r="K556" t="b">
        <f>QHPSelections2016[[#This Row],[County Name]]=P556</f>
        <v>1</v>
      </c>
      <c r="L556" t="b">
        <f>QHPSelections2016[[#This Row],[Silver]]=S556</f>
        <v>1</v>
      </c>
      <c r="N556">
        <v>17069</v>
      </c>
      <c r="O556" t="s">
        <v>2293</v>
      </c>
      <c r="P556" t="s">
        <v>1017</v>
      </c>
      <c r="Q556">
        <v>0</v>
      </c>
      <c r="S556">
        <v>52</v>
      </c>
      <c r="T556">
        <v>17</v>
      </c>
      <c r="V556">
        <v>76</v>
      </c>
    </row>
    <row r="557" spans="1:22">
      <c r="A557" s="32" t="s">
        <v>2338</v>
      </c>
      <c r="B557" s="32" t="s">
        <v>2293</v>
      </c>
      <c r="C557" s="32" t="s">
        <v>1033</v>
      </c>
      <c r="D557" s="33">
        <v>0</v>
      </c>
      <c r="E557" s="33">
        <v>13</v>
      </c>
      <c r="F557" s="33">
        <v>125</v>
      </c>
      <c r="G557" s="33">
        <v>64</v>
      </c>
      <c r="H557" s="33">
        <v>0</v>
      </c>
      <c r="I557" s="33">
        <v>202</v>
      </c>
      <c r="K557" t="b">
        <f>QHPSelections2016[[#This Row],[County Name]]=P557</f>
        <v>1</v>
      </c>
      <c r="L557" t="b">
        <f>QHPSelections2016[[#This Row],[Silver]]=S557</f>
        <v>1</v>
      </c>
      <c r="N557">
        <v>17071</v>
      </c>
      <c r="O557" t="s">
        <v>2293</v>
      </c>
      <c r="P557" t="s">
        <v>1033</v>
      </c>
      <c r="Q557">
        <v>0</v>
      </c>
      <c r="R557">
        <v>13</v>
      </c>
      <c r="S557">
        <v>125</v>
      </c>
      <c r="T557">
        <v>64</v>
      </c>
      <c r="U557">
        <v>0</v>
      </c>
      <c r="V557">
        <v>202</v>
      </c>
    </row>
    <row r="558" spans="1:22">
      <c r="A558" s="32" t="s">
        <v>2339</v>
      </c>
      <c r="B558" s="32" t="s">
        <v>2293</v>
      </c>
      <c r="C558" s="32" t="s">
        <v>1004</v>
      </c>
      <c r="D558" s="33">
        <v>0</v>
      </c>
      <c r="E558" s="33" t="s">
        <v>1639</v>
      </c>
      <c r="F558" s="33">
        <v>864</v>
      </c>
      <c r="G558" s="33">
        <v>440</v>
      </c>
      <c r="H558" s="33" t="s">
        <v>1639</v>
      </c>
      <c r="I558" s="33">
        <v>1454</v>
      </c>
      <c r="K558" t="b">
        <f>QHPSelections2016[[#This Row],[County Name]]=P558</f>
        <v>1</v>
      </c>
      <c r="L558" t="b">
        <f>QHPSelections2016[[#This Row],[Silver]]=S558</f>
        <v>1</v>
      </c>
      <c r="N558">
        <v>17073</v>
      </c>
      <c r="O558" t="s">
        <v>2293</v>
      </c>
      <c r="P558" t="s">
        <v>1004</v>
      </c>
      <c r="Q558">
        <v>0</v>
      </c>
      <c r="S558">
        <v>864</v>
      </c>
      <c r="T558">
        <v>440</v>
      </c>
      <c r="V558" s="51">
        <v>1454</v>
      </c>
    </row>
    <row r="559" spans="1:22">
      <c r="A559" s="32" t="s">
        <v>2340</v>
      </c>
      <c r="B559" s="32" t="s">
        <v>2293</v>
      </c>
      <c r="C559" s="32" t="s">
        <v>2341</v>
      </c>
      <c r="D559" s="33">
        <v>0</v>
      </c>
      <c r="E559" s="33" t="s">
        <v>1639</v>
      </c>
      <c r="F559" s="33">
        <v>553</v>
      </c>
      <c r="G559" s="33">
        <v>264</v>
      </c>
      <c r="H559" s="33" t="s">
        <v>1639</v>
      </c>
      <c r="I559" s="33">
        <v>920</v>
      </c>
      <c r="K559" t="b">
        <f>QHPSelections2016[[#This Row],[County Name]]=P559</f>
        <v>1</v>
      </c>
      <c r="L559" t="b">
        <f>QHPSelections2016[[#This Row],[Silver]]=S559</f>
        <v>1</v>
      </c>
      <c r="N559">
        <v>17075</v>
      </c>
      <c r="O559" t="s">
        <v>2293</v>
      </c>
      <c r="P559" t="s">
        <v>2341</v>
      </c>
      <c r="Q559">
        <v>0</v>
      </c>
      <c r="S559">
        <v>553</v>
      </c>
      <c r="T559">
        <v>264</v>
      </c>
      <c r="V559">
        <v>920</v>
      </c>
    </row>
    <row r="560" spans="1:22">
      <c r="A560" s="32" t="s">
        <v>2342</v>
      </c>
      <c r="B560" s="32" t="s">
        <v>2293</v>
      </c>
      <c r="C560" s="32" t="s">
        <v>984</v>
      </c>
      <c r="D560" s="33">
        <v>0</v>
      </c>
      <c r="E560" s="33" t="s">
        <v>1639</v>
      </c>
      <c r="F560" s="33">
        <v>771</v>
      </c>
      <c r="G560" s="33">
        <v>396</v>
      </c>
      <c r="H560" s="33" t="s">
        <v>1639</v>
      </c>
      <c r="I560" s="33">
        <v>1269</v>
      </c>
      <c r="K560" t="b">
        <f>QHPSelections2016[[#This Row],[County Name]]=P560</f>
        <v>1</v>
      </c>
      <c r="L560" t="b">
        <f>QHPSelections2016[[#This Row],[Silver]]=S560</f>
        <v>1</v>
      </c>
      <c r="N560">
        <v>17077</v>
      </c>
      <c r="O560" t="s">
        <v>2293</v>
      </c>
      <c r="P560" t="s">
        <v>984</v>
      </c>
      <c r="Q560">
        <v>0</v>
      </c>
      <c r="S560">
        <v>771</v>
      </c>
      <c r="T560">
        <v>396</v>
      </c>
      <c r="V560" s="51">
        <v>1269</v>
      </c>
    </row>
    <row r="561" spans="1:22">
      <c r="A561" s="32" t="s">
        <v>2343</v>
      </c>
      <c r="B561" s="32" t="s">
        <v>2293</v>
      </c>
      <c r="C561" s="32" t="s">
        <v>989</v>
      </c>
      <c r="D561" s="33">
        <v>0</v>
      </c>
      <c r="E561" s="33">
        <v>12</v>
      </c>
      <c r="F561" s="33">
        <v>231</v>
      </c>
      <c r="G561" s="33">
        <v>228</v>
      </c>
      <c r="H561" s="33">
        <v>0</v>
      </c>
      <c r="I561" s="33">
        <v>471</v>
      </c>
      <c r="K561" t="b">
        <f>QHPSelections2016[[#This Row],[County Name]]=P561</f>
        <v>1</v>
      </c>
      <c r="L561" t="b">
        <f>QHPSelections2016[[#This Row],[Silver]]=S561</f>
        <v>1</v>
      </c>
      <c r="N561">
        <v>17079</v>
      </c>
      <c r="O561" t="s">
        <v>2293</v>
      </c>
      <c r="P561" t="s">
        <v>989</v>
      </c>
      <c r="Q561">
        <v>0</v>
      </c>
      <c r="R561">
        <v>12</v>
      </c>
      <c r="S561">
        <v>231</v>
      </c>
      <c r="T561">
        <v>228</v>
      </c>
      <c r="U561">
        <v>0</v>
      </c>
      <c r="V561">
        <v>471</v>
      </c>
    </row>
    <row r="562" spans="1:22">
      <c r="A562" s="32" t="s">
        <v>2344</v>
      </c>
      <c r="B562" s="32" t="s">
        <v>2293</v>
      </c>
      <c r="C562" s="32" t="s">
        <v>993</v>
      </c>
      <c r="D562" s="33">
        <v>0</v>
      </c>
      <c r="E562" s="33">
        <v>106</v>
      </c>
      <c r="F562" s="33">
        <v>562</v>
      </c>
      <c r="G562" s="33">
        <v>395</v>
      </c>
      <c r="H562" s="33">
        <v>0</v>
      </c>
      <c r="I562" s="33">
        <v>1063</v>
      </c>
      <c r="K562" t="b">
        <f>QHPSelections2016[[#This Row],[County Name]]=P562</f>
        <v>1</v>
      </c>
      <c r="L562" t="b">
        <f>QHPSelections2016[[#This Row],[Silver]]=S562</f>
        <v>1</v>
      </c>
      <c r="N562">
        <v>17081</v>
      </c>
      <c r="O562" t="s">
        <v>2293</v>
      </c>
      <c r="P562" t="s">
        <v>993</v>
      </c>
      <c r="Q562">
        <v>0</v>
      </c>
      <c r="R562">
        <v>106</v>
      </c>
      <c r="S562">
        <v>562</v>
      </c>
      <c r="T562">
        <v>395</v>
      </c>
      <c r="U562">
        <v>0</v>
      </c>
      <c r="V562" s="51">
        <v>1063</v>
      </c>
    </row>
    <row r="563" spans="1:22">
      <c r="A563" s="32" t="s">
        <v>2345</v>
      </c>
      <c r="B563" s="32" t="s">
        <v>2293</v>
      </c>
      <c r="C563" s="32" t="s">
        <v>2346</v>
      </c>
      <c r="D563" s="33">
        <v>0</v>
      </c>
      <c r="E563" s="33" t="s">
        <v>1639</v>
      </c>
      <c r="F563" s="33">
        <v>287</v>
      </c>
      <c r="G563" s="33">
        <v>159</v>
      </c>
      <c r="H563" s="33" t="s">
        <v>1639</v>
      </c>
      <c r="I563" s="33">
        <v>500</v>
      </c>
      <c r="K563" t="b">
        <f>QHPSelections2016[[#This Row],[County Name]]=P563</f>
        <v>1</v>
      </c>
      <c r="L563" t="b">
        <f>QHPSelections2016[[#This Row],[Silver]]=S563</f>
        <v>1</v>
      </c>
      <c r="N563">
        <v>17083</v>
      </c>
      <c r="O563" t="s">
        <v>2293</v>
      </c>
      <c r="P563" t="s">
        <v>2346</v>
      </c>
      <c r="Q563">
        <v>0</v>
      </c>
      <c r="S563">
        <v>287</v>
      </c>
      <c r="T563">
        <v>159</v>
      </c>
      <c r="V563">
        <v>500</v>
      </c>
    </row>
    <row r="564" spans="1:22">
      <c r="A564" s="32" t="s">
        <v>2347</v>
      </c>
      <c r="B564" s="32" t="s">
        <v>2293</v>
      </c>
      <c r="C564" s="32" t="s">
        <v>2348</v>
      </c>
      <c r="D564" s="33">
        <v>0</v>
      </c>
      <c r="E564" s="33" t="s">
        <v>1639</v>
      </c>
      <c r="F564" s="33">
        <v>502</v>
      </c>
      <c r="G564" s="33">
        <v>395</v>
      </c>
      <c r="H564" s="33" t="s">
        <v>1639</v>
      </c>
      <c r="I564" s="33">
        <v>978</v>
      </c>
      <c r="K564" t="b">
        <f>QHPSelections2016[[#This Row],[County Name]]=P564</f>
        <v>1</v>
      </c>
      <c r="L564" t="b">
        <f>QHPSelections2016[[#This Row],[Silver]]=S564</f>
        <v>1</v>
      </c>
      <c r="N564">
        <v>17085</v>
      </c>
      <c r="O564" t="s">
        <v>2293</v>
      </c>
      <c r="P564" t="s">
        <v>2348</v>
      </c>
      <c r="Q564">
        <v>0</v>
      </c>
      <c r="S564">
        <v>502</v>
      </c>
      <c r="T564">
        <v>395</v>
      </c>
      <c r="V564">
        <v>978</v>
      </c>
    </row>
    <row r="565" spans="1:22">
      <c r="A565" s="32" t="s">
        <v>2349</v>
      </c>
      <c r="B565" s="32" t="s">
        <v>2293</v>
      </c>
      <c r="C565" s="32" t="s">
        <v>1064</v>
      </c>
      <c r="D565" s="33">
        <v>0</v>
      </c>
      <c r="E565" s="33">
        <v>14</v>
      </c>
      <c r="F565" s="33">
        <v>145</v>
      </c>
      <c r="G565" s="33">
        <v>91</v>
      </c>
      <c r="H565" s="33">
        <v>0</v>
      </c>
      <c r="I565" s="33">
        <v>250</v>
      </c>
      <c r="K565" t="b">
        <f>QHPSelections2016[[#This Row],[County Name]]=P565</f>
        <v>1</v>
      </c>
      <c r="L565" t="b">
        <f>QHPSelections2016[[#This Row],[Silver]]=S565</f>
        <v>1</v>
      </c>
      <c r="N565">
        <v>17087</v>
      </c>
      <c r="O565" t="s">
        <v>2293</v>
      </c>
      <c r="P565" t="s">
        <v>1064</v>
      </c>
      <c r="Q565">
        <v>0</v>
      </c>
      <c r="R565">
        <v>14</v>
      </c>
      <c r="S565">
        <v>145</v>
      </c>
      <c r="T565">
        <v>91</v>
      </c>
      <c r="U565">
        <v>0</v>
      </c>
      <c r="V565">
        <v>250</v>
      </c>
    </row>
    <row r="566" spans="1:22">
      <c r="A566" s="32" t="s">
        <v>2350</v>
      </c>
      <c r="B566" s="32" t="s">
        <v>2293</v>
      </c>
      <c r="C566" s="32" t="s">
        <v>2351</v>
      </c>
      <c r="D566" s="33">
        <v>0</v>
      </c>
      <c r="E566" s="33">
        <v>1732</v>
      </c>
      <c r="F566" s="33">
        <v>9154</v>
      </c>
      <c r="G566" s="33">
        <v>4173</v>
      </c>
      <c r="H566" s="33">
        <v>76</v>
      </c>
      <c r="I566" s="33">
        <v>15135</v>
      </c>
      <c r="K566" t="b">
        <f>QHPSelections2016[[#This Row],[County Name]]=P566</f>
        <v>1</v>
      </c>
      <c r="L566" t="b">
        <f>QHPSelections2016[[#This Row],[Silver]]=S566</f>
        <v>1</v>
      </c>
      <c r="N566">
        <v>17089</v>
      </c>
      <c r="O566" t="s">
        <v>2293</v>
      </c>
      <c r="P566" t="s">
        <v>2351</v>
      </c>
      <c r="Q566">
        <v>0</v>
      </c>
      <c r="R566" s="51">
        <v>1732</v>
      </c>
      <c r="S566" s="51">
        <v>9154</v>
      </c>
      <c r="T566" s="51">
        <v>4173</v>
      </c>
      <c r="U566">
        <v>76</v>
      </c>
      <c r="V566" s="51">
        <v>15135</v>
      </c>
    </row>
    <row r="567" spans="1:22">
      <c r="A567" s="32" t="s">
        <v>2352</v>
      </c>
      <c r="B567" s="32" t="s">
        <v>2293</v>
      </c>
      <c r="C567" s="32" t="s">
        <v>2353</v>
      </c>
      <c r="D567" s="33">
        <v>0</v>
      </c>
      <c r="E567" s="33">
        <v>219</v>
      </c>
      <c r="F567" s="33">
        <v>1547</v>
      </c>
      <c r="G567" s="33">
        <v>665</v>
      </c>
      <c r="H567" s="33">
        <v>16</v>
      </c>
      <c r="I567" s="33">
        <v>2447</v>
      </c>
      <c r="K567" t="b">
        <f>QHPSelections2016[[#This Row],[County Name]]=P567</f>
        <v>1</v>
      </c>
      <c r="L567" t="b">
        <f>QHPSelections2016[[#This Row],[Silver]]=S567</f>
        <v>1</v>
      </c>
      <c r="N567">
        <v>17091</v>
      </c>
      <c r="O567" t="s">
        <v>2293</v>
      </c>
      <c r="P567" t="s">
        <v>2353</v>
      </c>
      <c r="Q567">
        <v>0</v>
      </c>
      <c r="R567">
        <v>219</v>
      </c>
      <c r="S567" s="51">
        <v>1547</v>
      </c>
      <c r="T567">
        <v>665</v>
      </c>
      <c r="U567">
        <v>16</v>
      </c>
      <c r="V567" s="51">
        <v>2447</v>
      </c>
    </row>
    <row r="568" spans="1:22">
      <c r="A568" s="32" t="s">
        <v>2354</v>
      </c>
      <c r="B568" s="32" t="s">
        <v>2293</v>
      </c>
      <c r="C568" s="32" t="s">
        <v>1306</v>
      </c>
      <c r="D568" s="33">
        <v>0</v>
      </c>
      <c r="E568" s="33">
        <v>318</v>
      </c>
      <c r="F568" s="33">
        <v>2191</v>
      </c>
      <c r="G568" s="33">
        <v>1112</v>
      </c>
      <c r="H568" s="33">
        <v>29</v>
      </c>
      <c r="I568" s="33">
        <v>3650</v>
      </c>
      <c r="K568" t="b">
        <f>QHPSelections2016[[#This Row],[County Name]]=P568</f>
        <v>1</v>
      </c>
      <c r="L568" t="b">
        <f>QHPSelections2016[[#This Row],[Silver]]=S568</f>
        <v>1</v>
      </c>
      <c r="N568">
        <v>17093</v>
      </c>
      <c r="O568" t="s">
        <v>2293</v>
      </c>
      <c r="P568" t="s">
        <v>1306</v>
      </c>
      <c r="Q568">
        <v>0</v>
      </c>
      <c r="R568">
        <v>318</v>
      </c>
      <c r="S568" s="51">
        <v>2191</v>
      </c>
      <c r="T568" s="51">
        <v>1112</v>
      </c>
      <c r="U568">
        <v>29</v>
      </c>
      <c r="V568" s="51">
        <v>3650</v>
      </c>
    </row>
    <row r="569" spans="1:22">
      <c r="A569" s="32" t="s">
        <v>2355</v>
      </c>
      <c r="B569" s="32" t="s">
        <v>2293</v>
      </c>
      <c r="C569" s="32" t="s">
        <v>1070</v>
      </c>
      <c r="D569" s="33">
        <v>0</v>
      </c>
      <c r="E569" s="33" t="s">
        <v>1639</v>
      </c>
      <c r="F569" s="33">
        <v>678</v>
      </c>
      <c r="G569" s="33">
        <v>482</v>
      </c>
      <c r="H569" s="33" t="s">
        <v>1639</v>
      </c>
      <c r="I569" s="33">
        <v>1269</v>
      </c>
      <c r="K569" t="b">
        <f>QHPSelections2016[[#This Row],[County Name]]=P569</f>
        <v>1</v>
      </c>
      <c r="L569" t="b">
        <f>QHPSelections2016[[#This Row],[Silver]]=S569</f>
        <v>1</v>
      </c>
      <c r="N569">
        <v>17095</v>
      </c>
      <c r="O569" t="s">
        <v>2293</v>
      </c>
      <c r="P569" t="s">
        <v>1070</v>
      </c>
      <c r="Q569">
        <v>0</v>
      </c>
      <c r="S569">
        <v>678</v>
      </c>
      <c r="T569">
        <v>482</v>
      </c>
      <c r="V569" s="51">
        <v>1269</v>
      </c>
    </row>
    <row r="570" spans="1:22">
      <c r="A570" s="32" t="s">
        <v>2356</v>
      </c>
      <c r="B570" s="32" t="s">
        <v>2293</v>
      </c>
      <c r="C570" s="32" t="s">
        <v>1005</v>
      </c>
      <c r="D570" s="33">
        <v>0</v>
      </c>
      <c r="E570" s="33">
        <v>2978</v>
      </c>
      <c r="F570" s="33">
        <v>15177</v>
      </c>
      <c r="G570" s="33">
        <v>6511</v>
      </c>
      <c r="H570" s="33">
        <v>142</v>
      </c>
      <c r="I570" s="33">
        <v>24808</v>
      </c>
      <c r="K570" t="b">
        <f>QHPSelections2016[[#This Row],[County Name]]=P570</f>
        <v>1</v>
      </c>
      <c r="L570" t="b">
        <f>QHPSelections2016[[#This Row],[Silver]]=S570</f>
        <v>1</v>
      </c>
      <c r="N570">
        <v>17097</v>
      </c>
      <c r="O570" t="s">
        <v>2293</v>
      </c>
      <c r="P570" t="s">
        <v>1005</v>
      </c>
      <c r="Q570">
        <v>0</v>
      </c>
      <c r="R570" s="51">
        <v>2978</v>
      </c>
      <c r="S570" s="51">
        <v>15177</v>
      </c>
      <c r="T570" s="51">
        <v>6511</v>
      </c>
      <c r="U570">
        <v>142</v>
      </c>
      <c r="V570" s="51">
        <v>24808</v>
      </c>
    </row>
    <row r="571" spans="1:22">
      <c r="A571" s="32" t="s">
        <v>2357</v>
      </c>
      <c r="B571" s="32" t="s">
        <v>2293</v>
      </c>
      <c r="C571" s="32" t="s">
        <v>2358</v>
      </c>
      <c r="D571" s="33">
        <v>0</v>
      </c>
      <c r="E571" s="33">
        <v>224</v>
      </c>
      <c r="F571" s="33">
        <v>1625</v>
      </c>
      <c r="G571" s="33">
        <v>1100</v>
      </c>
      <c r="H571" s="33">
        <v>13</v>
      </c>
      <c r="I571" s="33">
        <v>2962</v>
      </c>
      <c r="K571" t="b">
        <f>QHPSelections2016[[#This Row],[County Name]]=P571</f>
        <v>1</v>
      </c>
      <c r="L571" t="b">
        <f>QHPSelections2016[[#This Row],[Silver]]=S571</f>
        <v>1</v>
      </c>
      <c r="N571">
        <v>17099</v>
      </c>
      <c r="O571" t="s">
        <v>2293</v>
      </c>
      <c r="P571" t="s">
        <v>2358</v>
      </c>
      <c r="Q571">
        <v>0</v>
      </c>
      <c r="R571">
        <v>224</v>
      </c>
      <c r="S571" s="51">
        <v>1625</v>
      </c>
      <c r="T571" s="51">
        <v>1100</v>
      </c>
      <c r="U571">
        <v>13</v>
      </c>
      <c r="V571" s="51">
        <v>2962</v>
      </c>
    </row>
    <row r="572" spans="1:22">
      <c r="A572" s="32" t="s">
        <v>2359</v>
      </c>
      <c r="B572" s="32" t="s">
        <v>2293</v>
      </c>
      <c r="C572" s="32" t="s">
        <v>1031</v>
      </c>
      <c r="D572" s="33">
        <v>0</v>
      </c>
      <c r="E572" s="33" t="s">
        <v>1639</v>
      </c>
      <c r="F572" s="33">
        <v>236</v>
      </c>
      <c r="G572" s="33">
        <v>178</v>
      </c>
      <c r="H572" s="33" t="s">
        <v>1639</v>
      </c>
      <c r="I572" s="33">
        <v>444</v>
      </c>
      <c r="K572" t="b">
        <f>QHPSelections2016[[#This Row],[County Name]]=P572</f>
        <v>1</v>
      </c>
      <c r="L572" t="b">
        <f>QHPSelections2016[[#This Row],[Silver]]=S572</f>
        <v>1</v>
      </c>
      <c r="N572">
        <v>17101</v>
      </c>
      <c r="O572" t="s">
        <v>2293</v>
      </c>
      <c r="P572" t="s">
        <v>1031</v>
      </c>
      <c r="Q572">
        <v>0</v>
      </c>
      <c r="S572">
        <v>236</v>
      </c>
      <c r="T572">
        <v>178</v>
      </c>
      <c r="V572">
        <v>444</v>
      </c>
    </row>
    <row r="573" spans="1:22">
      <c r="A573" s="32" t="s">
        <v>2360</v>
      </c>
      <c r="B573" s="32" t="s">
        <v>2293</v>
      </c>
      <c r="C573" s="32" t="s">
        <v>1010</v>
      </c>
      <c r="D573" s="33">
        <v>0</v>
      </c>
      <c r="E573" s="33" t="s">
        <v>1639</v>
      </c>
      <c r="F573" s="33">
        <v>502</v>
      </c>
      <c r="G573" s="33">
        <v>312</v>
      </c>
      <c r="H573" s="33" t="s">
        <v>1639</v>
      </c>
      <c r="I573" s="33">
        <v>872</v>
      </c>
      <c r="K573" t="b">
        <f>QHPSelections2016[[#This Row],[County Name]]=P573</f>
        <v>1</v>
      </c>
      <c r="L573" t="b">
        <f>QHPSelections2016[[#This Row],[Silver]]=S573</f>
        <v>1</v>
      </c>
      <c r="N573">
        <v>17103</v>
      </c>
      <c r="O573" t="s">
        <v>2293</v>
      </c>
      <c r="P573" t="s">
        <v>1010</v>
      </c>
      <c r="Q573">
        <v>0</v>
      </c>
      <c r="S573">
        <v>502</v>
      </c>
      <c r="T573">
        <v>312</v>
      </c>
      <c r="V573">
        <v>872</v>
      </c>
    </row>
    <row r="574" spans="1:22">
      <c r="A574" s="32" t="s">
        <v>2361</v>
      </c>
      <c r="B574" s="32" t="s">
        <v>2293</v>
      </c>
      <c r="C574" s="32" t="s">
        <v>2362</v>
      </c>
      <c r="D574" s="33">
        <v>0</v>
      </c>
      <c r="E574" s="33" t="s">
        <v>1639</v>
      </c>
      <c r="F574" s="33">
        <v>512</v>
      </c>
      <c r="G574" s="33">
        <v>266</v>
      </c>
      <c r="H574" s="33" t="s">
        <v>1639</v>
      </c>
      <c r="I574" s="33">
        <v>885</v>
      </c>
      <c r="K574" t="b">
        <f>QHPSelections2016[[#This Row],[County Name]]=P574</f>
        <v>1</v>
      </c>
      <c r="L574" t="b">
        <f>QHPSelections2016[[#This Row],[Silver]]=S574</f>
        <v>1</v>
      </c>
      <c r="N574">
        <v>17105</v>
      </c>
      <c r="O574" t="s">
        <v>2293</v>
      </c>
      <c r="P574" t="s">
        <v>2362</v>
      </c>
      <c r="Q574">
        <v>0</v>
      </c>
      <c r="S574">
        <v>512</v>
      </c>
      <c r="T574">
        <v>266</v>
      </c>
      <c r="V574">
        <v>885</v>
      </c>
    </row>
    <row r="575" spans="1:22">
      <c r="A575" s="32" t="s">
        <v>2363</v>
      </c>
      <c r="B575" s="32" t="s">
        <v>2293</v>
      </c>
      <c r="C575" s="32" t="s">
        <v>1824</v>
      </c>
      <c r="D575" s="33">
        <v>0</v>
      </c>
      <c r="E575" s="33" t="s">
        <v>1639</v>
      </c>
      <c r="F575" s="33">
        <v>482</v>
      </c>
      <c r="G575" s="33">
        <v>191</v>
      </c>
      <c r="H575" s="33" t="s">
        <v>1639</v>
      </c>
      <c r="I575" s="33">
        <v>783</v>
      </c>
      <c r="K575" t="b">
        <f>QHPSelections2016[[#This Row],[County Name]]=P575</f>
        <v>1</v>
      </c>
      <c r="L575" t="b">
        <f>QHPSelections2016[[#This Row],[Silver]]=S575</f>
        <v>1</v>
      </c>
      <c r="N575">
        <v>17107</v>
      </c>
      <c r="O575" t="s">
        <v>2293</v>
      </c>
      <c r="P575" t="s">
        <v>1824</v>
      </c>
      <c r="Q575">
        <v>0</v>
      </c>
      <c r="S575">
        <v>482</v>
      </c>
      <c r="T575">
        <v>191</v>
      </c>
      <c r="V575">
        <v>783</v>
      </c>
    </row>
    <row r="576" spans="1:22">
      <c r="A576" s="32" t="s">
        <v>2364</v>
      </c>
      <c r="B576" s="32" t="s">
        <v>2293</v>
      </c>
      <c r="C576" s="32" t="s">
        <v>2365</v>
      </c>
      <c r="D576" s="33">
        <v>0</v>
      </c>
      <c r="E576" s="33" t="s">
        <v>1639</v>
      </c>
      <c r="F576" s="33">
        <v>419</v>
      </c>
      <c r="G576" s="33">
        <v>177</v>
      </c>
      <c r="H576" s="33" t="s">
        <v>1639</v>
      </c>
      <c r="I576" s="33">
        <v>648</v>
      </c>
      <c r="K576" t="b">
        <f>QHPSelections2016[[#This Row],[County Name]]=P576</f>
        <v>0</v>
      </c>
      <c r="L576" t="b">
        <f>QHPSelections2016[[#This Row],[Silver]]=S576</f>
        <v>0</v>
      </c>
      <c r="N576">
        <v>17115</v>
      </c>
      <c r="O576" t="s">
        <v>2293</v>
      </c>
      <c r="P576" t="s">
        <v>1054</v>
      </c>
      <c r="Q576">
        <v>0</v>
      </c>
      <c r="S576" s="51">
        <v>1288</v>
      </c>
      <c r="T576">
        <v>804</v>
      </c>
      <c r="V576" s="51">
        <v>2310</v>
      </c>
    </row>
    <row r="577" spans="1:22">
      <c r="A577" s="32" t="s">
        <v>2366</v>
      </c>
      <c r="B577" s="32" t="s">
        <v>2293</v>
      </c>
      <c r="C577" s="32" t="s">
        <v>2367</v>
      </c>
      <c r="D577" s="33">
        <v>0</v>
      </c>
      <c r="E577" s="33">
        <v>1251</v>
      </c>
      <c r="F577" s="33">
        <v>7378</v>
      </c>
      <c r="G577" s="33">
        <v>3446</v>
      </c>
      <c r="H577" s="33">
        <v>82</v>
      </c>
      <c r="I577" s="33">
        <v>12157</v>
      </c>
      <c r="K577" t="b">
        <f>QHPSelections2016[[#This Row],[County Name]]=P577</f>
        <v>0</v>
      </c>
      <c r="L577" t="b">
        <f>QHPSelections2016[[#This Row],[Silver]]=S577</f>
        <v>0</v>
      </c>
      <c r="N577">
        <v>17117</v>
      </c>
      <c r="O577" t="s">
        <v>2293</v>
      </c>
      <c r="P577" t="s">
        <v>2372</v>
      </c>
      <c r="Q577">
        <v>0</v>
      </c>
      <c r="S577">
        <v>777</v>
      </c>
      <c r="T577">
        <v>373</v>
      </c>
      <c r="V577" s="51">
        <v>1261</v>
      </c>
    </row>
    <row r="578" spans="1:22">
      <c r="A578" s="32" t="s">
        <v>2368</v>
      </c>
      <c r="B578" s="32" t="s">
        <v>2293</v>
      </c>
      <c r="C578" s="32" t="s">
        <v>2369</v>
      </c>
      <c r="D578" s="33">
        <v>0</v>
      </c>
      <c r="E578" s="33">
        <v>329</v>
      </c>
      <c r="F578" s="33">
        <v>2162</v>
      </c>
      <c r="G578" s="33">
        <v>1085</v>
      </c>
      <c r="H578" s="33">
        <v>46</v>
      </c>
      <c r="I578" s="33">
        <v>3622</v>
      </c>
      <c r="K578" t="b">
        <f>QHPSelections2016[[#This Row],[County Name]]=P578</f>
        <v>0</v>
      </c>
      <c r="L578" t="b">
        <f>QHPSelections2016[[#This Row],[Silver]]=S578</f>
        <v>0</v>
      </c>
      <c r="N578">
        <v>17119</v>
      </c>
      <c r="O578" t="s">
        <v>2293</v>
      </c>
      <c r="P578" t="s">
        <v>1029</v>
      </c>
      <c r="Q578">
        <v>0</v>
      </c>
      <c r="R578">
        <v>622</v>
      </c>
      <c r="S578" s="51">
        <v>3955</v>
      </c>
      <c r="T578" s="51">
        <v>2164</v>
      </c>
      <c r="U578">
        <v>16</v>
      </c>
      <c r="V578" s="51">
        <v>6757</v>
      </c>
    </row>
    <row r="579" spans="1:22">
      <c r="A579" s="32" t="s">
        <v>2370</v>
      </c>
      <c r="B579" s="32" t="s">
        <v>2293</v>
      </c>
      <c r="C579" s="32" t="s">
        <v>1054</v>
      </c>
      <c r="D579" s="33">
        <v>0</v>
      </c>
      <c r="E579" s="33" t="s">
        <v>1639</v>
      </c>
      <c r="F579" s="33">
        <v>1288</v>
      </c>
      <c r="G579" s="33">
        <v>804</v>
      </c>
      <c r="H579" s="33" t="s">
        <v>1639</v>
      </c>
      <c r="I579" s="33">
        <v>2310</v>
      </c>
      <c r="K579" t="b">
        <f>QHPSelections2016[[#This Row],[County Name]]=P579</f>
        <v>0</v>
      </c>
      <c r="L579" t="b">
        <f>QHPSelections2016[[#This Row],[Silver]]=S579</f>
        <v>0</v>
      </c>
      <c r="N579">
        <v>17121</v>
      </c>
      <c r="O579" t="s">
        <v>2293</v>
      </c>
      <c r="P579" t="s">
        <v>1038</v>
      </c>
      <c r="Q579">
        <v>0</v>
      </c>
      <c r="R579">
        <v>86</v>
      </c>
      <c r="S579">
        <v>518</v>
      </c>
      <c r="T579">
        <v>354</v>
      </c>
      <c r="U579">
        <v>0</v>
      </c>
      <c r="V579">
        <v>958</v>
      </c>
    </row>
    <row r="580" spans="1:22">
      <c r="A580" s="32" t="s">
        <v>2371</v>
      </c>
      <c r="B580" s="32" t="s">
        <v>2293</v>
      </c>
      <c r="C580" s="32" t="s">
        <v>2372</v>
      </c>
      <c r="D580" s="33">
        <v>0</v>
      </c>
      <c r="E580" s="33" t="s">
        <v>1639</v>
      </c>
      <c r="F580" s="33">
        <v>777</v>
      </c>
      <c r="G580" s="33">
        <v>373</v>
      </c>
      <c r="H580" s="33" t="s">
        <v>1639</v>
      </c>
      <c r="I580" s="33">
        <v>1261</v>
      </c>
      <c r="K580" t="b">
        <f>QHPSelections2016[[#This Row],[County Name]]=P580</f>
        <v>0</v>
      </c>
      <c r="L580" t="b">
        <f>QHPSelections2016[[#This Row],[Silver]]=S580</f>
        <v>0</v>
      </c>
      <c r="N580">
        <v>17123</v>
      </c>
      <c r="O580" t="s">
        <v>2293</v>
      </c>
      <c r="P580" t="s">
        <v>1068</v>
      </c>
      <c r="Q580">
        <v>0</v>
      </c>
      <c r="S580">
        <v>173</v>
      </c>
      <c r="T580">
        <v>105</v>
      </c>
      <c r="V580">
        <v>307</v>
      </c>
    </row>
    <row r="581" spans="1:22">
      <c r="A581" s="32" t="s">
        <v>2373</v>
      </c>
      <c r="B581" s="32" t="s">
        <v>2293</v>
      </c>
      <c r="C581" s="32" t="s">
        <v>1029</v>
      </c>
      <c r="D581" s="33">
        <v>0</v>
      </c>
      <c r="E581" s="33">
        <v>622</v>
      </c>
      <c r="F581" s="33">
        <v>3955</v>
      </c>
      <c r="G581" s="33">
        <v>2164</v>
      </c>
      <c r="H581" s="33">
        <v>16</v>
      </c>
      <c r="I581" s="33">
        <v>6757</v>
      </c>
      <c r="K581" t="b">
        <f>QHPSelections2016[[#This Row],[County Name]]=P581</f>
        <v>0</v>
      </c>
      <c r="L581" t="b">
        <f>QHPSelections2016[[#This Row],[Silver]]=S581</f>
        <v>0</v>
      </c>
      <c r="N581">
        <v>17125</v>
      </c>
      <c r="O581" t="s">
        <v>2293</v>
      </c>
      <c r="P581" t="s">
        <v>1344</v>
      </c>
      <c r="Q581">
        <v>0</v>
      </c>
      <c r="R581">
        <v>40</v>
      </c>
      <c r="S581">
        <v>240</v>
      </c>
      <c r="T581">
        <v>90</v>
      </c>
      <c r="U581">
        <v>0</v>
      </c>
      <c r="V581">
        <v>370</v>
      </c>
    </row>
    <row r="582" spans="1:22">
      <c r="A582" s="32" t="s">
        <v>2374</v>
      </c>
      <c r="B582" s="32" t="s">
        <v>2293</v>
      </c>
      <c r="C582" s="32" t="s">
        <v>1038</v>
      </c>
      <c r="D582" s="33">
        <v>0</v>
      </c>
      <c r="E582" s="33">
        <v>86</v>
      </c>
      <c r="F582" s="33">
        <v>518</v>
      </c>
      <c r="G582" s="33">
        <v>354</v>
      </c>
      <c r="H582" s="33">
        <v>0</v>
      </c>
      <c r="I582" s="33">
        <v>958</v>
      </c>
      <c r="K582" t="b">
        <f>QHPSelections2016[[#This Row],[County Name]]=P582</f>
        <v>0</v>
      </c>
      <c r="L582" t="b">
        <f>QHPSelections2016[[#This Row],[Silver]]=S582</f>
        <v>0</v>
      </c>
      <c r="N582">
        <v>17127</v>
      </c>
      <c r="O582" t="s">
        <v>2293</v>
      </c>
      <c r="P582" t="s">
        <v>2378</v>
      </c>
      <c r="Q582">
        <v>0</v>
      </c>
      <c r="R582">
        <v>21</v>
      </c>
      <c r="S582">
        <v>175</v>
      </c>
      <c r="T582">
        <v>117</v>
      </c>
      <c r="U582">
        <v>0</v>
      </c>
      <c r="V582">
        <v>313</v>
      </c>
    </row>
    <row r="583" spans="1:22">
      <c r="A583" s="32" t="s">
        <v>2375</v>
      </c>
      <c r="B583" s="32" t="s">
        <v>2293</v>
      </c>
      <c r="C583" s="32" t="s">
        <v>1068</v>
      </c>
      <c r="D583" s="33">
        <v>0</v>
      </c>
      <c r="E583" s="33" t="s">
        <v>1639</v>
      </c>
      <c r="F583" s="33">
        <v>173</v>
      </c>
      <c r="G583" s="33">
        <v>105</v>
      </c>
      <c r="H583" s="33" t="s">
        <v>1639</v>
      </c>
      <c r="I583" s="33">
        <v>307</v>
      </c>
      <c r="K583" t="b">
        <f>QHPSelections2016[[#This Row],[County Name]]=P583</f>
        <v>0</v>
      </c>
      <c r="L583" t="b">
        <f>QHPSelections2016[[#This Row],[Silver]]=S583</f>
        <v>0</v>
      </c>
      <c r="N583">
        <v>17109</v>
      </c>
      <c r="O583" t="s">
        <v>2293</v>
      </c>
      <c r="P583" t="s">
        <v>2365</v>
      </c>
      <c r="Q583">
        <v>0</v>
      </c>
      <c r="S583">
        <v>419</v>
      </c>
      <c r="T583">
        <v>177</v>
      </c>
      <c r="V583">
        <v>648</v>
      </c>
    </row>
    <row r="584" spans="1:22">
      <c r="A584" s="32" t="s">
        <v>2376</v>
      </c>
      <c r="B584" s="32" t="s">
        <v>2293</v>
      </c>
      <c r="C584" s="32" t="s">
        <v>1344</v>
      </c>
      <c r="D584" s="33">
        <v>0</v>
      </c>
      <c r="E584" s="33">
        <v>40</v>
      </c>
      <c r="F584" s="33">
        <v>240</v>
      </c>
      <c r="G584" s="33">
        <v>90</v>
      </c>
      <c r="H584" s="33">
        <v>0</v>
      </c>
      <c r="I584" s="33">
        <v>370</v>
      </c>
      <c r="K584" t="b">
        <f>QHPSelections2016[[#This Row],[County Name]]=P584</f>
        <v>0</v>
      </c>
      <c r="L584" t="b">
        <f>QHPSelections2016[[#This Row],[Silver]]=S584</f>
        <v>0</v>
      </c>
      <c r="N584">
        <v>17111</v>
      </c>
      <c r="O584" t="s">
        <v>2293</v>
      </c>
      <c r="P584" t="s">
        <v>2367</v>
      </c>
      <c r="Q584">
        <v>0</v>
      </c>
      <c r="R584" s="51">
        <v>1251</v>
      </c>
      <c r="S584" s="51">
        <v>7378</v>
      </c>
      <c r="T584" s="51">
        <v>3446</v>
      </c>
      <c r="U584">
        <v>82</v>
      </c>
      <c r="V584" s="51">
        <v>12157</v>
      </c>
    </row>
    <row r="585" spans="1:22">
      <c r="A585" s="32" t="s">
        <v>2377</v>
      </c>
      <c r="B585" s="32" t="s">
        <v>2293</v>
      </c>
      <c r="C585" s="32" t="s">
        <v>2378</v>
      </c>
      <c r="D585" s="33">
        <v>0</v>
      </c>
      <c r="E585" s="33">
        <v>21</v>
      </c>
      <c r="F585" s="33">
        <v>175</v>
      </c>
      <c r="G585" s="33">
        <v>117</v>
      </c>
      <c r="H585" s="33">
        <v>0</v>
      </c>
      <c r="I585" s="33">
        <v>313</v>
      </c>
      <c r="K585" t="b">
        <f>QHPSelections2016[[#This Row],[County Name]]=P585</f>
        <v>0</v>
      </c>
      <c r="L585" t="b">
        <f>QHPSelections2016[[#This Row],[Silver]]=S585</f>
        <v>0</v>
      </c>
      <c r="N585">
        <v>17113</v>
      </c>
      <c r="O585" t="s">
        <v>2293</v>
      </c>
      <c r="P585" t="s">
        <v>2369</v>
      </c>
      <c r="Q585">
        <v>0</v>
      </c>
      <c r="R585">
        <v>329</v>
      </c>
      <c r="S585" s="51">
        <v>2162</v>
      </c>
      <c r="T585" s="51">
        <v>1085</v>
      </c>
      <c r="U585">
        <v>46</v>
      </c>
      <c r="V585" s="51">
        <v>3622</v>
      </c>
    </row>
    <row r="586" spans="1:22">
      <c r="A586" s="32" t="s">
        <v>2379</v>
      </c>
      <c r="B586" s="32" t="s">
        <v>2293</v>
      </c>
      <c r="C586" s="32" t="s">
        <v>1348</v>
      </c>
      <c r="D586" s="33">
        <v>0</v>
      </c>
      <c r="E586" s="33">
        <v>30</v>
      </c>
      <c r="F586" s="33">
        <v>137</v>
      </c>
      <c r="G586" s="33">
        <v>85</v>
      </c>
      <c r="H586" s="33">
        <v>0</v>
      </c>
      <c r="I586" s="33">
        <v>252</v>
      </c>
      <c r="K586" t="b">
        <f>QHPSelections2016[[#This Row],[County Name]]=P586</f>
        <v>1</v>
      </c>
      <c r="L586" t="b">
        <f>QHPSelections2016[[#This Row],[Silver]]=S586</f>
        <v>1</v>
      </c>
      <c r="N586">
        <v>17129</v>
      </c>
      <c r="O586" t="s">
        <v>2293</v>
      </c>
      <c r="P586" t="s">
        <v>1348</v>
      </c>
      <c r="Q586">
        <v>0</v>
      </c>
      <c r="R586">
        <v>30</v>
      </c>
      <c r="S586">
        <v>137</v>
      </c>
      <c r="T586">
        <v>85</v>
      </c>
      <c r="U586">
        <v>0</v>
      </c>
      <c r="V586">
        <v>252</v>
      </c>
    </row>
    <row r="587" spans="1:22">
      <c r="A587" s="32" t="s">
        <v>2380</v>
      </c>
      <c r="B587" s="32" t="s">
        <v>2293</v>
      </c>
      <c r="C587" s="32" t="s">
        <v>2381</v>
      </c>
      <c r="D587" s="33">
        <v>0</v>
      </c>
      <c r="E587" s="33">
        <v>43</v>
      </c>
      <c r="F587" s="33">
        <v>296</v>
      </c>
      <c r="G587" s="33">
        <v>153</v>
      </c>
      <c r="H587" s="33">
        <v>0</v>
      </c>
      <c r="I587" s="33">
        <v>492</v>
      </c>
      <c r="K587" t="b">
        <f>QHPSelections2016[[#This Row],[County Name]]=P587</f>
        <v>1</v>
      </c>
      <c r="L587" t="b">
        <f>QHPSelections2016[[#This Row],[Silver]]=S587</f>
        <v>1</v>
      </c>
      <c r="N587">
        <v>17131</v>
      </c>
      <c r="O587" t="s">
        <v>2293</v>
      </c>
      <c r="P587" t="s">
        <v>2381</v>
      </c>
      <c r="Q587">
        <v>0</v>
      </c>
      <c r="R587">
        <v>43</v>
      </c>
      <c r="S587">
        <v>296</v>
      </c>
      <c r="T587">
        <v>153</v>
      </c>
      <c r="U587">
        <v>0</v>
      </c>
      <c r="V587">
        <v>492</v>
      </c>
    </row>
    <row r="588" spans="1:22">
      <c r="A588" s="32" t="s">
        <v>2382</v>
      </c>
      <c r="B588" s="32" t="s">
        <v>2293</v>
      </c>
      <c r="C588" s="32" t="s">
        <v>1055</v>
      </c>
      <c r="D588" s="33">
        <v>0</v>
      </c>
      <c r="E588" s="33" t="s">
        <v>1639</v>
      </c>
      <c r="F588" s="33">
        <v>554</v>
      </c>
      <c r="G588" s="33">
        <v>304</v>
      </c>
      <c r="H588" s="33" t="s">
        <v>1639</v>
      </c>
      <c r="I588" s="33">
        <v>980</v>
      </c>
      <c r="K588" t="b">
        <f>QHPSelections2016[[#This Row],[County Name]]=P588</f>
        <v>1</v>
      </c>
      <c r="L588" t="b">
        <f>QHPSelections2016[[#This Row],[Silver]]=S588</f>
        <v>1</v>
      </c>
      <c r="N588">
        <v>17133</v>
      </c>
      <c r="O588" t="s">
        <v>2293</v>
      </c>
      <c r="P588" t="s">
        <v>1055</v>
      </c>
      <c r="Q588">
        <v>0</v>
      </c>
      <c r="S588">
        <v>554</v>
      </c>
      <c r="T588">
        <v>304</v>
      </c>
      <c r="V588">
        <v>980</v>
      </c>
    </row>
    <row r="589" spans="1:22">
      <c r="A589" s="32" t="s">
        <v>2383</v>
      </c>
      <c r="B589" s="32" t="s">
        <v>2293</v>
      </c>
      <c r="C589" s="32" t="s">
        <v>1079</v>
      </c>
      <c r="D589" s="33">
        <v>0</v>
      </c>
      <c r="E589" s="33" t="s">
        <v>1639</v>
      </c>
      <c r="F589" s="33">
        <v>460</v>
      </c>
      <c r="G589" s="33">
        <v>271</v>
      </c>
      <c r="H589" s="33" t="s">
        <v>1639</v>
      </c>
      <c r="I589" s="33">
        <v>814</v>
      </c>
      <c r="K589" t="b">
        <f>QHPSelections2016[[#This Row],[County Name]]=P589</f>
        <v>1</v>
      </c>
      <c r="L589" t="b">
        <f>QHPSelections2016[[#This Row],[Silver]]=S589</f>
        <v>1</v>
      </c>
      <c r="N589">
        <v>17135</v>
      </c>
      <c r="O589" t="s">
        <v>2293</v>
      </c>
      <c r="P589" t="s">
        <v>1079</v>
      </c>
      <c r="Q589">
        <v>0</v>
      </c>
      <c r="S589">
        <v>460</v>
      </c>
      <c r="T589">
        <v>271</v>
      </c>
      <c r="V589">
        <v>814</v>
      </c>
    </row>
    <row r="590" spans="1:22">
      <c r="A590" s="32" t="s">
        <v>2384</v>
      </c>
      <c r="B590" s="32" t="s">
        <v>2293</v>
      </c>
      <c r="C590" s="32" t="s">
        <v>1092</v>
      </c>
      <c r="D590" s="33">
        <v>0</v>
      </c>
      <c r="E590" s="33" t="s">
        <v>1639</v>
      </c>
      <c r="F590" s="33">
        <v>535</v>
      </c>
      <c r="G590" s="33">
        <v>263</v>
      </c>
      <c r="H590" s="33" t="s">
        <v>1639</v>
      </c>
      <c r="I590" s="33">
        <v>886</v>
      </c>
      <c r="K590" t="b">
        <f>QHPSelections2016[[#This Row],[County Name]]=P590</f>
        <v>1</v>
      </c>
      <c r="L590" t="b">
        <f>QHPSelections2016[[#This Row],[Silver]]=S590</f>
        <v>1</v>
      </c>
      <c r="N590">
        <v>17137</v>
      </c>
      <c r="O590" t="s">
        <v>2293</v>
      </c>
      <c r="P590" t="s">
        <v>1092</v>
      </c>
      <c r="Q590">
        <v>0</v>
      </c>
      <c r="S590">
        <v>535</v>
      </c>
      <c r="T590">
        <v>263</v>
      </c>
      <c r="V590">
        <v>886</v>
      </c>
    </row>
    <row r="591" spans="1:22">
      <c r="A591" s="32" t="s">
        <v>2385</v>
      </c>
      <c r="B591" s="32" t="s">
        <v>2293</v>
      </c>
      <c r="C591" s="32" t="s">
        <v>2386</v>
      </c>
      <c r="D591" s="33">
        <v>0</v>
      </c>
      <c r="E591" s="33" t="s">
        <v>1639</v>
      </c>
      <c r="F591" s="33">
        <v>267</v>
      </c>
      <c r="G591" s="33">
        <v>147</v>
      </c>
      <c r="H591" s="33" t="s">
        <v>1639</v>
      </c>
      <c r="I591" s="33">
        <v>458</v>
      </c>
      <c r="K591" t="b">
        <f>QHPSelections2016[[#This Row],[County Name]]=P591</f>
        <v>1</v>
      </c>
      <c r="L591" t="b">
        <f>QHPSelections2016[[#This Row],[Silver]]=S591</f>
        <v>1</v>
      </c>
      <c r="N591">
        <v>17139</v>
      </c>
      <c r="O591" t="s">
        <v>2293</v>
      </c>
      <c r="P591" t="s">
        <v>2386</v>
      </c>
      <c r="Q591">
        <v>0</v>
      </c>
      <c r="S591">
        <v>267</v>
      </c>
      <c r="T591">
        <v>147</v>
      </c>
      <c r="V591">
        <v>458</v>
      </c>
    </row>
    <row r="592" spans="1:22">
      <c r="A592" s="32" t="s">
        <v>2387</v>
      </c>
      <c r="B592" s="32" t="s">
        <v>2293</v>
      </c>
      <c r="C592" s="32" t="s">
        <v>2388</v>
      </c>
      <c r="D592" s="33">
        <v>0</v>
      </c>
      <c r="E592" s="33">
        <v>126</v>
      </c>
      <c r="F592" s="33">
        <v>916</v>
      </c>
      <c r="G592" s="33">
        <v>599</v>
      </c>
      <c r="H592" s="33">
        <v>13</v>
      </c>
      <c r="I592" s="33">
        <v>1654</v>
      </c>
      <c r="K592" t="b">
        <f>QHPSelections2016[[#This Row],[County Name]]=P592</f>
        <v>1</v>
      </c>
      <c r="L592" t="b">
        <f>QHPSelections2016[[#This Row],[Silver]]=S592</f>
        <v>1</v>
      </c>
      <c r="N592">
        <v>17141</v>
      </c>
      <c r="O592" t="s">
        <v>2293</v>
      </c>
      <c r="P592" t="s">
        <v>2388</v>
      </c>
      <c r="Q592">
        <v>0</v>
      </c>
      <c r="R592">
        <v>126</v>
      </c>
      <c r="S592">
        <v>916</v>
      </c>
      <c r="T592">
        <v>599</v>
      </c>
      <c r="U592">
        <v>13</v>
      </c>
      <c r="V592" s="51">
        <v>1654</v>
      </c>
    </row>
    <row r="593" spans="1:22">
      <c r="A593" s="32" t="s">
        <v>2389</v>
      </c>
      <c r="B593" s="32" t="s">
        <v>2293</v>
      </c>
      <c r="C593" s="32" t="s">
        <v>2390</v>
      </c>
      <c r="D593" s="33">
        <v>0</v>
      </c>
      <c r="E593" s="33">
        <v>416</v>
      </c>
      <c r="F593" s="33">
        <v>2470</v>
      </c>
      <c r="G593" s="33">
        <v>1456</v>
      </c>
      <c r="H593" s="33">
        <v>27</v>
      </c>
      <c r="I593" s="33">
        <v>4369</v>
      </c>
      <c r="K593" t="b">
        <f>QHPSelections2016[[#This Row],[County Name]]=P593</f>
        <v>1</v>
      </c>
      <c r="L593" t="b">
        <f>QHPSelections2016[[#This Row],[Silver]]=S593</f>
        <v>1</v>
      </c>
      <c r="N593">
        <v>17143</v>
      </c>
      <c r="O593" t="s">
        <v>2293</v>
      </c>
      <c r="P593" t="s">
        <v>2390</v>
      </c>
      <c r="Q593">
        <v>0</v>
      </c>
      <c r="R593">
        <v>416</v>
      </c>
      <c r="S593" s="51">
        <v>2470</v>
      </c>
      <c r="T593" s="51">
        <v>1456</v>
      </c>
      <c r="U593">
        <v>27</v>
      </c>
      <c r="V593" s="51">
        <v>4369</v>
      </c>
    </row>
    <row r="594" spans="1:22">
      <c r="A594" s="32" t="s">
        <v>2391</v>
      </c>
      <c r="B594" s="32" t="s">
        <v>2293</v>
      </c>
      <c r="C594" s="32" t="s">
        <v>1097</v>
      </c>
      <c r="D594" s="33">
        <v>0</v>
      </c>
      <c r="E594" s="33" t="s">
        <v>1639</v>
      </c>
      <c r="F594" s="33">
        <v>313</v>
      </c>
      <c r="G594" s="33">
        <v>148</v>
      </c>
      <c r="H594" s="33" t="s">
        <v>1639</v>
      </c>
      <c r="I594" s="33">
        <v>492</v>
      </c>
      <c r="K594" t="b">
        <f>QHPSelections2016[[#This Row],[County Name]]=P594</f>
        <v>1</v>
      </c>
      <c r="L594" t="b">
        <f>QHPSelections2016[[#This Row],[Silver]]=S594</f>
        <v>1</v>
      </c>
      <c r="N594">
        <v>17145</v>
      </c>
      <c r="O594" t="s">
        <v>2293</v>
      </c>
      <c r="P594" t="s">
        <v>1097</v>
      </c>
      <c r="Q594">
        <v>0</v>
      </c>
      <c r="S594">
        <v>313</v>
      </c>
      <c r="T594">
        <v>148</v>
      </c>
      <c r="V594">
        <v>492</v>
      </c>
    </row>
    <row r="595" spans="1:22">
      <c r="A595" s="32" t="s">
        <v>2392</v>
      </c>
      <c r="B595" s="32" t="s">
        <v>2293</v>
      </c>
      <c r="C595" s="32" t="s">
        <v>2393</v>
      </c>
      <c r="D595" s="33">
        <v>0</v>
      </c>
      <c r="E595" s="33" t="s">
        <v>1639</v>
      </c>
      <c r="F595" s="33">
        <v>312</v>
      </c>
      <c r="G595" s="33">
        <v>125</v>
      </c>
      <c r="H595" s="33" t="s">
        <v>1639</v>
      </c>
      <c r="I595" s="33">
        <v>491</v>
      </c>
      <c r="K595" t="b">
        <f>QHPSelections2016[[#This Row],[County Name]]=P595</f>
        <v>1</v>
      </c>
      <c r="L595" t="b">
        <f>QHPSelections2016[[#This Row],[Silver]]=S595</f>
        <v>1</v>
      </c>
      <c r="N595">
        <v>17147</v>
      </c>
      <c r="O595" t="s">
        <v>2293</v>
      </c>
      <c r="P595" t="s">
        <v>2393</v>
      </c>
      <c r="Q595">
        <v>0</v>
      </c>
      <c r="S595">
        <v>312</v>
      </c>
      <c r="T595">
        <v>125</v>
      </c>
      <c r="V595">
        <v>491</v>
      </c>
    </row>
    <row r="596" spans="1:22">
      <c r="A596" s="32" t="s">
        <v>2394</v>
      </c>
      <c r="B596" s="32" t="s">
        <v>2293</v>
      </c>
      <c r="C596" s="32" t="s">
        <v>1109</v>
      </c>
      <c r="D596" s="33">
        <v>0</v>
      </c>
      <c r="E596" s="33" t="s">
        <v>1639</v>
      </c>
      <c r="F596" s="33">
        <v>273</v>
      </c>
      <c r="G596" s="33">
        <v>187</v>
      </c>
      <c r="H596" s="33" t="s">
        <v>1639</v>
      </c>
      <c r="I596" s="33">
        <v>504</v>
      </c>
      <c r="K596" t="b">
        <f>QHPSelections2016[[#This Row],[County Name]]=P596</f>
        <v>1</v>
      </c>
      <c r="L596" t="b">
        <f>QHPSelections2016[[#This Row],[Silver]]=S596</f>
        <v>1</v>
      </c>
      <c r="N596">
        <v>17149</v>
      </c>
      <c r="O596" t="s">
        <v>2293</v>
      </c>
      <c r="P596" t="s">
        <v>1109</v>
      </c>
      <c r="Q596">
        <v>0</v>
      </c>
      <c r="S596">
        <v>273</v>
      </c>
      <c r="T596">
        <v>187</v>
      </c>
      <c r="V596">
        <v>504</v>
      </c>
    </row>
    <row r="597" spans="1:22">
      <c r="A597" s="32" t="s">
        <v>2395</v>
      </c>
      <c r="B597" s="32" t="s">
        <v>2293</v>
      </c>
      <c r="C597" s="32" t="s">
        <v>1847</v>
      </c>
      <c r="D597" s="33">
        <v>0</v>
      </c>
      <c r="E597" s="33" t="s">
        <v>1639</v>
      </c>
      <c r="F597" s="33">
        <v>42</v>
      </c>
      <c r="G597" s="33">
        <v>39</v>
      </c>
      <c r="H597" s="33" t="s">
        <v>1639</v>
      </c>
      <c r="I597" s="33">
        <v>85</v>
      </c>
      <c r="K597" t="b">
        <f>QHPSelections2016[[#This Row],[County Name]]=P597</f>
        <v>1</v>
      </c>
      <c r="L597" t="b">
        <f>QHPSelections2016[[#This Row],[Silver]]=S597</f>
        <v>1</v>
      </c>
      <c r="N597">
        <v>17151</v>
      </c>
      <c r="O597" t="s">
        <v>2293</v>
      </c>
      <c r="P597" t="s">
        <v>1847</v>
      </c>
      <c r="Q597">
        <v>0</v>
      </c>
      <c r="S597">
        <v>42</v>
      </c>
      <c r="T597">
        <v>39</v>
      </c>
      <c r="V597">
        <v>85</v>
      </c>
    </row>
    <row r="598" spans="1:22">
      <c r="A598" s="32" t="s">
        <v>2396</v>
      </c>
      <c r="B598" s="32" t="s">
        <v>2293</v>
      </c>
      <c r="C598" s="32" t="s">
        <v>1290</v>
      </c>
      <c r="D598" s="33">
        <v>0</v>
      </c>
      <c r="E598" s="33" t="s">
        <v>1639</v>
      </c>
      <c r="F598" s="33">
        <v>56</v>
      </c>
      <c r="G598" s="33">
        <v>49</v>
      </c>
      <c r="H598" s="33" t="s">
        <v>1639</v>
      </c>
      <c r="I598" s="33">
        <v>114</v>
      </c>
      <c r="K598" t="b">
        <f>QHPSelections2016[[#This Row],[County Name]]=P598</f>
        <v>1</v>
      </c>
      <c r="L598" t="b">
        <f>QHPSelections2016[[#This Row],[Silver]]=S598</f>
        <v>1</v>
      </c>
      <c r="N598">
        <v>17153</v>
      </c>
      <c r="O598" t="s">
        <v>2293</v>
      </c>
      <c r="P598" t="s">
        <v>1290</v>
      </c>
      <c r="Q598">
        <v>0</v>
      </c>
      <c r="S598">
        <v>56</v>
      </c>
      <c r="T598">
        <v>49</v>
      </c>
      <c r="V598">
        <v>114</v>
      </c>
    </row>
    <row r="599" spans="1:22">
      <c r="A599" s="32" t="s">
        <v>2397</v>
      </c>
      <c r="B599" s="32" t="s">
        <v>2293</v>
      </c>
      <c r="C599" s="32" t="s">
        <v>1103</v>
      </c>
      <c r="D599" s="33">
        <v>0</v>
      </c>
      <c r="E599" s="33">
        <v>15</v>
      </c>
      <c r="F599" s="33">
        <v>124</v>
      </c>
      <c r="G599" s="33">
        <v>103</v>
      </c>
      <c r="H599" s="33">
        <v>0</v>
      </c>
      <c r="I599" s="33">
        <v>242</v>
      </c>
      <c r="K599" t="b">
        <f>QHPSelections2016[[#This Row],[County Name]]=P599</f>
        <v>1</v>
      </c>
      <c r="L599" t="b">
        <f>QHPSelections2016[[#This Row],[Silver]]=S599</f>
        <v>1</v>
      </c>
      <c r="N599">
        <v>17155</v>
      </c>
      <c r="O599" t="s">
        <v>2293</v>
      </c>
      <c r="P599" t="s">
        <v>1103</v>
      </c>
      <c r="Q599">
        <v>0</v>
      </c>
      <c r="R599">
        <v>15</v>
      </c>
      <c r="S599">
        <v>124</v>
      </c>
      <c r="T599">
        <v>103</v>
      </c>
      <c r="U599">
        <v>0</v>
      </c>
      <c r="V599">
        <v>242</v>
      </c>
    </row>
    <row r="600" spans="1:22">
      <c r="A600" s="32" t="s">
        <v>2398</v>
      </c>
      <c r="B600" s="32" t="s">
        <v>2293</v>
      </c>
      <c r="C600" s="32" t="s">
        <v>1115</v>
      </c>
      <c r="D600" s="33">
        <v>0</v>
      </c>
      <c r="E600" s="33" t="s">
        <v>1639</v>
      </c>
      <c r="F600" s="33">
        <v>384</v>
      </c>
      <c r="G600" s="33">
        <v>182</v>
      </c>
      <c r="H600" s="33" t="s">
        <v>1639</v>
      </c>
      <c r="I600" s="33">
        <v>601</v>
      </c>
      <c r="K600" t="b">
        <f>QHPSelections2016[[#This Row],[County Name]]=P600</f>
        <v>1</v>
      </c>
      <c r="L600" t="b">
        <f>QHPSelections2016[[#This Row],[Silver]]=S600</f>
        <v>1</v>
      </c>
      <c r="N600">
        <v>17157</v>
      </c>
      <c r="O600" t="s">
        <v>2293</v>
      </c>
      <c r="P600" t="s">
        <v>1115</v>
      </c>
      <c r="Q600">
        <v>0</v>
      </c>
      <c r="S600">
        <v>384</v>
      </c>
      <c r="T600">
        <v>182</v>
      </c>
      <c r="V600">
        <v>601</v>
      </c>
    </row>
    <row r="601" spans="1:22">
      <c r="A601" s="32" t="s">
        <v>2399</v>
      </c>
      <c r="B601" s="32" t="s">
        <v>2293</v>
      </c>
      <c r="C601" s="32" t="s">
        <v>2400</v>
      </c>
      <c r="D601" s="33">
        <v>0</v>
      </c>
      <c r="E601" s="33" t="s">
        <v>1639</v>
      </c>
      <c r="F601" s="33">
        <v>250</v>
      </c>
      <c r="G601" s="33">
        <v>257</v>
      </c>
      <c r="H601" s="33" t="s">
        <v>1639</v>
      </c>
      <c r="I601" s="33">
        <v>531</v>
      </c>
      <c r="K601" t="b">
        <f>QHPSelections2016[[#This Row],[County Name]]=P601</f>
        <v>1</v>
      </c>
      <c r="L601" t="b">
        <f>QHPSelections2016[[#This Row],[Silver]]=S601</f>
        <v>1</v>
      </c>
      <c r="N601">
        <v>17159</v>
      </c>
      <c r="O601" t="s">
        <v>2293</v>
      </c>
      <c r="P601" t="s">
        <v>2400</v>
      </c>
      <c r="Q601">
        <v>0</v>
      </c>
      <c r="S601">
        <v>250</v>
      </c>
      <c r="T601">
        <v>257</v>
      </c>
      <c r="V601">
        <v>531</v>
      </c>
    </row>
    <row r="602" spans="1:22">
      <c r="A602" s="32" t="s">
        <v>2401</v>
      </c>
      <c r="B602" s="32" t="s">
        <v>2293</v>
      </c>
      <c r="C602" s="32" t="s">
        <v>2402</v>
      </c>
      <c r="D602" s="33">
        <v>0</v>
      </c>
      <c r="E602" s="33">
        <v>300</v>
      </c>
      <c r="F602" s="33">
        <v>2112</v>
      </c>
      <c r="G602" s="33">
        <v>1026</v>
      </c>
      <c r="H602" s="33">
        <v>19</v>
      </c>
      <c r="I602" s="33">
        <v>3457</v>
      </c>
      <c r="K602" t="b">
        <f>QHPSelections2016[[#This Row],[County Name]]=P602</f>
        <v>1</v>
      </c>
      <c r="L602" t="b">
        <f>QHPSelections2016[[#This Row],[Silver]]=S602</f>
        <v>1</v>
      </c>
      <c r="N602">
        <v>17161</v>
      </c>
      <c r="O602" t="s">
        <v>2293</v>
      </c>
      <c r="P602" t="s">
        <v>2402</v>
      </c>
      <c r="Q602">
        <v>0</v>
      </c>
      <c r="R602">
        <v>300</v>
      </c>
      <c r="S602" s="51">
        <v>2112</v>
      </c>
      <c r="T602" s="51">
        <v>1026</v>
      </c>
      <c r="U602">
        <v>19</v>
      </c>
      <c r="V602" s="51">
        <v>3457</v>
      </c>
    </row>
    <row r="603" spans="1:22">
      <c r="A603" s="32" t="s">
        <v>2403</v>
      </c>
      <c r="B603" s="32" t="s">
        <v>2293</v>
      </c>
      <c r="C603" s="32" t="s">
        <v>1123</v>
      </c>
      <c r="D603" s="33">
        <v>0</v>
      </c>
      <c r="E603" s="33">
        <v>501</v>
      </c>
      <c r="F603" s="33">
        <v>3658</v>
      </c>
      <c r="G603" s="33">
        <v>1952</v>
      </c>
      <c r="H603" s="33">
        <v>12</v>
      </c>
      <c r="I603" s="33">
        <v>6123</v>
      </c>
      <c r="K603" t="b">
        <f>QHPSelections2016[[#This Row],[County Name]]=P603</f>
        <v>0</v>
      </c>
      <c r="L603" t="b">
        <f>QHPSelections2016[[#This Row],[Silver]]=S603</f>
        <v>0</v>
      </c>
      <c r="N603">
        <v>17165</v>
      </c>
      <c r="O603" t="s">
        <v>2293</v>
      </c>
      <c r="P603" t="s">
        <v>1855</v>
      </c>
      <c r="Q603">
        <v>0</v>
      </c>
      <c r="S603">
        <v>372</v>
      </c>
      <c r="T603">
        <v>200</v>
      </c>
      <c r="V603">
        <v>621</v>
      </c>
    </row>
    <row r="604" spans="1:22">
      <c r="A604" s="32" t="s">
        <v>2404</v>
      </c>
      <c r="B604" s="32" t="s">
        <v>2293</v>
      </c>
      <c r="C604" s="32" t="s">
        <v>1855</v>
      </c>
      <c r="D604" s="33">
        <v>0</v>
      </c>
      <c r="E604" s="33" t="s">
        <v>1639</v>
      </c>
      <c r="F604" s="33">
        <v>372</v>
      </c>
      <c r="G604" s="33">
        <v>200</v>
      </c>
      <c r="H604" s="33" t="s">
        <v>1639</v>
      </c>
      <c r="I604" s="33">
        <v>621</v>
      </c>
      <c r="K604" t="b">
        <f>QHPSelections2016[[#This Row],[County Name]]=P604</f>
        <v>0</v>
      </c>
      <c r="L604" t="b">
        <f>QHPSelections2016[[#This Row],[Silver]]=S604</f>
        <v>0</v>
      </c>
      <c r="N604">
        <v>17167</v>
      </c>
      <c r="O604" t="s">
        <v>2293</v>
      </c>
      <c r="P604" t="s">
        <v>2406</v>
      </c>
      <c r="Q604">
        <v>0</v>
      </c>
      <c r="R604">
        <v>427</v>
      </c>
      <c r="S604" s="51">
        <v>2561</v>
      </c>
      <c r="T604" s="51">
        <v>1350</v>
      </c>
      <c r="U604">
        <v>43</v>
      </c>
      <c r="V604" s="51">
        <v>4381</v>
      </c>
    </row>
    <row r="605" spans="1:22">
      <c r="A605" s="32" t="s">
        <v>2405</v>
      </c>
      <c r="B605" s="32" t="s">
        <v>2293</v>
      </c>
      <c r="C605" s="32" t="s">
        <v>2406</v>
      </c>
      <c r="D605" s="33">
        <v>0</v>
      </c>
      <c r="E605" s="33">
        <v>427</v>
      </c>
      <c r="F605" s="33">
        <v>2561</v>
      </c>
      <c r="G605" s="33">
        <v>1350</v>
      </c>
      <c r="H605" s="33">
        <v>43</v>
      </c>
      <c r="I605" s="33">
        <v>4381</v>
      </c>
      <c r="K605" t="b">
        <f>QHPSelections2016[[#This Row],[County Name]]=P605</f>
        <v>0</v>
      </c>
      <c r="L605" t="b">
        <f>QHPSelections2016[[#This Row],[Silver]]=S605</f>
        <v>0</v>
      </c>
      <c r="N605">
        <v>17169</v>
      </c>
      <c r="O605" t="s">
        <v>2293</v>
      </c>
      <c r="P605" t="s">
        <v>2408</v>
      </c>
      <c r="Q605">
        <v>0</v>
      </c>
      <c r="S605">
        <v>124</v>
      </c>
      <c r="T605">
        <v>85</v>
      </c>
      <c r="V605">
        <v>223</v>
      </c>
    </row>
    <row r="606" spans="1:22">
      <c r="A606" s="32" t="s">
        <v>2407</v>
      </c>
      <c r="B606" s="32" t="s">
        <v>2293</v>
      </c>
      <c r="C606" s="32" t="s">
        <v>2408</v>
      </c>
      <c r="D606" s="33">
        <v>0</v>
      </c>
      <c r="E606" s="33" t="s">
        <v>1639</v>
      </c>
      <c r="F606" s="33">
        <v>124</v>
      </c>
      <c r="G606" s="33">
        <v>85</v>
      </c>
      <c r="H606" s="33" t="s">
        <v>1639</v>
      </c>
      <c r="I606" s="33">
        <v>223</v>
      </c>
      <c r="K606" t="b">
        <f>QHPSelections2016[[#This Row],[County Name]]=P606</f>
        <v>0</v>
      </c>
      <c r="L606" t="b">
        <f>QHPSelections2016[[#This Row],[Silver]]=S606</f>
        <v>0</v>
      </c>
      <c r="N606">
        <v>17171</v>
      </c>
      <c r="O606" t="s">
        <v>2293</v>
      </c>
      <c r="P606" t="s">
        <v>1146</v>
      </c>
      <c r="Q606">
        <v>0</v>
      </c>
      <c r="R606">
        <v>20</v>
      </c>
      <c r="S606">
        <v>60</v>
      </c>
      <c r="T606">
        <v>35</v>
      </c>
      <c r="U606">
        <v>0</v>
      </c>
      <c r="V606">
        <v>115</v>
      </c>
    </row>
    <row r="607" spans="1:22">
      <c r="A607" s="32" t="s">
        <v>2409</v>
      </c>
      <c r="B607" s="32" t="s">
        <v>2293</v>
      </c>
      <c r="C607" s="32" t="s">
        <v>1146</v>
      </c>
      <c r="D607" s="33">
        <v>0</v>
      </c>
      <c r="E607" s="33">
        <v>20</v>
      </c>
      <c r="F607" s="33">
        <v>60</v>
      </c>
      <c r="G607" s="33">
        <v>35</v>
      </c>
      <c r="H607" s="33">
        <v>0</v>
      </c>
      <c r="I607" s="33">
        <v>115</v>
      </c>
      <c r="K607" t="b">
        <f>QHPSelections2016[[#This Row],[County Name]]=P607</f>
        <v>0</v>
      </c>
      <c r="L607" t="b">
        <f>QHPSelections2016[[#This Row],[Silver]]=S607</f>
        <v>0</v>
      </c>
      <c r="N607">
        <v>17173</v>
      </c>
      <c r="O607" t="s">
        <v>2293</v>
      </c>
      <c r="P607" t="s">
        <v>1126</v>
      </c>
      <c r="Q607">
        <v>0</v>
      </c>
      <c r="S607">
        <v>368</v>
      </c>
      <c r="T607">
        <v>317</v>
      </c>
      <c r="V607">
        <v>752</v>
      </c>
    </row>
    <row r="608" spans="1:22">
      <c r="A608" s="32" t="s">
        <v>2410</v>
      </c>
      <c r="B608" s="32" t="s">
        <v>2293</v>
      </c>
      <c r="C608" s="32" t="s">
        <v>1126</v>
      </c>
      <c r="D608" s="33">
        <v>0</v>
      </c>
      <c r="E608" s="33" t="s">
        <v>1639</v>
      </c>
      <c r="F608" s="33">
        <v>368</v>
      </c>
      <c r="G608" s="33">
        <v>317</v>
      </c>
      <c r="H608" s="33" t="s">
        <v>1639</v>
      </c>
      <c r="I608" s="33">
        <v>752</v>
      </c>
      <c r="K608" t="b">
        <f>QHPSelections2016[[#This Row],[County Name]]=P608</f>
        <v>0</v>
      </c>
      <c r="L608" t="b">
        <f>QHPSelections2016[[#This Row],[Silver]]=S608</f>
        <v>0</v>
      </c>
      <c r="N608">
        <v>17163</v>
      </c>
      <c r="O608" t="s">
        <v>2293</v>
      </c>
      <c r="P608" t="s">
        <v>1123</v>
      </c>
      <c r="Q608">
        <v>0</v>
      </c>
      <c r="R608">
        <v>501</v>
      </c>
      <c r="S608" s="51">
        <v>3658</v>
      </c>
      <c r="T608" s="51">
        <v>1952</v>
      </c>
      <c r="U608">
        <v>12</v>
      </c>
      <c r="V608" s="51">
        <v>6123</v>
      </c>
    </row>
    <row r="609" spans="1:22">
      <c r="A609" s="32" t="s">
        <v>2411</v>
      </c>
      <c r="B609" s="32" t="s">
        <v>2293</v>
      </c>
      <c r="C609" s="32" t="s">
        <v>2412</v>
      </c>
      <c r="D609" s="33">
        <v>0</v>
      </c>
      <c r="E609" s="33">
        <v>25</v>
      </c>
      <c r="F609" s="33">
        <v>96</v>
      </c>
      <c r="G609" s="33">
        <v>48</v>
      </c>
      <c r="H609" s="33">
        <v>0</v>
      </c>
      <c r="I609" s="33">
        <v>169</v>
      </c>
      <c r="K609" t="b">
        <f>QHPSelections2016[[#This Row],[County Name]]=P609</f>
        <v>1</v>
      </c>
      <c r="L609" t="b">
        <f>QHPSelections2016[[#This Row],[Silver]]=S609</f>
        <v>1</v>
      </c>
      <c r="N609">
        <v>17175</v>
      </c>
      <c r="O609" t="s">
        <v>2293</v>
      </c>
      <c r="P609" t="s">
        <v>2412</v>
      </c>
      <c r="Q609">
        <v>0</v>
      </c>
      <c r="R609">
        <v>25</v>
      </c>
      <c r="S609">
        <v>96</v>
      </c>
      <c r="T609">
        <v>48</v>
      </c>
      <c r="U609">
        <v>0</v>
      </c>
      <c r="V609">
        <v>169</v>
      </c>
    </row>
    <row r="610" spans="1:22">
      <c r="A610" s="32" t="s">
        <v>2413</v>
      </c>
      <c r="B610" s="32" t="s">
        <v>2293</v>
      </c>
      <c r="C610" s="32" t="s">
        <v>2414</v>
      </c>
      <c r="D610" s="33">
        <v>0</v>
      </c>
      <c r="E610" s="33" t="s">
        <v>1639</v>
      </c>
      <c r="F610" s="33">
        <v>941</v>
      </c>
      <c r="G610" s="33">
        <v>692</v>
      </c>
      <c r="H610" s="33" t="s">
        <v>1639</v>
      </c>
      <c r="I610" s="33">
        <v>1741</v>
      </c>
      <c r="K610" t="b">
        <f>QHPSelections2016[[#This Row],[County Name]]=P610</f>
        <v>1</v>
      </c>
      <c r="L610" t="b">
        <f>QHPSelections2016[[#This Row],[Silver]]=S610</f>
        <v>1</v>
      </c>
      <c r="N610">
        <v>17177</v>
      </c>
      <c r="O610" t="s">
        <v>2293</v>
      </c>
      <c r="P610" t="s">
        <v>2414</v>
      </c>
      <c r="Q610">
        <v>0</v>
      </c>
      <c r="S610">
        <v>941</v>
      </c>
      <c r="T610">
        <v>692</v>
      </c>
      <c r="V610" s="51">
        <v>1741</v>
      </c>
    </row>
    <row r="611" spans="1:22">
      <c r="A611" s="32" t="s">
        <v>2415</v>
      </c>
      <c r="B611" s="32" t="s">
        <v>2293</v>
      </c>
      <c r="C611" s="32" t="s">
        <v>2416</v>
      </c>
      <c r="D611" s="33">
        <v>0</v>
      </c>
      <c r="E611" s="33">
        <v>310</v>
      </c>
      <c r="F611" s="33">
        <v>1807</v>
      </c>
      <c r="G611" s="33">
        <v>993</v>
      </c>
      <c r="H611" s="33">
        <v>11</v>
      </c>
      <c r="I611" s="33">
        <v>3121</v>
      </c>
      <c r="K611" t="b">
        <f>QHPSelections2016[[#This Row],[County Name]]=P611</f>
        <v>1</v>
      </c>
      <c r="L611" t="b">
        <f>QHPSelections2016[[#This Row],[Silver]]=S611</f>
        <v>1</v>
      </c>
      <c r="N611">
        <v>17179</v>
      </c>
      <c r="O611" t="s">
        <v>2293</v>
      </c>
      <c r="P611" t="s">
        <v>2416</v>
      </c>
      <c r="Q611">
        <v>0</v>
      </c>
      <c r="R611">
        <v>310</v>
      </c>
      <c r="S611" s="51">
        <v>1807</v>
      </c>
      <c r="T611">
        <v>993</v>
      </c>
      <c r="U611">
        <v>11</v>
      </c>
      <c r="V611" s="51">
        <v>3121</v>
      </c>
    </row>
    <row r="612" spans="1:22">
      <c r="A612" s="32" t="s">
        <v>2417</v>
      </c>
      <c r="B612" s="32" t="s">
        <v>2293</v>
      </c>
      <c r="C612" s="32" t="s">
        <v>1149</v>
      </c>
      <c r="D612" s="33">
        <v>0</v>
      </c>
      <c r="E612" s="33" t="s">
        <v>1639</v>
      </c>
      <c r="F612" s="33">
        <v>250</v>
      </c>
      <c r="G612" s="33">
        <v>155</v>
      </c>
      <c r="H612" s="33" t="s">
        <v>1639</v>
      </c>
      <c r="I612" s="33">
        <v>438</v>
      </c>
      <c r="K612" t="b">
        <f>QHPSelections2016[[#This Row],[County Name]]=P612</f>
        <v>1</v>
      </c>
      <c r="L612" t="b">
        <f>QHPSelections2016[[#This Row],[Silver]]=S612</f>
        <v>1</v>
      </c>
      <c r="N612">
        <v>17181</v>
      </c>
      <c r="O612" t="s">
        <v>2293</v>
      </c>
      <c r="P612" t="s">
        <v>1149</v>
      </c>
      <c r="Q612">
        <v>0</v>
      </c>
      <c r="S612">
        <v>250</v>
      </c>
      <c r="T612">
        <v>155</v>
      </c>
      <c r="V612">
        <v>438</v>
      </c>
    </row>
    <row r="613" spans="1:22">
      <c r="A613" s="32" t="s">
        <v>2418</v>
      </c>
      <c r="B613" s="32" t="s">
        <v>2293</v>
      </c>
      <c r="C613" s="32" t="s">
        <v>2419</v>
      </c>
      <c r="D613" s="33">
        <v>0</v>
      </c>
      <c r="E613" s="33">
        <v>225</v>
      </c>
      <c r="F613" s="33">
        <v>1096</v>
      </c>
      <c r="G613" s="33">
        <v>410</v>
      </c>
      <c r="H613" s="33">
        <v>12</v>
      </c>
      <c r="I613" s="33">
        <v>1743</v>
      </c>
      <c r="K613" t="b">
        <f>QHPSelections2016[[#This Row],[County Name]]=P613</f>
        <v>1</v>
      </c>
      <c r="L613" t="b">
        <f>QHPSelections2016[[#This Row],[Silver]]=S613</f>
        <v>1</v>
      </c>
      <c r="N613">
        <v>17183</v>
      </c>
      <c r="O613" t="s">
        <v>2293</v>
      </c>
      <c r="P613" t="s">
        <v>2419</v>
      </c>
      <c r="Q613">
        <v>0</v>
      </c>
      <c r="R613">
        <v>225</v>
      </c>
      <c r="S613" s="51">
        <v>1096</v>
      </c>
      <c r="T613">
        <v>410</v>
      </c>
      <c r="U613">
        <v>12</v>
      </c>
      <c r="V613" s="51">
        <v>1743</v>
      </c>
    </row>
    <row r="614" spans="1:22">
      <c r="A614" s="32" t="s">
        <v>2420</v>
      </c>
      <c r="B614" s="32" t="s">
        <v>2293</v>
      </c>
      <c r="C614" s="32" t="s">
        <v>2421</v>
      </c>
      <c r="D614" s="33">
        <v>0</v>
      </c>
      <c r="E614" s="33" t="s">
        <v>1639</v>
      </c>
      <c r="F614" s="33">
        <v>172</v>
      </c>
      <c r="G614" s="33">
        <v>136</v>
      </c>
      <c r="H614" s="33" t="s">
        <v>1639</v>
      </c>
      <c r="I614" s="33">
        <v>346</v>
      </c>
      <c r="K614" t="b">
        <f>QHPSelections2016[[#This Row],[County Name]]=P614</f>
        <v>1</v>
      </c>
      <c r="L614" t="b">
        <f>QHPSelections2016[[#This Row],[Silver]]=S614</f>
        <v>1</v>
      </c>
      <c r="N614">
        <v>17185</v>
      </c>
      <c r="O614" t="s">
        <v>2293</v>
      </c>
      <c r="P614" t="s">
        <v>2421</v>
      </c>
      <c r="Q614">
        <v>0</v>
      </c>
      <c r="S614">
        <v>172</v>
      </c>
      <c r="T614">
        <v>136</v>
      </c>
      <c r="V614">
        <v>346</v>
      </c>
    </row>
    <row r="615" spans="1:22">
      <c r="A615" s="32" t="s">
        <v>2422</v>
      </c>
      <c r="B615" s="32" t="s">
        <v>2293</v>
      </c>
      <c r="C615" s="32" t="s">
        <v>1205</v>
      </c>
      <c r="D615" s="33">
        <v>0</v>
      </c>
      <c r="E615" s="33" t="s">
        <v>1639</v>
      </c>
      <c r="F615" s="33">
        <v>208</v>
      </c>
      <c r="G615" s="33">
        <v>140</v>
      </c>
      <c r="H615" s="33" t="s">
        <v>1639</v>
      </c>
      <c r="I615" s="33">
        <v>391</v>
      </c>
      <c r="K615" t="b">
        <f>QHPSelections2016[[#This Row],[County Name]]=P615</f>
        <v>1</v>
      </c>
      <c r="L615" t="b">
        <f>QHPSelections2016[[#This Row],[Silver]]=S615</f>
        <v>1</v>
      </c>
      <c r="N615">
        <v>17187</v>
      </c>
      <c r="O615" t="s">
        <v>2293</v>
      </c>
      <c r="P615" t="s">
        <v>1205</v>
      </c>
      <c r="Q615">
        <v>0</v>
      </c>
      <c r="S615">
        <v>208</v>
      </c>
      <c r="T615">
        <v>140</v>
      </c>
      <c r="V615">
        <v>391</v>
      </c>
    </row>
    <row r="616" spans="1:22">
      <c r="A616" s="32" t="s">
        <v>2423</v>
      </c>
      <c r="B616" s="32" t="s">
        <v>2293</v>
      </c>
      <c r="C616" s="32" t="s">
        <v>1160</v>
      </c>
      <c r="D616" s="33">
        <v>0</v>
      </c>
      <c r="E616" s="33" t="s">
        <v>1639</v>
      </c>
      <c r="F616" s="33">
        <v>246</v>
      </c>
      <c r="G616" s="33">
        <v>139</v>
      </c>
      <c r="H616" s="33" t="s">
        <v>1639</v>
      </c>
      <c r="I616" s="33">
        <v>417</v>
      </c>
      <c r="K616" t="b">
        <f>QHPSelections2016[[#This Row],[County Name]]=P616</f>
        <v>1</v>
      </c>
      <c r="L616" t="b">
        <f>QHPSelections2016[[#This Row],[Silver]]=S616</f>
        <v>1</v>
      </c>
      <c r="N616">
        <v>17189</v>
      </c>
      <c r="O616" t="s">
        <v>2293</v>
      </c>
      <c r="P616" t="s">
        <v>1160</v>
      </c>
      <c r="Q616">
        <v>0</v>
      </c>
      <c r="S616">
        <v>246</v>
      </c>
      <c r="T616">
        <v>139</v>
      </c>
      <c r="V616">
        <v>417</v>
      </c>
    </row>
    <row r="617" spans="1:22">
      <c r="A617" s="32" t="s">
        <v>2424</v>
      </c>
      <c r="B617" s="32" t="s">
        <v>2293</v>
      </c>
      <c r="C617" s="32" t="s">
        <v>1209</v>
      </c>
      <c r="D617" s="33">
        <v>0</v>
      </c>
      <c r="E617" s="33" t="s">
        <v>1639</v>
      </c>
      <c r="F617" s="33">
        <v>294</v>
      </c>
      <c r="G617" s="33">
        <v>205</v>
      </c>
      <c r="H617" s="33" t="s">
        <v>1639</v>
      </c>
      <c r="I617" s="33">
        <v>531</v>
      </c>
      <c r="K617" t="b">
        <f>QHPSelections2016[[#This Row],[County Name]]=P617</f>
        <v>1</v>
      </c>
      <c r="L617" t="b">
        <f>QHPSelections2016[[#This Row],[Silver]]=S617</f>
        <v>1</v>
      </c>
      <c r="N617">
        <v>17191</v>
      </c>
      <c r="O617" t="s">
        <v>2293</v>
      </c>
      <c r="P617" t="s">
        <v>1209</v>
      </c>
      <c r="Q617">
        <v>0</v>
      </c>
      <c r="S617">
        <v>294</v>
      </c>
      <c r="T617">
        <v>205</v>
      </c>
      <c r="V617">
        <v>531</v>
      </c>
    </row>
    <row r="618" spans="1:22">
      <c r="A618" s="32" t="s">
        <v>2425</v>
      </c>
      <c r="B618" s="32" t="s">
        <v>2293</v>
      </c>
      <c r="C618" s="32" t="s">
        <v>1258</v>
      </c>
      <c r="D618" s="33">
        <v>0</v>
      </c>
      <c r="E618" s="33" t="s">
        <v>1639</v>
      </c>
      <c r="F618" s="33">
        <v>268</v>
      </c>
      <c r="G618" s="33">
        <v>145</v>
      </c>
      <c r="H618" s="33" t="s">
        <v>1639</v>
      </c>
      <c r="I618" s="33">
        <v>446</v>
      </c>
      <c r="K618" t="b">
        <f>QHPSelections2016[[#This Row],[County Name]]=P618</f>
        <v>1</v>
      </c>
      <c r="L618" t="b">
        <f>QHPSelections2016[[#This Row],[Silver]]=S618</f>
        <v>1</v>
      </c>
      <c r="N618">
        <v>17193</v>
      </c>
      <c r="O618" t="s">
        <v>2293</v>
      </c>
      <c r="P618" t="s">
        <v>1258</v>
      </c>
      <c r="Q618">
        <v>0</v>
      </c>
      <c r="S618">
        <v>268</v>
      </c>
      <c r="T618">
        <v>145</v>
      </c>
      <c r="V618">
        <v>446</v>
      </c>
    </row>
    <row r="619" spans="1:22">
      <c r="A619" s="32" t="s">
        <v>2426</v>
      </c>
      <c r="B619" s="32" t="s">
        <v>2293</v>
      </c>
      <c r="C619" s="32" t="s">
        <v>2427</v>
      </c>
      <c r="D619" s="33">
        <v>0</v>
      </c>
      <c r="E619" s="33" t="s">
        <v>1639</v>
      </c>
      <c r="F619" s="33">
        <v>840</v>
      </c>
      <c r="G619" s="33">
        <v>472</v>
      </c>
      <c r="H619" s="33" t="s">
        <v>1639</v>
      </c>
      <c r="I619" s="33">
        <v>1427</v>
      </c>
      <c r="K619" t="b">
        <f>QHPSelections2016[[#This Row],[County Name]]=P619</f>
        <v>1</v>
      </c>
      <c r="L619" t="b">
        <f>QHPSelections2016[[#This Row],[Silver]]=S619</f>
        <v>1</v>
      </c>
      <c r="N619">
        <v>17195</v>
      </c>
      <c r="O619" t="s">
        <v>2293</v>
      </c>
      <c r="P619" t="s">
        <v>2427</v>
      </c>
      <c r="Q619">
        <v>0</v>
      </c>
      <c r="S619">
        <v>840</v>
      </c>
      <c r="T619">
        <v>472</v>
      </c>
      <c r="V619" s="51">
        <v>1427</v>
      </c>
    </row>
    <row r="620" spans="1:22">
      <c r="A620" s="32" t="s">
        <v>2428</v>
      </c>
      <c r="B620" s="32" t="s">
        <v>2293</v>
      </c>
      <c r="C620" s="32" t="s">
        <v>2429</v>
      </c>
      <c r="D620" s="33">
        <v>0</v>
      </c>
      <c r="E620" s="33">
        <v>2162</v>
      </c>
      <c r="F620" s="33">
        <v>12547</v>
      </c>
      <c r="G620" s="33">
        <v>5460</v>
      </c>
      <c r="H620" s="33">
        <v>109</v>
      </c>
      <c r="I620" s="33">
        <v>20278</v>
      </c>
      <c r="K620" t="b">
        <f>QHPSelections2016[[#This Row],[County Name]]=P620</f>
        <v>1</v>
      </c>
      <c r="L620" t="b">
        <f>QHPSelections2016[[#This Row],[Silver]]=S620</f>
        <v>1</v>
      </c>
      <c r="N620">
        <v>17197</v>
      </c>
      <c r="O620" t="s">
        <v>2293</v>
      </c>
      <c r="P620" t="s">
        <v>2429</v>
      </c>
      <c r="Q620">
        <v>0</v>
      </c>
      <c r="R620" s="51">
        <v>2162</v>
      </c>
      <c r="S620" s="51">
        <v>12547</v>
      </c>
      <c r="T620" s="51">
        <v>5460</v>
      </c>
      <c r="U620">
        <v>109</v>
      </c>
      <c r="V620" s="51">
        <v>20278</v>
      </c>
    </row>
    <row r="621" spans="1:22">
      <c r="A621" s="32" t="s">
        <v>2430</v>
      </c>
      <c r="B621" s="32" t="s">
        <v>2293</v>
      </c>
      <c r="C621" s="32" t="s">
        <v>1261</v>
      </c>
      <c r="D621" s="33">
        <v>0</v>
      </c>
      <c r="E621" s="33" t="s">
        <v>1639</v>
      </c>
      <c r="F621" s="33">
        <v>1013</v>
      </c>
      <c r="G621" s="33">
        <v>518</v>
      </c>
      <c r="H621" s="33" t="s">
        <v>1639</v>
      </c>
      <c r="I621" s="33">
        <v>1675</v>
      </c>
      <c r="K621" t="b">
        <f>QHPSelections2016[[#This Row],[County Name]]=P621</f>
        <v>1</v>
      </c>
      <c r="L621" t="b">
        <f>QHPSelections2016[[#This Row],[Silver]]=S621</f>
        <v>1</v>
      </c>
      <c r="N621">
        <v>17199</v>
      </c>
      <c r="O621" t="s">
        <v>2293</v>
      </c>
      <c r="P621" t="s">
        <v>1261</v>
      </c>
      <c r="Q621">
        <v>0</v>
      </c>
      <c r="S621" s="51">
        <v>1013</v>
      </c>
      <c r="T621">
        <v>518</v>
      </c>
      <c r="V621" s="51">
        <v>1675</v>
      </c>
    </row>
    <row r="622" spans="1:22">
      <c r="A622" s="32" t="s">
        <v>2431</v>
      </c>
      <c r="B622" s="32" t="s">
        <v>2293</v>
      </c>
      <c r="C622" s="32" t="s">
        <v>2284</v>
      </c>
      <c r="D622" s="33">
        <v>0</v>
      </c>
      <c r="E622" s="33">
        <v>513</v>
      </c>
      <c r="F622" s="33">
        <v>4523</v>
      </c>
      <c r="G622" s="33">
        <v>3179</v>
      </c>
      <c r="H622" s="33">
        <v>48</v>
      </c>
      <c r="I622" s="33">
        <v>8263</v>
      </c>
      <c r="K622" t="b">
        <f>QHPSelections2016[[#This Row],[County Name]]=P622</f>
        <v>1</v>
      </c>
      <c r="L622" t="b">
        <f>QHPSelections2016[[#This Row],[Silver]]=S622</f>
        <v>1</v>
      </c>
      <c r="N622">
        <v>17201</v>
      </c>
      <c r="O622" t="s">
        <v>2293</v>
      </c>
      <c r="P622" t="s">
        <v>2284</v>
      </c>
      <c r="Q622">
        <v>0</v>
      </c>
      <c r="R622">
        <v>513</v>
      </c>
      <c r="S622" s="51">
        <v>4523</v>
      </c>
      <c r="T622" s="51">
        <v>3179</v>
      </c>
      <c r="U622">
        <v>48</v>
      </c>
      <c r="V622" s="51">
        <v>8263</v>
      </c>
    </row>
    <row r="623" spans="1:22">
      <c r="A623" s="32" t="s">
        <v>2432</v>
      </c>
      <c r="B623" s="32" t="s">
        <v>2293</v>
      </c>
      <c r="C623" s="32" t="s">
        <v>2433</v>
      </c>
      <c r="D623" s="33">
        <v>0</v>
      </c>
      <c r="E623" s="33">
        <v>74</v>
      </c>
      <c r="F623" s="33">
        <v>538</v>
      </c>
      <c r="G623" s="33">
        <v>306</v>
      </c>
      <c r="H623" s="33">
        <v>11</v>
      </c>
      <c r="I623" s="33">
        <v>929</v>
      </c>
      <c r="K623" t="b">
        <f>QHPSelections2016[[#This Row],[County Name]]=P623</f>
        <v>1</v>
      </c>
      <c r="L623" t="b">
        <f>QHPSelections2016[[#This Row],[Silver]]=S623</f>
        <v>1</v>
      </c>
      <c r="N623">
        <v>17203</v>
      </c>
      <c r="O623" t="s">
        <v>2293</v>
      </c>
      <c r="P623" t="s">
        <v>2433</v>
      </c>
      <c r="Q623">
        <v>0</v>
      </c>
      <c r="R623">
        <v>74</v>
      </c>
      <c r="S623">
        <v>538</v>
      </c>
      <c r="T623">
        <v>306</v>
      </c>
      <c r="U623">
        <v>11</v>
      </c>
      <c r="V623">
        <v>929</v>
      </c>
    </row>
    <row r="624" spans="1:22">
      <c r="A624" s="32" t="s">
        <v>2434</v>
      </c>
      <c r="B624" s="32" t="s">
        <v>2435</v>
      </c>
      <c r="C624" s="32" t="s">
        <v>820</v>
      </c>
      <c r="D624" s="33">
        <v>0</v>
      </c>
      <c r="E624" s="33" t="s">
        <v>1639</v>
      </c>
      <c r="F624" s="33">
        <v>485</v>
      </c>
      <c r="G624" s="33">
        <v>399</v>
      </c>
      <c r="H624" s="33" t="s">
        <v>1639</v>
      </c>
      <c r="I624" s="33">
        <v>908</v>
      </c>
      <c r="K624" t="b">
        <f>QHPSelections2016[[#This Row],[County Name]]=P624</f>
        <v>1</v>
      </c>
      <c r="L624" t="b">
        <f>QHPSelections2016[[#This Row],[Silver]]=S624</f>
        <v>1</v>
      </c>
      <c r="N624">
        <v>18001</v>
      </c>
      <c r="O624" t="s">
        <v>2435</v>
      </c>
      <c r="P624" t="s">
        <v>820</v>
      </c>
      <c r="Q624">
        <v>0</v>
      </c>
      <c r="S624">
        <v>485</v>
      </c>
      <c r="T624">
        <v>399</v>
      </c>
      <c r="V624">
        <v>908</v>
      </c>
    </row>
    <row r="625" spans="1:22">
      <c r="A625" s="32" t="s">
        <v>2436</v>
      </c>
      <c r="B625" s="32" t="s">
        <v>2435</v>
      </c>
      <c r="C625" s="32" t="s">
        <v>2437</v>
      </c>
      <c r="D625" s="33">
        <v>0</v>
      </c>
      <c r="E625" s="33">
        <v>383</v>
      </c>
      <c r="F625" s="33">
        <v>5942</v>
      </c>
      <c r="G625" s="33">
        <v>3889</v>
      </c>
      <c r="H625" s="33">
        <v>95</v>
      </c>
      <c r="I625" s="33">
        <v>10309</v>
      </c>
      <c r="K625" t="b">
        <f>QHPSelections2016[[#This Row],[County Name]]=P625</f>
        <v>1</v>
      </c>
      <c r="L625" t="b">
        <f>QHPSelections2016[[#This Row],[Silver]]=S625</f>
        <v>1</v>
      </c>
      <c r="N625">
        <v>18003</v>
      </c>
      <c r="O625" t="s">
        <v>2435</v>
      </c>
      <c r="P625" t="s">
        <v>2437</v>
      </c>
      <c r="Q625">
        <v>0</v>
      </c>
      <c r="R625">
        <v>383</v>
      </c>
      <c r="S625" s="51">
        <v>5942</v>
      </c>
      <c r="T625" s="51">
        <v>3889</v>
      </c>
      <c r="U625">
        <v>95</v>
      </c>
      <c r="V625" s="51">
        <v>10309</v>
      </c>
    </row>
    <row r="626" spans="1:22">
      <c r="A626" s="32" t="s">
        <v>2438</v>
      </c>
      <c r="B626" s="32" t="s">
        <v>2435</v>
      </c>
      <c r="C626" s="32" t="s">
        <v>2439</v>
      </c>
      <c r="D626" s="33">
        <v>0</v>
      </c>
      <c r="E626" s="33" t="s">
        <v>1639</v>
      </c>
      <c r="F626" s="33">
        <v>1141</v>
      </c>
      <c r="G626" s="33">
        <v>569</v>
      </c>
      <c r="H626" s="33" t="s">
        <v>1639</v>
      </c>
      <c r="I626" s="33">
        <v>1852</v>
      </c>
      <c r="K626" t="b">
        <f>QHPSelections2016[[#This Row],[County Name]]=P626</f>
        <v>1</v>
      </c>
      <c r="L626" t="b">
        <f>QHPSelections2016[[#This Row],[Silver]]=S626</f>
        <v>1</v>
      </c>
      <c r="N626">
        <v>18005</v>
      </c>
      <c r="O626" t="s">
        <v>2435</v>
      </c>
      <c r="P626" t="s">
        <v>2439</v>
      </c>
      <c r="Q626">
        <v>0</v>
      </c>
      <c r="S626" s="51">
        <v>1141</v>
      </c>
      <c r="T626">
        <v>569</v>
      </c>
      <c r="V626" s="51">
        <v>1852</v>
      </c>
    </row>
    <row r="627" spans="1:22">
      <c r="A627" s="32" t="s">
        <v>2440</v>
      </c>
      <c r="B627" s="32" t="s">
        <v>2435</v>
      </c>
      <c r="C627" s="32" t="s">
        <v>835</v>
      </c>
      <c r="D627" s="33">
        <v>0</v>
      </c>
      <c r="E627" s="33">
        <v>29</v>
      </c>
      <c r="F627" s="33">
        <v>201</v>
      </c>
      <c r="G627" s="33">
        <v>111</v>
      </c>
      <c r="H627" s="33">
        <v>0</v>
      </c>
      <c r="I627" s="33">
        <v>341</v>
      </c>
      <c r="K627" t="b">
        <f>QHPSelections2016[[#This Row],[County Name]]=P627</f>
        <v>1</v>
      </c>
      <c r="L627" t="b">
        <f>QHPSelections2016[[#This Row],[Silver]]=S627</f>
        <v>1</v>
      </c>
      <c r="N627">
        <v>18007</v>
      </c>
      <c r="O627" t="s">
        <v>2435</v>
      </c>
      <c r="P627" t="s">
        <v>835</v>
      </c>
      <c r="Q627">
        <v>0</v>
      </c>
      <c r="R627">
        <v>29</v>
      </c>
      <c r="S627">
        <v>201</v>
      </c>
      <c r="T627">
        <v>111</v>
      </c>
      <c r="U627">
        <v>0</v>
      </c>
      <c r="V627">
        <v>341</v>
      </c>
    </row>
    <row r="628" spans="1:22">
      <c r="A628" s="32" t="s">
        <v>2441</v>
      </c>
      <c r="B628" s="32" t="s">
        <v>2435</v>
      </c>
      <c r="C628" s="32" t="s">
        <v>2442</v>
      </c>
      <c r="D628" s="33">
        <v>0</v>
      </c>
      <c r="E628" s="33">
        <v>16</v>
      </c>
      <c r="F628" s="33">
        <v>214</v>
      </c>
      <c r="G628" s="33">
        <v>154</v>
      </c>
      <c r="H628" s="33">
        <v>0</v>
      </c>
      <c r="I628" s="33">
        <v>384</v>
      </c>
      <c r="K628" t="b">
        <f>QHPSelections2016[[#This Row],[County Name]]=P628</f>
        <v>1</v>
      </c>
      <c r="L628" t="b">
        <f>QHPSelections2016[[#This Row],[Silver]]=S628</f>
        <v>1</v>
      </c>
      <c r="N628">
        <v>18009</v>
      </c>
      <c r="O628" t="s">
        <v>2435</v>
      </c>
      <c r="P628" t="s">
        <v>2442</v>
      </c>
      <c r="Q628">
        <v>0</v>
      </c>
      <c r="R628">
        <v>16</v>
      </c>
      <c r="S628">
        <v>214</v>
      </c>
      <c r="T628">
        <v>154</v>
      </c>
      <c r="U628">
        <v>0</v>
      </c>
      <c r="V628">
        <v>384</v>
      </c>
    </row>
    <row r="629" spans="1:22">
      <c r="A629" s="32" t="s">
        <v>2443</v>
      </c>
      <c r="B629" s="32" t="s">
        <v>2435</v>
      </c>
      <c r="C629" s="32" t="s">
        <v>1770</v>
      </c>
      <c r="D629" s="33">
        <v>0</v>
      </c>
      <c r="E629" s="33" t="s">
        <v>1639</v>
      </c>
      <c r="F629" s="33">
        <v>1188</v>
      </c>
      <c r="G629" s="33">
        <v>935</v>
      </c>
      <c r="H629" s="33" t="s">
        <v>1639</v>
      </c>
      <c r="I629" s="33">
        <v>2307</v>
      </c>
      <c r="K629" t="b">
        <f>QHPSelections2016[[#This Row],[County Name]]=P629</f>
        <v>1</v>
      </c>
      <c r="L629" t="b">
        <f>QHPSelections2016[[#This Row],[Silver]]=S629</f>
        <v>1</v>
      </c>
      <c r="N629">
        <v>18011</v>
      </c>
      <c r="O629" t="s">
        <v>2435</v>
      </c>
      <c r="P629" t="s">
        <v>1770</v>
      </c>
      <c r="Q629">
        <v>0</v>
      </c>
      <c r="S629" s="51">
        <v>1188</v>
      </c>
      <c r="T629">
        <v>935</v>
      </c>
      <c r="V629" s="51">
        <v>2307</v>
      </c>
    </row>
    <row r="630" spans="1:22">
      <c r="A630" s="32" t="s">
        <v>2444</v>
      </c>
      <c r="B630" s="32" t="s">
        <v>2435</v>
      </c>
      <c r="C630" s="32" t="s">
        <v>963</v>
      </c>
      <c r="D630" s="33">
        <v>0</v>
      </c>
      <c r="E630" s="33" t="s">
        <v>1639</v>
      </c>
      <c r="F630" s="33">
        <v>443</v>
      </c>
      <c r="G630" s="33">
        <v>279</v>
      </c>
      <c r="H630" s="33" t="s">
        <v>1639</v>
      </c>
      <c r="I630" s="33">
        <v>752</v>
      </c>
      <c r="K630" t="b">
        <f>QHPSelections2016[[#This Row],[County Name]]=P630</f>
        <v>1</v>
      </c>
      <c r="L630" t="b">
        <f>QHPSelections2016[[#This Row],[Silver]]=S630</f>
        <v>1</v>
      </c>
      <c r="N630">
        <v>18013</v>
      </c>
      <c r="O630" t="s">
        <v>2435</v>
      </c>
      <c r="P630" t="s">
        <v>963</v>
      </c>
      <c r="Q630">
        <v>0</v>
      </c>
      <c r="S630">
        <v>443</v>
      </c>
      <c r="T630">
        <v>279</v>
      </c>
      <c r="V630">
        <v>752</v>
      </c>
    </row>
    <row r="631" spans="1:22">
      <c r="A631" s="32" t="s">
        <v>2445</v>
      </c>
      <c r="B631" s="32" t="s">
        <v>2435</v>
      </c>
      <c r="C631" s="32" t="s">
        <v>862</v>
      </c>
      <c r="D631" s="33">
        <v>0</v>
      </c>
      <c r="E631" s="33" t="s">
        <v>1639</v>
      </c>
      <c r="F631" s="33">
        <v>386</v>
      </c>
      <c r="G631" s="33">
        <v>234</v>
      </c>
      <c r="H631" s="33" t="s">
        <v>1639</v>
      </c>
      <c r="I631" s="33">
        <v>644</v>
      </c>
      <c r="K631" t="b">
        <f>QHPSelections2016[[#This Row],[County Name]]=P631</f>
        <v>1</v>
      </c>
      <c r="L631" t="b">
        <f>QHPSelections2016[[#This Row],[Silver]]=S631</f>
        <v>1</v>
      </c>
      <c r="N631">
        <v>18015</v>
      </c>
      <c r="O631" t="s">
        <v>2435</v>
      </c>
      <c r="P631" t="s">
        <v>862</v>
      </c>
      <c r="Q631">
        <v>0</v>
      </c>
      <c r="S631">
        <v>386</v>
      </c>
      <c r="T631">
        <v>234</v>
      </c>
      <c r="V631">
        <v>644</v>
      </c>
    </row>
    <row r="632" spans="1:22">
      <c r="A632" s="32" t="s">
        <v>2446</v>
      </c>
      <c r="B632" s="32" t="s">
        <v>2435</v>
      </c>
      <c r="C632" s="32" t="s">
        <v>1008</v>
      </c>
      <c r="D632" s="33">
        <v>0</v>
      </c>
      <c r="E632" s="33" t="s">
        <v>1639</v>
      </c>
      <c r="F632" s="33">
        <v>616</v>
      </c>
      <c r="G632" s="33">
        <v>344</v>
      </c>
      <c r="H632" s="33" t="s">
        <v>1639</v>
      </c>
      <c r="I632" s="33">
        <v>1010</v>
      </c>
      <c r="K632" t="b">
        <f>QHPSelections2016[[#This Row],[County Name]]=P632</f>
        <v>1</v>
      </c>
      <c r="L632" t="b">
        <f>QHPSelections2016[[#This Row],[Silver]]=S632</f>
        <v>1</v>
      </c>
      <c r="N632">
        <v>18017</v>
      </c>
      <c r="O632" t="s">
        <v>2435</v>
      </c>
      <c r="P632" t="s">
        <v>1008</v>
      </c>
      <c r="Q632">
        <v>0</v>
      </c>
      <c r="S632">
        <v>616</v>
      </c>
      <c r="T632">
        <v>344</v>
      </c>
      <c r="V632" s="51">
        <v>1010</v>
      </c>
    </row>
    <row r="633" spans="1:22">
      <c r="A633" s="32" t="s">
        <v>2447</v>
      </c>
      <c r="B633" s="32" t="s">
        <v>2435</v>
      </c>
      <c r="C633" s="32" t="s">
        <v>1777</v>
      </c>
      <c r="D633" s="33">
        <v>0</v>
      </c>
      <c r="E633" s="33" t="s">
        <v>1639</v>
      </c>
      <c r="F633" s="33">
        <v>1938</v>
      </c>
      <c r="G633" s="33">
        <v>566</v>
      </c>
      <c r="H633" s="33" t="s">
        <v>1639</v>
      </c>
      <c r="I633" s="33">
        <v>2658</v>
      </c>
      <c r="K633" t="b">
        <f>QHPSelections2016[[#This Row],[County Name]]=P633</f>
        <v>1</v>
      </c>
      <c r="L633" t="b">
        <f>QHPSelections2016[[#This Row],[Silver]]=S633</f>
        <v>1</v>
      </c>
      <c r="N633">
        <v>18019</v>
      </c>
      <c r="O633" t="s">
        <v>2435</v>
      </c>
      <c r="P633" t="s">
        <v>1777</v>
      </c>
      <c r="Q633">
        <v>0</v>
      </c>
      <c r="S633" s="51">
        <v>1938</v>
      </c>
      <c r="T633">
        <v>566</v>
      </c>
      <c r="V633" s="51">
        <v>2658</v>
      </c>
    </row>
    <row r="634" spans="1:22">
      <c r="A634" s="32" t="s">
        <v>2448</v>
      </c>
      <c r="B634" s="32" t="s">
        <v>2435</v>
      </c>
      <c r="C634" s="32" t="s">
        <v>873</v>
      </c>
      <c r="D634" s="33">
        <v>0</v>
      </c>
      <c r="E634" s="33" t="s">
        <v>1639</v>
      </c>
      <c r="F634" s="33">
        <v>476</v>
      </c>
      <c r="G634" s="33">
        <v>280</v>
      </c>
      <c r="H634" s="33" t="s">
        <v>1639</v>
      </c>
      <c r="I634" s="33">
        <v>793</v>
      </c>
      <c r="K634" t="b">
        <f>QHPSelections2016[[#This Row],[County Name]]=P634</f>
        <v>1</v>
      </c>
      <c r="L634" t="b">
        <f>QHPSelections2016[[#This Row],[Silver]]=S634</f>
        <v>1</v>
      </c>
      <c r="N634">
        <v>18021</v>
      </c>
      <c r="O634" t="s">
        <v>2435</v>
      </c>
      <c r="P634" t="s">
        <v>873</v>
      </c>
      <c r="Q634">
        <v>0</v>
      </c>
      <c r="S634">
        <v>476</v>
      </c>
      <c r="T634">
        <v>280</v>
      </c>
      <c r="V634">
        <v>793</v>
      </c>
    </row>
    <row r="635" spans="1:22">
      <c r="A635" s="32" t="s">
        <v>2449</v>
      </c>
      <c r="B635" s="32" t="s">
        <v>2435</v>
      </c>
      <c r="C635" s="32" t="s">
        <v>2178</v>
      </c>
      <c r="D635" s="33">
        <v>0</v>
      </c>
      <c r="E635" s="33" t="s">
        <v>1639</v>
      </c>
      <c r="F635" s="33">
        <v>510</v>
      </c>
      <c r="G635" s="33">
        <v>299</v>
      </c>
      <c r="H635" s="33" t="s">
        <v>1639</v>
      </c>
      <c r="I635" s="33">
        <v>832</v>
      </c>
      <c r="K635" t="b">
        <f>QHPSelections2016[[#This Row],[County Name]]=P635</f>
        <v>1</v>
      </c>
      <c r="L635" t="b">
        <f>QHPSelections2016[[#This Row],[Silver]]=S635</f>
        <v>1</v>
      </c>
      <c r="N635">
        <v>18023</v>
      </c>
      <c r="O635" t="s">
        <v>2435</v>
      </c>
      <c r="P635" t="s">
        <v>2178</v>
      </c>
      <c r="Q635">
        <v>0</v>
      </c>
      <c r="S635">
        <v>510</v>
      </c>
      <c r="T635">
        <v>299</v>
      </c>
      <c r="V635">
        <v>832</v>
      </c>
    </row>
    <row r="636" spans="1:22">
      <c r="A636" s="32" t="s">
        <v>2450</v>
      </c>
      <c r="B636" s="32" t="s">
        <v>2435</v>
      </c>
      <c r="C636" s="32" t="s">
        <v>1030</v>
      </c>
      <c r="D636" s="33">
        <v>0</v>
      </c>
      <c r="E636" s="33" t="s">
        <v>1639</v>
      </c>
      <c r="F636" s="33">
        <v>225</v>
      </c>
      <c r="G636" s="33">
        <v>84</v>
      </c>
      <c r="H636" s="33" t="s">
        <v>1639</v>
      </c>
      <c r="I636" s="33">
        <v>322</v>
      </c>
      <c r="K636" t="b">
        <f>QHPSelections2016[[#This Row],[County Name]]=P636</f>
        <v>1</v>
      </c>
      <c r="L636" t="b">
        <f>QHPSelections2016[[#This Row],[Silver]]=S636</f>
        <v>1</v>
      </c>
      <c r="N636">
        <v>18025</v>
      </c>
      <c r="O636" t="s">
        <v>2435</v>
      </c>
      <c r="P636" t="s">
        <v>1030</v>
      </c>
      <c r="Q636">
        <v>0</v>
      </c>
      <c r="S636">
        <v>225</v>
      </c>
      <c r="T636">
        <v>84</v>
      </c>
      <c r="V636">
        <v>322</v>
      </c>
    </row>
    <row r="637" spans="1:22">
      <c r="A637" s="32" t="s">
        <v>2451</v>
      </c>
      <c r="B637" s="32" t="s">
        <v>2435</v>
      </c>
      <c r="C637" s="32" t="s">
        <v>2452</v>
      </c>
      <c r="D637" s="33">
        <v>0</v>
      </c>
      <c r="E637" s="33" t="s">
        <v>1639</v>
      </c>
      <c r="F637" s="33">
        <v>405</v>
      </c>
      <c r="G637" s="33">
        <v>255</v>
      </c>
      <c r="H637" s="33" t="s">
        <v>1639</v>
      </c>
      <c r="I637" s="33">
        <v>688</v>
      </c>
      <c r="K637" t="b">
        <f>QHPSelections2016[[#This Row],[County Name]]=P637</f>
        <v>1</v>
      </c>
      <c r="L637" t="b">
        <f>QHPSelections2016[[#This Row],[Silver]]=S637</f>
        <v>1</v>
      </c>
      <c r="N637">
        <v>18027</v>
      </c>
      <c r="O637" t="s">
        <v>2435</v>
      </c>
      <c r="P637" t="s">
        <v>2452</v>
      </c>
      <c r="Q637">
        <v>0</v>
      </c>
      <c r="S637">
        <v>405</v>
      </c>
      <c r="T637">
        <v>255</v>
      </c>
      <c r="V637">
        <v>688</v>
      </c>
    </row>
    <row r="638" spans="1:22">
      <c r="A638" s="32" t="s">
        <v>2453</v>
      </c>
      <c r="B638" s="32" t="s">
        <v>2435</v>
      </c>
      <c r="C638" s="32" t="s">
        <v>2454</v>
      </c>
      <c r="D638" s="33">
        <v>0</v>
      </c>
      <c r="E638" s="33" t="s">
        <v>1639</v>
      </c>
      <c r="F638" s="33">
        <v>885</v>
      </c>
      <c r="G638" s="33">
        <v>470</v>
      </c>
      <c r="H638" s="33" t="s">
        <v>1639</v>
      </c>
      <c r="I638" s="33">
        <v>1432</v>
      </c>
      <c r="K638" t="b">
        <f>QHPSelections2016[[#This Row],[County Name]]=P638</f>
        <v>1</v>
      </c>
      <c r="L638" t="b">
        <f>QHPSelections2016[[#This Row],[Silver]]=S638</f>
        <v>1</v>
      </c>
      <c r="N638">
        <v>18029</v>
      </c>
      <c r="O638" t="s">
        <v>2435</v>
      </c>
      <c r="P638" t="s">
        <v>2454</v>
      </c>
      <c r="Q638">
        <v>0</v>
      </c>
      <c r="S638">
        <v>885</v>
      </c>
      <c r="T638">
        <v>470</v>
      </c>
      <c r="V638" s="51">
        <v>1432</v>
      </c>
    </row>
    <row r="639" spans="1:22">
      <c r="A639" s="32" t="s">
        <v>2455</v>
      </c>
      <c r="B639" s="32" t="s">
        <v>2435</v>
      </c>
      <c r="C639" s="32" t="s">
        <v>932</v>
      </c>
      <c r="D639" s="33">
        <v>0</v>
      </c>
      <c r="E639" s="33">
        <v>59</v>
      </c>
      <c r="F639" s="33">
        <v>450</v>
      </c>
      <c r="G639" s="33">
        <v>383</v>
      </c>
      <c r="H639" s="33">
        <v>0</v>
      </c>
      <c r="I639" s="33">
        <v>892</v>
      </c>
      <c r="K639" t="b">
        <f>QHPSelections2016[[#This Row],[County Name]]=P639</f>
        <v>1</v>
      </c>
      <c r="L639" t="b">
        <f>QHPSelections2016[[#This Row],[Silver]]=S639</f>
        <v>1</v>
      </c>
      <c r="N639">
        <v>18031</v>
      </c>
      <c r="O639" t="s">
        <v>2435</v>
      </c>
      <c r="P639" t="s">
        <v>932</v>
      </c>
      <c r="Q639">
        <v>0</v>
      </c>
      <c r="R639">
        <v>59</v>
      </c>
      <c r="S639">
        <v>450</v>
      </c>
      <c r="T639">
        <v>383</v>
      </c>
      <c r="U639">
        <v>0</v>
      </c>
      <c r="V639">
        <v>892</v>
      </c>
    </row>
    <row r="640" spans="1:22">
      <c r="A640" s="32" t="s">
        <v>2456</v>
      </c>
      <c r="B640" s="32" t="s">
        <v>2435</v>
      </c>
      <c r="C640" s="32" t="s">
        <v>939</v>
      </c>
      <c r="D640" s="33">
        <v>0</v>
      </c>
      <c r="E640" s="33" t="s">
        <v>1639</v>
      </c>
      <c r="F640" s="33">
        <v>573</v>
      </c>
      <c r="G640" s="33">
        <v>453</v>
      </c>
      <c r="H640" s="33" t="s">
        <v>1639</v>
      </c>
      <c r="I640" s="33">
        <v>1073</v>
      </c>
      <c r="K640" t="b">
        <f>QHPSelections2016[[#This Row],[County Name]]=P640</f>
        <v>1</v>
      </c>
      <c r="L640" t="b">
        <f>QHPSelections2016[[#This Row],[Silver]]=S640</f>
        <v>1</v>
      </c>
      <c r="N640">
        <v>18033</v>
      </c>
      <c r="O640" t="s">
        <v>2435</v>
      </c>
      <c r="P640" t="s">
        <v>939</v>
      </c>
      <c r="Q640">
        <v>0</v>
      </c>
      <c r="S640">
        <v>573</v>
      </c>
      <c r="T640">
        <v>453</v>
      </c>
      <c r="V640" s="51">
        <v>1073</v>
      </c>
    </row>
    <row r="641" spans="1:22">
      <c r="A641" s="32" t="s">
        <v>2457</v>
      </c>
      <c r="B641" s="32" t="s">
        <v>2435</v>
      </c>
      <c r="C641" s="32" t="s">
        <v>2185</v>
      </c>
      <c r="D641" s="33">
        <v>0</v>
      </c>
      <c r="E641" s="33" t="s">
        <v>1639</v>
      </c>
      <c r="F641" s="33">
        <v>1598</v>
      </c>
      <c r="G641" s="33">
        <v>1002</v>
      </c>
      <c r="H641" s="33" t="s">
        <v>1639</v>
      </c>
      <c r="I641" s="33">
        <v>2705</v>
      </c>
      <c r="K641" t="b">
        <f>QHPSelections2016[[#This Row],[County Name]]=P641</f>
        <v>1</v>
      </c>
      <c r="L641" t="b">
        <f>QHPSelections2016[[#This Row],[Silver]]=S641</f>
        <v>1</v>
      </c>
      <c r="N641">
        <v>18035</v>
      </c>
      <c r="O641" t="s">
        <v>2435</v>
      </c>
      <c r="P641" t="s">
        <v>2185</v>
      </c>
      <c r="Q641">
        <v>0</v>
      </c>
      <c r="S641" s="51">
        <v>1598</v>
      </c>
      <c r="T641" s="51">
        <v>1002</v>
      </c>
      <c r="V641" s="51">
        <v>2705</v>
      </c>
    </row>
    <row r="642" spans="1:22">
      <c r="A642" s="32" t="s">
        <v>2458</v>
      </c>
      <c r="B642" s="32" t="s">
        <v>2435</v>
      </c>
      <c r="C642" s="32" t="s">
        <v>2459</v>
      </c>
      <c r="D642" s="33">
        <v>0</v>
      </c>
      <c r="E642" s="33" t="s">
        <v>1639</v>
      </c>
      <c r="F642" s="33">
        <v>628</v>
      </c>
      <c r="G642" s="33">
        <v>516</v>
      </c>
      <c r="H642" s="33" t="s">
        <v>1639</v>
      </c>
      <c r="I642" s="33">
        <v>1209</v>
      </c>
      <c r="K642" t="b">
        <f>QHPSelections2016[[#This Row],[County Name]]=P642</f>
        <v>1</v>
      </c>
      <c r="L642" t="b">
        <f>QHPSelections2016[[#This Row],[Silver]]=S642</f>
        <v>1</v>
      </c>
      <c r="N642">
        <v>18037</v>
      </c>
      <c r="O642" t="s">
        <v>2435</v>
      </c>
      <c r="P642" t="s">
        <v>2459</v>
      </c>
      <c r="Q642">
        <v>0</v>
      </c>
      <c r="S642">
        <v>628</v>
      </c>
      <c r="T642">
        <v>516</v>
      </c>
      <c r="V642" s="51">
        <v>1209</v>
      </c>
    </row>
    <row r="643" spans="1:22">
      <c r="A643" s="32" t="s">
        <v>2460</v>
      </c>
      <c r="B643" s="32" t="s">
        <v>2435</v>
      </c>
      <c r="C643" s="32" t="s">
        <v>2461</v>
      </c>
      <c r="D643" s="33">
        <v>0</v>
      </c>
      <c r="E643" s="33">
        <v>203</v>
      </c>
      <c r="F643" s="33">
        <v>2877</v>
      </c>
      <c r="G643" s="33">
        <v>2309</v>
      </c>
      <c r="H643" s="33">
        <v>29</v>
      </c>
      <c r="I643" s="33">
        <v>5418</v>
      </c>
      <c r="K643" t="b">
        <f>QHPSelections2016[[#This Row],[County Name]]=P643</f>
        <v>1</v>
      </c>
      <c r="L643" t="b">
        <f>QHPSelections2016[[#This Row],[Silver]]=S643</f>
        <v>1</v>
      </c>
      <c r="N643">
        <v>18039</v>
      </c>
      <c r="O643" t="s">
        <v>2435</v>
      </c>
      <c r="P643" t="s">
        <v>2461</v>
      </c>
      <c r="Q643">
        <v>0</v>
      </c>
      <c r="R643">
        <v>203</v>
      </c>
      <c r="S643" s="51">
        <v>2877</v>
      </c>
      <c r="T643" s="51">
        <v>2309</v>
      </c>
      <c r="U643">
        <v>29</v>
      </c>
      <c r="V643" s="51">
        <v>5418</v>
      </c>
    </row>
    <row r="644" spans="1:22">
      <c r="A644" s="32" t="s">
        <v>2462</v>
      </c>
      <c r="B644" s="32" t="s">
        <v>2435</v>
      </c>
      <c r="C644" s="32" t="s">
        <v>958</v>
      </c>
      <c r="D644" s="33">
        <v>0</v>
      </c>
      <c r="E644" s="33" t="s">
        <v>1639</v>
      </c>
      <c r="F644" s="33">
        <v>345</v>
      </c>
      <c r="G644" s="33">
        <v>285</v>
      </c>
      <c r="H644" s="33" t="s">
        <v>1639</v>
      </c>
      <c r="I644" s="33">
        <v>656</v>
      </c>
      <c r="K644" t="b">
        <f>QHPSelections2016[[#This Row],[County Name]]=P644</f>
        <v>1</v>
      </c>
      <c r="L644" t="b">
        <f>QHPSelections2016[[#This Row],[Silver]]=S644</f>
        <v>1</v>
      </c>
      <c r="N644">
        <v>18041</v>
      </c>
      <c r="O644" t="s">
        <v>2435</v>
      </c>
      <c r="P644" t="s">
        <v>958</v>
      </c>
      <c r="Q644">
        <v>0</v>
      </c>
      <c r="S644">
        <v>345</v>
      </c>
      <c r="T644">
        <v>285</v>
      </c>
      <c r="V644">
        <v>656</v>
      </c>
    </row>
    <row r="645" spans="1:22">
      <c r="A645" s="32" t="s">
        <v>2463</v>
      </c>
      <c r="B645" s="32" t="s">
        <v>2435</v>
      </c>
      <c r="C645" s="32" t="s">
        <v>1121</v>
      </c>
      <c r="D645" s="33">
        <v>0</v>
      </c>
      <c r="E645" s="33">
        <v>142</v>
      </c>
      <c r="F645" s="33">
        <v>1349</v>
      </c>
      <c r="G645" s="33">
        <v>496</v>
      </c>
      <c r="H645" s="33">
        <v>23</v>
      </c>
      <c r="I645" s="33">
        <v>2010</v>
      </c>
      <c r="K645" t="b">
        <f>QHPSelections2016[[#This Row],[County Name]]=P645</f>
        <v>1</v>
      </c>
      <c r="L645" t="b">
        <f>QHPSelections2016[[#This Row],[Silver]]=S645</f>
        <v>1</v>
      </c>
      <c r="N645">
        <v>18043</v>
      </c>
      <c r="O645" t="s">
        <v>2435</v>
      </c>
      <c r="P645" t="s">
        <v>1121</v>
      </c>
      <c r="Q645">
        <v>0</v>
      </c>
      <c r="R645">
        <v>142</v>
      </c>
      <c r="S645" s="51">
        <v>1349</v>
      </c>
      <c r="T645">
        <v>496</v>
      </c>
      <c r="U645">
        <v>23</v>
      </c>
      <c r="V645" s="51">
        <v>2010</v>
      </c>
    </row>
    <row r="646" spans="1:22">
      <c r="A646" s="32" t="s">
        <v>2464</v>
      </c>
      <c r="B646" s="32" t="s">
        <v>2435</v>
      </c>
      <c r="C646" s="32" t="s">
        <v>2465</v>
      </c>
      <c r="D646" s="33">
        <v>0</v>
      </c>
      <c r="E646" s="33">
        <v>28</v>
      </c>
      <c r="F646" s="33">
        <v>268</v>
      </c>
      <c r="G646" s="33">
        <v>175</v>
      </c>
      <c r="H646" s="33">
        <v>0</v>
      </c>
      <c r="I646" s="33">
        <v>471</v>
      </c>
      <c r="K646" t="b">
        <f>QHPSelections2016[[#This Row],[County Name]]=P646</f>
        <v>1</v>
      </c>
      <c r="L646" t="b">
        <f>QHPSelections2016[[#This Row],[Silver]]=S646</f>
        <v>1</v>
      </c>
      <c r="N646">
        <v>18045</v>
      </c>
      <c r="O646" t="s">
        <v>2435</v>
      </c>
      <c r="P646" t="s">
        <v>2465</v>
      </c>
      <c r="Q646">
        <v>0</v>
      </c>
      <c r="R646">
        <v>28</v>
      </c>
      <c r="S646">
        <v>268</v>
      </c>
      <c r="T646">
        <v>175</v>
      </c>
      <c r="U646">
        <v>0</v>
      </c>
      <c r="V646">
        <v>471</v>
      </c>
    </row>
    <row r="647" spans="1:22">
      <c r="A647" s="32" t="s">
        <v>2466</v>
      </c>
      <c r="B647" s="32" t="s">
        <v>2435</v>
      </c>
      <c r="C647" s="32" t="s">
        <v>919</v>
      </c>
      <c r="D647" s="33">
        <v>0</v>
      </c>
      <c r="E647" s="33" t="s">
        <v>1639</v>
      </c>
      <c r="F647" s="33">
        <v>415</v>
      </c>
      <c r="G647" s="33">
        <v>329</v>
      </c>
      <c r="H647" s="33" t="s">
        <v>1639</v>
      </c>
      <c r="I647" s="33">
        <v>791</v>
      </c>
      <c r="K647" t="b">
        <f>QHPSelections2016[[#This Row],[County Name]]=P647</f>
        <v>1</v>
      </c>
      <c r="L647" t="b">
        <f>QHPSelections2016[[#This Row],[Silver]]=S647</f>
        <v>1</v>
      </c>
      <c r="N647">
        <v>18047</v>
      </c>
      <c r="O647" t="s">
        <v>2435</v>
      </c>
      <c r="P647" t="s">
        <v>919</v>
      </c>
      <c r="Q647">
        <v>0</v>
      </c>
      <c r="S647">
        <v>415</v>
      </c>
      <c r="T647">
        <v>329</v>
      </c>
      <c r="V647">
        <v>791</v>
      </c>
    </row>
    <row r="648" spans="1:22">
      <c r="A648" s="32" t="s">
        <v>2467</v>
      </c>
      <c r="B648" s="32" t="s">
        <v>2435</v>
      </c>
      <c r="C648" s="32" t="s">
        <v>1131</v>
      </c>
      <c r="D648" s="33">
        <v>0</v>
      </c>
      <c r="E648" s="33" t="s">
        <v>1639</v>
      </c>
      <c r="F648" s="33">
        <v>431</v>
      </c>
      <c r="G648" s="33">
        <v>286</v>
      </c>
      <c r="H648" s="33" t="s">
        <v>1639</v>
      </c>
      <c r="I648" s="33">
        <v>743</v>
      </c>
      <c r="K648" t="b">
        <f>QHPSelections2016[[#This Row],[County Name]]=P648</f>
        <v>1</v>
      </c>
      <c r="L648" t="b">
        <f>QHPSelections2016[[#This Row],[Silver]]=S648</f>
        <v>1</v>
      </c>
      <c r="N648">
        <v>18049</v>
      </c>
      <c r="O648" t="s">
        <v>2435</v>
      </c>
      <c r="P648" t="s">
        <v>1131</v>
      </c>
      <c r="Q648">
        <v>0</v>
      </c>
      <c r="S648">
        <v>431</v>
      </c>
      <c r="T648">
        <v>286</v>
      </c>
      <c r="V648">
        <v>743</v>
      </c>
    </row>
    <row r="649" spans="1:22">
      <c r="A649" s="32" t="s">
        <v>2468</v>
      </c>
      <c r="B649" s="32" t="s">
        <v>2435</v>
      </c>
      <c r="C649" s="32" t="s">
        <v>973</v>
      </c>
      <c r="D649" s="33">
        <v>0</v>
      </c>
      <c r="E649" s="33" t="s">
        <v>1639</v>
      </c>
      <c r="F649" s="33">
        <v>554</v>
      </c>
      <c r="G649" s="33">
        <v>386</v>
      </c>
      <c r="H649" s="33" t="s">
        <v>1639</v>
      </c>
      <c r="I649" s="33">
        <v>974</v>
      </c>
      <c r="K649" t="b">
        <f>QHPSelections2016[[#This Row],[County Name]]=P649</f>
        <v>1</v>
      </c>
      <c r="L649" t="b">
        <f>QHPSelections2016[[#This Row],[Silver]]=S649</f>
        <v>1</v>
      </c>
      <c r="N649">
        <v>18051</v>
      </c>
      <c r="O649" t="s">
        <v>2435</v>
      </c>
      <c r="P649" t="s">
        <v>973</v>
      </c>
      <c r="Q649">
        <v>0</v>
      </c>
      <c r="S649">
        <v>554</v>
      </c>
      <c r="T649">
        <v>386</v>
      </c>
      <c r="V649">
        <v>974</v>
      </c>
    </row>
    <row r="650" spans="1:22">
      <c r="A650" s="32" t="s">
        <v>2469</v>
      </c>
      <c r="B650" s="32" t="s">
        <v>2435</v>
      </c>
      <c r="C650" s="32" t="s">
        <v>1803</v>
      </c>
      <c r="D650" s="33">
        <v>0</v>
      </c>
      <c r="E650" s="33">
        <v>40</v>
      </c>
      <c r="F650" s="33">
        <v>864</v>
      </c>
      <c r="G650" s="33">
        <v>565</v>
      </c>
      <c r="H650" s="33">
        <v>11</v>
      </c>
      <c r="I650" s="33">
        <v>1480</v>
      </c>
      <c r="K650" t="b">
        <f>QHPSelections2016[[#This Row],[County Name]]=P650</f>
        <v>1</v>
      </c>
      <c r="L650" t="b">
        <f>QHPSelections2016[[#This Row],[Silver]]=S650</f>
        <v>1</v>
      </c>
      <c r="N650">
        <v>18053</v>
      </c>
      <c r="O650" t="s">
        <v>2435</v>
      </c>
      <c r="P650" t="s">
        <v>1803</v>
      </c>
      <c r="Q650">
        <v>0</v>
      </c>
      <c r="R650">
        <v>40</v>
      </c>
      <c r="S650">
        <v>864</v>
      </c>
      <c r="T650">
        <v>565</v>
      </c>
      <c r="U650">
        <v>11</v>
      </c>
      <c r="V650" s="51">
        <v>1480</v>
      </c>
    </row>
    <row r="651" spans="1:22">
      <c r="A651" s="32" t="s">
        <v>2470</v>
      </c>
      <c r="B651" s="32" t="s">
        <v>2435</v>
      </c>
      <c r="C651" s="32" t="s">
        <v>937</v>
      </c>
      <c r="D651" s="33">
        <v>0</v>
      </c>
      <c r="E651" s="33" t="s">
        <v>1639</v>
      </c>
      <c r="F651" s="33">
        <v>569</v>
      </c>
      <c r="G651" s="33">
        <v>301</v>
      </c>
      <c r="H651" s="33" t="s">
        <v>1639</v>
      </c>
      <c r="I651" s="33">
        <v>926</v>
      </c>
      <c r="K651" t="b">
        <f>QHPSelections2016[[#This Row],[County Name]]=P651</f>
        <v>1</v>
      </c>
      <c r="L651" t="b">
        <f>QHPSelections2016[[#This Row],[Silver]]=S651</f>
        <v>1</v>
      </c>
      <c r="N651">
        <v>18055</v>
      </c>
      <c r="O651" t="s">
        <v>2435</v>
      </c>
      <c r="P651" t="s">
        <v>937</v>
      </c>
      <c r="Q651">
        <v>0</v>
      </c>
      <c r="S651">
        <v>569</v>
      </c>
      <c r="T651">
        <v>301</v>
      </c>
      <c r="V651">
        <v>926</v>
      </c>
    </row>
    <row r="652" spans="1:22">
      <c r="A652" s="32" t="s">
        <v>2471</v>
      </c>
      <c r="B652" s="32" t="s">
        <v>2435</v>
      </c>
      <c r="C652" s="32" t="s">
        <v>947</v>
      </c>
      <c r="D652" s="33">
        <v>0</v>
      </c>
      <c r="E652" s="33">
        <v>925</v>
      </c>
      <c r="F652" s="33">
        <v>6830</v>
      </c>
      <c r="G652" s="33">
        <v>4741</v>
      </c>
      <c r="H652" s="33">
        <v>46</v>
      </c>
      <c r="I652" s="33">
        <v>12542</v>
      </c>
      <c r="K652" t="b">
        <f>QHPSelections2016[[#This Row],[County Name]]=P652</f>
        <v>1</v>
      </c>
      <c r="L652" t="b">
        <f>QHPSelections2016[[#This Row],[Silver]]=S652</f>
        <v>1</v>
      </c>
      <c r="N652">
        <v>18057</v>
      </c>
      <c r="O652" t="s">
        <v>2435</v>
      </c>
      <c r="P652" t="s">
        <v>947</v>
      </c>
      <c r="Q652">
        <v>0</v>
      </c>
      <c r="R652">
        <v>925</v>
      </c>
      <c r="S652" s="51">
        <v>6830</v>
      </c>
      <c r="T652" s="51">
        <v>4741</v>
      </c>
      <c r="U652">
        <v>46</v>
      </c>
      <c r="V652" s="51">
        <v>12542</v>
      </c>
    </row>
    <row r="653" spans="1:22">
      <c r="A653" s="32" t="s">
        <v>2472</v>
      </c>
      <c r="B653" s="32" t="s">
        <v>2435</v>
      </c>
      <c r="C653" s="32" t="s">
        <v>949</v>
      </c>
      <c r="D653" s="33">
        <v>0</v>
      </c>
      <c r="E653" s="33">
        <v>148</v>
      </c>
      <c r="F653" s="33">
        <v>1510</v>
      </c>
      <c r="G653" s="33">
        <v>982</v>
      </c>
      <c r="H653" s="33">
        <v>11</v>
      </c>
      <c r="I653" s="33">
        <v>2651</v>
      </c>
      <c r="K653" t="b">
        <f>QHPSelections2016[[#This Row],[County Name]]=P653</f>
        <v>1</v>
      </c>
      <c r="L653" t="b">
        <f>QHPSelections2016[[#This Row],[Silver]]=S653</f>
        <v>1</v>
      </c>
      <c r="N653">
        <v>18059</v>
      </c>
      <c r="O653" t="s">
        <v>2435</v>
      </c>
      <c r="P653" t="s">
        <v>949</v>
      </c>
      <c r="Q653">
        <v>0</v>
      </c>
      <c r="R653">
        <v>148</v>
      </c>
      <c r="S653" s="51">
        <v>1510</v>
      </c>
      <c r="T653">
        <v>982</v>
      </c>
      <c r="U653">
        <v>11</v>
      </c>
      <c r="V653" s="51">
        <v>2651</v>
      </c>
    </row>
    <row r="654" spans="1:22">
      <c r="A654" s="32" t="s">
        <v>2473</v>
      </c>
      <c r="B654" s="32" t="s">
        <v>2435</v>
      </c>
      <c r="C654" s="32" t="s">
        <v>956</v>
      </c>
      <c r="D654" s="33">
        <v>0</v>
      </c>
      <c r="E654" s="33">
        <v>54</v>
      </c>
      <c r="F654" s="33">
        <v>678</v>
      </c>
      <c r="G654" s="33">
        <v>208</v>
      </c>
      <c r="H654" s="33">
        <v>0</v>
      </c>
      <c r="I654" s="33">
        <v>940</v>
      </c>
      <c r="K654" t="b">
        <f>QHPSelections2016[[#This Row],[County Name]]=P654</f>
        <v>1</v>
      </c>
      <c r="L654" t="b">
        <f>QHPSelections2016[[#This Row],[Silver]]=S654</f>
        <v>1</v>
      </c>
      <c r="N654">
        <v>18061</v>
      </c>
      <c r="O654" t="s">
        <v>2435</v>
      </c>
      <c r="P654" t="s">
        <v>956</v>
      </c>
      <c r="Q654">
        <v>0</v>
      </c>
      <c r="R654">
        <v>54</v>
      </c>
      <c r="S654">
        <v>678</v>
      </c>
      <c r="T654">
        <v>208</v>
      </c>
      <c r="U654">
        <v>0</v>
      </c>
      <c r="V654">
        <v>940</v>
      </c>
    </row>
    <row r="655" spans="1:22">
      <c r="A655" s="32" t="s">
        <v>2474</v>
      </c>
      <c r="B655" s="32" t="s">
        <v>2435</v>
      </c>
      <c r="C655" s="32" t="s">
        <v>2475</v>
      </c>
      <c r="D655" s="33">
        <v>0</v>
      </c>
      <c r="E655" s="33" t="s">
        <v>1639</v>
      </c>
      <c r="F655" s="33">
        <v>3052</v>
      </c>
      <c r="G655" s="33">
        <v>1754</v>
      </c>
      <c r="H655" s="33" t="s">
        <v>1639</v>
      </c>
      <c r="I655" s="33">
        <v>5107</v>
      </c>
      <c r="K655" t="b">
        <f>QHPSelections2016[[#This Row],[County Name]]=P655</f>
        <v>1</v>
      </c>
      <c r="L655" t="b">
        <f>QHPSelections2016[[#This Row],[Silver]]=S655</f>
        <v>1</v>
      </c>
      <c r="N655">
        <v>18063</v>
      </c>
      <c r="O655" t="s">
        <v>2435</v>
      </c>
      <c r="P655" t="s">
        <v>2475</v>
      </c>
      <c r="Q655">
        <v>0</v>
      </c>
      <c r="S655" s="51">
        <v>3052</v>
      </c>
      <c r="T655" s="51">
        <v>1754</v>
      </c>
      <c r="V655" s="51">
        <v>5107</v>
      </c>
    </row>
    <row r="656" spans="1:22">
      <c r="A656" s="32" t="s">
        <v>2476</v>
      </c>
      <c r="B656" s="32" t="s">
        <v>2435</v>
      </c>
      <c r="C656" s="32" t="s">
        <v>1004</v>
      </c>
      <c r="D656" s="33">
        <v>0</v>
      </c>
      <c r="E656" s="33" t="s">
        <v>1639</v>
      </c>
      <c r="F656" s="33">
        <v>706</v>
      </c>
      <c r="G656" s="33">
        <v>438</v>
      </c>
      <c r="H656" s="33" t="s">
        <v>1639</v>
      </c>
      <c r="I656" s="33">
        <v>1193</v>
      </c>
      <c r="K656" t="b">
        <f>QHPSelections2016[[#This Row],[County Name]]=P656</f>
        <v>1</v>
      </c>
      <c r="L656" t="b">
        <f>QHPSelections2016[[#This Row],[Silver]]=S656</f>
        <v>1</v>
      </c>
      <c r="N656">
        <v>18065</v>
      </c>
      <c r="O656" t="s">
        <v>2435</v>
      </c>
      <c r="P656" t="s">
        <v>1004</v>
      </c>
      <c r="Q656">
        <v>0</v>
      </c>
      <c r="S656">
        <v>706</v>
      </c>
      <c r="T656">
        <v>438</v>
      </c>
      <c r="V656" s="51">
        <v>1193</v>
      </c>
    </row>
    <row r="657" spans="1:22">
      <c r="A657" s="32" t="s">
        <v>2477</v>
      </c>
      <c r="B657" s="32" t="s">
        <v>2435</v>
      </c>
      <c r="C657" s="32" t="s">
        <v>1288</v>
      </c>
      <c r="D657" s="33">
        <v>0</v>
      </c>
      <c r="E657" s="33">
        <v>90</v>
      </c>
      <c r="F657" s="33">
        <v>1091</v>
      </c>
      <c r="G657" s="33">
        <v>475</v>
      </c>
      <c r="H657" s="33">
        <v>21</v>
      </c>
      <c r="I657" s="33">
        <v>1677</v>
      </c>
      <c r="K657" t="b">
        <f>QHPSelections2016[[#This Row],[County Name]]=P657</f>
        <v>1</v>
      </c>
      <c r="L657" t="b">
        <f>QHPSelections2016[[#This Row],[Silver]]=S657</f>
        <v>1</v>
      </c>
      <c r="N657">
        <v>18067</v>
      </c>
      <c r="O657" t="s">
        <v>2435</v>
      </c>
      <c r="P657" t="s">
        <v>1288</v>
      </c>
      <c r="Q657">
        <v>0</v>
      </c>
      <c r="R657">
        <v>90</v>
      </c>
      <c r="S657" s="51">
        <v>1091</v>
      </c>
      <c r="T657">
        <v>475</v>
      </c>
      <c r="U657">
        <v>21</v>
      </c>
      <c r="V657" s="51">
        <v>1677</v>
      </c>
    </row>
    <row r="658" spans="1:22">
      <c r="A658" s="32" t="s">
        <v>2478</v>
      </c>
      <c r="B658" s="32" t="s">
        <v>2435</v>
      </c>
      <c r="C658" s="32" t="s">
        <v>2479</v>
      </c>
      <c r="D658" s="33">
        <v>0</v>
      </c>
      <c r="E658" s="33" t="s">
        <v>1639</v>
      </c>
      <c r="F658" s="33">
        <v>525</v>
      </c>
      <c r="G658" s="33">
        <v>415</v>
      </c>
      <c r="H658" s="33" t="s">
        <v>1639</v>
      </c>
      <c r="I658" s="33">
        <v>982</v>
      </c>
      <c r="K658" t="b">
        <f>QHPSelections2016[[#This Row],[County Name]]=P658</f>
        <v>1</v>
      </c>
      <c r="L658" t="b">
        <f>QHPSelections2016[[#This Row],[Silver]]=S658</f>
        <v>1</v>
      </c>
      <c r="N658">
        <v>18069</v>
      </c>
      <c r="O658" t="s">
        <v>2435</v>
      </c>
      <c r="P658" t="s">
        <v>2479</v>
      </c>
      <c r="Q658">
        <v>0</v>
      </c>
      <c r="S658">
        <v>525</v>
      </c>
      <c r="T658">
        <v>415</v>
      </c>
      <c r="V658">
        <v>982</v>
      </c>
    </row>
    <row r="659" spans="1:22">
      <c r="A659" s="32" t="s">
        <v>2480</v>
      </c>
      <c r="B659" s="32" t="s">
        <v>2435</v>
      </c>
      <c r="C659" s="32" t="s">
        <v>984</v>
      </c>
      <c r="D659" s="33">
        <v>0</v>
      </c>
      <c r="E659" s="33">
        <v>31</v>
      </c>
      <c r="F659" s="33">
        <v>689</v>
      </c>
      <c r="G659" s="33">
        <v>478</v>
      </c>
      <c r="H659" s="33">
        <v>0</v>
      </c>
      <c r="I659" s="33">
        <v>1198</v>
      </c>
      <c r="K659" t="b">
        <f>QHPSelections2016[[#This Row],[County Name]]=P659</f>
        <v>1</v>
      </c>
      <c r="L659" t="b">
        <f>QHPSelections2016[[#This Row],[Silver]]=S659</f>
        <v>1</v>
      </c>
      <c r="N659">
        <v>18071</v>
      </c>
      <c r="O659" t="s">
        <v>2435</v>
      </c>
      <c r="P659" t="s">
        <v>984</v>
      </c>
      <c r="Q659">
        <v>0</v>
      </c>
      <c r="R659">
        <v>31</v>
      </c>
      <c r="S659">
        <v>689</v>
      </c>
      <c r="T659">
        <v>478</v>
      </c>
      <c r="U659">
        <v>0</v>
      </c>
      <c r="V659" s="51">
        <v>1198</v>
      </c>
    </row>
    <row r="660" spans="1:22">
      <c r="A660" s="32" t="s">
        <v>2481</v>
      </c>
      <c r="B660" s="32" t="s">
        <v>2435</v>
      </c>
      <c r="C660" s="32" t="s">
        <v>989</v>
      </c>
      <c r="D660" s="33">
        <v>0</v>
      </c>
      <c r="E660" s="33" t="s">
        <v>1639</v>
      </c>
      <c r="F660" s="33">
        <v>638</v>
      </c>
      <c r="G660" s="33">
        <v>292</v>
      </c>
      <c r="H660" s="33" t="s">
        <v>1639</v>
      </c>
      <c r="I660" s="33">
        <v>979</v>
      </c>
      <c r="K660" t="b">
        <f>QHPSelections2016[[#This Row],[County Name]]=P660</f>
        <v>1</v>
      </c>
      <c r="L660" t="b">
        <f>QHPSelections2016[[#This Row],[Silver]]=S660</f>
        <v>1</v>
      </c>
      <c r="N660">
        <v>18073</v>
      </c>
      <c r="O660" t="s">
        <v>2435</v>
      </c>
      <c r="P660" t="s">
        <v>989</v>
      </c>
      <c r="Q660">
        <v>0</v>
      </c>
      <c r="S660">
        <v>638</v>
      </c>
      <c r="T660">
        <v>292</v>
      </c>
      <c r="V660">
        <v>979</v>
      </c>
    </row>
    <row r="661" spans="1:22">
      <c r="A661" s="32" t="s">
        <v>2482</v>
      </c>
      <c r="B661" s="32" t="s">
        <v>2435</v>
      </c>
      <c r="C661" s="32" t="s">
        <v>2483</v>
      </c>
      <c r="D661" s="33">
        <v>0</v>
      </c>
      <c r="E661" s="33" t="s">
        <v>1639</v>
      </c>
      <c r="F661" s="33">
        <v>388</v>
      </c>
      <c r="G661" s="33">
        <v>259</v>
      </c>
      <c r="H661" s="33" t="s">
        <v>1639</v>
      </c>
      <c r="I661" s="33">
        <v>665</v>
      </c>
      <c r="K661" t="b">
        <f>QHPSelections2016[[#This Row],[County Name]]=P661</f>
        <v>1</v>
      </c>
      <c r="L661" t="b">
        <f>QHPSelections2016[[#This Row],[Silver]]=S661</f>
        <v>1</v>
      </c>
      <c r="N661">
        <v>18075</v>
      </c>
      <c r="O661" t="s">
        <v>2435</v>
      </c>
      <c r="P661" t="s">
        <v>2483</v>
      </c>
      <c r="Q661">
        <v>0</v>
      </c>
      <c r="S661">
        <v>388</v>
      </c>
      <c r="T661">
        <v>259</v>
      </c>
      <c r="V661">
        <v>665</v>
      </c>
    </row>
    <row r="662" spans="1:22">
      <c r="A662" s="32" t="s">
        <v>2484</v>
      </c>
      <c r="B662" s="32" t="s">
        <v>2435</v>
      </c>
      <c r="C662" s="32" t="s">
        <v>993</v>
      </c>
      <c r="D662" s="33">
        <v>0</v>
      </c>
      <c r="E662" s="33" t="s">
        <v>1639</v>
      </c>
      <c r="F662" s="33">
        <v>606</v>
      </c>
      <c r="G662" s="33">
        <v>240</v>
      </c>
      <c r="H662" s="33" t="s">
        <v>1639</v>
      </c>
      <c r="I662" s="33">
        <v>874</v>
      </c>
      <c r="K662" t="b">
        <f>QHPSelections2016[[#This Row],[County Name]]=P662</f>
        <v>1</v>
      </c>
      <c r="L662" t="b">
        <f>QHPSelections2016[[#This Row],[Silver]]=S662</f>
        <v>1</v>
      </c>
      <c r="N662">
        <v>18077</v>
      </c>
      <c r="O662" t="s">
        <v>2435</v>
      </c>
      <c r="P662" t="s">
        <v>993</v>
      </c>
      <c r="Q662">
        <v>0</v>
      </c>
      <c r="S662">
        <v>606</v>
      </c>
      <c r="T662">
        <v>240</v>
      </c>
      <c r="V662">
        <v>874</v>
      </c>
    </row>
    <row r="663" spans="1:22">
      <c r="A663" s="32" t="s">
        <v>2485</v>
      </c>
      <c r="B663" s="32" t="s">
        <v>2435</v>
      </c>
      <c r="C663" s="32" t="s">
        <v>2486</v>
      </c>
      <c r="D663" s="33">
        <v>0</v>
      </c>
      <c r="E663" s="33" t="s">
        <v>1639</v>
      </c>
      <c r="F663" s="33">
        <v>409</v>
      </c>
      <c r="G663" s="33">
        <v>278</v>
      </c>
      <c r="H663" s="33" t="s">
        <v>1639</v>
      </c>
      <c r="I663" s="33">
        <v>705</v>
      </c>
      <c r="K663" t="b">
        <f>QHPSelections2016[[#This Row],[County Name]]=P663</f>
        <v>1</v>
      </c>
      <c r="L663" t="b">
        <f>QHPSelections2016[[#This Row],[Silver]]=S663</f>
        <v>1</v>
      </c>
      <c r="N663">
        <v>18079</v>
      </c>
      <c r="O663" t="s">
        <v>2435</v>
      </c>
      <c r="P663" t="s">
        <v>2486</v>
      </c>
      <c r="Q663">
        <v>0</v>
      </c>
      <c r="S663">
        <v>409</v>
      </c>
      <c r="T663">
        <v>278</v>
      </c>
      <c r="V663">
        <v>705</v>
      </c>
    </row>
    <row r="664" spans="1:22">
      <c r="A664" s="32" t="s">
        <v>2487</v>
      </c>
      <c r="B664" s="32" t="s">
        <v>2435</v>
      </c>
      <c r="C664" s="32" t="s">
        <v>1064</v>
      </c>
      <c r="D664" s="33">
        <v>0</v>
      </c>
      <c r="E664" s="33">
        <v>229</v>
      </c>
      <c r="F664" s="33">
        <v>3001</v>
      </c>
      <c r="G664" s="33">
        <v>1727</v>
      </c>
      <c r="H664" s="33">
        <v>12</v>
      </c>
      <c r="I664" s="33">
        <v>4969</v>
      </c>
      <c r="K664" t="b">
        <f>QHPSelections2016[[#This Row],[County Name]]=P664</f>
        <v>1</v>
      </c>
      <c r="L664" t="b">
        <f>QHPSelections2016[[#This Row],[Silver]]=S664</f>
        <v>1</v>
      </c>
      <c r="N664">
        <v>18081</v>
      </c>
      <c r="O664" t="s">
        <v>2435</v>
      </c>
      <c r="P664" t="s">
        <v>1064</v>
      </c>
      <c r="Q664">
        <v>0</v>
      </c>
      <c r="R664">
        <v>229</v>
      </c>
      <c r="S664" s="51">
        <v>3001</v>
      </c>
      <c r="T664" s="51">
        <v>1727</v>
      </c>
      <c r="U664">
        <v>12</v>
      </c>
      <c r="V664" s="51">
        <v>4969</v>
      </c>
    </row>
    <row r="665" spans="1:22">
      <c r="A665" s="32" t="s">
        <v>2488</v>
      </c>
      <c r="B665" s="32" t="s">
        <v>2435</v>
      </c>
      <c r="C665" s="32" t="s">
        <v>1070</v>
      </c>
      <c r="D665" s="33">
        <v>0</v>
      </c>
      <c r="E665" s="33" t="s">
        <v>1639</v>
      </c>
      <c r="F665" s="33">
        <v>576</v>
      </c>
      <c r="G665" s="33">
        <v>391</v>
      </c>
      <c r="H665" s="33" t="s">
        <v>1639</v>
      </c>
      <c r="I665" s="33">
        <v>1007</v>
      </c>
      <c r="K665" t="b">
        <f>QHPSelections2016[[#This Row],[County Name]]=P665</f>
        <v>1</v>
      </c>
      <c r="L665" t="b">
        <f>QHPSelections2016[[#This Row],[Silver]]=S665</f>
        <v>1</v>
      </c>
      <c r="N665">
        <v>18083</v>
      </c>
      <c r="O665" t="s">
        <v>2435</v>
      </c>
      <c r="P665" t="s">
        <v>1070</v>
      </c>
      <c r="Q665">
        <v>0</v>
      </c>
      <c r="S665">
        <v>576</v>
      </c>
      <c r="T665">
        <v>391</v>
      </c>
      <c r="V665" s="51">
        <v>1007</v>
      </c>
    </row>
    <row r="666" spans="1:22">
      <c r="A666" s="32" t="s">
        <v>2489</v>
      </c>
      <c r="B666" s="32" t="s">
        <v>2435</v>
      </c>
      <c r="C666" s="32" t="s">
        <v>2490</v>
      </c>
      <c r="D666" s="33">
        <v>0</v>
      </c>
      <c r="E666" s="33">
        <v>91</v>
      </c>
      <c r="F666" s="33">
        <v>1582</v>
      </c>
      <c r="G666" s="33">
        <v>1129</v>
      </c>
      <c r="H666" s="33">
        <v>14</v>
      </c>
      <c r="I666" s="33">
        <v>2816</v>
      </c>
      <c r="K666" t="b">
        <f>QHPSelections2016[[#This Row],[County Name]]=P666</f>
        <v>1</v>
      </c>
      <c r="L666" t="b">
        <f>QHPSelections2016[[#This Row],[Silver]]=S666</f>
        <v>1</v>
      </c>
      <c r="N666">
        <v>18085</v>
      </c>
      <c r="O666" t="s">
        <v>2435</v>
      </c>
      <c r="P666" t="s">
        <v>2490</v>
      </c>
      <c r="Q666">
        <v>0</v>
      </c>
      <c r="R666">
        <v>91</v>
      </c>
      <c r="S666" s="51">
        <v>1582</v>
      </c>
      <c r="T666" s="51">
        <v>1129</v>
      </c>
      <c r="U666">
        <v>14</v>
      </c>
      <c r="V666" s="51">
        <v>2816</v>
      </c>
    </row>
    <row r="667" spans="1:22">
      <c r="A667" s="32" t="s">
        <v>2491</v>
      </c>
      <c r="B667" s="32" t="s">
        <v>2435</v>
      </c>
      <c r="C667" s="32" t="s">
        <v>2492</v>
      </c>
      <c r="D667" s="33">
        <v>0</v>
      </c>
      <c r="E667" s="33" t="s">
        <v>1639</v>
      </c>
      <c r="F667" s="33">
        <v>385</v>
      </c>
      <c r="G667" s="33">
        <v>311</v>
      </c>
      <c r="H667" s="33" t="s">
        <v>1639</v>
      </c>
      <c r="I667" s="33">
        <v>731</v>
      </c>
      <c r="K667" t="b">
        <f>QHPSelections2016[[#This Row],[County Name]]=P667</f>
        <v>1</v>
      </c>
      <c r="L667" t="b">
        <f>QHPSelections2016[[#This Row],[Silver]]=S667</f>
        <v>1</v>
      </c>
      <c r="N667">
        <v>18087</v>
      </c>
      <c r="O667" t="s">
        <v>2435</v>
      </c>
      <c r="P667" t="s">
        <v>2492</v>
      </c>
      <c r="Q667">
        <v>0</v>
      </c>
      <c r="S667">
        <v>385</v>
      </c>
      <c r="T667">
        <v>311</v>
      </c>
      <c r="V667">
        <v>731</v>
      </c>
    </row>
    <row r="668" spans="1:22">
      <c r="A668" s="32" t="s">
        <v>2493</v>
      </c>
      <c r="B668" s="32" t="s">
        <v>2435</v>
      </c>
      <c r="C668" s="32" t="s">
        <v>1005</v>
      </c>
      <c r="D668" s="33">
        <v>0</v>
      </c>
      <c r="E668" s="33">
        <v>720</v>
      </c>
      <c r="F668" s="33">
        <v>8952</v>
      </c>
      <c r="G668" s="33">
        <v>3702</v>
      </c>
      <c r="H668" s="33">
        <v>98</v>
      </c>
      <c r="I668" s="33">
        <v>13472</v>
      </c>
      <c r="K668" t="b">
        <f>QHPSelections2016[[#This Row],[County Name]]=P668</f>
        <v>1</v>
      </c>
      <c r="L668" t="b">
        <f>QHPSelections2016[[#This Row],[Silver]]=S668</f>
        <v>1</v>
      </c>
      <c r="N668">
        <v>18089</v>
      </c>
      <c r="O668" t="s">
        <v>2435</v>
      </c>
      <c r="P668" t="s">
        <v>1005</v>
      </c>
      <c r="Q668">
        <v>0</v>
      </c>
      <c r="R668">
        <v>720</v>
      </c>
      <c r="S668" s="51">
        <v>8952</v>
      </c>
      <c r="T668" s="51">
        <v>3702</v>
      </c>
      <c r="U668">
        <v>98</v>
      </c>
      <c r="V668" s="51">
        <v>13472</v>
      </c>
    </row>
    <row r="669" spans="1:22">
      <c r="A669" s="32" t="s">
        <v>2494</v>
      </c>
      <c r="B669" s="32" t="s">
        <v>2435</v>
      </c>
      <c r="C669" s="32" t="s">
        <v>2495</v>
      </c>
      <c r="D669" s="33">
        <v>0</v>
      </c>
      <c r="E669" s="33" t="s">
        <v>1639</v>
      </c>
      <c r="F669" s="33">
        <v>1954</v>
      </c>
      <c r="G669" s="33">
        <v>1143</v>
      </c>
      <c r="H669" s="33" t="s">
        <v>1639</v>
      </c>
      <c r="I669" s="33">
        <v>3219</v>
      </c>
      <c r="K669" t="b">
        <f>QHPSelections2016[[#This Row],[County Name]]=P669</f>
        <v>1</v>
      </c>
      <c r="L669" t="b">
        <f>QHPSelections2016[[#This Row],[Silver]]=S669</f>
        <v>1</v>
      </c>
      <c r="N669">
        <v>18091</v>
      </c>
      <c r="O669" t="s">
        <v>2435</v>
      </c>
      <c r="P669" t="s">
        <v>2495</v>
      </c>
      <c r="Q669">
        <v>0</v>
      </c>
      <c r="S669" s="51">
        <v>1954</v>
      </c>
      <c r="T669" s="51">
        <v>1143</v>
      </c>
      <c r="V669" s="51">
        <v>3219</v>
      </c>
    </row>
    <row r="670" spans="1:22">
      <c r="A670" s="32" t="s">
        <v>2496</v>
      </c>
      <c r="B670" s="32" t="s">
        <v>2435</v>
      </c>
      <c r="C670" s="32" t="s">
        <v>1031</v>
      </c>
      <c r="D670" s="33">
        <v>0</v>
      </c>
      <c r="E670" s="33" t="s">
        <v>1639</v>
      </c>
      <c r="F670" s="33">
        <v>838</v>
      </c>
      <c r="G670" s="33">
        <v>414</v>
      </c>
      <c r="H670" s="33" t="s">
        <v>1639</v>
      </c>
      <c r="I670" s="33">
        <v>1327</v>
      </c>
      <c r="K670" t="b">
        <f>QHPSelections2016[[#This Row],[County Name]]=P670</f>
        <v>1</v>
      </c>
      <c r="L670" t="b">
        <f>QHPSelections2016[[#This Row],[Silver]]=S670</f>
        <v>1</v>
      </c>
      <c r="N670">
        <v>18093</v>
      </c>
      <c r="O670" t="s">
        <v>2435</v>
      </c>
      <c r="P670" t="s">
        <v>1031</v>
      </c>
      <c r="Q670">
        <v>0</v>
      </c>
      <c r="S670">
        <v>838</v>
      </c>
      <c r="T670">
        <v>414</v>
      </c>
      <c r="V670" s="51">
        <v>1327</v>
      </c>
    </row>
    <row r="671" spans="1:22">
      <c r="A671" s="32" t="s">
        <v>2497</v>
      </c>
      <c r="B671" s="32" t="s">
        <v>2435</v>
      </c>
      <c r="C671" s="32" t="s">
        <v>1029</v>
      </c>
      <c r="D671" s="33">
        <v>0</v>
      </c>
      <c r="E671" s="33" t="s">
        <v>1639</v>
      </c>
      <c r="F671" s="33">
        <v>2205</v>
      </c>
      <c r="G671" s="33">
        <v>1308</v>
      </c>
      <c r="H671" s="33" t="s">
        <v>1639</v>
      </c>
      <c r="I671" s="33">
        <v>3638</v>
      </c>
      <c r="K671" t="b">
        <f>QHPSelections2016[[#This Row],[County Name]]=P671</f>
        <v>1</v>
      </c>
      <c r="L671" t="b">
        <f>QHPSelections2016[[#This Row],[Silver]]=S671</f>
        <v>1</v>
      </c>
      <c r="N671">
        <v>18095</v>
      </c>
      <c r="O671" t="s">
        <v>2435</v>
      </c>
      <c r="P671" t="s">
        <v>1029</v>
      </c>
      <c r="Q671">
        <v>0</v>
      </c>
      <c r="S671" s="51">
        <v>2205</v>
      </c>
      <c r="T671" s="51">
        <v>1308</v>
      </c>
      <c r="V671" s="51">
        <v>3638</v>
      </c>
    </row>
    <row r="672" spans="1:22">
      <c r="A672" s="32" t="s">
        <v>2498</v>
      </c>
      <c r="B672" s="32" t="s">
        <v>2435</v>
      </c>
      <c r="C672" s="32" t="s">
        <v>1038</v>
      </c>
      <c r="D672" s="33">
        <v>0</v>
      </c>
      <c r="E672" s="33">
        <v>1135</v>
      </c>
      <c r="F672" s="33">
        <v>17883</v>
      </c>
      <c r="G672" s="33">
        <v>10492</v>
      </c>
      <c r="H672" s="33">
        <v>153</v>
      </c>
      <c r="I672" s="33">
        <v>29663</v>
      </c>
      <c r="K672" t="b">
        <f>QHPSelections2016[[#This Row],[County Name]]=P672</f>
        <v>1</v>
      </c>
      <c r="L672" t="b">
        <f>QHPSelections2016[[#This Row],[Silver]]=S672</f>
        <v>1</v>
      </c>
      <c r="N672">
        <v>18097</v>
      </c>
      <c r="O672" t="s">
        <v>2435</v>
      </c>
      <c r="P672" t="s">
        <v>1038</v>
      </c>
      <c r="Q672">
        <v>0</v>
      </c>
      <c r="R672" s="51">
        <v>1135</v>
      </c>
      <c r="S672" s="51">
        <v>17883</v>
      </c>
      <c r="T672" s="51">
        <v>10492</v>
      </c>
      <c r="U672">
        <v>153</v>
      </c>
      <c r="V672" s="51">
        <v>29663</v>
      </c>
    </row>
    <row r="673" spans="1:22">
      <c r="A673" s="32" t="s">
        <v>2499</v>
      </c>
      <c r="B673" s="32" t="s">
        <v>2435</v>
      </c>
      <c r="C673" s="32" t="s">
        <v>1068</v>
      </c>
      <c r="D673" s="33">
        <v>0</v>
      </c>
      <c r="E673" s="33">
        <v>81</v>
      </c>
      <c r="F673" s="33">
        <v>1036</v>
      </c>
      <c r="G673" s="33">
        <v>636</v>
      </c>
      <c r="H673" s="33">
        <v>14</v>
      </c>
      <c r="I673" s="33">
        <v>1767</v>
      </c>
      <c r="K673" t="b">
        <f>QHPSelections2016[[#This Row],[County Name]]=P673</f>
        <v>1</v>
      </c>
      <c r="L673" t="b">
        <f>QHPSelections2016[[#This Row],[Silver]]=S673</f>
        <v>1</v>
      </c>
      <c r="N673">
        <v>18099</v>
      </c>
      <c r="O673" t="s">
        <v>2435</v>
      </c>
      <c r="P673" t="s">
        <v>1068</v>
      </c>
      <c r="Q673">
        <v>0</v>
      </c>
      <c r="R673">
        <v>81</v>
      </c>
      <c r="S673" s="51">
        <v>1036</v>
      </c>
      <c r="T673">
        <v>636</v>
      </c>
      <c r="U673">
        <v>14</v>
      </c>
      <c r="V673" s="51">
        <v>1767</v>
      </c>
    </row>
    <row r="674" spans="1:22">
      <c r="A674" s="32" t="s">
        <v>2500</v>
      </c>
      <c r="B674" s="32" t="s">
        <v>2435</v>
      </c>
      <c r="C674" s="32" t="s">
        <v>1044</v>
      </c>
      <c r="D674" s="33">
        <v>0</v>
      </c>
      <c r="E674" s="33" t="s">
        <v>1639</v>
      </c>
      <c r="F674" s="33">
        <v>164</v>
      </c>
      <c r="G674" s="33">
        <v>127</v>
      </c>
      <c r="H674" s="33" t="s">
        <v>1639</v>
      </c>
      <c r="I674" s="33">
        <v>305</v>
      </c>
      <c r="K674" t="b">
        <f>QHPSelections2016[[#This Row],[County Name]]=P674</f>
        <v>1</v>
      </c>
      <c r="L674" t="b">
        <f>QHPSelections2016[[#This Row],[Silver]]=S674</f>
        <v>1</v>
      </c>
      <c r="N674">
        <v>18101</v>
      </c>
      <c r="O674" t="s">
        <v>2435</v>
      </c>
      <c r="P674" t="s">
        <v>1044</v>
      </c>
      <c r="Q674">
        <v>0</v>
      </c>
      <c r="S674">
        <v>164</v>
      </c>
      <c r="T674">
        <v>127</v>
      </c>
      <c r="V674">
        <v>305</v>
      </c>
    </row>
    <row r="675" spans="1:22">
      <c r="A675" s="32" t="s">
        <v>2501</v>
      </c>
      <c r="B675" s="32" t="s">
        <v>2435</v>
      </c>
      <c r="C675" s="32" t="s">
        <v>2502</v>
      </c>
      <c r="D675" s="33">
        <v>0</v>
      </c>
      <c r="E675" s="33" t="s">
        <v>1639</v>
      </c>
      <c r="F675" s="33">
        <v>501</v>
      </c>
      <c r="G675" s="33">
        <v>246</v>
      </c>
      <c r="H675" s="33" t="s">
        <v>1639</v>
      </c>
      <c r="I675" s="33">
        <v>783</v>
      </c>
      <c r="K675" t="b">
        <f>QHPSelections2016[[#This Row],[County Name]]=P675</f>
        <v>1</v>
      </c>
      <c r="L675" t="b">
        <f>QHPSelections2016[[#This Row],[Silver]]=S675</f>
        <v>1</v>
      </c>
      <c r="N675">
        <v>18103</v>
      </c>
      <c r="O675" t="s">
        <v>2435</v>
      </c>
      <c r="P675" t="s">
        <v>2502</v>
      </c>
      <c r="Q675">
        <v>0</v>
      </c>
      <c r="S675">
        <v>501</v>
      </c>
      <c r="T675">
        <v>246</v>
      </c>
      <c r="V675">
        <v>783</v>
      </c>
    </row>
    <row r="676" spans="1:22">
      <c r="A676" s="32" t="s">
        <v>2503</v>
      </c>
      <c r="B676" s="32" t="s">
        <v>2435</v>
      </c>
      <c r="C676" s="32" t="s">
        <v>1055</v>
      </c>
      <c r="D676" s="33">
        <v>0</v>
      </c>
      <c r="E676" s="33">
        <v>227</v>
      </c>
      <c r="F676" s="33">
        <v>2774</v>
      </c>
      <c r="G676" s="33">
        <v>1716</v>
      </c>
      <c r="H676" s="33">
        <v>20</v>
      </c>
      <c r="I676" s="33">
        <v>4737</v>
      </c>
      <c r="K676" t="b">
        <f>QHPSelections2016[[#This Row],[County Name]]=P676</f>
        <v>1</v>
      </c>
      <c r="L676" t="b">
        <f>QHPSelections2016[[#This Row],[Silver]]=S676</f>
        <v>1</v>
      </c>
      <c r="N676">
        <v>18105</v>
      </c>
      <c r="O676" t="s">
        <v>2435</v>
      </c>
      <c r="P676" t="s">
        <v>1055</v>
      </c>
      <c r="Q676">
        <v>0</v>
      </c>
      <c r="R676">
        <v>227</v>
      </c>
      <c r="S676" s="51">
        <v>2774</v>
      </c>
      <c r="T676" s="51">
        <v>1716</v>
      </c>
      <c r="U676">
        <v>20</v>
      </c>
      <c r="V676" s="51">
        <v>4737</v>
      </c>
    </row>
    <row r="677" spans="1:22">
      <c r="A677" s="32" t="s">
        <v>2504</v>
      </c>
      <c r="B677" s="32" t="s">
        <v>2435</v>
      </c>
      <c r="C677" s="32" t="s">
        <v>1079</v>
      </c>
      <c r="D677" s="33">
        <v>0</v>
      </c>
      <c r="E677" s="33" t="s">
        <v>1639</v>
      </c>
      <c r="F677" s="33">
        <v>642</v>
      </c>
      <c r="G677" s="33">
        <v>388</v>
      </c>
      <c r="H677" s="33" t="s">
        <v>1639</v>
      </c>
      <c r="I677" s="33">
        <v>1077</v>
      </c>
      <c r="K677" t="b">
        <f>QHPSelections2016[[#This Row],[County Name]]=P677</f>
        <v>1</v>
      </c>
      <c r="L677" t="b">
        <f>QHPSelections2016[[#This Row],[Silver]]=S677</f>
        <v>1</v>
      </c>
      <c r="N677">
        <v>18107</v>
      </c>
      <c r="O677" t="s">
        <v>2435</v>
      </c>
      <c r="P677" t="s">
        <v>1079</v>
      </c>
      <c r="Q677">
        <v>0</v>
      </c>
      <c r="S677">
        <v>642</v>
      </c>
      <c r="T677">
        <v>388</v>
      </c>
      <c r="V677" s="51">
        <v>1077</v>
      </c>
    </row>
    <row r="678" spans="1:22">
      <c r="A678" s="32" t="s">
        <v>2505</v>
      </c>
      <c r="B678" s="32" t="s">
        <v>2435</v>
      </c>
      <c r="C678" s="32" t="s">
        <v>1092</v>
      </c>
      <c r="D678" s="33">
        <v>0</v>
      </c>
      <c r="E678" s="33" t="s">
        <v>1639</v>
      </c>
      <c r="F678" s="33">
        <v>1203</v>
      </c>
      <c r="G678" s="33">
        <v>753</v>
      </c>
      <c r="H678" s="33" t="s">
        <v>1639</v>
      </c>
      <c r="I678" s="33">
        <v>2077</v>
      </c>
      <c r="K678" t="b">
        <f>QHPSelections2016[[#This Row],[County Name]]=P678</f>
        <v>1</v>
      </c>
      <c r="L678" t="b">
        <f>QHPSelections2016[[#This Row],[Silver]]=S678</f>
        <v>1</v>
      </c>
      <c r="N678">
        <v>18109</v>
      </c>
      <c r="O678" t="s">
        <v>2435</v>
      </c>
      <c r="P678" t="s">
        <v>1092</v>
      </c>
      <c r="Q678">
        <v>0</v>
      </c>
      <c r="S678" s="51">
        <v>1203</v>
      </c>
      <c r="T678">
        <v>753</v>
      </c>
      <c r="V678" s="51">
        <v>2077</v>
      </c>
    </row>
    <row r="679" spans="1:22">
      <c r="A679" s="32" t="s">
        <v>2506</v>
      </c>
      <c r="B679" s="32" t="s">
        <v>2435</v>
      </c>
      <c r="C679" s="32" t="s">
        <v>1088</v>
      </c>
      <c r="D679" s="33">
        <v>0</v>
      </c>
      <c r="E679" s="33" t="s">
        <v>1639</v>
      </c>
      <c r="F679" s="33">
        <v>305</v>
      </c>
      <c r="G679" s="33">
        <v>144</v>
      </c>
      <c r="H679" s="33" t="s">
        <v>1639</v>
      </c>
      <c r="I679" s="33">
        <v>475</v>
      </c>
      <c r="K679" t="b">
        <f>QHPSelections2016[[#This Row],[County Name]]=P679</f>
        <v>1</v>
      </c>
      <c r="L679" t="b">
        <f>QHPSelections2016[[#This Row],[Silver]]=S679</f>
        <v>1</v>
      </c>
      <c r="N679">
        <v>18111</v>
      </c>
      <c r="O679" t="s">
        <v>2435</v>
      </c>
      <c r="P679" t="s">
        <v>1088</v>
      </c>
      <c r="Q679">
        <v>0</v>
      </c>
      <c r="S679">
        <v>305</v>
      </c>
      <c r="T679">
        <v>144</v>
      </c>
      <c r="V679">
        <v>475</v>
      </c>
    </row>
    <row r="680" spans="1:22">
      <c r="A680" s="32" t="s">
        <v>2507</v>
      </c>
      <c r="B680" s="32" t="s">
        <v>2435</v>
      </c>
      <c r="C680" s="32" t="s">
        <v>2508</v>
      </c>
      <c r="D680" s="33">
        <v>0</v>
      </c>
      <c r="E680" s="33" t="s">
        <v>1639</v>
      </c>
      <c r="F680" s="33">
        <v>641</v>
      </c>
      <c r="G680" s="33">
        <v>463</v>
      </c>
      <c r="H680" s="33" t="s">
        <v>1639</v>
      </c>
      <c r="I680" s="33">
        <v>1150</v>
      </c>
      <c r="K680" t="b">
        <f>QHPSelections2016[[#This Row],[County Name]]=P680</f>
        <v>1</v>
      </c>
      <c r="L680" t="b">
        <f>QHPSelections2016[[#This Row],[Silver]]=S680</f>
        <v>1</v>
      </c>
      <c r="N680">
        <v>18113</v>
      </c>
      <c r="O680" t="s">
        <v>2435</v>
      </c>
      <c r="P680" t="s">
        <v>2508</v>
      </c>
      <c r="Q680">
        <v>0</v>
      </c>
      <c r="S680">
        <v>641</v>
      </c>
      <c r="T680">
        <v>463</v>
      </c>
      <c r="V680" s="51">
        <v>1150</v>
      </c>
    </row>
    <row r="681" spans="1:22">
      <c r="A681" s="32" t="s">
        <v>2509</v>
      </c>
      <c r="B681" s="32" t="s">
        <v>2435</v>
      </c>
      <c r="C681" s="32" t="s">
        <v>2510</v>
      </c>
      <c r="D681" s="33">
        <v>0</v>
      </c>
      <c r="E681" s="33" t="s">
        <v>1639</v>
      </c>
      <c r="F681" s="33">
        <v>84</v>
      </c>
      <c r="G681" s="33">
        <v>35</v>
      </c>
      <c r="H681" s="33" t="s">
        <v>1639</v>
      </c>
      <c r="I681" s="33">
        <v>122</v>
      </c>
      <c r="K681" t="b">
        <f>QHPSelections2016[[#This Row],[County Name]]=P681</f>
        <v>1</v>
      </c>
      <c r="L681" t="b">
        <f>QHPSelections2016[[#This Row],[Silver]]=S681</f>
        <v>1</v>
      </c>
      <c r="N681">
        <v>18115</v>
      </c>
      <c r="O681" t="s">
        <v>2435</v>
      </c>
      <c r="P681" t="s">
        <v>2510</v>
      </c>
      <c r="Q681">
        <v>0</v>
      </c>
      <c r="S681">
        <v>84</v>
      </c>
      <c r="T681">
        <v>35</v>
      </c>
      <c r="V681">
        <v>122</v>
      </c>
    </row>
    <row r="682" spans="1:22">
      <c r="A682" s="32" t="s">
        <v>2511</v>
      </c>
      <c r="B682" s="32" t="s">
        <v>2435</v>
      </c>
      <c r="C682" s="32" t="s">
        <v>1072</v>
      </c>
      <c r="D682" s="33">
        <v>0</v>
      </c>
      <c r="E682" s="33">
        <v>21</v>
      </c>
      <c r="F682" s="33">
        <v>315</v>
      </c>
      <c r="G682" s="33">
        <v>126</v>
      </c>
      <c r="H682" s="33">
        <v>0</v>
      </c>
      <c r="I682" s="33">
        <v>462</v>
      </c>
      <c r="K682" t="b">
        <f>QHPSelections2016[[#This Row],[County Name]]=P682</f>
        <v>1</v>
      </c>
      <c r="L682" t="b">
        <f>QHPSelections2016[[#This Row],[Silver]]=S682</f>
        <v>1</v>
      </c>
      <c r="N682">
        <v>18117</v>
      </c>
      <c r="O682" t="s">
        <v>2435</v>
      </c>
      <c r="P682" t="s">
        <v>1072</v>
      </c>
      <c r="Q682">
        <v>0</v>
      </c>
      <c r="R682">
        <v>21</v>
      </c>
      <c r="S682">
        <v>315</v>
      </c>
      <c r="T682">
        <v>126</v>
      </c>
      <c r="U682">
        <v>0</v>
      </c>
      <c r="V682">
        <v>462</v>
      </c>
    </row>
    <row r="683" spans="1:22">
      <c r="A683" s="32" t="s">
        <v>2512</v>
      </c>
      <c r="B683" s="32" t="s">
        <v>2435</v>
      </c>
      <c r="C683" s="32" t="s">
        <v>2513</v>
      </c>
      <c r="D683" s="33">
        <v>0</v>
      </c>
      <c r="E683" s="33" t="s">
        <v>1639</v>
      </c>
      <c r="F683" s="33">
        <v>404</v>
      </c>
      <c r="G683" s="33">
        <v>279</v>
      </c>
      <c r="H683" s="33" t="s">
        <v>1639</v>
      </c>
      <c r="I683" s="33">
        <v>704</v>
      </c>
      <c r="K683" t="b">
        <f>QHPSelections2016[[#This Row],[County Name]]=P683</f>
        <v>1</v>
      </c>
      <c r="L683" t="b">
        <f>QHPSelections2016[[#This Row],[Silver]]=S683</f>
        <v>1</v>
      </c>
      <c r="N683">
        <v>18119</v>
      </c>
      <c r="O683" t="s">
        <v>2435</v>
      </c>
      <c r="P683" t="s">
        <v>2513</v>
      </c>
      <c r="Q683">
        <v>0</v>
      </c>
      <c r="S683">
        <v>404</v>
      </c>
      <c r="T683">
        <v>279</v>
      </c>
      <c r="V683">
        <v>704</v>
      </c>
    </row>
    <row r="684" spans="1:22">
      <c r="A684" s="32" t="s">
        <v>2514</v>
      </c>
      <c r="B684" s="32" t="s">
        <v>2435</v>
      </c>
      <c r="C684" s="32" t="s">
        <v>2515</v>
      </c>
      <c r="D684" s="33">
        <v>0</v>
      </c>
      <c r="E684" s="33" t="s">
        <v>1639</v>
      </c>
      <c r="F684" s="33">
        <v>296</v>
      </c>
      <c r="G684" s="33">
        <v>153</v>
      </c>
      <c r="H684" s="33" t="s">
        <v>1639</v>
      </c>
      <c r="I684" s="33">
        <v>477</v>
      </c>
      <c r="K684" t="b">
        <f>QHPSelections2016[[#This Row],[County Name]]=P684</f>
        <v>1</v>
      </c>
      <c r="L684" t="b">
        <f>QHPSelections2016[[#This Row],[Silver]]=S684</f>
        <v>1</v>
      </c>
      <c r="N684">
        <v>18121</v>
      </c>
      <c r="O684" t="s">
        <v>2435</v>
      </c>
      <c r="P684" t="s">
        <v>2515</v>
      </c>
      <c r="Q684">
        <v>0</v>
      </c>
      <c r="S684">
        <v>296</v>
      </c>
      <c r="T684">
        <v>153</v>
      </c>
      <c r="V684">
        <v>477</v>
      </c>
    </row>
    <row r="685" spans="1:22">
      <c r="A685" s="32" t="s">
        <v>2516</v>
      </c>
      <c r="B685" s="32" t="s">
        <v>2435</v>
      </c>
      <c r="C685" s="32" t="s">
        <v>1097</v>
      </c>
      <c r="D685" s="33">
        <v>0</v>
      </c>
      <c r="E685" s="33" t="s">
        <v>1639</v>
      </c>
      <c r="F685" s="33">
        <v>319</v>
      </c>
      <c r="G685" s="33">
        <v>174</v>
      </c>
      <c r="H685" s="33" t="s">
        <v>1639</v>
      </c>
      <c r="I685" s="33">
        <v>512</v>
      </c>
      <c r="K685" t="b">
        <f>QHPSelections2016[[#This Row],[County Name]]=P685</f>
        <v>1</v>
      </c>
      <c r="L685" t="b">
        <f>QHPSelections2016[[#This Row],[Silver]]=S685</f>
        <v>1</v>
      </c>
      <c r="N685">
        <v>18123</v>
      </c>
      <c r="O685" t="s">
        <v>2435</v>
      </c>
      <c r="P685" t="s">
        <v>1097</v>
      </c>
      <c r="Q685">
        <v>0</v>
      </c>
      <c r="S685">
        <v>319</v>
      </c>
      <c r="T685">
        <v>174</v>
      </c>
      <c r="V685">
        <v>512</v>
      </c>
    </row>
    <row r="686" spans="1:22">
      <c r="A686" s="32" t="s">
        <v>2517</v>
      </c>
      <c r="B686" s="32" t="s">
        <v>2435</v>
      </c>
      <c r="C686" s="32" t="s">
        <v>1109</v>
      </c>
      <c r="D686" s="33">
        <v>0</v>
      </c>
      <c r="E686" s="33">
        <v>16</v>
      </c>
      <c r="F686" s="33">
        <v>197</v>
      </c>
      <c r="G686" s="33">
        <v>97</v>
      </c>
      <c r="H686" s="33">
        <v>0</v>
      </c>
      <c r="I686" s="33">
        <v>310</v>
      </c>
      <c r="K686" t="b">
        <f>QHPSelections2016[[#This Row],[County Name]]=P686</f>
        <v>1</v>
      </c>
      <c r="L686" t="b">
        <f>QHPSelections2016[[#This Row],[Silver]]=S686</f>
        <v>1</v>
      </c>
      <c r="N686">
        <v>18125</v>
      </c>
      <c r="O686" t="s">
        <v>2435</v>
      </c>
      <c r="P686" t="s">
        <v>1109</v>
      </c>
      <c r="Q686">
        <v>0</v>
      </c>
      <c r="R686">
        <v>16</v>
      </c>
      <c r="S686">
        <v>197</v>
      </c>
      <c r="T686">
        <v>97</v>
      </c>
      <c r="U686">
        <v>0</v>
      </c>
      <c r="V686">
        <v>310</v>
      </c>
    </row>
    <row r="687" spans="1:22">
      <c r="A687" s="32" t="s">
        <v>2518</v>
      </c>
      <c r="B687" s="32" t="s">
        <v>2435</v>
      </c>
      <c r="C687" s="32" t="s">
        <v>2519</v>
      </c>
      <c r="D687" s="33">
        <v>0</v>
      </c>
      <c r="E687" s="33">
        <v>330</v>
      </c>
      <c r="F687" s="33">
        <v>3239</v>
      </c>
      <c r="G687" s="33">
        <v>1513</v>
      </c>
      <c r="H687" s="33">
        <v>38</v>
      </c>
      <c r="I687" s="33">
        <v>5120</v>
      </c>
      <c r="K687" t="b">
        <f>QHPSelections2016[[#This Row],[County Name]]=P687</f>
        <v>1</v>
      </c>
      <c r="L687" t="b">
        <f>QHPSelections2016[[#This Row],[Silver]]=S687</f>
        <v>1</v>
      </c>
      <c r="N687">
        <v>18127</v>
      </c>
      <c r="O687" t="s">
        <v>2435</v>
      </c>
      <c r="P687" t="s">
        <v>2519</v>
      </c>
      <c r="Q687">
        <v>0</v>
      </c>
      <c r="R687">
        <v>330</v>
      </c>
      <c r="S687" s="51">
        <v>3239</v>
      </c>
      <c r="T687" s="51">
        <v>1513</v>
      </c>
      <c r="U687">
        <v>38</v>
      </c>
      <c r="V687" s="51">
        <v>5120</v>
      </c>
    </row>
    <row r="688" spans="1:22">
      <c r="A688" s="32" t="s">
        <v>2520</v>
      </c>
      <c r="B688" s="32" t="s">
        <v>2435</v>
      </c>
      <c r="C688" s="32" t="s">
        <v>2521</v>
      </c>
      <c r="D688" s="33">
        <v>0</v>
      </c>
      <c r="E688" s="33" t="s">
        <v>1639</v>
      </c>
      <c r="F688" s="33">
        <v>437</v>
      </c>
      <c r="G688" s="33">
        <v>332</v>
      </c>
      <c r="H688" s="33" t="s">
        <v>1639</v>
      </c>
      <c r="I688" s="33">
        <v>808</v>
      </c>
      <c r="K688" t="b">
        <f>QHPSelections2016[[#This Row],[County Name]]=P688</f>
        <v>1</v>
      </c>
      <c r="L688" t="b">
        <f>QHPSelections2016[[#This Row],[Silver]]=S688</f>
        <v>1</v>
      </c>
      <c r="N688">
        <v>18129</v>
      </c>
      <c r="O688" t="s">
        <v>2435</v>
      </c>
      <c r="P688" t="s">
        <v>2521</v>
      </c>
      <c r="Q688">
        <v>0</v>
      </c>
      <c r="S688">
        <v>437</v>
      </c>
      <c r="T688">
        <v>332</v>
      </c>
      <c r="V688">
        <v>808</v>
      </c>
    </row>
    <row r="689" spans="1:22">
      <c r="A689" s="32" t="s">
        <v>2522</v>
      </c>
      <c r="B689" s="32" t="s">
        <v>2435</v>
      </c>
      <c r="C689" s="32" t="s">
        <v>1290</v>
      </c>
      <c r="D689" s="33">
        <v>0</v>
      </c>
      <c r="E689" s="33" t="s">
        <v>1639</v>
      </c>
      <c r="F689" s="33">
        <v>232</v>
      </c>
      <c r="G689" s="33">
        <v>173</v>
      </c>
      <c r="H689" s="33" t="s">
        <v>1639</v>
      </c>
      <c r="I689" s="33">
        <v>429</v>
      </c>
      <c r="K689" t="b">
        <f>QHPSelections2016[[#This Row],[County Name]]=P689</f>
        <v>1</v>
      </c>
      <c r="L689" t="b">
        <f>QHPSelections2016[[#This Row],[Silver]]=S689</f>
        <v>1</v>
      </c>
      <c r="N689">
        <v>18131</v>
      </c>
      <c r="O689" t="s">
        <v>2435</v>
      </c>
      <c r="P689" t="s">
        <v>1290</v>
      </c>
      <c r="Q689">
        <v>0</v>
      </c>
      <c r="S689">
        <v>232</v>
      </c>
      <c r="T689">
        <v>173</v>
      </c>
      <c r="V689">
        <v>429</v>
      </c>
    </row>
    <row r="690" spans="1:22">
      <c r="A690" s="32" t="s">
        <v>2523</v>
      </c>
      <c r="B690" s="32" t="s">
        <v>2435</v>
      </c>
      <c r="C690" s="32" t="s">
        <v>1103</v>
      </c>
      <c r="D690" s="33">
        <v>0</v>
      </c>
      <c r="E690" s="33" t="s">
        <v>1639</v>
      </c>
      <c r="F690" s="33">
        <v>620</v>
      </c>
      <c r="G690" s="33">
        <v>324</v>
      </c>
      <c r="H690" s="33" t="s">
        <v>1639</v>
      </c>
      <c r="I690" s="33">
        <v>970</v>
      </c>
      <c r="K690" t="b">
        <f>QHPSelections2016[[#This Row],[County Name]]=P690</f>
        <v>1</v>
      </c>
      <c r="L690" t="b">
        <f>QHPSelections2016[[#This Row],[Silver]]=S690</f>
        <v>1</v>
      </c>
      <c r="N690">
        <v>18133</v>
      </c>
      <c r="O690" t="s">
        <v>2435</v>
      </c>
      <c r="P690" t="s">
        <v>1103</v>
      </c>
      <c r="Q690">
        <v>0</v>
      </c>
      <c r="S690">
        <v>620</v>
      </c>
      <c r="T690">
        <v>324</v>
      </c>
      <c r="V690">
        <v>970</v>
      </c>
    </row>
    <row r="691" spans="1:22">
      <c r="A691" s="32" t="s">
        <v>2524</v>
      </c>
      <c r="B691" s="32" t="s">
        <v>2435</v>
      </c>
      <c r="C691" s="32" t="s">
        <v>1115</v>
      </c>
      <c r="D691" s="33">
        <v>0</v>
      </c>
      <c r="E691" s="33">
        <v>11</v>
      </c>
      <c r="F691" s="33">
        <v>462</v>
      </c>
      <c r="G691" s="33">
        <v>256</v>
      </c>
      <c r="H691" s="33">
        <v>0</v>
      </c>
      <c r="I691" s="33">
        <v>729</v>
      </c>
      <c r="K691" t="b">
        <f>QHPSelections2016[[#This Row],[County Name]]=P691</f>
        <v>1</v>
      </c>
      <c r="L691" t="b">
        <f>QHPSelections2016[[#This Row],[Silver]]=S691</f>
        <v>1</v>
      </c>
      <c r="N691">
        <v>18135</v>
      </c>
      <c r="O691" t="s">
        <v>2435</v>
      </c>
      <c r="P691" t="s">
        <v>1115</v>
      </c>
      <c r="Q691">
        <v>0</v>
      </c>
      <c r="R691">
        <v>11</v>
      </c>
      <c r="S691">
        <v>462</v>
      </c>
      <c r="T691">
        <v>256</v>
      </c>
      <c r="U691">
        <v>0</v>
      </c>
      <c r="V691">
        <v>729</v>
      </c>
    </row>
    <row r="692" spans="1:22">
      <c r="A692" s="32" t="s">
        <v>2525</v>
      </c>
      <c r="B692" s="32" t="s">
        <v>2435</v>
      </c>
      <c r="C692" s="32" t="s">
        <v>2526</v>
      </c>
      <c r="D692" s="33">
        <v>0</v>
      </c>
      <c r="E692" s="33" t="s">
        <v>1639</v>
      </c>
      <c r="F692" s="33">
        <v>457</v>
      </c>
      <c r="G692" s="33">
        <v>334</v>
      </c>
      <c r="H692" s="33" t="s">
        <v>1639</v>
      </c>
      <c r="I692" s="33">
        <v>805</v>
      </c>
      <c r="K692" t="b">
        <f>QHPSelections2016[[#This Row],[County Name]]=P692</f>
        <v>1</v>
      </c>
      <c r="L692" t="b">
        <f>QHPSelections2016[[#This Row],[Silver]]=S692</f>
        <v>1</v>
      </c>
      <c r="N692">
        <v>18137</v>
      </c>
      <c r="O692" t="s">
        <v>2435</v>
      </c>
      <c r="P692" t="s">
        <v>2526</v>
      </c>
      <c r="Q692">
        <v>0</v>
      </c>
      <c r="S692">
        <v>457</v>
      </c>
      <c r="T692">
        <v>334</v>
      </c>
      <c r="V692">
        <v>805</v>
      </c>
    </row>
    <row r="693" spans="1:22">
      <c r="A693" s="32" t="s">
        <v>2527</v>
      </c>
      <c r="B693" s="32" t="s">
        <v>2435</v>
      </c>
      <c r="C693" s="32" t="s">
        <v>2528</v>
      </c>
      <c r="D693" s="33">
        <v>0</v>
      </c>
      <c r="E693" s="33" t="s">
        <v>1639</v>
      </c>
      <c r="F693" s="33">
        <v>441</v>
      </c>
      <c r="G693" s="33">
        <v>264</v>
      </c>
      <c r="H693" s="33" t="s">
        <v>1639</v>
      </c>
      <c r="I693" s="33">
        <v>731</v>
      </c>
      <c r="K693" t="b">
        <f>QHPSelections2016[[#This Row],[County Name]]=P693</f>
        <v>1</v>
      </c>
      <c r="L693" t="b">
        <f>QHPSelections2016[[#This Row],[Silver]]=S693</f>
        <v>1</v>
      </c>
      <c r="N693">
        <v>18139</v>
      </c>
      <c r="O693" t="s">
        <v>2435</v>
      </c>
      <c r="P693" t="s">
        <v>2528</v>
      </c>
      <c r="Q693">
        <v>0</v>
      </c>
      <c r="S693">
        <v>441</v>
      </c>
      <c r="T693">
        <v>264</v>
      </c>
      <c r="V693">
        <v>731</v>
      </c>
    </row>
    <row r="694" spans="1:22">
      <c r="A694" s="32" t="s">
        <v>2529</v>
      </c>
      <c r="B694" s="32" t="s">
        <v>2435</v>
      </c>
      <c r="C694" s="32" t="s">
        <v>2530</v>
      </c>
      <c r="D694" s="33">
        <v>0</v>
      </c>
      <c r="E694" s="33">
        <v>365</v>
      </c>
      <c r="F694" s="33">
        <v>5055</v>
      </c>
      <c r="G694" s="33">
        <v>2957</v>
      </c>
      <c r="H694" s="33">
        <v>43</v>
      </c>
      <c r="I694" s="33">
        <v>8420</v>
      </c>
      <c r="K694" t="b">
        <f>QHPSelections2016[[#This Row],[County Name]]=P694</f>
        <v>0</v>
      </c>
      <c r="L694" t="b">
        <f>QHPSelections2016[[#This Row],[Silver]]=S694</f>
        <v>0</v>
      </c>
      <c r="N694">
        <v>18143</v>
      </c>
      <c r="O694" t="s">
        <v>2435</v>
      </c>
      <c r="P694" t="s">
        <v>1146</v>
      </c>
      <c r="Q694">
        <v>0</v>
      </c>
      <c r="S694">
        <v>359</v>
      </c>
      <c r="T694">
        <v>151</v>
      </c>
      <c r="V694">
        <v>531</v>
      </c>
    </row>
    <row r="695" spans="1:22">
      <c r="A695" s="32" t="s">
        <v>2531</v>
      </c>
      <c r="B695" s="32" t="s">
        <v>2435</v>
      </c>
      <c r="C695" s="32" t="s">
        <v>1146</v>
      </c>
      <c r="D695" s="33">
        <v>0</v>
      </c>
      <c r="E695" s="33" t="s">
        <v>1639</v>
      </c>
      <c r="F695" s="33">
        <v>359</v>
      </c>
      <c r="G695" s="33">
        <v>151</v>
      </c>
      <c r="H695" s="33" t="s">
        <v>1639</v>
      </c>
      <c r="I695" s="33">
        <v>531</v>
      </c>
      <c r="K695" t="b">
        <f>QHPSelections2016[[#This Row],[County Name]]=P695</f>
        <v>0</v>
      </c>
      <c r="L695" t="b">
        <f>QHPSelections2016[[#This Row],[Silver]]=S695</f>
        <v>0</v>
      </c>
      <c r="N695">
        <v>18145</v>
      </c>
      <c r="O695" t="s">
        <v>2435</v>
      </c>
      <c r="P695" t="s">
        <v>1126</v>
      </c>
      <c r="Q695">
        <v>0</v>
      </c>
      <c r="S695">
        <v>857</v>
      </c>
      <c r="T695">
        <v>502</v>
      </c>
      <c r="V695" s="51">
        <v>1422</v>
      </c>
    </row>
    <row r="696" spans="1:22">
      <c r="A696" s="32" t="s">
        <v>2532</v>
      </c>
      <c r="B696" s="32" t="s">
        <v>2435</v>
      </c>
      <c r="C696" s="32" t="s">
        <v>1126</v>
      </c>
      <c r="D696" s="33">
        <v>0</v>
      </c>
      <c r="E696" s="33" t="s">
        <v>1639</v>
      </c>
      <c r="F696" s="33">
        <v>857</v>
      </c>
      <c r="G696" s="33">
        <v>502</v>
      </c>
      <c r="H696" s="33" t="s">
        <v>1639</v>
      </c>
      <c r="I696" s="33">
        <v>1422</v>
      </c>
      <c r="K696" t="b">
        <f>QHPSelections2016[[#This Row],[County Name]]=P696</f>
        <v>0</v>
      </c>
      <c r="L696" t="b">
        <f>QHPSelections2016[[#This Row],[Silver]]=S696</f>
        <v>0</v>
      </c>
      <c r="N696">
        <v>18147</v>
      </c>
      <c r="O696" t="s">
        <v>2435</v>
      </c>
      <c r="P696" t="s">
        <v>2534</v>
      </c>
      <c r="Q696">
        <v>0</v>
      </c>
      <c r="S696">
        <v>353</v>
      </c>
      <c r="T696">
        <v>217</v>
      </c>
      <c r="V696">
        <v>588</v>
      </c>
    </row>
    <row r="697" spans="1:22">
      <c r="A697" s="32" t="s">
        <v>2533</v>
      </c>
      <c r="B697" s="32" t="s">
        <v>2435</v>
      </c>
      <c r="C697" s="32" t="s">
        <v>2534</v>
      </c>
      <c r="D697" s="33">
        <v>0</v>
      </c>
      <c r="E697" s="33" t="s">
        <v>1639</v>
      </c>
      <c r="F697" s="33">
        <v>353</v>
      </c>
      <c r="G697" s="33">
        <v>217</v>
      </c>
      <c r="H697" s="33" t="s">
        <v>1639</v>
      </c>
      <c r="I697" s="33">
        <v>588</v>
      </c>
      <c r="K697" t="b">
        <f>QHPSelections2016[[#This Row],[County Name]]=P697</f>
        <v>0</v>
      </c>
      <c r="L697" t="b">
        <f>QHPSelections2016[[#This Row],[Silver]]=S697</f>
        <v>0</v>
      </c>
      <c r="N697">
        <v>18141</v>
      </c>
      <c r="O697" t="s">
        <v>2435</v>
      </c>
      <c r="P697" t="s">
        <v>2530</v>
      </c>
      <c r="Q697">
        <v>0</v>
      </c>
      <c r="R697">
        <v>365</v>
      </c>
      <c r="S697" s="51">
        <v>5055</v>
      </c>
      <c r="T697" s="51">
        <v>2957</v>
      </c>
      <c r="U697">
        <v>43</v>
      </c>
      <c r="V697" s="51">
        <v>8420</v>
      </c>
    </row>
    <row r="698" spans="1:22">
      <c r="A698" s="32" t="s">
        <v>2535</v>
      </c>
      <c r="B698" s="32" t="s">
        <v>2435</v>
      </c>
      <c r="C698" s="32" t="s">
        <v>2536</v>
      </c>
      <c r="D698" s="33">
        <v>0</v>
      </c>
      <c r="E698" s="33">
        <v>31</v>
      </c>
      <c r="F698" s="33">
        <v>529</v>
      </c>
      <c r="G698" s="33">
        <v>273</v>
      </c>
      <c r="H698" s="33">
        <v>0</v>
      </c>
      <c r="I698" s="33">
        <v>833</v>
      </c>
      <c r="K698" t="b">
        <f>QHPSelections2016[[#This Row],[County Name]]=P698</f>
        <v>1</v>
      </c>
      <c r="L698" t="b">
        <f>QHPSelections2016[[#This Row],[Silver]]=S698</f>
        <v>1</v>
      </c>
      <c r="N698">
        <v>18149</v>
      </c>
      <c r="O698" t="s">
        <v>2435</v>
      </c>
      <c r="P698" t="s">
        <v>2536</v>
      </c>
      <c r="Q698">
        <v>0</v>
      </c>
      <c r="R698">
        <v>31</v>
      </c>
      <c r="S698">
        <v>529</v>
      </c>
      <c r="T698">
        <v>273</v>
      </c>
      <c r="U698">
        <v>0</v>
      </c>
      <c r="V698">
        <v>833</v>
      </c>
    </row>
    <row r="699" spans="1:22">
      <c r="A699" s="32" t="s">
        <v>2537</v>
      </c>
      <c r="B699" s="32" t="s">
        <v>2435</v>
      </c>
      <c r="C699" s="32" t="s">
        <v>2538</v>
      </c>
      <c r="D699" s="33">
        <v>0</v>
      </c>
      <c r="E699" s="33" t="s">
        <v>1639</v>
      </c>
      <c r="F699" s="33">
        <v>662</v>
      </c>
      <c r="G699" s="33">
        <v>399</v>
      </c>
      <c r="H699" s="33" t="s">
        <v>1639</v>
      </c>
      <c r="I699" s="33">
        <v>1100</v>
      </c>
      <c r="K699" t="b">
        <f>QHPSelections2016[[#This Row],[County Name]]=P699</f>
        <v>1</v>
      </c>
      <c r="L699" t="b">
        <f>QHPSelections2016[[#This Row],[Silver]]=S699</f>
        <v>1</v>
      </c>
      <c r="N699">
        <v>18151</v>
      </c>
      <c r="O699" t="s">
        <v>2435</v>
      </c>
      <c r="P699" t="s">
        <v>2538</v>
      </c>
      <c r="Q699">
        <v>0</v>
      </c>
      <c r="S699">
        <v>662</v>
      </c>
      <c r="T699">
        <v>399</v>
      </c>
      <c r="V699" s="51">
        <v>1100</v>
      </c>
    </row>
    <row r="700" spans="1:22">
      <c r="A700" s="32" t="s">
        <v>2539</v>
      </c>
      <c r="B700" s="32" t="s">
        <v>2435</v>
      </c>
      <c r="C700" s="32" t="s">
        <v>1227</v>
      </c>
      <c r="D700" s="33">
        <v>0</v>
      </c>
      <c r="E700" s="33">
        <v>19</v>
      </c>
      <c r="F700" s="33">
        <v>303</v>
      </c>
      <c r="G700" s="33">
        <v>187</v>
      </c>
      <c r="H700" s="33">
        <v>0</v>
      </c>
      <c r="I700" s="33">
        <v>509</v>
      </c>
      <c r="K700" t="b">
        <f>QHPSelections2016[[#This Row],[County Name]]=P700</f>
        <v>1</v>
      </c>
      <c r="L700" t="b">
        <f>QHPSelections2016[[#This Row],[Silver]]=S700</f>
        <v>1</v>
      </c>
      <c r="N700">
        <v>18153</v>
      </c>
      <c r="O700" t="s">
        <v>2435</v>
      </c>
      <c r="P700" t="s">
        <v>1227</v>
      </c>
      <c r="Q700">
        <v>0</v>
      </c>
      <c r="R700">
        <v>19</v>
      </c>
      <c r="S700">
        <v>303</v>
      </c>
      <c r="T700">
        <v>187</v>
      </c>
      <c r="U700">
        <v>0</v>
      </c>
      <c r="V700">
        <v>509</v>
      </c>
    </row>
    <row r="701" spans="1:22">
      <c r="A701" s="32" t="s">
        <v>2540</v>
      </c>
      <c r="B701" s="32" t="s">
        <v>2435</v>
      </c>
      <c r="C701" s="32" t="s">
        <v>2541</v>
      </c>
      <c r="D701" s="33">
        <v>0</v>
      </c>
      <c r="E701" s="33" t="s">
        <v>1639</v>
      </c>
      <c r="F701" s="33">
        <v>147</v>
      </c>
      <c r="G701" s="33">
        <v>85</v>
      </c>
      <c r="H701" s="33" t="s">
        <v>1639</v>
      </c>
      <c r="I701" s="33">
        <v>237</v>
      </c>
      <c r="K701" t="b">
        <f>QHPSelections2016[[#This Row],[County Name]]=P701</f>
        <v>1</v>
      </c>
      <c r="L701" t="b">
        <f>QHPSelections2016[[#This Row],[Silver]]=S701</f>
        <v>1</v>
      </c>
      <c r="N701">
        <v>18155</v>
      </c>
      <c r="O701" t="s">
        <v>2435</v>
      </c>
      <c r="P701" t="s">
        <v>2541</v>
      </c>
      <c r="Q701">
        <v>0</v>
      </c>
      <c r="S701">
        <v>147</v>
      </c>
      <c r="T701">
        <v>85</v>
      </c>
      <c r="V701">
        <v>237</v>
      </c>
    </row>
    <row r="702" spans="1:22">
      <c r="A702" s="32" t="s">
        <v>2542</v>
      </c>
      <c r="B702" s="32" t="s">
        <v>2435</v>
      </c>
      <c r="C702" s="32" t="s">
        <v>2543</v>
      </c>
      <c r="D702" s="33">
        <v>0</v>
      </c>
      <c r="E702" s="33">
        <v>265</v>
      </c>
      <c r="F702" s="33">
        <v>2403</v>
      </c>
      <c r="G702" s="33">
        <v>1509</v>
      </c>
      <c r="H702" s="33">
        <v>16</v>
      </c>
      <c r="I702" s="33">
        <v>4193</v>
      </c>
      <c r="K702" t="b">
        <f>QHPSelections2016[[#This Row],[County Name]]=P702</f>
        <v>1</v>
      </c>
      <c r="L702" t="b">
        <f>QHPSelections2016[[#This Row],[Silver]]=S702</f>
        <v>1</v>
      </c>
      <c r="N702">
        <v>18157</v>
      </c>
      <c r="O702" t="s">
        <v>2435</v>
      </c>
      <c r="P702" t="s">
        <v>2543</v>
      </c>
      <c r="Q702">
        <v>0</v>
      </c>
      <c r="R702">
        <v>265</v>
      </c>
      <c r="S702" s="51">
        <v>2403</v>
      </c>
      <c r="T702" s="51">
        <v>1509</v>
      </c>
      <c r="U702">
        <v>16</v>
      </c>
      <c r="V702" s="51">
        <v>4193</v>
      </c>
    </row>
    <row r="703" spans="1:22">
      <c r="A703" s="32" t="s">
        <v>2544</v>
      </c>
      <c r="B703" s="32" t="s">
        <v>2435</v>
      </c>
      <c r="C703" s="32" t="s">
        <v>1233</v>
      </c>
      <c r="D703" s="33">
        <v>0</v>
      </c>
      <c r="E703" s="33" t="s">
        <v>1639</v>
      </c>
      <c r="F703" s="33">
        <v>298</v>
      </c>
      <c r="G703" s="33">
        <v>151</v>
      </c>
      <c r="H703" s="33" t="s">
        <v>1639</v>
      </c>
      <c r="I703" s="33">
        <v>468</v>
      </c>
      <c r="K703" t="b">
        <f>QHPSelections2016[[#This Row],[County Name]]=P703</f>
        <v>1</v>
      </c>
      <c r="L703" t="b">
        <f>QHPSelections2016[[#This Row],[Silver]]=S703</f>
        <v>1</v>
      </c>
      <c r="N703">
        <v>18159</v>
      </c>
      <c r="O703" t="s">
        <v>2435</v>
      </c>
      <c r="P703" t="s">
        <v>1233</v>
      </c>
      <c r="Q703">
        <v>0</v>
      </c>
      <c r="S703">
        <v>298</v>
      </c>
      <c r="T703">
        <v>151</v>
      </c>
      <c r="V703">
        <v>468</v>
      </c>
    </row>
    <row r="704" spans="1:22">
      <c r="A704" s="32" t="s">
        <v>2545</v>
      </c>
      <c r="B704" s="32" t="s">
        <v>2435</v>
      </c>
      <c r="C704" s="32" t="s">
        <v>1149</v>
      </c>
      <c r="D704" s="33">
        <v>0</v>
      </c>
      <c r="E704" s="33" t="s">
        <v>1639</v>
      </c>
      <c r="F704" s="33">
        <v>129</v>
      </c>
      <c r="G704" s="33">
        <v>79</v>
      </c>
      <c r="H704" s="33" t="s">
        <v>1639</v>
      </c>
      <c r="I704" s="33">
        <v>219</v>
      </c>
      <c r="K704" t="b">
        <f>QHPSelections2016[[#This Row],[County Name]]=P704</f>
        <v>1</v>
      </c>
      <c r="L704" t="b">
        <f>QHPSelections2016[[#This Row],[Silver]]=S704</f>
        <v>1</v>
      </c>
      <c r="N704">
        <v>18161</v>
      </c>
      <c r="O704" t="s">
        <v>2435</v>
      </c>
      <c r="P704" t="s">
        <v>1149</v>
      </c>
      <c r="Q704">
        <v>0</v>
      </c>
      <c r="S704">
        <v>129</v>
      </c>
      <c r="T704">
        <v>79</v>
      </c>
      <c r="V704">
        <v>219</v>
      </c>
    </row>
    <row r="705" spans="1:22">
      <c r="A705" s="32" t="s">
        <v>2546</v>
      </c>
      <c r="B705" s="32" t="s">
        <v>2435</v>
      </c>
      <c r="C705" s="32" t="s">
        <v>2547</v>
      </c>
      <c r="D705" s="33">
        <v>0</v>
      </c>
      <c r="E705" s="33">
        <v>229</v>
      </c>
      <c r="F705" s="33">
        <v>3688</v>
      </c>
      <c r="G705" s="33">
        <v>2166</v>
      </c>
      <c r="H705" s="33">
        <v>37</v>
      </c>
      <c r="I705" s="33">
        <v>6120</v>
      </c>
      <c r="K705" t="b">
        <f>QHPSelections2016[[#This Row],[County Name]]=P705</f>
        <v>1</v>
      </c>
      <c r="L705" t="b">
        <f>QHPSelections2016[[#This Row],[Silver]]=S705</f>
        <v>1</v>
      </c>
      <c r="N705">
        <v>18163</v>
      </c>
      <c r="O705" t="s">
        <v>2435</v>
      </c>
      <c r="P705" t="s">
        <v>2547</v>
      </c>
      <c r="Q705">
        <v>0</v>
      </c>
      <c r="R705">
        <v>229</v>
      </c>
      <c r="S705" s="51">
        <v>3688</v>
      </c>
      <c r="T705" s="51">
        <v>2166</v>
      </c>
      <c r="U705">
        <v>37</v>
      </c>
      <c r="V705" s="51">
        <v>6120</v>
      </c>
    </row>
    <row r="706" spans="1:22">
      <c r="A706" s="32" t="s">
        <v>2548</v>
      </c>
      <c r="B706" s="32" t="s">
        <v>2435</v>
      </c>
      <c r="C706" s="32" t="s">
        <v>2549</v>
      </c>
      <c r="D706" s="33">
        <v>0</v>
      </c>
      <c r="E706" s="33" t="s">
        <v>1639</v>
      </c>
      <c r="F706" s="33">
        <v>257</v>
      </c>
      <c r="G706" s="33">
        <v>166</v>
      </c>
      <c r="H706" s="33" t="s">
        <v>1639</v>
      </c>
      <c r="I706" s="33">
        <v>450</v>
      </c>
      <c r="K706" t="b">
        <f>QHPSelections2016[[#This Row],[County Name]]=P706</f>
        <v>1</v>
      </c>
      <c r="L706" t="b">
        <f>QHPSelections2016[[#This Row],[Silver]]=S706</f>
        <v>1</v>
      </c>
      <c r="N706">
        <v>18165</v>
      </c>
      <c r="O706" t="s">
        <v>2435</v>
      </c>
      <c r="P706" t="s">
        <v>2549</v>
      </c>
      <c r="Q706">
        <v>0</v>
      </c>
      <c r="S706">
        <v>257</v>
      </c>
      <c r="T706">
        <v>166</v>
      </c>
      <c r="V706">
        <v>450</v>
      </c>
    </row>
    <row r="707" spans="1:22">
      <c r="A707" s="32" t="s">
        <v>2550</v>
      </c>
      <c r="B707" s="32" t="s">
        <v>2435</v>
      </c>
      <c r="C707" s="32" t="s">
        <v>2551</v>
      </c>
      <c r="D707" s="33">
        <v>0</v>
      </c>
      <c r="E707" s="33" t="s">
        <v>1639</v>
      </c>
      <c r="F707" s="33">
        <v>1941</v>
      </c>
      <c r="G707" s="33">
        <v>997</v>
      </c>
      <c r="H707" s="33" t="s">
        <v>1639</v>
      </c>
      <c r="I707" s="33">
        <v>3101</v>
      </c>
      <c r="K707" t="b">
        <f>QHPSelections2016[[#This Row],[County Name]]=P707</f>
        <v>1</v>
      </c>
      <c r="L707" t="b">
        <f>QHPSelections2016[[#This Row],[Silver]]=S707</f>
        <v>1</v>
      </c>
      <c r="N707">
        <v>18167</v>
      </c>
      <c r="O707" t="s">
        <v>2435</v>
      </c>
      <c r="P707" t="s">
        <v>2551</v>
      </c>
      <c r="Q707">
        <v>0</v>
      </c>
      <c r="S707" s="51">
        <v>1941</v>
      </c>
      <c r="T707">
        <v>997</v>
      </c>
      <c r="V707" s="51">
        <v>3101</v>
      </c>
    </row>
    <row r="708" spans="1:22">
      <c r="A708" s="32" t="s">
        <v>2552</v>
      </c>
      <c r="B708" s="32" t="s">
        <v>2435</v>
      </c>
      <c r="C708" s="32" t="s">
        <v>2421</v>
      </c>
      <c r="D708" s="33">
        <v>0</v>
      </c>
      <c r="E708" s="33" t="s">
        <v>1639</v>
      </c>
      <c r="F708" s="33">
        <v>586</v>
      </c>
      <c r="G708" s="33">
        <v>397</v>
      </c>
      <c r="H708" s="33" t="s">
        <v>1639</v>
      </c>
      <c r="I708" s="33">
        <v>1016</v>
      </c>
      <c r="K708" t="b">
        <f>QHPSelections2016[[#This Row],[County Name]]=P708</f>
        <v>1</v>
      </c>
      <c r="L708" t="b">
        <f>QHPSelections2016[[#This Row],[Silver]]=S708</f>
        <v>1</v>
      </c>
      <c r="N708">
        <v>18169</v>
      </c>
      <c r="O708" t="s">
        <v>2435</v>
      </c>
      <c r="P708" t="s">
        <v>2421</v>
      </c>
      <c r="Q708">
        <v>0</v>
      </c>
      <c r="S708">
        <v>586</v>
      </c>
      <c r="T708">
        <v>397</v>
      </c>
      <c r="V708" s="51">
        <v>1016</v>
      </c>
    </row>
    <row r="709" spans="1:22">
      <c r="A709" s="32" t="s">
        <v>2553</v>
      </c>
      <c r="B709" s="32" t="s">
        <v>2435</v>
      </c>
      <c r="C709" s="32" t="s">
        <v>1205</v>
      </c>
      <c r="D709" s="33">
        <v>0</v>
      </c>
      <c r="E709" s="33" t="s">
        <v>1639</v>
      </c>
      <c r="F709" s="33">
        <v>224</v>
      </c>
      <c r="G709" s="33">
        <v>42</v>
      </c>
      <c r="H709" s="33" t="s">
        <v>1639</v>
      </c>
      <c r="I709" s="33">
        <v>278</v>
      </c>
      <c r="K709" t="b">
        <f>QHPSelections2016[[#This Row],[County Name]]=P709</f>
        <v>1</v>
      </c>
      <c r="L709" t="b">
        <f>QHPSelections2016[[#This Row],[Silver]]=S709</f>
        <v>1</v>
      </c>
      <c r="N709">
        <v>18171</v>
      </c>
      <c r="O709" t="s">
        <v>2435</v>
      </c>
      <c r="P709" t="s">
        <v>1205</v>
      </c>
      <c r="Q709">
        <v>0</v>
      </c>
      <c r="S709">
        <v>224</v>
      </c>
      <c r="T709">
        <v>42</v>
      </c>
      <c r="V709">
        <v>278</v>
      </c>
    </row>
    <row r="710" spans="1:22">
      <c r="A710" s="32" t="s">
        <v>2554</v>
      </c>
      <c r="B710" s="32" t="s">
        <v>2435</v>
      </c>
      <c r="C710" s="32" t="s">
        <v>2555</v>
      </c>
      <c r="D710" s="33">
        <v>0</v>
      </c>
      <c r="E710" s="33" t="s">
        <v>1639</v>
      </c>
      <c r="F710" s="33">
        <v>1306</v>
      </c>
      <c r="G710" s="33">
        <v>862</v>
      </c>
      <c r="H710" s="33" t="s">
        <v>1639</v>
      </c>
      <c r="I710" s="33">
        <v>2252</v>
      </c>
      <c r="K710" t="b">
        <f>QHPSelections2016[[#This Row],[County Name]]=P710</f>
        <v>1</v>
      </c>
      <c r="L710" t="b">
        <f>QHPSelections2016[[#This Row],[Silver]]=S710</f>
        <v>1</v>
      </c>
      <c r="N710">
        <v>18173</v>
      </c>
      <c r="O710" t="s">
        <v>2435</v>
      </c>
      <c r="P710" t="s">
        <v>2555</v>
      </c>
      <c r="Q710">
        <v>0</v>
      </c>
      <c r="S710" s="51">
        <v>1306</v>
      </c>
      <c r="T710">
        <v>862</v>
      </c>
      <c r="V710" s="51">
        <v>2252</v>
      </c>
    </row>
    <row r="711" spans="1:22">
      <c r="A711" s="32" t="s">
        <v>2556</v>
      </c>
      <c r="B711" s="32" t="s">
        <v>2435</v>
      </c>
      <c r="C711" s="32" t="s">
        <v>1160</v>
      </c>
      <c r="D711" s="33">
        <v>0</v>
      </c>
      <c r="E711" s="33" t="s">
        <v>1639</v>
      </c>
      <c r="F711" s="33">
        <v>675</v>
      </c>
      <c r="G711" s="33">
        <v>208</v>
      </c>
      <c r="H711" s="33" t="s">
        <v>1639</v>
      </c>
      <c r="I711" s="33">
        <v>932</v>
      </c>
      <c r="K711" t="b">
        <f>QHPSelections2016[[#This Row],[County Name]]=P711</f>
        <v>1</v>
      </c>
      <c r="L711" t="b">
        <f>QHPSelections2016[[#This Row],[Silver]]=S711</f>
        <v>1</v>
      </c>
      <c r="N711">
        <v>18175</v>
      </c>
      <c r="O711" t="s">
        <v>2435</v>
      </c>
      <c r="P711" t="s">
        <v>1160</v>
      </c>
      <c r="Q711">
        <v>0</v>
      </c>
      <c r="S711">
        <v>675</v>
      </c>
      <c r="T711">
        <v>208</v>
      </c>
      <c r="V711">
        <v>932</v>
      </c>
    </row>
    <row r="712" spans="1:22">
      <c r="A712" s="32" t="s">
        <v>2557</v>
      </c>
      <c r="B712" s="32" t="s">
        <v>2435</v>
      </c>
      <c r="C712" s="32" t="s">
        <v>1209</v>
      </c>
      <c r="D712" s="33">
        <v>0</v>
      </c>
      <c r="E712" s="33">
        <v>36</v>
      </c>
      <c r="F712" s="33">
        <v>753</v>
      </c>
      <c r="G712" s="33">
        <v>564</v>
      </c>
      <c r="H712" s="33">
        <v>11</v>
      </c>
      <c r="I712" s="33">
        <v>1364</v>
      </c>
      <c r="K712" t="b">
        <f>QHPSelections2016[[#This Row],[County Name]]=P712</f>
        <v>1</v>
      </c>
      <c r="L712" t="b">
        <f>QHPSelections2016[[#This Row],[Silver]]=S712</f>
        <v>1</v>
      </c>
      <c r="N712">
        <v>18177</v>
      </c>
      <c r="O712" t="s">
        <v>2435</v>
      </c>
      <c r="P712" t="s">
        <v>1209</v>
      </c>
      <c r="Q712">
        <v>0</v>
      </c>
      <c r="R712">
        <v>36</v>
      </c>
      <c r="S712">
        <v>753</v>
      </c>
      <c r="T712">
        <v>564</v>
      </c>
      <c r="U712">
        <v>11</v>
      </c>
      <c r="V712" s="51">
        <v>1364</v>
      </c>
    </row>
    <row r="713" spans="1:22">
      <c r="A713" s="32" t="s">
        <v>2558</v>
      </c>
      <c r="B713" s="32" t="s">
        <v>2435</v>
      </c>
      <c r="C713" s="32" t="s">
        <v>2559</v>
      </c>
      <c r="D713" s="33">
        <v>0</v>
      </c>
      <c r="E713" s="33" t="s">
        <v>1639</v>
      </c>
      <c r="F713" s="33">
        <v>439</v>
      </c>
      <c r="G713" s="33">
        <v>353</v>
      </c>
      <c r="H713" s="33" t="s">
        <v>1639</v>
      </c>
      <c r="I713" s="33">
        <v>807</v>
      </c>
      <c r="K713" t="b">
        <f>QHPSelections2016[[#This Row],[County Name]]=P713</f>
        <v>1</v>
      </c>
      <c r="L713" t="b">
        <f>QHPSelections2016[[#This Row],[Silver]]=S713</f>
        <v>1</v>
      </c>
      <c r="N713">
        <v>18179</v>
      </c>
      <c r="O713" t="s">
        <v>2435</v>
      </c>
      <c r="P713" t="s">
        <v>2559</v>
      </c>
      <c r="Q713">
        <v>0</v>
      </c>
      <c r="S713">
        <v>439</v>
      </c>
      <c r="T713">
        <v>353</v>
      </c>
      <c r="V713">
        <v>807</v>
      </c>
    </row>
    <row r="714" spans="1:22">
      <c r="A714" s="32" t="s">
        <v>2560</v>
      </c>
      <c r="B714" s="32" t="s">
        <v>2435</v>
      </c>
      <c r="C714" s="32" t="s">
        <v>1258</v>
      </c>
      <c r="D714" s="33">
        <v>0</v>
      </c>
      <c r="E714" s="33" t="s">
        <v>1639</v>
      </c>
      <c r="F714" s="33">
        <v>481</v>
      </c>
      <c r="G714" s="33">
        <v>320</v>
      </c>
      <c r="H714" s="33" t="s">
        <v>1639</v>
      </c>
      <c r="I714" s="33">
        <v>859</v>
      </c>
      <c r="K714" t="b">
        <f>QHPSelections2016[[#This Row],[County Name]]=P714</f>
        <v>1</v>
      </c>
      <c r="L714" t="b">
        <f>QHPSelections2016[[#This Row],[Silver]]=S714</f>
        <v>1</v>
      </c>
      <c r="N714">
        <v>18181</v>
      </c>
      <c r="O714" t="s">
        <v>2435</v>
      </c>
      <c r="P714" t="s">
        <v>1258</v>
      </c>
      <c r="Q714">
        <v>0</v>
      </c>
      <c r="S714">
        <v>481</v>
      </c>
      <c r="T714">
        <v>320</v>
      </c>
      <c r="V714">
        <v>859</v>
      </c>
    </row>
    <row r="715" spans="1:22">
      <c r="A715" s="32" t="s">
        <v>2561</v>
      </c>
      <c r="B715" s="32" t="s">
        <v>2435</v>
      </c>
      <c r="C715" s="32" t="s">
        <v>2562</v>
      </c>
      <c r="D715" s="33">
        <v>0</v>
      </c>
      <c r="E715" s="33" t="s">
        <v>1639</v>
      </c>
      <c r="F715" s="33">
        <v>620</v>
      </c>
      <c r="G715" s="33">
        <v>408</v>
      </c>
      <c r="H715" s="33" t="s">
        <v>1639</v>
      </c>
      <c r="I715" s="33">
        <v>1057</v>
      </c>
      <c r="K715" t="b">
        <f>QHPSelections2016[[#This Row],[County Name]]=P715</f>
        <v>1</v>
      </c>
      <c r="L715" t="b">
        <f>QHPSelections2016[[#This Row],[Silver]]=S715</f>
        <v>1</v>
      </c>
      <c r="N715">
        <v>18183</v>
      </c>
      <c r="O715" t="s">
        <v>2435</v>
      </c>
      <c r="P715" t="s">
        <v>2562</v>
      </c>
      <c r="Q715">
        <v>0</v>
      </c>
      <c r="S715">
        <v>620</v>
      </c>
      <c r="T715">
        <v>408</v>
      </c>
      <c r="V715" s="51">
        <v>1057</v>
      </c>
    </row>
    <row r="716" spans="1:22">
      <c r="A716" s="32" t="s">
        <v>2563</v>
      </c>
      <c r="B716" s="32" t="s">
        <v>2564</v>
      </c>
      <c r="C716" s="32" t="s">
        <v>2437</v>
      </c>
      <c r="D716" s="33" t="s">
        <v>1639</v>
      </c>
      <c r="E716" s="33" t="s">
        <v>1639</v>
      </c>
      <c r="F716" s="33">
        <v>427</v>
      </c>
      <c r="G716" s="33">
        <v>59</v>
      </c>
      <c r="H716" s="33">
        <v>0</v>
      </c>
      <c r="I716" s="33">
        <v>519</v>
      </c>
      <c r="K716" t="b">
        <f>QHPSelections2016[[#This Row],[County Name]]=P716</f>
        <v>1</v>
      </c>
      <c r="L716" t="b">
        <f>QHPSelections2016[[#This Row],[Silver]]=S716</f>
        <v>1</v>
      </c>
      <c r="N716">
        <v>20001</v>
      </c>
      <c r="O716" t="s">
        <v>2564</v>
      </c>
      <c r="P716" t="s">
        <v>2437</v>
      </c>
      <c r="S716">
        <v>427</v>
      </c>
      <c r="T716">
        <v>59</v>
      </c>
      <c r="U716">
        <v>0</v>
      </c>
      <c r="V716">
        <v>519</v>
      </c>
    </row>
    <row r="717" spans="1:22">
      <c r="A717" s="32" t="s">
        <v>2565</v>
      </c>
      <c r="B717" s="32" t="s">
        <v>2564</v>
      </c>
      <c r="C717" s="32" t="s">
        <v>822</v>
      </c>
      <c r="D717" s="33" t="s">
        <v>1639</v>
      </c>
      <c r="E717" s="33" t="s">
        <v>1639</v>
      </c>
      <c r="F717" s="33">
        <v>223</v>
      </c>
      <c r="G717" s="33">
        <v>79</v>
      </c>
      <c r="H717" s="33">
        <v>0</v>
      </c>
      <c r="I717" s="33">
        <v>325</v>
      </c>
      <c r="K717" t="b">
        <f>QHPSelections2016[[#This Row],[County Name]]=P717</f>
        <v>1</v>
      </c>
      <c r="L717" t="b">
        <f>QHPSelections2016[[#This Row],[Silver]]=S717</f>
        <v>1</v>
      </c>
      <c r="N717">
        <v>20003</v>
      </c>
      <c r="O717" t="s">
        <v>2564</v>
      </c>
      <c r="P717" t="s">
        <v>822</v>
      </c>
      <c r="S717">
        <v>223</v>
      </c>
      <c r="T717">
        <v>79</v>
      </c>
      <c r="U717">
        <v>0</v>
      </c>
      <c r="V717">
        <v>325</v>
      </c>
    </row>
    <row r="718" spans="1:22">
      <c r="A718" s="32" t="s">
        <v>2566</v>
      </c>
      <c r="B718" s="32" t="s">
        <v>2564</v>
      </c>
      <c r="C718" s="32" t="s">
        <v>2567</v>
      </c>
      <c r="D718" s="33">
        <v>11</v>
      </c>
      <c r="E718" s="33">
        <v>23</v>
      </c>
      <c r="F718" s="33">
        <v>342</v>
      </c>
      <c r="G718" s="33">
        <v>109</v>
      </c>
      <c r="H718" s="33">
        <v>0</v>
      </c>
      <c r="I718" s="33">
        <v>485</v>
      </c>
      <c r="K718" t="b">
        <f>QHPSelections2016[[#This Row],[County Name]]=P718</f>
        <v>1</v>
      </c>
      <c r="L718" t="b">
        <f>QHPSelections2016[[#This Row],[Silver]]=S718</f>
        <v>1</v>
      </c>
      <c r="N718">
        <v>20005</v>
      </c>
      <c r="O718" t="s">
        <v>2564</v>
      </c>
      <c r="P718" t="s">
        <v>2567</v>
      </c>
      <c r="Q718">
        <v>11</v>
      </c>
      <c r="R718">
        <v>23</v>
      </c>
      <c r="S718">
        <v>342</v>
      </c>
      <c r="T718">
        <v>109</v>
      </c>
      <c r="U718">
        <v>0</v>
      </c>
      <c r="V718">
        <v>485</v>
      </c>
    </row>
    <row r="719" spans="1:22">
      <c r="A719" s="32" t="s">
        <v>2568</v>
      </c>
      <c r="B719" s="32" t="s">
        <v>2564</v>
      </c>
      <c r="C719" s="32" t="s">
        <v>2569</v>
      </c>
      <c r="D719" s="33" t="s">
        <v>1639</v>
      </c>
      <c r="E719" s="33" t="s">
        <v>1639</v>
      </c>
      <c r="F719" s="33">
        <v>121</v>
      </c>
      <c r="G719" s="33">
        <v>28</v>
      </c>
      <c r="H719" s="33">
        <v>0</v>
      </c>
      <c r="I719" s="33">
        <v>170</v>
      </c>
      <c r="K719" t="b">
        <f>QHPSelections2016[[#This Row],[County Name]]=P719</f>
        <v>1</v>
      </c>
      <c r="L719" t="b">
        <f>QHPSelections2016[[#This Row],[Silver]]=S719</f>
        <v>1</v>
      </c>
      <c r="N719">
        <v>20007</v>
      </c>
      <c r="O719" t="s">
        <v>2564</v>
      </c>
      <c r="P719" t="s">
        <v>2569</v>
      </c>
      <c r="S719">
        <v>121</v>
      </c>
      <c r="T719">
        <v>28</v>
      </c>
      <c r="U719">
        <v>0</v>
      </c>
      <c r="V719">
        <v>170</v>
      </c>
    </row>
    <row r="720" spans="1:22">
      <c r="A720" s="32" t="s">
        <v>2570</v>
      </c>
      <c r="B720" s="32" t="s">
        <v>2564</v>
      </c>
      <c r="C720" s="32" t="s">
        <v>2571</v>
      </c>
      <c r="D720" s="33">
        <v>12</v>
      </c>
      <c r="E720" s="33">
        <v>71</v>
      </c>
      <c r="F720" s="33">
        <v>663</v>
      </c>
      <c r="G720" s="33">
        <v>168</v>
      </c>
      <c r="H720" s="33">
        <v>0</v>
      </c>
      <c r="I720" s="33">
        <v>914</v>
      </c>
      <c r="K720" t="b">
        <f>QHPSelections2016[[#This Row],[County Name]]=P720</f>
        <v>1</v>
      </c>
      <c r="L720" t="b">
        <f>QHPSelections2016[[#This Row],[Silver]]=S720</f>
        <v>1</v>
      </c>
      <c r="N720">
        <v>20009</v>
      </c>
      <c r="O720" t="s">
        <v>2564</v>
      </c>
      <c r="P720" t="s">
        <v>2571</v>
      </c>
      <c r="Q720">
        <v>12</v>
      </c>
      <c r="R720">
        <v>71</v>
      </c>
      <c r="S720">
        <v>663</v>
      </c>
      <c r="T720">
        <v>168</v>
      </c>
      <c r="U720">
        <v>0</v>
      </c>
      <c r="V720">
        <v>914</v>
      </c>
    </row>
    <row r="721" spans="1:22">
      <c r="A721" s="32" t="s">
        <v>2572</v>
      </c>
      <c r="B721" s="32" t="s">
        <v>2564</v>
      </c>
      <c r="C721" s="32" t="s">
        <v>2573</v>
      </c>
      <c r="D721" s="33" t="s">
        <v>1639</v>
      </c>
      <c r="E721" s="33" t="s">
        <v>1639</v>
      </c>
      <c r="F721" s="33">
        <v>479</v>
      </c>
      <c r="G721" s="33">
        <v>85</v>
      </c>
      <c r="H721" s="33">
        <v>0</v>
      </c>
      <c r="I721" s="33">
        <v>603</v>
      </c>
      <c r="K721" t="b">
        <f>QHPSelections2016[[#This Row],[County Name]]=P721</f>
        <v>1</v>
      </c>
      <c r="L721" t="b">
        <f>QHPSelections2016[[#This Row],[Silver]]=S721</f>
        <v>1</v>
      </c>
      <c r="N721">
        <v>20011</v>
      </c>
      <c r="O721" t="s">
        <v>2564</v>
      </c>
      <c r="P721" t="s">
        <v>2573</v>
      </c>
      <c r="S721">
        <v>479</v>
      </c>
      <c r="T721">
        <v>85</v>
      </c>
      <c r="U721">
        <v>0</v>
      </c>
      <c r="V721">
        <v>603</v>
      </c>
    </row>
    <row r="722" spans="1:22">
      <c r="A722" s="32" t="s">
        <v>2574</v>
      </c>
      <c r="B722" s="32" t="s">
        <v>2564</v>
      </c>
      <c r="C722" s="32" t="s">
        <v>963</v>
      </c>
      <c r="D722" s="33">
        <v>12</v>
      </c>
      <c r="E722" s="33">
        <v>27</v>
      </c>
      <c r="F722" s="33">
        <v>220</v>
      </c>
      <c r="G722" s="33">
        <v>56</v>
      </c>
      <c r="H722" s="33">
        <v>0</v>
      </c>
      <c r="I722" s="33">
        <v>315</v>
      </c>
      <c r="K722" t="b">
        <f>QHPSelections2016[[#This Row],[County Name]]=P722</f>
        <v>1</v>
      </c>
      <c r="L722" t="b">
        <f>QHPSelections2016[[#This Row],[Silver]]=S722</f>
        <v>1</v>
      </c>
      <c r="N722">
        <v>20013</v>
      </c>
      <c r="O722" t="s">
        <v>2564</v>
      </c>
      <c r="P722" t="s">
        <v>963</v>
      </c>
      <c r="Q722">
        <v>12</v>
      </c>
      <c r="R722">
        <v>27</v>
      </c>
      <c r="S722">
        <v>220</v>
      </c>
      <c r="T722">
        <v>56</v>
      </c>
      <c r="U722">
        <v>0</v>
      </c>
      <c r="V722">
        <v>315</v>
      </c>
    </row>
    <row r="723" spans="1:22">
      <c r="A723" s="32" t="s">
        <v>2575</v>
      </c>
      <c r="B723" s="32" t="s">
        <v>2564</v>
      </c>
      <c r="C723" s="32" t="s">
        <v>854</v>
      </c>
      <c r="D723" s="33">
        <v>30</v>
      </c>
      <c r="E723" s="33">
        <v>187</v>
      </c>
      <c r="F723" s="33">
        <v>1504</v>
      </c>
      <c r="G723" s="33">
        <v>365</v>
      </c>
      <c r="H723" s="33">
        <v>0</v>
      </c>
      <c r="I723" s="33">
        <v>2086</v>
      </c>
      <c r="K723" t="b">
        <f>QHPSelections2016[[#This Row],[County Name]]=P723</f>
        <v>1</v>
      </c>
      <c r="L723" t="b">
        <f>QHPSelections2016[[#This Row],[Silver]]=S723</f>
        <v>1</v>
      </c>
      <c r="N723">
        <v>20015</v>
      </c>
      <c r="O723" t="s">
        <v>2564</v>
      </c>
      <c r="P723" t="s">
        <v>854</v>
      </c>
      <c r="Q723">
        <v>30</v>
      </c>
      <c r="R723">
        <v>187</v>
      </c>
      <c r="S723" s="51">
        <v>1504</v>
      </c>
      <c r="T723">
        <v>365</v>
      </c>
      <c r="U723">
        <v>0</v>
      </c>
      <c r="V723" s="51">
        <v>2086</v>
      </c>
    </row>
    <row r="724" spans="1:22">
      <c r="A724" s="32" t="s">
        <v>2576</v>
      </c>
      <c r="B724" s="32" t="s">
        <v>2564</v>
      </c>
      <c r="C724" s="32" t="s">
        <v>2577</v>
      </c>
      <c r="D724" s="33" t="s">
        <v>1639</v>
      </c>
      <c r="E724" s="33" t="s">
        <v>1639</v>
      </c>
      <c r="F724" s="33">
        <v>83</v>
      </c>
      <c r="G724" s="33">
        <v>17</v>
      </c>
      <c r="H724" s="33">
        <v>0</v>
      </c>
      <c r="I724" s="33">
        <v>106</v>
      </c>
      <c r="K724" t="b">
        <f>QHPSelections2016[[#This Row],[County Name]]=P724</f>
        <v>1</v>
      </c>
      <c r="L724" t="b">
        <f>QHPSelections2016[[#This Row],[Silver]]=S724</f>
        <v>1</v>
      </c>
      <c r="N724">
        <v>20017</v>
      </c>
      <c r="O724" t="s">
        <v>2564</v>
      </c>
      <c r="P724" t="s">
        <v>2577</v>
      </c>
      <c r="S724">
        <v>83</v>
      </c>
      <c r="T724">
        <v>17</v>
      </c>
      <c r="U724">
        <v>0</v>
      </c>
      <c r="V724">
        <v>106</v>
      </c>
    </row>
    <row r="725" spans="1:22">
      <c r="A725" s="32" t="s">
        <v>2578</v>
      </c>
      <c r="B725" s="32" t="s">
        <v>2564</v>
      </c>
      <c r="C725" s="32" t="s">
        <v>2579</v>
      </c>
      <c r="D725" s="33" t="s">
        <v>1639</v>
      </c>
      <c r="E725" s="33" t="s">
        <v>1639</v>
      </c>
      <c r="F725" s="33">
        <v>89</v>
      </c>
      <c r="G725" s="33">
        <v>28</v>
      </c>
      <c r="H725" s="33">
        <v>0</v>
      </c>
      <c r="I725" s="33">
        <v>130</v>
      </c>
      <c r="K725" t="b">
        <f>QHPSelections2016[[#This Row],[County Name]]=P725</f>
        <v>1</v>
      </c>
      <c r="L725" t="b">
        <f>QHPSelections2016[[#This Row],[Silver]]=S725</f>
        <v>1</v>
      </c>
      <c r="N725">
        <v>20019</v>
      </c>
      <c r="O725" t="s">
        <v>2564</v>
      </c>
      <c r="P725" t="s">
        <v>2579</v>
      </c>
      <c r="S725">
        <v>89</v>
      </c>
      <c r="T725">
        <v>28</v>
      </c>
      <c r="U725">
        <v>0</v>
      </c>
      <c r="V725">
        <v>130</v>
      </c>
    </row>
    <row r="726" spans="1:22">
      <c r="A726" s="32" t="s">
        <v>2580</v>
      </c>
      <c r="B726" s="32" t="s">
        <v>2564</v>
      </c>
      <c r="C726" s="32" t="s">
        <v>872</v>
      </c>
      <c r="D726" s="33" t="s">
        <v>1639</v>
      </c>
      <c r="E726" s="33" t="s">
        <v>1639</v>
      </c>
      <c r="F726" s="33">
        <v>381</v>
      </c>
      <c r="G726" s="33">
        <v>82</v>
      </c>
      <c r="H726" s="33">
        <v>0</v>
      </c>
      <c r="I726" s="33">
        <v>496</v>
      </c>
      <c r="K726" t="b">
        <f>QHPSelections2016[[#This Row],[County Name]]=P726</f>
        <v>1</v>
      </c>
      <c r="L726" t="b">
        <f>QHPSelections2016[[#This Row],[Silver]]=S726</f>
        <v>1</v>
      </c>
      <c r="N726">
        <v>20021</v>
      </c>
      <c r="O726" t="s">
        <v>2564</v>
      </c>
      <c r="P726" t="s">
        <v>872</v>
      </c>
      <c r="S726">
        <v>381</v>
      </c>
      <c r="T726">
        <v>82</v>
      </c>
      <c r="U726">
        <v>0</v>
      </c>
      <c r="V726">
        <v>496</v>
      </c>
    </row>
    <row r="727" spans="1:22">
      <c r="A727" s="32" t="s">
        <v>2581</v>
      </c>
      <c r="B727" s="32" t="s">
        <v>2564</v>
      </c>
      <c r="C727" s="32" t="s">
        <v>2582</v>
      </c>
      <c r="D727" s="33" t="s">
        <v>1639</v>
      </c>
      <c r="E727" s="33" t="s">
        <v>1639</v>
      </c>
      <c r="F727" s="33">
        <v>53</v>
      </c>
      <c r="G727" s="33">
        <v>13</v>
      </c>
      <c r="H727" s="33">
        <v>0</v>
      </c>
      <c r="I727" s="33">
        <v>75</v>
      </c>
      <c r="K727" t="b">
        <f>QHPSelections2016[[#This Row],[County Name]]=P727</f>
        <v>1</v>
      </c>
      <c r="L727" t="b">
        <f>QHPSelections2016[[#This Row],[Silver]]=S727</f>
        <v>1</v>
      </c>
      <c r="N727">
        <v>20023</v>
      </c>
      <c r="O727" t="s">
        <v>2564</v>
      </c>
      <c r="P727" t="s">
        <v>2582</v>
      </c>
      <c r="S727">
        <v>53</v>
      </c>
      <c r="T727">
        <v>13</v>
      </c>
      <c r="U727">
        <v>0</v>
      </c>
      <c r="V727">
        <v>75</v>
      </c>
    </row>
    <row r="728" spans="1:22">
      <c r="A728" s="32" t="s">
        <v>2583</v>
      </c>
      <c r="B728" s="32" t="s">
        <v>2564</v>
      </c>
      <c r="C728" s="32" t="s">
        <v>1777</v>
      </c>
      <c r="D728" s="33" t="s">
        <v>1639</v>
      </c>
      <c r="E728" s="33" t="s">
        <v>1639</v>
      </c>
      <c r="F728" s="33">
        <v>47</v>
      </c>
      <c r="G728" s="33" t="s">
        <v>1639</v>
      </c>
      <c r="H728" s="33">
        <v>0</v>
      </c>
      <c r="I728" s="33">
        <v>60</v>
      </c>
      <c r="K728" t="b">
        <f>QHPSelections2016[[#This Row],[County Name]]=P728</f>
        <v>1</v>
      </c>
      <c r="L728" t="b">
        <f>QHPSelections2016[[#This Row],[Silver]]=S728</f>
        <v>1</v>
      </c>
      <c r="N728">
        <v>20025</v>
      </c>
      <c r="O728" t="s">
        <v>2564</v>
      </c>
      <c r="P728" t="s">
        <v>1777</v>
      </c>
      <c r="S728">
        <v>47</v>
      </c>
      <c r="U728">
        <v>0</v>
      </c>
      <c r="V728">
        <v>60</v>
      </c>
    </row>
    <row r="729" spans="1:22">
      <c r="A729" s="32" t="s">
        <v>2584</v>
      </c>
      <c r="B729" s="32" t="s">
        <v>2564</v>
      </c>
      <c r="C729" s="32" t="s">
        <v>873</v>
      </c>
      <c r="D729" s="33" t="s">
        <v>1639</v>
      </c>
      <c r="E729" s="33" t="s">
        <v>1639</v>
      </c>
      <c r="F729" s="33">
        <v>171</v>
      </c>
      <c r="G729" s="33">
        <v>45</v>
      </c>
      <c r="H729" s="33">
        <v>0</v>
      </c>
      <c r="I729" s="33">
        <v>240</v>
      </c>
      <c r="K729" t="b">
        <f>QHPSelections2016[[#This Row],[County Name]]=P729</f>
        <v>1</v>
      </c>
      <c r="L729" t="b">
        <f>QHPSelections2016[[#This Row],[Silver]]=S729</f>
        <v>1</v>
      </c>
      <c r="N729">
        <v>20027</v>
      </c>
      <c r="O729" t="s">
        <v>2564</v>
      </c>
      <c r="P729" t="s">
        <v>873</v>
      </c>
      <c r="S729">
        <v>171</v>
      </c>
      <c r="T729">
        <v>45</v>
      </c>
      <c r="U729">
        <v>0</v>
      </c>
      <c r="V729">
        <v>240</v>
      </c>
    </row>
    <row r="730" spans="1:22">
      <c r="A730" s="32" t="s">
        <v>2585</v>
      </c>
      <c r="B730" s="32" t="s">
        <v>2564</v>
      </c>
      <c r="C730" s="32" t="s">
        <v>2586</v>
      </c>
      <c r="D730" s="33" t="s">
        <v>1639</v>
      </c>
      <c r="E730" s="33" t="s">
        <v>1639</v>
      </c>
      <c r="F730" s="33">
        <v>224</v>
      </c>
      <c r="G730" s="33">
        <v>46</v>
      </c>
      <c r="H730" s="33">
        <v>0</v>
      </c>
      <c r="I730" s="33">
        <v>301</v>
      </c>
      <c r="K730" t="b">
        <f>QHPSelections2016[[#This Row],[County Name]]=P730</f>
        <v>1</v>
      </c>
      <c r="L730" t="b">
        <f>QHPSelections2016[[#This Row],[Silver]]=S730</f>
        <v>1</v>
      </c>
      <c r="N730">
        <v>20029</v>
      </c>
      <c r="O730" t="s">
        <v>2564</v>
      </c>
      <c r="P730" t="s">
        <v>2586</v>
      </c>
      <c r="S730">
        <v>224</v>
      </c>
      <c r="T730">
        <v>46</v>
      </c>
      <c r="U730">
        <v>0</v>
      </c>
      <c r="V730">
        <v>301</v>
      </c>
    </row>
    <row r="731" spans="1:22">
      <c r="A731" s="32" t="s">
        <v>2587</v>
      </c>
      <c r="B731" s="32" t="s">
        <v>2564</v>
      </c>
      <c r="C731" s="32" t="s">
        <v>2588</v>
      </c>
      <c r="D731" s="33" t="s">
        <v>1639</v>
      </c>
      <c r="E731" s="33" t="s">
        <v>1639</v>
      </c>
      <c r="F731" s="33">
        <v>210</v>
      </c>
      <c r="G731" s="33">
        <v>55</v>
      </c>
      <c r="H731" s="33">
        <v>0</v>
      </c>
      <c r="I731" s="33">
        <v>298</v>
      </c>
      <c r="K731" t="b">
        <f>QHPSelections2016[[#This Row],[County Name]]=P731</f>
        <v>1</v>
      </c>
      <c r="L731" t="b">
        <f>QHPSelections2016[[#This Row],[Silver]]=S731</f>
        <v>1</v>
      </c>
      <c r="N731">
        <v>20031</v>
      </c>
      <c r="O731" t="s">
        <v>2564</v>
      </c>
      <c r="P731" t="s">
        <v>2588</v>
      </c>
      <c r="S731">
        <v>210</v>
      </c>
      <c r="T731">
        <v>55</v>
      </c>
      <c r="U731">
        <v>0</v>
      </c>
      <c r="V731">
        <v>298</v>
      </c>
    </row>
    <row r="732" spans="1:22">
      <c r="A732" s="32" t="s">
        <v>2589</v>
      </c>
      <c r="B732" s="32" t="s">
        <v>2564</v>
      </c>
      <c r="C732" s="32" t="s">
        <v>1071</v>
      </c>
      <c r="D732" s="33" t="s">
        <v>1639</v>
      </c>
      <c r="E732" s="33">
        <v>13</v>
      </c>
      <c r="F732" s="33">
        <v>52</v>
      </c>
      <c r="G732" s="33" t="s">
        <v>1639</v>
      </c>
      <c r="H732" s="33">
        <v>0</v>
      </c>
      <c r="I732" s="33">
        <v>75</v>
      </c>
      <c r="K732" t="b">
        <f>QHPSelections2016[[#This Row],[County Name]]=P732</f>
        <v>1</v>
      </c>
      <c r="L732" t="b">
        <f>QHPSelections2016[[#This Row],[Silver]]=S732</f>
        <v>1</v>
      </c>
      <c r="N732">
        <v>20033</v>
      </c>
      <c r="O732" t="s">
        <v>2564</v>
      </c>
      <c r="P732" t="s">
        <v>1071</v>
      </c>
      <c r="R732">
        <v>13</v>
      </c>
      <c r="S732">
        <v>52</v>
      </c>
      <c r="U732">
        <v>0</v>
      </c>
      <c r="V732">
        <v>75</v>
      </c>
    </row>
    <row r="733" spans="1:22">
      <c r="A733" s="32" t="s">
        <v>2590</v>
      </c>
      <c r="B733" s="32" t="s">
        <v>2564</v>
      </c>
      <c r="C733" s="32" t="s">
        <v>2591</v>
      </c>
      <c r="D733" s="33">
        <v>13</v>
      </c>
      <c r="E733" s="33">
        <v>83</v>
      </c>
      <c r="F733" s="33">
        <v>683</v>
      </c>
      <c r="G733" s="33">
        <v>147</v>
      </c>
      <c r="H733" s="33">
        <v>0</v>
      </c>
      <c r="I733" s="33">
        <v>926</v>
      </c>
      <c r="K733" t="b">
        <f>QHPSelections2016[[#This Row],[County Name]]=P733</f>
        <v>1</v>
      </c>
      <c r="L733" t="b">
        <f>QHPSelections2016[[#This Row],[Silver]]=S733</f>
        <v>1</v>
      </c>
      <c r="N733">
        <v>20035</v>
      </c>
      <c r="O733" t="s">
        <v>2564</v>
      </c>
      <c r="P733" t="s">
        <v>2591</v>
      </c>
      <c r="Q733">
        <v>13</v>
      </c>
      <c r="R733">
        <v>83</v>
      </c>
      <c r="S733">
        <v>683</v>
      </c>
      <c r="T733">
        <v>147</v>
      </c>
      <c r="U733">
        <v>0</v>
      </c>
      <c r="V733">
        <v>926</v>
      </c>
    </row>
    <row r="734" spans="1:22">
      <c r="A734" s="32" t="s">
        <v>2592</v>
      </c>
      <c r="B734" s="32" t="s">
        <v>2564</v>
      </c>
      <c r="C734" s="32" t="s">
        <v>1030</v>
      </c>
      <c r="D734" s="33">
        <v>13</v>
      </c>
      <c r="E734" s="33">
        <v>95</v>
      </c>
      <c r="F734" s="33">
        <v>828</v>
      </c>
      <c r="G734" s="33">
        <v>186</v>
      </c>
      <c r="H734" s="33">
        <v>0</v>
      </c>
      <c r="I734" s="33">
        <v>1122</v>
      </c>
      <c r="K734" t="b">
        <f>QHPSelections2016[[#This Row],[County Name]]=P734</f>
        <v>1</v>
      </c>
      <c r="L734" t="b">
        <f>QHPSelections2016[[#This Row],[Silver]]=S734</f>
        <v>1</v>
      </c>
      <c r="N734">
        <v>20037</v>
      </c>
      <c r="O734" t="s">
        <v>2564</v>
      </c>
      <c r="P734" t="s">
        <v>1030</v>
      </c>
      <c r="Q734">
        <v>13</v>
      </c>
      <c r="R734">
        <v>95</v>
      </c>
      <c r="S734">
        <v>828</v>
      </c>
      <c r="T734">
        <v>186</v>
      </c>
      <c r="U734">
        <v>0</v>
      </c>
      <c r="V734" s="51">
        <v>1122</v>
      </c>
    </row>
    <row r="735" spans="1:22">
      <c r="A735" s="32" t="s">
        <v>2593</v>
      </c>
      <c r="B735" s="32" t="s">
        <v>2564</v>
      </c>
      <c r="C735" s="32" t="s">
        <v>932</v>
      </c>
      <c r="D735" s="33" t="s">
        <v>1639</v>
      </c>
      <c r="E735" s="33" t="s">
        <v>1639</v>
      </c>
      <c r="F735" s="33">
        <v>94</v>
      </c>
      <c r="G735" s="33">
        <v>21</v>
      </c>
      <c r="H735" s="33">
        <v>0</v>
      </c>
      <c r="I735" s="33">
        <v>122</v>
      </c>
      <c r="K735" t="b">
        <f>QHPSelections2016[[#This Row],[County Name]]=P735</f>
        <v>1</v>
      </c>
      <c r="L735" t="b">
        <f>QHPSelections2016[[#This Row],[Silver]]=S735</f>
        <v>1</v>
      </c>
      <c r="N735">
        <v>20039</v>
      </c>
      <c r="O735" t="s">
        <v>2564</v>
      </c>
      <c r="P735" t="s">
        <v>932</v>
      </c>
      <c r="S735">
        <v>94</v>
      </c>
      <c r="T735">
        <v>21</v>
      </c>
      <c r="U735">
        <v>0</v>
      </c>
      <c r="V735">
        <v>122</v>
      </c>
    </row>
    <row r="736" spans="1:22">
      <c r="A736" s="32" t="s">
        <v>2594</v>
      </c>
      <c r="B736" s="32" t="s">
        <v>2564</v>
      </c>
      <c r="C736" s="32" t="s">
        <v>2189</v>
      </c>
      <c r="D736" s="33" t="s">
        <v>1639</v>
      </c>
      <c r="E736" s="33" t="s">
        <v>1639</v>
      </c>
      <c r="F736" s="33">
        <v>527</v>
      </c>
      <c r="G736" s="33">
        <v>91</v>
      </c>
      <c r="H736" s="33">
        <v>0</v>
      </c>
      <c r="I736" s="33">
        <v>686</v>
      </c>
      <c r="K736" t="b">
        <f>QHPSelections2016[[#This Row],[County Name]]=P736</f>
        <v>1</v>
      </c>
      <c r="L736" t="b">
        <f>QHPSelections2016[[#This Row],[Silver]]=S736</f>
        <v>1</v>
      </c>
      <c r="N736">
        <v>20041</v>
      </c>
      <c r="O736" t="s">
        <v>2564</v>
      </c>
      <c r="P736" t="s">
        <v>2189</v>
      </c>
      <c r="S736">
        <v>527</v>
      </c>
      <c r="T736">
        <v>91</v>
      </c>
      <c r="U736">
        <v>0</v>
      </c>
      <c r="V736">
        <v>686</v>
      </c>
    </row>
    <row r="737" spans="1:22">
      <c r="A737" s="32" t="s">
        <v>2595</v>
      </c>
      <c r="B737" s="32" t="s">
        <v>2564</v>
      </c>
      <c r="C737" s="32" t="s">
        <v>2596</v>
      </c>
      <c r="D737" s="33" t="s">
        <v>1639</v>
      </c>
      <c r="E737" s="33" t="s">
        <v>1639</v>
      </c>
      <c r="F737" s="33">
        <v>180</v>
      </c>
      <c r="G737" s="33">
        <v>32</v>
      </c>
      <c r="H737" s="33">
        <v>0</v>
      </c>
      <c r="I737" s="33">
        <v>235</v>
      </c>
      <c r="K737" t="b">
        <f>QHPSelections2016[[#This Row],[County Name]]=P737</f>
        <v>1</v>
      </c>
      <c r="L737" t="b">
        <f>QHPSelections2016[[#This Row],[Silver]]=S737</f>
        <v>1</v>
      </c>
      <c r="N737">
        <v>20043</v>
      </c>
      <c r="O737" t="s">
        <v>2564</v>
      </c>
      <c r="P737" t="s">
        <v>2596</v>
      </c>
      <c r="S737">
        <v>180</v>
      </c>
      <c r="T737">
        <v>32</v>
      </c>
      <c r="U737">
        <v>0</v>
      </c>
      <c r="V737">
        <v>235</v>
      </c>
    </row>
    <row r="738" spans="1:22">
      <c r="A738" s="32" t="s">
        <v>2597</v>
      </c>
      <c r="B738" s="32" t="s">
        <v>2564</v>
      </c>
      <c r="C738" s="32" t="s">
        <v>1073</v>
      </c>
      <c r="D738" s="33">
        <v>133</v>
      </c>
      <c r="E738" s="33">
        <v>530</v>
      </c>
      <c r="F738" s="33">
        <v>3619</v>
      </c>
      <c r="G738" s="33">
        <v>1050</v>
      </c>
      <c r="H738" s="33">
        <v>0</v>
      </c>
      <c r="I738" s="33">
        <v>5332</v>
      </c>
      <c r="K738" t="b">
        <f>QHPSelections2016[[#This Row],[County Name]]=P738</f>
        <v>1</v>
      </c>
      <c r="L738" t="b">
        <f>QHPSelections2016[[#This Row],[Silver]]=S738</f>
        <v>1</v>
      </c>
      <c r="N738">
        <v>20045</v>
      </c>
      <c r="O738" t="s">
        <v>2564</v>
      </c>
      <c r="P738" t="s">
        <v>1073</v>
      </c>
      <c r="Q738">
        <v>133</v>
      </c>
      <c r="R738">
        <v>530</v>
      </c>
      <c r="S738" s="51">
        <v>3619</v>
      </c>
      <c r="T738" s="51">
        <v>1050</v>
      </c>
      <c r="U738">
        <v>0</v>
      </c>
      <c r="V738" s="51">
        <v>5332</v>
      </c>
    </row>
    <row r="739" spans="1:22">
      <c r="A739" s="32" t="s">
        <v>2598</v>
      </c>
      <c r="B739" s="32" t="s">
        <v>2564</v>
      </c>
      <c r="C739" s="32" t="s">
        <v>1184</v>
      </c>
      <c r="D739" s="33">
        <v>0</v>
      </c>
      <c r="E739" s="33" t="s">
        <v>1639</v>
      </c>
      <c r="F739" s="33">
        <v>69</v>
      </c>
      <c r="G739" s="33" t="s">
        <v>1639</v>
      </c>
      <c r="H739" s="33">
        <v>0</v>
      </c>
      <c r="I739" s="33">
        <v>86</v>
      </c>
      <c r="K739" t="b">
        <f>QHPSelections2016[[#This Row],[County Name]]=P739</f>
        <v>1</v>
      </c>
      <c r="L739" t="b">
        <f>QHPSelections2016[[#This Row],[Silver]]=S739</f>
        <v>1</v>
      </c>
      <c r="N739">
        <v>20047</v>
      </c>
      <c r="O739" t="s">
        <v>2564</v>
      </c>
      <c r="P739" t="s">
        <v>1184</v>
      </c>
      <c r="Q739">
        <v>0</v>
      </c>
      <c r="S739">
        <v>69</v>
      </c>
      <c r="U739">
        <v>0</v>
      </c>
      <c r="V739">
        <v>86</v>
      </c>
    </row>
    <row r="740" spans="1:22">
      <c r="A740" s="32" t="s">
        <v>2599</v>
      </c>
      <c r="B740" s="32" t="s">
        <v>2564</v>
      </c>
      <c r="C740" s="32" t="s">
        <v>2600</v>
      </c>
      <c r="D740" s="33" t="s">
        <v>1639</v>
      </c>
      <c r="E740" s="33" t="s">
        <v>1639</v>
      </c>
      <c r="F740" s="33">
        <v>134</v>
      </c>
      <c r="G740" s="33">
        <v>18</v>
      </c>
      <c r="H740" s="33">
        <v>0</v>
      </c>
      <c r="I740" s="33">
        <v>158</v>
      </c>
      <c r="K740" t="b">
        <f>QHPSelections2016[[#This Row],[County Name]]=P740</f>
        <v>1</v>
      </c>
      <c r="L740" t="b">
        <f>QHPSelections2016[[#This Row],[Silver]]=S740</f>
        <v>1</v>
      </c>
      <c r="N740">
        <v>20049</v>
      </c>
      <c r="O740" t="s">
        <v>2564</v>
      </c>
      <c r="P740" t="s">
        <v>2600</v>
      </c>
      <c r="S740">
        <v>134</v>
      </c>
      <c r="T740">
        <v>18</v>
      </c>
      <c r="U740">
        <v>0</v>
      </c>
      <c r="V740">
        <v>158</v>
      </c>
    </row>
    <row r="741" spans="1:22">
      <c r="A741" s="32" t="s">
        <v>2601</v>
      </c>
      <c r="B741" s="32" t="s">
        <v>2564</v>
      </c>
      <c r="C741" s="32" t="s">
        <v>1187</v>
      </c>
      <c r="D741" s="33">
        <v>18</v>
      </c>
      <c r="E741" s="33">
        <v>76</v>
      </c>
      <c r="F741" s="33">
        <v>588</v>
      </c>
      <c r="G741" s="33">
        <v>138</v>
      </c>
      <c r="H741" s="33">
        <v>0</v>
      </c>
      <c r="I741" s="33">
        <v>820</v>
      </c>
      <c r="K741" t="b">
        <f>QHPSelections2016[[#This Row],[County Name]]=P741</f>
        <v>1</v>
      </c>
      <c r="L741" t="b">
        <f>QHPSelections2016[[#This Row],[Silver]]=S741</f>
        <v>1</v>
      </c>
      <c r="N741">
        <v>20051</v>
      </c>
      <c r="O741" t="s">
        <v>2564</v>
      </c>
      <c r="P741" t="s">
        <v>1187</v>
      </c>
      <c r="Q741">
        <v>18</v>
      </c>
      <c r="R741">
        <v>76</v>
      </c>
      <c r="S741">
        <v>588</v>
      </c>
      <c r="T741">
        <v>138</v>
      </c>
      <c r="U741">
        <v>0</v>
      </c>
      <c r="V741">
        <v>820</v>
      </c>
    </row>
    <row r="742" spans="1:22">
      <c r="A742" s="32" t="s">
        <v>2602</v>
      </c>
      <c r="B742" s="32" t="s">
        <v>2564</v>
      </c>
      <c r="C742" s="32" t="s">
        <v>2603</v>
      </c>
      <c r="D742" s="33" t="s">
        <v>1639</v>
      </c>
      <c r="E742" s="33" t="s">
        <v>1639</v>
      </c>
      <c r="F742" s="33">
        <v>170</v>
      </c>
      <c r="G742" s="33">
        <v>27</v>
      </c>
      <c r="H742" s="33">
        <v>0</v>
      </c>
      <c r="I742" s="33">
        <v>222</v>
      </c>
      <c r="K742" t="b">
        <f>QHPSelections2016[[#This Row],[County Name]]=P742</f>
        <v>1</v>
      </c>
      <c r="L742" t="b">
        <f>QHPSelections2016[[#This Row],[Silver]]=S742</f>
        <v>1</v>
      </c>
      <c r="N742">
        <v>20053</v>
      </c>
      <c r="O742" t="s">
        <v>2564</v>
      </c>
      <c r="P742" t="s">
        <v>2603</v>
      </c>
      <c r="S742">
        <v>170</v>
      </c>
      <c r="T742">
        <v>27</v>
      </c>
      <c r="U742">
        <v>0</v>
      </c>
      <c r="V742">
        <v>222</v>
      </c>
    </row>
    <row r="743" spans="1:22">
      <c r="A743" s="32" t="s">
        <v>2604</v>
      </c>
      <c r="B743" s="32" t="s">
        <v>2564</v>
      </c>
      <c r="C743" s="32" t="s">
        <v>2605</v>
      </c>
      <c r="D743" s="33">
        <v>13</v>
      </c>
      <c r="E743" s="33">
        <v>96</v>
      </c>
      <c r="F743" s="33">
        <v>874</v>
      </c>
      <c r="G743" s="33">
        <v>167</v>
      </c>
      <c r="H743" s="33">
        <v>0</v>
      </c>
      <c r="I743" s="33">
        <v>1150</v>
      </c>
      <c r="K743" t="b">
        <f>QHPSelections2016[[#This Row],[County Name]]=P743</f>
        <v>1</v>
      </c>
      <c r="L743" t="b">
        <f>QHPSelections2016[[#This Row],[Silver]]=S743</f>
        <v>1</v>
      </c>
      <c r="N743">
        <v>20055</v>
      </c>
      <c r="O743" t="s">
        <v>2564</v>
      </c>
      <c r="P743" t="s">
        <v>2605</v>
      </c>
      <c r="Q743">
        <v>13</v>
      </c>
      <c r="R743">
        <v>96</v>
      </c>
      <c r="S743">
        <v>874</v>
      </c>
      <c r="T743">
        <v>167</v>
      </c>
      <c r="U743">
        <v>0</v>
      </c>
      <c r="V743" s="51">
        <v>1150</v>
      </c>
    </row>
    <row r="744" spans="1:22">
      <c r="A744" s="32" t="s">
        <v>2606</v>
      </c>
      <c r="B744" s="32" t="s">
        <v>2564</v>
      </c>
      <c r="C744" s="32" t="s">
        <v>2328</v>
      </c>
      <c r="D744" s="33" t="s">
        <v>1639</v>
      </c>
      <c r="E744" s="33" t="s">
        <v>1639</v>
      </c>
      <c r="F744" s="33">
        <v>567</v>
      </c>
      <c r="G744" s="33">
        <v>136</v>
      </c>
      <c r="H744" s="33">
        <v>0</v>
      </c>
      <c r="I744" s="33">
        <v>780</v>
      </c>
      <c r="K744" t="b">
        <f>QHPSelections2016[[#This Row],[County Name]]=P744</f>
        <v>1</v>
      </c>
      <c r="L744" t="b">
        <f>QHPSelections2016[[#This Row],[Silver]]=S744</f>
        <v>1</v>
      </c>
      <c r="N744">
        <v>20057</v>
      </c>
      <c r="O744" t="s">
        <v>2564</v>
      </c>
      <c r="P744" t="s">
        <v>2328</v>
      </c>
      <c r="S744">
        <v>567</v>
      </c>
      <c r="T744">
        <v>136</v>
      </c>
      <c r="U744">
        <v>0</v>
      </c>
      <c r="V744">
        <v>780</v>
      </c>
    </row>
    <row r="745" spans="1:22">
      <c r="A745" s="32" t="s">
        <v>2607</v>
      </c>
      <c r="B745" s="32" t="s">
        <v>2564</v>
      </c>
      <c r="C745" s="32" t="s">
        <v>919</v>
      </c>
      <c r="D745" s="33" t="s">
        <v>1639</v>
      </c>
      <c r="E745" s="33" t="s">
        <v>1639</v>
      </c>
      <c r="F745" s="33">
        <v>802</v>
      </c>
      <c r="G745" s="33">
        <v>205</v>
      </c>
      <c r="H745" s="33">
        <v>0</v>
      </c>
      <c r="I745" s="33">
        <v>1070</v>
      </c>
      <c r="K745" t="b">
        <f>QHPSelections2016[[#This Row],[County Name]]=P745</f>
        <v>1</v>
      </c>
      <c r="L745" t="b">
        <f>QHPSelections2016[[#This Row],[Silver]]=S745</f>
        <v>1</v>
      </c>
      <c r="N745">
        <v>20059</v>
      </c>
      <c r="O745" t="s">
        <v>2564</v>
      </c>
      <c r="P745" t="s">
        <v>919</v>
      </c>
      <c r="S745">
        <v>802</v>
      </c>
      <c r="T745">
        <v>205</v>
      </c>
      <c r="U745">
        <v>0</v>
      </c>
      <c r="V745" s="51">
        <v>1070</v>
      </c>
    </row>
    <row r="746" spans="1:22">
      <c r="A746" s="32" t="s">
        <v>2608</v>
      </c>
      <c r="B746" s="32" t="s">
        <v>2564</v>
      </c>
      <c r="C746" s="32" t="s">
        <v>2609</v>
      </c>
      <c r="D746" s="33">
        <v>15</v>
      </c>
      <c r="E746" s="33">
        <v>32</v>
      </c>
      <c r="F746" s="33">
        <v>433</v>
      </c>
      <c r="G746" s="33">
        <v>105</v>
      </c>
      <c r="H746" s="33">
        <v>0</v>
      </c>
      <c r="I746" s="33">
        <v>585</v>
      </c>
      <c r="K746" t="b">
        <f>QHPSelections2016[[#This Row],[County Name]]=P746</f>
        <v>1</v>
      </c>
      <c r="L746" t="b">
        <f>QHPSelections2016[[#This Row],[Silver]]=S746</f>
        <v>1</v>
      </c>
      <c r="N746">
        <v>20061</v>
      </c>
      <c r="O746" t="s">
        <v>2564</v>
      </c>
      <c r="P746" t="s">
        <v>2609</v>
      </c>
      <c r="Q746">
        <v>15</v>
      </c>
      <c r="R746">
        <v>32</v>
      </c>
      <c r="S746">
        <v>433</v>
      </c>
      <c r="T746">
        <v>105</v>
      </c>
      <c r="U746">
        <v>0</v>
      </c>
      <c r="V746">
        <v>585</v>
      </c>
    </row>
    <row r="747" spans="1:22">
      <c r="A747" s="32" t="s">
        <v>2610</v>
      </c>
      <c r="B747" s="32" t="s">
        <v>2564</v>
      </c>
      <c r="C747" s="32" t="s">
        <v>2611</v>
      </c>
      <c r="D747" s="33" t="s">
        <v>1639</v>
      </c>
      <c r="E747" s="33">
        <v>21</v>
      </c>
      <c r="F747" s="33">
        <v>90</v>
      </c>
      <c r="G747" s="33" t="s">
        <v>1639</v>
      </c>
      <c r="H747" s="33">
        <v>0</v>
      </c>
      <c r="I747" s="33">
        <v>131</v>
      </c>
      <c r="K747" t="b">
        <f>QHPSelections2016[[#This Row],[County Name]]=P747</f>
        <v>1</v>
      </c>
      <c r="L747" t="b">
        <f>QHPSelections2016[[#This Row],[Silver]]=S747</f>
        <v>1</v>
      </c>
      <c r="N747">
        <v>20063</v>
      </c>
      <c r="O747" t="s">
        <v>2564</v>
      </c>
      <c r="P747" t="s">
        <v>2611</v>
      </c>
      <c r="R747">
        <v>21</v>
      </c>
      <c r="S747">
        <v>90</v>
      </c>
      <c r="U747">
        <v>0</v>
      </c>
      <c r="V747">
        <v>131</v>
      </c>
    </row>
    <row r="748" spans="1:22">
      <c r="A748" s="32" t="s">
        <v>2612</v>
      </c>
      <c r="B748" s="32" t="s">
        <v>2564</v>
      </c>
      <c r="C748" s="32" t="s">
        <v>1026</v>
      </c>
      <c r="D748" s="33" t="s">
        <v>1639</v>
      </c>
      <c r="E748" s="33" t="s">
        <v>1639</v>
      </c>
      <c r="F748" s="33">
        <v>60</v>
      </c>
      <c r="G748" s="33">
        <v>20</v>
      </c>
      <c r="H748" s="33">
        <v>0</v>
      </c>
      <c r="I748" s="33">
        <v>89</v>
      </c>
      <c r="K748" t="b">
        <f>QHPSelections2016[[#This Row],[County Name]]=P748</f>
        <v>1</v>
      </c>
      <c r="L748" t="b">
        <f>QHPSelections2016[[#This Row],[Silver]]=S748</f>
        <v>1</v>
      </c>
      <c r="N748">
        <v>20065</v>
      </c>
      <c r="O748" t="s">
        <v>2564</v>
      </c>
      <c r="P748" t="s">
        <v>1026</v>
      </c>
      <c r="S748">
        <v>60</v>
      </c>
      <c r="T748">
        <v>20</v>
      </c>
      <c r="U748">
        <v>0</v>
      </c>
      <c r="V748">
        <v>89</v>
      </c>
    </row>
    <row r="749" spans="1:22">
      <c r="A749" s="32" t="s">
        <v>2613</v>
      </c>
      <c r="B749" s="32" t="s">
        <v>2564</v>
      </c>
      <c r="C749" s="32" t="s">
        <v>1803</v>
      </c>
      <c r="D749" s="33" t="s">
        <v>1639</v>
      </c>
      <c r="E749" s="33" t="s">
        <v>1639</v>
      </c>
      <c r="F749" s="33">
        <v>152</v>
      </c>
      <c r="G749" s="33">
        <v>35</v>
      </c>
      <c r="H749" s="33">
        <v>0</v>
      </c>
      <c r="I749" s="33">
        <v>222</v>
      </c>
      <c r="K749" t="b">
        <f>QHPSelections2016[[#This Row],[County Name]]=P749</f>
        <v>1</v>
      </c>
      <c r="L749" t="b">
        <f>QHPSelections2016[[#This Row],[Silver]]=S749</f>
        <v>1</v>
      </c>
      <c r="N749">
        <v>20067</v>
      </c>
      <c r="O749" t="s">
        <v>2564</v>
      </c>
      <c r="P749" t="s">
        <v>1803</v>
      </c>
      <c r="S749">
        <v>152</v>
      </c>
      <c r="T749">
        <v>35</v>
      </c>
      <c r="U749">
        <v>0</v>
      </c>
      <c r="V749">
        <v>222</v>
      </c>
    </row>
    <row r="750" spans="1:22">
      <c r="A750" s="32" t="s">
        <v>2614</v>
      </c>
      <c r="B750" s="32" t="s">
        <v>2564</v>
      </c>
      <c r="C750" s="32" t="s">
        <v>1250</v>
      </c>
      <c r="D750" s="33" t="s">
        <v>1639</v>
      </c>
      <c r="E750" s="33" t="s">
        <v>1639</v>
      </c>
      <c r="F750" s="33">
        <v>118</v>
      </c>
      <c r="G750" s="33">
        <v>40</v>
      </c>
      <c r="H750" s="33">
        <v>0</v>
      </c>
      <c r="I750" s="33">
        <v>176</v>
      </c>
      <c r="K750" t="b">
        <f>QHPSelections2016[[#This Row],[County Name]]=P750</f>
        <v>1</v>
      </c>
      <c r="L750" t="b">
        <f>QHPSelections2016[[#This Row],[Silver]]=S750</f>
        <v>1</v>
      </c>
      <c r="N750">
        <v>20069</v>
      </c>
      <c r="O750" t="s">
        <v>2564</v>
      </c>
      <c r="P750" t="s">
        <v>1250</v>
      </c>
      <c r="S750">
        <v>118</v>
      </c>
      <c r="T750">
        <v>40</v>
      </c>
      <c r="U750">
        <v>0</v>
      </c>
      <c r="V750">
        <v>176</v>
      </c>
    </row>
    <row r="751" spans="1:22">
      <c r="A751" s="32" t="s">
        <v>2615</v>
      </c>
      <c r="B751" s="32" t="s">
        <v>2564</v>
      </c>
      <c r="C751" s="32" t="s">
        <v>2616</v>
      </c>
      <c r="D751" s="33" t="s">
        <v>1639</v>
      </c>
      <c r="E751" s="33">
        <v>15</v>
      </c>
      <c r="F751" s="33">
        <v>31</v>
      </c>
      <c r="G751" s="33" t="s">
        <v>1639</v>
      </c>
      <c r="H751" s="33">
        <v>0</v>
      </c>
      <c r="I751" s="33">
        <v>58</v>
      </c>
      <c r="K751" t="b">
        <f>QHPSelections2016[[#This Row],[County Name]]=P751</f>
        <v>1</v>
      </c>
      <c r="L751" t="b">
        <f>QHPSelections2016[[#This Row],[Silver]]=S751</f>
        <v>1</v>
      </c>
      <c r="N751">
        <v>20071</v>
      </c>
      <c r="O751" t="s">
        <v>2564</v>
      </c>
      <c r="P751" t="s">
        <v>2616</v>
      </c>
      <c r="R751">
        <v>15</v>
      </c>
      <c r="S751">
        <v>31</v>
      </c>
      <c r="U751">
        <v>0</v>
      </c>
      <c r="V751">
        <v>58</v>
      </c>
    </row>
    <row r="752" spans="1:22">
      <c r="A752" s="32" t="s">
        <v>2617</v>
      </c>
      <c r="B752" s="32" t="s">
        <v>2564</v>
      </c>
      <c r="C752" s="32" t="s">
        <v>2618</v>
      </c>
      <c r="D752" s="33" t="s">
        <v>1639</v>
      </c>
      <c r="E752" s="33">
        <v>30</v>
      </c>
      <c r="F752" s="33">
        <v>176</v>
      </c>
      <c r="G752" s="33" t="s">
        <v>1639</v>
      </c>
      <c r="H752" s="33">
        <v>0</v>
      </c>
      <c r="I752" s="33">
        <v>229</v>
      </c>
      <c r="K752" t="b">
        <f>QHPSelections2016[[#This Row],[County Name]]=P752</f>
        <v>1</v>
      </c>
      <c r="L752" t="b">
        <f>QHPSelections2016[[#This Row],[Silver]]=S752</f>
        <v>1</v>
      </c>
      <c r="N752">
        <v>20073</v>
      </c>
      <c r="O752" t="s">
        <v>2564</v>
      </c>
      <c r="P752" t="s">
        <v>2618</v>
      </c>
      <c r="R752">
        <v>30</v>
      </c>
      <c r="S752">
        <v>176</v>
      </c>
      <c r="U752">
        <v>0</v>
      </c>
      <c r="V752">
        <v>229</v>
      </c>
    </row>
    <row r="753" spans="1:22">
      <c r="A753" s="32" t="s">
        <v>2619</v>
      </c>
      <c r="B753" s="32" t="s">
        <v>2564</v>
      </c>
      <c r="C753" s="32" t="s">
        <v>947</v>
      </c>
      <c r="D753" s="33" t="s">
        <v>1639</v>
      </c>
      <c r="E753" s="33" t="s">
        <v>1639</v>
      </c>
      <c r="F753" s="33">
        <v>70</v>
      </c>
      <c r="G753" s="33" t="s">
        <v>1639</v>
      </c>
      <c r="H753" s="33">
        <v>0</v>
      </c>
      <c r="I753" s="33">
        <v>86</v>
      </c>
      <c r="K753" t="b">
        <f>QHPSelections2016[[#This Row],[County Name]]=P753</f>
        <v>1</v>
      </c>
      <c r="L753" t="b">
        <f>QHPSelections2016[[#This Row],[Silver]]=S753</f>
        <v>1</v>
      </c>
      <c r="N753">
        <v>20075</v>
      </c>
      <c r="O753" t="s">
        <v>2564</v>
      </c>
      <c r="P753" t="s">
        <v>947</v>
      </c>
      <c r="S753">
        <v>70</v>
      </c>
      <c r="U753">
        <v>0</v>
      </c>
      <c r="V753">
        <v>86</v>
      </c>
    </row>
    <row r="754" spans="1:22">
      <c r="A754" s="32" t="s">
        <v>2620</v>
      </c>
      <c r="B754" s="32" t="s">
        <v>2564</v>
      </c>
      <c r="C754" s="32" t="s">
        <v>2621</v>
      </c>
      <c r="D754" s="33" t="s">
        <v>1639</v>
      </c>
      <c r="E754" s="33">
        <v>28</v>
      </c>
      <c r="F754" s="33">
        <v>160</v>
      </c>
      <c r="G754" s="33" t="s">
        <v>1639</v>
      </c>
      <c r="H754" s="33">
        <v>0</v>
      </c>
      <c r="I754" s="33">
        <v>219</v>
      </c>
      <c r="K754" t="b">
        <f>QHPSelections2016[[#This Row],[County Name]]=P754</f>
        <v>1</v>
      </c>
      <c r="L754" t="b">
        <f>QHPSelections2016[[#This Row],[Silver]]=S754</f>
        <v>1</v>
      </c>
      <c r="N754">
        <v>20077</v>
      </c>
      <c r="O754" t="s">
        <v>2564</v>
      </c>
      <c r="P754" t="s">
        <v>2621</v>
      </c>
      <c r="R754">
        <v>28</v>
      </c>
      <c r="S754">
        <v>160</v>
      </c>
      <c r="U754">
        <v>0</v>
      </c>
      <c r="V754">
        <v>219</v>
      </c>
    </row>
    <row r="755" spans="1:22">
      <c r="A755" s="32" t="s">
        <v>2622</v>
      </c>
      <c r="B755" s="32" t="s">
        <v>2564</v>
      </c>
      <c r="C755" s="32" t="s">
        <v>2623</v>
      </c>
      <c r="D755" s="33">
        <v>36</v>
      </c>
      <c r="E755" s="33">
        <v>121</v>
      </c>
      <c r="F755" s="33">
        <v>790</v>
      </c>
      <c r="G755" s="33">
        <v>143</v>
      </c>
      <c r="H755" s="33">
        <v>0</v>
      </c>
      <c r="I755" s="33">
        <v>1090</v>
      </c>
      <c r="K755" t="b">
        <f>QHPSelections2016[[#This Row],[County Name]]=P755</f>
        <v>1</v>
      </c>
      <c r="L755" t="b">
        <f>QHPSelections2016[[#This Row],[Silver]]=S755</f>
        <v>1</v>
      </c>
      <c r="N755">
        <v>20079</v>
      </c>
      <c r="O755" t="s">
        <v>2564</v>
      </c>
      <c r="P755" t="s">
        <v>2623</v>
      </c>
      <c r="Q755">
        <v>36</v>
      </c>
      <c r="R755">
        <v>121</v>
      </c>
      <c r="S755">
        <v>790</v>
      </c>
      <c r="T755">
        <v>143</v>
      </c>
      <c r="U755">
        <v>0</v>
      </c>
      <c r="V755" s="51">
        <v>1090</v>
      </c>
    </row>
    <row r="756" spans="1:22">
      <c r="A756" s="32" t="s">
        <v>2624</v>
      </c>
      <c r="B756" s="32" t="s">
        <v>2564</v>
      </c>
      <c r="C756" s="32" t="s">
        <v>1273</v>
      </c>
      <c r="D756" s="33" t="s">
        <v>1639</v>
      </c>
      <c r="E756" s="33">
        <v>16</v>
      </c>
      <c r="F756" s="33">
        <v>97</v>
      </c>
      <c r="G756" s="33" t="s">
        <v>1639</v>
      </c>
      <c r="H756" s="33">
        <v>0</v>
      </c>
      <c r="I756" s="33">
        <v>135</v>
      </c>
      <c r="K756" t="b">
        <f>QHPSelections2016[[#This Row],[County Name]]=P756</f>
        <v>1</v>
      </c>
      <c r="L756" t="b">
        <f>QHPSelections2016[[#This Row],[Silver]]=S756</f>
        <v>1</v>
      </c>
      <c r="N756">
        <v>20081</v>
      </c>
      <c r="O756" t="s">
        <v>2564</v>
      </c>
      <c r="P756" t="s">
        <v>1273</v>
      </c>
      <c r="R756">
        <v>16</v>
      </c>
      <c r="S756">
        <v>97</v>
      </c>
      <c r="U756">
        <v>0</v>
      </c>
      <c r="V756">
        <v>135</v>
      </c>
    </row>
    <row r="757" spans="1:22">
      <c r="A757" s="32" t="s">
        <v>2625</v>
      </c>
      <c r="B757" s="32" t="s">
        <v>2564</v>
      </c>
      <c r="C757" s="32" t="s">
        <v>2626</v>
      </c>
      <c r="D757" s="33" t="s">
        <v>1639</v>
      </c>
      <c r="E757" s="33" t="s">
        <v>1639</v>
      </c>
      <c r="F757" s="33">
        <v>60</v>
      </c>
      <c r="G757" s="33" t="s">
        <v>1639</v>
      </c>
      <c r="H757" s="33">
        <v>0</v>
      </c>
      <c r="I757" s="33">
        <v>78</v>
      </c>
      <c r="K757" t="b">
        <f>QHPSelections2016[[#This Row],[County Name]]=P757</f>
        <v>1</v>
      </c>
      <c r="L757" t="b">
        <f>QHPSelections2016[[#This Row],[Silver]]=S757</f>
        <v>1</v>
      </c>
      <c r="N757">
        <v>20083</v>
      </c>
      <c r="O757" t="s">
        <v>2564</v>
      </c>
      <c r="P757" t="s">
        <v>2626</v>
      </c>
      <c r="S757">
        <v>60</v>
      </c>
      <c r="U757">
        <v>0</v>
      </c>
      <c r="V757">
        <v>78</v>
      </c>
    </row>
    <row r="758" spans="1:22">
      <c r="A758" s="32" t="s">
        <v>2627</v>
      </c>
      <c r="B758" s="32" t="s">
        <v>2564</v>
      </c>
      <c r="C758" s="32" t="s">
        <v>984</v>
      </c>
      <c r="D758" s="33" t="s">
        <v>1639</v>
      </c>
      <c r="E758" s="33" t="s">
        <v>1639</v>
      </c>
      <c r="F758" s="33">
        <v>271</v>
      </c>
      <c r="G758" s="33">
        <v>76</v>
      </c>
      <c r="H758" s="33">
        <v>0</v>
      </c>
      <c r="I758" s="33">
        <v>375</v>
      </c>
      <c r="K758" t="b">
        <f>QHPSelections2016[[#This Row],[County Name]]=P758</f>
        <v>1</v>
      </c>
      <c r="L758" t="b">
        <f>QHPSelections2016[[#This Row],[Silver]]=S758</f>
        <v>1</v>
      </c>
      <c r="N758">
        <v>20085</v>
      </c>
      <c r="O758" t="s">
        <v>2564</v>
      </c>
      <c r="P758" t="s">
        <v>984</v>
      </c>
      <c r="S758">
        <v>271</v>
      </c>
      <c r="T758">
        <v>76</v>
      </c>
      <c r="U758">
        <v>0</v>
      </c>
      <c r="V758">
        <v>375</v>
      </c>
    </row>
    <row r="759" spans="1:22">
      <c r="A759" s="32" t="s">
        <v>2628</v>
      </c>
      <c r="B759" s="32" t="s">
        <v>2564</v>
      </c>
      <c r="C759" s="32" t="s">
        <v>993</v>
      </c>
      <c r="D759" s="33" t="s">
        <v>1639</v>
      </c>
      <c r="E759" s="33" t="s">
        <v>1639</v>
      </c>
      <c r="F759" s="33">
        <v>461</v>
      </c>
      <c r="G759" s="33">
        <v>101</v>
      </c>
      <c r="H759" s="33">
        <v>0</v>
      </c>
      <c r="I759" s="33">
        <v>641</v>
      </c>
      <c r="K759" t="b">
        <f>QHPSelections2016[[#This Row],[County Name]]=P759</f>
        <v>1</v>
      </c>
      <c r="L759" t="b">
        <f>QHPSelections2016[[#This Row],[Silver]]=S759</f>
        <v>1</v>
      </c>
      <c r="N759">
        <v>20087</v>
      </c>
      <c r="O759" t="s">
        <v>2564</v>
      </c>
      <c r="P759" t="s">
        <v>993</v>
      </c>
      <c r="S759">
        <v>461</v>
      </c>
      <c r="T759">
        <v>101</v>
      </c>
      <c r="U759">
        <v>0</v>
      </c>
      <c r="V759">
        <v>641</v>
      </c>
    </row>
    <row r="760" spans="1:22">
      <c r="A760" s="32" t="s">
        <v>2629</v>
      </c>
      <c r="B760" s="32" t="s">
        <v>2564</v>
      </c>
      <c r="C760" s="32" t="s">
        <v>2630</v>
      </c>
      <c r="D760" s="33" t="s">
        <v>1639</v>
      </c>
      <c r="E760" s="33" t="s">
        <v>1639</v>
      </c>
      <c r="F760" s="33">
        <v>109</v>
      </c>
      <c r="G760" s="33">
        <v>20</v>
      </c>
      <c r="H760" s="33">
        <v>0</v>
      </c>
      <c r="I760" s="33">
        <v>143</v>
      </c>
      <c r="K760" t="b">
        <f>QHPSelections2016[[#This Row],[County Name]]=P760</f>
        <v>1</v>
      </c>
      <c r="L760" t="b">
        <f>QHPSelections2016[[#This Row],[Silver]]=S760</f>
        <v>1</v>
      </c>
      <c r="N760">
        <v>20089</v>
      </c>
      <c r="O760" t="s">
        <v>2564</v>
      </c>
      <c r="P760" t="s">
        <v>2630</v>
      </c>
      <c r="S760">
        <v>109</v>
      </c>
      <c r="T760">
        <v>20</v>
      </c>
      <c r="U760">
        <v>0</v>
      </c>
      <c r="V760">
        <v>143</v>
      </c>
    </row>
    <row r="761" spans="1:22">
      <c r="A761" s="32" t="s">
        <v>2631</v>
      </c>
      <c r="B761" s="32" t="s">
        <v>2564</v>
      </c>
      <c r="C761" s="32" t="s">
        <v>1064</v>
      </c>
      <c r="D761" s="33">
        <v>0</v>
      </c>
      <c r="E761" s="33">
        <v>1661</v>
      </c>
      <c r="F761" s="33">
        <v>15679</v>
      </c>
      <c r="G761" s="33">
        <v>8725</v>
      </c>
      <c r="H761" s="33">
        <v>0</v>
      </c>
      <c r="I761" s="33">
        <v>26065</v>
      </c>
      <c r="K761" t="b">
        <f>QHPSelections2016[[#This Row],[County Name]]=P761</f>
        <v>1</v>
      </c>
      <c r="L761" t="b">
        <f>QHPSelections2016[[#This Row],[Silver]]=S761</f>
        <v>1</v>
      </c>
      <c r="N761">
        <v>20091</v>
      </c>
      <c r="O761" t="s">
        <v>2564</v>
      </c>
      <c r="P761" t="s">
        <v>1064</v>
      </c>
      <c r="Q761">
        <v>0</v>
      </c>
      <c r="R761" s="51">
        <v>1661</v>
      </c>
      <c r="S761" s="51">
        <v>15679</v>
      </c>
      <c r="T761" s="51">
        <v>8725</v>
      </c>
      <c r="U761">
        <v>0</v>
      </c>
      <c r="V761" s="51">
        <v>26065</v>
      </c>
    </row>
    <row r="762" spans="1:22">
      <c r="A762" s="32" t="s">
        <v>2632</v>
      </c>
      <c r="B762" s="32" t="s">
        <v>2564</v>
      </c>
      <c r="C762" s="32" t="s">
        <v>2633</v>
      </c>
      <c r="D762" s="33" t="s">
        <v>1639</v>
      </c>
      <c r="E762" s="33" t="s">
        <v>1639</v>
      </c>
      <c r="F762" s="33">
        <v>105</v>
      </c>
      <c r="G762" s="33">
        <v>23</v>
      </c>
      <c r="H762" s="33">
        <v>0</v>
      </c>
      <c r="I762" s="33">
        <v>141</v>
      </c>
      <c r="K762" t="b">
        <f>QHPSelections2016[[#This Row],[County Name]]=P762</f>
        <v>1</v>
      </c>
      <c r="L762" t="b">
        <f>QHPSelections2016[[#This Row],[Silver]]=S762</f>
        <v>1</v>
      </c>
      <c r="N762">
        <v>20093</v>
      </c>
      <c r="O762" t="s">
        <v>2564</v>
      </c>
      <c r="P762" t="s">
        <v>2633</v>
      </c>
      <c r="S762">
        <v>105</v>
      </c>
      <c r="T762">
        <v>23</v>
      </c>
      <c r="U762">
        <v>0</v>
      </c>
      <c r="V762">
        <v>141</v>
      </c>
    </row>
    <row r="763" spans="1:22">
      <c r="A763" s="32" t="s">
        <v>2634</v>
      </c>
      <c r="B763" s="32" t="s">
        <v>2564</v>
      </c>
      <c r="C763" s="32" t="s">
        <v>2635</v>
      </c>
      <c r="D763" s="33" t="s">
        <v>1639</v>
      </c>
      <c r="E763" s="33">
        <v>36</v>
      </c>
      <c r="F763" s="33">
        <v>198</v>
      </c>
      <c r="G763" s="33" t="s">
        <v>1639</v>
      </c>
      <c r="H763" s="33">
        <v>0</v>
      </c>
      <c r="I763" s="33">
        <v>273</v>
      </c>
      <c r="K763" t="b">
        <f>QHPSelections2016[[#This Row],[County Name]]=P763</f>
        <v>1</v>
      </c>
      <c r="L763" t="b">
        <f>QHPSelections2016[[#This Row],[Silver]]=S763</f>
        <v>1</v>
      </c>
      <c r="N763">
        <v>20095</v>
      </c>
      <c r="O763" t="s">
        <v>2564</v>
      </c>
      <c r="P763" t="s">
        <v>2635</v>
      </c>
      <c r="R763">
        <v>36</v>
      </c>
      <c r="S763">
        <v>198</v>
      </c>
      <c r="U763">
        <v>0</v>
      </c>
      <c r="V763">
        <v>273</v>
      </c>
    </row>
    <row r="764" spans="1:22">
      <c r="A764" s="32" t="s">
        <v>2636</v>
      </c>
      <c r="B764" s="32" t="s">
        <v>2564</v>
      </c>
      <c r="C764" s="32" t="s">
        <v>2637</v>
      </c>
      <c r="D764" s="33" t="s">
        <v>1639</v>
      </c>
      <c r="E764" s="33" t="s">
        <v>1639</v>
      </c>
      <c r="F764" s="33">
        <v>74</v>
      </c>
      <c r="G764" s="33">
        <v>12</v>
      </c>
      <c r="H764" s="33">
        <v>0</v>
      </c>
      <c r="I764" s="33">
        <v>90</v>
      </c>
      <c r="K764" t="b">
        <f>QHPSelections2016[[#This Row],[County Name]]=P764</f>
        <v>1</v>
      </c>
      <c r="L764" t="b">
        <f>QHPSelections2016[[#This Row],[Silver]]=S764</f>
        <v>1</v>
      </c>
      <c r="N764">
        <v>20097</v>
      </c>
      <c r="O764" t="s">
        <v>2564</v>
      </c>
      <c r="P764" t="s">
        <v>2637</v>
      </c>
      <c r="S764">
        <v>74</v>
      </c>
      <c r="T764">
        <v>12</v>
      </c>
      <c r="U764">
        <v>0</v>
      </c>
      <c r="V764">
        <v>90</v>
      </c>
    </row>
    <row r="765" spans="1:22">
      <c r="A765" s="32" t="s">
        <v>2638</v>
      </c>
      <c r="B765" s="32" t="s">
        <v>2564</v>
      </c>
      <c r="C765" s="32" t="s">
        <v>2639</v>
      </c>
      <c r="D765" s="33">
        <v>14</v>
      </c>
      <c r="E765" s="33">
        <v>39</v>
      </c>
      <c r="F765" s="33">
        <v>435</v>
      </c>
      <c r="G765" s="33">
        <v>76</v>
      </c>
      <c r="H765" s="33">
        <v>0</v>
      </c>
      <c r="I765" s="33">
        <v>564</v>
      </c>
      <c r="K765" t="b">
        <f>QHPSelections2016[[#This Row],[County Name]]=P765</f>
        <v>1</v>
      </c>
      <c r="L765" t="b">
        <f>QHPSelections2016[[#This Row],[Silver]]=S765</f>
        <v>1</v>
      </c>
      <c r="N765">
        <v>20099</v>
      </c>
      <c r="O765" t="s">
        <v>2564</v>
      </c>
      <c r="P765" t="s">
        <v>2639</v>
      </c>
      <c r="Q765">
        <v>14</v>
      </c>
      <c r="R765">
        <v>39</v>
      </c>
      <c r="S765">
        <v>435</v>
      </c>
      <c r="T765">
        <v>76</v>
      </c>
      <c r="U765">
        <v>0</v>
      </c>
      <c r="V765">
        <v>564</v>
      </c>
    </row>
    <row r="766" spans="1:22">
      <c r="A766" s="32" t="s">
        <v>2640</v>
      </c>
      <c r="B766" s="32" t="s">
        <v>2564</v>
      </c>
      <c r="C766" s="32" t="s">
        <v>2641</v>
      </c>
      <c r="D766" s="33" t="s">
        <v>1639</v>
      </c>
      <c r="E766" s="33">
        <v>12</v>
      </c>
      <c r="F766" s="33">
        <v>47</v>
      </c>
      <c r="G766" s="33" t="s">
        <v>1639</v>
      </c>
      <c r="H766" s="33">
        <v>0</v>
      </c>
      <c r="I766" s="33">
        <v>65</v>
      </c>
      <c r="K766" t="b">
        <f>QHPSelections2016[[#This Row],[County Name]]=P766</f>
        <v>1</v>
      </c>
      <c r="L766" t="b">
        <f>QHPSelections2016[[#This Row],[Silver]]=S766</f>
        <v>1</v>
      </c>
      <c r="N766">
        <v>20101</v>
      </c>
      <c r="O766" t="s">
        <v>2564</v>
      </c>
      <c r="P766" t="s">
        <v>2641</v>
      </c>
      <c r="R766">
        <v>12</v>
      </c>
      <c r="S766">
        <v>47</v>
      </c>
      <c r="U766">
        <v>0</v>
      </c>
      <c r="V766">
        <v>65</v>
      </c>
    </row>
    <row r="767" spans="1:22">
      <c r="A767" s="32" t="s">
        <v>2642</v>
      </c>
      <c r="B767" s="32" t="s">
        <v>2564</v>
      </c>
      <c r="C767" s="32" t="s">
        <v>2643</v>
      </c>
      <c r="D767" s="33">
        <v>39</v>
      </c>
      <c r="E767" s="33">
        <v>160</v>
      </c>
      <c r="F767" s="33">
        <v>1524</v>
      </c>
      <c r="G767" s="33">
        <v>392</v>
      </c>
      <c r="H767" s="33">
        <v>0</v>
      </c>
      <c r="I767" s="33">
        <v>2115</v>
      </c>
      <c r="K767" t="b">
        <f>QHPSelections2016[[#This Row],[County Name]]=P767</f>
        <v>1</v>
      </c>
      <c r="L767" t="b">
        <f>QHPSelections2016[[#This Row],[Silver]]=S767</f>
        <v>1</v>
      </c>
      <c r="N767">
        <v>20103</v>
      </c>
      <c r="O767" t="s">
        <v>2564</v>
      </c>
      <c r="P767" t="s">
        <v>2643</v>
      </c>
      <c r="Q767">
        <v>39</v>
      </c>
      <c r="R767">
        <v>160</v>
      </c>
      <c r="S767" s="51">
        <v>1524</v>
      </c>
      <c r="T767">
        <v>392</v>
      </c>
      <c r="U767">
        <v>0</v>
      </c>
      <c r="V767" s="51">
        <v>2115</v>
      </c>
    </row>
    <row r="768" spans="1:22">
      <c r="A768" s="32" t="s">
        <v>2644</v>
      </c>
      <c r="B768" s="32" t="s">
        <v>2564</v>
      </c>
      <c r="C768" s="32" t="s">
        <v>1051</v>
      </c>
      <c r="D768" s="33" t="s">
        <v>1639</v>
      </c>
      <c r="E768" s="33" t="s">
        <v>1639</v>
      </c>
      <c r="F768" s="33">
        <v>117</v>
      </c>
      <c r="G768" s="33">
        <v>12</v>
      </c>
      <c r="H768" s="33">
        <v>0</v>
      </c>
      <c r="I768" s="33">
        <v>140</v>
      </c>
      <c r="K768" t="b">
        <f>QHPSelections2016[[#This Row],[County Name]]=P768</f>
        <v>1</v>
      </c>
      <c r="L768" t="b">
        <f>QHPSelections2016[[#This Row],[Silver]]=S768</f>
        <v>1</v>
      </c>
      <c r="N768">
        <v>20105</v>
      </c>
      <c r="O768" t="s">
        <v>2564</v>
      </c>
      <c r="P768" t="s">
        <v>1051</v>
      </c>
      <c r="S768">
        <v>117</v>
      </c>
      <c r="T768">
        <v>12</v>
      </c>
      <c r="U768">
        <v>0</v>
      </c>
      <c r="V768">
        <v>140</v>
      </c>
    </row>
    <row r="769" spans="1:22">
      <c r="A769" s="32" t="s">
        <v>2645</v>
      </c>
      <c r="B769" s="32" t="s">
        <v>2564</v>
      </c>
      <c r="C769" s="32" t="s">
        <v>2226</v>
      </c>
      <c r="D769" s="33" t="s">
        <v>1639</v>
      </c>
      <c r="E769" s="33" t="s">
        <v>1639</v>
      </c>
      <c r="F769" s="33">
        <v>258</v>
      </c>
      <c r="G769" s="33">
        <v>74</v>
      </c>
      <c r="H769" s="33">
        <v>0</v>
      </c>
      <c r="I769" s="33">
        <v>367</v>
      </c>
      <c r="K769" t="b">
        <f>QHPSelections2016[[#This Row],[County Name]]=P769</f>
        <v>1</v>
      </c>
      <c r="L769" t="b">
        <f>QHPSelections2016[[#This Row],[Silver]]=S769</f>
        <v>1</v>
      </c>
      <c r="N769">
        <v>20107</v>
      </c>
      <c r="O769" t="s">
        <v>2564</v>
      </c>
      <c r="P769" t="s">
        <v>2226</v>
      </c>
      <c r="S769">
        <v>258</v>
      </c>
      <c r="T769">
        <v>74</v>
      </c>
      <c r="U769">
        <v>0</v>
      </c>
      <c r="V769">
        <v>367</v>
      </c>
    </row>
    <row r="770" spans="1:22">
      <c r="A770" s="32" t="s">
        <v>2646</v>
      </c>
      <c r="B770" s="32" t="s">
        <v>2564</v>
      </c>
      <c r="C770" s="32" t="s">
        <v>1824</v>
      </c>
      <c r="D770" s="33" t="s">
        <v>1639</v>
      </c>
      <c r="E770" s="33" t="s">
        <v>1639</v>
      </c>
      <c r="F770" s="33">
        <v>76</v>
      </c>
      <c r="G770" s="33">
        <v>18</v>
      </c>
      <c r="H770" s="33">
        <v>0</v>
      </c>
      <c r="I770" s="33">
        <v>104</v>
      </c>
      <c r="K770" t="b">
        <f>QHPSelections2016[[#This Row],[County Name]]=P770</f>
        <v>1</v>
      </c>
      <c r="L770" t="b">
        <f>QHPSelections2016[[#This Row],[Silver]]=S770</f>
        <v>1</v>
      </c>
      <c r="N770">
        <v>20109</v>
      </c>
      <c r="O770" t="s">
        <v>2564</v>
      </c>
      <c r="P770" t="s">
        <v>1824</v>
      </c>
      <c r="S770">
        <v>76</v>
      </c>
      <c r="T770">
        <v>18</v>
      </c>
      <c r="U770">
        <v>0</v>
      </c>
      <c r="V770">
        <v>104</v>
      </c>
    </row>
    <row r="771" spans="1:22">
      <c r="A771" s="32" t="s">
        <v>2647</v>
      </c>
      <c r="B771" s="32" t="s">
        <v>2564</v>
      </c>
      <c r="C771" s="32" t="s">
        <v>2232</v>
      </c>
      <c r="D771" s="33" t="s">
        <v>1639</v>
      </c>
      <c r="E771" s="33" t="s">
        <v>1639</v>
      </c>
      <c r="F771" s="33">
        <v>898</v>
      </c>
      <c r="G771" s="33">
        <v>235</v>
      </c>
      <c r="H771" s="33">
        <v>0</v>
      </c>
      <c r="I771" s="33">
        <v>1186</v>
      </c>
      <c r="K771" t="b">
        <f>QHPSelections2016[[#This Row],[County Name]]=P771</f>
        <v>1</v>
      </c>
      <c r="L771" t="b">
        <f>QHPSelections2016[[#This Row],[Silver]]=S771</f>
        <v>1</v>
      </c>
      <c r="N771">
        <v>20111</v>
      </c>
      <c r="O771" t="s">
        <v>2564</v>
      </c>
      <c r="P771" t="s">
        <v>2232</v>
      </c>
      <c r="S771">
        <v>898</v>
      </c>
      <c r="T771">
        <v>235</v>
      </c>
      <c r="U771">
        <v>0</v>
      </c>
      <c r="V771" s="51">
        <v>1186</v>
      </c>
    </row>
    <row r="772" spans="1:22">
      <c r="A772" s="32" t="s">
        <v>2648</v>
      </c>
      <c r="B772" s="32" t="s">
        <v>2564</v>
      </c>
      <c r="C772" s="32" t="s">
        <v>2649</v>
      </c>
      <c r="D772" s="33">
        <v>13</v>
      </c>
      <c r="E772" s="33">
        <v>66</v>
      </c>
      <c r="F772" s="33">
        <v>628</v>
      </c>
      <c r="G772" s="33">
        <v>138</v>
      </c>
      <c r="H772" s="33">
        <v>0</v>
      </c>
      <c r="I772" s="33">
        <v>845</v>
      </c>
      <c r="K772" t="b">
        <f>QHPSelections2016[[#This Row],[County Name]]=P772</f>
        <v>0</v>
      </c>
      <c r="L772" t="b">
        <f>QHPSelections2016[[#This Row],[Silver]]=S772</f>
        <v>0</v>
      </c>
      <c r="N772">
        <v>20115</v>
      </c>
      <c r="O772" t="s">
        <v>2564</v>
      </c>
      <c r="P772" t="s">
        <v>1038</v>
      </c>
      <c r="Q772">
        <v>24</v>
      </c>
      <c r="R772">
        <v>38</v>
      </c>
      <c r="S772">
        <v>241</v>
      </c>
      <c r="T772">
        <v>54</v>
      </c>
      <c r="U772">
        <v>0</v>
      </c>
      <c r="V772">
        <v>357</v>
      </c>
    </row>
    <row r="773" spans="1:22">
      <c r="A773" s="32" t="s">
        <v>2650</v>
      </c>
      <c r="B773" s="32" t="s">
        <v>2564</v>
      </c>
      <c r="C773" s="32" t="s">
        <v>1038</v>
      </c>
      <c r="D773" s="33">
        <v>24</v>
      </c>
      <c r="E773" s="33">
        <v>38</v>
      </c>
      <c r="F773" s="33">
        <v>241</v>
      </c>
      <c r="G773" s="33">
        <v>54</v>
      </c>
      <c r="H773" s="33">
        <v>0</v>
      </c>
      <c r="I773" s="33">
        <v>357</v>
      </c>
      <c r="K773" t="b">
        <f>QHPSelections2016[[#This Row],[County Name]]=P773</f>
        <v>0</v>
      </c>
      <c r="L773" t="b">
        <f>QHPSelections2016[[#This Row],[Silver]]=S773</f>
        <v>0</v>
      </c>
      <c r="N773">
        <v>20117</v>
      </c>
      <c r="O773" t="s">
        <v>2564</v>
      </c>
      <c r="P773" t="s">
        <v>1068</v>
      </c>
      <c r="S773">
        <v>250</v>
      </c>
      <c r="T773">
        <v>57</v>
      </c>
      <c r="U773">
        <v>0</v>
      </c>
      <c r="V773">
        <v>351</v>
      </c>
    </row>
    <row r="774" spans="1:22">
      <c r="A774" s="32" t="s">
        <v>2651</v>
      </c>
      <c r="B774" s="32" t="s">
        <v>2564</v>
      </c>
      <c r="C774" s="32" t="s">
        <v>1068</v>
      </c>
      <c r="D774" s="33" t="s">
        <v>1639</v>
      </c>
      <c r="E774" s="33" t="s">
        <v>1639</v>
      </c>
      <c r="F774" s="33">
        <v>250</v>
      </c>
      <c r="G774" s="33">
        <v>57</v>
      </c>
      <c r="H774" s="33">
        <v>0</v>
      </c>
      <c r="I774" s="33">
        <v>351</v>
      </c>
      <c r="K774" t="b">
        <f>QHPSelections2016[[#This Row],[County Name]]=P774</f>
        <v>0</v>
      </c>
      <c r="L774" t="b">
        <f>QHPSelections2016[[#This Row],[Silver]]=S774</f>
        <v>0</v>
      </c>
      <c r="N774">
        <v>20113</v>
      </c>
      <c r="O774" t="s">
        <v>2564</v>
      </c>
      <c r="P774" t="s">
        <v>2649</v>
      </c>
      <c r="Q774">
        <v>13</v>
      </c>
      <c r="R774">
        <v>66</v>
      </c>
      <c r="S774">
        <v>628</v>
      </c>
      <c r="T774">
        <v>138</v>
      </c>
      <c r="U774">
        <v>0</v>
      </c>
      <c r="V774">
        <v>845</v>
      </c>
    </row>
    <row r="775" spans="1:22">
      <c r="A775" s="32" t="s">
        <v>2652</v>
      </c>
      <c r="B775" s="32" t="s">
        <v>2564</v>
      </c>
      <c r="C775" s="32" t="s">
        <v>2653</v>
      </c>
      <c r="D775" s="33" t="s">
        <v>1639</v>
      </c>
      <c r="E775" s="33" t="s">
        <v>1639</v>
      </c>
      <c r="F775" s="33">
        <v>96</v>
      </c>
      <c r="G775" s="33" t="s">
        <v>1639</v>
      </c>
      <c r="H775" s="33">
        <v>0</v>
      </c>
      <c r="I775" s="33">
        <v>115</v>
      </c>
      <c r="K775" t="b">
        <f>QHPSelections2016[[#This Row],[County Name]]=P775</f>
        <v>1</v>
      </c>
      <c r="L775" t="b">
        <f>QHPSelections2016[[#This Row],[Silver]]=S775</f>
        <v>1</v>
      </c>
      <c r="N775">
        <v>20119</v>
      </c>
      <c r="O775" t="s">
        <v>2564</v>
      </c>
      <c r="P775" t="s">
        <v>2653</v>
      </c>
      <c r="S775">
        <v>96</v>
      </c>
      <c r="U775">
        <v>0</v>
      </c>
      <c r="V775">
        <v>115</v>
      </c>
    </row>
    <row r="776" spans="1:22">
      <c r="A776" s="32" t="s">
        <v>2654</v>
      </c>
      <c r="B776" s="32" t="s">
        <v>2564</v>
      </c>
      <c r="C776" s="32" t="s">
        <v>2502</v>
      </c>
      <c r="D776" s="33">
        <v>27</v>
      </c>
      <c r="E776" s="33">
        <v>98</v>
      </c>
      <c r="F776" s="33">
        <v>861</v>
      </c>
      <c r="G776" s="33">
        <v>220</v>
      </c>
      <c r="H776" s="33">
        <v>0</v>
      </c>
      <c r="I776" s="33">
        <v>1206</v>
      </c>
      <c r="K776" t="b">
        <f>QHPSelections2016[[#This Row],[County Name]]=P776</f>
        <v>1</v>
      </c>
      <c r="L776" t="b">
        <f>QHPSelections2016[[#This Row],[Silver]]=S776</f>
        <v>1</v>
      </c>
      <c r="N776">
        <v>20121</v>
      </c>
      <c r="O776" t="s">
        <v>2564</v>
      </c>
      <c r="P776" t="s">
        <v>2502</v>
      </c>
      <c r="Q776">
        <v>27</v>
      </c>
      <c r="R776">
        <v>98</v>
      </c>
      <c r="S776">
        <v>861</v>
      </c>
      <c r="T776">
        <v>220</v>
      </c>
      <c r="U776">
        <v>0</v>
      </c>
      <c r="V776" s="51">
        <v>1206</v>
      </c>
    </row>
    <row r="777" spans="1:22">
      <c r="A777" s="32" t="s">
        <v>2655</v>
      </c>
      <c r="B777" s="32" t="s">
        <v>2564</v>
      </c>
      <c r="C777" s="32" t="s">
        <v>1140</v>
      </c>
      <c r="D777" s="33" t="s">
        <v>1639</v>
      </c>
      <c r="E777" s="33">
        <v>50</v>
      </c>
      <c r="F777" s="33">
        <v>206</v>
      </c>
      <c r="G777" s="33" t="s">
        <v>1639</v>
      </c>
      <c r="H777" s="33">
        <v>0</v>
      </c>
      <c r="I777" s="33">
        <v>289</v>
      </c>
      <c r="K777" t="b">
        <f>QHPSelections2016[[#This Row],[County Name]]=P777</f>
        <v>1</v>
      </c>
      <c r="L777" t="b">
        <f>QHPSelections2016[[#This Row],[Silver]]=S777</f>
        <v>1</v>
      </c>
      <c r="N777">
        <v>20123</v>
      </c>
      <c r="O777" t="s">
        <v>2564</v>
      </c>
      <c r="P777" t="s">
        <v>1140</v>
      </c>
      <c r="R777">
        <v>50</v>
      </c>
      <c r="S777">
        <v>206</v>
      </c>
      <c r="U777">
        <v>0</v>
      </c>
      <c r="V777">
        <v>289</v>
      </c>
    </row>
    <row r="778" spans="1:22">
      <c r="A778" s="32" t="s">
        <v>2656</v>
      </c>
      <c r="B778" s="32" t="s">
        <v>2564</v>
      </c>
      <c r="C778" s="32" t="s">
        <v>1079</v>
      </c>
      <c r="D778" s="33">
        <v>16</v>
      </c>
      <c r="E778" s="33">
        <v>78</v>
      </c>
      <c r="F778" s="33">
        <v>700</v>
      </c>
      <c r="G778" s="33">
        <v>167</v>
      </c>
      <c r="H778" s="33">
        <v>0</v>
      </c>
      <c r="I778" s="33">
        <v>961</v>
      </c>
      <c r="K778" t="b">
        <f>QHPSelections2016[[#This Row],[County Name]]=P778</f>
        <v>1</v>
      </c>
      <c r="L778" t="b">
        <f>QHPSelections2016[[#This Row],[Silver]]=S778</f>
        <v>1</v>
      </c>
      <c r="N778">
        <v>20125</v>
      </c>
      <c r="O778" t="s">
        <v>2564</v>
      </c>
      <c r="P778" t="s">
        <v>1079</v>
      </c>
      <c r="Q778">
        <v>16</v>
      </c>
      <c r="R778">
        <v>78</v>
      </c>
      <c r="S778">
        <v>700</v>
      </c>
      <c r="T778">
        <v>167</v>
      </c>
      <c r="U778">
        <v>0</v>
      </c>
      <c r="V778">
        <v>961</v>
      </c>
    </row>
    <row r="779" spans="1:22">
      <c r="A779" s="32" t="s">
        <v>2657</v>
      </c>
      <c r="B779" s="32" t="s">
        <v>2564</v>
      </c>
      <c r="C779" s="32" t="s">
        <v>1353</v>
      </c>
      <c r="D779" s="33" t="s">
        <v>1639</v>
      </c>
      <c r="E779" s="33" t="s">
        <v>1639</v>
      </c>
      <c r="F779" s="33">
        <v>178</v>
      </c>
      <c r="G779" s="33">
        <v>38</v>
      </c>
      <c r="H779" s="33">
        <v>0</v>
      </c>
      <c r="I779" s="33">
        <v>244</v>
      </c>
      <c r="K779" t="b">
        <f>QHPSelections2016[[#This Row],[County Name]]=P779</f>
        <v>1</v>
      </c>
      <c r="L779" t="b">
        <f>QHPSelections2016[[#This Row],[Silver]]=S779</f>
        <v>1</v>
      </c>
      <c r="N779">
        <v>20127</v>
      </c>
      <c r="O779" t="s">
        <v>2564</v>
      </c>
      <c r="P779" t="s">
        <v>1353</v>
      </c>
      <c r="S779">
        <v>178</v>
      </c>
      <c r="T779">
        <v>38</v>
      </c>
      <c r="U779">
        <v>0</v>
      </c>
      <c r="V779">
        <v>244</v>
      </c>
    </row>
    <row r="780" spans="1:22">
      <c r="A780" s="32" t="s">
        <v>2658</v>
      </c>
      <c r="B780" s="32" t="s">
        <v>2564</v>
      </c>
      <c r="C780" s="32" t="s">
        <v>2659</v>
      </c>
      <c r="D780" s="33" t="s">
        <v>1639</v>
      </c>
      <c r="E780" s="33" t="s">
        <v>1639</v>
      </c>
      <c r="F780" s="33">
        <v>62</v>
      </c>
      <c r="G780" s="33" t="s">
        <v>1639</v>
      </c>
      <c r="H780" s="33">
        <v>0</v>
      </c>
      <c r="I780" s="33">
        <v>71</v>
      </c>
      <c r="K780" t="b">
        <f>QHPSelections2016[[#This Row],[County Name]]=P780</f>
        <v>1</v>
      </c>
      <c r="L780" t="b">
        <f>QHPSelections2016[[#This Row],[Silver]]=S780</f>
        <v>1</v>
      </c>
      <c r="N780">
        <v>20129</v>
      </c>
      <c r="O780" t="s">
        <v>2564</v>
      </c>
      <c r="P780" t="s">
        <v>2659</v>
      </c>
      <c r="S780">
        <v>62</v>
      </c>
      <c r="U780">
        <v>0</v>
      </c>
      <c r="V780">
        <v>71</v>
      </c>
    </row>
    <row r="781" spans="1:22">
      <c r="A781" s="32" t="s">
        <v>2660</v>
      </c>
      <c r="B781" s="32" t="s">
        <v>2564</v>
      </c>
      <c r="C781" s="32" t="s">
        <v>2661</v>
      </c>
      <c r="D781" s="33" t="s">
        <v>1639</v>
      </c>
      <c r="E781" s="33">
        <v>49</v>
      </c>
      <c r="F781" s="33">
        <v>199</v>
      </c>
      <c r="G781" s="33" t="s">
        <v>1639</v>
      </c>
      <c r="H781" s="33">
        <v>0</v>
      </c>
      <c r="I781" s="33">
        <v>300</v>
      </c>
      <c r="K781" t="b">
        <f>QHPSelections2016[[#This Row],[County Name]]=P781</f>
        <v>1</v>
      </c>
      <c r="L781" t="b">
        <f>QHPSelections2016[[#This Row],[Silver]]=S781</f>
        <v>1</v>
      </c>
      <c r="N781">
        <v>20131</v>
      </c>
      <c r="O781" t="s">
        <v>2564</v>
      </c>
      <c r="P781" t="s">
        <v>2661</v>
      </c>
      <c r="R781">
        <v>49</v>
      </c>
      <c r="S781">
        <v>199</v>
      </c>
      <c r="U781">
        <v>0</v>
      </c>
      <c r="V781">
        <v>300</v>
      </c>
    </row>
    <row r="782" spans="1:22">
      <c r="A782" s="32" t="s">
        <v>2662</v>
      </c>
      <c r="B782" s="32" t="s">
        <v>2564</v>
      </c>
      <c r="C782" s="32" t="s">
        <v>2663</v>
      </c>
      <c r="D782" s="33">
        <v>11</v>
      </c>
      <c r="E782" s="33">
        <v>65</v>
      </c>
      <c r="F782" s="33">
        <v>422</v>
      </c>
      <c r="G782" s="33">
        <v>63</v>
      </c>
      <c r="H782" s="33">
        <v>0</v>
      </c>
      <c r="I782" s="33">
        <v>561</v>
      </c>
      <c r="K782" t="b">
        <f>QHPSelections2016[[#This Row],[County Name]]=P782</f>
        <v>1</v>
      </c>
      <c r="L782" t="b">
        <f>QHPSelections2016[[#This Row],[Silver]]=S782</f>
        <v>1</v>
      </c>
      <c r="N782">
        <v>20133</v>
      </c>
      <c r="O782" t="s">
        <v>2564</v>
      </c>
      <c r="P782" t="s">
        <v>2663</v>
      </c>
      <c r="Q782">
        <v>11</v>
      </c>
      <c r="R782">
        <v>65</v>
      </c>
      <c r="S782">
        <v>422</v>
      </c>
      <c r="T782">
        <v>63</v>
      </c>
      <c r="U782">
        <v>0</v>
      </c>
      <c r="V782">
        <v>561</v>
      </c>
    </row>
    <row r="783" spans="1:22">
      <c r="A783" s="32" t="s">
        <v>2664</v>
      </c>
      <c r="B783" s="32" t="s">
        <v>2564</v>
      </c>
      <c r="C783" s="32" t="s">
        <v>2665</v>
      </c>
      <c r="D783" s="33" t="s">
        <v>1639</v>
      </c>
      <c r="E783" s="33" t="s">
        <v>1639</v>
      </c>
      <c r="F783" s="33">
        <v>57</v>
      </c>
      <c r="G783" s="33" t="s">
        <v>1639</v>
      </c>
      <c r="H783" s="33">
        <v>0</v>
      </c>
      <c r="I783" s="33">
        <v>73</v>
      </c>
      <c r="K783" t="b">
        <f>QHPSelections2016[[#This Row],[County Name]]=P783</f>
        <v>1</v>
      </c>
      <c r="L783" t="b">
        <f>QHPSelections2016[[#This Row],[Silver]]=S783</f>
        <v>1</v>
      </c>
      <c r="N783">
        <v>20135</v>
      </c>
      <c r="O783" t="s">
        <v>2564</v>
      </c>
      <c r="P783" t="s">
        <v>2665</v>
      </c>
      <c r="S783">
        <v>57</v>
      </c>
      <c r="U783">
        <v>0</v>
      </c>
      <c r="V783">
        <v>73</v>
      </c>
    </row>
    <row r="784" spans="1:22">
      <c r="A784" s="32" t="s">
        <v>2666</v>
      </c>
      <c r="B784" s="32" t="s">
        <v>2564</v>
      </c>
      <c r="C784" s="32" t="s">
        <v>2667</v>
      </c>
      <c r="D784" s="33" t="s">
        <v>1639</v>
      </c>
      <c r="E784" s="33" t="s">
        <v>1639</v>
      </c>
      <c r="F784" s="33">
        <v>131</v>
      </c>
      <c r="G784" s="33">
        <v>21</v>
      </c>
      <c r="H784" s="33">
        <v>0</v>
      </c>
      <c r="I784" s="33">
        <v>176</v>
      </c>
      <c r="K784" t="b">
        <f>QHPSelections2016[[#This Row],[County Name]]=P784</f>
        <v>1</v>
      </c>
      <c r="L784" t="b">
        <f>QHPSelections2016[[#This Row],[Silver]]=S784</f>
        <v>1</v>
      </c>
      <c r="N784">
        <v>20137</v>
      </c>
      <c r="O784" t="s">
        <v>2564</v>
      </c>
      <c r="P784" t="s">
        <v>2667</v>
      </c>
      <c r="S784">
        <v>131</v>
      </c>
      <c r="T784">
        <v>21</v>
      </c>
      <c r="U784">
        <v>0</v>
      </c>
      <c r="V784">
        <v>176</v>
      </c>
    </row>
    <row r="785" spans="1:22">
      <c r="A785" s="32" t="s">
        <v>2668</v>
      </c>
      <c r="B785" s="32" t="s">
        <v>2564</v>
      </c>
      <c r="C785" s="32" t="s">
        <v>2669</v>
      </c>
      <c r="D785" s="33" t="s">
        <v>1639</v>
      </c>
      <c r="E785" s="33" t="s">
        <v>1639</v>
      </c>
      <c r="F785" s="33">
        <v>339</v>
      </c>
      <c r="G785" s="33">
        <v>90</v>
      </c>
      <c r="H785" s="33">
        <v>0</v>
      </c>
      <c r="I785" s="33">
        <v>466</v>
      </c>
      <c r="K785" t="b">
        <f>QHPSelections2016[[#This Row],[County Name]]=P785</f>
        <v>1</v>
      </c>
      <c r="L785" t="b">
        <f>QHPSelections2016[[#This Row],[Silver]]=S785</f>
        <v>1</v>
      </c>
      <c r="N785">
        <v>20139</v>
      </c>
      <c r="O785" t="s">
        <v>2564</v>
      </c>
      <c r="P785" t="s">
        <v>2669</v>
      </c>
      <c r="S785">
        <v>339</v>
      </c>
      <c r="T785">
        <v>90</v>
      </c>
      <c r="U785">
        <v>0</v>
      </c>
      <c r="V785">
        <v>466</v>
      </c>
    </row>
    <row r="786" spans="1:22">
      <c r="A786" s="32" t="s">
        <v>2670</v>
      </c>
      <c r="B786" s="32" t="s">
        <v>2564</v>
      </c>
      <c r="C786" s="32" t="s">
        <v>2671</v>
      </c>
      <c r="D786" s="33" t="s">
        <v>1639</v>
      </c>
      <c r="E786" s="33" t="s">
        <v>1639</v>
      </c>
      <c r="F786" s="33">
        <v>108</v>
      </c>
      <c r="G786" s="33">
        <v>43</v>
      </c>
      <c r="H786" s="33">
        <v>0</v>
      </c>
      <c r="I786" s="33">
        <v>179</v>
      </c>
      <c r="K786" t="b">
        <f>QHPSelections2016[[#This Row],[County Name]]=P786</f>
        <v>1</v>
      </c>
      <c r="L786" t="b">
        <f>QHPSelections2016[[#This Row],[Silver]]=S786</f>
        <v>1</v>
      </c>
      <c r="N786">
        <v>20141</v>
      </c>
      <c r="O786" t="s">
        <v>2564</v>
      </c>
      <c r="P786" t="s">
        <v>2671</v>
      </c>
      <c r="S786">
        <v>108</v>
      </c>
      <c r="T786">
        <v>43</v>
      </c>
      <c r="U786">
        <v>0</v>
      </c>
      <c r="V786">
        <v>179</v>
      </c>
    </row>
    <row r="787" spans="1:22">
      <c r="A787" s="32" t="s">
        <v>2672</v>
      </c>
      <c r="B787" s="32" t="s">
        <v>2564</v>
      </c>
      <c r="C787" s="32" t="s">
        <v>2673</v>
      </c>
      <c r="D787" s="33" t="s">
        <v>1639</v>
      </c>
      <c r="E787" s="33" t="s">
        <v>1639</v>
      </c>
      <c r="F787" s="33">
        <v>164</v>
      </c>
      <c r="G787" s="33">
        <v>32</v>
      </c>
      <c r="H787" s="33">
        <v>0</v>
      </c>
      <c r="I787" s="33">
        <v>211</v>
      </c>
      <c r="K787" t="b">
        <f>QHPSelections2016[[#This Row],[County Name]]=P787</f>
        <v>1</v>
      </c>
      <c r="L787" t="b">
        <f>QHPSelections2016[[#This Row],[Silver]]=S787</f>
        <v>1</v>
      </c>
      <c r="N787">
        <v>20143</v>
      </c>
      <c r="O787" t="s">
        <v>2564</v>
      </c>
      <c r="P787" t="s">
        <v>2673</v>
      </c>
      <c r="S787">
        <v>164</v>
      </c>
      <c r="T787">
        <v>32</v>
      </c>
      <c r="U787">
        <v>0</v>
      </c>
      <c r="V787">
        <v>211</v>
      </c>
    </row>
    <row r="788" spans="1:22">
      <c r="A788" s="32" t="s">
        <v>2674</v>
      </c>
      <c r="B788" s="32" t="s">
        <v>2564</v>
      </c>
      <c r="C788" s="32" t="s">
        <v>2675</v>
      </c>
      <c r="D788" s="33" t="s">
        <v>1639</v>
      </c>
      <c r="E788" s="33" t="s">
        <v>1639</v>
      </c>
      <c r="F788" s="33">
        <v>157</v>
      </c>
      <c r="G788" s="33">
        <v>36</v>
      </c>
      <c r="H788" s="33">
        <v>0</v>
      </c>
      <c r="I788" s="33">
        <v>222</v>
      </c>
      <c r="K788" t="b">
        <f>QHPSelections2016[[#This Row],[County Name]]=P788</f>
        <v>1</v>
      </c>
      <c r="L788" t="b">
        <f>QHPSelections2016[[#This Row],[Silver]]=S788</f>
        <v>1</v>
      </c>
      <c r="N788">
        <v>20145</v>
      </c>
      <c r="O788" t="s">
        <v>2564</v>
      </c>
      <c r="P788" t="s">
        <v>2675</v>
      </c>
      <c r="S788">
        <v>157</v>
      </c>
      <c r="T788">
        <v>36</v>
      </c>
      <c r="U788">
        <v>0</v>
      </c>
      <c r="V788">
        <v>222</v>
      </c>
    </row>
    <row r="789" spans="1:22">
      <c r="A789" s="32" t="s">
        <v>2676</v>
      </c>
      <c r="B789" s="32" t="s">
        <v>2564</v>
      </c>
      <c r="C789" s="32" t="s">
        <v>1841</v>
      </c>
      <c r="D789" s="33" t="s">
        <v>1639</v>
      </c>
      <c r="E789" s="33" t="s">
        <v>1639</v>
      </c>
      <c r="F789" s="33">
        <v>166</v>
      </c>
      <c r="G789" s="33">
        <v>32</v>
      </c>
      <c r="H789" s="33">
        <v>0</v>
      </c>
      <c r="I789" s="33">
        <v>208</v>
      </c>
      <c r="K789" t="b">
        <f>QHPSelections2016[[#This Row],[County Name]]=P789</f>
        <v>1</v>
      </c>
      <c r="L789" t="b">
        <f>QHPSelections2016[[#This Row],[Silver]]=S789</f>
        <v>1</v>
      </c>
      <c r="N789">
        <v>20147</v>
      </c>
      <c r="O789" t="s">
        <v>2564</v>
      </c>
      <c r="P789" t="s">
        <v>1841</v>
      </c>
      <c r="S789">
        <v>166</v>
      </c>
      <c r="T789">
        <v>32</v>
      </c>
      <c r="U789">
        <v>0</v>
      </c>
      <c r="V789">
        <v>208</v>
      </c>
    </row>
    <row r="790" spans="1:22">
      <c r="A790" s="32" t="s">
        <v>2677</v>
      </c>
      <c r="B790" s="32" t="s">
        <v>2564</v>
      </c>
      <c r="C790" s="32" t="s">
        <v>2678</v>
      </c>
      <c r="D790" s="33" t="s">
        <v>1639</v>
      </c>
      <c r="E790" s="33" t="s">
        <v>1639</v>
      </c>
      <c r="F790" s="33">
        <v>450</v>
      </c>
      <c r="G790" s="33">
        <v>122</v>
      </c>
      <c r="H790" s="33">
        <v>0</v>
      </c>
      <c r="I790" s="33">
        <v>640</v>
      </c>
      <c r="K790" t="b">
        <f>QHPSelections2016[[#This Row],[County Name]]=P790</f>
        <v>1</v>
      </c>
      <c r="L790" t="b">
        <f>QHPSelections2016[[#This Row],[Silver]]=S790</f>
        <v>1</v>
      </c>
      <c r="N790">
        <v>20149</v>
      </c>
      <c r="O790" t="s">
        <v>2564</v>
      </c>
      <c r="P790" t="s">
        <v>2678</v>
      </c>
      <c r="S790">
        <v>450</v>
      </c>
      <c r="T790">
        <v>122</v>
      </c>
      <c r="U790">
        <v>0</v>
      </c>
      <c r="V790">
        <v>640</v>
      </c>
    </row>
    <row r="791" spans="1:22">
      <c r="A791" s="32" t="s">
        <v>2679</v>
      </c>
      <c r="B791" s="32" t="s">
        <v>2564</v>
      </c>
      <c r="C791" s="32" t="s">
        <v>2680</v>
      </c>
      <c r="D791" s="33" t="s">
        <v>1639</v>
      </c>
      <c r="E791" s="33" t="s">
        <v>1639</v>
      </c>
      <c r="F791" s="33">
        <v>231</v>
      </c>
      <c r="G791" s="33">
        <v>54</v>
      </c>
      <c r="H791" s="33">
        <v>0</v>
      </c>
      <c r="I791" s="33">
        <v>330</v>
      </c>
      <c r="K791" t="b">
        <f>QHPSelections2016[[#This Row],[County Name]]=P791</f>
        <v>1</v>
      </c>
      <c r="L791" t="b">
        <f>QHPSelections2016[[#This Row],[Silver]]=S791</f>
        <v>1</v>
      </c>
      <c r="N791">
        <v>20151</v>
      </c>
      <c r="O791" t="s">
        <v>2564</v>
      </c>
      <c r="P791" t="s">
        <v>2680</v>
      </c>
      <c r="S791">
        <v>231</v>
      </c>
      <c r="T791">
        <v>54</v>
      </c>
      <c r="U791">
        <v>0</v>
      </c>
      <c r="V791">
        <v>330</v>
      </c>
    </row>
    <row r="792" spans="1:22">
      <c r="A792" s="32" t="s">
        <v>2681</v>
      </c>
      <c r="B792" s="32" t="s">
        <v>2564</v>
      </c>
      <c r="C792" s="32" t="s">
        <v>2682</v>
      </c>
      <c r="D792" s="33" t="s">
        <v>1639</v>
      </c>
      <c r="E792" s="33" t="s">
        <v>1639</v>
      </c>
      <c r="F792" s="33">
        <v>90</v>
      </c>
      <c r="G792" s="33">
        <v>14</v>
      </c>
      <c r="H792" s="33">
        <v>0</v>
      </c>
      <c r="I792" s="33">
        <v>111</v>
      </c>
      <c r="K792" t="b">
        <f>QHPSelections2016[[#This Row],[County Name]]=P792</f>
        <v>1</v>
      </c>
      <c r="L792" t="b">
        <f>QHPSelections2016[[#This Row],[Silver]]=S792</f>
        <v>1</v>
      </c>
      <c r="N792">
        <v>20153</v>
      </c>
      <c r="O792" t="s">
        <v>2564</v>
      </c>
      <c r="P792" t="s">
        <v>2682</v>
      </c>
      <c r="S792">
        <v>90</v>
      </c>
      <c r="T792">
        <v>14</v>
      </c>
      <c r="U792">
        <v>0</v>
      </c>
      <c r="V792">
        <v>111</v>
      </c>
    </row>
    <row r="793" spans="1:22">
      <c r="A793" s="32" t="s">
        <v>2683</v>
      </c>
      <c r="B793" s="32" t="s">
        <v>2564</v>
      </c>
      <c r="C793" s="32" t="s">
        <v>2684</v>
      </c>
      <c r="D793" s="33">
        <v>38</v>
      </c>
      <c r="E793" s="33">
        <v>197</v>
      </c>
      <c r="F793" s="33">
        <v>1621</v>
      </c>
      <c r="G793" s="33">
        <v>322</v>
      </c>
      <c r="H793" s="33">
        <v>0</v>
      </c>
      <c r="I793" s="33">
        <v>2178</v>
      </c>
      <c r="K793" t="b">
        <f>QHPSelections2016[[#This Row],[County Name]]=P793</f>
        <v>1</v>
      </c>
      <c r="L793" t="b">
        <f>QHPSelections2016[[#This Row],[Silver]]=S793</f>
        <v>1</v>
      </c>
      <c r="N793">
        <v>20155</v>
      </c>
      <c r="O793" t="s">
        <v>2564</v>
      </c>
      <c r="P793" t="s">
        <v>2684</v>
      </c>
      <c r="Q793">
        <v>38</v>
      </c>
      <c r="R793">
        <v>197</v>
      </c>
      <c r="S793" s="51">
        <v>1621</v>
      </c>
      <c r="T793">
        <v>322</v>
      </c>
      <c r="U793">
        <v>0</v>
      </c>
      <c r="V793" s="51">
        <v>2178</v>
      </c>
    </row>
    <row r="794" spans="1:22">
      <c r="A794" s="32" t="s">
        <v>2685</v>
      </c>
      <c r="B794" s="32" t="s">
        <v>2564</v>
      </c>
      <c r="C794" s="32" t="s">
        <v>2686</v>
      </c>
      <c r="D794" s="33" t="s">
        <v>1639</v>
      </c>
      <c r="E794" s="33">
        <v>19</v>
      </c>
      <c r="F794" s="33">
        <v>144</v>
      </c>
      <c r="G794" s="33" t="s">
        <v>1639</v>
      </c>
      <c r="H794" s="33">
        <v>0</v>
      </c>
      <c r="I794" s="33">
        <v>185</v>
      </c>
      <c r="K794" t="b">
        <f>QHPSelections2016[[#This Row],[County Name]]=P794</f>
        <v>1</v>
      </c>
      <c r="L794" t="b">
        <f>QHPSelections2016[[#This Row],[Silver]]=S794</f>
        <v>1</v>
      </c>
      <c r="N794">
        <v>20157</v>
      </c>
      <c r="O794" t="s">
        <v>2564</v>
      </c>
      <c r="P794" t="s">
        <v>2686</v>
      </c>
      <c r="R794">
        <v>19</v>
      </c>
      <c r="S794">
        <v>144</v>
      </c>
      <c r="U794">
        <v>0</v>
      </c>
      <c r="V794">
        <v>185</v>
      </c>
    </row>
    <row r="795" spans="1:22">
      <c r="A795" s="32" t="s">
        <v>2687</v>
      </c>
      <c r="B795" s="32" t="s">
        <v>2564</v>
      </c>
      <c r="C795" s="32" t="s">
        <v>2688</v>
      </c>
      <c r="D795" s="33" t="s">
        <v>1639</v>
      </c>
      <c r="E795" s="33" t="s">
        <v>1639</v>
      </c>
      <c r="F795" s="33">
        <v>217</v>
      </c>
      <c r="G795" s="33">
        <v>55</v>
      </c>
      <c r="H795" s="33">
        <v>0</v>
      </c>
      <c r="I795" s="33">
        <v>295</v>
      </c>
      <c r="K795" t="b">
        <f>QHPSelections2016[[#This Row],[County Name]]=P795</f>
        <v>1</v>
      </c>
      <c r="L795" t="b">
        <f>QHPSelections2016[[#This Row],[Silver]]=S795</f>
        <v>1</v>
      </c>
      <c r="N795">
        <v>20159</v>
      </c>
      <c r="O795" t="s">
        <v>2564</v>
      </c>
      <c r="P795" t="s">
        <v>2688</v>
      </c>
      <c r="S795">
        <v>217</v>
      </c>
      <c r="T795">
        <v>55</v>
      </c>
      <c r="U795">
        <v>0</v>
      </c>
      <c r="V795">
        <v>295</v>
      </c>
    </row>
    <row r="796" spans="1:22">
      <c r="A796" s="32" t="s">
        <v>2689</v>
      </c>
      <c r="B796" s="32" t="s">
        <v>2564</v>
      </c>
      <c r="C796" s="32" t="s">
        <v>2690</v>
      </c>
      <c r="D796" s="33">
        <v>59</v>
      </c>
      <c r="E796" s="33">
        <v>137</v>
      </c>
      <c r="F796" s="33">
        <v>1086</v>
      </c>
      <c r="G796" s="33">
        <v>267</v>
      </c>
      <c r="H796" s="33">
        <v>0</v>
      </c>
      <c r="I796" s="33">
        <v>1549</v>
      </c>
      <c r="K796" t="b">
        <f>QHPSelections2016[[#This Row],[County Name]]=P796</f>
        <v>1</v>
      </c>
      <c r="L796" t="b">
        <f>QHPSelections2016[[#This Row],[Silver]]=S796</f>
        <v>1</v>
      </c>
      <c r="N796">
        <v>20161</v>
      </c>
      <c r="O796" t="s">
        <v>2564</v>
      </c>
      <c r="P796" t="s">
        <v>2690</v>
      </c>
      <c r="Q796">
        <v>59</v>
      </c>
      <c r="R796">
        <v>137</v>
      </c>
      <c r="S796" s="51">
        <v>1086</v>
      </c>
      <c r="T796">
        <v>267</v>
      </c>
      <c r="U796">
        <v>0</v>
      </c>
      <c r="V796" s="51">
        <v>1549</v>
      </c>
    </row>
    <row r="797" spans="1:22">
      <c r="A797" s="32" t="s">
        <v>2691</v>
      </c>
      <c r="B797" s="32" t="s">
        <v>2564</v>
      </c>
      <c r="C797" s="32" t="s">
        <v>2692</v>
      </c>
      <c r="D797" s="33" t="s">
        <v>1639</v>
      </c>
      <c r="E797" s="33" t="s">
        <v>1639</v>
      </c>
      <c r="F797" s="33">
        <v>168</v>
      </c>
      <c r="G797" s="33">
        <v>16</v>
      </c>
      <c r="H797" s="33">
        <v>0</v>
      </c>
      <c r="I797" s="33">
        <v>200</v>
      </c>
      <c r="K797" t="b">
        <f>QHPSelections2016[[#This Row],[County Name]]=P797</f>
        <v>1</v>
      </c>
      <c r="L797" t="b">
        <f>QHPSelections2016[[#This Row],[Silver]]=S797</f>
        <v>1</v>
      </c>
      <c r="N797">
        <v>20163</v>
      </c>
      <c r="O797" t="s">
        <v>2564</v>
      </c>
      <c r="P797" t="s">
        <v>2692</v>
      </c>
      <c r="S797">
        <v>168</v>
      </c>
      <c r="T797">
        <v>16</v>
      </c>
      <c r="U797">
        <v>0</v>
      </c>
      <c r="V797">
        <v>200</v>
      </c>
    </row>
    <row r="798" spans="1:22">
      <c r="A798" s="32" t="s">
        <v>2693</v>
      </c>
      <c r="B798" s="32" t="s">
        <v>2564</v>
      </c>
      <c r="C798" s="32" t="s">
        <v>2528</v>
      </c>
      <c r="D798" s="33" t="s">
        <v>1639</v>
      </c>
      <c r="E798" s="33" t="s">
        <v>1639</v>
      </c>
      <c r="F798" s="33">
        <v>58</v>
      </c>
      <c r="G798" s="33" t="s">
        <v>1639</v>
      </c>
      <c r="H798" s="33">
        <v>0</v>
      </c>
      <c r="I798" s="33">
        <v>77</v>
      </c>
      <c r="K798" t="b">
        <f>QHPSelections2016[[#This Row],[County Name]]=P798</f>
        <v>1</v>
      </c>
      <c r="L798" t="b">
        <f>QHPSelections2016[[#This Row],[Silver]]=S798</f>
        <v>1</v>
      </c>
      <c r="N798">
        <v>20165</v>
      </c>
      <c r="O798" t="s">
        <v>2564</v>
      </c>
      <c r="P798" t="s">
        <v>2528</v>
      </c>
      <c r="S798">
        <v>58</v>
      </c>
      <c r="U798">
        <v>0</v>
      </c>
      <c r="V798">
        <v>77</v>
      </c>
    </row>
    <row r="799" spans="1:22">
      <c r="A799" s="32" t="s">
        <v>2694</v>
      </c>
      <c r="B799" s="32" t="s">
        <v>2564</v>
      </c>
      <c r="C799" s="32" t="s">
        <v>1119</v>
      </c>
      <c r="D799" s="33" t="s">
        <v>1639</v>
      </c>
      <c r="E799" s="33" t="s">
        <v>1639</v>
      </c>
      <c r="F799" s="33">
        <v>224</v>
      </c>
      <c r="G799" s="33">
        <v>42</v>
      </c>
      <c r="H799" s="33">
        <v>0</v>
      </c>
      <c r="I799" s="33">
        <v>288</v>
      </c>
      <c r="K799" t="b">
        <f>QHPSelections2016[[#This Row],[County Name]]=P799</f>
        <v>1</v>
      </c>
      <c r="L799" t="b">
        <f>QHPSelections2016[[#This Row],[Silver]]=S799</f>
        <v>1</v>
      </c>
      <c r="N799">
        <v>20167</v>
      </c>
      <c r="O799" t="s">
        <v>2564</v>
      </c>
      <c r="P799" t="s">
        <v>1119</v>
      </c>
      <c r="S799">
        <v>224</v>
      </c>
      <c r="T799">
        <v>42</v>
      </c>
      <c r="U799">
        <v>0</v>
      </c>
      <c r="V799">
        <v>288</v>
      </c>
    </row>
    <row r="800" spans="1:22">
      <c r="A800" s="32" t="s">
        <v>2695</v>
      </c>
      <c r="B800" s="32" t="s">
        <v>2564</v>
      </c>
      <c r="C800" s="32" t="s">
        <v>1855</v>
      </c>
      <c r="D800" s="33">
        <v>41</v>
      </c>
      <c r="E800" s="33">
        <v>138</v>
      </c>
      <c r="F800" s="33">
        <v>1481</v>
      </c>
      <c r="G800" s="33">
        <v>323</v>
      </c>
      <c r="H800" s="33">
        <v>0</v>
      </c>
      <c r="I800" s="33">
        <v>1983</v>
      </c>
      <c r="K800" t="b">
        <f>QHPSelections2016[[#This Row],[County Name]]=P800</f>
        <v>1</v>
      </c>
      <c r="L800" t="b">
        <f>QHPSelections2016[[#This Row],[Silver]]=S800</f>
        <v>1</v>
      </c>
      <c r="N800">
        <v>20169</v>
      </c>
      <c r="O800" t="s">
        <v>2564</v>
      </c>
      <c r="P800" t="s">
        <v>1855</v>
      </c>
      <c r="Q800">
        <v>41</v>
      </c>
      <c r="R800">
        <v>138</v>
      </c>
      <c r="S800" s="51">
        <v>1481</v>
      </c>
      <c r="T800">
        <v>323</v>
      </c>
      <c r="U800">
        <v>0</v>
      </c>
      <c r="V800" s="51">
        <v>1983</v>
      </c>
    </row>
    <row r="801" spans="1:22">
      <c r="A801" s="32" t="s">
        <v>2696</v>
      </c>
      <c r="B801" s="32" t="s">
        <v>2564</v>
      </c>
      <c r="C801" s="32" t="s">
        <v>1146</v>
      </c>
      <c r="D801" s="33" t="s">
        <v>1639</v>
      </c>
      <c r="E801" s="33" t="s">
        <v>1639</v>
      </c>
      <c r="F801" s="33">
        <v>103</v>
      </c>
      <c r="G801" s="33">
        <v>18</v>
      </c>
      <c r="H801" s="33">
        <v>0</v>
      </c>
      <c r="I801" s="33">
        <v>138</v>
      </c>
      <c r="K801" t="b">
        <f>QHPSelections2016[[#This Row],[County Name]]=P801</f>
        <v>1</v>
      </c>
      <c r="L801" t="b">
        <f>QHPSelections2016[[#This Row],[Silver]]=S801</f>
        <v>1</v>
      </c>
      <c r="N801">
        <v>20171</v>
      </c>
      <c r="O801" t="s">
        <v>2564</v>
      </c>
      <c r="P801" t="s">
        <v>1146</v>
      </c>
      <c r="S801">
        <v>103</v>
      </c>
      <c r="T801">
        <v>18</v>
      </c>
      <c r="U801">
        <v>0</v>
      </c>
      <c r="V801">
        <v>138</v>
      </c>
    </row>
    <row r="802" spans="1:22">
      <c r="A802" s="32" t="s">
        <v>2697</v>
      </c>
      <c r="B802" s="32" t="s">
        <v>2564</v>
      </c>
      <c r="C802" s="32" t="s">
        <v>2698</v>
      </c>
      <c r="D802" s="33">
        <v>431</v>
      </c>
      <c r="E802" s="33">
        <v>1452</v>
      </c>
      <c r="F802" s="33">
        <v>11901</v>
      </c>
      <c r="G802" s="33">
        <v>2979</v>
      </c>
      <c r="H802" s="33">
        <v>0</v>
      </c>
      <c r="I802" s="33">
        <v>16763</v>
      </c>
      <c r="K802" t="b">
        <f>QHPSelections2016[[#This Row],[County Name]]=P802</f>
        <v>1</v>
      </c>
      <c r="L802" t="b">
        <f>QHPSelections2016[[#This Row],[Silver]]=S802</f>
        <v>1</v>
      </c>
      <c r="N802">
        <v>20173</v>
      </c>
      <c r="O802" t="s">
        <v>2564</v>
      </c>
      <c r="P802" t="s">
        <v>2698</v>
      </c>
      <c r="Q802">
        <v>431</v>
      </c>
      <c r="R802" s="51">
        <v>1452</v>
      </c>
      <c r="S802" s="51">
        <v>11901</v>
      </c>
      <c r="T802" s="51">
        <v>2979</v>
      </c>
      <c r="U802">
        <v>0</v>
      </c>
      <c r="V802" s="51">
        <v>16763</v>
      </c>
    </row>
    <row r="803" spans="1:22">
      <c r="A803" s="32" t="s">
        <v>2699</v>
      </c>
      <c r="B803" s="32" t="s">
        <v>2564</v>
      </c>
      <c r="C803" s="32" t="s">
        <v>2700</v>
      </c>
      <c r="D803" s="33">
        <v>14</v>
      </c>
      <c r="E803" s="33">
        <v>36</v>
      </c>
      <c r="F803" s="33">
        <v>452</v>
      </c>
      <c r="G803" s="33">
        <v>76</v>
      </c>
      <c r="H803" s="33">
        <v>0</v>
      </c>
      <c r="I803" s="33">
        <v>578</v>
      </c>
      <c r="K803" t="b">
        <f>QHPSelections2016[[#This Row],[County Name]]=P803</f>
        <v>1</v>
      </c>
      <c r="L803" t="b">
        <f>QHPSelections2016[[#This Row],[Silver]]=S803</f>
        <v>1</v>
      </c>
      <c r="N803">
        <v>20175</v>
      </c>
      <c r="O803" t="s">
        <v>2564</v>
      </c>
      <c r="P803" t="s">
        <v>2700</v>
      </c>
      <c r="Q803">
        <v>14</v>
      </c>
      <c r="R803">
        <v>36</v>
      </c>
      <c r="S803">
        <v>452</v>
      </c>
      <c r="T803">
        <v>76</v>
      </c>
      <c r="U803">
        <v>0</v>
      </c>
      <c r="V803">
        <v>578</v>
      </c>
    </row>
    <row r="804" spans="1:22">
      <c r="A804" s="32" t="s">
        <v>2701</v>
      </c>
      <c r="B804" s="32" t="s">
        <v>2564</v>
      </c>
      <c r="C804" s="32" t="s">
        <v>2702</v>
      </c>
      <c r="D804" s="33">
        <v>141</v>
      </c>
      <c r="E804" s="33">
        <v>392</v>
      </c>
      <c r="F804" s="33">
        <v>3694</v>
      </c>
      <c r="G804" s="33">
        <v>856</v>
      </c>
      <c r="H804" s="33">
        <v>0</v>
      </c>
      <c r="I804" s="33">
        <v>5083</v>
      </c>
      <c r="K804" t="b">
        <f>QHPSelections2016[[#This Row],[County Name]]=P804</f>
        <v>1</v>
      </c>
      <c r="L804" t="b">
        <f>QHPSelections2016[[#This Row],[Silver]]=S804</f>
        <v>1</v>
      </c>
      <c r="N804">
        <v>20177</v>
      </c>
      <c r="O804" t="s">
        <v>2564</v>
      </c>
      <c r="P804" t="s">
        <v>2702</v>
      </c>
      <c r="Q804">
        <v>141</v>
      </c>
      <c r="R804">
        <v>392</v>
      </c>
      <c r="S804" s="51">
        <v>3694</v>
      </c>
      <c r="T804">
        <v>856</v>
      </c>
      <c r="U804">
        <v>0</v>
      </c>
      <c r="V804" s="51">
        <v>5083</v>
      </c>
    </row>
    <row r="805" spans="1:22">
      <c r="A805" s="32" t="s">
        <v>2703</v>
      </c>
      <c r="B805" s="32" t="s">
        <v>2564</v>
      </c>
      <c r="C805" s="32" t="s">
        <v>2704</v>
      </c>
      <c r="D805" s="33" t="s">
        <v>1639</v>
      </c>
      <c r="E805" s="33" t="s">
        <v>1639</v>
      </c>
      <c r="F805" s="33">
        <v>76</v>
      </c>
      <c r="G805" s="33">
        <v>22</v>
      </c>
      <c r="H805" s="33">
        <v>0</v>
      </c>
      <c r="I805" s="33">
        <v>116</v>
      </c>
      <c r="K805" t="b">
        <f>QHPSelections2016[[#This Row],[County Name]]=P805</f>
        <v>1</v>
      </c>
      <c r="L805" t="b">
        <f>QHPSelections2016[[#This Row],[Silver]]=S805</f>
        <v>1</v>
      </c>
      <c r="N805">
        <v>20179</v>
      </c>
      <c r="O805" t="s">
        <v>2564</v>
      </c>
      <c r="P805" t="s">
        <v>2704</v>
      </c>
      <c r="S805">
        <v>76</v>
      </c>
      <c r="T805">
        <v>22</v>
      </c>
      <c r="U805">
        <v>0</v>
      </c>
      <c r="V805">
        <v>116</v>
      </c>
    </row>
    <row r="806" spans="1:22">
      <c r="A806" s="32" t="s">
        <v>2705</v>
      </c>
      <c r="B806" s="32" t="s">
        <v>2564</v>
      </c>
      <c r="C806" s="32" t="s">
        <v>1386</v>
      </c>
      <c r="D806" s="33" t="s">
        <v>1639</v>
      </c>
      <c r="E806" s="33" t="s">
        <v>1639</v>
      </c>
      <c r="F806" s="33">
        <v>138</v>
      </c>
      <c r="G806" s="33">
        <v>37</v>
      </c>
      <c r="H806" s="33">
        <v>0</v>
      </c>
      <c r="I806" s="33">
        <v>194</v>
      </c>
      <c r="K806" t="b">
        <f>QHPSelections2016[[#This Row],[County Name]]=P806</f>
        <v>1</v>
      </c>
      <c r="L806" t="b">
        <f>QHPSelections2016[[#This Row],[Silver]]=S806</f>
        <v>1</v>
      </c>
      <c r="N806">
        <v>20181</v>
      </c>
      <c r="O806" t="s">
        <v>2564</v>
      </c>
      <c r="P806" t="s">
        <v>1386</v>
      </c>
      <c r="S806">
        <v>138</v>
      </c>
      <c r="T806">
        <v>37</v>
      </c>
      <c r="U806">
        <v>0</v>
      </c>
      <c r="V806">
        <v>194</v>
      </c>
    </row>
    <row r="807" spans="1:22">
      <c r="A807" s="32" t="s">
        <v>2706</v>
      </c>
      <c r="B807" s="32" t="s">
        <v>2564</v>
      </c>
      <c r="C807" s="32" t="s">
        <v>1163</v>
      </c>
      <c r="D807" s="33" t="s">
        <v>1639</v>
      </c>
      <c r="E807" s="33" t="s">
        <v>1639</v>
      </c>
      <c r="F807" s="33">
        <v>159</v>
      </c>
      <c r="G807" s="33">
        <v>25</v>
      </c>
      <c r="H807" s="33">
        <v>0</v>
      </c>
      <c r="I807" s="33">
        <v>206</v>
      </c>
      <c r="K807" t="b">
        <f>QHPSelections2016[[#This Row],[County Name]]=P807</f>
        <v>1</v>
      </c>
      <c r="L807" t="b">
        <f>QHPSelections2016[[#This Row],[Silver]]=S807</f>
        <v>1</v>
      </c>
      <c r="N807">
        <v>20183</v>
      </c>
      <c r="O807" t="s">
        <v>2564</v>
      </c>
      <c r="P807" t="s">
        <v>1163</v>
      </c>
      <c r="S807">
        <v>159</v>
      </c>
      <c r="T807">
        <v>25</v>
      </c>
      <c r="U807">
        <v>0</v>
      </c>
      <c r="V807">
        <v>206</v>
      </c>
    </row>
    <row r="808" spans="1:22">
      <c r="A808" s="32" t="s">
        <v>2707</v>
      </c>
      <c r="B808" s="32" t="s">
        <v>2564</v>
      </c>
      <c r="C808" s="32" t="s">
        <v>2708</v>
      </c>
      <c r="D808" s="33" t="s">
        <v>1639</v>
      </c>
      <c r="E808" s="33" t="s">
        <v>1639</v>
      </c>
      <c r="F808" s="33">
        <v>121</v>
      </c>
      <c r="G808" s="33">
        <v>33</v>
      </c>
      <c r="H808" s="33">
        <v>0</v>
      </c>
      <c r="I808" s="33">
        <v>169</v>
      </c>
      <c r="K808" t="b">
        <f>QHPSelections2016[[#This Row],[County Name]]=P808</f>
        <v>1</v>
      </c>
      <c r="L808" t="b">
        <f>QHPSelections2016[[#This Row],[Silver]]=S808</f>
        <v>1</v>
      </c>
      <c r="N808">
        <v>20185</v>
      </c>
      <c r="O808" t="s">
        <v>2564</v>
      </c>
      <c r="P808" t="s">
        <v>2708</v>
      </c>
      <c r="S808">
        <v>121</v>
      </c>
      <c r="T808">
        <v>33</v>
      </c>
      <c r="U808">
        <v>0</v>
      </c>
      <c r="V808">
        <v>169</v>
      </c>
    </row>
    <row r="809" spans="1:22">
      <c r="A809" s="32" t="s">
        <v>2709</v>
      </c>
      <c r="B809" s="32" t="s">
        <v>2564</v>
      </c>
      <c r="C809" s="32" t="s">
        <v>2710</v>
      </c>
      <c r="D809" s="33">
        <v>0</v>
      </c>
      <c r="E809" s="33" t="s">
        <v>1639</v>
      </c>
      <c r="F809" s="33">
        <v>65</v>
      </c>
      <c r="G809" s="33" t="s">
        <v>1639</v>
      </c>
      <c r="H809" s="33">
        <v>0</v>
      </c>
      <c r="I809" s="33">
        <v>76</v>
      </c>
      <c r="K809" t="b">
        <f>QHPSelections2016[[#This Row],[County Name]]=P809</f>
        <v>1</v>
      </c>
      <c r="L809" t="b">
        <f>QHPSelections2016[[#This Row],[Silver]]=S809</f>
        <v>1</v>
      </c>
      <c r="N809">
        <v>20187</v>
      </c>
      <c r="O809" t="s">
        <v>2564</v>
      </c>
      <c r="P809" t="s">
        <v>2710</v>
      </c>
      <c r="Q809">
        <v>0</v>
      </c>
      <c r="S809">
        <v>65</v>
      </c>
      <c r="U809">
        <v>0</v>
      </c>
      <c r="V809">
        <v>76</v>
      </c>
    </row>
    <row r="810" spans="1:22">
      <c r="A810" s="32" t="s">
        <v>2711</v>
      </c>
      <c r="B810" s="32" t="s">
        <v>2564</v>
      </c>
      <c r="C810" s="32" t="s">
        <v>2712</v>
      </c>
      <c r="D810" s="33" t="s">
        <v>1639</v>
      </c>
      <c r="E810" s="33" t="s">
        <v>1639</v>
      </c>
      <c r="F810" s="33">
        <v>104</v>
      </c>
      <c r="G810" s="33">
        <v>27</v>
      </c>
      <c r="H810" s="33">
        <v>0</v>
      </c>
      <c r="I810" s="33">
        <v>145</v>
      </c>
      <c r="K810" t="b">
        <f>QHPSelections2016[[#This Row],[County Name]]=P810</f>
        <v>1</v>
      </c>
      <c r="L810" t="b">
        <f>QHPSelections2016[[#This Row],[Silver]]=S810</f>
        <v>1</v>
      </c>
      <c r="N810">
        <v>20189</v>
      </c>
      <c r="O810" t="s">
        <v>2564</v>
      </c>
      <c r="P810" t="s">
        <v>2712</v>
      </c>
      <c r="S810">
        <v>104</v>
      </c>
      <c r="T810">
        <v>27</v>
      </c>
      <c r="U810">
        <v>0</v>
      </c>
      <c r="V810">
        <v>145</v>
      </c>
    </row>
    <row r="811" spans="1:22">
      <c r="A811" s="32" t="s">
        <v>2713</v>
      </c>
      <c r="B811" s="32" t="s">
        <v>2564</v>
      </c>
      <c r="C811" s="32" t="s">
        <v>1230</v>
      </c>
      <c r="D811" s="33" t="s">
        <v>1639</v>
      </c>
      <c r="E811" s="33" t="s">
        <v>1639</v>
      </c>
      <c r="F811" s="33">
        <v>491</v>
      </c>
      <c r="G811" s="33">
        <v>144</v>
      </c>
      <c r="H811" s="33">
        <v>0</v>
      </c>
      <c r="I811" s="33">
        <v>695</v>
      </c>
      <c r="K811" t="b">
        <f>QHPSelections2016[[#This Row],[County Name]]=P811</f>
        <v>1</v>
      </c>
      <c r="L811" t="b">
        <f>QHPSelections2016[[#This Row],[Silver]]=S811</f>
        <v>1</v>
      </c>
      <c r="N811">
        <v>20191</v>
      </c>
      <c r="O811" t="s">
        <v>2564</v>
      </c>
      <c r="P811" t="s">
        <v>1230</v>
      </c>
      <c r="S811">
        <v>491</v>
      </c>
      <c r="T811">
        <v>144</v>
      </c>
      <c r="U811">
        <v>0</v>
      </c>
      <c r="V811">
        <v>695</v>
      </c>
    </row>
    <row r="812" spans="1:22">
      <c r="A812" s="32" t="s">
        <v>2714</v>
      </c>
      <c r="B812" s="32" t="s">
        <v>2564</v>
      </c>
      <c r="C812" s="32" t="s">
        <v>1316</v>
      </c>
      <c r="D812" s="33" t="s">
        <v>1639</v>
      </c>
      <c r="E812" s="33" t="s">
        <v>1639</v>
      </c>
      <c r="F812" s="33">
        <v>196</v>
      </c>
      <c r="G812" s="33">
        <v>66</v>
      </c>
      <c r="H812" s="33">
        <v>0</v>
      </c>
      <c r="I812" s="33">
        <v>295</v>
      </c>
      <c r="K812" t="b">
        <f>QHPSelections2016[[#This Row],[County Name]]=P812</f>
        <v>1</v>
      </c>
      <c r="L812" t="b">
        <f>QHPSelections2016[[#This Row],[Silver]]=S812</f>
        <v>1</v>
      </c>
      <c r="N812">
        <v>20193</v>
      </c>
      <c r="O812" t="s">
        <v>2564</v>
      </c>
      <c r="P812" t="s">
        <v>1316</v>
      </c>
      <c r="S812">
        <v>196</v>
      </c>
      <c r="T812">
        <v>66</v>
      </c>
      <c r="U812">
        <v>0</v>
      </c>
      <c r="V812">
        <v>295</v>
      </c>
    </row>
    <row r="813" spans="1:22">
      <c r="A813" s="32" t="s">
        <v>2715</v>
      </c>
      <c r="B813" s="32" t="s">
        <v>2564</v>
      </c>
      <c r="C813" s="32" t="s">
        <v>2716</v>
      </c>
      <c r="D813" s="33" t="s">
        <v>1639</v>
      </c>
      <c r="E813" s="33" t="s">
        <v>1639</v>
      </c>
      <c r="F813" s="33">
        <v>63</v>
      </c>
      <c r="G813" s="33">
        <v>23</v>
      </c>
      <c r="H813" s="33">
        <v>0</v>
      </c>
      <c r="I813" s="33">
        <v>94</v>
      </c>
      <c r="K813" t="b">
        <f>QHPSelections2016[[#This Row],[County Name]]=P813</f>
        <v>1</v>
      </c>
      <c r="L813" t="b">
        <f>QHPSelections2016[[#This Row],[Silver]]=S813</f>
        <v>1</v>
      </c>
      <c r="N813">
        <v>20195</v>
      </c>
      <c r="O813" t="s">
        <v>2564</v>
      </c>
      <c r="P813" t="s">
        <v>2716</v>
      </c>
      <c r="S813">
        <v>63</v>
      </c>
      <c r="T813">
        <v>23</v>
      </c>
      <c r="U813">
        <v>0</v>
      </c>
      <c r="V813">
        <v>94</v>
      </c>
    </row>
    <row r="814" spans="1:22">
      <c r="A814" s="32" t="s">
        <v>2717</v>
      </c>
      <c r="B814" s="32" t="s">
        <v>2564</v>
      </c>
      <c r="C814" s="32" t="s">
        <v>2718</v>
      </c>
      <c r="D814" s="33" t="s">
        <v>1639</v>
      </c>
      <c r="E814" s="33">
        <v>28</v>
      </c>
      <c r="F814" s="33">
        <v>140</v>
      </c>
      <c r="G814" s="33" t="s">
        <v>1639</v>
      </c>
      <c r="H814" s="33">
        <v>0</v>
      </c>
      <c r="I814" s="33">
        <v>201</v>
      </c>
      <c r="K814" t="b">
        <f>QHPSelections2016[[#This Row],[County Name]]=P814</f>
        <v>1</v>
      </c>
      <c r="L814" t="b">
        <f>QHPSelections2016[[#This Row],[Silver]]=S814</f>
        <v>1</v>
      </c>
      <c r="N814">
        <v>20197</v>
      </c>
      <c r="O814" t="s">
        <v>2564</v>
      </c>
      <c r="P814" t="s">
        <v>2718</v>
      </c>
      <c r="R814">
        <v>28</v>
      </c>
      <c r="S814">
        <v>140</v>
      </c>
      <c r="U814">
        <v>0</v>
      </c>
      <c r="V814">
        <v>201</v>
      </c>
    </row>
    <row r="815" spans="1:22">
      <c r="A815" s="32" t="s">
        <v>2719</v>
      </c>
      <c r="B815" s="32" t="s">
        <v>2564</v>
      </c>
      <c r="C815" s="32" t="s">
        <v>2720</v>
      </c>
      <c r="D815" s="33" t="s">
        <v>1639</v>
      </c>
      <c r="E815" s="33" t="s">
        <v>1639</v>
      </c>
      <c r="F815" s="33">
        <v>41</v>
      </c>
      <c r="G815" s="33">
        <v>11</v>
      </c>
      <c r="H815" s="33">
        <v>0</v>
      </c>
      <c r="I815" s="33">
        <v>60</v>
      </c>
      <c r="K815" t="b">
        <f>QHPSelections2016[[#This Row],[County Name]]=P815</f>
        <v>1</v>
      </c>
      <c r="L815" t="b">
        <f>QHPSelections2016[[#This Row],[Silver]]=S815</f>
        <v>1</v>
      </c>
      <c r="N815">
        <v>20199</v>
      </c>
      <c r="O815" t="s">
        <v>2564</v>
      </c>
      <c r="P815" t="s">
        <v>2720</v>
      </c>
      <c r="S815">
        <v>41</v>
      </c>
      <c r="T815">
        <v>11</v>
      </c>
      <c r="U815">
        <v>0</v>
      </c>
      <c r="V815">
        <v>60</v>
      </c>
    </row>
    <row r="816" spans="1:22">
      <c r="A816" s="32" t="s">
        <v>2721</v>
      </c>
      <c r="B816" s="32" t="s">
        <v>2564</v>
      </c>
      <c r="C816" s="32" t="s">
        <v>1160</v>
      </c>
      <c r="D816" s="33" t="s">
        <v>1639</v>
      </c>
      <c r="E816" s="33" t="s">
        <v>1639</v>
      </c>
      <c r="F816" s="33">
        <v>140</v>
      </c>
      <c r="G816" s="33">
        <v>29</v>
      </c>
      <c r="H816" s="33">
        <v>0</v>
      </c>
      <c r="I816" s="33">
        <v>198</v>
      </c>
      <c r="K816" t="b">
        <f>QHPSelections2016[[#This Row],[County Name]]=P816</f>
        <v>1</v>
      </c>
      <c r="L816" t="b">
        <f>QHPSelections2016[[#This Row],[Silver]]=S816</f>
        <v>1</v>
      </c>
      <c r="N816">
        <v>20201</v>
      </c>
      <c r="O816" t="s">
        <v>2564</v>
      </c>
      <c r="P816" t="s">
        <v>1160</v>
      </c>
      <c r="S816">
        <v>140</v>
      </c>
      <c r="T816">
        <v>29</v>
      </c>
      <c r="U816">
        <v>0</v>
      </c>
      <c r="V816">
        <v>198</v>
      </c>
    </row>
    <row r="817" spans="1:22">
      <c r="A817" s="32" t="s">
        <v>2722</v>
      </c>
      <c r="B817" s="32" t="s">
        <v>2564</v>
      </c>
      <c r="C817" s="32" t="s">
        <v>1411</v>
      </c>
      <c r="D817" s="33" t="s">
        <v>1639</v>
      </c>
      <c r="E817" s="33" t="s">
        <v>1639</v>
      </c>
      <c r="F817" s="33">
        <v>46</v>
      </c>
      <c r="G817" s="33">
        <v>11</v>
      </c>
      <c r="H817" s="33">
        <v>0</v>
      </c>
      <c r="I817" s="33">
        <v>62</v>
      </c>
      <c r="K817" t="b">
        <f>QHPSelections2016[[#This Row],[County Name]]=P817</f>
        <v>1</v>
      </c>
      <c r="L817" t="b">
        <f>QHPSelections2016[[#This Row],[Silver]]=S817</f>
        <v>1</v>
      </c>
      <c r="N817">
        <v>20203</v>
      </c>
      <c r="O817" t="s">
        <v>2564</v>
      </c>
      <c r="P817" t="s">
        <v>1411</v>
      </c>
      <c r="S817">
        <v>46</v>
      </c>
      <c r="T817">
        <v>11</v>
      </c>
      <c r="U817">
        <v>0</v>
      </c>
      <c r="V817">
        <v>62</v>
      </c>
    </row>
    <row r="818" spans="1:22">
      <c r="A818" s="32" t="s">
        <v>2723</v>
      </c>
      <c r="B818" s="32" t="s">
        <v>2564</v>
      </c>
      <c r="C818" s="32" t="s">
        <v>1265</v>
      </c>
      <c r="D818" s="33" t="s">
        <v>1639</v>
      </c>
      <c r="E818" s="33" t="s">
        <v>1639</v>
      </c>
      <c r="F818" s="33">
        <v>198</v>
      </c>
      <c r="G818" s="33">
        <v>43</v>
      </c>
      <c r="H818" s="33">
        <v>0</v>
      </c>
      <c r="I818" s="33">
        <v>260</v>
      </c>
      <c r="K818" t="b">
        <f>QHPSelections2016[[#This Row],[County Name]]=P818</f>
        <v>1</v>
      </c>
      <c r="L818" t="b">
        <f>QHPSelections2016[[#This Row],[Silver]]=S818</f>
        <v>1</v>
      </c>
      <c r="N818">
        <v>20205</v>
      </c>
      <c r="O818" t="s">
        <v>2564</v>
      </c>
      <c r="P818" t="s">
        <v>1265</v>
      </c>
      <c r="S818">
        <v>198</v>
      </c>
      <c r="T818">
        <v>43</v>
      </c>
      <c r="U818">
        <v>0</v>
      </c>
      <c r="V818">
        <v>260</v>
      </c>
    </row>
    <row r="819" spans="1:22">
      <c r="A819" s="32" t="s">
        <v>2724</v>
      </c>
      <c r="B819" s="32" t="s">
        <v>2564</v>
      </c>
      <c r="C819" s="32" t="s">
        <v>2725</v>
      </c>
      <c r="D819" s="33">
        <v>0</v>
      </c>
      <c r="E819" s="33">
        <v>16</v>
      </c>
      <c r="F819" s="33">
        <v>127</v>
      </c>
      <c r="G819" s="33">
        <v>29</v>
      </c>
      <c r="H819" s="33">
        <v>0</v>
      </c>
      <c r="I819" s="33">
        <v>172</v>
      </c>
      <c r="K819" t="b">
        <f>QHPSelections2016[[#This Row],[County Name]]=P819</f>
        <v>1</v>
      </c>
      <c r="L819" t="b">
        <f>QHPSelections2016[[#This Row],[Silver]]=S819</f>
        <v>1</v>
      </c>
      <c r="N819">
        <v>20207</v>
      </c>
      <c r="O819" t="s">
        <v>2564</v>
      </c>
      <c r="P819" t="s">
        <v>2725</v>
      </c>
      <c r="Q819">
        <v>0</v>
      </c>
      <c r="R819">
        <v>16</v>
      </c>
      <c r="S819">
        <v>127</v>
      </c>
      <c r="T819">
        <v>29</v>
      </c>
      <c r="U819">
        <v>0</v>
      </c>
      <c r="V819">
        <v>172</v>
      </c>
    </row>
    <row r="820" spans="1:22">
      <c r="A820" s="32" t="s">
        <v>2726</v>
      </c>
      <c r="B820" s="32" t="s">
        <v>2564</v>
      </c>
      <c r="C820" s="32" t="s">
        <v>2727</v>
      </c>
      <c r="D820" s="33">
        <v>0</v>
      </c>
      <c r="E820" s="33">
        <v>252</v>
      </c>
      <c r="F820" s="33">
        <v>3853</v>
      </c>
      <c r="G820" s="33">
        <v>1998</v>
      </c>
      <c r="H820" s="33">
        <v>0</v>
      </c>
      <c r="I820" s="33">
        <v>6103</v>
      </c>
      <c r="K820" t="b">
        <f>QHPSelections2016[[#This Row],[County Name]]=P820</f>
        <v>1</v>
      </c>
      <c r="L820" t="b">
        <f>QHPSelections2016[[#This Row],[Silver]]=S820</f>
        <v>1</v>
      </c>
      <c r="N820">
        <v>20209</v>
      </c>
      <c r="O820" t="s">
        <v>2564</v>
      </c>
      <c r="P820" t="s">
        <v>2727</v>
      </c>
      <c r="Q820">
        <v>0</v>
      </c>
      <c r="R820">
        <v>252</v>
      </c>
      <c r="S820" s="51">
        <v>3853</v>
      </c>
      <c r="T820" s="51">
        <v>1998</v>
      </c>
      <c r="U820">
        <v>0</v>
      </c>
      <c r="V820" s="51">
        <v>6103</v>
      </c>
    </row>
    <row r="821" spans="1:22">
      <c r="A821" s="32" t="s">
        <v>2728</v>
      </c>
      <c r="B821" s="32" t="s">
        <v>1532</v>
      </c>
      <c r="C821" s="32" t="s">
        <v>400</v>
      </c>
      <c r="D821" s="33" t="s">
        <v>1639</v>
      </c>
      <c r="E821" s="33">
        <v>56</v>
      </c>
      <c r="F821" s="33">
        <v>1655</v>
      </c>
      <c r="G821" s="33">
        <v>466</v>
      </c>
      <c r="H821" s="33" t="s">
        <v>1639</v>
      </c>
      <c r="I821" s="33">
        <v>2201</v>
      </c>
      <c r="K821" t="b">
        <f>QHPSelections2016[[#This Row],[County Name]]=P821</f>
        <v>1</v>
      </c>
      <c r="L821" t="b">
        <f>QHPSelections2016[[#This Row],[Silver]]=S821</f>
        <v>1</v>
      </c>
      <c r="N821">
        <v>22001</v>
      </c>
      <c r="O821" t="s">
        <v>1532</v>
      </c>
      <c r="P821" t="s">
        <v>400</v>
      </c>
      <c r="R821">
        <v>56</v>
      </c>
      <c r="S821" s="51">
        <v>1655</v>
      </c>
      <c r="T821">
        <v>466</v>
      </c>
      <c r="V821" s="51">
        <v>2201</v>
      </c>
    </row>
    <row r="822" spans="1:22">
      <c r="A822" s="32" t="s">
        <v>2729</v>
      </c>
      <c r="B822" s="32" t="s">
        <v>1532</v>
      </c>
      <c r="C822" s="32" t="s">
        <v>406</v>
      </c>
      <c r="D822" s="33" t="s">
        <v>1639</v>
      </c>
      <c r="E822" s="33">
        <v>26</v>
      </c>
      <c r="F822" s="33">
        <v>372</v>
      </c>
      <c r="G822" s="33">
        <v>154</v>
      </c>
      <c r="H822" s="33" t="s">
        <v>1639</v>
      </c>
      <c r="I822" s="33">
        <v>564</v>
      </c>
      <c r="K822" t="b">
        <f>QHPSelections2016[[#This Row],[County Name]]=P822</f>
        <v>1</v>
      </c>
      <c r="L822" t="b">
        <f>QHPSelections2016[[#This Row],[Silver]]=S822</f>
        <v>1</v>
      </c>
      <c r="N822">
        <v>22003</v>
      </c>
      <c r="O822" t="s">
        <v>1532</v>
      </c>
      <c r="P822" t="s">
        <v>406</v>
      </c>
      <c r="R822">
        <v>26</v>
      </c>
      <c r="S822">
        <v>372</v>
      </c>
      <c r="T822">
        <v>154</v>
      </c>
      <c r="V822">
        <v>564</v>
      </c>
    </row>
    <row r="823" spans="1:22">
      <c r="A823" s="32" t="s">
        <v>2730</v>
      </c>
      <c r="B823" s="32" t="s">
        <v>1532</v>
      </c>
      <c r="C823" s="32" t="s">
        <v>414</v>
      </c>
      <c r="D823" s="33">
        <v>63</v>
      </c>
      <c r="E823" s="33">
        <v>327</v>
      </c>
      <c r="F823" s="33">
        <v>2767</v>
      </c>
      <c r="G823" s="33">
        <v>888</v>
      </c>
      <c r="H823" s="33">
        <v>12</v>
      </c>
      <c r="I823" s="33">
        <v>4057</v>
      </c>
      <c r="K823" t="b">
        <f>QHPSelections2016[[#This Row],[County Name]]=P823</f>
        <v>1</v>
      </c>
      <c r="L823" t="b">
        <f>QHPSelections2016[[#This Row],[Silver]]=S823</f>
        <v>1</v>
      </c>
      <c r="N823">
        <v>22005</v>
      </c>
      <c r="O823" t="s">
        <v>1532</v>
      </c>
      <c r="P823" t="s">
        <v>414</v>
      </c>
      <c r="Q823">
        <v>63</v>
      </c>
      <c r="R823">
        <v>327</v>
      </c>
      <c r="S823" s="51">
        <v>2767</v>
      </c>
      <c r="T823">
        <v>888</v>
      </c>
      <c r="U823">
        <v>12</v>
      </c>
      <c r="V823" s="51">
        <v>4057</v>
      </c>
    </row>
    <row r="824" spans="1:22">
      <c r="A824" s="32" t="s">
        <v>2731</v>
      </c>
      <c r="B824" s="32" t="s">
        <v>1532</v>
      </c>
      <c r="C824" s="32" t="s">
        <v>394</v>
      </c>
      <c r="D824" s="33" t="s">
        <v>1639</v>
      </c>
      <c r="E824" s="33">
        <v>41</v>
      </c>
      <c r="F824" s="33">
        <v>599</v>
      </c>
      <c r="G824" s="33">
        <v>169</v>
      </c>
      <c r="H824" s="33" t="s">
        <v>1639</v>
      </c>
      <c r="I824" s="33">
        <v>820</v>
      </c>
      <c r="K824" t="b">
        <f>QHPSelections2016[[#This Row],[County Name]]=P824</f>
        <v>1</v>
      </c>
      <c r="L824" t="b">
        <f>QHPSelections2016[[#This Row],[Silver]]=S824</f>
        <v>1</v>
      </c>
      <c r="N824">
        <v>22007</v>
      </c>
      <c r="O824" t="s">
        <v>1532</v>
      </c>
      <c r="P824" t="s">
        <v>394</v>
      </c>
      <c r="R824">
        <v>41</v>
      </c>
      <c r="S824">
        <v>599</v>
      </c>
      <c r="T824">
        <v>169</v>
      </c>
      <c r="V824">
        <v>820</v>
      </c>
    </row>
    <row r="825" spans="1:22">
      <c r="A825" s="32" t="s">
        <v>2732</v>
      </c>
      <c r="B825" s="32" t="s">
        <v>1532</v>
      </c>
      <c r="C825" s="32" t="s">
        <v>421</v>
      </c>
      <c r="D825" s="33">
        <v>18</v>
      </c>
      <c r="E825" s="33">
        <v>34</v>
      </c>
      <c r="F825" s="33">
        <v>1256</v>
      </c>
      <c r="G825" s="33">
        <v>508</v>
      </c>
      <c r="H825" s="33">
        <v>11</v>
      </c>
      <c r="I825" s="33">
        <v>1827</v>
      </c>
      <c r="K825" t="b">
        <f>QHPSelections2016[[#This Row],[County Name]]=P825</f>
        <v>1</v>
      </c>
      <c r="L825" t="b">
        <f>QHPSelections2016[[#This Row],[Silver]]=S825</f>
        <v>1</v>
      </c>
      <c r="N825">
        <v>22009</v>
      </c>
      <c r="O825" t="s">
        <v>1532</v>
      </c>
      <c r="P825" t="s">
        <v>421</v>
      </c>
      <c r="Q825">
        <v>18</v>
      </c>
      <c r="R825">
        <v>34</v>
      </c>
      <c r="S825" s="51">
        <v>1256</v>
      </c>
      <c r="T825">
        <v>508</v>
      </c>
      <c r="U825">
        <v>11</v>
      </c>
      <c r="V825" s="51">
        <v>1827</v>
      </c>
    </row>
    <row r="826" spans="1:22">
      <c r="A826" s="32" t="s">
        <v>2733</v>
      </c>
      <c r="B826" s="32" t="s">
        <v>1532</v>
      </c>
      <c r="C826" s="32" t="s">
        <v>407</v>
      </c>
      <c r="D826" s="33" t="s">
        <v>1639</v>
      </c>
      <c r="E826" s="33">
        <v>66</v>
      </c>
      <c r="F826" s="33">
        <v>717</v>
      </c>
      <c r="G826" s="33">
        <v>213</v>
      </c>
      <c r="H826" s="33" t="s">
        <v>1639</v>
      </c>
      <c r="I826" s="33">
        <v>1023</v>
      </c>
      <c r="K826" t="b">
        <f>QHPSelections2016[[#This Row],[County Name]]=P826</f>
        <v>1</v>
      </c>
      <c r="L826" t="b">
        <f>QHPSelections2016[[#This Row],[Silver]]=S826</f>
        <v>1</v>
      </c>
      <c r="N826">
        <v>22011</v>
      </c>
      <c r="O826" t="s">
        <v>1532</v>
      </c>
      <c r="P826" t="s">
        <v>407</v>
      </c>
      <c r="R826">
        <v>66</v>
      </c>
      <c r="S826">
        <v>717</v>
      </c>
      <c r="T826">
        <v>213</v>
      </c>
      <c r="V826" s="51">
        <v>1023</v>
      </c>
    </row>
    <row r="827" spans="1:22">
      <c r="A827" s="32" t="s">
        <v>2734</v>
      </c>
      <c r="B827" s="32" t="s">
        <v>1532</v>
      </c>
      <c r="C827" s="32" t="s">
        <v>443</v>
      </c>
      <c r="D827" s="33" t="s">
        <v>1639</v>
      </c>
      <c r="E827" s="33">
        <v>25</v>
      </c>
      <c r="F827" s="33">
        <v>392</v>
      </c>
      <c r="G827" s="33">
        <v>155</v>
      </c>
      <c r="H827" s="33" t="s">
        <v>1639</v>
      </c>
      <c r="I827" s="33">
        <v>583</v>
      </c>
      <c r="K827" t="b">
        <f>QHPSelections2016[[#This Row],[County Name]]=P827</f>
        <v>1</v>
      </c>
      <c r="L827" t="b">
        <f>QHPSelections2016[[#This Row],[Silver]]=S827</f>
        <v>1</v>
      </c>
      <c r="N827">
        <v>22013</v>
      </c>
      <c r="O827" t="s">
        <v>1532</v>
      </c>
      <c r="P827" t="s">
        <v>443</v>
      </c>
      <c r="R827">
        <v>25</v>
      </c>
      <c r="S827">
        <v>392</v>
      </c>
      <c r="T827">
        <v>155</v>
      </c>
      <c r="V827">
        <v>583</v>
      </c>
    </row>
    <row r="828" spans="1:22">
      <c r="A828" s="32" t="s">
        <v>2735</v>
      </c>
      <c r="B828" s="32" t="s">
        <v>1532</v>
      </c>
      <c r="C828" s="32" t="s">
        <v>439</v>
      </c>
      <c r="D828" s="33">
        <v>38</v>
      </c>
      <c r="E828" s="33">
        <v>300</v>
      </c>
      <c r="F828" s="33">
        <v>3042</v>
      </c>
      <c r="G828" s="33">
        <v>1055</v>
      </c>
      <c r="H828" s="33">
        <v>19</v>
      </c>
      <c r="I828" s="33">
        <v>4454</v>
      </c>
      <c r="K828" t="b">
        <f>QHPSelections2016[[#This Row],[County Name]]=P828</f>
        <v>1</v>
      </c>
      <c r="L828" t="b">
        <f>QHPSelections2016[[#This Row],[Silver]]=S828</f>
        <v>1</v>
      </c>
      <c r="N828">
        <v>22015</v>
      </c>
      <c r="O828" t="s">
        <v>1532</v>
      </c>
      <c r="P828" t="s">
        <v>439</v>
      </c>
      <c r="Q828">
        <v>38</v>
      </c>
      <c r="R828">
        <v>300</v>
      </c>
      <c r="S828" s="51">
        <v>3042</v>
      </c>
      <c r="T828" s="51">
        <v>1055</v>
      </c>
      <c r="U828">
        <v>19</v>
      </c>
      <c r="V828" s="51">
        <v>4454</v>
      </c>
    </row>
    <row r="829" spans="1:22">
      <c r="A829" s="32" t="s">
        <v>2736</v>
      </c>
      <c r="B829" s="32" t="s">
        <v>1532</v>
      </c>
      <c r="C829" s="32" t="s">
        <v>440</v>
      </c>
      <c r="D829" s="33">
        <v>80</v>
      </c>
      <c r="E829" s="33">
        <v>587</v>
      </c>
      <c r="F829" s="33">
        <v>7766</v>
      </c>
      <c r="G829" s="33">
        <v>2795</v>
      </c>
      <c r="H829" s="33">
        <v>31</v>
      </c>
      <c r="I829" s="33">
        <v>11259</v>
      </c>
      <c r="K829" t="b">
        <f>QHPSelections2016[[#This Row],[County Name]]=P829</f>
        <v>1</v>
      </c>
      <c r="L829" t="b">
        <f>QHPSelections2016[[#This Row],[Silver]]=S829</f>
        <v>1</v>
      </c>
      <c r="N829">
        <v>22017</v>
      </c>
      <c r="O829" t="s">
        <v>1532</v>
      </c>
      <c r="P829" t="s">
        <v>440</v>
      </c>
      <c r="Q829">
        <v>80</v>
      </c>
      <c r="R829">
        <v>587</v>
      </c>
      <c r="S829" s="51">
        <v>7766</v>
      </c>
      <c r="T829" s="51">
        <v>2795</v>
      </c>
      <c r="U829">
        <v>31</v>
      </c>
      <c r="V829" s="51">
        <v>11259</v>
      </c>
    </row>
    <row r="830" spans="1:22">
      <c r="A830" s="32" t="s">
        <v>2737</v>
      </c>
      <c r="B830" s="32" t="s">
        <v>1532</v>
      </c>
      <c r="C830" s="32" t="s">
        <v>405</v>
      </c>
      <c r="D830" s="33">
        <v>87</v>
      </c>
      <c r="E830" s="33">
        <v>486</v>
      </c>
      <c r="F830" s="33">
        <v>4485</v>
      </c>
      <c r="G830" s="33">
        <v>1615</v>
      </c>
      <c r="H830" s="33">
        <v>69</v>
      </c>
      <c r="I830" s="33">
        <v>6742</v>
      </c>
      <c r="K830" t="b">
        <f>QHPSelections2016[[#This Row],[County Name]]=P830</f>
        <v>1</v>
      </c>
      <c r="L830" t="b">
        <f>QHPSelections2016[[#This Row],[Silver]]=S830</f>
        <v>1</v>
      </c>
      <c r="N830">
        <v>22019</v>
      </c>
      <c r="O830" t="s">
        <v>1532</v>
      </c>
      <c r="P830" t="s">
        <v>405</v>
      </c>
      <c r="Q830">
        <v>87</v>
      </c>
      <c r="R830">
        <v>486</v>
      </c>
      <c r="S830" s="51">
        <v>4485</v>
      </c>
      <c r="T830" s="51">
        <v>1615</v>
      </c>
      <c r="U830">
        <v>69</v>
      </c>
      <c r="V830" s="51">
        <v>6742</v>
      </c>
    </row>
    <row r="831" spans="1:22">
      <c r="A831" s="32" t="s">
        <v>2738</v>
      </c>
      <c r="B831" s="32" t="s">
        <v>1532</v>
      </c>
      <c r="C831" s="32" t="s">
        <v>435</v>
      </c>
      <c r="D831" s="33" t="s">
        <v>1639</v>
      </c>
      <c r="E831" s="33">
        <v>26</v>
      </c>
      <c r="F831" s="33">
        <v>258</v>
      </c>
      <c r="G831" s="33">
        <v>96</v>
      </c>
      <c r="H831" s="33" t="s">
        <v>1639</v>
      </c>
      <c r="I831" s="33">
        <v>386</v>
      </c>
      <c r="K831" t="b">
        <f>QHPSelections2016[[#This Row],[County Name]]=P831</f>
        <v>1</v>
      </c>
      <c r="L831" t="b">
        <f>QHPSelections2016[[#This Row],[Silver]]=S831</f>
        <v>1</v>
      </c>
      <c r="N831">
        <v>22021</v>
      </c>
      <c r="O831" t="s">
        <v>1532</v>
      </c>
      <c r="P831" t="s">
        <v>435</v>
      </c>
      <c r="R831">
        <v>26</v>
      </c>
      <c r="S831">
        <v>258</v>
      </c>
      <c r="T831">
        <v>96</v>
      </c>
      <c r="V831">
        <v>386</v>
      </c>
    </row>
    <row r="832" spans="1:22">
      <c r="A832" s="32" t="s">
        <v>2739</v>
      </c>
      <c r="B832" s="32" t="s">
        <v>1532</v>
      </c>
      <c r="C832" s="32" t="s">
        <v>403</v>
      </c>
      <c r="D832" s="33" t="s">
        <v>1639</v>
      </c>
      <c r="E832" s="33">
        <v>15</v>
      </c>
      <c r="F832" s="33">
        <v>164</v>
      </c>
      <c r="G832" s="33">
        <v>31</v>
      </c>
      <c r="H832" s="33" t="s">
        <v>1639</v>
      </c>
      <c r="I832" s="33">
        <v>216</v>
      </c>
      <c r="K832" t="b">
        <f>QHPSelections2016[[#This Row],[County Name]]=P832</f>
        <v>1</v>
      </c>
      <c r="L832" t="b">
        <f>QHPSelections2016[[#This Row],[Silver]]=S832</f>
        <v>1</v>
      </c>
      <c r="N832">
        <v>22023</v>
      </c>
      <c r="O832" t="s">
        <v>1532</v>
      </c>
      <c r="P832" t="s">
        <v>403</v>
      </c>
      <c r="R832">
        <v>15</v>
      </c>
      <c r="S832">
        <v>164</v>
      </c>
      <c r="T832">
        <v>31</v>
      </c>
      <c r="V832">
        <v>216</v>
      </c>
    </row>
    <row r="833" spans="1:22">
      <c r="A833" s="32" t="s">
        <v>2740</v>
      </c>
      <c r="B833" s="32" t="s">
        <v>1532</v>
      </c>
      <c r="C833" s="32" t="s">
        <v>423</v>
      </c>
      <c r="D833" s="33" t="s">
        <v>1639</v>
      </c>
      <c r="E833" s="33">
        <v>50</v>
      </c>
      <c r="F833" s="33">
        <v>374</v>
      </c>
      <c r="G833" s="33">
        <v>158</v>
      </c>
      <c r="H833" s="33" t="s">
        <v>1639</v>
      </c>
      <c r="I833" s="33">
        <v>591</v>
      </c>
      <c r="K833" t="b">
        <f>QHPSelections2016[[#This Row],[County Name]]=P833</f>
        <v>1</v>
      </c>
      <c r="L833" t="b">
        <f>QHPSelections2016[[#This Row],[Silver]]=S833</f>
        <v>1</v>
      </c>
      <c r="N833">
        <v>22025</v>
      </c>
      <c r="O833" t="s">
        <v>1532</v>
      </c>
      <c r="P833" t="s">
        <v>423</v>
      </c>
      <c r="R833">
        <v>50</v>
      </c>
      <c r="S833">
        <v>374</v>
      </c>
      <c r="T833">
        <v>158</v>
      </c>
      <c r="V833">
        <v>591</v>
      </c>
    </row>
    <row r="834" spans="1:22">
      <c r="A834" s="32" t="s">
        <v>2741</v>
      </c>
      <c r="B834" s="32" t="s">
        <v>1532</v>
      </c>
      <c r="C834" s="32" t="s">
        <v>442</v>
      </c>
      <c r="D834" s="33" t="s">
        <v>1639</v>
      </c>
      <c r="E834" s="33">
        <v>23</v>
      </c>
      <c r="F834" s="33">
        <v>413</v>
      </c>
      <c r="G834" s="33">
        <v>177</v>
      </c>
      <c r="H834" s="33" t="s">
        <v>1639</v>
      </c>
      <c r="I834" s="33">
        <v>630</v>
      </c>
      <c r="K834" t="b">
        <f>QHPSelections2016[[#This Row],[County Name]]=P834</f>
        <v>1</v>
      </c>
      <c r="L834" t="b">
        <f>QHPSelections2016[[#This Row],[Silver]]=S834</f>
        <v>1</v>
      </c>
      <c r="N834">
        <v>22027</v>
      </c>
      <c r="O834" t="s">
        <v>1532</v>
      </c>
      <c r="P834" t="s">
        <v>442</v>
      </c>
      <c r="R834">
        <v>23</v>
      </c>
      <c r="S834">
        <v>413</v>
      </c>
      <c r="T834">
        <v>177</v>
      </c>
      <c r="V834">
        <v>630</v>
      </c>
    </row>
    <row r="835" spans="1:22">
      <c r="A835" s="32" t="s">
        <v>2742</v>
      </c>
      <c r="B835" s="32" t="s">
        <v>1532</v>
      </c>
      <c r="C835" s="32" t="s">
        <v>422</v>
      </c>
      <c r="D835" s="33" t="s">
        <v>1639</v>
      </c>
      <c r="E835" s="33">
        <v>30</v>
      </c>
      <c r="F835" s="33">
        <v>630</v>
      </c>
      <c r="G835" s="33">
        <v>244</v>
      </c>
      <c r="H835" s="33" t="s">
        <v>1639</v>
      </c>
      <c r="I835" s="33">
        <v>915</v>
      </c>
      <c r="K835" t="b">
        <f>QHPSelections2016[[#This Row],[County Name]]=P835</f>
        <v>1</v>
      </c>
      <c r="L835" t="b">
        <f>QHPSelections2016[[#This Row],[Silver]]=S835</f>
        <v>1</v>
      </c>
      <c r="N835">
        <v>22029</v>
      </c>
      <c r="O835" t="s">
        <v>1532</v>
      </c>
      <c r="P835" t="s">
        <v>422</v>
      </c>
      <c r="R835">
        <v>30</v>
      </c>
      <c r="S835">
        <v>630</v>
      </c>
      <c r="T835">
        <v>244</v>
      </c>
      <c r="V835">
        <v>915</v>
      </c>
    </row>
    <row r="836" spans="1:22">
      <c r="A836" s="32" t="s">
        <v>2743</v>
      </c>
      <c r="B836" s="32" t="s">
        <v>1532</v>
      </c>
      <c r="C836" s="32" t="s">
        <v>445</v>
      </c>
      <c r="D836" s="33" t="s">
        <v>1639</v>
      </c>
      <c r="E836" s="33">
        <v>42</v>
      </c>
      <c r="F836" s="33">
        <v>683</v>
      </c>
      <c r="G836" s="33">
        <v>281</v>
      </c>
      <c r="H836" s="33" t="s">
        <v>1639</v>
      </c>
      <c r="I836" s="33">
        <v>1029</v>
      </c>
      <c r="K836" t="b">
        <f>QHPSelections2016[[#This Row],[County Name]]=P836</f>
        <v>1</v>
      </c>
      <c r="L836" t="b">
        <f>QHPSelections2016[[#This Row],[Silver]]=S836</f>
        <v>1</v>
      </c>
      <c r="N836">
        <v>22031</v>
      </c>
      <c r="O836" t="s">
        <v>1532</v>
      </c>
      <c r="P836" t="s">
        <v>445</v>
      </c>
      <c r="R836">
        <v>42</v>
      </c>
      <c r="S836">
        <v>683</v>
      </c>
      <c r="T836">
        <v>281</v>
      </c>
      <c r="V836" s="51">
        <v>1029</v>
      </c>
    </row>
    <row r="837" spans="1:22">
      <c r="A837" s="32" t="s">
        <v>2744</v>
      </c>
      <c r="B837" s="32" t="s">
        <v>1532</v>
      </c>
      <c r="C837" s="32" t="s">
        <v>408</v>
      </c>
      <c r="D837" s="33">
        <v>260</v>
      </c>
      <c r="E837" s="33">
        <v>1454</v>
      </c>
      <c r="F837" s="33">
        <v>16572</v>
      </c>
      <c r="G837" s="33">
        <v>4547</v>
      </c>
      <c r="H837" s="33">
        <v>62</v>
      </c>
      <c r="I837" s="33">
        <v>22895</v>
      </c>
      <c r="K837" t="b">
        <f>QHPSelections2016[[#This Row],[County Name]]=P837</f>
        <v>1</v>
      </c>
      <c r="L837" t="b">
        <f>QHPSelections2016[[#This Row],[Silver]]=S837</f>
        <v>1</v>
      </c>
      <c r="N837">
        <v>22033</v>
      </c>
      <c r="O837" t="s">
        <v>1532</v>
      </c>
      <c r="P837" t="s">
        <v>408</v>
      </c>
      <c r="Q837">
        <v>260</v>
      </c>
      <c r="R837" s="51">
        <v>1454</v>
      </c>
      <c r="S837" s="51">
        <v>16572</v>
      </c>
      <c r="T837" s="51">
        <v>4547</v>
      </c>
      <c r="U837">
        <v>62</v>
      </c>
      <c r="V837" s="51">
        <v>22895</v>
      </c>
    </row>
    <row r="838" spans="1:22">
      <c r="A838" s="32" t="s">
        <v>2745</v>
      </c>
      <c r="B838" s="32" t="s">
        <v>1532</v>
      </c>
      <c r="C838" s="32" t="s">
        <v>428</v>
      </c>
      <c r="D838" s="33" t="s">
        <v>1639</v>
      </c>
      <c r="E838" s="33" t="s">
        <v>1639</v>
      </c>
      <c r="F838" s="33">
        <v>199</v>
      </c>
      <c r="G838" s="33">
        <v>151</v>
      </c>
      <c r="H838" s="33" t="s">
        <v>1639</v>
      </c>
      <c r="I838" s="33">
        <v>360</v>
      </c>
      <c r="K838" t="b">
        <f>QHPSelections2016[[#This Row],[County Name]]=P838</f>
        <v>1</v>
      </c>
      <c r="L838" t="b">
        <f>QHPSelections2016[[#This Row],[Silver]]=S838</f>
        <v>1</v>
      </c>
      <c r="N838">
        <v>22035</v>
      </c>
      <c r="O838" t="s">
        <v>1532</v>
      </c>
      <c r="P838" t="s">
        <v>428</v>
      </c>
      <c r="S838">
        <v>199</v>
      </c>
      <c r="T838">
        <v>151</v>
      </c>
      <c r="V838">
        <v>360</v>
      </c>
    </row>
    <row r="839" spans="1:22">
      <c r="A839" s="32" t="s">
        <v>2746</v>
      </c>
      <c r="B839" s="32" t="s">
        <v>1532</v>
      </c>
      <c r="C839" s="32" t="s">
        <v>413</v>
      </c>
      <c r="D839" s="33" t="s">
        <v>1639</v>
      </c>
      <c r="E839" s="33">
        <v>29</v>
      </c>
      <c r="F839" s="33">
        <v>520</v>
      </c>
      <c r="G839" s="33">
        <v>197</v>
      </c>
      <c r="H839" s="33" t="s">
        <v>1639</v>
      </c>
      <c r="I839" s="33">
        <v>764</v>
      </c>
      <c r="K839" t="b">
        <f>QHPSelections2016[[#This Row],[County Name]]=P839</f>
        <v>1</v>
      </c>
      <c r="L839" t="b">
        <f>QHPSelections2016[[#This Row],[Silver]]=S839</f>
        <v>1</v>
      </c>
      <c r="N839">
        <v>22037</v>
      </c>
      <c r="O839" t="s">
        <v>1532</v>
      </c>
      <c r="P839" t="s">
        <v>413</v>
      </c>
      <c r="R839">
        <v>29</v>
      </c>
      <c r="S839">
        <v>520</v>
      </c>
      <c r="T839">
        <v>197</v>
      </c>
      <c r="V839">
        <v>764</v>
      </c>
    </row>
    <row r="840" spans="1:22">
      <c r="A840" s="32" t="s">
        <v>2747</v>
      </c>
      <c r="B840" s="32" t="s">
        <v>1532</v>
      </c>
      <c r="C840" s="32" t="s">
        <v>402</v>
      </c>
      <c r="D840" s="33" t="s">
        <v>1639</v>
      </c>
      <c r="E840" s="33">
        <v>27</v>
      </c>
      <c r="F840" s="33">
        <v>699</v>
      </c>
      <c r="G840" s="33">
        <v>242</v>
      </c>
      <c r="H840" s="33" t="s">
        <v>1639</v>
      </c>
      <c r="I840" s="33">
        <v>987</v>
      </c>
      <c r="K840" t="b">
        <f>QHPSelections2016[[#This Row],[County Name]]=P840</f>
        <v>1</v>
      </c>
      <c r="L840" t="b">
        <f>QHPSelections2016[[#This Row],[Silver]]=S840</f>
        <v>1</v>
      </c>
      <c r="N840">
        <v>22039</v>
      </c>
      <c r="O840" t="s">
        <v>1532</v>
      </c>
      <c r="P840" t="s">
        <v>402</v>
      </c>
      <c r="R840">
        <v>27</v>
      </c>
      <c r="S840">
        <v>699</v>
      </c>
      <c r="T840">
        <v>242</v>
      </c>
      <c r="V840">
        <v>987</v>
      </c>
    </row>
    <row r="841" spans="1:22">
      <c r="A841" s="32" t="s">
        <v>2748</v>
      </c>
      <c r="B841" s="32" t="s">
        <v>1532</v>
      </c>
      <c r="C841" s="32" t="s">
        <v>432</v>
      </c>
      <c r="D841" s="33" t="s">
        <v>1639</v>
      </c>
      <c r="E841" s="33">
        <v>56</v>
      </c>
      <c r="F841" s="33">
        <v>683</v>
      </c>
      <c r="G841" s="33">
        <v>314</v>
      </c>
      <c r="H841" s="33" t="s">
        <v>1639</v>
      </c>
      <c r="I841" s="33">
        <v>1069</v>
      </c>
      <c r="K841" t="b">
        <f>QHPSelections2016[[#This Row],[County Name]]=P841</f>
        <v>1</v>
      </c>
      <c r="L841" t="b">
        <f>QHPSelections2016[[#This Row],[Silver]]=S841</f>
        <v>1</v>
      </c>
      <c r="N841">
        <v>22041</v>
      </c>
      <c r="O841" t="s">
        <v>1532</v>
      </c>
      <c r="P841" t="s">
        <v>432</v>
      </c>
      <c r="R841">
        <v>56</v>
      </c>
      <c r="S841">
        <v>683</v>
      </c>
      <c r="T841">
        <v>314</v>
      </c>
      <c r="V841" s="51">
        <v>1069</v>
      </c>
    </row>
    <row r="842" spans="1:22">
      <c r="A842" s="32" t="s">
        <v>2749</v>
      </c>
      <c r="B842" s="32" t="s">
        <v>1532</v>
      </c>
      <c r="C842" s="32" t="s">
        <v>425</v>
      </c>
      <c r="D842" s="33" t="s">
        <v>1639</v>
      </c>
      <c r="E842" s="33">
        <v>33</v>
      </c>
      <c r="F842" s="33">
        <v>416</v>
      </c>
      <c r="G842" s="33">
        <v>179</v>
      </c>
      <c r="H842" s="33" t="s">
        <v>1639</v>
      </c>
      <c r="I842" s="33">
        <v>636</v>
      </c>
      <c r="K842" t="b">
        <f>QHPSelections2016[[#This Row],[County Name]]=P842</f>
        <v>1</v>
      </c>
      <c r="L842" t="b">
        <f>QHPSelections2016[[#This Row],[Silver]]=S842</f>
        <v>1</v>
      </c>
      <c r="N842">
        <v>22043</v>
      </c>
      <c r="O842" t="s">
        <v>1532</v>
      </c>
      <c r="P842" t="s">
        <v>425</v>
      </c>
      <c r="R842">
        <v>33</v>
      </c>
      <c r="S842">
        <v>416</v>
      </c>
      <c r="T842">
        <v>179</v>
      </c>
      <c r="V842">
        <v>636</v>
      </c>
    </row>
    <row r="843" spans="1:22">
      <c r="A843" s="32" t="s">
        <v>2750</v>
      </c>
      <c r="B843" s="32" t="s">
        <v>1532</v>
      </c>
      <c r="C843" s="32" t="s">
        <v>398</v>
      </c>
      <c r="D843" s="33">
        <v>26</v>
      </c>
      <c r="E843" s="33">
        <v>115</v>
      </c>
      <c r="F843" s="33">
        <v>1976</v>
      </c>
      <c r="G843" s="33">
        <v>599</v>
      </c>
      <c r="H843" s="33">
        <v>17</v>
      </c>
      <c r="I843" s="33">
        <v>2733</v>
      </c>
      <c r="K843" t="b">
        <f>QHPSelections2016[[#This Row],[County Name]]=P843</f>
        <v>1</v>
      </c>
      <c r="L843" t="b">
        <f>QHPSelections2016[[#This Row],[Silver]]=S843</f>
        <v>1</v>
      </c>
      <c r="N843">
        <v>22045</v>
      </c>
      <c r="O843" t="s">
        <v>1532</v>
      </c>
      <c r="P843" t="s">
        <v>398</v>
      </c>
      <c r="Q843">
        <v>26</v>
      </c>
      <c r="R843">
        <v>115</v>
      </c>
      <c r="S843" s="51">
        <v>1976</v>
      </c>
      <c r="T843">
        <v>599</v>
      </c>
      <c r="U843">
        <v>17</v>
      </c>
      <c r="V843" s="51">
        <v>2733</v>
      </c>
    </row>
    <row r="844" spans="1:22">
      <c r="A844" s="32" t="s">
        <v>2751</v>
      </c>
      <c r="B844" s="32" t="s">
        <v>1532</v>
      </c>
      <c r="C844" s="32" t="s">
        <v>410</v>
      </c>
      <c r="D844" s="33" t="s">
        <v>1639</v>
      </c>
      <c r="E844" s="33">
        <v>46</v>
      </c>
      <c r="F844" s="33">
        <v>964</v>
      </c>
      <c r="G844" s="33">
        <v>323</v>
      </c>
      <c r="H844" s="33" t="s">
        <v>1639</v>
      </c>
      <c r="I844" s="33">
        <v>1347</v>
      </c>
      <c r="K844" t="b">
        <f>QHPSelections2016[[#This Row],[County Name]]=P844</f>
        <v>1</v>
      </c>
      <c r="L844" t="b">
        <f>QHPSelections2016[[#This Row],[Silver]]=S844</f>
        <v>1</v>
      </c>
      <c r="N844">
        <v>22047</v>
      </c>
      <c r="O844" t="s">
        <v>1532</v>
      </c>
      <c r="P844" t="s">
        <v>410</v>
      </c>
      <c r="R844">
        <v>46</v>
      </c>
      <c r="S844">
        <v>964</v>
      </c>
      <c r="T844">
        <v>323</v>
      </c>
      <c r="V844" s="51">
        <v>1347</v>
      </c>
    </row>
    <row r="845" spans="1:22">
      <c r="A845" s="32" t="s">
        <v>2752</v>
      </c>
      <c r="B845" s="32" t="s">
        <v>1532</v>
      </c>
      <c r="C845" s="32" t="s">
        <v>436</v>
      </c>
      <c r="D845" s="33" t="s">
        <v>1639</v>
      </c>
      <c r="E845" s="33">
        <v>20</v>
      </c>
      <c r="F845" s="33">
        <v>477</v>
      </c>
      <c r="G845" s="33">
        <v>149</v>
      </c>
      <c r="H845" s="33" t="s">
        <v>1639</v>
      </c>
      <c r="I845" s="33">
        <v>671</v>
      </c>
      <c r="K845" t="b">
        <f>QHPSelections2016[[#This Row],[County Name]]=P845</f>
        <v>1</v>
      </c>
      <c r="L845" t="b">
        <f>QHPSelections2016[[#This Row],[Silver]]=S845</f>
        <v>1</v>
      </c>
      <c r="N845">
        <v>22049</v>
      </c>
      <c r="O845" t="s">
        <v>1532</v>
      </c>
      <c r="P845" t="s">
        <v>436</v>
      </c>
      <c r="R845">
        <v>20</v>
      </c>
      <c r="S845">
        <v>477</v>
      </c>
      <c r="T845">
        <v>149</v>
      </c>
      <c r="V845">
        <v>671</v>
      </c>
    </row>
    <row r="846" spans="1:22">
      <c r="A846" s="32" t="s">
        <v>2753</v>
      </c>
      <c r="B846" s="32" t="s">
        <v>1532</v>
      </c>
      <c r="C846" s="32" t="s">
        <v>387</v>
      </c>
      <c r="D846" s="33">
        <v>411</v>
      </c>
      <c r="E846" s="33">
        <v>1745</v>
      </c>
      <c r="F846" s="33">
        <v>21377</v>
      </c>
      <c r="G846" s="33">
        <v>4034</v>
      </c>
      <c r="H846" s="33">
        <v>397</v>
      </c>
      <c r="I846" s="33">
        <v>27964</v>
      </c>
      <c r="K846" t="b">
        <f>QHPSelections2016[[#This Row],[County Name]]=P846</f>
        <v>0</v>
      </c>
      <c r="L846" t="b">
        <f>QHPSelections2016[[#This Row],[Silver]]=S846</f>
        <v>0</v>
      </c>
      <c r="N846">
        <v>22053</v>
      </c>
      <c r="O846" t="s">
        <v>1532</v>
      </c>
      <c r="P846" t="s">
        <v>404</v>
      </c>
      <c r="R846">
        <v>96</v>
      </c>
      <c r="S846" s="51">
        <v>1260</v>
      </c>
      <c r="T846">
        <v>158</v>
      </c>
      <c r="V846" s="51">
        <v>1525</v>
      </c>
    </row>
    <row r="847" spans="1:22">
      <c r="A847" s="32" t="s">
        <v>2754</v>
      </c>
      <c r="B847" s="32" t="s">
        <v>1532</v>
      </c>
      <c r="C847" s="32" t="s">
        <v>404</v>
      </c>
      <c r="D847" s="33" t="s">
        <v>1639</v>
      </c>
      <c r="E847" s="33">
        <v>96</v>
      </c>
      <c r="F847" s="33">
        <v>1260</v>
      </c>
      <c r="G847" s="33">
        <v>158</v>
      </c>
      <c r="H847" s="33" t="s">
        <v>1639</v>
      </c>
      <c r="I847" s="33">
        <v>1525</v>
      </c>
      <c r="K847" t="b">
        <f>QHPSelections2016[[#This Row],[County Name]]=P847</f>
        <v>0</v>
      </c>
      <c r="L847" t="b">
        <f>QHPSelections2016[[#This Row],[Silver]]=S847</f>
        <v>0</v>
      </c>
      <c r="N847">
        <v>22051</v>
      </c>
      <c r="O847" t="s">
        <v>1532</v>
      </c>
      <c r="P847" t="s">
        <v>387</v>
      </c>
      <c r="Q847">
        <v>411</v>
      </c>
      <c r="R847" s="51">
        <v>1745</v>
      </c>
      <c r="S847" s="51">
        <v>21377</v>
      </c>
      <c r="T847" s="51">
        <v>4034</v>
      </c>
      <c r="U847">
        <v>397</v>
      </c>
      <c r="V847" s="51">
        <v>27964</v>
      </c>
    </row>
    <row r="848" spans="1:22">
      <c r="A848" s="32" t="s">
        <v>2755</v>
      </c>
      <c r="B848" s="32" t="s">
        <v>1532</v>
      </c>
      <c r="C848" s="32" t="s">
        <v>395</v>
      </c>
      <c r="D848" s="33">
        <v>180</v>
      </c>
      <c r="E848" s="33">
        <v>625</v>
      </c>
      <c r="F848" s="33">
        <v>8207</v>
      </c>
      <c r="G848" s="33">
        <v>2073</v>
      </c>
      <c r="H848" s="33">
        <v>191</v>
      </c>
      <c r="I848" s="33">
        <v>11276</v>
      </c>
      <c r="K848" t="b">
        <f>QHPSelections2016[[#This Row],[County Name]]=P848</f>
        <v>0</v>
      </c>
      <c r="L848" t="b">
        <f>QHPSelections2016[[#This Row],[Silver]]=S848</f>
        <v>0</v>
      </c>
      <c r="N848">
        <v>22059</v>
      </c>
      <c r="O848" t="s">
        <v>1532</v>
      </c>
      <c r="P848" t="s">
        <v>424</v>
      </c>
      <c r="R848">
        <v>24</v>
      </c>
      <c r="S848">
        <v>289</v>
      </c>
      <c r="T848">
        <v>121</v>
      </c>
      <c r="V848">
        <v>452</v>
      </c>
    </row>
    <row r="849" spans="1:22">
      <c r="A849" s="32" t="s">
        <v>2756</v>
      </c>
      <c r="B849" s="32" t="s">
        <v>1532</v>
      </c>
      <c r="C849" s="32" t="s">
        <v>392</v>
      </c>
      <c r="D849" s="33">
        <v>26</v>
      </c>
      <c r="E849" s="33">
        <v>186</v>
      </c>
      <c r="F849" s="33">
        <v>2525</v>
      </c>
      <c r="G849" s="33">
        <v>607</v>
      </c>
      <c r="H849" s="33">
        <v>28</v>
      </c>
      <c r="I849" s="33">
        <v>3372</v>
      </c>
      <c r="K849" t="b">
        <f>QHPSelections2016[[#This Row],[County Name]]=P849</f>
        <v>0</v>
      </c>
      <c r="L849" t="b">
        <f>QHPSelections2016[[#This Row],[Silver]]=S849</f>
        <v>0</v>
      </c>
      <c r="N849">
        <v>22055</v>
      </c>
      <c r="O849" t="s">
        <v>1532</v>
      </c>
      <c r="P849" t="s">
        <v>395</v>
      </c>
      <c r="Q849">
        <v>180</v>
      </c>
      <c r="R849">
        <v>625</v>
      </c>
      <c r="S849" s="51">
        <v>8207</v>
      </c>
      <c r="T849" s="51">
        <v>2073</v>
      </c>
      <c r="U849">
        <v>191</v>
      </c>
      <c r="V849" s="51">
        <v>11276</v>
      </c>
    </row>
    <row r="850" spans="1:22">
      <c r="A850" s="32" t="s">
        <v>2757</v>
      </c>
      <c r="B850" s="32" t="s">
        <v>1532</v>
      </c>
      <c r="C850" s="38" t="s">
        <v>983</v>
      </c>
      <c r="D850" s="33" t="s">
        <v>1639</v>
      </c>
      <c r="E850" s="33">
        <v>24</v>
      </c>
      <c r="F850" s="33">
        <v>289</v>
      </c>
      <c r="G850" s="33">
        <v>121</v>
      </c>
      <c r="H850" s="33" t="s">
        <v>1639</v>
      </c>
      <c r="I850" s="33">
        <v>452</v>
      </c>
      <c r="K850" t="b">
        <f>QHPSelections2016[[#This Row],[County Name]]=P850</f>
        <v>0</v>
      </c>
      <c r="L850" t="b">
        <f>QHPSelections2016[[#This Row],[Silver]]=S850</f>
        <v>0</v>
      </c>
      <c r="N850">
        <v>22057</v>
      </c>
      <c r="O850" t="s">
        <v>1532</v>
      </c>
      <c r="P850" t="s">
        <v>392</v>
      </c>
      <c r="Q850">
        <v>26</v>
      </c>
      <c r="R850">
        <v>186</v>
      </c>
      <c r="S850" s="51">
        <v>2525</v>
      </c>
      <c r="T850">
        <v>607</v>
      </c>
      <c r="U850">
        <v>28</v>
      </c>
      <c r="V850" s="51">
        <v>3372</v>
      </c>
    </row>
    <row r="851" spans="1:22">
      <c r="A851" s="32" t="s">
        <v>2758</v>
      </c>
      <c r="B851" s="32" t="s">
        <v>1532</v>
      </c>
      <c r="C851" s="32" t="s">
        <v>437</v>
      </c>
      <c r="D851" s="33">
        <v>32</v>
      </c>
      <c r="E851" s="33">
        <v>70</v>
      </c>
      <c r="F851" s="33">
        <v>1154</v>
      </c>
      <c r="G851" s="33">
        <v>567</v>
      </c>
      <c r="H851" s="33">
        <v>16</v>
      </c>
      <c r="I851" s="33">
        <v>1839</v>
      </c>
      <c r="K851" t="b">
        <f>QHPSelections2016[[#This Row],[County Name]]=P851</f>
        <v>1</v>
      </c>
      <c r="L851" t="b">
        <f>QHPSelections2016[[#This Row],[Silver]]=S851</f>
        <v>1</v>
      </c>
      <c r="N851">
        <v>22061</v>
      </c>
      <c r="O851" t="s">
        <v>1532</v>
      </c>
      <c r="P851" t="s">
        <v>437</v>
      </c>
      <c r="Q851">
        <v>32</v>
      </c>
      <c r="R851">
        <v>70</v>
      </c>
      <c r="S851" s="51">
        <v>1154</v>
      </c>
      <c r="T851">
        <v>567</v>
      </c>
      <c r="U851">
        <v>16</v>
      </c>
      <c r="V851" s="51">
        <v>1839</v>
      </c>
    </row>
    <row r="852" spans="1:22">
      <c r="A852" s="32" t="s">
        <v>2759</v>
      </c>
      <c r="B852" s="32" t="s">
        <v>1532</v>
      </c>
      <c r="C852" s="32" t="s">
        <v>415</v>
      </c>
      <c r="D852" s="33">
        <v>105</v>
      </c>
      <c r="E852" s="33">
        <v>297</v>
      </c>
      <c r="F852" s="33">
        <v>3490</v>
      </c>
      <c r="G852" s="33">
        <v>1139</v>
      </c>
      <c r="H852" s="33">
        <v>19</v>
      </c>
      <c r="I852" s="33">
        <v>5050</v>
      </c>
      <c r="K852" t="b">
        <f>QHPSelections2016[[#This Row],[County Name]]=P852</f>
        <v>1</v>
      </c>
      <c r="L852" t="b">
        <f>QHPSelections2016[[#This Row],[Silver]]=S852</f>
        <v>1</v>
      </c>
      <c r="N852">
        <v>22063</v>
      </c>
      <c r="O852" t="s">
        <v>1532</v>
      </c>
      <c r="P852" t="s">
        <v>415</v>
      </c>
      <c r="Q852">
        <v>105</v>
      </c>
      <c r="R852">
        <v>297</v>
      </c>
      <c r="S852" s="51">
        <v>3490</v>
      </c>
      <c r="T852" s="51">
        <v>1139</v>
      </c>
      <c r="U852">
        <v>19</v>
      </c>
      <c r="V852" s="51">
        <v>5050</v>
      </c>
    </row>
    <row r="853" spans="1:22">
      <c r="A853" s="32" t="s">
        <v>2760</v>
      </c>
      <c r="B853" s="32" t="s">
        <v>1532</v>
      </c>
      <c r="C853" s="32" t="s">
        <v>430</v>
      </c>
      <c r="D853" s="33" t="s">
        <v>1639</v>
      </c>
      <c r="E853" s="33" t="s">
        <v>1639</v>
      </c>
      <c r="F853" s="33">
        <v>288</v>
      </c>
      <c r="G853" s="33">
        <v>96</v>
      </c>
      <c r="H853" s="33" t="s">
        <v>1639</v>
      </c>
      <c r="I853" s="33">
        <v>400</v>
      </c>
      <c r="K853" t="b">
        <f>QHPSelections2016[[#This Row],[County Name]]=P853</f>
        <v>1</v>
      </c>
      <c r="L853" t="b">
        <f>QHPSelections2016[[#This Row],[Silver]]=S853</f>
        <v>1</v>
      </c>
      <c r="N853">
        <v>22065</v>
      </c>
      <c r="O853" t="s">
        <v>1532</v>
      </c>
      <c r="P853" t="s">
        <v>430</v>
      </c>
      <c r="S853">
        <v>288</v>
      </c>
      <c r="T853">
        <v>96</v>
      </c>
      <c r="V853">
        <v>400</v>
      </c>
    </row>
    <row r="854" spans="1:22">
      <c r="A854" s="32" t="s">
        <v>2761</v>
      </c>
      <c r="B854" s="32" t="s">
        <v>1532</v>
      </c>
      <c r="C854" s="32" t="s">
        <v>434</v>
      </c>
      <c r="D854" s="33" t="s">
        <v>1639</v>
      </c>
      <c r="E854" s="33">
        <v>35</v>
      </c>
      <c r="F854" s="33">
        <v>887</v>
      </c>
      <c r="G854" s="33">
        <v>386</v>
      </c>
      <c r="H854" s="33" t="s">
        <v>1639</v>
      </c>
      <c r="I854" s="33">
        <v>1332</v>
      </c>
      <c r="K854" t="b">
        <f>QHPSelections2016[[#This Row],[County Name]]=P854</f>
        <v>1</v>
      </c>
      <c r="L854" t="b">
        <f>QHPSelections2016[[#This Row],[Silver]]=S854</f>
        <v>1</v>
      </c>
      <c r="N854">
        <v>22067</v>
      </c>
      <c r="O854" t="s">
        <v>1532</v>
      </c>
      <c r="P854" t="s">
        <v>434</v>
      </c>
      <c r="R854">
        <v>35</v>
      </c>
      <c r="S854">
        <v>887</v>
      </c>
      <c r="T854">
        <v>386</v>
      </c>
      <c r="V854" s="51">
        <v>1332</v>
      </c>
    </row>
    <row r="855" spans="1:22">
      <c r="A855" s="32" t="s">
        <v>2762</v>
      </c>
      <c r="B855" s="32" t="s">
        <v>1532</v>
      </c>
      <c r="C855" s="32" t="s">
        <v>446</v>
      </c>
      <c r="D855" s="33" t="s">
        <v>1639</v>
      </c>
      <c r="E855" s="33">
        <v>53</v>
      </c>
      <c r="F855" s="33">
        <v>1105</v>
      </c>
      <c r="G855" s="33">
        <v>366</v>
      </c>
      <c r="H855" s="33" t="s">
        <v>1639</v>
      </c>
      <c r="I855" s="33">
        <v>1542</v>
      </c>
      <c r="K855" t="b">
        <f>QHPSelections2016[[#This Row],[County Name]]=P855</f>
        <v>1</v>
      </c>
      <c r="L855" t="b">
        <f>QHPSelections2016[[#This Row],[Silver]]=S855</f>
        <v>1</v>
      </c>
      <c r="N855">
        <v>22069</v>
      </c>
      <c r="O855" t="s">
        <v>1532</v>
      </c>
      <c r="P855" t="s">
        <v>446</v>
      </c>
      <c r="R855">
        <v>53</v>
      </c>
      <c r="S855" s="51">
        <v>1105</v>
      </c>
      <c r="T855">
        <v>366</v>
      </c>
      <c r="V855" s="51">
        <v>1542</v>
      </c>
    </row>
    <row r="856" spans="1:22">
      <c r="A856" s="32" t="s">
        <v>2763</v>
      </c>
      <c r="B856" s="32" t="s">
        <v>1532</v>
      </c>
      <c r="C856" s="32" t="s">
        <v>384</v>
      </c>
      <c r="D856" s="33">
        <v>301</v>
      </c>
      <c r="E856" s="33">
        <v>1824</v>
      </c>
      <c r="F856" s="33">
        <v>16734</v>
      </c>
      <c r="G856" s="33">
        <v>5077</v>
      </c>
      <c r="H856" s="33">
        <v>539</v>
      </c>
      <c r="I856" s="33">
        <v>24475</v>
      </c>
      <c r="K856" t="b">
        <f>QHPSelections2016[[#This Row],[County Name]]=P856</f>
        <v>1</v>
      </c>
      <c r="L856" t="b">
        <f>QHPSelections2016[[#This Row],[Silver]]=S856</f>
        <v>1</v>
      </c>
      <c r="N856">
        <v>22071</v>
      </c>
      <c r="O856" t="s">
        <v>1532</v>
      </c>
      <c r="P856" t="s">
        <v>384</v>
      </c>
      <c r="Q856">
        <v>301</v>
      </c>
      <c r="R856" s="51">
        <v>1824</v>
      </c>
      <c r="S856" s="51">
        <v>16734</v>
      </c>
      <c r="T856" s="51">
        <v>5077</v>
      </c>
      <c r="U856">
        <v>539</v>
      </c>
      <c r="V856" s="51">
        <v>24475</v>
      </c>
    </row>
    <row r="857" spans="1:22">
      <c r="A857" s="32" t="s">
        <v>2764</v>
      </c>
      <c r="B857" s="32" t="s">
        <v>1532</v>
      </c>
      <c r="C857" s="32" t="s">
        <v>427</v>
      </c>
      <c r="D857" s="33">
        <v>205</v>
      </c>
      <c r="E857" s="33">
        <v>351</v>
      </c>
      <c r="F857" s="33">
        <v>5117</v>
      </c>
      <c r="G857" s="33">
        <v>2219</v>
      </c>
      <c r="H857" s="33">
        <v>57</v>
      </c>
      <c r="I857" s="33">
        <v>7949</v>
      </c>
      <c r="K857" t="b">
        <f>QHPSelections2016[[#This Row],[County Name]]=P857</f>
        <v>1</v>
      </c>
      <c r="L857" t="b">
        <f>QHPSelections2016[[#This Row],[Silver]]=S857</f>
        <v>1</v>
      </c>
      <c r="N857">
        <v>22073</v>
      </c>
      <c r="O857" t="s">
        <v>1532</v>
      </c>
      <c r="P857" t="s">
        <v>427</v>
      </c>
      <c r="Q857">
        <v>205</v>
      </c>
      <c r="R857">
        <v>351</v>
      </c>
      <c r="S857" s="51">
        <v>5117</v>
      </c>
      <c r="T857" s="51">
        <v>2219</v>
      </c>
      <c r="U857">
        <v>57</v>
      </c>
      <c r="V857" s="51">
        <v>7949</v>
      </c>
    </row>
    <row r="858" spans="1:22">
      <c r="A858" s="32" t="s">
        <v>2765</v>
      </c>
      <c r="B858" s="32" t="s">
        <v>1532</v>
      </c>
      <c r="C858" s="32" t="s">
        <v>386</v>
      </c>
      <c r="D858" s="33" t="s">
        <v>1639</v>
      </c>
      <c r="E858" s="33">
        <v>90</v>
      </c>
      <c r="F858" s="33">
        <v>933</v>
      </c>
      <c r="G858" s="33">
        <v>169</v>
      </c>
      <c r="H858" s="33" t="s">
        <v>1639</v>
      </c>
      <c r="I858" s="33">
        <v>1203</v>
      </c>
      <c r="K858" t="b">
        <f>QHPSelections2016[[#This Row],[County Name]]=P858</f>
        <v>1</v>
      </c>
      <c r="L858" t="b">
        <f>QHPSelections2016[[#This Row],[Silver]]=S858</f>
        <v>1</v>
      </c>
      <c r="N858">
        <v>22075</v>
      </c>
      <c r="O858" t="s">
        <v>1532</v>
      </c>
      <c r="P858" t="s">
        <v>386</v>
      </c>
      <c r="R858">
        <v>90</v>
      </c>
      <c r="S858">
        <v>933</v>
      </c>
      <c r="T858">
        <v>169</v>
      </c>
      <c r="V858" s="51">
        <v>1203</v>
      </c>
    </row>
    <row r="859" spans="1:22">
      <c r="A859" s="32" t="s">
        <v>2766</v>
      </c>
      <c r="B859" s="32" t="s">
        <v>1532</v>
      </c>
      <c r="C859" s="32" t="s">
        <v>411</v>
      </c>
      <c r="D859" s="33" t="s">
        <v>1639</v>
      </c>
      <c r="E859" s="33">
        <v>38</v>
      </c>
      <c r="F859" s="33">
        <v>728</v>
      </c>
      <c r="G859" s="33">
        <v>240</v>
      </c>
      <c r="H859" s="33" t="s">
        <v>1639</v>
      </c>
      <c r="I859" s="33">
        <v>1021</v>
      </c>
      <c r="K859" t="b">
        <f>QHPSelections2016[[#This Row],[County Name]]=P859</f>
        <v>1</v>
      </c>
      <c r="L859" t="b">
        <f>QHPSelections2016[[#This Row],[Silver]]=S859</f>
        <v>1</v>
      </c>
      <c r="N859">
        <v>22077</v>
      </c>
      <c r="O859" t="s">
        <v>1532</v>
      </c>
      <c r="P859" t="s">
        <v>411</v>
      </c>
      <c r="R859">
        <v>38</v>
      </c>
      <c r="S859">
        <v>728</v>
      </c>
      <c r="T859">
        <v>240</v>
      </c>
      <c r="V859" s="51">
        <v>1021</v>
      </c>
    </row>
    <row r="860" spans="1:22">
      <c r="A860" s="32" t="s">
        <v>2767</v>
      </c>
      <c r="B860" s="32" t="s">
        <v>1532</v>
      </c>
      <c r="C860" s="32" t="s">
        <v>419</v>
      </c>
      <c r="D860" s="33">
        <v>46</v>
      </c>
      <c r="E860" s="33">
        <v>153</v>
      </c>
      <c r="F860" s="33">
        <v>3480</v>
      </c>
      <c r="G860" s="33">
        <v>1665</v>
      </c>
      <c r="H860" s="33">
        <v>70</v>
      </c>
      <c r="I860" s="33">
        <v>5414</v>
      </c>
      <c r="K860" t="b">
        <f>QHPSelections2016[[#This Row],[County Name]]=P860</f>
        <v>1</v>
      </c>
      <c r="L860" t="b">
        <f>QHPSelections2016[[#This Row],[Silver]]=S860</f>
        <v>1</v>
      </c>
      <c r="N860">
        <v>22079</v>
      </c>
      <c r="O860" t="s">
        <v>1532</v>
      </c>
      <c r="P860" t="s">
        <v>419</v>
      </c>
      <c r="Q860">
        <v>46</v>
      </c>
      <c r="R860">
        <v>153</v>
      </c>
      <c r="S860" s="51">
        <v>3480</v>
      </c>
      <c r="T860" s="51">
        <v>1665</v>
      </c>
      <c r="U860">
        <v>70</v>
      </c>
      <c r="V860" s="51">
        <v>5414</v>
      </c>
    </row>
    <row r="861" spans="1:22">
      <c r="A861" s="32" t="s">
        <v>2768</v>
      </c>
      <c r="B861" s="32" t="s">
        <v>1532</v>
      </c>
      <c r="C861" s="32" t="s">
        <v>444</v>
      </c>
      <c r="D861" s="33" t="s">
        <v>1639</v>
      </c>
      <c r="E861" s="33" t="s">
        <v>1639</v>
      </c>
      <c r="F861" s="33">
        <v>251</v>
      </c>
      <c r="G861" s="33">
        <v>64</v>
      </c>
      <c r="H861" s="33" t="s">
        <v>1639</v>
      </c>
      <c r="I861" s="33">
        <v>329</v>
      </c>
      <c r="K861" t="b">
        <f>QHPSelections2016[[#This Row],[County Name]]=P861</f>
        <v>1</v>
      </c>
      <c r="L861" t="b">
        <f>QHPSelections2016[[#This Row],[Silver]]=S861</f>
        <v>1</v>
      </c>
      <c r="N861">
        <v>22081</v>
      </c>
      <c r="O861" t="s">
        <v>1532</v>
      </c>
      <c r="P861" t="s">
        <v>444</v>
      </c>
      <c r="S861">
        <v>251</v>
      </c>
      <c r="T861">
        <v>64</v>
      </c>
      <c r="V861">
        <v>329</v>
      </c>
    </row>
    <row r="862" spans="1:22">
      <c r="A862" s="32" t="s">
        <v>2769</v>
      </c>
      <c r="B862" s="32" t="s">
        <v>1532</v>
      </c>
      <c r="C862" s="32" t="s">
        <v>433</v>
      </c>
      <c r="D862" s="33">
        <v>30</v>
      </c>
      <c r="E862" s="33" t="s">
        <v>1639</v>
      </c>
      <c r="F862" s="33">
        <v>698</v>
      </c>
      <c r="G862" s="33">
        <v>334</v>
      </c>
      <c r="H862" s="33" t="s">
        <v>1639</v>
      </c>
      <c r="I862" s="33">
        <v>1089</v>
      </c>
      <c r="K862" t="b">
        <f>QHPSelections2016[[#This Row],[County Name]]=P862</f>
        <v>1</v>
      </c>
      <c r="L862" t="b">
        <f>QHPSelections2016[[#This Row],[Silver]]=S862</f>
        <v>1</v>
      </c>
      <c r="N862">
        <v>22083</v>
      </c>
      <c r="O862" t="s">
        <v>1532</v>
      </c>
      <c r="P862" t="s">
        <v>433</v>
      </c>
      <c r="Q862">
        <v>30</v>
      </c>
      <c r="S862">
        <v>698</v>
      </c>
      <c r="T862">
        <v>334</v>
      </c>
      <c r="V862" s="51">
        <v>1089</v>
      </c>
    </row>
    <row r="863" spans="1:22">
      <c r="A863" s="32" t="s">
        <v>2770</v>
      </c>
      <c r="B863" s="32" t="s">
        <v>1532</v>
      </c>
      <c r="C863" s="32" t="s">
        <v>447</v>
      </c>
      <c r="D863" s="33" t="s">
        <v>1639</v>
      </c>
      <c r="E863" s="33">
        <v>32</v>
      </c>
      <c r="F863" s="33">
        <v>572</v>
      </c>
      <c r="G863" s="33">
        <v>215</v>
      </c>
      <c r="H863" s="33" t="s">
        <v>1639</v>
      </c>
      <c r="I863" s="33">
        <v>836</v>
      </c>
      <c r="K863" t="b">
        <f>QHPSelections2016[[#This Row],[County Name]]=P863</f>
        <v>1</v>
      </c>
      <c r="L863" t="b">
        <f>QHPSelections2016[[#This Row],[Silver]]=S863</f>
        <v>1</v>
      </c>
      <c r="N863">
        <v>22085</v>
      </c>
      <c r="O863" t="s">
        <v>1532</v>
      </c>
      <c r="P863" t="s">
        <v>447</v>
      </c>
      <c r="R863">
        <v>32</v>
      </c>
      <c r="S863">
        <v>572</v>
      </c>
      <c r="T863">
        <v>215</v>
      </c>
      <c r="V863">
        <v>836</v>
      </c>
    </row>
    <row r="864" spans="1:22">
      <c r="A864" s="32" t="s">
        <v>2771</v>
      </c>
      <c r="B864" s="32" t="s">
        <v>1532</v>
      </c>
      <c r="C864" s="32" t="s">
        <v>385</v>
      </c>
      <c r="D864" s="33">
        <v>22</v>
      </c>
      <c r="E864" s="33">
        <v>186</v>
      </c>
      <c r="F864" s="33">
        <v>1375</v>
      </c>
      <c r="G864" s="33">
        <v>471</v>
      </c>
      <c r="H864" s="33">
        <v>15</v>
      </c>
      <c r="I864" s="33">
        <v>2069</v>
      </c>
      <c r="K864" t="b">
        <f>QHPSelections2016[[#This Row],[County Name]]=P864</f>
        <v>1</v>
      </c>
      <c r="L864" t="b">
        <f>QHPSelections2016[[#This Row],[Silver]]=S864</f>
        <v>1</v>
      </c>
      <c r="N864">
        <v>22087</v>
      </c>
      <c r="O864" t="s">
        <v>1532</v>
      </c>
      <c r="P864" t="s">
        <v>385</v>
      </c>
      <c r="Q864">
        <v>22</v>
      </c>
      <c r="R864">
        <v>186</v>
      </c>
      <c r="S864" s="51">
        <v>1375</v>
      </c>
      <c r="T864">
        <v>471</v>
      </c>
      <c r="U864">
        <v>15</v>
      </c>
      <c r="V864" s="51">
        <v>2069</v>
      </c>
    </row>
    <row r="865" spans="1:22">
      <c r="A865" s="32" t="s">
        <v>2772</v>
      </c>
      <c r="B865" s="32" t="s">
        <v>1532</v>
      </c>
      <c r="C865" s="32" t="s">
        <v>388</v>
      </c>
      <c r="D865" s="33">
        <v>15</v>
      </c>
      <c r="E865" s="33">
        <v>164</v>
      </c>
      <c r="F865" s="33">
        <v>1387</v>
      </c>
      <c r="G865" s="33">
        <v>424</v>
      </c>
      <c r="H865" s="33">
        <v>27</v>
      </c>
      <c r="I865" s="33">
        <v>2017</v>
      </c>
      <c r="K865" t="b">
        <f>QHPSelections2016[[#This Row],[County Name]]=P865</f>
        <v>1</v>
      </c>
      <c r="L865" t="b">
        <f>QHPSelections2016[[#This Row],[Silver]]=S865</f>
        <v>1</v>
      </c>
      <c r="N865">
        <v>22089</v>
      </c>
      <c r="O865" t="s">
        <v>1532</v>
      </c>
      <c r="P865" t="s">
        <v>388</v>
      </c>
      <c r="Q865">
        <v>15</v>
      </c>
      <c r="R865">
        <v>164</v>
      </c>
      <c r="S865" s="51">
        <v>1387</v>
      </c>
      <c r="T865">
        <v>424</v>
      </c>
      <c r="U865">
        <v>27</v>
      </c>
      <c r="V865" s="51">
        <v>2017</v>
      </c>
    </row>
    <row r="866" spans="1:22">
      <c r="A866" s="32" t="s">
        <v>2773</v>
      </c>
      <c r="B866" s="32" t="s">
        <v>1532</v>
      </c>
      <c r="C866" s="32" t="s">
        <v>416</v>
      </c>
      <c r="D866" s="33" t="s">
        <v>1639</v>
      </c>
      <c r="E866" s="33">
        <v>12</v>
      </c>
      <c r="F866" s="33">
        <v>332</v>
      </c>
      <c r="G866" s="33">
        <v>165</v>
      </c>
      <c r="H866" s="33" t="s">
        <v>1639</v>
      </c>
      <c r="I866" s="33">
        <v>512</v>
      </c>
      <c r="K866" t="b">
        <f>QHPSelections2016[[#This Row],[County Name]]=P866</f>
        <v>1</v>
      </c>
      <c r="L866" t="b">
        <f>QHPSelections2016[[#This Row],[Silver]]=S866</f>
        <v>1</v>
      </c>
      <c r="N866">
        <v>22091</v>
      </c>
      <c r="O866" t="s">
        <v>1532</v>
      </c>
      <c r="P866" t="s">
        <v>416</v>
      </c>
      <c r="R866">
        <v>12</v>
      </c>
      <c r="S866">
        <v>332</v>
      </c>
      <c r="T866">
        <v>165</v>
      </c>
      <c r="V866">
        <v>512</v>
      </c>
    </row>
    <row r="867" spans="1:22">
      <c r="A867" s="32" t="s">
        <v>2774</v>
      </c>
      <c r="B867" s="32" t="s">
        <v>1532</v>
      </c>
      <c r="C867" s="32" t="s">
        <v>390</v>
      </c>
      <c r="D867" s="33" t="s">
        <v>1639</v>
      </c>
      <c r="E867" s="33">
        <v>32</v>
      </c>
      <c r="F867" s="33">
        <v>522</v>
      </c>
      <c r="G867" s="33">
        <v>150</v>
      </c>
      <c r="H867" s="33" t="s">
        <v>1639</v>
      </c>
      <c r="I867" s="33">
        <v>716</v>
      </c>
      <c r="K867" t="b">
        <f>QHPSelections2016[[#This Row],[County Name]]=P867</f>
        <v>1</v>
      </c>
      <c r="L867" t="b">
        <f>QHPSelections2016[[#This Row],[Silver]]=S867</f>
        <v>1</v>
      </c>
      <c r="N867">
        <v>22093</v>
      </c>
      <c r="O867" t="s">
        <v>1532</v>
      </c>
      <c r="P867" t="s">
        <v>390</v>
      </c>
      <c r="R867">
        <v>32</v>
      </c>
      <c r="S867">
        <v>522</v>
      </c>
      <c r="T867">
        <v>150</v>
      </c>
      <c r="V867">
        <v>716</v>
      </c>
    </row>
    <row r="868" spans="1:22">
      <c r="A868" s="32" t="s">
        <v>2775</v>
      </c>
      <c r="B868" s="32" t="s">
        <v>1532</v>
      </c>
      <c r="C868" s="32" t="s">
        <v>389</v>
      </c>
      <c r="D868" s="33" t="s">
        <v>1639</v>
      </c>
      <c r="E868" s="33">
        <v>91</v>
      </c>
      <c r="F868" s="33">
        <v>1394</v>
      </c>
      <c r="G868" s="33">
        <v>448</v>
      </c>
      <c r="H868" s="33" t="s">
        <v>1639</v>
      </c>
      <c r="I868" s="33">
        <v>1970</v>
      </c>
      <c r="K868" t="b">
        <f>QHPSelections2016[[#This Row],[County Name]]=P868</f>
        <v>1</v>
      </c>
      <c r="L868" t="b">
        <f>QHPSelections2016[[#This Row],[Silver]]=S868</f>
        <v>1</v>
      </c>
      <c r="N868">
        <v>22095</v>
      </c>
      <c r="O868" t="s">
        <v>1532</v>
      </c>
      <c r="P868" t="s">
        <v>389</v>
      </c>
      <c r="R868">
        <v>91</v>
      </c>
      <c r="S868" s="51">
        <v>1394</v>
      </c>
      <c r="T868">
        <v>448</v>
      </c>
      <c r="V868" s="51">
        <v>1970</v>
      </c>
    </row>
    <row r="869" spans="1:22">
      <c r="A869" s="32" t="s">
        <v>2776</v>
      </c>
      <c r="B869" s="32" t="s">
        <v>1532</v>
      </c>
      <c r="C869" s="32" t="s">
        <v>401</v>
      </c>
      <c r="D869" s="33">
        <v>31</v>
      </c>
      <c r="E869" s="33">
        <v>115</v>
      </c>
      <c r="F869" s="33">
        <v>2477</v>
      </c>
      <c r="G869" s="33">
        <v>868</v>
      </c>
      <c r="H869" s="33">
        <v>30</v>
      </c>
      <c r="I869" s="33">
        <v>3521</v>
      </c>
      <c r="K869" t="b">
        <f>QHPSelections2016[[#This Row],[County Name]]=P869</f>
        <v>1</v>
      </c>
      <c r="L869" t="b">
        <f>QHPSelections2016[[#This Row],[Silver]]=S869</f>
        <v>1</v>
      </c>
      <c r="N869">
        <v>22097</v>
      </c>
      <c r="O869" t="s">
        <v>1532</v>
      </c>
      <c r="P869" t="s">
        <v>401</v>
      </c>
      <c r="Q869">
        <v>31</v>
      </c>
      <c r="R869">
        <v>115</v>
      </c>
      <c r="S869" s="51">
        <v>2477</v>
      </c>
      <c r="T869">
        <v>868</v>
      </c>
      <c r="U869">
        <v>30</v>
      </c>
      <c r="V869" s="51">
        <v>3521</v>
      </c>
    </row>
    <row r="870" spans="1:22">
      <c r="A870" s="32" t="s">
        <v>2777</v>
      </c>
      <c r="B870" s="32" t="s">
        <v>1532</v>
      </c>
      <c r="C870" s="32" t="s">
        <v>396</v>
      </c>
      <c r="D870" s="33" t="s">
        <v>1639</v>
      </c>
      <c r="E870" s="33">
        <v>82</v>
      </c>
      <c r="F870" s="33">
        <v>1567</v>
      </c>
      <c r="G870" s="33">
        <v>611</v>
      </c>
      <c r="H870" s="33" t="s">
        <v>1639</v>
      </c>
      <c r="I870" s="33">
        <v>2282</v>
      </c>
      <c r="K870" t="b">
        <f>QHPSelections2016[[#This Row],[County Name]]=P870</f>
        <v>1</v>
      </c>
      <c r="L870" t="b">
        <f>QHPSelections2016[[#This Row],[Silver]]=S870</f>
        <v>1</v>
      </c>
      <c r="N870">
        <v>22099</v>
      </c>
      <c r="O870" t="s">
        <v>1532</v>
      </c>
      <c r="P870" t="s">
        <v>396</v>
      </c>
      <c r="R870">
        <v>82</v>
      </c>
      <c r="S870" s="51">
        <v>1567</v>
      </c>
      <c r="T870">
        <v>611</v>
      </c>
      <c r="V870" s="51">
        <v>2282</v>
      </c>
    </row>
    <row r="871" spans="1:22">
      <c r="A871" s="32" t="s">
        <v>2778</v>
      </c>
      <c r="B871" s="32" t="s">
        <v>1532</v>
      </c>
      <c r="C871" s="32" t="s">
        <v>397</v>
      </c>
      <c r="D871" s="33">
        <v>18</v>
      </c>
      <c r="E871" s="33">
        <v>63</v>
      </c>
      <c r="F871" s="33">
        <v>1376</v>
      </c>
      <c r="G871" s="33">
        <v>375</v>
      </c>
      <c r="H871" s="33">
        <v>16</v>
      </c>
      <c r="I871" s="33">
        <v>1848</v>
      </c>
      <c r="K871" t="b">
        <f>QHPSelections2016[[#This Row],[County Name]]=P871</f>
        <v>1</v>
      </c>
      <c r="L871" t="b">
        <f>QHPSelections2016[[#This Row],[Silver]]=S871</f>
        <v>1</v>
      </c>
      <c r="N871">
        <v>22101</v>
      </c>
      <c r="O871" t="s">
        <v>1532</v>
      </c>
      <c r="P871" t="s">
        <v>397</v>
      </c>
      <c r="Q871">
        <v>18</v>
      </c>
      <c r="R871">
        <v>63</v>
      </c>
      <c r="S871" s="51">
        <v>1376</v>
      </c>
      <c r="T871">
        <v>375</v>
      </c>
      <c r="U871">
        <v>16</v>
      </c>
      <c r="V871" s="51">
        <v>1848</v>
      </c>
    </row>
    <row r="872" spans="1:22">
      <c r="A872" s="32" t="s">
        <v>2779</v>
      </c>
      <c r="B872" s="32" t="s">
        <v>1532</v>
      </c>
      <c r="C872" s="32" t="s">
        <v>391</v>
      </c>
      <c r="D872" s="33">
        <v>209</v>
      </c>
      <c r="E872" s="33">
        <v>1305</v>
      </c>
      <c r="F872" s="33">
        <v>10199</v>
      </c>
      <c r="G872" s="33">
        <v>2148</v>
      </c>
      <c r="H872" s="33">
        <v>163</v>
      </c>
      <c r="I872" s="33">
        <v>14024</v>
      </c>
      <c r="K872" t="b">
        <f>QHPSelections2016[[#This Row],[County Name]]=P872</f>
        <v>1</v>
      </c>
      <c r="L872" t="b">
        <f>QHPSelections2016[[#This Row],[Silver]]=S872</f>
        <v>1</v>
      </c>
      <c r="N872">
        <v>22103</v>
      </c>
      <c r="O872" t="s">
        <v>1532</v>
      </c>
      <c r="P872" t="s">
        <v>391</v>
      </c>
      <c r="Q872">
        <v>209</v>
      </c>
      <c r="R872" s="51">
        <v>1305</v>
      </c>
      <c r="S872" s="51">
        <v>10199</v>
      </c>
      <c r="T872" s="51">
        <v>2148</v>
      </c>
      <c r="U872">
        <v>163</v>
      </c>
      <c r="V872" s="51">
        <v>14024</v>
      </c>
    </row>
    <row r="873" spans="1:22">
      <c r="A873" s="32" t="s">
        <v>2780</v>
      </c>
      <c r="B873" s="32" t="s">
        <v>1532</v>
      </c>
      <c r="C873" s="32" t="s">
        <v>417</v>
      </c>
      <c r="D873" s="33">
        <v>66</v>
      </c>
      <c r="E873" s="33">
        <v>279</v>
      </c>
      <c r="F873" s="33">
        <v>3434</v>
      </c>
      <c r="G873" s="33">
        <v>1254</v>
      </c>
      <c r="H873" s="33">
        <v>22</v>
      </c>
      <c r="I873" s="33">
        <v>5055</v>
      </c>
      <c r="K873" t="b">
        <f>QHPSelections2016[[#This Row],[County Name]]=P873</f>
        <v>1</v>
      </c>
      <c r="L873" t="b">
        <f>QHPSelections2016[[#This Row],[Silver]]=S873</f>
        <v>1</v>
      </c>
      <c r="N873">
        <v>22105</v>
      </c>
      <c r="O873" t="s">
        <v>1532</v>
      </c>
      <c r="P873" t="s">
        <v>417</v>
      </c>
      <c r="Q873">
        <v>66</v>
      </c>
      <c r="R873">
        <v>279</v>
      </c>
      <c r="S873" s="51">
        <v>3434</v>
      </c>
      <c r="T873" s="51">
        <v>1254</v>
      </c>
      <c r="U873">
        <v>22</v>
      </c>
      <c r="V873" s="51">
        <v>5055</v>
      </c>
    </row>
    <row r="874" spans="1:22">
      <c r="A874" s="32" t="s">
        <v>2781</v>
      </c>
      <c r="B874" s="32" t="s">
        <v>1532</v>
      </c>
      <c r="C874" s="32" t="s">
        <v>431</v>
      </c>
      <c r="D874" s="33" t="s">
        <v>1639</v>
      </c>
      <c r="E874" s="33" t="s">
        <v>1639</v>
      </c>
      <c r="F874" s="33">
        <v>179</v>
      </c>
      <c r="G874" s="33">
        <v>96</v>
      </c>
      <c r="H874" s="33">
        <v>0</v>
      </c>
      <c r="I874" s="33">
        <v>277</v>
      </c>
      <c r="K874" t="b">
        <f>QHPSelections2016[[#This Row],[County Name]]=P874</f>
        <v>1</v>
      </c>
      <c r="L874" t="b">
        <f>QHPSelections2016[[#This Row],[Silver]]=S874</f>
        <v>1</v>
      </c>
      <c r="N874">
        <v>22107</v>
      </c>
      <c r="O874" t="s">
        <v>1532</v>
      </c>
      <c r="P874" t="s">
        <v>431</v>
      </c>
      <c r="S874">
        <v>179</v>
      </c>
      <c r="T874">
        <v>96</v>
      </c>
      <c r="U874">
        <v>0</v>
      </c>
      <c r="V874">
        <v>277</v>
      </c>
    </row>
    <row r="875" spans="1:22">
      <c r="A875" s="32" t="s">
        <v>2782</v>
      </c>
      <c r="B875" s="32" t="s">
        <v>1532</v>
      </c>
      <c r="C875" s="32" t="s">
        <v>393</v>
      </c>
      <c r="D875" s="33">
        <v>21</v>
      </c>
      <c r="E875" s="33">
        <v>187</v>
      </c>
      <c r="F875" s="33">
        <v>2530</v>
      </c>
      <c r="G875" s="33">
        <v>859</v>
      </c>
      <c r="H875" s="33">
        <v>27</v>
      </c>
      <c r="I875" s="33">
        <v>3624</v>
      </c>
      <c r="K875" t="b">
        <f>QHPSelections2016[[#This Row],[County Name]]=P875</f>
        <v>1</v>
      </c>
      <c r="L875" t="b">
        <f>QHPSelections2016[[#This Row],[Silver]]=S875</f>
        <v>1</v>
      </c>
      <c r="N875">
        <v>22109</v>
      </c>
      <c r="O875" t="s">
        <v>1532</v>
      </c>
      <c r="P875" t="s">
        <v>393</v>
      </c>
      <c r="Q875">
        <v>21</v>
      </c>
      <c r="R875">
        <v>187</v>
      </c>
      <c r="S875" s="51">
        <v>2530</v>
      </c>
      <c r="T875">
        <v>859</v>
      </c>
      <c r="U875">
        <v>27</v>
      </c>
      <c r="V875" s="51">
        <v>3624</v>
      </c>
    </row>
    <row r="876" spans="1:22">
      <c r="A876" s="32" t="s">
        <v>2783</v>
      </c>
      <c r="B876" s="32" t="s">
        <v>1532</v>
      </c>
      <c r="C876" s="32" t="s">
        <v>438</v>
      </c>
      <c r="D876" s="33" t="s">
        <v>1639</v>
      </c>
      <c r="E876" s="33">
        <v>45</v>
      </c>
      <c r="F876" s="33">
        <v>637</v>
      </c>
      <c r="G876" s="33">
        <v>282</v>
      </c>
      <c r="H876" s="33" t="s">
        <v>1639</v>
      </c>
      <c r="I876" s="33">
        <v>988</v>
      </c>
      <c r="K876" t="b">
        <f>QHPSelections2016[[#This Row],[County Name]]=P876</f>
        <v>1</v>
      </c>
      <c r="L876" t="b">
        <f>QHPSelections2016[[#This Row],[Silver]]=S876</f>
        <v>1</v>
      </c>
      <c r="N876">
        <v>22111</v>
      </c>
      <c r="O876" t="s">
        <v>1532</v>
      </c>
      <c r="P876" t="s">
        <v>438</v>
      </c>
      <c r="R876">
        <v>45</v>
      </c>
      <c r="S876">
        <v>637</v>
      </c>
      <c r="T876">
        <v>282</v>
      </c>
      <c r="V876">
        <v>988</v>
      </c>
    </row>
    <row r="877" spans="1:22">
      <c r="A877" s="32" t="s">
        <v>2784</v>
      </c>
      <c r="B877" s="32" t="s">
        <v>1532</v>
      </c>
      <c r="C877" s="32" t="s">
        <v>1122</v>
      </c>
      <c r="D877" s="33">
        <v>24</v>
      </c>
      <c r="E877" s="33">
        <v>95</v>
      </c>
      <c r="F877" s="33">
        <v>1594</v>
      </c>
      <c r="G877" s="33">
        <v>588</v>
      </c>
      <c r="H877" s="33">
        <v>16</v>
      </c>
      <c r="I877" s="33">
        <v>2317</v>
      </c>
      <c r="K877" t="b">
        <f>QHPSelections2016[[#This Row],[County Name]]=P877</f>
        <v>1</v>
      </c>
      <c r="L877" t="b">
        <f>QHPSelections2016[[#This Row],[Silver]]=S877</f>
        <v>1</v>
      </c>
      <c r="N877">
        <v>22113</v>
      </c>
      <c r="O877" t="s">
        <v>1532</v>
      </c>
      <c r="P877" t="s">
        <v>1122</v>
      </c>
      <c r="Q877">
        <v>24</v>
      </c>
      <c r="R877">
        <v>95</v>
      </c>
      <c r="S877" s="51">
        <v>1594</v>
      </c>
      <c r="T877">
        <v>588</v>
      </c>
      <c r="U877">
        <v>16</v>
      </c>
      <c r="V877" s="51">
        <v>2317</v>
      </c>
    </row>
    <row r="878" spans="1:22">
      <c r="A878" s="32" t="s">
        <v>2785</v>
      </c>
      <c r="B878" s="32" t="s">
        <v>1532</v>
      </c>
      <c r="C878" s="32" t="s">
        <v>420</v>
      </c>
      <c r="D878" s="33" t="s">
        <v>1639</v>
      </c>
      <c r="E878" s="33">
        <v>70</v>
      </c>
      <c r="F878" s="33">
        <v>758</v>
      </c>
      <c r="G878" s="33">
        <v>302</v>
      </c>
      <c r="H878" s="33" t="s">
        <v>1639</v>
      </c>
      <c r="I878" s="33">
        <v>1157</v>
      </c>
      <c r="K878" t="b">
        <f>QHPSelections2016[[#This Row],[County Name]]=P878</f>
        <v>1</v>
      </c>
      <c r="L878" t="b">
        <f>QHPSelections2016[[#This Row],[Silver]]=S878</f>
        <v>1</v>
      </c>
      <c r="N878">
        <v>22115</v>
      </c>
      <c r="O878" t="s">
        <v>1532</v>
      </c>
      <c r="P878" t="s">
        <v>420</v>
      </c>
      <c r="R878">
        <v>70</v>
      </c>
      <c r="S878">
        <v>758</v>
      </c>
      <c r="T878">
        <v>302</v>
      </c>
      <c r="V878" s="51">
        <v>1157</v>
      </c>
    </row>
    <row r="879" spans="1:22">
      <c r="A879" s="32" t="s">
        <v>2786</v>
      </c>
      <c r="B879" s="32" t="s">
        <v>1532</v>
      </c>
      <c r="C879" s="32" t="s">
        <v>418</v>
      </c>
      <c r="D879" s="33" t="s">
        <v>1639</v>
      </c>
      <c r="E879" s="33">
        <v>56</v>
      </c>
      <c r="F879" s="33">
        <v>1195</v>
      </c>
      <c r="G879" s="33">
        <v>353</v>
      </c>
      <c r="H879" s="33" t="s">
        <v>1639</v>
      </c>
      <c r="I879" s="33">
        <v>1618</v>
      </c>
      <c r="K879" t="b">
        <f>QHPSelections2016[[#This Row],[County Name]]=P879</f>
        <v>1</v>
      </c>
      <c r="L879" t="b">
        <f>QHPSelections2016[[#This Row],[Silver]]=S879</f>
        <v>1</v>
      </c>
      <c r="N879">
        <v>22117</v>
      </c>
      <c r="O879" t="s">
        <v>1532</v>
      </c>
      <c r="P879" t="s">
        <v>418</v>
      </c>
      <c r="R879">
        <v>56</v>
      </c>
      <c r="S879" s="51">
        <v>1195</v>
      </c>
      <c r="T879">
        <v>353</v>
      </c>
      <c r="V879" s="51">
        <v>1618</v>
      </c>
    </row>
    <row r="880" spans="1:22">
      <c r="A880" s="32" t="s">
        <v>2787</v>
      </c>
      <c r="B880" s="32" t="s">
        <v>1532</v>
      </c>
      <c r="C880" s="32" t="s">
        <v>441</v>
      </c>
      <c r="D880" s="33">
        <v>25</v>
      </c>
      <c r="E880" s="33">
        <v>74</v>
      </c>
      <c r="F880" s="33">
        <v>1254</v>
      </c>
      <c r="G880" s="33">
        <v>414</v>
      </c>
      <c r="H880" s="33">
        <v>18</v>
      </c>
      <c r="I880" s="33">
        <v>1785</v>
      </c>
      <c r="K880" t="b">
        <f>QHPSelections2016[[#This Row],[County Name]]=P880</f>
        <v>1</v>
      </c>
      <c r="L880" t="b">
        <f>QHPSelections2016[[#This Row],[Silver]]=S880</f>
        <v>1</v>
      </c>
      <c r="N880">
        <v>22119</v>
      </c>
      <c r="O880" t="s">
        <v>1532</v>
      </c>
      <c r="P880" t="s">
        <v>441</v>
      </c>
      <c r="Q880">
        <v>25</v>
      </c>
      <c r="R880">
        <v>74</v>
      </c>
      <c r="S880" s="51">
        <v>1254</v>
      </c>
      <c r="T880">
        <v>414</v>
      </c>
      <c r="U880">
        <v>18</v>
      </c>
      <c r="V880" s="51">
        <v>1785</v>
      </c>
    </row>
    <row r="881" spans="1:22">
      <c r="A881" s="32" t="s">
        <v>2788</v>
      </c>
      <c r="B881" s="32" t="s">
        <v>1532</v>
      </c>
      <c r="C881" s="32" t="s">
        <v>409</v>
      </c>
      <c r="D881" s="33" t="s">
        <v>1639</v>
      </c>
      <c r="E881" s="33">
        <v>64</v>
      </c>
      <c r="F881" s="33">
        <v>804</v>
      </c>
      <c r="G881" s="33">
        <v>205</v>
      </c>
      <c r="H881" s="33" t="s">
        <v>1639</v>
      </c>
      <c r="I881" s="33">
        <v>1087</v>
      </c>
      <c r="K881" t="b">
        <f>QHPSelections2016[[#This Row],[County Name]]=P881</f>
        <v>1</v>
      </c>
      <c r="L881" t="b">
        <f>QHPSelections2016[[#This Row],[Silver]]=S881</f>
        <v>1</v>
      </c>
      <c r="N881">
        <v>22121</v>
      </c>
      <c r="O881" t="s">
        <v>1532</v>
      </c>
      <c r="P881" t="s">
        <v>409</v>
      </c>
      <c r="R881">
        <v>64</v>
      </c>
      <c r="S881">
        <v>804</v>
      </c>
      <c r="T881">
        <v>205</v>
      </c>
      <c r="V881" s="51">
        <v>1087</v>
      </c>
    </row>
    <row r="882" spans="1:22">
      <c r="A882" s="32" t="s">
        <v>2789</v>
      </c>
      <c r="B882" s="32" t="s">
        <v>1532</v>
      </c>
      <c r="C882" s="32" t="s">
        <v>429</v>
      </c>
      <c r="D882" s="33" t="s">
        <v>1639</v>
      </c>
      <c r="E882" s="33">
        <v>24</v>
      </c>
      <c r="F882" s="33">
        <v>261</v>
      </c>
      <c r="G882" s="33">
        <v>116</v>
      </c>
      <c r="H882" s="33" t="s">
        <v>1639</v>
      </c>
      <c r="I882" s="33">
        <v>409</v>
      </c>
      <c r="K882" t="b">
        <f>QHPSelections2016[[#This Row],[County Name]]=P882</f>
        <v>1</v>
      </c>
      <c r="L882" t="b">
        <f>QHPSelections2016[[#This Row],[Silver]]=S882</f>
        <v>1</v>
      </c>
      <c r="N882">
        <v>22123</v>
      </c>
      <c r="O882" t="s">
        <v>1532</v>
      </c>
      <c r="P882" t="s">
        <v>429</v>
      </c>
      <c r="R882">
        <v>24</v>
      </c>
      <c r="S882">
        <v>261</v>
      </c>
      <c r="T882">
        <v>116</v>
      </c>
      <c r="V882">
        <v>409</v>
      </c>
    </row>
    <row r="883" spans="1:22">
      <c r="A883" s="32" t="s">
        <v>2790</v>
      </c>
      <c r="B883" s="32" t="s">
        <v>1532</v>
      </c>
      <c r="C883" s="32" t="s">
        <v>412</v>
      </c>
      <c r="D883" s="33" t="s">
        <v>1639</v>
      </c>
      <c r="E883" s="33">
        <v>12</v>
      </c>
      <c r="F883" s="33">
        <v>296</v>
      </c>
      <c r="G883" s="33">
        <v>101</v>
      </c>
      <c r="H883" s="33" t="s">
        <v>1639</v>
      </c>
      <c r="I883" s="33">
        <v>426</v>
      </c>
      <c r="K883" t="b">
        <f>QHPSelections2016[[#This Row],[County Name]]=P883</f>
        <v>1</v>
      </c>
      <c r="L883" t="b">
        <f>QHPSelections2016[[#This Row],[Silver]]=S883</f>
        <v>1</v>
      </c>
      <c r="N883">
        <v>22125</v>
      </c>
      <c r="O883" t="s">
        <v>1532</v>
      </c>
      <c r="P883" t="s">
        <v>412</v>
      </c>
      <c r="R883">
        <v>12</v>
      </c>
      <c r="S883">
        <v>296</v>
      </c>
      <c r="T883">
        <v>101</v>
      </c>
      <c r="V883">
        <v>426</v>
      </c>
    </row>
    <row r="884" spans="1:22">
      <c r="A884" s="32" t="s">
        <v>2791</v>
      </c>
      <c r="B884" s="32" t="s">
        <v>1532</v>
      </c>
      <c r="C884" s="32" t="s">
        <v>426</v>
      </c>
      <c r="D884" s="33" t="s">
        <v>1639</v>
      </c>
      <c r="E884" s="33">
        <v>18</v>
      </c>
      <c r="F884" s="33">
        <v>408</v>
      </c>
      <c r="G884" s="33">
        <v>182</v>
      </c>
      <c r="H884" s="33" t="s">
        <v>1639</v>
      </c>
      <c r="I884" s="33">
        <v>614</v>
      </c>
      <c r="K884" t="b">
        <f>QHPSelections2016[[#This Row],[County Name]]=P884</f>
        <v>1</v>
      </c>
      <c r="L884" t="b">
        <f>QHPSelections2016[[#This Row],[Silver]]=S884</f>
        <v>1</v>
      </c>
      <c r="N884">
        <v>22127</v>
      </c>
      <c r="O884" t="s">
        <v>1532</v>
      </c>
      <c r="P884" t="s">
        <v>426</v>
      </c>
      <c r="R884">
        <v>18</v>
      </c>
      <c r="S884">
        <v>408</v>
      </c>
      <c r="T884">
        <v>182</v>
      </c>
      <c r="V884">
        <v>614</v>
      </c>
    </row>
    <row r="885" spans="1:22">
      <c r="A885" s="32" t="s">
        <v>2792</v>
      </c>
      <c r="B885" s="32" t="s">
        <v>2793</v>
      </c>
      <c r="C885" s="32" t="s">
        <v>2794</v>
      </c>
      <c r="D885" s="33">
        <v>0</v>
      </c>
      <c r="E885" s="33">
        <v>218</v>
      </c>
      <c r="F885" s="33">
        <v>3377</v>
      </c>
      <c r="G885" s="33">
        <v>966</v>
      </c>
      <c r="H885" s="33">
        <v>33</v>
      </c>
      <c r="I885" s="33">
        <v>4594</v>
      </c>
      <c r="K885" t="b">
        <f>QHPSelections2016[[#This Row],[County Name]]=P885</f>
        <v>1</v>
      </c>
      <c r="L885" t="b">
        <f>QHPSelections2016[[#This Row],[Silver]]=S885</f>
        <v>1</v>
      </c>
      <c r="N885">
        <v>23001</v>
      </c>
      <c r="O885" t="s">
        <v>2793</v>
      </c>
      <c r="P885" t="s">
        <v>2794</v>
      </c>
      <c r="Q885">
        <v>0</v>
      </c>
      <c r="R885">
        <v>218</v>
      </c>
      <c r="S885" s="51">
        <v>3377</v>
      </c>
      <c r="T885">
        <v>966</v>
      </c>
      <c r="U885">
        <v>33</v>
      </c>
      <c r="V885" s="51">
        <v>4594</v>
      </c>
    </row>
    <row r="886" spans="1:22">
      <c r="A886" s="32" t="s">
        <v>2795</v>
      </c>
      <c r="B886" s="32" t="s">
        <v>2793</v>
      </c>
      <c r="C886" s="32" t="s">
        <v>2796</v>
      </c>
      <c r="D886" s="33">
        <v>0</v>
      </c>
      <c r="E886" s="33">
        <v>164</v>
      </c>
      <c r="F886" s="33">
        <v>3264</v>
      </c>
      <c r="G886" s="33">
        <v>937</v>
      </c>
      <c r="H886" s="33">
        <v>19</v>
      </c>
      <c r="I886" s="33">
        <v>4384</v>
      </c>
      <c r="K886" t="b">
        <f>QHPSelections2016[[#This Row],[County Name]]=P886</f>
        <v>1</v>
      </c>
      <c r="L886" t="b">
        <f>QHPSelections2016[[#This Row],[Silver]]=S886</f>
        <v>1</v>
      </c>
      <c r="N886">
        <v>23003</v>
      </c>
      <c r="O886" t="s">
        <v>2793</v>
      </c>
      <c r="P886" t="s">
        <v>2796</v>
      </c>
      <c r="Q886">
        <v>0</v>
      </c>
      <c r="R886">
        <v>164</v>
      </c>
      <c r="S886" s="51">
        <v>3264</v>
      </c>
      <c r="T886">
        <v>937</v>
      </c>
      <c r="U886">
        <v>19</v>
      </c>
      <c r="V886" s="51">
        <v>4384</v>
      </c>
    </row>
    <row r="887" spans="1:22">
      <c r="A887" s="32" t="s">
        <v>2797</v>
      </c>
      <c r="B887" s="32" t="s">
        <v>2793</v>
      </c>
      <c r="C887" s="32" t="s">
        <v>923</v>
      </c>
      <c r="D887" s="33">
        <v>0</v>
      </c>
      <c r="E887" s="33">
        <v>1226</v>
      </c>
      <c r="F887" s="33">
        <v>12540</v>
      </c>
      <c r="G887" s="33">
        <v>4205</v>
      </c>
      <c r="H887" s="33">
        <v>262</v>
      </c>
      <c r="I887" s="33">
        <v>18233</v>
      </c>
      <c r="K887" t="b">
        <f>QHPSelections2016[[#This Row],[County Name]]=P887</f>
        <v>1</v>
      </c>
      <c r="L887" t="b">
        <f>QHPSelections2016[[#This Row],[Silver]]=S887</f>
        <v>1</v>
      </c>
      <c r="N887">
        <v>23005</v>
      </c>
      <c r="O887" t="s">
        <v>2793</v>
      </c>
      <c r="P887" t="s">
        <v>923</v>
      </c>
      <c r="Q887">
        <v>0</v>
      </c>
      <c r="R887" s="51">
        <v>1226</v>
      </c>
      <c r="S887" s="51">
        <v>12540</v>
      </c>
      <c r="T887" s="51">
        <v>4205</v>
      </c>
      <c r="U887">
        <v>262</v>
      </c>
      <c r="V887" s="51">
        <v>18233</v>
      </c>
    </row>
    <row r="888" spans="1:22">
      <c r="A888" s="32" t="s">
        <v>2798</v>
      </c>
      <c r="B888" s="32" t="s">
        <v>2793</v>
      </c>
      <c r="C888" s="32" t="s">
        <v>919</v>
      </c>
      <c r="D888" s="33">
        <v>0</v>
      </c>
      <c r="E888" s="33" t="s">
        <v>1639</v>
      </c>
      <c r="F888" s="33">
        <v>1520</v>
      </c>
      <c r="G888" s="33">
        <v>460</v>
      </c>
      <c r="H888" s="33" t="s">
        <v>1639</v>
      </c>
      <c r="I888" s="33">
        <v>2054</v>
      </c>
      <c r="K888" t="b">
        <f>QHPSelections2016[[#This Row],[County Name]]=P888</f>
        <v>1</v>
      </c>
      <c r="L888" t="b">
        <f>QHPSelections2016[[#This Row],[Silver]]=S888</f>
        <v>1</v>
      </c>
      <c r="N888">
        <v>23007</v>
      </c>
      <c r="O888" t="s">
        <v>2793</v>
      </c>
      <c r="P888" t="s">
        <v>919</v>
      </c>
      <c r="Q888">
        <v>0</v>
      </c>
      <c r="S888" s="51">
        <v>1520</v>
      </c>
      <c r="T888">
        <v>460</v>
      </c>
      <c r="V888" s="51">
        <v>2054</v>
      </c>
    </row>
    <row r="889" spans="1:22">
      <c r="A889" s="32" t="s">
        <v>2799</v>
      </c>
      <c r="B889" s="32" t="s">
        <v>2793</v>
      </c>
      <c r="C889" s="32" t="s">
        <v>949</v>
      </c>
      <c r="D889" s="33">
        <v>0</v>
      </c>
      <c r="E889" s="33">
        <v>162</v>
      </c>
      <c r="F889" s="33">
        <v>3867</v>
      </c>
      <c r="G889" s="33">
        <v>1608</v>
      </c>
      <c r="H889" s="33">
        <v>31</v>
      </c>
      <c r="I889" s="33">
        <v>5668</v>
      </c>
      <c r="K889" t="b">
        <f>QHPSelections2016[[#This Row],[County Name]]=P889</f>
        <v>1</v>
      </c>
      <c r="L889" t="b">
        <f>QHPSelections2016[[#This Row],[Silver]]=S889</f>
        <v>1</v>
      </c>
      <c r="N889">
        <v>23009</v>
      </c>
      <c r="O889" t="s">
        <v>2793</v>
      </c>
      <c r="P889" t="s">
        <v>949</v>
      </c>
      <c r="Q889">
        <v>0</v>
      </c>
      <c r="R889">
        <v>162</v>
      </c>
      <c r="S889" s="51">
        <v>3867</v>
      </c>
      <c r="T889" s="51">
        <v>1608</v>
      </c>
      <c r="U889">
        <v>31</v>
      </c>
      <c r="V889" s="51">
        <v>5668</v>
      </c>
    </row>
    <row r="890" spans="1:22">
      <c r="A890" s="32" t="s">
        <v>2800</v>
      </c>
      <c r="B890" s="32" t="s">
        <v>2793</v>
      </c>
      <c r="C890" s="32" t="s">
        <v>2801</v>
      </c>
      <c r="D890" s="33">
        <v>0</v>
      </c>
      <c r="E890" s="33">
        <v>257</v>
      </c>
      <c r="F890" s="33">
        <v>4044</v>
      </c>
      <c r="G890" s="33">
        <v>1284</v>
      </c>
      <c r="H890" s="33">
        <v>54</v>
      </c>
      <c r="I890" s="33">
        <v>5639</v>
      </c>
      <c r="K890" t="b">
        <f>QHPSelections2016[[#This Row],[County Name]]=P890</f>
        <v>1</v>
      </c>
      <c r="L890" t="b">
        <f>QHPSelections2016[[#This Row],[Silver]]=S890</f>
        <v>1</v>
      </c>
      <c r="N890">
        <v>23011</v>
      </c>
      <c r="O890" t="s">
        <v>2793</v>
      </c>
      <c r="P890" t="s">
        <v>2801</v>
      </c>
      <c r="Q890">
        <v>0</v>
      </c>
      <c r="R890">
        <v>257</v>
      </c>
      <c r="S890" s="51">
        <v>4044</v>
      </c>
      <c r="T890" s="51">
        <v>1284</v>
      </c>
      <c r="U890">
        <v>54</v>
      </c>
      <c r="V890" s="51">
        <v>5639</v>
      </c>
    </row>
    <row r="891" spans="1:22">
      <c r="A891" s="32" t="s">
        <v>2802</v>
      </c>
      <c r="B891" s="32" t="s">
        <v>2793</v>
      </c>
      <c r="C891" s="32" t="s">
        <v>1070</v>
      </c>
      <c r="D891" s="33">
        <v>0</v>
      </c>
      <c r="E891" s="33">
        <v>162</v>
      </c>
      <c r="F891" s="33">
        <v>3041</v>
      </c>
      <c r="G891" s="33">
        <v>1151</v>
      </c>
      <c r="H891" s="33">
        <v>43</v>
      </c>
      <c r="I891" s="33">
        <v>4397</v>
      </c>
      <c r="K891" t="b">
        <f>QHPSelections2016[[#This Row],[County Name]]=P891</f>
        <v>1</v>
      </c>
      <c r="L891" t="b">
        <f>QHPSelections2016[[#This Row],[Silver]]=S891</f>
        <v>1</v>
      </c>
      <c r="N891">
        <v>23013</v>
      </c>
      <c r="O891" t="s">
        <v>2793</v>
      </c>
      <c r="P891" t="s">
        <v>1070</v>
      </c>
      <c r="Q891">
        <v>0</v>
      </c>
      <c r="R891">
        <v>162</v>
      </c>
      <c r="S891" s="51">
        <v>3041</v>
      </c>
      <c r="T891" s="51">
        <v>1151</v>
      </c>
      <c r="U891">
        <v>43</v>
      </c>
      <c r="V891" s="51">
        <v>4397</v>
      </c>
    </row>
    <row r="892" spans="1:22">
      <c r="A892" s="32" t="s">
        <v>2803</v>
      </c>
      <c r="B892" s="32" t="s">
        <v>2793</v>
      </c>
      <c r="C892" s="32" t="s">
        <v>1051</v>
      </c>
      <c r="D892" s="33">
        <v>0</v>
      </c>
      <c r="E892" s="33">
        <v>148</v>
      </c>
      <c r="F892" s="33">
        <v>2374</v>
      </c>
      <c r="G892" s="33">
        <v>677</v>
      </c>
      <c r="H892" s="33">
        <v>19</v>
      </c>
      <c r="I892" s="33">
        <v>3218</v>
      </c>
      <c r="K892" t="b">
        <f>QHPSelections2016[[#This Row],[County Name]]=P892</f>
        <v>1</v>
      </c>
      <c r="L892" t="b">
        <f>QHPSelections2016[[#This Row],[Silver]]=S892</f>
        <v>1</v>
      </c>
      <c r="N892">
        <v>23015</v>
      </c>
      <c r="O892" t="s">
        <v>2793</v>
      </c>
      <c r="P892" t="s">
        <v>1051</v>
      </c>
      <c r="Q892">
        <v>0</v>
      </c>
      <c r="R892">
        <v>148</v>
      </c>
      <c r="S892" s="51">
        <v>2374</v>
      </c>
      <c r="T892">
        <v>677</v>
      </c>
      <c r="U892">
        <v>19</v>
      </c>
      <c r="V892" s="51">
        <v>3218</v>
      </c>
    </row>
    <row r="893" spans="1:22">
      <c r="A893" s="32" t="s">
        <v>2804</v>
      </c>
      <c r="B893" s="32" t="s">
        <v>2793</v>
      </c>
      <c r="C893" s="32" t="s">
        <v>2805</v>
      </c>
      <c r="D893" s="33">
        <v>0</v>
      </c>
      <c r="E893" s="33">
        <v>147</v>
      </c>
      <c r="F893" s="33">
        <v>3101</v>
      </c>
      <c r="G893" s="33">
        <v>851</v>
      </c>
      <c r="H893" s="33">
        <v>24</v>
      </c>
      <c r="I893" s="33">
        <v>4123</v>
      </c>
      <c r="K893" t="b">
        <f>QHPSelections2016[[#This Row],[County Name]]=P893</f>
        <v>1</v>
      </c>
      <c r="L893" t="b">
        <f>QHPSelections2016[[#This Row],[Silver]]=S893</f>
        <v>1</v>
      </c>
      <c r="N893">
        <v>23017</v>
      </c>
      <c r="O893" t="s">
        <v>2793</v>
      </c>
      <c r="P893" t="s">
        <v>2805</v>
      </c>
      <c r="Q893">
        <v>0</v>
      </c>
      <c r="R893">
        <v>147</v>
      </c>
      <c r="S893" s="51">
        <v>3101</v>
      </c>
      <c r="T893">
        <v>851</v>
      </c>
      <c r="U893">
        <v>24</v>
      </c>
      <c r="V893" s="51">
        <v>4123</v>
      </c>
    </row>
    <row r="894" spans="1:22">
      <c r="A894" s="32" t="s">
        <v>2806</v>
      </c>
      <c r="B894" s="32" t="s">
        <v>2793</v>
      </c>
      <c r="C894" s="32" t="s">
        <v>2807</v>
      </c>
      <c r="D894" s="33">
        <v>0</v>
      </c>
      <c r="E894" s="33">
        <v>262</v>
      </c>
      <c r="F894" s="33">
        <v>5734</v>
      </c>
      <c r="G894" s="33">
        <v>1850</v>
      </c>
      <c r="H894" s="33">
        <v>49</v>
      </c>
      <c r="I894" s="33">
        <v>7895</v>
      </c>
      <c r="K894" t="b">
        <f>QHPSelections2016[[#This Row],[County Name]]=P894</f>
        <v>1</v>
      </c>
      <c r="L894" t="b">
        <f>QHPSelections2016[[#This Row],[Silver]]=S894</f>
        <v>1</v>
      </c>
      <c r="N894">
        <v>23019</v>
      </c>
      <c r="O894" t="s">
        <v>2793</v>
      </c>
      <c r="P894" t="s">
        <v>2807</v>
      </c>
      <c r="Q894">
        <v>0</v>
      </c>
      <c r="R894">
        <v>262</v>
      </c>
      <c r="S894" s="51">
        <v>5734</v>
      </c>
      <c r="T894" s="51">
        <v>1850</v>
      </c>
      <c r="U894">
        <v>49</v>
      </c>
      <c r="V894" s="51">
        <v>7895</v>
      </c>
    </row>
    <row r="895" spans="1:22">
      <c r="A895" s="32" t="s">
        <v>2808</v>
      </c>
      <c r="B895" s="32" t="s">
        <v>2793</v>
      </c>
      <c r="C895" s="32" t="s">
        <v>2809</v>
      </c>
      <c r="D895" s="33">
        <v>0</v>
      </c>
      <c r="E895" s="33" t="s">
        <v>1639</v>
      </c>
      <c r="F895" s="33">
        <v>794</v>
      </c>
      <c r="G895" s="33">
        <v>196</v>
      </c>
      <c r="H895" s="33" t="s">
        <v>1639</v>
      </c>
      <c r="I895" s="33">
        <v>1023</v>
      </c>
      <c r="K895" t="b">
        <f>QHPSelections2016[[#This Row],[County Name]]=P895</f>
        <v>1</v>
      </c>
      <c r="L895" t="b">
        <f>QHPSelections2016[[#This Row],[Silver]]=S895</f>
        <v>1</v>
      </c>
      <c r="N895">
        <v>23021</v>
      </c>
      <c r="O895" t="s">
        <v>2793</v>
      </c>
      <c r="P895" t="s">
        <v>2809</v>
      </c>
      <c r="Q895">
        <v>0</v>
      </c>
      <c r="S895">
        <v>794</v>
      </c>
      <c r="T895">
        <v>196</v>
      </c>
      <c r="V895" s="51">
        <v>1023</v>
      </c>
    </row>
    <row r="896" spans="1:22">
      <c r="A896" s="32" t="s">
        <v>2810</v>
      </c>
      <c r="B896" s="32" t="s">
        <v>2793</v>
      </c>
      <c r="C896" s="32" t="s">
        <v>2811</v>
      </c>
      <c r="D896" s="33">
        <v>0</v>
      </c>
      <c r="E896" s="33">
        <v>111</v>
      </c>
      <c r="F896" s="33">
        <v>1505</v>
      </c>
      <c r="G896" s="33">
        <v>490</v>
      </c>
      <c r="H896" s="33">
        <v>21</v>
      </c>
      <c r="I896" s="33">
        <v>2127</v>
      </c>
      <c r="K896" t="b">
        <f>QHPSelections2016[[#This Row],[County Name]]=P896</f>
        <v>1</v>
      </c>
      <c r="L896" t="b">
        <f>QHPSelections2016[[#This Row],[Silver]]=S896</f>
        <v>1</v>
      </c>
      <c r="N896">
        <v>23023</v>
      </c>
      <c r="O896" t="s">
        <v>2793</v>
      </c>
      <c r="P896" t="s">
        <v>2811</v>
      </c>
      <c r="Q896">
        <v>0</v>
      </c>
      <c r="R896">
        <v>111</v>
      </c>
      <c r="S896" s="51">
        <v>1505</v>
      </c>
      <c r="T896">
        <v>490</v>
      </c>
      <c r="U896">
        <v>21</v>
      </c>
      <c r="V896" s="51">
        <v>2127</v>
      </c>
    </row>
    <row r="897" spans="1:22">
      <c r="A897" s="32" t="s">
        <v>2812</v>
      </c>
      <c r="B897" s="32" t="s">
        <v>2793</v>
      </c>
      <c r="C897" s="32" t="s">
        <v>2813</v>
      </c>
      <c r="D897" s="33">
        <v>0</v>
      </c>
      <c r="E897" s="33" t="s">
        <v>1639</v>
      </c>
      <c r="F897" s="33">
        <v>1975</v>
      </c>
      <c r="G897" s="33">
        <v>576</v>
      </c>
      <c r="H897" s="33" t="s">
        <v>1639</v>
      </c>
      <c r="I897" s="33">
        <v>2603</v>
      </c>
      <c r="K897" t="b">
        <f>QHPSelections2016[[#This Row],[County Name]]=P897</f>
        <v>1</v>
      </c>
      <c r="L897" t="b">
        <f>QHPSelections2016[[#This Row],[Silver]]=S897</f>
        <v>1</v>
      </c>
      <c r="N897">
        <v>23025</v>
      </c>
      <c r="O897" t="s">
        <v>2793</v>
      </c>
      <c r="P897" t="s">
        <v>2813</v>
      </c>
      <c r="Q897">
        <v>0</v>
      </c>
      <c r="S897" s="51">
        <v>1975</v>
      </c>
      <c r="T897">
        <v>576</v>
      </c>
      <c r="V897" s="51">
        <v>2603</v>
      </c>
    </row>
    <row r="898" spans="1:22">
      <c r="A898" s="32" t="s">
        <v>2814</v>
      </c>
      <c r="B898" s="32" t="s">
        <v>2793</v>
      </c>
      <c r="C898" s="32" t="s">
        <v>2815</v>
      </c>
      <c r="D898" s="33">
        <v>0</v>
      </c>
      <c r="E898" s="33">
        <v>111</v>
      </c>
      <c r="F898" s="33">
        <v>2267</v>
      </c>
      <c r="G898" s="33">
        <v>855</v>
      </c>
      <c r="H898" s="33">
        <v>20</v>
      </c>
      <c r="I898" s="33">
        <v>3253</v>
      </c>
      <c r="K898" t="b">
        <f>QHPSelections2016[[#This Row],[County Name]]=P898</f>
        <v>1</v>
      </c>
      <c r="L898" t="b">
        <f>QHPSelections2016[[#This Row],[Silver]]=S898</f>
        <v>1</v>
      </c>
      <c r="N898">
        <v>23027</v>
      </c>
      <c r="O898" t="s">
        <v>2793</v>
      </c>
      <c r="P898" t="s">
        <v>2815</v>
      </c>
      <c r="Q898">
        <v>0</v>
      </c>
      <c r="R898">
        <v>111</v>
      </c>
      <c r="S898" s="51">
        <v>2267</v>
      </c>
      <c r="T898">
        <v>855</v>
      </c>
      <c r="U898">
        <v>20</v>
      </c>
      <c r="V898" s="51">
        <v>3253</v>
      </c>
    </row>
    <row r="899" spans="1:22">
      <c r="A899" s="32" t="s">
        <v>2816</v>
      </c>
      <c r="B899" s="32" t="s">
        <v>2793</v>
      </c>
      <c r="C899" s="32" t="s">
        <v>1160</v>
      </c>
      <c r="D899" s="33">
        <v>0</v>
      </c>
      <c r="E899" s="33" t="s">
        <v>1639</v>
      </c>
      <c r="F899" s="33">
        <v>1878</v>
      </c>
      <c r="G899" s="33">
        <v>583</v>
      </c>
      <c r="H899" s="33" t="s">
        <v>1639</v>
      </c>
      <c r="I899" s="33">
        <v>2527</v>
      </c>
      <c r="K899" t="b">
        <f>QHPSelections2016[[#This Row],[County Name]]=P899</f>
        <v>1</v>
      </c>
      <c r="L899" t="b">
        <f>QHPSelections2016[[#This Row],[Silver]]=S899</f>
        <v>1</v>
      </c>
      <c r="N899">
        <v>23029</v>
      </c>
      <c r="O899" t="s">
        <v>2793</v>
      </c>
      <c r="P899" t="s">
        <v>1160</v>
      </c>
      <c r="Q899">
        <v>0</v>
      </c>
      <c r="S899" s="51">
        <v>1878</v>
      </c>
      <c r="T899">
        <v>583</v>
      </c>
      <c r="V899" s="51">
        <v>2527</v>
      </c>
    </row>
    <row r="900" spans="1:22">
      <c r="A900" s="32" t="s">
        <v>2817</v>
      </c>
      <c r="B900" s="32" t="s">
        <v>2793</v>
      </c>
      <c r="C900" s="32" t="s">
        <v>2818</v>
      </c>
      <c r="D900" s="33">
        <v>0</v>
      </c>
      <c r="E900" s="33">
        <v>724</v>
      </c>
      <c r="F900" s="33">
        <v>8807</v>
      </c>
      <c r="G900" s="33">
        <v>2653</v>
      </c>
      <c r="H900" s="33">
        <v>137</v>
      </c>
      <c r="I900" s="33">
        <v>12321</v>
      </c>
      <c r="K900" t="b">
        <f>QHPSelections2016[[#This Row],[County Name]]=P900</f>
        <v>1</v>
      </c>
      <c r="L900" t="b">
        <f>QHPSelections2016[[#This Row],[Silver]]=S900</f>
        <v>1</v>
      </c>
      <c r="N900">
        <v>23031</v>
      </c>
      <c r="O900" t="s">
        <v>2793</v>
      </c>
      <c r="P900" t="s">
        <v>2818</v>
      </c>
      <c r="Q900">
        <v>0</v>
      </c>
      <c r="R900">
        <v>724</v>
      </c>
      <c r="S900" s="51">
        <v>8807</v>
      </c>
      <c r="T900" s="51">
        <v>2653</v>
      </c>
      <c r="U900">
        <v>137</v>
      </c>
      <c r="V900" s="51">
        <v>12321</v>
      </c>
    </row>
    <row r="901" spans="1:22">
      <c r="A901" s="32" t="s">
        <v>2819</v>
      </c>
      <c r="B901" s="32" t="s">
        <v>2820</v>
      </c>
      <c r="C901" s="32" t="s">
        <v>2821</v>
      </c>
      <c r="D901" s="33" t="s">
        <v>1639</v>
      </c>
      <c r="E901" s="33">
        <v>25</v>
      </c>
      <c r="F901" s="33">
        <v>301</v>
      </c>
      <c r="G901" s="33">
        <v>101</v>
      </c>
      <c r="H901" s="33" t="s">
        <v>1639</v>
      </c>
      <c r="I901" s="33">
        <v>429</v>
      </c>
      <c r="K901" t="b">
        <f>QHPSelections2016[[#This Row],[County Name]]=P901</f>
        <v>1</v>
      </c>
      <c r="L901" t="b">
        <f>QHPSelections2016[[#This Row],[Silver]]=S901</f>
        <v>1</v>
      </c>
      <c r="N901">
        <v>26001</v>
      </c>
      <c r="O901" t="s">
        <v>2820</v>
      </c>
      <c r="P901" t="s">
        <v>2821</v>
      </c>
      <c r="R901">
        <v>25</v>
      </c>
      <c r="S901">
        <v>301</v>
      </c>
      <c r="T901">
        <v>101</v>
      </c>
      <c r="V901">
        <v>429</v>
      </c>
    </row>
    <row r="902" spans="1:22">
      <c r="A902" s="32" t="s">
        <v>2822</v>
      </c>
      <c r="B902" s="32" t="s">
        <v>2820</v>
      </c>
      <c r="C902" s="32" t="s">
        <v>2823</v>
      </c>
      <c r="D902" s="33">
        <v>0</v>
      </c>
      <c r="E902" s="33" t="s">
        <v>1639</v>
      </c>
      <c r="F902" s="33">
        <v>273</v>
      </c>
      <c r="G902" s="33">
        <v>131</v>
      </c>
      <c r="H902" s="33" t="s">
        <v>1639</v>
      </c>
      <c r="I902" s="33">
        <v>416</v>
      </c>
      <c r="K902" t="b">
        <f>QHPSelections2016[[#This Row],[County Name]]=P902</f>
        <v>1</v>
      </c>
      <c r="L902" t="b">
        <f>QHPSelections2016[[#This Row],[Silver]]=S902</f>
        <v>1</v>
      </c>
      <c r="N902">
        <v>26003</v>
      </c>
      <c r="O902" t="s">
        <v>2820</v>
      </c>
      <c r="P902" t="s">
        <v>2823</v>
      </c>
      <c r="Q902">
        <v>0</v>
      </c>
      <c r="S902">
        <v>273</v>
      </c>
      <c r="T902">
        <v>131</v>
      </c>
      <c r="V902">
        <v>416</v>
      </c>
    </row>
    <row r="903" spans="1:22">
      <c r="A903" s="32" t="s">
        <v>2824</v>
      </c>
      <c r="B903" s="32" t="s">
        <v>2820</v>
      </c>
      <c r="C903" s="32" t="s">
        <v>2825</v>
      </c>
      <c r="D903" s="33" t="s">
        <v>1639</v>
      </c>
      <c r="E903" s="33">
        <v>199</v>
      </c>
      <c r="F903" s="33">
        <v>2907</v>
      </c>
      <c r="G903" s="33">
        <v>1450</v>
      </c>
      <c r="H903" s="33" t="s">
        <v>1639</v>
      </c>
      <c r="I903" s="33">
        <v>4583</v>
      </c>
      <c r="K903" t="b">
        <f>QHPSelections2016[[#This Row],[County Name]]=P903</f>
        <v>1</v>
      </c>
      <c r="L903" t="b">
        <f>QHPSelections2016[[#This Row],[Silver]]=S903</f>
        <v>1</v>
      </c>
      <c r="N903">
        <v>26005</v>
      </c>
      <c r="O903" t="s">
        <v>2820</v>
      </c>
      <c r="P903" t="s">
        <v>2825</v>
      </c>
      <c r="R903">
        <v>199</v>
      </c>
      <c r="S903" s="51">
        <v>2907</v>
      </c>
      <c r="T903" s="51">
        <v>1450</v>
      </c>
      <c r="V903" s="51">
        <v>4583</v>
      </c>
    </row>
    <row r="904" spans="1:22">
      <c r="A904" s="32" t="s">
        <v>2826</v>
      </c>
      <c r="B904" s="32" t="s">
        <v>2820</v>
      </c>
      <c r="C904" s="32" t="s">
        <v>2827</v>
      </c>
      <c r="D904" s="33" t="s">
        <v>1639</v>
      </c>
      <c r="E904" s="33">
        <v>49</v>
      </c>
      <c r="F904" s="33">
        <v>755</v>
      </c>
      <c r="G904" s="33">
        <v>315</v>
      </c>
      <c r="H904" s="33" t="s">
        <v>1639</v>
      </c>
      <c r="I904" s="33">
        <v>1123</v>
      </c>
      <c r="K904" t="b">
        <f>QHPSelections2016[[#This Row],[County Name]]=P904</f>
        <v>1</v>
      </c>
      <c r="L904" t="b">
        <f>QHPSelections2016[[#This Row],[Silver]]=S904</f>
        <v>1</v>
      </c>
      <c r="N904">
        <v>26007</v>
      </c>
      <c r="O904" t="s">
        <v>2820</v>
      </c>
      <c r="P904" t="s">
        <v>2827</v>
      </c>
      <c r="R904">
        <v>49</v>
      </c>
      <c r="S904">
        <v>755</v>
      </c>
      <c r="T904">
        <v>315</v>
      </c>
      <c r="V904" s="51">
        <v>1123</v>
      </c>
    </row>
    <row r="905" spans="1:22">
      <c r="A905" s="32" t="s">
        <v>2828</v>
      </c>
      <c r="B905" s="32" t="s">
        <v>2820</v>
      </c>
      <c r="C905" s="32" t="s">
        <v>2829</v>
      </c>
      <c r="D905" s="33" t="s">
        <v>1639</v>
      </c>
      <c r="E905" s="33">
        <v>56</v>
      </c>
      <c r="F905" s="33">
        <v>776</v>
      </c>
      <c r="G905" s="33">
        <v>395</v>
      </c>
      <c r="H905" s="33" t="s">
        <v>1639</v>
      </c>
      <c r="I905" s="33">
        <v>1228</v>
      </c>
      <c r="K905" t="b">
        <f>QHPSelections2016[[#This Row],[County Name]]=P905</f>
        <v>1</v>
      </c>
      <c r="L905" t="b">
        <f>QHPSelections2016[[#This Row],[Silver]]=S905</f>
        <v>1</v>
      </c>
      <c r="N905">
        <v>26009</v>
      </c>
      <c r="O905" t="s">
        <v>2820</v>
      </c>
      <c r="P905" t="s">
        <v>2829</v>
      </c>
      <c r="R905">
        <v>56</v>
      </c>
      <c r="S905">
        <v>776</v>
      </c>
      <c r="T905">
        <v>395</v>
      </c>
      <c r="V905" s="51">
        <v>1228</v>
      </c>
    </row>
    <row r="906" spans="1:22">
      <c r="A906" s="32" t="s">
        <v>2830</v>
      </c>
      <c r="B906" s="32" t="s">
        <v>2820</v>
      </c>
      <c r="C906" s="32" t="s">
        <v>2831</v>
      </c>
      <c r="D906" s="33" t="s">
        <v>1639</v>
      </c>
      <c r="E906" s="33">
        <v>23</v>
      </c>
      <c r="F906" s="33">
        <v>353</v>
      </c>
      <c r="G906" s="33">
        <v>160</v>
      </c>
      <c r="H906" s="33" t="s">
        <v>1639</v>
      </c>
      <c r="I906" s="33">
        <v>545</v>
      </c>
      <c r="K906" t="b">
        <f>QHPSelections2016[[#This Row],[County Name]]=P906</f>
        <v>1</v>
      </c>
      <c r="L906" t="b">
        <f>QHPSelections2016[[#This Row],[Silver]]=S906</f>
        <v>1</v>
      </c>
      <c r="N906">
        <v>26011</v>
      </c>
      <c r="O906" t="s">
        <v>2820</v>
      </c>
      <c r="P906" t="s">
        <v>2831</v>
      </c>
      <c r="R906">
        <v>23</v>
      </c>
      <c r="S906">
        <v>353</v>
      </c>
      <c r="T906">
        <v>160</v>
      </c>
      <c r="V906">
        <v>545</v>
      </c>
    </row>
    <row r="907" spans="1:22">
      <c r="A907" s="32" t="s">
        <v>2832</v>
      </c>
      <c r="B907" s="32" t="s">
        <v>2820</v>
      </c>
      <c r="C907" s="32" t="s">
        <v>2833</v>
      </c>
      <c r="D907" s="33">
        <v>0</v>
      </c>
      <c r="E907" s="33">
        <v>17</v>
      </c>
      <c r="F907" s="33">
        <v>177</v>
      </c>
      <c r="G907" s="33">
        <v>110</v>
      </c>
      <c r="H907" s="33">
        <v>0</v>
      </c>
      <c r="I907" s="33">
        <v>304</v>
      </c>
      <c r="K907" t="b">
        <f>QHPSelections2016[[#This Row],[County Name]]=P907</f>
        <v>1</v>
      </c>
      <c r="L907" t="b">
        <f>QHPSelections2016[[#This Row],[Silver]]=S907</f>
        <v>1</v>
      </c>
      <c r="N907">
        <v>26013</v>
      </c>
      <c r="O907" t="s">
        <v>2820</v>
      </c>
      <c r="P907" t="s">
        <v>2833</v>
      </c>
      <c r="Q907">
        <v>0</v>
      </c>
      <c r="R907">
        <v>17</v>
      </c>
      <c r="S907">
        <v>177</v>
      </c>
      <c r="T907">
        <v>110</v>
      </c>
      <c r="U907">
        <v>0</v>
      </c>
      <c r="V907">
        <v>304</v>
      </c>
    </row>
    <row r="908" spans="1:22">
      <c r="A908" s="32" t="s">
        <v>2834</v>
      </c>
      <c r="B908" s="32" t="s">
        <v>2820</v>
      </c>
      <c r="C908" s="32" t="s">
        <v>2835</v>
      </c>
      <c r="D908" s="33" t="s">
        <v>1639</v>
      </c>
      <c r="E908" s="33">
        <v>101</v>
      </c>
      <c r="F908" s="33">
        <v>1341</v>
      </c>
      <c r="G908" s="33">
        <v>619</v>
      </c>
      <c r="H908" s="33" t="s">
        <v>1639</v>
      </c>
      <c r="I908" s="33">
        <v>2070</v>
      </c>
      <c r="K908" t="b">
        <f>QHPSelections2016[[#This Row],[County Name]]=P908</f>
        <v>1</v>
      </c>
      <c r="L908" t="b">
        <f>QHPSelections2016[[#This Row],[Silver]]=S908</f>
        <v>1</v>
      </c>
      <c r="N908">
        <v>26015</v>
      </c>
      <c r="O908" t="s">
        <v>2820</v>
      </c>
      <c r="P908" t="s">
        <v>2835</v>
      </c>
      <c r="R908">
        <v>101</v>
      </c>
      <c r="S908" s="51">
        <v>1341</v>
      </c>
      <c r="T908">
        <v>619</v>
      </c>
      <c r="V908" s="51">
        <v>2070</v>
      </c>
    </row>
    <row r="909" spans="1:22">
      <c r="A909" s="32" t="s">
        <v>2836</v>
      </c>
      <c r="B909" s="32" t="s">
        <v>2820</v>
      </c>
      <c r="C909" s="32" t="s">
        <v>831</v>
      </c>
      <c r="D909" s="33">
        <v>28</v>
      </c>
      <c r="E909" s="33">
        <v>132</v>
      </c>
      <c r="F909" s="33">
        <v>1898</v>
      </c>
      <c r="G909" s="33">
        <v>899</v>
      </c>
      <c r="H909" s="33">
        <v>20</v>
      </c>
      <c r="I909" s="33">
        <v>2977</v>
      </c>
      <c r="K909" t="b">
        <f>QHPSelections2016[[#This Row],[County Name]]=P909</f>
        <v>1</v>
      </c>
      <c r="L909" t="b">
        <f>QHPSelections2016[[#This Row],[Silver]]=S909</f>
        <v>1</v>
      </c>
      <c r="N909">
        <v>26017</v>
      </c>
      <c r="O909" t="s">
        <v>2820</v>
      </c>
      <c r="P909" t="s">
        <v>831</v>
      </c>
      <c r="Q909">
        <v>28</v>
      </c>
      <c r="R909">
        <v>132</v>
      </c>
      <c r="S909" s="51">
        <v>1898</v>
      </c>
      <c r="T909">
        <v>899</v>
      </c>
      <c r="U909">
        <v>20</v>
      </c>
      <c r="V909" s="51">
        <v>2977</v>
      </c>
    </row>
    <row r="910" spans="1:22">
      <c r="A910" s="32" t="s">
        <v>2837</v>
      </c>
      <c r="B910" s="32" t="s">
        <v>2820</v>
      </c>
      <c r="C910" s="32" t="s">
        <v>2838</v>
      </c>
      <c r="D910" s="33" t="s">
        <v>1639</v>
      </c>
      <c r="E910" s="33">
        <v>46</v>
      </c>
      <c r="F910" s="33">
        <v>666</v>
      </c>
      <c r="G910" s="33">
        <v>341</v>
      </c>
      <c r="H910" s="33" t="s">
        <v>1639</v>
      </c>
      <c r="I910" s="33">
        <v>1058</v>
      </c>
      <c r="K910" t="b">
        <f>QHPSelections2016[[#This Row],[County Name]]=P910</f>
        <v>1</v>
      </c>
      <c r="L910" t="b">
        <f>QHPSelections2016[[#This Row],[Silver]]=S910</f>
        <v>1</v>
      </c>
      <c r="N910">
        <v>26019</v>
      </c>
      <c r="O910" t="s">
        <v>2820</v>
      </c>
      <c r="P910" t="s">
        <v>2838</v>
      </c>
      <c r="R910">
        <v>46</v>
      </c>
      <c r="S910">
        <v>666</v>
      </c>
      <c r="T910">
        <v>341</v>
      </c>
      <c r="V910" s="51">
        <v>1058</v>
      </c>
    </row>
    <row r="911" spans="1:22">
      <c r="A911" s="32" t="s">
        <v>2839</v>
      </c>
      <c r="B911" s="32" t="s">
        <v>2820</v>
      </c>
      <c r="C911" s="32" t="s">
        <v>874</v>
      </c>
      <c r="D911" s="33">
        <v>12</v>
      </c>
      <c r="E911" s="33">
        <v>300</v>
      </c>
      <c r="F911" s="33">
        <v>3445</v>
      </c>
      <c r="G911" s="33">
        <v>2332</v>
      </c>
      <c r="H911" s="33">
        <v>31</v>
      </c>
      <c r="I911" s="33">
        <v>6120</v>
      </c>
      <c r="K911" t="b">
        <f>QHPSelections2016[[#This Row],[County Name]]=P911</f>
        <v>1</v>
      </c>
      <c r="L911" t="b">
        <f>QHPSelections2016[[#This Row],[Silver]]=S911</f>
        <v>1</v>
      </c>
      <c r="N911">
        <v>26021</v>
      </c>
      <c r="O911" t="s">
        <v>2820</v>
      </c>
      <c r="P911" t="s">
        <v>874</v>
      </c>
      <c r="Q911">
        <v>12</v>
      </c>
      <c r="R911">
        <v>300</v>
      </c>
      <c r="S911" s="51">
        <v>3445</v>
      </c>
      <c r="T911" s="51">
        <v>2332</v>
      </c>
      <c r="U911">
        <v>31</v>
      </c>
      <c r="V911" s="51">
        <v>6120</v>
      </c>
    </row>
    <row r="912" spans="1:22">
      <c r="A912" s="32" t="s">
        <v>2840</v>
      </c>
      <c r="B912" s="32" t="s">
        <v>2820</v>
      </c>
      <c r="C912" s="32" t="s">
        <v>2841</v>
      </c>
      <c r="D912" s="33" t="s">
        <v>1639</v>
      </c>
      <c r="E912" s="33">
        <v>57</v>
      </c>
      <c r="F912" s="33">
        <v>959</v>
      </c>
      <c r="G912" s="33">
        <v>467</v>
      </c>
      <c r="H912" s="33" t="s">
        <v>1639</v>
      </c>
      <c r="I912" s="33">
        <v>1489</v>
      </c>
      <c r="K912" t="b">
        <f>QHPSelections2016[[#This Row],[County Name]]=P912</f>
        <v>1</v>
      </c>
      <c r="L912" t="b">
        <f>QHPSelections2016[[#This Row],[Silver]]=S912</f>
        <v>1</v>
      </c>
      <c r="N912">
        <v>26023</v>
      </c>
      <c r="O912" t="s">
        <v>2820</v>
      </c>
      <c r="P912" t="s">
        <v>2841</v>
      </c>
      <c r="R912">
        <v>57</v>
      </c>
      <c r="S912">
        <v>959</v>
      </c>
      <c r="T912">
        <v>467</v>
      </c>
      <c r="V912" s="51">
        <v>1489</v>
      </c>
    </row>
    <row r="913" spans="1:22">
      <c r="A913" s="32" t="s">
        <v>2842</v>
      </c>
      <c r="B913" s="32" t="s">
        <v>2820</v>
      </c>
      <c r="C913" s="32" t="s">
        <v>855</v>
      </c>
      <c r="D913" s="33" t="s">
        <v>1639</v>
      </c>
      <c r="E913" s="33">
        <v>176</v>
      </c>
      <c r="F913" s="33">
        <v>2060</v>
      </c>
      <c r="G913" s="33">
        <v>963</v>
      </c>
      <c r="H913" s="33" t="s">
        <v>1639</v>
      </c>
      <c r="I913" s="33">
        <v>3227</v>
      </c>
      <c r="K913" t="b">
        <f>QHPSelections2016[[#This Row],[County Name]]=P913</f>
        <v>1</v>
      </c>
      <c r="L913" t="b">
        <f>QHPSelections2016[[#This Row],[Silver]]=S913</f>
        <v>1</v>
      </c>
      <c r="N913">
        <v>26025</v>
      </c>
      <c r="O913" t="s">
        <v>2820</v>
      </c>
      <c r="P913" t="s">
        <v>855</v>
      </c>
      <c r="R913">
        <v>176</v>
      </c>
      <c r="S913" s="51">
        <v>2060</v>
      </c>
      <c r="T913">
        <v>963</v>
      </c>
      <c r="V913" s="51">
        <v>3227</v>
      </c>
    </row>
    <row r="914" spans="1:22">
      <c r="A914" s="32" t="s">
        <v>2843</v>
      </c>
      <c r="B914" s="32" t="s">
        <v>2820</v>
      </c>
      <c r="C914" s="32" t="s">
        <v>1008</v>
      </c>
      <c r="D914" s="33" t="s">
        <v>1639</v>
      </c>
      <c r="E914" s="33">
        <v>76</v>
      </c>
      <c r="F914" s="33">
        <v>1060</v>
      </c>
      <c r="G914" s="33">
        <v>768</v>
      </c>
      <c r="H914" s="33" t="s">
        <v>1639</v>
      </c>
      <c r="I914" s="33">
        <v>1905</v>
      </c>
      <c r="K914" t="b">
        <f>QHPSelections2016[[#This Row],[County Name]]=P914</f>
        <v>1</v>
      </c>
      <c r="L914" t="b">
        <f>QHPSelections2016[[#This Row],[Silver]]=S914</f>
        <v>1</v>
      </c>
      <c r="N914">
        <v>26027</v>
      </c>
      <c r="O914" t="s">
        <v>2820</v>
      </c>
      <c r="P914" t="s">
        <v>1008</v>
      </c>
      <c r="R914">
        <v>76</v>
      </c>
      <c r="S914" s="51">
        <v>1060</v>
      </c>
      <c r="T914">
        <v>768</v>
      </c>
      <c r="V914" s="51">
        <v>1905</v>
      </c>
    </row>
    <row r="915" spans="1:22">
      <c r="A915" s="32" t="s">
        <v>2844</v>
      </c>
      <c r="B915" s="32" t="s">
        <v>2820</v>
      </c>
      <c r="C915" s="32" t="s">
        <v>2845</v>
      </c>
      <c r="D915" s="33" t="s">
        <v>1639</v>
      </c>
      <c r="E915" s="33">
        <v>78</v>
      </c>
      <c r="F915" s="33">
        <v>896</v>
      </c>
      <c r="G915" s="33">
        <v>453</v>
      </c>
      <c r="H915" s="33" t="s">
        <v>1639</v>
      </c>
      <c r="I915" s="33">
        <v>1438</v>
      </c>
      <c r="K915" t="b">
        <f>QHPSelections2016[[#This Row],[County Name]]=P915</f>
        <v>1</v>
      </c>
      <c r="L915" t="b">
        <f>QHPSelections2016[[#This Row],[Silver]]=S915</f>
        <v>1</v>
      </c>
      <c r="N915">
        <v>26029</v>
      </c>
      <c r="O915" t="s">
        <v>2820</v>
      </c>
      <c r="P915" t="s">
        <v>2845</v>
      </c>
      <c r="R915">
        <v>78</v>
      </c>
      <c r="S915">
        <v>896</v>
      </c>
      <c r="T915">
        <v>453</v>
      </c>
      <c r="V915" s="51">
        <v>1438</v>
      </c>
    </row>
    <row r="916" spans="1:22">
      <c r="A916" s="32" t="s">
        <v>2846</v>
      </c>
      <c r="B916" s="32" t="s">
        <v>2820</v>
      </c>
      <c r="C916" s="32" t="s">
        <v>2847</v>
      </c>
      <c r="D916" s="33" t="s">
        <v>1639</v>
      </c>
      <c r="E916" s="33">
        <v>47</v>
      </c>
      <c r="F916" s="33">
        <v>808</v>
      </c>
      <c r="G916" s="33">
        <v>376</v>
      </c>
      <c r="H916" s="33" t="s">
        <v>1639</v>
      </c>
      <c r="I916" s="33">
        <v>1239</v>
      </c>
      <c r="K916" t="b">
        <f>QHPSelections2016[[#This Row],[County Name]]=P916</f>
        <v>1</v>
      </c>
      <c r="L916" t="b">
        <f>QHPSelections2016[[#This Row],[Silver]]=S916</f>
        <v>1</v>
      </c>
      <c r="N916">
        <v>26031</v>
      </c>
      <c r="O916" t="s">
        <v>2820</v>
      </c>
      <c r="P916" t="s">
        <v>2847</v>
      </c>
      <c r="R916">
        <v>47</v>
      </c>
      <c r="S916">
        <v>808</v>
      </c>
      <c r="T916">
        <v>376</v>
      </c>
      <c r="V916" s="51">
        <v>1239</v>
      </c>
    </row>
    <row r="917" spans="1:22">
      <c r="A917" s="32" t="s">
        <v>2848</v>
      </c>
      <c r="B917" s="32" t="s">
        <v>2820</v>
      </c>
      <c r="C917" s="32" t="s">
        <v>2849</v>
      </c>
      <c r="D917" s="33" t="s">
        <v>1639</v>
      </c>
      <c r="E917" s="33">
        <v>49</v>
      </c>
      <c r="F917" s="33">
        <v>572</v>
      </c>
      <c r="G917" s="33">
        <v>362</v>
      </c>
      <c r="H917" s="33" t="s">
        <v>1639</v>
      </c>
      <c r="I917" s="33">
        <v>992</v>
      </c>
      <c r="K917" t="b">
        <f>QHPSelections2016[[#This Row],[County Name]]=P917</f>
        <v>1</v>
      </c>
      <c r="L917" t="b">
        <f>QHPSelections2016[[#This Row],[Silver]]=S917</f>
        <v>1</v>
      </c>
      <c r="N917">
        <v>26033</v>
      </c>
      <c r="O917" t="s">
        <v>2820</v>
      </c>
      <c r="P917" t="s">
        <v>2849</v>
      </c>
      <c r="R917">
        <v>49</v>
      </c>
      <c r="S917">
        <v>572</v>
      </c>
      <c r="T917">
        <v>362</v>
      </c>
      <c r="V917">
        <v>992</v>
      </c>
    </row>
    <row r="918" spans="1:22">
      <c r="A918" s="32" t="s">
        <v>2850</v>
      </c>
      <c r="B918" s="32" t="s">
        <v>2820</v>
      </c>
      <c r="C918" s="32" t="s">
        <v>2851</v>
      </c>
      <c r="D918" s="33" t="s">
        <v>1639</v>
      </c>
      <c r="E918" s="33">
        <v>26</v>
      </c>
      <c r="F918" s="33">
        <v>568</v>
      </c>
      <c r="G918" s="33">
        <v>261</v>
      </c>
      <c r="H918" s="33" t="s">
        <v>1639</v>
      </c>
      <c r="I918" s="33">
        <v>863</v>
      </c>
      <c r="K918" t="b">
        <f>QHPSelections2016[[#This Row],[County Name]]=P918</f>
        <v>1</v>
      </c>
      <c r="L918" t="b">
        <f>QHPSelections2016[[#This Row],[Silver]]=S918</f>
        <v>1</v>
      </c>
      <c r="N918">
        <v>26035</v>
      </c>
      <c r="O918" t="s">
        <v>2820</v>
      </c>
      <c r="P918" t="s">
        <v>2851</v>
      </c>
      <c r="R918">
        <v>26</v>
      </c>
      <c r="S918">
        <v>568</v>
      </c>
      <c r="T918">
        <v>261</v>
      </c>
      <c r="V918">
        <v>863</v>
      </c>
    </row>
    <row r="919" spans="1:22">
      <c r="A919" s="32" t="s">
        <v>2852</v>
      </c>
      <c r="B919" s="32" t="s">
        <v>2820</v>
      </c>
      <c r="C919" s="32" t="s">
        <v>2178</v>
      </c>
      <c r="D919" s="33">
        <v>50</v>
      </c>
      <c r="E919" s="33">
        <v>130</v>
      </c>
      <c r="F919" s="33">
        <v>1421</v>
      </c>
      <c r="G919" s="33">
        <v>575</v>
      </c>
      <c r="H919" s="33">
        <v>20</v>
      </c>
      <c r="I919" s="33">
        <v>2196</v>
      </c>
      <c r="K919" t="b">
        <f>QHPSelections2016[[#This Row],[County Name]]=P919</f>
        <v>1</v>
      </c>
      <c r="L919" t="b">
        <f>QHPSelections2016[[#This Row],[Silver]]=S919</f>
        <v>1</v>
      </c>
      <c r="N919">
        <v>26037</v>
      </c>
      <c r="O919" t="s">
        <v>2820</v>
      </c>
      <c r="P919" t="s">
        <v>2178</v>
      </c>
      <c r="Q919">
        <v>50</v>
      </c>
      <c r="R919">
        <v>130</v>
      </c>
      <c r="S919" s="51">
        <v>1421</v>
      </c>
      <c r="T919">
        <v>575</v>
      </c>
      <c r="U919">
        <v>20</v>
      </c>
      <c r="V919" s="51">
        <v>2196</v>
      </c>
    </row>
    <row r="920" spans="1:22">
      <c r="A920" s="32" t="s">
        <v>2853</v>
      </c>
      <c r="B920" s="32" t="s">
        <v>2820</v>
      </c>
      <c r="C920" s="32" t="s">
        <v>1030</v>
      </c>
      <c r="D920" s="33" t="s">
        <v>1639</v>
      </c>
      <c r="E920" s="33">
        <v>22</v>
      </c>
      <c r="F920" s="33">
        <v>317</v>
      </c>
      <c r="G920" s="33">
        <v>164</v>
      </c>
      <c r="H920" s="33" t="s">
        <v>1639</v>
      </c>
      <c r="I920" s="33">
        <v>504</v>
      </c>
      <c r="K920" t="b">
        <f>QHPSelections2016[[#This Row],[County Name]]=P920</f>
        <v>1</v>
      </c>
      <c r="L920" t="b">
        <f>QHPSelections2016[[#This Row],[Silver]]=S920</f>
        <v>1</v>
      </c>
      <c r="N920">
        <v>26039</v>
      </c>
      <c r="O920" t="s">
        <v>2820</v>
      </c>
      <c r="P920" t="s">
        <v>1030</v>
      </c>
      <c r="R920">
        <v>22</v>
      </c>
      <c r="S920">
        <v>317</v>
      </c>
      <c r="T920">
        <v>164</v>
      </c>
      <c r="V920">
        <v>504</v>
      </c>
    </row>
    <row r="921" spans="1:22">
      <c r="A921" s="32" t="s">
        <v>2854</v>
      </c>
      <c r="B921" s="32" t="s">
        <v>2820</v>
      </c>
      <c r="C921" s="32" t="s">
        <v>1135</v>
      </c>
      <c r="D921" s="33" t="s">
        <v>1639</v>
      </c>
      <c r="E921" s="33">
        <v>95</v>
      </c>
      <c r="F921" s="33">
        <v>1222</v>
      </c>
      <c r="G921" s="33">
        <v>615</v>
      </c>
      <c r="H921" s="33" t="s">
        <v>1639</v>
      </c>
      <c r="I921" s="33">
        <v>1949</v>
      </c>
      <c r="K921" t="b">
        <f>QHPSelections2016[[#This Row],[County Name]]=P921</f>
        <v>1</v>
      </c>
      <c r="L921" t="b">
        <f>QHPSelections2016[[#This Row],[Silver]]=S921</f>
        <v>1</v>
      </c>
      <c r="N921">
        <v>26041</v>
      </c>
      <c r="O921" t="s">
        <v>2820</v>
      </c>
      <c r="P921" t="s">
        <v>1135</v>
      </c>
      <c r="R921">
        <v>95</v>
      </c>
      <c r="S921" s="51">
        <v>1222</v>
      </c>
      <c r="T921">
        <v>615</v>
      </c>
      <c r="V921" s="51">
        <v>1949</v>
      </c>
    </row>
    <row r="922" spans="1:22">
      <c r="A922" s="32" t="s">
        <v>2855</v>
      </c>
      <c r="B922" s="32" t="s">
        <v>2820</v>
      </c>
      <c r="C922" s="32" t="s">
        <v>2189</v>
      </c>
      <c r="D922" s="33" t="s">
        <v>1639</v>
      </c>
      <c r="E922" s="33">
        <v>66</v>
      </c>
      <c r="F922" s="33">
        <v>880</v>
      </c>
      <c r="G922" s="33">
        <v>464</v>
      </c>
      <c r="H922" s="33" t="s">
        <v>1639</v>
      </c>
      <c r="I922" s="33">
        <v>1416</v>
      </c>
      <c r="K922" t="b">
        <f>QHPSelections2016[[#This Row],[County Name]]=P922</f>
        <v>1</v>
      </c>
      <c r="L922" t="b">
        <f>QHPSelections2016[[#This Row],[Silver]]=S922</f>
        <v>1</v>
      </c>
      <c r="N922">
        <v>26043</v>
      </c>
      <c r="O922" t="s">
        <v>2820</v>
      </c>
      <c r="P922" t="s">
        <v>2189</v>
      </c>
      <c r="R922">
        <v>66</v>
      </c>
      <c r="S922">
        <v>880</v>
      </c>
      <c r="T922">
        <v>464</v>
      </c>
      <c r="V922" s="51">
        <v>1416</v>
      </c>
    </row>
    <row r="923" spans="1:22">
      <c r="A923" s="32" t="s">
        <v>2856</v>
      </c>
      <c r="B923" s="32" t="s">
        <v>2820</v>
      </c>
      <c r="C923" s="32" t="s">
        <v>2857</v>
      </c>
      <c r="D923" s="33">
        <v>42</v>
      </c>
      <c r="E923" s="33">
        <v>181</v>
      </c>
      <c r="F923" s="33">
        <v>2046</v>
      </c>
      <c r="G923" s="33">
        <v>737</v>
      </c>
      <c r="H923" s="33">
        <v>18</v>
      </c>
      <c r="I923" s="33">
        <v>3024</v>
      </c>
      <c r="K923" t="b">
        <f>QHPSelections2016[[#This Row],[County Name]]=P923</f>
        <v>1</v>
      </c>
      <c r="L923" t="b">
        <f>QHPSelections2016[[#This Row],[Silver]]=S923</f>
        <v>1</v>
      </c>
      <c r="N923">
        <v>26045</v>
      </c>
      <c r="O923" t="s">
        <v>2820</v>
      </c>
      <c r="P923" t="s">
        <v>2857</v>
      </c>
      <c r="Q923">
        <v>42</v>
      </c>
      <c r="R923">
        <v>181</v>
      </c>
      <c r="S923" s="51">
        <v>2046</v>
      </c>
      <c r="T923">
        <v>737</v>
      </c>
      <c r="U923">
        <v>18</v>
      </c>
      <c r="V923" s="51">
        <v>3024</v>
      </c>
    </row>
    <row r="924" spans="1:22">
      <c r="A924" s="32" t="s">
        <v>2858</v>
      </c>
      <c r="B924" s="32" t="s">
        <v>2820</v>
      </c>
      <c r="C924" s="32" t="s">
        <v>2193</v>
      </c>
      <c r="D924" s="33">
        <v>16</v>
      </c>
      <c r="E924" s="33">
        <v>154</v>
      </c>
      <c r="F924" s="33">
        <v>1300</v>
      </c>
      <c r="G924" s="33">
        <v>748</v>
      </c>
      <c r="H924" s="33">
        <v>19</v>
      </c>
      <c r="I924" s="33">
        <v>2237</v>
      </c>
      <c r="K924" t="b">
        <f>QHPSelections2016[[#This Row],[County Name]]=P924</f>
        <v>1</v>
      </c>
      <c r="L924" t="b">
        <f>QHPSelections2016[[#This Row],[Silver]]=S924</f>
        <v>1</v>
      </c>
      <c r="N924">
        <v>26047</v>
      </c>
      <c r="O924" t="s">
        <v>2820</v>
      </c>
      <c r="P924" t="s">
        <v>2193</v>
      </c>
      <c r="Q924">
        <v>16</v>
      </c>
      <c r="R924">
        <v>154</v>
      </c>
      <c r="S924" s="51">
        <v>1300</v>
      </c>
      <c r="T924">
        <v>748</v>
      </c>
      <c r="U924">
        <v>19</v>
      </c>
      <c r="V924" s="51">
        <v>2237</v>
      </c>
    </row>
    <row r="925" spans="1:22">
      <c r="A925" s="32" t="s">
        <v>2859</v>
      </c>
      <c r="B925" s="32" t="s">
        <v>2820</v>
      </c>
      <c r="C925" s="32" t="s">
        <v>2860</v>
      </c>
      <c r="D925" s="33">
        <v>119</v>
      </c>
      <c r="E925" s="33">
        <v>529</v>
      </c>
      <c r="F925" s="33">
        <v>7169</v>
      </c>
      <c r="G925" s="33">
        <v>2979</v>
      </c>
      <c r="H925" s="33">
        <v>135</v>
      </c>
      <c r="I925" s="33">
        <v>10931</v>
      </c>
      <c r="K925" t="b">
        <f>QHPSelections2016[[#This Row],[County Name]]=P925</f>
        <v>1</v>
      </c>
      <c r="L925" t="b">
        <f>QHPSelections2016[[#This Row],[Silver]]=S925</f>
        <v>1</v>
      </c>
      <c r="N925">
        <v>26049</v>
      </c>
      <c r="O925" t="s">
        <v>2820</v>
      </c>
      <c r="P925" t="s">
        <v>2860</v>
      </c>
      <c r="Q925">
        <v>119</v>
      </c>
      <c r="R925">
        <v>529</v>
      </c>
      <c r="S925" s="51">
        <v>7169</v>
      </c>
      <c r="T925" s="51">
        <v>2979</v>
      </c>
      <c r="U925">
        <v>135</v>
      </c>
      <c r="V925" s="51">
        <v>10931</v>
      </c>
    </row>
    <row r="926" spans="1:22">
      <c r="A926" s="32" t="s">
        <v>2861</v>
      </c>
      <c r="B926" s="32" t="s">
        <v>2820</v>
      </c>
      <c r="C926" s="32" t="s">
        <v>2862</v>
      </c>
      <c r="D926" s="33">
        <v>0</v>
      </c>
      <c r="E926" s="33">
        <v>27</v>
      </c>
      <c r="F926" s="33">
        <v>461</v>
      </c>
      <c r="G926" s="33">
        <v>257</v>
      </c>
      <c r="H926" s="33">
        <v>0</v>
      </c>
      <c r="I926" s="33">
        <v>745</v>
      </c>
      <c r="K926" t="b">
        <f>QHPSelections2016[[#This Row],[County Name]]=P926</f>
        <v>1</v>
      </c>
      <c r="L926" t="b">
        <f>QHPSelections2016[[#This Row],[Silver]]=S926</f>
        <v>1</v>
      </c>
      <c r="N926">
        <v>26051</v>
      </c>
      <c r="O926" t="s">
        <v>2820</v>
      </c>
      <c r="P926" t="s">
        <v>2862</v>
      </c>
      <c r="Q926">
        <v>0</v>
      </c>
      <c r="R926">
        <v>27</v>
      </c>
      <c r="S926">
        <v>461</v>
      </c>
      <c r="T926">
        <v>257</v>
      </c>
      <c r="U926">
        <v>0</v>
      </c>
      <c r="V926">
        <v>745</v>
      </c>
    </row>
    <row r="927" spans="1:22">
      <c r="A927" s="32" t="s">
        <v>2863</v>
      </c>
      <c r="B927" s="32" t="s">
        <v>2820</v>
      </c>
      <c r="C927" s="32" t="s">
        <v>2864</v>
      </c>
      <c r="D927" s="33" t="s">
        <v>1639</v>
      </c>
      <c r="E927" s="33">
        <v>36</v>
      </c>
      <c r="F927" s="33">
        <v>551</v>
      </c>
      <c r="G927" s="33">
        <v>221</v>
      </c>
      <c r="H927" s="33" t="s">
        <v>1639</v>
      </c>
      <c r="I927" s="33">
        <v>811</v>
      </c>
      <c r="K927" t="b">
        <f>QHPSelections2016[[#This Row],[County Name]]=P927</f>
        <v>1</v>
      </c>
      <c r="L927" t="b">
        <f>QHPSelections2016[[#This Row],[Silver]]=S927</f>
        <v>1</v>
      </c>
      <c r="N927">
        <v>26053</v>
      </c>
      <c r="O927" t="s">
        <v>2820</v>
      </c>
      <c r="P927" t="s">
        <v>2864</v>
      </c>
      <c r="R927">
        <v>36</v>
      </c>
      <c r="S927">
        <v>551</v>
      </c>
      <c r="T927">
        <v>221</v>
      </c>
      <c r="V927">
        <v>811</v>
      </c>
    </row>
    <row r="928" spans="1:22">
      <c r="A928" s="32" t="s">
        <v>2865</v>
      </c>
      <c r="B928" s="32" t="s">
        <v>2820</v>
      </c>
      <c r="C928" s="32" t="s">
        <v>2866</v>
      </c>
      <c r="D928" s="33" t="s">
        <v>1639</v>
      </c>
      <c r="E928" s="33">
        <v>251</v>
      </c>
      <c r="F928" s="33">
        <v>3165</v>
      </c>
      <c r="G928" s="33">
        <v>1524</v>
      </c>
      <c r="H928" s="33" t="s">
        <v>1639</v>
      </c>
      <c r="I928" s="33">
        <v>4985</v>
      </c>
      <c r="K928" t="b">
        <f>QHPSelections2016[[#This Row],[County Name]]=P928</f>
        <v>1</v>
      </c>
      <c r="L928" t="b">
        <f>QHPSelections2016[[#This Row],[Silver]]=S928</f>
        <v>1</v>
      </c>
      <c r="N928">
        <v>26055</v>
      </c>
      <c r="O928" t="s">
        <v>2820</v>
      </c>
      <c r="P928" t="s">
        <v>2866</v>
      </c>
      <c r="R928">
        <v>251</v>
      </c>
      <c r="S928" s="51">
        <v>3165</v>
      </c>
      <c r="T928" s="51">
        <v>1524</v>
      </c>
      <c r="V928" s="51">
        <v>4985</v>
      </c>
    </row>
    <row r="929" spans="1:22">
      <c r="A929" s="32" t="s">
        <v>2867</v>
      </c>
      <c r="B929" s="32" t="s">
        <v>2820</v>
      </c>
      <c r="C929" s="32" t="s">
        <v>2868</v>
      </c>
      <c r="D929" s="33" t="s">
        <v>1639</v>
      </c>
      <c r="E929" s="33">
        <v>40</v>
      </c>
      <c r="F929" s="33">
        <v>740</v>
      </c>
      <c r="G929" s="33">
        <v>343</v>
      </c>
      <c r="H929" s="33" t="s">
        <v>1639</v>
      </c>
      <c r="I929" s="33">
        <v>1128</v>
      </c>
      <c r="K929" t="b">
        <f>QHPSelections2016[[#This Row],[County Name]]=P929</f>
        <v>1</v>
      </c>
      <c r="L929" t="b">
        <f>QHPSelections2016[[#This Row],[Silver]]=S929</f>
        <v>1</v>
      </c>
      <c r="N929">
        <v>26057</v>
      </c>
      <c r="O929" t="s">
        <v>2820</v>
      </c>
      <c r="P929" t="s">
        <v>2868</v>
      </c>
      <c r="R929">
        <v>40</v>
      </c>
      <c r="S929">
        <v>740</v>
      </c>
      <c r="T929">
        <v>343</v>
      </c>
      <c r="V929" s="51">
        <v>1128</v>
      </c>
    </row>
    <row r="930" spans="1:22">
      <c r="A930" s="32" t="s">
        <v>2869</v>
      </c>
      <c r="B930" s="32" t="s">
        <v>2820</v>
      </c>
      <c r="C930" s="32" t="s">
        <v>2870</v>
      </c>
      <c r="D930" s="33" t="s">
        <v>1639</v>
      </c>
      <c r="E930" s="33">
        <v>62</v>
      </c>
      <c r="F930" s="33">
        <v>1142</v>
      </c>
      <c r="G930" s="33">
        <v>541</v>
      </c>
      <c r="H930" s="33" t="s">
        <v>1639</v>
      </c>
      <c r="I930" s="33">
        <v>1752</v>
      </c>
      <c r="K930" t="b">
        <f>QHPSelections2016[[#This Row],[County Name]]=P930</f>
        <v>1</v>
      </c>
      <c r="L930" t="b">
        <f>QHPSelections2016[[#This Row],[Silver]]=S930</f>
        <v>1</v>
      </c>
      <c r="N930">
        <v>26059</v>
      </c>
      <c r="O930" t="s">
        <v>2820</v>
      </c>
      <c r="P930" t="s">
        <v>2870</v>
      </c>
      <c r="R930">
        <v>62</v>
      </c>
      <c r="S930" s="51">
        <v>1142</v>
      </c>
      <c r="T930">
        <v>541</v>
      </c>
      <c r="V930" s="51">
        <v>1752</v>
      </c>
    </row>
    <row r="931" spans="1:22">
      <c r="A931" s="32" t="s">
        <v>2871</v>
      </c>
      <c r="B931" s="32" t="s">
        <v>2820</v>
      </c>
      <c r="C931" s="32" t="s">
        <v>2872</v>
      </c>
      <c r="D931" s="33" t="s">
        <v>1639</v>
      </c>
      <c r="E931" s="33">
        <v>53</v>
      </c>
      <c r="F931" s="33">
        <v>978</v>
      </c>
      <c r="G931" s="33">
        <v>579</v>
      </c>
      <c r="H931" s="33" t="s">
        <v>1639</v>
      </c>
      <c r="I931" s="33">
        <v>1618</v>
      </c>
      <c r="K931" t="b">
        <f>QHPSelections2016[[#This Row],[County Name]]=P931</f>
        <v>1</v>
      </c>
      <c r="L931" t="b">
        <f>QHPSelections2016[[#This Row],[Silver]]=S931</f>
        <v>1</v>
      </c>
      <c r="N931">
        <v>26061</v>
      </c>
      <c r="O931" t="s">
        <v>2820</v>
      </c>
      <c r="P931" t="s">
        <v>2872</v>
      </c>
      <c r="R931">
        <v>53</v>
      </c>
      <c r="S931">
        <v>978</v>
      </c>
      <c r="T931">
        <v>579</v>
      </c>
      <c r="V931" s="51">
        <v>1618</v>
      </c>
    </row>
    <row r="932" spans="1:22">
      <c r="A932" s="32" t="s">
        <v>2873</v>
      </c>
      <c r="B932" s="32" t="s">
        <v>2820</v>
      </c>
      <c r="C932" s="32" t="s">
        <v>2874</v>
      </c>
      <c r="D932" s="33" t="s">
        <v>1639</v>
      </c>
      <c r="E932" s="33">
        <v>130</v>
      </c>
      <c r="F932" s="33">
        <v>1041</v>
      </c>
      <c r="G932" s="33">
        <v>370</v>
      </c>
      <c r="H932" s="33" t="s">
        <v>1639</v>
      </c>
      <c r="I932" s="33">
        <v>1551</v>
      </c>
      <c r="K932" t="b">
        <f>QHPSelections2016[[#This Row],[County Name]]=P932</f>
        <v>1</v>
      </c>
      <c r="L932" t="b">
        <f>QHPSelections2016[[#This Row],[Silver]]=S932</f>
        <v>1</v>
      </c>
      <c r="N932">
        <v>26063</v>
      </c>
      <c r="O932" t="s">
        <v>2820</v>
      </c>
      <c r="P932" t="s">
        <v>2874</v>
      </c>
      <c r="R932">
        <v>130</v>
      </c>
      <c r="S932" s="51">
        <v>1041</v>
      </c>
      <c r="T932">
        <v>370</v>
      </c>
      <c r="V932" s="51">
        <v>1551</v>
      </c>
    </row>
    <row r="933" spans="1:22">
      <c r="A933" s="32" t="s">
        <v>2875</v>
      </c>
      <c r="B933" s="32" t="s">
        <v>2820</v>
      </c>
      <c r="C933" s="32" t="s">
        <v>2876</v>
      </c>
      <c r="D933" s="33">
        <v>140</v>
      </c>
      <c r="E933" s="33">
        <v>488</v>
      </c>
      <c r="F933" s="33">
        <v>4735</v>
      </c>
      <c r="G933" s="33">
        <v>2006</v>
      </c>
      <c r="H933" s="33">
        <v>78</v>
      </c>
      <c r="I933" s="33">
        <v>7447</v>
      </c>
      <c r="K933" t="b">
        <f>QHPSelections2016[[#This Row],[County Name]]=P933</f>
        <v>1</v>
      </c>
      <c r="L933" t="b">
        <f>QHPSelections2016[[#This Row],[Silver]]=S933</f>
        <v>1</v>
      </c>
      <c r="N933">
        <v>26065</v>
      </c>
      <c r="O933" t="s">
        <v>2820</v>
      </c>
      <c r="P933" t="s">
        <v>2876</v>
      </c>
      <c r="Q933">
        <v>140</v>
      </c>
      <c r="R933">
        <v>488</v>
      </c>
      <c r="S933" s="51">
        <v>4735</v>
      </c>
      <c r="T933" s="51">
        <v>2006</v>
      </c>
      <c r="U933">
        <v>78</v>
      </c>
      <c r="V933" s="51">
        <v>7447</v>
      </c>
    </row>
    <row r="934" spans="1:22">
      <c r="A934" s="32" t="s">
        <v>2877</v>
      </c>
      <c r="B934" s="32" t="s">
        <v>2820</v>
      </c>
      <c r="C934" s="32" t="s">
        <v>2878</v>
      </c>
      <c r="D934" s="33">
        <v>17</v>
      </c>
      <c r="E934" s="33">
        <v>87</v>
      </c>
      <c r="F934" s="33">
        <v>1103</v>
      </c>
      <c r="G934" s="33">
        <v>514</v>
      </c>
      <c r="H934" s="33">
        <v>13</v>
      </c>
      <c r="I934" s="33">
        <v>1734</v>
      </c>
      <c r="K934" t="b">
        <f>QHPSelections2016[[#This Row],[County Name]]=P934</f>
        <v>1</v>
      </c>
      <c r="L934" t="b">
        <f>QHPSelections2016[[#This Row],[Silver]]=S934</f>
        <v>1</v>
      </c>
      <c r="N934">
        <v>26067</v>
      </c>
      <c r="O934" t="s">
        <v>2820</v>
      </c>
      <c r="P934" t="s">
        <v>2878</v>
      </c>
      <c r="Q934">
        <v>17</v>
      </c>
      <c r="R934">
        <v>87</v>
      </c>
      <c r="S934" s="51">
        <v>1103</v>
      </c>
      <c r="T934">
        <v>514</v>
      </c>
      <c r="U934">
        <v>13</v>
      </c>
      <c r="V934" s="51">
        <v>1734</v>
      </c>
    </row>
    <row r="935" spans="1:22">
      <c r="A935" s="32" t="s">
        <v>2879</v>
      </c>
      <c r="B935" s="32" t="s">
        <v>2820</v>
      </c>
      <c r="C935" s="32" t="s">
        <v>2880</v>
      </c>
      <c r="D935" s="33" t="s">
        <v>1639</v>
      </c>
      <c r="E935" s="33">
        <v>30</v>
      </c>
      <c r="F935" s="33">
        <v>545</v>
      </c>
      <c r="G935" s="33">
        <v>305</v>
      </c>
      <c r="H935" s="33" t="s">
        <v>1639</v>
      </c>
      <c r="I935" s="33">
        <v>885</v>
      </c>
      <c r="K935" t="b">
        <f>QHPSelections2016[[#This Row],[County Name]]=P935</f>
        <v>1</v>
      </c>
      <c r="L935" t="b">
        <f>QHPSelections2016[[#This Row],[Silver]]=S935</f>
        <v>1</v>
      </c>
      <c r="N935">
        <v>26069</v>
      </c>
      <c r="O935" t="s">
        <v>2820</v>
      </c>
      <c r="P935" t="s">
        <v>2880</v>
      </c>
      <c r="R935">
        <v>30</v>
      </c>
      <c r="S935">
        <v>545</v>
      </c>
      <c r="T935">
        <v>305</v>
      </c>
      <c r="V935">
        <v>885</v>
      </c>
    </row>
    <row r="936" spans="1:22">
      <c r="A936" s="32" t="s">
        <v>2881</v>
      </c>
      <c r="B936" s="32" t="s">
        <v>2820</v>
      </c>
      <c r="C936" s="32" t="s">
        <v>2882</v>
      </c>
      <c r="D936" s="33" t="s">
        <v>1639</v>
      </c>
      <c r="E936" s="33">
        <v>26</v>
      </c>
      <c r="F936" s="33">
        <v>483</v>
      </c>
      <c r="G936" s="33">
        <v>157</v>
      </c>
      <c r="H936" s="33" t="s">
        <v>1639</v>
      </c>
      <c r="I936" s="33">
        <v>669</v>
      </c>
      <c r="K936" t="b">
        <f>QHPSelections2016[[#This Row],[County Name]]=P936</f>
        <v>1</v>
      </c>
      <c r="L936" t="b">
        <f>QHPSelections2016[[#This Row],[Silver]]=S936</f>
        <v>1</v>
      </c>
      <c r="N936">
        <v>26071</v>
      </c>
      <c r="O936" t="s">
        <v>2820</v>
      </c>
      <c r="P936" t="s">
        <v>2882</v>
      </c>
      <c r="R936">
        <v>26</v>
      </c>
      <c r="S936">
        <v>483</v>
      </c>
      <c r="T936">
        <v>157</v>
      </c>
      <c r="V936">
        <v>669</v>
      </c>
    </row>
    <row r="937" spans="1:22">
      <c r="A937" s="32" t="s">
        <v>2883</v>
      </c>
      <c r="B937" s="32" t="s">
        <v>2820</v>
      </c>
      <c r="C937" s="32" t="s">
        <v>2884</v>
      </c>
      <c r="D937" s="33">
        <v>14</v>
      </c>
      <c r="E937" s="33">
        <v>99</v>
      </c>
      <c r="F937" s="33">
        <v>984</v>
      </c>
      <c r="G937" s="33">
        <v>562</v>
      </c>
      <c r="H937" s="33">
        <v>18</v>
      </c>
      <c r="I937" s="33">
        <v>1677</v>
      </c>
      <c r="K937" t="b">
        <f>QHPSelections2016[[#This Row],[County Name]]=P937</f>
        <v>1</v>
      </c>
      <c r="L937" t="b">
        <f>QHPSelections2016[[#This Row],[Silver]]=S937</f>
        <v>1</v>
      </c>
      <c r="N937">
        <v>26073</v>
      </c>
      <c r="O937" t="s">
        <v>2820</v>
      </c>
      <c r="P937" t="s">
        <v>2884</v>
      </c>
      <c r="Q937">
        <v>14</v>
      </c>
      <c r="R937">
        <v>99</v>
      </c>
      <c r="S937">
        <v>984</v>
      </c>
      <c r="T937">
        <v>562</v>
      </c>
      <c r="U937">
        <v>18</v>
      </c>
      <c r="V937" s="51">
        <v>1677</v>
      </c>
    </row>
    <row r="938" spans="1:22">
      <c r="A938" s="32" t="s">
        <v>2885</v>
      </c>
      <c r="B938" s="32" t="s">
        <v>2820</v>
      </c>
      <c r="C938" s="32" t="s">
        <v>984</v>
      </c>
      <c r="D938" s="33" t="s">
        <v>1639</v>
      </c>
      <c r="E938" s="33">
        <v>149</v>
      </c>
      <c r="F938" s="33">
        <v>2706</v>
      </c>
      <c r="G938" s="33">
        <v>1370</v>
      </c>
      <c r="H938" s="33" t="s">
        <v>1639</v>
      </c>
      <c r="I938" s="33">
        <v>4260</v>
      </c>
      <c r="K938" t="b">
        <f>QHPSelections2016[[#This Row],[County Name]]=P938</f>
        <v>1</v>
      </c>
      <c r="L938" t="b">
        <f>QHPSelections2016[[#This Row],[Silver]]=S938</f>
        <v>1</v>
      </c>
      <c r="N938">
        <v>26075</v>
      </c>
      <c r="O938" t="s">
        <v>2820</v>
      </c>
      <c r="P938" t="s">
        <v>984</v>
      </c>
      <c r="R938">
        <v>149</v>
      </c>
      <c r="S938" s="51">
        <v>2706</v>
      </c>
      <c r="T938" s="51">
        <v>1370</v>
      </c>
      <c r="V938" s="51">
        <v>4260</v>
      </c>
    </row>
    <row r="939" spans="1:22">
      <c r="A939" s="32" t="s">
        <v>2886</v>
      </c>
      <c r="B939" s="32" t="s">
        <v>2820</v>
      </c>
      <c r="C939" s="32" t="s">
        <v>2887</v>
      </c>
      <c r="D939" s="33">
        <v>33</v>
      </c>
      <c r="E939" s="33">
        <v>340</v>
      </c>
      <c r="F939" s="33">
        <v>5204</v>
      </c>
      <c r="G939" s="33">
        <v>2256</v>
      </c>
      <c r="H939" s="33">
        <v>150</v>
      </c>
      <c r="I939" s="33">
        <v>7983</v>
      </c>
      <c r="K939" t="b">
        <f>QHPSelections2016[[#This Row],[County Name]]=P939</f>
        <v>1</v>
      </c>
      <c r="L939" t="b">
        <f>QHPSelections2016[[#This Row],[Silver]]=S939</f>
        <v>1</v>
      </c>
      <c r="N939">
        <v>26077</v>
      </c>
      <c r="O939" t="s">
        <v>2820</v>
      </c>
      <c r="P939" t="s">
        <v>2887</v>
      </c>
      <c r="Q939">
        <v>33</v>
      </c>
      <c r="R939">
        <v>340</v>
      </c>
      <c r="S939" s="51">
        <v>5204</v>
      </c>
      <c r="T939" s="51">
        <v>2256</v>
      </c>
      <c r="U939">
        <v>150</v>
      </c>
      <c r="V939" s="51">
        <v>7983</v>
      </c>
    </row>
    <row r="940" spans="1:22">
      <c r="A940" s="32" t="s">
        <v>2888</v>
      </c>
      <c r="B940" s="32" t="s">
        <v>2820</v>
      </c>
      <c r="C940" s="32" t="s">
        <v>2889</v>
      </c>
      <c r="D940" s="33" t="s">
        <v>1639</v>
      </c>
      <c r="E940" s="33">
        <v>29</v>
      </c>
      <c r="F940" s="33">
        <v>438</v>
      </c>
      <c r="G940" s="33">
        <v>191</v>
      </c>
      <c r="H940" s="33" t="s">
        <v>1639</v>
      </c>
      <c r="I940" s="33">
        <v>662</v>
      </c>
      <c r="K940" t="b">
        <f>QHPSelections2016[[#This Row],[County Name]]=P940</f>
        <v>1</v>
      </c>
      <c r="L940" t="b">
        <f>QHPSelections2016[[#This Row],[Silver]]=S940</f>
        <v>1</v>
      </c>
      <c r="N940">
        <v>26079</v>
      </c>
      <c r="O940" t="s">
        <v>2820</v>
      </c>
      <c r="P940" t="s">
        <v>2889</v>
      </c>
      <c r="R940">
        <v>29</v>
      </c>
      <c r="S940">
        <v>438</v>
      </c>
      <c r="T940">
        <v>191</v>
      </c>
      <c r="V940">
        <v>662</v>
      </c>
    </row>
    <row r="941" spans="1:22">
      <c r="A941" s="32" t="s">
        <v>2890</v>
      </c>
      <c r="B941" s="32" t="s">
        <v>2820</v>
      </c>
      <c r="C941" s="32" t="s">
        <v>1310</v>
      </c>
      <c r="D941" s="33">
        <v>112</v>
      </c>
      <c r="E941" s="33">
        <v>1066</v>
      </c>
      <c r="F941" s="33">
        <v>14211</v>
      </c>
      <c r="G941" s="33">
        <v>5349</v>
      </c>
      <c r="H941" s="33">
        <v>249</v>
      </c>
      <c r="I941" s="33">
        <v>20987</v>
      </c>
      <c r="K941" t="b">
        <f>QHPSelections2016[[#This Row],[County Name]]=P941</f>
        <v>1</v>
      </c>
      <c r="L941" t="b">
        <f>QHPSelections2016[[#This Row],[Silver]]=S941</f>
        <v>1</v>
      </c>
      <c r="N941">
        <v>26081</v>
      </c>
      <c r="O941" t="s">
        <v>2820</v>
      </c>
      <c r="P941" t="s">
        <v>1310</v>
      </c>
      <c r="Q941">
        <v>112</v>
      </c>
      <c r="R941" s="51">
        <v>1066</v>
      </c>
      <c r="S941" s="51">
        <v>14211</v>
      </c>
      <c r="T941" s="51">
        <v>5349</v>
      </c>
      <c r="U941">
        <v>249</v>
      </c>
      <c r="V941" s="51">
        <v>20987</v>
      </c>
    </row>
    <row r="942" spans="1:22">
      <c r="A942" s="32" t="s">
        <v>2891</v>
      </c>
      <c r="B942" s="32" t="s">
        <v>2820</v>
      </c>
      <c r="C942" s="32" t="s">
        <v>2892</v>
      </c>
      <c r="D942" s="33">
        <v>0</v>
      </c>
      <c r="E942" s="33" t="s">
        <v>1639</v>
      </c>
      <c r="F942" s="33">
        <v>77</v>
      </c>
      <c r="G942" s="33">
        <v>45</v>
      </c>
      <c r="H942" s="33" t="s">
        <v>1639</v>
      </c>
      <c r="I942" s="33">
        <v>132</v>
      </c>
      <c r="K942" t="b">
        <f>QHPSelections2016[[#This Row],[County Name]]=P942</f>
        <v>1</v>
      </c>
      <c r="L942" t="b">
        <f>QHPSelections2016[[#This Row],[Silver]]=S942</f>
        <v>1</v>
      </c>
      <c r="N942">
        <v>26083</v>
      </c>
      <c r="O942" t="s">
        <v>2820</v>
      </c>
      <c r="P942" t="s">
        <v>2892</v>
      </c>
      <c r="Q942">
        <v>0</v>
      </c>
      <c r="S942">
        <v>77</v>
      </c>
      <c r="T942">
        <v>45</v>
      </c>
      <c r="V942">
        <v>132</v>
      </c>
    </row>
    <row r="943" spans="1:22">
      <c r="A943" s="32" t="s">
        <v>2893</v>
      </c>
      <c r="B943" s="32" t="s">
        <v>2820</v>
      </c>
      <c r="C943" s="32" t="s">
        <v>1005</v>
      </c>
      <c r="D943" s="33">
        <v>0</v>
      </c>
      <c r="E943" s="33" t="s">
        <v>1639</v>
      </c>
      <c r="F943" s="33">
        <v>282</v>
      </c>
      <c r="G943" s="33">
        <v>109</v>
      </c>
      <c r="H943" s="33" t="s">
        <v>1639</v>
      </c>
      <c r="I943" s="33">
        <v>402</v>
      </c>
      <c r="K943" t="b">
        <f>QHPSelections2016[[#This Row],[County Name]]=P943</f>
        <v>1</v>
      </c>
      <c r="L943" t="b">
        <f>QHPSelections2016[[#This Row],[Silver]]=S943</f>
        <v>1</v>
      </c>
      <c r="N943">
        <v>26085</v>
      </c>
      <c r="O943" t="s">
        <v>2820</v>
      </c>
      <c r="P943" t="s">
        <v>1005</v>
      </c>
      <c r="Q943">
        <v>0</v>
      </c>
      <c r="S943">
        <v>282</v>
      </c>
      <c r="T943">
        <v>109</v>
      </c>
      <c r="V943">
        <v>402</v>
      </c>
    </row>
    <row r="944" spans="1:22">
      <c r="A944" s="32" t="s">
        <v>2894</v>
      </c>
      <c r="B944" s="32" t="s">
        <v>2820</v>
      </c>
      <c r="C944" s="32" t="s">
        <v>2895</v>
      </c>
      <c r="D944" s="33">
        <v>39</v>
      </c>
      <c r="E944" s="33">
        <v>178</v>
      </c>
      <c r="F944" s="33">
        <v>2150</v>
      </c>
      <c r="G944" s="33">
        <v>1026</v>
      </c>
      <c r="H944" s="33">
        <v>20</v>
      </c>
      <c r="I944" s="33">
        <v>3413</v>
      </c>
      <c r="K944" t="b">
        <f>QHPSelections2016[[#This Row],[County Name]]=P944</f>
        <v>1</v>
      </c>
      <c r="L944" t="b">
        <f>QHPSelections2016[[#This Row],[Silver]]=S944</f>
        <v>1</v>
      </c>
      <c r="N944">
        <v>26087</v>
      </c>
      <c r="O944" t="s">
        <v>2820</v>
      </c>
      <c r="P944" t="s">
        <v>2895</v>
      </c>
      <c r="Q944">
        <v>39</v>
      </c>
      <c r="R944">
        <v>178</v>
      </c>
      <c r="S944" s="51">
        <v>2150</v>
      </c>
      <c r="T944" s="51">
        <v>1026</v>
      </c>
      <c r="U944">
        <v>20</v>
      </c>
      <c r="V944" s="51">
        <v>3413</v>
      </c>
    </row>
    <row r="945" spans="1:22">
      <c r="A945" s="32" t="s">
        <v>2896</v>
      </c>
      <c r="B945" s="32" t="s">
        <v>2820</v>
      </c>
      <c r="C945" s="32" t="s">
        <v>2897</v>
      </c>
      <c r="D945" s="33" t="s">
        <v>1639</v>
      </c>
      <c r="E945" s="33">
        <v>91</v>
      </c>
      <c r="F945" s="33">
        <v>1086</v>
      </c>
      <c r="G945" s="33">
        <v>570</v>
      </c>
      <c r="H945" s="33" t="s">
        <v>1639</v>
      </c>
      <c r="I945" s="33">
        <v>1765</v>
      </c>
      <c r="K945" t="b">
        <f>QHPSelections2016[[#This Row],[County Name]]=P945</f>
        <v>1</v>
      </c>
      <c r="L945" t="b">
        <f>QHPSelections2016[[#This Row],[Silver]]=S945</f>
        <v>1</v>
      </c>
      <c r="N945">
        <v>26089</v>
      </c>
      <c r="O945" t="s">
        <v>2820</v>
      </c>
      <c r="P945" t="s">
        <v>2897</v>
      </c>
      <c r="R945">
        <v>91</v>
      </c>
      <c r="S945" s="51">
        <v>1086</v>
      </c>
      <c r="T945">
        <v>570</v>
      </c>
      <c r="V945" s="51">
        <v>1765</v>
      </c>
    </row>
    <row r="946" spans="1:22">
      <c r="A946" s="32" t="s">
        <v>2898</v>
      </c>
      <c r="B946" s="32" t="s">
        <v>2820</v>
      </c>
      <c r="C946" s="32" t="s">
        <v>2899</v>
      </c>
      <c r="D946" s="33" t="s">
        <v>1639</v>
      </c>
      <c r="E946" s="33">
        <v>189</v>
      </c>
      <c r="F946" s="33">
        <v>2010</v>
      </c>
      <c r="G946" s="33">
        <v>1009</v>
      </c>
      <c r="H946" s="33" t="s">
        <v>1639</v>
      </c>
      <c r="I946" s="33">
        <v>3229</v>
      </c>
      <c r="K946" t="b">
        <f>QHPSelections2016[[#This Row],[County Name]]=P946</f>
        <v>1</v>
      </c>
      <c r="L946" t="b">
        <f>QHPSelections2016[[#This Row],[Silver]]=S946</f>
        <v>1</v>
      </c>
      <c r="N946">
        <v>26091</v>
      </c>
      <c r="O946" t="s">
        <v>2820</v>
      </c>
      <c r="P946" t="s">
        <v>2899</v>
      </c>
      <c r="R946">
        <v>189</v>
      </c>
      <c r="S946" s="51">
        <v>2010</v>
      </c>
      <c r="T946" s="51">
        <v>1009</v>
      </c>
      <c r="V946" s="51">
        <v>3229</v>
      </c>
    </row>
    <row r="947" spans="1:22">
      <c r="A947" s="32" t="s">
        <v>2900</v>
      </c>
      <c r="B947" s="32" t="s">
        <v>2820</v>
      </c>
      <c r="C947" s="32" t="s">
        <v>2362</v>
      </c>
      <c r="D947" s="33">
        <v>23</v>
      </c>
      <c r="E947" s="33">
        <v>565</v>
      </c>
      <c r="F947" s="33">
        <v>5293</v>
      </c>
      <c r="G947" s="33">
        <v>2143</v>
      </c>
      <c r="H947" s="33">
        <v>70</v>
      </c>
      <c r="I947" s="33">
        <v>8094</v>
      </c>
      <c r="K947" t="b">
        <f>QHPSelections2016[[#This Row],[County Name]]=P947</f>
        <v>1</v>
      </c>
      <c r="L947" t="b">
        <f>QHPSelections2016[[#This Row],[Silver]]=S947</f>
        <v>1</v>
      </c>
      <c r="N947">
        <v>26093</v>
      </c>
      <c r="O947" t="s">
        <v>2820</v>
      </c>
      <c r="P947" t="s">
        <v>2362</v>
      </c>
      <c r="Q947">
        <v>23</v>
      </c>
      <c r="R947">
        <v>565</v>
      </c>
      <c r="S947" s="51">
        <v>5293</v>
      </c>
      <c r="T947" s="51">
        <v>2143</v>
      </c>
      <c r="U947">
        <v>70</v>
      </c>
      <c r="V947" s="51">
        <v>8094</v>
      </c>
    </row>
    <row r="948" spans="1:22">
      <c r="A948" s="32" t="s">
        <v>2901</v>
      </c>
      <c r="B948" s="32" t="s">
        <v>2820</v>
      </c>
      <c r="C948" s="32" t="s">
        <v>2902</v>
      </c>
      <c r="D948" s="33">
        <v>0</v>
      </c>
      <c r="E948" s="33" t="s">
        <v>1639</v>
      </c>
      <c r="F948" s="33">
        <v>101</v>
      </c>
      <c r="G948" s="33">
        <v>57</v>
      </c>
      <c r="H948" s="33" t="s">
        <v>1639</v>
      </c>
      <c r="I948" s="33">
        <v>167</v>
      </c>
      <c r="K948" t="b">
        <f>QHPSelections2016[[#This Row],[County Name]]=P948</f>
        <v>1</v>
      </c>
      <c r="L948" t="b">
        <f>QHPSelections2016[[#This Row],[Silver]]=S948</f>
        <v>1</v>
      </c>
      <c r="N948">
        <v>26095</v>
      </c>
      <c r="O948" t="s">
        <v>2820</v>
      </c>
      <c r="P948" t="s">
        <v>2902</v>
      </c>
      <c r="Q948">
        <v>0</v>
      </c>
      <c r="S948">
        <v>101</v>
      </c>
      <c r="T948">
        <v>57</v>
      </c>
      <c r="V948">
        <v>167</v>
      </c>
    </row>
    <row r="949" spans="1:22">
      <c r="A949" s="32" t="s">
        <v>2903</v>
      </c>
      <c r="B949" s="32" t="s">
        <v>2820</v>
      </c>
      <c r="C949" s="32" t="s">
        <v>2904</v>
      </c>
      <c r="D949" s="33" t="s">
        <v>1639</v>
      </c>
      <c r="E949" s="33">
        <v>42</v>
      </c>
      <c r="F949" s="33">
        <v>340</v>
      </c>
      <c r="G949" s="33">
        <v>172</v>
      </c>
      <c r="H949" s="33" t="s">
        <v>1639</v>
      </c>
      <c r="I949" s="33">
        <v>556</v>
      </c>
      <c r="K949" t="b">
        <f>QHPSelections2016[[#This Row],[County Name]]=P949</f>
        <v>1</v>
      </c>
      <c r="L949" t="b">
        <f>QHPSelections2016[[#This Row],[Silver]]=S949</f>
        <v>1</v>
      </c>
      <c r="N949">
        <v>26097</v>
      </c>
      <c r="O949" t="s">
        <v>2820</v>
      </c>
      <c r="P949" t="s">
        <v>2904</v>
      </c>
      <c r="R949">
        <v>42</v>
      </c>
      <c r="S949">
        <v>340</v>
      </c>
      <c r="T949">
        <v>172</v>
      </c>
      <c r="V949">
        <v>556</v>
      </c>
    </row>
    <row r="950" spans="1:22">
      <c r="A950" s="32" t="s">
        <v>2905</v>
      </c>
      <c r="B950" s="32" t="s">
        <v>2820</v>
      </c>
      <c r="C950" s="32" t="s">
        <v>2906</v>
      </c>
      <c r="D950" s="33">
        <v>425</v>
      </c>
      <c r="E950" s="33">
        <v>2155</v>
      </c>
      <c r="F950" s="33">
        <v>26771</v>
      </c>
      <c r="G950" s="33">
        <v>6855</v>
      </c>
      <c r="H950" s="33">
        <v>508</v>
      </c>
      <c r="I950" s="33">
        <v>36714</v>
      </c>
      <c r="K950" t="b">
        <f>QHPSelections2016[[#This Row],[County Name]]=P950</f>
        <v>1</v>
      </c>
      <c r="L950" t="b">
        <f>QHPSelections2016[[#This Row],[Silver]]=S950</f>
        <v>1</v>
      </c>
      <c r="N950">
        <v>26099</v>
      </c>
      <c r="O950" t="s">
        <v>2820</v>
      </c>
      <c r="P950" t="s">
        <v>2906</v>
      </c>
      <c r="Q950">
        <v>425</v>
      </c>
      <c r="R950" s="51">
        <v>2155</v>
      </c>
      <c r="S950" s="51">
        <v>26771</v>
      </c>
      <c r="T950" s="51">
        <v>6855</v>
      </c>
      <c r="U950">
        <v>508</v>
      </c>
      <c r="V950" s="51">
        <v>36714</v>
      </c>
    </row>
    <row r="951" spans="1:22">
      <c r="A951" s="32" t="s">
        <v>2907</v>
      </c>
      <c r="B951" s="32" t="s">
        <v>2820</v>
      </c>
      <c r="C951" s="32" t="s">
        <v>2908</v>
      </c>
      <c r="D951" s="33" t="s">
        <v>1639</v>
      </c>
      <c r="E951" s="33">
        <v>53</v>
      </c>
      <c r="F951" s="33">
        <v>648</v>
      </c>
      <c r="G951" s="33">
        <v>264</v>
      </c>
      <c r="H951" s="33" t="s">
        <v>1639</v>
      </c>
      <c r="I951" s="33">
        <v>968</v>
      </c>
      <c r="K951" t="b">
        <f>QHPSelections2016[[#This Row],[County Name]]=P951</f>
        <v>1</v>
      </c>
      <c r="L951" t="b">
        <f>QHPSelections2016[[#This Row],[Silver]]=S951</f>
        <v>1</v>
      </c>
      <c r="N951">
        <v>26101</v>
      </c>
      <c r="O951" t="s">
        <v>2820</v>
      </c>
      <c r="P951" t="s">
        <v>2908</v>
      </c>
      <c r="R951">
        <v>53</v>
      </c>
      <c r="S951">
        <v>648</v>
      </c>
      <c r="T951">
        <v>264</v>
      </c>
      <c r="V951">
        <v>968</v>
      </c>
    </row>
    <row r="952" spans="1:22">
      <c r="A952" s="32" t="s">
        <v>2909</v>
      </c>
      <c r="B952" s="32" t="s">
        <v>2820</v>
      </c>
      <c r="C952" s="32" t="s">
        <v>2910</v>
      </c>
      <c r="D952" s="33" t="s">
        <v>1639</v>
      </c>
      <c r="E952" s="33">
        <v>139</v>
      </c>
      <c r="F952" s="33">
        <v>1619</v>
      </c>
      <c r="G952" s="33">
        <v>815</v>
      </c>
      <c r="H952" s="33" t="s">
        <v>1639</v>
      </c>
      <c r="I952" s="33">
        <v>2591</v>
      </c>
      <c r="K952" t="b">
        <f>QHPSelections2016[[#This Row],[County Name]]=P952</f>
        <v>1</v>
      </c>
      <c r="L952" t="b">
        <f>QHPSelections2016[[#This Row],[Silver]]=S952</f>
        <v>1</v>
      </c>
      <c r="N952">
        <v>26103</v>
      </c>
      <c r="O952" t="s">
        <v>2820</v>
      </c>
      <c r="P952" t="s">
        <v>2910</v>
      </c>
      <c r="R952">
        <v>139</v>
      </c>
      <c r="S952" s="51">
        <v>1619</v>
      </c>
      <c r="T952">
        <v>815</v>
      </c>
      <c r="V952" s="51">
        <v>2591</v>
      </c>
    </row>
    <row r="953" spans="1:22">
      <c r="A953" s="32" t="s">
        <v>2911</v>
      </c>
      <c r="B953" s="32" t="s">
        <v>2820</v>
      </c>
      <c r="C953" s="32" t="s">
        <v>1344</v>
      </c>
      <c r="D953" s="33" t="s">
        <v>1639</v>
      </c>
      <c r="E953" s="33">
        <v>67</v>
      </c>
      <c r="F953" s="33">
        <v>820</v>
      </c>
      <c r="G953" s="33">
        <v>345</v>
      </c>
      <c r="H953" s="33" t="s">
        <v>1639</v>
      </c>
      <c r="I953" s="33">
        <v>1238</v>
      </c>
      <c r="K953" t="b">
        <f>QHPSelections2016[[#This Row],[County Name]]=P953</f>
        <v>1</v>
      </c>
      <c r="L953" t="b">
        <f>QHPSelections2016[[#This Row],[Silver]]=S953</f>
        <v>1</v>
      </c>
      <c r="N953">
        <v>26105</v>
      </c>
      <c r="O953" t="s">
        <v>2820</v>
      </c>
      <c r="P953" t="s">
        <v>1344</v>
      </c>
      <c r="R953">
        <v>67</v>
      </c>
      <c r="S953">
        <v>820</v>
      </c>
      <c r="T953">
        <v>345</v>
      </c>
      <c r="V953" s="51">
        <v>1238</v>
      </c>
    </row>
    <row r="954" spans="1:22">
      <c r="A954" s="32" t="s">
        <v>2912</v>
      </c>
      <c r="B954" s="32" t="s">
        <v>2820</v>
      </c>
      <c r="C954" s="32" t="s">
        <v>2913</v>
      </c>
      <c r="D954" s="33" t="s">
        <v>1639</v>
      </c>
      <c r="E954" s="33">
        <v>47</v>
      </c>
      <c r="F954" s="33">
        <v>750</v>
      </c>
      <c r="G954" s="33">
        <v>348</v>
      </c>
      <c r="H954" s="33" t="s">
        <v>1639</v>
      </c>
      <c r="I954" s="33">
        <v>1154</v>
      </c>
      <c r="K954" t="b">
        <f>QHPSelections2016[[#This Row],[County Name]]=P954</f>
        <v>1</v>
      </c>
      <c r="L954" t="b">
        <f>QHPSelections2016[[#This Row],[Silver]]=S954</f>
        <v>1</v>
      </c>
      <c r="N954">
        <v>26107</v>
      </c>
      <c r="O954" t="s">
        <v>2820</v>
      </c>
      <c r="P954" t="s">
        <v>2913</v>
      </c>
      <c r="R954">
        <v>47</v>
      </c>
      <c r="S954">
        <v>750</v>
      </c>
      <c r="T954">
        <v>348</v>
      </c>
      <c r="V954" s="51">
        <v>1154</v>
      </c>
    </row>
    <row r="955" spans="1:22">
      <c r="A955" s="32" t="s">
        <v>2914</v>
      </c>
      <c r="B955" s="32" t="s">
        <v>2820</v>
      </c>
      <c r="C955" s="32" t="s">
        <v>2915</v>
      </c>
      <c r="D955" s="33" t="s">
        <v>1639</v>
      </c>
      <c r="E955" s="33">
        <v>50</v>
      </c>
      <c r="F955" s="33">
        <v>826</v>
      </c>
      <c r="G955" s="33">
        <v>392</v>
      </c>
      <c r="H955" s="33" t="s">
        <v>1639</v>
      </c>
      <c r="I955" s="33">
        <v>1273</v>
      </c>
      <c r="K955" t="b">
        <f>QHPSelections2016[[#This Row],[County Name]]=P955</f>
        <v>1</v>
      </c>
      <c r="L955" t="b">
        <f>QHPSelections2016[[#This Row],[Silver]]=S955</f>
        <v>1</v>
      </c>
      <c r="N955">
        <v>26109</v>
      </c>
      <c r="O955" t="s">
        <v>2820</v>
      </c>
      <c r="P955" t="s">
        <v>2915</v>
      </c>
      <c r="R955">
        <v>50</v>
      </c>
      <c r="S955">
        <v>826</v>
      </c>
      <c r="T955">
        <v>392</v>
      </c>
      <c r="V955" s="51">
        <v>1273</v>
      </c>
    </row>
    <row r="956" spans="1:22">
      <c r="A956" s="32" t="s">
        <v>2916</v>
      </c>
      <c r="B956" s="32" t="s">
        <v>2820</v>
      </c>
      <c r="C956" s="32" t="s">
        <v>1349</v>
      </c>
      <c r="D956" s="33">
        <v>11</v>
      </c>
      <c r="E956" s="33">
        <v>133</v>
      </c>
      <c r="F956" s="33">
        <v>1600</v>
      </c>
      <c r="G956" s="33">
        <v>791</v>
      </c>
      <c r="H956" s="33">
        <v>13</v>
      </c>
      <c r="I956" s="33">
        <v>2548</v>
      </c>
      <c r="K956" t="b">
        <f>QHPSelections2016[[#This Row],[County Name]]=P956</f>
        <v>1</v>
      </c>
      <c r="L956" t="b">
        <f>QHPSelections2016[[#This Row],[Silver]]=S956</f>
        <v>1</v>
      </c>
      <c r="N956">
        <v>26111</v>
      </c>
      <c r="O956" t="s">
        <v>2820</v>
      </c>
      <c r="P956" t="s">
        <v>1349</v>
      </c>
      <c r="Q956">
        <v>11</v>
      </c>
      <c r="R956">
        <v>133</v>
      </c>
      <c r="S956" s="51">
        <v>1600</v>
      </c>
      <c r="T956">
        <v>791</v>
      </c>
      <c r="U956">
        <v>13</v>
      </c>
      <c r="V956" s="51">
        <v>2548</v>
      </c>
    </row>
    <row r="957" spans="1:22">
      <c r="A957" s="32" t="s">
        <v>2917</v>
      </c>
      <c r="B957" s="32" t="s">
        <v>2820</v>
      </c>
      <c r="C957" s="32" t="s">
        <v>2918</v>
      </c>
      <c r="D957" s="33" t="s">
        <v>1639</v>
      </c>
      <c r="E957" s="33">
        <v>45</v>
      </c>
      <c r="F957" s="33">
        <v>529</v>
      </c>
      <c r="G957" s="33">
        <v>199</v>
      </c>
      <c r="H957" s="33" t="s">
        <v>1639</v>
      </c>
      <c r="I957" s="33">
        <v>785</v>
      </c>
      <c r="K957" t="b">
        <f>QHPSelections2016[[#This Row],[County Name]]=P957</f>
        <v>1</v>
      </c>
      <c r="L957" t="b">
        <f>QHPSelections2016[[#This Row],[Silver]]=S957</f>
        <v>1</v>
      </c>
      <c r="N957">
        <v>26113</v>
      </c>
      <c r="O957" t="s">
        <v>2820</v>
      </c>
      <c r="P957" t="s">
        <v>2918</v>
      </c>
      <c r="R957">
        <v>45</v>
      </c>
      <c r="S957">
        <v>529</v>
      </c>
      <c r="T957">
        <v>199</v>
      </c>
      <c r="V957">
        <v>785</v>
      </c>
    </row>
    <row r="958" spans="1:22">
      <c r="A958" s="32" t="s">
        <v>2919</v>
      </c>
      <c r="B958" s="32" t="s">
        <v>2820</v>
      </c>
      <c r="C958" s="32" t="s">
        <v>1055</v>
      </c>
      <c r="D958" s="33">
        <v>72</v>
      </c>
      <c r="E958" s="33">
        <v>247</v>
      </c>
      <c r="F958" s="33">
        <v>2895</v>
      </c>
      <c r="G958" s="33">
        <v>920</v>
      </c>
      <c r="H958" s="33">
        <v>48</v>
      </c>
      <c r="I958" s="33">
        <v>4182</v>
      </c>
      <c r="K958" t="b">
        <f>QHPSelections2016[[#This Row],[County Name]]=P958</f>
        <v>1</v>
      </c>
      <c r="L958" t="b">
        <f>QHPSelections2016[[#This Row],[Silver]]=S958</f>
        <v>1</v>
      </c>
      <c r="N958">
        <v>26115</v>
      </c>
      <c r="O958" t="s">
        <v>2820</v>
      </c>
      <c r="P958" t="s">
        <v>1055</v>
      </c>
      <c r="Q958">
        <v>72</v>
      </c>
      <c r="R958">
        <v>247</v>
      </c>
      <c r="S958" s="51">
        <v>2895</v>
      </c>
      <c r="T958">
        <v>920</v>
      </c>
      <c r="U958">
        <v>48</v>
      </c>
      <c r="V958" s="51">
        <v>4182</v>
      </c>
    </row>
    <row r="959" spans="1:22">
      <c r="A959" s="32" t="s">
        <v>2920</v>
      </c>
      <c r="B959" s="32" t="s">
        <v>2820</v>
      </c>
      <c r="C959" s="32" t="s">
        <v>2921</v>
      </c>
      <c r="D959" s="33" t="s">
        <v>1639</v>
      </c>
      <c r="E959" s="33">
        <v>101</v>
      </c>
      <c r="F959" s="33">
        <v>1395</v>
      </c>
      <c r="G959" s="33">
        <v>646</v>
      </c>
      <c r="H959" s="33" t="s">
        <v>1639</v>
      </c>
      <c r="I959" s="33">
        <v>2155</v>
      </c>
      <c r="K959" t="b">
        <f>QHPSelections2016[[#This Row],[County Name]]=P959</f>
        <v>1</v>
      </c>
      <c r="L959" t="b">
        <f>QHPSelections2016[[#This Row],[Silver]]=S959</f>
        <v>1</v>
      </c>
      <c r="N959">
        <v>26117</v>
      </c>
      <c r="O959" t="s">
        <v>2820</v>
      </c>
      <c r="P959" t="s">
        <v>2921</v>
      </c>
      <c r="R959">
        <v>101</v>
      </c>
      <c r="S959" s="51">
        <v>1395</v>
      </c>
      <c r="T959">
        <v>646</v>
      </c>
      <c r="V959" s="51">
        <v>2155</v>
      </c>
    </row>
    <row r="960" spans="1:22">
      <c r="A960" s="32" t="s">
        <v>2922</v>
      </c>
      <c r="B960" s="32" t="s">
        <v>2820</v>
      </c>
      <c r="C960" s="32" t="s">
        <v>2923</v>
      </c>
      <c r="D960" s="33" t="s">
        <v>1639</v>
      </c>
      <c r="E960" s="33">
        <v>21</v>
      </c>
      <c r="F960" s="33">
        <v>214</v>
      </c>
      <c r="G960" s="33">
        <v>106</v>
      </c>
      <c r="H960" s="33" t="s">
        <v>1639</v>
      </c>
      <c r="I960" s="33">
        <v>348</v>
      </c>
      <c r="K960" t="b">
        <f>QHPSelections2016[[#This Row],[County Name]]=P960</f>
        <v>1</v>
      </c>
      <c r="L960" t="b">
        <f>QHPSelections2016[[#This Row],[Silver]]=S960</f>
        <v>1</v>
      </c>
      <c r="N960">
        <v>26119</v>
      </c>
      <c r="O960" t="s">
        <v>2820</v>
      </c>
      <c r="P960" t="s">
        <v>2923</v>
      </c>
      <c r="R960">
        <v>21</v>
      </c>
      <c r="S960">
        <v>214</v>
      </c>
      <c r="T960">
        <v>106</v>
      </c>
      <c r="V960">
        <v>348</v>
      </c>
    </row>
    <row r="961" spans="1:22">
      <c r="A961" s="32" t="s">
        <v>2924</v>
      </c>
      <c r="B961" s="32" t="s">
        <v>2820</v>
      </c>
      <c r="C961" s="32" t="s">
        <v>2925</v>
      </c>
      <c r="D961" s="33" t="s">
        <v>1639</v>
      </c>
      <c r="E961" s="33">
        <v>201</v>
      </c>
      <c r="F961" s="33">
        <v>3691</v>
      </c>
      <c r="G961" s="33">
        <v>1052</v>
      </c>
      <c r="H961" s="33" t="s">
        <v>1639</v>
      </c>
      <c r="I961" s="33">
        <v>4958</v>
      </c>
      <c r="K961" t="b">
        <f>QHPSelections2016[[#This Row],[County Name]]=P961</f>
        <v>1</v>
      </c>
      <c r="L961" t="b">
        <f>QHPSelections2016[[#This Row],[Silver]]=S961</f>
        <v>1</v>
      </c>
      <c r="N961">
        <v>26121</v>
      </c>
      <c r="O961" t="s">
        <v>2820</v>
      </c>
      <c r="P961" t="s">
        <v>2925</v>
      </c>
      <c r="R961">
        <v>201</v>
      </c>
      <c r="S961" s="51">
        <v>3691</v>
      </c>
      <c r="T961" s="51">
        <v>1052</v>
      </c>
      <c r="V961" s="51">
        <v>4958</v>
      </c>
    </row>
    <row r="962" spans="1:22">
      <c r="A962" s="32" t="s">
        <v>2926</v>
      </c>
      <c r="B962" s="32" t="s">
        <v>2820</v>
      </c>
      <c r="C962" s="32" t="s">
        <v>2927</v>
      </c>
      <c r="D962" s="33" t="s">
        <v>1639</v>
      </c>
      <c r="E962" s="33">
        <v>67</v>
      </c>
      <c r="F962" s="33">
        <v>980</v>
      </c>
      <c r="G962" s="33">
        <v>516</v>
      </c>
      <c r="H962" s="33" t="s">
        <v>1639</v>
      </c>
      <c r="I962" s="33">
        <v>1570</v>
      </c>
      <c r="K962" t="b">
        <f>QHPSelections2016[[#This Row],[County Name]]=P962</f>
        <v>1</v>
      </c>
      <c r="L962" t="b">
        <f>QHPSelections2016[[#This Row],[Silver]]=S962</f>
        <v>1</v>
      </c>
      <c r="N962">
        <v>26123</v>
      </c>
      <c r="O962" t="s">
        <v>2820</v>
      </c>
      <c r="P962" t="s">
        <v>2927</v>
      </c>
      <c r="R962">
        <v>67</v>
      </c>
      <c r="S962">
        <v>980</v>
      </c>
      <c r="T962">
        <v>516</v>
      </c>
      <c r="V962" s="51">
        <v>1570</v>
      </c>
    </row>
    <row r="963" spans="1:22">
      <c r="A963" s="32" t="s">
        <v>2928</v>
      </c>
      <c r="B963" s="32" t="s">
        <v>2820</v>
      </c>
      <c r="C963" s="32" t="s">
        <v>2929</v>
      </c>
      <c r="D963" s="33">
        <v>985</v>
      </c>
      <c r="E963" s="33">
        <v>4630</v>
      </c>
      <c r="F963" s="33">
        <v>36373</v>
      </c>
      <c r="G963" s="33">
        <v>11446</v>
      </c>
      <c r="H963" s="33">
        <v>741</v>
      </c>
      <c r="I963" s="33">
        <v>54175</v>
      </c>
      <c r="K963" t="b">
        <f>QHPSelections2016[[#This Row],[County Name]]=P963</f>
        <v>1</v>
      </c>
      <c r="L963" t="b">
        <f>QHPSelections2016[[#This Row],[Silver]]=S963</f>
        <v>1</v>
      </c>
      <c r="N963">
        <v>26125</v>
      </c>
      <c r="O963" t="s">
        <v>2820</v>
      </c>
      <c r="P963" t="s">
        <v>2929</v>
      </c>
      <c r="Q963">
        <v>985</v>
      </c>
      <c r="R963" s="51">
        <v>4630</v>
      </c>
      <c r="S963" s="51">
        <v>36373</v>
      </c>
      <c r="T963" s="51">
        <v>11446</v>
      </c>
      <c r="U963">
        <v>741</v>
      </c>
      <c r="V963" s="51">
        <v>54175</v>
      </c>
    </row>
    <row r="964" spans="1:22">
      <c r="A964" s="32" t="s">
        <v>2930</v>
      </c>
      <c r="B964" s="32" t="s">
        <v>2820</v>
      </c>
      <c r="C964" s="32" t="s">
        <v>2931</v>
      </c>
      <c r="D964" s="33" t="s">
        <v>1639</v>
      </c>
      <c r="E964" s="33">
        <v>36</v>
      </c>
      <c r="F964" s="33">
        <v>621</v>
      </c>
      <c r="G964" s="33">
        <v>192</v>
      </c>
      <c r="H964" s="33" t="s">
        <v>1639</v>
      </c>
      <c r="I964" s="33">
        <v>851</v>
      </c>
      <c r="K964" t="b">
        <f>QHPSelections2016[[#This Row],[County Name]]=P964</f>
        <v>1</v>
      </c>
      <c r="L964" t="b">
        <f>QHPSelections2016[[#This Row],[Silver]]=S964</f>
        <v>1</v>
      </c>
      <c r="N964">
        <v>26127</v>
      </c>
      <c r="O964" t="s">
        <v>2820</v>
      </c>
      <c r="P964" t="s">
        <v>2931</v>
      </c>
      <c r="R964">
        <v>36</v>
      </c>
      <c r="S964">
        <v>621</v>
      </c>
      <c r="T964">
        <v>192</v>
      </c>
      <c r="V964">
        <v>851</v>
      </c>
    </row>
    <row r="965" spans="1:22">
      <c r="A965" s="32" t="s">
        <v>2932</v>
      </c>
      <c r="B965" s="32" t="s">
        <v>2820</v>
      </c>
      <c r="C965" s="32" t="s">
        <v>2933</v>
      </c>
      <c r="D965" s="33" t="s">
        <v>1639</v>
      </c>
      <c r="E965" s="33">
        <v>55</v>
      </c>
      <c r="F965" s="33">
        <v>628</v>
      </c>
      <c r="G965" s="33">
        <v>174</v>
      </c>
      <c r="H965" s="33" t="s">
        <v>1639</v>
      </c>
      <c r="I965" s="33">
        <v>866</v>
      </c>
      <c r="K965" t="b">
        <f>QHPSelections2016[[#This Row],[County Name]]=P965</f>
        <v>1</v>
      </c>
      <c r="L965" t="b">
        <f>QHPSelections2016[[#This Row],[Silver]]=S965</f>
        <v>1</v>
      </c>
      <c r="N965">
        <v>26129</v>
      </c>
      <c r="O965" t="s">
        <v>2820</v>
      </c>
      <c r="P965" t="s">
        <v>2933</v>
      </c>
      <c r="R965">
        <v>55</v>
      </c>
      <c r="S965">
        <v>628</v>
      </c>
      <c r="T965">
        <v>174</v>
      </c>
      <c r="V965">
        <v>866</v>
      </c>
    </row>
    <row r="966" spans="1:22">
      <c r="A966" s="32" t="s">
        <v>2934</v>
      </c>
      <c r="B966" s="32" t="s">
        <v>2820</v>
      </c>
      <c r="C966" s="32" t="s">
        <v>2935</v>
      </c>
      <c r="D966" s="33">
        <v>0</v>
      </c>
      <c r="E966" s="33" t="s">
        <v>1639</v>
      </c>
      <c r="F966" s="33">
        <v>241</v>
      </c>
      <c r="G966" s="33">
        <v>86</v>
      </c>
      <c r="H966" s="33" t="s">
        <v>1639</v>
      </c>
      <c r="I966" s="33">
        <v>340</v>
      </c>
      <c r="K966" t="b">
        <f>QHPSelections2016[[#This Row],[County Name]]=P966</f>
        <v>1</v>
      </c>
      <c r="L966" t="b">
        <f>QHPSelections2016[[#This Row],[Silver]]=S966</f>
        <v>1</v>
      </c>
      <c r="N966">
        <v>26131</v>
      </c>
      <c r="O966" t="s">
        <v>2820</v>
      </c>
      <c r="P966" t="s">
        <v>2935</v>
      </c>
      <c r="Q966">
        <v>0</v>
      </c>
      <c r="S966">
        <v>241</v>
      </c>
      <c r="T966">
        <v>86</v>
      </c>
      <c r="V966">
        <v>340</v>
      </c>
    </row>
    <row r="967" spans="1:22">
      <c r="A967" s="32" t="s">
        <v>2936</v>
      </c>
      <c r="B967" s="32" t="s">
        <v>2820</v>
      </c>
      <c r="C967" s="32" t="s">
        <v>1077</v>
      </c>
      <c r="D967" s="33" t="s">
        <v>1639</v>
      </c>
      <c r="E967" s="33">
        <v>41</v>
      </c>
      <c r="F967" s="33">
        <v>556</v>
      </c>
      <c r="G967" s="33">
        <v>202</v>
      </c>
      <c r="H967" s="33" t="s">
        <v>1639</v>
      </c>
      <c r="I967" s="33">
        <v>803</v>
      </c>
      <c r="K967" t="b">
        <f>QHPSelections2016[[#This Row],[County Name]]=P967</f>
        <v>1</v>
      </c>
      <c r="L967" t="b">
        <f>QHPSelections2016[[#This Row],[Silver]]=S967</f>
        <v>1</v>
      </c>
      <c r="N967">
        <v>26133</v>
      </c>
      <c r="O967" t="s">
        <v>2820</v>
      </c>
      <c r="P967" t="s">
        <v>1077</v>
      </c>
      <c r="R967">
        <v>41</v>
      </c>
      <c r="S967">
        <v>556</v>
      </c>
      <c r="T967">
        <v>202</v>
      </c>
      <c r="V967">
        <v>803</v>
      </c>
    </row>
    <row r="968" spans="1:22">
      <c r="A968" s="32" t="s">
        <v>2937</v>
      </c>
      <c r="B968" s="32" t="s">
        <v>2820</v>
      </c>
      <c r="C968" s="32" t="s">
        <v>2938</v>
      </c>
      <c r="D968" s="33" t="s">
        <v>1639</v>
      </c>
      <c r="E968" s="33">
        <v>21</v>
      </c>
      <c r="F968" s="33">
        <v>222</v>
      </c>
      <c r="G968" s="33">
        <v>87</v>
      </c>
      <c r="H968" s="33" t="s">
        <v>1639</v>
      </c>
      <c r="I968" s="33">
        <v>331</v>
      </c>
      <c r="K968" t="b">
        <f>QHPSelections2016[[#This Row],[County Name]]=P968</f>
        <v>1</v>
      </c>
      <c r="L968" t="b">
        <f>QHPSelections2016[[#This Row],[Silver]]=S968</f>
        <v>1</v>
      </c>
      <c r="N968">
        <v>26135</v>
      </c>
      <c r="O968" t="s">
        <v>2820</v>
      </c>
      <c r="P968" t="s">
        <v>2938</v>
      </c>
      <c r="R968">
        <v>21</v>
      </c>
      <c r="S968">
        <v>222</v>
      </c>
      <c r="T968">
        <v>87</v>
      </c>
      <c r="V968">
        <v>331</v>
      </c>
    </row>
    <row r="969" spans="1:22">
      <c r="A969" s="32" t="s">
        <v>2939</v>
      </c>
      <c r="B969" s="32" t="s">
        <v>2820</v>
      </c>
      <c r="C969" s="32" t="s">
        <v>2940</v>
      </c>
      <c r="D969" s="33" t="s">
        <v>1639</v>
      </c>
      <c r="E969" s="33">
        <v>93</v>
      </c>
      <c r="F969" s="33">
        <v>699</v>
      </c>
      <c r="G969" s="33">
        <v>329</v>
      </c>
      <c r="H969" s="33" t="s">
        <v>1639</v>
      </c>
      <c r="I969" s="33">
        <v>1140</v>
      </c>
      <c r="K969" t="b">
        <f>QHPSelections2016[[#This Row],[County Name]]=P969</f>
        <v>1</v>
      </c>
      <c r="L969" t="b">
        <f>QHPSelections2016[[#This Row],[Silver]]=S969</f>
        <v>1</v>
      </c>
      <c r="N969">
        <v>26137</v>
      </c>
      <c r="O969" t="s">
        <v>2820</v>
      </c>
      <c r="P969" t="s">
        <v>2940</v>
      </c>
      <c r="R969">
        <v>93</v>
      </c>
      <c r="S969">
        <v>699</v>
      </c>
      <c r="T969">
        <v>329</v>
      </c>
      <c r="V969" s="51">
        <v>1140</v>
      </c>
    </row>
    <row r="970" spans="1:22">
      <c r="A970" s="32" t="s">
        <v>2941</v>
      </c>
      <c r="B970" s="32" t="s">
        <v>2820</v>
      </c>
      <c r="C970" s="32" t="s">
        <v>2673</v>
      </c>
      <c r="D970" s="33" t="s">
        <v>1639</v>
      </c>
      <c r="E970" s="33">
        <v>486</v>
      </c>
      <c r="F970" s="33">
        <v>6168</v>
      </c>
      <c r="G970" s="33">
        <v>3123</v>
      </c>
      <c r="H970" s="33" t="s">
        <v>1639</v>
      </c>
      <c r="I970" s="33">
        <v>9879</v>
      </c>
      <c r="K970" t="b">
        <f>QHPSelections2016[[#This Row],[County Name]]=P970</f>
        <v>1</v>
      </c>
      <c r="L970" t="b">
        <f>QHPSelections2016[[#This Row],[Silver]]=S970</f>
        <v>1</v>
      </c>
      <c r="N970">
        <v>26139</v>
      </c>
      <c r="O970" t="s">
        <v>2820</v>
      </c>
      <c r="P970" t="s">
        <v>2673</v>
      </c>
      <c r="R970">
        <v>486</v>
      </c>
      <c r="S970" s="51">
        <v>6168</v>
      </c>
      <c r="T970" s="51">
        <v>3123</v>
      </c>
      <c r="V970" s="51">
        <v>9879</v>
      </c>
    </row>
    <row r="971" spans="1:22">
      <c r="A971" s="32" t="s">
        <v>2942</v>
      </c>
      <c r="B971" s="32" t="s">
        <v>2820</v>
      </c>
      <c r="C971" s="32" t="s">
        <v>2943</v>
      </c>
      <c r="D971" s="33" t="s">
        <v>1639</v>
      </c>
      <c r="E971" s="33">
        <v>45</v>
      </c>
      <c r="F971" s="33">
        <v>422</v>
      </c>
      <c r="G971" s="33">
        <v>213</v>
      </c>
      <c r="H971" s="33" t="s">
        <v>1639</v>
      </c>
      <c r="I971" s="33">
        <v>681</v>
      </c>
      <c r="K971" t="b">
        <f>QHPSelections2016[[#This Row],[County Name]]=P971</f>
        <v>1</v>
      </c>
      <c r="L971" t="b">
        <f>QHPSelections2016[[#This Row],[Silver]]=S971</f>
        <v>1</v>
      </c>
      <c r="N971">
        <v>26141</v>
      </c>
      <c r="O971" t="s">
        <v>2820</v>
      </c>
      <c r="P971" t="s">
        <v>2943</v>
      </c>
      <c r="R971">
        <v>45</v>
      </c>
      <c r="S971">
        <v>422</v>
      </c>
      <c r="T971">
        <v>213</v>
      </c>
      <c r="V971">
        <v>681</v>
      </c>
    </row>
    <row r="972" spans="1:22">
      <c r="A972" s="32" t="s">
        <v>2944</v>
      </c>
      <c r="B972" s="32" t="s">
        <v>2820</v>
      </c>
      <c r="C972" s="32" t="s">
        <v>2945</v>
      </c>
      <c r="D972" s="33" t="s">
        <v>1639</v>
      </c>
      <c r="E972" s="33">
        <v>48</v>
      </c>
      <c r="F972" s="33">
        <v>610</v>
      </c>
      <c r="G972" s="33">
        <v>210</v>
      </c>
      <c r="H972" s="33" t="s">
        <v>1639</v>
      </c>
      <c r="I972" s="33">
        <v>872</v>
      </c>
      <c r="K972" t="b">
        <f>QHPSelections2016[[#This Row],[County Name]]=P972</f>
        <v>1</v>
      </c>
      <c r="L972" t="b">
        <f>QHPSelections2016[[#This Row],[Silver]]=S972</f>
        <v>1</v>
      </c>
      <c r="N972">
        <v>26143</v>
      </c>
      <c r="O972" t="s">
        <v>2820</v>
      </c>
      <c r="P972" t="s">
        <v>2945</v>
      </c>
      <c r="R972">
        <v>48</v>
      </c>
      <c r="S972">
        <v>610</v>
      </c>
      <c r="T972">
        <v>210</v>
      </c>
      <c r="V972">
        <v>872</v>
      </c>
    </row>
    <row r="973" spans="1:22">
      <c r="A973" s="32" t="s">
        <v>2946</v>
      </c>
      <c r="B973" s="32" t="s">
        <v>2820</v>
      </c>
      <c r="C973" s="32" t="s">
        <v>2947</v>
      </c>
      <c r="D973" s="33">
        <v>17</v>
      </c>
      <c r="E973" s="33">
        <v>252</v>
      </c>
      <c r="F973" s="33">
        <v>3634</v>
      </c>
      <c r="G973" s="33">
        <v>1402</v>
      </c>
      <c r="H973" s="33">
        <v>42</v>
      </c>
      <c r="I973" s="33">
        <v>5347</v>
      </c>
      <c r="K973" t="b">
        <f>QHPSelections2016[[#This Row],[County Name]]=P973</f>
        <v>1</v>
      </c>
      <c r="L973" t="b">
        <f>QHPSelections2016[[#This Row],[Silver]]=S973</f>
        <v>1</v>
      </c>
      <c r="N973">
        <v>26145</v>
      </c>
      <c r="O973" t="s">
        <v>2820</v>
      </c>
      <c r="P973" t="s">
        <v>2947</v>
      </c>
      <c r="Q973">
        <v>17</v>
      </c>
      <c r="R973">
        <v>252</v>
      </c>
      <c r="S973" s="51">
        <v>3634</v>
      </c>
      <c r="T973" s="51">
        <v>1402</v>
      </c>
      <c r="U973">
        <v>42</v>
      </c>
      <c r="V973" s="51">
        <v>5347</v>
      </c>
    </row>
    <row r="974" spans="1:22">
      <c r="A974" s="32" t="s">
        <v>2948</v>
      </c>
      <c r="B974" s="32" t="s">
        <v>2820</v>
      </c>
      <c r="C974" s="32" t="s">
        <v>1123</v>
      </c>
      <c r="D974" s="33">
        <v>22</v>
      </c>
      <c r="E974" s="33">
        <v>260</v>
      </c>
      <c r="F974" s="33">
        <v>4199</v>
      </c>
      <c r="G974" s="33">
        <v>1981</v>
      </c>
      <c r="H974" s="33">
        <v>38</v>
      </c>
      <c r="I974" s="33">
        <v>6500</v>
      </c>
      <c r="K974" t="b">
        <f>QHPSelections2016[[#This Row],[County Name]]=P974</f>
        <v>0</v>
      </c>
      <c r="L974" t="b">
        <f>QHPSelections2016[[#This Row],[Silver]]=S974</f>
        <v>0</v>
      </c>
      <c r="N974">
        <v>26151</v>
      </c>
      <c r="O974" t="s">
        <v>2820</v>
      </c>
      <c r="P974" t="s">
        <v>2951</v>
      </c>
      <c r="R974">
        <v>124</v>
      </c>
      <c r="S974" s="51">
        <v>1240</v>
      </c>
      <c r="T974">
        <v>523</v>
      </c>
      <c r="V974" s="51">
        <v>1904</v>
      </c>
    </row>
    <row r="975" spans="1:22">
      <c r="A975" s="32" t="s">
        <v>2949</v>
      </c>
      <c r="B975" s="32" t="s">
        <v>2820</v>
      </c>
      <c r="C975" s="32" t="s">
        <v>2530</v>
      </c>
      <c r="D975" s="33" t="s">
        <v>1639</v>
      </c>
      <c r="E975" s="33">
        <v>50</v>
      </c>
      <c r="F975" s="33">
        <v>1139</v>
      </c>
      <c r="G975" s="33">
        <v>607</v>
      </c>
      <c r="H975" s="33" t="s">
        <v>1639</v>
      </c>
      <c r="I975" s="33">
        <v>1814</v>
      </c>
      <c r="K975" t="b">
        <f>QHPSelections2016[[#This Row],[County Name]]=P975</f>
        <v>0</v>
      </c>
      <c r="L975" t="b">
        <f>QHPSelections2016[[#This Row],[Silver]]=S975</f>
        <v>0</v>
      </c>
      <c r="N975">
        <v>26153</v>
      </c>
      <c r="O975" t="s">
        <v>2820</v>
      </c>
      <c r="P975" t="s">
        <v>2953</v>
      </c>
      <c r="R975">
        <v>21</v>
      </c>
      <c r="S975">
        <v>257</v>
      </c>
      <c r="T975">
        <v>142</v>
      </c>
      <c r="V975">
        <v>422</v>
      </c>
    </row>
    <row r="976" spans="1:22">
      <c r="A976" s="32" t="s">
        <v>2950</v>
      </c>
      <c r="B976" s="32" t="s">
        <v>2820</v>
      </c>
      <c r="C976" s="32" t="s">
        <v>2951</v>
      </c>
      <c r="D976" s="33" t="s">
        <v>1639</v>
      </c>
      <c r="E976" s="33">
        <v>124</v>
      </c>
      <c r="F976" s="33">
        <v>1240</v>
      </c>
      <c r="G976" s="33">
        <v>523</v>
      </c>
      <c r="H976" s="33" t="s">
        <v>1639</v>
      </c>
      <c r="I976" s="33">
        <v>1904</v>
      </c>
      <c r="K976" t="b">
        <f>QHPSelections2016[[#This Row],[County Name]]=P976</f>
        <v>0</v>
      </c>
      <c r="L976" t="b">
        <f>QHPSelections2016[[#This Row],[Silver]]=S976</f>
        <v>0</v>
      </c>
      <c r="N976">
        <v>26155</v>
      </c>
      <c r="O976" t="s">
        <v>2820</v>
      </c>
      <c r="P976" t="s">
        <v>2955</v>
      </c>
      <c r="Q976">
        <v>30</v>
      </c>
      <c r="R976">
        <v>114</v>
      </c>
      <c r="S976" s="51">
        <v>1468</v>
      </c>
      <c r="T976">
        <v>511</v>
      </c>
      <c r="U976">
        <v>12</v>
      </c>
      <c r="V976" s="51">
        <v>2135</v>
      </c>
    </row>
    <row r="977" spans="1:22">
      <c r="A977" s="32" t="s">
        <v>2952</v>
      </c>
      <c r="B977" s="32" t="s">
        <v>2820</v>
      </c>
      <c r="C977" s="32" t="s">
        <v>2953</v>
      </c>
      <c r="D977" s="33" t="s">
        <v>1639</v>
      </c>
      <c r="E977" s="33">
        <v>21</v>
      </c>
      <c r="F977" s="33">
        <v>257</v>
      </c>
      <c r="G977" s="33">
        <v>142</v>
      </c>
      <c r="H977" s="33" t="s">
        <v>1639</v>
      </c>
      <c r="I977" s="33">
        <v>422</v>
      </c>
      <c r="K977" t="b">
        <f>QHPSelections2016[[#This Row],[County Name]]=P977</f>
        <v>0</v>
      </c>
      <c r="L977" t="b">
        <f>QHPSelections2016[[#This Row],[Silver]]=S977</f>
        <v>0</v>
      </c>
      <c r="N977">
        <v>26147</v>
      </c>
      <c r="O977" t="s">
        <v>2820</v>
      </c>
      <c r="P977" t="s">
        <v>1123</v>
      </c>
      <c r="Q977">
        <v>22</v>
      </c>
      <c r="R977">
        <v>260</v>
      </c>
      <c r="S977" s="51">
        <v>4199</v>
      </c>
      <c r="T977" s="51">
        <v>1981</v>
      </c>
      <c r="U977">
        <v>38</v>
      </c>
      <c r="V977" s="51">
        <v>6500</v>
      </c>
    </row>
    <row r="978" spans="1:22">
      <c r="A978" s="32" t="s">
        <v>2954</v>
      </c>
      <c r="B978" s="32" t="s">
        <v>2820</v>
      </c>
      <c r="C978" s="32" t="s">
        <v>2955</v>
      </c>
      <c r="D978" s="33">
        <v>30</v>
      </c>
      <c r="E978" s="33">
        <v>114</v>
      </c>
      <c r="F978" s="33">
        <v>1468</v>
      </c>
      <c r="G978" s="33">
        <v>511</v>
      </c>
      <c r="H978" s="33">
        <v>12</v>
      </c>
      <c r="I978" s="33">
        <v>2135</v>
      </c>
      <c r="K978" t="b">
        <f>QHPSelections2016[[#This Row],[County Name]]=P978</f>
        <v>0</v>
      </c>
      <c r="L978" t="b">
        <f>QHPSelections2016[[#This Row],[Silver]]=S978</f>
        <v>0</v>
      </c>
      <c r="N978">
        <v>26149</v>
      </c>
      <c r="O978" t="s">
        <v>2820</v>
      </c>
      <c r="P978" t="s">
        <v>2530</v>
      </c>
      <c r="R978">
        <v>50</v>
      </c>
      <c r="S978" s="51">
        <v>1139</v>
      </c>
      <c r="T978">
        <v>607</v>
      </c>
      <c r="V978" s="51">
        <v>1814</v>
      </c>
    </row>
    <row r="979" spans="1:22">
      <c r="A979" s="32" t="s">
        <v>2956</v>
      </c>
      <c r="B979" s="32" t="s">
        <v>2820</v>
      </c>
      <c r="C979" s="32" t="s">
        <v>2957</v>
      </c>
      <c r="D979" s="33">
        <v>14</v>
      </c>
      <c r="E979" s="33">
        <v>82</v>
      </c>
      <c r="F979" s="33">
        <v>1148</v>
      </c>
      <c r="G979" s="33">
        <v>585</v>
      </c>
      <c r="H979" s="33">
        <v>14</v>
      </c>
      <c r="I979" s="33">
        <v>1843</v>
      </c>
      <c r="K979" t="b">
        <f>QHPSelections2016[[#This Row],[County Name]]=P979</f>
        <v>1</v>
      </c>
      <c r="L979" t="b">
        <f>QHPSelections2016[[#This Row],[Silver]]=S979</f>
        <v>1</v>
      </c>
      <c r="N979">
        <v>26157</v>
      </c>
      <c r="O979" t="s">
        <v>2820</v>
      </c>
      <c r="P979" t="s">
        <v>2957</v>
      </c>
      <c r="Q979">
        <v>14</v>
      </c>
      <c r="R979">
        <v>82</v>
      </c>
      <c r="S979" s="51">
        <v>1148</v>
      </c>
      <c r="T979">
        <v>585</v>
      </c>
      <c r="U979">
        <v>14</v>
      </c>
      <c r="V979" s="51">
        <v>1843</v>
      </c>
    </row>
    <row r="980" spans="1:22">
      <c r="A980" s="32" t="s">
        <v>2958</v>
      </c>
      <c r="B980" s="32" t="s">
        <v>2820</v>
      </c>
      <c r="C980" s="32" t="s">
        <v>1246</v>
      </c>
      <c r="D980" s="33" t="s">
        <v>1639</v>
      </c>
      <c r="E980" s="33">
        <v>96</v>
      </c>
      <c r="F980" s="33">
        <v>1787</v>
      </c>
      <c r="G980" s="33">
        <v>873</v>
      </c>
      <c r="H980" s="33" t="s">
        <v>1639</v>
      </c>
      <c r="I980" s="33">
        <v>2800</v>
      </c>
      <c r="K980" t="b">
        <f>QHPSelections2016[[#This Row],[County Name]]=P980</f>
        <v>1</v>
      </c>
      <c r="L980" t="b">
        <f>QHPSelections2016[[#This Row],[Silver]]=S980</f>
        <v>1</v>
      </c>
      <c r="N980">
        <v>26159</v>
      </c>
      <c r="O980" t="s">
        <v>2820</v>
      </c>
      <c r="P980" t="s">
        <v>1246</v>
      </c>
      <c r="R980">
        <v>96</v>
      </c>
      <c r="S980" s="51">
        <v>1787</v>
      </c>
      <c r="T980">
        <v>873</v>
      </c>
      <c r="V980" s="51">
        <v>2800</v>
      </c>
    </row>
    <row r="981" spans="1:22">
      <c r="A981" s="32" t="s">
        <v>2959</v>
      </c>
      <c r="B981" s="32" t="s">
        <v>2820</v>
      </c>
      <c r="C981" s="32" t="s">
        <v>2960</v>
      </c>
      <c r="D981" s="33">
        <v>105</v>
      </c>
      <c r="E981" s="33">
        <v>1025</v>
      </c>
      <c r="F981" s="33">
        <v>8636</v>
      </c>
      <c r="G981" s="33">
        <v>3478</v>
      </c>
      <c r="H981" s="33">
        <v>285</v>
      </c>
      <c r="I981" s="33">
        <v>13529</v>
      </c>
      <c r="K981" t="b">
        <f>QHPSelections2016[[#This Row],[County Name]]=P981</f>
        <v>1</v>
      </c>
      <c r="L981" t="b">
        <f>QHPSelections2016[[#This Row],[Silver]]=S981</f>
        <v>1</v>
      </c>
      <c r="N981">
        <v>26161</v>
      </c>
      <c r="O981" t="s">
        <v>2820</v>
      </c>
      <c r="P981" t="s">
        <v>2960</v>
      </c>
      <c r="Q981">
        <v>105</v>
      </c>
      <c r="R981" s="51">
        <v>1025</v>
      </c>
      <c r="S981" s="51">
        <v>8636</v>
      </c>
      <c r="T981" s="51">
        <v>3478</v>
      </c>
      <c r="U981">
        <v>285</v>
      </c>
      <c r="V981" s="51">
        <v>13529</v>
      </c>
    </row>
    <row r="982" spans="1:22">
      <c r="A982" s="32" t="s">
        <v>2961</v>
      </c>
      <c r="B982" s="32" t="s">
        <v>2820</v>
      </c>
      <c r="C982" s="32" t="s">
        <v>1209</v>
      </c>
      <c r="D982" s="33">
        <v>538</v>
      </c>
      <c r="E982" s="33">
        <v>3088</v>
      </c>
      <c r="F982" s="33">
        <v>33389</v>
      </c>
      <c r="G982" s="33">
        <v>8965</v>
      </c>
      <c r="H982" s="33">
        <v>775</v>
      </c>
      <c r="I982" s="33">
        <v>46755</v>
      </c>
      <c r="K982" t="b">
        <f>QHPSelections2016[[#This Row],[County Name]]=P982</f>
        <v>1</v>
      </c>
      <c r="L982" t="b">
        <f>QHPSelections2016[[#This Row],[Silver]]=S982</f>
        <v>1</v>
      </c>
      <c r="N982">
        <v>26163</v>
      </c>
      <c r="O982" t="s">
        <v>2820</v>
      </c>
      <c r="P982" t="s">
        <v>1209</v>
      </c>
      <c r="Q982">
        <v>538</v>
      </c>
      <c r="R982" s="51">
        <v>3088</v>
      </c>
      <c r="S982" s="51">
        <v>33389</v>
      </c>
      <c r="T982" s="51">
        <v>8965</v>
      </c>
      <c r="U982">
        <v>775</v>
      </c>
      <c r="V982" s="51">
        <v>46755</v>
      </c>
    </row>
    <row r="983" spans="1:22">
      <c r="A983" s="32" t="s">
        <v>2962</v>
      </c>
      <c r="B983" s="32" t="s">
        <v>2820</v>
      </c>
      <c r="C983" s="32" t="s">
        <v>2963</v>
      </c>
      <c r="D983" s="33" t="s">
        <v>1639</v>
      </c>
      <c r="E983" s="33">
        <v>65</v>
      </c>
      <c r="F983" s="33">
        <v>979</v>
      </c>
      <c r="G983" s="33">
        <v>360</v>
      </c>
      <c r="H983" s="33" t="s">
        <v>1639</v>
      </c>
      <c r="I983" s="33">
        <v>1418</v>
      </c>
      <c r="K983" t="b">
        <f>QHPSelections2016[[#This Row],[County Name]]=P983</f>
        <v>1</v>
      </c>
      <c r="L983" t="b">
        <f>QHPSelections2016[[#This Row],[Silver]]=S983</f>
        <v>1</v>
      </c>
      <c r="N983">
        <v>26165</v>
      </c>
      <c r="O983" t="s">
        <v>2820</v>
      </c>
      <c r="P983" t="s">
        <v>2963</v>
      </c>
      <c r="R983">
        <v>65</v>
      </c>
      <c r="S983">
        <v>979</v>
      </c>
      <c r="T983">
        <v>360</v>
      </c>
      <c r="V983" s="51">
        <v>1418</v>
      </c>
    </row>
    <row r="984" spans="1:22">
      <c r="A984" s="32" t="s">
        <v>2964</v>
      </c>
      <c r="B984" s="32" t="s">
        <v>2965</v>
      </c>
      <c r="C984" s="32" t="s">
        <v>2146</v>
      </c>
      <c r="D984" s="33" t="s">
        <v>1639</v>
      </c>
      <c r="E984" s="33">
        <v>26</v>
      </c>
      <c r="F984" s="33">
        <v>650</v>
      </c>
      <c r="G984" s="33">
        <v>249</v>
      </c>
      <c r="H984" s="33" t="s">
        <v>1639</v>
      </c>
      <c r="I984" s="33">
        <v>932</v>
      </c>
      <c r="K984" t="b">
        <f>QHPSelections2016[[#This Row],[County Name]]=P984</f>
        <v>1</v>
      </c>
      <c r="L984" t="b">
        <f>QHPSelections2016[[#This Row],[Silver]]=S984</f>
        <v>1</v>
      </c>
      <c r="N984">
        <v>29001</v>
      </c>
      <c r="O984" t="s">
        <v>2965</v>
      </c>
      <c r="P984" t="s">
        <v>2146</v>
      </c>
      <c r="R984">
        <v>26</v>
      </c>
      <c r="S984">
        <v>650</v>
      </c>
      <c r="T984">
        <v>249</v>
      </c>
      <c r="V984">
        <v>932</v>
      </c>
    </row>
    <row r="985" spans="1:22">
      <c r="A985" s="32" t="s">
        <v>2966</v>
      </c>
      <c r="B985" s="32" t="s">
        <v>2965</v>
      </c>
      <c r="C985" s="32" t="s">
        <v>2967</v>
      </c>
      <c r="D985" s="33">
        <v>0</v>
      </c>
      <c r="E985" s="33">
        <v>40</v>
      </c>
      <c r="F985" s="33">
        <v>496</v>
      </c>
      <c r="G985" s="33">
        <v>176</v>
      </c>
      <c r="H985" s="33">
        <v>0</v>
      </c>
      <c r="I985" s="33">
        <v>712</v>
      </c>
      <c r="K985" t="b">
        <f>QHPSelections2016[[#This Row],[County Name]]=P985</f>
        <v>1</v>
      </c>
      <c r="L985" t="b">
        <f>QHPSelections2016[[#This Row],[Silver]]=S985</f>
        <v>1</v>
      </c>
      <c r="N985">
        <v>29003</v>
      </c>
      <c r="O985" t="s">
        <v>2965</v>
      </c>
      <c r="P985" t="s">
        <v>2967</v>
      </c>
      <c r="Q985">
        <v>0</v>
      </c>
      <c r="R985">
        <v>40</v>
      </c>
      <c r="S985">
        <v>496</v>
      </c>
      <c r="T985">
        <v>176</v>
      </c>
      <c r="U985">
        <v>0</v>
      </c>
      <c r="V985">
        <v>712</v>
      </c>
    </row>
    <row r="986" spans="1:22">
      <c r="A986" s="32" t="s">
        <v>2968</v>
      </c>
      <c r="B986" s="32" t="s">
        <v>2965</v>
      </c>
      <c r="C986" s="32" t="s">
        <v>2567</v>
      </c>
      <c r="D986" s="33" t="s">
        <v>1639</v>
      </c>
      <c r="E986" s="33" t="s">
        <v>1639</v>
      </c>
      <c r="F986" s="33">
        <v>176</v>
      </c>
      <c r="G986" s="33">
        <v>92</v>
      </c>
      <c r="H986" s="33">
        <v>0</v>
      </c>
      <c r="I986" s="33">
        <v>276</v>
      </c>
      <c r="K986" t="b">
        <f>QHPSelections2016[[#This Row],[County Name]]=P986</f>
        <v>1</v>
      </c>
      <c r="L986" t="b">
        <f>QHPSelections2016[[#This Row],[Silver]]=S986</f>
        <v>1</v>
      </c>
      <c r="N986">
        <v>29005</v>
      </c>
      <c r="O986" t="s">
        <v>2965</v>
      </c>
      <c r="P986" t="s">
        <v>2567</v>
      </c>
      <c r="S986">
        <v>176</v>
      </c>
      <c r="T986">
        <v>92</v>
      </c>
      <c r="U986">
        <v>0</v>
      </c>
      <c r="V986">
        <v>276</v>
      </c>
    </row>
    <row r="987" spans="1:22">
      <c r="A987" s="32" t="s">
        <v>2969</v>
      </c>
      <c r="B987" s="32" t="s">
        <v>2965</v>
      </c>
      <c r="C987" s="32" t="s">
        <v>2970</v>
      </c>
      <c r="D987" s="33" t="s">
        <v>1639</v>
      </c>
      <c r="E987" s="33">
        <v>52</v>
      </c>
      <c r="F987" s="33">
        <v>647</v>
      </c>
      <c r="G987" s="33">
        <v>135</v>
      </c>
      <c r="H987" s="33" t="s">
        <v>1639</v>
      </c>
      <c r="I987" s="33">
        <v>835</v>
      </c>
      <c r="K987" t="b">
        <f>QHPSelections2016[[#This Row],[County Name]]=P987</f>
        <v>1</v>
      </c>
      <c r="L987" t="b">
        <f>QHPSelections2016[[#This Row],[Silver]]=S987</f>
        <v>1</v>
      </c>
      <c r="N987">
        <v>29007</v>
      </c>
      <c r="O987" t="s">
        <v>2965</v>
      </c>
      <c r="P987" t="s">
        <v>2970</v>
      </c>
      <c r="R987">
        <v>52</v>
      </c>
      <c r="S987">
        <v>647</v>
      </c>
      <c r="T987">
        <v>135</v>
      </c>
      <c r="V987">
        <v>835</v>
      </c>
    </row>
    <row r="988" spans="1:22">
      <c r="A988" s="32" t="s">
        <v>2971</v>
      </c>
      <c r="B988" s="32" t="s">
        <v>2965</v>
      </c>
      <c r="C988" s="32" t="s">
        <v>2835</v>
      </c>
      <c r="D988" s="33" t="s">
        <v>1639</v>
      </c>
      <c r="E988" s="33">
        <v>63</v>
      </c>
      <c r="F988" s="33">
        <v>1443</v>
      </c>
      <c r="G988" s="33">
        <v>399</v>
      </c>
      <c r="H988" s="33" t="s">
        <v>1639</v>
      </c>
      <c r="I988" s="33">
        <v>1910</v>
      </c>
      <c r="K988" t="b">
        <f>QHPSelections2016[[#This Row],[County Name]]=P988</f>
        <v>1</v>
      </c>
      <c r="L988" t="b">
        <f>QHPSelections2016[[#This Row],[Silver]]=S988</f>
        <v>1</v>
      </c>
      <c r="N988">
        <v>29009</v>
      </c>
      <c r="O988" t="s">
        <v>2965</v>
      </c>
      <c r="P988" t="s">
        <v>2835</v>
      </c>
      <c r="R988">
        <v>63</v>
      </c>
      <c r="S988" s="51">
        <v>1443</v>
      </c>
      <c r="T988">
        <v>399</v>
      </c>
      <c r="V988" s="51">
        <v>1910</v>
      </c>
    </row>
    <row r="989" spans="1:22">
      <c r="A989" s="32" t="s">
        <v>2972</v>
      </c>
      <c r="B989" s="32" t="s">
        <v>2965</v>
      </c>
      <c r="C989" s="32" t="s">
        <v>2571</v>
      </c>
      <c r="D989" s="33">
        <v>0</v>
      </c>
      <c r="E989" s="33">
        <v>19</v>
      </c>
      <c r="F989" s="33">
        <v>468</v>
      </c>
      <c r="G989" s="33">
        <v>127</v>
      </c>
      <c r="H989" s="33">
        <v>0</v>
      </c>
      <c r="I989" s="33">
        <v>614</v>
      </c>
      <c r="K989" t="b">
        <f>QHPSelections2016[[#This Row],[County Name]]=P989</f>
        <v>1</v>
      </c>
      <c r="L989" t="b">
        <f>QHPSelections2016[[#This Row],[Silver]]=S989</f>
        <v>1</v>
      </c>
      <c r="N989">
        <v>29011</v>
      </c>
      <c r="O989" t="s">
        <v>2965</v>
      </c>
      <c r="P989" t="s">
        <v>2571</v>
      </c>
      <c r="Q989">
        <v>0</v>
      </c>
      <c r="R989">
        <v>19</v>
      </c>
      <c r="S989">
        <v>468</v>
      </c>
      <c r="T989">
        <v>127</v>
      </c>
      <c r="U989">
        <v>0</v>
      </c>
      <c r="V989">
        <v>614</v>
      </c>
    </row>
    <row r="990" spans="1:22">
      <c r="A990" s="32" t="s">
        <v>2973</v>
      </c>
      <c r="B990" s="32" t="s">
        <v>2965</v>
      </c>
      <c r="C990" s="32" t="s">
        <v>2974</v>
      </c>
      <c r="D990" s="33">
        <v>0</v>
      </c>
      <c r="E990" s="33">
        <v>31</v>
      </c>
      <c r="F990" s="33">
        <v>678</v>
      </c>
      <c r="G990" s="33">
        <v>280</v>
      </c>
      <c r="H990" s="33">
        <v>0</v>
      </c>
      <c r="I990" s="33">
        <v>989</v>
      </c>
      <c r="K990" t="b">
        <f>QHPSelections2016[[#This Row],[County Name]]=P990</f>
        <v>1</v>
      </c>
      <c r="L990" t="b">
        <f>QHPSelections2016[[#This Row],[Silver]]=S990</f>
        <v>1</v>
      </c>
      <c r="N990">
        <v>29013</v>
      </c>
      <c r="O990" t="s">
        <v>2965</v>
      </c>
      <c r="P990" t="s">
        <v>2974</v>
      </c>
      <c r="Q990">
        <v>0</v>
      </c>
      <c r="R990">
        <v>31</v>
      </c>
      <c r="S990">
        <v>678</v>
      </c>
      <c r="T990">
        <v>280</v>
      </c>
      <c r="U990">
        <v>0</v>
      </c>
      <c r="V990">
        <v>989</v>
      </c>
    </row>
    <row r="991" spans="1:22">
      <c r="A991" s="32" t="s">
        <v>2975</v>
      </c>
      <c r="B991" s="32" t="s">
        <v>2965</v>
      </c>
      <c r="C991" s="32" t="s">
        <v>835</v>
      </c>
      <c r="D991" s="33">
        <v>0</v>
      </c>
      <c r="E991" s="33">
        <v>30</v>
      </c>
      <c r="F991" s="33">
        <v>823</v>
      </c>
      <c r="G991" s="33">
        <v>311</v>
      </c>
      <c r="H991" s="33">
        <v>0</v>
      </c>
      <c r="I991" s="33">
        <v>1164</v>
      </c>
      <c r="K991" t="b">
        <f>QHPSelections2016[[#This Row],[County Name]]=P991</f>
        <v>1</v>
      </c>
      <c r="L991" t="b">
        <f>QHPSelections2016[[#This Row],[Silver]]=S991</f>
        <v>1</v>
      </c>
      <c r="N991">
        <v>29015</v>
      </c>
      <c r="O991" t="s">
        <v>2965</v>
      </c>
      <c r="P991" t="s">
        <v>835</v>
      </c>
      <c r="Q991">
        <v>0</v>
      </c>
      <c r="R991">
        <v>30</v>
      </c>
      <c r="S991">
        <v>823</v>
      </c>
      <c r="T991">
        <v>311</v>
      </c>
      <c r="U991">
        <v>0</v>
      </c>
      <c r="V991" s="51">
        <v>1164</v>
      </c>
    </row>
    <row r="992" spans="1:22">
      <c r="A992" s="32" t="s">
        <v>2976</v>
      </c>
      <c r="B992" s="32" t="s">
        <v>2965</v>
      </c>
      <c r="C992" s="32" t="s">
        <v>2977</v>
      </c>
      <c r="D992" s="33" t="s">
        <v>1639</v>
      </c>
      <c r="E992" s="33">
        <v>15</v>
      </c>
      <c r="F992" s="33">
        <v>412</v>
      </c>
      <c r="G992" s="33">
        <v>108</v>
      </c>
      <c r="H992" s="33" t="s">
        <v>1639</v>
      </c>
      <c r="I992" s="33">
        <v>536</v>
      </c>
      <c r="K992" t="b">
        <f>QHPSelections2016[[#This Row],[County Name]]=P992</f>
        <v>1</v>
      </c>
      <c r="L992" t="b">
        <f>QHPSelections2016[[#This Row],[Silver]]=S992</f>
        <v>1</v>
      </c>
      <c r="N992">
        <v>29017</v>
      </c>
      <c r="O992" t="s">
        <v>2965</v>
      </c>
      <c r="P992" t="s">
        <v>2977</v>
      </c>
      <c r="R992">
        <v>15</v>
      </c>
      <c r="S992">
        <v>412</v>
      </c>
      <c r="T992">
        <v>108</v>
      </c>
      <c r="V992">
        <v>536</v>
      </c>
    </row>
    <row r="993" spans="1:22">
      <c r="A993" s="32" t="s">
        <v>2978</v>
      </c>
      <c r="B993" s="32" t="s">
        <v>2965</v>
      </c>
      <c r="C993" s="32" t="s">
        <v>1770</v>
      </c>
      <c r="D993" s="33">
        <v>0</v>
      </c>
      <c r="E993" s="33">
        <v>428</v>
      </c>
      <c r="F993" s="33">
        <v>4477</v>
      </c>
      <c r="G993" s="33">
        <v>1888</v>
      </c>
      <c r="H993" s="33">
        <v>16</v>
      </c>
      <c r="I993" s="33">
        <v>6809</v>
      </c>
      <c r="K993" t="b">
        <f>QHPSelections2016[[#This Row],[County Name]]=P993</f>
        <v>1</v>
      </c>
      <c r="L993" t="b">
        <f>QHPSelections2016[[#This Row],[Silver]]=S993</f>
        <v>1</v>
      </c>
      <c r="N993">
        <v>29019</v>
      </c>
      <c r="O993" t="s">
        <v>2965</v>
      </c>
      <c r="P993" t="s">
        <v>1770</v>
      </c>
      <c r="Q993">
        <v>0</v>
      </c>
      <c r="R993">
        <v>428</v>
      </c>
      <c r="S993" s="51">
        <v>4477</v>
      </c>
      <c r="T993" s="51">
        <v>1888</v>
      </c>
      <c r="U993">
        <v>16</v>
      </c>
      <c r="V993" s="51">
        <v>6809</v>
      </c>
    </row>
    <row r="994" spans="1:22">
      <c r="A994" s="32" t="s">
        <v>2979</v>
      </c>
      <c r="B994" s="32" t="s">
        <v>2965</v>
      </c>
      <c r="C994" s="32" t="s">
        <v>2161</v>
      </c>
      <c r="D994" s="33">
        <v>0</v>
      </c>
      <c r="E994" s="33">
        <v>111</v>
      </c>
      <c r="F994" s="33">
        <v>1849</v>
      </c>
      <c r="G994" s="33">
        <v>913</v>
      </c>
      <c r="H994" s="33">
        <v>0</v>
      </c>
      <c r="I994" s="33">
        <v>2873</v>
      </c>
      <c r="K994" t="b">
        <f>QHPSelections2016[[#This Row],[County Name]]=P994</f>
        <v>1</v>
      </c>
      <c r="L994" t="b">
        <f>QHPSelections2016[[#This Row],[Silver]]=S994</f>
        <v>1</v>
      </c>
      <c r="N994">
        <v>29021</v>
      </c>
      <c r="O994" t="s">
        <v>2965</v>
      </c>
      <c r="P994" t="s">
        <v>2161</v>
      </c>
      <c r="Q994">
        <v>0</v>
      </c>
      <c r="R994">
        <v>111</v>
      </c>
      <c r="S994" s="51">
        <v>1849</v>
      </c>
      <c r="T994">
        <v>913</v>
      </c>
      <c r="U994">
        <v>0</v>
      </c>
      <c r="V994" s="51">
        <v>2873</v>
      </c>
    </row>
    <row r="995" spans="1:22">
      <c r="A995" s="32" t="s">
        <v>2980</v>
      </c>
      <c r="B995" s="32" t="s">
        <v>2965</v>
      </c>
      <c r="C995" s="32" t="s">
        <v>854</v>
      </c>
      <c r="D995" s="33" t="s">
        <v>1639</v>
      </c>
      <c r="E995" s="33">
        <v>75</v>
      </c>
      <c r="F995" s="33">
        <v>1092</v>
      </c>
      <c r="G995" s="33">
        <v>318</v>
      </c>
      <c r="H995" s="33" t="s">
        <v>1639</v>
      </c>
      <c r="I995" s="33">
        <v>1486</v>
      </c>
      <c r="K995" t="b">
        <f>QHPSelections2016[[#This Row],[County Name]]=P995</f>
        <v>1</v>
      </c>
      <c r="L995" t="b">
        <f>QHPSelections2016[[#This Row],[Silver]]=S995</f>
        <v>1</v>
      </c>
      <c r="N995">
        <v>29023</v>
      </c>
      <c r="O995" t="s">
        <v>2965</v>
      </c>
      <c r="P995" t="s">
        <v>854</v>
      </c>
      <c r="R995">
        <v>75</v>
      </c>
      <c r="S995" s="51">
        <v>1092</v>
      </c>
      <c r="T995">
        <v>318</v>
      </c>
      <c r="V995" s="51">
        <v>1486</v>
      </c>
    </row>
    <row r="996" spans="1:22">
      <c r="A996" s="32" t="s">
        <v>2981</v>
      </c>
      <c r="B996" s="32" t="s">
        <v>2965</v>
      </c>
      <c r="C996" s="32" t="s">
        <v>898</v>
      </c>
      <c r="D996" s="33" t="s">
        <v>1639</v>
      </c>
      <c r="E996" s="33" t="s">
        <v>1639</v>
      </c>
      <c r="F996" s="33">
        <v>274</v>
      </c>
      <c r="G996" s="33">
        <v>112</v>
      </c>
      <c r="H996" s="33">
        <v>0</v>
      </c>
      <c r="I996" s="33">
        <v>395</v>
      </c>
      <c r="K996" t="b">
        <f>QHPSelections2016[[#This Row],[County Name]]=P996</f>
        <v>1</v>
      </c>
      <c r="L996" t="b">
        <f>QHPSelections2016[[#This Row],[Silver]]=S996</f>
        <v>1</v>
      </c>
      <c r="N996">
        <v>29025</v>
      </c>
      <c r="O996" t="s">
        <v>2965</v>
      </c>
      <c r="P996" t="s">
        <v>898</v>
      </c>
      <c r="S996">
        <v>274</v>
      </c>
      <c r="T996">
        <v>112</v>
      </c>
      <c r="U996">
        <v>0</v>
      </c>
      <c r="V996">
        <v>395</v>
      </c>
    </row>
    <row r="997" spans="1:22">
      <c r="A997" s="32" t="s">
        <v>2982</v>
      </c>
      <c r="B997" s="32" t="s">
        <v>2965</v>
      </c>
      <c r="C997" s="32" t="s">
        <v>2983</v>
      </c>
      <c r="D997" s="33" t="s">
        <v>1639</v>
      </c>
      <c r="E997" s="33">
        <v>76</v>
      </c>
      <c r="F997" s="33">
        <v>1051</v>
      </c>
      <c r="G997" s="33">
        <v>277</v>
      </c>
      <c r="H997" s="33" t="s">
        <v>1639</v>
      </c>
      <c r="I997" s="33">
        <v>1409</v>
      </c>
      <c r="K997" t="b">
        <f>QHPSelections2016[[#This Row],[County Name]]=P997</f>
        <v>1</v>
      </c>
      <c r="L997" t="b">
        <f>QHPSelections2016[[#This Row],[Silver]]=S997</f>
        <v>1</v>
      </c>
      <c r="N997">
        <v>29027</v>
      </c>
      <c r="O997" t="s">
        <v>2965</v>
      </c>
      <c r="P997" t="s">
        <v>2983</v>
      </c>
      <c r="R997">
        <v>76</v>
      </c>
      <c r="S997" s="51">
        <v>1051</v>
      </c>
      <c r="T997">
        <v>277</v>
      </c>
      <c r="V997" s="51">
        <v>1409</v>
      </c>
    </row>
    <row r="998" spans="1:22">
      <c r="A998" s="32" t="s">
        <v>2984</v>
      </c>
      <c r="B998" s="32" t="s">
        <v>2965</v>
      </c>
      <c r="C998" s="32" t="s">
        <v>904</v>
      </c>
      <c r="D998" s="33" t="s">
        <v>1639</v>
      </c>
      <c r="E998" s="33">
        <v>126</v>
      </c>
      <c r="F998" s="33">
        <v>2122</v>
      </c>
      <c r="G998" s="33">
        <v>640</v>
      </c>
      <c r="H998" s="33" t="s">
        <v>1639</v>
      </c>
      <c r="I998" s="33">
        <v>2890</v>
      </c>
      <c r="K998" t="b">
        <f>QHPSelections2016[[#This Row],[County Name]]=P998</f>
        <v>1</v>
      </c>
      <c r="L998" t="b">
        <f>QHPSelections2016[[#This Row],[Silver]]=S998</f>
        <v>1</v>
      </c>
      <c r="N998">
        <v>29029</v>
      </c>
      <c r="O998" t="s">
        <v>2965</v>
      </c>
      <c r="P998" t="s">
        <v>904</v>
      </c>
      <c r="R998">
        <v>126</v>
      </c>
      <c r="S998" s="51">
        <v>2122</v>
      </c>
      <c r="T998">
        <v>640</v>
      </c>
      <c r="V998" s="51">
        <v>2890</v>
      </c>
    </row>
    <row r="999" spans="1:22">
      <c r="A999" s="32" t="s">
        <v>2985</v>
      </c>
      <c r="B999" s="32" t="s">
        <v>2965</v>
      </c>
      <c r="C999" s="32" t="s">
        <v>2986</v>
      </c>
      <c r="D999" s="33" t="s">
        <v>1639</v>
      </c>
      <c r="E999" s="33">
        <v>173</v>
      </c>
      <c r="F999" s="33">
        <v>1856</v>
      </c>
      <c r="G999" s="33">
        <v>581</v>
      </c>
      <c r="H999" s="33" t="s">
        <v>1639</v>
      </c>
      <c r="I999" s="33">
        <v>2615</v>
      </c>
      <c r="K999" t="b">
        <f>QHPSelections2016[[#This Row],[County Name]]=P999</f>
        <v>1</v>
      </c>
      <c r="L999" t="b">
        <f>QHPSelections2016[[#This Row],[Silver]]=S999</f>
        <v>1</v>
      </c>
      <c r="N999">
        <v>29031</v>
      </c>
      <c r="O999" t="s">
        <v>2965</v>
      </c>
      <c r="P999" t="s">
        <v>2986</v>
      </c>
      <c r="R999">
        <v>173</v>
      </c>
      <c r="S999" s="51">
        <v>1856</v>
      </c>
      <c r="T999">
        <v>581</v>
      </c>
      <c r="V999" s="51">
        <v>2615</v>
      </c>
    </row>
    <row r="1000" spans="1:22">
      <c r="A1000" s="32" t="s">
        <v>2987</v>
      </c>
      <c r="B1000" s="32" t="s">
        <v>2965</v>
      </c>
      <c r="C1000" s="32" t="s">
        <v>862</v>
      </c>
      <c r="D1000" s="33">
        <v>0</v>
      </c>
      <c r="E1000" s="33">
        <v>14</v>
      </c>
      <c r="F1000" s="33">
        <v>361</v>
      </c>
      <c r="G1000" s="33">
        <v>135</v>
      </c>
      <c r="H1000" s="33">
        <v>0</v>
      </c>
      <c r="I1000" s="33">
        <v>510</v>
      </c>
      <c r="K1000" t="b">
        <f>QHPSelections2016[[#This Row],[County Name]]=P1000</f>
        <v>1</v>
      </c>
      <c r="L1000" t="b">
        <f>QHPSelections2016[[#This Row],[Silver]]=S1000</f>
        <v>1</v>
      </c>
      <c r="N1000">
        <v>29033</v>
      </c>
      <c r="O1000" t="s">
        <v>2965</v>
      </c>
      <c r="P1000" t="s">
        <v>862</v>
      </c>
      <c r="Q1000">
        <v>0</v>
      </c>
      <c r="R1000">
        <v>14</v>
      </c>
      <c r="S1000">
        <v>361</v>
      </c>
      <c r="T1000">
        <v>135</v>
      </c>
      <c r="U1000">
        <v>0</v>
      </c>
      <c r="V1000">
        <v>510</v>
      </c>
    </row>
    <row r="1001" spans="1:22">
      <c r="A1001" s="32" t="s">
        <v>2988</v>
      </c>
      <c r="B1001" s="32" t="s">
        <v>2965</v>
      </c>
      <c r="C1001" s="32" t="s">
        <v>877</v>
      </c>
      <c r="D1001" s="33" t="s">
        <v>1639</v>
      </c>
      <c r="E1001" s="33" t="s">
        <v>1639</v>
      </c>
      <c r="F1001" s="33">
        <v>222</v>
      </c>
      <c r="G1001" s="33">
        <v>99</v>
      </c>
      <c r="H1001" s="33">
        <v>0</v>
      </c>
      <c r="I1001" s="33">
        <v>324</v>
      </c>
      <c r="K1001" t="b">
        <f>QHPSelections2016[[#This Row],[County Name]]=P1001</f>
        <v>1</v>
      </c>
      <c r="L1001" t="b">
        <f>QHPSelections2016[[#This Row],[Silver]]=S1001</f>
        <v>1</v>
      </c>
      <c r="N1001">
        <v>29035</v>
      </c>
      <c r="O1001" t="s">
        <v>2965</v>
      </c>
      <c r="P1001" t="s">
        <v>877</v>
      </c>
      <c r="S1001">
        <v>222</v>
      </c>
      <c r="T1001">
        <v>99</v>
      </c>
      <c r="U1001">
        <v>0</v>
      </c>
      <c r="V1001">
        <v>324</v>
      </c>
    </row>
    <row r="1002" spans="1:22">
      <c r="A1002" s="32" t="s">
        <v>2989</v>
      </c>
      <c r="B1002" s="32" t="s">
        <v>2965</v>
      </c>
      <c r="C1002" s="32" t="s">
        <v>1008</v>
      </c>
      <c r="D1002" s="33">
        <v>58</v>
      </c>
      <c r="E1002" s="33">
        <v>251</v>
      </c>
      <c r="F1002" s="33">
        <v>3344</v>
      </c>
      <c r="G1002" s="33">
        <v>988</v>
      </c>
      <c r="H1002" s="33">
        <v>82</v>
      </c>
      <c r="I1002" s="33">
        <v>4723</v>
      </c>
      <c r="K1002" t="b">
        <f>QHPSelections2016[[#This Row],[County Name]]=P1002</f>
        <v>1</v>
      </c>
      <c r="L1002" t="b">
        <f>QHPSelections2016[[#This Row],[Silver]]=S1002</f>
        <v>1</v>
      </c>
      <c r="N1002">
        <v>29037</v>
      </c>
      <c r="O1002" t="s">
        <v>2965</v>
      </c>
      <c r="P1002" t="s">
        <v>1008</v>
      </c>
      <c r="Q1002">
        <v>58</v>
      </c>
      <c r="R1002">
        <v>251</v>
      </c>
      <c r="S1002" s="51">
        <v>3344</v>
      </c>
      <c r="T1002">
        <v>988</v>
      </c>
      <c r="U1002">
        <v>82</v>
      </c>
      <c r="V1002" s="51">
        <v>4723</v>
      </c>
    </row>
    <row r="1003" spans="1:22">
      <c r="A1003" s="32" t="s">
        <v>2990</v>
      </c>
      <c r="B1003" s="32" t="s">
        <v>2965</v>
      </c>
      <c r="C1003" s="32" t="s">
        <v>2169</v>
      </c>
      <c r="D1003" s="33">
        <v>0</v>
      </c>
      <c r="E1003" s="33">
        <v>12</v>
      </c>
      <c r="F1003" s="33">
        <v>436</v>
      </c>
      <c r="G1003" s="33">
        <v>163</v>
      </c>
      <c r="H1003" s="33">
        <v>0</v>
      </c>
      <c r="I1003" s="33">
        <v>611</v>
      </c>
      <c r="K1003" t="b">
        <f>QHPSelections2016[[#This Row],[County Name]]=P1003</f>
        <v>1</v>
      </c>
      <c r="L1003" t="b">
        <f>QHPSelections2016[[#This Row],[Silver]]=S1003</f>
        <v>1</v>
      </c>
      <c r="N1003">
        <v>29039</v>
      </c>
      <c r="O1003" t="s">
        <v>2965</v>
      </c>
      <c r="P1003" t="s">
        <v>2169</v>
      </c>
      <c r="Q1003">
        <v>0</v>
      </c>
      <c r="R1003">
        <v>12</v>
      </c>
      <c r="S1003">
        <v>436</v>
      </c>
      <c r="T1003">
        <v>163</v>
      </c>
      <c r="U1003">
        <v>0</v>
      </c>
      <c r="V1003">
        <v>611</v>
      </c>
    </row>
    <row r="1004" spans="1:22">
      <c r="A1004" s="32" t="s">
        <v>2991</v>
      </c>
      <c r="B1004" s="32" t="s">
        <v>2965</v>
      </c>
      <c r="C1004" s="32" t="s">
        <v>2992</v>
      </c>
      <c r="D1004" s="33">
        <v>0</v>
      </c>
      <c r="E1004" s="33" t="s">
        <v>1639</v>
      </c>
      <c r="F1004" s="33">
        <v>281</v>
      </c>
      <c r="G1004" s="33">
        <v>89</v>
      </c>
      <c r="H1004" s="33" t="s">
        <v>1639</v>
      </c>
      <c r="I1004" s="33">
        <v>382</v>
      </c>
      <c r="K1004" t="b">
        <f>QHPSelections2016[[#This Row],[County Name]]=P1004</f>
        <v>1</v>
      </c>
      <c r="L1004" t="b">
        <f>QHPSelections2016[[#This Row],[Silver]]=S1004</f>
        <v>1</v>
      </c>
      <c r="N1004">
        <v>29041</v>
      </c>
      <c r="O1004" t="s">
        <v>2965</v>
      </c>
      <c r="P1004" t="s">
        <v>2992</v>
      </c>
      <c r="Q1004">
        <v>0</v>
      </c>
      <c r="S1004">
        <v>281</v>
      </c>
      <c r="T1004">
        <v>89</v>
      </c>
      <c r="V1004">
        <v>382</v>
      </c>
    </row>
    <row r="1005" spans="1:22">
      <c r="A1005" s="32" t="s">
        <v>2993</v>
      </c>
      <c r="B1005" s="32" t="s">
        <v>2965</v>
      </c>
      <c r="C1005" s="32" t="s">
        <v>2307</v>
      </c>
      <c r="D1005" s="33" t="s">
        <v>1639</v>
      </c>
      <c r="E1005" s="33">
        <v>132</v>
      </c>
      <c r="F1005" s="33">
        <v>3754</v>
      </c>
      <c r="G1005" s="33">
        <v>1137</v>
      </c>
      <c r="H1005" s="33" t="s">
        <v>1639</v>
      </c>
      <c r="I1005" s="33">
        <v>5028</v>
      </c>
      <c r="K1005" t="b">
        <f>QHPSelections2016[[#This Row],[County Name]]=P1005</f>
        <v>1</v>
      </c>
      <c r="L1005" t="b">
        <f>QHPSelections2016[[#This Row],[Silver]]=S1005</f>
        <v>1</v>
      </c>
      <c r="N1005">
        <v>29043</v>
      </c>
      <c r="O1005" t="s">
        <v>2965</v>
      </c>
      <c r="P1005" t="s">
        <v>2307</v>
      </c>
      <c r="R1005">
        <v>132</v>
      </c>
      <c r="S1005" s="51">
        <v>3754</v>
      </c>
      <c r="T1005" s="51">
        <v>1137</v>
      </c>
      <c r="V1005" s="51">
        <v>5028</v>
      </c>
    </row>
    <row r="1006" spans="1:22">
      <c r="A1006" s="32" t="s">
        <v>2994</v>
      </c>
      <c r="B1006" s="32" t="s">
        <v>2965</v>
      </c>
      <c r="C1006" s="32" t="s">
        <v>1777</v>
      </c>
      <c r="D1006" s="33" t="s">
        <v>1639</v>
      </c>
      <c r="E1006" s="33" t="s">
        <v>1639</v>
      </c>
      <c r="F1006" s="33">
        <v>225</v>
      </c>
      <c r="G1006" s="33">
        <v>87</v>
      </c>
      <c r="H1006" s="33">
        <v>0</v>
      </c>
      <c r="I1006" s="33">
        <v>314</v>
      </c>
      <c r="K1006" t="b">
        <f>QHPSelections2016[[#This Row],[County Name]]=P1006</f>
        <v>1</v>
      </c>
      <c r="L1006" t="b">
        <f>QHPSelections2016[[#This Row],[Silver]]=S1006</f>
        <v>1</v>
      </c>
      <c r="N1006">
        <v>29045</v>
      </c>
      <c r="O1006" t="s">
        <v>2965</v>
      </c>
      <c r="P1006" t="s">
        <v>1777</v>
      </c>
      <c r="S1006">
        <v>225</v>
      </c>
      <c r="T1006">
        <v>87</v>
      </c>
      <c r="U1006">
        <v>0</v>
      </c>
      <c r="V1006">
        <v>314</v>
      </c>
    </row>
    <row r="1007" spans="1:22">
      <c r="A1007" s="32" t="s">
        <v>2995</v>
      </c>
      <c r="B1007" s="32" t="s">
        <v>2965</v>
      </c>
      <c r="C1007" s="32" t="s">
        <v>873</v>
      </c>
      <c r="D1007" s="33">
        <v>137</v>
      </c>
      <c r="E1007" s="33">
        <v>460</v>
      </c>
      <c r="F1007" s="33">
        <v>6664</v>
      </c>
      <c r="G1007" s="33">
        <v>2698</v>
      </c>
      <c r="H1007" s="33">
        <v>156</v>
      </c>
      <c r="I1007" s="33">
        <v>10115</v>
      </c>
      <c r="K1007" t="b">
        <f>QHPSelections2016[[#This Row],[County Name]]=P1007</f>
        <v>1</v>
      </c>
      <c r="L1007" t="b">
        <f>QHPSelections2016[[#This Row],[Silver]]=S1007</f>
        <v>1</v>
      </c>
      <c r="N1007">
        <v>29047</v>
      </c>
      <c r="O1007" t="s">
        <v>2965</v>
      </c>
      <c r="P1007" t="s">
        <v>873</v>
      </c>
      <c r="Q1007">
        <v>137</v>
      </c>
      <c r="R1007">
        <v>460</v>
      </c>
      <c r="S1007" s="51">
        <v>6664</v>
      </c>
      <c r="T1007" s="51">
        <v>2698</v>
      </c>
      <c r="U1007">
        <v>156</v>
      </c>
      <c r="V1007" s="51">
        <v>10115</v>
      </c>
    </row>
    <row r="1008" spans="1:22">
      <c r="A1008" s="32" t="s">
        <v>2996</v>
      </c>
      <c r="B1008" s="32" t="s">
        <v>2965</v>
      </c>
      <c r="C1008" s="32" t="s">
        <v>2178</v>
      </c>
      <c r="D1008" s="33">
        <v>0</v>
      </c>
      <c r="E1008" s="33">
        <v>40</v>
      </c>
      <c r="F1008" s="33">
        <v>563</v>
      </c>
      <c r="G1008" s="33">
        <v>247</v>
      </c>
      <c r="H1008" s="33">
        <v>0</v>
      </c>
      <c r="I1008" s="33">
        <v>850</v>
      </c>
      <c r="K1008" t="b">
        <f>QHPSelections2016[[#This Row],[County Name]]=P1008</f>
        <v>1</v>
      </c>
      <c r="L1008" t="b">
        <f>QHPSelections2016[[#This Row],[Silver]]=S1008</f>
        <v>1</v>
      </c>
      <c r="N1008">
        <v>29049</v>
      </c>
      <c r="O1008" t="s">
        <v>2965</v>
      </c>
      <c r="P1008" t="s">
        <v>2178</v>
      </c>
      <c r="Q1008">
        <v>0</v>
      </c>
      <c r="R1008">
        <v>40</v>
      </c>
      <c r="S1008">
        <v>563</v>
      </c>
      <c r="T1008">
        <v>247</v>
      </c>
      <c r="U1008">
        <v>0</v>
      </c>
      <c r="V1008">
        <v>850</v>
      </c>
    </row>
    <row r="1009" spans="1:22">
      <c r="A1009" s="32" t="s">
        <v>2997</v>
      </c>
      <c r="B1009" s="32" t="s">
        <v>2965</v>
      </c>
      <c r="C1009" s="32" t="s">
        <v>2998</v>
      </c>
      <c r="D1009" s="33" t="s">
        <v>1639</v>
      </c>
      <c r="E1009" s="33">
        <v>124</v>
      </c>
      <c r="F1009" s="33">
        <v>1857</v>
      </c>
      <c r="G1009" s="33">
        <v>424</v>
      </c>
      <c r="H1009" s="33" t="s">
        <v>1639</v>
      </c>
      <c r="I1009" s="33">
        <v>2409</v>
      </c>
      <c r="K1009" t="b">
        <f>QHPSelections2016[[#This Row],[County Name]]=P1009</f>
        <v>1</v>
      </c>
      <c r="L1009" t="b">
        <f>QHPSelections2016[[#This Row],[Silver]]=S1009</f>
        <v>1</v>
      </c>
      <c r="N1009">
        <v>29051</v>
      </c>
      <c r="O1009" t="s">
        <v>2965</v>
      </c>
      <c r="P1009" t="s">
        <v>2998</v>
      </c>
      <c r="R1009">
        <v>124</v>
      </c>
      <c r="S1009" s="51">
        <v>1857</v>
      </c>
      <c r="T1009">
        <v>424</v>
      </c>
      <c r="V1009" s="51">
        <v>2409</v>
      </c>
    </row>
    <row r="1010" spans="1:22">
      <c r="A1010" s="32" t="s">
        <v>2999</v>
      </c>
      <c r="B1010" s="32" t="s">
        <v>2965</v>
      </c>
      <c r="C1010" s="32" t="s">
        <v>3000</v>
      </c>
      <c r="D1010" s="33" t="s">
        <v>1639</v>
      </c>
      <c r="E1010" s="33">
        <v>64</v>
      </c>
      <c r="F1010" s="33">
        <v>612</v>
      </c>
      <c r="G1010" s="33">
        <v>171</v>
      </c>
      <c r="H1010" s="33" t="s">
        <v>1639</v>
      </c>
      <c r="I1010" s="33">
        <v>849</v>
      </c>
      <c r="K1010" t="b">
        <f>QHPSelections2016[[#This Row],[County Name]]=P1010</f>
        <v>1</v>
      </c>
      <c r="L1010" t="b">
        <f>QHPSelections2016[[#This Row],[Silver]]=S1010</f>
        <v>1</v>
      </c>
      <c r="N1010">
        <v>29053</v>
      </c>
      <c r="O1010" t="s">
        <v>2965</v>
      </c>
      <c r="P1010" t="s">
        <v>3000</v>
      </c>
      <c r="R1010">
        <v>64</v>
      </c>
      <c r="S1010">
        <v>612</v>
      </c>
      <c r="T1010">
        <v>171</v>
      </c>
      <c r="V1010">
        <v>849</v>
      </c>
    </row>
    <row r="1011" spans="1:22">
      <c r="A1011" s="32" t="s">
        <v>3001</v>
      </c>
      <c r="B1011" s="32" t="s">
        <v>2965</v>
      </c>
      <c r="C1011" s="32" t="s">
        <v>1030</v>
      </c>
      <c r="D1011" s="33" t="s">
        <v>1639</v>
      </c>
      <c r="E1011" s="33">
        <v>25</v>
      </c>
      <c r="F1011" s="33">
        <v>785</v>
      </c>
      <c r="G1011" s="33">
        <v>183</v>
      </c>
      <c r="H1011" s="33" t="s">
        <v>1639</v>
      </c>
      <c r="I1011" s="33">
        <v>997</v>
      </c>
      <c r="K1011" t="b">
        <f>QHPSelections2016[[#This Row],[County Name]]=P1011</f>
        <v>1</v>
      </c>
      <c r="L1011" t="b">
        <f>QHPSelections2016[[#This Row],[Silver]]=S1011</f>
        <v>1</v>
      </c>
      <c r="N1011">
        <v>29055</v>
      </c>
      <c r="O1011" t="s">
        <v>2965</v>
      </c>
      <c r="P1011" t="s">
        <v>1030</v>
      </c>
      <c r="R1011">
        <v>25</v>
      </c>
      <c r="S1011">
        <v>785</v>
      </c>
      <c r="T1011">
        <v>183</v>
      </c>
      <c r="V1011">
        <v>997</v>
      </c>
    </row>
    <row r="1012" spans="1:22">
      <c r="A1012" s="32" t="s">
        <v>3002</v>
      </c>
      <c r="B1012" s="32" t="s">
        <v>2965</v>
      </c>
      <c r="C1012" s="32" t="s">
        <v>1039</v>
      </c>
      <c r="D1012" s="33" t="s">
        <v>1639</v>
      </c>
      <c r="E1012" s="33">
        <v>17</v>
      </c>
      <c r="F1012" s="33">
        <v>314</v>
      </c>
      <c r="G1012" s="33">
        <v>116</v>
      </c>
      <c r="H1012" s="33" t="s">
        <v>1639</v>
      </c>
      <c r="I1012" s="33">
        <v>448</v>
      </c>
      <c r="K1012" t="b">
        <f>QHPSelections2016[[#This Row],[County Name]]=P1012</f>
        <v>1</v>
      </c>
      <c r="L1012" t="b">
        <f>QHPSelections2016[[#This Row],[Silver]]=S1012</f>
        <v>1</v>
      </c>
      <c r="N1012">
        <v>29057</v>
      </c>
      <c r="O1012" t="s">
        <v>2965</v>
      </c>
      <c r="P1012" t="s">
        <v>1039</v>
      </c>
      <c r="R1012">
        <v>17</v>
      </c>
      <c r="S1012">
        <v>314</v>
      </c>
      <c r="T1012">
        <v>116</v>
      </c>
      <c r="V1012">
        <v>448</v>
      </c>
    </row>
    <row r="1013" spans="1:22">
      <c r="A1013" s="32" t="s">
        <v>3003</v>
      </c>
      <c r="B1013" s="32" t="s">
        <v>2965</v>
      </c>
      <c r="C1013" s="32" t="s">
        <v>953</v>
      </c>
      <c r="D1013" s="33">
        <v>0</v>
      </c>
      <c r="E1013" s="33">
        <v>36</v>
      </c>
      <c r="F1013" s="33">
        <v>742</v>
      </c>
      <c r="G1013" s="33">
        <v>200</v>
      </c>
      <c r="H1013" s="33">
        <v>0</v>
      </c>
      <c r="I1013" s="33">
        <v>978</v>
      </c>
      <c r="K1013" t="b">
        <f>QHPSelections2016[[#This Row],[County Name]]=P1013</f>
        <v>1</v>
      </c>
      <c r="L1013" t="b">
        <f>QHPSelections2016[[#This Row],[Silver]]=S1013</f>
        <v>1</v>
      </c>
      <c r="N1013">
        <v>29059</v>
      </c>
      <c r="O1013" t="s">
        <v>2965</v>
      </c>
      <c r="P1013" t="s">
        <v>953</v>
      </c>
      <c r="Q1013">
        <v>0</v>
      </c>
      <c r="R1013">
        <v>36</v>
      </c>
      <c r="S1013">
        <v>742</v>
      </c>
      <c r="T1013">
        <v>200</v>
      </c>
      <c r="U1013">
        <v>0</v>
      </c>
      <c r="V1013">
        <v>978</v>
      </c>
    </row>
    <row r="1014" spans="1:22">
      <c r="A1014" s="32" t="s">
        <v>3004</v>
      </c>
      <c r="B1014" s="32" t="s">
        <v>2965</v>
      </c>
      <c r="C1014" s="32" t="s">
        <v>2452</v>
      </c>
      <c r="D1014" s="33">
        <v>0</v>
      </c>
      <c r="E1014" s="33">
        <v>13</v>
      </c>
      <c r="F1014" s="33">
        <v>230</v>
      </c>
      <c r="G1014" s="33">
        <v>97</v>
      </c>
      <c r="H1014" s="33">
        <v>0</v>
      </c>
      <c r="I1014" s="33">
        <v>340</v>
      </c>
      <c r="K1014" t="b">
        <f>QHPSelections2016[[#This Row],[County Name]]=P1014</f>
        <v>1</v>
      </c>
      <c r="L1014" t="b">
        <f>QHPSelections2016[[#This Row],[Silver]]=S1014</f>
        <v>1</v>
      </c>
      <c r="N1014">
        <v>29061</v>
      </c>
      <c r="O1014" t="s">
        <v>2965</v>
      </c>
      <c r="P1014" t="s">
        <v>2452</v>
      </c>
      <c r="Q1014">
        <v>0</v>
      </c>
      <c r="R1014">
        <v>13</v>
      </c>
      <c r="S1014">
        <v>230</v>
      </c>
      <c r="T1014">
        <v>97</v>
      </c>
      <c r="U1014">
        <v>0</v>
      </c>
      <c r="V1014">
        <v>340</v>
      </c>
    </row>
    <row r="1015" spans="1:22">
      <c r="A1015" s="32" t="s">
        <v>3005</v>
      </c>
      <c r="B1015" s="32" t="s">
        <v>2965</v>
      </c>
      <c r="C1015" s="32" t="s">
        <v>939</v>
      </c>
      <c r="D1015" s="33">
        <v>0</v>
      </c>
      <c r="E1015" s="33">
        <v>15</v>
      </c>
      <c r="F1015" s="33">
        <v>366</v>
      </c>
      <c r="G1015" s="33">
        <v>109</v>
      </c>
      <c r="H1015" s="33">
        <v>0</v>
      </c>
      <c r="I1015" s="33">
        <v>490</v>
      </c>
      <c r="K1015" t="b">
        <f>QHPSelections2016[[#This Row],[County Name]]=P1015</f>
        <v>1</v>
      </c>
      <c r="L1015" t="b">
        <f>QHPSelections2016[[#This Row],[Silver]]=S1015</f>
        <v>1</v>
      </c>
      <c r="N1015">
        <v>29063</v>
      </c>
      <c r="O1015" t="s">
        <v>2965</v>
      </c>
      <c r="P1015" t="s">
        <v>939</v>
      </c>
      <c r="Q1015">
        <v>0</v>
      </c>
      <c r="R1015">
        <v>15</v>
      </c>
      <c r="S1015">
        <v>366</v>
      </c>
      <c r="T1015">
        <v>109</v>
      </c>
      <c r="U1015">
        <v>0</v>
      </c>
      <c r="V1015">
        <v>490</v>
      </c>
    </row>
    <row r="1016" spans="1:22">
      <c r="A1016" s="32" t="s">
        <v>3006</v>
      </c>
      <c r="B1016" s="32" t="s">
        <v>2965</v>
      </c>
      <c r="C1016" s="32" t="s">
        <v>3007</v>
      </c>
      <c r="D1016" s="33">
        <v>0</v>
      </c>
      <c r="E1016" s="33" t="s">
        <v>1639</v>
      </c>
      <c r="F1016" s="33">
        <v>465</v>
      </c>
      <c r="G1016" s="33">
        <v>142</v>
      </c>
      <c r="H1016" s="33" t="s">
        <v>1639</v>
      </c>
      <c r="I1016" s="33">
        <v>619</v>
      </c>
      <c r="K1016" t="b">
        <f>QHPSelections2016[[#This Row],[County Name]]=P1016</f>
        <v>1</v>
      </c>
      <c r="L1016" t="b">
        <f>QHPSelections2016[[#This Row],[Silver]]=S1016</f>
        <v>1</v>
      </c>
      <c r="N1016">
        <v>29065</v>
      </c>
      <c r="O1016" t="s">
        <v>2965</v>
      </c>
      <c r="P1016" t="s">
        <v>3007</v>
      </c>
      <c r="Q1016">
        <v>0</v>
      </c>
      <c r="S1016">
        <v>465</v>
      </c>
      <c r="T1016">
        <v>142</v>
      </c>
      <c r="V1016">
        <v>619</v>
      </c>
    </row>
    <row r="1017" spans="1:22">
      <c r="A1017" s="32" t="s">
        <v>3008</v>
      </c>
      <c r="B1017" s="32" t="s">
        <v>2965</v>
      </c>
      <c r="C1017" s="32" t="s">
        <v>1073</v>
      </c>
      <c r="D1017" s="33" t="s">
        <v>1639</v>
      </c>
      <c r="E1017" s="33">
        <v>15</v>
      </c>
      <c r="F1017" s="33">
        <v>713</v>
      </c>
      <c r="G1017" s="33">
        <v>188</v>
      </c>
      <c r="H1017" s="33" t="s">
        <v>1639</v>
      </c>
      <c r="I1017" s="33">
        <v>919</v>
      </c>
      <c r="K1017" t="b">
        <f>QHPSelections2016[[#This Row],[County Name]]=P1017</f>
        <v>1</v>
      </c>
      <c r="L1017" t="b">
        <f>QHPSelections2016[[#This Row],[Silver]]=S1017</f>
        <v>1</v>
      </c>
      <c r="N1017">
        <v>29067</v>
      </c>
      <c r="O1017" t="s">
        <v>2965</v>
      </c>
      <c r="P1017" t="s">
        <v>1073</v>
      </c>
      <c r="R1017">
        <v>15</v>
      </c>
      <c r="S1017">
        <v>713</v>
      </c>
      <c r="T1017">
        <v>188</v>
      </c>
      <c r="V1017">
        <v>919</v>
      </c>
    </row>
    <row r="1018" spans="1:22">
      <c r="A1018" s="32" t="s">
        <v>3009</v>
      </c>
      <c r="B1018" s="32" t="s">
        <v>2965</v>
      </c>
      <c r="C1018" s="32" t="s">
        <v>3010</v>
      </c>
      <c r="D1018" s="33" t="s">
        <v>1639</v>
      </c>
      <c r="E1018" s="33">
        <v>39</v>
      </c>
      <c r="F1018" s="33">
        <v>773</v>
      </c>
      <c r="G1018" s="33">
        <v>242</v>
      </c>
      <c r="H1018" s="33" t="s">
        <v>1639</v>
      </c>
      <c r="I1018" s="33">
        <v>1057</v>
      </c>
      <c r="K1018" t="b">
        <f>QHPSelections2016[[#This Row],[County Name]]=P1018</f>
        <v>1</v>
      </c>
      <c r="L1018" t="b">
        <f>QHPSelections2016[[#This Row],[Silver]]=S1018</f>
        <v>1</v>
      </c>
      <c r="N1018">
        <v>29069</v>
      </c>
      <c r="O1018" t="s">
        <v>2965</v>
      </c>
      <c r="P1018" t="s">
        <v>3010</v>
      </c>
      <c r="R1018">
        <v>39</v>
      </c>
      <c r="S1018">
        <v>773</v>
      </c>
      <c r="T1018">
        <v>242</v>
      </c>
      <c r="V1018" s="51">
        <v>1057</v>
      </c>
    </row>
    <row r="1019" spans="1:22">
      <c r="A1019" s="32" t="s">
        <v>3011</v>
      </c>
      <c r="B1019" s="32" t="s">
        <v>2965</v>
      </c>
      <c r="C1019" s="32" t="s">
        <v>919</v>
      </c>
      <c r="D1019" s="33" t="s">
        <v>1639</v>
      </c>
      <c r="E1019" s="33">
        <v>292</v>
      </c>
      <c r="F1019" s="33">
        <v>3275</v>
      </c>
      <c r="G1019" s="33">
        <v>1207</v>
      </c>
      <c r="H1019" s="33" t="s">
        <v>1639</v>
      </c>
      <c r="I1019" s="33">
        <v>4778</v>
      </c>
      <c r="K1019" t="b">
        <f>QHPSelections2016[[#This Row],[County Name]]=P1019</f>
        <v>1</v>
      </c>
      <c r="L1019" t="b">
        <f>QHPSelections2016[[#This Row],[Silver]]=S1019</f>
        <v>1</v>
      </c>
      <c r="N1019">
        <v>29071</v>
      </c>
      <c r="O1019" t="s">
        <v>2965</v>
      </c>
      <c r="P1019" t="s">
        <v>919</v>
      </c>
      <c r="R1019">
        <v>292</v>
      </c>
      <c r="S1019" s="51">
        <v>3275</v>
      </c>
      <c r="T1019" s="51">
        <v>1207</v>
      </c>
      <c r="V1019" s="51">
        <v>4778</v>
      </c>
    </row>
    <row r="1020" spans="1:22">
      <c r="A1020" s="32" t="s">
        <v>3012</v>
      </c>
      <c r="B1020" s="32" t="s">
        <v>2965</v>
      </c>
      <c r="C1020" s="32" t="s">
        <v>3013</v>
      </c>
      <c r="D1020" s="33">
        <v>0</v>
      </c>
      <c r="E1020" s="33">
        <v>44</v>
      </c>
      <c r="F1020" s="33">
        <v>616</v>
      </c>
      <c r="G1020" s="33">
        <v>108</v>
      </c>
      <c r="H1020" s="33">
        <v>0</v>
      </c>
      <c r="I1020" s="33">
        <v>768</v>
      </c>
      <c r="K1020" t="b">
        <f>QHPSelections2016[[#This Row],[County Name]]=P1020</f>
        <v>1</v>
      </c>
      <c r="L1020" t="b">
        <f>QHPSelections2016[[#This Row],[Silver]]=S1020</f>
        <v>1</v>
      </c>
      <c r="N1020">
        <v>29073</v>
      </c>
      <c r="O1020" t="s">
        <v>2965</v>
      </c>
      <c r="P1020" t="s">
        <v>3013</v>
      </c>
      <c r="Q1020">
        <v>0</v>
      </c>
      <c r="R1020">
        <v>44</v>
      </c>
      <c r="S1020">
        <v>616</v>
      </c>
      <c r="T1020">
        <v>108</v>
      </c>
      <c r="U1020">
        <v>0</v>
      </c>
      <c r="V1020">
        <v>768</v>
      </c>
    </row>
    <row r="1021" spans="1:22">
      <c r="A1021" s="32" t="s">
        <v>3014</v>
      </c>
      <c r="B1021" s="32" t="s">
        <v>2965</v>
      </c>
      <c r="C1021" s="32" t="s">
        <v>3015</v>
      </c>
      <c r="D1021" s="33" t="s">
        <v>1639</v>
      </c>
      <c r="E1021" s="33" t="s">
        <v>1639</v>
      </c>
      <c r="F1021" s="33">
        <v>289</v>
      </c>
      <c r="G1021" s="33">
        <v>100</v>
      </c>
      <c r="H1021" s="33">
        <v>0</v>
      </c>
      <c r="I1021" s="33">
        <v>399</v>
      </c>
      <c r="K1021" t="b">
        <f>QHPSelections2016[[#This Row],[County Name]]=P1021</f>
        <v>1</v>
      </c>
      <c r="L1021" t="b">
        <f>QHPSelections2016[[#This Row],[Silver]]=S1021</f>
        <v>1</v>
      </c>
      <c r="N1021">
        <v>29075</v>
      </c>
      <c r="O1021" t="s">
        <v>2965</v>
      </c>
      <c r="P1021" t="s">
        <v>3015</v>
      </c>
      <c r="S1021">
        <v>289</v>
      </c>
      <c r="T1021">
        <v>100</v>
      </c>
      <c r="U1021">
        <v>0</v>
      </c>
      <c r="V1021">
        <v>399</v>
      </c>
    </row>
    <row r="1022" spans="1:22">
      <c r="A1022" s="32" t="s">
        <v>3016</v>
      </c>
      <c r="B1022" s="32" t="s">
        <v>2965</v>
      </c>
      <c r="C1022" s="32" t="s">
        <v>937</v>
      </c>
      <c r="D1022" s="33">
        <v>129</v>
      </c>
      <c r="E1022" s="33">
        <v>403</v>
      </c>
      <c r="F1022" s="33">
        <v>12003</v>
      </c>
      <c r="G1022" s="33">
        <v>3653</v>
      </c>
      <c r="H1022" s="33">
        <v>227</v>
      </c>
      <c r="I1022" s="33">
        <v>16415</v>
      </c>
      <c r="K1022" t="b">
        <f>QHPSelections2016[[#This Row],[County Name]]=P1022</f>
        <v>1</v>
      </c>
      <c r="L1022" t="b">
        <f>QHPSelections2016[[#This Row],[Silver]]=S1022</f>
        <v>1</v>
      </c>
      <c r="N1022">
        <v>29077</v>
      </c>
      <c r="O1022" t="s">
        <v>2965</v>
      </c>
      <c r="P1022" t="s">
        <v>937</v>
      </c>
      <c r="Q1022">
        <v>129</v>
      </c>
      <c r="R1022">
        <v>403</v>
      </c>
      <c r="S1022" s="51">
        <v>12003</v>
      </c>
      <c r="T1022" s="51">
        <v>3653</v>
      </c>
      <c r="U1022">
        <v>227</v>
      </c>
      <c r="V1022" s="51">
        <v>16415</v>
      </c>
    </row>
    <row r="1023" spans="1:22">
      <c r="A1023" s="32" t="s">
        <v>3017</v>
      </c>
      <c r="B1023" s="32" t="s">
        <v>2965</v>
      </c>
      <c r="C1023" s="32" t="s">
        <v>991</v>
      </c>
      <c r="D1023" s="33">
        <v>0</v>
      </c>
      <c r="E1023" s="33">
        <v>11</v>
      </c>
      <c r="F1023" s="33">
        <v>182</v>
      </c>
      <c r="G1023" s="33">
        <v>113</v>
      </c>
      <c r="H1023" s="33">
        <v>0</v>
      </c>
      <c r="I1023" s="33">
        <v>306</v>
      </c>
      <c r="K1023" t="b">
        <f>QHPSelections2016[[#This Row],[County Name]]=P1023</f>
        <v>1</v>
      </c>
      <c r="L1023" t="b">
        <f>QHPSelections2016[[#This Row],[Silver]]=S1023</f>
        <v>1</v>
      </c>
      <c r="N1023">
        <v>29079</v>
      </c>
      <c r="O1023" t="s">
        <v>2965</v>
      </c>
      <c r="P1023" t="s">
        <v>991</v>
      </c>
      <c r="Q1023">
        <v>0</v>
      </c>
      <c r="R1023">
        <v>11</v>
      </c>
      <c r="S1023">
        <v>182</v>
      </c>
      <c r="T1023">
        <v>113</v>
      </c>
      <c r="U1023">
        <v>0</v>
      </c>
      <c r="V1023">
        <v>306</v>
      </c>
    </row>
    <row r="1024" spans="1:22">
      <c r="A1024" s="32" t="s">
        <v>3018</v>
      </c>
      <c r="B1024" s="32" t="s">
        <v>2965</v>
      </c>
      <c r="C1024" s="32" t="s">
        <v>956</v>
      </c>
      <c r="D1024" s="33" t="s">
        <v>1639</v>
      </c>
      <c r="E1024" s="33" t="s">
        <v>1639</v>
      </c>
      <c r="F1024" s="33">
        <v>292</v>
      </c>
      <c r="G1024" s="33">
        <v>79</v>
      </c>
      <c r="H1024" s="33">
        <v>0</v>
      </c>
      <c r="I1024" s="33">
        <v>379</v>
      </c>
      <c r="K1024" t="b">
        <f>QHPSelections2016[[#This Row],[County Name]]=P1024</f>
        <v>1</v>
      </c>
      <c r="L1024" t="b">
        <f>QHPSelections2016[[#This Row],[Silver]]=S1024</f>
        <v>1</v>
      </c>
      <c r="N1024">
        <v>29081</v>
      </c>
      <c r="O1024" t="s">
        <v>2965</v>
      </c>
      <c r="P1024" t="s">
        <v>956</v>
      </c>
      <c r="S1024">
        <v>292</v>
      </c>
      <c r="T1024">
        <v>79</v>
      </c>
      <c r="U1024">
        <v>0</v>
      </c>
      <c r="V1024">
        <v>379</v>
      </c>
    </row>
    <row r="1025" spans="1:22">
      <c r="A1025" s="32" t="s">
        <v>3019</v>
      </c>
      <c r="B1025" s="32" t="s">
        <v>2965</v>
      </c>
      <c r="C1025" s="32" t="s">
        <v>1004</v>
      </c>
      <c r="D1025" s="33">
        <v>0</v>
      </c>
      <c r="E1025" s="33">
        <v>36</v>
      </c>
      <c r="F1025" s="33">
        <v>696</v>
      </c>
      <c r="G1025" s="33">
        <v>269</v>
      </c>
      <c r="H1025" s="33">
        <v>0</v>
      </c>
      <c r="I1025" s="33">
        <v>1001</v>
      </c>
      <c r="K1025" t="b">
        <f>QHPSelections2016[[#This Row],[County Name]]=P1025</f>
        <v>1</v>
      </c>
      <c r="L1025" t="b">
        <f>QHPSelections2016[[#This Row],[Silver]]=S1025</f>
        <v>1</v>
      </c>
      <c r="N1025">
        <v>29083</v>
      </c>
      <c r="O1025" t="s">
        <v>2965</v>
      </c>
      <c r="P1025" t="s">
        <v>1004</v>
      </c>
      <c r="Q1025">
        <v>0</v>
      </c>
      <c r="R1025">
        <v>36</v>
      </c>
      <c r="S1025">
        <v>696</v>
      </c>
      <c r="T1025">
        <v>269</v>
      </c>
      <c r="U1025">
        <v>0</v>
      </c>
      <c r="V1025" s="51">
        <v>1001</v>
      </c>
    </row>
    <row r="1026" spans="1:22">
      <c r="A1026" s="32" t="s">
        <v>3020</v>
      </c>
      <c r="B1026" s="32" t="s">
        <v>2965</v>
      </c>
      <c r="C1026" s="32" t="s">
        <v>3021</v>
      </c>
      <c r="D1026" s="33" t="s">
        <v>1639</v>
      </c>
      <c r="E1026" s="33">
        <v>13</v>
      </c>
      <c r="F1026" s="33">
        <v>419</v>
      </c>
      <c r="G1026" s="33">
        <v>135</v>
      </c>
      <c r="H1026" s="33" t="s">
        <v>1639</v>
      </c>
      <c r="I1026" s="33">
        <v>569</v>
      </c>
      <c r="K1026" t="b">
        <f>QHPSelections2016[[#This Row],[County Name]]=P1026</f>
        <v>1</v>
      </c>
      <c r="L1026" t="b">
        <f>QHPSelections2016[[#This Row],[Silver]]=S1026</f>
        <v>1</v>
      </c>
      <c r="N1026">
        <v>29085</v>
      </c>
      <c r="O1026" t="s">
        <v>2965</v>
      </c>
      <c r="P1026" t="s">
        <v>3021</v>
      </c>
      <c r="R1026">
        <v>13</v>
      </c>
      <c r="S1026">
        <v>419</v>
      </c>
      <c r="T1026">
        <v>135</v>
      </c>
      <c r="V1026">
        <v>569</v>
      </c>
    </row>
    <row r="1027" spans="1:22">
      <c r="A1027" s="32" t="s">
        <v>3022</v>
      </c>
      <c r="B1027" s="32" t="s">
        <v>2965</v>
      </c>
      <c r="C1027" s="32" t="s">
        <v>3023</v>
      </c>
      <c r="D1027" s="33" t="s">
        <v>1639</v>
      </c>
      <c r="E1027" s="33" t="s">
        <v>1639</v>
      </c>
      <c r="F1027" s="33">
        <v>187</v>
      </c>
      <c r="G1027" s="33">
        <v>53</v>
      </c>
      <c r="H1027" s="33">
        <v>0</v>
      </c>
      <c r="I1027" s="33">
        <v>244</v>
      </c>
      <c r="K1027" t="b">
        <f>QHPSelections2016[[#This Row],[County Name]]=P1027</f>
        <v>1</v>
      </c>
      <c r="L1027" t="b">
        <f>QHPSelections2016[[#This Row],[Silver]]=S1027</f>
        <v>1</v>
      </c>
      <c r="N1027">
        <v>29087</v>
      </c>
      <c r="O1027" t="s">
        <v>2965</v>
      </c>
      <c r="P1027" t="s">
        <v>3023</v>
      </c>
      <c r="S1027">
        <v>187</v>
      </c>
      <c r="T1027">
        <v>53</v>
      </c>
      <c r="U1027">
        <v>0</v>
      </c>
      <c r="V1027">
        <v>244</v>
      </c>
    </row>
    <row r="1028" spans="1:22">
      <c r="A1028" s="32" t="s">
        <v>3024</v>
      </c>
      <c r="B1028" s="32" t="s">
        <v>2965</v>
      </c>
      <c r="C1028" s="32" t="s">
        <v>1288</v>
      </c>
      <c r="D1028" s="33" t="s">
        <v>1639</v>
      </c>
      <c r="E1028" s="33">
        <v>33</v>
      </c>
      <c r="F1028" s="33">
        <v>332</v>
      </c>
      <c r="G1028" s="33">
        <v>121</v>
      </c>
      <c r="H1028" s="33" t="s">
        <v>1639</v>
      </c>
      <c r="I1028" s="33">
        <v>487</v>
      </c>
      <c r="K1028" t="b">
        <f>QHPSelections2016[[#This Row],[County Name]]=P1028</f>
        <v>1</v>
      </c>
      <c r="L1028" t="b">
        <f>QHPSelections2016[[#This Row],[Silver]]=S1028</f>
        <v>1</v>
      </c>
      <c r="N1028">
        <v>29089</v>
      </c>
      <c r="O1028" t="s">
        <v>2965</v>
      </c>
      <c r="P1028" t="s">
        <v>1288</v>
      </c>
      <c r="R1028">
        <v>33</v>
      </c>
      <c r="S1028">
        <v>332</v>
      </c>
      <c r="T1028">
        <v>121</v>
      </c>
      <c r="V1028">
        <v>487</v>
      </c>
    </row>
    <row r="1029" spans="1:22">
      <c r="A1029" s="32" t="s">
        <v>3025</v>
      </c>
      <c r="B1029" s="32" t="s">
        <v>2965</v>
      </c>
      <c r="C1029" s="32" t="s">
        <v>3026</v>
      </c>
      <c r="D1029" s="33" t="s">
        <v>1639</v>
      </c>
      <c r="E1029" s="33">
        <v>34</v>
      </c>
      <c r="F1029" s="33">
        <v>1640</v>
      </c>
      <c r="G1029" s="33">
        <v>440</v>
      </c>
      <c r="H1029" s="33" t="s">
        <v>1639</v>
      </c>
      <c r="I1029" s="33">
        <v>2121</v>
      </c>
      <c r="K1029" t="b">
        <f>QHPSelections2016[[#This Row],[County Name]]=P1029</f>
        <v>1</v>
      </c>
      <c r="L1029" t="b">
        <f>QHPSelections2016[[#This Row],[Silver]]=S1029</f>
        <v>1</v>
      </c>
      <c r="N1029">
        <v>29091</v>
      </c>
      <c r="O1029" t="s">
        <v>2965</v>
      </c>
      <c r="P1029" t="s">
        <v>3026</v>
      </c>
      <c r="R1029">
        <v>34</v>
      </c>
      <c r="S1029" s="51">
        <v>1640</v>
      </c>
      <c r="T1029">
        <v>440</v>
      </c>
      <c r="V1029" s="51">
        <v>2121</v>
      </c>
    </row>
    <row r="1030" spans="1:22">
      <c r="A1030" s="32" t="s">
        <v>3027</v>
      </c>
      <c r="B1030" s="32" t="s">
        <v>2965</v>
      </c>
      <c r="C1030" s="32" t="s">
        <v>2882</v>
      </c>
      <c r="D1030" s="33">
        <v>0</v>
      </c>
      <c r="E1030" s="33">
        <v>13</v>
      </c>
      <c r="F1030" s="33">
        <v>237</v>
      </c>
      <c r="G1030" s="33">
        <v>106</v>
      </c>
      <c r="H1030" s="33">
        <v>0</v>
      </c>
      <c r="I1030" s="33">
        <v>356</v>
      </c>
      <c r="K1030" t="b">
        <f>QHPSelections2016[[#This Row],[County Name]]=P1030</f>
        <v>1</v>
      </c>
      <c r="L1030" t="b">
        <f>QHPSelections2016[[#This Row],[Silver]]=S1030</f>
        <v>1</v>
      </c>
      <c r="N1030">
        <v>29093</v>
      </c>
      <c r="O1030" t="s">
        <v>2965</v>
      </c>
      <c r="P1030" t="s">
        <v>2882</v>
      </c>
      <c r="Q1030">
        <v>0</v>
      </c>
      <c r="R1030">
        <v>13</v>
      </c>
      <c r="S1030">
        <v>237</v>
      </c>
      <c r="T1030">
        <v>106</v>
      </c>
      <c r="U1030">
        <v>0</v>
      </c>
      <c r="V1030">
        <v>356</v>
      </c>
    </row>
    <row r="1031" spans="1:22">
      <c r="A1031" s="32" t="s">
        <v>3028</v>
      </c>
      <c r="B1031" s="32" t="s">
        <v>2965</v>
      </c>
      <c r="C1031" s="32" t="s">
        <v>984</v>
      </c>
      <c r="D1031" s="33">
        <v>389</v>
      </c>
      <c r="E1031" s="33">
        <v>1769</v>
      </c>
      <c r="F1031" s="33">
        <v>20992</v>
      </c>
      <c r="G1031" s="33">
        <v>10031</v>
      </c>
      <c r="H1031" s="33">
        <v>690</v>
      </c>
      <c r="I1031" s="33">
        <v>33871</v>
      </c>
      <c r="K1031" t="b">
        <f>QHPSelections2016[[#This Row],[County Name]]=P1031</f>
        <v>1</v>
      </c>
      <c r="L1031" t="b">
        <f>QHPSelections2016[[#This Row],[Silver]]=S1031</f>
        <v>1</v>
      </c>
      <c r="N1031">
        <v>29095</v>
      </c>
      <c r="O1031" t="s">
        <v>2965</v>
      </c>
      <c r="P1031" t="s">
        <v>984</v>
      </c>
      <c r="Q1031">
        <v>389</v>
      </c>
      <c r="R1031" s="51">
        <v>1769</v>
      </c>
      <c r="S1031" s="51">
        <v>20992</v>
      </c>
      <c r="T1031" s="51">
        <v>10031</v>
      </c>
      <c r="U1031">
        <v>690</v>
      </c>
      <c r="V1031" s="51">
        <v>33871</v>
      </c>
    </row>
    <row r="1032" spans="1:22">
      <c r="A1032" s="32" t="s">
        <v>3029</v>
      </c>
      <c r="B1032" s="32" t="s">
        <v>2965</v>
      </c>
      <c r="C1032" s="32" t="s">
        <v>989</v>
      </c>
      <c r="D1032" s="33">
        <v>41</v>
      </c>
      <c r="E1032" s="33">
        <v>154</v>
      </c>
      <c r="F1032" s="33">
        <v>3131</v>
      </c>
      <c r="G1032" s="33">
        <v>993</v>
      </c>
      <c r="H1032" s="33">
        <v>73</v>
      </c>
      <c r="I1032" s="33">
        <v>4392</v>
      </c>
      <c r="K1032" t="b">
        <f>QHPSelections2016[[#This Row],[County Name]]=P1032</f>
        <v>1</v>
      </c>
      <c r="L1032" t="b">
        <f>QHPSelections2016[[#This Row],[Silver]]=S1032</f>
        <v>1</v>
      </c>
      <c r="N1032">
        <v>29097</v>
      </c>
      <c r="O1032" t="s">
        <v>2965</v>
      </c>
      <c r="P1032" t="s">
        <v>989</v>
      </c>
      <c r="Q1032">
        <v>41</v>
      </c>
      <c r="R1032">
        <v>154</v>
      </c>
      <c r="S1032" s="51">
        <v>3131</v>
      </c>
      <c r="T1032">
        <v>993</v>
      </c>
      <c r="U1032">
        <v>73</v>
      </c>
      <c r="V1032" s="51">
        <v>4392</v>
      </c>
    </row>
    <row r="1033" spans="1:22">
      <c r="A1033" s="32" t="s">
        <v>3030</v>
      </c>
      <c r="B1033" s="32" t="s">
        <v>2965</v>
      </c>
      <c r="C1033" s="32" t="s">
        <v>993</v>
      </c>
      <c r="D1033" s="33">
        <v>0</v>
      </c>
      <c r="E1033" s="33">
        <v>798</v>
      </c>
      <c r="F1033" s="33">
        <v>7188</v>
      </c>
      <c r="G1033" s="33">
        <v>2402</v>
      </c>
      <c r="H1033" s="33">
        <v>16</v>
      </c>
      <c r="I1033" s="33">
        <v>10404</v>
      </c>
      <c r="K1033" t="b">
        <f>QHPSelections2016[[#This Row],[County Name]]=P1033</f>
        <v>1</v>
      </c>
      <c r="L1033" t="b">
        <f>QHPSelections2016[[#This Row],[Silver]]=S1033</f>
        <v>1</v>
      </c>
      <c r="N1033">
        <v>29099</v>
      </c>
      <c r="O1033" t="s">
        <v>2965</v>
      </c>
      <c r="P1033" t="s">
        <v>993</v>
      </c>
      <c r="Q1033">
        <v>0</v>
      </c>
      <c r="R1033">
        <v>798</v>
      </c>
      <c r="S1033" s="51">
        <v>7188</v>
      </c>
      <c r="T1033" s="51">
        <v>2402</v>
      </c>
      <c r="U1033">
        <v>16</v>
      </c>
      <c r="V1033" s="51">
        <v>10404</v>
      </c>
    </row>
    <row r="1034" spans="1:22">
      <c r="A1034" s="32" t="s">
        <v>3031</v>
      </c>
      <c r="B1034" s="32" t="s">
        <v>2965</v>
      </c>
      <c r="C1034" s="32" t="s">
        <v>1064</v>
      </c>
      <c r="D1034" s="33">
        <v>0</v>
      </c>
      <c r="E1034" s="33">
        <v>66</v>
      </c>
      <c r="F1034" s="33">
        <v>1283</v>
      </c>
      <c r="G1034" s="33">
        <v>533</v>
      </c>
      <c r="H1034" s="33">
        <v>0</v>
      </c>
      <c r="I1034" s="33">
        <v>1882</v>
      </c>
      <c r="K1034" t="b">
        <f>QHPSelections2016[[#This Row],[County Name]]=P1034</f>
        <v>1</v>
      </c>
      <c r="L1034" t="b">
        <f>QHPSelections2016[[#This Row],[Silver]]=S1034</f>
        <v>1</v>
      </c>
      <c r="N1034">
        <v>29101</v>
      </c>
      <c r="O1034" t="s">
        <v>2965</v>
      </c>
      <c r="P1034" t="s">
        <v>1064</v>
      </c>
      <c r="Q1034">
        <v>0</v>
      </c>
      <c r="R1034">
        <v>66</v>
      </c>
      <c r="S1034" s="51">
        <v>1283</v>
      </c>
      <c r="T1034">
        <v>533</v>
      </c>
      <c r="U1034">
        <v>0</v>
      </c>
      <c r="V1034" s="51">
        <v>1882</v>
      </c>
    </row>
    <row r="1035" spans="1:22">
      <c r="A1035" s="32" t="s">
        <v>3032</v>
      </c>
      <c r="B1035" s="32" t="s">
        <v>2965</v>
      </c>
      <c r="C1035" s="32" t="s">
        <v>1070</v>
      </c>
      <c r="D1035" s="33" t="s">
        <v>1639</v>
      </c>
      <c r="E1035" s="33">
        <v>0</v>
      </c>
      <c r="F1035" s="33">
        <v>207</v>
      </c>
      <c r="G1035" s="33">
        <v>47</v>
      </c>
      <c r="H1035" s="33" t="s">
        <v>1639</v>
      </c>
      <c r="I1035" s="33">
        <v>255</v>
      </c>
      <c r="K1035" t="b">
        <f>QHPSelections2016[[#This Row],[County Name]]=P1035</f>
        <v>1</v>
      </c>
      <c r="L1035" t="b">
        <f>QHPSelections2016[[#This Row],[Silver]]=S1035</f>
        <v>1</v>
      </c>
      <c r="N1035">
        <v>29103</v>
      </c>
      <c r="O1035" t="s">
        <v>2965</v>
      </c>
      <c r="P1035" t="s">
        <v>1070</v>
      </c>
      <c r="R1035">
        <v>0</v>
      </c>
      <c r="S1035">
        <v>207</v>
      </c>
      <c r="T1035">
        <v>47</v>
      </c>
      <c r="V1035">
        <v>255</v>
      </c>
    </row>
    <row r="1036" spans="1:22">
      <c r="A1036" s="32" t="s">
        <v>3033</v>
      </c>
      <c r="B1036" s="32" t="s">
        <v>2965</v>
      </c>
      <c r="C1036" s="32" t="s">
        <v>3034</v>
      </c>
      <c r="D1036" s="33" t="s">
        <v>1639</v>
      </c>
      <c r="E1036" s="33">
        <v>54</v>
      </c>
      <c r="F1036" s="33">
        <v>1894</v>
      </c>
      <c r="G1036" s="33">
        <v>479</v>
      </c>
      <c r="H1036" s="33" t="s">
        <v>1639</v>
      </c>
      <c r="I1036" s="33">
        <v>2433</v>
      </c>
      <c r="K1036" t="b">
        <f>QHPSelections2016[[#This Row],[County Name]]=P1036</f>
        <v>1</v>
      </c>
      <c r="L1036" t="b">
        <f>QHPSelections2016[[#This Row],[Silver]]=S1036</f>
        <v>1</v>
      </c>
      <c r="N1036">
        <v>29105</v>
      </c>
      <c r="O1036" t="s">
        <v>2965</v>
      </c>
      <c r="P1036" t="s">
        <v>3034</v>
      </c>
      <c r="R1036">
        <v>54</v>
      </c>
      <c r="S1036" s="51">
        <v>1894</v>
      </c>
      <c r="T1036">
        <v>479</v>
      </c>
      <c r="V1036" s="51">
        <v>2433</v>
      </c>
    </row>
    <row r="1037" spans="1:22">
      <c r="A1037" s="32" t="s">
        <v>3035</v>
      </c>
      <c r="B1037" s="32" t="s">
        <v>2965</v>
      </c>
      <c r="C1037" s="32" t="s">
        <v>999</v>
      </c>
      <c r="D1037" s="33">
        <v>0</v>
      </c>
      <c r="E1037" s="33">
        <v>67</v>
      </c>
      <c r="F1037" s="33">
        <v>1278</v>
      </c>
      <c r="G1037" s="33">
        <v>496</v>
      </c>
      <c r="H1037" s="33">
        <v>0</v>
      </c>
      <c r="I1037" s="33">
        <v>1841</v>
      </c>
      <c r="K1037" t="b">
        <f>QHPSelections2016[[#This Row],[County Name]]=P1037</f>
        <v>1</v>
      </c>
      <c r="L1037" t="b">
        <f>QHPSelections2016[[#This Row],[Silver]]=S1037</f>
        <v>1</v>
      </c>
      <c r="N1037">
        <v>29107</v>
      </c>
      <c r="O1037" t="s">
        <v>2965</v>
      </c>
      <c r="P1037" t="s">
        <v>999</v>
      </c>
      <c r="Q1037">
        <v>0</v>
      </c>
      <c r="R1037">
        <v>67</v>
      </c>
      <c r="S1037" s="51">
        <v>1278</v>
      </c>
      <c r="T1037">
        <v>496</v>
      </c>
      <c r="U1037">
        <v>0</v>
      </c>
      <c r="V1037" s="51">
        <v>1841</v>
      </c>
    </row>
    <row r="1038" spans="1:22">
      <c r="A1038" s="32" t="s">
        <v>3036</v>
      </c>
      <c r="B1038" s="32" t="s">
        <v>2965</v>
      </c>
      <c r="C1038" s="32" t="s">
        <v>1031</v>
      </c>
      <c r="D1038" s="33" t="s">
        <v>1639</v>
      </c>
      <c r="E1038" s="33">
        <v>40</v>
      </c>
      <c r="F1038" s="33">
        <v>1359</v>
      </c>
      <c r="G1038" s="33">
        <v>447</v>
      </c>
      <c r="H1038" s="33" t="s">
        <v>1639</v>
      </c>
      <c r="I1038" s="33">
        <v>1853</v>
      </c>
      <c r="K1038" t="b">
        <f>QHPSelections2016[[#This Row],[County Name]]=P1038</f>
        <v>1</v>
      </c>
      <c r="L1038" t="b">
        <f>QHPSelections2016[[#This Row],[Silver]]=S1038</f>
        <v>1</v>
      </c>
      <c r="N1038">
        <v>29109</v>
      </c>
      <c r="O1038" t="s">
        <v>2965</v>
      </c>
      <c r="P1038" t="s">
        <v>1031</v>
      </c>
      <c r="R1038">
        <v>40</v>
      </c>
      <c r="S1038" s="51">
        <v>1359</v>
      </c>
      <c r="T1038">
        <v>447</v>
      </c>
      <c r="V1038" s="51">
        <v>1853</v>
      </c>
    </row>
    <row r="1039" spans="1:22">
      <c r="A1039" s="32" t="s">
        <v>3037</v>
      </c>
      <c r="B1039" s="32" t="s">
        <v>2965</v>
      </c>
      <c r="C1039" s="32" t="s">
        <v>1090</v>
      </c>
      <c r="D1039" s="33">
        <v>0</v>
      </c>
      <c r="E1039" s="33" t="s">
        <v>1639</v>
      </c>
      <c r="F1039" s="33">
        <v>299</v>
      </c>
      <c r="G1039" s="33">
        <v>148</v>
      </c>
      <c r="H1039" s="33" t="s">
        <v>1639</v>
      </c>
      <c r="I1039" s="33">
        <v>459</v>
      </c>
      <c r="K1039" t="b">
        <f>QHPSelections2016[[#This Row],[County Name]]=P1039</f>
        <v>1</v>
      </c>
      <c r="L1039" t="b">
        <f>QHPSelections2016[[#This Row],[Silver]]=S1039</f>
        <v>1</v>
      </c>
      <c r="N1039">
        <v>29111</v>
      </c>
      <c r="O1039" t="s">
        <v>2965</v>
      </c>
      <c r="P1039" t="s">
        <v>1090</v>
      </c>
      <c r="Q1039">
        <v>0</v>
      </c>
      <c r="S1039">
        <v>299</v>
      </c>
      <c r="T1039">
        <v>148</v>
      </c>
      <c r="V1039">
        <v>459</v>
      </c>
    </row>
    <row r="1040" spans="1:22">
      <c r="A1040" s="32" t="s">
        <v>3038</v>
      </c>
      <c r="B1040" s="32" t="s">
        <v>2965</v>
      </c>
      <c r="C1040" s="32" t="s">
        <v>1051</v>
      </c>
      <c r="D1040" s="33" t="s">
        <v>1639</v>
      </c>
      <c r="E1040" s="33">
        <v>66</v>
      </c>
      <c r="F1040" s="33">
        <v>1438</v>
      </c>
      <c r="G1040" s="33">
        <v>434</v>
      </c>
      <c r="H1040" s="33" t="s">
        <v>1639</v>
      </c>
      <c r="I1040" s="33">
        <v>1942</v>
      </c>
      <c r="K1040" t="b">
        <f>QHPSelections2016[[#This Row],[County Name]]=P1040</f>
        <v>1</v>
      </c>
      <c r="L1040" t="b">
        <f>QHPSelections2016[[#This Row],[Silver]]=S1040</f>
        <v>1</v>
      </c>
      <c r="N1040">
        <v>29113</v>
      </c>
      <c r="O1040" t="s">
        <v>2965</v>
      </c>
      <c r="P1040" t="s">
        <v>1051</v>
      </c>
      <c r="R1040">
        <v>66</v>
      </c>
      <c r="S1040" s="51">
        <v>1438</v>
      </c>
      <c r="T1040">
        <v>434</v>
      </c>
      <c r="V1040" s="51">
        <v>1942</v>
      </c>
    </row>
    <row r="1041" spans="1:22">
      <c r="A1041" s="32" t="s">
        <v>3039</v>
      </c>
      <c r="B1041" s="32" t="s">
        <v>2965</v>
      </c>
      <c r="C1041" s="32" t="s">
        <v>2226</v>
      </c>
      <c r="D1041" s="33" t="s">
        <v>1639</v>
      </c>
      <c r="E1041" s="33">
        <v>13</v>
      </c>
      <c r="F1041" s="33">
        <v>316</v>
      </c>
      <c r="G1041" s="33">
        <v>168</v>
      </c>
      <c r="H1041" s="33" t="s">
        <v>1639</v>
      </c>
      <c r="I1041" s="33">
        <v>500</v>
      </c>
      <c r="K1041" t="b">
        <f>QHPSelections2016[[#This Row],[County Name]]=P1041</f>
        <v>1</v>
      </c>
      <c r="L1041" t="b">
        <f>QHPSelections2016[[#This Row],[Silver]]=S1041</f>
        <v>1</v>
      </c>
      <c r="N1041">
        <v>29115</v>
      </c>
      <c r="O1041" t="s">
        <v>2965</v>
      </c>
      <c r="P1041" t="s">
        <v>2226</v>
      </c>
      <c r="R1041">
        <v>13</v>
      </c>
      <c r="S1041">
        <v>316</v>
      </c>
      <c r="T1041">
        <v>168</v>
      </c>
      <c r="V1041">
        <v>500</v>
      </c>
    </row>
    <row r="1042" spans="1:22">
      <c r="A1042" s="32" t="s">
        <v>3040</v>
      </c>
      <c r="B1042" s="32" t="s">
        <v>2965</v>
      </c>
      <c r="C1042" s="32" t="s">
        <v>2362</v>
      </c>
      <c r="D1042" s="33">
        <v>0</v>
      </c>
      <c r="E1042" s="33">
        <v>31</v>
      </c>
      <c r="F1042" s="33">
        <v>376</v>
      </c>
      <c r="G1042" s="33">
        <v>211</v>
      </c>
      <c r="H1042" s="33">
        <v>0</v>
      </c>
      <c r="I1042" s="33">
        <v>618</v>
      </c>
      <c r="K1042" t="b">
        <f>QHPSelections2016[[#This Row],[County Name]]=P1042</f>
        <v>1</v>
      </c>
      <c r="L1042" t="b">
        <f>QHPSelections2016[[#This Row],[Silver]]=S1042</f>
        <v>1</v>
      </c>
      <c r="N1042">
        <v>29117</v>
      </c>
      <c r="O1042" t="s">
        <v>2965</v>
      </c>
      <c r="P1042" t="s">
        <v>2362</v>
      </c>
      <c r="Q1042">
        <v>0</v>
      </c>
      <c r="R1042">
        <v>31</v>
      </c>
      <c r="S1042">
        <v>376</v>
      </c>
      <c r="T1042">
        <v>211</v>
      </c>
      <c r="U1042">
        <v>0</v>
      </c>
      <c r="V1042">
        <v>618</v>
      </c>
    </row>
    <row r="1043" spans="1:22">
      <c r="A1043" s="32" t="s">
        <v>3041</v>
      </c>
      <c r="B1043" s="32" t="s">
        <v>2965</v>
      </c>
      <c r="C1043" s="32" t="s">
        <v>3042</v>
      </c>
      <c r="D1043" s="33">
        <v>0</v>
      </c>
      <c r="E1043" s="33">
        <v>22</v>
      </c>
      <c r="F1043" s="33">
        <v>571</v>
      </c>
      <c r="G1043" s="33">
        <v>192</v>
      </c>
      <c r="H1043" s="33">
        <v>0</v>
      </c>
      <c r="I1043" s="33">
        <v>785</v>
      </c>
      <c r="K1043" t="b">
        <f>QHPSelections2016[[#This Row],[County Name]]=P1043</f>
        <v>0</v>
      </c>
      <c r="L1043" t="b">
        <f>QHPSelections2016[[#This Row],[Silver]]=S1043</f>
        <v>0</v>
      </c>
      <c r="N1043">
        <v>29121</v>
      </c>
      <c r="O1043" t="s">
        <v>2965</v>
      </c>
      <c r="P1043" t="s">
        <v>1054</v>
      </c>
      <c r="R1043">
        <v>15</v>
      </c>
      <c r="S1043">
        <v>460</v>
      </c>
      <c r="T1043">
        <v>187</v>
      </c>
      <c r="V1043">
        <v>668</v>
      </c>
    </row>
    <row r="1044" spans="1:22">
      <c r="A1044" s="32" t="s">
        <v>3043</v>
      </c>
      <c r="B1044" s="32" t="s">
        <v>2965</v>
      </c>
      <c r="C1044" s="32" t="s">
        <v>1054</v>
      </c>
      <c r="D1044" s="33" t="s">
        <v>1639</v>
      </c>
      <c r="E1044" s="33">
        <v>15</v>
      </c>
      <c r="F1044" s="33">
        <v>460</v>
      </c>
      <c r="G1044" s="33">
        <v>187</v>
      </c>
      <c r="H1044" s="33" t="s">
        <v>1639</v>
      </c>
      <c r="I1044" s="33">
        <v>668</v>
      </c>
      <c r="K1044" t="b">
        <f>QHPSelections2016[[#This Row],[County Name]]=P1044</f>
        <v>0</v>
      </c>
      <c r="L1044" t="b">
        <f>QHPSelections2016[[#This Row],[Silver]]=S1044</f>
        <v>0</v>
      </c>
      <c r="N1044">
        <v>29123</v>
      </c>
      <c r="O1044" t="s">
        <v>2965</v>
      </c>
      <c r="P1044" t="s">
        <v>1029</v>
      </c>
      <c r="Q1044">
        <v>0</v>
      </c>
      <c r="R1044">
        <v>23</v>
      </c>
      <c r="S1044">
        <v>403</v>
      </c>
      <c r="T1044">
        <v>87</v>
      </c>
      <c r="U1044">
        <v>0</v>
      </c>
      <c r="V1044">
        <v>513</v>
      </c>
    </row>
    <row r="1045" spans="1:22">
      <c r="A1045" s="32" t="s">
        <v>3044</v>
      </c>
      <c r="B1045" s="32" t="s">
        <v>2965</v>
      </c>
      <c r="C1045" s="32" t="s">
        <v>1029</v>
      </c>
      <c r="D1045" s="33">
        <v>0</v>
      </c>
      <c r="E1045" s="33">
        <v>23</v>
      </c>
      <c r="F1045" s="33">
        <v>403</v>
      </c>
      <c r="G1045" s="33">
        <v>87</v>
      </c>
      <c r="H1045" s="33">
        <v>0</v>
      </c>
      <c r="I1045" s="33">
        <v>513</v>
      </c>
      <c r="K1045" t="b">
        <f>QHPSelections2016[[#This Row],[County Name]]=P1045</f>
        <v>0</v>
      </c>
      <c r="L1045" t="b">
        <f>QHPSelections2016[[#This Row],[Silver]]=S1045</f>
        <v>0</v>
      </c>
      <c r="N1045">
        <v>29125</v>
      </c>
      <c r="O1045" t="s">
        <v>2965</v>
      </c>
      <c r="P1045" t="s">
        <v>3046</v>
      </c>
      <c r="Q1045">
        <v>0</v>
      </c>
      <c r="R1045">
        <v>12</v>
      </c>
      <c r="S1045">
        <v>259</v>
      </c>
      <c r="T1045">
        <v>59</v>
      </c>
      <c r="U1045">
        <v>0</v>
      </c>
      <c r="V1045">
        <v>330</v>
      </c>
    </row>
    <row r="1046" spans="1:22">
      <c r="A1046" s="32" t="s">
        <v>3045</v>
      </c>
      <c r="B1046" s="32" t="s">
        <v>2965</v>
      </c>
      <c r="C1046" s="32" t="s">
        <v>3046</v>
      </c>
      <c r="D1046" s="33">
        <v>0</v>
      </c>
      <c r="E1046" s="33">
        <v>12</v>
      </c>
      <c r="F1046" s="33">
        <v>259</v>
      </c>
      <c r="G1046" s="33">
        <v>59</v>
      </c>
      <c r="H1046" s="33">
        <v>0</v>
      </c>
      <c r="I1046" s="33">
        <v>330</v>
      </c>
      <c r="K1046" t="b">
        <f>QHPSelections2016[[#This Row],[County Name]]=P1046</f>
        <v>0</v>
      </c>
      <c r="L1046" t="b">
        <f>QHPSelections2016[[#This Row],[Silver]]=S1046</f>
        <v>0</v>
      </c>
      <c r="N1046">
        <v>29127</v>
      </c>
      <c r="O1046" t="s">
        <v>2965</v>
      </c>
      <c r="P1046" t="s">
        <v>1038</v>
      </c>
      <c r="R1046">
        <v>28</v>
      </c>
      <c r="S1046">
        <v>828</v>
      </c>
      <c r="T1046">
        <v>367</v>
      </c>
      <c r="V1046" s="51">
        <v>1231</v>
      </c>
    </row>
    <row r="1047" spans="1:22">
      <c r="A1047" s="32" t="s">
        <v>3047</v>
      </c>
      <c r="B1047" s="32" t="s">
        <v>2965</v>
      </c>
      <c r="C1047" s="32" t="s">
        <v>1038</v>
      </c>
      <c r="D1047" s="33" t="s">
        <v>1639</v>
      </c>
      <c r="E1047" s="33">
        <v>28</v>
      </c>
      <c r="F1047" s="33">
        <v>828</v>
      </c>
      <c r="G1047" s="33">
        <v>367</v>
      </c>
      <c r="H1047" s="33" t="s">
        <v>1639</v>
      </c>
      <c r="I1047" s="33">
        <v>1231</v>
      </c>
      <c r="K1047" t="b">
        <f>QHPSelections2016[[#This Row],[County Name]]=P1047</f>
        <v>0</v>
      </c>
      <c r="L1047" t="b">
        <f>QHPSelections2016[[#This Row],[Silver]]=S1047</f>
        <v>0</v>
      </c>
      <c r="N1047">
        <v>29119</v>
      </c>
      <c r="O1047" t="s">
        <v>2965</v>
      </c>
      <c r="P1047" t="s">
        <v>3042</v>
      </c>
      <c r="Q1047">
        <v>0</v>
      </c>
      <c r="R1047">
        <v>22</v>
      </c>
      <c r="S1047">
        <v>571</v>
      </c>
      <c r="T1047">
        <v>192</v>
      </c>
      <c r="U1047">
        <v>0</v>
      </c>
      <c r="V1047">
        <v>785</v>
      </c>
    </row>
    <row r="1048" spans="1:22">
      <c r="A1048" s="32" t="s">
        <v>3048</v>
      </c>
      <c r="B1048" s="32" t="s">
        <v>2965</v>
      </c>
      <c r="C1048" s="32" t="s">
        <v>2381</v>
      </c>
      <c r="D1048" s="33" t="s">
        <v>1639</v>
      </c>
      <c r="E1048" s="33" t="s">
        <v>1639</v>
      </c>
      <c r="F1048" s="33">
        <v>118</v>
      </c>
      <c r="G1048" s="33">
        <v>32</v>
      </c>
      <c r="H1048" s="33">
        <v>0</v>
      </c>
      <c r="I1048" s="33">
        <v>155</v>
      </c>
      <c r="K1048" t="b">
        <f>QHPSelections2016[[#This Row],[County Name]]=P1048</f>
        <v>1</v>
      </c>
      <c r="L1048" t="b">
        <f>QHPSelections2016[[#This Row],[Silver]]=S1048</f>
        <v>1</v>
      </c>
      <c r="N1048">
        <v>29129</v>
      </c>
      <c r="O1048" t="s">
        <v>2965</v>
      </c>
      <c r="P1048" t="s">
        <v>2381</v>
      </c>
      <c r="S1048">
        <v>118</v>
      </c>
      <c r="T1048">
        <v>32</v>
      </c>
      <c r="U1048">
        <v>0</v>
      </c>
      <c r="V1048">
        <v>155</v>
      </c>
    </row>
    <row r="1049" spans="1:22">
      <c r="A1049" s="32" t="s">
        <v>3049</v>
      </c>
      <c r="B1049" s="32" t="s">
        <v>2965</v>
      </c>
      <c r="C1049" s="32" t="s">
        <v>1270</v>
      </c>
      <c r="D1049" s="33" t="s">
        <v>1639</v>
      </c>
      <c r="E1049" s="33">
        <v>65</v>
      </c>
      <c r="F1049" s="33">
        <v>939</v>
      </c>
      <c r="G1049" s="33">
        <v>289</v>
      </c>
      <c r="H1049" s="33" t="s">
        <v>1639</v>
      </c>
      <c r="I1049" s="33">
        <v>1295</v>
      </c>
      <c r="K1049" t="b">
        <f>QHPSelections2016[[#This Row],[County Name]]=P1049</f>
        <v>1</v>
      </c>
      <c r="L1049" t="b">
        <f>QHPSelections2016[[#This Row],[Silver]]=S1049</f>
        <v>1</v>
      </c>
      <c r="N1049">
        <v>29131</v>
      </c>
      <c r="O1049" t="s">
        <v>2965</v>
      </c>
      <c r="P1049" t="s">
        <v>1270</v>
      </c>
      <c r="R1049">
        <v>65</v>
      </c>
      <c r="S1049">
        <v>939</v>
      </c>
      <c r="T1049">
        <v>289</v>
      </c>
      <c r="V1049" s="51">
        <v>1295</v>
      </c>
    </row>
    <row r="1050" spans="1:22">
      <c r="A1050" s="32" t="s">
        <v>3050</v>
      </c>
      <c r="B1050" s="32" t="s">
        <v>2965</v>
      </c>
      <c r="C1050" s="32" t="s">
        <v>1831</v>
      </c>
      <c r="D1050" s="33" t="s">
        <v>1639</v>
      </c>
      <c r="E1050" s="33">
        <v>17</v>
      </c>
      <c r="F1050" s="33">
        <v>318</v>
      </c>
      <c r="G1050" s="33">
        <v>99</v>
      </c>
      <c r="H1050" s="33" t="s">
        <v>1639</v>
      </c>
      <c r="I1050" s="33">
        <v>435</v>
      </c>
      <c r="K1050" t="b">
        <f>QHPSelections2016[[#This Row],[County Name]]=P1050</f>
        <v>1</v>
      </c>
      <c r="L1050" t="b">
        <f>QHPSelections2016[[#This Row],[Silver]]=S1050</f>
        <v>1</v>
      </c>
      <c r="N1050">
        <v>29133</v>
      </c>
      <c r="O1050" t="s">
        <v>2965</v>
      </c>
      <c r="P1050" t="s">
        <v>1831</v>
      </c>
      <c r="R1050">
        <v>17</v>
      </c>
      <c r="S1050">
        <v>318</v>
      </c>
      <c r="T1050">
        <v>99</v>
      </c>
      <c r="V1050">
        <v>435</v>
      </c>
    </row>
    <row r="1051" spans="1:22">
      <c r="A1051" s="32" t="s">
        <v>3051</v>
      </c>
      <c r="B1051" s="32" t="s">
        <v>2965</v>
      </c>
      <c r="C1051" s="32" t="s">
        <v>3052</v>
      </c>
      <c r="D1051" s="33" t="s">
        <v>1639</v>
      </c>
      <c r="E1051" s="33">
        <v>33</v>
      </c>
      <c r="F1051" s="33">
        <v>382</v>
      </c>
      <c r="G1051" s="33">
        <v>86</v>
      </c>
      <c r="H1051" s="33" t="s">
        <v>1639</v>
      </c>
      <c r="I1051" s="33">
        <v>502</v>
      </c>
      <c r="K1051" t="b">
        <f>QHPSelections2016[[#This Row],[County Name]]=P1051</f>
        <v>1</v>
      </c>
      <c r="L1051" t="b">
        <f>QHPSelections2016[[#This Row],[Silver]]=S1051</f>
        <v>1</v>
      </c>
      <c r="N1051">
        <v>29135</v>
      </c>
      <c r="O1051" t="s">
        <v>2965</v>
      </c>
      <c r="P1051" t="s">
        <v>3052</v>
      </c>
      <c r="R1051">
        <v>33</v>
      </c>
      <c r="S1051">
        <v>382</v>
      </c>
      <c r="T1051">
        <v>86</v>
      </c>
      <c r="V1051">
        <v>502</v>
      </c>
    </row>
    <row r="1052" spans="1:22">
      <c r="A1052" s="32" t="s">
        <v>3053</v>
      </c>
      <c r="B1052" s="32" t="s">
        <v>2965</v>
      </c>
      <c r="C1052" s="32" t="s">
        <v>1055</v>
      </c>
      <c r="D1052" s="33" t="s">
        <v>1639</v>
      </c>
      <c r="E1052" s="33">
        <v>23</v>
      </c>
      <c r="F1052" s="33">
        <v>305</v>
      </c>
      <c r="G1052" s="33">
        <v>88</v>
      </c>
      <c r="H1052" s="33" t="s">
        <v>1639</v>
      </c>
      <c r="I1052" s="33">
        <v>417</v>
      </c>
      <c r="K1052" t="b">
        <f>QHPSelections2016[[#This Row],[County Name]]=P1052</f>
        <v>1</v>
      </c>
      <c r="L1052" t="b">
        <f>QHPSelections2016[[#This Row],[Silver]]=S1052</f>
        <v>1</v>
      </c>
      <c r="N1052">
        <v>29137</v>
      </c>
      <c r="O1052" t="s">
        <v>2965</v>
      </c>
      <c r="P1052" t="s">
        <v>1055</v>
      </c>
      <c r="R1052">
        <v>23</v>
      </c>
      <c r="S1052">
        <v>305</v>
      </c>
      <c r="T1052">
        <v>88</v>
      </c>
      <c r="V1052">
        <v>417</v>
      </c>
    </row>
    <row r="1053" spans="1:22">
      <c r="A1053" s="32" t="s">
        <v>3054</v>
      </c>
      <c r="B1053" s="32" t="s">
        <v>2965</v>
      </c>
      <c r="C1053" s="32" t="s">
        <v>1079</v>
      </c>
      <c r="D1053" s="33" t="s">
        <v>1639</v>
      </c>
      <c r="E1053" s="33">
        <v>32</v>
      </c>
      <c r="F1053" s="33">
        <v>394</v>
      </c>
      <c r="G1053" s="33">
        <v>85</v>
      </c>
      <c r="H1053" s="33" t="s">
        <v>1639</v>
      </c>
      <c r="I1053" s="33">
        <v>512</v>
      </c>
      <c r="K1053" t="b">
        <f>QHPSelections2016[[#This Row],[County Name]]=P1053</f>
        <v>1</v>
      </c>
      <c r="L1053" t="b">
        <f>QHPSelections2016[[#This Row],[Silver]]=S1053</f>
        <v>1</v>
      </c>
      <c r="N1053">
        <v>29139</v>
      </c>
      <c r="O1053" t="s">
        <v>2965</v>
      </c>
      <c r="P1053" t="s">
        <v>1079</v>
      </c>
      <c r="R1053">
        <v>32</v>
      </c>
      <c r="S1053">
        <v>394</v>
      </c>
      <c r="T1053">
        <v>85</v>
      </c>
      <c r="V1053">
        <v>512</v>
      </c>
    </row>
    <row r="1054" spans="1:22">
      <c r="A1054" s="32" t="s">
        <v>3055</v>
      </c>
      <c r="B1054" s="32" t="s">
        <v>2965</v>
      </c>
      <c r="C1054" s="32" t="s">
        <v>1092</v>
      </c>
      <c r="D1054" s="33">
        <v>0</v>
      </c>
      <c r="E1054" s="33">
        <v>28</v>
      </c>
      <c r="F1054" s="33">
        <v>740</v>
      </c>
      <c r="G1054" s="33">
        <v>241</v>
      </c>
      <c r="H1054" s="33">
        <v>0</v>
      </c>
      <c r="I1054" s="33">
        <v>1009</v>
      </c>
      <c r="K1054" t="b">
        <f>QHPSelections2016[[#This Row],[County Name]]=P1054</f>
        <v>1</v>
      </c>
      <c r="L1054" t="b">
        <f>QHPSelections2016[[#This Row],[Silver]]=S1054</f>
        <v>1</v>
      </c>
      <c r="N1054">
        <v>29141</v>
      </c>
      <c r="O1054" t="s">
        <v>2965</v>
      </c>
      <c r="P1054" t="s">
        <v>1092</v>
      </c>
      <c r="Q1054">
        <v>0</v>
      </c>
      <c r="R1054">
        <v>28</v>
      </c>
      <c r="S1054">
        <v>740</v>
      </c>
      <c r="T1054">
        <v>241</v>
      </c>
      <c r="U1054">
        <v>0</v>
      </c>
      <c r="V1054" s="51">
        <v>1009</v>
      </c>
    </row>
    <row r="1055" spans="1:22">
      <c r="A1055" s="32" t="s">
        <v>3056</v>
      </c>
      <c r="B1055" s="32" t="s">
        <v>2965</v>
      </c>
      <c r="C1055" s="32" t="s">
        <v>3057</v>
      </c>
      <c r="D1055" s="33" t="s">
        <v>1639</v>
      </c>
      <c r="E1055" s="33">
        <v>18</v>
      </c>
      <c r="F1055" s="33">
        <v>538</v>
      </c>
      <c r="G1055" s="33">
        <v>136</v>
      </c>
      <c r="H1055" s="33" t="s">
        <v>1639</v>
      </c>
      <c r="I1055" s="33">
        <v>693</v>
      </c>
      <c r="K1055" t="b">
        <f>QHPSelections2016[[#This Row],[County Name]]=P1055</f>
        <v>1</v>
      </c>
      <c r="L1055" t="b">
        <f>QHPSelections2016[[#This Row],[Silver]]=S1055</f>
        <v>1</v>
      </c>
      <c r="N1055">
        <v>29143</v>
      </c>
      <c r="O1055" t="s">
        <v>2965</v>
      </c>
      <c r="P1055" t="s">
        <v>3057</v>
      </c>
      <c r="R1055">
        <v>18</v>
      </c>
      <c r="S1055">
        <v>538</v>
      </c>
      <c r="T1055">
        <v>136</v>
      </c>
      <c r="V1055">
        <v>693</v>
      </c>
    </row>
    <row r="1056" spans="1:22">
      <c r="A1056" s="32" t="s">
        <v>3058</v>
      </c>
      <c r="B1056" s="32" t="s">
        <v>2965</v>
      </c>
      <c r="C1056" s="32" t="s">
        <v>1088</v>
      </c>
      <c r="D1056" s="33">
        <v>13</v>
      </c>
      <c r="E1056" s="33">
        <v>81</v>
      </c>
      <c r="F1056" s="33">
        <v>1762</v>
      </c>
      <c r="G1056" s="33">
        <v>529</v>
      </c>
      <c r="H1056" s="33">
        <v>31</v>
      </c>
      <c r="I1056" s="33">
        <v>2416</v>
      </c>
      <c r="K1056" t="b">
        <f>QHPSelections2016[[#This Row],[County Name]]=P1056</f>
        <v>1</v>
      </c>
      <c r="L1056" t="b">
        <f>QHPSelections2016[[#This Row],[Silver]]=S1056</f>
        <v>1</v>
      </c>
      <c r="N1056">
        <v>29145</v>
      </c>
      <c r="O1056" t="s">
        <v>2965</v>
      </c>
      <c r="P1056" t="s">
        <v>1088</v>
      </c>
      <c r="Q1056">
        <v>13</v>
      </c>
      <c r="R1056">
        <v>81</v>
      </c>
      <c r="S1056" s="51">
        <v>1762</v>
      </c>
      <c r="T1056">
        <v>529</v>
      </c>
      <c r="U1056">
        <v>31</v>
      </c>
      <c r="V1056" s="51">
        <v>2416</v>
      </c>
    </row>
    <row r="1057" spans="1:22">
      <c r="A1057" s="32" t="s">
        <v>3059</v>
      </c>
      <c r="B1057" s="32" t="s">
        <v>2965</v>
      </c>
      <c r="C1057" s="32" t="s">
        <v>3060</v>
      </c>
      <c r="D1057" s="33">
        <v>0</v>
      </c>
      <c r="E1057" s="33">
        <v>30</v>
      </c>
      <c r="F1057" s="33">
        <v>641</v>
      </c>
      <c r="G1057" s="33">
        <v>292</v>
      </c>
      <c r="H1057" s="33">
        <v>0</v>
      </c>
      <c r="I1057" s="33">
        <v>963</v>
      </c>
      <c r="K1057" t="b">
        <f>QHPSelections2016[[#This Row],[County Name]]=P1057</f>
        <v>1</v>
      </c>
      <c r="L1057" t="b">
        <f>QHPSelections2016[[#This Row],[Silver]]=S1057</f>
        <v>1</v>
      </c>
      <c r="N1057">
        <v>29147</v>
      </c>
      <c r="O1057" t="s">
        <v>2965</v>
      </c>
      <c r="P1057" t="s">
        <v>3060</v>
      </c>
      <c r="Q1057">
        <v>0</v>
      </c>
      <c r="R1057">
        <v>30</v>
      </c>
      <c r="S1057">
        <v>641</v>
      </c>
      <c r="T1057">
        <v>292</v>
      </c>
      <c r="U1057">
        <v>0</v>
      </c>
      <c r="V1057">
        <v>963</v>
      </c>
    </row>
    <row r="1058" spans="1:22">
      <c r="A1058" s="32" t="s">
        <v>3061</v>
      </c>
      <c r="B1058" s="32" t="s">
        <v>2965</v>
      </c>
      <c r="C1058" s="32" t="s">
        <v>3062</v>
      </c>
      <c r="D1058" s="33">
        <v>0</v>
      </c>
      <c r="E1058" s="33" t="s">
        <v>1639</v>
      </c>
      <c r="F1058" s="33">
        <v>436</v>
      </c>
      <c r="G1058" s="33">
        <v>152</v>
      </c>
      <c r="H1058" s="33" t="s">
        <v>1639</v>
      </c>
      <c r="I1058" s="33">
        <v>597</v>
      </c>
      <c r="K1058" t="b">
        <f>QHPSelections2016[[#This Row],[County Name]]=P1058</f>
        <v>1</v>
      </c>
      <c r="L1058" t="b">
        <f>QHPSelections2016[[#This Row],[Silver]]=S1058</f>
        <v>1</v>
      </c>
      <c r="N1058">
        <v>29149</v>
      </c>
      <c r="O1058" t="s">
        <v>2965</v>
      </c>
      <c r="P1058" t="s">
        <v>3062</v>
      </c>
      <c r="Q1058">
        <v>0</v>
      </c>
      <c r="S1058">
        <v>436</v>
      </c>
      <c r="T1058">
        <v>152</v>
      </c>
      <c r="V1058">
        <v>597</v>
      </c>
    </row>
    <row r="1059" spans="1:22">
      <c r="A1059" s="32" t="s">
        <v>3063</v>
      </c>
      <c r="B1059" s="32" t="s">
        <v>2965</v>
      </c>
      <c r="C1059" s="32" t="s">
        <v>2669</v>
      </c>
      <c r="D1059" s="33" t="s">
        <v>1639</v>
      </c>
      <c r="E1059" s="33">
        <v>38</v>
      </c>
      <c r="F1059" s="33">
        <v>365</v>
      </c>
      <c r="G1059" s="33">
        <v>76</v>
      </c>
      <c r="H1059" s="33" t="s">
        <v>1639</v>
      </c>
      <c r="I1059" s="33">
        <v>480</v>
      </c>
      <c r="K1059" t="b">
        <f>QHPSelections2016[[#This Row],[County Name]]=P1059</f>
        <v>1</v>
      </c>
      <c r="L1059" t="b">
        <f>QHPSelections2016[[#This Row],[Silver]]=S1059</f>
        <v>1</v>
      </c>
      <c r="N1059">
        <v>29151</v>
      </c>
      <c r="O1059" t="s">
        <v>2965</v>
      </c>
      <c r="P1059" t="s">
        <v>2669</v>
      </c>
      <c r="R1059">
        <v>38</v>
      </c>
      <c r="S1059">
        <v>365</v>
      </c>
      <c r="T1059">
        <v>76</v>
      </c>
      <c r="V1059">
        <v>480</v>
      </c>
    </row>
    <row r="1060" spans="1:22">
      <c r="A1060" s="32" t="s">
        <v>3064</v>
      </c>
      <c r="B1060" s="32" t="s">
        <v>2965</v>
      </c>
      <c r="C1060" s="32" t="s">
        <v>3065</v>
      </c>
      <c r="D1060" s="33">
        <v>0</v>
      </c>
      <c r="E1060" s="33">
        <v>24</v>
      </c>
      <c r="F1060" s="33">
        <v>440</v>
      </c>
      <c r="G1060" s="33">
        <v>143</v>
      </c>
      <c r="H1060" s="33">
        <v>0</v>
      </c>
      <c r="I1060" s="33">
        <v>607</v>
      </c>
      <c r="K1060" t="b">
        <f>QHPSelections2016[[#This Row],[County Name]]=P1060</f>
        <v>1</v>
      </c>
      <c r="L1060" t="b">
        <f>QHPSelections2016[[#This Row],[Silver]]=S1060</f>
        <v>1</v>
      </c>
      <c r="N1060">
        <v>29153</v>
      </c>
      <c r="O1060" t="s">
        <v>2965</v>
      </c>
      <c r="P1060" t="s">
        <v>3065</v>
      </c>
      <c r="Q1060">
        <v>0</v>
      </c>
      <c r="R1060">
        <v>24</v>
      </c>
      <c r="S1060">
        <v>440</v>
      </c>
      <c r="T1060">
        <v>143</v>
      </c>
      <c r="U1060">
        <v>0</v>
      </c>
      <c r="V1060">
        <v>607</v>
      </c>
    </row>
    <row r="1061" spans="1:22">
      <c r="A1061" s="32" t="s">
        <v>3066</v>
      </c>
      <c r="B1061" s="32" t="s">
        <v>2965</v>
      </c>
      <c r="C1061" s="32" t="s">
        <v>3067</v>
      </c>
      <c r="D1061" s="33" t="s">
        <v>1639</v>
      </c>
      <c r="E1061" s="33">
        <v>28</v>
      </c>
      <c r="F1061" s="33">
        <v>619</v>
      </c>
      <c r="G1061" s="33">
        <v>98</v>
      </c>
      <c r="H1061" s="33" t="s">
        <v>1639</v>
      </c>
      <c r="I1061" s="33">
        <v>747</v>
      </c>
      <c r="K1061" t="b">
        <f>QHPSelections2016[[#This Row],[County Name]]=P1061</f>
        <v>1</v>
      </c>
      <c r="L1061" t="b">
        <f>QHPSelections2016[[#This Row],[Silver]]=S1061</f>
        <v>1</v>
      </c>
      <c r="N1061">
        <v>29155</v>
      </c>
      <c r="O1061" t="s">
        <v>2965</v>
      </c>
      <c r="P1061" t="s">
        <v>3067</v>
      </c>
      <c r="R1061">
        <v>28</v>
      </c>
      <c r="S1061">
        <v>619</v>
      </c>
      <c r="T1061">
        <v>98</v>
      </c>
      <c r="V1061">
        <v>747</v>
      </c>
    </row>
    <row r="1062" spans="1:22">
      <c r="A1062" s="32" t="s">
        <v>3068</v>
      </c>
      <c r="B1062" s="32" t="s">
        <v>2965</v>
      </c>
      <c r="C1062" s="32" t="s">
        <v>1097</v>
      </c>
      <c r="D1062" s="33">
        <v>0</v>
      </c>
      <c r="E1062" s="33">
        <v>38</v>
      </c>
      <c r="F1062" s="33">
        <v>452</v>
      </c>
      <c r="G1062" s="33">
        <v>129</v>
      </c>
      <c r="H1062" s="33">
        <v>0</v>
      </c>
      <c r="I1062" s="33">
        <v>619</v>
      </c>
      <c r="K1062" t="b">
        <f>QHPSelections2016[[#This Row],[County Name]]=P1062</f>
        <v>1</v>
      </c>
      <c r="L1062" t="b">
        <f>QHPSelections2016[[#This Row],[Silver]]=S1062</f>
        <v>1</v>
      </c>
      <c r="N1062">
        <v>29157</v>
      </c>
      <c r="O1062" t="s">
        <v>2965</v>
      </c>
      <c r="P1062" t="s">
        <v>1097</v>
      </c>
      <c r="Q1062">
        <v>0</v>
      </c>
      <c r="R1062">
        <v>38</v>
      </c>
      <c r="S1062">
        <v>452</v>
      </c>
      <c r="T1062">
        <v>129</v>
      </c>
      <c r="U1062">
        <v>0</v>
      </c>
      <c r="V1062">
        <v>619</v>
      </c>
    </row>
    <row r="1063" spans="1:22">
      <c r="A1063" s="32" t="s">
        <v>3069</v>
      </c>
      <c r="B1063" s="32" t="s">
        <v>2965</v>
      </c>
      <c r="C1063" s="32" t="s">
        <v>3070</v>
      </c>
      <c r="D1063" s="33">
        <v>0</v>
      </c>
      <c r="E1063" s="33">
        <v>49</v>
      </c>
      <c r="F1063" s="33">
        <v>1352</v>
      </c>
      <c r="G1063" s="33">
        <v>555</v>
      </c>
      <c r="H1063" s="33">
        <v>0</v>
      </c>
      <c r="I1063" s="33">
        <v>1956</v>
      </c>
      <c r="K1063" t="b">
        <f>QHPSelections2016[[#This Row],[County Name]]=P1063</f>
        <v>1</v>
      </c>
      <c r="L1063" t="b">
        <f>QHPSelections2016[[#This Row],[Silver]]=S1063</f>
        <v>1</v>
      </c>
      <c r="N1063">
        <v>29159</v>
      </c>
      <c r="O1063" t="s">
        <v>2965</v>
      </c>
      <c r="P1063" t="s">
        <v>3070</v>
      </c>
      <c r="Q1063">
        <v>0</v>
      </c>
      <c r="R1063">
        <v>49</v>
      </c>
      <c r="S1063" s="51">
        <v>1352</v>
      </c>
      <c r="T1063">
        <v>555</v>
      </c>
      <c r="U1063">
        <v>0</v>
      </c>
      <c r="V1063" s="51">
        <v>1956</v>
      </c>
    </row>
    <row r="1064" spans="1:22">
      <c r="A1064" s="32" t="s">
        <v>3071</v>
      </c>
      <c r="B1064" s="32" t="s">
        <v>2965</v>
      </c>
      <c r="C1064" s="32" t="s">
        <v>3072</v>
      </c>
      <c r="D1064" s="33" t="s">
        <v>1639</v>
      </c>
      <c r="E1064" s="33">
        <v>52</v>
      </c>
      <c r="F1064" s="33">
        <v>1337</v>
      </c>
      <c r="G1064" s="33">
        <v>295</v>
      </c>
      <c r="H1064" s="33" t="s">
        <v>1639</v>
      </c>
      <c r="I1064" s="33">
        <v>1694</v>
      </c>
      <c r="K1064" t="b">
        <f>QHPSelections2016[[#This Row],[County Name]]=P1064</f>
        <v>1</v>
      </c>
      <c r="L1064" t="b">
        <f>QHPSelections2016[[#This Row],[Silver]]=S1064</f>
        <v>1</v>
      </c>
      <c r="N1064">
        <v>29161</v>
      </c>
      <c r="O1064" t="s">
        <v>2965</v>
      </c>
      <c r="P1064" t="s">
        <v>3072</v>
      </c>
      <c r="R1064">
        <v>52</v>
      </c>
      <c r="S1064" s="51">
        <v>1337</v>
      </c>
      <c r="T1064">
        <v>295</v>
      </c>
      <c r="V1064" s="51">
        <v>1694</v>
      </c>
    </row>
    <row r="1065" spans="1:22">
      <c r="A1065" s="32" t="s">
        <v>3073</v>
      </c>
      <c r="B1065" s="32" t="s">
        <v>2965</v>
      </c>
      <c r="C1065" s="32" t="s">
        <v>1109</v>
      </c>
      <c r="D1065" s="33" t="s">
        <v>1639</v>
      </c>
      <c r="E1065" s="33">
        <v>14</v>
      </c>
      <c r="F1065" s="33">
        <v>512</v>
      </c>
      <c r="G1065" s="33">
        <v>183</v>
      </c>
      <c r="H1065" s="33" t="s">
        <v>1639</v>
      </c>
      <c r="I1065" s="33">
        <v>713</v>
      </c>
      <c r="K1065" t="b">
        <f>QHPSelections2016[[#This Row],[County Name]]=P1065</f>
        <v>1</v>
      </c>
      <c r="L1065" t="b">
        <f>QHPSelections2016[[#This Row],[Silver]]=S1065</f>
        <v>1</v>
      </c>
      <c r="N1065">
        <v>29163</v>
      </c>
      <c r="O1065" t="s">
        <v>2965</v>
      </c>
      <c r="P1065" t="s">
        <v>1109</v>
      </c>
      <c r="R1065">
        <v>14</v>
      </c>
      <c r="S1065">
        <v>512</v>
      </c>
      <c r="T1065">
        <v>183</v>
      </c>
      <c r="V1065">
        <v>713</v>
      </c>
    </row>
    <row r="1066" spans="1:22">
      <c r="A1066" s="32" t="s">
        <v>3074</v>
      </c>
      <c r="B1066" s="32" t="s">
        <v>2965</v>
      </c>
      <c r="C1066" s="32" t="s">
        <v>3075</v>
      </c>
      <c r="D1066" s="33">
        <v>69</v>
      </c>
      <c r="E1066" s="33">
        <v>225</v>
      </c>
      <c r="F1066" s="33">
        <v>2671</v>
      </c>
      <c r="G1066" s="33">
        <v>1221</v>
      </c>
      <c r="H1066" s="33">
        <v>75</v>
      </c>
      <c r="I1066" s="33">
        <v>4261</v>
      </c>
      <c r="K1066" t="b">
        <f>QHPSelections2016[[#This Row],[County Name]]=P1066</f>
        <v>1</v>
      </c>
      <c r="L1066" t="b">
        <f>QHPSelections2016[[#This Row],[Silver]]=S1066</f>
        <v>1</v>
      </c>
      <c r="N1066">
        <v>29165</v>
      </c>
      <c r="O1066" t="s">
        <v>2965</v>
      </c>
      <c r="P1066" t="s">
        <v>3075</v>
      </c>
      <c r="Q1066">
        <v>69</v>
      </c>
      <c r="R1066">
        <v>225</v>
      </c>
      <c r="S1066" s="51">
        <v>2671</v>
      </c>
      <c r="T1066" s="51">
        <v>1221</v>
      </c>
      <c r="U1066">
        <v>75</v>
      </c>
      <c r="V1066" s="51">
        <v>4261</v>
      </c>
    </row>
    <row r="1067" spans="1:22">
      <c r="A1067" s="32" t="s">
        <v>3076</v>
      </c>
      <c r="B1067" s="32" t="s">
        <v>2965</v>
      </c>
      <c r="C1067" s="32" t="s">
        <v>1098</v>
      </c>
      <c r="D1067" s="33" t="s">
        <v>1639</v>
      </c>
      <c r="E1067" s="33">
        <v>51</v>
      </c>
      <c r="F1067" s="33">
        <v>1169</v>
      </c>
      <c r="G1067" s="33">
        <v>367</v>
      </c>
      <c r="H1067" s="33" t="s">
        <v>1639</v>
      </c>
      <c r="I1067" s="33">
        <v>1593</v>
      </c>
      <c r="K1067" t="b">
        <f>QHPSelections2016[[#This Row],[County Name]]=P1067</f>
        <v>1</v>
      </c>
      <c r="L1067" t="b">
        <f>QHPSelections2016[[#This Row],[Silver]]=S1067</f>
        <v>1</v>
      </c>
      <c r="N1067">
        <v>29167</v>
      </c>
      <c r="O1067" t="s">
        <v>2965</v>
      </c>
      <c r="P1067" t="s">
        <v>1098</v>
      </c>
      <c r="R1067">
        <v>51</v>
      </c>
      <c r="S1067" s="51">
        <v>1169</v>
      </c>
      <c r="T1067">
        <v>367</v>
      </c>
      <c r="V1067" s="51">
        <v>1593</v>
      </c>
    </row>
    <row r="1068" spans="1:22">
      <c r="A1068" s="32" t="s">
        <v>3077</v>
      </c>
      <c r="B1068" s="32" t="s">
        <v>2965</v>
      </c>
      <c r="C1068" s="32" t="s">
        <v>1290</v>
      </c>
      <c r="D1068" s="33" t="s">
        <v>1639</v>
      </c>
      <c r="E1068" s="33">
        <v>25</v>
      </c>
      <c r="F1068" s="33">
        <v>746</v>
      </c>
      <c r="G1068" s="33">
        <v>282</v>
      </c>
      <c r="H1068" s="33" t="s">
        <v>1639</v>
      </c>
      <c r="I1068" s="33">
        <v>1061</v>
      </c>
      <c r="K1068" t="b">
        <f>QHPSelections2016[[#This Row],[County Name]]=P1068</f>
        <v>1</v>
      </c>
      <c r="L1068" t="b">
        <f>QHPSelections2016[[#This Row],[Silver]]=S1068</f>
        <v>1</v>
      </c>
      <c r="N1068">
        <v>29169</v>
      </c>
      <c r="O1068" t="s">
        <v>2965</v>
      </c>
      <c r="P1068" t="s">
        <v>1290</v>
      </c>
      <c r="R1068">
        <v>25</v>
      </c>
      <c r="S1068">
        <v>746</v>
      </c>
      <c r="T1068">
        <v>282</v>
      </c>
      <c r="V1068" s="51">
        <v>1061</v>
      </c>
    </row>
    <row r="1069" spans="1:22">
      <c r="A1069" s="32" t="s">
        <v>3078</v>
      </c>
      <c r="B1069" s="32" t="s">
        <v>2965</v>
      </c>
      <c r="C1069" s="32" t="s">
        <v>1103</v>
      </c>
      <c r="D1069" s="33" t="s">
        <v>1639</v>
      </c>
      <c r="E1069" s="33" t="s">
        <v>1639</v>
      </c>
      <c r="F1069" s="33">
        <v>149</v>
      </c>
      <c r="G1069" s="33">
        <v>54</v>
      </c>
      <c r="H1069" s="33">
        <v>0</v>
      </c>
      <c r="I1069" s="33">
        <v>207</v>
      </c>
      <c r="K1069" t="b">
        <f>QHPSelections2016[[#This Row],[County Name]]=P1069</f>
        <v>1</v>
      </c>
      <c r="L1069" t="b">
        <f>QHPSelections2016[[#This Row],[Silver]]=S1069</f>
        <v>1</v>
      </c>
      <c r="N1069">
        <v>29171</v>
      </c>
      <c r="O1069" t="s">
        <v>2965</v>
      </c>
      <c r="P1069" t="s">
        <v>1103</v>
      </c>
      <c r="S1069">
        <v>149</v>
      </c>
      <c r="T1069">
        <v>54</v>
      </c>
      <c r="U1069">
        <v>0</v>
      </c>
      <c r="V1069">
        <v>207</v>
      </c>
    </row>
    <row r="1070" spans="1:22">
      <c r="A1070" s="32" t="s">
        <v>3079</v>
      </c>
      <c r="B1070" s="32" t="s">
        <v>2965</v>
      </c>
      <c r="C1070" s="32" t="s">
        <v>3080</v>
      </c>
      <c r="D1070" s="33" t="s">
        <v>1639</v>
      </c>
      <c r="E1070" s="33">
        <v>12</v>
      </c>
      <c r="F1070" s="33">
        <v>295</v>
      </c>
      <c r="G1070" s="33">
        <v>138</v>
      </c>
      <c r="H1070" s="33" t="s">
        <v>1639</v>
      </c>
      <c r="I1070" s="33">
        <v>447</v>
      </c>
      <c r="K1070" t="b">
        <f>QHPSelections2016[[#This Row],[County Name]]=P1070</f>
        <v>1</v>
      </c>
      <c r="L1070" t="b">
        <f>QHPSelections2016[[#This Row],[Silver]]=S1070</f>
        <v>1</v>
      </c>
      <c r="N1070">
        <v>29173</v>
      </c>
      <c r="O1070" t="s">
        <v>2965</v>
      </c>
      <c r="P1070" t="s">
        <v>3080</v>
      </c>
      <c r="R1070">
        <v>12</v>
      </c>
      <c r="S1070">
        <v>295</v>
      </c>
      <c r="T1070">
        <v>138</v>
      </c>
      <c r="V1070">
        <v>447</v>
      </c>
    </row>
    <row r="1071" spans="1:22">
      <c r="A1071" s="32" t="s">
        <v>3081</v>
      </c>
      <c r="B1071" s="32" t="s">
        <v>2965</v>
      </c>
      <c r="C1071" s="32" t="s">
        <v>1115</v>
      </c>
      <c r="D1071" s="33" t="s">
        <v>1639</v>
      </c>
      <c r="E1071" s="33">
        <v>27</v>
      </c>
      <c r="F1071" s="33">
        <v>668</v>
      </c>
      <c r="G1071" s="33">
        <v>149</v>
      </c>
      <c r="H1071" s="33" t="s">
        <v>1639</v>
      </c>
      <c r="I1071" s="33">
        <v>845</v>
      </c>
      <c r="K1071" t="b">
        <f>QHPSelections2016[[#This Row],[County Name]]=P1071</f>
        <v>1</v>
      </c>
      <c r="L1071" t="b">
        <f>QHPSelections2016[[#This Row],[Silver]]=S1071</f>
        <v>1</v>
      </c>
      <c r="N1071">
        <v>29175</v>
      </c>
      <c r="O1071" t="s">
        <v>2965</v>
      </c>
      <c r="P1071" t="s">
        <v>1115</v>
      </c>
      <c r="R1071">
        <v>27</v>
      </c>
      <c r="S1071">
        <v>668</v>
      </c>
      <c r="T1071">
        <v>149</v>
      </c>
      <c r="V1071">
        <v>845</v>
      </c>
    </row>
    <row r="1072" spans="1:22">
      <c r="A1072" s="32" t="s">
        <v>3082</v>
      </c>
      <c r="B1072" s="32" t="s">
        <v>2965</v>
      </c>
      <c r="C1072" s="32" t="s">
        <v>3083</v>
      </c>
      <c r="D1072" s="33">
        <v>0</v>
      </c>
      <c r="E1072" s="33">
        <v>44</v>
      </c>
      <c r="F1072" s="33">
        <v>841</v>
      </c>
      <c r="G1072" s="33">
        <v>296</v>
      </c>
      <c r="H1072" s="33">
        <v>0</v>
      </c>
      <c r="I1072" s="33">
        <v>1181</v>
      </c>
      <c r="K1072" t="b">
        <f>QHPSelections2016[[#This Row],[County Name]]=P1072</f>
        <v>1</v>
      </c>
      <c r="L1072" t="b">
        <f>QHPSelections2016[[#This Row],[Silver]]=S1072</f>
        <v>1</v>
      </c>
      <c r="N1072">
        <v>29177</v>
      </c>
      <c r="O1072" t="s">
        <v>2965</v>
      </c>
      <c r="P1072" t="s">
        <v>3083</v>
      </c>
      <c r="Q1072">
        <v>0</v>
      </c>
      <c r="R1072">
        <v>44</v>
      </c>
      <c r="S1072">
        <v>841</v>
      </c>
      <c r="T1072">
        <v>296</v>
      </c>
      <c r="U1072">
        <v>0</v>
      </c>
      <c r="V1072" s="51">
        <v>1181</v>
      </c>
    </row>
    <row r="1073" spans="1:22">
      <c r="A1073" s="32" t="s">
        <v>3084</v>
      </c>
      <c r="B1073" s="32" t="s">
        <v>2965</v>
      </c>
      <c r="C1073" s="32" t="s">
        <v>3085</v>
      </c>
      <c r="D1073" s="33">
        <v>0</v>
      </c>
      <c r="E1073" s="33" t="s">
        <v>1639</v>
      </c>
      <c r="F1073" s="33">
        <v>232</v>
      </c>
      <c r="G1073" s="33">
        <v>37</v>
      </c>
      <c r="H1073" s="33" t="s">
        <v>1639</v>
      </c>
      <c r="I1073" s="33">
        <v>273</v>
      </c>
      <c r="K1073" t="b">
        <f>QHPSelections2016[[#This Row],[County Name]]=P1073</f>
        <v>1</v>
      </c>
      <c r="L1073" t="b">
        <f>QHPSelections2016[[#This Row],[Silver]]=S1073</f>
        <v>1</v>
      </c>
      <c r="N1073">
        <v>29179</v>
      </c>
      <c r="O1073" t="s">
        <v>2965</v>
      </c>
      <c r="P1073" t="s">
        <v>3085</v>
      </c>
      <c r="Q1073">
        <v>0</v>
      </c>
      <c r="S1073">
        <v>232</v>
      </c>
      <c r="T1073">
        <v>37</v>
      </c>
      <c r="V1073">
        <v>273</v>
      </c>
    </row>
    <row r="1074" spans="1:22">
      <c r="A1074" s="32" t="s">
        <v>3086</v>
      </c>
      <c r="B1074" s="32" t="s">
        <v>2965</v>
      </c>
      <c r="C1074" s="32" t="s">
        <v>2526</v>
      </c>
      <c r="D1074" s="33">
        <v>0</v>
      </c>
      <c r="E1074" s="33" t="s">
        <v>1639</v>
      </c>
      <c r="F1074" s="33">
        <v>347</v>
      </c>
      <c r="G1074" s="33">
        <v>121</v>
      </c>
      <c r="H1074" s="33" t="s">
        <v>1639</v>
      </c>
      <c r="I1074" s="33">
        <v>475</v>
      </c>
      <c r="K1074" t="b">
        <f>QHPSelections2016[[#This Row],[County Name]]=P1074</f>
        <v>1</v>
      </c>
      <c r="L1074" t="b">
        <f>QHPSelections2016[[#This Row],[Silver]]=S1074</f>
        <v>1</v>
      </c>
      <c r="N1074">
        <v>29181</v>
      </c>
      <c r="O1074" t="s">
        <v>2965</v>
      </c>
      <c r="P1074" t="s">
        <v>2526</v>
      </c>
      <c r="Q1074">
        <v>0</v>
      </c>
      <c r="S1074">
        <v>347</v>
      </c>
      <c r="T1074">
        <v>121</v>
      </c>
      <c r="V1074">
        <v>475</v>
      </c>
    </row>
    <row r="1075" spans="1:22">
      <c r="A1075" s="32" t="s">
        <v>3087</v>
      </c>
      <c r="B1075" s="32" t="s">
        <v>2965</v>
      </c>
      <c r="C1075" s="32" t="s">
        <v>3088</v>
      </c>
      <c r="D1075" s="33">
        <v>0</v>
      </c>
      <c r="E1075" s="33">
        <v>1333</v>
      </c>
      <c r="F1075" s="33">
        <v>10714</v>
      </c>
      <c r="G1075" s="33">
        <v>3828</v>
      </c>
      <c r="H1075" s="33">
        <v>12</v>
      </c>
      <c r="I1075" s="33">
        <v>15887</v>
      </c>
      <c r="K1075" t="b">
        <f>QHPSelections2016[[#This Row],[County Name]]=P1075</f>
        <v>0</v>
      </c>
      <c r="L1075" t="b">
        <f>QHPSelections2016[[#This Row],[Silver]]=S1075</f>
        <v>0</v>
      </c>
      <c r="N1075">
        <v>29195</v>
      </c>
      <c r="O1075" t="s">
        <v>2965</v>
      </c>
      <c r="P1075" t="s">
        <v>1855</v>
      </c>
      <c r="Q1075">
        <v>0</v>
      </c>
      <c r="R1075">
        <v>26</v>
      </c>
      <c r="S1075">
        <v>551</v>
      </c>
      <c r="T1075">
        <v>219</v>
      </c>
      <c r="U1075">
        <v>0</v>
      </c>
      <c r="V1075">
        <v>796</v>
      </c>
    </row>
    <row r="1076" spans="1:22">
      <c r="A1076" s="32" t="s">
        <v>3089</v>
      </c>
      <c r="B1076" s="32" t="s">
        <v>2965</v>
      </c>
      <c r="C1076" s="32" t="s">
        <v>1123</v>
      </c>
      <c r="D1076" s="33">
        <v>0</v>
      </c>
      <c r="E1076" s="33">
        <v>12</v>
      </c>
      <c r="F1076" s="33">
        <v>267</v>
      </c>
      <c r="G1076" s="33">
        <v>152</v>
      </c>
      <c r="H1076" s="33">
        <v>0</v>
      </c>
      <c r="I1076" s="33">
        <v>431</v>
      </c>
      <c r="K1076" t="b">
        <f>QHPSelections2016[[#This Row],[County Name]]=P1076</f>
        <v>0</v>
      </c>
      <c r="L1076" t="b">
        <f>QHPSelections2016[[#This Row],[Silver]]=S1076</f>
        <v>0</v>
      </c>
      <c r="N1076">
        <v>29197</v>
      </c>
      <c r="O1076" t="s">
        <v>2965</v>
      </c>
      <c r="P1076" t="s">
        <v>2408</v>
      </c>
      <c r="R1076">
        <v>0</v>
      </c>
      <c r="S1076">
        <v>158</v>
      </c>
      <c r="T1076">
        <v>41</v>
      </c>
      <c r="V1076">
        <v>200</v>
      </c>
    </row>
    <row r="1077" spans="1:22">
      <c r="A1077" s="32" t="s">
        <v>3090</v>
      </c>
      <c r="B1077" s="32" t="s">
        <v>2965</v>
      </c>
      <c r="C1077" s="32" t="s">
        <v>3091</v>
      </c>
      <c r="D1077" s="33">
        <v>0</v>
      </c>
      <c r="E1077" s="33">
        <v>33</v>
      </c>
      <c r="F1077" s="33">
        <v>494</v>
      </c>
      <c r="G1077" s="33">
        <v>147</v>
      </c>
      <c r="H1077" s="33">
        <v>0</v>
      </c>
      <c r="I1077" s="33">
        <v>674</v>
      </c>
      <c r="K1077" t="b">
        <f>QHPSelections2016[[#This Row],[County Name]]=P1077</f>
        <v>0</v>
      </c>
      <c r="L1077" t="b">
        <f>QHPSelections2016[[#This Row],[Silver]]=S1077</f>
        <v>0</v>
      </c>
      <c r="N1077">
        <v>29199</v>
      </c>
      <c r="O1077" t="s">
        <v>2965</v>
      </c>
      <c r="P1077" t="s">
        <v>1229</v>
      </c>
      <c r="Q1077">
        <v>0</v>
      </c>
      <c r="S1077">
        <v>193</v>
      </c>
      <c r="T1077">
        <v>75</v>
      </c>
      <c r="V1077">
        <v>272</v>
      </c>
    </row>
    <row r="1078" spans="1:22">
      <c r="A1078" s="32" t="s">
        <v>3092</v>
      </c>
      <c r="B1078" s="32" t="s">
        <v>2965</v>
      </c>
      <c r="C1078" s="32" t="s">
        <v>3093</v>
      </c>
      <c r="D1078" s="33" t="s">
        <v>1639</v>
      </c>
      <c r="E1078" s="33">
        <v>60</v>
      </c>
      <c r="F1078" s="33">
        <v>1464</v>
      </c>
      <c r="G1078" s="33">
        <v>433</v>
      </c>
      <c r="H1078" s="33" t="s">
        <v>1639</v>
      </c>
      <c r="I1078" s="33">
        <v>1963</v>
      </c>
      <c r="K1078" t="b">
        <f>QHPSelections2016[[#This Row],[County Name]]=P1078</f>
        <v>0</v>
      </c>
      <c r="L1078" t="b">
        <f>QHPSelections2016[[#This Row],[Silver]]=S1078</f>
        <v>0</v>
      </c>
      <c r="N1078">
        <v>29201</v>
      </c>
      <c r="O1078" t="s">
        <v>2965</v>
      </c>
      <c r="P1078" t="s">
        <v>1146</v>
      </c>
      <c r="Q1078">
        <v>0</v>
      </c>
      <c r="R1078">
        <v>53</v>
      </c>
      <c r="S1078">
        <v>908</v>
      </c>
      <c r="T1078">
        <v>282</v>
      </c>
      <c r="U1078">
        <v>0</v>
      </c>
      <c r="V1078" s="51">
        <v>1243</v>
      </c>
    </row>
    <row r="1079" spans="1:22">
      <c r="A1079" s="32" t="s">
        <v>3094</v>
      </c>
      <c r="B1079" s="32" t="s">
        <v>2965</v>
      </c>
      <c r="C1079" s="32" t="s">
        <v>3095</v>
      </c>
      <c r="D1079" s="33">
        <v>0</v>
      </c>
      <c r="E1079" s="33">
        <v>4071</v>
      </c>
      <c r="F1079" s="33">
        <v>33843</v>
      </c>
      <c r="G1079" s="33">
        <v>17726</v>
      </c>
      <c r="H1079" s="33">
        <v>81</v>
      </c>
      <c r="I1079" s="33">
        <v>55721</v>
      </c>
      <c r="K1079" t="b">
        <f>QHPSelections2016[[#This Row],[County Name]]=P1079</f>
        <v>0</v>
      </c>
      <c r="L1079" t="b">
        <f>QHPSelections2016[[#This Row],[Silver]]=S1079</f>
        <v>0</v>
      </c>
      <c r="N1079">
        <v>29203</v>
      </c>
      <c r="O1079" t="s">
        <v>2965</v>
      </c>
      <c r="P1079" t="s">
        <v>3101</v>
      </c>
      <c r="Q1079">
        <v>0</v>
      </c>
      <c r="S1079">
        <v>528</v>
      </c>
      <c r="T1079">
        <v>131</v>
      </c>
      <c r="V1079">
        <v>670</v>
      </c>
    </row>
    <row r="1080" spans="1:22">
      <c r="A1080" s="32" t="s">
        <v>3096</v>
      </c>
      <c r="B1080" s="32" t="s">
        <v>2965</v>
      </c>
      <c r="C1080" s="32" t="s">
        <v>1855</v>
      </c>
      <c r="D1080" s="33">
        <v>0</v>
      </c>
      <c r="E1080" s="33">
        <v>26</v>
      </c>
      <c r="F1080" s="33">
        <v>551</v>
      </c>
      <c r="G1080" s="33">
        <v>219</v>
      </c>
      <c r="H1080" s="33">
        <v>0</v>
      </c>
      <c r="I1080" s="33">
        <v>796</v>
      </c>
      <c r="K1080" t="b">
        <f>QHPSelections2016[[#This Row],[County Name]]=P1080</f>
        <v>0</v>
      </c>
      <c r="L1080" t="b">
        <f>QHPSelections2016[[#This Row],[Silver]]=S1080</f>
        <v>0</v>
      </c>
      <c r="N1080">
        <v>29205</v>
      </c>
      <c r="O1080" t="s">
        <v>2965</v>
      </c>
      <c r="P1080" t="s">
        <v>1126</v>
      </c>
      <c r="S1080">
        <v>338</v>
      </c>
      <c r="T1080">
        <v>88</v>
      </c>
      <c r="U1080">
        <v>0</v>
      </c>
      <c r="V1080">
        <v>432</v>
      </c>
    </row>
    <row r="1081" spans="1:22">
      <c r="A1081" s="32" t="s">
        <v>3097</v>
      </c>
      <c r="B1081" s="32" t="s">
        <v>2965</v>
      </c>
      <c r="C1081" s="32" t="s">
        <v>2408</v>
      </c>
      <c r="D1081" s="33" t="s">
        <v>1639</v>
      </c>
      <c r="E1081" s="33">
        <v>0</v>
      </c>
      <c r="F1081" s="33">
        <v>158</v>
      </c>
      <c r="G1081" s="33">
        <v>41</v>
      </c>
      <c r="H1081" s="33" t="s">
        <v>1639</v>
      </c>
      <c r="I1081" s="33">
        <v>200</v>
      </c>
      <c r="K1081" t="b">
        <f>QHPSelections2016[[#This Row],[County Name]]=P1081</f>
        <v>0</v>
      </c>
      <c r="L1081" t="b">
        <f>QHPSelections2016[[#This Row],[Silver]]=S1081</f>
        <v>0</v>
      </c>
      <c r="N1081">
        <v>29183</v>
      </c>
      <c r="O1081" t="s">
        <v>2965</v>
      </c>
      <c r="P1081" t="s">
        <v>3088</v>
      </c>
      <c r="Q1081">
        <v>0</v>
      </c>
      <c r="R1081" s="51">
        <v>1333</v>
      </c>
      <c r="S1081" s="51">
        <v>10714</v>
      </c>
      <c r="T1081" s="51">
        <v>3828</v>
      </c>
      <c r="U1081">
        <v>12</v>
      </c>
      <c r="V1081" s="51">
        <v>15887</v>
      </c>
    </row>
    <row r="1082" spans="1:22">
      <c r="A1082" s="32" t="s">
        <v>3098</v>
      </c>
      <c r="B1082" s="32" t="s">
        <v>2965</v>
      </c>
      <c r="C1082" s="32" t="s">
        <v>1229</v>
      </c>
      <c r="D1082" s="33">
        <v>0</v>
      </c>
      <c r="E1082" s="33" t="s">
        <v>1639</v>
      </c>
      <c r="F1082" s="33">
        <v>193</v>
      </c>
      <c r="G1082" s="33">
        <v>75</v>
      </c>
      <c r="H1082" s="33" t="s">
        <v>1639</v>
      </c>
      <c r="I1082" s="33">
        <v>272</v>
      </c>
      <c r="K1082" t="b">
        <f>QHPSelections2016[[#This Row],[County Name]]=P1082</f>
        <v>0</v>
      </c>
      <c r="L1082" t="b">
        <f>QHPSelections2016[[#This Row],[Silver]]=S1082</f>
        <v>0</v>
      </c>
      <c r="N1082">
        <v>29185</v>
      </c>
      <c r="O1082" t="s">
        <v>2965</v>
      </c>
      <c r="P1082" t="s">
        <v>1123</v>
      </c>
      <c r="Q1082">
        <v>0</v>
      </c>
      <c r="R1082">
        <v>12</v>
      </c>
      <c r="S1082">
        <v>267</v>
      </c>
      <c r="T1082">
        <v>152</v>
      </c>
      <c r="U1082">
        <v>0</v>
      </c>
      <c r="V1082">
        <v>431</v>
      </c>
    </row>
    <row r="1083" spans="1:22">
      <c r="A1083" s="32" t="s">
        <v>3099</v>
      </c>
      <c r="B1083" s="32" t="s">
        <v>2965</v>
      </c>
      <c r="C1083" s="32" t="s">
        <v>1146</v>
      </c>
      <c r="D1083" s="33">
        <v>0</v>
      </c>
      <c r="E1083" s="33">
        <v>53</v>
      </c>
      <c r="F1083" s="33">
        <v>908</v>
      </c>
      <c r="G1083" s="33">
        <v>282</v>
      </c>
      <c r="H1083" s="33">
        <v>0</v>
      </c>
      <c r="I1083" s="33">
        <v>1243</v>
      </c>
      <c r="K1083" t="b">
        <f>QHPSelections2016[[#This Row],[County Name]]=P1083</f>
        <v>0</v>
      </c>
      <c r="L1083" t="b">
        <f>QHPSelections2016[[#This Row],[Silver]]=S1083</f>
        <v>0</v>
      </c>
      <c r="N1083">
        <v>29187</v>
      </c>
      <c r="O1083" t="s">
        <v>2965</v>
      </c>
      <c r="P1083" t="s">
        <v>3093</v>
      </c>
      <c r="R1083">
        <v>60</v>
      </c>
      <c r="S1083" s="51">
        <v>1464</v>
      </c>
      <c r="T1083">
        <v>433</v>
      </c>
      <c r="V1083" s="51">
        <v>1963</v>
      </c>
    </row>
    <row r="1084" spans="1:22">
      <c r="A1084" s="32" t="s">
        <v>3100</v>
      </c>
      <c r="B1084" s="32" t="s">
        <v>2965</v>
      </c>
      <c r="C1084" s="32" t="s">
        <v>3101</v>
      </c>
      <c r="D1084" s="33">
        <v>0</v>
      </c>
      <c r="E1084" s="33" t="s">
        <v>1639</v>
      </c>
      <c r="F1084" s="33">
        <v>528</v>
      </c>
      <c r="G1084" s="33">
        <v>131</v>
      </c>
      <c r="H1084" s="33" t="s">
        <v>1639</v>
      </c>
      <c r="I1084" s="33">
        <v>670</v>
      </c>
      <c r="K1084" t="b">
        <f>QHPSelections2016[[#This Row],[County Name]]=P1084</f>
        <v>0</v>
      </c>
      <c r="L1084" t="b">
        <f>QHPSelections2016[[#This Row],[Silver]]=S1084</f>
        <v>0</v>
      </c>
      <c r="N1084">
        <v>29510</v>
      </c>
      <c r="O1084" t="s">
        <v>2965</v>
      </c>
      <c r="P1084" t="s">
        <v>3120</v>
      </c>
      <c r="Q1084">
        <v>0</v>
      </c>
      <c r="R1084">
        <v>979</v>
      </c>
      <c r="S1084" s="51">
        <v>11360</v>
      </c>
      <c r="T1084" s="51">
        <v>7146</v>
      </c>
      <c r="U1084">
        <v>28</v>
      </c>
      <c r="V1084" s="51">
        <v>19513</v>
      </c>
    </row>
    <row r="1085" spans="1:22">
      <c r="A1085" s="32" t="s">
        <v>3102</v>
      </c>
      <c r="B1085" s="32" t="s">
        <v>2965</v>
      </c>
      <c r="C1085" s="32" t="s">
        <v>1126</v>
      </c>
      <c r="D1085" s="33" t="s">
        <v>1639</v>
      </c>
      <c r="E1085" s="33" t="s">
        <v>1639</v>
      </c>
      <c r="F1085" s="33">
        <v>338</v>
      </c>
      <c r="G1085" s="33">
        <v>88</v>
      </c>
      <c r="H1085" s="33">
        <v>0</v>
      </c>
      <c r="I1085" s="33">
        <v>432</v>
      </c>
      <c r="K1085" t="b">
        <f>QHPSelections2016[[#This Row],[County Name]]=P1085</f>
        <v>0</v>
      </c>
      <c r="L1085" t="b">
        <f>QHPSelections2016[[#This Row],[Silver]]=S1085</f>
        <v>0</v>
      </c>
      <c r="N1085">
        <v>29189</v>
      </c>
      <c r="O1085" t="s">
        <v>2965</v>
      </c>
      <c r="P1085" t="s">
        <v>3095</v>
      </c>
      <c r="Q1085">
        <v>0</v>
      </c>
      <c r="R1085" s="51">
        <v>4071</v>
      </c>
      <c r="S1085" s="51">
        <v>33843</v>
      </c>
      <c r="T1085" s="51">
        <v>17726</v>
      </c>
      <c r="U1085">
        <v>81</v>
      </c>
      <c r="V1085" s="51">
        <v>55721</v>
      </c>
    </row>
    <row r="1086" spans="1:22">
      <c r="A1086" s="32" t="s">
        <v>3103</v>
      </c>
      <c r="B1086" s="32" t="s">
        <v>2965</v>
      </c>
      <c r="C1086" s="32" t="s">
        <v>3104</v>
      </c>
      <c r="D1086" s="33" t="s">
        <v>1639</v>
      </c>
      <c r="E1086" s="33">
        <v>40</v>
      </c>
      <c r="F1086" s="33">
        <v>926</v>
      </c>
      <c r="G1086" s="33">
        <v>207</v>
      </c>
      <c r="H1086" s="33" t="s">
        <v>1639</v>
      </c>
      <c r="I1086" s="33">
        <v>1174</v>
      </c>
      <c r="K1086" t="b">
        <f>QHPSelections2016[[#This Row],[County Name]]=P1086</f>
        <v>0</v>
      </c>
      <c r="L1086" t="b">
        <f>QHPSelections2016[[#This Row],[Silver]]=S1086</f>
        <v>0</v>
      </c>
      <c r="N1086">
        <v>29186</v>
      </c>
      <c r="O1086" t="s">
        <v>2965</v>
      </c>
      <c r="P1086" t="s">
        <v>3091</v>
      </c>
      <c r="Q1086">
        <v>0</v>
      </c>
      <c r="R1086">
        <v>33</v>
      </c>
      <c r="S1086">
        <v>494</v>
      </c>
      <c r="T1086">
        <v>147</v>
      </c>
      <c r="U1086">
        <v>0</v>
      </c>
      <c r="V1086">
        <v>674</v>
      </c>
    </row>
    <row r="1087" spans="1:22">
      <c r="A1087" s="32" t="s">
        <v>3105</v>
      </c>
      <c r="B1087" s="32" t="s">
        <v>2965</v>
      </c>
      <c r="C1087" s="32" t="s">
        <v>1168</v>
      </c>
      <c r="D1087" s="33" t="s">
        <v>1639</v>
      </c>
      <c r="E1087" s="33">
        <v>84</v>
      </c>
      <c r="F1087" s="33">
        <v>1788</v>
      </c>
      <c r="G1087" s="33">
        <v>602</v>
      </c>
      <c r="H1087" s="33" t="s">
        <v>1639</v>
      </c>
      <c r="I1087" s="33">
        <v>2475</v>
      </c>
      <c r="K1087" t="b">
        <f>QHPSelections2016[[#This Row],[County Name]]=P1087</f>
        <v>0</v>
      </c>
      <c r="L1087" t="b">
        <f>QHPSelections2016[[#This Row],[Silver]]=S1087</f>
        <v>0</v>
      </c>
      <c r="N1087">
        <v>29207</v>
      </c>
      <c r="O1087" t="s">
        <v>2965</v>
      </c>
      <c r="P1087" t="s">
        <v>3104</v>
      </c>
      <c r="R1087">
        <v>40</v>
      </c>
      <c r="S1087">
        <v>926</v>
      </c>
      <c r="T1087">
        <v>207</v>
      </c>
      <c r="V1087" s="51">
        <v>1174</v>
      </c>
    </row>
    <row r="1088" spans="1:22">
      <c r="A1088" s="32" t="s">
        <v>3106</v>
      </c>
      <c r="B1088" s="32" t="s">
        <v>2965</v>
      </c>
      <c r="C1088" s="32" t="s">
        <v>1227</v>
      </c>
      <c r="D1088" s="33" t="s">
        <v>1639</v>
      </c>
      <c r="E1088" s="33" t="s">
        <v>1639</v>
      </c>
      <c r="F1088" s="33">
        <v>197</v>
      </c>
      <c r="G1088" s="33">
        <v>60</v>
      </c>
      <c r="H1088" s="33">
        <v>0</v>
      </c>
      <c r="I1088" s="33">
        <v>258</v>
      </c>
      <c r="K1088" t="b">
        <f>QHPSelections2016[[#This Row],[County Name]]=P1088</f>
        <v>0</v>
      </c>
      <c r="L1088" t="b">
        <f>QHPSelections2016[[#This Row],[Silver]]=S1088</f>
        <v>0</v>
      </c>
      <c r="N1088">
        <v>29209</v>
      </c>
      <c r="O1088" t="s">
        <v>2965</v>
      </c>
      <c r="P1088" t="s">
        <v>1168</v>
      </c>
      <c r="R1088">
        <v>84</v>
      </c>
      <c r="S1088" s="51">
        <v>1788</v>
      </c>
      <c r="T1088">
        <v>602</v>
      </c>
      <c r="V1088" s="51">
        <v>2475</v>
      </c>
    </row>
    <row r="1089" spans="1:22">
      <c r="A1089" s="32" t="s">
        <v>3107</v>
      </c>
      <c r="B1089" s="32" t="s">
        <v>2965</v>
      </c>
      <c r="C1089" s="32" t="s">
        <v>3108</v>
      </c>
      <c r="D1089" s="33" t="s">
        <v>1639</v>
      </c>
      <c r="E1089" s="33">
        <v>91</v>
      </c>
      <c r="F1089" s="33">
        <v>3031</v>
      </c>
      <c r="G1089" s="33">
        <v>1126</v>
      </c>
      <c r="H1089" s="33" t="s">
        <v>1639</v>
      </c>
      <c r="I1089" s="33">
        <v>4249</v>
      </c>
      <c r="K1089" t="b">
        <f>QHPSelections2016[[#This Row],[County Name]]=P1089</f>
        <v>0</v>
      </c>
      <c r="L1089" t="b">
        <f>QHPSelections2016[[#This Row],[Silver]]=S1089</f>
        <v>0</v>
      </c>
      <c r="N1089">
        <v>29211</v>
      </c>
      <c r="O1089" t="s">
        <v>2965</v>
      </c>
      <c r="P1089" t="s">
        <v>1227</v>
      </c>
      <c r="S1089">
        <v>197</v>
      </c>
      <c r="T1089">
        <v>60</v>
      </c>
      <c r="U1089">
        <v>0</v>
      </c>
      <c r="V1089">
        <v>258</v>
      </c>
    </row>
    <row r="1090" spans="1:22">
      <c r="A1090" s="32" t="s">
        <v>3109</v>
      </c>
      <c r="B1090" s="32" t="s">
        <v>2965</v>
      </c>
      <c r="C1090" s="32" t="s">
        <v>3110</v>
      </c>
      <c r="D1090" s="33">
        <v>0</v>
      </c>
      <c r="E1090" s="33" t="s">
        <v>1639</v>
      </c>
      <c r="F1090" s="33">
        <v>827</v>
      </c>
      <c r="G1090" s="33">
        <v>214</v>
      </c>
      <c r="H1090" s="33" t="s">
        <v>1639</v>
      </c>
      <c r="I1090" s="33">
        <v>1049</v>
      </c>
      <c r="K1090" t="b">
        <f>QHPSelections2016[[#This Row],[County Name]]=P1090</f>
        <v>0</v>
      </c>
      <c r="L1090" t="b">
        <f>QHPSelections2016[[#This Row],[Silver]]=S1090</f>
        <v>0</v>
      </c>
      <c r="N1090">
        <v>29213</v>
      </c>
      <c r="O1090" t="s">
        <v>2965</v>
      </c>
      <c r="P1090" t="s">
        <v>3108</v>
      </c>
      <c r="R1090">
        <v>91</v>
      </c>
      <c r="S1090" s="51">
        <v>3031</v>
      </c>
      <c r="T1090" s="51">
        <v>1126</v>
      </c>
      <c r="V1090" s="51">
        <v>4249</v>
      </c>
    </row>
    <row r="1091" spans="1:22">
      <c r="A1091" s="32" t="s">
        <v>3111</v>
      </c>
      <c r="B1091" s="32" t="s">
        <v>2965</v>
      </c>
      <c r="C1091" s="32" t="s">
        <v>3112</v>
      </c>
      <c r="D1091" s="33">
        <v>0</v>
      </c>
      <c r="E1091" s="33">
        <v>23</v>
      </c>
      <c r="F1091" s="33">
        <v>523</v>
      </c>
      <c r="G1091" s="33">
        <v>273</v>
      </c>
      <c r="H1091" s="33">
        <v>0</v>
      </c>
      <c r="I1091" s="33">
        <v>819</v>
      </c>
      <c r="K1091" t="b">
        <f>QHPSelections2016[[#This Row],[County Name]]=P1091</f>
        <v>0</v>
      </c>
      <c r="L1091" t="b">
        <f>QHPSelections2016[[#This Row],[Silver]]=S1091</f>
        <v>0</v>
      </c>
      <c r="N1091">
        <v>29215</v>
      </c>
      <c r="O1091" t="s">
        <v>2965</v>
      </c>
      <c r="P1091" t="s">
        <v>3110</v>
      </c>
      <c r="Q1091">
        <v>0</v>
      </c>
      <c r="S1091">
        <v>827</v>
      </c>
      <c r="T1091">
        <v>214</v>
      </c>
      <c r="V1091" s="51">
        <v>1049</v>
      </c>
    </row>
    <row r="1092" spans="1:22">
      <c r="A1092" s="32" t="s">
        <v>3113</v>
      </c>
      <c r="B1092" s="32" t="s">
        <v>2965</v>
      </c>
      <c r="C1092" s="32" t="s">
        <v>1205</v>
      </c>
      <c r="D1092" s="33" t="s">
        <v>1639</v>
      </c>
      <c r="E1092" s="33">
        <v>57</v>
      </c>
      <c r="F1092" s="33">
        <v>988</v>
      </c>
      <c r="G1092" s="33">
        <v>259</v>
      </c>
      <c r="H1092" s="33" t="s">
        <v>1639</v>
      </c>
      <c r="I1092" s="33">
        <v>1308</v>
      </c>
      <c r="K1092" t="b">
        <f>QHPSelections2016[[#This Row],[County Name]]=P1092</f>
        <v>0</v>
      </c>
      <c r="L1092" t="b">
        <f>QHPSelections2016[[#This Row],[Silver]]=S1092</f>
        <v>0</v>
      </c>
      <c r="N1092">
        <v>29217</v>
      </c>
      <c r="O1092" t="s">
        <v>2965</v>
      </c>
      <c r="P1092" t="s">
        <v>3112</v>
      </c>
      <c r="Q1092">
        <v>0</v>
      </c>
      <c r="R1092">
        <v>23</v>
      </c>
      <c r="S1092">
        <v>523</v>
      </c>
      <c r="T1092">
        <v>273</v>
      </c>
      <c r="U1092">
        <v>0</v>
      </c>
      <c r="V1092">
        <v>819</v>
      </c>
    </row>
    <row r="1093" spans="1:22">
      <c r="A1093" s="32" t="s">
        <v>3114</v>
      </c>
      <c r="B1093" s="32" t="s">
        <v>2965</v>
      </c>
      <c r="C1093" s="32" t="s">
        <v>1160</v>
      </c>
      <c r="D1093" s="33">
        <v>0</v>
      </c>
      <c r="E1093" s="33">
        <v>20</v>
      </c>
      <c r="F1093" s="33">
        <v>532</v>
      </c>
      <c r="G1093" s="33">
        <v>159</v>
      </c>
      <c r="H1093" s="33">
        <v>0</v>
      </c>
      <c r="I1093" s="33">
        <v>711</v>
      </c>
      <c r="K1093" t="b">
        <f>QHPSelections2016[[#This Row],[County Name]]=P1093</f>
        <v>0</v>
      </c>
      <c r="L1093" t="b">
        <f>QHPSelections2016[[#This Row],[Silver]]=S1093</f>
        <v>0</v>
      </c>
      <c r="N1093">
        <v>29219</v>
      </c>
      <c r="O1093" t="s">
        <v>2965</v>
      </c>
      <c r="P1093" t="s">
        <v>1205</v>
      </c>
      <c r="R1093">
        <v>57</v>
      </c>
      <c r="S1093">
        <v>988</v>
      </c>
      <c r="T1093">
        <v>259</v>
      </c>
      <c r="V1093" s="51">
        <v>1308</v>
      </c>
    </row>
    <row r="1094" spans="1:22">
      <c r="A1094" s="32" t="s">
        <v>3115</v>
      </c>
      <c r="B1094" s="32" t="s">
        <v>2965</v>
      </c>
      <c r="C1094" s="32" t="s">
        <v>1209</v>
      </c>
      <c r="D1094" s="33">
        <v>0</v>
      </c>
      <c r="E1094" s="33">
        <v>21</v>
      </c>
      <c r="F1094" s="33">
        <v>424</v>
      </c>
      <c r="G1094" s="33">
        <v>75</v>
      </c>
      <c r="H1094" s="33">
        <v>0</v>
      </c>
      <c r="I1094" s="33">
        <v>520</v>
      </c>
      <c r="K1094" t="b">
        <f>QHPSelections2016[[#This Row],[County Name]]=P1094</f>
        <v>0</v>
      </c>
      <c r="L1094" t="b">
        <f>QHPSelections2016[[#This Row],[Silver]]=S1094</f>
        <v>0</v>
      </c>
      <c r="N1094">
        <v>29221</v>
      </c>
      <c r="O1094" t="s">
        <v>2965</v>
      </c>
      <c r="P1094" t="s">
        <v>1160</v>
      </c>
      <c r="Q1094">
        <v>0</v>
      </c>
      <c r="R1094">
        <v>20</v>
      </c>
      <c r="S1094">
        <v>532</v>
      </c>
      <c r="T1094">
        <v>159</v>
      </c>
      <c r="U1094">
        <v>0</v>
      </c>
      <c r="V1094">
        <v>711</v>
      </c>
    </row>
    <row r="1095" spans="1:22">
      <c r="A1095" s="32" t="s">
        <v>3116</v>
      </c>
      <c r="B1095" s="32" t="s">
        <v>2965</v>
      </c>
      <c r="C1095" s="32" t="s">
        <v>1212</v>
      </c>
      <c r="D1095" s="33" t="s">
        <v>1639</v>
      </c>
      <c r="E1095" s="33">
        <v>49</v>
      </c>
      <c r="F1095" s="33">
        <v>1679</v>
      </c>
      <c r="G1095" s="33">
        <v>452</v>
      </c>
      <c r="H1095" s="33" t="s">
        <v>1639</v>
      </c>
      <c r="I1095" s="33">
        <v>2188</v>
      </c>
      <c r="K1095" t="b">
        <f>QHPSelections2016[[#This Row],[County Name]]=P1095</f>
        <v>0</v>
      </c>
      <c r="L1095" t="b">
        <f>QHPSelections2016[[#This Row],[Silver]]=S1095</f>
        <v>0</v>
      </c>
      <c r="N1095">
        <v>29223</v>
      </c>
      <c r="O1095" t="s">
        <v>2965</v>
      </c>
      <c r="P1095" t="s">
        <v>1209</v>
      </c>
      <c r="Q1095">
        <v>0</v>
      </c>
      <c r="R1095">
        <v>21</v>
      </c>
      <c r="S1095">
        <v>424</v>
      </c>
      <c r="T1095">
        <v>75</v>
      </c>
      <c r="U1095">
        <v>0</v>
      </c>
      <c r="V1095">
        <v>520</v>
      </c>
    </row>
    <row r="1096" spans="1:22">
      <c r="A1096" s="32" t="s">
        <v>3117</v>
      </c>
      <c r="B1096" s="32" t="s">
        <v>2965</v>
      </c>
      <c r="C1096" s="32" t="s">
        <v>1343</v>
      </c>
      <c r="D1096" s="33" t="s">
        <v>1639</v>
      </c>
      <c r="E1096" s="33" t="s">
        <v>1639</v>
      </c>
      <c r="F1096" s="33">
        <v>95</v>
      </c>
      <c r="G1096" s="33">
        <v>29</v>
      </c>
      <c r="H1096" s="33">
        <v>0</v>
      </c>
      <c r="I1096" s="33">
        <v>126</v>
      </c>
      <c r="K1096" t="b">
        <f>QHPSelections2016[[#This Row],[County Name]]=P1096</f>
        <v>0</v>
      </c>
      <c r="L1096" t="b">
        <f>QHPSelections2016[[#This Row],[Silver]]=S1096</f>
        <v>0</v>
      </c>
      <c r="N1096">
        <v>29225</v>
      </c>
      <c r="O1096" t="s">
        <v>2965</v>
      </c>
      <c r="P1096" t="s">
        <v>1212</v>
      </c>
      <c r="R1096">
        <v>49</v>
      </c>
      <c r="S1096" s="51">
        <v>1679</v>
      </c>
      <c r="T1096">
        <v>452</v>
      </c>
      <c r="V1096" s="51">
        <v>2188</v>
      </c>
    </row>
    <row r="1097" spans="1:22">
      <c r="A1097" s="32" t="s">
        <v>3118</v>
      </c>
      <c r="B1097" s="32" t="s">
        <v>2965</v>
      </c>
      <c r="C1097" s="32" t="s">
        <v>2291</v>
      </c>
      <c r="D1097" s="33" t="s">
        <v>1639</v>
      </c>
      <c r="E1097" s="33">
        <v>16</v>
      </c>
      <c r="F1097" s="33">
        <v>886</v>
      </c>
      <c r="G1097" s="33">
        <v>254</v>
      </c>
      <c r="H1097" s="33" t="s">
        <v>1639</v>
      </c>
      <c r="I1097" s="33">
        <v>1157</v>
      </c>
      <c r="K1097" t="b">
        <f>QHPSelections2016[[#This Row],[County Name]]=P1097</f>
        <v>0</v>
      </c>
      <c r="L1097" t="b">
        <f>QHPSelections2016[[#This Row],[Silver]]=S1097</f>
        <v>0</v>
      </c>
      <c r="N1097">
        <v>29227</v>
      </c>
      <c r="O1097" t="s">
        <v>2965</v>
      </c>
      <c r="P1097" t="s">
        <v>1343</v>
      </c>
      <c r="S1097">
        <v>95</v>
      </c>
      <c r="T1097">
        <v>29</v>
      </c>
      <c r="U1097">
        <v>0</v>
      </c>
      <c r="V1097">
        <v>126</v>
      </c>
    </row>
    <row r="1098" spans="1:22">
      <c r="A1098" s="32" t="s">
        <v>3119</v>
      </c>
      <c r="B1098" s="32" t="s">
        <v>2965</v>
      </c>
      <c r="C1098" s="32" t="s">
        <v>3120</v>
      </c>
      <c r="D1098" s="33">
        <v>0</v>
      </c>
      <c r="E1098" s="33">
        <v>979</v>
      </c>
      <c r="F1098" s="33">
        <v>11360</v>
      </c>
      <c r="G1098" s="33">
        <v>7146</v>
      </c>
      <c r="H1098" s="33">
        <v>28</v>
      </c>
      <c r="I1098" s="33">
        <v>19513</v>
      </c>
      <c r="K1098" t="b">
        <f>QHPSelections2016[[#This Row],[County Name]]=P1098</f>
        <v>0</v>
      </c>
      <c r="L1098" t="b">
        <f>QHPSelections2016[[#This Row],[Silver]]=S1098</f>
        <v>0</v>
      </c>
      <c r="N1098">
        <v>29229</v>
      </c>
      <c r="O1098" t="s">
        <v>2965</v>
      </c>
      <c r="P1098" t="s">
        <v>2291</v>
      </c>
      <c r="R1098">
        <v>16</v>
      </c>
      <c r="S1098">
        <v>886</v>
      </c>
      <c r="T1098">
        <v>254</v>
      </c>
      <c r="V1098" s="51">
        <v>1157</v>
      </c>
    </row>
    <row r="1099" spans="1:22">
      <c r="A1099" s="32" t="s">
        <v>3121</v>
      </c>
      <c r="B1099" s="32" t="s">
        <v>1541</v>
      </c>
      <c r="C1099" s="32" t="s">
        <v>820</v>
      </c>
      <c r="D1099" s="33">
        <v>0</v>
      </c>
      <c r="E1099" s="33">
        <v>69</v>
      </c>
      <c r="F1099" s="33">
        <v>1214</v>
      </c>
      <c r="G1099" s="33">
        <v>164</v>
      </c>
      <c r="H1099" s="33">
        <v>25</v>
      </c>
      <c r="I1099" s="33">
        <v>1472</v>
      </c>
      <c r="K1099" t="b">
        <f>QHPSelections2016[[#This Row],[County Name]]=P1099</f>
        <v>1</v>
      </c>
      <c r="L1099" t="b">
        <f>QHPSelections2016[[#This Row],[Silver]]=S1099</f>
        <v>1</v>
      </c>
      <c r="N1099">
        <v>28001</v>
      </c>
      <c r="O1099" t="s">
        <v>1541</v>
      </c>
      <c r="P1099" t="s">
        <v>820</v>
      </c>
      <c r="Q1099">
        <v>0</v>
      </c>
      <c r="R1099">
        <v>69</v>
      </c>
      <c r="S1099" s="51">
        <v>1214</v>
      </c>
      <c r="T1099">
        <v>164</v>
      </c>
      <c r="U1099">
        <v>25</v>
      </c>
      <c r="V1099" s="51">
        <v>1472</v>
      </c>
    </row>
    <row r="1100" spans="1:22">
      <c r="A1100" s="32" t="s">
        <v>3122</v>
      </c>
      <c r="B1100" s="32" t="s">
        <v>1541</v>
      </c>
      <c r="C1100" s="32" t="s">
        <v>826</v>
      </c>
      <c r="D1100" s="33" t="s">
        <v>1639</v>
      </c>
      <c r="E1100" s="33">
        <v>26</v>
      </c>
      <c r="F1100" s="33">
        <v>982</v>
      </c>
      <c r="G1100" s="33">
        <v>72</v>
      </c>
      <c r="H1100" s="33" t="s">
        <v>1639</v>
      </c>
      <c r="I1100" s="33">
        <v>1084</v>
      </c>
      <c r="K1100" t="b">
        <f>QHPSelections2016[[#This Row],[County Name]]=P1100</f>
        <v>1</v>
      </c>
      <c r="L1100" t="b">
        <f>QHPSelections2016[[#This Row],[Silver]]=S1100</f>
        <v>1</v>
      </c>
      <c r="N1100">
        <v>28003</v>
      </c>
      <c r="O1100" t="s">
        <v>1541</v>
      </c>
      <c r="P1100" t="s">
        <v>826</v>
      </c>
      <c r="R1100">
        <v>26</v>
      </c>
      <c r="S1100">
        <v>982</v>
      </c>
      <c r="T1100">
        <v>72</v>
      </c>
      <c r="V1100" s="51">
        <v>1084</v>
      </c>
    </row>
    <row r="1101" spans="1:22">
      <c r="A1101" s="32" t="s">
        <v>3123</v>
      </c>
      <c r="B1101" s="32" t="s">
        <v>1541</v>
      </c>
      <c r="C1101" s="32" t="s">
        <v>833</v>
      </c>
      <c r="D1101" s="33" t="s">
        <v>1639</v>
      </c>
      <c r="E1101" s="33">
        <v>11</v>
      </c>
      <c r="F1101" s="33">
        <v>388</v>
      </c>
      <c r="G1101" s="33">
        <v>45</v>
      </c>
      <c r="H1101" s="33" t="s">
        <v>1639</v>
      </c>
      <c r="I1101" s="33">
        <v>447</v>
      </c>
      <c r="K1101" t="b">
        <f>QHPSelections2016[[#This Row],[County Name]]=P1101</f>
        <v>1</v>
      </c>
      <c r="L1101" t="b">
        <f>QHPSelections2016[[#This Row],[Silver]]=S1101</f>
        <v>1</v>
      </c>
      <c r="N1101">
        <v>28005</v>
      </c>
      <c r="O1101" t="s">
        <v>1541</v>
      </c>
      <c r="P1101" t="s">
        <v>833</v>
      </c>
      <c r="R1101">
        <v>11</v>
      </c>
      <c r="S1101">
        <v>388</v>
      </c>
      <c r="T1101">
        <v>45</v>
      </c>
      <c r="V1101">
        <v>447</v>
      </c>
    </row>
    <row r="1102" spans="1:22">
      <c r="A1102" s="32" t="s">
        <v>3124</v>
      </c>
      <c r="B1102" s="32" t="s">
        <v>1541</v>
      </c>
      <c r="C1102" s="32" t="s">
        <v>839</v>
      </c>
      <c r="D1102" s="33" t="s">
        <v>1639</v>
      </c>
      <c r="E1102" s="33">
        <v>13</v>
      </c>
      <c r="F1102" s="33">
        <v>488</v>
      </c>
      <c r="G1102" s="33">
        <v>80</v>
      </c>
      <c r="H1102" s="33" t="s">
        <v>1639</v>
      </c>
      <c r="I1102" s="33">
        <v>584</v>
      </c>
      <c r="K1102" t="b">
        <f>QHPSelections2016[[#This Row],[County Name]]=P1102</f>
        <v>1</v>
      </c>
      <c r="L1102" t="b">
        <f>QHPSelections2016[[#This Row],[Silver]]=S1102</f>
        <v>1</v>
      </c>
      <c r="N1102">
        <v>28007</v>
      </c>
      <c r="O1102" t="s">
        <v>1541</v>
      </c>
      <c r="P1102" t="s">
        <v>839</v>
      </c>
      <c r="R1102">
        <v>13</v>
      </c>
      <c r="S1102">
        <v>488</v>
      </c>
      <c r="T1102">
        <v>80</v>
      </c>
      <c r="V1102">
        <v>584</v>
      </c>
    </row>
    <row r="1103" spans="1:22">
      <c r="A1103" s="32" t="s">
        <v>3125</v>
      </c>
      <c r="B1103" s="32" t="s">
        <v>1541</v>
      </c>
      <c r="C1103" s="32" t="s">
        <v>835</v>
      </c>
      <c r="D1103" s="33">
        <v>0</v>
      </c>
      <c r="E1103" s="33" t="s">
        <v>1639</v>
      </c>
      <c r="F1103" s="33">
        <v>220</v>
      </c>
      <c r="G1103" s="33">
        <v>37</v>
      </c>
      <c r="H1103" s="33" t="s">
        <v>1639</v>
      </c>
      <c r="I1103" s="33">
        <v>261</v>
      </c>
      <c r="K1103" t="b">
        <f>QHPSelections2016[[#This Row],[County Name]]=P1103</f>
        <v>1</v>
      </c>
      <c r="L1103" t="b">
        <f>QHPSelections2016[[#This Row],[Silver]]=S1103</f>
        <v>1</v>
      </c>
      <c r="N1103">
        <v>28009</v>
      </c>
      <c r="O1103" t="s">
        <v>1541</v>
      </c>
      <c r="P1103" t="s">
        <v>835</v>
      </c>
      <c r="Q1103">
        <v>0</v>
      </c>
      <c r="S1103">
        <v>220</v>
      </c>
      <c r="T1103">
        <v>37</v>
      </c>
      <c r="V1103">
        <v>261</v>
      </c>
    </row>
    <row r="1104" spans="1:22">
      <c r="A1104" s="32" t="s">
        <v>3126</v>
      </c>
      <c r="B1104" s="32" t="s">
        <v>1541</v>
      </c>
      <c r="C1104" s="32" t="s">
        <v>850</v>
      </c>
      <c r="D1104" s="33">
        <v>0</v>
      </c>
      <c r="E1104" s="33">
        <v>26</v>
      </c>
      <c r="F1104" s="33">
        <v>1114</v>
      </c>
      <c r="G1104" s="33">
        <v>148</v>
      </c>
      <c r="H1104" s="33">
        <v>27</v>
      </c>
      <c r="I1104" s="33">
        <v>1315</v>
      </c>
      <c r="K1104" t="b">
        <f>QHPSelections2016[[#This Row],[County Name]]=P1104</f>
        <v>1</v>
      </c>
      <c r="L1104" t="b">
        <f>QHPSelections2016[[#This Row],[Silver]]=S1104</f>
        <v>1</v>
      </c>
      <c r="N1104">
        <v>28011</v>
      </c>
      <c r="O1104" t="s">
        <v>1541</v>
      </c>
      <c r="P1104" t="s">
        <v>850</v>
      </c>
      <c r="Q1104">
        <v>0</v>
      </c>
      <c r="R1104">
        <v>26</v>
      </c>
      <c r="S1104" s="51">
        <v>1114</v>
      </c>
      <c r="T1104">
        <v>148</v>
      </c>
      <c r="U1104">
        <v>27</v>
      </c>
      <c r="V1104" s="51">
        <v>1315</v>
      </c>
    </row>
    <row r="1105" spans="1:22">
      <c r="A1105" s="32" t="s">
        <v>3127</v>
      </c>
      <c r="B1105" s="32" t="s">
        <v>1541</v>
      </c>
      <c r="C1105" s="32" t="s">
        <v>855</v>
      </c>
      <c r="D1105" s="33">
        <v>0</v>
      </c>
      <c r="E1105" s="33" t="s">
        <v>1639</v>
      </c>
      <c r="F1105" s="33">
        <v>309</v>
      </c>
      <c r="G1105" s="33">
        <v>35</v>
      </c>
      <c r="H1105" s="33" t="s">
        <v>1639</v>
      </c>
      <c r="I1105" s="33">
        <v>349</v>
      </c>
      <c r="K1105" t="b">
        <f>QHPSelections2016[[#This Row],[County Name]]=P1105</f>
        <v>1</v>
      </c>
      <c r="L1105" t="b">
        <f>QHPSelections2016[[#This Row],[Silver]]=S1105</f>
        <v>1</v>
      </c>
      <c r="N1105">
        <v>28013</v>
      </c>
      <c r="O1105" t="s">
        <v>1541</v>
      </c>
      <c r="P1105" t="s">
        <v>855</v>
      </c>
      <c r="Q1105">
        <v>0</v>
      </c>
      <c r="S1105">
        <v>309</v>
      </c>
      <c r="T1105">
        <v>35</v>
      </c>
      <c r="V1105">
        <v>349</v>
      </c>
    </row>
    <row r="1106" spans="1:22">
      <c r="A1106" s="32" t="s">
        <v>3128</v>
      </c>
      <c r="B1106" s="32" t="s">
        <v>1541</v>
      </c>
      <c r="C1106" s="32" t="s">
        <v>862</v>
      </c>
      <c r="D1106" s="33">
        <v>0</v>
      </c>
      <c r="E1106" s="33" t="s">
        <v>1639</v>
      </c>
      <c r="F1106" s="33">
        <v>238</v>
      </c>
      <c r="G1106" s="33">
        <v>42</v>
      </c>
      <c r="H1106" s="33" t="s">
        <v>1639</v>
      </c>
      <c r="I1106" s="33">
        <v>294</v>
      </c>
      <c r="K1106" t="b">
        <f>QHPSelections2016[[#This Row],[County Name]]=P1106</f>
        <v>1</v>
      </c>
      <c r="L1106" t="b">
        <f>QHPSelections2016[[#This Row],[Silver]]=S1106</f>
        <v>1</v>
      </c>
      <c r="N1106">
        <v>28015</v>
      </c>
      <c r="O1106" t="s">
        <v>1541</v>
      </c>
      <c r="P1106" t="s">
        <v>862</v>
      </c>
      <c r="Q1106">
        <v>0</v>
      </c>
      <c r="S1106">
        <v>238</v>
      </c>
      <c r="T1106">
        <v>42</v>
      </c>
      <c r="V1106">
        <v>294</v>
      </c>
    </row>
    <row r="1107" spans="1:22">
      <c r="A1107" s="32" t="s">
        <v>3129</v>
      </c>
      <c r="B1107" s="32" t="s">
        <v>1541</v>
      </c>
      <c r="C1107" s="32" t="s">
        <v>869</v>
      </c>
      <c r="D1107" s="33">
        <v>0</v>
      </c>
      <c r="E1107" s="33" t="s">
        <v>1639</v>
      </c>
      <c r="F1107" s="33">
        <v>539</v>
      </c>
      <c r="G1107" s="33">
        <v>76</v>
      </c>
      <c r="H1107" s="33" t="s">
        <v>1639</v>
      </c>
      <c r="I1107" s="33">
        <v>628</v>
      </c>
      <c r="K1107" t="b">
        <f>QHPSelections2016[[#This Row],[County Name]]=P1107</f>
        <v>1</v>
      </c>
      <c r="L1107" t="b">
        <f>QHPSelections2016[[#This Row],[Silver]]=S1107</f>
        <v>1</v>
      </c>
      <c r="N1107">
        <v>28017</v>
      </c>
      <c r="O1107" t="s">
        <v>1541</v>
      </c>
      <c r="P1107" t="s">
        <v>869</v>
      </c>
      <c r="Q1107">
        <v>0</v>
      </c>
      <c r="S1107">
        <v>539</v>
      </c>
      <c r="T1107">
        <v>76</v>
      </c>
      <c r="V1107">
        <v>628</v>
      </c>
    </row>
    <row r="1108" spans="1:22">
      <c r="A1108" s="32" t="s">
        <v>3130</v>
      </c>
      <c r="B1108" s="32" t="s">
        <v>1541</v>
      </c>
      <c r="C1108" s="32" t="s">
        <v>875</v>
      </c>
      <c r="D1108" s="33">
        <v>0</v>
      </c>
      <c r="E1108" s="33" t="s">
        <v>1639</v>
      </c>
      <c r="F1108" s="33" t="s">
        <v>1639</v>
      </c>
      <c r="G1108" s="33" t="s">
        <v>1639</v>
      </c>
      <c r="H1108" s="33" t="s">
        <v>1639</v>
      </c>
      <c r="I1108" s="33">
        <v>168</v>
      </c>
      <c r="K1108" t="b">
        <f>QHPSelections2016[[#This Row],[County Name]]=P1108</f>
        <v>1</v>
      </c>
      <c r="L1108" t="b">
        <f>QHPSelections2016[[#This Row],[Silver]]=S1108</f>
        <v>0</v>
      </c>
      <c r="N1108">
        <v>28019</v>
      </c>
      <c r="O1108" t="s">
        <v>1541</v>
      </c>
      <c r="P1108" t="s">
        <v>875</v>
      </c>
      <c r="Q1108">
        <v>0</v>
      </c>
      <c r="V1108">
        <v>168</v>
      </c>
    </row>
    <row r="1109" spans="1:22">
      <c r="A1109" s="32" t="s">
        <v>3131</v>
      </c>
      <c r="B1109" s="32" t="s">
        <v>1541</v>
      </c>
      <c r="C1109" s="32" t="s">
        <v>881</v>
      </c>
      <c r="D1109" s="33" t="s">
        <v>1639</v>
      </c>
      <c r="E1109" s="33">
        <v>15</v>
      </c>
      <c r="F1109" s="33">
        <v>287</v>
      </c>
      <c r="G1109" s="33">
        <v>47</v>
      </c>
      <c r="H1109" s="33" t="s">
        <v>1639</v>
      </c>
      <c r="I1109" s="33">
        <v>352</v>
      </c>
      <c r="K1109" t="b">
        <f>QHPSelections2016[[#This Row],[County Name]]=P1109</f>
        <v>1</v>
      </c>
      <c r="L1109" t="b">
        <f>QHPSelections2016[[#This Row],[Silver]]=S1109</f>
        <v>1</v>
      </c>
      <c r="N1109">
        <v>28021</v>
      </c>
      <c r="O1109" t="s">
        <v>1541</v>
      </c>
      <c r="P1109" t="s">
        <v>881</v>
      </c>
      <c r="R1109">
        <v>15</v>
      </c>
      <c r="S1109">
        <v>287</v>
      </c>
      <c r="T1109">
        <v>47</v>
      </c>
      <c r="V1109">
        <v>352</v>
      </c>
    </row>
    <row r="1110" spans="1:22">
      <c r="A1110" s="32" t="s">
        <v>3132</v>
      </c>
      <c r="B1110" s="32" t="s">
        <v>1541</v>
      </c>
      <c r="C1110" s="32" t="s">
        <v>887</v>
      </c>
      <c r="D1110" s="33" t="s">
        <v>1639</v>
      </c>
      <c r="E1110" s="33">
        <v>15</v>
      </c>
      <c r="F1110" s="33">
        <v>409</v>
      </c>
      <c r="G1110" s="33">
        <v>60</v>
      </c>
      <c r="H1110" s="33" t="s">
        <v>1639</v>
      </c>
      <c r="I1110" s="33">
        <v>486</v>
      </c>
      <c r="K1110" t="b">
        <f>QHPSelections2016[[#This Row],[County Name]]=P1110</f>
        <v>1</v>
      </c>
      <c r="L1110" t="b">
        <f>QHPSelections2016[[#This Row],[Silver]]=S1110</f>
        <v>1</v>
      </c>
      <c r="N1110">
        <v>28023</v>
      </c>
      <c r="O1110" t="s">
        <v>1541</v>
      </c>
      <c r="P1110" t="s">
        <v>887</v>
      </c>
      <c r="R1110">
        <v>15</v>
      </c>
      <c r="S1110">
        <v>409</v>
      </c>
      <c r="T1110">
        <v>60</v>
      </c>
      <c r="V1110">
        <v>486</v>
      </c>
    </row>
    <row r="1111" spans="1:22">
      <c r="A1111" s="32" t="s">
        <v>3133</v>
      </c>
      <c r="B1111" s="32" t="s">
        <v>1541</v>
      </c>
      <c r="C1111" s="32" t="s">
        <v>873</v>
      </c>
      <c r="D1111" s="33" t="s">
        <v>1639</v>
      </c>
      <c r="E1111" s="33">
        <v>12</v>
      </c>
      <c r="F1111" s="33">
        <v>541</v>
      </c>
      <c r="G1111" s="33">
        <v>56</v>
      </c>
      <c r="H1111" s="33" t="s">
        <v>1639</v>
      </c>
      <c r="I1111" s="33">
        <v>611</v>
      </c>
      <c r="K1111" t="b">
        <f>QHPSelections2016[[#This Row],[County Name]]=P1111</f>
        <v>1</v>
      </c>
      <c r="L1111" t="b">
        <f>QHPSelections2016[[#This Row],[Silver]]=S1111</f>
        <v>1</v>
      </c>
      <c r="N1111">
        <v>28025</v>
      </c>
      <c r="O1111" t="s">
        <v>1541</v>
      </c>
      <c r="P1111" t="s">
        <v>873</v>
      </c>
      <c r="R1111">
        <v>12</v>
      </c>
      <c r="S1111">
        <v>541</v>
      </c>
      <c r="T1111">
        <v>56</v>
      </c>
      <c r="V1111">
        <v>611</v>
      </c>
    </row>
    <row r="1112" spans="1:22">
      <c r="A1112" s="32" t="s">
        <v>3134</v>
      </c>
      <c r="B1112" s="32" t="s">
        <v>1541</v>
      </c>
      <c r="C1112" s="32" t="s">
        <v>897</v>
      </c>
      <c r="D1112" s="33" t="s">
        <v>1639</v>
      </c>
      <c r="E1112" s="33">
        <v>12</v>
      </c>
      <c r="F1112" s="33">
        <v>584</v>
      </c>
      <c r="G1112" s="33">
        <v>158</v>
      </c>
      <c r="H1112" s="33" t="s">
        <v>1639</v>
      </c>
      <c r="I1112" s="33">
        <v>760</v>
      </c>
      <c r="K1112" t="b">
        <f>QHPSelections2016[[#This Row],[County Name]]=P1112</f>
        <v>1</v>
      </c>
      <c r="L1112" t="b">
        <f>QHPSelections2016[[#This Row],[Silver]]=S1112</f>
        <v>1</v>
      </c>
      <c r="N1112">
        <v>28027</v>
      </c>
      <c r="O1112" t="s">
        <v>1541</v>
      </c>
      <c r="P1112" t="s">
        <v>897</v>
      </c>
      <c r="R1112">
        <v>12</v>
      </c>
      <c r="S1112">
        <v>584</v>
      </c>
      <c r="T1112">
        <v>158</v>
      </c>
      <c r="V1112">
        <v>760</v>
      </c>
    </row>
    <row r="1113" spans="1:22">
      <c r="A1113" s="32" t="s">
        <v>3135</v>
      </c>
      <c r="B1113" s="32" t="s">
        <v>1541</v>
      </c>
      <c r="C1113" s="32" t="s">
        <v>903</v>
      </c>
      <c r="D1113" s="33" t="s">
        <v>1639</v>
      </c>
      <c r="E1113" s="33">
        <v>27</v>
      </c>
      <c r="F1113" s="33">
        <v>1027</v>
      </c>
      <c r="G1113" s="33">
        <v>197</v>
      </c>
      <c r="H1113" s="33" t="s">
        <v>1639</v>
      </c>
      <c r="I1113" s="33">
        <v>1259</v>
      </c>
      <c r="K1113" t="b">
        <f>QHPSelections2016[[#This Row],[County Name]]=P1113</f>
        <v>1</v>
      </c>
      <c r="L1113" t="b">
        <f>QHPSelections2016[[#This Row],[Silver]]=S1113</f>
        <v>1</v>
      </c>
      <c r="N1113">
        <v>28029</v>
      </c>
      <c r="O1113" t="s">
        <v>1541</v>
      </c>
      <c r="P1113" t="s">
        <v>903</v>
      </c>
      <c r="R1113">
        <v>27</v>
      </c>
      <c r="S1113" s="51">
        <v>1027</v>
      </c>
      <c r="T1113">
        <v>197</v>
      </c>
      <c r="V1113" s="51">
        <v>1259</v>
      </c>
    </row>
    <row r="1114" spans="1:22">
      <c r="A1114" s="32" t="s">
        <v>3136</v>
      </c>
      <c r="B1114" s="32" t="s">
        <v>1541</v>
      </c>
      <c r="C1114" s="32" t="s">
        <v>910</v>
      </c>
      <c r="D1114" s="33" t="s">
        <v>1639</v>
      </c>
      <c r="E1114" s="33">
        <v>27</v>
      </c>
      <c r="F1114" s="33">
        <v>801</v>
      </c>
      <c r="G1114" s="33">
        <v>55</v>
      </c>
      <c r="H1114" s="33" t="s">
        <v>1639</v>
      </c>
      <c r="I1114" s="33">
        <v>888</v>
      </c>
      <c r="K1114" t="b">
        <f>QHPSelections2016[[#This Row],[County Name]]=P1114</f>
        <v>1</v>
      </c>
      <c r="L1114" t="b">
        <f>QHPSelections2016[[#This Row],[Silver]]=S1114</f>
        <v>1</v>
      </c>
      <c r="N1114">
        <v>28031</v>
      </c>
      <c r="O1114" t="s">
        <v>1541</v>
      </c>
      <c r="P1114" t="s">
        <v>910</v>
      </c>
      <c r="R1114">
        <v>27</v>
      </c>
      <c r="S1114">
        <v>801</v>
      </c>
      <c r="T1114">
        <v>55</v>
      </c>
      <c r="V1114">
        <v>888</v>
      </c>
    </row>
    <row r="1115" spans="1:22">
      <c r="A1115" s="32" t="s">
        <v>3137</v>
      </c>
      <c r="B1115" s="32" t="s">
        <v>1541</v>
      </c>
      <c r="C1115" s="32" t="s">
        <v>891</v>
      </c>
      <c r="D1115" s="33">
        <v>287</v>
      </c>
      <c r="E1115" s="33">
        <v>331</v>
      </c>
      <c r="F1115" s="33">
        <v>5578</v>
      </c>
      <c r="G1115" s="33">
        <v>722</v>
      </c>
      <c r="H1115" s="33">
        <v>159</v>
      </c>
      <c r="I1115" s="33">
        <v>7077</v>
      </c>
      <c r="K1115" t="b">
        <f>QHPSelections2016[[#This Row],[County Name]]=P1115</f>
        <v>1</v>
      </c>
      <c r="L1115" t="b">
        <f>QHPSelections2016[[#This Row],[Silver]]=S1115</f>
        <v>1</v>
      </c>
      <c r="N1115">
        <v>28033</v>
      </c>
      <c r="O1115" t="s">
        <v>1541</v>
      </c>
      <c r="P1115" t="s">
        <v>891</v>
      </c>
      <c r="Q1115">
        <v>287</v>
      </c>
      <c r="R1115">
        <v>331</v>
      </c>
      <c r="S1115" s="51">
        <v>5578</v>
      </c>
      <c r="T1115">
        <v>722</v>
      </c>
      <c r="U1115">
        <v>159</v>
      </c>
      <c r="V1115" s="51">
        <v>7077</v>
      </c>
    </row>
    <row r="1116" spans="1:22">
      <c r="A1116" s="32" t="s">
        <v>3138</v>
      </c>
      <c r="B1116" s="32" t="s">
        <v>1541</v>
      </c>
      <c r="C1116" s="32" t="s">
        <v>921</v>
      </c>
      <c r="D1116" s="33">
        <v>0</v>
      </c>
      <c r="E1116" s="33">
        <v>97</v>
      </c>
      <c r="F1116" s="33">
        <v>2171</v>
      </c>
      <c r="G1116" s="33">
        <v>343</v>
      </c>
      <c r="H1116" s="33">
        <v>26</v>
      </c>
      <c r="I1116" s="33">
        <v>2637</v>
      </c>
      <c r="K1116" t="b">
        <f>QHPSelections2016[[#This Row],[County Name]]=P1116</f>
        <v>1</v>
      </c>
      <c r="L1116" t="b">
        <f>QHPSelections2016[[#This Row],[Silver]]=S1116</f>
        <v>1</v>
      </c>
      <c r="N1116">
        <v>28035</v>
      </c>
      <c r="O1116" t="s">
        <v>1541</v>
      </c>
      <c r="P1116" t="s">
        <v>921</v>
      </c>
      <c r="Q1116">
        <v>0</v>
      </c>
      <c r="R1116">
        <v>97</v>
      </c>
      <c r="S1116" s="51">
        <v>2171</v>
      </c>
      <c r="T1116">
        <v>343</v>
      </c>
      <c r="U1116">
        <v>26</v>
      </c>
      <c r="V1116" s="51">
        <v>2637</v>
      </c>
    </row>
    <row r="1117" spans="1:22">
      <c r="A1117" s="32" t="s">
        <v>3139</v>
      </c>
      <c r="B1117" s="32" t="s">
        <v>1541</v>
      </c>
      <c r="C1117" s="32" t="s">
        <v>919</v>
      </c>
      <c r="D1117" s="33">
        <v>0</v>
      </c>
      <c r="E1117" s="33" t="s">
        <v>1639</v>
      </c>
      <c r="F1117" s="33">
        <v>251</v>
      </c>
      <c r="G1117" s="33">
        <v>39</v>
      </c>
      <c r="H1117" s="33" t="s">
        <v>1639</v>
      </c>
      <c r="I1117" s="33">
        <v>302</v>
      </c>
      <c r="K1117" t="b">
        <f>QHPSelections2016[[#This Row],[County Name]]=P1117</f>
        <v>1</v>
      </c>
      <c r="L1117" t="b">
        <f>QHPSelections2016[[#This Row],[Silver]]=S1117</f>
        <v>1</v>
      </c>
      <c r="N1117">
        <v>28037</v>
      </c>
      <c r="O1117" t="s">
        <v>1541</v>
      </c>
      <c r="P1117" t="s">
        <v>919</v>
      </c>
      <c r="Q1117">
        <v>0</v>
      </c>
      <c r="S1117">
        <v>251</v>
      </c>
      <c r="T1117">
        <v>39</v>
      </c>
      <c r="V1117">
        <v>302</v>
      </c>
    </row>
    <row r="1118" spans="1:22">
      <c r="A1118" s="32" t="s">
        <v>3140</v>
      </c>
      <c r="B1118" s="32" t="s">
        <v>1541</v>
      </c>
      <c r="C1118" s="32" t="s">
        <v>931</v>
      </c>
      <c r="D1118" s="33">
        <v>0</v>
      </c>
      <c r="E1118" s="33" t="s">
        <v>1639</v>
      </c>
      <c r="F1118" s="33">
        <v>340</v>
      </c>
      <c r="G1118" s="33">
        <v>70</v>
      </c>
      <c r="H1118" s="33" t="s">
        <v>1639</v>
      </c>
      <c r="I1118" s="33">
        <v>421</v>
      </c>
      <c r="K1118" t="b">
        <f>QHPSelections2016[[#This Row],[County Name]]=P1118</f>
        <v>1</v>
      </c>
      <c r="L1118" t="b">
        <f>QHPSelections2016[[#This Row],[Silver]]=S1118</f>
        <v>1</v>
      </c>
      <c r="N1118">
        <v>28039</v>
      </c>
      <c r="O1118" t="s">
        <v>1541</v>
      </c>
      <c r="P1118" t="s">
        <v>931</v>
      </c>
      <c r="Q1118">
        <v>0</v>
      </c>
      <c r="S1118">
        <v>340</v>
      </c>
      <c r="T1118">
        <v>70</v>
      </c>
      <c r="V1118">
        <v>421</v>
      </c>
    </row>
    <row r="1119" spans="1:22">
      <c r="A1119" s="32" t="s">
        <v>3141</v>
      </c>
      <c r="B1119" s="32" t="s">
        <v>1541</v>
      </c>
      <c r="C1119" s="32" t="s">
        <v>937</v>
      </c>
      <c r="D1119" s="33" t="s">
        <v>1639</v>
      </c>
      <c r="E1119" s="33">
        <v>11</v>
      </c>
      <c r="F1119" s="33">
        <v>318</v>
      </c>
      <c r="G1119" s="33">
        <v>31</v>
      </c>
      <c r="H1119" s="33" t="s">
        <v>1639</v>
      </c>
      <c r="I1119" s="33">
        <v>363</v>
      </c>
      <c r="K1119" t="b">
        <f>QHPSelections2016[[#This Row],[County Name]]=P1119</f>
        <v>1</v>
      </c>
      <c r="L1119" t="b">
        <f>QHPSelections2016[[#This Row],[Silver]]=S1119</f>
        <v>1</v>
      </c>
      <c r="N1119">
        <v>28041</v>
      </c>
      <c r="O1119" t="s">
        <v>1541</v>
      </c>
      <c r="P1119" t="s">
        <v>937</v>
      </c>
      <c r="R1119">
        <v>11</v>
      </c>
      <c r="S1119">
        <v>318</v>
      </c>
      <c r="T1119">
        <v>31</v>
      </c>
      <c r="V1119">
        <v>363</v>
      </c>
    </row>
    <row r="1120" spans="1:22">
      <c r="A1120" s="32" t="s">
        <v>3142</v>
      </c>
      <c r="B1120" s="32" t="s">
        <v>1541</v>
      </c>
      <c r="C1120" s="32" t="s">
        <v>943</v>
      </c>
      <c r="D1120" s="33" t="s">
        <v>1639</v>
      </c>
      <c r="E1120" s="33">
        <v>24</v>
      </c>
      <c r="F1120" s="33">
        <v>654</v>
      </c>
      <c r="G1120" s="33">
        <v>70</v>
      </c>
      <c r="H1120" s="33" t="s">
        <v>1639</v>
      </c>
      <c r="I1120" s="33">
        <v>758</v>
      </c>
      <c r="K1120" t="b">
        <f>QHPSelections2016[[#This Row],[County Name]]=P1120</f>
        <v>1</v>
      </c>
      <c r="L1120" t="b">
        <f>QHPSelections2016[[#This Row],[Silver]]=S1120</f>
        <v>1</v>
      </c>
      <c r="N1120">
        <v>28043</v>
      </c>
      <c r="O1120" t="s">
        <v>1541</v>
      </c>
      <c r="P1120" t="s">
        <v>943</v>
      </c>
      <c r="R1120">
        <v>24</v>
      </c>
      <c r="S1120">
        <v>654</v>
      </c>
      <c r="T1120">
        <v>70</v>
      </c>
      <c r="V1120">
        <v>758</v>
      </c>
    </row>
    <row r="1121" spans="1:22">
      <c r="A1121" s="32" t="s">
        <v>3143</v>
      </c>
      <c r="B1121" s="32" t="s">
        <v>1541</v>
      </c>
      <c r="C1121" s="32" t="s">
        <v>949</v>
      </c>
      <c r="D1121" s="33" t="s">
        <v>1639</v>
      </c>
      <c r="E1121" s="33">
        <v>40</v>
      </c>
      <c r="F1121" s="33">
        <v>1556</v>
      </c>
      <c r="G1121" s="33">
        <v>197</v>
      </c>
      <c r="H1121" s="33" t="s">
        <v>1639</v>
      </c>
      <c r="I1121" s="33">
        <v>1802</v>
      </c>
      <c r="K1121" t="b">
        <f>QHPSelections2016[[#This Row],[County Name]]=P1121</f>
        <v>1</v>
      </c>
      <c r="L1121" t="b">
        <f>QHPSelections2016[[#This Row],[Silver]]=S1121</f>
        <v>1</v>
      </c>
      <c r="N1121">
        <v>28045</v>
      </c>
      <c r="O1121" t="s">
        <v>1541</v>
      </c>
      <c r="P1121" t="s">
        <v>949</v>
      </c>
      <c r="R1121">
        <v>40</v>
      </c>
      <c r="S1121" s="51">
        <v>1556</v>
      </c>
      <c r="T1121">
        <v>197</v>
      </c>
      <c r="V1121" s="51">
        <v>1802</v>
      </c>
    </row>
    <row r="1122" spans="1:22">
      <c r="A1122" s="32" t="s">
        <v>3144</v>
      </c>
      <c r="B1122" s="32" t="s">
        <v>1541</v>
      </c>
      <c r="C1122" s="32" t="s">
        <v>956</v>
      </c>
      <c r="D1122" s="33" t="s">
        <v>1639</v>
      </c>
      <c r="E1122" s="33">
        <v>74</v>
      </c>
      <c r="F1122" s="33">
        <v>4166</v>
      </c>
      <c r="G1122" s="33">
        <v>774</v>
      </c>
      <c r="H1122" s="33" t="s">
        <v>1639</v>
      </c>
      <c r="I1122" s="33">
        <v>5020</v>
      </c>
      <c r="K1122" t="b">
        <f>QHPSelections2016[[#This Row],[County Name]]=P1122</f>
        <v>1</v>
      </c>
      <c r="L1122" t="b">
        <f>QHPSelections2016[[#This Row],[Silver]]=S1122</f>
        <v>1</v>
      </c>
      <c r="N1122">
        <v>28047</v>
      </c>
      <c r="O1122" t="s">
        <v>1541</v>
      </c>
      <c r="P1122" t="s">
        <v>956</v>
      </c>
      <c r="R1122">
        <v>74</v>
      </c>
      <c r="S1122" s="51">
        <v>4166</v>
      </c>
      <c r="T1122">
        <v>774</v>
      </c>
      <c r="V1122" s="51">
        <v>5020</v>
      </c>
    </row>
    <row r="1123" spans="1:22">
      <c r="A1123" s="32" t="s">
        <v>3145</v>
      </c>
      <c r="B1123" s="32" t="s">
        <v>1541</v>
      </c>
      <c r="C1123" s="32" t="s">
        <v>960</v>
      </c>
      <c r="D1123" s="33">
        <v>198</v>
      </c>
      <c r="E1123" s="33">
        <v>383</v>
      </c>
      <c r="F1123" s="33">
        <v>13484</v>
      </c>
      <c r="G1123" s="33">
        <v>3034</v>
      </c>
      <c r="H1123" s="33">
        <v>353</v>
      </c>
      <c r="I1123" s="33">
        <v>17452</v>
      </c>
      <c r="K1123" t="b">
        <f>QHPSelections2016[[#This Row],[County Name]]=P1123</f>
        <v>1</v>
      </c>
      <c r="L1123" t="b">
        <f>QHPSelections2016[[#This Row],[Silver]]=S1123</f>
        <v>1</v>
      </c>
      <c r="N1123">
        <v>28049</v>
      </c>
      <c r="O1123" t="s">
        <v>1541</v>
      </c>
      <c r="P1123" t="s">
        <v>960</v>
      </c>
      <c r="Q1123">
        <v>198</v>
      </c>
      <c r="R1123">
        <v>383</v>
      </c>
      <c r="S1123" s="51">
        <v>13484</v>
      </c>
      <c r="T1123" s="51">
        <v>3034</v>
      </c>
      <c r="U1123">
        <v>353</v>
      </c>
      <c r="V1123" s="51">
        <v>17452</v>
      </c>
    </row>
    <row r="1124" spans="1:22">
      <c r="A1124" s="32" t="s">
        <v>3146</v>
      </c>
      <c r="B1124" s="32" t="s">
        <v>1541</v>
      </c>
      <c r="C1124" s="32" t="s">
        <v>967</v>
      </c>
      <c r="D1124" s="33">
        <v>0</v>
      </c>
      <c r="E1124" s="33">
        <v>21</v>
      </c>
      <c r="F1124" s="33">
        <v>645</v>
      </c>
      <c r="G1124" s="33">
        <v>113</v>
      </c>
      <c r="H1124" s="33">
        <v>15</v>
      </c>
      <c r="I1124" s="33">
        <v>794</v>
      </c>
      <c r="K1124" t="b">
        <f>QHPSelections2016[[#This Row],[County Name]]=P1124</f>
        <v>1</v>
      </c>
      <c r="L1124" t="b">
        <f>QHPSelections2016[[#This Row],[Silver]]=S1124</f>
        <v>1</v>
      </c>
      <c r="N1124">
        <v>28051</v>
      </c>
      <c r="O1124" t="s">
        <v>1541</v>
      </c>
      <c r="P1124" t="s">
        <v>967</v>
      </c>
      <c r="Q1124">
        <v>0</v>
      </c>
      <c r="R1124">
        <v>21</v>
      </c>
      <c r="S1124">
        <v>645</v>
      </c>
      <c r="T1124">
        <v>113</v>
      </c>
      <c r="U1124">
        <v>15</v>
      </c>
      <c r="V1124">
        <v>794</v>
      </c>
    </row>
    <row r="1125" spans="1:22">
      <c r="A1125" s="32" t="s">
        <v>3147</v>
      </c>
      <c r="B1125" s="32" t="s">
        <v>1541</v>
      </c>
      <c r="C1125" s="32" t="s">
        <v>971</v>
      </c>
      <c r="D1125" s="33">
        <v>0</v>
      </c>
      <c r="E1125" s="33" t="s">
        <v>1639</v>
      </c>
      <c r="F1125" s="33">
        <v>245</v>
      </c>
      <c r="G1125" s="33">
        <v>78</v>
      </c>
      <c r="H1125" s="33" t="s">
        <v>1639</v>
      </c>
      <c r="I1125" s="33">
        <v>337</v>
      </c>
      <c r="K1125" t="b">
        <f>QHPSelections2016[[#This Row],[County Name]]=P1125</f>
        <v>1</v>
      </c>
      <c r="L1125" t="b">
        <f>QHPSelections2016[[#This Row],[Silver]]=S1125</f>
        <v>1</v>
      </c>
      <c r="N1125">
        <v>28053</v>
      </c>
      <c r="O1125" t="s">
        <v>1541</v>
      </c>
      <c r="P1125" t="s">
        <v>971</v>
      </c>
      <c r="Q1125">
        <v>0</v>
      </c>
      <c r="S1125">
        <v>245</v>
      </c>
      <c r="T1125">
        <v>78</v>
      </c>
      <c r="V1125">
        <v>337</v>
      </c>
    </row>
    <row r="1126" spans="1:22">
      <c r="A1126" s="32" t="s">
        <v>3148</v>
      </c>
      <c r="B1126" s="32" t="s">
        <v>1541</v>
      </c>
      <c r="C1126" s="32" t="s">
        <v>977</v>
      </c>
      <c r="D1126" s="33">
        <v>0</v>
      </c>
      <c r="E1126" s="33">
        <v>0</v>
      </c>
      <c r="F1126" s="33" t="s">
        <v>1639</v>
      </c>
      <c r="G1126" s="33" t="s">
        <v>1639</v>
      </c>
      <c r="H1126" s="33">
        <v>0</v>
      </c>
      <c r="I1126" s="33">
        <v>13</v>
      </c>
      <c r="K1126" t="b">
        <f>QHPSelections2016[[#This Row],[County Name]]=P1126</f>
        <v>1</v>
      </c>
      <c r="L1126" t="b">
        <f>QHPSelections2016[[#This Row],[Silver]]=S1126</f>
        <v>0</v>
      </c>
      <c r="N1126">
        <v>28055</v>
      </c>
      <c r="O1126" t="s">
        <v>1541</v>
      </c>
      <c r="P1126" t="s">
        <v>977</v>
      </c>
      <c r="Q1126">
        <v>0</v>
      </c>
      <c r="R1126">
        <v>0</v>
      </c>
      <c r="U1126">
        <v>0</v>
      </c>
      <c r="V1126">
        <v>13</v>
      </c>
    </row>
    <row r="1127" spans="1:22">
      <c r="A1127" s="32" t="s">
        <v>3149</v>
      </c>
      <c r="B1127" s="32" t="s">
        <v>1541</v>
      </c>
      <c r="C1127" s="32" t="s">
        <v>980</v>
      </c>
      <c r="D1127" s="33">
        <v>0</v>
      </c>
      <c r="E1127" s="33" t="s">
        <v>1639</v>
      </c>
      <c r="F1127" s="33">
        <v>416</v>
      </c>
      <c r="G1127" s="33">
        <v>73</v>
      </c>
      <c r="H1127" s="33" t="s">
        <v>1639</v>
      </c>
      <c r="I1127" s="33">
        <v>498</v>
      </c>
      <c r="K1127" t="b">
        <f>QHPSelections2016[[#This Row],[County Name]]=P1127</f>
        <v>1</v>
      </c>
      <c r="L1127" t="b">
        <f>QHPSelections2016[[#This Row],[Silver]]=S1127</f>
        <v>1</v>
      </c>
      <c r="N1127">
        <v>28057</v>
      </c>
      <c r="O1127" t="s">
        <v>1541</v>
      </c>
      <c r="P1127" t="s">
        <v>980</v>
      </c>
      <c r="Q1127">
        <v>0</v>
      </c>
      <c r="S1127">
        <v>416</v>
      </c>
      <c r="T1127">
        <v>73</v>
      </c>
      <c r="V1127">
        <v>498</v>
      </c>
    </row>
    <row r="1128" spans="1:22">
      <c r="A1128" s="32" t="s">
        <v>3150</v>
      </c>
      <c r="B1128" s="32" t="s">
        <v>1541</v>
      </c>
      <c r="C1128" s="32" t="s">
        <v>984</v>
      </c>
      <c r="D1128" s="33" t="s">
        <v>1639</v>
      </c>
      <c r="E1128" s="33">
        <v>77</v>
      </c>
      <c r="F1128" s="33">
        <v>3382</v>
      </c>
      <c r="G1128" s="33">
        <v>531</v>
      </c>
      <c r="H1128" s="33" t="s">
        <v>1639</v>
      </c>
      <c r="I1128" s="33">
        <v>3998</v>
      </c>
      <c r="K1128" t="b">
        <f>QHPSelections2016[[#This Row],[County Name]]=P1128</f>
        <v>1</v>
      </c>
      <c r="L1128" t="b">
        <f>QHPSelections2016[[#This Row],[Silver]]=S1128</f>
        <v>1</v>
      </c>
      <c r="N1128">
        <v>28059</v>
      </c>
      <c r="O1128" t="s">
        <v>1541</v>
      </c>
      <c r="P1128" t="s">
        <v>984</v>
      </c>
      <c r="R1128">
        <v>77</v>
      </c>
      <c r="S1128" s="51">
        <v>3382</v>
      </c>
      <c r="T1128">
        <v>531</v>
      </c>
      <c r="V1128" s="51">
        <v>3998</v>
      </c>
    </row>
    <row r="1129" spans="1:22">
      <c r="A1129" s="32" t="s">
        <v>3151</v>
      </c>
      <c r="B1129" s="32" t="s">
        <v>1541</v>
      </c>
      <c r="C1129" s="32" t="s">
        <v>989</v>
      </c>
      <c r="D1129" s="33">
        <v>0</v>
      </c>
      <c r="E1129" s="33" t="s">
        <v>1639</v>
      </c>
      <c r="F1129" s="33">
        <v>525</v>
      </c>
      <c r="G1129" s="33">
        <v>49</v>
      </c>
      <c r="H1129" s="33" t="s">
        <v>1639</v>
      </c>
      <c r="I1129" s="33">
        <v>585</v>
      </c>
      <c r="K1129" t="b">
        <f>QHPSelections2016[[#This Row],[County Name]]=P1129</f>
        <v>1</v>
      </c>
      <c r="L1129" t="b">
        <f>QHPSelections2016[[#This Row],[Silver]]=S1129</f>
        <v>1</v>
      </c>
      <c r="N1129">
        <v>28061</v>
      </c>
      <c r="O1129" t="s">
        <v>1541</v>
      </c>
      <c r="P1129" t="s">
        <v>989</v>
      </c>
      <c r="Q1129">
        <v>0</v>
      </c>
      <c r="S1129">
        <v>525</v>
      </c>
      <c r="T1129">
        <v>49</v>
      </c>
      <c r="V1129">
        <v>585</v>
      </c>
    </row>
    <row r="1130" spans="1:22">
      <c r="A1130" s="32" t="s">
        <v>3152</v>
      </c>
      <c r="B1130" s="32" t="s">
        <v>1541</v>
      </c>
      <c r="C1130" s="32" t="s">
        <v>993</v>
      </c>
      <c r="D1130" s="33">
        <v>0</v>
      </c>
      <c r="E1130" s="33" t="s">
        <v>1639</v>
      </c>
      <c r="F1130" s="33">
        <v>382</v>
      </c>
      <c r="G1130" s="33">
        <v>38</v>
      </c>
      <c r="H1130" s="33" t="s">
        <v>1639</v>
      </c>
      <c r="I1130" s="33">
        <v>438</v>
      </c>
      <c r="K1130" t="b">
        <f>QHPSelections2016[[#This Row],[County Name]]=P1130</f>
        <v>1</v>
      </c>
      <c r="L1130" t="b">
        <f>QHPSelections2016[[#This Row],[Silver]]=S1130</f>
        <v>1</v>
      </c>
      <c r="N1130">
        <v>28063</v>
      </c>
      <c r="O1130" t="s">
        <v>1541</v>
      </c>
      <c r="P1130" t="s">
        <v>993</v>
      </c>
      <c r="Q1130">
        <v>0</v>
      </c>
      <c r="S1130">
        <v>382</v>
      </c>
      <c r="T1130">
        <v>38</v>
      </c>
      <c r="V1130">
        <v>438</v>
      </c>
    </row>
    <row r="1131" spans="1:22">
      <c r="A1131" s="32" t="s">
        <v>3153</v>
      </c>
      <c r="B1131" s="32" t="s">
        <v>1541</v>
      </c>
      <c r="C1131" s="32" t="s">
        <v>1001</v>
      </c>
      <c r="D1131" s="33">
        <v>0</v>
      </c>
      <c r="E1131" s="33" t="s">
        <v>1639</v>
      </c>
      <c r="F1131" s="33">
        <v>431</v>
      </c>
      <c r="G1131" s="33">
        <v>59</v>
      </c>
      <c r="H1131" s="33" t="s">
        <v>1639</v>
      </c>
      <c r="I1131" s="33">
        <v>505</v>
      </c>
      <c r="K1131" t="b">
        <f>QHPSelections2016[[#This Row],[County Name]]=P1131</f>
        <v>1</v>
      </c>
      <c r="L1131" t="b">
        <f>QHPSelections2016[[#This Row],[Silver]]=S1131</f>
        <v>1</v>
      </c>
      <c r="N1131">
        <v>28065</v>
      </c>
      <c r="O1131" t="s">
        <v>1541</v>
      </c>
      <c r="P1131" t="s">
        <v>1001</v>
      </c>
      <c r="Q1131">
        <v>0</v>
      </c>
      <c r="S1131">
        <v>431</v>
      </c>
      <c r="T1131">
        <v>59</v>
      </c>
      <c r="V1131">
        <v>505</v>
      </c>
    </row>
    <row r="1132" spans="1:22">
      <c r="A1132" s="32" t="s">
        <v>3154</v>
      </c>
      <c r="B1132" s="32" t="s">
        <v>1541</v>
      </c>
      <c r="C1132" s="32" t="s">
        <v>1006</v>
      </c>
      <c r="D1132" s="33">
        <v>0</v>
      </c>
      <c r="E1132" s="33">
        <v>90</v>
      </c>
      <c r="F1132" s="33">
        <v>1868</v>
      </c>
      <c r="G1132" s="33">
        <v>186</v>
      </c>
      <c r="H1132" s="33">
        <v>25</v>
      </c>
      <c r="I1132" s="33">
        <v>2169</v>
      </c>
      <c r="K1132" t="b">
        <f>QHPSelections2016[[#This Row],[County Name]]=P1132</f>
        <v>1</v>
      </c>
      <c r="L1132" t="b">
        <f>QHPSelections2016[[#This Row],[Silver]]=S1132</f>
        <v>1</v>
      </c>
      <c r="N1132">
        <v>28067</v>
      </c>
      <c r="O1132" t="s">
        <v>1541</v>
      </c>
      <c r="P1132" t="s">
        <v>1006</v>
      </c>
      <c r="Q1132">
        <v>0</v>
      </c>
      <c r="R1132">
        <v>90</v>
      </c>
      <c r="S1132" s="51">
        <v>1868</v>
      </c>
      <c r="T1132">
        <v>186</v>
      </c>
      <c r="U1132">
        <v>25</v>
      </c>
      <c r="V1132" s="51">
        <v>2169</v>
      </c>
    </row>
    <row r="1133" spans="1:22">
      <c r="A1133" s="32" t="s">
        <v>3155</v>
      </c>
      <c r="B1133" s="32" t="s">
        <v>1541</v>
      </c>
      <c r="C1133" s="32" t="s">
        <v>1012</v>
      </c>
      <c r="D1133" s="33">
        <v>0</v>
      </c>
      <c r="E1133" s="33" t="s">
        <v>1639</v>
      </c>
      <c r="F1133" s="33">
        <v>260</v>
      </c>
      <c r="G1133" s="33">
        <v>44</v>
      </c>
      <c r="H1133" s="33" t="s">
        <v>1639</v>
      </c>
      <c r="I1133" s="33">
        <v>312</v>
      </c>
      <c r="K1133" t="b">
        <f>QHPSelections2016[[#This Row],[County Name]]=P1133</f>
        <v>1</v>
      </c>
      <c r="L1133" t="b">
        <f>QHPSelections2016[[#This Row],[Silver]]=S1133</f>
        <v>1</v>
      </c>
      <c r="N1133">
        <v>28069</v>
      </c>
      <c r="O1133" t="s">
        <v>1541</v>
      </c>
      <c r="P1133" t="s">
        <v>1012</v>
      </c>
      <c r="Q1133">
        <v>0</v>
      </c>
      <c r="S1133">
        <v>260</v>
      </c>
      <c r="T1133">
        <v>44</v>
      </c>
      <c r="V1133">
        <v>312</v>
      </c>
    </row>
    <row r="1134" spans="1:22">
      <c r="A1134" s="32" t="s">
        <v>3156</v>
      </c>
      <c r="B1134" s="32" t="s">
        <v>1541</v>
      </c>
      <c r="C1134" s="32" t="s">
        <v>999</v>
      </c>
      <c r="D1134" s="33">
        <v>0</v>
      </c>
      <c r="E1134" s="33">
        <v>44</v>
      </c>
      <c r="F1134" s="33">
        <v>916</v>
      </c>
      <c r="G1134" s="33">
        <v>199</v>
      </c>
      <c r="H1134" s="33">
        <v>22</v>
      </c>
      <c r="I1134" s="33">
        <v>1181</v>
      </c>
      <c r="K1134" t="b">
        <f>QHPSelections2016[[#This Row],[County Name]]=P1134</f>
        <v>1</v>
      </c>
      <c r="L1134" t="b">
        <f>QHPSelections2016[[#This Row],[Silver]]=S1134</f>
        <v>1</v>
      </c>
      <c r="N1134">
        <v>28071</v>
      </c>
      <c r="O1134" t="s">
        <v>1541</v>
      </c>
      <c r="P1134" t="s">
        <v>999</v>
      </c>
      <c r="Q1134">
        <v>0</v>
      </c>
      <c r="R1134">
        <v>44</v>
      </c>
      <c r="S1134">
        <v>916</v>
      </c>
      <c r="T1134">
        <v>199</v>
      </c>
      <c r="U1134">
        <v>22</v>
      </c>
      <c r="V1134" s="51">
        <v>1181</v>
      </c>
    </row>
    <row r="1135" spans="1:22">
      <c r="A1135" s="32" t="s">
        <v>3157</v>
      </c>
      <c r="B1135" s="32" t="s">
        <v>1541</v>
      </c>
      <c r="C1135" s="32" t="s">
        <v>1020</v>
      </c>
      <c r="D1135" s="33">
        <v>0</v>
      </c>
      <c r="E1135" s="33">
        <v>105</v>
      </c>
      <c r="F1135" s="33">
        <v>1460</v>
      </c>
      <c r="G1135" s="33">
        <v>222</v>
      </c>
      <c r="H1135" s="33">
        <v>25</v>
      </c>
      <c r="I1135" s="33">
        <v>1812</v>
      </c>
      <c r="K1135" t="b">
        <f>QHPSelections2016[[#This Row],[County Name]]=P1135</f>
        <v>1</v>
      </c>
      <c r="L1135" t="b">
        <f>QHPSelections2016[[#This Row],[Silver]]=S1135</f>
        <v>1</v>
      </c>
      <c r="N1135">
        <v>28073</v>
      </c>
      <c r="O1135" t="s">
        <v>1541</v>
      </c>
      <c r="P1135" t="s">
        <v>1020</v>
      </c>
      <c r="Q1135">
        <v>0</v>
      </c>
      <c r="R1135">
        <v>105</v>
      </c>
      <c r="S1135" s="51">
        <v>1460</v>
      </c>
      <c r="T1135">
        <v>222</v>
      </c>
      <c r="U1135">
        <v>25</v>
      </c>
      <c r="V1135" s="51">
        <v>1812</v>
      </c>
    </row>
    <row r="1136" spans="1:22">
      <c r="A1136" s="32" t="s">
        <v>3158</v>
      </c>
      <c r="B1136" s="32" t="s">
        <v>1541</v>
      </c>
      <c r="C1136" s="32" t="s">
        <v>1025</v>
      </c>
      <c r="D1136" s="33">
        <v>0</v>
      </c>
      <c r="E1136" s="33">
        <v>61</v>
      </c>
      <c r="F1136" s="33">
        <v>1851</v>
      </c>
      <c r="G1136" s="33">
        <v>239</v>
      </c>
      <c r="H1136" s="33">
        <v>12</v>
      </c>
      <c r="I1136" s="33">
        <v>2163</v>
      </c>
      <c r="K1136" t="b">
        <f>QHPSelections2016[[#This Row],[County Name]]=P1136</f>
        <v>1</v>
      </c>
      <c r="L1136" t="b">
        <f>QHPSelections2016[[#This Row],[Silver]]=S1136</f>
        <v>1</v>
      </c>
      <c r="N1136">
        <v>28075</v>
      </c>
      <c r="O1136" t="s">
        <v>1541</v>
      </c>
      <c r="P1136" t="s">
        <v>1025</v>
      </c>
      <c r="Q1136">
        <v>0</v>
      </c>
      <c r="R1136">
        <v>61</v>
      </c>
      <c r="S1136" s="51">
        <v>1851</v>
      </c>
      <c r="T1136">
        <v>239</v>
      </c>
      <c r="U1136">
        <v>12</v>
      </c>
      <c r="V1136" s="51">
        <v>2163</v>
      </c>
    </row>
    <row r="1137" spans="1:22">
      <c r="A1137" s="32" t="s">
        <v>3159</v>
      </c>
      <c r="B1137" s="32" t="s">
        <v>1541</v>
      </c>
      <c r="C1137" s="32" t="s">
        <v>1031</v>
      </c>
      <c r="D1137" s="33" t="s">
        <v>1639</v>
      </c>
      <c r="E1137" s="33">
        <v>15</v>
      </c>
      <c r="F1137" s="33">
        <v>484</v>
      </c>
      <c r="G1137" s="33">
        <v>62</v>
      </c>
      <c r="H1137" s="33" t="s">
        <v>1639</v>
      </c>
      <c r="I1137" s="33">
        <v>570</v>
      </c>
      <c r="K1137" t="b">
        <f>QHPSelections2016[[#This Row],[County Name]]=P1137</f>
        <v>1</v>
      </c>
      <c r="L1137" t="b">
        <f>QHPSelections2016[[#This Row],[Silver]]=S1137</f>
        <v>1</v>
      </c>
      <c r="N1137">
        <v>28077</v>
      </c>
      <c r="O1137" t="s">
        <v>1541</v>
      </c>
      <c r="P1137" t="s">
        <v>1031</v>
      </c>
      <c r="R1137">
        <v>15</v>
      </c>
      <c r="S1137">
        <v>484</v>
      </c>
      <c r="T1137">
        <v>62</v>
      </c>
      <c r="V1137">
        <v>570</v>
      </c>
    </row>
    <row r="1138" spans="1:22">
      <c r="A1138" s="32" t="s">
        <v>3160</v>
      </c>
      <c r="B1138" s="32" t="s">
        <v>1541</v>
      </c>
      <c r="C1138" s="32" t="s">
        <v>1036</v>
      </c>
      <c r="D1138" s="33" t="s">
        <v>1639</v>
      </c>
      <c r="E1138" s="33">
        <v>16</v>
      </c>
      <c r="F1138" s="33">
        <v>505</v>
      </c>
      <c r="G1138" s="33">
        <v>78</v>
      </c>
      <c r="H1138" s="33" t="s">
        <v>1639</v>
      </c>
      <c r="I1138" s="33">
        <v>606</v>
      </c>
      <c r="K1138" t="b">
        <f>QHPSelections2016[[#This Row],[County Name]]=P1138</f>
        <v>1</v>
      </c>
      <c r="L1138" t="b">
        <f>QHPSelections2016[[#This Row],[Silver]]=S1138</f>
        <v>1</v>
      </c>
      <c r="N1138">
        <v>28079</v>
      </c>
      <c r="O1138" t="s">
        <v>1541</v>
      </c>
      <c r="P1138" t="s">
        <v>1036</v>
      </c>
      <c r="R1138">
        <v>16</v>
      </c>
      <c r="S1138">
        <v>505</v>
      </c>
      <c r="T1138">
        <v>78</v>
      </c>
      <c r="V1138">
        <v>606</v>
      </c>
    </row>
    <row r="1139" spans="1:22">
      <c r="A1139" s="32" t="s">
        <v>3161</v>
      </c>
      <c r="B1139" s="32" t="s">
        <v>1541</v>
      </c>
      <c r="C1139" s="32" t="s">
        <v>1010</v>
      </c>
      <c r="D1139" s="33">
        <v>0</v>
      </c>
      <c r="E1139" s="33">
        <v>61</v>
      </c>
      <c r="F1139" s="33">
        <v>2114</v>
      </c>
      <c r="G1139" s="33">
        <v>376</v>
      </c>
      <c r="H1139" s="33">
        <v>31</v>
      </c>
      <c r="I1139" s="33">
        <v>2582</v>
      </c>
      <c r="K1139" t="b">
        <f>QHPSelections2016[[#This Row],[County Name]]=P1139</f>
        <v>1</v>
      </c>
      <c r="L1139" t="b">
        <f>QHPSelections2016[[#This Row],[Silver]]=S1139</f>
        <v>1</v>
      </c>
      <c r="N1139">
        <v>28081</v>
      </c>
      <c r="O1139" t="s">
        <v>1541</v>
      </c>
      <c r="P1139" t="s">
        <v>1010</v>
      </c>
      <c r="Q1139">
        <v>0</v>
      </c>
      <c r="R1139">
        <v>61</v>
      </c>
      <c r="S1139" s="51">
        <v>2114</v>
      </c>
      <c r="T1139">
        <v>376</v>
      </c>
      <c r="U1139">
        <v>31</v>
      </c>
      <c r="V1139" s="51">
        <v>2582</v>
      </c>
    </row>
    <row r="1140" spans="1:22">
      <c r="A1140" s="32" t="s">
        <v>3162</v>
      </c>
      <c r="B1140" s="32" t="s">
        <v>1541</v>
      </c>
      <c r="C1140" s="32" t="s">
        <v>1046</v>
      </c>
      <c r="D1140" s="33">
        <v>0</v>
      </c>
      <c r="E1140" s="33">
        <v>21</v>
      </c>
      <c r="F1140" s="33">
        <v>740</v>
      </c>
      <c r="G1140" s="33">
        <v>146</v>
      </c>
      <c r="H1140" s="33">
        <v>27</v>
      </c>
      <c r="I1140" s="33">
        <v>934</v>
      </c>
      <c r="K1140" t="b">
        <f>QHPSelections2016[[#This Row],[County Name]]=P1140</f>
        <v>1</v>
      </c>
      <c r="L1140" t="b">
        <f>QHPSelections2016[[#This Row],[Silver]]=S1140</f>
        <v>1</v>
      </c>
      <c r="N1140">
        <v>28083</v>
      </c>
      <c r="O1140" t="s">
        <v>1541</v>
      </c>
      <c r="P1140" t="s">
        <v>1046</v>
      </c>
      <c r="Q1140">
        <v>0</v>
      </c>
      <c r="R1140">
        <v>21</v>
      </c>
      <c r="S1140">
        <v>740</v>
      </c>
      <c r="T1140">
        <v>146</v>
      </c>
      <c r="U1140">
        <v>27</v>
      </c>
      <c r="V1140">
        <v>934</v>
      </c>
    </row>
    <row r="1141" spans="1:22">
      <c r="A1141" s="32" t="s">
        <v>3163</v>
      </c>
      <c r="B1141" s="32" t="s">
        <v>1541</v>
      </c>
      <c r="C1141" s="32" t="s">
        <v>1051</v>
      </c>
      <c r="D1141" s="33">
        <v>0</v>
      </c>
      <c r="E1141" s="33">
        <v>28</v>
      </c>
      <c r="F1141" s="33">
        <v>1017</v>
      </c>
      <c r="G1141" s="33">
        <v>127</v>
      </c>
      <c r="H1141" s="33">
        <v>21</v>
      </c>
      <c r="I1141" s="33">
        <v>1193</v>
      </c>
      <c r="K1141" t="b">
        <f>QHPSelections2016[[#This Row],[County Name]]=P1141</f>
        <v>1</v>
      </c>
      <c r="L1141" t="b">
        <f>QHPSelections2016[[#This Row],[Silver]]=S1141</f>
        <v>1</v>
      </c>
      <c r="N1141">
        <v>28085</v>
      </c>
      <c r="O1141" t="s">
        <v>1541</v>
      </c>
      <c r="P1141" t="s">
        <v>1051</v>
      </c>
      <c r="Q1141">
        <v>0</v>
      </c>
      <c r="R1141">
        <v>28</v>
      </c>
      <c r="S1141" s="51">
        <v>1017</v>
      </c>
      <c r="T1141">
        <v>127</v>
      </c>
      <c r="U1141">
        <v>21</v>
      </c>
      <c r="V1141" s="51">
        <v>1193</v>
      </c>
    </row>
    <row r="1142" spans="1:22">
      <c r="A1142" s="32" t="s">
        <v>3164</v>
      </c>
      <c r="B1142" s="32" t="s">
        <v>1541</v>
      </c>
      <c r="C1142" s="32" t="s">
        <v>1049</v>
      </c>
      <c r="D1142" s="33" t="s">
        <v>1639</v>
      </c>
      <c r="E1142" s="33">
        <v>36</v>
      </c>
      <c r="F1142" s="33">
        <v>1696</v>
      </c>
      <c r="G1142" s="33">
        <v>231</v>
      </c>
      <c r="H1142" s="33" t="s">
        <v>1639</v>
      </c>
      <c r="I1142" s="33">
        <v>1973</v>
      </c>
      <c r="K1142" t="b">
        <f>QHPSelections2016[[#This Row],[County Name]]=P1142</f>
        <v>1</v>
      </c>
      <c r="L1142" t="b">
        <f>QHPSelections2016[[#This Row],[Silver]]=S1142</f>
        <v>1</v>
      </c>
      <c r="N1142">
        <v>28087</v>
      </c>
      <c r="O1142" t="s">
        <v>1541</v>
      </c>
      <c r="P1142" t="s">
        <v>1049</v>
      </c>
      <c r="R1142">
        <v>36</v>
      </c>
      <c r="S1142" s="51">
        <v>1696</v>
      </c>
      <c r="T1142">
        <v>231</v>
      </c>
      <c r="V1142" s="51">
        <v>1973</v>
      </c>
    </row>
    <row r="1143" spans="1:22">
      <c r="A1143" s="32" t="s">
        <v>3165</v>
      </c>
      <c r="B1143" s="32" t="s">
        <v>1541</v>
      </c>
      <c r="C1143" s="32" t="s">
        <v>1029</v>
      </c>
      <c r="D1143" s="33">
        <v>105</v>
      </c>
      <c r="E1143" s="33">
        <v>171</v>
      </c>
      <c r="F1143" s="33">
        <v>3937</v>
      </c>
      <c r="G1143" s="33">
        <v>873</v>
      </c>
      <c r="H1143" s="33">
        <v>87</v>
      </c>
      <c r="I1143" s="33">
        <v>5173</v>
      </c>
      <c r="K1143" t="b">
        <f>QHPSelections2016[[#This Row],[County Name]]=P1143</f>
        <v>1</v>
      </c>
      <c r="L1143" t="b">
        <f>QHPSelections2016[[#This Row],[Silver]]=S1143</f>
        <v>1</v>
      </c>
      <c r="N1143">
        <v>28089</v>
      </c>
      <c r="O1143" t="s">
        <v>1541</v>
      </c>
      <c r="P1143" t="s">
        <v>1029</v>
      </c>
      <c r="Q1143">
        <v>105</v>
      </c>
      <c r="R1143">
        <v>171</v>
      </c>
      <c r="S1143" s="51">
        <v>3937</v>
      </c>
      <c r="T1143">
        <v>873</v>
      </c>
      <c r="U1143">
        <v>87</v>
      </c>
      <c r="V1143" s="51">
        <v>5173</v>
      </c>
    </row>
    <row r="1144" spans="1:22">
      <c r="A1144" s="32" t="s">
        <v>3166</v>
      </c>
      <c r="B1144" s="32" t="s">
        <v>1541</v>
      </c>
      <c r="C1144" s="32" t="s">
        <v>1038</v>
      </c>
      <c r="D1144" s="33">
        <v>0</v>
      </c>
      <c r="E1144" s="33">
        <v>31</v>
      </c>
      <c r="F1144" s="33">
        <v>951</v>
      </c>
      <c r="G1144" s="33">
        <v>55</v>
      </c>
      <c r="H1144" s="33">
        <v>12</v>
      </c>
      <c r="I1144" s="33">
        <v>1049</v>
      </c>
      <c r="K1144" t="b">
        <f>QHPSelections2016[[#This Row],[County Name]]=P1144</f>
        <v>1</v>
      </c>
      <c r="L1144" t="b">
        <f>QHPSelections2016[[#This Row],[Silver]]=S1144</f>
        <v>1</v>
      </c>
      <c r="N1144">
        <v>28091</v>
      </c>
      <c r="O1144" t="s">
        <v>1541</v>
      </c>
      <c r="P1144" t="s">
        <v>1038</v>
      </c>
      <c r="Q1144">
        <v>0</v>
      </c>
      <c r="R1144">
        <v>31</v>
      </c>
      <c r="S1144">
        <v>951</v>
      </c>
      <c r="T1144">
        <v>55</v>
      </c>
      <c r="U1144">
        <v>12</v>
      </c>
      <c r="V1144" s="51">
        <v>1049</v>
      </c>
    </row>
    <row r="1145" spans="1:22">
      <c r="A1145" s="32" t="s">
        <v>3167</v>
      </c>
      <c r="B1145" s="32" t="s">
        <v>1541</v>
      </c>
      <c r="C1145" s="32" t="s">
        <v>1068</v>
      </c>
      <c r="D1145" s="33">
        <v>0</v>
      </c>
      <c r="E1145" s="33">
        <v>54</v>
      </c>
      <c r="F1145" s="33">
        <v>1241</v>
      </c>
      <c r="G1145" s="33">
        <v>209</v>
      </c>
      <c r="H1145" s="33">
        <v>27</v>
      </c>
      <c r="I1145" s="33">
        <v>1531</v>
      </c>
      <c r="K1145" t="b">
        <f>QHPSelections2016[[#This Row],[County Name]]=P1145</f>
        <v>1</v>
      </c>
      <c r="L1145" t="b">
        <f>QHPSelections2016[[#This Row],[Silver]]=S1145</f>
        <v>1</v>
      </c>
      <c r="N1145">
        <v>28093</v>
      </c>
      <c r="O1145" t="s">
        <v>1541</v>
      </c>
      <c r="P1145" t="s">
        <v>1068</v>
      </c>
      <c r="Q1145">
        <v>0</v>
      </c>
      <c r="R1145">
        <v>54</v>
      </c>
      <c r="S1145" s="51">
        <v>1241</v>
      </c>
      <c r="T1145">
        <v>209</v>
      </c>
      <c r="U1145">
        <v>27</v>
      </c>
      <c r="V1145" s="51">
        <v>1531</v>
      </c>
    </row>
    <row r="1146" spans="1:22">
      <c r="A1146" s="32" t="s">
        <v>3168</v>
      </c>
      <c r="B1146" s="32" t="s">
        <v>1541</v>
      </c>
      <c r="C1146" s="32" t="s">
        <v>1055</v>
      </c>
      <c r="D1146" s="33" t="s">
        <v>1639</v>
      </c>
      <c r="E1146" s="33">
        <v>36</v>
      </c>
      <c r="F1146" s="33">
        <v>804</v>
      </c>
      <c r="G1146" s="33">
        <v>125</v>
      </c>
      <c r="H1146" s="33" t="s">
        <v>1639</v>
      </c>
      <c r="I1146" s="33">
        <v>970</v>
      </c>
      <c r="K1146" t="b">
        <f>QHPSelections2016[[#This Row],[County Name]]=P1146</f>
        <v>1</v>
      </c>
      <c r="L1146" t="b">
        <f>QHPSelections2016[[#This Row],[Silver]]=S1146</f>
        <v>1</v>
      </c>
      <c r="N1146">
        <v>28095</v>
      </c>
      <c r="O1146" t="s">
        <v>1541</v>
      </c>
      <c r="P1146" t="s">
        <v>1055</v>
      </c>
      <c r="R1146">
        <v>36</v>
      </c>
      <c r="S1146">
        <v>804</v>
      </c>
      <c r="T1146">
        <v>125</v>
      </c>
      <c r="V1146">
        <v>970</v>
      </c>
    </row>
    <row r="1147" spans="1:22">
      <c r="A1147" s="32" t="s">
        <v>3169</v>
      </c>
      <c r="B1147" s="32" t="s">
        <v>1541</v>
      </c>
      <c r="C1147" s="32" t="s">
        <v>1079</v>
      </c>
      <c r="D1147" s="33">
        <v>0</v>
      </c>
      <c r="E1147" s="33" t="s">
        <v>1639</v>
      </c>
      <c r="F1147" s="33">
        <v>290</v>
      </c>
      <c r="G1147" s="33">
        <v>54</v>
      </c>
      <c r="H1147" s="33" t="s">
        <v>1639</v>
      </c>
      <c r="I1147" s="33">
        <v>353</v>
      </c>
      <c r="K1147" t="b">
        <f>QHPSelections2016[[#This Row],[County Name]]=P1147</f>
        <v>1</v>
      </c>
      <c r="L1147" t="b">
        <f>QHPSelections2016[[#This Row],[Silver]]=S1147</f>
        <v>1</v>
      </c>
      <c r="N1147">
        <v>28097</v>
      </c>
      <c r="O1147" t="s">
        <v>1541</v>
      </c>
      <c r="P1147" t="s">
        <v>1079</v>
      </c>
      <c r="Q1147">
        <v>0</v>
      </c>
      <c r="S1147">
        <v>290</v>
      </c>
      <c r="T1147">
        <v>54</v>
      </c>
      <c r="V1147">
        <v>353</v>
      </c>
    </row>
    <row r="1148" spans="1:22">
      <c r="A1148" s="32" t="s">
        <v>3170</v>
      </c>
      <c r="B1148" s="32" t="s">
        <v>1541</v>
      </c>
      <c r="C1148" s="32" t="s">
        <v>1084</v>
      </c>
      <c r="D1148" s="33" t="s">
        <v>1639</v>
      </c>
      <c r="E1148" s="33">
        <v>19</v>
      </c>
      <c r="F1148" s="33">
        <v>425</v>
      </c>
      <c r="G1148" s="33">
        <v>51</v>
      </c>
      <c r="H1148" s="33" t="s">
        <v>1639</v>
      </c>
      <c r="I1148" s="33">
        <v>498</v>
      </c>
      <c r="K1148" t="b">
        <f>QHPSelections2016[[#This Row],[County Name]]=P1148</f>
        <v>1</v>
      </c>
      <c r="L1148" t="b">
        <f>QHPSelections2016[[#This Row],[Silver]]=S1148</f>
        <v>1</v>
      </c>
      <c r="N1148">
        <v>28099</v>
      </c>
      <c r="O1148" t="s">
        <v>1541</v>
      </c>
      <c r="P1148" t="s">
        <v>1084</v>
      </c>
      <c r="R1148">
        <v>19</v>
      </c>
      <c r="S1148">
        <v>425</v>
      </c>
      <c r="T1148">
        <v>51</v>
      </c>
      <c r="V1148">
        <v>498</v>
      </c>
    </row>
    <row r="1149" spans="1:22">
      <c r="A1149" s="32" t="s">
        <v>3171</v>
      </c>
      <c r="B1149" s="32" t="s">
        <v>1541</v>
      </c>
      <c r="C1149" s="32" t="s">
        <v>1088</v>
      </c>
      <c r="D1149" s="33">
        <v>0</v>
      </c>
      <c r="E1149" s="33">
        <v>17</v>
      </c>
      <c r="F1149" s="33">
        <v>501</v>
      </c>
      <c r="G1149" s="33">
        <v>60</v>
      </c>
      <c r="H1149" s="33">
        <v>0</v>
      </c>
      <c r="I1149" s="33">
        <v>578</v>
      </c>
      <c r="K1149" t="b">
        <f>QHPSelections2016[[#This Row],[County Name]]=P1149</f>
        <v>1</v>
      </c>
      <c r="L1149" t="b">
        <f>QHPSelections2016[[#This Row],[Silver]]=S1149</f>
        <v>1</v>
      </c>
      <c r="N1149">
        <v>28101</v>
      </c>
      <c r="O1149" t="s">
        <v>1541</v>
      </c>
      <c r="P1149" t="s">
        <v>1088</v>
      </c>
      <c r="Q1149">
        <v>0</v>
      </c>
      <c r="R1149">
        <v>17</v>
      </c>
      <c r="S1149">
        <v>501</v>
      </c>
      <c r="T1149">
        <v>60</v>
      </c>
      <c r="U1149">
        <v>0</v>
      </c>
      <c r="V1149">
        <v>578</v>
      </c>
    </row>
    <row r="1150" spans="1:22">
      <c r="A1150" s="32" t="s">
        <v>3172</v>
      </c>
      <c r="B1150" s="32" t="s">
        <v>1541</v>
      </c>
      <c r="C1150" s="32" t="s">
        <v>1095</v>
      </c>
      <c r="D1150" s="33">
        <v>0</v>
      </c>
      <c r="E1150" s="33" t="s">
        <v>1639</v>
      </c>
      <c r="F1150" s="33">
        <v>350</v>
      </c>
      <c r="G1150" s="33">
        <v>58</v>
      </c>
      <c r="H1150" s="33" t="s">
        <v>1639</v>
      </c>
      <c r="I1150" s="33">
        <v>411</v>
      </c>
      <c r="K1150" t="b">
        <f>QHPSelections2016[[#This Row],[County Name]]=P1150</f>
        <v>1</v>
      </c>
      <c r="L1150" t="b">
        <f>QHPSelections2016[[#This Row],[Silver]]=S1150</f>
        <v>1</v>
      </c>
      <c r="N1150">
        <v>28103</v>
      </c>
      <c r="O1150" t="s">
        <v>1541</v>
      </c>
      <c r="P1150" t="s">
        <v>1095</v>
      </c>
      <c r="Q1150">
        <v>0</v>
      </c>
      <c r="S1150">
        <v>350</v>
      </c>
      <c r="T1150">
        <v>58</v>
      </c>
      <c r="V1150">
        <v>411</v>
      </c>
    </row>
    <row r="1151" spans="1:22">
      <c r="A1151" s="32" t="s">
        <v>3173</v>
      </c>
      <c r="B1151" s="32" t="s">
        <v>1541</v>
      </c>
      <c r="C1151" s="32" t="s">
        <v>1100</v>
      </c>
      <c r="D1151" s="33">
        <v>0</v>
      </c>
      <c r="E1151" s="33">
        <v>41</v>
      </c>
      <c r="F1151" s="33">
        <v>894</v>
      </c>
      <c r="G1151" s="33">
        <v>150</v>
      </c>
      <c r="H1151" s="33">
        <v>12</v>
      </c>
      <c r="I1151" s="33">
        <v>1097</v>
      </c>
      <c r="K1151" t="b">
        <f>QHPSelections2016[[#This Row],[County Name]]=P1151</f>
        <v>1</v>
      </c>
      <c r="L1151" t="b">
        <f>QHPSelections2016[[#This Row],[Silver]]=S1151</f>
        <v>1</v>
      </c>
      <c r="N1151">
        <v>28105</v>
      </c>
      <c r="O1151" t="s">
        <v>1541</v>
      </c>
      <c r="P1151" t="s">
        <v>1100</v>
      </c>
      <c r="Q1151">
        <v>0</v>
      </c>
      <c r="R1151">
        <v>41</v>
      </c>
      <c r="S1151">
        <v>894</v>
      </c>
      <c r="T1151">
        <v>150</v>
      </c>
      <c r="U1151">
        <v>12</v>
      </c>
      <c r="V1151" s="51">
        <v>1097</v>
      </c>
    </row>
    <row r="1152" spans="1:22">
      <c r="A1152" s="32" t="s">
        <v>3174</v>
      </c>
      <c r="B1152" s="32" t="s">
        <v>1541</v>
      </c>
      <c r="C1152" s="32" t="s">
        <v>1105</v>
      </c>
      <c r="D1152" s="33" t="s">
        <v>1639</v>
      </c>
      <c r="E1152" s="33">
        <v>16</v>
      </c>
      <c r="F1152" s="33">
        <v>860</v>
      </c>
      <c r="G1152" s="33">
        <v>165</v>
      </c>
      <c r="H1152" s="33" t="s">
        <v>1639</v>
      </c>
      <c r="I1152" s="33">
        <v>1046</v>
      </c>
      <c r="K1152" t="b">
        <f>QHPSelections2016[[#This Row],[County Name]]=P1152</f>
        <v>1</v>
      </c>
      <c r="L1152" t="b">
        <f>QHPSelections2016[[#This Row],[Silver]]=S1152</f>
        <v>1</v>
      </c>
      <c r="N1152">
        <v>28107</v>
      </c>
      <c r="O1152" t="s">
        <v>1541</v>
      </c>
      <c r="P1152" t="s">
        <v>1105</v>
      </c>
      <c r="R1152">
        <v>16</v>
      </c>
      <c r="S1152">
        <v>860</v>
      </c>
      <c r="T1152">
        <v>165</v>
      </c>
      <c r="V1152" s="51">
        <v>1046</v>
      </c>
    </row>
    <row r="1153" spans="1:22">
      <c r="A1153" s="32" t="s">
        <v>3175</v>
      </c>
      <c r="B1153" s="32" t="s">
        <v>1541</v>
      </c>
      <c r="C1153" s="32" t="s">
        <v>1112</v>
      </c>
      <c r="D1153" s="33">
        <v>0</v>
      </c>
      <c r="E1153" s="33">
        <v>74</v>
      </c>
      <c r="F1153" s="33">
        <v>1766</v>
      </c>
      <c r="G1153" s="33">
        <v>230</v>
      </c>
      <c r="H1153" s="33">
        <v>28</v>
      </c>
      <c r="I1153" s="33">
        <v>2098</v>
      </c>
      <c r="K1153" t="b">
        <f>QHPSelections2016[[#This Row],[County Name]]=P1153</f>
        <v>1</v>
      </c>
      <c r="L1153" t="b">
        <f>QHPSelections2016[[#This Row],[Silver]]=S1153</f>
        <v>1</v>
      </c>
      <c r="N1153">
        <v>28109</v>
      </c>
      <c r="O1153" t="s">
        <v>1541</v>
      </c>
      <c r="P1153" t="s">
        <v>1112</v>
      </c>
      <c r="Q1153">
        <v>0</v>
      </c>
      <c r="R1153">
        <v>74</v>
      </c>
      <c r="S1153" s="51">
        <v>1766</v>
      </c>
      <c r="T1153">
        <v>230</v>
      </c>
      <c r="U1153">
        <v>28</v>
      </c>
      <c r="V1153" s="51">
        <v>2098</v>
      </c>
    </row>
    <row r="1154" spans="1:22">
      <c r="A1154" s="32" t="s">
        <v>3176</v>
      </c>
      <c r="B1154" s="32" t="s">
        <v>1541</v>
      </c>
      <c r="C1154" s="32" t="s">
        <v>1097</v>
      </c>
      <c r="D1154" s="33" t="s">
        <v>1639</v>
      </c>
      <c r="E1154" s="33">
        <v>21</v>
      </c>
      <c r="F1154" s="33">
        <v>343</v>
      </c>
      <c r="G1154" s="33">
        <v>44</v>
      </c>
      <c r="H1154" s="33" t="s">
        <v>1639</v>
      </c>
      <c r="I1154" s="33">
        <v>410</v>
      </c>
      <c r="K1154" t="b">
        <f>QHPSelections2016[[#This Row],[County Name]]=P1154</f>
        <v>1</v>
      </c>
      <c r="L1154" t="b">
        <f>QHPSelections2016[[#This Row],[Silver]]=S1154</f>
        <v>1</v>
      </c>
      <c r="N1154">
        <v>28111</v>
      </c>
      <c r="O1154" t="s">
        <v>1541</v>
      </c>
      <c r="P1154" t="s">
        <v>1097</v>
      </c>
      <c r="R1154">
        <v>21</v>
      </c>
      <c r="S1154">
        <v>343</v>
      </c>
      <c r="T1154">
        <v>44</v>
      </c>
      <c r="V1154">
        <v>410</v>
      </c>
    </row>
    <row r="1155" spans="1:22">
      <c r="A1155" s="32" t="s">
        <v>3177</v>
      </c>
      <c r="B1155" s="32" t="s">
        <v>1541</v>
      </c>
      <c r="C1155" s="32" t="s">
        <v>1109</v>
      </c>
      <c r="D1155" s="33">
        <v>0</v>
      </c>
      <c r="E1155" s="33">
        <v>42</v>
      </c>
      <c r="F1155" s="33">
        <v>1265</v>
      </c>
      <c r="G1155" s="33">
        <v>205</v>
      </c>
      <c r="H1155" s="33">
        <v>15</v>
      </c>
      <c r="I1155" s="33">
        <v>1527</v>
      </c>
      <c r="K1155" t="b">
        <f>QHPSelections2016[[#This Row],[County Name]]=P1155</f>
        <v>1</v>
      </c>
      <c r="L1155" t="b">
        <f>QHPSelections2016[[#This Row],[Silver]]=S1155</f>
        <v>1</v>
      </c>
      <c r="N1155">
        <v>28113</v>
      </c>
      <c r="O1155" t="s">
        <v>1541</v>
      </c>
      <c r="P1155" t="s">
        <v>1109</v>
      </c>
      <c r="Q1155">
        <v>0</v>
      </c>
      <c r="R1155">
        <v>42</v>
      </c>
      <c r="S1155" s="51">
        <v>1265</v>
      </c>
      <c r="T1155">
        <v>205</v>
      </c>
      <c r="U1155">
        <v>15</v>
      </c>
      <c r="V1155" s="51">
        <v>1527</v>
      </c>
    </row>
    <row r="1156" spans="1:22">
      <c r="A1156" s="32" t="s">
        <v>3178</v>
      </c>
      <c r="B1156" s="32" t="s">
        <v>1541</v>
      </c>
      <c r="C1156" s="32" t="s">
        <v>1125</v>
      </c>
      <c r="D1156" s="33" t="s">
        <v>1639</v>
      </c>
      <c r="E1156" s="33">
        <v>18</v>
      </c>
      <c r="F1156" s="33">
        <v>516</v>
      </c>
      <c r="G1156" s="33">
        <v>104</v>
      </c>
      <c r="H1156" s="33" t="s">
        <v>1639</v>
      </c>
      <c r="I1156" s="33">
        <v>645</v>
      </c>
      <c r="K1156" t="b">
        <f>QHPSelections2016[[#This Row],[County Name]]=P1156</f>
        <v>1</v>
      </c>
      <c r="L1156" t="b">
        <f>QHPSelections2016[[#This Row],[Silver]]=S1156</f>
        <v>1</v>
      </c>
      <c r="N1156">
        <v>28115</v>
      </c>
      <c r="O1156" t="s">
        <v>1541</v>
      </c>
      <c r="P1156" t="s">
        <v>1125</v>
      </c>
      <c r="R1156">
        <v>18</v>
      </c>
      <c r="S1156">
        <v>516</v>
      </c>
      <c r="T1156">
        <v>104</v>
      </c>
      <c r="V1156">
        <v>645</v>
      </c>
    </row>
    <row r="1157" spans="1:22">
      <c r="A1157" s="32" t="s">
        <v>3179</v>
      </c>
      <c r="B1157" s="32" t="s">
        <v>1541</v>
      </c>
      <c r="C1157" s="32" t="s">
        <v>1128</v>
      </c>
      <c r="D1157" s="33" t="s">
        <v>1639</v>
      </c>
      <c r="E1157" s="33">
        <v>21</v>
      </c>
      <c r="F1157" s="33">
        <v>506</v>
      </c>
      <c r="G1157" s="33">
        <v>58</v>
      </c>
      <c r="H1157" s="33" t="s">
        <v>1639</v>
      </c>
      <c r="I1157" s="33">
        <v>589</v>
      </c>
      <c r="K1157" t="b">
        <f>QHPSelections2016[[#This Row],[County Name]]=P1157</f>
        <v>1</v>
      </c>
      <c r="L1157" t="b">
        <f>QHPSelections2016[[#This Row],[Silver]]=S1157</f>
        <v>1</v>
      </c>
      <c r="N1157">
        <v>28117</v>
      </c>
      <c r="O1157" t="s">
        <v>1541</v>
      </c>
      <c r="P1157" t="s">
        <v>1128</v>
      </c>
      <c r="R1157">
        <v>21</v>
      </c>
      <c r="S1157">
        <v>506</v>
      </c>
      <c r="T1157">
        <v>58</v>
      </c>
      <c r="V1157">
        <v>589</v>
      </c>
    </row>
    <row r="1158" spans="1:22">
      <c r="A1158" s="32" t="s">
        <v>3180</v>
      </c>
      <c r="B1158" s="32" t="s">
        <v>1541</v>
      </c>
      <c r="C1158" s="32" t="s">
        <v>1132</v>
      </c>
      <c r="D1158" s="33">
        <v>0</v>
      </c>
      <c r="E1158" s="33" t="s">
        <v>1639</v>
      </c>
      <c r="F1158" s="33">
        <v>186</v>
      </c>
      <c r="G1158" s="33">
        <v>55</v>
      </c>
      <c r="H1158" s="33" t="s">
        <v>1639</v>
      </c>
      <c r="I1158" s="33">
        <v>248</v>
      </c>
      <c r="K1158" t="b">
        <f>QHPSelections2016[[#This Row],[County Name]]=P1158</f>
        <v>1</v>
      </c>
      <c r="L1158" t="b">
        <f>QHPSelections2016[[#This Row],[Silver]]=S1158</f>
        <v>1</v>
      </c>
      <c r="N1158">
        <v>28119</v>
      </c>
      <c r="O1158" t="s">
        <v>1541</v>
      </c>
      <c r="P1158" t="s">
        <v>1132</v>
      </c>
      <c r="Q1158">
        <v>0</v>
      </c>
      <c r="S1158">
        <v>186</v>
      </c>
      <c r="T1158">
        <v>55</v>
      </c>
      <c r="V1158">
        <v>248</v>
      </c>
    </row>
    <row r="1159" spans="1:22">
      <c r="A1159" s="32" t="s">
        <v>3181</v>
      </c>
      <c r="B1159" s="32" t="s">
        <v>1541</v>
      </c>
      <c r="C1159" s="32" t="s">
        <v>1139</v>
      </c>
      <c r="D1159" s="33">
        <v>118</v>
      </c>
      <c r="E1159" s="33">
        <v>208</v>
      </c>
      <c r="F1159" s="33">
        <v>4464</v>
      </c>
      <c r="G1159" s="33">
        <v>796</v>
      </c>
      <c r="H1159" s="33">
        <v>81</v>
      </c>
      <c r="I1159" s="33">
        <v>5667</v>
      </c>
      <c r="K1159" t="b">
        <f>QHPSelections2016[[#This Row],[County Name]]=P1159</f>
        <v>1</v>
      </c>
      <c r="L1159" t="b">
        <f>QHPSelections2016[[#This Row],[Silver]]=S1159</f>
        <v>1</v>
      </c>
      <c r="N1159">
        <v>28121</v>
      </c>
      <c r="O1159" t="s">
        <v>1541</v>
      </c>
      <c r="P1159" t="s">
        <v>1139</v>
      </c>
      <c r="Q1159">
        <v>118</v>
      </c>
      <c r="R1159">
        <v>208</v>
      </c>
      <c r="S1159" s="51">
        <v>4464</v>
      </c>
      <c r="T1159">
        <v>796</v>
      </c>
      <c r="U1159">
        <v>81</v>
      </c>
      <c r="V1159" s="51">
        <v>5667</v>
      </c>
    </row>
    <row r="1160" spans="1:22">
      <c r="A1160" s="32" t="s">
        <v>3182</v>
      </c>
      <c r="B1160" s="32" t="s">
        <v>1541</v>
      </c>
      <c r="C1160" s="32" t="s">
        <v>1146</v>
      </c>
      <c r="D1160" s="33" t="s">
        <v>1639</v>
      </c>
      <c r="E1160" s="33">
        <v>29</v>
      </c>
      <c r="F1160" s="33">
        <v>591</v>
      </c>
      <c r="G1160" s="33">
        <v>123</v>
      </c>
      <c r="H1160" s="33" t="s">
        <v>1639</v>
      </c>
      <c r="I1160" s="33">
        <v>750</v>
      </c>
      <c r="K1160" t="b">
        <f>QHPSelections2016[[#This Row],[County Name]]=P1160</f>
        <v>1</v>
      </c>
      <c r="L1160" t="b">
        <f>QHPSelections2016[[#This Row],[Silver]]=S1160</f>
        <v>1</v>
      </c>
      <c r="N1160">
        <v>28123</v>
      </c>
      <c r="O1160" t="s">
        <v>1541</v>
      </c>
      <c r="P1160" t="s">
        <v>1146</v>
      </c>
      <c r="R1160">
        <v>29</v>
      </c>
      <c r="S1160">
        <v>591</v>
      </c>
      <c r="T1160">
        <v>123</v>
      </c>
      <c r="V1160">
        <v>750</v>
      </c>
    </row>
    <row r="1161" spans="1:22">
      <c r="A1161" s="32" t="s">
        <v>3183</v>
      </c>
      <c r="B1161" s="32" t="s">
        <v>1541</v>
      </c>
      <c r="C1161" s="32" t="s">
        <v>1151</v>
      </c>
      <c r="D1161" s="33">
        <v>0</v>
      </c>
      <c r="E1161" s="33" t="s">
        <v>1639</v>
      </c>
      <c r="F1161" s="33">
        <v>165</v>
      </c>
      <c r="G1161" s="33">
        <v>31</v>
      </c>
      <c r="H1161" s="33" t="s">
        <v>1639</v>
      </c>
      <c r="I1161" s="33">
        <v>203</v>
      </c>
      <c r="K1161" t="b">
        <f>QHPSelections2016[[#This Row],[County Name]]=P1161</f>
        <v>1</v>
      </c>
      <c r="L1161" t="b">
        <f>QHPSelections2016[[#This Row],[Silver]]=S1161</f>
        <v>1</v>
      </c>
      <c r="N1161">
        <v>28125</v>
      </c>
      <c r="O1161" t="s">
        <v>1541</v>
      </c>
      <c r="P1161" t="s">
        <v>1151</v>
      </c>
      <c r="Q1161">
        <v>0</v>
      </c>
      <c r="S1161">
        <v>165</v>
      </c>
      <c r="T1161">
        <v>31</v>
      </c>
      <c r="V1161">
        <v>203</v>
      </c>
    </row>
    <row r="1162" spans="1:22">
      <c r="A1162" s="32" t="s">
        <v>3184</v>
      </c>
      <c r="B1162" s="32" t="s">
        <v>1541</v>
      </c>
      <c r="C1162" s="32" t="s">
        <v>1157</v>
      </c>
      <c r="D1162" s="33">
        <v>0</v>
      </c>
      <c r="E1162" s="33">
        <v>27</v>
      </c>
      <c r="F1162" s="33">
        <v>803</v>
      </c>
      <c r="G1162" s="33">
        <v>108</v>
      </c>
      <c r="H1162" s="33">
        <v>13</v>
      </c>
      <c r="I1162" s="33">
        <v>951</v>
      </c>
      <c r="K1162" t="b">
        <f>QHPSelections2016[[#This Row],[County Name]]=P1162</f>
        <v>1</v>
      </c>
      <c r="L1162" t="b">
        <f>QHPSelections2016[[#This Row],[Silver]]=S1162</f>
        <v>1</v>
      </c>
      <c r="N1162">
        <v>28127</v>
      </c>
      <c r="O1162" t="s">
        <v>1541</v>
      </c>
      <c r="P1162" t="s">
        <v>1157</v>
      </c>
      <c r="Q1162">
        <v>0</v>
      </c>
      <c r="R1162">
        <v>27</v>
      </c>
      <c r="S1162">
        <v>803</v>
      </c>
      <c r="T1162">
        <v>108</v>
      </c>
      <c r="U1162">
        <v>13</v>
      </c>
      <c r="V1162">
        <v>951</v>
      </c>
    </row>
    <row r="1163" spans="1:22">
      <c r="A1163" s="32" t="s">
        <v>3185</v>
      </c>
      <c r="B1163" s="32" t="s">
        <v>1541</v>
      </c>
      <c r="C1163" s="32" t="s">
        <v>1163</v>
      </c>
      <c r="D1163" s="33" t="s">
        <v>1639</v>
      </c>
      <c r="E1163" s="33">
        <v>12</v>
      </c>
      <c r="F1163" s="33">
        <v>456</v>
      </c>
      <c r="G1163" s="33">
        <v>69</v>
      </c>
      <c r="H1163" s="33" t="s">
        <v>1639</v>
      </c>
      <c r="I1163" s="33">
        <v>539</v>
      </c>
      <c r="K1163" t="b">
        <f>QHPSelections2016[[#This Row],[County Name]]=P1163</f>
        <v>1</v>
      </c>
      <c r="L1163" t="b">
        <f>QHPSelections2016[[#This Row],[Silver]]=S1163</f>
        <v>1</v>
      </c>
      <c r="N1163">
        <v>28129</v>
      </c>
      <c r="O1163" t="s">
        <v>1541</v>
      </c>
      <c r="P1163" t="s">
        <v>1163</v>
      </c>
      <c r="R1163">
        <v>12</v>
      </c>
      <c r="S1163">
        <v>456</v>
      </c>
      <c r="T1163">
        <v>69</v>
      </c>
      <c r="V1163">
        <v>539</v>
      </c>
    </row>
    <row r="1164" spans="1:22">
      <c r="A1164" s="32" t="s">
        <v>3186</v>
      </c>
      <c r="B1164" s="32" t="s">
        <v>1541</v>
      </c>
      <c r="C1164" s="32" t="s">
        <v>1168</v>
      </c>
      <c r="D1164" s="33">
        <v>0</v>
      </c>
      <c r="E1164" s="33" t="s">
        <v>1639</v>
      </c>
      <c r="F1164" s="33">
        <v>374</v>
      </c>
      <c r="G1164" s="33">
        <v>55</v>
      </c>
      <c r="H1164" s="33" t="s">
        <v>1639</v>
      </c>
      <c r="I1164" s="33">
        <v>438</v>
      </c>
      <c r="K1164" t="b">
        <f>QHPSelections2016[[#This Row],[County Name]]=P1164</f>
        <v>1</v>
      </c>
      <c r="L1164" t="b">
        <f>QHPSelections2016[[#This Row],[Silver]]=S1164</f>
        <v>1</v>
      </c>
      <c r="N1164">
        <v>28131</v>
      </c>
      <c r="O1164" t="s">
        <v>1541</v>
      </c>
      <c r="P1164" t="s">
        <v>1168</v>
      </c>
      <c r="Q1164">
        <v>0</v>
      </c>
      <c r="S1164">
        <v>374</v>
      </c>
      <c r="T1164">
        <v>55</v>
      </c>
      <c r="V1164">
        <v>438</v>
      </c>
    </row>
    <row r="1165" spans="1:22">
      <c r="A1165" s="32" t="s">
        <v>3187</v>
      </c>
      <c r="B1165" s="32" t="s">
        <v>1541</v>
      </c>
      <c r="C1165" s="32" t="s">
        <v>1173</v>
      </c>
      <c r="D1165" s="33">
        <v>0</v>
      </c>
      <c r="E1165" s="33">
        <v>21</v>
      </c>
      <c r="F1165" s="33">
        <v>924</v>
      </c>
      <c r="G1165" s="33">
        <v>161</v>
      </c>
      <c r="H1165" s="33">
        <v>24</v>
      </c>
      <c r="I1165" s="33">
        <v>1130</v>
      </c>
      <c r="K1165" t="b">
        <f>QHPSelections2016[[#This Row],[County Name]]=P1165</f>
        <v>1</v>
      </c>
      <c r="L1165" t="b">
        <f>QHPSelections2016[[#This Row],[Silver]]=S1165</f>
        <v>1</v>
      </c>
      <c r="N1165">
        <v>28133</v>
      </c>
      <c r="O1165" t="s">
        <v>1541</v>
      </c>
      <c r="P1165" t="s">
        <v>1173</v>
      </c>
      <c r="Q1165">
        <v>0</v>
      </c>
      <c r="R1165">
        <v>21</v>
      </c>
      <c r="S1165">
        <v>924</v>
      </c>
      <c r="T1165">
        <v>161</v>
      </c>
      <c r="U1165">
        <v>24</v>
      </c>
      <c r="V1165" s="51">
        <v>1130</v>
      </c>
    </row>
    <row r="1166" spans="1:22">
      <c r="A1166" s="32" t="s">
        <v>3188</v>
      </c>
      <c r="B1166" s="32" t="s">
        <v>1541</v>
      </c>
      <c r="C1166" s="32" t="s">
        <v>1178</v>
      </c>
      <c r="D1166" s="33">
        <v>0</v>
      </c>
      <c r="E1166" s="33" t="s">
        <v>1639</v>
      </c>
      <c r="F1166" s="33">
        <v>325</v>
      </c>
      <c r="G1166" s="33">
        <v>50</v>
      </c>
      <c r="H1166" s="33" t="s">
        <v>1639</v>
      </c>
      <c r="I1166" s="33">
        <v>390</v>
      </c>
      <c r="K1166" t="b">
        <f>QHPSelections2016[[#This Row],[County Name]]=P1166</f>
        <v>1</v>
      </c>
      <c r="L1166" t="b">
        <f>QHPSelections2016[[#This Row],[Silver]]=S1166</f>
        <v>1</v>
      </c>
      <c r="N1166">
        <v>28135</v>
      </c>
      <c r="O1166" t="s">
        <v>1541</v>
      </c>
      <c r="P1166" t="s">
        <v>1178</v>
      </c>
      <c r="Q1166">
        <v>0</v>
      </c>
      <c r="S1166">
        <v>325</v>
      </c>
      <c r="T1166">
        <v>50</v>
      </c>
      <c r="V1166">
        <v>390</v>
      </c>
    </row>
    <row r="1167" spans="1:22">
      <c r="A1167" s="32" t="s">
        <v>3189</v>
      </c>
      <c r="B1167" s="32" t="s">
        <v>1541</v>
      </c>
      <c r="C1167" s="32" t="s">
        <v>1181</v>
      </c>
      <c r="D1167" s="33">
        <v>0</v>
      </c>
      <c r="E1167" s="33">
        <v>30</v>
      </c>
      <c r="F1167" s="33">
        <v>792</v>
      </c>
      <c r="G1167" s="33">
        <v>125</v>
      </c>
      <c r="H1167" s="33">
        <v>11</v>
      </c>
      <c r="I1167" s="33">
        <v>958</v>
      </c>
      <c r="K1167" t="b">
        <f>QHPSelections2016[[#This Row],[County Name]]=P1167</f>
        <v>1</v>
      </c>
      <c r="L1167" t="b">
        <f>QHPSelections2016[[#This Row],[Silver]]=S1167</f>
        <v>1</v>
      </c>
      <c r="N1167">
        <v>28137</v>
      </c>
      <c r="O1167" t="s">
        <v>1541</v>
      </c>
      <c r="P1167" t="s">
        <v>1181</v>
      </c>
      <c r="Q1167">
        <v>0</v>
      </c>
      <c r="R1167">
        <v>30</v>
      </c>
      <c r="S1167">
        <v>792</v>
      </c>
      <c r="T1167">
        <v>125</v>
      </c>
      <c r="U1167">
        <v>11</v>
      </c>
      <c r="V1167">
        <v>958</v>
      </c>
    </row>
    <row r="1168" spans="1:22">
      <c r="A1168" s="32" t="s">
        <v>3190</v>
      </c>
      <c r="B1168" s="32" t="s">
        <v>1541</v>
      </c>
      <c r="C1168" s="32" t="s">
        <v>1185</v>
      </c>
      <c r="D1168" s="33">
        <v>0</v>
      </c>
      <c r="E1168" s="33" t="s">
        <v>1639</v>
      </c>
      <c r="F1168" s="33">
        <v>502</v>
      </c>
      <c r="G1168" s="33">
        <v>53</v>
      </c>
      <c r="H1168" s="33" t="s">
        <v>1639</v>
      </c>
      <c r="I1168" s="33">
        <v>572</v>
      </c>
      <c r="K1168" t="b">
        <f>QHPSelections2016[[#This Row],[County Name]]=P1168</f>
        <v>1</v>
      </c>
      <c r="L1168" t="b">
        <f>QHPSelections2016[[#This Row],[Silver]]=S1168</f>
        <v>1</v>
      </c>
      <c r="N1168">
        <v>28139</v>
      </c>
      <c r="O1168" t="s">
        <v>1541</v>
      </c>
      <c r="P1168" t="s">
        <v>1185</v>
      </c>
      <c r="Q1168">
        <v>0</v>
      </c>
      <c r="S1168">
        <v>502</v>
      </c>
      <c r="T1168">
        <v>53</v>
      </c>
      <c r="V1168">
        <v>572</v>
      </c>
    </row>
    <row r="1169" spans="1:22">
      <c r="A1169" s="32" t="s">
        <v>3191</v>
      </c>
      <c r="B1169" s="32" t="s">
        <v>1541</v>
      </c>
      <c r="C1169" s="32" t="s">
        <v>1189</v>
      </c>
      <c r="D1169" s="33" t="s">
        <v>1639</v>
      </c>
      <c r="E1169" s="33">
        <v>12</v>
      </c>
      <c r="F1169" s="33">
        <v>486</v>
      </c>
      <c r="G1169" s="33">
        <v>41</v>
      </c>
      <c r="H1169" s="33" t="s">
        <v>1639</v>
      </c>
      <c r="I1169" s="33">
        <v>540</v>
      </c>
      <c r="K1169" t="b">
        <f>QHPSelections2016[[#This Row],[County Name]]=P1169</f>
        <v>1</v>
      </c>
      <c r="L1169" t="b">
        <f>QHPSelections2016[[#This Row],[Silver]]=S1169</f>
        <v>1</v>
      </c>
      <c r="N1169">
        <v>28141</v>
      </c>
      <c r="O1169" t="s">
        <v>1541</v>
      </c>
      <c r="P1169" t="s">
        <v>1189</v>
      </c>
      <c r="R1169">
        <v>12</v>
      </c>
      <c r="S1169">
        <v>486</v>
      </c>
      <c r="T1169">
        <v>41</v>
      </c>
      <c r="V1169">
        <v>540</v>
      </c>
    </row>
    <row r="1170" spans="1:22">
      <c r="A1170" s="32" t="s">
        <v>3192</v>
      </c>
      <c r="B1170" s="32" t="s">
        <v>1541</v>
      </c>
      <c r="C1170" s="32" t="s">
        <v>1193</v>
      </c>
      <c r="D1170" s="33" t="s">
        <v>1639</v>
      </c>
      <c r="E1170" s="33">
        <v>16</v>
      </c>
      <c r="F1170" s="33">
        <v>330</v>
      </c>
      <c r="G1170" s="33">
        <v>87</v>
      </c>
      <c r="H1170" s="33" t="s">
        <v>1639</v>
      </c>
      <c r="I1170" s="33">
        <v>438</v>
      </c>
      <c r="K1170" t="b">
        <f>QHPSelections2016[[#This Row],[County Name]]=P1170</f>
        <v>1</v>
      </c>
      <c r="L1170" t="b">
        <f>QHPSelections2016[[#This Row],[Silver]]=S1170</f>
        <v>1</v>
      </c>
      <c r="N1170">
        <v>28143</v>
      </c>
      <c r="O1170" t="s">
        <v>1541</v>
      </c>
      <c r="P1170" t="s">
        <v>1193</v>
      </c>
      <c r="R1170">
        <v>16</v>
      </c>
      <c r="S1170">
        <v>330</v>
      </c>
      <c r="T1170">
        <v>87</v>
      </c>
      <c r="V1170">
        <v>438</v>
      </c>
    </row>
    <row r="1171" spans="1:22">
      <c r="A1171" s="32" t="s">
        <v>3193</v>
      </c>
      <c r="B1171" s="32" t="s">
        <v>1541</v>
      </c>
      <c r="C1171" s="32" t="s">
        <v>1149</v>
      </c>
      <c r="D1171" s="33">
        <v>0</v>
      </c>
      <c r="E1171" s="33" t="s">
        <v>1639</v>
      </c>
      <c r="F1171" s="33">
        <v>520</v>
      </c>
      <c r="G1171" s="33">
        <v>96</v>
      </c>
      <c r="H1171" s="33" t="s">
        <v>1639</v>
      </c>
      <c r="I1171" s="33">
        <v>628</v>
      </c>
      <c r="K1171" t="b">
        <f>QHPSelections2016[[#This Row],[County Name]]=P1171</f>
        <v>1</v>
      </c>
      <c r="L1171" t="b">
        <f>QHPSelections2016[[#This Row],[Silver]]=S1171</f>
        <v>1</v>
      </c>
      <c r="N1171">
        <v>28145</v>
      </c>
      <c r="O1171" t="s">
        <v>1541</v>
      </c>
      <c r="P1171" t="s">
        <v>1149</v>
      </c>
      <c r="Q1171">
        <v>0</v>
      </c>
      <c r="S1171">
        <v>520</v>
      </c>
      <c r="T1171">
        <v>96</v>
      </c>
      <c r="V1171">
        <v>628</v>
      </c>
    </row>
    <row r="1172" spans="1:22">
      <c r="A1172" s="32" t="s">
        <v>3194</v>
      </c>
      <c r="B1172" s="32" t="s">
        <v>1541</v>
      </c>
      <c r="C1172" s="32" t="s">
        <v>1202</v>
      </c>
      <c r="D1172" s="33" t="s">
        <v>1639</v>
      </c>
      <c r="E1172" s="33">
        <v>23</v>
      </c>
      <c r="F1172" s="33">
        <v>654</v>
      </c>
      <c r="G1172" s="33">
        <v>61</v>
      </c>
      <c r="H1172" s="33" t="s">
        <v>1639</v>
      </c>
      <c r="I1172" s="33">
        <v>746</v>
      </c>
      <c r="K1172" t="b">
        <f>QHPSelections2016[[#This Row],[County Name]]=P1172</f>
        <v>1</v>
      </c>
      <c r="L1172" t="b">
        <f>QHPSelections2016[[#This Row],[Silver]]=S1172</f>
        <v>1</v>
      </c>
      <c r="N1172">
        <v>28147</v>
      </c>
      <c r="O1172" t="s">
        <v>1541</v>
      </c>
      <c r="P1172" t="s">
        <v>1202</v>
      </c>
      <c r="R1172">
        <v>23</v>
      </c>
      <c r="S1172">
        <v>654</v>
      </c>
      <c r="T1172">
        <v>61</v>
      </c>
      <c r="V1172">
        <v>746</v>
      </c>
    </row>
    <row r="1173" spans="1:22">
      <c r="A1173" s="32" t="s">
        <v>3195</v>
      </c>
      <c r="B1173" s="32" t="s">
        <v>1541</v>
      </c>
      <c r="C1173" s="32" t="s">
        <v>1205</v>
      </c>
      <c r="D1173" s="33">
        <v>0</v>
      </c>
      <c r="E1173" s="33">
        <v>56</v>
      </c>
      <c r="F1173" s="33">
        <v>1286</v>
      </c>
      <c r="G1173" s="33">
        <v>272</v>
      </c>
      <c r="H1173" s="33">
        <v>25</v>
      </c>
      <c r="I1173" s="33">
        <v>1639</v>
      </c>
      <c r="K1173" t="b">
        <f>QHPSelections2016[[#This Row],[County Name]]=P1173</f>
        <v>1</v>
      </c>
      <c r="L1173" t="b">
        <f>QHPSelections2016[[#This Row],[Silver]]=S1173</f>
        <v>1</v>
      </c>
      <c r="N1173">
        <v>28149</v>
      </c>
      <c r="O1173" t="s">
        <v>1541</v>
      </c>
      <c r="P1173" t="s">
        <v>1205</v>
      </c>
      <c r="Q1173">
        <v>0</v>
      </c>
      <c r="R1173">
        <v>56</v>
      </c>
      <c r="S1173" s="51">
        <v>1286</v>
      </c>
      <c r="T1173">
        <v>272</v>
      </c>
      <c r="U1173">
        <v>25</v>
      </c>
      <c r="V1173" s="51">
        <v>1639</v>
      </c>
    </row>
    <row r="1174" spans="1:22">
      <c r="A1174" s="32" t="s">
        <v>3196</v>
      </c>
      <c r="B1174" s="32" t="s">
        <v>1541</v>
      </c>
      <c r="C1174" s="32" t="s">
        <v>1160</v>
      </c>
      <c r="D1174" s="33">
        <v>0</v>
      </c>
      <c r="E1174" s="33">
        <v>44</v>
      </c>
      <c r="F1174" s="33">
        <v>1645</v>
      </c>
      <c r="G1174" s="33">
        <v>381</v>
      </c>
      <c r="H1174" s="33">
        <v>59</v>
      </c>
      <c r="I1174" s="33">
        <v>2129</v>
      </c>
      <c r="K1174" t="b">
        <f>QHPSelections2016[[#This Row],[County Name]]=P1174</f>
        <v>1</v>
      </c>
      <c r="L1174" t="b">
        <f>QHPSelections2016[[#This Row],[Silver]]=S1174</f>
        <v>1</v>
      </c>
      <c r="N1174">
        <v>28151</v>
      </c>
      <c r="O1174" t="s">
        <v>1541</v>
      </c>
      <c r="P1174" t="s">
        <v>1160</v>
      </c>
      <c r="Q1174">
        <v>0</v>
      </c>
      <c r="R1174">
        <v>44</v>
      </c>
      <c r="S1174" s="51">
        <v>1645</v>
      </c>
      <c r="T1174">
        <v>381</v>
      </c>
      <c r="U1174">
        <v>59</v>
      </c>
      <c r="V1174" s="51">
        <v>2129</v>
      </c>
    </row>
    <row r="1175" spans="1:22">
      <c r="A1175" s="32" t="s">
        <v>3197</v>
      </c>
      <c r="B1175" s="32" t="s">
        <v>1541</v>
      </c>
      <c r="C1175" s="32" t="s">
        <v>1209</v>
      </c>
      <c r="D1175" s="33">
        <v>0</v>
      </c>
      <c r="E1175" s="33">
        <v>22</v>
      </c>
      <c r="F1175" s="33">
        <v>819</v>
      </c>
      <c r="G1175" s="33">
        <v>55</v>
      </c>
      <c r="H1175" s="33">
        <v>0</v>
      </c>
      <c r="I1175" s="33">
        <v>896</v>
      </c>
      <c r="K1175" t="b">
        <f>QHPSelections2016[[#This Row],[County Name]]=P1175</f>
        <v>1</v>
      </c>
      <c r="L1175" t="b">
        <f>QHPSelections2016[[#This Row],[Silver]]=S1175</f>
        <v>1</v>
      </c>
      <c r="N1175">
        <v>28153</v>
      </c>
      <c r="O1175" t="s">
        <v>1541</v>
      </c>
      <c r="P1175" t="s">
        <v>1209</v>
      </c>
      <c r="Q1175">
        <v>0</v>
      </c>
      <c r="R1175">
        <v>22</v>
      </c>
      <c r="S1175">
        <v>819</v>
      </c>
      <c r="T1175">
        <v>55</v>
      </c>
      <c r="U1175">
        <v>0</v>
      </c>
      <c r="V1175">
        <v>896</v>
      </c>
    </row>
    <row r="1176" spans="1:22">
      <c r="A1176" s="32" t="s">
        <v>3198</v>
      </c>
      <c r="B1176" s="32" t="s">
        <v>1541</v>
      </c>
      <c r="C1176" s="32" t="s">
        <v>1212</v>
      </c>
      <c r="D1176" s="33">
        <v>0</v>
      </c>
      <c r="E1176" s="33" t="s">
        <v>1639</v>
      </c>
      <c r="F1176" s="33">
        <v>206</v>
      </c>
      <c r="G1176" s="33">
        <v>36</v>
      </c>
      <c r="H1176" s="33" t="s">
        <v>1639</v>
      </c>
      <c r="I1176" s="33">
        <v>252</v>
      </c>
      <c r="K1176" t="b">
        <f>QHPSelections2016[[#This Row],[County Name]]=P1176</f>
        <v>1</v>
      </c>
      <c r="L1176" t="b">
        <f>QHPSelections2016[[#This Row],[Silver]]=S1176</f>
        <v>1</v>
      </c>
      <c r="N1176">
        <v>28155</v>
      </c>
      <c r="O1176" t="s">
        <v>1541</v>
      </c>
      <c r="P1176" t="s">
        <v>1212</v>
      </c>
      <c r="Q1176">
        <v>0</v>
      </c>
      <c r="S1176">
        <v>206</v>
      </c>
      <c r="T1176">
        <v>36</v>
      </c>
      <c r="V1176">
        <v>252</v>
      </c>
    </row>
    <row r="1177" spans="1:22">
      <c r="A1177" s="32" t="s">
        <v>3199</v>
      </c>
      <c r="B1177" s="32" t="s">
        <v>1541</v>
      </c>
      <c r="C1177" s="32" t="s">
        <v>1216</v>
      </c>
      <c r="D1177" s="33">
        <v>0</v>
      </c>
      <c r="E1177" s="33">
        <v>18</v>
      </c>
      <c r="F1177" s="33">
        <v>295</v>
      </c>
      <c r="G1177" s="33">
        <v>37</v>
      </c>
      <c r="H1177" s="33">
        <v>14</v>
      </c>
      <c r="I1177" s="33">
        <v>364</v>
      </c>
      <c r="K1177" t="b">
        <f>QHPSelections2016[[#This Row],[County Name]]=P1177</f>
        <v>1</v>
      </c>
      <c r="L1177" t="b">
        <f>QHPSelections2016[[#This Row],[Silver]]=S1177</f>
        <v>1</v>
      </c>
      <c r="N1177">
        <v>28157</v>
      </c>
      <c r="O1177" t="s">
        <v>1541</v>
      </c>
      <c r="P1177" t="s">
        <v>1216</v>
      </c>
      <c r="Q1177">
        <v>0</v>
      </c>
      <c r="R1177">
        <v>18</v>
      </c>
      <c r="S1177">
        <v>295</v>
      </c>
      <c r="T1177">
        <v>37</v>
      </c>
      <c r="U1177">
        <v>14</v>
      </c>
      <c r="V1177">
        <v>364</v>
      </c>
    </row>
    <row r="1178" spans="1:22">
      <c r="A1178" s="32" t="s">
        <v>3200</v>
      </c>
      <c r="B1178" s="32" t="s">
        <v>1541</v>
      </c>
      <c r="C1178" s="32" t="s">
        <v>1171</v>
      </c>
      <c r="D1178" s="33">
        <v>0</v>
      </c>
      <c r="E1178" s="33">
        <v>22</v>
      </c>
      <c r="F1178" s="33">
        <v>608</v>
      </c>
      <c r="G1178" s="33">
        <v>54</v>
      </c>
      <c r="H1178" s="33">
        <v>11</v>
      </c>
      <c r="I1178" s="33">
        <v>695</v>
      </c>
      <c r="K1178" t="b">
        <f>QHPSelections2016[[#This Row],[County Name]]=P1178</f>
        <v>1</v>
      </c>
      <c r="L1178" t="b">
        <f>QHPSelections2016[[#This Row],[Silver]]=S1178</f>
        <v>1</v>
      </c>
      <c r="N1178">
        <v>28159</v>
      </c>
      <c r="O1178" t="s">
        <v>1541</v>
      </c>
      <c r="P1178" t="s">
        <v>1171</v>
      </c>
      <c r="Q1178">
        <v>0</v>
      </c>
      <c r="R1178">
        <v>22</v>
      </c>
      <c r="S1178">
        <v>608</v>
      </c>
      <c r="T1178">
        <v>54</v>
      </c>
      <c r="U1178">
        <v>11</v>
      </c>
      <c r="V1178">
        <v>695</v>
      </c>
    </row>
    <row r="1179" spans="1:22">
      <c r="A1179" s="32" t="s">
        <v>3201</v>
      </c>
      <c r="B1179" s="32" t="s">
        <v>1541</v>
      </c>
      <c r="C1179" s="32" t="s">
        <v>1221</v>
      </c>
      <c r="D1179" s="33" t="s">
        <v>1639</v>
      </c>
      <c r="E1179" s="33" t="s">
        <v>1639</v>
      </c>
      <c r="F1179" s="33">
        <v>236</v>
      </c>
      <c r="G1179" s="33">
        <v>52</v>
      </c>
      <c r="H1179" s="33">
        <v>12</v>
      </c>
      <c r="I1179" s="33">
        <v>307</v>
      </c>
      <c r="K1179" t="b">
        <f>QHPSelections2016[[#This Row],[County Name]]=P1179</f>
        <v>1</v>
      </c>
      <c r="L1179" t="b">
        <f>QHPSelections2016[[#This Row],[Silver]]=S1179</f>
        <v>1</v>
      </c>
      <c r="N1179">
        <v>28161</v>
      </c>
      <c r="O1179" t="s">
        <v>1541</v>
      </c>
      <c r="P1179" t="s">
        <v>1221</v>
      </c>
      <c r="S1179">
        <v>236</v>
      </c>
      <c r="T1179">
        <v>52</v>
      </c>
      <c r="U1179">
        <v>12</v>
      </c>
      <c r="V1179">
        <v>307</v>
      </c>
    </row>
    <row r="1180" spans="1:22">
      <c r="A1180" s="32" t="s">
        <v>3202</v>
      </c>
      <c r="B1180" s="32" t="s">
        <v>1541</v>
      </c>
      <c r="C1180" s="32" t="s">
        <v>1225</v>
      </c>
      <c r="D1180" s="33" t="s">
        <v>1639</v>
      </c>
      <c r="E1180" s="33">
        <v>17</v>
      </c>
      <c r="F1180" s="33">
        <v>605</v>
      </c>
      <c r="G1180" s="33">
        <v>133</v>
      </c>
      <c r="H1180" s="33" t="s">
        <v>1639</v>
      </c>
      <c r="I1180" s="33">
        <v>760</v>
      </c>
      <c r="K1180" t="b">
        <f>QHPSelections2016[[#This Row],[County Name]]=P1180</f>
        <v>1</v>
      </c>
      <c r="L1180" t="b">
        <f>QHPSelections2016[[#This Row],[Silver]]=S1180</f>
        <v>1</v>
      </c>
      <c r="N1180">
        <v>28163</v>
      </c>
      <c r="O1180" t="s">
        <v>1541</v>
      </c>
      <c r="P1180" t="s">
        <v>1225</v>
      </c>
      <c r="R1180">
        <v>17</v>
      </c>
      <c r="S1180">
        <v>605</v>
      </c>
      <c r="T1180">
        <v>133</v>
      </c>
      <c r="V1180">
        <v>760</v>
      </c>
    </row>
    <row r="1181" spans="1:22">
      <c r="A1181" s="32" t="s">
        <v>3203</v>
      </c>
      <c r="B1181" s="32" t="s">
        <v>3204</v>
      </c>
      <c r="C1181" s="32" t="s">
        <v>3205</v>
      </c>
      <c r="D1181" s="33">
        <v>0</v>
      </c>
      <c r="E1181" s="33">
        <v>30</v>
      </c>
      <c r="F1181" s="33">
        <v>347</v>
      </c>
      <c r="G1181" s="33">
        <v>184</v>
      </c>
      <c r="H1181" s="33">
        <v>11</v>
      </c>
      <c r="I1181" s="33">
        <v>572</v>
      </c>
      <c r="K1181" t="b">
        <f>QHPSelections2016[[#This Row],[County Name]]=P1181</f>
        <v>1</v>
      </c>
      <c r="L1181" t="b">
        <f>QHPSelections2016[[#This Row],[Silver]]=S1181</f>
        <v>1</v>
      </c>
      <c r="N1181">
        <v>30001</v>
      </c>
      <c r="O1181" t="s">
        <v>3204</v>
      </c>
      <c r="P1181" t="s">
        <v>3205</v>
      </c>
      <c r="Q1181">
        <v>0</v>
      </c>
      <c r="R1181">
        <v>30</v>
      </c>
      <c r="S1181">
        <v>347</v>
      </c>
      <c r="T1181">
        <v>184</v>
      </c>
      <c r="U1181">
        <v>11</v>
      </c>
      <c r="V1181">
        <v>572</v>
      </c>
    </row>
    <row r="1182" spans="1:22">
      <c r="A1182" s="32" t="s">
        <v>3206</v>
      </c>
      <c r="B1182" s="32" t="s">
        <v>3204</v>
      </c>
      <c r="C1182" s="32" t="s">
        <v>3207</v>
      </c>
      <c r="D1182" s="33">
        <v>0</v>
      </c>
      <c r="E1182" s="33" t="s">
        <v>1639</v>
      </c>
      <c r="F1182" s="33">
        <v>154</v>
      </c>
      <c r="G1182" s="33">
        <v>207</v>
      </c>
      <c r="H1182" s="33" t="s">
        <v>1639</v>
      </c>
      <c r="I1182" s="33">
        <v>380</v>
      </c>
      <c r="K1182" t="b">
        <f>QHPSelections2016[[#This Row],[County Name]]=P1182</f>
        <v>1</v>
      </c>
      <c r="L1182" t="b">
        <f>QHPSelections2016[[#This Row],[Silver]]=S1182</f>
        <v>1</v>
      </c>
      <c r="N1182">
        <v>30003</v>
      </c>
      <c r="O1182" t="s">
        <v>3204</v>
      </c>
      <c r="P1182" t="s">
        <v>3207</v>
      </c>
      <c r="Q1182">
        <v>0</v>
      </c>
      <c r="S1182">
        <v>154</v>
      </c>
      <c r="T1182">
        <v>207</v>
      </c>
      <c r="V1182">
        <v>380</v>
      </c>
    </row>
    <row r="1183" spans="1:22">
      <c r="A1183" s="32" t="s">
        <v>3208</v>
      </c>
      <c r="B1183" s="32" t="s">
        <v>3204</v>
      </c>
      <c r="C1183" s="32" t="s">
        <v>3209</v>
      </c>
      <c r="D1183" s="33">
        <v>0</v>
      </c>
      <c r="E1183" s="33" t="s">
        <v>1639</v>
      </c>
      <c r="F1183" s="33">
        <v>225</v>
      </c>
      <c r="G1183" s="33">
        <v>105</v>
      </c>
      <c r="H1183" s="33" t="s">
        <v>1639</v>
      </c>
      <c r="I1183" s="33">
        <v>350</v>
      </c>
      <c r="K1183" t="b">
        <f>QHPSelections2016[[#This Row],[County Name]]=P1183</f>
        <v>1</v>
      </c>
      <c r="L1183" t="b">
        <f>QHPSelections2016[[#This Row],[Silver]]=S1183</f>
        <v>1</v>
      </c>
      <c r="N1183">
        <v>30005</v>
      </c>
      <c r="O1183" t="s">
        <v>3204</v>
      </c>
      <c r="P1183" t="s">
        <v>3209</v>
      </c>
      <c r="Q1183">
        <v>0</v>
      </c>
      <c r="S1183">
        <v>225</v>
      </c>
      <c r="T1183">
        <v>105</v>
      </c>
      <c r="V1183">
        <v>350</v>
      </c>
    </row>
    <row r="1184" spans="1:22">
      <c r="A1184" s="32" t="s">
        <v>3210</v>
      </c>
      <c r="B1184" s="32" t="s">
        <v>3204</v>
      </c>
      <c r="C1184" s="32" t="s">
        <v>3211</v>
      </c>
      <c r="D1184" s="33">
        <v>0</v>
      </c>
      <c r="E1184" s="33" t="s">
        <v>1639</v>
      </c>
      <c r="F1184" s="33">
        <v>156</v>
      </c>
      <c r="G1184" s="33">
        <v>104</v>
      </c>
      <c r="H1184" s="33" t="s">
        <v>1639</v>
      </c>
      <c r="I1184" s="33">
        <v>273</v>
      </c>
      <c r="K1184" t="b">
        <f>QHPSelections2016[[#This Row],[County Name]]=P1184</f>
        <v>1</v>
      </c>
      <c r="L1184" t="b">
        <f>QHPSelections2016[[#This Row],[Silver]]=S1184</f>
        <v>1</v>
      </c>
      <c r="N1184">
        <v>30007</v>
      </c>
      <c r="O1184" t="s">
        <v>3204</v>
      </c>
      <c r="P1184" t="s">
        <v>3211</v>
      </c>
      <c r="Q1184">
        <v>0</v>
      </c>
      <c r="S1184">
        <v>156</v>
      </c>
      <c r="T1184">
        <v>104</v>
      </c>
      <c r="V1184">
        <v>273</v>
      </c>
    </row>
    <row r="1185" spans="1:22">
      <c r="A1185" s="32" t="s">
        <v>3212</v>
      </c>
      <c r="B1185" s="32" t="s">
        <v>3204</v>
      </c>
      <c r="C1185" s="32" t="s">
        <v>3213</v>
      </c>
      <c r="D1185" s="33">
        <v>0</v>
      </c>
      <c r="E1185" s="33" t="s">
        <v>1639</v>
      </c>
      <c r="F1185" s="33">
        <v>552</v>
      </c>
      <c r="G1185" s="33">
        <v>313</v>
      </c>
      <c r="H1185" s="33" t="s">
        <v>1639</v>
      </c>
      <c r="I1185" s="33">
        <v>928</v>
      </c>
      <c r="K1185" t="b">
        <f>QHPSelections2016[[#This Row],[County Name]]=P1185</f>
        <v>1</v>
      </c>
      <c r="L1185" t="b">
        <f>QHPSelections2016[[#This Row],[Silver]]=S1185</f>
        <v>1</v>
      </c>
      <c r="N1185">
        <v>30009</v>
      </c>
      <c r="O1185" t="s">
        <v>3204</v>
      </c>
      <c r="P1185" t="s">
        <v>3213</v>
      </c>
      <c r="Q1185">
        <v>0</v>
      </c>
      <c r="S1185">
        <v>552</v>
      </c>
      <c r="T1185">
        <v>313</v>
      </c>
      <c r="V1185">
        <v>928</v>
      </c>
    </row>
    <row r="1186" spans="1:22">
      <c r="A1186" s="32" t="s">
        <v>3214</v>
      </c>
      <c r="B1186" s="32" t="s">
        <v>3204</v>
      </c>
      <c r="C1186" s="32" t="s">
        <v>877</v>
      </c>
      <c r="D1186" s="33">
        <v>0</v>
      </c>
      <c r="E1186" s="33" t="s">
        <v>1639</v>
      </c>
      <c r="F1186" s="33">
        <v>40</v>
      </c>
      <c r="G1186" s="33">
        <v>38</v>
      </c>
      <c r="H1186" s="33" t="s">
        <v>1639</v>
      </c>
      <c r="I1186" s="33">
        <v>94</v>
      </c>
      <c r="K1186" t="b">
        <f>QHPSelections2016[[#This Row],[County Name]]=P1186</f>
        <v>1</v>
      </c>
      <c r="L1186" t="b">
        <f>QHPSelections2016[[#This Row],[Silver]]=S1186</f>
        <v>1</v>
      </c>
      <c r="N1186">
        <v>30011</v>
      </c>
      <c r="O1186" t="s">
        <v>3204</v>
      </c>
      <c r="P1186" t="s">
        <v>877</v>
      </c>
      <c r="Q1186">
        <v>0</v>
      </c>
      <c r="S1186">
        <v>40</v>
      </c>
      <c r="T1186">
        <v>38</v>
      </c>
      <c r="V1186">
        <v>94</v>
      </c>
    </row>
    <row r="1187" spans="1:22">
      <c r="A1187" s="32" t="s">
        <v>3215</v>
      </c>
      <c r="B1187" s="32" t="s">
        <v>3204</v>
      </c>
      <c r="C1187" s="32" t="s">
        <v>3216</v>
      </c>
      <c r="D1187" s="33">
        <v>0</v>
      </c>
      <c r="E1187" s="33">
        <v>174</v>
      </c>
      <c r="F1187" s="33">
        <v>1805</v>
      </c>
      <c r="G1187" s="33">
        <v>1079</v>
      </c>
      <c r="H1187" s="33">
        <v>30</v>
      </c>
      <c r="I1187" s="33">
        <v>3088</v>
      </c>
      <c r="K1187" t="b">
        <f>QHPSelections2016[[#This Row],[County Name]]=P1187</f>
        <v>1</v>
      </c>
      <c r="L1187" t="b">
        <f>QHPSelections2016[[#This Row],[Silver]]=S1187</f>
        <v>1</v>
      </c>
      <c r="N1187">
        <v>30013</v>
      </c>
      <c r="O1187" t="s">
        <v>3204</v>
      </c>
      <c r="P1187" t="s">
        <v>3216</v>
      </c>
      <c r="Q1187">
        <v>0</v>
      </c>
      <c r="R1187">
        <v>174</v>
      </c>
      <c r="S1187" s="51">
        <v>1805</v>
      </c>
      <c r="T1187" s="51">
        <v>1079</v>
      </c>
      <c r="U1187">
        <v>30</v>
      </c>
      <c r="V1187" s="51">
        <v>3088</v>
      </c>
    </row>
    <row r="1188" spans="1:22">
      <c r="A1188" s="32" t="s">
        <v>3217</v>
      </c>
      <c r="B1188" s="32" t="s">
        <v>3204</v>
      </c>
      <c r="C1188" s="32" t="s">
        <v>3218</v>
      </c>
      <c r="D1188" s="33">
        <v>0</v>
      </c>
      <c r="E1188" s="33" t="s">
        <v>1639</v>
      </c>
      <c r="F1188" s="33">
        <v>218</v>
      </c>
      <c r="G1188" s="33">
        <v>114</v>
      </c>
      <c r="H1188" s="33" t="s">
        <v>1639</v>
      </c>
      <c r="I1188" s="33">
        <v>360</v>
      </c>
      <c r="K1188" t="b">
        <f>QHPSelections2016[[#This Row],[County Name]]=P1188</f>
        <v>1</v>
      </c>
      <c r="L1188" t="b">
        <f>QHPSelections2016[[#This Row],[Silver]]=S1188</f>
        <v>1</v>
      </c>
      <c r="N1188">
        <v>30015</v>
      </c>
      <c r="O1188" t="s">
        <v>3204</v>
      </c>
      <c r="P1188" t="s">
        <v>3218</v>
      </c>
      <c r="Q1188">
        <v>0</v>
      </c>
      <c r="S1188">
        <v>218</v>
      </c>
      <c r="T1188">
        <v>114</v>
      </c>
      <c r="V1188">
        <v>360</v>
      </c>
    </row>
    <row r="1189" spans="1:22">
      <c r="A1189" s="32" t="s">
        <v>3219</v>
      </c>
      <c r="B1189" s="32" t="s">
        <v>3204</v>
      </c>
      <c r="C1189" s="32" t="s">
        <v>3220</v>
      </c>
      <c r="D1189" s="33">
        <v>0</v>
      </c>
      <c r="E1189" s="33" t="s">
        <v>1639</v>
      </c>
      <c r="F1189" s="33">
        <v>279</v>
      </c>
      <c r="G1189" s="33">
        <v>189</v>
      </c>
      <c r="H1189" s="33" t="s">
        <v>1639</v>
      </c>
      <c r="I1189" s="33">
        <v>492</v>
      </c>
      <c r="K1189" t="b">
        <f>QHPSelections2016[[#This Row],[County Name]]=P1189</f>
        <v>1</v>
      </c>
      <c r="L1189" t="b">
        <f>QHPSelections2016[[#This Row],[Silver]]=S1189</f>
        <v>1</v>
      </c>
      <c r="N1189">
        <v>30017</v>
      </c>
      <c r="O1189" t="s">
        <v>3204</v>
      </c>
      <c r="P1189" t="s">
        <v>3220</v>
      </c>
      <c r="Q1189">
        <v>0</v>
      </c>
      <c r="S1189">
        <v>279</v>
      </c>
      <c r="T1189">
        <v>189</v>
      </c>
      <c r="V1189">
        <v>492</v>
      </c>
    </row>
    <row r="1190" spans="1:22">
      <c r="A1190" s="32" t="s">
        <v>3221</v>
      </c>
      <c r="B1190" s="32" t="s">
        <v>3204</v>
      </c>
      <c r="C1190" s="32" t="s">
        <v>3222</v>
      </c>
      <c r="D1190" s="33">
        <v>0</v>
      </c>
      <c r="E1190" s="33" t="s">
        <v>1639</v>
      </c>
      <c r="F1190" s="33">
        <v>53</v>
      </c>
      <c r="G1190" s="33">
        <v>36</v>
      </c>
      <c r="H1190" s="33" t="s">
        <v>1639</v>
      </c>
      <c r="I1190" s="33">
        <v>107</v>
      </c>
      <c r="K1190" t="b">
        <f>QHPSelections2016[[#This Row],[County Name]]=P1190</f>
        <v>1</v>
      </c>
      <c r="L1190" t="b">
        <f>QHPSelections2016[[#This Row],[Silver]]=S1190</f>
        <v>1</v>
      </c>
      <c r="N1190">
        <v>30019</v>
      </c>
      <c r="O1190" t="s">
        <v>3204</v>
      </c>
      <c r="P1190" t="s">
        <v>3222</v>
      </c>
      <c r="Q1190">
        <v>0</v>
      </c>
      <c r="S1190">
        <v>53</v>
      </c>
      <c r="T1190">
        <v>36</v>
      </c>
      <c r="V1190">
        <v>107</v>
      </c>
    </row>
    <row r="1191" spans="1:22">
      <c r="A1191" s="32" t="s">
        <v>3223</v>
      </c>
      <c r="B1191" s="32" t="s">
        <v>3204</v>
      </c>
      <c r="C1191" s="32" t="s">
        <v>1045</v>
      </c>
      <c r="D1191" s="33">
        <v>0</v>
      </c>
      <c r="E1191" s="33" t="s">
        <v>1639</v>
      </c>
      <c r="F1191" s="33">
        <v>269</v>
      </c>
      <c r="G1191" s="33">
        <v>149</v>
      </c>
      <c r="H1191" s="33" t="s">
        <v>1639</v>
      </c>
      <c r="I1191" s="33">
        <v>446</v>
      </c>
      <c r="K1191" t="b">
        <f>QHPSelections2016[[#This Row],[County Name]]=P1191</f>
        <v>1</v>
      </c>
      <c r="L1191" t="b">
        <f>QHPSelections2016[[#This Row],[Silver]]=S1191</f>
        <v>1</v>
      </c>
      <c r="N1191">
        <v>30021</v>
      </c>
      <c r="O1191" t="s">
        <v>3204</v>
      </c>
      <c r="P1191" t="s">
        <v>1045</v>
      </c>
      <c r="Q1191">
        <v>0</v>
      </c>
      <c r="S1191">
        <v>269</v>
      </c>
      <c r="T1191">
        <v>149</v>
      </c>
      <c r="V1191">
        <v>446</v>
      </c>
    </row>
    <row r="1192" spans="1:22">
      <c r="A1192" s="32" t="s">
        <v>3224</v>
      </c>
      <c r="B1192" s="32" t="s">
        <v>3204</v>
      </c>
      <c r="C1192" s="32" t="s">
        <v>3225</v>
      </c>
      <c r="D1192" s="33">
        <v>0</v>
      </c>
      <c r="E1192" s="33" t="s">
        <v>1639</v>
      </c>
      <c r="F1192" s="33">
        <v>203</v>
      </c>
      <c r="G1192" s="33">
        <v>106</v>
      </c>
      <c r="H1192" s="33" t="s">
        <v>1639</v>
      </c>
      <c r="I1192" s="33">
        <v>341</v>
      </c>
      <c r="K1192" t="b">
        <f>QHPSelections2016[[#This Row],[County Name]]=P1192</f>
        <v>1</v>
      </c>
      <c r="L1192" t="b">
        <f>QHPSelections2016[[#This Row],[Silver]]=S1192</f>
        <v>1</v>
      </c>
      <c r="N1192">
        <v>30023</v>
      </c>
      <c r="O1192" t="s">
        <v>3204</v>
      </c>
      <c r="P1192" t="s">
        <v>3225</v>
      </c>
      <c r="Q1192">
        <v>0</v>
      </c>
      <c r="S1192">
        <v>203</v>
      </c>
      <c r="T1192">
        <v>106</v>
      </c>
      <c r="V1192">
        <v>341</v>
      </c>
    </row>
    <row r="1193" spans="1:22">
      <c r="A1193" s="32" t="s">
        <v>3226</v>
      </c>
      <c r="B1193" s="32" t="s">
        <v>3204</v>
      </c>
      <c r="C1193" s="32" t="s">
        <v>3227</v>
      </c>
      <c r="D1193" s="33">
        <v>0</v>
      </c>
      <c r="E1193" s="33" t="s">
        <v>1639</v>
      </c>
      <c r="F1193" s="33">
        <v>70</v>
      </c>
      <c r="G1193" s="33">
        <v>31</v>
      </c>
      <c r="H1193" s="33" t="s">
        <v>1639</v>
      </c>
      <c r="I1193" s="33">
        <v>115</v>
      </c>
      <c r="K1193" t="b">
        <f>QHPSelections2016[[#This Row],[County Name]]=P1193</f>
        <v>1</v>
      </c>
      <c r="L1193" t="b">
        <f>QHPSelections2016[[#This Row],[Silver]]=S1193</f>
        <v>1</v>
      </c>
      <c r="N1193">
        <v>30025</v>
      </c>
      <c r="O1193" t="s">
        <v>3204</v>
      </c>
      <c r="P1193" t="s">
        <v>3227</v>
      </c>
      <c r="Q1193">
        <v>0</v>
      </c>
      <c r="S1193">
        <v>70</v>
      </c>
      <c r="T1193">
        <v>31</v>
      </c>
      <c r="V1193">
        <v>115</v>
      </c>
    </row>
    <row r="1194" spans="1:22">
      <c r="A1194" s="32" t="s">
        <v>3228</v>
      </c>
      <c r="B1194" s="32" t="s">
        <v>3204</v>
      </c>
      <c r="C1194" s="32" t="s">
        <v>3229</v>
      </c>
      <c r="D1194" s="33">
        <v>0</v>
      </c>
      <c r="E1194" s="33" t="s">
        <v>1639</v>
      </c>
      <c r="F1194" s="33">
        <v>401</v>
      </c>
      <c r="G1194" s="33">
        <v>274</v>
      </c>
      <c r="H1194" s="33" t="s">
        <v>1639</v>
      </c>
      <c r="I1194" s="33">
        <v>726</v>
      </c>
      <c r="K1194" t="b">
        <f>QHPSelections2016[[#This Row],[County Name]]=P1194</f>
        <v>1</v>
      </c>
      <c r="L1194" t="b">
        <f>QHPSelections2016[[#This Row],[Silver]]=S1194</f>
        <v>1</v>
      </c>
      <c r="N1194">
        <v>30027</v>
      </c>
      <c r="O1194" t="s">
        <v>3204</v>
      </c>
      <c r="P1194" t="s">
        <v>3229</v>
      </c>
      <c r="Q1194">
        <v>0</v>
      </c>
      <c r="S1194">
        <v>401</v>
      </c>
      <c r="T1194">
        <v>274</v>
      </c>
      <c r="V1194">
        <v>726</v>
      </c>
    </row>
    <row r="1195" spans="1:22">
      <c r="A1195" s="32" t="s">
        <v>3230</v>
      </c>
      <c r="B1195" s="32" t="s">
        <v>3204</v>
      </c>
      <c r="C1195" s="32" t="s">
        <v>3231</v>
      </c>
      <c r="D1195" s="33">
        <v>0</v>
      </c>
      <c r="E1195" s="33">
        <v>281</v>
      </c>
      <c r="F1195" s="33">
        <v>3736</v>
      </c>
      <c r="G1195" s="33">
        <v>2778</v>
      </c>
      <c r="H1195" s="33">
        <v>71</v>
      </c>
      <c r="I1195" s="33">
        <v>6866</v>
      </c>
      <c r="K1195" t="b">
        <f>QHPSelections2016[[#This Row],[County Name]]=P1195</f>
        <v>1</v>
      </c>
      <c r="L1195" t="b">
        <f>QHPSelections2016[[#This Row],[Silver]]=S1195</f>
        <v>1</v>
      </c>
      <c r="N1195">
        <v>30029</v>
      </c>
      <c r="O1195" t="s">
        <v>3204</v>
      </c>
      <c r="P1195" t="s">
        <v>3231</v>
      </c>
      <c r="Q1195">
        <v>0</v>
      </c>
      <c r="R1195">
        <v>281</v>
      </c>
      <c r="S1195" s="51">
        <v>3736</v>
      </c>
      <c r="T1195" s="51">
        <v>2778</v>
      </c>
      <c r="U1195">
        <v>71</v>
      </c>
      <c r="V1195" s="51">
        <v>6866</v>
      </c>
    </row>
    <row r="1196" spans="1:22">
      <c r="A1196" s="32" t="s">
        <v>3232</v>
      </c>
      <c r="B1196" s="32" t="s">
        <v>3204</v>
      </c>
      <c r="C1196" s="32" t="s">
        <v>2332</v>
      </c>
      <c r="D1196" s="33">
        <v>0</v>
      </c>
      <c r="E1196" s="33">
        <v>541</v>
      </c>
      <c r="F1196" s="33">
        <v>4395</v>
      </c>
      <c r="G1196" s="33">
        <v>3412</v>
      </c>
      <c r="H1196" s="33">
        <v>145</v>
      </c>
      <c r="I1196" s="33">
        <v>8493</v>
      </c>
      <c r="K1196" t="b">
        <f>QHPSelections2016[[#This Row],[County Name]]=P1196</f>
        <v>1</v>
      </c>
      <c r="L1196" t="b">
        <f>QHPSelections2016[[#This Row],[Silver]]=S1196</f>
        <v>1</v>
      </c>
      <c r="N1196">
        <v>30031</v>
      </c>
      <c r="O1196" t="s">
        <v>3204</v>
      </c>
      <c r="P1196" t="s">
        <v>2332</v>
      </c>
      <c r="Q1196">
        <v>0</v>
      </c>
      <c r="R1196">
        <v>541</v>
      </c>
      <c r="S1196" s="51">
        <v>4395</v>
      </c>
      <c r="T1196" s="51">
        <v>3412</v>
      </c>
      <c r="U1196">
        <v>145</v>
      </c>
      <c r="V1196" s="51">
        <v>8493</v>
      </c>
    </row>
    <row r="1197" spans="1:22">
      <c r="A1197" s="32" t="s">
        <v>3233</v>
      </c>
      <c r="B1197" s="32" t="s">
        <v>3204</v>
      </c>
      <c r="C1197" s="32" t="s">
        <v>3234</v>
      </c>
      <c r="D1197" s="33">
        <v>0</v>
      </c>
      <c r="E1197" s="33">
        <v>11</v>
      </c>
      <c r="F1197" s="33">
        <v>109</v>
      </c>
      <c r="G1197" s="33">
        <v>49</v>
      </c>
      <c r="H1197" s="33">
        <v>0</v>
      </c>
      <c r="I1197" s="33">
        <v>169</v>
      </c>
      <c r="K1197" t="b">
        <f>QHPSelections2016[[#This Row],[County Name]]=P1197</f>
        <v>1</v>
      </c>
      <c r="L1197" t="b">
        <f>QHPSelections2016[[#This Row],[Silver]]=S1197</f>
        <v>1</v>
      </c>
      <c r="N1197">
        <v>30033</v>
      </c>
      <c r="O1197" t="s">
        <v>3204</v>
      </c>
      <c r="P1197" t="s">
        <v>3234</v>
      </c>
      <c r="Q1197">
        <v>0</v>
      </c>
      <c r="R1197">
        <v>11</v>
      </c>
      <c r="S1197">
        <v>109</v>
      </c>
      <c r="T1197">
        <v>49</v>
      </c>
      <c r="U1197">
        <v>0</v>
      </c>
      <c r="V1197">
        <v>169</v>
      </c>
    </row>
    <row r="1198" spans="1:22">
      <c r="A1198" s="32" t="s">
        <v>3235</v>
      </c>
      <c r="B1198" s="32" t="s">
        <v>3204</v>
      </c>
      <c r="C1198" s="32" t="s">
        <v>3236</v>
      </c>
      <c r="D1198" s="33">
        <v>0</v>
      </c>
      <c r="E1198" s="33" t="s">
        <v>1639</v>
      </c>
      <c r="F1198" s="33">
        <v>237</v>
      </c>
      <c r="G1198" s="33">
        <v>116</v>
      </c>
      <c r="H1198" s="33" t="s">
        <v>1639</v>
      </c>
      <c r="I1198" s="33">
        <v>374</v>
      </c>
      <c r="K1198" t="b">
        <f>QHPSelections2016[[#This Row],[County Name]]=P1198</f>
        <v>1</v>
      </c>
      <c r="L1198" t="b">
        <f>QHPSelections2016[[#This Row],[Silver]]=S1198</f>
        <v>1</v>
      </c>
      <c r="N1198">
        <v>30035</v>
      </c>
      <c r="O1198" t="s">
        <v>3204</v>
      </c>
      <c r="P1198" t="s">
        <v>3236</v>
      </c>
      <c r="Q1198">
        <v>0</v>
      </c>
      <c r="S1198">
        <v>237</v>
      </c>
      <c r="T1198">
        <v>116</v>
      </c>
      <c r="V1198">
        <v>374</v>
      </c>
    </row>
    <row r="1199" spans="1:22">
      <c r="A1199" s="32" t="s">
        <v>3237</v>
      </c>
      <c r="B1199" s="32" t="s">
        <v>3204</v>
      </c>
      <c r="C1199" s="32" t="s">
        <v>3238</v>
      </c>
      <c r="D1199" s="33">
        <v>0</v>
      </c>
      <c r="E1199" s="33" t="s">
        <v>1639</v>
      </c>
      <c r="F1199" s="33">
        <v>30</v>
      </c>
      <c r="G1199" s="33">
        <v>26</v>
      </c>
      <c r="H1199" s="33" t="s">
        <v>1639</v>
      </c>
      <c r="I1199" s="33">
        <v>60</v>
      </c>
      <c r="K1199" t="b">
        <f>QHPSelections2016[[#This Row],[County Name]]=P1199</f>
        <v>1</v>
      </c>
      <c r="L1199" t="b">
        <f>QHPSelections2016[[#This Row],[Silver]]=S1199</f>
        <v>1</v>
      </c>
      <c r="N1199">
        <v>30037</v>
      </c>
      <c r="O1199" t="s">
        <v>3204</v>
      </c>
      <c r="P1199" t="s">
        <v>3238</v>
      </c>
      <c r="Q1199">
        <v>0</v>
      </c>
      <c r="S1199">
        <v>30</v>
      </c>
      <c r="T1199">
        <v>26</v>
      </c>
      <c r="V1199">
        <v>60</v>
      </c>
    </row>
    <row r="1200" spans="1:22">
      <c r="A1200" s="32" t="s">
        <v>3239</v>
      </c>
      <c r="B1200" s="32" t="s">
        <v>3204</v>
      </c>
      <c r="C1200" s="32" t="s">
        <v>3240</v>
      </c>
      <c r="D1200" s="33">
        <v>0</v>
      </c>
      <c r="E1200" s="33" t="s">
        <v>1639</v>
      </c>
      <c r="F1200" s="33">
        <v>167</v>
      </c>
      <c r="G1200" s="33">
        <v>129</v>
      </c>
      <c r="H1200" s="33" t="s">
        <v>1639</v>
      </c>
      <c r="I1200" s="33">
        <v>306</v>
      </c>
      <c r="K1200" t="b">
        <f>QHPSelections2016[[#This Row],[County Name]]=P1200</f>
        <v>1</v>
      </c>
      <c r="L1200" t="b">
        <f>QHPSelections2016[[#This Row],[Silver]]=S1200</f>
        <v>1</v>
      </c>
      <c r="N1200">
        <v>30039</v>
      </c>
      <c r="O1200" t="s">
        <v>3204</v>
      </c>
      <c r="P1200" t="s">
        <v>3240</v>
      </c>
      <c r="Q1200">
        <v>0</v>
      </c>
      <c r="S1200">
        <v>167</v>
      </c>
      <c r="T1200">
        <v>129</v>
      </c>
      <c r="V1200">
        <v>306</v>
      </c>
    </row>
    <row r="1201" spans="1:22">
      <c r="A1201" s="32" t="s">
        <v>3241</v>
      </c>
      <c r="B1201" s="32" t="s">
        <v>3204</v>
      </c>
      <c r="C1201" s="32" t="s">
        <v>1281</v>
      </c>
      <c r="D1201" s="33">
        <v>0</v>
      </c>
      <c r="E1201" s="33" t="s">
        <v>1639</v>
      </c>
      <c r="F1201" s="33">
        <v>522</v>
      </c>
      <c r="G1201" s="33">
        <v>248</v>
      </c>
      <c r="H1201" s="33" t="s">
        <v>1639</v>
      </c>
      <c r="I1201" s="33">
        <v>820</v>
      </c>
      <c r="K1201" t="b">
        <f>QHPSelections2016[[#This Row],[County Name]]=P1201</f>
        <v>1</v>
      </c>
      <c r="L1201" t="b">
        <f>QHPSelections2016[[#This Row],[Silver]]=S1201</f>
        <v>1</v>
      </c>
      <c r="N1201">
        <v>30041</v>
      </c>
      <c r="O1201" t="s">
        <v>3204</v>
      </c>
      <c r="P1201" t="s">
        <v>1281</v>
      </c>
      <c r="Q1201">
        <v>0</v>
      </c>
      <c r="S1201">
        <v>522</v>
      </c>
      <c r="T1201">
        <v>248</v>
      </c>
      <c r="V1201">
        <v>820</v>
      </c>
    </row>
    <row r="1202" spans="1:22">
      <c r="A1202" s="32" t="s">
        <v>3242</v>
      </c>
      <c r="B1202" s="32" t="s">
        <v>3204</v>
      </c>
      <c r="C1202" s="32" t="s">
        <v>993</v>
      </c>
      <c r="D1202" s="33">
        <v>0</v>
      </c>
      <c r="E1202" s="33" t="s">
        <v>1639</v>
      </c>
      <c r="F1202" s="33">
        <v>309</v>
      </c>
      <c r="G1202" s="33">
        <v>237</v>
      </c>
      <c r="H1202" s="33" t="s">
        <v>1639</v>
      </c>
      <c r="I1202" s="33">
        <v>573</v>
      </c>
      <c r="K1202" t="b">
        <f>QHPSelections2016[[#This Row],[County Name]]=P1202</f>
        <v>1</v>
      </c>
      <c r="L1202" t="b">
        <f>QHPSelections2016[[#This Row],[Silver]]=S1202</f>
        <v>1</v>
      </c>
      <c r="N1202">
        <v>30043</v>
      </c>
      <c r="O1202" t="s">
        <v>3204</v>
      </c>
      <c r="P1202" t="s">
        <v>993</v>
      </c>
      <c r="Q1202">
        <v>0</v>
      </c>
      <c r="S1202">
        <v>309</v>
      </c>
      <c r="T1202">
        <v>237</v>
      </c>
      <c r="V1202">
        <v>573</v>
      </c>
    </row>
    <row r="1203" spans="1:22">
      <c r="A1203" s="32" t="s">
        <v>3243</v>
      </c>
      <c r="B1203" s="32" t="s">
        <v>3204</v>
      </c>
      <c r="C1203" s="32" t="s">
        <v>3244</v>
      </c>
      <c r="D1203" s="33">
        <v>0</v>
      </c>
      <c r="E1203" s="33" t="s">
        <v>1639</v>
      </c>
      <c r="F1203" s="33">
        <v>88</v>
      </c>
      <c r="G1203" s="33">
        <v>83</v>
      </c>
      <c r="H1203" s="33" t="s">
        <v>1639</v>
      </c>
      <c r="I1203" s="33">
        <v>187</v>
      </c>
      <c r="K1203" t="b">
        <f>QHPSelections2016[[#This Row],[County Name]]=P1203</f>
        <v>1</v>
      </c>
      <c r="L1203" t="b">
        <f>QHPSelections2016[[#This Row],[Silver]]=S1203</f>
        <v>1</v>
      </c>
      <c r="N1203">
        <v>30045</v>
      </c>
      <c r="O1203" t="s">
        <v>3204</v>
      </c>
      <c r="P1203" t="s">
        <v>3244</v>
      </c>
      <c r="Q1203">
        <v>0</v>
      </c>
      <c r="S1203">
        <v>88</v>
      </c>
      <c r="T1203">
        <v>83</v>
      </c>
      <c r="V1203">
        <v>187</v>
      </c>
    </row>
    <row r="1204" spans="1:22">
      <c r="A1204" s="32" t="s">
        <v>3245</v>
      </c>
      <c r="B1204" s="32" t="s">
        <v>3204</v>
      </c>
      <c r="C1204" s="32" t="s">
        <v>1005</v>
      </c>
      <c r="D1204" s="33">
        <v>0</v>
      </c>
      <c r="E1204" s="33" t="s">
        <v>1639</v>
      </c>
      <c r="F1204" s="33">
        <v>911</v>
      </c>
      <c r="G1204" s="33">
        <v>521</v>
      </c>
      <c r="H1204" s="33" t="s">
        <v>1639</v>
      </c>
      <c r="I1204" s="33">
        <v>1520</v>
      </c>
      <c r="K1204" t="b">
        <f>QHPSelections2016[[#This Row],[County Name]]=P1204</f>
        <v>1</v>
      </c>
      <c r="L1204" t="b">
        <f>QHPSelections2016[[#This Row],[Silver]]=S1204</f>
        <v>1</v>
      </c>
      <c r="N1204">
        <v>30047</v>
      </c>
      <c r="O1204" t="s">
        <v>3204</v>
      </c>
      <c r="P1204" t="s">
        <v>1005</v>
      </c>
      <c r="Q1204">
        <v>0</v>
      </c>
      <c r="S1204">
        <v>911</v>
      </c>
      <c r="T1204">
        <v>521</v>
      </c>
      <c r="V1204" s="51">
        <v>1520</v>
      </c>
    </row>
    <row r="1205" spans="1:22">
      <c r="A1205" s="32" t="s">
        <v>3246</v>
      </c>
      <c r="B1205" s="32" t="s">
        <v>3204</v>
      </c>
      <c r="C1205" s="32" t="s">
        <v>3247</v>
      </c>
      <c r="D1205" s="33">
        <v>0</v>
      </c>
      <c r="E1205" s="33">
        <v>152</v>
      </c>
      <c r="F1205" s="33">
        <v>1597</v>
      </c>
      <c r="G1205" s="33">
        <v>962</v>
      </c>
      <c r="H1205" s="33">
        <v>27</v>
      </c>
      <c r="I1205" s="33">
        <v>2738</v>
      </c>
      <c r="K1205" t="b">
        <f>QHPSelections2016[[#This Row],[County Name]]=P1205</f>
        <v>1</v>
      </c>
      <c r="L1205" t="b">
        <f>QHPSelections2016[[#This Row],[Silver]]=S1205</f>
        <v>1</v>
      </c>
      <c r="N1205">
        <v>30049</v>
      </c>
      <c r="O1205" t="s">
        <v>3204</v>
      </c>
      <c r="P1205" t="s">
        <v>3247</v>
      </c>
      <c r="Q1205">
        <v>0</v>
      </c>
      <c r="R1205">
        <v>152</v>
      </c>
      <c r="S1205" s="51">
        <v>1597</v>
      </c>
      <c r="T1205">
        <v>962</v>
      </c>
      <c r="U1205">
        <v>27</v>
      </c>
      <c r="V1205" s="51">
        <v>2738</v>
      </c>
    </row>
    <row r="1206" spans="1:22">
      <c r="A1206" s="32" t="s">
        <v>3248</v>
      </c>
      <c r="B1206" s="32" t="s">
        <v>3204</v>
      </c>
      <c r="C1206" s="32" t="s">
        <v>1023</v>
      </c>
      <c r="D1206" s="33">
        <v>0</v>
      </c>
      <c r="E1206" s="33" t="s">
        <v>1639</v>
      </c>
      <c r="F1206" s="33">
        <v>193</v>
      </c>
      <c r="G1206" s="33">
        <v>49</v>
      </c>
      <c r="H1206" s="33" t="s">
        <v>1639</v>
      </c>
      <c r="I1206" s="33">
        <v>252</v>
      </c>
      <c r="K1206" t="b">
        <f>QHPSelections2016[[#This Row],[County Name]]=P1206</f>
        <v>1</v>
      </c>
      <c r="L1206" t="b">
        <f>QHPSelections2016[[#This Row],[Silver]]=S1206</f>
        <v>1</v>
      </c>
      <c r="N1206">
        <v>30051</v>
      </c>
      <c r="O1206" t="s">
        <v>3204</v>
      </c>
      <c r="P1206" t="s">
        <v>1023</v>
      </c>
      <c r="Q1206">
        <v>0</v>
      </c>
      <c r="S1206">
        <v>193</v>
      </c>
      <c r="T1206">
        <v>49</v>
      </c>
      <c r="V1206">
        <v>252</v>
      </c>
    </row>
    <row r="1207" spans="1:22">
      <c r="A1207" s="32" t="s">
        <v>3249</v>
      </c>
      <c r="B1207" s="32" t="s">
        <v>3204</v>
      </c>
      <c r="C1207" s="32" t="s">
        <v>1051</v>
      </c>
      <c r="D1207" s="33">
        <v>0</v>
      </c>
      <c r="E1207" s="33" t="s">
        <v>1639</v>
      </c>
      <c r="F1207" s="33">
        <v>618</v>
      </c>
      <c r="G1207" s="33">
        <v>358</v>
      </c>
      <c r="H1207" s="33" t="s">
        <v>1639</v>
      </c>
      <c r="I1207" s="33">
        <v>1025</v>
      </c>
      <c r="K1207" t="b">
        <f>QHPSelections2016[[#This Row],[County Name]]=P1207</f>
        <v>1</v>
      </c>
      <c r="L1207" t="b">
        <f>QHPSelections2016[[#This Row],[Silver]]=S1207</f>
        <v>1</v>
      </c>
      <c r="N1207">
        <v>30053</v>
      </c>
      <c r="O1207" t="s">
        <v>3204</v>
      </c>
      <c r="P1207" t="s">
        <v>1051</v>
      </c>
      <c r="Q1207">
        <v>0</v>
      </c>
      <c r="S1207">
        <v>618</v>
      </c>
      <c r="T1207">
        <v>358</v>
      </c>
      <c r="V1207" s="51">
        <v>1025</v>
      </c>
    </row>
    <row r="1208" spans="1:22">
      <c r="A1208" s="32" t="s">
        <v>3250</v>
      </c>
      <c r="B1208" s="32" t="s">
        <v>3204</v>
      </c>
      <c r="C1208" s="32" t="s">
        <v>3251</v>
      </c>
      <c r="D1208" s="33">
        <v>0</v>
      </c>
      <c r="E1208" s="33" t="s">
        <v>1639</v>
      </c>
      <c r="F1208" s="33">
        <v>70</v>
      </c>
      <c r="G1208" s="33">
        <v>42</v>
      </c>
      <c r="H1208" s="33" t="s">
        <v>1639</v>
      </c>
      <c r="I1208" s="33">
        <v>114</v>
      </c>
      <c r="K1208" t="b">
        <f>QHPSelections2016[[#This Row],[County Name]]=P1208</f>
        <v>0</v>
      </c>
      <c r="L1208" t="b">
        <f>QHPSelections2016[[#This Row],[Silver]]=S1208</f>
        <v>0</v>
      </c>
      <c r="N1208">
        <v>30057</v>
      </c>
      <c r="O1208" t="s">
        <v>3204</v>
      </c>
      <c r="P1208" t="s">
        <v>1029</v>
      </c>
      <c r="Q1208">
        <v>0</v>
      </c>
      <c r="S1208">
        <v>464</v>
      </c>
      <c r="T1208">
        <v>302</v>
      </c>
      <c r="V1208">
        <v>810</v>
      </c>
    </row>
    <row r="1209" spans="1:22">
      <c r="A1209" s="32" t="s">
        <v>3252</v>
      </c>
      <c r="B1209" s="32" t="s">
        <v>3204</v>
      </c>
      <c r="C1209" s="32" t="s">
        <v>1029</v>
      </c>
      <c r="D1209" s="33">
        <v>0</v>
      </c>
      <c r="E1209" s="33" t="s">
        <v>1639</v>
      </c>
      <c r="F1209" s="33">
        <v>464</v>
      </c>
      <c r="G1209" s="33">
        <v>302</v>
      </c>
      <c r="H1209" s="33" t="s">
        <v>1639</v>
      </c>
      <c r="I1209" s="33">
        <v>810</v>
      </c>
      <c r="K1209" t="b">
        <f>QHPSelections2016[[#This Row],[County Name]]=P1209</f>
        <v>0</v>
      </c>
      <c r="L1209" t="b">
        <f>QHPSelections2016[[#This Row],[Silver]]=S1209</f>
        <v>0</v>
      </c>
      <c r="N1209">
        <v>30055</v>
      </c>
      <c r="O1209" t="s">
        <v>3204</v>
      </c>
      <c r="P1209" t="s">
        <v>3251</v>
      </c>
      <c r="Q1209">
        <v>0</v>
      </c>
      <c r="S1209">
        <v>70</v>
      </c>
      <c r="T1209">
        <v>42</v>
      </c>
      <c r="V1209">
        <v>114</v>
      </c>
    </row>
    <row r="1210" spans="1:22">
      <c r="A1210" s="32" t="s">
        <v>3253</v>
      </c>
      <c r="B1210" s="32" t="s">
        <v>3204</v>
      </c>
      <c r="C1210" s="32" t="s">
        <v>3254</v>
      </c>
      <c r="D1210" s="33">
        <v>0</v>
      </c>
      <c r="E1210" s="33" t="s">
        <v>1639</v>
      </c>
      <c r="F1210" s="33">
        <v>54</v>
      </c>
      <c r="G1210" s="33">
        <v>52</v>
      </c>
      <c r="H1210" s="33" t="s">
        <v>1639</v>
      </c>
      <c r="I1210" s="33">
        <v>112</v>
      </c>
      <c r="K1210" t="b">
        <f>QHPSelections2016[[#This Row],[County Name]]=P1210</f>
        <v>1</v>
      </c>
      <c r="L1210" t="b">
        <f>QHPSelections2016[[#This Row],[Silver]]=S1210</f>
        <v>1</v>
      </c>
      <c r="N1210">
        <v>30059</v>
      </c>
      <c r="O1210" t="s">
        <v>3204</v>
      </c>
      <c r="P1210" t="s">
        <v>3254</v>
      </c>
      <c r="Q1210">
        <v>0</v>
      </c>
      <c r="S1210">
        <v>54</v>
      </c>
      <c r="T1210">
        <v>52</v>
      </c>
      <c r="V1210">
        <v>112</v>
      </c>
    </row>
    <row r="1211" spans="1:22">
      <c r="A1211" s="32" t="s">
        <v>3255</v>
      </c>
      <c r="B1211" s="32" t="s">
        <v>3204</v>
      </c>
      <c r="C1211" s="32" t="s">
        <v>3256</v>
      </c>
      <c r="D1211" s="33">
        <v>0</v>
      </c>
      <c r="E1211" s="33" t="s">
        <v>1639</v>
      </c>
      <c r="F1211" s="33">
        <v>151</v>
      </c>
      <c r="G1211" s="33">
        <v>68</v>
      </c>
      <c r="H1211" s="33" t="s">
        <v>1639</v>
      </c>
      <c r="I1211" s="33">
        <v>226</v>
      </c>
      <c r="K1211" t="b">
        <f>QHPSelections2016[[#This Row],[County Name]]=P1211</f>
        <v>1</v>
      </c>
      <c r="L1211" t="b">
        <f>QHPSelections2016[[#This Row],[Silver]]=S1211</f>
        <v>1</v>
      </c>
      <c r="N1211">
        <v>30061</v>
      </c>
      <c r="O1211" t="s">
        <v>3204</v>
      </c>
      <c r="P1211" t="s">
        <v>3256</v>
      </c>
      <c r="Q1211">
        <v>0</v>
      </c>
      <c r="S1211">
        <v>151</v>
      </c>
      <c r="T1211">
        <v>68</v>
      </c>
      <c r="V1211">
        <v>226</v>
      </c>
    </row>
    <row r="1212" spans="1:22">
      <c r="A1212" s="32" t="s">
        <v>3257</v>
      </c>
      <c r="B1212" s="32" t="s">
        <v>3204</v>
      </c>
      <c r="C1212" s="32" t="s">
        <v>3258</v>
      </c>
      <c r="D1212" s="33">
        <v>0</v>
      </c>
      <c r="E1212" s="33">
        <v>385</v>
      </c>
      <c r="F1212" s="33">
        <v>3962</v>
      </c>
      <c r="G1212" s="33">
        <v>3238</v>
      </c>
      <c r="H1212" s="33">
        <v>95</v>
      </c>
      <c r="I1212" s="33">
        <v>7680</v>
      </c>
      <c r="K1212" t="b">
        <f>QHPSelections2016[[#This Row],[County Name]]=P1212</f>
        <v>1</v>
      </c>
      <c r="L1212" t="b">
        <f>QHPSelections2016[[#This Row],[Silver]]=S1212</f>
        <v>1</v>
      </c>
      <c r="N1212">
        <v>30063</v>
      </c>
      <c r="O1212" t="s">
        <v>3204</v>
      </c>
      <c r="P1212" t="s">
        <v>3258</v>
      </c>
      <c r="Q1212">
        <v>0</v>
      </c>
      <c r="R1212">
        <v>385</v>
      </c>
      <c r="S1212" s="51">
        <v>3962</v>
      </c>
      <c r="T1212" s="51">
        <v>3238</v>
      </c>
      <c r="U1212">
        <v>95</v>
      </c>
      <c r="V1212" s="51">
        <v>7680</v>
      </c>
    </row>
    <row r="1213" spans="1:22">
      <c r="A1213" s="32" t="s">
        <v>3259</v>
      </c>
      <c r="B1213" s="32" t="s">
        <v>3204</v>
      </c>
      <c r="C1213" s="32" t="s">
        <v>3260</v>
      </c>
      <c r="D1213" s="33">
        <v>0</v>
      </c>
      <c r="E1213" s="33" t="s">
        <v>1639</v>
      </c>
      <c r="F1213" s="33">
        <v>120</v>
      </c>
      <c r="G1213" s="33">
        <v>103</v>
      </c>
      <c r="H1213" s="33" t="s">
        <v>1639</v>
      </c>
      <c r="I1213" s="33">
        <v>230</v>
      </c>
      <c r="K1213" t="b">
        <f>QHPSelections2016[[#This Row],[County Name]]=P1213</f>
        <v>1</v>
      </c>
      <c r="L1213" t="b">
        <f>QHPSelections2016[[#This Row],[Silver]]=S1213</f>
        <v>1</v>
      </c>
      <c r="N1213">
        <v>30065</v>
      </c>
      <c r="O1213" t="s">
        <v>3204</v>
      </c>
      <c r="P1213" t="s">
        <v>3260</v>
      </c>
      <c r="Q1213">
        <v>0</v>
      </c>
      <c r="S1213">
        <v>120</v>
      </c>
      <c r="T1213">
        <v>103</v>
      </c>
      <c r="V1213">
        <v>230</v>
      </c>
    </row>
    <row r="1214" spans="1:22">
      <c r="A1214" s="32" t="s">
        <v>3261</v>
      </c>
      <c r="B1214" s="32" t="s">
        <v>3204</v>
      </c>
      <c r="C1214" s="32" t="s">
        <v>3262</v>
      </c>
      <c r="D1214" s="33">
        <v>0</v>
      </c>
      <c r="E1214" s="33">
        <v>52</v>
      </c>
      <c r="F1214" s="33">
        <v>769</v>
      </c>
      <c r="G1214" s="33">
        <v>632</v>
      </c>
      <c r="H1214" s="33">
        <v>11</v>
      </c>
      <c r="I1214" s="33">
        <v>1464</v>
      </c>
      <c r="K1214" t="b">
        <f>QHPSelections2016[[#This Row],[County Name]]=P1214</f>
        <v>1</v>
      </c>
      <c r="L1214" t="b">
        <f>QHPSelections2016[[#This Row],[Silver]]=S1214</f>
        <v>1</v>
      </c>
      <c r="N1214">
        <v>30067</v>
      </c>
      <c r="O1214" t="s">
        <v>3204</v>
      </c>
      <c r="P1214" t="s">
        <v>3262</v>
      </c>
      <c r="Q1214">
        <v>0</v>
      </c>
      <c r="R1214">
        <v>52</v>
      </c>
      <c r="S1214">
        <v>769</v>
      </c>
      <c r="T1214">
        <v>632</v>
      </c>
      <c r="U1214">
        <v>11</v>
      </c>
      <c r="V1214" s="51">
        <v>1464</v>
      </c>
    </row>
    <row r="1215" spans="1:22">
      <c r="A1215" s="32" t="s">
        <v>3263</v>
      </c>
      <c r="B1215" s="32" t="s">
        <v>3204</v>
      </c>
      <c r="C1215" s="32" t="s">
        <v>3264</v>
      </c>
      <c r="D1215" s="33">
        <v>0</v>
      </c>
      <c r="E1215" s="33" t="s">
        <v>1639</v>
      </c>
      <c r="F1215" s="33">
        <v>25</v>
      </c>
      <c r="G1215" s="33">
        <v>30</v>
      </c>
      <c r="H1215" s="33" t="s">
        <v>1639</v>
      </c>
      <c r="I1215" s="33">
        <v>58</v>
      </c>
      <c r="K1215" t="b">
        <f>QHPSelections2016[[#This Row],[County Name]]=P1215</f>
        <v>1</v>
      </c>
      <c r="L1215" t="b">
        <f>QHPSelections2016[[#This Row],[Silver]]=S1215</f>
        <v>1</v>
      </c>
      <c r="N1215">
        <v>30069</v>
      </c>
      <c r="O1215" t="s">
        <v>3204</v>
      </c>
      <c r="P1215" t="s">
        <v>3264</v>
      </c>
      <c r="Q1215">
        <v>0</v>
      </c>
      <c r="S1215">
        <v>25</v>
      </c>
      <c r="T1215">
        <v>30</v>
      </c>
      <c r="V1215">
        <v>58</v>
      </c>
    </row>
    <row r="1216" spans="1:22">
      <c r="A1216" s="32" t="s">
        <v>3265</v>
      </c>
      <c r="B1216" s="32" t="s">
        <v>3204</v>
      </c>
      <c r="C1216" s="32" t="s">
        <v>1841</v>
      </c>
      <c r="D1216" s="33">
        <v>0</v>
      </c>
      <c r="E1216" s="33">
        <v>25</v>
      </c>
      <c r="F1216" s="33">
        <v>202</v>
      </c>
      <c r="G1216" s="33">
        <v>90</v>
      </c>
      <c r="H1216" s="33">
        <v>0</v>
      </c>
      <c r="I1216" s="33">
        <v>317</v>
      </c>
      <c r="K1216" t="b">
        <f>QHPSelections2016[[#This Row],[County Name]]=P1216</f>
        <v>1</v>
      </c>
      <c r="L1216" t="b">
        <f>QHPSelections2016[[#This Row],[Silver]]=S1216</f>
        <v>1</v>
      </c>
      <c r="N1216">
        <v>30071</v>
      </c>
      <c r="O1216" t="s">
        <v>3204</v>
      </c>
      <c r="P1216" t="s">
        <v>1841</v>
      </c>
      <c r="Q1216">
        <v>0</v>
      </c>
      <c r="R1216">
        <v>25</v>
      </c>
      <c r="S1216">
        <v>202</v>
      </c>
      <c r="T1216">
        <v>90</v>
      </c>
      <c r="U1216">
        <v>0</v>
      </c>
      <c r="V1216">
        <v>317</v>
      </c>
    </row>
    <row r="1217" spans="1:22">
      <c r="A1217" s="32" t="s">
        <v>3266</v>
      </c>
      <c r="B1217" s="32" t="s">
        <v>3204</v>
      </c>
      <c r="C1217" s="32" t="s">
        <v>3267</v>
      </c>
      <c r="D1217" s="33">
        <v>0</v>
      </c>
      <c r="E1217" s="33" t="s">
        <v>1639</v>
      </c>
      <c r="F1217" s="33">
        <v>226</v>
      </c>
      <c r="G1217" s="33">
        <v>86</v>
      </c>
      <c r="H1217" s="33" t="s">
        <v>1639</v>
      </c>
      <c r="I1217" s="33">
        <v>327</v>
      </c>
      <c r="K1217" t="b">
        <f>QHPSelections2016[[#This Row],[County Name]]=P1217</f>
        <v>1</v>
      </c>
      <c r="L1217" t="b">
        <f>QHPSelections2016[[#This Row],[Silver]]=S1217</f>
        <v>1</v>
      </c>
      <c r="N1217">
        <v>30073</v>
      </c>
      <c r="O1217" t="s">
        <v>3204</v>
      </c>
      <c r="P1217" t="s">
        <v>3267</v>
      </c>
      <c r="Q1217">
        <v>0</v>
      </c>
      <c r="S1217">
        <v>226</v>
      </c>
      <c r="T1217">
        <v>86</v>
      </c>
      <c r="V1217">
        <v>327</v>
      </c>
    </row>
    <row r="1218" spans="1:22">
      <c r="A1218" s="32" t="s">
        <v>3268</v>
      </c>
      <c r="B1218" s="32" t="s">
        <v>3204</v>
      </c>
      <c r="C1218" s="32" t="s">
        <v>3269</v>
      </c>
      <c r="D1218" s="33">
        <v>0</v>
      </c>
      <c r="E1218" s="33">
        <v>13</v>
      </c>
      <c r="F1218" s="33">
        <v>102</v>
      </c>
      <c r="G1218" s="33">
        <v>61</v>
      </c>
      <c r="H1218" s="33">
        <v>0</v>
      </c>
      <c r="I1218" s="33">
        <v>176</v>
      </c>
      <c r="K1218" t="b">
        <f>QHPSelections2016[[#This Row],[County Name]]=P1218</f>
        <v>1</v>
      </c>
      <c r="L1218" t="b">
        <f>QHPSelections2016[[#This Row],[Silver]]=S1218</f>
        <v>1</v>
      </c>
      <c r="N1218">
        <v>30075</v>
      </c>
      <c r="O1218" t="s">
        <v>3204</v>
      </c>
      <c r="P1218" t="s">
        <v>3269</v>
      </c>
      <c r="Q1218">
        <v>0</v>
      </c>
      <c r="R1218">
        <v>13</v>
      </c>
      <c r="S1218">
        <v>102</v>
      </c>
      <c r="T1218">
        <v>61</v>
      </c>
      <c r="U1218">
        <v>0</v>
      </c>
      <c r="V1218">
        <v>176</v>
      </c>
    </row>
    <row r="1219" spans="1:22">
      <c r="A1219" s="32" t="s">
        <v>3270</v>
      </c>
      <c r="B1219" s="32" t="s">
        <v>3204</v>
      </c>
      <c r="C1219" s="32" t="s">
        <v>3271</v>
      </c>
      <c r="D1219" s="33">
        <v>0</v>
      </c>
      <c r="E1219" s="33" t="s">
        <v>1639</v>
      </c>
      <c r="F1219" s="33">
        <v>125</v>
      </c>
      <c r="G1219" s="33">
        <v>94</v>
      </c>
      <c r="H1219" s="33" t="s">
        <v>1639</v>
      </c>
      <c r="I1219" s="33">
        <v>239</v>
      </c>
      <c r="K1219" t="b">
        <f>QHPSelections2016[[#This Row],[County Name]]=P1219</f>
        <v>1</v>
      </c>
      <c r="L1219" t="b">
        <f>QHPSelections2016[[#This Row],[Silver]]=S1219</f>
        <v>1</v>
      </c>
      <c r="N1219">
        <v>30077</v>
      </c>
      <c r="O1219" t="s">
        <v>3204</v>
      </c>
      <c r="P1219" t="s">
        <v>3271</v>
      </c>
      <c r="Q1219">
        <v>0</v>
      </c>
      <c r="S1219">
        <v>125</v>
      </c>
      <c r="T1219">
        <v>94</v>
      </c>
      <c r="V1219">
        <v>239</v>
      </c>
    </row>
    <row r="1220" spans="1:22">
      <c r="A1220" s="32" t="s">
        <v>3272</v>
      </c>
      <c r="B1220" s="32" t="s">
        <v>3204</v>
      </c>
      <c r="C1220" s="32" t="s">
        <v>1849</v>
      </c>
      <c r="D1220" s="33">
        <v>0</v>
      </c>
      <c r="E1220" s="33" t="s">
        <v>1639</v>
      </c>
      <c r="F1220" s="33">
        <v>36</v>
      </c>
      <c r="G1220" s="33">
        <v>37</v>
      </c>
      <c r="H1220" s="33" t="s">
        <v>1639</v>
      </c>
      <c r="I1220" s="33">
        <v>79</v>
      </c>
      <c r="K1220" t="b">
        <f>QHPSelections2016[[#This Row],[County Name]]=P1220</f>
        <v>1</v>
      </c>
      <c r="L1220" t="b">
        <f>QHPSelections2016[[#This Row],[Silver]]=S1220</f>
        <v>1</v>
      </c>
      <c r="N1220">
        <v>30079</v>
      </c>
      <c r="O1220" t="s">
        <v>3204</v>
      </c>
      <c r="P1220" t="s">
        <v>1849</v>
      </c>
      <c r="Q1220">
        <v>0</v>
      </c>
      <c r="S1220">
        <v>36</v>
      </c>
      <c r="T1220">
        <v>37</v>
      </c>
      <c r="V1220">
        <v>79</v>
      </c>
    </row>
    <row r="1221" spans="1:22">
      <c r="A1221" s="32" t="s">
        <v>3273</v>
      </c>
      <c r="B1221" s="32" t="s">
        <v>3204</v>
      </c>
      <c r="C1221" s="32" t="s">
        <v>3274</v>
      </c>
      <c r="D1221" s="33">
        <v>0</v>
      </c>
      <c r="E1221" s="33">
        <v>118</v>
      </c>
      <c r="F1221" s="33">
        <v>1522</v>
      </c>
      <c r="G1221" s="33">
        <v>1160</v>
      </c>
      <c r="H1221" s="33">
        <v>20</v>
      </c>
      <c r="I1221" s="33">
        <v>2820</v>
      </c>
      <c r="K1221" t="b">
        <f>QHPSelections2016[[#This Row],[County Name]]=P1221</f>
        <v>1</v>
      </c>
      <c r="L1221" t="b">
        <f>QHPSelections2016[[#This Row],[Silver]]=S1221</f>
        <v>1</v>
      </c>
      <c r="N1221">
        <v>30081</v>
      </c>
      <c r="O1221" t="s">
        <v>3204</v>
      </c>
      <c r="P1221" t="s">
        <v>3274</v>
      </c>
      <c r="Q1221">
        <v>0</v>
      </c>
      <c r="R1221">
        <v>118</v>
      </c>
      <c r="S1221" s="51">
        <v>1522</v>
      </c>
      <c r="T1221" s="51">
        <v>1160</v>
      </c>
      <c r="U1221">
        <v>20</v>
      </c>
      <c r="V1221" s="51">
        <v>2820</v>
      </c>
    </row>
    <row r="1222" spans="1:22">
      <c r="A1222" s="32" t="s">
        <v>3275</v>
      </c>
      <c r="B1222" s="32" t="s">
        <v>3204</v>
      </c>
      <c r="C1222" s="32" t="s">
        <v>2400</v>
      </c>
      <c r="D1222" s="33">
        <v>0</v>
      </c>
      <c r="E1222" s="33" t="s">
        <v>1639</v>
      </c>
      <c r="F1222" s="33">
        <v>204</v>
      </c>
      <c r="G1222" s="33">
        <v>118</v>
      </c>
      <c r="H1222" s="33" t="s">
        <v>1639</v>
      </c>
      <c r="I1222" s="33">
        <v>369</v>
      </c>
      <c r="K1222" t="b">
        <f>QHPSelections2016[[#This Row],[County Name]]=P1222</f>
        <v>1</v>
      </c>
      <c r="L1222" t="b">
        <f>QHPSelections2016[[#This Row],[Silver]]=S1222</f>
        <v>1</v>
      </c>
      <c r="N1222">
        <v>30083</v>
      </c>
      <c r="O1222" t="s">
        <v>3204</v>
      </c>
      <c r="P1222" t="s">
        <v>2400</v>
      </c>
      <c r="Q1222">
        <v>0</v>
      </c>
      <c r="S1222">
        <v>204</v>
      </c>
      <c r="T1222">
        <v>118</v>
      </c>
      <c r="V1222">
        <v>369</v>
      </c>
    </row>
    <row r="1223" spans="1:22">
      <c r="A1223" s="32" t="s">
        <v>3276</v>
      </c>
      <c r="B1223" s="32" t="s">
        <v>3204</v>
      </c>
      <c r="C1223" s="32" t="s">
        <v>3277</v>
      </c>
      <c r="D1223" s="33">
        <v>0</v>
      </c>
      <c r="E1223" s="33" t="s">
        <v>1639</v>
      </c>
      <c r="F1223" s="33">
        <v>153</v>
      </c>
      <c r="G1223" s="33">
        <v>240</v>
      </c>
      <c r="H1223" s="33" t="s">
        <v>1639</v>
      </c>
      <c r="I1223" s="33">
        <v>434</v>
      </c>
      <c r="K1223" t="b">
        <f>QHPSelections2016[[#This Row],[County Name]]=P1223</f>
        <v>1</v>
      </c>
      <c r="L1223" t="b">
        <f>QHPSelections2016[[#This Row],[Silver]]=S1223</f>
        <v>1</v>
      </c>
      <c r="N1223">
        <v>30085</v>
      </c>
      <c r="O1223" t="s">
        <v>3204</v>
      </c>
      <c r="P1223" t="s">
        <v>3277</v>
      </c>
      <c r="Q1223">
        <v>0</v>
      </c>
      <c r="S1223">
        <v>153</v>
      </c>
      <c r="T1223">
        <v>240</v>
      </c>
      <c r="V1223">
        <v>434</v>
      </c>
    </row>
    <row r="1224" spans="1:22">
      <c r="A1224" s="32" t="s">
        <v>3278</v>
      </c>
      <c r="B1224" s="32" t="s">
        <v>3204</v>
      </c>
      <c r="C1224" s="32" t="s">
        <v>3279</v>
      </c>
      <c r="D1224" s="33">
        <v>0</v>
      </c>
      <c r="E1224" s="33" t="s">
        <v>1639</v>
      </c>
      <c r="F1224" s="33">
        <v>124</v>
      </c>
      <c r="G1224" s="33">
        <v>81</v>
      </c>
      <c r="H1224" s="33" t="s">
        <v>1639</v>
      </c>
      <c r="I1224" s="33">
        <v>221</v>
      </c>
      <c r="K1224" t="b">
        <f>QHPSelections2016[[#This Row],[County Name]]=P1224</f>
        <v>1</v>
      </c>
      <c r="L1224" t="b">
        <f>QHPSelections2016[[#This Row],[Silver]]=S1224</f>
        <v>1</v>
      </c>
      <c r="N1224">
        <v>30087</v>
      </c>
      <c r="O1224" t="s">
        <v>3204</v>
      </c>
      <c r="P1224" t="s">
        <v>3279</v>
      </c>
      <c r="Q1224">
        <v>0</v>
      </c>
      <c r="S1224">
        <v>124</v>
      </c>
      <c r="T1224">
        <v>81</v>
      </c>
      <c r="V1224">
        <v>221</v>
      </c>
    </row>
    <row r="1225" spans="1:22">
      <c r="A1225" s="32" t="s">
        <v>3280</v>
      </c>
      <c r="B1225" s="32" t="s">
        <v>3204</v>
      </c>
      <c r="C1225" s="32" t="s">
        <v>3281</v>
      </c>
      <c r="D1225" s="33">
        <v>0</v>
      </c>
      <c r="E1225" s="33" t="s">
        <v>1639</v>
      </c>
      <c r="F1225" s="33">
        <v>418</v>
      </c>
      <c r="G1225" s="33">
        <v>296</v>
      </c>
      <c r="H1225" s="33" t="s">
        <v>1639</v>
      </c>
      <c r="I1225" s="33">
        <v>754</v>
      </c>
      <c r="K1225" t="b">
        <f>QHPSelections2016[[#This Row],[County Name]]=P1225</f>
        <v>1</v>
      </c>
      <c r="L1225" t="b">
        <f>QHPSelections2016[[#This Row],[Silver]]=S1225</f>
        <v>1</v>
      </c>
      <c r="N1225">
        <v>30089</v>
      </c>
      <c r="O1225" t="s">
        <v>3204</v>
      </c>
      <c r="P1225" t="s">
        <v>3281</v>
      </c>
      <c r="Q1225">
        <v>0</v>
      </c>
      <c r="S1225">
        <v>418</v>
      </c>
      <c r="T1225">
        <v>296</v>
      </c>
      <c r="V1225">
        <v>754</v>
      </c>
    </row>
    <row r="1226" spans="1:22">
      <c r="A1226" s="32" t="s">
        <v>3282</v>
      </c>
      <c r="B1226" s="32" t="s">
        <v>3204</v>
      </c>
      <c r="C1226" s="32" t="s">
        <v>2704</v>
      </c>
      <c r="D1226" s="33">
        <v>0</v>
      </c>
      <c r="E1226" s="33" t="s">
        <v>1639</v>
      </c>
      <c r="F1226" s="33">
        <v>181</v>
      </c>
      <c r="G1226" s="33">
        <v>166</v>
      </c>
      <c r="H1226" s="33" t="s">
        <v>1639</v>
      </c>
      <c r="I1226" s="33">
        <v>371</v>
      </c>
      <c r="K1226" t="b">
        <f>QHPSelections2016[[#This Row],[County Name]]=P1226</f>
        <v>1</v>
      </c>
      <c r="L1226" t="b">
        <f>QHPSelections2016[[#This Row],[Silver]]=S1226</f>
        <v>1</v>
      </c>
      <c r="N1226">
        <v>30091</v>
      </c>
      <c r="O1226" t="s">
        <v>3204</v>
      </c>
      <c r="P1226" t="s">
        <v>2704</v>
      </c>
      <c r="Q1226">
        <v>0</v>
      </c>
      <c r="S1226">
        <v>181</v>
      </c>
      <c r="T1226">
        <v>166</v>
      </c>
      <c r="V1226">
        <v>371</v>
      </c>
    </row>
    <row r="1227" spans="1:22">
      <c r="A1227" s="32" t="s">
        <v>3283</v>
      </c>
      <c r="B1227" s="32" t="s">
        <v>3204</v>
      </c>
      <c r="C1227" s="32" t="s">
        <v>3284</v>
      </c>
      <c r="D1227" s="33">
        <v>0</v>
      </c>
      <c r="E1227" s="33">
        <v>107</v>
      </c>
      <c r="F1227" s="33">
        <v>849</v>
      </c>
      <c r="G1227" s="33">
        <v>424</v>
      </c>
      <c r="H1227" s="33">
        <v>19</v>
      </c>
      <c r="I1227" s="33">
        <v>1399</v>
      </c>
      <c r="K1227" t="b">
        <f>QHPSelections2016[[#This Row],[County Name]]=P1227</f>
        <v>1</v>
      </c>
      <c r="L1227" t="b">
        <f>QHPSelections2016[[#This Row],[Silver]]=S1227</f>
        <v>1</v>
      </c>
      <c r="N1227">
        <v>30093</v>
      </c>
      <c r="O1227" t="s">
        <v>3204</v>
      </c>
      <c r="P1227" t="s">
        <v>3284</v>
      </c>
      <c r="Q1227">
        <v>0</v>
      </c>
      <c r="R1227">
        <v>107</v>
      </c>
      <c r="S1227">
        <v>849</v>
      </c>
      <c r="T1227">
        <v>424</v>
      </c>
      <c r="U1227">
        <v>19</v>
      </c>
      <c r="V1227" s="51">
        <v>1399</v>
      </c>
    </row>
    <row r="1228" spans="1:22">
      <c r="A1228" s="32" t="s">
        <v>3285</v>
      </c>
      <c r="B1228" s="32" t="s">
        <v>3204</v>
      </c>
      <c r="C1228" s="32" t="s">
        <v>3286</v>
      </c>
      <c r="D1228" s="33">
        <v>0</v>
      </c>
      <c r="E1228" s="33" t="s">
        <v>1639</v>
      </c>
      <c r="F1228" s="33">
        <v>259</v>
      </c>
      <c r="G1228" s="33">
        <v>177</v>
      </c>
      <c r="H1228" s="33" t="s">
        <v>1639</v>
      </c>
      <c r="I1228" s="33">
        <v>474</v>
      </c>
      <c r="K1228" t="b">
        <f>QHPSelections2016[[#This Row],[County Name]]=P1228</f>
        <v>1</v>
      </c>
      <c r="L1228" t="b">
        <f>QHPSelections2016[[#This Row],[Silver]]=S1228</f>
        <v>1</v>
      </c>
      <c r="N1228">
        <v>30095</v>
      </c>
      <c r="O1228" t="s">
        <v>3204</v>
      </c>
      <c r="P1228" t="s">
        <v>3286</v>
      </c>
      <c r="Q1228">
        <v>0</v>
      </c>
      <c r="S1228">
        <v>259</v>
      </c>
      <c r="T1228">
        <v>177</v>
      </c>
      <c r="V1228">
        <v>474</v>
      </c>
    </row>
    <row r="1229" spans="1:22">
      <c r="A1229" s="32" t="s">
        <v>3287</v>
      </c>
      <c r="B1229" s="32" t="s">
        <v>3204</v>
      </c>
      <c r="C1229" s="32" t="s">
        <v>3288</v>
      </c>
      <c r="D1229" s="33">
        <v>0</v>
      </c>
      <c r="E1229" s="33" t="s">
        <v>1639</v>
      </c>
      <c r="F1229" s="33">
        <v>199</v>
      </c>
      <c r="G1229" s="33">
        <v>165</v>
      </c>
      <c r="H1229" s="33" t="s">
        <v>1639</v>
      </c>
      <c r="I1229" s="33">
        <v>377</v>
      </c>
      <c r="K1229" t="b">
        <f>QHPSelections2016[[#This Row],[County Name]]=P1229</f>
        <v>1</v>
      </c>
      <c r="L1229" t="b">
        <f>QHPSelections2016[[#This Row],[Silver]]=S1229</f>
        <v>1</v>
      </c>
      <c r="N1229">
        <v>30097</v>
      </c>
      <c r="O1229" t="s">
        <v>3204</v>
      </c>
      <c r="P1229" t="s">
        <v>3288</v>
      </c>
      <c r="Q1229">
        <v>0</v>
      </c>
      <c r="S1229">
        <v>199</v>
      </c>
      <c r="T1229">
        <v>165</v>
      </c>
      <c r="V1229">
        <v>377</v>
      </c>
    </row>
    <row r="1230" spans="1:22">
      <c r="A1230" s="32" t="s">
        <v>3289</v>
      </c>
      <c r="B1230" s="32" t="s">
        <v>3204</v>
      </c>
      <c r="C1230" s="32" t="s">
        <v>3290</v>
      </c>
      <c r="D1230" s="33">
        <v>0</v>
      </c>
      <c r="E1230" s="33" t="s">
        <v>1639</v>
      </c>
      <c r="F1230" s="33">
        <v>235</v>
      </c>
      <c r="G1230" s="33">
        <v>156</v>
      </c>
      <c r="H1230" s="33" t="s">
        <v>1639</v>
      </c>
      <c r="I1230" s="33">
        <v>416</v>
      </c>
      <c r="K1230" t="b">
        <f>QHPSelections2016[[#This Row],[County Name]]=P1230</f>
        <v>1</v>
      </c>
      <c r="L1230" t="b">
        <f>QHPSelections2016[[#This Row],[Silver]]=S1230</f>
        <v>1</v>
      </c>
      <c r="N1230">
        <v>30099</v>
      </c>
      <c r="O1230" t="s">
        <v>3204</v>
      </c>
      <c r="P1230" t="s">
        <v>3290</v>
      </c>
      <c r="Q1230">
        <v>0</v>
      </c>
      <c r="S1230">
        <v>235</v>
      </c>
      <c r="T1230">
        <v>156</v>
      </c>
      <c r="V1230">
        <v>416</v>
      </c>
    </row>
    <row r="1231" spans="1:22">
      <c r="A1231" s="32" t="s">
        <v>3291</v>
      </c>
      <c r="B1231" s="32" t="s">
        <v>3204</v>
      </c>
      <c r="C1231" s="32" t="s">
        <v>3292</v>
      </c>
      <c r="D1231" s="33">
        <v>0</v>
      </c>
      <c r="E1231" s="33" t="s">
        <v>1639</v>
      </c>
      <c r="F1231" s="33">
        <v>285</v>
      </c>
      <c r="G1231" s="33">
        <v>68</v>
      </c>
      <c r="H1231" s="33" t="s">
        <v>1639</v>
      </c>
      <c r="I1231" s="33">
        <v>363</v>
      </c>
      <c r="K1231" t="b">
        <f>QHPSelections2016[[#This Row],[County Name]]=P1231</f>
        <v>1</v>
      </c>
      <c r="L1231" t="b">
        <f>QHPSelections2016[[#This Row],[Silver]]=S1231</f>
        <v>1</v>
      </c>
      <c r="N1231">
        <v>30101</v>
      </c>
      <c r="O1231" t="s">
        <v>3204</v>
      </c>
      <c r="P1231" t="s">
        <v>3292</v>
      </c>
      <c r="Q1231">
        <v>0</v>
      </c>
      <c r="S1231">
        <v>285</v>
      </c>
      <c r="T1231">
        <v>68</v>
      </c>
      <c r="V1231">
        <v>363</v>
      </c>
    </row>
    <row r="1232" spans="1:22">
      <c r="A1232" s="32" t="s">
        <v>3293</v>
      </c>
      <c r="B1232" s="32" t="s">
        <v>3204</v>
      </c>
      <c r="C1232" s="32" t="s">
        <v>3294</v>
      </c>
      <c r="D1232" s="33">
        <v>0</v>
      </c>
      <c r="E1232" s="33" t="s">
        <v>1639</v>
      </c>
      <c r="F1232" s="33">
        <v>28</v>
      </c>
      <c r="G1232" s="33">
        <v>33</v>
      </c>
      <c r="H1232" s="33" t="s">
        <v>1639</v>
      </c>
      <c r="I1232" s="33">
        <v>68</v>
      </c>
      <c r="K1232" t="b">
        <f>QHPSelections2016[[#This Row],[County Name]]=P1232</f>
        <v>1</v>
      </c>
      <c r="L1232" t="b">
        <f>QHPSelections2016[[#This Row],[Silver]]=S1232</f>
        <v>1</v>
      </c>
      <c r="N1232">
        <v>30103</v>
      </c>
      <c r="O1232" t="s">
        <v>3204</v>
      </c>
      <c r="P1232" t="s">
        <v>3294</v>
      </c>
      <c r="Q1232">
        <v>0</v>
      </c>
      <c r="S1232">
        <v>28</v>
      </c>
      <c r="T1232">
        <v>33</v>
      </c>
      <c r="V1232">
        <v>68</v>
      </c>
    </row>
    <row r="1233" spans="1:22">
      <c r="A1233" s="32" t="s">
        <v>3295</v>
      </c>
      <c r="B1233" s="32" t="s">
        <v>3204</v>
      </c>
      <c r="C1233" s="32" t="s">
        <v>3296</v>
      </c>
      <c r="D1233" s="33">
        <v>0</v>
      </c>
      <c r="E1233" s="33" t="s">
        <v>1639</v>
      </c>
      <c r="F1233" s="33">
        <v>214</v>
      </c>
      <c r="G1233" s="33">
        <v>187</v>
      </c>
      <c r="H1233" s="33" t="s">
        <v>1639</v>
      </c>
      <c r="I1233" s="33">
        <v>427</v>
      </c>
      <c r="K1233" t="b">
        <f>QHPSelections2016[[#This Row],[County Name]]=P1233</f>
        <v>1</v>
      </c>
      <c r="L1233" t="b">
        <f>QHPSelections2016[[#This Row],[Silver]]=S1233</f>
        <v>1</v>
      </c>
      <c r="N1233">
        <v>30105</v>
      </c>
      <c r="O1233" t="s">
        <v>3204</v>
      </c>
      <c r="P1233" t="s">
        <v>3296</v>
      </c>
      <c r="Q1233">
        <v>0</v>
      </c>
      <c r="S1233">
        <v>214</v>
      </c>
      <c r="T1233">
        <v>187</v>
      </c>
      <c r="V1233">
        <v>427</v>
      </c>
    </row>
    <row r="1234" spans="1:22">
      <c r="A1234" s="32" t="s">
        <v>3297</v>
      </c>
      <c r="B1234" s="32" t="s">
        <v>3204</v>
      </c>
      <c r="C1234" s="32" t="s">
        <v>3298</v>
      </c>
      <c r="D1234" s="33">
        <v>0</v>
      </c>
      <c r="E1234" s="33" t="s">
        <v>1639</v>
      </c>
      <c r="F1234" s="33">
        <v>76</v>
      </c>
      <c r="G1234" s="33">
        <v>53</v>
      </c>
      <c r="H1234" s="33" t="s">
        <v>1639</v>
      </c>
      <c r="I1234" s="33">
        <v>135</v>
      </c>
      <c r="K1234" t="b">
        <f>QHPSelections2016[[#This Row],[County Name]]=P1234</f>
        <v>1</v>
      </c>
      <c r="L1234" t="b">
        <f>QHPSelections2016[[#This Row],[Silver]]=S1234</f>
        <v>1</v>
      </c>
      <c r="N1234">
        <v>30107</v>
      </c>
      <c r="O1234" t="s">
        <v>3204</v>
      </c>
      <c r="P1234" t="s">
        <v>3298</v>
      </c>
      <c r="Q1234">
        <v>0</v>
      </c>
      <c r="S1234">
        <v>76</v>
      </c>
      <c r="T1234">
        <v>53</v>
      </c>
      <c r="V1234">
        <v>135</v>
      </c>
    </row>
    <row r="1235" spans="1:22">
      <c r="A1235" s="32" t="s">
        <v>3299</v>
      </c>
      <c r="B1235" s="32" t="s">
        <v>3204</v>
      </c>
      <c r="C1235" s="32" t="s">
        <v>3300</v>
      </c>
      <c r="D1235" s="33">
        <v>0</v>
      </c>
      <c r="E1235" s="33" t="s">
        <v>1639</v>
      </c>
      <c r="F1235" s="33">
        <v>35</v>
      </c>
      <c r="G1235" s="33">
        <v>11</v>
      </c>
      <c r="H1235" s="33" t="s">
        <v>1639</v>
      </c>
      <c r="I1235" s="33">
        <v>52</v>
      </c>
      <c r="K1235" t="b">
        <f>QHPSelections2016[[#This Row],[County Name]]=P1235</f>
        <v>1</v>
      </c>
      <c r="L1235" t="b">
        <f>QHPSelections2016[[#This Row],[Silver]]=S1235</f>
        <v>1</v>
      </c>
      <c r="N1235">
        <v>30109</v>
      </c>
      <c r="O1235" t="s">
        <v>3204</v>
      </c>
      <c r="P1235" t="s">
        <v>3300</v>
      </c>
      <c r="Q1235">
        <v>0</v>
      </c>
      <c r="S1235">
        <v>35</v>
      </c>
      <c r="T1235">
        <v>11</v>
      </c>
      <c r="V1235">
        <v>52</v>
      </c>
    </row>
    <row r="1236" spans="1:22">
      <c r="A1236" s="32" t="s">
        <v>3301</v>
      </c>
      <c r="B1236" s="32" t="s">
        <v>3204</v>
      </c>
      <c r="C1236" s="32" t="s">
        <v>3302</v>
      </c>
      <c r="D1236" s="33">
        <v>0</v>
      </c>
      <c r="E1236" s="33">
        <v>448</v>
      </c>
      <c r="F1236" s="33">
        <v>3329</v>
      </c>
      <c r="G1236" s="33">
        <v>2099</v>
      </c>
      <c r="H1236" s="33">
        <v>69</v>
      </c>
      <c r="I1236" s="33">
        <v>5945</v>
      </c>
      <c r="K1236" t="b">
        <f>QHPSelections2016[[#This Row],[County Name]]=P1236</f>
        <v>1</v>
      </c>
      <c r="L1236" t="b">
        <f>QHPSelections2016[[#This Row],[Silver]]=S1236</f>
        <v>1</v>
      </c>
      <c r="N1236">
        <v>30111</v>
      </c>
      <c r="O1236" t="s">
        <v>3204</v>
      </c>
      <c r="P1236" t="s">
        <v>3302</v>
      </c>
      <c r="Q1236">
        <v>0</v>
      </c>
      <c r="R1236">
        <v>448</v>
      </c>
      <c r="S1236" s="51">
        <v>3329</v>
      </c>
      <c r="T1236" s="51">
        <v>2099</v>
      </c>
      <c r="U1236">
        <v>69</v>
      </c>
      <c r="V1236" s="51">
        <v>5945</v>
      </c>
    </row>
    <row r="1237" spans="1:22">
      <c r="A1237" s="32" t="s">
        <v>3303</v>
      </c>
      <c r="B1237" s="32" t="s">
        <v>1548</v>
      </c>
      <c r="C1237" s="32" t="s">
        <v>821</v>
      </c>
      <c r="D1237" s="33">
        <v>31</v>
      </c>
      <c r="E1237" s="33">
        <v>206</v>
      </c>
      <c r="F1237" s="33">
        <v>5958</v>
      </c>
      <c r="G1237" s="33">
        <v>1683</v>
      </c>
      <c r="H1237" s="33">
        <v>150</v>
      </c>
      <c r="I1237" s="33">
        <v>8028</v>
      </c>
      <c r="K1237" t="b">
        <f>QHPSelections2016[[#This Row],[County Name]]=P1237</f>
        <v>1</v>
      </c>
      <c r="L1237" t="b">
        <f>QHPSelections2016[[#This Row],[Silver]]=S1237</f>
        <v>1</v>
      </c>
      <c r="N1237">
        <v>37001</v>
      </c>
      <c r="O1237" t="s">
        <v>1548</v>
      </c>
      <c r="P1237" t="s">
        <v>821</v>
      </c>
      <c r="Q1237">
        <v>31</v>
      </c>
      <c r="R1237">
        <v>206</v>
      </c>
      <c r="S1237" s="51">
        <v>5958</v>
      </c>
      <c r="T1237" s="51">
        <v>1683</v>
      </c>
      <c r="U1237">
        <v>150</v>
      </c>
      <c r="V1237" s="51">
        <v>8028</v>
      </c>
    </row>
    <row r="1238" spans="1:22">
      <c r="A1238" s="32" t="s">
        <v>3304</v>
      </c>
      <c r="B1238" s="32" t="s">
        <v>1548</v>
      </c>
      <c r="C1238" s="32" t="s">
        <v>827</v>
      </c>
      <c r="D1238" s="33">
        <v>14</v>
      </c>
      <c r="E1238" s="33">
        <v>70</v>
      </c>
      <c r="F1238" s="33">
        <v>1769</v>
      </c>
      <c r="G1238" s="33">
        <v>344</v>
      </c>
      <c r="H1238" s="33">
        <v>38</v>
      </c>
      <c r="I1238" s="33">
        <v>2235</v>
      </c>
      <c r="K1238" t="b">
        <f>QHPSelections2016[[#This Row],[County Name]]=P1238</f>
        <v>1</v>
      </c>
      <c r="L1238" t="b">
        <f>QHPSelections2016[[#This Row],[Silver]]=S1238</f>
        <v>1</v>
      </c>
      <c r="N1238">
        <v>37003</v>
      </c>
      <c r="O1238" t="s">
        <v>1548</v>
      </c>
      <c r="P1238" t="s">
        <v>827</v>
      </c>
      <c r="Q1238">
        <v>14</v>
      </c>
      <c r="R1238">
        <v>70</v>
      </c>
      <c r="S1238" s="51">
        <v>1769</v>
      </c>
      <c r="T1238">
        <v>344</v>
      </c>
      <c r="U1238">
        <v>38</v>
      </c>
      <c r="V1238" s="51">
        <v>2235</v>
      </c>
    </row>
    <row r="1239" spans="1:22">
      <c r="A1239" s="32" t="s">
        <v>3305</v>
      </c>
      <c r="B1239" s="32" t="s">
        <v>1548</v>
      </c>
      <c r="C1239" s="32" t="s">
        <v>834</v>
      </c>
      <c r="D1239" s="33" t="s">
        <v>1639</v>
      </c>
      <c r="E1239" s="33">
        <v>33</v>
      </c>
      <c r="F1239" s="33">
        <v>650</v>
      </c>
      <c r="G1239" s="33">
        <v>93</v>
      </c>
      <c r="H1239" s="33" t="s">
        <v>1639</v>
      </c>
      <c r="I1239" s="33">
        <v>785</v>
      </c>
      <c r="K1239" t="b">
        <f>QHPSelections2016[[#This Row],[County Name]]=P1239</f>
        <v>1</v>
      </c>
      <c r="L1239" t="b">
        <f>QHPSelections2016[[#This Row],[Silver]]=S1239</f>
        <v>1</v>
      </c>
      <c r="N1239">
        <v>37005</v>
      </c>
      <c r="O1239" t="s">
        <v>1548</v>
      </c>
      <c r="P1239" t="s">
        <v>834</v>
      </c>
      <c r="R1239">
        <v>33</v>
      </c>
      <c r="S1239">
        <v>650</v>
      </c>
      <c r="T1239">
        <v>93</v>
      </c>
      <c r="V1239">
        <v>785</v>
      </c>
    </row>
    <row r="1240" spans="1:22">
      <c r="A1240" s="32" t="s">
        <v>3306</v>
      </c>
      <c r="B1240" s="32" t="s">
        <v>1548</v>
      </c>
      <c r="C1240" s="32" t="s">
        <v>840</v>
      </c>
      <c r="D1240" s="33" t="s">
        <v>1639</v>
      </c>
      <c r="E1240" s="33">
        <v>40</v>
      </c>
      <c r="F1240" s="33">
        <v>965</v>
      </c>
      <c r="G1240" s="33">
        <v>186</v>
      </c>
      <c r="H1240" s="33" t="s">
        <v>1639</v>
      </c>
      <c r="I1240" s="33">
        <v>1214</v>
      </c>
      <c r="K1240" t="b">
        <f>QHPSelections2016[[#This Row],[County Name]]=P1240</f>
        <v>1</v>
      </c>
      <c r="L1240" t="b">
        <f>QHPSelections2016[[#This Row],[Silver]]=S1240</f>
        <v>1</v>
      </c>
      <c r="N1240">
        <v>37007</v>
      </c>
      <c r="O1240" t="s">
        <v>1548</v>
      </c>
      <c r="P1240" t="s">
        <v>840</v>
      </c>
      <c r="R1240">
        <v>40</v>
      </c>
      <c r="S1240">
        <v>965</v>
      </c>
      <c r="T1240">
        <v>186</v>
      </c>
      <c r="V1240" s="51">
        <v>1214</v>
      </c>
    </row>
    <row r="1241" spans="1:22">
      <c r="A1241" s="32" t="s">
        <v>3307</v>
      </c>
      <c r="B1241" s="32" t="s">
        <v>1548</v>
      </c>
      <c r="C1241" s="32" t="s">
        <v>845</v>
      </c>
      <c r="D1241" s="33">
        <v>12</v>
      </c>
      <c r="E1241" s="33">
        <v>53</v>
      </c>
      <c r="F1241" s="33">
        <v>1705</v>
      </c>
      <c r="G1241" s="33">
        <v>221</v>
      </c>
      <c r="H1241" s="33">
        <v>11</v>
      </c>
      <c r="I1241" s="33">
        <v>2002</v>
      </c>
      <c r="K1241" t="b">
        <f>QHPSelections2016[[#This Row],[County Name]]=P1241</f>
        <v>1</v>
      </c>
      <c r="L1241" t="b">
        <f>QHPSelections2016[[#This Row],[Silver]]=S1241</f>
        <v>1</v>
      </c>
      <c r="N1241">
        <v>37009</v>
      </c>
      <c r="O1241" t="s">
        <v>1548</v>
      </c>
      <c r="P1241" t="s">
        <v>845</v>
      </c>
      <c r="Q1241">
        <v>12</v>
      </c>
      <c r="R1241">
        <v>53</v>
      </c>
      <c r="S1241" s="51">
        <v>1705</v>
      </c>
      <c r="T1241">
        <v>221</v>
      </c>
      <c r="U1241">
        <v>11</v>
      </c>
      <c r="V1241" s="51">
        <v>2002</v>
      </c>
    </row>
    <row r="1242" spans="1:22">
      <c r="A1242" s="32" t="s">
        <v>3308</v>
      </c>
      <c r="B1242" s="32" t="s">
        <v>1548</v>
      </c>
      <c r="C1242" s="32" t="s">
        <v>851</v>
      </c>
      <c r="D1242" s="33" t="s">
        <v>1639</v>
      </c>
      <c r="E1242" s="33">
        <v>27</v>
      </c>
      <c r="F1242" s="33">
        <v>1230</v>
      </c>
      <c r="G1242" s="33">
        <v>210</v>
      </c>
      <c r="H1242" s="33" t="s">
        <v>1639</v>
      </c>
      <c r="I1242" s="33">
        <v>1477</v>
      </c>
      <c r="K1242" t="b">
        <f>QHPSelections2016[[#This Row],[County Name]]=P1242</f>
        <v>1</v>
      </c>
      <c r="L1242" t="b">
        <f>QHPSelections2016[[#This Row],[Silver]]=S1242</f>
        <v>1</v>
      </c>
      <c r="N1242">
        <v>37011</v>
      </c>
      <c r="O1242" t="s">
        <v>1548</v>
      </c>
      <c r="P1242" t="s">
        <v>851</v>
      </c>
      <c r="R1242">
        <v>27</v>
      </c>
      <c r="S1242" s="51">
        <v>1230</v>
      </c>
      <c r="T1242">
        <v>210</v>
      </c>
      <c r="V1242" s="51">
        <v>1477</v>
      </c>
    </row>
    <row r="1243" spans="1:22">
      <c r="A1243" s="32" t="s">
        <v>3309</v>
      </c>
      <c r="B1243" s="32" t="s">
        <v>1548</v>
      </c>
      <c r="C1243" s="32" t="s">
        <v>857</v>
      </c>
      <c r="D1243" s="33">
        <v>26</v>
      </c>
      <c r="E1243" s="33">
        <v>66</v>
      </c>
      <c r="F1243" s="33">
        <v>3399</v>
      </c>
      <c r="G1243" s="33">
        <v>260</v>
      </c>
      <c r="H1243" s="33">
        <v>28</v>
      </c>
      <c r="I1243" s="33">
        <v>3779</v>
      </c>
      <c r="K1243" t="b">
        <f>QHPSelections2016[[#This Row],[County Name]]=P1243</f>
        <v>1</v>
      </c>
      <c r="L1243" t="b">
        <f>QHPSelections2016[[#This Row],[Silver]]=S1243</f>
        <v>1</v>
      </c>
      <c r="N1243">
        <v>37013</v>
      </c>
      <c r="O1243" t="s">
        <v>1548</v>
      </c>
      <c r="P1243" t="s">
        <v>857</v>
      </c>
      <c r="Q1243">
        <v>26</v>
      </c>
      <c r="R1243">
        <v>66</v>
      </c>
      <c r="S1243" s="51">
        <v>3399</v>
      </c>
      <c r="T1243">
        <v>260</v>
      </c>
      <c r="U1243">
        <v>28</v>
      </c>
      <c r="V1243" s="51">
        <v>3779</v>
      </c>
    </row>
    <row r="1244" spans="1:22">
      <c r="A1244" s="32" t="s">
        <v>3310</v>
      </c>
      <c r="B1244" s="32" t="s">
        <v>1548</v>
      </c>
      <c r="C1244" s="32" t="s">
        <v>863</v>
      </c>
      <c r="D1244" s="33" t="s">
        <v>1639</v>
      </c>
      <c r="E1244" s="33">
        <v>14</v>
      </c>
      <c r="F1244" s="33">
        <v>864</v>
      </c>
      <c r="G1244" s="33">
        <v>73</v>
      </c>
      <c r="H1244" s="33" t="s">
        <v>1639</v>
      </c>
      <c r="I1244" s="33">
        <v>969</v>
      </c>
      <c r="K1244" t="b">
        <f>QHPSelections2016[[#This Row],[County Name]]=P1244</f>
        <v>1</v>
      </c>
      <c r="L1244" t="b">
        <f>QHPSelections2016[[#This Row],[Silver]]=S1244</f>
        <v>1</v>
      </c>
      <c r="N1244">
        <v>37015</v>
      </c>
      <c r="O1244" t="s">
        <v>1548</v>
      </c>
      <c r="P1244" t="s">
        <v>863</v>
      </c>
      <c r="R1244">
        <v>14</v>
      </c>
      <c r="S1244">
        <v>864</v>
      </c>
      <c r="T1244">
        <v>73</v>
      </c>
      <c r="V1244">
        <v>969</v>
      </c>
    </row>
    <row r="1245" spans="1:22">
      <c r="A1245" s="32" t="s">
        <v>3311</v>
      </c>
      <c r="B1245" s="32" t="s">
        <v>1548</v>
      </c>
      <c r="C1245" s="32" t="s">
        <v>870</v>
      </c>
      <c r="D1245" s="33" t="s">
        <v>1639</v>
      </c>
      <c r="E1245" s="33">
        <v>101</v>
      </c>
      <c r="F1245" s="33">
        <v>1455</v>
      </c>
      <c r="G1245" s="33">
        <v>142</v>
      </c>
      <c r="H1245" s="33" t="s">
        <v>1639</v>
      </c>
      <c r="I1245" s="33">
        <v>1715</v>
      </c>
      <c r="K1245" t="b">
        <f>QHPSelections2016[[#This Row],[County Name]]=P1245</f>
        <v>1</v>
      </c>
      <c r="L1245" t="b">
        <f>QHPSelections2016[[#This Row],[Silver]]=S1245</f>
        <v>1</v>
      </c>
      <c r="N1245">
        <v>37017</v>
      </c>
      <c r="O1245" t="s">
        <v>1548</v>
      </c>
      <c r="P1245" t="s">
        <v>870</v>
      </c>
      <c r="R1245">
        <v>101</v>
      </c>
      <c r="S1245" s="51">
        <v>1455</v>
      </c>
      <c r="T1245">
        <v>142</v>
      </c>
      <c r="V1245" s="51">
        <v>1715</v>
      </c>
    </row>
    <row r="1246" spans="1:22">
      <c r="A1246" s="32" t="s">
        <v>3312</v>
      </c>
      <c r="B1246" s="32" t="s">
        <v>1548</v>
      </c>
      <c r="C1246" s="32" t="s">
        <v>876</v>
      </c>
      <c r="D1246" s="33">
        <v>84</v>
      </c>
      <c r="E1246" s="33">
        <v>270</v>
      </c>
      <c r="F1246" s="33">
        <v>6597</v>
      </c>
      <c r="G1246" s="33">
        <v>1317</v>
      </c>
      <c r="H1246" s="33">
        <v>97</v>
      </c>
      <c r="I1246" s="33">
        <v>8365</v>
      </c>
      <c r="K1246" t="b">
        <f>QHPSelections2016[[#This Row],[County Name]]=P1246</f>
        <v>1</v>
      </c>
      <c r="L1246" t="b">
        <f>QHPSelections2016[[#This Row],[Silver]]=S1246</f>
        <v>1</v>
      </c>
      <c r="N1246">
        <v>37019</v>
      </c>
      <c r="O1246" t="s">
        <v>1548</v>
      </c>
      <c r="P1246" t="s">
        <v>876</v>
      </c>
      <c r="Q1246">
        <v>84</v>
      </c>
      <c r="R1246">
        <v>270</v>
      </c>
      <c r="S1246" s="51">
        <v>6597</v>
      </c>
      <c r="T1246" s="51">
        <v>1317</v>
      </c>
      <c r="U1246">
        <v>97</v>
      </c>
      <c r="V1246" s="51">
        <v>8365</v>
      </c>
    </row>
    <row r="1247" spans="1:22">
      <c r="A1247" s="32" t="s">
        <v>3313</v>
      </c>
      <c r="B1247" s="32" t="s">
        <v>1548</v>
      </c>
      <c r="C1247" s="32" t="s">
        <v>882</v>
      </c>
      <c r="D1247" s="33">
        <v>141</v>
      </c>
      <c r="E1247" s="33">
        <v>811</v>
      </c>
      <c r="F1247" s="33">
        <v>16794</v>
      </c>
      <c r="G1247" s="33">
        <v>5153</v>
      </c>
      <c r="H1247" s="33">
        <v>392</v>
      </c>
      <c r="I1247" s="33">
        <v>23291</v>
      </c>
      <c r="K1247" t="b">
        <f>QHPSelections2016[[#This Row],[County Name]]=P1247</f>
        <v>1</v>
      </c>
      <c r="L1247" t="b">
        <f>QHPSelections2016[[#This Row],[Silver]]=S1247</f>
        <v>1</v>
      </c>
      <c r="N1247">
        <v>37021</v>
      </c>
      <c r="O1247" t="s">
        <v>1548</v>
      </c>
      <c r="P1247" t="s">
        <v>882</v>
      </c>
      <c r="Q1247">
        <v>141</v>
      </c>
      <c r="R1247">
        <v>811</v>
      </c>
      <c r="S1247" s="51">
        <v>16794</v>
      </c>
      <c r="T1247" s="51">
        <v>5153</v>
      </c>
      <c r="U1247">
        <v>392</v>
      </c>
      <c r="V1247" s="51">
        <v>23291</v>
      </c>
    </row>
    <row r="1248" spans="1:22">
      <c r="A1248" s="32" t="s">
        <v>3314</v>
      </c>
      <c r="B1248" s="32" t="s">
        <v>1548</v>
      </c>
      <c r="C1248" s="32" t="s">
        <v>888</v>
      </c>
      <c r="D1248" s="33">
        <v>21</v>
      </c>
      <c r="E1248" s="33">
        <v>128</v>
      </c>
      <c r="F1248" s="33">
        <v>3366</v>
      </c>
      <c r="G1248" s="33">
        <v>773</v>
      </c>
      <c r="H1248" s="33">
        <v>52</v>
      </c>
      <c r="I1248" s="33">
        <v>4340</v>
      </c>
      <c r="K1248" t="b">
        <f>QHPSelections2016[[#This Row],[County Name]]=P1248</f>
        <v>1</v>
      </c>
      <c r="L1248" t="b">
        <f>QHPSelections2016[[#This Row],[Silver]]=S1248</f>
        <v>1</v>
      </c>
      <c r="N1248">
        <v>37023</v>
      </c>
      <c r="O1248" t="s">
        <v>1548</v>
      </c>
      <c r="P1248" t="s">
        <v>888</v>
      </c>
      <c r="Q1248">
        <v>21</v>
      </c>
      <c r="R1248">
        <v>128</v>
      </c>
      <c r="S1248" s="51">
        <v>3366</v>
      </c>
      <c r="T1248">
        <v>773</v>
      </c>
      <c r="U1248">
        <v>52</v>
      </c>
      <c r="V1248" s="51">
        <v>4340</v>
      </c>
    </row>
    <row r="1249" spans="1:22">
      <c r="A1249" s="32" t="s">
        <v>3315</v>
      </c>
      <c r="B1249" s="32" t="s">
        <v>1548</v>
      </c>
      <c r="C1249" s="32" t="s">
        <v>893</v>
      </c>
      <c r="D1249" s="33">
        <v>40</v>
      </c>
      <c r="E1249" s="33">
        <v>445</v>
      </c>
      <c r="F1249" s="33">
        <v>10018</v>
      </c>
      <c r="G1249" s="33">
        <v>2777</v>
      </c>
      <c r="H1249" s="33">
        <v>195</v>
      </c>
      <c r="I1249" s="33">
        <v>13475</v>
      </c>
      <c r="K1249" t="b">
        <f>QHPSelections2016[[#This Row],[County Name]]=P1249</f>
        <v>1</v>
      </c>
      <c r="L1249" t="b">
        <f>QHPSelections2016[[#This Row],[Silver]]=S1249</f>
        <v>1</v>
      </c>
      <c r="N1249">
        <v>37025</v>
      </c>
      <c r="O1249" t="s">
        <v>1548</v>
      </c>
      <c r="P1249" t="s">
        <v>893</v>
      </c>
      <c r="Q1249">
        <v>40</v>
      </c>
      <c r="R1249">
        <v>445</v>
      </c>
      <c r="S1249" s="51">
        <v>10018</v>
      </c>
      <c r="T1249" s="51">
        <v>2777</v>
      </c>
      <c r="U1249">
        <v>195</v>
      </c>
      <c r="V1249" s="51">
        <v>13475</v>
      </c>
    </row>
    <row r="1250" spans="1:22">
      <c r="A1250" s="32" t="s">
        <v>3316</v>
      </c>
      <c r="B1250" s="32" t="s">
        <v>1548</v>
      </c>
      <c r="C1250" s="32" t="s">
        <v>898</v>
      </c>
      <c r="D1250" s="33">
        <v>23</v>
      </c>
      <c r="E1250" s="33">
        <v>116</v>
      </c>
      <c r="F1250" s="33">
        <v>3680</v>
      </c>
      <c r="G1250" s="33">
        <v>792</v>
      </c>
      <c r="H1250" s="33">
        <v>56</v>
      </c>
      <c r="I1250" s="33">
        <v>4667</v>
      </c>
      <c r="K1250" t="b">
        <f>QHPSelections2016[[#This Row],[County Name]]=P1250</f>
        <v>1</v>
      </c>
      <c r="L1250" t="b">
        <f>QHPSelections2016[[#This Row],[Silver]]=S1250</f>
        <v>1</v>
      </c>
      <c r="N1250">
        <v>37027</v>
      </c>
      <c r="O1250" t="s">
        <v>1548</v>
      </c>
      <c r="P1250" t="s">
        <v>898</v>
      </c>
      <c r="Q1250">
        <v>23</v>
      </c>
      <c r="R1250">
        <v>116</v>
      </c>
      <c r="S1250" s="51">
        <v>3680</v>
      </c>
      <c r="T1250">
        <v>792</v>
      </c>
      <c r="U1250">
        <v>56</v>
      </c>
      <c r="V1250" s="51">
        <v>4667</v>
      </c>
    </row>
    <row r="1251" spans="1:22">
      <c r="A1251" s="32" t="s">
        <v>3317</v>
      </c>
      <c r="B1251" s="32" t="s">
        <v>1548</v>
      </c>
      <c r="C1251" s="32" t="s">
        <v>904</v>
      </c>
      <c r="D1251" s="33" t="s">
        <v>1639</v>
      </c>
      <c r="E1251" s="33" t="s">
        <v>1639</v>
      </c>
      <c r="F1251" s="33">
        <v>337</v>
      </c>
      <c r="G1251" s="33">
        <v>57</v>
      </c>
      <c r="H1251" s="33" t="s">
        <v>1639</v>
      </c>
      <c r="I1251" s="33">
        <v>418</v>
      </c>
      <c r="K1251" t="b">
        <f>QHPSelections2016[[#This Row],[County Name]]=P1251</f>
        <v>1</v>
      </c>
      <c r="L1251" t="b">
        <f>QHPSelections2016[[#This Row],[Silver]]=S1251</f>
        <v>1</v>
      </c>
      <c r="N1251">
        <v>37029</v>
      </c>
      <c r="O1251" t="s">
        <v>1548</v>
      </c>
      <c r="P1251" t="s">
        <v>904</v>
      </c>
      <c r="S1251">
        <v>337</v>
      </c>
      <c r="T1251">
        <v>57</v>
      </c>
      <c r="V1251">
        <v>418</v>
      </c>
    </row>
    <row r="1252" spans="1:22">
      <c r="A1252" s="32" t="s">
        <v>3318</v>
      </c>
      <c r="B1252" s="32" t="s">
        <v>1548</v>
      </c>
      <c r="C1252" s="32" t="s">
        <v>911</v>
      </c>
      <c r="D1252" s="33">
        <v>23</v>
      </c>
      <c r="E1252" s="33">
        <v>135</v>
      </c>
      <c r="F1252" s="33">
        <v>4595</v>
      </c>
      <c r="G1252" s="33">
        <v>619</v>
      </c>
      <c r="H1252" s="33">
        <v>34</v>
      </c>
      <c r="I1252" s="33">
        <v>5406</v>
      </c>
      <c r="K1252" t="b">
        <f>QHPSelections2016[[#This Row],[County Name]]=P1252</f>
        <v>1</v>
      </c>
      <c r="L1252" t="b">
        <f>QHPSelections2016[[#This Row],[Silver]]=S1252</f>
        <v>1</v>
      </c>
      <c r="N1252">
        <v>37031</v>
      </c>
      <c r="O1252" t="s">
        <v>1548</v>
      </c>
      <c r="P1252" t="s">
        <v>911</v>
      </c>
      <c r="Q1252">
        <v>23</v>
      </c>
      <c r="R1252">
        <v>135</v>
      </c>
      <c r="S1252" s="51">
        <v>4595</v>
      </c>
      <c r="T1252">
        <v>619</v>
      </c>
      <c r="U1252">
        <v>34</v>
      </c>
      <c r="V1252" s="51">
        <v>5406</v>
      </c>
    </row>
    <row r="1253" spans="1:22">
      <c r="A1253" s="32" t="s">
        <v>3319</v>
      </c>
      <c r="B1253" s="32" t="s">
        <v>1548</v>
      </c>
      <c r="C1253" s="32" t="s">
        <v>915</v>
      </c>
      <c r="D1253" s="33" t="s">
        <v>1639</v>
      </c>
      <c r="E1253" s="33">
        <v>30</v>
      </c>
      <c r="F1253" s="33">
        <v>906</v>
      </c>
      <c r="G1253" s="33">
        <v>131</v>
      </c>
      <c r="H1253" s="33" t="s">
        <v>1639</v>
      </c>
      <c r="I1253" s="33">
        <v>1086</v>
      </c>
      <c r="K1253" t="b">
        <f>QHPSelections2016[[#This Row],[County Name]]=P1253</f>
        <v>1</v>
      </c>
      <c r="L1253" t="b">
        <f>QHPSelections2016[[#This Row],[Silver]]=S1253</f>
        <v>1</v>
      </c>
      <c r="N1253">
        <v>37033</v>
      </c>
      <c r="O1253" t="s">
        <v>1548</v>
      </c>
      <c r="P1253" t="s">
        <v>915</v>
      </c>
      <c r="R1253">
        <v>30</v>
      </c>
      <c r="S1253">
        <v>906</v>
      </c>
      <c r="T1253">
        <v>131</v>
      </c>
      <c r="V1253" s="51">
        <v>1086</v>
      </c>
    </row>
    <row r="1254" spans="1:22">
      <c r="A1254" s="32" t="s">
        <v>3320</v>
      </c>
      <c r="B1254" s="32" t="s">
        <v>1548</v>
      </c>
      <c r="C1254" s="32" t="s">
        <v>922</v>
      </c>
      <c r="D1254" s="33">
        <v>64</v>
      </c>
      <c r="E1254" s="33">
        <v>308</v>
      </c>
      <c r="F1254" s="33">
        <v>7731</v>
      </c>
      <c r="G1254" s="33">
        <v>1525</v>
      </c>
      <c r="H1254" s="33">
        <v>128</v>
      </c>
      <c r="I1254" s="33">
        <v>9756</v>
      </c>
      <c r="K1254" t="b">
        <f>QHPSelections2016[[#This Row],[County Name]]=P1254</f>
        <v>1</v>
      </c>
      <c r="L1254" t="b">
        <f>QHPSelections2016[[#This Row],[Silver]]=S1254</f>
        <v>1</v>
      </c>
      <c r="N1254">
        <v>37035</v>
      </c>
      <c r="O1254" t="s">
        <v>1548</v>
      </c>
      <c r="P1254" t="s">
        <v>922</v>
      </c>
      <c r="Q1254">
        <v>64</v>
      </c>
      <c r="R1254">
        <v>308</v>
      </c>
      <c r="S1254" s="51">
        <v>7731</v>
      </c>
      <c r="T1254" s="51">
        <v>1525</v>
      </c>
      <c r="U1254">
        <v>128</v>
      </c>
      <c r="V1254" s="51">
        <v>9756</v>
      </c>
    </row>
    <row r="1255" spans="1:22">
      <c r="A1255" s="32" t="s">
        <v>3321</v>
      </c>
      <c r="B1255" s="32" t="s">
        <v>1548</v>
      </c>
      <c r="C1255" s="32" t="s">
        <v>927</v>
      </c>
      <c r="D1255" s="33">
        <v>53</v>
      </c>
      <c r="E1255" s="33">
        <v>179</v>
      </c>
      <c r="F1255" s="33">
        <v>2960</v>
      </c>
      <c r="G1255" s="33">
        <v>835</v>
      </c>
      <c r="H1255" s="33">
        <v>76</v>
      </c>
      <c r="I1255" s="33">
        <v>4103</v>
      </c>
      <c r="K1255" t="b">
        <f>QHPSelections2016[[#This Row],[County Name]]=P1255</f>
        <v>1</v>
      </c>
      <c r="L1255" t="b">
        <f>QHPSelections2016[[#This Row],[Silver]]=S1255</f>
        <v>1</v>
      </c>
      <c r="N1255">
        <v>37037</v>
      </c>
      <c r="O1255" t="s">
        <v>1548</v>
      </c>
      <c r="P1255" t="s">
        <v>927</v>
      </c>
      <c r="Q1255">
        <v>53</v>
      </c>
      <c r="R1255">
        <v>179</v>
      </c>
      <c r="S1255" s="51">
        <v>2960</v>
      </c>
      <c r="T1255">
        <v>835</v>
      </c>
      <c r="U1255">
        <v>76</v>
      </c>
      <c r="V1255" s="51">
        <v>4103</v>
      </c>
    </row>
    <row r="1256" spans="1:22">
      <c r="A1256" s="32" t="s">
        <v>3322</v>
      </c>
      <c r="B1256" s="32" t="s">
        <v>1548</v>
      </c>
      <c r="C1256" s="32" t="s">
        <v>872</v>
      </c>
      <c r="D1256" s="33">
        <v>15</v>
      </c>
      <c r="E1256" s="33">
        <v>38</v>
      </c>
      <c r="F1256" s="33">
        <v>1311</v>
      </c>
      <c r="G1256" s="33">
        <v>291</v>
      </c>
      <c r="H1256" s="33">
        <v>24</v>
      </c>
      <c r="I1256" s="33">
        <v>1679</v>
      </c>
      <c r="K1256" t="b">
        <f>QHPSelections2016[[#This Row],[County Name]]=P1256</f>
        <v>1</v>
      </c>
      <c r="L1256" t="b">
        <f>QHPSelections2016[[#This Row],[Silver]]=S1256</f>
        <v>1</v>
      </c>
      <c r="N1256">
        <v>37039</v>
      </c>
      <c r="O1256" t="s">
        <v>1548</v>
      </c>
      <c r="P1256" t="s">
        <v>872</v>
      </c>
      <c r="Q1256">
        <v>15</v>
      </c>
      <c r="R1256">
        <v>38</v>
      </c>
      <c r="S1256" s="51">
        <v>1311</v>
      </c>
      <c r="T1256">
        <v>291</v>
      </c>
      <c r="U1256">
        <v>24</v>
      </c>
      <c r="V1256" s="51">
        <v>1679</v>
      </c>
    </row>
    <row r="1257" spans="1:22">
      <c r="A1257" s="32" t="s">
        <v>3323</v>
      </c>
      <c r="B1257" s="32" t="s">
        <v>1548</v>
      </c>
      <c r="C1257" s="32" t="s">
        <v>938</v>
      </c>
      <c r="D1257" s="33" t="s">
        <v>1639</v>
      </c>
      <c r="E1257" s="33">
        <v>28</v>
      </c>
      <c r="F1257" s="33">
        <v>601</v>
      </c>
      <c r="G1257" s="33">
        <v>91</v>
      </c>
      <c r="H1257" s="33" t="s">
        <v>1639</v>
      </c>
      <c r="I1257" s="33">
        <v>745</v>
      </c>
      <c r="K1257" t="b">
        <f>QHPSelections2016[[#This Row],[County Name]]=P1257</f>
        <v>1</v>
      </c>
      <c r="L1257" t="b">
        <f>QHPSelections2016[[#This Row],[Silver]]=S1257</f>
        <v>1</v>
      </c>
      <c r="N1257">
        <v>37041</v>
      </c>
      <c r="O1257" t="s">
        <v>1548</v>
      </c>
      <c r="P1257" t="s">
        <v>938</v>
      </c>
      <c r="R1257">
        <v>28</v>
      </c>
      <c r="S1257">
        <v>601</v>
      </c>
      <c r="T1257">
        <v>91</v>
      </c>
      <c r="V1257">
        <v>745</v>
      </c>
    </row>
    <row r="1258" spans="1:22">
      <c r="A1258" s="32" t="s">
        <v>3324</v>
      </c>
      <c r="B1258" s="32" t="s">
        <v>1548</v>
      </c>
      <c r="C1258" s="32" t="s">
        <v>873</v>
      </c>
      <c r="D1258" s="33" t="s">
        <v>1639</v>
      </c>
      <c r="E1258" s="33">
        <v>26</v>
      </c>
      <c r="F1258" s="33">
        <v>617</v>
      </c>
      <c r="G1258" s="33">
        <v>145</v>
      </c>
      <c r="H1258" s="33" t="s">
        <v>1639</v>
      </c>
      <c r="I1258" s="33">
        <v>803</v>
      </c>
      <c r="K1258" t="b">
        <f>QHPSelections2016[[#This Row],[County Name]]=P1258</f>
        <v>1</v>
      </c>
      <c r="L1258" t="b">
        <f>QHPSelections2016[[#This Row],[Silver]]=S1258</f>
        <v>1</v>
      </c>
      <c r="N1258">
        <v>37043</v>
      </c>
      <c r="O1258" t="s">
        <v>1548</v>
      </c>
      <c r="P1258" t="s">
        <v>873</v>
      </c>
      <c r="R1258">
        <v>26</v>
      </c>
      <c r="S1258">
        <v>617</v>
      </c>
      <c r="T1258">
        <v>145</v>
      </c>
      <c r="V1258">
        <v>803</v>
      </c>
    </row>
    <row r="1259" spans="1:22">
      <c r="A1259" s="32" t="s">
        <v>3325</v>
      </c>
      <c r="B1259" s="32" t="s">
        <v>1548</v>
      </c>
      <c r="C1259" s="32" t="s">
        <v>950</v>
      </c>
      <c r="D1259" s="33">
        <v>17</v>
      </c>
      <c r="E1259" s="33">
        <v>166</v>
      </c>
      <c r="F1259" s="33">
        <v>3477</v>
      </c>
      <c r="G1259" s="33">
        <v>1164</v>
      </c>
      <c r="H1259" s="33">
        <v>72</v>
      </c>
      <c r="I1259" s="33">
        <v>4896</v>
      </c>
      <c r="K1259" t="b">
        <f>QHPSelections2016[[#This Row],[County Name]]=P1259</f>
        <v>1</v>
      </c>
      <c r="L1259" t="b">
        <f>QHPSelections2016[[#This Row],[Silver]]=S1259</f>
        <v>1</v>
      </c>
      <c r="N1259">
        <v>37045</v>
      </c>
      <c r="O1259" t="s">
        <v>1548</v>
      </c>
      <c r="P1259" t="s">
        <v>950</v>
      </c>
      <c r="Q1259">
        <v>17</v>
      </c>
      <c r="R1259">
        <v>166</v>
      </c>
      <c r="S1259" s="51">
        <v>3477</v>
      </c>
      <c r="T1259" s="51">
        <v>1164</v>
      </c>
      <c r="U1259">
        <v>72</v>
      </c>
      <c r="V1259" s="51">
        <v>4896</v>
      </c>
    </row>
    <row r="1260" spans="1:22">
      <c r="A1260" s="32" t="s">
        <v>3326</v>
      </c>
      <c r="B1260" s="32" t="s">
        <v>1548</v>
      </c>
      <c r="C1260" s="32" t="s">
        <v>957</v>
      </c>
      <c r="D1260" s="33">
        <v>19</v>
      </c>
      <c r="E1260" s="33">
        <v>98</v>
      </c>
      <c r="F1260" s="33">
        <v>2435</v>
      </c>
      <c r="G1260" s="33">
        <v>441</v>
      </c>
      <c r="H1260" s="33">
        <v>35</v>
      </c>
      <c r="I1260" s="33">
        <v>3028</v>
      </c>
      <c r="K1260" t="b">
        <f>QHPSelections2016[[#This Row],[County Name]]=P1260</f>
        <v>1</v>
      </c>
      <c r="L1260" t="b">
        <f>QHPSelections2016[[#This Row],[Silver]]=S1260</f>
        <v>1</v>
      </c>
      <c r="N1260">
        <v>37047</v>
      </c>
      <c r="O1260" t="s">
        <v>1548</v>
      </c>
      <c r="P1260" t="s">
        <v>957</v>
      </c>
      <c r="Q1260">
        <v>19</v>
      </c>
      <c r="R1260">
        <v>98</v>
      </c>
      <c r="S1260" s="51">
        <v>2435</v>
      </c>
      <c r="T1260">
        <v>441</v>
      </c>
      <c r="U1260">
        <v>35</v>
      </c>
      <c r="V1260" s="51">
        <v>3028</v>
      </c>
    </row>
    <row r="1261" spans="1:22">
      <c r="A1261" s="32" t="s">
        <v>3327</v>
      </c>
      <c r="B1261" s="32" t="s">
        <v>1548</v>
      </c>
      <c r="C1261" s="32" t="s">
        <v>961</v>
      </c>
      <c r="D1261" s="33">
        <v>43</v>
      </c>
      <c r="E1261" s="33">
        <v>81</v>
      </c>
      <c r="F1261" s="33">
        <v>4312</v>
      </c>
      <c r="G1261" s="33">
        <v>500</v>
      </c>
      <c r="H1261" s="33">
        <v>54</v>
      </c>
      <c r="I1261" s="33">
        <v>4990</v>
      </c>
      <c r="K1261" t="b">
        <f>QHPSelections2016[[#This Row],[County Name]]=P1261</f>
        <v>1</v>
      </c>
      <c r="L1261" t="b">
        <f>QHPSelections2016[[#This Row],[Silver]]=S1261</f>
        <v>1</v>
      </c>
      <c r="N1261">
        <v>37049</v>
      </c>
      <c r="O1261" t="s">
        <v>1548</v>
      </c>
      <c r="P1261" t="s">
        <v>961</v>
      </c>
      <c r="Q1261">
        <v>43</v>
      </c>
      <c r="R1261">
        <v>81</v>
      </c>
      <c r="S1261" s="51">
        <v>4312</v>
      </c>
      <c r="T1261">
        <v>500</v>
      </c>
      <c r="U1261">
        <v>54</v>
      </c>
      <c r="V1261" s="51">
        <v>4990</v>
      </c>
    </row>
    <row r="1262" spans="1:22">
      <c r="A1262" s="32" t="s">
        <v>3328</v>
      </c>
      <c r="B1262" s="32" t="s">
        <v>1548</v>
      </c>
      <c r="C1262" s="32" t="s">
        <v>923</v>
      </c>
      <c r="D1262" s="33">
        <v>45</v>
      </c>
      <c r="E1262" s="33">
        <v>609</v>
      </c>
      <c r="F1262" s="33">
        <v>10108</v>
      </c>
      <c r="G1262" s="33">
        <v>1590</v>
      </c>
      <c r="H1262" s="33">
        <v>259</v>
      </c>
      <c r="I1262" s="33">
        <v>12611</v>
      </c>
      <c r="K1262" t="b">
        <f>QHPSelections2016[[#This Row],[County Name]]=P1262</f>
        <v>1</v>
      </c>
      <c r="L1262" t="b">
        <f>QHPSelections2016[[#This Row],[Silver]]=S1262</f>
        <v>1</v>
      </c>
      <c r="N1262">
        <v>37051</v>
      </c>
      <c r="O1262" t="s">
        <v>1548</v>
      </c>
      <c r="P1262" t="s">
        <v>923</v>
      </c>
      <c r="Q1262">
        <v>45</v>
      </c>
      <c r="R1262">
        <v>609</v>
      </c>
      <c r="S1262" s="51">
        <v>10108</v>
      </c>
      <c r="T1262" s="51">
        <v>1590</v>
      </c>
      <c r="U1262">
        <v>259</v>
      </c>
      <c r="V1262" s="51">
        <v>12611</v>
      </c>
    </row>
    <row r="1263" spans="1:22">
      <c r="A1263" s="32" t="s">
        <v>3329</v>
      </c>
      <c r="B1263" s="32" t="s">
        <v>1548</v>
      </c>
      <c r="C1263" s="32" t="s">
        <v>972</v>
      </c>
      <c r="D1263" s="33">
        <v>18</v>
      </c>
      <c r="E1263" s="33">
        <v>58</v>
      </c>
      <c r="F1263" s="33">
        <v>1222</v>
      </c>
      <c r="G1263" s="33">
        <v>241</v>
      </c>
      <c r="H1263" s="33">
        <v>19</v>
      </c>
      <c r="I1263" s="33">
        <v>1558</v>
      </c>
      <c r="K1263" t="b">
        <f>QHPSelections2016[[#This Row],[County Name]]=P1263</f>
        <v>1</v>
      </c>
      <c r="L1263" t="b">
        <f>QHPSelections2016[[#This Row],[Silver]]=S1263</f>
        <v>1</v>
      </c>
      <c r="N1263">
        <v>37053</v>
      </c>
      <c r="O1263" t="s">
        <v>1548</v>
      </c>
      <c r="P1263" t="s">
        <v>972</v>
      </c>
      <c r="Q1263">
        <v>18</v>
      </c>
      <c r="R1263">
        <v>58</v>
      </c>
      <c r="S1263" s="51">
        <v>1222</v>
      </c>
      <c r="T1263">
        <v>241</v>
      </c>
      <c r="U1263">
        <v>19</v>
      </c>
      <c r="V1263" s="51">
        <v>1558</v>
      </c>
    </row>
    <row r="1264" spans="1:22">
      <c r="A1264" s="32" t="s">
        <v>3330</v>
      </c>
      <c r="B1264" s="32" t="s">
        <v>1548</v>
      </c>
      <c r="C1264" s="32" t="s">
        <v>978</v>
      </c>
      <c r="D1264" s="33">
        <v>21</v>
      </c>
      <c r="E1264" s="33">
        <v>148</v>
      </c>
      <c r="F1264" s="33">
        <v>3627</v>
      </c>
      <c r="G1264" s="33">
        <v>609</v>
      </c>
      <c r="H1264" s="33">
        <v>32</v>
      </c>
      <c r="I1264" s="33">
        <v>4437</v>
      </c>
      <c r="K1264" t="b">
        <f>QHPSelections2016[[#This Row],[County Name]]=P1264</f>
        <v>1</v>
      </c>
      <c r="L1264" t="b">
        <f>QHPSelections2016[[#This Row],[Silver]]=S1264</f>
        <v>1</v>
      </c>
      <c r="N1264">
        <v>37055</v>
      </c>
      <c r="O1264" t="s">
        <v>1548</v>
      </c>
      <c r="P1264" t="s">
        <v>978</v>
      </c>
      <c r="Q1264">
        <v>21</v>
      </c>
      <c r="R1264">
        <v>148</v>
      </c>
      <c r="S1264" s="51">
        <v>3627</v>
      </c>
      <c r="T1264">
        <v>609</v>
      </c>
      <c r="U1264">
        <v>32</v>
      </c>
      <c r="V1264" s="51">
        <v>4437</v>
      </c>
    </row>
    <row r="1265" spans="1:22">
      <c r="A1265" s="32" t="s">
        <v>3331</v>
      </c>
      <c r="B1265" s="32" t="s">
        <v>1548</v>
      </c>
      <c r="C1265" s="32" t="s">
        <v>928</v>
      </c>
      <c r="D1265" s="33">
        <v>41</v>
      </c>
      <c r="E1265" s="33">
        <v>244</v>
      </c>
      <c r="F1265" s="33">
        <v>7796</v>
      </c>
      <c r="G1265" s="33">
        <v>1381</v>
      </c>
      <c r="H1265" s="33">
        <v>119</v>
      </c>
      <c r="I1265" s="33">
        <v>9581</v>
      </c>
      <c r="K1265" t="b">
        <f>QHPSelections2016[[#This Row],[County Name]]=P1265</f>
        <v>1</v>
      </c>
      <c r="L1265" t="b">
        <f>QHPSelections2016[[#This Row],[Silver]]=S1265</f>
        <v>1</v>
      </c>
      <c r="N1265">
        <v>37057</v>
      </c>
      <c r="O1265" t="s">
        <v>1548</v>
      </c>
      <c r="P1265" t="s">
        <v>928</v>
      </c>
      <c r="Q1265">
        <v>41</v>
      </c>
      <c r="R1265">
        <v>244</v>
      </c>
      <c r="S1265" s="51">
        <v>7796</v>
      </c>
      <c r="T1265" s="51">
        <v>1381</v>
      </c>
      <c r="U1265">
        <v>119</v>
      </c>
      <c r="V1265" s="51">
        <v>9581</v>
      </c>
    </row>
    <row r="1266" spans="1:22">
      <c r="A1266" s="32" t="s">
        <v>3332</v>
      </c>
      <c r="B1266" s="32" t="s">
        <v>1548</v>
      </c>
      <c r="C1266" s="32" t="s">
        <v>985</v>
      </c>
      <c r="D1266" s="33">
        <v>23</v>
      </c>
      <c r="E1266" s="33">
        <v>61</v>
      </c>
      <c r="F1266" s="33">
        <v>1984</v>
      </c>
      <c r="G1266" s="33">
        <v>290</v>
      </c>
      <c r="H1266" s="33">
        <v>23</v>
      </c>
      <c r="I1266" s="33">
        <v>2381</v>
      </c>
      <c r="K1266" t="b">
        <f>QHPSelections2016[[#This Row],[County Name]]=P1266</f>
        <v>1</v>
      </c>
      <c r="L1266" t="b">
        <f>QHPSelections2016[[#This Row],[Silver]]=S1266</f>
        <v>1</v>
      </c>
      <c r="N1266">
        <v>37059</v>
      </c>
      <c r="O1266" t="s">
        <v>1548</v>
      </c>
      <c r="P1266" t="s">
        <v>985</v>
      </c>
      <c r="Q1266">
        <v>23</v>
      </c>
      <c r="R1266">
        <v>61</v>
      </c>
      <c r="S1266" s="51">
        <v>1984</v>
      </c>
      <c r="T1266">
        <v>290</v>
      </c>
      <c r="U1266">
        <v>23</v>
      </c>
      <c r="V1266" s="51">
        <v>2381</v>
      </c>
    </row>
    <row r="1267" spans="1:22">
      <c r="A1267" s="32" t="s">
        <v>3333</v>
      </c>
      <c r="B1267" s="32" t="s">
        <v>1548</v>
      </c>
      <c r="C1267" s="32" t="s">
        <v>990</v>
      </c>
      <c r="D1267" s="33">
        <v>18</v>
      </c>
      <c r="E1267" s="33">
        <v>63</v>
      </c>
      <c r="F1267" s="33">
        <v>2339</v>
      </c>
      <c r="G1267" s="33">
        <v>301</v>
      </c>
      <c r="H1267" s="33">
        <v>27</v>
      </c>
      <c r="I1267" s="33">
        <v>2748</v>
      </c>
      <c r="K1267" t="b">
        <f>QHPSelections2016[[#This Row],[County Name]]=P1267</f>
        <v>1</v>
      </c>
      <c r="L1267" t="b">
        <f>QHPSelections2016[[#This Row],[Silver]]=S1267</f>
        <v>1</v>
      </c>
      <c r="N1267">
        <v>37061</v>
      </c>
      <c r="O1267" t="s">
        <v>1548</v>
      </c>
      <c r="P1267" t="s">
        <v>990</v>
      </c>
      <c r="Q1267">
        <v>18</v>
      </c>
      <c r="R1267">
        <v>63</v>
      </c>
      <c r="S1267" s="51">
        <v>2339</v>
      </c>
      <c r="T1267">
        <v>301</v>
      </c>
      <c r="U1267">
        <v>27</v>
      </c>
      <c r="V1267" s="51">
        <v>2748</v>
      </c>
    </row>
    <row r="1268" spans="1:22">
      <c r="A1268" s="32" t="s">
        <v>3334</v>
      </c>
      <c r="B1268" s="32" t="s">
        <v>1548</v>
      </c>
      <c r="C1268" s="32" t="s">
        <v>995</v>
      </c>
      <c r="D1268" s="33">
        <v>220</v>
      </c>
      <c r="E1268" s="33">
        <v>674</v>
      </c>
      <c r="F1268" s="33">
        <v>11417</v>
      </c>
      <c r="G1268" s="33">
        <v>4382</v>
      </c>
      <c r="H1268" s="33">
        <v>565</v>
      </c>
      <c r="I1268" s="33">
        <v>17258</v>
      </c>
      <c r="K1268" t="b">
        <f>QHPSelections2016[[#This Row],[County Name]]=P1268</f>
        <v>1</v>
      </c>
      <c r="L1268" t="b">
        <f>QHPSelections2016[[#This Row],[Silver]]=S1268</f>
        <v>1</v>
      </c>
      <c r="N1268">
        <v>37063</v>
      </c>
      <c r="O1268" t="s">
        <v>1548</v>
      </c>
      <c r="P1268" t="s">
        <v>995</v>
      </c>
      <c r="Q1268">
        <v>220</v>
      </c>
      <c r="R1268">
        <v>674</v>
      </c>
      <c r="S1268" s="51">
        <v>11417</v>
      </c>
      <c r="T1268" s="51">
        <v>4382</v>
      </c>
      <c r="U1268">
        <v>565</v>
      </c>
      <c r="V1268" s="51">
        <v>17258</v>
      </c>
    </row>
    <row r="1269" spans="1:22">
      <c r="A1269" s="32" t="s">
        <v>3335</v>
      </c>
      <c r="B1269" s="32" t="s">
        <v>1548</v>
      </c>
      <c r="C1269" s="32" t="s">
        <v>1002</v>
      </c>
      <c r="D1269" s="33">
        <v>14</v>
      </c>
      <c r="E1269" s="33">
        <v>47</v>
      </c>
      <c r="F1269" s="33">
        <v>2749</v>
      </c>
      <c r="G1269" s="33">
        <v>207</v>
      </c>
      <c r="H1269" s="33">
        <v>47</v>
      </c>
      <c r="I1269" s="33">
        <v>3064</v>
      </c>
      <c r="K1269" t="b">
        <f>QHPSelections2016[[#This Row],[County Name]]=P1269</f>
        <v>1</v>
      </c>
      <c r="L1269" t="b">
        <f>QHPSelections2016[[#This Row],[Silver]]=S1269</f>
        <v>1</v>
      </c>
      <c r="N1269">
        <v>37065</v>
      </c>
      <c r="O1269" t="s">
        <v>1548</v>
      </c>
      <c r="P1269" t="s">
        <v>1002</v>
      </c>
      <c r="Q1269">
        <v>14</v>
      </c>
      <c r="R1269">
        <v>47</v>
      </c>
      <c r="S1269" s="51">
        <v>2749</v>
      </c>
      <c r="T1269">
        <v>207</v>
      </c>
      <c r="U1269">
        <v>47</v>
      </c>
      <c r="V1269" s="51">
        <v>3064</v>
      </c>
    </row>
    <row r="1270" spans="1:22">
      <c r="A1270" s="32" t="s">
        <v>3336</v>
      </c>
      <c r="B1270" s="32" t="s">
        <v>1548</v>
      </c>
      <c r="C1270" s="32" t="s">
        <v>1007</v>
      </c>
      <c r="D1270" s="33">
        <v>171</v>
      </c>
      <c r="E1270" s="33">
        <v>659</v>
      </c>
      <c r="F1270" s="33">
        <v>17379</v>
      </c>
      <c r="G1270" s="33">
        <v>3084</v>
      </c>
      <c r="H1270" s="33">
        <v>394</v>
      </c>
      <c r="I1270" s="33">
        <v>21687</v>
      </c>
      <c r="K1270" t="b">
        <f>QHPSelections2016[[#This Row],[County Name]]=P1270</f>
        <v>1</v>
      </c>
      <c r="L1270" t="b">
        <f>QHPSelections2016[[#This Row],[Silver]]=S1270</f>
        <v>1</v>
      </c>
      <c r="N1270">
        <v>37067</v>
      </c>
      <c r="O1270" t="s">
        <v>1548</v>
      </c>
      <c r="P1270" t="s">
        <v>1007</v>
      </c>
      <c r="Q1270">
        <v>171</v>
      </c>
      <c r="R1270">
        <v>659</v>
      </c>
      <c r="S1270" s="51">
        <v>17379</v>
      </c>
      <c r="T1270" s="51">
        <v>3084</v>
      </c>
      <c r="U1270">
        <v>394</v>
      </c>
      <c r="V1270" s="51">
        <v>21687</v>
      </c>
    </row>
    <row r="1271" spans="1:22">
      <c r="A1271" s="32" t="s">
        <v>3337</v>
      </c>
      <c r="B1271" s="32" t="s">
        <v>1548</v>
      </c>
      <c r="C1271" s="32" t="s">
        <v>919</v>
      </c>
      <c r="D1271" s="33">
        <v>32</v>
      </c>
      <c r="E1271" s="33">
        <v>179</v>
      </c>
      <c r="F1271" s="33">
        <v>3010</v>
      </c>
      <c r="G1271" s="33">
        <v>518</v>
      </c>
      <c r="H1271" s="33">
        <v>44</v>
      </c>
      <c r="I1271" s="33">
        <v>3783</v>
      </c>
      <c r="K1271" t="b">
        <f>QHPSelections2016[[#This Row],[County Name]]=P1271</f>
        <v>1</v>
      </c>
      <c r="L1271" t="b">
        <f>QHPSelections2016[[#This Row],[Silver]]=S1271</f>
        <v>1</v>
      </c>
      <c r="N1271">
        <v>37069</v>
      </c>
      <c r="O1271" t="s">
        <v>1548</v>
      </c>
      <c r="P1271" t="s">
        <v>919</v>
      </c>
      <c r="Q1271">
        <v>32</v>
      </c>
      <c r="R1271">
        <v>179</v>
      </c>
      <c r="S1271" s="51">
        <v>3010</v>
      </c>
      <c r="T1271">
        <v>518</v>
      </c>
      <c r="U1271">
        <v>44</v>
      </c>
      <c r="V1271" s="51">
        <v>3783</v>
      </c>
    </row>
    <row r="1272" spans="1:22">
      <c r="A1272" s="32" t="s">
        <v>3338</v>
      </c>
      <c r="B1272" s="32" t="s">
        <v>1548</v>
      </c>
      <c r="C1272" s="32" t="s">
        <v>1016</v>
      </c>
      <c r="D1272" s="33">
        <v>33</v>
      </c>
      <c r="E1272" s="33">
        <v>355</v>
      </c>
      <c r="F1272" s="33">
        <v>8251</v>
      </c>
      <c r="G1272" s="33">
        <v>2612</v>
      </c>
      <c r="H1272" s="33">
        <v>200</v>
      </c>
      <c r="I1272" s="33">
        <v>11451</v>
      </c>
      <c r="K1272" t="b">
        <f>QHPSelections2016[[#This Row],[County Name]]=P1272</f>
        <v>1</v>
      </c>
      <c r="L1272" t="b">
        <f>QHPSelections2016[[#This Row],[Silver]]=S1272</f>
        <v>1</v>
      </c>
      <c r="N1272">
        <v>37071</v>
      </c>
      <c r="O1272" t="s">
        <v>1548</v>
      </c>
      <c r="P1272" t="s">
        <v>1016</v>
      </c>
      <c r="Q1272">
        <v>33</v>
      </c>
      <c r="R1272">
        <v>355</v>
      </c>
      <c r="S1272" s="51">
        <v>8251</v>
      </c>
      <c r="T1272" s="51">
        <v>2612</v>
      </c>
      <c r="U1272">
        <v>200</v>
      </c>
      <c r="V1272" s="51">
        <v>11451</v>
      </c>
    </row>
    <row r="1273" spans="1:22">
      <c r="A1273" s="32" t="s">
        <v>3339</v>
      </c>
      <c r="B1273" s="32" t="s">
        <v>1548</v>
      </c>
      <c r="C1273" s="32" t="s">
        <v>1021</v>
      </c>
      <c r="D1273" s="33" t="s">
        <v>1639</v>
      </c>
      <c r="E1273" s="33" t="s">
        <v>1639</v>
      </c>
      <c r="F1273" s="33">
        <v>341</v>
      </c>
      <c r="G1273" s="33">
        <v>58</v>
      </c>
      <c r="H1273" s="33" t="s">
        <v>1639</v>
      </c>
      <c r="I1273" s="33">
        <v>415</v>
      </c>
      <c r="K1273" t="b">
        <f>QHPSelections2016[[#This Row],[County Name]]=P1273</f>
        <v>1</v>
      </c>
      <c r="L1273" t="b">
        <f>QHPSelections2016[[#This Row],[Silver]]=S1273</f>
        <v>1</v>
      </c>
      <c r="N1273">
        <v>37073</v>
      </c>
      <c r="O1273" t="s">
        <v>1548</v>
      </c>
      <c r="P1273" t="s">
        <v>1021</v>
      </c>
      <c r="S1273">
        <v>341</v>
      </c>
      <c r="T1273">
        <v>58</v>
      </c>
      <c r="V1273">
        <v>415</v>
      </c>
    </row>
    <row r="1274" spans="1:22">
      <c r="A1274" s="32" t="s">
        <v>3340</v>
      </c>
      <c r="B1274" s="32" t="s">
        <v>1548</v>
      </c>
      <c r="C1274" s="32" t="s">
        <v>1026</v>
      </c>
      <c r="D1274" s="33" t="s">
        <v>1639</v>
      </c>
      <c r="E1274" s="33" t="s">
        <v>1639</v>
      </c>
      <c r="F1274" s="33">
        <v>373</v>
      </c>
      <c r="G1274" s="33">
        <v>40</v>
      </c>
      <c r="H1274" s="33" t="s">
        <v>1639</v>
      </c>
      <c r="I1274" s="33">
        <v>427</v>
      </c>
      <c r="K1274" t="b">
        <f>QHPSelections2016[[#This Row],[County Name]]=P1274</f>
        <v>1</v>
      </c>
      <c r="L1274" t="b">
        <f>QHPSelections2016[[#This Row],[Silver]]=S1274</f>
        <v>1</v>
      </c>
      <c r="N1274">
        <v>37075</v>
      </c>
      <c r="O1274" t="s">
        <v>1548</v>
      </c>
      <c r="P1274" t="s">
        <v>1026</v>
      </c>
      <c r="S1274">
        <v>373</v>
      </c>
      <c r="T1274">
        <v>40</v>
      </c>
      <c r="V1274">
        <v>427</v>
      </c>
    </row>
    <row r="1275" spans="1:22">
      <c r="A1275" s="32" t="s">
        <v>3341</v>
      </c>
      <c r="B1275" s="32" t="s">
        <v>1548</v>
      </c>
      <c r="C1275" s="32" t="s">
        <v>1032</v>
      </c>
      <c r="D1275" s="33">
        <v>13</v>
      </c>
      <c r="E1275" s="33">
        <v>108</v>
      </c>
      <c r="F1275" s="33">
        <v>1884</v>
      </c>
      <c r="G1275" s="33">
        <v>572</v>
      </c>
      <c r="H1275" s="33">
        <v>53</v>
      </c>
      <c r="I1275" s="33">
        <v>2630</v>
      </c>
      <c r="K1275" t="b">
        <f>QHPSelections2016[[#This Row],[County Name]]=P1275</f>
        <v>1</v>
      </c>
      <c r="L1275" t="b">
        <f>QHPSelections2016[[#This Row],[Silver]]=S1275</f>
        <v>1</v>
      </c>
      <c r="N1275">
        <v>37077</v>
      </c>
      <c r="O1275" t="s">
        <v>1548</v>
      </c>
      <c r="P1275" t="s">
        <v>1032</v>
      </c>
      <c r="Q1275">
        <v>13</v>
      </c>
      <c r="R1275">
        <v>108</v>
      </c>
      <c r="S1275" s="51">
        <v>1884</v>
      </c>
      <c r="T1275">
        <v>572</v>
      </c>
      <c r="U1275">
        <v>53</v>
      </c>
      <c r="V1275" s="51">
        <v>2630</v>
      </c>
    </row>
    <row r="1276" spans="1:22">
      <c r="A1276" s="32" t="s">
        <v>3342</v>
      </c>
      <c r="B1276" s="32" t="s">
        <v>1548</v>
      </c>
      <c r="C1276" s="32" t="s">
        <v>937</v>
      </c>
      <c r="D1276" s="33" t="s">
        <v>1639</v>
      </c>
      <c r="E1276" s="33">
        <v>19</v>
      </c>
      <c r="F1276" s="33">
        <v>758</v>
      </c>
      <c r="G1276" s="33">
        <v>104</v>
      </c>
      <c r="H1276" s="33" t="s">
        <v>1639</v>
      </c>
      <c r="I1276" s="33">
        <v>894</v>
      </c>
      <c r="K1276" t="b">
        <f>QHPSelections2016[[#This Row],[County Name]]=P1276</f>
        <v>1</v>
      </c>
      <c r="L1276" t="b">
        <f>QHPSelections2016[[#This Row],[Silver]]=S1276</f>
        <v>1</v>
      </c>
      <c r="N1276">
        <v>37079</v>
      </c>
      <c r="O1276" t="s">
        <v>1548</v>
      </c>
      <c r="P1276" t="s">
        <v>937</v>
      </c>
      <c r="R1276">
        <v>19</v>
      </c>
      <c r="S1276">
        <v>758</v>
      </c>
      <c r="T1276">
        <v>104</v>
      </c>
      <c r="V1276">
        <v>894</v>
      </c>
    </row>
    <row r="1277" spans="1:22">
      <c r="A1277" s="32" t="s">
        <v>3343</v>
      </c>
      <c r="B1277" s="32" t="s">
        <v>1548</v>
      </c>
      <c r="C1277" s="32" t="s">
        <v>1040</v>
      </c>
      <c r="D1277" s="33">
        <v>174</v>
      </c>
      <c r="E1277" s="33">
        <v>1125</v>
      </c>
      <c r="F1277" s="33">
        <v>26340</v>
      </c>
      <c r="G1277" s="33">
        <v>6617</v>
      </c>
      <c r="H1277" s="33">
        <v>631</v>
      </c>
      <c r="I1277" s="33">
        <v>34887</v>
      </c>
      <c r="K1277" t="b">
        <f>QHPSelections2016[[#This Row],[County Name]]=P1277</f>
        <v>1</v>
      </c>
      <c r="L1277" t="b">
        <f>QHPSelections2016[[#This Row],[Silver]]=S1277</f>
        <v>1</v>
      </c>
      <c r="N1277">
        <v>37081</v>
      </c>
      <c r="O1277" t="s">
        <v>1548</v>
      </c>
      <c r="P1277" t="s">
        <v>1040</v>
      </c>
      <c r="Q1277">
        <v>174</v>
      </c>
      <c r="R1277" s="51">
        <v>1125</v>
      </c>
      <c r="S1277" s="51">
        <v>26340</v>
      </c>
      <c r="T1277" s="51">
        <v>6617</v>
      </c>
      <c r="U1277">
        <v>631</v>
      </c>
      <c r="V1277" s="51">
        <v>34887</v>
      </c>
    </row>
    <row r="1278" spans="1:22">
      <c r="A1278" s="32" t="s">
        <v>3344</v>
      </c>
      <c r="B1278" s="32" t="s">
        <v>1548</v>
      </c>
      <c r="C1278" s="32" t="s">
        <v>1047</v>
      </c>
      <c r="D1278" s="33">
        <v>14</v>
      </c>
      <c r="E1278" s="33">
        <v>51</v>
      </c>
      <c r="F1278" s="33">
        <v>2417</v>
      </c>
      <c r="G1278" s="33">
        <v>238</v>
      </c>
      <c r="H1278" s="33">
        <v>37</v>
      </c>
      <c r="I1278" s="33">
        <v>2757</v>
      </c>
      <c r="K1278" t="b">
        <f>QHPSelections2016[[#This Row],[County Name]]=P1278</f>
        <v>1</v>
      </c>
      <c r="L1278" t="b">
        <f>QHPSelections2016[[#This Row],[Silver]]=S1278</f>
        <v>1</v>
      </c>
      <c r="N1278">
        <v>37083</v>
      </c>
      <c r="O1278" t="s">
        <v>1548</v>
      </c>
      <c r="P1278" t="s">
        <v>1047</v>
      </c>
      <c r="Q1278">
        <v>14</v>
      </c>
      <c r="R1278">
        <v>51</v>
      </c>
      <c r="S1278" s="51">
        <v>2417</v>
      </c>
      <c r="T1278">
        <v>238</v>
      </c>
      <c r="U1278">
        <v>37</v>
      </c>
      <c r="V1278" s="51">
        <v>2757</v>
      </c>
    </row>
    <row r="1279" spans="1:22">
      <c r="A1279" s="32" t="s">
        <v>3345</v>
      </c>
      <c r="B1279" s="32" t="s">
        <v>1548</v>
      </c>
      <c r="C1279" s="32" t="s">
        <v>1052</v>
      </c>
      <c r="D1279" s="33">
        <v>16</v>
      </c>
      <c r="E1279" s="33">
        <v>255</v>
      </c>
      <c r="F1279" s="33">
        <v>4214</v>
      </c>
      <c r="G1279" s="33">
        <v>684</v>
      </c>
      <c r="H1279" s="33">
        <v>71</v>
      </c>
      <c r="I1279" s="33">
        <v>5240</v>
      </c>
      <c r="K1279" t="b">
        <f>QHPSelections2016[[#This Row],[County Name]]=P1279</f>
        <v>1</v>
      </c>
      <c r="L1279" t="b">
        <f>QHPSelections2016[[#This Row],[Silver]]=S1279</f>
        <v>1</v>
      </c>
      <c r="N1279">
        <v>37085</v>
      </c>
      <c r="O1279" t="s">
        <v>1548</v>
      </c>
      <c r="P1279" t="s">
        <v>1052</v>
      </c>
      <c r="Q1279">
        <v>16</v>
      </c>
      <c r="R1279">
        <v>255</v>
      </c>
      <c r="S1279" s="51">
        <v>4214</v>
      </c>
      <c r="T1279">
        <v>684</v>
      </c>
      <c r="U1279">
        <v>71</v>
      </c>
      <c r="V1279" s="51">
        <v>5240</v>
      </c>
    </row>
    <row r="1280" spans="1:22">
      <c r="A1280" s="32" t="s">
        <v>3346</v>
      </c>
      <c r="B1280" s="32" t="s">
        <v>1548</v>
      </c>
      <c r="C1280" s="32" t="s">
        <v>1027</v>
      </c>
      <c r="D1280" s="33">
        <v>29</v>
      </c>
      <c r="E1280" s="33">
        <v>159</v>
      </c>
      <c r="F1280" s="33">
        <v>3077</v>
      </c>
      <c r="G1280" s="33">
        <v>707</v>
      </c>
      <c r="H1280" s="33">
        <v>44</v>
      </c>
      <c r="I1280" s="33">
        <v>4016</v>
      </c>
      <c r="K1280" t="b">
        <f>QHPSelections2016[[#This Row],[County Name]]=P1280</f>
        <v>1</v>
      </c>
      <c r="L1280" t="b">
        <f>QHPSelections2016[[#This Row],[Silver]]=S1280</f>
        <v>1</v>
      </c>
      <c r="N1280">
        <v>37087</v>
      </c>
      <c r="O1280" t="s">
        <v>1548</v>
      </c>
      <c r="P1280" t="s">
        <v>1027</v>
      </c>
      <c r="Q1280">
        <v>29</v>
      </c>
      <c r="R1280">
        <v>159</v>
      </c>
      <c r="S1280" s="51">
        <v>3077</v>
      </c>
      <c r="T1280">
        <v>707</v>
      </c>
      <c r="U1280">
        <v>44</v>
      </c>
      <c r="V1280" s="51">
        <v>4016</v>
      </c>
    </row>
    <row r="1281" spans="1:22">
      <c r="A1281" s="32" t="s">
        <v>3347</v>
      </c>
      <c r="B1281" s="32" t="s">
        <v>1548</v>
      </c>
      <c r="C1281" s="32" t="s">
        <v>1033</v>
      </c>
      <c r="D1281" s="33">
        <v>29</v>
      </c>
      <c r="E1281" s="33">
        <v>229</v>
      </c>
      <c r="F1281" s="33">
        <v>5406</v>
      </c>
      <c r="G1281" s="33">
        <v>1429</v>
      </c>
      <c r="H1281" s="33">
        <v>71</v>
      </c>
      <c r="I1281" s="33">
        <v>7164</v>
      </c>
      <c r="K1281" t="b">
        <f>QHPSelections2016[[#This Row],[County Name]]=P1281</f>
        <v>1</v>
      </c>
      <c r="L1281" t="b">
        <f>QHPSelections2016[[#This Row],[Silver]]=S1281</f>
        <v>1</v>
      </c>
      <c r="N1281">
        <v>37089</v>
      </c>
      <c r="O1281" t="s">
        <v>1548</v>
      </c>
      <c r="P1281" t="s">
        <v>1033</v>
      </c>
      <c r="Q1281">
        <v>29</v>
      </c>
      <c r="R1281">
        <v>229</v>
      </c>
      <c r="S1281" s="51">
        <v>5406</v>
      </c>
      <c r="T1281" s="51">
        <v>1429</v>
      </c>
      <c r="U1281">
        <v>71</v>
      </c>
      <c r="V1281" s="51">
        <v>7164</v>
      </c>
    </row>
    <row r="1282" spans="1:22">
      <c r="A1282" s="32" t="s">
        <v>3348</v>
      </c>
      <c r="B1282" s="32" t="s">
        <v>1548</v>
      </c>
      <c r="C1282" s="32" t="s">
        <v>1063</v>
      </c>
      <c r="D1282" s="33">
        <v>13</v>
      </c>
      <c r="E1282" s="33">
        <v>18</v>
      </c>
      <c r="F1282" s="33">
        <v>883</v>
      </c>
      <c r="G1282" s="33">
        <v>100</v>
      </c>
      <c r="H1282" s="33">
        <v>16</v>
      </c>
      <c r="I1282" s="33">
        <v>1030</v>
      </c>
      <c r="K1282" t="b">
        <f>QHPSelections2016[[#This Row],[County Name]]=P1282</f>
        <v>1</v>
      </c>
      <c r="L1282" t="b">
        <f>QHPSelections2016[[#This Row],[Silver]]=S1282</f>
        <v>1</v>
      </c>
      <c r="N1282">
        <v>37091</v>
      </c>
      <c r="O1282" t="s">
        <v>1548</v>
      </c>
      <c r="P1282" t="s">
        <v>1063</v>
      </c>
      <c r="Q1282">
        <v>13</v>
      </c>
      <c r="R1282">
        <v>18</v>
      </c>
      <c r="S1282">
        <v>883</v>
      </c>
      <c r="T1282">
        <v>100</v>
      </c>
      <c r="U1282">
        <v>16</v>
      </c>
      <c r="V1282" s="51">
        <v>1030</v>
      </c>
    </row>
    <row r="1283" spans="1:22">
      <c r="A1283" s="32" t="s">
        <v>3349</v>
      </c>
      <c r="B1283" s="32" t="s">
        <v>1548</v>
      </c>
      <c r="C1283" s="32" t="s">
        <v>1069</v>
      </c>
      <c r="D1283" s="33" t="s">
        <v>1639</v>
      </c>
      <c r="E1283" s="33">
        <v>79</v>
      </c>
      <c r="F1283" s="33">
        <v>1648</v>
      </c>
      <c r="G1283" s="33">
        <v>181</v>
      </c>
      <c r="H1283" s="33" t="s">
        <v>1639</v>
      </c>
      <c r="I1283" s="33">
        <v>1947</v>
      </c>
      <c r="K1283" t="b">
        <f>QHPSelections2016[[#This Row],[County Name]]=P1283</f>
        <v>1</v>
      </c>
      <c r="L1283" t="b">
        <f>QHPSelections2016[[#This Row],[Silver]]=S1283</f>
        <v>1</v>
      </c>
      <c r="N1283">
        <v>37093</v>
      </c>
      <c r="O1283" t="s">
        <v>1548</v>
      </c>
      <c r="P1283" t="s">
        <v>1069</v>
      </c>
      <c r="R1283">
        <v>79</v>
      </c>
      <c r="S1283" s="51">
        <v>1648</v>
      </c>
      <c r="T1283">
        <v>181</v>
      </c>
      <c r="V1283" s="51">
        <v>1947</v>
      </c>
    </row>
    <row r="1284" spans="1:22">
      <c r="A1284" s="32" t="s">
        <v>3350</v>
      </c>
      <c r="B1284" s="32" t="s">
        <v>1548</v>
      </c>
      <c r="C1284" s="32" t="s">
        <v>1074</v>
      </c>
      <c r="D1284" s="33" t="s">
        <v>1639</v>
      </c>
      <c r="E1284" s="33">
        <v>15</v>
      </c>
      <c r="F1284" s="33">
        <v>325</v>
      </c>
      <c r="G1284" s="33">
        <v>37</v>
      </c>
      <c r="H1284" s="33" t="s">
        <v>1639</v>
      </c>
      <c r="I1284" s="33">
        <v>383</v>
      </c>
      <c r="K1284" t="b">
        <f>QHPSelections2016[[#This Row],[County Name]]=P1284</f>
        <v>1</v>
      </c>
      <c r="L1284" t="b">
        <f>QHPSelections2016[[#This Row],[Silver]]=S1284</f>
        <v>1</v>
      </c>
      <c r="N1284">
        <v>37095</v>
      </c>
      <c r="O1284" t="s">
        <v>1548</v>
      </c>
      <c r="P1284" t="s">
        <v>1074</v>
      </c>
      <c r="R1284">
        <v>15</v>
      </c>
      <c r="S1284">
        <v>325</v>
      </c>
      <c r="T1284">
        <v>37</v>
      </c>
      <c r="V1284">
        <v>383</v>
      </c>
    </row>
    <row r="1285" spans="1:22">
      <c r="A1285" s="32" t="s">
        <v>3351</v>
      </c>
      <c r="B1285" s="32" t="s">
        <v>1548</v>
      </c>
      <c r="C1285" s="32" t="s">
        <v>1080</v>
      </c>
      <c r="D1285" s="33">
        <v>88</v>
      </c>
      <c r="E1285" s="33">
        <v>410</v>
      </c>
      <c r="F1285" s="33">
        <v>8643</v>
      </c>
      <c r="G1285" s="33">
        <v>2438</v>
      </c>
      <c r="H1285" s="33">
        <v>158</v>
      </c>
      <c r="I1285" s="33">
        <v>11737</v>
      </c>
      <c r="K1285" t="b">
        <f>QHPSelections2016[[#This Row],[County Name]]=P1285</f>
        <v>1</v>
      </c>
      <c r="L1285" t="b">
        <f>QHPSelections2016[[#This Row],[Silver]]=S1285</f>
        <v>1</v>
      </c>
      <c r="N1285">
        <v>37097</v>
      </c>
      <c r="O1285" t="s">
        <v>1548</v>
      </c>
      <c r="P1285" t="s">
        <v>1080</v>
      </c>
      <c r="Q1285">
        <v>88</v>
      </c>
      <c r="R1285">
        <v>410</v>
      </c>
      <c r="S1285" s="51">
        <v>8643</v>
      </c>
      <c r="T1285" s="51">
        <v>2438</v>
      </c>
      <c r="U1285">
        <v>158</v>
      </c>
      <c r="V1285" s="51">
        <v>11737</v>
      </c>
    </row>
    <row r="1286" spans="1:22">
      <c r="A1286" s="32" t="s">
        <v>3352</v>
      </c>
      <c r="B1286" s="32" t="s">
        <v>1548</v>
      </c>
      <c r="C1286" s="32" t="s">
        <v>984</v>
      </c>
      <c r="D1286" s="33" t="s">
        <v>1639</v>
      </c>
      <c r="E1286" s="33">
        <v>66</v>
      </c>
      <c r="F1286" s="33">
        <v>1504</v>
      </c>
      <c r="G1286" s="33">
        <v>386</v>
      </c>
      <c r="H1286" s="33" t="s">
        <v>1639</v>
      </c>
      <c r="I1286" s="33">
        <v>1996</v>
      </c>
      <c r="K1286" t="b">
        <f>QHPSelections2016[[#This Row],[County Name]]=P1286</f>
        <v>1</v>
      </c>
      <c r="L1286" t="b">
        <f>QHPSelections2016[[#This Row],[Silver]]=S1286</f>
        <v>1</v>
      </c>
      <c r="N1286">
        <v>37099</v>
      </c>
      <c r="O1286" t="s">
        <v>1548</v>
      </c>
      <c r="P1286" t="s">
        <v>984</v>
      </c>
      <c r="R1286">
        <v>66</v>
      </c>
      <c r="S1286" s="51">
        <v>1504</v>
      </c>
      <c r="T1286">
        <v>386</v>
      </c>
      <c r="V1286" s="51">
        <v>1996</v>
      </c>
    </row>
    <row r="1287" spans="1:22">
      <c r="A1287" s="32" t="s">
        <v>3353</v>
      </c>
      <c r="B1287" s="32" t="s">
        <v>1548</v>
      </c>
      <c r="C1287" s="32" t="s">
        <v>1089</v>
      </c>
      <c r="D1287" s="33">
        <v>58</v>
      </c>
      <c r="E1287" s="33">
        <v>513</v>
      </c>
      <c r="F1287" s="33">
        <v>7852</v>
      </c>
      <c r="G1287" s="33">
        <v>1353</v>
      </c>
      <c r="H1287" s="33">
        <v>166</v>
      </c>
      <c r="I1287" s="33">
        <v>9942</v>
      </c>
      <c r="K1287" t="b">
        <f>QHPSelections2016[[#This Row],[County Name]]=P1287</f>
        <v>1</v>
      </c>
      <c r="L1287" t="b">
        <f>QHPSelections2016[[#This Row],[Silver]]=S1287</f>
        <v>1</v>
      </c>
      <c r="N1287">
        <v>37101</v>
      </c>
      <c r="O1287" t="s">
        <v>1548</v>
      </c>
      <c r="P1287" t="s">
        <v>1089</v>
      </c>
      <c r="Q1287">
        <v>58</v>
      </c>
      <c r="R1287">
        <v>513</v>
      </c>
      <c r="S1287" s="51">
        <v>7852</v>
      </c>
      <c r="T1287" s="51">
        <v>1353</v>
      </c>
      <c r="U1287">
        <v>166</v>
      </c>
      <c r="V1287" s="51">
        <v>9942</v>
      </c>
    </row>
    <row r="1288" spans="1:22">
      <c r="A1288" s="32" t="s">
        <v>3354</v>
      </c>
      <c r="B1288" s="32" t="s">
        <v>1548</v>
      </c>
      <c r="C1288" s="32" t="s">
        <v>1006</v>
      </c>
      <c r="D1288" s="33" t="s">
        <v>1639</v>
      </c>
      <c r="E1288" s="33">
        <v>11</v>
      </c>
      <c r="F1288" s="33">
        <v>510</v>
      </c>
      <c r="G1288" s="33">
        <v>61</v>
      </c>
      <c r="H1288" s="33" t="s">
        <v>1639</v>
      </c>
      <c r="I1288" s="33">
        <v>591</v>
      </c>
      <c r="K1288" t="b">
        <f>QHPSelections2016[[#This Row],[County Name]]=P1288</f>
        <v>1</v>
      </c>
      <c r="L1288" t="b">
        <f>QHPSelections2016[[#This Row],[Silver]]=S1288</f>
        <v>1</v>
      </c>
      <c r="N1288">
        <v>37103</v>
      </c>
      <c r="O1288" t="s">
        <v>1548</v>
      </c>
      <c r="P1288" t="s">
        <v>1006</v>
      </c>
      <c r="R1288">
        <v>11</v>
      </c>
      <c r="S1288">
        <v>510</v>
      </c>
      <c r="T1288">
        <v>61</v>
      </c>
      <c r="V1288">
        <v>591</v>
      </c>
    </row>
    <row r="1289" spans="1:22">
      <c r="A1289" s="32" t="s">
        <v>3355</v>
      </c>
      <c r="B1289" s="32" t="s">
        <v>1548</v>
      </c>
      <c r="C1289" s="32" t="s">
        <v>1010</v>
      </c>
      <c r="D1289" s="33">
        <v>17</v>
      </c>
      <c r="E1289" s="33">
        <v>84</v>
      </c>
      <c r="F1289" s="33">
        <v>2355</v>
      </c>
      <c r="G1289" s="33">
        <v>376</v>
      </c>
      <c r="H1289" s="33">
        <v>50</v>
      </c>
      <c r="I1289" s="33">
        <v>2882</v>
      </c>
      <c r="K1289" t="b">
        <f>QHPSelections2016[[#This Row],[County Name]]=P1289</f>
        <v>1</v>
      </c>
      <c r="L1289" t="b">
        <f>QHPSelections2016[[#This Row],[Silver]]=S1289</f>
        <v>1</v>
      </c>
      <c r="N1289">
        <v>37105</v>
      </c>
      <c r="O1289" t="s">
        <v>1548</v>
      </c>
      <c r="P1289" t="s">
        <v>1010</v>
      </c>
      <c r="Q1289">
        <v>17</v>
      </c>
      <c r="R1289">
        <v>84</v>
      </c>
      <c r="S1289" s="51">
        <v>2355</v>
      </c>
      <c r="T1289">
        <v>376</v>
      </c>
      <c r="U1289">
        <v>50</v>
      </c>
      <c r="V1289" s="51">
        <v>2882</v>
      </c>
    </row>
    <row r="1290" spans="1:22">
      <c r="A1290" s="32" t="s">
        <v>3356</v>
      </c>
      <c r="B1290" s="32" t="s">
        <v>1548</v>
      </c>
      <c r="C1290" s="32" t="s">
        <v>1106</v>
      </c>
      <c r="D1290" s="33">
        <v>11</v>
      </c>
      <c r="E1290" s="33">
        <v>65</v>
      </c>
      <c r="F1290" s="33">
        <v>2308</v>
      </c>
      <c r="G1290" s="33">
        <v>323</v>
      </c>
      <c r="H1290" s="33">
        <v>33</v>
      </c>
      <c r="I1290" s="33">
        <v>2740</v>
      </c>
      <c r="K1290" t="b">
        <f>QHPSelections2016[[#This Row],[County Name]]=P1290</f>
        <v>1</v>
      </c>
      <c r="L1290" t="b">
        <f>QHPSelections2016[[#This Row],[Silver]]=S1290</f>
        <v>1</v>
      </c>
      <c r="N1290">
        <v>37107</v>
      </c>
      <c r="O1290" t="s">
        <v>1548</v>
      </c>
      <c r="P1290" t="s">
        <v>1106</v>
      </c>
      <c r="Q1290">
        <v>11</v>
      </c>
      <c r="R1290">
        <v>65</v>
      </c>
      <c r="S1290" s="51">
        <v>2308</v>
      </c>
      <c r="T1290">
        <v>323</v>
      </c>
      <c r="U1290">
        <v>33</v>
      </c>
      <c r="V1290" s="51">
        <v>2740</v>
      </c>
    </row>
    <row r="1291" spans="1:22">
      <c r="A1291" s="32" t="s">
        <v>3357</v>
      </c>
      <c r="B1291" s="32" t="s">
        <v>1548</v>
      </c>
      <c r="C1291" s="32" t="s">
        <v>1051</v>
      </c>
      <c r="D1291" s="33">
        <v>22</v>
      </c>
      <c r="E1291" s="33">
        <v>141</v>
      </c>
      <c r="F1291" s="33">
        <v>3401</v>
      </c>
      <c r="G1291" s="33">
        <v>1025</v>
      </c>
      <c r="H1291" s="33">
        <v>62</v>
      </c>
      <c r="I1291" s="33">
        <v>4651</v>
      </c>
      <c r="K1291" t="b">
        <f>QHPSelections2016[[#This Row],[County Name]]=P1291</f>
        <v>1</v>
      </c>
      <c r="L1291" t="b">
        <f>QHPSelections2016[[#This Row],[Silver]]=S1291</f>
        <v>1</v>
      </c>
      <c r="N1291">
        <v>37109</v>
      </c>
      <c r="O1291" t="s">
        <v>1548</v>
      </c>
      <c r="P1291" t="s">
        <v>1051</v>
      </c>
      <c r="Q1291">
        <v>22</v>
      </c>
      <c r="R1291">
        <v>141</v>
      </c>
      <c r="S1291" s="51">
        <v>3401</v>
      </c>
      <c r="T1291" s="51">
        <v>1025</v>
      </c>
      <c r="U1291">
        <v>62</v>
      </c>
      <c r="V1291" s="51">
        <v>4651</v>
      </c>
    </row>
    <row r="1292" spans="1:22">
      <c r="A1292" s="32" t="s">
        <v>3358</v>
      </c>
      <c r="B1292" s="32" t="s">
        <v>1548</v>
      </c>
      <c r="C1292" s="32" t="s">
        <v>1117</v>
      </c>
      <c r="D1292" s="33">
        <v>12</v>
      </c>
      <c r="E1292" s="33">
        <v>59</v>
      </c>
      <c r="F1292" s="33">
        <v>1902</v>
      </c>
      <c r="G1292" s="33">
        <v>364</v>
      </c>
      <c r="H1292" s="33">
        <v>20</v>
      </c>
      <c r="I1292" s="33">
        <v>2357</v>
      </c>
      <c r="K1292" t="b">
        <f>QHPSelections2016[[#This Row],[County Name]]=P1292</f>
        <v>0</v>
      </c>
      <c r="L1292" t="b">
        <f>QHPSelections2016[[#This Row],[Silver]]=S1292</f>
        <v>0</v>
      </c>
      <c r="N1292">
        <v>37113</v>
      </c>
      <c r="O1292" t="s">
        <v>1548</v>
      </c>
      <c r="P1292" t="s">
        <v>1054</v>
      </c>
      <c r="R1292">
        <v>60</v>
      </c>
      <c r="S1292" s="51">
        <v>2042</v>
      </c>
      <c r="T1292">
        <v>535</v>
      </c>
      <c r="V1292" s="51">
        <v>2673</v>
      </c>
    </row>
    <row r="1293" spans="1:22">
      <c r="A1293" s="32" t="s">
        <v>3359</v>
      </c>
      <c r="B1293" s="32" t="s">
        <v>1548</v>
      </c>
      <c r="C1293" s="32" t="s">
        <v>1054</v>
      </c>
      <c r="D1293" s="33" t="s">
        <v>1639</v>
      </c>
      <c r="E1293" s="33">
        <v>60</v>
      </c>
      <c r="F1293" s="33">
        <v>2042</v>
      </c>
      <c r="G1293" s="33">
        <v>535</v>
      </c>
      <c r="H1293" s="33" t="s">
        <v>1639</v>
      </c>
      <c r="I1293" s="33">
        <v>2673</v>
      </c>
      <c r="K1293" t="b">
        <f>QHPSelections2016[[#This Row],[County Name]]=P1293</f>
        <v>0</v>
      </c>
      <c r="L1293" t="b">
        <f>QHPSelections2016[[#This Row],[Silver]]=S1293</f>
        <v>0</v>
      </c>
      <c r="N1293">
        <v>37115</v>
      </c>
      <c r="O1293" t="s">
        <v>1548</v>
      </c>
      <c r="P1293" t="s">
        <v>1029</v>
      </c>
      <c r="R1293">
        <v>53</v>
      </c>
      <c r="S1293" s="51">
        <v>1276</v>
      </c>
      <c r="T1293">
        <v>309</v>
      </c>
      <c r="V1293" s="51">
        <v>1658</v>
      </c>
    </row>
    <row r="1294" spans="1:22">
      <c r="A1294" s="32" t="s">
        <v>3360</v>
      </c>
      <c r="B1294" s="32" t="s">
        <v>1548</v>
      </c>
      <c r="C1294" s="32" t="s">
        <v>1029</v>
      </c>
      <c r="D1294" s="33" t="s">
        <v>1639</v>
      </c>
      <c r="E1294" s="33">
        <v>53</v>
      </c>
      <c r="F1294" s="33">
        <v>1276</v>
      </c>
      <c r="G1294" s="33">
        <v>309</v>
      </c>
      <c r="H1294" s="33" t="s">
        <v>1639</v>
      </c>
      <c r="I1294" s="33">
        <v>1658</v>
      </c>
      <c r="K1294" t="b">
        <f>QHPSelections2016[[#This Row],[County Name]]=P1294</f>
        <v>0</v>
      </c>
      <c r="L1294" t="b">
        <f>QHPSelections2016[[#This Row],[Silver]]=S1294</f>
        <v>0</v>
      </c>
      <c r="N1294">
        <v>37117</v>
      </c>
      <c r="O1294" t="s">
        <v>1548</v>
      </c>
      <c r="P1294" t="s">
        <v>1044</v>
      </c>
      <c r="R1294">
        <v>21</v>
      </c>
      <c r="S1294" s="51">
        <v>1384</v>
      </c>
      <c r="T1294">
        <v>93</v>
      </c>
      <c r="V1294" s="51">
        <v>1522</v>
      </c>
    </row>
    <row r="1295" spans="1:22">
      <c r="A1295" s="32" t="s">
        <v>3361</v>
      </c>
      <c r="B1295" s="32" t="s">
        <v>1548</v>
      </c>
      <c r="C1295" s="32" t="s">
        <v>1044</v>
      </c>
      <c r="D1295" s="33" t="s">
        <v>1639</v>
      </c>
      <c r="E1295" s="33">
        <v>21</v>
      </c>
      <c r="F1295" s="33">
        <v>1384</v>
      </c>
      <c r="G1295" s="33">
        <v>93</v>
      </c>
      <c r="H1295" s="33" t="s">
        <v>1639</v>
      </c>
      <c r="I1295" s="33">
        <v>1522</v>
      </c>
      <c r="K1295" t="b">
        <f>QHPSelections2016[[#This Row],[County Name]]=P1295</f>
        <v>0</v>
      </c>
      <c r="L1295" t="b">
        <f>QHPSelections2016[[#This Row],[Silver]]=S1295</f>
        <v>0</v>
      </c>
      <c r="N1295">
        <v>37111</v>
      </c>
      <c r="O1295" t="s">
        <v>1548</v>
      </c>
      <c r="P1295" t="s">
        <v>1117</v>
      </c>
      <c r="Q1295">
        <v>12</v>
      </c>
      <c r="R1295">
        <v>59</v>
      </c>
      <c r="S1295" s="51">
        <v>1902</v>
      </c>
      <c r="T1295">
        <v>364</v>
      </c>
      <c r="U1295">
        <v>20</v>
      </c>
      <c r="V1295" s="51">
        <v>2357</v>
      </c>
    </row>
    <row r="1296" spans="1:22">
      <c r="A1296" s="32" t="s">
        <v>3362</v>
      </c>
      <c r="B1296" s="32" t="s">
        <v>1548</v>
      </c>
      <c r="C1296" s="32" t="s">
        <v>1133</v>
      </c>
      <c r="D1296" s="33">
        <v>453</v>
      </c>
      <c r="E1296" s="33">
        <v>2131</v>
      </c>
      <c r="F1296" s="33">
        <v>58286</v>
      </c>
      <c r="G1296" s="33">
        <v>17088</v>
      </c>
      <c r="H1296" s="33">
        <v>1639</v>
      </c>
      <c r="I1296" s="33">
        <v>79597</v>
      </c>
      <c r="K1296" t="b">
        <f>QHPSelections2016[[#This Row],[County Name]]=P1296</f>
        <v>1</v>
      </c>
      <c r="L1296" t="b">
        <f>QHPSelections2016[[#This Row],[Silver]]=S1296</f>
        <v>1</v>
      </c>
      <c r="N1296">
        <v>37119</v>
      </c>
      <c r="O1296" t="s">
        <v>1548</v>
      </c>
      <c r="P1296" t="s">
        <v>1133</v>
      </c>
      <c r="Q1296">
        <v>453</v>
      </c>
      <c r="R1296" s="51">
        <v>2131</v>
      </c>
      <c r="S1296" s="51">
        <v>58286</v>
      </c>
      <c r="T1296" s="51">
        <v>17088</v>
      </c>
      <c r="U1296" s="51">
        <v>1639</v>
      </c>
      <c r="V1296" s="51">
        <v>79597</v>
      </c>
    </row>
    <row r="1297" spans="1:22">
      <c r="A1297" s="32" t="s">
        <v>3363</v>
      </c>
      <c r="B1297" s="32" t="s">
        <v>1548</v>
      </c>
      <c r="C1297" s="32" t="s">
        <v>1140</v>
      </c>
      <c r="D1297" s="33" t="s">
        <v>1639</v>
      </c>
      <c r="E1297" s="33">
        <v>29</v>
      </c>
      <c r="F1297" s="33">
        <v>914</v>
      </c>
      <c r="G1297" s="33">
        <v>188</v>
      </c>
      <c r="H1297" s="33" t="s">
        <v>1639</v>
      </c>
      <c r="I1297" s="33">
        <v>1152</v>
      </c>
      <c r="K1297" t="b">
        <f>QHPSelections2016[[#This Row],[County Name]]=P1297</f>
        <v>1</v>
      </c>
      <c r="L1297" t="b">
        <f>QHPSelections2016[[#This Row],[Silver]]=S1297</f>
        <v>1</v>
      </c>
      <c r="N1297">
        <v>37121</v>
      </c>
      <c r="O1297" t="s">
        <v>1548</v>
      </c>
      <c r="P1297" t="s">
        <v>1140</v>
      </c>
      <c r="R1297">
        <v>29</v>
      </c>
      <c r="S1297">
        <v>914</v>
      </c>
      <c r="T1297">
        <v>188</v>
      </c>
      <c r="V1297" s="51">
        <v>1152</v>
      </c>
    </row>
    <row r="1298" spans="1:22">
      <c r="A1298" s="32" t="s">
        <v>3364</v>
      </c>
      <c r="B1298" s="32" t="s">
        <v>1548</v>
      </c>
      <c r="C1298" s="32" t="s">
        <v>1079</v>
      </c>
      <c r="D1298" s="33" t="s">
        <v>1639</v>
      </c>
      <c r="E1298" s="33">
        <v>37</v>
      </c>
      <c r="F1298" s="33">
        <v>1030</v>
      </c>
      <c r="G1298" s="33">
        <v>147</v>
      </c>
      <c r="H1298" s="33" t="s">
        <v>1639</v>
      </c>
      <c r="I1298" s="33">
        <v>1235</v>
      </c>
      <c r="K1298" t="b">
        <f>QHPSelections2016[[#This Row],[County Name]]=P1298</f>
        <v>1</v>
      </c>
      <c r="L1298" t="b">
        <f>QHPSelections2016[[#This Row],[Silver]]=S1298</f>
        <v>1</v>
      </c>
      <c r="N1298">
        <v>37123</v>
      </c>
      <c r="O1298" t="s">
        <v>1548</v>
      </c>
      <c r="P1298" t="s">
        <v>1079</v>
      </c>
      <c r="R1298">
        <v>37</v>
      </c>
      <c r="S1298" s="51">
        <v>1030</v>
      </c>
      <c r="T1298">
        <v>147</v>
      </c>
      <c r="V1298" s="51">
        <v>1235</v>
      </c>
    </row>
    <row r="1299" spans="1:22">
      <c r="A1299" s="32" t="s">
        <v>3365</v>
      </c>
      <c r="B1299" s="32" t="s">
        <v>1548</v>
      </c>
      <c r="C1299" s="32" t="s">
        <v>1152</v>
      </c>
      <c r="D1299" s="33">
        <v>40</v>
      </c>
      <c r="E1299" s="33">
        <v>173</v>
      </c>
      <c r="F1299" s="33">
        <v>4540</v>
      </c>
      <c r="G1299" s="33">
        <v>713</v>
      </c>
      <c r="H1299" s="33">
        <v>70</v>
      </c>
      <c r="I1299" s="33">
        <v>5536</v>
      </c>
      <c r="K1299" t="b">
        <f>QHPSelections2016[[#This Row],[County Name]]=P1299</f>
        <v>1</v>
      </c>
      <c r="L1299" t="b">
        <f>QHPSelections2016[[#This Row],[Silver]]=S1299</f>
        <v>1</v>
      </c>
      <c r="N1299">
        <v>37125</v>
      </c>
      <c r="O1299" t="s">
        <v>1548</v>
      </c>
      <c r="P1299" t="s">
        <v>1152</v>
      </c>
      <c r="Q1299">
        <v>40</v>
      </c>
      <c r="R1299">
        <v>173</v>
      </c>
      <c r="S1299" s="51">
        <v>4540</v>
      </c>
      <c r="T1299">
        <v>713</v>
      </c>
      <c r="U1299">
        <v>70</v>
      </c>
      <c r="V1299" s="51">
        <v>5536</v>
      </c>
    </row>
    <row r="1300" spans="1:22">
      <c r="A1300" s="32" t="s">
        <v>3366</v>
      </c>
      <c r="B1300" s="32" t="s">
        <v>1548</v>
      </c>
      <c r="C1300" s="32" t="s">
        <v>1158</v>
      </c>
      <c r="D1300" s="33">
        <v>25</v>
      </c>
      <c r="E1300" s="33">
        <v>136</v>
      </c>
      <c r="F1300" s="33">
        <v>3925</v>
      </c>
      <c r="G1300" s="33">
        <v>581</v>
      </c>
      <c r="H1300" s="33">
        <v>71</v>
      </c>
      <c r="I1300" s="33">
        <v>4738</v>
      </c>
      <c r="K1300" t="b">
        <f>QHPSelections2016[[#This Row],[County Name]]=P1300</f>
        <v>1</v>
      </c>
      <c r="L1300" t="b">
        <f>QHPSelections2016[[#This Row],[Silver]]=S1300</f>
        <v>1</v>
      </c>
      <c r="N1300">
        <v>37127</v>
      </c>
      <c r="O1300" t="s">
        <v>1548</v>
      </c>
      <c r="P1300" t="s">
        <v>1158</v>
      </c>
      <c r="Q1300">
        <v>25</v>
      </c>
      <c r="R1300">
        <v>136</v>
      </c>
      <c r="S1300" s="51">
        <v>3925</v>
      </c>
      <c r="T1300">
        <v>581</v>
      </c>
      <c r="U1300">
        <v>71</v>
      </c>
      <c r="V1300" s="51">
        <v>4738</v>
      </c>
    </row>
    <row r="1301" spans="1:22">
      <c r="A1301" s="32" t="s">
        <v>3367</v>
      </c>
      <c r="B1301" s="32" t="s">
        <v>1548</v>
      </c>
      <c r="C1301" s="32" t="s">
        <v>1164</v>
      </c>
      <c r="D1301" s="33">
        <v>132</v>
      </c>
      <c r="E1301" s="33">
        <v>491</v>
      </c>
      <c r="F1301" s="33">
        <v>14167</v>
      </c>
      <c r="G1301" s="33">
        <v>2592</v>
      </c>
      <c r="H1301" s="33">
        <v>288</v>
      </c>
      <c r="I1301" s="33">
        <v>17670</v>
      </c>
      <c r="K1301" t="b">
        <f>QHPSelections2016[[#This Row],[County Name]]=P1301</f>
        <v>1</v>
      </c>
      <c r="L1301" t="b">
        <f>QHPSelections2016[[#This Row],[Silver]]=S1301</f>
        <v>1</v>
      </c>
      <c r="N1301">
        <v>37129</v>
      </c>
      <c r="O1301" t="s">
        <v>1548</v>
      </c>
      <c r="P1301" t="s">
        <v>1164</v>
      </c>
      <c r="Q1301">
        <v>132</v>
      </c>
      <c r="R1301">
        <v>491</v>
      </c>
      <c r="S1301" s="51">
        <v>14167</v>
      </c>
      <c r="T1301" s="51">
        <v>2592</v>
      </c>
      <c r="U1301">
        <v>288</v>
      </c>
      <c r="V1301" s="51">
        <v>17670</v>
      </c>
    </row>
    <row r="1302" spans="1:22">
      <c r="A1302" s="32" t="s">
        <v>3368</v>
      </c>
      <c r="B1302" s="32" t="s">
        <v>1548</v>
      </c>
      <c r="C1302" s="32" t="s">
        <v>1169</v>
      </c>
      <c r="D1302" s="33" t="s">
        <v>1639</v>
      </c>
      <c r="E1302" s="33">
        <v>23</v>
      </c>
      <c r="F1302" s="33">
        <v>771</v>
      </c>
      <c r="G1302" s="33">
        <v>61</v>
      </c>
      <c r="H1302" s="33" t="s">
        <v>1639</v>
      </c>
      <c r="I1302" s="33">
        <v>880</v>
      </c>
      <c r="K1302" t="b">
        <f>QHPSelections2016[[#This Row],[County Name]]=P1302</f>
        <v>1</v>
      </c>
      <c r="L1302" t="b">
        <f>QHPSelections2016[[#This Row],[Silver]]=S1302</f>
        <v>1</v>
      </c>
      <c r="N1302">
        <v>37131</v>
      </c>
      <c r="O1302" t="s">
        <v>1548</v>
      </c>
      <c r="P1302" t="s">
        <v>1169</v>
      </c>
      <c r="R1302">
        <v>23</v>
      </c>
      <c r="S1302">
        <v>771</v>
      </c>
      <c r="T1302">
        <v>61</v>
      </c>
      <c r="V1302">
        <v>880</v>
      </c>
    </row>
    <row r="1303" spans="1:22">
      <c r="A1303" s="32" t="s">
        <v>3369</v>
      </c>
      <c r="B1303" s="32" t="s">
        <v>1548</v>
      </c>
      <c r="C1303" s="32" t="s">
        <v>1174</v>
      </c>
      <c r="D1303" s="33">
        <v>47</v>
      </c>
      <c r="E1303" s="33">
        <v>148</v>
      </c>
      <c r="F1303" s="33">
        <v>5241</v>
      </c>
      <c r="G1303" s="33">
        <v>838</v>
      </c>
      <c r="H1303" s="33">
        <v>111</v>
      </c>
      <c r="I1303" s="33">
        <v>6385</v>
      </c>
      <c r="K1303" t="b">
        <f>QHPSelections2016[[#This Row],[County Name]]=P1303</f>
        <v>1</v>
      </c>
      <c r="L1303" t="b">
        <f>QHPSelections2016[[#This Row],[Silver]]=S1303</f>
        <v>1</v>
      </c>
      <c r="N1303">
        <v>37133</v>
      </c>
      <c r="O1303" t="s">
        <v>1548</v>
      </c>
      <c r="P1303" t="s">
        <v>1174</v>
      </c>
      <c r="Q1303">
        <v>47</v>
      </c>
      <c r="R1303">
        <v>148</v>
      </c>
      <c r="S1303" s="51">
        <v>5241</v>
      </c>
      <c r="T1303">
        <v>838</v>
      </c>
      <c r="U1303">
        <v>111</v>
      </c>
      <c r="V1303" s="51">
        <v>6385</v>
      </c>
    </row>
    <row r="1304" spans="1:22">
      <c r="A1304" s="32" t="s">
        <v>3370</v>
      </c>
      <c r="B1304" s="32" t="s">
        <v>1548</v>
      </c>
      <c r="C1304" s="32" t="s">
        <v>1072</v>
      </c>
      <c r="D1304" s="33">
        <v>113</v>
      </c>
      <c r="E1304" s="33">
        <v>435</v>
      </c>
      <c r="F1304" s="33">
        <v>5211</v>
      </c>
      <c r="G1304" s="33">
        <v>2081</v>
      </c>
      <c r="H1304" s="33">
        <v>241</v>
      </c>
      <c r="I1304" s="33">
        <v>8081</v>
      </c>
      <c r="K1304" t="b">
        <f>QHPSelections2016[[#This Row],[County Name]]=P1304</f>
        <v>1</v>
      </c>
      <c r="L1304" t="b">
        <f>QHPSelections2016[[#This Row],[Silver]]=S1304</f>
        <v>1</v>
      </c>
      <c r="N1304">
        <v>37135</v>
      </c>
      <c r="O1304" t="s">
        <v>1548</v>
      </c>
      <c r="P1304" t="s">
        <v>1072</v>
      </c>
      <c r="Q1304">
        <v>113</v>
      </c>
      <c r="R1304">
        <v>435</v>
      </c>
      <c r="S1304" s="51">
        <v>5211</v>
      </c>
      <c r="T1304" s="51">
        <v>2081</v>
      </c>
      <c r="U1304">
        <v>241</v>
      </c>
      <c r="V1304" s="51">
        <v>8081</v>
      </c>
    </row>
    <row r="1305" spans="1:22">
      <c r="A1305" s="32" t="s">
        <v>3371</v>
      </c>
      <c r="B1305" s="32" t="s">
        <v>1548</v>
      </c>
      <c r="C1305" s="32" t="s">
        <v>1182</v>
      </c>
      <c r="D1305" s="33" t="s">
        <v>1639</v>
      </c>
      <c r="E1305" s="33">
        <v>14</v>
      </c>
      <c r="F1305" s="33">
        <v>654</v>
      </c>
      <c r="G1305" s="33">
        <v>95</v>
      </c>
      <c r="H1305" s="33" t="s">
        <v>1639</v>
      </c>
      <c r="I1305" s="33">
        <v>771</v>
      </c>
      <c r="K1305" t="b">
        <f>QHPSelections2016[[#This Row],[County Name]]=P1305</f>
        <v>1</v>
      </c>
      <c r="L1305" t="b">
        <f>QHPSelections2016[[#This Row],[Silver]]=S1305</f>
        <v>1</v>
      </c>
      <c r="N1305">
        <v>37137</v>
      </c>
      <c r="O1305" t="s">
        <v>1548</v>
      </c>
      <c r="P1305" t="s">
        <v>1182</v>
      </c>
      <c r="R1305">
        <v>14</v>
      </c>
      <c r="S1305">
        <v>654</v>
      </c>
      <c r="T1305">
        <v>95</v>
      </c>
      <c r="V1305">
        <v>771</v>
      </c>
    </row>
    <row r="1306" spans="1:22">
      <c r="A1306" s="32" t="s">
        <v>3372</v>
      </c>
      <c r="B1306" s="32" t="s">
        <v>1548</v>
      </c>
      <c r="C1306" s="32" t="s">
        <v>1186</v>
      </c>
      <c r="D1306" s="33">
        <v>19</v>
      </c>
      <c r="E1306" s="33">
        <v>48</v>
      </c>
      <c r="F1306" s="33">
        <v>1477</v>
      </c>
      <c r="G1306" s="33">
        <v>254</v>
      </c>
      <c r="H1306" s="33">
        <v>35</v>
      </c>
      <c r="I1306" s="33">
        <v>1833</v>
      </c>
      <c r="K1306" t="b">
        <f>QHPSelections2016[[#This Row],[County Name]]=P1306</f>
        <v>1</v>
      </c>
      <c r="L1306" t="b">
        <f>QHPSelections2016[[#This Row],[Silver]]=S1306</f>
        <v>1</v>
      </c>
      <c r="N1306">
        <v>37139</v>
      </c>
      <c r="O1306" t="s">
        <v>1548</v>
      </c>
      <c r="P1306" t="s">
        <v>1186</v>
      </c>
      <c r="Q1306">
        <v>19</v>
      </c>
      <c r="R1306">
        <v>48</v>
      </c>
      <c r="S1306" s="51">
        <v>1477</v>
      </c>
      <c r="T1306">
        <v>254</v>
      </c>
      <c r="U1306">
        <v>35</v>
      </c>
      <c r="V1306" s="51">
        <v>1833</v>
      </c>
    </row>
    <row r="1307" spans="1:22">
      <c r="A1307" s="32" t="s">
        <v>3373</v>
      </c>
      <c r="B1307" s="32" t="s">
        <v>1548</v>
      </c>
      <c r="C1307" s="32" t="s">
        <v>1190</v>
      </c>
      <c r="D1307" s="33">
        <v>32</v>
      </c>
      <c r="E1307" s="33">
        <v>152</v>
      </c>
      <c r="F1307" s="33">
        <v>3029</v>
      </c>
      <c r="G1307" s="33">
        <v>579</v>
      </c>
      <c r="H1307" s="33">
        <v>36</v>
      </c>
      <c r="I1307" s="33">
        <v>3828</v>
      </c>
      <c r="K1307" t="b">
        <f>QHPSelections2016[[#This Row],[County Name]]=P1307</f>
        <v>1</v>
      </c>
      <c r="L1307" t="b">
        <f>QHPSelections2016[[#This Row],[Silver]]=S1307</f>
        <v>1</v>
      </c>
      <c r="N1307">
        <v>37141</v>
      </c>
      <c r="O1307" t="s">
        <v>1548</v>
      </c>
      <c r="P1307" t="s">
        <v>1190</v>
      </c>
      <c r="Q1307">
        <v>32</v>
      </c>
      <c r="R1307">
        <v>152</v>
      </c>
      <c r="S1307" s="51">
        <v>3029</v>
      </c>
      <c r="T1307">
        <v>579</v>
      </c>
      <c r="U1307">
        <v>36</v>
      </c>
      <c r="V1307" s="51">
        <v>3828</v>
      </c>
    </row>
    <row r="1308" spans="1:22">
      <c r="A1308" s="32" t="s">
        <v>3374</v>
      </c>
      <c r="B1308" s="32" t="s">
        <v>1548</v>
      </c>
      <c r="C1308" s="32" t="s">
        <v>1194</v>
      </c>
      <c r="D1308" s="33" t="s">
        <v>1639</v>
      </c>
      <c r="E1308" s="33">
        <v>16</v>
      </c>
      <c r="F1308" s="33">
        <v>504</v>
      </c>
      <c r="G1308" s="33">
        <v>88</v>
      </c>
      <c r="H1308" s="33" t="s">
        <v>1639</v>
      </c>
      <c r="I1308" s="33">
        <v>624</v>
      </c>
      <c r="K1308" t="b">
        <f>QHPSelections2016[[#This Row],[County Name]]=P1308</f>
        <v>1</v>
      </c>
      <c r="L1308" t="b">
        <f>QHPSelections2016[[#This Row],[Silver]]=S1308</f>
        <v>1</v>
      </c>
      <c r="N1308">
        <v>37143</v>
      </c>
      <c r="O1308" t="s">
        <v>1548</v>
      </c>
      <c r="P1308" t="s">
        <v>1194</v>
      </c>
      <c r="R1308">
        <v>16</v>
      </c>
      <c r="S1308">
        <v>504</v>
      </c>
      <c r="T1308">
        <v>88</v>
      </c>
      <c r="V1308">
        <v>624</v>
      </c>
    </row>
    <row r="1309" spans="1:22">
      <c r="A1309" s="32" t="s">
        <v>3375</v>
      </c>
      <c r="B1309" s="32" t="s">
        <v>1548</v>
      </c>
      <c r="C1309" s="32" t="s">
        <v>1198</v>
      </c>
      <c r="D1309" s="33">
        <v>16</v>
      </c>
      <c r="E1309" s="33">
        <v>73</v>
      </c>
      <c r="F1309" s="33">
        <v>1644</v>
      </c>
      <c r="G1309" s="33">
        <v>410</v>
      </c>
      <c r="H1309" s="33">
        <v>32</v>
      </c>
      <c r="I1309" s="33">
        <v>2175</v>
      </c>
      <c r="K1309" t="b">
        <f>QHPSelections2016[[#This Row],[County Name]]=P1309</f>
        <v>1</v>
      </c>
      <c r="L1309" t="b">
        <f>QHPSelections2016[[#This Row],[Silver]]=S1309</f>
        <v>1</v>
      </c>
      <c r="N1309">
        <v>37145</v>
      </c>
      <c r="O1309" t="s">
        <v>1548</v>
      </c>
      <c r="P1309" t="s">
        <v>1198</v>
      </c>
      <c r="Q1309">
        <v>16</v>
      </c>
      <c r="R1309">
        <v>73</v>
      </c>
      <c r="S1309" s="51">
        <v>1644</v>
      </c>
      <c r="T1309">
        <v>410</v>
      </c>
      <c r="U1309">
        <v>32</v>
      </c>
      <c r="V1309" s="51">
        <v>2175</v>
      </c>
    </row>
    <row r="1310" spans="1:22">
      <c r="A1310" s="32" t="s">
        <v>3376</v>
      </c>
      <c r="B1310" s="32" t="s">
        <v>1548</v>
      </c>
      <c r="C1310" s="32" t="s">
        <v>1203</v>
      </c>
      <c r="D1310" s="33">
        <v>85</v>
      </c>
      <c r="E1310" s="33">
        <v>205</v>
      </c>
      <c r="F1310" s="33">
        <v>8390</v>
      </c>
      <c r="G1310" s="33">
        <v>734</v>
      </c>
      <c r="H1310" s="33">
        <v>146</v>
      </c>
      <c r="I1310" s="33">
        <v>9560</v>
      </c>
      <c r="K1310" t="b">
        <f>QHPSelections2016[[#This Row],[County Name]]=P1310</f>
        <v>1</v>
      </c>
      <c r="L1310" t="b">
        <f>QHPSelections2016[[#This Row],[Silver]]=S1310</f>
        <v>1</v>
      </c>
      <c r="N1310">
        <v>37147</v>
      </c>
      <c r="O1310" t="s">
        <v>1548</v>
      </c>
      <c r="P1310" t="s">
        <v>1203</v>
      </c>
      <c r="Q1310">
        <v>85</v>
      </c>
      <c r="R1310">
        <v>205</v>
      </c>
      <c r="S1310" s="51">
        <v>8390</v>
      </c>
      <c r="T1310">
        <v>734</v>
      </c>
      <c r="U1310">
        <v>146</v>
      </c>
      <c r="V1310" s="51">
        <v>9560</v>
      </c>
    </row>
    <row r="1311" spans="1:22">
      <c r="A1311" s="32" t="s">
        <v>3377</v>
      </c>
      <c r="B1311" s="32" t="s">
        <v>1548</v>
      </c>
      <c r="C1311" s="32" t="s">
        <v>1098</v>
      </c>
      <c r="D1311" s="33" t="s">
        <v>1639</v>
      </c>
      <c r="E1311" s="33">
        <v>37</v>
      </c>
      <c r="F1311" s="33">
        <v>1080</v>
      </c>
      <c r="G1311" s="33">
        <v>300</v>
      </c>
      <c r="H1311" s="33" t="s">
        <v>1639</v>
      </c>
      <c r="I1311" s="33">
        <v>1444</v>
      </c>
      <c r="K1311" t="b">
        <f>QHPSelections2016[[#This Row],[County Name]]=P1311</f>
        <v>1</v>
      </c>
      <c r="L1311" t="b">
        <f>QHPSelections2016[[#This Row],[Silver]]=S1311</f>
        <v>1</v>
      </c>
      <c r="N1311">
        <v>37149</v>
      </c>
      <c r="O1311" t="s">
        <v>1548</v>
      </c>
      <c r="P1311" t="s">
        <v>1098</v>
      </c>
      <c r="R1311">
        <v>37</v>
      </c>
      <c r="S1311" s="51">
        <v>1080</v>
      </c>
      <c r="T1311">
        <v>300</v>
      </c>
      <c r="V1311" s="51">
        <v>1444</v>
      </c>
    </row>
    <row r="1312" spans="1:22">
      <c r="A1312" s="32" t="s">
        <v>3378</v>
      </c>
      <c r="B1312" s="32" t="s">
        <v>1548</v>
      </c>
      <c r="C1312" s="32" t="s">
        <v>1115</v>
      </c>
      <c r="D1312" s="33">
        <v>34</v>
      </c>
      <c r="E1312" s="33">
        <v>277</v>
      </c>
      <c r="F1312" s="33">
        <v>6589</v>
      </c>
      <c r="G1312" s="33">
        <v>1278</v>
      </c>
      <c r="H1312" s="33">
        <v>96</v>
      </c>
      <c r="I1312" s="33">
        <v>8274</v>
      </c>
      <c r="K1312" t="b">
        <f>QHPSelections2016[[#This Row],[County Name]]=P1312</f>
        <v>1</v>
      </c>
      <c r="L1312" t="b">
        <f>QHPSelections2016[[#This Row],[Silver]]=S1312</f>
        <v>1</v>
      </c>
      <c r="N1312">
        <v>37151</v>
      </c>
      <c r="O1312" t="s">
        <v>1548</v>
      </c>
      <c r="P1312" t="s">
        <v>1115</v>
      </c>
      <c r="Q1312">
        <v>34</v>
      </c>
      <c r="R1312">
        <v>277</v>
      </c>
      <c r="S1312" s="51">
        <v>6589</v>
      </c>
      <c r="T1312" s="51">
        <v>1278</v>
      </c>
      <c r="U1312">
        <v>96</v>
      </c>
      <c r="V1312" s="51">
        <v>8274</v>
      </c>
    </row>
    <row r="1313" spans="1:22">
      <c r="A1313" s="32" t="s">
        <v>3379</v>
      </c>
      <c r="B1313" s="32" t="s">
        <v>1548</v>
      </c>
      <c r="C1313" s="32" t="s">
        <v>1210</v>
      </c>
      <c r="D1313" s="33" t="s">
        <v>1639</v>
      </c>
      <c r="E1313" s="33">
        <v>85</v>
      </c>
      <c r="F1313" s="33">
        <v>1545</v>
      </c>
      <c r="G1313" s="33">
        <v>173</v>
      </c>
      <c r="H1313" s="33" t="s">
        <v>1639</v>
      </c>
      <c r="I1313" s="33">
        <v>1829</v>
      </c>
      <c r="K1313" t="b">
        <f>QHPSelections2016[[#This Row],[County Name]]=P1313</f>
        <v>1</v>
      </c>
      <c r="L1313" t="b">
        <f>QHPSelections2016[[#This Row],[Silver]]=S1313</f>
        <v>1</v>
      </c>
      <c r="N1313">
        <v>37153</v>
      </c>
      <c r="O1313" t="s">
        <v>1548</v>
      </c>
      <c r="P1313" t="s">
        <v>1210</v>
      </c>
      <c r="R1313">
        <v>85</v>
      </c>
      <c r="S1313" s="51">
        <v>1545</v>
      </c>
      <c r="T1313">
        <v>173</v>
      </c>
      <c r="V1313" s="51">
        <v>1829</v>
      </c>
    </row>
    <row r="1314" spans="1:22">
      <c r="A1314" s="32" t="s">
        <v>3380</v>
      </c>
      <c r="B1314" s="32" t="s">
        <v>1548</v>
      </c>
      <c r="C1314" s="32" t="s">
        <v>1213</v>
      </c>
      <c r="D1314" s="33" t="s">
        <v>1639</v>
      </c>
      <c r="E1314" s="33">
        <v>205</v>
      </c>
      <c r="F1314" s="33">
        <v>7091</v>
      </c>
      <c r="G1314" s="33">
        <v>620</v>
      </c>
      <c r="H1314" s="33" t="s">
        <v>1639</v>
      </c>
      <c r="I1314" s="33">
        <v>7977</v>
      </c>
      <c r="K1314" t="b">
        <f>QHPSelections2016[[#This Row],[County Name]]=P1314</f>
        <v>1</v>
      </c>
      <c r="L1314" t="b">
        <f>QHPSelections2016[[#This Row],[Silver]]=S1314</f>
        <v>1</v>
      </c>
      <c r="N1314">
        <v>37155</v>
      </c>
      <c r="O1314" t="s">
        <v>1548</v>
      </c>
      <c r="P1314" t="s">
        <v>1213</v>
      </c>
      <c r="R1314">
        <v>205</v>
      </c>
      <c r="S1314" s="51">
        <v>7091</v>
      </c>
      <c r="T1314">
        <v>620</v>
      </c>
      <c r="V1314" s="51">
        <v>7977</v>
      </c>
    </row>
    <row r="1315" spans="1:22">
      <c r="A1315" s="32" t="s">
        <v>3381</v>
      </c>
      <c r="B1315" s="32" t="s">
        <v>1548</v>
      </c>
      <c r="C1315" s="32" t="s">
        <v>1217</v>
      </c>
      <c r="D1315" s="33">
        <v>17</v>
      </c>
      <c r="E1315" s="33">
        <v>168</v>
      </c>
      <c r="F1315" s="33">
        <v>4751</v>
      </c>
      <c r="G1315" s="33">
        <v>548</v>
      </c>
      <c r="H1315" s="33">
        <v>68</v>
      </c>
      <c r="I1315" s="33">
        <v>5552</v>
      </c>
      <c r="K1315" t="b">
        <f>QHPSelections2016[[#This Row],[County Name]]=P1315</f>
        <v>1</v>
      </c>
      <c r="L1315" t="b">
        <f>QHPSelections2016[[#This Row],[Silver]]=S1315</f>
        <v>1</v>
      </c>
      <c r="N1315">
        <v>37157</v>
      </c>
      <c r="O1315" t="s">
        <v>1548</v>
      </c>
      <c r="P1315" t="s">
        <v>1217</v>
      </c>
      <c r="Q1315">
        <v>17</v>
      </c>
      <c r="R1315">
        <v>168</v>
      </c>
      <c r="S1315" s="51">
        <v>4751</v>
      </c>
      <c r="T1315">
        <v>548</v>
      </c>
      <c r="U1315">
        <v>68</v>
      </c>
      <c r="V1315" s="51">
        <v>5552</v>
      </c>
    </row>
    <row r="1316" spans="1:22">
      <c r="A1316" s="32" t="s">
        <v>3382</v>
      </c>
      <c r="B1316" s="32" t="s">
        <v>1548</v>
      </c>
      <c r="C1316" s="32" t="s">
        <v>1220</v>
      </c>
      <c r="D1316" s="33">
        <v>40</v>
      </c>
      <c r="E1316" s="33">
        <v>164</v>
      </c>
      <c r="F1316" s="33">
        <v>6369</v>
      </c>
      <c r="G1316" s="33">
        <v>1309</v>
      </c>
      <c r="H1316" s="33">
        <v>111</v>
      </c>
      <c r="I1316" s="33">
        <v>7993</v>
      </c>
      <c r="K1316" t="b">
        <f>QHPSelections2016[[#This Row],[County Name]]=P1316</f>
        <v>1</v>
      </c>
      <c r="L1316" t="b">
        <f>QHPSelections2016[[#This Row],[Silver]]=S1316</f>
        <v>1</v>
      </c>
      <c r="N1316">
        <v>37159</v>
      </c>
      <c r="O1316" t="s">
        <v>1548</v>
      </c>
      <c r="P1316" t="s">
        <v>1220</v>
      </c>
      <c r="Q1316">
        <v>40</v>
      </c>
      <c r="R1316">
        <v>164</v>
      </c>
      <c r="S1316" s="51">
        <v>6369</v>
      </c>
      <c r="T1316" s="51">
        <v>1309</v>
      </c>
      <c r="U1316">
        <v>111</v>
      </c>
      <c r="V1316" s="51">
        <v>7993</v>
      </c>
    </row>
    <row r="1317" spans="1:22">
      <c r="A1317" s="32" t="s">
        <v>3383</v>
      </c>
      <c r="B1317" s="32" t="s">
        <v>1548</v>
      </c>
      <c r="C1317" s="32" t="s">
        <v>1206</v>
      </c>
      <c r="D1317" s="33">
        <v>17</v>
      </c>
      <c r="E1317" s="33">
        <v>65</v>
      </c>
      <c r="F1317" s="33">
        <v>2919</v>
      </c>
      <c r="G1317" s="33">
        <v>725</v>
      </c>
      <c r="H1317" s="33">
        <v>39</v>
      </c>
      <c r="I1317" s="33">
        <v>3765</v>
      </c>
      <c r="K1317" t="b">
        <f>QHPSelections2016[[#This Row],[County Name]]=P1317</f>
        <v>1</v>
      </c>
      <c r="L1317" t="b">
        <f>QHPSelections2016[[#This Row],[Silver]]=S1317</f>
        <v>1</v>
      </c>
      <c r="N1317">
        <v>37161</v>
      </c>
      <c r="O1317" t="s">
        <v>1548</v>
      </c>
      <c r="P1317" t="s">
        <v>1206</v>
      </c>
      <c r="Q1317">
        <v>17</v>
      </c>
      <c r="R1317">
        <v>65</v>
      </c>
      <c r="S1317" s="51">
        <v>2919</v>
      </c>
      <c r="T1317">
        <v>725</v>
      </c>
      <c r="U1317">
        <v>39</v>
      </c>
      <c r="V1317" s="51">
        <v>3765</v>
      </c>
    </row>
    <row r="1318" spans="1:22">
      <c r="A1318" s="32" t="s">
        <v>3384</v>
      </c>
      <c r="B1318" s="32" t="s">
        <v>1548</v>
      </c>
      <c r="C1318" s="32" t="s">
        <v>1226</v>
      </c>
      <c r="D1318" s="33" t="s">
        <v>1639</v>
      </c>
      <c r="E1318" s="33">
        <v>153</v>
      </c>
      <c r="F1318" s="33">
        <v>2559</v>
      </c>
      <c r="G1318" s="33">
        <v>247</v>
      </c>
      <c r="H1318" s="33" t="s">
        <v>1639</v>
      </c>
      <c r="I1318" s="33">
        <v>2999</v>
      </c>
      <c r="K1318" t="b">
        <f>QHPSelections2016[[#This Row],[County Name]]=P1318</f>
        <v>1</v>
      </c>
      <c r="L1318" t="b">
        <f>QHPSelections2016[[#This Row],[Silver]]=S1318</f>
        <v>1</v>
      </c>
      <c r="N1318">
        <v>37163</v>
      </c>
      <c r="O1318" t="s">
        <v>1548</v>
      </c>
      <c r="P1318" t="s">
        <v>1226</v>
      </c>
      <c r="R1318">
        <v>153</v>
      </c>
      <c r="S1318" s="51">
        <v>2559</v>
      </c>
      <c r="T1318">
        <v>247</v>
      </c>
      <c r="V1318" s="51">
        <v>2999</v>
      </c>
    </row>
    <row r="1319" spans="1:22">
      <c r="A1319" s="32" t="s">
        <v>3385</v>
      </c>
      <c r="B1319" s="32" t="s">
        <v>1548</v>
      </c>
      <c r="C1319" s="32" t="s">
        <v>1229</v>
      </c>
      <c r="D1319" s="33" t="s">
        <v>1639</v>
      </c>
      <c r="E1319" s="33">
        <v>53</v>
      </c>
      <c r="F1319" s="33">
        <v>1329</v>
      </c>
      <c r="G1319" s="33">
        <v>123</v>
      </c>
      <c r="H1319" s="33" t="s">
        <v>1639</v>
      </c>
      <c r="I1319" s="33">
        <v>1528</v>
      </c>
      <c r="K1319" t="b">
        <f>QHPSelections2016[[#This Row],[County Name]]=P1319</f>
        <v>1</v>
      </c>
      <c r="L1319" t="b">
        <f>QHPSelections2016[[#This Row],[Silver]]=S1319</f>
        <v>1</v>
      </c>
      <c r="N1319">
        <v>37165</v>
      </c>
      <c r="O1319" t="s">
        <v>1548</v>
      </c>
      <c r="P1319" t="s">
        <v>1229</v>
      </c>
      <c r="R1319">
        <v>53</v>
      </c>
      <c r="S1319" s="51">
        <v>1329</v>
      </c>
      <c r="T1319">
        <v>123</v>
      </c>
      <c r="V1319" s="51">
        <v>1528</v>
      </c>
    </row>
    <row r="1320" spans="1:22">
      <c r="A1320" s="32" t="s">
        <v>3386</v>
      </c>
      <c r="B1320" s="32" t="s">
        <v>1548</v>
      </c>
      <c r="C1320" s="32" t="s">
        <v>1232</v>
      </c>
      <c r="D1320" s="33" t="s">
        <v>1639</v>
      </c>
      <c r="E1320" s="33">
        <v>101</v>
      </c>
      <c r="F1320" s="33">
        <v>2625</v>
      </c>
      <c r="G1320" s="33">
        <v>708</v>
      </c>
      <c r="H1320" s="33" t="s">
        <v>1639</v>
      </c>
      <c r="I1320" s="33">
        <v>3483</v>
      </c>
      <c r="K1320" t="b">
        <f>QHPSelections2016[[#This Row],[County Name]]=P1320</f>
        <v>1</v>
      </c>
      <c r="L1320" t="b">
        <f>QHPSelections2016[[#This Row],[Silver]]=S1320</f>
        <v>1</v>
      </c>
      <c r="N1320">
        <v>37167</v>
      </c>
      <c r="O1320" t="s">
        <v>1548</v>
      </c>
      <c r="P1320" t="s">
        <v>1232</v>
      </c>
      <c r="R1320">
        <v>101</v>
      </c>
      <c r="S1320" s="51">
        <v>2625</v>
      </c>
      <c r="T1320">
        <v>708</v>
      </c>
      <c r="V1320" s="51">
        <v>3483</v>
      </c>
    </row>
    <row r="1321" spans="1:22">
      <c r="A1321" s="32" t="s">
        <v>3387</v>
      </c>
      <c r="B1321" s="32" t="s">
        <v>1548</v>
      </c>
      <c r="C1321" s="32" t="s">
        <v>1235</v>
      </c>
      <c r="D1321" s="33">
        <v>26</v>
      </c>
      <c r="E1321" s="33">
        <v>65</v>
      </c>
      <c r="F1321" s="33">
        <v>2222</v>
      </c>
      <c r="G1321" s="33">
        <v>296</v>
      </c>
      <c r="H1321" s="33">
        <v>26</v>
      </c>
      <c r="I1321" s="33">
        <v>2635</v>
      </c>
      <c r="K1321" t="b">
        <f>QHPSelections2016[[#This Row],[County Name]]=P1321</f>
        <v>1</v>
      </c>
      <c r="L1321" t="b">
        <f>QHPSelections2016[[#This Row],[Silver]]=S1321</f>
        <v>1</v>
      </c>
      <c r="N1321">
        <v>37169</v>
      </c>
      <c r="O1321" t="s">
        <v>1548</v>
      </c>
      <c r="P1321" t="s">
        <v>1235</v>
      </c>
      <c r="Q1321">
        <v>26</v>
      </c>
      <c r="R1321">
        <v>65</v>
      </c>
      <c r="S1321" s="51">
        <v>2222</v>
      </c>
      <c r="T1321">
        <v>296</v>
      </c>
      <c r="U1321">
        <v>26</v>
      </c>
      <c r="V1321" s="51">
        <v>2635</v>
      </c>
    </row>
    <row r="1322" spans="1:22">
      <c r="A1322" s="32" t="s">
        <v>3388</v>
      </c>
      <c r="B1322" s="32" t="s">
        <v>1548</v>
      </c>
      <c r="C1322" s="32" t="s">
        <v>1239</v>
      </c>
      <c r="D1322" s="33">
        <v>23</v>
      </c>
      <c r="E1322" s="33">
        <v>102</v>
      </c>
      <c r="F1322" s="33">
        <v>3425</v>
      </c>
      <c r="G1322" s="33">
        <v>543</v>
      </c>
      <c r="H1322" s="33">
        <v>45</v>
      </c>
      <c r="I1322" s="33">
        <v>4138</v>
      </c>
      <c r="K1322" t="b">
        <f>QHPSelections2016[[#This Row],[County Name]]=P1322</f>
        <v>1</v>
      </c>
      <c r="L1322" t="b">
        <f>QHPSelections2016[[#This Row],[Silver]]=S1322</f>
        <v>1</v>
      </c>
      <c r="N1322">
        <v>37171</v>
      </c>
      <c r="O1322" t="s">
        <v>1548</v>
      </c>
      <c r="P1322" t="s">
        <v>1239</v>
      </c>
      <c r="Q1322">
        <v>23</v>
      </c>
      <c r="R1322">
        <v>102</v>
      </c>
      <c r="S1322" s="51">
        <v>3425</v>
      </c>
      <c r="T1322">
        <v>543</v>
      </c>
      <c r="U1322">
        <v>45</v>
      </c>
      <c r="V1322" s="51">
        <v>4138</v>
      </c>
    </row>
    <row r="1323" spans="1:22">
      <c r="A1323" s="32" t="s">
        <v>3389</v>
      </c>
      <c r="B1323" s="32" t="s">
        <v>1548</v>
      </c>
      <c r="C1323" s="32" t="s">
        <v>1243</v>
      </c>
      <c r="D1323" s="33" t="s">
        <v>1639</v>
      </c>
      <c r="E1323" s="33" t="s">
        <v>1639</v>
      </c>
      <c r="F1323" s="33">
        <v>651</v>
      </c>
      <c r="G1323" s="33">
        <v>148</v>
      </c>
      <c r="H1323" s="33" t="s">
        <v>1639</v>
      </c>
      <c r="I1323" s="33">
        <v>819</v>
      </c>
      <c r="K1323" t="b">
        <f>QHPSelections2016[[#This Row],[County Name]]=P1323</f>
        <v>1</v>
      </c>
      <c r="L1323" t="b">
        <f>QHPSelections2016[[#This Row],[Silver]]=S1323</f>
        <v>1</v>
      </c>
      <c r="N1323">
        <v>37173</v>
      </c>
      <c r="O1323" t="s">
        <v>1548</v>
      </c>
      <c r="P1323" t="s">
        <v>1243</v>
      </c>
      <c r="S1323">
        <v>651</v>
      </c>
      <c r="T1323">
        <v>148</v>
      </c>
      <c r="V1323">
        <v>819</v>
      </c>
    </row>
    <row r="1324" spans="1:22">
      <c r="A1324" s="32" t="s">
        <v>3390</v>
      </c>
      <c r="B1324" s="32" t="s">
        <v>1548</v>
      </c>
      <c r="C1324" s="32" t="s">
        <v>1245</v>
      </c>
      <c r="D1324" s="33" t="s">
        <v>1639</v>
      </c>
      <c r="E1324" s="33">
        <v>53</v>
      </c>
      <c r="F1324" s="33">
        <v>1969</v>
      </c>
      <c r="G1324" s="33">
        <v>588</v>
      </c>
      <c r="H1324" s="33" t="s">
        <v>1639</v>
      </c>
      <c r="I1324" s="33">
        <v>2644</v>
      </c>
      <c r="K1324" t="b">
        <f>QHPSelections2016[[#This Row],[County Name]]=P1324</f>
        <v>1</v>
      </c>
      <c r="L1324" t="b">
        <f>QHPSelections2016[[#This Row],[Silver]]=S1324</f>
        <v>1</v>
      </c>
      <c r="N1324">
        <v>37175</v>
      </c>
      <c r="O1324" t="s">
        <v>1548</v>
      </c>
      <c r="P1324" t="s">
        <v>1245</v>
      </c>
      <c r="R1324">
        <v>53</v>
      </c>
      <c r="S1324" s="51">
        <v>1969</v>
      </c>
      <c r="T1324">
        <v>588</v>
      </c>
      <c r="V1324" s="51">
        <v>2644</v>
      </c>
    </row>
    <row r="1325" spans="1:22">
      <c r="A1325" s="32" t="s">
        <v>3391</v>
      </c>
      <c r="B1325" s="32" t="s">
        <v>1548</v>
      </c>
      <c r="C1325" s="32" t="s">
        <v>1248</v>
      </c>
      <c r="D1325" s="33" t="s">
        <v>1639</v>
      </c>
      <c r="E1325" s="33" t="s">
        <v>1639</v>
      </c>
      <c r="F1325" s="33">
        <v>376</v>
      </c>
      <c r="G1325" s="33">
        <v>21</v>
      </c>
      <c r="H1325" s="33" t="s">
        <v>1639</v>
      </c>
      <c r="I1325" s="33">
        <v>408</v>
      </c>
      <c r="K1325" t="b">
        <f>QHPSelections2016[[#This Row],[County Name]]=P1325</f>
        <v>1</v>
      </c>
      <c r="L1325" t="b">
        <f>QHPSelections2016[[#This Row],[Silver]]=S1325</f>
        <v>1</v>
      </c>
      <c r="N1325">
        <v>37177</v>
      </c>
      <c r="O1325" t="s">
        <v>1548</v>
      </c>
      <c r="P1325" t="s">
        <v>1248</v>
      </c>
      <c r="S1325">
        <v>376</v>
      </c>
      <c r="T1325">
        <v>21</v>
      </c>
      <c r="V1325">
        <v>408</v>
      </c>
    </row>
    <row r="1326" spans="1:22">
      <c r="A1326" s="32" t="s">
        <v>3392</v>
      </c>
      <c r="B1326" s="32" t="s">
        <v>1548</v>
      </c>
      <c r="C1326" s="32" t="s">
        <v>1149</v>
      </c>
      <c r="D1326" s="33">
        <v>138</v>
      </c>
      <c r="E1326" s="33">
        <v>714</v>
      </c>
      <c r="F1326" s="33">
        <v>11595</v>
      </c>
      <c r="G1326" s="33">
        <v>3361</v>
      </c>
      <c r="H1326" s="33">
        <v>197</v>
      </c>
      <c r="I1326" s="33">
        <v>16005</v>
      </c>
      <c r="K1326" t="b">
        <f>QHPSelections2016[[#This Row],[County Name]]=P1326</f>
        <v>1</v>
      </c>
      <c r="L1326" t="b">
        <f>QHPSelections2016[[#This Row],[Silver]]=S1326</f>
        <v>1</v>
      </c>
      <c r="N1326">
        <v>37179</v>
      </c>
      <c r="O1326" t="s">
        <v>1548</v>
      </c>
      <c r="P1326" t="s">
        <v>1149</v>
      </c>
      <c r="Q1326">
        <v>138</v>
      </c>
      <c r="R1326">
        <v>714</v>
      </c>
      <c r="S1326" s="51">
        <v>11595</v>
      </c>
      <c r="T1326" s="51">
        <v>3361</v>
      </c>
      <c r="U1326">
        <v>197</v>
      </c>
      <c r="V1326" s="51">
        <v>16005</v>
      </c>
    </row>
    <row r="1327" spans="1:22">
      <c r="A1327" s="32" t="s">
        <v>3393</v>
      </c>
      <c r="B1327" s="32" t="s">
        <v>1548</v>
      </c>
      <c r="C1327" s="32" t="s">
        <v>1252</v>
      </c>
      <c r="D1327" s="33" t="s">
        <v>1639</v>
      </c>
      <c r="E1327" s="33">
        <v>53</v>
      </c>
      <c r="F1327" s="33">
        <v>1660</v>
      </c>
      <c r="G1327" s="33">
        <v>577</v>
      </c>
      <c r="H1327" s="33" t="s">
        <v>1639</v>
      </c>
      <c r="I1327" s="33">
        <v>2335</v>
      </c>
      <c r="K1327" t="b">
        <f>QHPSelections2016[[#This Row],[County Name]]=P1327</f>
        <v>1</v>
      </c>
      <c r="L1327" t="b">
        <f>QHPSelections2016[[#This Row],[Silver]]=S1327</f>
        <v>1</v>
      </c>
      <c r="N1327">
        <v>37181</v>
      </c>
      <c r="O1327" t="s">
        <v>1548</v>
      </c>
      <c r="P1327" t="s">
        <v>1252</v>
      </c>
      <c r="R1327">
        <v>53</v>
      </c>
      <c r="S1327" s="51">
        <v>1660</v>
      </c>
      <c r="T1327">
        <v>577</v>
      </c>
      <c r="V1327" s="51">
        <v>2335</v>
      </c>
    </row>
    <row r="1328" spans="1:22">
      <c r="A1328" s="32" t="s">
        <v>3394</v>
      </c>
      <c r="B1328" s="32" t="s">
        <v>1548</v>
      </c>
      <c r="C1328" s="32" t="s">
        <v>1254</v>
      </c>
      <c r="D1328" s="33">
        <v>596</v>
      </c>
      <c r="E1328" s="33">
        <v>3304</v>
      </c>
      <c r="F1328" s="33">
        <v>45699</v>
      </c>
      <c r="G1328" s="33">
        <v>14598</v>
      </c>
      <c r="H1328" s="33">
        <v>1694</v>
      </c>
      <c r="I1328" s="33">
        <v>65891</v>
      </c>
      <c r="K1328" t="b">
        <f>QHPSelections2016[[#This Row],[County Name]]=P1328</f>
        <v>1</v>
      </c>
      <c r="L1328" t="b">
        <f>QHPSelections2016[[#This Row],[Silver]]=S1328</f>
        <v>1</v>
      </c>
      <c r="N1328">
        <v>37183</v>
      </c>
      <c r="O1328" t="s">
        <v>1548</v>
      </c>
      <c r="P1328" t="s">
        <v>1254</v>
      </c>
      <c r="Q1328">
        <v>596</v>
      </c>
      <c r="R1328" s="51">
        <v>3304</v>
      </c>
      <c r="S1328" s="51">
        <v>45699</v>
      </c>
      <c r="T1328" s="51">
        <v>14598</v>
      </c>
      <c r="U1328" s="51">
        <v>1694</v>
      </c>
      <c r="V1328" s="51">
        <v>65891</v>
      </c>
    </row>
    <row r="1329" spans="1:22">
      <c r="A1329" s="32" t="s">
        <v>3395</v>
      </c>
      <c r="B1329" s="32" t="s">
        <v>1548</v>
      </c>
      <c r="C1329" s="32" t="s">
        <v>1205</v>
      </c>
      <c r="D1329" s="33">
        <v>0</v>
      </c>
      <c r="E1329" s="33">
        <v>27</v>
      </c>
      <c r="F1329" s="33">
        <v>662</v>
      </c>
      <c r="G1329" s="33">
        <v>150</v>
      </c>
      <c r="H1329" s="33">
        <v>12</v>
      </c>
      <c r="I1329" s="33">
        <v>851</v>
      </c>
      <c r="K1329" t="b">
        <f>QHPSelections2016[[#This Row],[County Name]]=P1329</f>
        <v>1</v>
      </c>
      <c r="L1329" t="b">
        <f>QHPSelections2016[[#This Row],[Silver]]=S1329</f>
        <v>1</v>
      </c>
      <c r="N1329">
        <v>37185</v>
      </c>
      <c r="O1329" t="s">
        <v>1548</v>
      </c>
      <c r="P1329" t="s">
        <v>1205</v>
      </c>
      <c r="Q1329">
        <v>0</v>
      </c>
      <c r="R1329">
        <v>27</v>
      </c>
      <c r="S1329">
        <v>662</v>
      </c>
      <c r="T1329">
        <v>150</v>
      </c>
      <c r="U1329">
        <v>12</v>
      </c>
      <c r="V1329">
        <v>851</v>
      </c>
    </row>
    <row r="1330" spans="1:22">
      <c r="A1330" s="32" t="s">
        <v>3396</v>
      </c>
      <c r="B1330" s="32" t="s">
        <v>1548</v>
      </c>
      <c r="C1330" s="32" t="s">
        <v>1160</v>
      </c>
      <c r="D1330" s="33" t="s">
        <v>1639</v>
      </c>
      <c r="E1330" s="33">
        <v>13</v>
      </c>
      <c r="F1330" s="33">
        <v>700</v>
      </c>
      <c r="G1330" s="33">
        <v>52</v>
      </c>
      <c r="H1330" s="33" t="s">
        <v>1639</v>
      </c>
      <c r="I1330" s="33">
        <v>778</v>
      </c>
      <c r="K1330" t="b">
        <f>QHPSelections2016[[#This Row],[County Name]]=P1330</f>
        <v>1</v>
      </c>
      <c r="L1330" t="b">
        <f>QHPSelections2016[[#This Row],[Silver]]=S1330</f>
        <v>1</v>
      </c>
      <c r="N1330">
        <v>37187</v>
      </c>
      <c r="O1330" t="s">
        <v>1548</v>
      </c>
      <c r="P1330" t="s">
        <v>1160</v>
      </c>
      <c r="R1330">
        <v>13</v>
      </c>
      <c r="S1330">
        <v>700</v>
      </c>
      <c r="T1330">
        <v>52</v>
      </c>
      <c r="V1330">
        <v>778</v>
      </c>
    </row>
    <row r="1331" spans="1:22">
      <c r="A1331" s="32" t="s">
        <v>3397</v>
      </c>
      <c r="B1331" s="32" t="s">
        <v>1548</v>
      </c>
      <c r="C1331" s="32" t="s">
        <v>1264</v>
      </c>
      <c r="D1331" s="33">
        <v>17</v>
      </c>
      <c r="E1331" s="33">
        <v>96</v>
      </c>
      <c r="F1331" s="33">
        <v>2850</v>
      </c>
      <c r="G1331" s="33">
        <v>622</v>
      </c>
      <c r="H1331" s="33">
        <v>54</v>
      </c>
      <c r="I1331" s="33">
        <v>3639</v>
      </c>
      <c r="K1331" t="b">
        <f>QHPSelections2016[[#This Row],[County Name]]=P1331</f>
        <v>1</v>
      </c>
      <c r="L1331" t="b">
        <f>QHPSelections2016[[#This Row],[Silver]]=S1331</f>
        <v>1</v>
      </c>
      <c r="N1331">
        <v>37189</v>
      </c>
      <c r="O1331" t="s">
        <v>1548</v>
      </c>
      <c r="P1331" t="s">
        <v>1264</v>
      </c>
      <c r="Q1331">
        <v>17</v>
      </c>
      <c r="R1331">
        <v>96</v>
      </c>
      <c r="S1331" s="51">
        <v>2850</v>
      </c>
      <c r="T1331">
        <v>622</v>
      </c>
      <c r="U1331">
        <v>54</v>
      </c>
      <c r="V1331" s="51">
        <v>3639</v>
      </c>
    </row>
    <row r="1332" spans="1:22">
      <c r="A1332" s="32" t="s">
        <v>3398</v>
      </c>
      <c r="B1332" s="32" t="s">
        <v>1548</v>
      </c>
      <c r="C1332" s="32" t="s">
        <v>1209</v>
      </c>
      <c r="D1332" s="33">
        <v>23</v>
      </c>
      <c r="E1332" s="33">
        <v>122</v>
      </c>
      <c r="F1332" s="33">
        <v>3640</v>
      </c>
      <c r="G1332" s="33">
        <v>599</v>
      </c>
      <c r="H1332" s="33">
        <v>73</v>
      </c>
      <c r="I1332" s="33">
        <v>4457</v>
      </c>
      <c r="K1332" t="b">
        <f>QHPSelections2016[[#This Row],[County Name]]=P1332</f>
        <v>1</v>
      </c>
      <c r="L1332" t="b">
        <f>QHPSelections2016[[#This Row],[Silver]]=S1332</f>
        <v>1</v>
      </c>
      <c r="N1332">
        <v>37191</v>
      </c>
      <c r="O1332" t="s">
        <v>1548</v>
      </c>
      <c r="P1332" t="s">
        <v>1209</v>
      </c>
      <c r="Q1332">
        <v>23</v>
      </c>
      <c r="R1332">
        <v>122</v>
      </c>
      <c r="S1332" s="51">
        <v>3640</v>
      </c>
      <c r="T1332">
        <v>599</v>
      </c>
      <c r="U1332">
        <v>73</v>
      </c>
      <c r="V1332" s="51">
        <v>4457</v>
      </c>
    </row>
    <row r="1333" spans="1:22">
      <c r="A1333" s="32" t="s">
        <v>3399</v>
      </c>
      <c r="B1333" s="32" t="s">
        <v>1548</v>
      </c>
      <c r="C1333" s="32" t="s">
        <v>1266</v>
      </c>
      <c r="D1333" s="33">
        <v>16</v>
      </c>
      <c r="E1333" s="33">
        <v>78</v>
      </c>
      <c r="F1333" s="33">
        <v>3649</v>
      </c>
      <c r="G1333" s="33">
        <v>413</v>
      </c>
      <c r="H1333" s="33">
        <v>21</v>
      </c>
      <c r="I1333" s="33">
        <v>4177</v>
      </c>
      <c r="K1333" t="b">
        <f>QHPSelections2016[[#This Row],[County Name]]=P1333</f>
        <v>1</v>
      </c>
      <c r="L1333" t="b">
        <f>QHPSelections2016[[#This Row],[Silver]]=S1333</f>
        <v>1</v>
      </c>
      <c r="N1333">
        <v>37193</v>
      </c>
      <c r="O1333" t="s">
        <v>1548</v>
      </c>
      <c r="P1333" t="s">
        <v>1266</v>
      </c>
      <c r="Q1333">
        <v>16</v>
      </c>
      <c r="R1333">
        <v>78</v>
      </c>
      <c r="S1333" s="51">
        <v>3649</v>
      </c>
      <c r="T1333">
        <v>413</v>
      </c>
      <c r="U1333">
        <v>21</v>
      </c>
      <c r="V1333" s="51">
        <v>4177</v>
      </c>
    </row>
    <row r="1334" spans="1:22">
      <c r="A1334" s="32" t="s">
        <v>3400</v>
      </c>
      <c r="B1334" s="32" t="s">
        <v>1548</v>
      </c>
      <c r="C1334" s="32" t="s">
        <v>1265</v>
      </c>
      <c r="D1334" s="33">
        <v>20</v>
      </c>
      <c r="E1334" s="33">
        <v>118</v>
      </c>
      <c r="F1334" s="33">
        <v>3457</v>
      </c>
      <c r="G1334" s="33">
        <v>494</v>
      </c>
      <c r="H1334" s="33">
        <v>77</v>
      </c>
      <c r="I1334" s="33">
        <v>4166</v>
      </c>
      <c r="K1334" t="b">
        <f>QHPSelections2016[[#This Row],[County Name]]=P1334</f>
        <v>1</v>
      </c>
      <c r="L1334" t="b">
        <f>QHPSelections2016[[#This Row],[Silver]]=S1334</f>
        <v>1</v>
      </c>
      <c r="N1334">
        <v>37195</v>
      </c>
      <c r="O1334" t="s">
        <v>1548</v>
      </c>
      <c r="P1334" t="s">
        <v>1265</v>
      </c>
      <c r="Q1334">
        <v>20</v>
      </c>
      <c r="R1334">
        <v>118</v>
      </c>
      <c r="S1334" s="51">
        <v>3457</v>
      </c>
      <c r="T1334">
        <v>494</v>
      </c>
      <c r="U1334">
        <v>77</v>
      </c>
      <c r="V1334" s="51">
        <v>4166</v>
      </c>
    </row>
    <row r="1335" spans="1:22">
      <c r="A1335" s="32" t="s">
        <v>3401</v>
      </c>
      <c r="B1335" s="32" t="s">
        <v>1548</v>
      </c>
      <c r="C1335" s="32" t="s">
        <v>1269</v>
      </c>
      <c r="D1335" s="33">
        <v>16</v>
      </c>
      <c r="E1335" s="33">
        <v>49</v>
      </c>
      <c r="F1335" s="33">
        <v>1687</v>
      </c>
      <c r="G1335" s="33">
        <v>230</v>
      </c>
      <c r="H1335" s="33">
        <v>24</v>
      </c>
      <c r="I1335" s="33">
        <v>2006</v>
      </c>
      <c r="K1335" t="b">
        <f>QHPSelections2016[[#This Row],[County Name]]=P1335</f>
        <v>1</v>
      </c>
      <c r="L1335" t="b">
        <f>QHPSelections2016[[#This Row],[Silver]]=S1335</f>
        <v>1</v>
      </c>
      <c r="N1335">
        <v>37197</v>
      </c>
      <c r="O1335" t="s">
        <v>1548</v>
      </c>
      <c r="P1335" t="s">
        <v>1269</v>
      </c>
      <c r="Q1335">
        <v>16</v>
      </c>
      <c r="R1335">
        <v>49</v>
      </c>
      <c r="S1335" s="51">
        <v>1687</v>
      </c>
      <c r="T1335">
        <v>230</v>
      </c>
      <c r="U1335">
        <v>24</v>
      </c>
      <c r="V1335" s="51">
        <v>2006</v>
      </c>
    </row>
    <row r="1336" spans="1:22">
      <c r="A1336" s="32" t="s">
        <v>3402</v>
      </c>
      <c r="B1336" s="32" t="s">
        <v>1548</v>
      </c>
      <c r="C1336" s="32" t="s">
        <v>1271</v>
      </c>
      <c r="D1336" s="33" t="s">
        <v>1639</v>
      </c>
      <c r="E1336" s="33">
        <v>33</v>
      </c>
      <c r="F1336" s="33">
        <v>996</v>
      </c>
      <c r="G1336" s="33">
        <v>222</v>
      </c>
      <c r="H1336" s="33" t="s">
        <v>1639</v>
      </c>
      <c r="I1336" s="33">
        <v>1269</v>
      </c>
      <c r="K1336" t="b">
        <f>QHPSelections2016[[#This Row],[County Name]]=P1336</f>
        <v>1</v>
      </c>
      <c r="L1336" t="b">
        <f>QHPSelections2016[[#This Row],[Silver]]=S1336</f>
        <v>1</v>
      </c>
      <c r="N1336">
        <v>37199</v>
      </c>
      <c r="O1336" t="s">
        <v>1548</v>
      </c>
      <c r="P1336" t="s">
        <v>1271</v>
      </c>
      <c r="R1336">
        <v>33</v>
      </c>
      <c r="S1336">
        <v>996</v>
      </c>
      <c r="T1336">
        <v>222</v>
      </c>
      <c r="V1336" s="51">
        <v>1269</v>
      </c>
    </row>
    <row r="1337" spans="1:22">
      <c r="A1337" s="32" t="s">
        <v>3403</v>
      </c>
      <c r="B1337" s="32" t="s">
        <v>3404</v>
      </c>
      <c r="C1337" s="32" t="s">
        <v>820</v>
      </c>
      <c r="D1337" s="33">
        <v>0</v>
      </c>
      <c r="E1337" s="33">
        <v>23</v>
      </c>
      <c r="F1337" s="33">
        <v>79</v>
      </c>
      <c r="G1337" s="33">
        <v>22</v>
      </c>
      <c r="H1337" s="33">
        <v>0</v>
      </c>
      <c r="I1337" s="33">
        <v>124</v>
      </c>
      <c r="K1337" t="b">
        <f>QHPSelections2016[[#This Row],[County Name]]=P1337</f>
        <v>1</v>
      </c>
      <c r="L1337" t="b">
        <f>QHPSelections2016[[#This Row],[Silver]]=S1337</f>
        <v>1</v>
      </c>
      <c r="N1337">
        <v>38001</v>
      </c>
      <c r="O1337" t="s">
        <v>3404</v>
      </c>
      <c r="P1337" t="s">
        <v>820</v>
      </c>
      <c r="Q1337">
        <v>0</v>
      </c>
      <c r="R1337">
        <v>23</v>
      </c>
      <c r="S1337">
        <v>79</v>
      </c>
      <c r="T1337">
        <v>22</v>
      </c>
      <c r="U1337">
        <v>0</v>
      </c>
      <c r="V1337">
        <v>124</v>
      </c>
    </row>
    <row r="1338" spans="1:22">
      <c r="A1338" s="32" t="s">
        <v>3405</v>
      </c>
      <c r="B1338" s="32" t="s">
        <v>3404</v>
      </c>
      <c r="C1338" s="32" t="s">
        <v>3406</v>
      </c>
      <c r="D1338" s="33">
        <v>0</v>
      </c>
      <c r="E1338" s="33" t="s">
        <v>1639</v>
      </c>
      <c r="F1338" s="33">
        <v>163</v>
      </c>
      <c r="G1338" s="33">
        <v>116</v>
      </c>
      <c r="H1338" s="33" t="s">
        <v>1639</v>
      </c>
      <c r="I1338" s="33">
        <v>367</v>
      </c>
      <c r="K1338" t="b">
        <f>QHPSelections2016[[#This Row],[County Name]]=P1338</f>
        <v>1</v>
      </c>
      <c r="L1338" t="b">
        <f>QHPSelections2016[[#This Row],[Silver]]=S1338</f>
        <v>1</v>
      </c>
      <c r="N1338">
        <v>38003</v>
      </c>
      <c r="O1338" t="s">
        <v>3404</v>
      </c>
      <c r="P1338" t="s">
        <v>3406</v>
      </c>
      <c r="Q1338">
        <v>0</v>
      </c>
      <c r="S1338">
        <v>163</v>
      </c>
      <c r="T1338">
        <v>116</v>
      </c>
      <c r="V1338">
        <v>367</v>
      </c>
    </row>
    <row r="1339" spans="1:22">
      <c r="A1339" s="32" t="s">
        <v>3407</v>
      </c>
      <c r="B1339" s="32" t="s">
        <v>3404</v>
      </c>
      <c r="C1339" s="32" t="s">
        <v>3408</v>
      </c>
      <c r="D1339" s="33">
        <v>0</v>
      </c>
      <c r="E1339" s="33" t="s">
        <v>1639</v>
      </c>
      <c r="F1339" s="33">
        <v>65</v>
      </c>
      <c r="G1339" s="33">
        <v>46</v>
      </c>
      <c r="H1339" s="33" t="s">
        <v>1639</v>
      </c>
      <c r="I1339" s="33">
        <v>149</v>
      </c>
      <c r="K1339" t="b">
        <f>QHPSelections2016[[#This Row],[County Name]]=P1339</f>
        <v>1</v>
      </c>
      <c r="L1339" t="b">
        <f>QHPSelections2016[[#This Row],[Silver]]=S1339</f>
        <v>1</v>
      </c>
      <c r="N1339">
        <v>38005</v>
      </c>
      <c r="O1339" t="s">
        <v>3404</v>
      </c>
      <c r="P1339" t="s">
        <v>3408</v>
      </c>
      <c r="Q1339">
        <v>0</v>
      </c>
      <c r="S1339">
        <v>65</v>
      </c>
      <c r="T1339">
        <v>46</v>
      </c>
      <c r="V1339">
        <v>149</v>
      </c>
    </row>
    <row r="1340" spans="1:22">
      <c r="A1340" s="32" t="s">
        <v>3409</v>
      </c>
      <c r="B1340" s="32" t="s">
        <v>3404</v>
      </c>
      <c r="C1340" s="32" t="s">
        <v>3410</v>
      </c>
      <c r="D1340" s="33">
        <v>0</v>
      </c>
      <c r="E1340" s="33">
        <v>13</v>
      </c>
      <c r="F1340" s="33">
        <v>16</v>
      </c>
      <c r="G1340" s="33" t="s">
        <v>1639</v>
      </c>
      <c r="H1340" s="33" t="s">
        <v>1639</v>
      </c>
      <c r="I1340" s="33">
        <v>40</v>
      </c>
      <c r="K1340" t="b">
        <f>QHPSelections2016[[#This Row],[County Name]]=P1340</f>
        <v>1</v>
      </c>
      <c r="L1340" t="b">
        <f>QHPSelections2016[[#This Row],[Silver]]=S1340</f>
        <v>1</v>
      </c>
      <c r="N1340">
        <v>38007</v>
      </c>
      <c r="O1340" t="s">
        <v>3404</v>
      </c>
      <c r="P1340" t="s">
        <v>3410</v>
      </c>
      <c r="Q1340">
        <v>0</v>
      </c>
      <c r="R1340">
        <v>13</v>
      </c>
      <c r="S1340">
        <v>16</v>
      </c>
      <c r="V1340">
        <v>40</v>
      </c>
    </row>
    <row r="1341" spans="1:22">
      <c r="A1341" s="32" t="s">
        <v>3411</v>
      </c>
      <c r="B1341" s="32" t="s">
        <v>3404</v>
      </c>
      <c r="C1341" s="32" t="s">
        <v>3412</v>
      </c>
      <c r="D1341" s="33">
        <v>0</v>
      </c>
      <c r="E1341" s="33" t="s">
        <v>1639</v>
      </c>
      <c r="F1341" s="33">
        <v>129</v>
      </c>
      <c r="G1341" s="33">
        <v>54</v>
      </c>
      <c r="H1341" s="33" t="s">
        <v>1639</v>
      </c>
      <c r="I1341" s="33">
        <v>233</v>
      </c>
      <c r="K1341" t="b">
        <f>QHPSelections2016[[#This Row],[County Name]]=P1341</f>
        <v>1</v>
      </c>
      <c r="L1341" t="b">
        <f>QHPSelections2016[[#This Row],[Silver]]=S1341</f>
        <v>1</v>
      </c>
      <c r="N1341">
        <v>38009</v>
      </c>
      <c r="O1341" t="s">
        <v>3404</v>
      </c>
      <c r="P1341" t="s">
        <v>3412</v>
      </c>
      <c r="Q1341">
        <v>0</v>
      </c>
      <c r="S1341">
        <v>129</v>
      </c>
      <c r="T1341">
        <v>54</v>
      </c>
      <c r="V1341">
        <v>233</v>
      </c>
    </row>
    <row r="1342" spans="1:22">
      <c r="A1342" s="32" t="s">
        <v>3413</v>
      </c>
      <c r="B1342" s="32" t="s">
        <v>3404</v>
      </c>
      <c r="C1342" s="32" t="s">
        <v>3414</v>
      </c>
      <c r="D1342" s="33">
        <v>0</v>
      </c>
      <c r="E1342" s="33">
        <v>46</v>
      </c>
      <c r="F1342" s="33">
        <v>97</v>
      </c>
      <c r="G1342" s="33" t="s">
        <v>1639</v>
      </c>
      <c r="H1342" s="33" t="s">
        <v>1639</v>
      </c>
      <c r="I1342" s="33">
        <v>172</v>
      </c>
      <c r="K1342" t="b">
        <f>QHPSelections2016[[#This Row],[County Name]]=P1342</f>
        <v>1</v>
      </c>
      <c r="L1342" t="b">
        <f>QHPSelections2016[[#This Row],[Silver]]=S1342</f>
        <v>1</v>
      </c>
      <c r="N1342">
        <v>38011</v>
      </c>
      <c r="O1342" t="s">
        <v>3404</v>
      </c>
      <c r="P1342" t="s">
        <v>3414</v>
      </c>
      <c r="Q1342">
        <v>0</v>
      </c>
      <c r="R1342">
        <v>46</v>
      </c>
      <c r="S1342">
        <v>97</v>
      </c>
      <c r="V1342">
        <v>172</v>
      </c>
    </row>
    <row r="1343" spans="1:22">
      <c r="A1343" s="32" t="s">
        <v>3415</v>
      </c>
      <c r="B1343" s="32" t="s">
        <v>3404</v>
      </c>
      <c r="C1343" s="32" t="s">
        <v>888</v>
      </c>
      <c r="D1343" s="33">
        <v>0</v>
      </c>
      <c r="E1343" s="33">
        <v>18</v>
      </c>
      <c r="F1343" s="33">
        <v>30</v>
      </c>
      <c r="G1343" s="33" t="s">
        <v>1639</v>
      </c>
      <c r="H1343" s="33" t="s">
        <v>1639</v>
      </c>
      <c r="I1343" s="33">
        <v>55</v>
      </c>
      <c r="K1343" t="b">
        <f>QHPSelections2016[[#This Row],[County Name]]=P1343</f>
        <v>1</v>
      </c>
      <c r="L1343" t="b">
        <f>QHPSelections2016[[#This Row],[Silver]]=S1343</f>
        <v>1</v>
      </c>
      <c r="N1343">
        <v>38013</v>
      </c>
      <c r="O1343" t="s">
        <v>3404</v>
      </c>
      <c r="P1343" t="s">
        <v>888</v>
      </c>
      <c r="Q1343">
        <v>0</v>
      </c>
      <c r="R1343">
        <v>18</v>
      </c>
      <c r="S1343">
        <v>30</v>
      </c>
      <c r="V1343">
        <v>55</v>
      </c>
    </row>
    <row r="1344" spans="1:22">
      <c r="A1344" s="32" t="s">
        <v>3416</v>
      </c>
      <c r="B1344" s="32" t="s">
        <v>3404</v>
      </c>
      <c r="C1344" s="32" t="s">
        <v>3417</v>
      </c>
      <c r="D1344" s="33">
        <v>0</v>
      </c>
      <c r="E1344" s="33">
        <v>369</v>
      </c>
      <c r="F1344" s="33">
        <v>1128</v>
      </c>
      <c r="G1344" s="33">
        <v>605</v>
      </c>
      <c r="H1344" s="33">
        <v>63</v>
      </c>
      <c r="I1344" s="33">
        <v>2165</v>
      </c>
      <c r="K1344" t="b">
        <f>QHPSelections2016[[#This Row],[County Name]]=P1344</f>
        <v>1</v>
      </c>
      <c r="L1344" t="b">
        <f>QHPSelections2016[[#This Row],[Silver]]=S1344</f>
        <v>1</v>
      </c>
      <c r="N1344">
        <v>38015</v>
      </c>
      <c r="O1344" t="s">
        <v>3404</v>
      </c>
      <c r="P1344" t="s">
        <v>3417</v>
      </c>
      <c r="Q1344">
        <v>0</v>
      </c>
      <c r="R1344">
        <v>369</v>
      </c>
      <c r="S1344" s="51">
        <v>1128</v>
      </c>
      <c r="T1344">
        <v>605</v>
      </c>
      <c r="U1344">
        <v>63</v>
      </c>
      <c r="V1344" s="51">
        <v>2165</v>
      </c>
    </row>
    <row r="1345" spans="1:22">
      <c r="A1345" s="32" t="s">
        <v>3418</v>
      </c>
      <c r="B1345" s="32" t="s">
        <v>3404</v>
      </c>
      <c r="C1345" s="32" t="s">
        <v>1008</v>
      </c>
      <c r="D1345" s="33">
        <v>0</v>
      </c>
      <c r="E1345" s="33">
        <v>678</v>
      </c>
      <c r="F1345" s="33">
        <v>2455</v>
      </c>
      <c r="G1345" s="33">
        <v>1053</v>
      </c>
      <c r="H1345" s="33">
        <v>153</v>
      </c>
      <c r="I1345" s="33">
        <v>4339</v>
      </c>
      <c r="K1345" t="b">
        <f>QHPSelections2016[[#This Row],[County Name]]=P1345</f>
        <v>1</v>
      </c>
      <c r="L1345" t="b">
        <f>QHPSelections2016[[#This Row],[Silver]]=S1345</f>
        <v>1</v>
      </c>
      <c r="N1345">
        <v>38017</v>
      </c>
      <c r="O1345" t="s">
        <v>3404</v>
      </c>
      <c r="P1345" t="s">
        <v>1008</v>
      </c>
      <c r="Q1345">
        <v>0</v>
      </c>
      <c r="R1345">
        <v>678</v>
      </c>
      <c r="S1345" s="51">
        <v>2455</v>
      </c>
      <c r="T1345" s="51">
        <v>1053</v>
      </c>
      <c r="U1345">
        <v>153</v>
      </c>
      <c r="V1345" s="51">
        <v>4339</v>
      </c>
    </row>
    <row r="1346" spans="1:22">
      <c r="A1346" s="32" t="s">
        <v>3419</v>
      </c>
      <c r="B1346" s="32" t="s">
        <v>3404</v>
      </c>
      <c r="C1346" s="32" t="s">
        <v>3420</v>
      </c>
      <c r="D1346" s="33">
        <v>0</v>
      </c>
      <c r="E1346" s="33">
        <v>86</v>
      </c>
      <c r="F1346" s="33">
        <v>64</v>
      </c>
      <c r="G1346" s="33" t="s">
        <v>1639</v>
      </c>
      <c r="H1346" s="33" t="s">
        <v>1639</v>
      </c>
      <c r="I1346" s="33">
        <v>206</v>
      </c>
      <c r="K1346" t="b">
        <f>QHPSelections2016[[#This Row],[County Name]]=P1346</f>
        <v>1</v>
      </c>
      <c r="L1346" t="b">
        <f>QHPSelections2016[[#This Row],[Silver]]=S1346</f>
        <v>1</v>
      </c>
      <c r="N1346">
        <v>38019</v>
      </c>
      <c r="O1346" t="s">
        <v>3404</v>
      </c>
      <c r="P1346" t="s">
        <v>3420</v>
      </c>
      <c r="Q1346">
        <v>0</v>
      </c>
      <c r="R1346">
        <v>86</v>
      </c>
      <c r="S1346">
        <v>64</v>
      </c>
      <c r="V1346">
        <v>206</v>
      </c>
    </row>
    <row r="1347" spans="1:22">
      <c r="A1347" s="32" t="s">
        <v>3421</v>
      </c>
      <c r="B1347" s="32" t="s">
        <v>3404</v>
      </c>
      <c r="C1347" s="32" t="s">
        <v>3422</v>
      </c>
      <c r="D1347" s="33">
        <v>0</v>
      </c>
      <c r="E1347" s="33" t="s">
        <v>1639</v>
      </c>
      <c r="F1347" s="33">
        <v>171</v>
      </c>
      <c r="G1347" s="33">
        <v>78</v>
      </c>
      <c r="H1347" s="33" t="s">
        <v>1639</v>
      </c>
      <c r="I1347" s="33">
        <v>319</v>
      </c>
      <c r="K1347" t="b">
        <f>QHPSelections2016[[#This Row],[County Name]]=P1347</f>
        <v>1</v>
      </c>
      <c r="L1347" t="b">
        <f>QHPSelections2016[[#This Row],[Silver]]=S1347</f>
        <v>1</v>
      </c>
      <c r="N1347">
        <v>38021</v>
      </c>
      <c r="O1347" t="s">
        <v>3404</v>
      </c>
      <c r="P1347" t="s">
        <v>3422</v>
      </c>
      <c r="Q1347">
        <v>0</v>
      </c>
      <c r="S1347">
        <v>171</v>
      </c>
      <c r="T1347">
        <v>78</v>
      </c>
      <c r="V1347">
        <v>319</v>
      </c>
    </row>
    <row r="1348" spans="1:22">
      <c r="A1348" s="32" t="s">
        <v>3423</v>
      </c>
      <c r="B1348" s="32" t="s">
        <v>3404</v>
      </c>
      <c r="C1348" s="32" t="s">
        <v>3424</v>
      </c>
      <c r="D1348" s="33">
        <v>0</v>
      </c>
      <c r="E1348" s="33" t="s">
        <v>1639</v>
      </c>
      <c r="F1348" s="33">
        <v>47</v>
      </c>
      <c r="G1348" s="33">
        <v>29</v>
      </c>
      <c r="H1348" s="33" t="s">
        <v>1639</v>
      </c>
      <c r="I1348" s="33">
        <v>83</v>
      </c>
      <c r="K1348" t="b">
        <f>QHPSelections2016[[#This Row],[County Name]]=P1348</f>
        <v>1</v>
      </c>
      <c r="L1348" t="b">
        <f>QHPSelections2016[[#This Row],[Silver]]=S1348</f>
        <v>1</v>
      </c>
      <c r="N1348">
        <v>38023</v>
      </c>
      <c r="O1348" t="s">
        <v>3404</v>
      </c>
      <c r="P1348" t="s">
        <v>3424</v>
      </c>
      <c r="Q1348">
        <v>0</v>
      </c>
      <c r="S1348">
        <v>47</v>
      </c>
      <c r="T1348">
        <v>29</v>
      </c>
      <c r="V1348">
        <v>83</v>
      </c>
    </row>
    <row r="1349" spans="1:22">
      <c r="A1349" s="32" t="s">
        <v>3425</v>
      </c>
      <c r="B1349" s="32" t="s">
        <v>3404</v>
      </c>
      <c r="C1349" s="32" t="s">
        <v>3426</v>
      </c>
      <c r="D1349" s="33">
        <v>0</v>
      </c>
      <c r="E1349" s="33" t="s">
        <v>1639</v>
      </c>
      <c r="F1349" s="33">
        <v>63</v>
      </c>
      <c r="G1349" s="33">
        <v>46</v>
      </c>
      <c r="H1349" s="33" t="s">
        <v>1639</v>
      </c>
      <c r="I1349" s="33">
        <v>154</v>
      </c>
      <c r="K1349" t="b">
        <f>QHPSelections2016[[#This Row],[County Name]]=P1349</f>
        <v>1</v>
      </c>
      <c r="L1349" t="b">
        <f>QHPSelections2016[[#This Row],[Silver]]=S1349</f>
        <v>1</v>
      </c>
      <c r="N1349">
        <v>38025</v>
      </c>
      <c r="O1349" t="s">
        <v>3404</v>
      </c>
      <c r="P1349" t="s">
        <v>3426</v>
      </c>
      <c r="Q1349">
        <v>0</v>
      </c>
      <c r="S1349">
        <v>63</v>
      </c>
      <c r="T1349">
        <v>46</v>
      </c>
      <c r="V1349">
        <v>154</v>
      </c>
    </row>
    <row r="1350" spans="1:22">
      <c r="A1350" s="32" t="s">
        <v>3427</v>
      </c>
      <c r="B1350" s="32" t="s">
        <v>3404</v>
      </c>
      <c r="C1350" s="32" t="s">
        <v>3428</v>
      </c>
      <c r="D1350" s="33">
        <v>0</v>
      </c>
      <c r="E1350" s="33" t="s">
        <v>1639</v>
      </c>
      <c r="F1350" s="33">
        <v>59</v>
      </c>
      <c r="G1350" s="33">
        <v>13</v>
      </c>
      <c r="H1350" s="33" t="s">
        <v>1639</v>
      </c>
      <c r="I1350" s="33">
        <v>88</v>
      </c>
      <c r="K1350" t="b">
        <f>QHPSelections2016[[#This Row],[County Name]]=P1350</f>
        <v>1</v>
      </c>
      <c r="L1350" t="b">
        <f>QHPSelections2016[[#This Row],[Silver]]=S1350</f>
        <v>1</v>
      </c>
      <c r="N1350">
        <v>38027</v>
      </c>
      <c r="O1350" t="s">
        <v>3404</v>
      </c>
      <c r="P1350" t="s">
        <v>3428</v>
      </c>
      <c r="Q1350">
        <v>0</v>
      </c>
      <c r="S1350">
        <v>59</v>
      </c>
      <c r="T1350">
        <v>13</v>
      </c>
      <c r="V1350">
        <v>88</v>
      </c>
    </row>
    <row r="1351" spans="1:22">
      <c r="A1351" s="32" t="s">
        <v>3429</v>
      </c>
      <c r="B1351" s="32" t="s">
        <v>3404</v>
      </c>
      <c r="C1351" s="32" t="s">
        <v>3430</v>
      </c>
      <c r="D1351" s="33">
        <v>0</v>
      </c>
      <c r="E1351" s="33">
        <v>65</v>
      </c>
      <c r="F1351" s="33">
        <v>155</v>
      </c>
      <c r="G1351" s="33" t="s">
        <v>1639</v>
      </c>
      <c r="H1351" s="33" t="s">
        <v>1639</v>
      </c>
      <c r="I1351" s="33">
        <v>264</v>
      </c>
      <c r="K1351" t="b">
        <f>QHPSelections2016[[#This Row],[County Name]]=P1351</f>
        <v>1</v>
      </c>
      <c r="L1351" t="b">
        <f>QHPSelections2016[[#This Row],[Silver]]=S1351</f>
        <v>1</v>
      </c>
      <c r="N1351">
        <v>38029</v>
      </c>
      <c r="O1351" t="s">
        <v>3404</v>
      </c>
      <c r="P1351" t="s">
        <v>3430</v>
      </c>
      <c r="Q1351">
        <v>0</v>
      </c>
      <c r="R1351">
        <v>65</v>
      </c>
      <c r="S1351">
        <v>155</v>
      </c>
      <c r="V1351">
        <v>264</v>
      </c>
    </row>
    <row r="1352" spans="1:22">
      <c r="A1352" s="32" t="s">
        <v>3431</v>
      </c>
      <c r="B1352" s="32" t="s">
        <v>3404</v>
      </c>
      <c r="C1352" s="32" t="s">
        <v>3432</v>
      </c>
      <c r="D1352" s="33">
        <v>0</v>
      </c>
      <c r="E1352" s="33">
        <v>41</v>
      </c>
      <c r="F1352" s="33">
        <v>80</v>
      </c>
      <c r="G1352" s="33" t="s">
        <v>1639</v>
      </c>
      <c r="H1352" s="33" t="s">
        <v>1639</v>
      </c>
      <c r="I1352" s="33">
        <v>152</v>
      </c>
      <c r="K1352" t="b">
        <f>QHPSelections2016[[#This Row],[County Name]]=P1352</f>
        <v>1</v>
      </c>
      <c r="L1352" t="b">
        <f>QHPSelections2016[[#This Row],[Silver]]=S1352</f>
        <v>1</v>
      </c>
      <c r="N1352">
        <v>38031</v>
      </c>
      <c r="O1352" t="s">
        <v>3404</v>
      </c>
      <c r="P1352" t="s">
        <v>3432</v>
      </c>
      <c r="Q1352">
        <v>0</v>
      </c>
      <c r="R1352">
        <v>41</v>
      </c>
      <c r="S1352">
        <v>80</v>
      </c>
      <c r="V1352">
        <v>152</v>
      </c>
    </row>
    <row r="1353" spans="1:22">
      <c r="A1353" s="32" t="s">
        <v>3433</v>
      </c>
      <c r="B1353" s="32" t="s">
        <v>3404</v>
      </c>
      <c r="C1353" s="32" t="s">
        <v>3238</v>
      </c>
      <c r="D1353" s="33">
        <v>0</v>
      </c>
      <c r="E1353" s="33">
        <v>32</v>
      </c>
      <c r="F1353" s="33">
        <v>41</v>
      </c>
      <c r="G1353" s="33">
        <v>15</v>
      </c>
      <c r="H1353" s="33">
        <v>0</v>
      </c>
      <c r="I1353" s="33">
        <v>88</v>
      </c>
      <c r="K1353" t="b">
        <f>QHPSelections2016[[#This Row],[County Name]]=P1353</f>
        <v>1</v>
      </c>
      <c r="L1353" t="b">
        <f>QHPSelections2016[[#This Row],[Silver]]=S1353</f>
        <v>1</v>
      </c>
      <c r="N1353">
        <v>38033</v>
      </c>
      <c r="O1353" t="s">
        <v>3404</v>
      </c>
      <c r="P1353" t="s">
        <v>3238</v>
      </c>
      <c r="Q1353">
        <v>0</v>
      </c>
      <c r="R1353">
        <v>32</v>
      </c>
      <c r="S1353">
        <v>41</v>
      </c>
      <c r="T1353">
        <v>15</v>
      </c>
      <c r="U1353">
        <v>0</v>
      </c>
      <c r="V1353">
        <v>88</v>
      </c>
    </row>
    <row r="1354" spans="1:22">
      <c r="A1354" s="32" t="s">
        <v>3434</v>
      </c>
      <c r="B1354" s="32" t="s">
        <v>3404</v>
      </c>
      <c r="C1354" s="32" t="s">
        <v>3435</v>
      </c>
      <c r="D1354" s="33">
        <v>0</v>
      </c>
      <c r="E1354" s="33">
        <v>280</v>
      </c>
      <c r="F1354" s="33">
        <v>934</v>
      </c>
      <c r="G1354" s="33">
        <v>358</v>
      </c>
      <c r="H1354" s="33">
        <v>62</v>
      </c>
      <c r="I1354" s="33">
        <v>1634</v>
      </c>
      <c r="K1354" t="b">
        <f>QHPSelections2016[[#This Row],[County Name]]=P1354</f>
        <v>1</v>
      </c>
      <c r="L1354" t="b">
        <f>QHPSelections2016[[#This Row],[Silver]]=S1354</f>
        <v>1</v>
      </c>
      <c r="N1354">
        <v>38035</v>
      </c>
      <c r="O1354" t="s">
        <v>3404</v>
      </c>
      <c r="P1354" t="s">
        <v>3435</v>
      </c>
      <c r="Q1354">
        <v>0</v>
      </c>
      <c r="R1354">
        <v>280</v>
      </c>
      <c r="S1354">
        <v>934</v>
      </c>
      <c r="T1354">
        <v>358</v>
      </c>
      <c r="U1354">
        <v>62</v>
      </c>
      <c r="V1354" s="51">
        <v>1634</v>
      </c>
    </row>
    <row r="1355" spans="1:22">
      <c r="A1355" s="32" t="s">
        <v>3436</v>
      </c>
      <c r="B1355" s="32" t="s">
        <v>3404</v>
      </c>
      <c r="C1355" s="32" t="s">
        <v>1803</v>
      </c>
      <c r="D1355" s="33">
        <v>0</v>
      </c>
      <c r="E1355" s="33">
        <v>47</v>
      </c>
      <c r="F1355" s="33">
        <v>76</v>
      </c>
      <c r="G1355" s="33">
        <v>21</v>
      </c>
      <c r="H1355" s="33">
        <v>0</v>
      </c>
      <c r="I1355" s="33">
        <v>144</v>
      </c>
      <c r="K1355" t="b">
        <f>QHPSelections2016[[#This Row],[County Name]]=P1355</f>
        <v>1</v>
      </c>
      <c r="L1355" t="b">
        <f>QHPSelections2016[[#This Row],[Silver]]=S1355</f>
        <v>1</v>
      </c>
      <c r="N1355">
        <v>38037</v>
      </c>
      <c r="O1355" t="s">
        <v>3404</v>
      </c>
      <c r="P1355" t="s">
        <v>1803</v>
      </c>
      <c r="Q1355">
        <v>0</v>
      </c>
      <c r="R1355">
        <v>47</v>
      </c>
      <c r="S1355">
        <v>76</v>
      </c>
      <c r="T1355">
        <v>21</v>
      </c>
      <c r="U1355">
        <v>0</v>
      </c>
      <c r="V1355">
        <v>144</v>
      </c>
    </row>
    <row r="1356" spans="1:22">
      <c r="A1356" s="32" t="s">
        <v>3437</v>
      </c>
      <c r="B1356" s="32" t="s">
        <v>3404</v>
      </c>
      <c r="C1356" s="32" t="s">
        <v>3438</v>
      </c>
      <c r="D1356" s="33">
        <v>0</v>
      </c>
      <c r="E1356" s="33">
        <v>25</v>
      </c>
      <c r="F1356" s="33">
        <v>78</v>
      </c>
      <c r="G1356" s="33">
        <v>12</v>
      </c>
      <c r="H1356" s="33">
        <v>0</v>
      </c>
      <c r="I1356" s="33">
        <v>115</v>
      </c>
      <c r="K1356" t="b">
        <f>QHPSelections2016[[#This Row],[County Name]]=P1356</f>
        <v>1</v>
      </c>
      <c r="L1356" t="b">
        <f>QHPSelections2016[[#This Row],[Silver]]=S1356</f>
        <v>1</v>
      </c>
      <c r="N1356">
        <v>38039</v>
      </c>
      <c r="O1356" t="s">
        <v>3404</v>
      </c>
      <c r="P1356" t="s">
        <v>3438</v>
      </c>
      <c r="Q1356">
        <v>0</v>
      </c>
      <c r="R1356">
        <v>25</v>
      </c>
      <c r="S1356">
        <v>78</v>
      </c>
      <c r="T1356">
        <v>12</v>
      </c>
      <c r="U1356">
        <v>0</v>
      </c>
      <c r="V1356">
        <v>115</v>
      </c>
    </row>
    <row r="1357" spans="1:22">
      <c r="A1357" s="32" t="s">
        <v>3439</v>
      </c>
      <c r="B1357" s="32" t="s">
        <v>3404</v>
      </c>
      <c r="C1357" s="32" t="s">
        <v>3440</v>
      </c>
      <c r="D1357" s="33">
        <v>0</v>
      </c>
      <c r="E1357" s="33">
        <v>42</v>
      </c>
      <c r="F1357" s="33">
        <v>75</v>
      </c>
      <c r="G1357" s="33">
        <v>15</v>
      </c>
      <c r="H1357" s="33">
        <v>0</v>
      </c>
      <c r="I1357" s="33">
        <v>132</v>
      </c>
      <c r="K1357" t="b">
        <f>QHPSelections2016[[#This Row],[County Name]]=P1357</f>
        <v>1</v>
      </c>
      <c r="L1357" t="b">
        <f>QHPSelections2016[[#This Row],[Silver]]=S1357</f>
        <v>1</v>
      </c>
      <c r="N1357">
        <v>38041</v>
      </c>
      <c r="O1357" t="s">
        <v>3404</v>
      </c>
      <c r="P1357" t="s">
        <v>3440</v>
      </c>
      <c r="Q1357">
        <v>0</v>
      </c>
      <c r="R1357">
        <v>42</v>
      </c>
      <c r="S1357">
        <v>75</v>
      </c>
      <c r="T1357">
        <v>15</v>
      </c>
      <c r="U1357">
        <v>0</v>
      </c>
      <c r="V1357">
        <v>132</v>
      </c>
    </row>
    <row r="1358" spans="1:22">
      <c r="A1358" s="32" t="s">
        <v>3441</v>
      </c>
      <c r="B1358" s="32" t="s">
        <v>3404</v>
      </c>
      <c r="C1358" s="32" t="s">
        <v>3442</v>
      </c>
      <c r="D1358" s="33">
        <v>0</v>
      </c>
      <c r="E1358" s="33">
        <v>66</v>
      </c>
      <c r="F1358" s="33">
        <v>100</v>
      </c>
      <c r="G1358" s="33" t="s">
        <v>1639</v>
      </c>
      <c r="H1358" s="33" t="s">
        <v>1639</v>
      </c>
      <c r="I1358" s="33">
        <v>207</v>
      </c>
      <c r="K1358" t="b">
        <f>QHPSelections2016[[#This Row],[County Name]]=P1358</f>
        <v>1</v>
      </c>
      <c r="L1358" t="b">
        <f>QHPSelections2016[[#This Row],[Silver]]=S1358</f>
        <v>1</v>
      </c>
      <c r="N1358">
        <v>38043</v>
      </c>
      <c r="O1358" t="s">
        <v>3404</v>
      </c>
      <c r="P1358" t="s">
        <v>3442</v>
      </c>
      <c r="Q1358">
        <v>0</v>
      </c>
      <c r="R1358">
        <v>66</v>
      </c>
      <c r="S1358">
        <v>100</v>
      </c>
      <c r="V1358">
        <v>207</v>
      </c>
    </row>
    <row r="1359" spans="1:22">
      <c r="A1359" s="32" t="s">
        <v>3443</v>
      </c>
      <c r="B1359" s="32" t="s">
        <v>3404</v>
      </c>
      <c r="C1359" s="32" t="s">
        <v>3444</v>
      </c>
      <c r="D1359" s="33">
        <v>0</v>
      </c>
      <c r="E1359" s="33">
        <v>81</v>
      </c>
      <c r="F1359" s="33">
        <v>99</v>
      </c>
      <c r="G1359" s="33" t="s">
        <v>1639</v>
      </c>
      <c r="H1359" s="33" t="s">
        <v>1639</v>
      </c>
      <c r="I1359" s="33">
        <v>229</v>
      </c>
      <c r="K1359" t="b">
        <f>QHPSelections2016[[#This Row],[County Name]]=P1359</f>
        <v>1</v>
      </c>
      <c r="L1359" t="b">
        <f>QHPSelections2016[[#This Row],[Silver]]=S1359</f>
        <v>1</v>
      </c>
      <c r="N1359">
        <v>38045</v>
      </c>
      <c r="O1359" t="s">
        <v>3404</v>
      </c>
      <c r="P1359" t="s">
        <v>3444</v>
      </c>
      <c r="Q1359">
        <v>0</v>
      </c>
      <c r="R1359">
        <v>81</v>
      </c>
      <c r="S1359">
        <v>99</v>
      </c>
      <c r="V1359">
        <v>229</v>
      </c>
    </row>
    <row r="1360" spans="1:22">
      <c r="A1360" s="32" t="s">
        <v>3445</v>
      </c>
      <c r="B1360" s="32" t="s">
        <v>3404</v>
      </c>
      <c r="C1360" s="32" t="s">
        <v>1824</v>
      </c>
      <c r="D1360" s="33">
        <v>0</v>
      </c>
      <c r="E1360" s="33">
        <v>85</v>
      </c>
      <c r="F1360" s="33">
        <v>72</v>
      </c>
      <c r="G1360" s="33" t="s">
        <v>1639</v>
      </c>
      <c r="H1360" s="33" t="s">
        <v>1639</v>
      </c>
      <c r="I1360" s="33">
        <v>197</v>
      </c>
      <c r="K1360" t="b">
        <f>QHPSelections2016[[#This Row],[County Name]]=P1360</f>
        <v>1</v>
      </c>
      <c r="L1360" t="b">
        <f>QHPSelections2016[[#This Row],[Silver]]=S1360</f>
        <v>1</v>
      </c>
      <c r="N1360">
        <v>38047</v>
      </c>
      <c r="O1360" t="s">
        <v>3404</v>
      </c>
      <c r="P1360" t="s">
        <v>1824</v>
      </c>
      <c r="Q1360">
        <v>0</v>
      </c>
      <c r="R1360">
        <v>85</v>
      </c>
      <c r="S1360">
        <v>72</v>
      </c>
      <c r="V1360">
        <v>197</v>
      </c>
    </row>
    <row r="1361" spans="1:22">
      <c r="A1361" s="32" t="s">
        <v>3446</v>
      </c>
      <c r="B1361" s="32" t="s">
        <v>3404</v>
      </c>
      <c r="C1361" s="32" t="s">
        <v>2367</v>
      </c>
      <c r="D1361" s="33">
        <v>0</v>
      </c>
      <c r="E1361" s="33" t="s">
        <v>1639</v>
      </c>
      <c r="F1361" s="33">
        <v>135</v>
      </c>
      <c r="G1361" s="33">
        <v>63</v>
      </c>
      <c r="H1361" s="33" t="s">
        <v>1639</v>
      </c>
      <c r="I1361" s="33">
        <v>248</v>
      </c>
      <c r="K1361" t="b">
        <f>QHPSelections2016[[#This Row],[County Name]]=P1361</f>
        <v>1</v>
      </c>
      <c r="L1361" t="b">
        <f>QHPSelections2016[[#This Row],[Silver]]=S1361</f>
        <v>1</v>
      </c>
      <c r="N1361">
        <v>38049</v>
      </c>
      <c r="O1361" t="s">
        <v>3404</v>
      </c>
      <c r="P1361" t="s">
        <v>2367</v>
      </c>
      <c r="Q1361">
        <v>0</v>
      </c>
      <c r="S1361">
        <v>135</v>
      </c>
      <c r="T1361">
        <v>63</v>
      </c>
      <c r="V1361">
        <v>248</v>
      </c>
    </row>
    <row r="1362" spans="1:22">
      <c r="A1362" s="32" t="s">
        <v>3447</v>
      </c>
      <c r="B1362" s="32" t="s">
        <v>3404</v>
      </c>
      <c r="C1362" s="32" t="s">
        <v>1263</v>
      </c>
      <c r="D1362" s="33">
        <v>0</v>
      </c>
      <c r="E1362" s="33">
        <v>41</v>
      </c>
      <c r="F1362" s="33">
        <v>105</v>
      </c>
      <c r="G1362" s="33" t="s">
        <v>1639</v>
      </c>
      <c r="H1362" s="33" t="s">
        <v>1639</v>
      </c>
      <c r="I1362" s="33">
        <v>174</v>
      </c>
      <c r="K1362" t="b">
        <f>QHPSelections2016[[#This Row],[County Name]]=P1362</f>
        <v>1</v>
      </c>
      <c r="L1362" t="b">
        <f>QHPSelections2016[[#This Row],[Silver]]=S1362</f>
        <v>1</v>
      </c>
      <c r="N1362">
        <v>38051</v>
      </c>
      <c r="O1362" t="s">
        <v>3404</v>
      </c>
      <c r="P1362" t="s">
        <v>1263</v>
      </c>
      <c r="Q1362">
        <v>0</v>
      </c>
      <c r="R1362">
        <v>41</v>
      </c>
      <c r="S1362">
        <v>105</v>
      </c>
      <c r="V1362">
        <v>174</v>
      </c>
    </row>
    <row r="1363" spans="1:22">
      <c r="A1363" s="32" t="s">
        <v>3448</v>
      </c>
      <c r="B1363" s="32" t="s">
        <v>3404</v>
      </c>
      <c r="C1363" s="32" t="s">
        <v>3449</v>
      </c>
      <c r="D1363" s="33">
        <v>0</v>
      </c>
      <c r="E1363" s="33" t="s">
        <v>1639</v>
      </c>
      <c r="F1363" s="33">
        <v>149</v>
      </c>
      <c r="G1363" s="33">
        <v>91</v>
      </c>
      <c r="H1363" s="33" t="s">
        <v>1639</v>
      </c>
      <c r="I1363" s="33">
        <v>336</v>
      </c>
      <c r="K1363" t="b">
        <f>QHPSelections2016[[#This Row],[County Name]]=P1363</f>
        <v>1</v>
      </c>
      <c r="L1363" t="b">
        <f>QHPSelections2016[[#This Row],[Silver]]=S1363</f>
        <v>1</v>
      </c>
      <c r="N1363">
        <v>38053</v>
      </c>
      <c r="O1363" t="s">
        <v>3404</v>
      </c>
      <c r="P1363" t="s">
        <v>3449</v>
      </c>
      <c r="Q1363">
        <v>0</v>
      </c>
      <c r="S1363">
        <v>149</v>
      </c>
      <c r="T1363">
        <v>91</v>
      </c>
      <c r="V1363">
        <v>336</v>
      </c>
    </row>
    <row r="1364" spans="1:22">
      <c r="A1364" s="32" t="s">
        <v>3450</v>
      </c>
      <c r="B1364" s="32" t="s">
        <v>3404</v>
      </c>
      <c r="C1364" s="32" t="s">
        <v>2369</v>
      </c>
      <c r="D1364" s="33">
        <v>0</v>
      </c>
      <c r="E1364" s="33">
        <v>101</v>
      </c>
      <c r="F1364" s="33">
        <v>161</v>
      </c>
      <c r="G1364" s="33" t="s">
        <v>1639</v>
      </c>
      <c r="H1364" s="33" t="s">
        <v>1639</v>
      </c>
      <c r="I1364" s="33">
        <v>323</v>
      </c>
      <c r="K1364" t="b">
        <f>QHPSelections2016[[#This Row],[County Name]]=P1364</f>
        <v>1</v>
      </c>
      <c r="L1364" t="b">
        <f>QHPSelections2016[[#This Row],[Silver]]=S1364</f>
        <v>1</v>
      </c>
      <c r="N1364">
        <v>38055</v>
      </c>
      <c r="O1364" t="s">
        <v>3404</v>
      </c>
      <c r="P1364" t="s">
        <v>2369</v>
      </c>
      <c r="Q1364">
        <v>0</v>
      </c>
      <c r="R1364">
        <v>101</v>
      </c>
      <c r="S1364">
        <v>161</v>
      </c>
      <c r="V1364">
        <v>323</v>
      </c>
    </row>
    <row r="1365" spans="1:22">
      <c r="A1365" s="32" t="s">
        <v>3451</v>
      </c>
      <c r="B1365" s="32" t="s">
        <v>3404</v>
      </c>
      <c r="C1365" s="32" t="s">
        <v>2381</v>
      </c>
      <c r="D1365" s="33">
        <v>0</v>
      </c>
      <c r="E1365" s="33">
        <v>38</v>
      </c>
      <c r="F1365" s="33">
        <v>154</v>
      </c>
      <c r="G1365" s="33">
        <v>60</v>
      </c>
      <c r="H1365" s="33">
        <v>0</v>
      </c>
      <c r="I1365" s="33">
        <v>252</v>
      </c>
      <c r="K1365" t="b">
        <f>QHPSelections2016[[#This Row],[County Name]]=P1365</f>
        <v>1</v>
      </c>
      <c r="L1365" t="b">
        <f>QHPSelections2016[[#This Row],[Silver]]=S1365</f>
        <v>1</v>
      </c>
      <c r="N1365">
        <v>38057</v>
      </c>
      <c r="O1365" t="s">
        <v>3404</v>
      </c>
      <c r="P1365" t="s">
        <v>2381</v>
      </c>
      <c r="Q1365">
        <v>0</v>
      </c>
      <c r="R1365">
        <v>38</v>
      </c>
      <c r="S1365">
        <v>154</v>
      </c>
      <c r="T1365">
        <v>60</v>
      </c>
      <c r="U1365">
        <v>0</v>
      </c>
      <c r="V1365">
        <v>252</v>
      </c>
    </row>
    <row r="1366" spans="1:22">
      <c r="A1366" s="32" t="s">
        <v>3452</v>
      </c>
      <c r="B1366" s="32" t="s">
        <v>3404</v>
      </c>
      <c r="C1366" s="32" t="s">
        <v>2659</v>
      </c>
      <c r="D1366" s="33">
        <v>0</v>
      </c>
      <c r="E1366" s="33">
        <v>140</v>
      </c>
      <c r="F1366" s="33">
        <v>459</v>
      </c>
      <c r="G1366" s="33">
        <v>192</v>
      </c>
      <c r="H1366" s="33">
        <v>22</v>
      </c>
      <c r="I1366" s="33">
        <v>813</v>
      </c>
      <c r="K1366" t="b">
        <f>QHPSelections2016[[#This Row],[County Name]]=P1366</f>
        <v>1</v>
      </c>
      <c r="L1366" t="b">
        <f>QHPSelections2016[[#This Row],[Silver]]=S1366</f>
        <v>1</v>
      </c>
      <c r="N1366">
        <v>38059</v>
      </c>
      <c r="O1366" t="s">
        <v>3404</v>
      </c>
      <c r="P1366" t="s">
        <v>2659</v>
      </c>
      <c r="Q1366">
        <v>0</v>
      </c>
      <c r="R1366">
        <v>140</v>
      </c>
      <c r="S1366">
        <v>459</v>
      </c>
      <c r="T1366">
        <v>192</v>
      </c>
      <c r="U1366">
        <v>22</v>
      </c>
      <c r="V1366">
        <v>813</v>
      </c>
    </row>
    <row r="1367" spans="1:22">
      <c r="A1367" s="32" t="s">
        <v>3453</v>
      </c>
      <c r="B1367" s="32" t="s">
        <v>3404</v>
      </c>
      <c r="C1367" s="32" t="s">
        <v>3454</v>
      </c>
      <c r="D1367" s="33">
        <v>0</v>
      </c>
      <c r="E1367" s="33">
        <v>61</v>
      </c>
      <c r="F1367" s="33">
        <v>86</v>
      </c>
      <c r="G1367" s="33" t="s">
        <v>1639</v>
      </c>
      <c r="H1367" s="33" t="s">
        <v>1639</v>
      </c>
      <c r="I1367" s="33">
        <v>189</v>
      </c>
      <c r="K1367" t="b">
        <f>QHPSelections2016[[#This Row],[County Name]]=P1367</f>
        <v>1</v>
      </c>
      <c r="L1367" t="b">
        <f>QHPSelections2016[[#This Row],[Silver]]=S1367</f>
        <v>1</v>
      </c>
      <c r="N1367">
        <v>38061</v>
      </c>
      <c r="O1367" t="s">
        <v>3404</v>
      </c>
      <c r="P1367" t="s">
        <v>3454</v>
      </c>
      <c r="Q1367">
        <v>0</v>
      </c>
      <c r="R1367">
        <v>61</v>
      </c>
      <c r="S1367">
        <v>86</v>
      </c>
      <c r="V1367">
        <v>189</v>
      </c>
    </row>
    <row r="1368" spans="1:22">
      <c r="A1368" s="32" t="s">
        <v>3455</v>
      </c>
      <c r="B1368" s="32" t="s">
        <v>3404</v>
      </c>
      <c r="C1368" s="32" t="s">
        <v>3456</v>
      </c>
      <c r="D1368" s="33">
        <v>0</v>
      </c>
      <c r="E1368" s="33">
        <v>59</v>
      </c>
      <c r="F1368" s="33">
        <v>88</v>
      </c>
      <c r="G1368" s="33" t="s">
        <v>1639</v>
      </c>
      <c r="H1368" s="33" t="s">
        <v>1639</v>
      </c>
      <c r="I1368" s="33">
        <v>178</v>
      </c>
      <c r="K1368" t="b">
        <f>QHPSelections2016[[#This Row],[County Name]]=P1368</f>
        <v>1</v>
      </c>
      <c r="L1368" t="b">
        <f>QHPSelections2016[[#This Row],[Silver]]=S1368</f>
        <v>1</v>
      </c>
      <c r="N1368">
        <v>38063</v>
      </c>
      <c r="O1368" t="s">
        <v>3404</v>
      </c>
      <c r="P1368" t="s">
        <v>3456</v>
      </c>
      <c r="Q1368">
        <v>0</v>
      </c>
      <c r="R1368">
        <v>59</v>
      </c>
      <c r="S1368">
        <v>88</v>
      </c>
      <c r="V1368">
        <v>178</v>
      </c>
    </row>
    <row r="1369" spans="1:22">
      <c r="A1369" s="32" t="s">
        <v>3457</v>
      </c>
      <c r="B1369" s="32" t="s">
        <v>3404</v>
      </c>
      <c r="C1369" s="32" t="s">
        <v>3458</v>
      </c>
      <c r="D1369" s="33">
        <v>0</v>
      </c>
      <c r="E1369" s="33">
        <v>16</v>
      </c>
      <c r="F1369" s="33">
        <v>27</v>
      </c>
      <c r="G1369" s="33" t="s">
        <v>1639</v>
      </c>
      <c r="H1369" s="33" t="s">
        <v>1639</v>
      </c>
      <c r="I1369" s="33">
        <v>53</v>
      </c>
      <c r="K1369" t="b">
        <f>QHPSelections2016[[#This Row],[County Name]]=P1369</f>
        <v>1</v>
      </c>
      <c r="L1369" t="b">
        <f>QHPSelections2016[[#This Row],[Silver]]=S1369</f>
        <v>1</v>
      </c>
      <c r="N1369">
        <v>38065</v>
      </c>
      <c r="O1369" t="s">
        <v>3404</v>
      </c>
      <c r="P1369" t="s">
        <v>3458</v>
      </c>
      <c r="Q1369">
        <v>0</v>
      </c>
      <c r="R1369">
        <v>16</v>
      </c>
      <c r="S1369">
        <v>27</v>
      </c>
      <c r="V1369">
        <v>53</v>
      </c>
    </row>
    <row r="1370" spans="1:22">
      <c r="A1370" s="32" t="s">
        <v>3459</v>
      </c>
      <c r="B1370" s="32" t="s">
        <v>3404</v>
      </c>
      <c r="C1370" s="32" t="s">
        <v>3460</v>
      </c>
      <c r="D1370" s="33">
        <v>0</v>
      </c>
      <c r="E1370" s="33" t="s">
        <v>1639</v>
      </c>
      <c r="F1370" s="33">
        <v>121</v>
      </c>
      <c r="G1370" s="33">
        <v>55</v>
      </c>
      <c r="H1370" s="33" t="s">
        <v>1639</v>
      </c>
      <c r="I1370" s="33">
        <v>232</v>
      </c>
      <c r="K1370" t="b">
        <f>QHPSelections2016[[#This Row],[County Name]]=P1370</f>
        <v>1</v>
      </c>
      <c r="L1370" t="b">
        <f>QHPSelections2016[[#This Row],[Silver]]=S1370</f>
        <v>1</v>
      </c>
      <c r="N1370">
        <v>38067</v>
      </c>
      <c r="O1370" t="s">
        <v>3404</v>
      </c>
      <c r="P1370" t="s">
        <v>3460</v>
      </c>
      <c r="Q1370">
        <v>0</v>
      </c>
      <c r="S1370">
        <v>121</v>
      </c>
      <c r="T1370">
        <v>55</v>
      </c>
      <c r="V1370">
        <v>232</v>
      </c>
    </row>
    <row r="1371" spans="1:22">
      <c r="A1371" s="32" t="s">
        <v>3461</v>
      </c>
      <c r="B1371" s="32" t="s">
        <v>3404</v>
      </c>
      <c r="C1371" s="32" t="s">
        <v>1287</v>
      </c>
      <c r="D1371" s="33">
        <v>0</v>
      </c>
      <c r="E1371" s="33" t="s">
        <v>1639</v>
      </c>
      <c r="F1371" s="33">
        <v>149</v>
      </c>
      <c r="G1371" s="33">
        <v>57</v>
      </c>
      <c r="H1371" s="33" t="s">
        <v>1639</v>
      </c>
      <c r="I1371" s="33">
        <v>256</v>
      </c>
      <c r="K1371" t="b">
        <f>QHPSelections2016[[#This Row],[County Name]]=P1371</f>
        <v>1</v>
      </c>
      <c r="L1371" t="b">
        <f>QHPSelections2016[[#This Row],[Silver]]=S1371</f>
        <v>1</v>
      </c>
      <c r="N1371">
        <v>38069</v>
      </c>
      <c r="O1371" t="s">
        <v>3404</v>
      </c>
      <c r="P1371" t="s">
        <v>1287</v>
      </c>
      <c r="Q1371">
        <v>0</v>
      </c>
      <c r="S1371">
        <v>149</v>
      </c>
      <c r="T1371">
        <v>57</v>
      </c>
      <c r="V1371">
        <v>256</v>
      </c>
    </row>
    <row r="1372" spans="1:22">
      <c r="A1372" s="32" t="s">
        <v>3462</v>
      </c>
      <c r="B1372" s="32" t="s">
        <v>3404</v>
      </c>
      <c r="C1372" s="32" t="s">
        <v>3463</v>
      </c>
      <c r="D1372" s="33">
        <v>0</v>
      </c>
      <c r="E1372" s="33" t="s">
        <v>1639</v>
      </c>
      <c r="F1372" s="33">
        <v>177</v>
      </c>
      <c r="G1372" s="33">
        <v>64</v>
      </c>
      <c r="H1372" s="33" t="s">
        <v>1639</v>
      </c>
      <c r="I1372" s="33">
        <v>298</v>
      </c>
      <c r="K1372" t="b">
        <f>QHPSelections2016[[#This Row],[County Name]]=P1372</f>
        <v>1</v>
      </c>
      <c r="L1372" t="b">
        <f>QHPSelections2016[[#This Row],[Silver]]=S1372</f>
        <v>1</v>
      </c>
      <c r="N1372">
        <v>38071</v>
      </c>
      <c r="O1372" t="s">
        <v>3404</v>
      </c>
      <c r="P1372" t="s">
        <v>3463</v>
      </c>
      <c r="Q1372">
        <v>0</v>
      </c>
      <c r="S1372">
        <v>177</v>
      </c>
      <c r="T1372">
        <v>64</v>
      </c>
      <c r="V1372">
        <v>298</v>
      </c>
    </row>
    <row r="1373" spans="1:22">
      <c r="A1373" s="32" t="s">
        <v>3464</v>
      </c>
      <c r="B1373" s="32" t="s">
        <v>3404</v>
      </c>
      <c r="C1373" s="32" t="s">
        <v>3465</v>
      </c>
      <c r="D1373" s="33">
        <v>0</v>
      </c>
      <c r="E1373" s="33">
        <v>46</v>
      </c>
      <c r="F1373" s="33">
        <v>103</v>
      </c>
      <c r="G1373" s="33">
        <v>39</v>
      </c>
      <c r="H1373" s="33">
        <v>0</v>
      </c>
      <c r="I1373" s="33">
        <v>188</v>
      </c>
      <c r="K1373" t="b">
        <f>QHPSelections2016[[#This Row],[County Name]]=P1373</f>
        <v>1</v>
      </c>
      <c r="L1373" t="b">
        <f>QHPSelections2016[[#This Row],[Silver]]=S1373</f>
        <v>1</v>
      </c>
      <c r="N1373">
        <v>38073</v>
      </c>
      <c r="O1373" t="s">
        <v>3404</v>
      </c>
      <c r="P1373" t="s">
        <v>3465</v>
      </c>
      <c r="Q1373">
        <v>0</v>
      </c>
      <c r="R1373">
        <v>46</v>
      </c>
      <c r="S1373">
        <v>103</v>
      </c>
      <c r="T1373">
        <v>39</v>
      </c>
      <c r="U1373">
        <v>0</v>
      </c>
      <c r="V1373">
        <v>188</v>
      </c>
    </row>
    <row r="1374" spans="1:22">
      <c r="A1374" s="32" t="s">
        <v>3466</v>
      </c>
      <c r="B1374" s="32" t="s">
        <v>3404</v>
      </c>
      <c r="C1374" s="32" t="s">
        <v>3467</v>
      </c>
      <c r="D1374" s="33">
        <v>0</v>
      </c>
      <c r="E1374" s="33">
        <v>28</v>
      </c>
      <c r="F1374" s="33">
        <v>38</v>
      </c>
      <c r="G1374" s="33" t="s">
        <v>1639</v>
      </c>
      <c r="H1374" s="33" t="s">
        <v>1639</v>
      </c>
      <c r="I1374" s="33">
        <v>87</v>
      </c>
      <c r="K1374" t="b">
        <f>QHPSelections2016[[#This Row],[County Name]]=P1374</f>
        <v>1</v>
      </c>
      <c r="L1374" t="b">
        <f>QHPSelections2016[[#This Row],[Silver]]=S1374</f>
        <v>1</v>
      </c>
      <c r="N1374">
        <v>38075</v>
      </c>
      <c r="O1374" t="s">
        <v>3404</v>
      </c>
      <c r="P1374" t="s">
        <v>3467</v>
      </c>
      <c r="Q1374">
        <v>0</v>
      </c>
      <c r="R1374">
        <v>28</v>
      </c>
      <c r="S1374">
        <v>38</v>
      </c>
      <c r="V1374">
        <v>87</v>
      </c>
    </row>
    <row r="1375" spans="1:22">
      <c r="A1375" s="32" t="s">
        <v>3468</v>
      </c>
      <c r="B1375" s="32" t="s">
        <v>3404</v>
      </c>
      <c r="C1375" s="32" t="s">
        <v>2400</v>
      </c>
      <c r="D1375" s="33">
        <v>0</v>
      </c>
      <c r="E1375" s="33">
        <v>164</v>
      </c>
      <c r="F1375" s="33">
        <v>264</v>
      </c>
      <c r="G1375" s="33">
        <v>142</v>
      </c>
      <c r="H1375" s="33">
        <v>15</v>
      </c>
      <c r="I1375" s="33">
        <v>585</v>
      </c>
      <c r="K1375" t="b">
        <f>QHPSelections2016[[#This Row],[County Name]]=P1375</f>
        <v>1</v>
      </c>
      <c r="L1375" t="b">
        <f>QHPSelections2016[[#This Row],[Silver]]=S1375</f>
        <v>1</v>
      </c>
      <c r="N1375">
        <v>38077</v>
      </c>
      <c r="O1375" t="s">
        <v>3404</v>
      </c>
      <c r="P1375" t="s">
        <v>2400</v>
      </c>
      <c r="Q1375">
        <v>0</v>
      </c>
      <c r="R1375">
        <v>164</v>
      </c>
      <c r="S1375">
        <v>264</v>
      </c>
      <c r="T1375">
        <v>142</v>
      </c>
      <c r="U1375">
        <v>15</v>
      </c>
      <c r="V1375">
        <v>585</v>
      </c>
    </row>
    <row r="1376" spans="1:22">
      <c r="A1376" s="32" t="s">
        <v>3469</v>
      </c>
      <c r="B1376" s="32" t="s">
        <v>3404</v>
      </c>
      <c r="C1376" s="32" t="s">
        <v>3470</v>
      </c>
      <c r="D1376" s="33">
        <v>0</v>
      </c>
      <c r="E1376" s="33" t="s">
        <v>1639</v>
      </c>
      <c r="F1376" s="33">
        <v>49</v>
      </c>
      <c r="G1376" s="33">
        <v>762</v>
      </c>
      <c r="H1376" s="33" t="s">
        <v>1639</v>
      </c>
      <c r="I1376" s="33">
        <v>854</v>
      </c>
      <c r="K1376" t="b">
        <f>QHPSelections2016[[#This Row],[County Name]]=P1376</f>
        <v>1</v>
      </c>
      <c r="L1376" t="b">
        <f>QHPSelections2016[[#This Row],[Silver]]=S1376</f>
        <v>1</v>
      </c>
      <c r="N1376">
        <v>38079</v>
      </c>
      <c r="O1376" t="s">
        <v>3404</v>
      </c>
      <c r="P1376" t="s">
        <v>3470</v>
      </c>
      <c r="Q1376">
        <v>0</v>
      </c>
      <c r="S1376">
        <v>49</v>
      </c>
      <c r="T1376">
        <v>762</v>
      </c>
      <c r="V1376">
        <v>854</v>
      </c>
    </row>
    <row r="1377" spans="1:22">
      <c r="A1377" s="32" t="s">
        <v>3471</v>
      </c>
      <c r="B1377" s="32" t="s">
        <v>3404</v>
      </c>
      <c r="C1377" s="32" t="s">
        <v>3472</v>
      </c>
      <c r="D1377" s="33">
        <v>0</v>
      </c>
      <c r="E1377" s="33">
        <v>63</v>
      </c>
      <c r="F1377" s="33">
        <v>89</v>
      </c>
      <c r="G1377" s="33" t="s">
        <v>1639</v>
      </c>
      <c r="H1377" s="33" t="s">
        <v>1639</v>
      </c>
      <c r="I1377" s="33">
        <v>178</v>
      </c>
      <c r="K1377" t="b">
        <f>QHPSelections2016[[#This Row],[County Name]]=P1377</f>
        <v>1</v>
      </c>
      <c r="L1377" t="b">
        <f>QHPSelections2016[[#This Row],[Silver]]=S1377</f>
        <v>1</v>
      </c>
      <c r="N1377">
        <v>38081</v>
      </c>
      <c r="O1377" t="s">
        <v>3404</v>
      </c>
      <c r="P1377" t="s">
        <v>3472</v>
      </c>
      <c r="Q1377">
        <v>0</v>
      </c>
      <c r="R1377">
        <v>63</v>
      </c>
      <c r="S1377">
        <v>89</v>
      </c>
      <c r="V1377">
        <v>178</v>
      </c>
    </row>
    <row r="1378" spans="1:22">
      <c r="A1378" s="32" t="s">
        <v>3473</v>
      </c>
      <c r="B1378" s="32" t="s">
        <v>3404</v>
      </c>
      <c r="C1378" s="32" t="s">
        <v>2704</v>
      </c>
      <c r="D1378" s="33">
        <v>0</v>
      </c>
      <c r="E1378" s="33">
        <v>38</v>
      </c>
      <c r="F1378" s="33">
        <v>55</v>
      </c>
      <c r="G1378" s="33">
        <v>22</v>
      </c>
      <c r="H1378" s="33">
        <v>0</v>
      </c>
      <c r="I1378" s="33">
        <v>115</v>
      </c>
      <c r="K1378" t="b">
        <f>QHPSelections2016[[#This Row],[County Name]]=P1378</f>
        <v>1</v>
      </c>
      <c r="L1378" t="b">
        <f>QHPSelections2016[[#This Row],[Silver]]=S1378</f>
        <v>1</v>
      </c>
      <c r="N1378">
        <v>38083</v>
      </c>
      <c r="O1378" t="s">
        <v>3404</v>
      </c>
      <c r="P1378" t="s">
        <v>2704</v>
      </c>
      <c r="Q1378">
        <v>0</v>
      </c>
      <c r="R1378">
        <v>38</v>
      </c>
      <c r="S1378">
        <v>55</v>
      </c>
      <c r="T1378">
        <v>22</v>
      </c>
      <c r="U1378">
        <v>0</v>
      </c>
      <c r="V1378">
        <v>115</v>
      </c>
    </row>
    <row r="1379" spans="1:22">
      <c r="A1379" s="32" t="s">
        <v>3474</v>
      </c>
      <c r="B1379" s="32" t="s">
        <v>3404</v>
      </c>
      <c r="C1379" s="32" t="s">
        <v>2269</v>
      </c>
      <c r="D1379" s="33">
        <v>0</v>
      </c>
      <c r="E1379" s="33" t="s">
        <v>1639</v>
      </c>
      <c r="F1379" s="33">
        <v>23</v>
      </c>
      <c r="G1379" s="33">
        <v>11</v>
      </c>
      <c r="H1379" s="33" t="s">
        <v>1639</v>
      </c>
      <c r="I1379" s="33">
        <v>42</v>
      </c>
      <c r="K1379" t="b">
        <f>QHPSelections2016[[#This Row],[County Name]]=P1379</f>
        <v>1</v>
      </c>
      <c r="L1379" t="b">
        <f>QHPSelections2016[[#This Row],[Silver]]=S1379</f>
        <v>1</v>
      </c>
      <c r="N1379">
        <v>38085</v>
      </c>
      <c r="O1379" t="s">
        <v>3404</v>
      </c>
      <c r="P1379" t="s">
        <v>2269</v>
      </c>
      <c r="Q1379">
        <v>0</v>
      </c>
      <c r="S1379">
        <v>23</v>
      </c>
      <c r="T1379">
        <v>11</v>
      </c>
      <c r="V1379">
        <v>42</v>
      </c>
    </row>
    <row r="1380" spans="1:22">
      <c r="A1380" s="32" t="s">
        <v>3475</v>
      </c>
      <c r="B1380" s="32" t="s">
        <v>3404</v>
      </c>
      <c r="C1380" s="32" t="s">
        <v>3476</v>
      </c>
      <c r="D1380" s="33">
        <v>0</v>
      </c>
      <c r="E1380" s="33">
        <v>11</v>
      </c>
      <c r="F1380" s="33">
        <v>31</v>
      </c>
      <c r="G1380" s="33">
        <v>13</v>
      </c>
      <c r="H1380" s="33">
        <v>0</v>
      </c>
      <c r="I1380" s="33">
        <v>55</v>
      </c>
      <c r="K1380" t="b">
        <f>QHPSelections2016[[#This Row],[County Name]]=P1380</f>
        <v>1</v>
      </c>
      <c r="L1380" t="b">
        <f>QHPSelections2016[[#This Row],[Silver]]=S1380</f>
        <v>1</v>
      </c>
      <c r="N1380">
        <v>38087</v>
      </c>
      <c r="O1380" t="s">
        <v>3404</v>
      </c>
      <c r="P1380" t="s">
        <v>3476</v>
      </c>
      <c r="Q1380">
        <v>0</v>
      </c>
      <c r="R1380">
        <v>11</v>
      </c>
      <c r="S1380">
        <v>31</v>
      </c>
      <c r="T1380">
        <v>13</v>
      </c>
      <c r="U1380">
        <v>0</v>
      </c>
      <c r="V1380">
        <v>55</v>
      </c>
    </row>
    <row r="1381" spans="1:22">
      <c r="A1381" s="32" t="s">
        <v>3477</v>
      </c>
      <c r="B1381" s="32" t="s">
        <v>3404</v>
      </c>
      <c r="C1381" s="32" t="s">
        <v>2412</v>
      </c>
      <c r="D1381" s="33">
        <v>0</v>
      </c>
      <c r="E1381" s="33">
        <v>171</v>
      </c>
      <c r="F1381" s="33">
        <v>444</v>
      </c>
      <c r="G1381" s="33">
        <v>177</v>
      </c>
      <c r="H1381" s="33">
        <v>37</v>
      </c>
      <c r="I1381" s="33">
        <v>829</v>
      </c>
      <c r="K1381" t="b">
        <f>QHPSelections2016[[#This Row],[County Name]]=P1381</f>
        <v>1</v>
      </c>
      <c r="L1381" t="b">
        <f>QHPSelections2016[[#This Row],[Silver]]=S1381</f>
        <v>1</v>
      </c>
      <c r="N1381">
        <v>38089</v>
      </c>
      <c r="O1381" t="s">
        <v>3404</v>
      </c>
      <c r="P1381" t="s">
        <v>2412</v>
      </c>
      <c r="Q1381">
        <v>0</v>
      </c>
      <c r="R1381">
        <v>171</v>
      </c>
      <c r="S1381">
        <v>444</v>
      </c>
      <c r="T1381">
        <v>177</v>
      </c>
      <c r="U1381">
        <v>37</v>
      </c>
      <c r="V1381">
        <v>829</v>
      </c>
    </row>
    <row r="1382" spans="1:22">
      <c r="A1382" s="32" t="s">
        <v>3478</v>
      </c>
      <c r="B1382" s="32" t="s">
        <v>3404</v>
      </c>
      <c r="C1382" s="32" t="s">
        <v>3479</v>
      </c>
      <c r="D1382" s="33">
        <v>0</v>
      </c>
      <c r="E1382" s="33">
        <v>41</v>
      </c>
      <c r="F1382" s="33">
        <v>55</v>
      </c>
      <c r="G1382" s="33">
        <v>11</v>
      </c>
      <c r="H1382" s="33">
        <v>0</v>
      </c>
      <c r="I1382" s="33">
        <v>107</v>
      </c>
      <c r="K1382" t="b">
        <f>QHPSelections2016[[#This Row],[County Name]]=P1382</f>
        <v>1</v>
      </c>
      <c r="L1382" t="b">
        <f>QHPSelections2016[[#This Row],[Silver]]=S1382</f>
        <v>1</v>
      </c>
      <c r="N1382">
        <v>38091</v>
      </c>
      <c r="O1382" t="s">
        <v>3404</v>
      </c>
      <c r="P1382" t="s">
        <v>3479</v>
      </c>
      <c r="Q1382">
        <v>0</v>
      </c>
      <c r="R1382">
        <v>41</v>
      </c>
      <c r="S1382">
        <v>55</v>
      </c>
      <c r="T1382">
        <v>11</v>
      </c>
      <c r="U1382">
        <v>0</v>
      </c>
      <c r="V1382">
        <v>107</v>
      </c>
    </row>
    <row r="1383" spans="1:22">
      <c r="A1383" s="32" t="s">
        <v>3480</v>
      </c>
      <c r="B1383" s="32" t="s">
        <v>3404</v>
      </c>
      <c r="C1383" s="32" t="s">
        <v>3481</v>
      </c>
      <c r="D1383" s="33">
        <v>0</v>
      </c>
      <c r="E1383" s="33">
        <v>124</v>
      </c>
      <c r="F1383" s="33">
        <v>299</v>
      </c>
      <c r="G1383" s="33">
        <v>173</v>
      </c>
      <c r="H1383" s="33">
        <v>14</v>
      </c>
      <c r="I1383" s="33">
        <v>610</v>
      </c>
      <c r="K1383" t="b">
        <f>QHPSelections2016[[#This Row],[County Name]]=P1383</f>
        <v>1</v>
      </c>
      <c r="L1383" t="b">
        <f>QHPSelections2016[[#This Row],[Silver]]=S1383</f>
        <v>1</v>
      </c>
      <c r="N1383">
        <v>38093</v>
      </c>
      <c r="O1383" t="s">
        <v>3404</v>
      </c>
      <c r="P1383" t="s">
        <v>3481</v>
      </c>
      <c r="Q1383">
        <v>0</v>
      </c>
      <c r="R1383">
        <v>124</v>
      </c>
      <c r="S1383">
        <v>299</v>
      </c>
      <c r="T1383">
        <v>173</v>
      </c>
      <c r="U1383">
        <v>14</v>
      </c>
      <c r="V1383">
        <v>610</v>
      </c>
    </row>
    <row r="1384" spans="1:22">
      <c r="A1384" s="32" t="s">
        <v>3482</v>
      </c>
      <c r="B1384" s="32" t="s">
        <v>3404</v>
      </c>
      <c r="C1384" s="32" t="s">
        <v>3483</v>
      </c>
      <c r="D1384" s="33">
        <v>0</v>
      </c>
      <c r="E1384" s="33">
        <v>56</v>
      </c>
      <c r="F1384" s="33">
        <v>79</v>
      </c>
      <c r="G1384" s="33" t="s">
        <v>1639</v>
      </c>
      <c r="H1384" s="33" t="s">
        <v>1639</v>
      </c>
      <c r="I1384" s="33">
        <v>171</v>
      </c>
      <c r="K1384" t="b">
        <f>QHPSelections2016[[#This Row],[County Name]]=P1384</f>
        <v>1</v>
      </c>
      <c r="L1384" t="b">
        <f>QHPSelections2016[[#This Row],[Silver]]=S1384</f>
        <v>1</v>
      </c>
      <c r="N1384">
        <v>38095</v>
      </c>
      <c r="O1384" t="s">
        <v>3404</v>
      </c>
      <c r="P1384" t="s">
        <v>3483</v>
      </c>
      <c r="Q1384">
        <v>0</v>
      </c>
      <c r="R1384">
        <v>56</v>
      </c>
      <c r="S1384">
        <v>79</v>
      </c>
      <c r="V1384">
        <v>171</v>
      </c>
    </row>
    <row r="1385" spans="1:22">
      <c r="A1385" s="32" t="s">
        <v>3484</v>
      </c>
      <c r="B1385" s="32" t="s">
        <v>3404</v>
      </c>
      <c r="C1385" s="32" t="s">
        <v>3485</v>
      </c>
      <c r="D1385" s="33">
        <v>0</v>
      </c>
      <c r="E1385" s="33">
        <v>63</v>
      </c>
      <c r="F1385" s="33">
        <v>129</v>
      </c>
      <c r="G1385" s="33" t="s">
        <v>1639</v>
      </c>
      <c r="H1385" s="33" t="s">
        <v>1639</v>
      </c>
      <c r="I1385" s="33">
        <v>248</v>
      </c>
      <c r="K1385" t="b">
        <f>QHPSelections2016[[#This Row],[County Name]]=P1385</f>
        <v>1</v>
      </c>
      <c r="L1385" t="b">
        <f>QHPSelections2016[[#This Row],[Silver]]=S1385</f>
        <v>1</v>
      </c>
      <c r="N1385">
        <v>38097</v>
      </c>
      <c r="O1385" t="s">
        <v>3404</v>
      </c>
      <c r="P1385" t="s">
        <v>3485</v>
      </c>
      <c r="Q1385">
        <v>0</v>
      </c>
      <c r="R1385">
        <v>63</v>
      </c>
      <c r="S1385">
        <v>129</v>
      </c>
      <c r="V1385">
        <v>248</v>
      </c>
    </row>
    <row r="1386" spans="1:22">
      <c r="A1386" s="32" t="s">
        <v>3486</v>
      </c>
      <c r="B1386" s="32" t="s">
        <v>3404</v>
      </c>
      <c r="C1386" s="32" t="s">
        <v>3487</v>
      </c>
      <c r="D1386" s="33">
        <v>0</v>
      </c>
      <c r="E1386" s="33" t="s">
        <v>1639</v>
      </c>
      <c r="F1386" s="33">
        <v>187</v>
      </c>
      <c r="G1386" s="33">
        <v>65</v>
      </c>
      <c r="H1386" s="33" t="s">
        <v>1639</v>
      </c>
      <c r="I1386" s="33">
        <v>323</v>
      </c>
      <c r="K1386" t="b">
        <f>QHPSelections2016[[#This Row],[County Name]]=P1386</f>
        <v>1</v>
      </c>
      <c r="L1386" t="b">
        <f>QHPSelections2016[[#This Row],[Silver]]=S1386</f>
        <v>1</v>
      </c>
      <c r="N1386">
        <v>38099</v>
      </c>
      <c r="O1386" t="s">
        <v>3404</v>
      </c>
      <c r="P1386" t="s">
        <v>3487</v>
      </c>
      <c r="Q1386">
        <v>0</v>
      </c>
      <c r="S1386">
        <v>187</v>
      </c>
      <c r="T1386">
        <v>65</v>
      </c>
      <c r="V1386">
        <v>323</v>
      </c>
    </row>
    <row r="1387" spans="1:22">
      <c r="A1387" s="32" t="s">
        <v>3488</v>
      </c>
      <c r="B1387" s="32" t="s">
        <v>3404</v>
      </c>
      <c r="C1387" s="32" t="s">
        <v>1408</v>
      </c>
      <c r="D1387" s="33">
        <v>0</v>
      </c>
      <c r="E1387" s="33">
        <v>272</v>
      </c>
      <c r="F1387" s="33">
        <v>676</v>
      </c>
      <c r="G1387" s="33">
        <v>307</v>
      </c>
      <c r="H1387" s="33">
        <v>35</v>
      </c>
      <c r="I1387" s="33">
        <v>1290</v>
      </c>
      <c r="K1387" t="b">
        <f>QHPSelections2016[[#This Row],[County Name]]=P1387</f>
        <v>1</v>
      </c>
      <c r="L1387" t="b">
        <f>QHPSelections2016[[#This Row],[Silver]]=S1387</f>
        <v>1</v>
      </c>
      <c r="N1387">
        <v>38101</v>
      </c>
      <c r="O1387" t="s">
        <v>3404</v>
      </c>
      <c r="P1387" t="s">
        <v>1408</v>
      </c>
      <c r="Q1387">
        <v>0</v>
      </c>
      <c r="R1387">
        <v>272</v>
      </c>
      <c r="S1387">
        <v>676</v>
      </c>
      <c r="T1387">
        <v>307</v>
      </c>
      <c r="U1387">
        <v>35</v>
      </c>
      <c r="V1387" s="51">
        <v>1290</v>
      </c>
    </row>
    <row r="1388" spans="1:22">
      <c r="A1388" s="32" t="s">
        <v>3489</v>
      </c>
      <c r="B1388" s="32" t="s">
        <v>3404</v>
      </c>
      <c r="C1388" s="32" t="s">
        <v>2559</v>
      </c>
      <c r="D1388" s="33">
        <v>0</v>
      </c>
      <c r="E1388" s="33">
        <v>39</v>
      </c>
      <c r="F1388" s="33">
        <v>85</v>
      </c>
      <c r="G1388" s="33">
        <v>62</v>
      </c>
      <c r="H1388" s="33">
        <v>0</v>
      </c>
      <c r="I1388" s="33">
        <v>186</v>
      </c>
      <c r="K1388" t="b">
        <f>QHPSelections2016[[#This Row],[County Name]]=P1388</f>
        <v>1</v>
      </c>
      <c r="L1388" t="b">
        <f>QHPSelections2016[[#This Row],[Silver]]=S1388</f>
        <v>1</v>
      </c>
      <c r="N1388">
        <v>38103</v>
      </c>
      <c r="O1388" t="s">
        <v>3404</v>
      </c>
      <c r="P1388" t="s">
        <v>2559</v>
      </c>
      <c r="Q1388">
        <v>0</v>
      </c>
      <c r="R1388">
        <v>39</v>
      </c>
      <c r="S1388">
        <v>85</v>
      </c>
      <c r="T1388">
        <v>62</v>
      </c>
      <c r="U1388">
        <v>0</v>
      </c>
      <c r="V1388">
        <v>186</v>
      </c>
    </row>
    <row r="1389" spans="1:22">
      <c r="A1389" s="32" t="s">
        <v>3490</v>
      </c>
      <c r="B1389" s="32" t="s">
        <v>3404</v>
      </c>
      <c r="C1389" s="32" t="s">
        <v>3491</v>
      </c>
      <c r="D1389" s="33">
        <v>0</v>
      </c>
      <c r="E1389" s="33">
        <v>178</v>
      </c>
      <c r="F1389" s="33">
        <v>392</v>
      </c>
      <c r="G1389" s="33">
        <v>142</v>
      </c>
      <c r="H1389" s="33">
        <v>16</v>
      </c>
      <c r="I1389" s="33">
        <v>728</v>
      </c>
      <c r="K1389" t="b">
        <f>QHPSelections2016[[#This Row],[County Name]]=P1389</f>
        <v>1</v>
      </c>
      <c r="L1389" t="b">
        <f>QHPSelections2016[[#This Row],[Silver]]=S1389</f>
        <v>1</v>
      </c>
      <c r="N1389">
        <v>38105</v>
      </c>
      <c r="O1389" t="s">
        <v>3404</v>
      </c>
      <c r="P1389" t="s">
        <v>3491</v>
      </c>
      <c r="Q1389">
        <v>0</v>
      </c>
      <c r="R1389">
        <v>178</v>
      </c>
      <c r="S1389">
        <v>392</v>
      </c>
      <c r="T1389">
        <v>142</v>
      </c>
      <c r="U1389">
        <v>16</v>
      </c>
      <c r="V1389">
        <v>728</v>
      </c>
    </row>
    <row r="1390" spans="1:22">
      <c r="A1390" s="32" t="s">
        <v>3492</v>
      </c>
      <c r="B1390" s="32" t="s">
        <v>3493</v>
      </c>
      <c r="C1390" s="32" t="s">
        <v>820</v>
      </c>
      <c r="D1390" s="33">
        <v>0</v>
      </c>
      <c r="E1390" s="33">
        <v>58</v>
      </c>
      <c r="F1390" s="33">
        <v>1106</v>
      </c>
      <c r="G1390" s="33">
        <v>489</v>
      </c>
      <c r="H1390" s="33">
        <v>17</v>
      </c>
      <c r="I1390" s="33">
        <v>1670</v>
      </c>
      <c r="K1390" t="b">
        <f>QHPSelections2016[[#This Row],[County Name]]=P1390</f>
        <v>1</v>
      </c>
      <c r="L1390" t="b">
        <f>QHPSelections2016[[#This Row],[Silver]]=S1390</f>
        <v>1</v>
      </c>
      <c r="N1390">
        <v>31001</v>
      </c>
      <c r="O1390" t="s">
        <v>3493</v>
      </c>
      <c r="P1390" t="s">
        <v>820</v>
      </c>
      <c r="Q1390">
        <v>0</v>
      </c>
      <c r="R1390">
        <v>58</v>
      </c>
      <c r="S1390" s="51">
        <v>1106</v>
      </c>
      <c r="T1390">
        <v>489</v>
      </c>
      <c r="U1390">
        <v>17</v>
      </c>
      <c r="V1390" s="51">
        <v>1670</v>
      </c>
    </row>
    <row r="1391" spans="1:22">
      <c r="A1391" s="32" t="s">
        <v>3494</v>
      </c>
      <c r="B1391" s="32" t="s">
        <v>3493</v>
      </c>
      <c r="C1391" s="32" t="s">
        <v>3495</v>
      </c>
      <c r="D1391" s="33">
        <v>0</v>
      </c>
      <c r="E1391" s="33" t="s">
        <v>1639</v>
      </c>
      <c r="F1391" s="33">
        <v>301</v>
      </c>
      <c r="G1391" s="33">
        <v>251</v>
      </c>
      <c r="H1391" s="33" t="s">
        <v>1639</v>
      </c>
      <c r="I1391" s="33">
        <v>578</v>
      </c>
      <c r="K1391" t="b">
        <f>QHPSelections2016[[#This Row],[County Name]]=P1391</f>
        <v>1</v>
      </c>
      <c r="L1391" t="b">
        <f>QHPSelections2016[[#This Row],[Silver]]=S1391</f>
        <v>1</v>
      </c>
      <c r="N1391">
        <v>31003</v>
      </c>
      <c r="O1391" t="s">
        <v>3493</v>
      </c>
      <c r="P1391" t="s">
        <v>3495</v>
      </c>
      <c r="Q1391">
        <v>0</v>
      </c>
      <c r="S1391">
        <v>301</v>
      </c>
      <c r="T1391">
        <v>251</v>
      </c>
      <c r="V1391">
        <v>578</v>
      </c>
    </row>
    <row r="1392" spans="1:22">
      <c r="A1392" s="32" t="s">
        <v>3496</v>
      </c>
      <c r="B1392" s="32" t="s">
        <v>3493</v>
      </c>
      <c r="C1392" s="32" t="s">
        <v>3497</v>
      </c>
      <c r="D1392" s="33">
        <v>0</v>
      </c>
      <c r="E1392" s="33">
        <v>0</v>
      </c>
      <c r="F1392" s="33">
        <v>43</v>
      </c>
      <c r="G1392" s="33" t="s">
        <v>1639</v>
      </c>
      <c r="H1392" s="33" t="s">
        <v>1639</v>
      </c>
      <c r="I1392" s="33">
        <v>51</v>
      </c>
      <c r="K1392" t="b">
        <f>QHPSelections2016[[#This Row],[County Name]]=P1392</f>
        <v>1</v>
      </c>
      <c r="L1392" t="b">
        <f>QHPSelections2016[[#This Row],[Silver]]=S1392</f>
        <v>1</v>
      </c>
      <c r="N1392">
        <v>31005</v>
      </c>
      <c r="O1392" t="s">
        <v>3493</v>
      </c>
      <c r="P1392" t="s">
        <v>3497</v>
      </c>
      <c r="Q1392">
        <v>0</v>
      </c>
      <c r="R1392">
        <v>0</v>
      </c>
      <c r="S1392">
        <v>43</v>
      </c>
      <c r="V1392">
        <v>51</v>
      </c>
    </row>
    <row r="1393" spans="1:22">
      <c r="A1393" s="32" t="s">
        <v>3498</v>
      </c>
      <c r="B1393" s="32" t="s">
        <v>3493</v>
      </c>
      <c r="C1393" s="32" t="s">
        <v>3499</v>
      </c>
      <c r="D1393" s="33">
        <v>0</v>
      </c>
      <c r="E1393" s="33">
        <v>0</v>
      </c>
      <c r="F1393" s="33">
        <v>56</v>
      </c>
      <c r="G1393" s="33">
        <v>30</v>
      </c>
      <c r="H1393" s="33">
        <v>0</v>
      </c>
      <c r="I1393" s="33">
        <v>86</v>
      </c>
      <c r="K1393" t="b">
        <f>QHPSelections2016[[#This Row],[County Name]]=P1393</f>
        <v>1</v>
      </c>
      <c r="L1393" t="b">
        <f>QHPSelections2016[[#This Row],[Silver]]=S1393</f>
        <v>1</v>
      </c>
      <c r="N1393">
        <v>31007</v>
      </c>
      <c r="O1393" t="s">
        <v>3493</v>
      </c>
      <c r="P1393" t="s">
        <v>3499</v>
      </c>
      <c r="Q1393">
        <v>0</v>
      </c>
      <c r="R1393">
        <v>0</v>
      </c>
      <c r="S1393">
        <v>56</v>
      </c>
      <c r="T1393">
        <v>30</v>
      </c>
      <c r="U1393">
        <v>0</v>
      </c>
      <c r="V1393">
        <v>86</v>
      </c>
    </row>
    <row r="1394" spans="1:22">
      <c r="A1394" s="32" t="s">
        <v>3500</v>
      </c>
      <c r="B1394" s="32" t="s">
        <v>3493</v>
      </c>
      <c r="C1394" s="32" t="s">
        <v>3209</v>
      </c>
      <c r="D1394" s="33">
        <v>0</v>
      </c>
      <c r="E1394" s="33">
        <v>0</v>
      </c>
      <c r="F1394" s="33">
        <v>36</v>
      </c>
      <c r="G1394" s="33">
        <v>36</v>
      </c>
      <c r="H1394" s="33">
        <v>0</v>
      </c>
      <c r="I1394" s="33">
        <v>72</v>
      </c>
      <c r="K1394" t="b">
        <f>QHPSelections2016[[#This Row],[County Name]]=P1394</f>
        <v>1</v>
      </c>
      <c r="L1394" t="b">
        <f>QHPSelections2016[[#This Row],[Silver]]=S1394</f>
        <v>1</v>
      </c>
      <c r="N1394">
        <v>31009</v>
      </c>
      <c r="O1394" t="s">
        <v>3493</v>
      </c>
      <c r="P1394" t="s">
        <v>3209</v>
      </c>
      <c r="Q1394">
        <v>0</v>
      </c>
      <c r="R1394">
        <v>0</v>
      </c>
      <c r="S1394">
        <v>36</v>
      </c>
      <c r="T1394">
        <v>36</v>
      </c>
      <c r="U1394">
        <v>0</v>
      </c>
      <c r="V1394">
        <v>72</v>
      </c>
    </row>
    <row r="1395" spans="1:22">
      <c r="A1395" s="32" t="s">
        <v>3501</v>
      </c>
      <c r="B1395" s="32" t="s">
        <v>3493</v>
      </c>
      <c r="C1395" s="32" t="s">
        <v>1770</v>
      </c>
      <c r="D1395" s="33">
        <v>0</v>
      </c>
      <c r="E1395" s="33" t="s">
        <v>1639</v>
      </c>
      <c r="F1395" s="33">
        <v>354</v>
      </c>
      <c r="G1395" s="33">
        <v>144</v>
      </c>
      <c r="H1395" s="33" t="s">
        <v>1639</v>
      </c>
      <c r="I1395" s="33">
        <v>525</v>
      </c>
      <c r="K1395" t="b">
        <f>QHPSelections2016[[#This Row],[County Name]]=P1395</f>
        <v>1</v>
      </c>
      <c r="L1395" t="b">
        <f>QHPSelections2016[[#This Row],[Silver]]=S1395</f>
        <v>1</v>
      </c>
      <c r="N1395">
        <v>31011</v>
      </c>
      <c r="O1395" t="s">
        <v>3493</v>
      </c>
      <c r="P1395" t="s">
        <v>1770</v>
      </c>
      <c r="Q1395">
        <v>0</v>
      </c>
      <c r="S1395">
        <v>354</v>
      </c>
      <c r="T1395">
        <v>144</v>
      </c>
      <c r="V1395">
        <v>525</v>
      </c>
    </row>
    <row r="1396" spans="1:22">
      <c r="A1396" s="32" t="s">
        <v>3502</v>
      </c>
      <c r="B1396" s="32" t="s">
        <v>3493</v>
      </c>
      <c r="C1396" s="32" t="s">
        <v>3503</v>
      </c>
      <c r="D1396" s="33">
        <v>0</v>
      </c>
      <c r="E1396" s="33" t="s">
        <v>1639</v>
      </c>
      <c r="F1396" s="33">
        <v>360</v>
      </c>
      <c r="G1396" s="33">
        <v>212</v>
      </c>
      <c r="H1396" s="33" t="s">
        <v>1639</v>
      </c>
      <c r="I1396" s="33">
        <v>592</v>
      </c>
      <c r="K1396" t="b">
        <f>QHPSelections2016[[#This Row],[County Name]]=P1396</f>
        <v>1</v>
      </c>
      <c r="L1396" t="b">
        <f>QHPSelections2016[[#This Row],[Silver]]=S1396</f>
        <v>1</v>
      </c>
      <c r="N1396">
        <v>31013</v>
      </c>
      <c r="O1396" t="s">
        <v>3493</v>
      </c>
      <c r="P1396" t="s">
        <v>3503</v>
      </c>
      <c r="Q1396">
        <v>0</v>
      </c>
      <c r="S1396">
        <v>360</v>
      </c>
      <c r="T1396">
        <v>212</v>
      </c>
      <c r="V1396">
        <v>592</v>
      </c>
    </row>
    <row r="1397" spans="1:22">
      <c r="A1397" s="32" t="s">
        <v>3504</v>
      </c>
      <c r="B1397" s="32" t="s">
        <v>3493</v>
      </c>
      <c r="C1397" s="32" t="s">
        <v>3505</v>
      </c>
      <c r="D1397" s="33">
        <v>0</v>
      </c>
      <c r="E1397" s="33">
        <v>21</v>
      </c>
      <c r="F1397" s="33">
        <v>97</v>
      </c>
      <c r="G1397" s="33">
        <v>66</v>
      </c>
      <c r="H1397" s="33">
        <v>0</v>
      </c>
      <c r="I1397" s="33">
        <v>184</v>
      </c>
      <c r="K1397" t="b">
        <f>QHPSelections2016[[#This Row],[County Name]]=P1397</f>
        <v>1</v>
      </c>
      <c r="L1397" t="b">
        <f>QHPSelections2016[[#This Row],[Silver]]=S1397</f>
        <v>1</v>
      </c>
      <c r="N1397">
        <v>31015</v>
      </c>
      <c r="O1397" t="s">
        <v>3493</v>
      </c>
      <c r="P1397" t="s">
        <v>3505</v>
      </c>
      <c r="Q1397">
        <v>0</v>
      </c>
      <c r="R1397">
        <v>21</v>
      </c>
      <c r="S1397">
        <v>97</v>
      </c>
      <c r="T1397">
        <v>66</v>
      </c>
      <c r="U1397">
        <v>0</v>
      </c>
      <c r="V1397">
        <v>184</v>
      </c>
    </row>
    <row r="1398" spans="1:22">
      <c r="A1398" s="32" t="s">
        <v>3506</v>
      </c>
      <c r="B1398" s="32" t="s">
        <v>3493</v>
      </c>
      <c r="C1398" s="32" t="s">
        <v>963</v>
      </c>
      <c r="D1398" s="33">
        <v>0</v>
      </c>
      <c r="E1398" s="33" t="s">
        <v>1639</v>
      </c>
      <c r="F1398" s="33">
        <v>150</v>
      </c>
      <c r="G1398" s="33">
        <v>87</v>
      </c>
      <c r="H1398" s="33" t="s">
        <v>1639</v>
      </c>
      <c r="I1398" s="33">
        <v>246</v>
      </c>
      <c r="K1398" t="b">
        <f>QHPSelections2016[[#This Row],[County Name]]=P1398</f>
        <v>1</v>
      </c>
      <c r="L1398" t="b">
        <f>QHPSelections2016[[#This Row],[Silver]]=S1398</f>
        <v>1</v>
      </c>
      <c r="N1398">
        <v>31017</v>
      </c>
      <c r="O1398" t="s">
        <v>3493</v>
      </c>
      <c r="P1398" t="s">
        <v>963</v>
      </c>
      <c r="Q1398">
        <v>0</v>
      </c>
      <c r="S1398">
        <v>150</v>
      </c>
      <c r="T1398">
        <v>87</v>
      </c>
      <c r="V1398">
        <v>246</v>
      </c>
    </row>
    <row r="1399" spans="1:22">
      <c r="A1399" s="32" t="s">
        <v>3507</v>
      </c>
      <c r="B1399" s="32" t="s">
        <v>3493</v>
      </c>
      <c r="C1399" s="32" t="s">
        <v>3508</v>
      </c>
      <c r="D1399" s="33">
        <v>0</v>
      </c>
      <c r="E1399" s="33">
        <v>134</v>
      </c>
      <c r="F1399" s="33">
        <v>1408</v>
      </c>
      <c r="G1399" s="33">
        <v>787</v>
      </c>
      <c r="H1399" s="33">
        <v>26</v>
      </c>
      <c r="I1399" s="33">
        <v>2355</v>
      </c>
      <c r="K1399" t="b">
        <f>QHPSelections2016[[#This Row],[County Name]]=P1399</f>
        <v>1</v>
      </c>
      <c r="L1399" t="b">
        <f>QHPSelections2016[[#This Row],[Silver]]=S1399</f>
        <v>1</v>
      </c>
      <c r="N1399">
        <v>31019</v>
      </c>
      <c r="O1399" t="s">
        <v>3493</v>
      </c>
      <c r="P1399" t="s">
        <v>3508</v>
      </c>
      <c r="Q1399">
        <v>0</v>
      </c>
      <c r="R1399">
        <v>134</v>
      </c>
      <c r="S1399" s="51">
        <v>1408</v>
      </c>
      <c r="T1399">
        <v>787</v>
      </c>
      <c r="U1399">
        <v>26</v>
      </c>
      <c r="V1399" s="51">
        <v>2355</v>
      </c>
    </row>
    <row r="1400" spans="1:22">
      <c r="A1400" s="32" t="s">
        <v>3509</v>
      </c>
      <c r="B1400" s="32" t="s">
        <v>3493</v>
      </c>
      <c r="C1400" s="32" t="s">
        <v>3510</v>
      </c>
      <c r="D1400" s="33">
        <v>0</v>
      </c>
      <c r="E1400" s="33" t="s">
        <v>1639</v>
      </c>
      <c r="F1400" s="33">
        <v>224</v>
      </c>
      <c r="G1400" s="33">
        <v>142</v>
      </c>
      <c r="H1400" s="33" t="s">
        <v>1639</v>
      </c>
      <c r="I1400" s="33">
        <v>382</v>
      </c>
      <c r="K1400" t="b">
        <f>QHPSelections2016[[#This Row],[County Name]]=P1400</f>
        <v>1</v>
      </c>
      <c r="L1400" t="b">
        <f>QHPSelections2016[[#This Row],[Silver]]=S1400</f>
        <v>1</v>
      </c>
      <c r="N1400">
        <v>31021</v>
      </c>
      <c r="O1400" t="s">
        <v>3493</v>
      </c>
      <c r="P1400" t="s">
        <v>3510</v>
      </c>
      <c r="Q1400">
        <v>0</v>
      </c>
      <c r="S1400">
        <v>224</v>
      </c>
      <c r="T1400">
        <v>142</v>
      </c>
      <c r="V1400">
        <v>382</v>
      </c>
    </row>
    <row r="1401" spans="1:22">
      <c r="A1401" s="32" t="s">
        <v>3511</v>
      </c>
      <c r="B1401" s="32" t="s">
        <v>3493</v>
      </c>
      <c r="C1401" s="32" t="s">
        <v>854</v>
      </c>
      <c r="D1401" s="33">
        <v>0</v>
      </c>
      <c r="E1401" s="33" t="s">
        <v>1639</v>
      </c>
      <c r="F1401" s="33">
        <v>272</v>
      </c>
      <c r="G1401" s="33">
        <v>210</v>
      </c>
      <c r="H1401" s="33" t="s">
        <v>1639</v>
      </c>
      <c r="I1401" s="33">
        <v>506</v>
      </c>
      <c r="K1401" t="b">
        <f>QHPSelections2016[[#This Row],[County Name]]=P1401</f>
        <v>1</v>
      </c>
      <c r="L1401" t="b">
        <f>QHPSelections2016[[#This Row],[Silver]]=S1401</f>
        <v>1</v>
      </c>
      <c r="N1401">
        <v>31023</v>
      </c>
      <c r="O1401" t="s">
        <v>3493</v>
      </c>
      <c r="P1401" t="s">
        <v>854</v>
      </c>
      <c r="Q1401">
        <v>0</v>
      </c>
      <c r="S1401">
        <v>272</v>
      </c>
      <c r="T1401">
        <v>210</v>
      </c>
      <c r="V1401">
        <v>506</v>
      </c>
    </row>
    <row r="1402" spans="1:22">
      <c r="A1402" s="32" t="s">
        <v>3512</v>
      </c>
      <c r="B1402" s="32" t="s">
        <v>3493</v>
      </c>
      <c r="C1402" s="32" t="s">
        <v>1008</v>
      </c>
      <c r="D1402" s="33">
        <v>0</v>
      </c>
      <c r="E1402" s="33">
        <v>37</v>
      </c>
      <c r="F1402" s="33">
        <v>629</v>
      </c>
      <c r="G1402" s="33">
        <v>383</v>
      </c>
      <c r="H1402" s="33">
        <v>14</v>
      </c>
      <c r="I1402" s="33">
        <v>1063</v>
      </c>
      <c r="K1402" t="b">
        <f>QHPSelections2016[[#This Row],[County Name]]=P1402</f>
        <v>1</v>
      </c>
      <c r="L1402" t="b">
        <f>QHPSelections2016[[#This Row],[Silver]]=S1402</f>
        <v>1</v>
      </c>
      <c r="N1402">
        <v>31025</v>
      </c>
      <c r="O1402" t="s">
        <v>3493</v>
      </c>
      <c r="P1402" t="s">
        <v>1008</v>
      </c>
      <c r="Q1402">
        <v>0</v>
      </c>
      <c r="R1402">
        <v>37</v>
      </c>
      <c r="S1402">
        <v>629</v>
      </c>
      <c r="T1402">
        <v>383</v>
      </c>
      <c r="U1402">
        <v>14</v>
      </c>
      <c r="V1402" s="51">
        <v>1063</v>
      </c>
    </row>
    <row r="1403" spans="1:22">
      <c r="A1403" s="32" t="s">
        <v>3513</v>
      </c>
      <c r="B1403" s="32" t="s">
        <v>3493</v>
      </c>
      <c r="C1403" s="32" t="s">
        <v>2169</v>
      </c>
      <c r="D1403" s="33">
        <v>0</v>
      </c>
      <c r="E1403" s="33" t="s">
        <v>1639</v>
      </c>
      <c r="F1403" s="33">
        <v>292</v>
      </c>
      <c r="G1403" s="33">
        <v>375</v>
      </c>
      <c r="H1403" s="33" t="s">
        <v>1639</v>
      </c>
      <c r="I1403" s="33">
        <v>696</v>
      </c>
      <c r="K1403" t="b">
        <f>QHPSelections2016[[#This Row],[County Name]]=P1403</f>
        <v>1</v>
      </c>
      <c r="L1403" t="b">
        <f>QHPSelections2016[[#This Row],[Silver]]=S1403</f>
        <v>1</v>
      </c>
      <c r="N1403">
        <v>31027</v>
      </c>
      <c r="O1403" t="s">
        <v>3493</v>
      </c>
      <c r="P1403" t="s">
        <v>2169</v>
      </c>
      <c r="Q1403">
        <v>0</v>
      </c>
      <c r="S1403">
        <v>292</v>
      </c>
      <c r="T1403">
        <v>375</v>
      </c>
      <c r="V1403">
        <v>696</v>
      </c>
    </row>
    <row r="1404" spans="1:22">
      <c r="A1404" s="32" t="s">
        <v>3514</v>
      </c>
      <c r="B1404" s="32" t="s">
        <v>3493</v>
      </c>
      <c r="C1404" s="32" t="s">
        <v>2577</v>
      </c>
      <c r="D1404" s="33">
        <v>0</v>
      </c>
      <c r="E1404" s="33" t="s">
        <v>1639</v>
      </c>
      <c r="F1404" s="33">
        <v>203</v>
      </c>
      <c r="G1404" s="33">
        <v>152</v>
      </c>
      <c r="H1404" s="33" t="s">
        <v>1639</v>
      </c>
      <c r="I1404" s="33">
        <v>368</v>
      </c>
      <c r="K1404" t="b">
        <f>QHPSelections2016[[#This Row],[County Name]]=P1404</f>
        <v>1</v>
      </c>
      <c r="L1404" t="b">
        <f>QHPSelections2016[[#This Row],[Silver]]=S1404</f>
        <v>1</v>
      </c>
      <c r="N1404">
        <v>31029</v>
      </c>
      <c r="O1404" t="s">
        <v>3493</v>
      </c>
      <c r="P1404" t="s">
        <v>2577</v>
      </c>
      <c r="Q1404">
        <v>0</v>
      </c>
      <c r="S1404">
        <v>203</v>
      </c>
      <c r="T1404">
        <v>152</v>
      </c>
      <c r="V1404">
        <v>368</v>
      </c>
    </row>
    <row r="1405" spans="1:22">
      <c r="A1405" s="32" t="s">
        <v>3515</v>
      </c>
      <c r="B1405" s="32" t="s">
        <v>3493</v>
      </c>
      <c r="C1405" s="32" t="s">
        <v>3516</v>
      </c>
      <c r="D1405" s="33">
        <v>0</v>
      </c>
      <c r="E1405" s="33" t="s">
        <v>1639</v>
      </c>
      <c r="F1405" s="33">
        <v>427</v>
      </c>
      <c r="G1405" s="33">
        <v>232</v>
      </c>
      <c r="H1405" s="33" t="s">
        <v>1639</v>
      </c>
      <c r="I1405" s="33">
        <v>690</v>
      </c>
      <c r="K1405" t="b">
        <f>QHPSelections2016[[#This Row],[County Name]]=P1405</f>
        <v>1</v>
      </c>
      <c r="L1405" t="b">
        <f>QHPSelections2016[[#This Row],[Silver]]=S1405</f>
        <v>1</v>
      </c>
      <c r="N1405">
        <v>31031</v>
      </c>
      <c r="O1405" t="s">
        <v>3493</v>
      </c>
      <c r="P1405" t="s">
        <v>3516</v>
      </c>
      <c r="Q1405">
        <v>0</v>
      </c>
      <c r="S1405">
        <v>427</v>
      </c>
      <c r="T1405">
        <v>232</v>
      </c>
      <c r="V1405">
        <v>690</v>
      </c>
    </row>
    <row r="1406" spans="1:22">
      <c r="A1406" s="32" t="s">
        <v>3517</v>
      </c>
      <c r="B1406" s="32" t="s">
        <v>3493</v>
      </c>
      <c r="C1406" s="32" t="s">
        <v>2582</v>
      </c>
      <c r="D1406" s="33">
        <v>0</v>
      </c>
      <c r="E1406" s="33" t="s">
        <v>1639</v>
      </c>
      <c r="F1406" s="33">
        <v>262</v>
      </c>
      <c r="G1406" s="33">
        <v>105</v>
      </c>
      <c r="H1406" s="33" t="s">
        <v>1639</v>
      </c>
      <c r="I1406" s="33">
        <v>383</v>
      </c>
      <c r="K1406" t="b">
        <f>QHPSelections2016[[#This Row],[County Name]]=P1406</f>
        <v>1</v>
      </c>
      <c r="L1406" t="b">
        <f>QHPSelections2016[[#This Row],[Silver]]=S1406</f>
        <v>1</v>
      </c>
      <c r="N1406">
        <v>31033</v>
      </c>
      <c r="O1406" t="s">
        <v>3493</v>
      </c>
      <c r="P1406" t="s">
        <v>2582</v>
      </c>
      <c r="Q1406">
        <v>0</v>
      </c>
      <c r="S1406">
        <v>262</v>
      </c>
      <c r="T1406">
        <v>105</v>
      </c>
      <c r="V1406">
        <v>383</v>
      </c>
    </row>
    <row r="1407" spans="1:22">
      <c r="A1407" s="32" t="s">
        <v>3518</v>
      </c>
      <c r="B1407" s="32" t="s">
        <v>3493</v>
      </c>
      <c r="C1407" s="32" t="s">
        <v>873</v>
      </c>
      <c r="D1407" s="33">
        <v>0</v>
      </c>
      <c r="E1407" s="33">
        <v>15</v>
      </c>
      <c r="F1407" s="33">
        <v>292</v>
      </c>
      <c r="G1407" s="33">
        <v>163</v>
      </c>
      <c r="H1407" s="33">
        <v>0</v>
      </c>
      <c r="I1407" s="33">
        <v>470</v>
      </c>
      <c r="K1407" t="b">
        <f>QHPSelections2016[[#This Row],[County Name]]=P1407</f>
        <v>1</v>
      </c>
      <c r="L1407" t="b">
        <f>QHPSelections2016[[#This Row],[Silver]]=S1407</f>
        <v>1</v>
      </c>
      <c r="N1407">
        <v>31035</v>
      </c>
      <c r="O1407" t="s">
        <v>3493</v>
      </c>
      <c r="P1407" t="s">
        <v>873</v>
      </c>
      <c r="Q1407">
        <v>0</v>
      </c>
      <c r="R1407">
        <v>15</v>
      </c>
      <c r="S1407">
        <v>292</v>
      </c>
      <c r="T1407">
        <v>163</v>
      </c>
      <c r="U1407">
        <v>0</v>
      </c>
      <c r="V1407">
        <v>470</v>
      </c>
    </row>
    <row r="1408" spans="1:22">
      <c r="A1408" s="32" t="s">
        <v>3519</v>
      </c>
      <c r="B1408" s="32" t="s">
        <v>3493</v>
      </c>
      <c r="C1408" s="32" t="s">
        <v>3520</v>
      </c>
      <c r="D1408" s="33">
        <v>0</v>
      </c>
      <c r="E1408" s="33" t="s">
        <v>1639</v>
      </c>
      <c r="F1408" s="33">
        <v>324</v>
      </c>
      <c r="G1408" s="33">
        <v>122</v>
      </c>
      <c r="H1408" s="33" t="s">
        <v>1639</v>
      </c>
      <c r="I1408" s="33">
        <v>469</v>
      </c>
      <c r="K1408" t="b">
        <f>QHPSelections2016[[#This Row],[County Name]]=P1408</f>
        <v>1</v>
      </c>
      <c r="L1408" t="b">
        <f>QHPSelections2016[[#This Row],[Silver]]=S1408</f>
        <v>1</v>
      </c>
      <c r="N1408">
        <v>31037</v>
      </c>
      <c r="O1408" t="s">
        <v>3493</v>
      </c>
      <c r="P1408" t="s">
        <v>3520</v>
      </c>
      <c r="Q1408">
        <v>0</v>
      </c>
      <c r="S1408">
        <v>324</v>
      </c>
      <c r="T1408">
        <v>122</v>
      </c>
      <c r="V1408">
        <v>469</v>
      </c>
    </row>
    <row r="1409" spans="1:22">
      <c r="A1409" s="32" t="s">
        <v>3521</v>
      </c>
      <c r="B1409" s="32" t="s">
        <v>3493</v>
      </c>
      <c r="C1409" s="32" t="s">
        <v>3522</v>
      </c>
      <c r="D1409" s="33">
        <v>0</v>
      </c>
      <c r="E1409" s="33" t="s">
        <v>1639</v>
      </c>
      <c r="F1409" s="33">
        <v>373</v>
      </c>
      <c r="G1409" s="33">
        <v>326</v>
      </c>
      <c r="H1409" s="33" t="s">
        <v>1639</v>
      </c>
      <c r="I1409" s="33">
        <v>730</v>
      </c>
      <c r="K1409" t="b">
        <f>QHPSelections2016[[#This Row],[County Name]]=P1409</f>
        <v>1</v>
      </c>
      <c r="L1409" t="b">
        <f>QHPSelections2016[[#This Row],[Silver]]=S1409</f>
        <v>1</v>
      </c>
      <c r="N1409">
        <v>31039</v>
      </c>
      <c r="O1409" t="s">
        <v>3493</v>
      </c>
      <c r="P1409" t="s">
        <v>3522</v>
      </c>
      <c r="Q1409">
        <v>0</v>
      </c>
      <c r="S1409">
        <v>373</v>
      </c>
      <c r="T1409">
        <v>326</v>
      </c>
      <c r="V1409">
        <v>730</v>
      </c>
    </row>
    <row r="1410" spans="1:22">
      <c r="A1410" s="32" t="s">
        <v>3523</v>
      </c>
      <c r="B1410" s="32" t="s">
        <v>3493</v>
      </c>
      <c r="C1410" s="32" t="s">
        <v>3220</v>
      </c>
      <c r="D1410" s="33">
        <v>0</v>
      </c>
      <c r="E1410" s="33" t="s">
        <v>1639</v>
      </c>
      <c r="F1410" s="33">
        <v>595</v>
      </c>
      <c r="G1410" s="33">
        <v>269</v>
      </c>
      <c r="H1410" s="33" t="s">
        <v>1639</v>
      </c>
      <c r="I1410" s="33">
        <v>893</v>
      </c>
      <c r="K1410" t="b">
        <f>QHPSelections2016[[#This Row],[County Name]]=P1410</f>
        <v>1</v>
      </c>
      <c r="L1410" t="b">
        <f>QHPSelections2016[[#This Row],[Silver]]=S1410</f>
        <v>1</v>
      </c>
      <c r="N1410">
        <v>31041</v>
      </c>
      <c r="O1410" t="s">
        <v>3493</v>
      </c>
      <c r="P1410" t="s">
        <v>3220</v>
      </c>
      <c r="Q1410">
        <v>0</v>
      </c>
      <c r="S1410">
        <v>595</v>
      </c>
      <c r="T1410">
        <v>269</v>
      </c>
      <c r="V1410">
        <v>893</v>
      </c>
    </row>
    <row r="1411" spans="1:22">
      <c r="A1411" s="32" t="s">
        <v>3524</v>
      </c>
      <c r="B1411" s="32" t="s">
        <v>3493</v>
      </c>
      <c r="C1411" s="32" t="s">
        <v>3525</v>
      </c>
      <c r="D1411" s="33">
        <v>0</v>
      </c>
      <c r="E1411" s="33" t="s">
        <v>1639</v>
      </c>
      <c r="F1411" s="33">
        <v>403</v>
      </c>
      <c r="G1411" s="33">
        <v>186</v>
      </c>
      <c r="H1411" s="33" t="s">
        <v>1639</v>
      </c>
      <c r="I1411" s="33">
        <v>617</v>
      </c>
      <c r="K1411" t="b">
        <f>QHPSelections2016[[#This Row],[County Name]]=P1411</f>
        <v>1</v>
      </c>
      <c r="L1411" t="b">
        <f>QHPSelections2016[[#This Row],[Silver]]=S1411</f>
        <v>1</v>
      </c>
      <c r="N1411">
        <v>31043</v>
      </c>
      <c r="O1411" t="s">
        <v>3493</v>
      </c>
      <c r="P1411" t="s">
        <v>3525</v>
      </c>
      <c r="Q1411">
        <v>0</v>
      </c>
      <c r="S1411">
        <v>403</v>
      </c>
      <c r="T1411">
        <v>186</v>
      </c>
      <c r="V1411">
        <v>617</v>
      </c>
    </row>
    <row r="1412" spans="1:22">
      <c r="A1412" s="32" t="s">
        <v>3526</v>
      </c>
      <c r="B1412" s="32" t="s">
        <v>3493</v>
      </c>
      <c r="C1412" s="32" t="s">
        <v>3527</v>
      </c>
      <c r="D1412" s="33">
        <v>0</v>
      </c>
      <c r="E1412" s="33" t="s">
        <v>1639</v>
      </c>
      <c r="F1412" s="33">
        <v>236</v>
      </c>
      <c r="G1412" s="33">
        <v>194</v>
      </c>
      <c r="H1412" s="33" t="s">
        <v>1639</v>
      </c>
      <c r="I1412" s="33">
        <v>447</v>
      </c>
      <c r="K1412" t="b">
        <f>QHPSelections2016[[#This Row],[County Name]]=P1412</f>
        <v>1</v>
      </c>
      <c r="L1412" t="b">
        <f>QHPSelections2016[[#This Row],[Silver]]=S1412</f>
        <v>1</v>
      </c>
      <c r="N1412">
        <v>31045</v>
      </c>
      <c r="O1412" t="s">
        <v>3493</v>
      </c>
      <c r="P1412" t="s">
        <v>3527</v>
      </c>
      <c r="Q1412">
        <v>0</v>
      </c>
      <c r="S1412">
        <v>236</v>
      </c>
      <c r="T1412">
        <v>194</v>
      </c>
      <c r="V1412">
        <v>447</v>
      </c>
    </row>
    <row r="1413" spans="1:22">
      <c r="A1413" s="32" t="s">
        <v>3528</v>
      </c>
      <c r="B1413" s="32" t="s">
        <v>3493</v>
      </c>
      <c r="C1413" s="32" t="s">
        <v>1045</v>
      </c>
      <c r="D1413" s="33">
        <v>0</v>
      </c>
      <c r="E1413" s="33">
        <v>23</v>
      </c>
      <c r="F1413" s="33">
        <v>751</v>
      </c>
      <c r="G1413" s="33">
        <v>289</v>
      </c>
      <c r="H1413" s="33">
        <v>16</v>
      </c>
      <c r="I1413" s="33">
        <v>1079</v>
      </c>
      <c r="K1413" t="b">
        <f>QHPSelections2016[[#This Row],[County Name]]=P1413</f>
        <v>1</v>
      </c>
      <c r="L1413" t="b">
        <f>QHPSelections2016[[#This Row],[Silver]]=S1413</f>
        <v>1</v>
      </c>
      <c r="N1413">
        <v>31047</v>
      </c>
      <c r="O1413" t="s">
        <v>3493</v>
      </c>
      <c r="P1413" t="s">
        <v>1045</v>
      </c>
      <c r="Q1413">
        <v>0</v>
      </c>
      <c r="R1413">
        <v>23</v>
      </c>
      <c r="S1413">
        <v>751</v>
      </c>
      <c r="T1413">
        <v>289</v>
      </c>
      <c r="U1413">
        <v>16</v>
      </c>
      <c r="V1413" s="51">
        <v>1079</v>
      </c>
    </row>
    <row r="1414" spans="1:22">
      <c r="A1414" s="32" t="s">
        <v>3529</v>
      </c>
      <c r="B1414" s="32" t="s">
        <v>3493</v>
      </c>
      <c r="C1414" s="32" t="s">
        <v>3530</v>
      </c>
      <c r="D1414" s="33">
        <v>0</v>
      </c>
      <c r="E1414" s="33" t="s">
        <v>1639</v>
      </c>
      <c r="F1414" s="33">
        <v>77</v>
      </c>
      <c r="G1414" s="33">
        <v>28</v>
      </c>
      <c r="H1414" s="33" t="s">
        <v>1639</v>
      </c>
      <c r="I1414" s="33">
        <v>108</v>
      </c>
      <c r="K1414" t="b">
        <f>QHPSelections2016[[#This Row],[County Name]]=P1414</f>
        <v>1</v>
      </c>
      <c r="L1414" t="b">
        <f>QHPSelections2016[[#This Row],[Silver]]=S1414</f>
        <v>1</v>
      </c>
      <c r="N1414">
        <v>31049</v>
      </c>
      <c r="O1414" t="s">
        <v>3493</v>
      </c>
      <c r="P1414" t="s">
        <v>3530</v>
      </c>
      <c r="Q1414">
        <v>0</v>
      </c>
      <c r="S1414">
        <v>77</v>
      </c>
      <c r="T1414">
        <v>28</v>
      </c>
      <c r="V1414">
        <v>108</v>
      </c>
    </row>
    <row r="1415" spans="1:22">
      <c r="A1415" s="32" t="s">
        <v>3531</v>
      </c>
      <c r="B1415" s="32" t="s">
        <v>3493</v>
      </c>
      <c r="C1415" s="32" t="s">
        <v>3532</v>
      </c>
      <c r="D1415" s="33">
        <v>0</v>
      </c>
      <c r="E1415" s="33" t="s">
        <v>1639</v>
      </c>
      <c r="F1415" s="33">
        <v>199</v>
      </c>
      <c r="G1415" s="33">
        <v>73</v>
      </c>
      <c r="H1415" s="33" t="s">
        <v>1639</v>
      </c>
      <c r="I1415" s="33">
        <v>277</v>
      </c>
      <c r="K1415" t="b">
        <f>QHPSelections2016[[#This Row],[County Name]]=P1415</f>
        <v>1</v>
      </c>
      <c r="L1415" t="b">
        <f>QHPSelections2016[[#This Row],[Silver]]=S1415</f>
        <v>1</v>
      </c>
      <c r="N1415">
        <v>31051</v>
      </c>
      <c r="O1415" t="s">
        <v>3493</v>
      </c>
      <c r="P1415" t="s">
        <v>3532</v>
      </c>
      <c r="Q1415">
        <v>0</v>
      </c>
      <c r="S1415">
        <v>199</v>
      </c>
      <c r="T1415">
        <v>73</v>
      </c>
      <c r="V1415">
        <v>277</v>
      </c>
    </row>
    <row r="1416" spans="1:22">
      <c r="A1416" s="32" t="s">
        <v>3533</v>
      </c>
      <c r="B1416" s="32" t="s">
        <v>3493</v>
      </c>
      <c r="C1416" s="32" t="s">
        <v>1058</v>
      </c>
      <c r="D1416" s="33">
        <v>0</v>
      </c>
      <c r="E1416" s="33">
        <v>44</v>
      </c>
      <c r="F1416" s="33">
        <v>1077</v>
      </c>
      <c r="G1416" s="33">
        <v>613</v>
      </c>
      <c r="H1416" s="33">
        <v>26</v>
      </c>
      <c r="I1416" s="33">
        <v>1760</v>
      </c>
      <c r="K1416" t="b">
        <f>QHPSelections2016[[#This Row],[County Name]]=P1416</f>
        <v>1</v>
      </c>
      <c r="L1416" t="b">
        <f>QHPSelections2016[[#This Row],[Silver]]=S1416</f>
        <v>1</v>
      </c>
      <c r="N1416">
        <v>31053</v>
      </c>
      <c r="O1416" t="s">
        <v>3493</v>
      </c>
      <c r="P1416" t="s">
        <v>1058</v>
      </c>
      <c r="Q1416">
        <v>0</v>
      </c>
      <c r="R1416">
        <v>44</v>
      </c>
      <c r="S1416" s="51">
        <v>1077</v>
      </c>
      <c r="T1416">
        <v>613</v>
      </c>
      <c r="U1416">
        <v>26</v>
      </c>
      <c r="V1416" s="51">
        <v>1760</v>
      </c>
    </row>
    <row r="1417" spans="1:22">
      <c r="A1417" s="32" t="s">
        <v>3534</v>
      </c>
      <c r="B1417" s="32" t="s">
        <v>3493</v>
      </c>
      <c r="C1417" s="32" t="s">
        <v>1073</v>
      </c>
      <c r="D1417" s="33">
        <v>0</v>
      </c>
      <c r="E1417" s="33">
        <v>864</v>
      </c>
      <c r="F1417" s="33">
        <v>12880</v>
      </c>
      <c r="G1417" s="33">
        <v>7349</v>
      </c>
      <c r="H1417" s="33">
        <v>423</v>
      </c>
      <c r="I1417" s="33">
        <v>21516</v>
      </c>
      <c r="K1417" t="b">
        <f>QHPSelections2016[[#This Row],[County Name]]=P1417</f>
        <v>1</v>
      </c>
      <c r="L1417" t="b">
        <f>QHPSelections2016[[#This Row],[Silver]]=S1417</f>
        <v>1</v>
      </c>
      <c r="N1417">
        <v>31055</v>
      </c>
      <c r="O1417" t="s">
        <v>3493</v>
      </c>
      <c r="P1417" t="s">
        <v>1073</v>
      </c>
      <c r="Q1417">
        <v>0</v>
      </c>
      <c r="R1417">
        <v>864</v>
      </c>
      <c r="S1417" s="51">
        <v>12880</v>
      </c>
      <c r="T1417" s="51">
        <v>7349</v>
      </c>
      <c r="U1417">
        <v>423</v>
      </c>
      <c r="V1417" s="51">
        <v>21516</v>
      </c>
    </row>
    <row r="1418" spans="1:22">
      <c r="A1418" s="32" t="s">
        <v>3535</v>
      </c>
      <c r="B1418" s="32" t="s">
        <v>3493</v>
      </c>
      <c r="C1418" s="32" t="s">
        <v>3536</v>
      </c>
      <c r="D1418" s="33">
        <v>0</v>
      </c>
      <c r="E1418" s="33" t="s">
        <v>1639</v>
      </c>
      <c r="F1418" s="33">
        <v>96</v>
      </c>
      <c r="G1418" s="33">
        <v>60</v>
      </c>
      <c r="H1418" s="33" t="s">
        <v>1639</v>
      </c>
      <c r="I1418" s="33">
        <v>165</v>
      </c>
      <c r="K1418" t="b">
        <f>QHPSelections2016[[#This Row],[County Name]]=P1418</f>
        <v>1</v>
      </c>
      <c r="L1418" t="b">
        <f>QHPSelections2016[[#This Row],[Silver]]=S1418</f>
        <v>1</v>
      </c>
      <c r="N1418">
        <v>31057</v>
      </c>
      <c r="O1418" t="s">
        <v>3493</v>
      </c>
      <c r="P1418" t="s">
        <v>3536</v>
      </c>
      <c r="Q1418">
        <v>0</v>
      </c>
      <c r="S1418">
        <v>96</v>
      </c>
      <c r="T1418">
        <v>60</v>
      </c>
      <c r="V1418">
        <v>165</v>
      </c>
    </row>
    <row r="1419" spans="1:22">
      <c r="A1419" s="32" t="s">
        <v>3537</v>
      </c>
      <c r="B1419" s="32" t="s">
        <v>3493</v>
      </c>
      <c r="C1419" s="32" t="s">
        <v>3538</v>
      </c>
      <c r="D1419" s="33">
        <v>0</v>
      </c>
      <c r="E1419" s="33" t="s">
        <v>1639</v>
      </c>
      <c r="F1419" s="33">
        <v>251</v>
      </c>
      <c r="G1419" s="33">
        <v>117</v>
      </c>
      <c r="H1419" s="33" t="s">
        <v>1639</v>
      </c>
      <c r="I1419" s="33">
        <v>395</v>
      </c>
      <c r="K1419" t="b">
        <f>QHPSelections2016[[#This Row],[County Name]]=P1419</f>
        <v>1</v>
      </c>
      <c r="L1419" t="b">
        <f>QHPSelections2016[[#This Row],[Silver]]=S1419</f>
        <v>1</v>
      </c>
      <c r="N1419">
        <v>31059</v>
      </c>
      <c r="O1419" t="s">
        <v>3493</v>
      </c>
      <c r="P1419" t="s">
        <v>3538</v>
      </c>
      <c r="Q1419">
        <v>0</v>
      </c>
      <c r="S1419">
        <v>251</v>
      </c>
      <c r="T1419">
        <v>117</v>
      </c>
      <c r="V1419">
        <v>395</v>
      </c>
    </row>
    <row r="1420" spans="1:22">
      <c r="A1420" s="32" t="s">
        <v>3539</v>
      </c>
      <c r="B1420" s="32" t="s">
        <v>3493</v>
      </c>
      <c r="C1420" s="32" t="s">
        <v>919</v>
      </c>
      <c r="D1420" s="33">
        <v>0</v>
      </c>
      <c r="E1420" s="33" t="s">
        <v>1639</v>
      </c>
      <c r="F1420" s="33">
        <v>143</v>
      </c>
      <c r="G1420" s="33">
        <v>91</v>
      </c>
      <c r="H1420" s="33" t="s">
        <v>1639</v>
      </c>
      <c r="I1420" s="33">
        <v>244</v>
      </c>
      <c r="K1420" t="b">
        <f>QHPSelections2016[[#This Row],[County Name]]=P1420</f>
        <v>1</v>
      </c>
      <c r="L1420" t="b">
        <f>QHPSelections2016[[#This Row],[Silver]]=S1420</f>
        <v>1</v>
      </c>
      <c r="N1420">
        <v>31061</v>
      </c>
      <c r="O1420" t="s">
        <v>3493</v>
      </c>
      <c r="P1420" t="s">
        <v>919</v>
      </c>
      <c r="Q1420">
        <v>0</v>
      </c>
      <c r="S1420">
        <v>143</v>
      </c>
      <c r="T1420">
        <v>91</v>
      </c>
      <c r="V1420">
        <v>244</v>
      </c>
    </row>
    <row r="1421" spans="1:22">
      <c r="A1421" s="32" t="s">
        <v>3540</v>
      </c>
      <c r="B1421" s="32" t="s">
        <v>3493</v>
      </c>
      <c r="C1421" s="32" t="s">
        <v>3541</v>
      </c>
      <c r="D1421" s="33">
        <v>0</v>
      </c>
      <c r="E1421" s="33" t="s">
        <v>1639</v>
      </c>
      <c r="F1421" s="33">
        <v>102</v>
      </c>
      <c r="G1421" s="33">
        <v>49</v>
      </c>
      <c r="H1421" s="33" t="s">
        <v>1639</v>
      </c>
      <c r="I1421" s="33">
        <v>161</v>
      </c>
      <c r="K1421" t="b">
        <f>QHPSelections2016[[#This Row],[County Name]]=P1421</f>
        <v>1</v>
      </c>
      <c r="L1421" t="b">
        <f>QHPSelections2016[[#This Row],[Silver]]=S1421</f>
        <v>1</v>
      </c>
      <c r="N1421">
        <v>31063</v>
      </c>
      <c r="O1421" t="s">
        <v>3493</v>
      </c>
      <c r="P1421" t="s">
        <v>3541</v>
      </c>
      <c r="Q1421">
        <v>0</v>
      </c>
      <c r="S1421">
        <v>102</v>
      </c>
      <c r="T1421">
        <v>49</v>
      </c>
      <c r="V1421">
        <v>161</v>
      </c>
    </row>
    <row r="1422" spans="1:22">
      <c r="A1422" s="32" t="s">
        <v>3542</v>
      </c>
      <c r="B1422" s="32" t="s">
        <v>3493</v>
      </c>
      <c r="C1422" s="32" t="s">
        <v>3543</v>
      </c>
      <c r="D1422" s="33">
        <v>0</v>
      </c>
      <c r="E1422" s="33" t="s">
        <v>1639</v>
      </c>
      <c r="F1422" s="33">
        <v>219</v>
      </c>
      <c r="G1422" s="33">
        <v>125</v>
      </c>
      <c r="H1422" s="33" t="s">
        <v>1639</v>
      </c>
      <c r="I1422" s="33">
        <v>395</v>
      </c>
      <c r="K1422" t="b">
        <f>QHPSelections2016[[#This Row],[County Name]]=P1422</f>
        <v>1</v>
      </c>
      <c r="L1422" t="b">
        <f>QHPSelections2016[[#This Row],[Silver]]=S1422</f>
        <v>1</v>
      </c>
      <c r="N1422">
        <v>31065</v>
      </c>
      <c r="O1422" t="s">
        <v>3493</v>
      </c>
      <c r="P1422" t="s">
        <v>3543</v>
      </c>
      <c r="Q1422">
        <v>0</v>
      </c>
      <c r="S1422">
        <v>219</v>
      </c>
      <c r="T1422">
        <v>125</v>
      </c>
      <c r="V1422">
        <v>395</v>
      </c>
    </row>
    <row r="1423" spans="1:22">
      <c r="A1423" s="32" t="s">
        <v>3544</v>
      </c>
      <c r="B1423" s="32" t="s">
        <v>3493</v>
      </c>
      <c r="C1423" s="32" t="s">
        <v>3545</v>
      </c>
      <c r="D1423" s="33">
        <v>0</v>
      </c>
      <c r="E1423" s="33">
        <v>50</v>
      </c>
      <c r="F1423" s="33">
        <v>635</v>
      </c>
      <c r="G1423" s="33">
        <v>355</v>
      </c>
      <c r="H1423" s="33">
        <v>16</v>
      </c>
      <c r="I1423" s="33">
        <v>1056</v>
      </c>
      <c r="K1423" t="b">
        <f>QHPSelections2016[[#This Row],[County Name]]=P1423</f>
        <v>1</v>
      </c>
      <c r="L1423" t="b">
        <f>QHPSelections2016[[#This Row],[Silver]]=S1423</f>
        <v>1</v>
      </c>
      <c r="N1423">
        <v>31067</v>
      </c>
      <c r="O1423" t="s">
        <v>3493</v>
      </c>
      <c r="P1423" t="s">
        <v>3545</v>
      </c>
      <c r="Q1423">
        <v>0</v>
      </c>
      <c r="R1423">
        <v>50</v>
      </c>
      <c r="S1423">
        <v>635</v>
      </c>
      <c r="T1423">
        <v>355</v>
      </c>
      <c r="U1423">
        <v>16</v>
      </c>
      <c r="V1423" s="51">
        <v>1056</v>
      </c>
    </row>
    <row r="1424" spans="1:22">
      <c r="A1424" s="32" t="s">
        <v>3546</v>
      </c>
      <c r="B1424" s="32" t="s">
        <v>3493</v>
      </c>
      <c r="C1424" s="32" t="s">
        <v>3547</v>
      </c>
      <c r="D1424" s="33">
        <v>0</v>
      </c>
      <c r="E1424" s="33" t="s">
        <v>1639</v>
      </c>
      <c r="F1424" s="33">
        <v>140</v>
      </c>
      <c r="G1424" s="33">
        <v>53</v>
      </c>
      <c r="H1424" s="33" t="s">
        <v>1639</v>
      </c>
      <c r="I1424" s="33">
        <v>198</v>
      </c>
      <c r="K1424" t="b">
        <f>QHPSelections2016[[#This Row],[County Name]]=P1424</f>
        <v>1</v>
      </c>
      <c r="L1424" t="b">
        <f>QHPSelections2016[[#This Row],[Silver]]=S1424</f>
        <v>1</v>
      </c>
      <c r="N1424">
        <v>31069</v>
      </c>
      <c r="O1424" t="s">
        <v>3493</v>
      </c>
      <c r="P1424" t="s">
        <v>3547</v>
      </c>
      <c r="Q1424">
        <v>0</v>
      </c>
      <c r="S1424">
        <v>140</v>
      </c>
      <c r="T1424">
        <v>53</v>
      </c>
      <c r="V1424">
        <v>198</v>
      </c>
    </row>
    <row r="1425" spans="1:22">
      <c r="A1425" s="32" t="s">
        <v>3548</v>
      </c>
      <c r="B1425" s="32" t="s">
        <v>3493</v>
      </c>
      <c r="C1425" s="32" t="s">
        <v>3234</v>
      </c>
      <c r="D1425" s="33">
        <v>0</v>
      </c>
      <c r="E1425" s="33" t="s">
        <v>1639</v>
      </c>
      <c r="F1425" s="33">
        <v>153</v>
      </c>
      <c r="G1425" s="33">
        <v>109</v>
      </c>
      <c r="H1425" s="33" t="s">
        <v>1639</v>
      </c>
      <c r="I1425" s="33">
        <v>263</v>
      </c>
      <c r="K1425" t="b">
        <f>QHPSelections2016[[#This Row],[County Name]]=P1425</f>
        <v>1</v>
      </c>
      <c r="L1425" t="b">
        <f>QHPSelections2016[[#This Row],[Silver]]=S1425</f>
        <v>1</v>
      </c>
      <c r="N1425">
        <v>31071</v>
      </c>
      <c r="O1425" t="s">
        <v>3493</v>
      </c>
      <c r="P1425" t="s">
        <v>3234</v>
      </c>
      <c r="Q1425">
        <v>0</v>
      </c>
      <c r="S1425">
        <v>153</v>
      </c>
      <c r="T1425">
        <v>109</v>
      </c>
      <c r="V1425">
        <v>263</v>
      </c>
    </row>
    <row r="1426" spans="1:22">
      <c r="A1426" s="32" t="s">
        <v>3549</v>
      </c>
      <c r="B1426" s="32" t="s">
        <v>3493</v>
      </c>
      <c r="C1426" s="32" t="s">
        <v>3550</v>
      </c>
      <c r="D1426" s="33">
        <v>0</v>
      </c>
      <c r="E1426" s="33" t="s">
        <v>1639</v>
      </c>
      <c r="F1426" s="33">
        <v>78</v>
      </c>
      <c r="G1426" s="33">
        <v>44</v>
      </c>
      <c r="H1426" s="33" t="s">
        <v>1639</v>
      </c>
      <c r="I1426" s="33">
        <v>130</v>
      </c>
      <c r="K1426" t="b">
        <f>QHPSelections2016[[#This Row],[County Name]]=P1426</f>
        <v>1</v>
      </c>
      <c r="L1426" t="b">
        <f>QHPSelections2016[[#This Row],[Silver]]=S1426</f>
        <v>1</v>
      </c>
      <c r="N1426">
        <v>31073</v>
      </c>
      <c r="O1426" t="s">
        <v>3493</v>
      </c>
      <c r="P1426" t="s">
        <v>3550</v>
      </c>
      <c r="Q1426">
        <v>0</v>
      </c>
      <c r="S1426">
        <v>78</v>
      </c>
      <c r="T1426">
        <v>44</v>
      </c>
      <c r="V1426">
        <v>130</v>
      </c>
    </row>
    <row r="1427" spans="1:22">
      <c r="A1427" s="32" t="s">
        <v>3551</v>
      </c>
      <c r="B1427" s="32" t="s">
        <v>3493</v>
      </c>
      <c r="C1427" s="32" t="s">
        <v>1803</v>
      </c>
      <c r="D1427" s="33">
        <v>0</v>
      </c>
      <c r="E1427" s="33">
        <v>0</v>
      </c>
      <c r="F1427" s="33">
        <v>114</v>
      </c>
      <c r="G1427" s="33">
        <v>55</v>
      </c>
      <c r="H1427" s="33">
        <v>0</v>
      </c>
      <c r="I1427" s="33">
        <v>169</v>
      </c>
      <c r="K1427" t="b">
        <f>QHPSelections2016[[#This Row],[County Name]]=P1427</f>
        <v>1</v>
      </c>
      <c r="L1427" t="b">
        <f>QHPSelections2016[[#This Row],[Silver]]=S1427</f>
        <v>1</v>
      </c>
      <c r="N1427">
        <v>31075</v>
      </c>
      <c r="O1427" t="s">
        <v>3493</v>
      </c>
      <c r="P1427" t="s">
        <v>1803</v>
      </c>
      <c r="Q1427">
        <v>0</v>
      </c>
      <c r="R1427">
        <v>0</v>
      </c>
      <c r="S1427">
        <v>114</v>
      </c>
      <c r="T1427">
        <v>55</v>
      </c>
      <c r="U1427">
        <v>0</v>
      </c>
      <c r="V1427">
        <v>169</v>
      </c>
    </row>
    <row r="1428" spans="1:22">
      <c r="A1428" s="32" t="s">
        <v>3552</v>
      </c>
      <c r="B1428" s="32" t="s">
        <v>3493</v>
      </c>
      <c r="C1428" s="32" t="s">
        <v>2616</v>
      </c>
      <c r="D1428" s="33">
        <v>0</v>
      </c>
      <c r="E1428" s="33" t="s">
        <v>1639</v>
      </c>
      <c r="F1428" s="33">
        <v>221</v>
      </c>
      <c r="G1428" s="33">
        <v>52</v>
      </c>
      <c r="H1428" s="33" t="s">
        <v>1639</v>
      </c>
      <c r="I1428" s="33">
        <v>292</v>
      </c>
      <c r="K1428" t="b">
        <f>QHPSelections2016[[#This Row],[County Name]]=P1428</f>
        <v>1</v>
      </c>
      <c r="L1428" t="b">
        <f>QHPSelections2016[[#This Row],[Silver]]=S1428</f>
        <v>1</v>
      </c>
      <c r="N1428">
        <v>31077</v>
      </c>
      <c r="O1428" t="s">
        <v>3493</v>
      </c>
      <c r="P1428" t="s">
        <v>2616</v>
      </c>
      <c r="Q1428">
        <v>0</v>
      </c>
      <c r="S1428">
        <v>221</v>
      </c>
      <c r="T1428">
        <v>52</v>
      </c>
      <c r="V1428">
        <v>292</v>
      </c>
    </row>
    <row r="1429" spans="1:22">
      <c r="A1429" s="32" t="s">
        <v>3553</v>
      </c>
      <c r="B1429" s="32" t="s">
        <v>3493</v>
      </c>
      <c r="C1429" s="32" t="s">
        <v>1180</v>
      </c>
      <c r="D1429" s="33">
        <v>0</v>
      </c>
      <c r="E1429" s="33">
        <v>109</v>
      </c>
      <c r="F1429" s="33">
        <v>1697</v>
      </c>
      <c r="G1429" s="33">
        <v>705</v>
      </c>
      <c r="H1429" s="33">
        <v>40</v>
      </c>
      <c r="I1429" s="33">
        <v>2551</v>
      </c>
      <c r="K1429" t="b">
        <f>QHPSelections2016[[#This Row],[County Name]]=P1429</f>
        <v>1</v>
      </c>
      <c r="L1429" t="b">
        <f>QHPSelections2016[[#This Row],[Silver]]=S1429</f>
        <v>1</v>
      </c>
      <c r="N1429">
        <v>31079</v>
      </c>
      <c r="O1429" t="s">
        <v>3493</v>
      </c>
      <c r="P1429" t="s">
        <v>1180</v>
      </c>
      <c r="Q1429">
        <v>0</v>
      </c>
      <c r="R1429">
        <v>109</v>
      </c>
      <c r="S1429" s="51">
        <v>1697</v>
      </c>
      <c r="T1429">
        <v>705</v>
      </c>
      <c r="U1429">
        <v>40</v>
      </c>
      <c r="V1429" s="51">
        <v>2551</v>
      </c>
    </row>
    <row r="1430" spans="1:22">
      <c r="A1430" s="32" t="s">
        <v>3554</v>
      </c>
      <c r="B1430" s="32" t="s">
        <v>3493</v>
      </c>
      <c r="C1430" s="32" t="s">
        <v>947</v>
      </c>
      <c r="D1430" s="33">
        <v>0</v>
      </c>
      <c r="E1430" s="33" t="s">
        <v>1639</v>
      </c>
      <c r="F1430" s="33">
        <v>297</v>
      </c>
      <c r="G1430" s="33">
        <v>131</v>
      </c>
      <c r="H1430" s="33" t="s">
        <v>1639</v>
      </c>
      <c r="I1430" s="33">
        <v>459</v>
      </c>
      <c r="K1430" t="b">
        <f>QHPSelections2016[[#This Row],[County Name]]=P1430</f>
        <v>1</v>
      </c>
      <c r="L1430" t="b">
        <f>QHPSelections2016[[#This Row],[Silver]]=S1430</f>
        <v>1</v>
      </c>
      <c r="N1430">
        <v>31081</v>
      </c>
      <c r="O1430" t="s">
        <v>3493</v>
      </c>
      <c r="P1430" t="s">
        <v>947</v>
      </c>
      <c r="Q1430">
        <v>0</v>
      </c>
      <c r="S1430">
        <v>297</v>
      </c>
      <c r="T1430">
        <v>131</v>
      </c>
      <c r="V1430">
        <v>459</v>
      </c>
    </row>
    <row r="1431" spans="1:22">
      <c r="A1431" s="32" t="s">
        <v>3555</v>
      </c>
      <c r="B1431" s="32" t="s">
        <v>3493</v>
      </c>
      <c r="C1431" s="32" t="s">
        <v>3556</v>
      </c>
      <c r="D1431" s="33">
        <v>0</v>
      </c>
      <c r="E1431" s="33" t="s">
        <v>1639</v>
      </c>
      <c r="F1431" s="33">
        <v>144</v>
      </c>
      <c r="G1431" s="33">
        <v>49</v>
      </c>
      <c r="H1431" s="33" t="s">
        <v>1639</v>
      </c>
      <c r="I1431" s="33">
        <v>203</v>
      </c>
      <c r="K1431" t="b">
        <f>QHPSelections2016[[#This Row],[County Name]]=P1431</f>
        <v>1</v>
      </c>
      <c r="L1431" t="b">
        <f>QHPSelections2016[[#This Row],[Silver]]=S1431</f>
        <v>1</v>
      </c>
      <c r="N1431">
        <v>31083</v>
      </c>
      <c r="O1431" t="s">
        <v>3493</v>
      </c>
      <c r="P1431" t="s">
        <v>3556</v>
      </c>
      <c r="Q1431">
        <v>0</v>
      </c>
      <c r="S1431">
        <v>144</v>
      </c>
      <c r="T1431">
        <v>49</v>
      </c>
      <c r="V1431">
        <v>203</v>
      </c>
    </row>
    <row r="1432" spans="1:22">
      <c r="A1432" s="32" t="s">
        <v>3557</v>
      </c>
      <c r="B1432" s="32" t="s">
        <v>3493</v>
      </c>
      <c r="C1432" s="32" t="s">
        <v>3558</v>
      </c>
      <c r="D1432" s="33">
        <v>0</v>
      </c>
      <c r="E1432" s="33">
        <v>0</v>
      </c>
      <c r="F1432" s="33">
        <v>69</v>
      </c>
      <c r="G1432" s="33">
        <v>31</v>
      </c>
      <c r="H1432" s="33">
        <v>0</v>
      </c>
      <c r="I1432" s="33">
        <v>100</v>
      </c>
      <c r="K1432" t="b">
        <f>QHPSelections2016[[#This Row],[County Name]]=P1432</f>
        <v>1</v>
      </c>
      <c r="L1432" t="b">
        <f>QHPSelections2016[[#This Row],[Silver]]=S1432</f>
        <v>1</v>
      </c>
      <c r="N1432">
        <v>31085</v>
      </c>
      <c r="O1432" t="s">
        <v>3493</v>
      </c>
      <c r="P1432" t="s">
        <v>3558</v>
      </c>
      <c r="Q1432">
        <v>0</v>
      </c>
      <c r="R1432">
        <v>0</v>
      </c>
      <c r="S1432">
        <v>69</v>
      </c>
      <c r="T1432">
        <v>31</v>
      </c>
      <c r="U1432">
        <v>0</v>
      </c>
      <c r="V1432">
        <v>100</v>
      </c>
    </row>
    <row r="1433" spans="1:22">
      <c r="A1433" s="32" t="s">
        <v>3559</v>
      </c>
      <c r="B1433" s="32" t="s">
        <v>3493</v>
      </c>
      <c r="C1433" s="32" t="s">
        <v>3560</v>
      </c>
      <c r="D1433" s="33">
        <v>0</v>
      </c>
      <c r="E1433" s="33" t="s">
        <v>1639</v>
      </c>
      <c r="F1433" s="33">
        <v>180</v>
      </c>
      <c r="G1433" s="33">
        <v>102</v>
      </c>
      <c r="H1433" s="33" t="s">
        <v>1639</v>
      </c>
      <c r="I1433" s="33">
        <v>300</v>
      </c>
      <c r="K1433" t="b">
        <f>QHPSelections2016[[#This Row],[County Name]]=P1433</f>
        <v>1</v>
      </c>
      <c r="L1433" t="b">
        <f>QHPSelections2016[[#This Row],[Silver]]=S1433</f>
        <v>1</v>
      </c>
      <c r="N1433">
        <v>31087</v>
      </c>
      <c r="O1433" t="s">
        <v>3493</v>
      </c>
      <c r="P1433" t="s">
        <v>3560</v>
      </c>
      <c r="Q1433">
        <v>0</v>
      </c>
      <c r="S1433">
        <v>180</v>
      </c>
      <c r="T1433">
        <v>102</v>
      </c>
      <c r="V1433">
        <v>300</v>
      </c>
    </row>
    <row r="1434" spans="1:22">
      <c r="A1434" s="32" t="s">
        <v>3561</v>
      </c>
      <c r="B1434" s="32" t="s">
        <v>3493</v>
      </c>
      <c r="C1434" s="32" t="s">
        <v>3023</v>
      </c>
      <c r="D1434" s="33">
        <v>0</v>
      </c>
      <c r="E1434" s="33">
        <v>56</v>
      </c>
      <c r="F1434" s="33">
        <v>730</v>
      </c>
      <c r="G1434" s="33">
        <v>551</v>
      </c>
      <c r="H1434" s="33">
        <v>11</v>
      </c>
      <c r="I1434" s="33">
        <v>1348</v>
      </c>
      <c r="K1434" t="b">
        <f>QHPSelections2016[[#This Row],[County Name]]=P1434</f>
        <v>1</v>
      </c>
      <c r="L1434" t="b">
        <f>QHPSelections2016[[#This Row],[Silver]]=S1434</f>
        <v>1</v>
      </c>
      <c r="N1434">
        <v>31089</v>
      </c>
      <c r="O1434" t="s">
        <v>3493</v>
      </c>
      <c r="P1434" t="s">
        <v>3023</v>
      </c>
      <c r="Q1434">
        <v>0</v>
      </c>
      <c r="R1434">
        <v>56</v>
      </c>
      <c r="S1434">
        <v>730</v>
      </c>
      <c r="T1434">
        <v>551</v>
      </c>
      <c r="U1434">
        <v>11</v>
      </c>
      <c r="V1434" s="51">
        <v>1348</v>
      </c>
    </row>
    <row r="1435" spans="1:22">
      <c r="A1435" s="32" t="s">
        <v>3562</v>
      </c>
      <c r="B1435" s="32" t="s">
        <v>3493</v>
      </c>
      <c r="C1435" s="32" t="s">
        <v>3563</v>
      </c>
      <c r="D1435" s="33">
        <v>0</v>
      </c>
      <c r="E1435" s="33" t="s">
        <v>1639</v>
      </c>
      <c r="F1435" s="33">
        <v>68</v>
      </c>
      <c r="G1435" s="33">
        <v>29</v>
      </c>
      <c r="H1435" s="33" t="s">
        <v>1639</v>
      </c>
      <c r="I1435" s="33">
        <v>104</v>
      </c>
      <c r="K1435" t="b">
        <f>QHPSelections2016[[#This Row],[County Name]]=P1435</f>
        <v>1</v>
      </c>
      <c r="L1435" t="b">
        <f>QHPSelections2016[[#This Row],[Silver]]=S1435</f>
        <v>1</v>
      </c>
      <c r="N1435">
        <v>31091</v>
      </c>
      <c r="O1435" t="s">
        <v>3493</v>
      </c>
      <c r="P1435" t="s">
        <v>3563</v>
      </c>
      <c r="Q1435">
        <v>0</v>
      </c>
      <c r="S1435">
        <v>68</v>
      </c>
      <c r="T1435">
        <v>29</v>
      </c>
      <c r="V1435">
        <v>104</v>
      </c>
    </row>
    <row r="1436" spans="1:22">
      <c r="A1436" s="32" t="s">
        <v>3564</v>
      </c>
      <c r="B1436" s="32" t="s">
        <v>3493</v>
      </c>
      <c r="C1436" s="32" t="s">
        <v>1288</v>
      </c>
      <c r="D1436" s="33">
        <v>0</v>
      </c>
      <c r="E1436" s="33" t="s">
        <v>1639</v>
      </c>
      <c r="F1436" s="33">
        <v>247</v>
      </c>
      <c r="G1436" s="33">
        <v>108</v>
      </c>
      <c r="H1436" s="33" t="s">
        <v>1639</v>
      </c>
      <c r="I1436" s="33">
        <v>384</v>
      </c>
      <c r="K1436" t="b">
        <f>QHPSelections2016[[#This Row],[County Name]]=P1436</f>
        <v>1</v>
      </c>
      <c r="L1436" t="b">
        <f>QHPSelections2016[[#This Row],[Silver]]=S1436</f>
        <v>1</v>
      </c>
      <c r="N1436">
        <v>31093</v>
      </c>
      <c r="O1436" t="s">
        <v>3493</v>
      </c>
      <c r="P1436" t="s">
        <v>1288</v>
      </c>
      <c r="Q1436">
        <v>0</v>
      </c>
      <c r="S1436">
        <v>247</v>
      </c>
      <c r="T1436">
        <v>108</v>
      </c>
      <c r="V1436">
        <v>384</v>
      </c>
    </row>
    <row r="1437" spans="1:22">
      <c r="A1437" s="32" t="s">
        <v>3565</v>
      </c>
      <c r="B1437" s="32" t="s">
        <v>3493</v>
      </c>
      <c r="C1437" s="32" t="s">
        <v>993</v>
      </c>
      <c r="D1437" s="33">
        <v>0</v>
      </c>
      <c r="E1437" s="33" t="s">
        <v>1639</v>
      </c>
      <c r="F1437" s="33">
        <v>203</v>
      </c>
      <c r="G1437" s="33">
        <v>153</v>
      </c>
      <c r="H1437" s="33" t="s">
        <v>1639</v>
      </c>
      <c r="I1437" s="33">
        <v>380</v>
      </c>
      <c r="K1437" t="b">
        <f>QHPSelections2016[[#This Row],[County Name]]=P1437</f>
        <v>1</v>
      </c>
      <c r="L1437" t="b">
        <f>QHPSelections2016[[#This Row],[Silver]]=S1437</f>
        <v>1</v>
      </c>
      <c r="N1437">
        <v>31095</v>
      </c>
      <c r="O1437" t="s">
        <v>3493</v>
      </c>
      <c r="P1437" t="s">
        <v>993</v>
      </c>
      <c r="Q1437">
        <v>0</v>
      </c>
      <c r="S1437">
        <v>203</v>
      </c>
      <c r="T1437">
        <v>153</v>
      </c>
      <c r="V1437">
        <v>380</v>
      </c>
    </row>
    <row r="1438" spans="1:22">
      <c r="A1438" s="32" t="s">
        <v>3566</v>
      </c>
      <c r="B1438" s="32" t="s">
        <v>3493</v>
      </c>
      <c r="C1438" s="32" t="s">
        <v>1064</v>
      </c>
      <c r="D1438" s="33">
        <v>0</v>
      </c>
      <c r="E1438" s="33" t="s">
        <v>1639</v>
      </c>
      <c r="F1438" s="33">
        <v>124</v>
      </c>
      <c r="G1438" s="33">
        <v>57</v>
      </c>
      <c r="H1438" s="33" t="s">
        <v>1639</v>
      </c>
      <c r="I1438" s="33">
        <v>195</v>
      </c>
      <c r="K1438" t="b">
        <f>QHPSelections2016[[#This Row],[County Name]]=P1438</f>
        <v>1</v>
      </c>
      <c r="L1438" t="b">
        <f>QHPSelections2016[[#This Row],[Silver]]=S1438</f>
        <v>1</v>
      </c>
      <c r="N1438">
        <v>31097</v>
      </c>
      <c r="O1438" t="s">
        <v>3493</v>
      </c>
      <c r="P1438" t="s">
        <v>1064</v>
      </c>
      <c r="Q1438">
        <v>0</v>
      </c>
      <c r="S1438">
        <v>124</v>
      </c>
      <c r="T1438">
        <v>57</v>
      </c>
      <c r="V1438">
        <v>195</v>
      </c>
    </row>
    <row r="1439" spans="1:22">
      <c r="A1439" s="32" t="s">
        <v>3567</v>
      </c>
      <c r="B1439" s="32" t="s">
        <v>3493</v>
      </c>
      <c r="C1439" s="32" t="s">
        <v>3568</v>
      </c>
      <c r="D1439" s="33">
        <v>0</v>
      </c>
      <c r="E1439" s="33" t="s">
        <v>1639</v>
      </c>
      <c r="F1439" s="33">
        <v>251</v>
      </c>
      <c r="G1439" s="33">
        <v>131</v>
      </c>
      <c r="H1439" s="33" t="s">
        <v>1639</v>
      </c>
      <c r="I1439" s="33">
        <v>405</v>
      </c>
      <c r="K1439" t="b">
        <f>QHPSelections2016[[#This Row],[County Name]]=P1439</f>
        <v>1</v>
      </c>
      <c r="L1439" t="b">
        <f>QHPSelections2016[[#This Row],[Silver]]=S1439</f>
        <v>1</v>
      </c>
      <c r="N1439">
        <v>31099</v>
      </c>
      <c r="O1439" t="s">
        <v>3493</v>
      </c>
      <c r="P1439" t="s">
        <v>3568</v>
      </c>
      <c r="Q1439">
        <v>0</v>
      </c>
      <c r="S1439">
        <v>251</v>
      </c>
      <c r="T1439">
        <v>131</v>
      </c>
      <c r="V1439">
        <v>405</v>
      </c>
    </row>
    <row r="1440" spans="1:22">
      <c r="A1440" s="32" t="s">
        <v>3569</v>
      </c>
      <c r="B1440" s="32" t="s">
        <v>3493</v>
      </c>
      <c r="C1440" s="32" t="s">
        <v>3570</v>
      </c>
      <c r="D1440" s="33">
        <v>0</v>
      </c>
      <c r="E1440" s="33" t="s">
        <v>1639</v>
      </c>
      <c r="F1440" s="33">
        <v>359</v>
      </c>
      <c r="G1440" s="33">
        <v>223</v>
      </c>
      <c r="H1440" s="33" t="s">
        <v>1639</v>
      </c>
      <c r="I1440" s="33">
        <v>598</v>
      </c>
      <c r="K1440" t="b">
        <f>QHPSelections2016[[#This Row],[County Name]]=P1440</f>
        <v>1</v>
      </c>
      <c r="L1440" t="b">
        <f>QHPSelections2016[[#This Row],[Silver]]=S1440</f>
        <v>1</v>
      </c>
      <c r="N1440">
        <v>31101</v>
      </c>
      <c r="O1440" t="s">
        <v>3493</v>
      </c>
      <c r="P1440" t="s">
        <v>3570</v>
      </c>
      <c r="Q1440">
        <v>0</v>
      </c>
      <c r="S1440">
        <v>359</v>
      </c>
      <c r="T1440">
        <v>223</v>
      </c>
      <c r="V1440">
        <v>598</v>
      </c>
    </row>
    <row r="1441" spans="1:22">
      <c r="A1441" s="32" t="s">
        <v>3571</v>
      </c>
      <c r="B1441" s="32" t="s">
        <v>3493</v>
      </c>
      <c r="C1441" s="32" t="s">
        <v>3572</v>
      </c>
      <c r="D1441" s="33">
        <v>0</v>
      </c>
      <c r="E1441" s="33" t="s">
        <v>1639</v>
      </c>
      <c r="F1441" s="33">
        <v>41</v>
      </c>
      <c r="G1441" s="33">
        <v>28</v>
      </c>
      <c r="H1441" s="33" t="s">
        <v>1639</v>
      </c>
      <c r="I1441" s="33">
        <v>76</v>
      </c>
      <c r="K1441" t="b">
        <f>QHPSelections2016[[#This Row],[County Name]]=P1441</f>
        <v>1</v>
      </c>
      <c r="L1441" t="b">
        <f>QHPSelections2016[[#This Row],[Silver]]=S1441</f>
        <v>1</v>
      </c>
      <c r="N1441">
        <v>31103</v>
      </c>
      <c r="O1441" t="s">
        <v>3493</v>
      </c>
      <c r="P1441" t="s">
        <v>3572</v>
      </c>
      <c r="Q1441">
        <v>0</v>
      </c>
      <c r="S1441">
        <v>41</v>
      </c>
      <c r="T1441">
        <v>28</v>
      </c>
      <c r="V1441">
        <v>76</v>
      </c>
    </row>
    <row r="1442" spans="1:22">
      <c r="A1442" s="32" t="s">
        <v>3573</v>
      </c>
      <c r="B1442" s="32" t="s">
        <v>3493</v>
      </c>
      <c r="C1442" s="32" t="s">
        <v>3574</v>
      </c>
      <c r="D1442" s="33">
        <v>0</v>
      </c>
      <c r="E1442" s="33" t="s">
        <v>1639</v>
      </c>
      <c r="F1442" s="33">
        <v>98</v>
      </c>
      <c r="G1442" s="33">
        <v>58</v>
      </c>
      <c r="H1442" s="33" t="s">
        <v>1639</v>
      </c>
      <c r="I1442" s="33">
        <v>168</v>
      </c>
      <c r="K1442" t="b">
        <f>QHPSelections2016[[#This Row],[County Name]]=P1442</f>
        <v>1</v>
      </c>
      <c r="L1442" t="b">
        <f>QHPSelections2016[[#This Row],[Silver]]=S1442</f>
        <v>1</v>
      </c>
      <c r="N1442">
        <v>31105</v>
      </c>
      <c r="O1442" t="s">
        <v>3493</v>
      </c>
      <c r="P1442" t="s">
        <v>3574</v>
      </c>
      <c r="Q1442">
        <v>0</v>
      </c>
      <c r="S1442">
        <v>98</v>
      </c>
      <c r="T1442">
        <v>58</v>
      </c>
      <c r="V1442">
        <v>168</v>
      </c>
    </row>
    <row r="1443" spans="1:22">
      <c r="A1443" s="32" t="s">
        <v>3575</v>
      </c>
      <c r="B1443" s="32" t="s">
        <v>3493</v>
      </c>
      <c r="C1443" s="32" t="s">
        <v>1070</v>
      </c>
      <c r="D1443" s="33">
        <v>0</v>
      </c>
      <c r="E1443" s="33" t="s">
        <v>1639</v>
      </c>
      <c r="F1443" s="33">
        <v>396</v>
      </c>
      <c r="G1443" s="33">
        <v>289</v>
      </c>
      <c r="H1443" s="33" t="s">
        <v>1639</v>
      </c>
      <c r="I1443" s="33">
        <v>699</v>
      </c>
      <c r="K1443" t="b">
        <f>QHPSelections2016[[#This Row],[County Name]]=P1443</f>
        <v>1</v>
      </c>
      <c r="L1443" t="b">
        <f>QHPSelections2016[[#This Row],[Silver]]=S1443</f>
        <v>1</v>
      </c>
      <c r="N1443">
        <v>31107</v>
      </c>
      <c r="O1443" t="s">
        <v>3493</v>
      </c>
      <c r="P1443" t="s">
        <v>1070</v>
      </c>
      <c r="Q1443">
        <v>0</v>
      </c>
      <c r="S1443">
        <v>396</v>
      </c>
      <c r="T1443">
        <v>289</v>
      </c>
      <c r="V1443">
        <v>699</v>
      </c>
    </row>
    <row r="1444" spans="1:22">
      <c r="A1444" s="32" t="s">
        <v>3576</v>
      </c>
      <c r="B1444" s="32" t="s">
        <v>3493</v>
      </c>
      <c r="C1444" s="32" t="s">
        <v>3577</v>
      </c>
      <c r="D1444" s="33">
        <v>0</v>
      </c>
      <c r="E1444" s="33">
        <v>578</v>
      </c>
      <c r="F1444" s="33">
        <v>7021</v>
      </c>
      <c r="G1444" s="33">
        <v>3773</v>
      </c>
      <c r="H1444" s="33">
        <v>332</v>
      </c>
      <c r="I1444" s="33">
        <v>11704</v>
      </c>
      <c r="K1444" t="b">
        <f>QHPSelections2016[[#This Row],[County Name]]=P1444</f>
        <v>1</v>
      </c>
      <c r="L1444" t="b">
        <f>QHPSelections2016[[#This Row],[Silver]]=S1444</f>
        <v>1</v>
      </c>
      <c r="N1444">
        <v>31109</v>
      </c>
      <c r="O1444" t="s">
        <v>3493</v>
      </c>
      <c r="P1444" t="s">
        <v>3577</v>
      </c>
      <c r="Q1444">
        <v>0</v>
      </c>
      <c r="R1444">
        <v>578</v>
      </c>
      <c r="S1444" s="51">
        <v>7021</v>
      </c>
      <c r="T1444" s="51">
        <v>3773</v>
      </c>
      <c r="U1444">
        <v>332</v>
      </c>
      <c r="V1444" s="51">
        <v>11704</v>
      </c>
    </row>
    <row r="1445" spans="1:22">
      <c r="A1445" s="32" t="s">
        <v>3578</v>
      </c>
      <c r="B1445" s="32" t="s">
        <v>3493</v>
      </c>
      <c r="C1445" s="32" t="s">
        <v>1051</v>
      </c>
      <c r="D1445" s="33">
        <v>0</v>
      </c>
      <c r="E1445" s="33">
        <v>65</v>
      </c>
      <c r="F1445" s="33">
        <v>955</v>
      </c>
      <c r="G1445" s="33">
        <v>521</v>
      </c>
      <c r="H1445" s="33">
        <v>17</v>
      </c>
      <c r="I1445" s="33">
        <v>1558</v>
      </c>
      <c r="K1445" t="b">
        <f>QHPSelections2016[[#This Row],[County Name]]=P1445</f>
        <v>1</v>
      </c>
      <c r="L1445" t="b">
        <f>QHPSelections2016[[#This Row],[Silver]]=S1445</f>
        <v>1</v>
      </c>
      <c r="N1445">
        <v>31111</v>
      </c>
      <c r="O1445" t="s">
        <v>3493</v>
      </c>
      <c r="P1445" t="s">
        <v>1051</v>
      </c>
      <c r="Q1445">
        <v>0</v>
      </c>
      <c r="R1445">
        <v>65</v>
      </c>
      <c r="S1445">
        <v>955</v>
      </c>
      <c r="T1445">
        <v>521</v>
      </c>
      <c r="U1445">
        <v>17</v>
      </c>
      <c r="V1445" s="51">
        <v>1558</v>
      </c>
    </row>
    <row r="1446" spans="1:22">
      <c r="A1446" s="32" t="s">
        <v>3579</v>
      </c>
      <c r="B1446" s="32" t="s">
        <v>3493</v>
      </c>
      <c r="C1446" s="32" t="s">
        <v>1824</v>
      </c>
      <c r="D1446" s="33">
        <v>0</v>
      </c>
      <c r="E1446" s="33">
        <v>0</v>
      </c>
      <c r="F1446" s="33">
        <v>48</v>
      </c>
      <c r="G1446" s="33">
        <v>41</v>
      </c>
      <c r="H1446" s="33">
        <v>0</v>
      </c>
      <c r="I1446" s="33">
        <v>89</v>
      </c>
      <c r="K1446" t="b">
        <f>QHPSelections2016[[#This Row],[County Name]]=P1446</f>
        <v>1</v>
      </c>
      <c r="L1446" t="b">
        <f>QHPSelections2016[[#This Row],[Silver]]=S1446</f>
        <v>1</v>
      </c>
      <c r="N1446">
        <v>31113</v>
      </c>
      <c r="O1446" t="s">
        <v>3493</v>
      </c>
      <c r="P1446" t="s">
        <v>1824</v>
      </c>
      <c r="Q1446">
        <v>0</v>
      </c>
      <c r="R1446">
        <v>0</v>
      </c>
      <c r="S1446">
        <v>48</v>
      </c>
      <c r="T1446">
        <v>41</v>
      </c>
      <c r="U1446">
        <v>0</v>
      </c>
      <c r="V1446">
        <v>89</v>
      </c>
    </row>
    <row r="1447" spans="1:22">
      <c r="A1447" s="32" t="s">
        <v>3580</v>
      </c>
      <c r="B1447" s="32" t="s">
        <v>3493</v>
      </c>
      <c r="C1447" s="32" t="s">
        <v>3581</v>
      </c>
      <c r="D1447" s="33">
        <v>0</v>
      </c>
      <c r="E1447" s="33" t="s">
        <v>1639</v>
      </c>
      <c r="F1447" s="33">
        <v>58</v>
      </c>
      <c r="G1447" s="33" t="s">
        <v>1639</v>
      </c>
      <c r="H1447" s="33" t="s">
        <v>1639</v>
      </c>
      <c r="I1447" s="33">
        <v>84</v>
      </c>
      <c r="K1447" t="b">
        <f>QHPSelections2016[[#This Row],[County Name]]=P1447</f>
        <v>1</v>
      </c>
      <c r="L1447" t="b">
        <f>QHPSelections2016[[#This Row],[Silver]]=S1447</f>
        <v>1</v>
      </c>
      <c r="N1447">
        <v>31115</v>
      </c>
      <c r="O1447" t="s">
        <v>3493</v>
      </c>
      <c r="P1447" t="s">
        <v>3581</v>
      </c>
      <c r="Q1447">
        <v>0</v>
      </c>
      <c r="S1447">
        <v>58</v>
      </c>
      <c r="V1447">
        <v>84</v>
      </c>
    </row>
    <row r="1448" spans="1:22">
      <c r="A1448" s="32" t="s">
        <v>3582</v>
      </c>
      <c r="B1448" s="32" t="s">
        <v>3493</v>
      </c>
      <c r="C1448" s="32" t="s">
        <v>2649</v>
      </c>
      <c r="D1448" s="33">
        <v>0</v>
      </c>
      <c r="E1448" s="33">
        <v>0</v>
      </c>
      <c r="F1448" s="33">
        <v>16</v>
      </c>
      <c r="G1448" s="33">
        <v>23</v>
      </c>
      <c r="H1448" s="33">
        <v>0</v>
      </c>
      <c r="I1448" s="33">
        <v>39</v>
      </c>
      <c r="K1448" t="b">
        <f>QHPSelections2016[[#This Row],[County Name]]=P1448</f>
        <v>0</v>
      </c>
      <c r="L1448" t="b">
        <f>QHPSelections2016[[#This Row],[Silver]]=S1448</f>
        <v>0</v>
      </c>
      <c r="N1448">
        <v>31119</v>
      </c>
      <c r="O1448" t="s">
        <v>3493</v>
      </c>
      <c r="P1448" t="s">
        <v>1029</v>
      </c>
      <c r="Q1448">
        <v>0</v>
      </c>
      <c r="R1448">
        <v>80</v>
      </c>
      <c r="S1448" s="51">
        <v>1171</v>
      </c>
      <c r="T1448">
        <v>601</v>
      </c>
      <c r="U1448">
        <v>27</v>
      </c>
      <c r="V1448" s="51">
        <v>1879</v>
      </c>
    </row>
    <row r="1449" spans="1:22">
      <c r="A1449" s="32" t="s">
        <v>3583</v>
      </c>
      <c r="B1449" s="32" t="s">
        <v>3493</v>
      </c>
      <c r="C1449" s="32" t="s">
        <v>1029</v>
      </c>
      <c r="D1449" s="33">
        <v>0</v>
      </c>
      <c r="E1449" s="33">
        <v>80</v>
      </c>
      <c r="F1449" s="33">
        <v>1171</v>
      </c>
      <c r="G1449" s="33">
        <v>601</v>
      </c>
      <c r="H1449" s="33">
        <v>27</v>
      </c>
      <c r="I1449" s="33">
        <v>1879</v>
      </c>
      <c r="K1449" t="b">
        <f>QHPSelections2016[[#This Row],[County Name]]=P1449</f>
        <v>0</v>
      </c>
      <c r="L1449" t="b">
        <f>QHPSelections2016[[#This Row],[Silver]]=S1449</f>
        <v>0</v>
      </c>
      <c r="N1449">
        <v>31117</v>
      </c>
      <c r="O1449" t="s">
        <v>3493</v>
      </c>
      <c r="P1449" t="s">
        <v>2649</v>
      </c>
      <c r="Q1449">
        <v>0</v>
      </c>
      <c r="R1449">
        <v>0</v>
      </c>
      <c r="S1449">
        <v>16</v>
      </c>
      <c r="T1449">
        <v>23</v>
      </c>
      <c r="U1449">
        <v>0</v>
      </c>
      <c r="V1449">
        <v>39</v>
      </c>
    </row>
    <row r="1450" spans="1:22">
      <c r="A1450" s="32" t="s">
        <v>3584</v>
      </c>
      <c r="B1450" s="32" t="s">
        <v>3493</v>
      </c>
      <c r="C1450" s="32" t="s">
        <v>3585</v>
      </c>
      <c r="D1450" s="33">
        <v>0</v>
      </c>
      <c r="E1450" s="33" t="s">
        <v>1639</v>
      </c>
      <c r="F1450" s="33">
        <v>298</v>
      </c>
      <c r="G1450" s="33">
        <v>156</v>
      </c>
      <c r="H1450" s="33" t="s">
        <v>1639</v>
      </c>
      <c r="I1450" s="33">
        <v>489</v>
      </c>
      <c r="K1450" t="b">
        <f>QHPSelections2016[[#This Row],[County Name]]=P1450</f>
        <v>1</v>
      </c>
      <c r="L1450" t="b">
        <f>QHPSelections2016[[#This Row],[Silver]]=S1450</f>
        <v>1</v>
      </c>
      <c r="N1450">
        <v>31121</v>
      </c>
      <c r="O1450" t="s">
        <v>3493</v>
      </c>
      <c r="P1450" t="s">
        <v>3585</v>
      </c>
      <c r="Q1450">
        <v>0</v>
      </c>
      <c r="S1450">
        <v>298</v>
      </c>
      <c r="T1450">
        <v>156</v>
      </c>
      <c r="V1450">
        <v>489</v>
      </c>
    </row>
    <row r="1451" spans="1:22">
      <c r="A1451" s="32" t="s">
        <v>3586</v>
      </c>
      <c r="B1451" s="32" t="s">
        <v>3493</v>
      </c>
      <c r="C1451" s="32" t="s">
        <v>3587</v>
      </c>
      <c r="D1451" s="33">
        <v>0</v>
      </c>
      <c r="E1451" s="33" t="s">
        <v>1639</v>
      </c>
      <c r="F1451" s="33">
        <v>256</v>
      </c>
      <c r="G1451" s="33">
        <v>71</v>
      </c>
      <c r="H1451" s="33" t="s">
        <v>1639</v>
      </c>
      <c r="I1451" s="33">
        <v>340</v>
      </c>
      <c r="K1451" t="b">
        <f>QHPSelections2016[[#This Row],[County Name]]=P1451</f>
        <v>1</v>
      </c>
      <c r="L1451" t="b">
        <f>QHPSelections2016[[#This Row],[Silver]]=S1451</f>
        <v>1</v>
      </c>
      <c r="N1451">
        <v>31123</v>
      </c>
      <c r="O1451" t="s">
        <v>3493</v>
      </c>
      <c r="P1451" t="s">
        <v>3587</v>
      </c>
      <c r="Q1451">
        <v>0</v>
      </c>
      <c r="S1451">
        <v>256</v>
      </c>
      <c r="T1451">
        <v>71</v>
      </c>
      <c r="V1451">
        <v>340</v>
      </c>
    </row>
    <row r="1452" spans="1:22">
      <c r="A1452" s="32" t="s">
        <v>3588</v>
      </c>
      <c r="B1452" s="32" t="s">
        <v>3493</v>
      </c>
      <c r="C1452" s="32" t="s">
        <v>3589</v>
      </c>
      <c r="D1452" s="33">
        <v>0</v>
      </c>
      <c r="E1452" s="33" t="s">
        <v>1639</v>
      </c>
      <c r="F1452" s="33">
        <v>148</v>
      </c>
      <c r="G1452" s="33">
        <v>77</v>
      </c>
      <c r="H1452" s="33" t="s">
        <v>1639</v>
      </c>
      <c r="I1452" s="33">
        <v>244</v>
      </c>
      <c r="K1452" t="b">
        <f>QHPSelections2016[[#This Row],[County Name]]=P1452</f>
        <v>1</v>
      </c>
      <c r="L1452" t="b">
        <f>QHPSelections2016[[#This Row],[Silver]]=S1452</f>
        <v>1</v>
      </c>
      <c r="N1452">
        <v>31125</v>
      </c>
      <c r="O1452" t="s">
        <v>3493</v>
      </c>
      <c r="P1452" t="s">
        <v>3589</v>
      </c>
      <c r="Q1452">
        <v>0</v>
      </c>
      <c r="S1452">
        <v>148</v>
      </c>
      <c r="T1452">
        <v>77</v>
      </c>
      <c r="V1452">
        <v>244</v>
      </c>
    </row>
    <row r="1453" spans="1:22">
      <c r="A1453" s="32" t="s">
        <v>3590</v>
      </c>
      <c r="B1453" s="32" t="s">
        <v>3493</v>
      </c>
      <c r="C1453" s="32" t="s">
        <v>2661</v>
      </c>
      <c r="D1453" s="33">
        <v>0</v>
      </c>
      <c r="E1453" s="33" t="s">
        <v>1639</v>
      </c>
      <c r="F1453" s="33">
        <v>199</v>
      </c>
      <c r="G1453" s="33">
        <v>98</v>
      </c>
      <c r="H1453" s="33" t="s">
        <v>1639</v>
      </c>
      <c r="I1453" s="33">
        <v>322</v>
      </c>
      <c r="K1453" t="b">
        <f>QHPSelections2016[[#This Row],[County Name]]=P1453</f>
        <v>1</v>
      </c>
      <c r="L1453" t="b">
        <f>QHPSelections2016[[#This Row],[Silver]]=S1453</f>
        <v>1</v>
      </c>
      <c r="N1453">
        <v>31127</v>
      </c>
      <c r="O1453" t="s">
        <v>3493</v>
      </c>
      <c r="P1453" t="s">
        <v>2661</v>
      </c>
      <c r="Q1453">
        <v>0</v>
      </c>
      <c r="S1453">
        <v>199</v>
      </c>
      <c r="T1453">
        <v>98</v>
      </c>
      <c r="V1453">
        <v>322</v>
      </c>
    </row>
    <row r="1454" spans="1:22">
      <c r="A1454" s="32" t="s">
        <v>3591</v>
      </c>
      <c r="B1454" s="32" t="s">
        <v>3493</v>
      </c>
      <c r="C1454" s="32" t="s">
        <v>3592</v>
      </c>
      <c r="D1454" s="33">
        <v>0</v>
      </c>
      <c r="E1454" s="33" t="s">
        <v>1639</v>
      </c>
      <c r="F1454" s="33">
        <v>272</v>
      </c>
      <c r="G1454" s="33">
        <v>99</v>
      </c>
      <c r="H1454" s="33" t="s">
        <v>1639</v>
      </c>
      <c r="I1454" s="33">
        <v>382</v>
      </c>
      <c r="K1454" t="b">
        <f>QHPSelections2016[[#This Row],[County Name]]=P1454</f>
        <v>1</v>
      </c>
      <c r="L1454" t="b">
        <f>QHPSelections2016[[#This Row],[Silver]]=S1454</f>
        <v>1</v>
      </c>
      <c r="N1454">
        <v>31129</v>
      </c>
      <c r="O1454" t="s">
        <v>3493</v>
      </c>
      <c r="P1454" t="s">
        <v>3592</v>
      </c>
      <c r="Q1454">
        <v>0</v>
      </c>
      <c r="S1454">
        <v>272</v>
      </c>
      <c r="T1454">
        <v>99</v>
      </c>
      <c r="V1454">
        <v>382</v>
      </c>
    </row>
    <row r="1455" spans="1:22">
      <c r="A1455" s="32" t="s">
        <v>3593</v>
      </c>
      <c r="B1455" s="32" t="s">
        <v>3493</v>
      </c>
      <c r="C1455" s="32" t="s">
        <v>3594</v>
      </c>
      <c r="D1455" s="33">
        <v>0</v>
      </c>
      <c r="E1455" s="33">
        <v>25</v>
      </c>
      <c r="F1455" s="33">
        <v>484</v>
      </c>
      <c r="G1455" s="33">
        <v>291</v>
      </c>
      <c r="H1455" s="33">
        <v>13</v>
      </c>
      <c r="I1455" s="33">
        <v>813</v>
      </c>
      <c r="K1455" t="b">
        <f>QHPSelections2016[[#This Row],[County Name]]=P1455</f>
        <v>1</v>
      </c>
      <c r="L1455" t="b">
        <f>QHPSelections2016[[#This Row],[Silver]]=S1455</f>
        <v>1</v>
      </c>
      <c r="N1455">
        <v>31131</v>
      </c>
      <c r="O1455" t="s">
        <v>3493</v>
      </c>
      <c r="P1455" t="s">
        <v>3594</v>
      </c>
      <c r="Q1455">
        <v>0</v>
      </c>
      <c r="R1455">
        <v>25</v>
      </c>
      <c r="S1455">
        <v>484</v>
      </c>
      <c r="T1455">
        <v>291</v>
      </c>
      <c r="U1455">
        <v>13</v>
      </c>
      <c r="V1455">
        <v>813</v>
      </c>
    </row>
    <row r="1456" spans="1:22">
      <c r="A1456" s="32" t="s">
        <v>3595</v>
      </c>
      <c r="B1456" s="32" t="s">
        <v>3493</v>
      </c>
      <c r="C1456" s="32" t="s">
        <v>2675</v>
      </c>
      <c r="D1456" s="33">
        <v>0</v>
      </c>
      <c r="E1456" s="33" t="s">
        <v>1639</v>
      </c>
      <c r="F1456" s="33">
        <v>103</v>
      </c>
      <c r="G1456" s="33">
        <v>41</v>
      </c>
      <c r="H1456" s="33" t="s">
        <v>1639</v>
      </c>
      <c r="I1456" s="33">
        <v>151</v>
      </c>
      <c r="K1456" t="b">
        <f>QHPSelections2016[[#This Row],[County Name]]=P1456</f>
        <v>1</v>
      </c>
      <c r="L1456" t="b">
        <f>QHPSelections2016[[#This Row],[Silver]]=S1456</f>
        <v>1</v>
      </c>
      <c r="N1456">
        <v>31133</v>
      </c>
      <c r="O1456" t="s">
        <v>3493</v>
      </c>
      <c r="P1456" t="s">
        <v>2675</v>
      </c>
      <c r="Q1456">
        <v>0</v>
      </c>
      <c r="S1456">
        <v>103</v>
      </c>
      <c r="T1456">
        <v>41</v>
      </c>
      <c r="V1456">
        <v>151</v>
      </c>
    </row>
    <row r="1457" spans="1:22">
      <c r="A1457" s="32" t="s">
        <v>3596</v>
      </c>
      <c r="B1457" s="32" t="s">
        <v>3493</v>
      </c>
      <c r="C1457" s="32" t="s">
        <v>3597</v>
      </c>
      <c r="D1457" s="33">
        <v>0</v>
      </c>
      <c r="E1457" s="33" t="s">
        <v>1639</v>
      </c>
      <c r="F1457" s="33">
        <v>227</v>
      </c>
      <c r="G1457" s="33">
        <v>114</v>
      </c>
      <c r="H1457" s="33" t="s">
        <v>1639</v>
      </c>
      <c r="I1457" s="33">
        <v>368</v>
      </c>
      <c r="K1457" t="b">
        <f>QHPSelections2016[[#This Row],[County Name]]=P1457</f>
        <v>1</v>
      </c>
      <c r="L1457" t="b">
        <f>QHPSelections2016[[#This Row],[Silver]]=S1457</f>
        <v>1</v>
      </c>
      <c r="N1457">
        <v>31135</v>
      </c>
      <c r="O1457" t="s">
        <v>3493</v>
      </c>
      <c r="P1457" t="s">
        <v>3597</v>
      </c>
      <c r="Q1457">
        <v>0</v>
      </c>
      <c r="S1457">
        <v>227</v>
      </c>
      <c r="T1457">
        <v>114</v>
      </c>
      <c r="V1457">
        <v>368</v>
      </c>
    </row>
    <row r="1458" spans="1:22">
      <c r="A1458" s="32" t="s">
        <v>3598</v>
      </c>
      <c r="B1458" s="32" t="s">
        <v>3493</v>
      </c>
      <c r="C1458" s="32" t="s">
        <v>3072</v>
      </c>
      <c r="D1458" s="33">
        <v>0</v>
      </c>
      <c r="E1458" s="33" t="s">
        <v>1639</v>
      </c>
      <c r="F1458" s="33">
        <v>376</v>
      </c>
      <c r="G1458" s="33">
        <v>196</v>
      </c>
      <c r="H1458" s="33" t="s">
        <v>1639</v>
      </c>
      <c r="I1458" s="33">
        <v>617</v>
      </c>
      <c r="K1458" t="b">
        <f>QHPSelections2016[[#This Row],[County Name]]=P1458</f>
        <v>1</v>
      </c>
      <c r="L1458" t="b">
        <f>QHPSelections2016[[#This Row],[Silver]]=S1458</f>
        <v>1</v>
      </c>
      <c r="N1458">
        <v>31137</v>
      </c>
      <c r="O1458" t="s">
        <v>3493</v>
      </c>
      <c r="P1458" t="s">
        <v>3072</v>
      </c>
      <c r="Q1458">
        <v>0</v>
      </c>
      <c r="S1458">
        <v>376</v>
      </c>
      <c r="T1458">
        <v>196</v>
      </c>
      <c r="V1458">
        <v>617</v>
      </c>
    </row>
    <row r="1459" spans="1:22">
      <c r="A1459" s="32" t="s">
        <v>3599</v>
      </c>
      <c r="B1459" s="32" t="s">
        <v>3493</v>
      </c>
      <c r="C1459" s="32" t="s">
        <v>1287</v>
      </c>
      <c r="D1459" s="33">
        <v>0</v>
      </c>
      <c r="E1459" s="33" t="s">
        <v>1639</v>
      </c>
      <c r="F1459" s="33">
        <v>252</v>
      </c>
      <c r="G1459" s="33">
        <v>136</v>
      </c>
      <c r="H1459" s="33" t="s">
        <v>1639</v>
      </c>
      <c r="I1459" s="33">
        <v>430</v>
      </c>
      <c r="K1459" t="b">
        <f>QHPSelections2016[[#This Row],[County Name]]=P1459</f>
        <v>1</v>
      </c>
      <c r="L1459" t="b">
        <f>QHPSelections2016[[#This Row],[Silver]]=S1459</f>
        <v>1</v>
      </c>
      <c r="N1459">
        <v>31139</v>
      </c>
      <c r="O1459" t="s">
        <v>3493</v>
      </c>
      <c r="P1459" t="s">
        <v>1287</v>
      </c>
      <c r="Q1459">
        <v>0</v>
      </c>
      <c r="S1459">
        <v>252</v>
      </c>
      <c r="T1459">
        <v>136</v>
      </c>
      <c r="V1459">
        <v>430</v>
      </c>
    </row>
    <row r="1460" spans="1:22">
      <c r="A1460" s="32" t="s">
        <v>3600</v>
      </c>
      <c r="B1460" s="32" t="s">
        <v>3493</v>
      </c>
      <c r="C1460" s="32" t="s">
        <v>3075</v>
      </c>
      <c r="D1460" s="33">
        <v>0</v>
      </c>
      <c r="E1460" s="33">
        <v>81</v>
      </c>
      <c r="F1460" s="33">
        <v>940</v>
      </c>
      <c r="G1460" s="33">
        <v>451</v>
      </c>
      <c r="H1460" s="33">
        <v>15</v>
      </c>
      <c r="I1460" s="33">
        <v>1487</v>
      </c>
      <c r="K1460" t="b">
        <f>QHPSelections2016[[#This Row],[County Name]]=P1460</f>
        <v>1</v>
      </c>
      <c r="L1460" t="b">
        <f>QHPSelections2016[[#This Row],[Silver]]=S1460</f>
        <v>1</v>
      </c>
      <c r="N1460">
        <v>31141</v>
      </c>
      <c r="O1460" t="s">
        <v>3493</v>
      </c>
      <c r="P1460" t="s">
        <v>3075</v>
      </c>
      <c r="Q1460">
        <v>0</v>
      </c>
      <c r="R1460">
        <v>81</v>
      </c>
      <c r="S1460">
        <v>940</v>
      </c>
      <c r="T1460">
        <v>451</v>
      </c>
      <c r="U1460">
        <v>15</v>
      </c>
      <c r="V1460" s="51">
        <v>1487</v>
      </c>
    </row>
    <row r="1461" spans="1:22">
      <c r="A1461" s="32" t="s">
        <v>3601</v>
      </c>
      <c r="B1461" s="32" t="s">
        <v>3493</v>
      </c>
      <c r="C1461" s="32" t="s">
        <v>1098</v>
      </c>
      <c r="D1461" s="33">
        <v>0</v>
      </c>
      <c r="E1461" s="33" t="s">
        <v>1639</v>
      </c>
      <c r="F1461" s="33">
        <v>184</v>
      </c>
      <c r="G1461" s="33">
        <v>74</v>
      </c>
      <c r="H1461" s="33" t="s">
        <v>1639</v>
      </c>
      <c r="I1461" s="33">
        <v>270</v>
      </c>
      <c r="K1461" t="b">
        <f>QHPSelections2016[[#This Row],[County Name]]=P1461</f>
        <v>1</v>
      </c>
      <c r="L1461" t="b">
        <f>QHPSelections2016[[#This Row],[Silver]]=S1461</f>
        <v>1</v>
      </c>
      <c r="N1461">
        <v>31143</v>
      </c>
      <c r="O1461" t="s">
        <v>3493</v>
      </c>
      <c r="P1461" t="s">
        <v>1098</v>
      </c>
      <c r="Q1461">
        <v>0</v>
      </c>
      <c r="S1461">
        <v>184</v>
      </c>
      <c r="T1461">
        <v>74</v>
      </c>
      <c r="V1461">
        <v>270</v>
      </c>
    </row>
    <row r="1462" spans="1:22">
      <c r="A1462" s="32" t="s">
        <v>3602</v>
      </c>
      <c r="B1462" s="32" t="s">
        <v>3493</v>
      </c>
      <c r="C1462" s="32" t="s">
        <v>3603</v>
      </c>
      <c r="D1462" s="33">
        <v>0</v>
      </c>
      <c r="E1462" s="33" t="s">
        <v>1639</v>
      </c>
      <c r="F1462" s="33">
        <v>456</v>
      </c>
      <c r="G1462" s="33">
        <v>220</v>
      </c>
      <c r="H1462" s="33" t="s">
        <v>1639</v>
      </c>
      <c r="I1462" s="33">
        <v>717</v>
      </c>
      <c r="K1462" t="b">
        <f>QHPSelections2016[[#This Row],[County Name]]=P1462</f>
        <v>1</v>
      </c>
      <c r="L1462" t="b">
        <f>QHPSelections2016[[#This Row],[Silver]]=S1462</f>
        <v>1</v>
      </c>
      <c r="N1462">
        <v>31145</v>
      </c>
      <c r="O1462" t="s">
        <v>3493</v>
      </c>
      <c r="P1462" t="s">
        <v>3603</v>
      </c>
      <c r="Q1462">
        <v>0</v>
      </c>
      <c r="S1462">
        <v>456</v>
      </c>
      <c r="T1462">
        <v>220</v>
      </c>
      <c r="V1462">
        <v>717</v>
      </c>
    </row>
    <row r="1463" spans="1:22">
      <c r="A1463" s="32" t="s">
        <v>3604</v>
      </c>
      <c r="B1463" s="32" t="s">
        <v>3493</v>
      </c>
      <c r="C1463" s="32" t="s">
        <v>3605</v>
      </c>
      <c r="D1463" s="33">
        <v>0</v>
      </c>
      <c r="E1463" s="33" t="s">
        <v>1639</v>
      </c>
      <c r="F1463" s="33">
        <v>244</v>
      </c>
      <c r="G1463" s="33">
        <v>130</v>
      </c>
      <c r="H1463" s="33" t="s">
        <v>1639</v>
      </c>
      <c r="I1463" s="33">
        <v>406</v>
      </c>
      <c r="K1463" t="b">
        <f>QHPSelections2016[[#This Row],[County Name]]=P1463</f>
        <v>1</v>
      </c>
      <c r="L1463" t="b">
        <f>QHPSelections2016[[#This Row],[Silver]]=S1463</f>
        <v>1</v>
      </c>
      <c r="N1463">
        <v>31147</v>
      </c>
      <c r="O1463" t="s">
        <v>3493</v>
      </c>
      <c r="P1463" t="s">
        <v>3605</v>
      </c>
      <c r="Q1463">
        <v>0</v>
      </c>
      <c r="S1463">
        <v>244</v>
      </c>
      <c r="T1463">
        <v>130</v>
      </c>
      <c r="V1463">
        <v>406</v>
      </c>
    </row>
    <row r="1464" spans="1:22">
      <c r="A1464" s="32" t="s">
        <v>3606</v>
      </c>
      <c r="B1464" s="32" t="s">
        <v>3493</v>
      </c>
      <c r="C1464" s="32" t="s">
        <v>3607</v>
      </c>
      <c r="D1464" s="33">
        <v>0</v>
      </c>
      <c r="E1464" s="33" t="s">
        <v>1639</v>
      </c>
      <c r="F1464" s="33">
        <v>82</v>
      </c>
      <c r="G1464" s="33">
        <v>42</v>
      </c>
      <c r="H1464" s="33" t="s">
        <v>1639</v>
      </c>
      <c r="I1464" s="33">
        <v>134</v>
      </c>
      <c r="K1464" t="b">
        <f>QHPSelections2016[[#This Row],[County Name]]=P1464</f>
        <v>1</v>
      </c>
      <c r="L1464" t="b">
        <f>QHPSelections2016[[#This Row],[Silver]]=S1464</f>
        <v>1</v>
      </c>
      <c r="N1464">
        <v>31149</v>
      </c>
      <c r="O1464" t="s">
        <v>3493</v>
      </c>
      <c r="P1464" t="s">
        <v>3607</v>
      </c>
      <c r="Q1464">
        <v>0</v>
      </c>
      <c r="S1464">
        <v>82</v>
      </c>
      <c r="T1464">
        <v>42</v>
      </c>
      <c r="V1464">
        <v>134</v>
      </c>
    </row>
    <row r="1465" spans="1:22">
      <c r="A1465" s="32" t="s">
        <v>3608</v>
      </c>
      <c r="B1465" s="32" t="s">
        <v>3493</v>
      </c>
      <c r="C1465" s="32" t="s">
        <v>1855</v>
      </c>
      <c r="D1465" s="33">
        <v>0</v>
      </c>
      <c r="E1465" s="33" t="s">
        <v>1639</v>
      </c>
      <c r="F1465" s="33">
        <v>274</v>
      </c>
      <c r="G1465" s="33">
        <v>154</v>
      </c>
      <c r="H1465" s="33" t="s">
        <v>1639</v>
      </c>
      <c r="I1465" s="33">
        <v>455</v>
      </c>
      <c r="K1465" t="b">
        <f>QHPSelections2016[[#This Row],[County Name]]=P1465</f>
        <v>1</v>
      </c>
      <c r="L1465" t="b">
        <f>QHPSelections2016[[#This Row],[Silver]]=S1465</f>
        <v>1</v>
      </c>
      <c r="N1465">
        <v>31151</v>
      </c>
      <c r="O1465" t="s">
        <v>3493</v>
      </c>
      <c r="P1465" t="s">
        <v>1855</v>
      </c>
      <c r="Q1465">
        <v>0</v>
      </c>
      <c r="S1465">
        <v>274</v>
      </c>
      <c r="T1465">
        <v>154</v>
      </c>
      <c r="V1465">
        <v>455</v>
      </c>
    </row>
    <row r="1466" spans="1:22">
      <c r="A1466" s="32" t="s">
        <v>3609</v>
      </c>
      <c r="B1466" s="32" t="s">
        <v>3493</v>
      </c>
      <c r="C1466" s="32" t="s">
        <v>3610</v>
      </c>
      <c r="D1466" s="33">
        <v>0</v>
      </c>
      <c r="E1466" s="33">
        <v>200</v>
      </c>
      <c r="F1466" s="33">
        <v>3386</v>
      </c>
      <c r="G1466" s="33">
        <v>1963</v>
      </c>
      <c r="H1466" s="33">
        <v>91</v>
      </c>
      <c r="I1466" s="33">
        <v>5640</v>
      </c>
      <c r="K1466" t="b">
        <f>QHPSelections2016[[#This Row],[County Name]]=P1466</f>
        <v>1</v>
      </c>
      <c r="L1466" t="b">
        <f>QHPSelections2016[[#This Row],[Silver]]=S1466</f>
        <v>1</v>
      </c>
      <c r="N1466">
        <v>31153</v>
      </c>
      <c r="O1466" t="s">
        <v>3493</v>
      </c>
      <c r="P1466" t="s">
        <v>3610</v>
      </c>
      <c r="Q1466">
        <v>0</v>
      </c>
      <c r="R1466">
        <v>200</v>
      </c>
      <c r="S1466" s="51">
        <v>3386</v>
      </c>
      <c r="T1466" s="51">
        <v>1963</v>
      </c>
      <c r="U1466">
        <v>91</v>
      </c>
      <c r="V1466" s="51">
        <v>5640</v>
      </c>
    </row>
    <row r="1467" spans="1:22">
      <c r="A1467" s="32" t="s">
        <v>3611</v>
      </c>
      <c r="B1467" s="32" t="s">
        <v>3493</v>
      </c>
      <c r="C1467" s="32" t="s">
        <v>3612</v>
      </c>
      <c r="D1467" s="33">
        <v>0</v>
      </c>
      <c r="E1467" s="33" t="s">
        <v>1639</v>
      </c>
      <c r="F1467" s="33">
        <v>769</v>
      </c>
      <c r="G1467" s="33">
        <v>468</v>
      </c>
      <c r="H1467" s="33" t="s">
        <v>1639</v>
      </c>
      <c r="I1467" s="33">
        <v>1278</v>
      </c>
      <c r="K1467" t="b">
        <f>QHPSelections2016[[#This Row],[County Name]]=P1467</f>
        <v>1</v>
      </c>
      <c r="L1467" t="b">
        <f>QHPSelections2016[[#This Row],[Silver]]=S1467</f>
        <v>1</v>
      </c>
      <c r="N1467">
        <v>31155</v>
      </c>
      <c r="O1467" t="s">
        <v>3493</v>
      </c>
      <c r="P1467" t="s">
        <v>3612</v>
      </c>
      <c r="Q1467">
        <v>0</v>
      </c>
      <c r="S1467">
        <v>769</v>
      </c>
      <c r="T1467">
        <v>468</v>
      </c>
      <c r="V1467" s="51">
        <v>1278</v>
      </c>
    </row>
    <row r="1468" spans="1:22">
      <c r="A1468" s="32" t="s">
        <v>3613</v>
      </c>
      <c r="B1468" s="32" t="s">
        <v>3493</v>
      </c>
      <c r="C1468" s="32" t="s">
        <v>3614</v>
      </c>
      <c r="D1468" s="33">
        <v>0</v>
      </c>
      <c r="E1468" s="33">
        <v>50</v>
      </c>
      <c r="F1468" s="33">
        <v>1547</v>
      </c>
      <c r="G1468" s="33">
        <v>626</v>
      </c>
      <c r="H1468" s="33">
        <v>30</v>
      </c>
      <c r="I1468" s="33">
        <v>2253</v>
      </c>
      <c r="K1468" t="b">
        <f>QHPSelections2016[[#This Row],[County Name]]=P1468</f>
        <v>1</v>
      </c>
      <c r="L1468" t="b">
        <f>QHPSelections2016[[#This Row],[Silver]]=S1468</f>
        <v>1</v>
      </c>
      <c r="N1468">
        <v>31157</v>
      </c>
      <c r="O1468" t="s">
        <v>3493</v>
      </c>
      <c r="P1468" t="s">
        <v>3614</v>
      </c>
      <c r="Q1468">
        <v>0</v>
      </c>
      <c r="R1468">
        <v>50</v>
      </c>
      <c r="S1468" s="51">
        <v>1547</v>
      </c>
      <c r="T1468">
        <v>626</v>
      </c>
      <c r="U1468">
        <v>30</v>
      </c>
      <c r="V1468" s="51">
        <v>2253</v>
      </c>
    </row>
    <row r="1469" spans="1:22">
      <c r="A1469" s="32" t="s">
        <v>3615</v>
      </c>
      <c r="B1469" s="32" t="s">
        <v>3493</v>
      </c>
      <c r="C1469" s="32" t="s">
        <v>2700</v>
      </c>
      <c r="D1469" s="33">
        <v>0</v>
      </c>
      <c r="E1469" s="33" t="s">
        <v>1639</v>
      </c>
      <c r="F1469" s="33">
        <v>436</v>
      </c>
      <c r="G1469" s="33">
        <v>215</v>
      </c>
      <c r="H1469" s="33" t="s">
        <v>1639</v>
      </c>
      <c r="I1469" s="33">
        <v>708</v>
      </c>
      <c r="K1469" t="b">
        <f>QHPSelections2016[[#This Row],[County Name]]=P1469</f>
        <v>1</v>
      </c>
      <c r="L1469" t="b">
        <f>QHPSelections2016[[#This Row],[Silver]]=S1469</f>
        <v>1</v>
      </c>
      <c r="N1469">
        <v>31159</v>
      </c>
      <c r="O1469" t="s">
        <v>3493</v>
      </c>
      <c r="P1469" t="s">
        <v>2700</v>
      </c>
      <c r="Q1469">
        <v>0</v>
      </c>
      <c r="S1469">
        <v>436</v>
      </c>
      <c r="T1469">
        <v>215</v>
      </c>
      <c r="V1469">
        <v>708</v>
      </c>
    </row>
    <row r="1470" spans="1:22">
      <c r="A1470" s="32" t="s">
        <v>3616</v>
      </c>
      <c r="B1470" s="32" t="s">
        <v>3493</v>
      </c>
      <c r="C1470" s="32" t="s">
        <v>2704</v>
      </c>
      <c r="D1470" s="33">
        <v>0</v>
      </c>
      <c r="E1470" s="33" t="s">
        <v>1639</v>
      </c>
      <c r="F1470" s="33">
        <v>282</v>
      </c>
      <c r="G1470" s="33">
        <v>192</v>
      </c>
      <c r="H1470" s="33" t="s">
        <v>1639</v>
      </c>
      <c r="I1470" s="33">
        <v>485</v>
      </c>
      <c r="K1470" t="b">
        <f>QHPSelections2016[[#This Row],[County Name]]=P1470</f>
        <v>1</v>
      </c>
      <c r="L1470" t="b">
        <f>QHPSelections2016[[#This Row],[Silver]]=S1470</f>
        <v>1</v>
      </c>
      <c r="N1470">
        <v>31161</v>
      </c>
      <c r="O1470" t="s">
        <v>3493</v>
      </c>
      <c r="P1470" t="s">
        <v>2704</v>
      </c>
      <c r="Q1470">
        <v>0</v>
      </c>
      <c r="S1470">
        <v>282</v>
      </c>
      <c r="T1470">
        <v>192</v>
      </c>
      <c r="V1470">
        <v>485</v>
      </c>
    </row>
    <row r="1471" spans="1:22">
      <c r="A1471" s="32" t="s">
        <v>3617</v>
      </c>
      <c r="B1471" s="32" t="s">
        <v>3493</v>
      </c>
      <c r="C1471" s="32" t="s">
        <v>1386</v>
      </c>
      <c r="D1471" s="33">
        <v>0</v>
      </c>
      <c r="E1471" s="33">
        <v>21</v>
      </c>
      <c r="F1471" s="33">
        <v>161</v>
      </c>
      <c r="G1471" s="33">
        <v>85</v>
      </c>
      <c r="H1471" s="33">
        <v>0</v>
      </c>
      <c r="I1471" s="33">
        <v>267</v>
      </c>
      <c r="K1471" t="b">
        <f>QHPSelections2016[[#This Row],[County Name]]=P1471</f>
        <v>1</v>
      </c>
      <c r="L1471" t="b">
        <f>QHPSelections2016[[#This Row],[Silver]]=S1471</f>
        <v>1</v>
      </c>
      <c r="N1471">
        <v>31163</v>
      </c>
      <c r="O1471" t="s">
        <v>3493</v>
      </c>
      <c r="P1471" t="s">
        <v>1386</v>
      </c>
      <c r="Q1471">
        <v>0</v>
      </c>
      <c r="R1471">
        <v>21</v>
      </c>
      <c r="S1471">
        <v>161</v>
      </c>
      <c r="T1471">
        <v>85</v>
      </c>
      <c r="U1471">
        <v>0</v>
      </c>
      <c r="V1471">
        <v>267</v>
      </c>
    </row>
    <row r="1472" spans="1:22">
      <c r="A1472" s="32" t="s">
        <v>3618</v>
      </c>
      <c r="B1472" s="32" t="s">
        <v>3493</v>
      </c>
      <c r="C1472" s="32" t="s">
        <v>2269</v>
      </c>
      <c r="D1472" s="33">
        <v>0</v>
      </c>
      <c r="E1472" s="33" t="s">
        <v>1639</v>
      </c>
      <c r="F1472" s="33">
        <v>61</v>
      </c>
      <c r="G1472" s="33">
        <v>42</v>
      </c>
      <c r="H1472" s="33" t="s">
        <v>1639</v>
      </c>
      <c r="I1472" s="33">
        <v>107</v>
      </c>
      <c r="K1472" t="b">
        <f>QHPSelections2016[[#This Row],[County Name]]=P1472</f>
        <v>1</v>
      </c>
      <c r="L1472" t="b">
        <f>QHPSelections2016[[#This Row],[Silver]]=S1472</f>
        <v>1</v>
      </c>
      <c r="N1472">
        <v>31165</v>
      </c>
      <c r="O1472" t="s">
        <v>3493</v>
      </c>
      <c r="P1472" t="s">
        <v>2269</v>
      </c>
      <c r="Q1472">
        <v>0</v>
      </c>
      <c r="S1472">
        <v>61</v>
      </c>
      <c r="T1472">
        <v>42</v>
      </c>
      <c r="V1472">
        <v>107</v>
      </c>
    </row>
    <row r="1473" spans="1:22">
      <c r="A1473" s="32" t="s">
        <v>3619</v>
      </c>
      <c r="B1473" s="32" t="s">
        <v>3493</v>
      </c>
      <c r="C1473" s="32" t="s">
        <v>2710</v>
      </c>
      <c r="D1473" s="33">
        <v>0</v>
      </c>
      <c r="E1473" s="33" t="s">
        <v>1639</v>
      </c>
      <c r="F1473" s="33">
        <v>259</v>
      </c>
      <c r="G1473" s="33">
        <v>127</v>
      </c>
      <c r="H1473" s="33" t="s">
        <v>1639</v>
      </c>
      <c r="I1473" s="33">
        <v>402</v>
      </c>
      <c r="K1473" t="b">
        <f>QHPSelections2016[[#This Row],[County Name]]=P1473</f>
        <v>1</v>
      </c>
      <c r="L1473" t="b">
        <f>QHPSelections2016[[#This Row],[Silver]]=S1473</f>
        <v>1</v>
      </c>
      <c r="N1473">
        <v>31167</v>
      </c>
      <c r="O1473" t="s">
        <v>3493</v>
      </c>
      <c r="P1473" t="s">
        <v>2710</v>
      </c>
      <c r="Q1473">
        <v>0</v>
      </c>
      <c r="S1473">
        <v>259</v>
      </c>
      <c r="T1473">
        <v>127</v>
      </c>
      <c r="V1473">
        <v>402</v>
      </c>
    </row>
    <row r="1474" spans="1:22">
      <c r="A1474" s="32" t="s">
        <v>3620</v>
      </c>
      <c r="B1474" s="32" t="s">
        <v>3493</v>
      </c>
      <c r="C1474" s="32" t="s">
        <v>3621</v>
      </c>
      <c r="D1474" s="33">
        <v>0</v>
      </c>
      <c r="E1474" s="33" t="s">
        <v>1639</v>
      </c>
      <c r="F1474" s="33">
        <v>252</v>
      </c>
      <c r="G1474" s="33">
        <v>94</v>
      </c>
      <c r="H1474" s="33" t="s">
        <v>1639</v>
      </c>
      <c r="I1474" s="33">
        <v>355</v>
      </c>
      <c r="K1474" t="b">
        <f>QHPSelections2016[[#This Row],[County Name]]=P1474</f>
        <v>1</v>
      </c>
      <c r="L1474" t="b">
        <f>QHPSelections2016[[#This Row],[Silver]]=S1474</f>
        <v>1</v>
      </c>
      <c r="N1474">
        <v>31169</v>
      </c>
      <c r="O1474" t="s">
        <v>3493</v>
      </c>
      <c r="P1474" t="s">
        <v>3621</v>
      </c>
      <c r="Q1474">
        <v>0</v>
      </c>
      <c r="S1474">
        <v>252</v>
      </c>
      <c r="T1474">
        <v>94</v>
      </c>
      <c r="V1474">
        <v>355</v>
      </c>
    </row>
    <row r="1475" spans="1:22">
      <c r="A1475" s="32" t="s">
        <v>3622</v>
      </c>
      <c r="B1475" s="32" t="s">
        <v>3493</v>
      </c>
      <c r="C1475" s="32" t="s">
        <v>1316</v>
      </c>
      <c r="D1475" s="33">
        <v>0</v>
      </c>
      <c r="E1475" s="33" t="s">
        <v>1639</v>
      </c>
      <c r="F1475" s="33">
        <v>91</v>
      </c>
      <c r="G1475" s="33">
        <v>34</v>
      </c>
      <c r="H1475" s="33" t="s">
        <v>1639</v>
      </c>
      <c r="I1475" s="33">
        <v>134</v>
      </c>
      <c r="K1475" t="b">
        <f>QHPSelections2016[[#This Row],[County Name]]=P1475</f>
        <v>1</v>
      </c>
      <c r="L1475" t="b">
        <f>QHPSelections2016[[#This Row],[Silver]]=S1475</f>
        <v>1</v>
      </c>
      <c r="N1475">
        <v>31171</v>
      </c>
      <c r="O1475" t="s">
        <v>3493</v>
      </c>
      <c r="P1475" t="s">
        <v>1316</v>
      </c>
      <c r="Q1475">
        <v>0</v>
      </c>
      <c r="S1475">
        <v>91</v>
      </c>
      <c r="T1475">
        <v>34</v>
      </c>
      <c r="V1475">
        <v>134</v>
      </c>
    </row>
    <row r="1476" spans="1:22">
      <c r="A1476" s="32" t="s">
        <v>3623</v>
      </c>
      <c r="B1476" s="32" t="s">
        <v>3493</v>
      </c>
      <c r="C1476" s="32" t="s">
        <v>3624</v>
      </c>
      <c r="D1476" s="33">
        <v>0</v>
      </c>
      <c r="E1476" s="33" t="s">
        <v>1639</v>
      </c>
      <c r="F1476" s="33">
        <v>70</v>
      </c>
      <c r="G1476" s="33">
        <v>60</v>
      </c>
      <c r="H1476" s="33" t="s">
        <v>1639</v>
      </c>
      <c r="I1476" s="33">
        <v>141</v>
      </c>
      <c r="K1476" t="b">
        <f>QHPSelections2016[[#This Row],[County Name]]=P1476</f>
        <v>1</v>
      </c>
      <c r="L1476" t="b">
        <f>QHPSelections2016[[#This Row],[Silver]]=S1476</f>
        <v>1</v>
      </c>
      <c r="N1476">
        <v>31173</v>
      </c>
      <c r="O1476" t="s">
        <v>3493</v>
      </c>
      <c r="P1476" t="s">
        <v>3624</v>
      </c>
      <c r="Q1476">
        <v>0</v>
      </c>
      <c r="S1476">
        <v>70</v>
      </c>
      <c r="T1476">
        <v>60</v>
      </c>
      <c r="V1476">
        <v>141</v>
      </c>
    </row>
    <row r="1477" spans="1:22">
      <c r="A1477" s="32" t="s">
        <v>3625</v>
      </c>
      <c r="B1477" s="32" t="s">
        <v>3493</v>
      </c>
      <c r="C1477" s="32" t="s">
        <v>3296</v>
      </c>
      <c r="D1477" s="33">
        <v>0</v>
      </c>
      <c r="E1477" s="33" t="s">
        <v>1639</v>
      </c>
      <c r="F1477" s="33">
        <v>297</v>
      </c>
      <c r="G1477" s="33">
        <v>182</v>
      </c>
      <c r="H1477" s="33" t="s">
        <v>1639</v>
      </c>
      <c r="I1477" s="33">
        <v>491</v>
      </c>
      <c r="K1477" t="b">
        <f>QHPSelections2016[[#This Row],[County Name]]=P1477</f>
        <v>1</v>
      </c>
      <c r="L1477" t="b">
        <f>QHPSelections2016[[#This Row],[Silver]]=S1477</f>
        <v>1</v>
      </c>
      <c r="N1477">
        <v>31175</v>
      </c>
      <c r="O1477" t="s">
        <v>3493</v>
      </c>
      <c r="P1477" t="s">
        <v>3296</v>
      </c>
      <c r="Q1477">
        <v>0</v>
      </c>
      <c r="S1477">
        <v>297</v>
      </c>
      <c r="T1477">
        <v>182</v>
      </c>
      <c r="V1477">
        <v>491</v>
      </c>
    </row>
    <row r="1478" spans="1:22">
      <c r="A1478" s="32" t="s">
        <v>3626</v>
      </c>
      <c r="B1478" s="32" t="s">
        <v>3493</v>
      </c>
      <c r="C1478" s="32" t="s">
        <v>1160</v>
      </c>
      <c r="D1478" s="33">
        <v>0</v>
      </c>
      <c r="E1478" s="33" t="s">
        <v>1639</v>
      </c>
      <c r="F1478" s="33">
        <v>522</v>
      </c>
      <c r="G1478" s="33">
        <v>322</v>
      </c>
      <c r="H1478" s="33" t="s">
        <v>1639</v>
      </c>
      <c r="I1478" s="33">
        <v>889</v>
      </c>
      <c r="K1478" t="b">
        <f>QHPSelections2016[[#This Row],[County Name]]=P1478</f>
        <v>1</v>
      </c>
      <c r="L1478" t="b">
        <f>QHPSelections2016[[#This Row],[Silver]]=S1478</f>
        <v>1</v>
      </c>
      <c r="N1478">
        <v>31177</v>
      </c>
      <c r="O1478" t="s">
        <v>3493</v>
      </c>
      <c r="P1478" t="s">
        <v>1160</v>
      </c>
      <c r="Q1478">
        <v>0</v>
      </c>
      <c r="S1478">
        <v>522</v>
      </c>
      <c r="T1478">
        <v>322</v>
      </c>
      <c r="V1478">
        <v>889</v>
      </c>
    </row>
    <row r="1479" spans="1:22">
      <c r="A1479" s="32" t="s">
        <v>3627</v>
      </c>
      <c r="B1479" s="32" t="s">
        <v>3493</v>
      </c>
      <c r="C1479" s="32" t="s">
        <v>1209</v>
      </c>
      <c r="D1479" s="33">
        <v>0</v>
      </c>
      <c r="E1479" s="33" t="s">
        <v>1639</v>
      </c>
      <c r="F1479" s="33">
        <v>245</v>
      </c>
      <c r="G1479" s="33">
        <v>125</v>
      </c>
      <c r="H1479" s="33" t="s">
        <v>1639</v>
      </c>
      <c r="I1479" s="33">
        <v>394</v>
      </c>
      <c r="K1479" t="b">
        <f>QHPSelections2016[[#This Row],[County Name]]=P1479</f>
        <v>1</v>
      </c>
      <c r="L1479" t="b">
        <f>QHPSelections2016[[#This Row],[Silver]]=S1479</f>
        <v>1</v>
      </c>
      <c r="N1479">
        <v>31179</v>
      </c>
      <c r="O1479" t="s">
        <v>3493</v>
      </c>
      <c r="P1479" t="s">
        <v>1209</v>
      </c>
      <c r="Q1479">
        <v>0</v>
      </c>
      <c r="S1479">
        <v>245</v>
      </c>
      <c r="T1479">
        <v>125</v>
      </c>
      <c r="V1479">
        <v>394</v>
      </c>
    </row>
    <row r="1480" spans="1:22">
      <c r="A1480" s="32" t="s">
        <v>3628</v>
      </c>
      <c r="B1480" s="32" t="s">
        <v>3493</v>
      </c>
      <c r="C1480" s="32" t="s">
        <v>1212</v>
      </c>
      <c r="D1480" s="33">
        <v>0</v>
      </c>
      <c r="E1480" s="33" t="s">
        <v>1639</v>
      </c>
      <c r="F1480" s="33">
        <v>175</v>
      </c>
      <c r="G1480" s="33">
        <v>58</v>
      </c>
      <c r="H1480" s="33" t="s">
        <v>1639</v>
      </c>
      <c r="I1480" s="33">
        <v>244</v>
      </c>
      <c r="K1480" t="b">
        <f>QHPSelections2016[[#This Row],[County Name]]=P1480</f>
        <v>1</v>
      </c>
      <c r="L1480" t="b">
        <f>QHPSelections2016[[#This Row],[Silver]]=S1480</f>
        <v>1</v>
      </c>
      <c r="N1480">
        <v>31181</v>
      </c>
      <c r="O1480" t="s">
        <v>3493</v>
      </c>
      <c r="P1480" t="s">
        <v>1212</v>
      </c>
      <c r="Q1480">
        <v>0</v>
      </c>
      <c r="S1480">
        <v>175</v>
      </c>
      <c r="T1480">
        <v>58</v>
      </c>
      <c r="V1480">
        <v>244</v>
      </c>
    </row>
    <row r="1481" spans="1:22">
      <c r="A1481" s="32" t="s">
        <v>3629</v>
      </c>
      <c r="B1481" s="32" t="s">
        <v>3493</v>
      </c>
      <c r="C1481" s="32" t="s">
        <v>1337</v>
      </c>
      <c r="D1481" s="33">
        <v>0</v>
      </c>
      <c r="E1481" s="33">
        <v>0</v>
      </c>
      <c r="F1481" s="33">
        <v>89</v>
      </c>
      <c r="G1481" s="33">
        <v>26</v>
      </c>
      <c r="H1481" s="33">
        <v>0</v>
      </c>
      <c r="I1481" s="33">
        <v>115</v>
      </c>
      <c r="K1481" t="b">
        <f>QHPSelections2016[[#This Row],[County Name]]=P1481</f>
        <v>1</v>
      </c>
      <c r="L1481" t="b">
        <f>QHPSelections2016[[#This Row],[Silver]]=S1481</f>
        <v>1</v>
      </c>
      <c r="N1481">
        <v>31183</v>
      </c>
      <c r="O1481" t="s">
        <v>3493</v>
      </c>
      <c r="P1481" t="s">
        <v>1337</v>
      </c>
      <c r="Q1481">
        <v>0</v>
      </c>
      <c r="R1481">
        <v>0</v>
      </c>
      <c r="S1481">
        <v>89</v>
      </c>
      <c r="T1481">
        <v>26</v>
      </c>
      <c r="U1481">
        <v>0</v>
      </c>
      <c r="V1481">
        <v>115</v>
      </c>
    </row>
    <row r="1482" spans="1:22">
      <c r="A1482" s="32" t="s">
        <v>3630</v>
      </c>
      <c r="B1482" s="32" t="s">
        <v>3493</v>
      </c>
      <c r="C1482" s="32" t="s">
        <v>2818</v>
      </c>
      <c r="D1482" s="33">
        <v>0</v>
      </c>
      <c r="E1482" s="33" t="s">
        <v>1639</v>
      </c>
      <c r="F1482" s="33">
        <v>441</v>
      </c>
      <c r="G1482" s="33">
        <v>221</v>
      </c>
      <c r="H1482" s="33" t="s">
        <v>1639</v>
      </c>
      <c r="I1482" s="33">
        <v>692</v>
      </c>
      <c r="K1482" t="b">
        <f>QHPSelections2016[[#This Row],[County Name]]=P1482</f>
        <v>1</v>
      </c>
      <c r="L1482" t="b">
        <f>QHPSelections2016[[#This Row],[Silver]]=S1482</f>
        <v>1</v>
      </c>
      <c r="N1482">
        <v>31185</v>
      </c>
      <c r="O1482" t="s">
        <v>3493</v>
      </c>
      <c r="P1482" t="s">
        <v>2818</v>
      </c>
      <c r="Q1482">
        <v>0</v>
      </c>
      <c r="S1482">
        <v>441</v>
      </c>
      <c r="T1482">
        <v>221</v>
      </c>
      <c r="V1482">
        <v>692</v>
      </c>
    </row>
    <row r="1483" spans="1:22">
      <c r="A1483" s="32" t="s">
        <v>3631</v>
      </c>
      <c r="B1483" s="32" t="s">
        <v>3632</v>
      </c>
      <c r="C1483" s="32" t="s">
        <v>3633</v>
      </c>
      <c r="D1483" s="33" t="s">
        <v>1639</v>
      </c>
      <c r="E1483" s="33">
        <v>254</v>
      </c>
      <c r="F1483" s="33">
        <v>1446</v>
      </c>
      <c r="G1483" s="33">
        <v>1108</v>
      </c>
      <c r="H1483" s="33" t="s">
        <v>1639</v>
      </c>
      <c r="I1483" s="33">
        <v>2859</v>
      </c>
      <c r="K1483" t="b">
        <f>QHPSelections2016[[#This Row],[County Name]]=P1483</f>
        <v>1</v>
      </c>
      <c r="L1483" t="b">
        <f>QHPSelections2016[[#This Row],[Silver]]=S1483</f>
        <v>1</v>
      </c>
      <c r="N1483">
        <v>33001</v>
      </c>
      <c r="O1483" t="s">
        <v>3632</v>
      </c>
      <c r="P1483" t="s">
        <v>3633</v>
      </c>
      <c r="R1483">
        <v>254</v>
      </c>
      <c r="S1483" s="51">
        <v>1446</v>
      </c>
      <c r="T1483" s="51">
        <v>1108</v>
      </c>
      <c r="V1483" s="51">
        <v>2859</v>
      </c>
    </row>
    <row r="1484" spans="1:22">
      <c r="A1484" s="32" t="s">
        <v>3634</v>
      </c>
      <c r="B1484" s="32" t="s">
        <v>3632</v>
      </c>
      <c r="C1484" s="32" t="s">
        <v>862</v>
      </c>
      <c r="D1484" s="33">
        <v>56</v>
      </c>
      <c r="E1484" s="33">
        <v>287</v>
      </c>
      <c r="F1484" s="33">
        <v>2153</v>
      </c>
      <c r="G1484" s="33">
        <v>1363</v>
      </c>
      <c r="H1484" s="33">
        <v>45</v>
      </c>
      <c r="I1484" s="33">
        <v>3904</v>
      </c>
      <c r="K1484" t="b">
        <f>QHPSelections2016[[#This Row],[County Name]]=P1484</f>
        <v>1</v>
      </c>
      <c r="L1484" t="b">
        <f>QHPSelections2016[[#This Row],[Silver]]=S1484</f>
        <v>1</v>
      </c>
      <c r="N1484">
        <v>33003</v>
      </c>
      <c r="O1484" t="s">
        <v>3632</v>
      </c>
      <c r="P1484" t="s">
        <v>862</v>
      </c>
      <c r="Q1484">
        <v>56</v>
      </c>
      <c r="R1484">
        <v>287</v>
      </c>
      <c r="S1484" s="51">
        <v>2153</v>
      </c>
      <c r="T1484" s="51">
        <v>1363</v>
      </c>
      <c r="U1484">
        <v>45</v>
      </c>
      <c r="V1484" s="51">
        <v>3904</v>
      </c>
    </row>
    <row r="1485" spans="1:22">
      <c r="A1485" s="32" t="s">
        <v>3635</v>
      </c>
      <c r="B1485" s="32" t="s">
        <v>3632</v>
      </c>
      <c r="C1485" s="32" t="s">
        <v>3636</v>
      </c>
      <c r="D1485" s="33" t="s">
        <v>1639</v>
      </c>
      <c r="E1485" s="33">
        <v>269</v>
      </c>
      <c r="F1485" s="33">
        <v>1792</v>
      </c>
      <c r="G1485" s="33">
        <v>1236</v>
      </c>
      <c r="H1485" s="33" t="s">
        <v>1639</v>
      </c>
      <c r="I1485" s="33">
        <v>3336</v>
      </c>
      <c r="K1485" t="b">
        <f>QHPSelections2016[[#This Row],[County Name]]=P1485</f>
        <v>1</v>
      </c>
      <c r="L1485" t="b">
        <f>QHPSelections2016[[#This Row],[Silver]]=S1485</f>
        <v>1</v>
      </c>
      <c r="N1485">
        <v>33005</v>
      </c>
      <c r="O1485" t="s">
        <v>3632</v>
      </c>
      <c r="P1485" t="s">
        <v>3636</v>
      </c>
      <c r="R1485">
        <v>269</v>
      </c>
      <c r="S1485" s="51">
        <v>1792</v>
      </c>
      <c r="T1485" s="51">
        <v>1236</v>
      </c>
      <c r="V1485" s="51">
        <v>3336</v>
      </c>
    </row>
    <row r="1486" spans="1:22">
      <c r="A1486" s="32" t="s">
        <v>3637</v>
      </c>
      <c r="B1486" s="32" t="s">
        <v>3632</v>
      </c>
      <c r="C1486" s="32" t="s">
        <v>3638</v>
      </c>
      <c r="D1486" s="33" t="s">
        <v>1639</v>
      </c>
      <c r="E1486" s="33">
        <v>83</v>
      </c>
      <c r="F1486" s="33">
        <v>877</v>
      </c>
      <c r="G1486" s="33">
        <v>549</v>
      </c>
      <c r="H1486" s="33" t="s">
        <v>1639</v>
      </c>
      <c r="I1486" s="33">
        <v>1544</v>
      </c>
      <c r="K1486" t="b">
        <f>QHPSelections2016[[#This Row],[County Name]]=P1486</f>
        <v>1</v>
      </c>
      <c r="L1486" t="b">
        <f>QHPSelections2016[[#This Row],[Silver]]=S1486</f>
        <v>1</v>
      </c>
      <c r="N1486">
        <v>33007</v>
      </c>
      <c r="O1486" t="s">
        <v>3632</v>
      </c>
      <c r="P1486" t="s">
        <v>3638</v>
      </c>
      <c r="R1486">
        <v>83</v>
      </c>
      <c r="S1486">
        <v>877</v>
      </c>
      <c r="T1486">
        <v>549</v>
      </c>
      <c r="V1486" s="51">
        <v>1544</v>
      </c>
    </row>
    <row r="1487" spans="1:22">
      <c r="A1487" s="32" t="s">
        <v>3639</v>
      </c>
      <c r="B1487" s="32" t="s">
        <v>3632</v>
      </c>
      <c r="C1487" s="32" t="s">
        <v>3640</v>
      </c>
      <c r="D1487" s="33">
        <v>50</v>
      </c>
      <c r="E1487" s="33">
        <v>406</v>
      </c>
      <c r="F1487" s="33">
        <v>2019</v>
      </c>
      <c r="G1487" s="33">
        <v>1481</v>
      </c>
      <c r="H1487" s="33">
        <v>64</v>
      </c>
      <c r="I1487" s="33">
        <v>4020</v>
      </c>
      <c r="K1487" t="b">
        <f>QHPSelections2016[[#This Row],[County Name]]=P1487</f>
        <v>1</v>
      </c>
      <c r="L1487" t="b">
        <f>QHPSelections2016[[#This Row],[Silver]]=S1487</f>
        <v>1</v>
      </c>
      <c r="N1487">
        <v>33009</v>
      </c>
      <c r="O1487" t="s">
        <v>3632</v>
      </c>
      <c r="P1487" t="s">
        <v>3640</v>
      </c>
      <c r="Q1487">
        <v>50</v>
      </c>
      <c r="R1487">
        <v>406</v>
      </c>
      <c r="S1487" s="51">
        <v>2019</v>
      </c>
      <c r="T1487" s="51">
        <v>1481</v>
      </c>
      <c r="U1487">
        <v>64</v>
      </c>
      <c r="V1487" s="51">
        <v>4020</v>
      </c>
    </row>
    <row r="1488" spans="1:22">
      <c r="A1488" s="32" t="s">
        <v>3641</v>
      </c>
      <c r="B1488" s="32" t="s">
        <v>3632</v>
      </c>
      <c r="C1488" s="32" t="s">
        <v>976</v>
      </c>
      <c r="D1488" s="33">
        <v>254</v>
      </c>
      <c r="E1488" s="33">
        <v>1473</v>
      </c>
      <c r="F1488" s="33">
        <v>8063</v>
      </c>
      <c r="G1488" s="33">
        <v>4988</v>
      </c>
      <c r="H1488" s="33">
        <v>301</v>
      </c>
      <c r="I1488" s="33">
        <v>15079</v>
      </c>
      <c r="K1488" t="b">
        <f>QHPSelections2016[[#This Row],[County Name]]=P1488</f>
        <v>1</v>
      </c>
      <c r="L1488" t="b">
        <f>QHPSelections2016[[#This Row],[Silver]]=S1488</f>
        <v>1</v>
      </c>
      <c r="N1488">
        <v>33011</v>
      </c>
      <c r="O1488" t="s">
        <v>3632</v>
      </c>
      <c r="P1488" t="s">
        <v>976</v>
      </c>
      <c r="Q1488">
        <v>254</v>
      </c>
      <c r="R1488" s="51">
        <v>1473</v>
      </c>
      <c r="S1488" s="51">
        <v>8063</v>
      </c>
      <c r="T1488" s="51">
        <v>4988</v>
      </c>
      <c r="U1488">
        <v>301</v>
      </c>
      <c r="V1488" s="51">
        <v>15079</v>
      </c>
    </row>
    <row r="1489" spans="1:22">
      <c r="A1489" s="32" t="s">
        <v>3642</v>
      </c>
      <c r="B1489" s="32" t="s">
        <v>3632</v>
      </c>
      <c r="C1489" s="32" t="s">
        <v>3643</v>
      </c>
      <c r="D1489" s="33">
        <v>55</v>
      </c>
      <c r="E1489" s="33">
        <v>403</v>
      </c>
      <c r="F1489" s="33">
        <v>2558</v>
      </c>
      <c r="G1489" s="33">
        <v>2177</v>
      </c>
      <c r="H1489" s="33">
        <v>94</v>
      </c>
      <c r="I1489" s="33">
        <v>5287</v>
      </c>
      <c r="K1489" t="b">
        <f>QHPSelections2016[[#This Row],[County Name]]=P1489</f>
        <v>1</v>
      </c>
      <c r="L1489" t="b">
        <f>QHPSelections2016[[#This Row],[Silver]]=S1489</f>
        <v>1</v>
      </c>
      <c r="N1489">
        <v>33013</v>
      </c>
      <c r="O1489" t="s">
        <v>3632</v>
      </c>
      <c r="P1489" t="s">
        <v>3643</v>
      </c>
      <c r="Q1489">
        <v>55</v>
      </c>
      <c r="R1489">
        <v>403</v>
      </c>
      <c r="S1489" s="51">
        <v>2558</v>
      </c>
      <c r="T1489" s="51">
        <v>2177</v>
      </c>
      <c r="U1489">
        <v>94</v>
      </c>
      <c r="V1489" s="51">
        <v>5287</v>
      </c>
    </row>
    <row r="1490" spans="1:22">
      <c r="A1490" s="32" t="s">
        <v>3644</v>
      </c>
      <c r="B1490" s="32" t="s">
        <v>3632</v>
      </c>
      <c r="C1490" s="32" t="s">
        <v>1217</v>
      </c>
      <c r="D1490" s="33">
        <v>160</v>
      </c>
      <c r="E1490" s="33">
        <v>1548</v>
      </c>
      <c r="F1490" s="33">
        <v>6919</v>
      </c>
      <c r="G1490" s="33">
        <v>4308</v>
      </c>
      <c r="H1490" s="33">
        <v>257</v>
      </c>
      <c r="I1490" s="33">
        <v>13192</v>
      </c>
      <c r="K1490" t="b">
        <f>QHPSelections2016[[#This Row],[County Name]]=P1490</f>
        <v>1</v>
      </c>
      <c r="L1490" t="b">
        <f>QHPSelections2016[[#This Row],[Silver]]=S1490</f>
        <v>1</v>
      </c>
      <c r="N1490">
        <v>33015</v>
      </c>
      <c r="O1490" t="s">
        <v>3632</v>
      </c>
      <c r="P1490" t="s">
        <v>1217</v>
      </c>
      <c r="Q1490">
        <v>160</v>
      </c>
      <c r="R1490" s="51">
        <v>1548</v>
      </c>
      <c r="S1490" s="51">
        <v>6919</v>
      </c>
      <c r="T1490" s="51">
        <v>4308</v>
      </c>
      <c r="U1490">
        <v>257</v>
      </c>
      <c r="V1490" s="51">
        <v>13192</v>
      </c>
    </row>
    <row r="1491" spans="1:22">
      <c r="A1491" s="32" t="s">
        <v>3645</v>
      </c>
      <c r="B1491" s="32" t="s">
        <v>3632</v>
      </c>
      <c r="C1491" s="32" t="s">
        <v>3646</v>
      </c>
      <c r="D1491" s="33">
        <v>77</v>
      </c>
      <c r="E1491" s="33">
        <v>450</v>
      </c>
      <c r="F1491" s="33">
        <v>2382</v>
      </c>
      <c r="G1491" s="33">
        <v>1522</v>
      </c>
      <c r="H1491" s="33">
        <v>117</v>
      </c>
      <c r="I1491" s="33">
        <v>4548</v>
      </c>
      <c r="K1491" t="b">
        <f>QHPSelections2016[[#This Row],[County Name]]=P1491</f>
        <v>1</v>
      </c>
      <c r="L1491" t="b">
        <f>QHPSelections2016[[#This Row],[Silver]]=S1491</f>
        <v>1</v>
      </c>
      <c r="N1491">
        <v>33017</v>
      </c>
      <c r="O1491" t="s">
        <v>3632</v>
      </c>
      <c r="P1491" t="s">
        <v>3646</v>
      </c>
      <c r="Q1491">
        <v>77</v>
      </c>
      <c r="R1491">
        <v>450</v>
      </c>
      <c r="S1491" s="51">
        <v>2382</v>
      </c>
      <c r="T1491" s="51">
        <v>1522</v>
      </c>
      <c r="U1491">
        <v>117</v>
      </c>
      <c r="V1491" s="51">
        <v>4548</v>
      </c>
    </row>
    <row r="1492" spans="1:22">
      <c r="A1492" s="32" t="s">
        <v>3647</v>
      </c>
      <c r="B1492" s="32" t="s">
        <v>3632</v>
      </c>
      <c r="C1492" s="32" t="s">
        <v>1227</v>
      </c>
      <c r="D1492" s="33">
        <v>13</v>
      </c>
      <c r="E1492" s="33">
        <v>107</v>
      </c>
      <c r="F1492" s="33">
        <v>714</v>
      </c>
      <c r="G1492" s="33">
        <v>553</v>
      </c>
      <c r="H1492" s="33">
        <v>27</v>
      </c>
      <c r="I1492" s="33">
        <v>1414</v>
      </c>
      <c r="K1492" t="b">
        <f>QHPSelections2016[[#This Row],[County Name]]=P1492</f>
        <v>1</v>
      </c>
      <c r="L1492" t="b">
        <f>QHPSelections2016[[#This Row],[Silver]]=S1492</f>
        <v>1</v>
      </c>
      <c r="N1492">
        <v>33019</v>
      </c>
      <c r="O1492" t="s">
        <v>3632</v>
      </c>
      <c r="P1492" t="s">
        <v>1227</v>
      </c>
      <c r="Q1492">
        <v>13</v>
      </c>
      <c r="R1492">
        <v>107</v>
      </c>
      <c r="S1492">
        <v>714</v>
      </c>
      <c r="T1492">
        <v>553</v>
      </c>
      <c r="U1492">
        <v>27</v>
      </c>
      <c r="V1492" s="51">
        <v>1414</v>
      </c>
    </row>
    <row r="1493" spans="1:22">
      <c r="A1493" s="32" t="s">
        <v>3648</v>
      </c>
      <c r="B1493" s="32" t="s">
        <v>3649</v>
      </c>
      <c r="C1493" s="32" t="s">
        <v>3650</v>
      </c>
      <c r="D1493" s="33">
        <v>181</v>
      </c>
      <c r="E1493" s="33">
        <v>781</v>
      </c>
      <c r="F1493" s="33">
        <v>7723</v>
      </c>
      <c r="G1493" s="33">
        <v>1320</v>
      </c>
      <c r="H1493" s="33">
        <v>56</v>
      </c>
      <c r="I1493" s="33">
        <v>10061</v>
      </c>
      <c r="K1493" t="b">
        <f>QHPSelections2016[[#This Row],[County Name]]=P1493</f>
        <v>1</v>
      </c>
      <c r="L1493" t="b">
        <f>QHPSelections2016[[#This Row],[Silver]]=S1493</f>
        <v>1</v>
      </c>
      <c r="N1493">
        <v>34001</v>
      </c>
      <c r="O1493" t="s">
        <v>3649</v>
      </c>
      <c r="P1493" t="s">
        <v>3650</v>
      </c>
      <c r="Q1493">
        <v>181</v>
      </c>
      <c r="R1493">
        <v>781</v>
      </c>
      <c r="S1493" s="51">
        <v>7723</v>
      </c>
      <c r="T1493" s="51">
        <v>1320</v>
      </c>
      <c r="U1493">
        <v>56</v>
      </c>
      <c r="V1493" s="51">
        <v>10061</v>
      </c>
    </row>
    <row r="1494" spans="1:22">
      <c r="A1494" s="32" t="s">
        <v>3651</v>
      </c>
      <c r="B1494" s="32" t="s">
        <v>3649</v>
      </c>
      <c r="C1494" s="32" t="s">
        <v>3652</v>
      </c>
      <c r="D1494" s="33">
        <v>805</v>
      </c>
      <c r="E1494" s="33">
        <v>3131</v>
      </c>
      <c r="F1494" s="33">
        <v>26951</v>
      </c>
      <c r="G1494" s="33">
        <v>5654</v>
      </c>
      <c r="H1494" s="33">
        <v>306</v>
      </c>
      <c r="I1494" s="33">
        <v>36847</v>
      </c>
      <c r="K1494" t="b">
        <f>QHPSelections2016[[#This Row],[County Name]]=P1494</f>
        <v>1</v>
      </c>
      <c r="L1494" t="b">
        <f>QHPSelections2016[[#This Row],[Silver]]=S1494</f>
        <v>1</v>
      </c>
      <c r="N1494">
        <v>34003</v>
      </c>
      <c r="O1494" t="s">
        <v>3649</v>
      </c>
      <c r="P1494" t="s">
        <v>3652</v>
      </c>
      <c r="Q1494">
        <v>805</v>
      </c>
      <c r="R1494" s="51">
        <v>3131</v>
      </c>
      <c r="S1494" s="51">
        <v>26951</v>
      </c>
      <c r="T1494" s="51">
        <v>5654</v>
      </c>
      <c r="U1494">
        <v>306</v>
      </c>
      <c r="V1494" s="51">
        <v>36847</v>
      </c>
    </row>
    <row r="1495" spans="1:22">
      <c r="A1495" s="32" t="s">
        <v>3653</v>
      </c>
      <c r="B1495" s="32" t="s">
        <v>3649</v>
      </c>
      <c r="C1495" s="32" t="s">
        <v>3654</v>
      </c>
      <c r="D1495" s="33">
        <v>261</v>
      </c>
      <c r="E1495" s="33">
        <v>1294</v>
      </c>
      <c r="F1495" s="33">
        <v>9197</v>
      </c>
      <c r="G1495" s="33">
        <v>1950</v>
      </c>
      <c r="H1495" s="33">
        <v>89</v>
      </c>
      <c r="I1495" s="33">
        <v>12791</v>
      </c>
      <c r="K1495" t="b">
        <f>QHPSelections2016[[#This Row],[County Name]]=P1495</f>
        <v>1</v>
      </c>
      <c r="L1495" t="b">
        <f>QHPSelections2016[[#This Row],[Silver]]=S1495</f>
        <v>1</v>
      </c>
      <c r="N1495">
        <v>34005</v>
      </c>
      <c r="O1495" t="s">
        <v>3649</v>
      </c>
      <c r="P1495" t="s">
        <v>3654</v>
      </c>
      <c r="Q1495">
        <v>261</v>
      </c>
      <c r="R1495" s="51">
        <v>1294</v>
      </c>
      <c r="S1495" s="51">
        <v>9197</v>
      </c>
      <c r="T1495" s="51">
        <v>1950</v>
      </c>
      <c r="U1495">
        <v>89</v>
      </c>
      <c r="V1495" s="51">
        <v>12791</v>
      </c>
    </row>
    <row r="1496" spans="1:22">
      <c r="A1496" s="32" t="s">
        <v>3655</v>
      </c>
      <c r="B1496" s="32" t="s">
        <v>3649</v>
      </c>
      <c r="C1496" s="32" t="s">
        <v>904</v>
      </c>
      <c r="D1496" s="33">
        <v>348</v>
      </c>
      <c r="E1496" s="33">
        <v>1318</v>
      </c>
      <c r="F1496" s="33">
        <v>11790</v>
      </c>
      <c r="G1496" s="33">
        <v>2378</v>
      </c>
      <c r="H1496" s="33">
        <v>124</v>
      </c>
      <c r="I1496" s="33">
        <v>15958</v>
      </c>
      <c r="K1496" t="b">
        <f>QHPSelections2016[[#This Row],[County Name]]=P1496</f>
        <v>1</v>
      </c>
      <c r="L1496" t="b">
        <f>QHPSelections2016[[#This Row],[Silver]]=S1496</f>
        <v>1</v>
      </c>
      <c r="N1496">
        <v>34007</v>
      </c>
      <c r="O1496" t="s">
        <v>3649</v>
      </c>
      <c r="P1496" t="s">
        <v>904</v>
      </c>
      <c r="Q1496">
        <v>348</v>
      </c>
      <c r="R1496" s="51">
        <v>1318</v>
      </c>
      <c r="S1496" s="51">
        <v>11790</v>
      </c>
      <c r="T1496" s="51">
        <v>2378</v>
      </c>
      <c r="U1496">
        <v>124</v>
      </c>
      <c r="V1496" s="51">
        <v>15958</v>
      </c>
    </row>
    <row r="1497" spans="1:22">
      <c r="A1497" s="32" t="s">
        <v>3656</v>
      </c>
      <c r="B1497" s="32" t="s">
        <v>3649</v>
      </c>
      <c r="C1497" s="32" t="s">
        <v>3657</v>
      </c>
      <c r="D1497" s="33">
        <v>50</v>
      </c>
      <c r="E1497" s="33">
        <v>391</v>
      </c>
      <c r="F1497" s="33">
        <v>3185</v>
      </c>
      <c r="G1497" s="33">
        <v>616</v>
      </c>
      <c r="H1497" s="33">
        <v>19</v>
      </c>
      <c r="I1497" s="33">
        <v>4261</v>
      </c>
      <c r="K1497" t="b">
        <f>QHPSelections2016[[#This Row],[County Name]]=P1497</f>
        <v>1</v>
      </c>
      <c r="L1497" t="b">
        <f>QHPSelections2016[[#This Row],[Silver]]=S1497</f>
        <v>1</v>
      </c>
      <c r="N1497">
        <v>34009</v>
      </c>
      <c r="O1497" t="s">
        <v>3649</v>
      </c>
      <c r="P1497" t="s">
        <v>3657</v>
      </c>
      <c r="Q1497">
        <v>50</v>
      </c>
      <c r="R1497">
        <v>391</v>
      </c>
      <c r="S1497" s="51">
        <v>3185</v>
      </c>
      <c r="T1497">
        <v>616</v>
      </c>
      <c r="U1497">
        <v>19</v>
      </c>
      <c r="V1497" s="51">
        <v>4261</v>
      </c>
    </row>
    <row r="1498" spans="1:22">
      <c r="A1498" s="32" t="s">
        <v>3658</v>
      </c>
      <c r="B1498" s="32" t="s">
        <v>3649</v>
      </c>
      <c r="C1498" s="32" t="s">
        <v>923</v>
      </c>
      <c r="D1498" s="33">
        <v>77</v>
      </c>
      <c r="E1498" s="33">
        <v>160</v>
      </c>
      <c r="F1498" s="33">
        <v>2361</v>
      </c>
      <c r="G1498" s="33">
        <v>543</v>
      </c>
      <c r="H1498" s="33">
        <v>18</v>
      </c>
      <c r="I1498" s="33">
        <v>3159</v>
      </c>
      <c r="K1498" t="b">
        <f>QHPSelections2016[[#This Row],[County Name]]=P1498</f>
        <v>1</v>
      </c>
      <c r="L1498" t="b">
        <f>QHPSelections2016[[#This Row],[Silver]]=S1498</f>
        <v>1</v>
      </c>
      <c r="N1498">
        <v>34011</v>
      </c>
      <c r="O1498" t="s">
        <v>3649</v>
      </c>
      <c r="P1498" t="s">
        <v>923</v>
      </c>
      <c r="Q1498">
        <v>77</v>
      </c>
      <c r="R1498">
        <v>160</v>
      </c>
      <c r="S1498" s="51">
        <v>2361</v>
      </c>
      <c r="T1498">
        <v>543</v>
      </c>
      <c r="U1498">
        <v>18</v>
      </c>
      <c r="V1498" s="51">
        <v>3159</v>
      </c>
    </row>
    <row r="1499" spans="1:22">
      <c r="A1499" s="32" t="s">
        <v>3659</v>
      </c>
      <c r="B1499" s="32" t="s">
        <v>3649</v>
      </c>
      <c r="C1499" s="32" t="s">
        <v>3660</v>
      </c>
      <c r="D1499" s="33">
        <v>483</v>
      </c>
      <c r="E1499" s="33">
        <v>1429</v>
      </c>
      <c r="F1499" s="33">
        <v>16315</v>
      </c>
      <c r="G1499" s="33">
        <v>4066</v>
      </c>
      <c r="H1499" s="33">
        <v>268</v>
      </c>
      <c r="I1499" s="33">
        <v>22561</v>
      </c>
      <c r="K1499" t="b">
        <f>QHPSelections2016[[#This Row],[County Name]]=P1499</f>
        <v>1</v>
      </c>
      <c r="L1499" t="b">
        <f>QHPSelections2016[[#This Row],[Silver]]=S1499</f>
        <v>1</v>
      </c>
      <c r="N1499">
        <v>34013</v>
      </c>
      <c r="O1499" t="s">
        <v>3649</v>
      </c>
      <c r="P1499" t="s">
        <v>3660</v>
      </c>
      <c r="Q1499">
        <v>483</v>
      </c>
      <c r="R1499" s="51">
        <v>1429</v>
      </c>
      <c r="S1499" s="51">
        <v>16315</v>
      </c>
      <c r="T1499" s="51">
        <v>4066</v>
      </c>
      <c r="U1499">
        <v>268</v>
      </c>
      <c r="V1499" s="51">
        <v>22561</v>
      </c>
    </row>
    <row r="1500" spans="1:22">
      <c r="A1500" s="32" t="s">
        <v>3661</v>
      </c>
      <c r="B1500" s="32" t="s">
        <v>3649</v>
      </c>
      <c r="C1500" s="32" t="s">
        <v>3662</v>
      </c>
      <c r="D1500" s="33">
        <v>185</v>
      </c>
      <c r="E1500" s="33">
        <v>918</v>
      </c>
      <c r="F1500" s="33">
        <v>6102</v>
      </c>
      <c r="G1500" s="33">
        <v>1222</v>
      </c>
      <c r="H1500" s="33">
        <v>59</v>
      </c>
      <c r="I1500" s="33">
        <v>8486</v>
      </c>
      <c r="K1500" t="b">
        <f>QHPSelections2016[[#This Row],[County Name]]=P1500</f>
        <v>1</v>
      </c>
      <c r="L1500" t="b">
        <f>QHPSelections2016[[#This Row],[Silver]]=S1500</f>
        <v>1</v>
      </c>
      <c r="N1500">
        <v>34015</v>
      </c>
      <c r="O1500" t="s">
        <v>3649</v>
      </c>
      <c r="P1500" t="s">
        <v>3662</v>
      </c>
      <c r="Q1500">
        <v>185</v>
      </c>
      <c r="R1500">
        <v>918</v>
      </c>
      <c r="S1500" s="51">
        <v>6102</v>
      </c>
      <c r="T1500" s="51">
        <v>1222</v>
      </c>
      <c r="U1500">
        <v>59</v>
      </c>
      <c r="V1500" s="51">
        <v>8486</v>
      </c>
    </row>
    <row r="1501" spans="1:22">
      <c r="A1501" s="32" t="s">
        <v>3663</v>
      </c>
      <c r="B1501" s="32" t="s">
        <v>3649</v>
      </c>
      <c r="C1501" s="32" t="s">
        <v>3664</v>
      </c>
      <c r="D1501" s="33">
        <v>352</v>
      </c>
      <c r="E1501" s="33">
        <v>1174</v>
      </c>
      <c r="F1501" s="33">
        <v>15835</v>
      </c>
      <c r="G1501" s="33">
        <v>4346</v>
      </c>
      <c r="H1501" s="33">
        <v>330</v>
      </c>
      <c r="I1501" s="33">
        <v>22037</v>
      </c>
      <c r="K1501" t="b">
        <f>QHPSelections2016[[#This Row],[County Name]]=P1501</f>
        <v>1</v>
      </c>
      <c r="L1501" t="b">
        <f>QHPSelections2016[[#This Row],[Silver]]=S1501</f>
        <v>1</v>
      </c>
      <c r="N1501">
        <v>34017</v>
      </c>
      <c r="O1501" t="s">
        <v>3649</v>
      </c>
      <c r="P1501" t="s">
        <v>3664</v>
      </c>
      <c r="Q1501">
        <v>352</v>
      </c>
      <c r="R1501" s="51">
        <v>1174</v>
      </c>
      <c r="S1501" s="51">
        <v>15835</v>
      </c>
      <c r="T1501" s="51">
        <v>4346</v>
      </c>
      <c r="U1501">
        <v>330</v>
      </c>
      <c r="V1501" s="51">
        <v>22037</v>
      </c>
    </row>
    <row r="1502" spans="1:22">
      <c r="A1502" s="32" t="s">
        <v>3665</v>
      </c>
      <c r="B1502" s="32" t="s">
        <v>3649</v>
      </c>
      <c r="C1502" s="32" t="s">
        <v>3666</v>
      </c>
      <c r="D1502" s="33">
        <v>116</v>
      </c>
      <c r="E1502" s="33">
        <v>501</v>
      </c>
      <c r="F1502" s="33">
        <v>3402</v>
      </c>
      <c r="G1502" s="33">
        <v>557</v>
      </c>
      <c r="H1502" s="33">
        <v>21</v>
      </c>
      <c r="I1502" s="33">
        <v>4597</v>
      </c>
      <c r="K1502" t="b">
        <f>QHPSelections2016[[#This Row],[County Name]]=P1502</f>
        <v>1</v>
      </c>
      <c r="L1502" t="b">
        <f>QHPSelections2016[[#This Row],[Silver]]=S1502</f>
        <v>1</v>
      </c>
      <c r="N1502">
        <v>34019</v>
      </c>
      <c r="O1502" t="s">
        <v>3649</v>
      </c>
      <c r="P1502" t="s">
        <v>3666</v>
      </c>
      <c r="Q1502">
        <v>116</v>
      </c>
      <c r="R1502">
        <v>501</v>
      </c>
      <c r="S1502" s="51">
        <v>3402</v>
      </c>
      <c r="T1502">
        <v>557</v>
      </c>
      <c r="U1502">
        <v>21</v>
      </c>
      <c r="V1502" s="51">
        <v>4597</v>
      </c>
    </row>
    <row r="1503" spans="1:22">
      <c r="A1503" s="32" t="s">
        <v>3667</v>
      </c>
      <c r="B1503" s="32" t="s">
        <v>3649</v>
      </c>
      <c r="C1503" s="32" t="s">
        <v>2381</v>
      </c>
      <c r="D1503" s="33">
        <v>279</v>
      </c>
      <c r="E1503" s="33">
        <v>767</v>
      </c>
      <c r="F1503" s="33">
        <v>6783</v>
      </c>
      <c r="G1503" s="33">
        <v>1634</v>
      </c>
      <c r="H1503" s="33">
        <v>91</v>
      </c>
      <c r="I1503" s="33">
        <v>9554</v>
      </c>
      <c r="K1503" t="b">
        <f>QHPSelections2016[[#This Row],[County Name]]=P1503</f>
        <v>1</v>
      </c>
      <c r="L1503" t="b">
        <f>QHPSelections2016[[#This Row],[Silver]]=S1503</f>
        <v>1</v>
      </c>
      <c r="N1503">
        <v>34021</v>
      </c>
      <c r="O1503" t="s">
        <v>3649</v>
      </c>
      <c r="P1503" t="s">
        <v>2381</v>
      </c>
      <c r="Q1503">
        <v>279</v>
      </c>
      <c r="R1503">
        <v>767</v>
      </c>
      <c r="S1503" s="51">
        <v>6783</v>
      </c>
      <c r="T1503" s="51">
        <v>1634</v>
      </c>
      <c r="U1503">
        <v>91</v>
      </c>
      <c r="V1503" s="51">
        <v>9554</v>
      </c>
    </row>
    <row r="1504" spans="1:22">
      <c r="A1504" s="32" t="s">
        <v>3668</v>
      </c>
      <c r="B1504" s="32" t="s">
        <v>3649</v>
      </c>
      <c r="C1504" s="32" t="s">
        <v>3669</v>
      </c>
      <c r="D1504" s="33">
        <v>496</v>
      </c>
      <c r="E1504" s="33">
        <v>2087</v>
      </c>
      <c r="F1504" s="33">
        <v>20202</v>
      </c>
      <c r="G1504" s="33">
        <v>4863</v>
      </c>
      <c r="H1504" s="33">
        <v>317</v>
      </c>
      <c r="I1504" s="33">
        <v>27965</v>
      </c>
      <c r="K1504" t="b">
        <f>QHPSelections2016[[#This Row],[County Name]]=P1504</f>
        <v>1</v>
      </c>
      <c r="L1504" t="b">
        <f>QHPSelections2016[[#This Row],[Silver]]=S1504</f>
        <v>1</v>
      </c>
      <c r="N1504">
        <v>34023</v>
      </c>
      <c r="O1504" t="s">
        <v>3649</v>
      </c>
      <c r="P1504" t="s">
        <v>3669</v>
      </c>
      <c r="Q1504">
        <v>496</v>
      </c>
      <c r="R1504" s="51">
        <v>2087</v>
      </c>
      <c r="S1504" s="51">
        <v>20202</v>
      </c>
      <c r="T1504" s="51">
        <v>4863</v>
      </c>
      <c r="U1504">
        <v>317</v>
      </c>
      <c r="V1504" s="51">
        <v>27965</v>
      </c>
    </row>
    <row r="1505" spans="1:22">
      <c r="A1505" s="32" t="s">
        <v>3670</v>
      </c>
      <c r="B1505" s="32" t="s">
        <v>3649</v>
      </c>
      <c r="C1505" s="32" t="s">
        <v>3671</v>
      </c>
      <c r="D1505" s="33">
        <v>523</v>
      </c>
      <c r="E1505" s="33">
        <v>2116</v>
      </c>
      <c r="F1505" s="33">
        <v>15419</v>
      </c>
      <c r="G1505" s="33">
        <v>3436</v>
      </c>
      <c r="H1505" s="33">
        <v>175</v>
      </c>
      <c r="I1505" s="33">
        <v>21669</v>
      </c>
      <c r="K1505" t="b">
        <f>QHPSelections2016[[#This Row],[County Name]]=P1505</f>
        <v>1</v>
      </c>
      <c r="L1505" t="b">
        <f>QHPSelections2016[[#This Row],[Silver]]=S1505</f>
        <v>1</v>
      </c>
      <c r="N1505">
        <v>34025</v>
      </c>
      <c r="O1505" t="s">
        <v>3649</v>
      </c>
      <c r="P1505" t="s">
        <v>3671</v>
      </c>
      <c r="Q1505">
        <v>523</v>
      </c>
      <c r="R1505" s="51">
        <v>2116</v>
      </c>
      <c r="S1505" s="51">
        <v>15419</v>
      </c>
      <c r="T1505" s="51">
        <v>3436</v>
      </c>
      <c r="U1505">
        <v>175</v>
      </c>
      <c r="V1505" s="51">
        <v>21669</v>
      </c>
    </row>
    <row r="1506" spans="1:22">
      <c r="A1506" s="32" t="s">
        <v>3672</v>
      </c>
      <c r="B1506" s="32" t="s">
        <v>3649</v>
      </c>
      <c r="C1506" s="32" t="s">
        <v>1353</v>
      </c>
      <c r="D1506" s="33">
        <v>389</v>
      </c>
      <c r="E1506" s="33">
        <v>1365</v>
      </c>
      <c r="F1506" s="33">
        <v>11492</v>
      </c>
      <c r="G1506" s="33">
        <v>2407</v>
      </c>
      <c r="H1506" s="33">
        <v>138</v>
      </c>
      <c r="I1506" s="33">
        <v>15791</v>
      </c>
      <c r="K1506" t="b">
        <f>QHPSelections2016[[#This Row],[County Name]]=P1506</f>
        <v>1</v>
      </c>
      <c r="L1506" t="b">
        <f>QHPSelections2016[[#This Row],[Silver]]=S1506</f>
        <v>1</v>
      </c>
      <c r="N1506">
        <v>34027</v>
      </c>
      <c r="O1506" t="s">
        <v>3649</v>
      </c>
      <c r="P1506" t="s">
        <v>1353</v>
      </c>
      <c r="Q1506">
        <v>389</v>
      </c>
      <c r="R1506" s="51">
        <v>1365</v>
      </c>
      <c r="S1506" s="51">
        <v>11492</v>
      </c>
      <c r="T1506" s="51">
        <v>2407</v>
      </c>
      <c r="U1506">
        <v>138</v>
      </c>
      <c r="V1506" s="51">
        <v>15791</v>
      </c>
    </row>
    <row r="1507" spans="1:22">
      <c r="A1507" s="32" t="s">
        <v>3673</v>
      </c>
      <c r="B1507" s="32" t="s">
        <v>3649</v>
      </c>
      <c r="C1507" s="32" t="s">
        <v>3674</v>
      </c>
      <c r="D1507" s="33">
        <v>380</v>
      </c>
      <c r="E1507" s="33">
        <v>1604</v>
      </c>
      <c r="F1507" s="33">
        <v>14247</v>
      </c>
      <c r="G1507" s="33">
        <v>2276</v>
      </c>
      <c r="H1507" s="33">
        <v>150</v>
      </c>
      <c r="I1507" s="33">
        <v>18657</v>
      </c>
      <c r="K1507" t="b">
        <f>QHPSelections2016[[#This Row],[County Name]]=P1507</f>
        <v>1</v>
      </c>
      <c r="L1507" t="b">
        <f>QHPSelections2016[[#This Row],[Silver]]=S1507</f>
        <v>1</v>
      </c>
      <c r="N1507">
        <v>34029</v>
      </c>
      <c r="O1507" t="s">
        <v>3649</v>
      </c>
      <c r="P1507" t="s">
        <v>3674</v>
      </c>
      <c r="Q1507">
        <v>380</v>
      </c>
      <c r="R1507" s="51">
        <v>1604</v>
      </c>
      <c r="S1507" s="51">
        <v>14247</v>
      </c>
      <c r="T1507" s="51">
        <v>2276</v>
      </c>
      <c r="U1507">
        <v>150</v>
      </c>
      <c r="V1507" s="51">
        <v>18657</v>
      </c>
    </row>
    <row r="1508" spans="1:22">
      <c r="A1508" s="32" t="s">
        <v>3675</v>
      </c>
      <c r="B1508" s="32" t="s">
        <v>3649</v>
      </c>
      <c r="C1508" s="32" t="s">
        <v>3676</v>
      </c>
      <c r="D1508" s="33">
        <v>283</v>
      </c>
      <c r="E1508" s="33">
        <v>973</v>
      </c>
      <c r="F1508" s="33">
        <v>12471</v>
      </c>
      <c r="G1508" s="33">
        <v>2995</v>
      </c>
      <c r="H1508" s="33">
        <v>137</v>
      </c>
      <c r="I1508" s="33">
        <v>16859</v>
      </c>
      <c r="K1508" t="b">
        <f>QHPSelections2016[[#This Row],[County Name]]=P1508</f>
        <v>1</v>
      </c>
      <c r="L1508" t="b">
        <f>QHPSelections2016[[#This Row],[Silver]]=S1508</f>
        <v>1</v>
      </c>
      <c r="N1508">
        <v>34031</v>
      </c>
      <c r="O1508" t="s">
        <v>3649</v>
      </c>
      <c r="P1508" t="s">
        <v>3676</v>
      </c>
      <c r="Q1508">
        <v>283</v>
      </c>
      <c r="R1508">
        <v>973</v>
      </c>
      <c r="S1508" s="51">
        <v>12471</v>
      </c>
      <c r="T1508" s="51">
        <v>2995</v>
      </c>
      <c r="U1508">
        <v>137</v>
      </c>
      <c r="V1508" s="51">
        <v>16859</v>
      </c>
    </row>
    <row r="1509" spans="1:22">
      <c r="A1509" s="32" t="s">
        <v>3677</v>
      </c>
      <c r="B1509" s="32" t="s">
        <v>3649</v>
      </c>
      <c r="C1509" s="32" t="s">
        <v>3678</v>
      </c>
      <c r="D1509" s="33" t="s">
        <v>1639</v>
      </c>
      <c r="E1509" s="33">
        <v>106</v>
      </c>
      <c r="F1509" s="33">
        <v>1109</v>
      </c>
      <c r="G1509" s="33">
        <v>279</v>
      </c>
      <c r="H1509" s="33" t="s">
        <v>1639</v>
      </c>
      <c r="I1509" s="33">
        <v>1530</v>
      </c>
      <c r="K1509" t="b">
        <f>QHPSelections2016[[#This Row],[County Name]]=P1509</f>
        <v>1</v>
      </c>
      <c r="L1509" t="b">
        <f>QHPSelections2016[[#This Row],[Silver]]=S1509</f>
        <v>1</v>
      </c>
      <c r="N1509">
        <v>34033</v>
      </c>
      <c r="O1509" t="s">
        <v>3649</v>
      </c>
      <c r="P1509" t="s">
        <v>3678</v>
      </c>
      <c r="R1509">
        <v>106</v>
      </c>
      <c r="S1509" s="51">
        <v>1109</v>
      </c>
      <c r="T1509">
        <v>279</v>
      </c>
      <c r="V1509" s="51">
        <v>1530</v>
      </c>
    </row>
    <row r="1510" spans="1:22">
      <c r="A1510" s="32" t="s">
        <v>3679</v>
      </c>
      <c r="B1510" s="32" t="s">
        <v>3649</v>
      </c>
      <c r="C1510" s="32" t="s">
        <v>2813</v>
      </c>
      <c r="D1510" s="33">
        <v>253</v>
      </c>
      <c r="E1510" s="33">
        <v>900</v>
      </c>
      <c r="F1510" s="33">
        <v>7574</v>
      </c>
      <c r="G1510" s="33">
        <v>1731</v>
      </c>
      <c r="H1510" s="33">
        <v>87</v>
      </c>
      <c r="I1510" s="33">
        <v>10545</v>
      </c>
      <c r="K1510" t="b">
        <f>QHPSelections2016[[#This Row],[County Name]]=P1510</f>
        <v>1</v>
      </c>
      <c r="L1510" t="b">
        <f>QHPSelections2016[[#This Row],[Silver]]=S1510</f>
        <v>1</v>
      </c>
      <c r="N1510">
        <v>34035</v>
      </c>
      <c r="O1510" t="s">
        <v>3649</v>
      </c>
      <c r="P1510" t="s">
        <v>2813</v>
      </c>
      <c r="Q1510">
        <v>253</v>
      </c>
      <c r="R1510">
        <v>900</v>
      </c>
      <c r="S1510" s="51">
        <v>7574</v>
      </c>
      <c r="T1510" s="51">
        <v>1731</v>
      </c>
      <c r="U1510">
        <v>87</v>
      </c>
      <c r="V1510" s="51">
        <v>10545</v>
      </c>
    </row>
    <row r="1511" spans="1:22">
      <c r="A1511" s="32" t="s">
        <v>3680</v>
      </c>
      <c r="B1511" s="32" t="s">
        <v>3649</v>
      </c>
      <c r="C1511" s="32" t="s">
        <v>1908</v>
      </c>
      <c r="D1511" s="33">
        <v>62</v>
      </c>
      <c r="E1511" s="33">
        <v>415</v>
      </c>
      <c r="F1511" s="33">
        <v>3874</v>
      </c>
      <c r="G1511" s="33">
        <v>714</v>
      </c>
      <c r="H1511" s="33">
        <v>25</v>
      </c>
      <c r="I1511" s="33">
        <v>5090</v>
      </c>
      <c r="K1511" t="b">
        <f>QHPSelections2016[[#This Row],[County Name]]=P1511</f>
        <v>1</v>
      </c>
      <c r="L1511" t="b">
        <f>QHPSelections2016[[#This Row],[Silver]]=S1511</f>
        <v>1</v>
      </c>
      <c r="N1511">
        <v>34037</v>
      </c>
      <c r="O1511" t="s">
        <v>3649</v>
      </c>
      <c r="P1511" t="s">
        <v>1908</v>
      </c>
      <c r="Q1511">
        <v>62</v>
      </c>
      <c r="R1511">
        <v>415</v>
      </c>
      <c r="S1511" s="51">
        <v>3874</v>
      </c>
      <c r="T1511">
        <v>714</v>
      </c>
      <c r="U1511">
        <v>25</v>
      </c>
      <c r="V1511" s="51">
        <v>5090</v>
      </c>
    </row>
    <row r="1512" spans="1:22">
      <c r="A1512" s="32" t="s">
        <v>3681</v>
      </c>
      <c r="B1512" s="32" t="s">
        <v>3649</v>
      </c>
      <c r="C1512" s="32" t="s">
        <v>1149</v>
      </c>
      <c r="D1512" s="33">
        <v>306</v>
      </c>
      <c r="E1512" s="33">
        <v>1038</v>
      </c>
      <c r="F1512" s="33">
        <v>12431</v>
      </c>
      <c r="G1512" s="33">
        <v>2835</v>
      </c>
      <c r="H1512" s="33">
        <v>157</v>
      </c>
      <c r="I1512" s="33">
        <v>16767</v>
      </c>
      <c r="K1512" t="b">
        <f>QHPSelections2016[[#This Row],[County Name]]=P1512</f>
        <v>1</v>
      </c>
      <c r="L1512" t="b">
        <f>QHPSelections2016[[#This Row],[Silver]]=S1512</f>
        <v>1</v>
      </c>
      <c r="N1512">
        <v>34039</v>
      </c>
      <c r="O1512" t="s">
        <v>3649</v>
      </c>
      <c r="P1512" t="s">
        <v>1149</v>
      </c>
      <c r="Q1512">
        <v>306</v>
      </c>
      <c r="R1512" s="51">
        <v>1038</v>
      </c>
      <c r="S1512" s="51">
        <v>12431</v>
      </c>
      <c r="T1512" s="51">
        <v>2835</v>
      </c>
      <c r="U1512">
        <v>157</v>
      </c>
      <c r="V1512" s="51">
        <v>16767</v>
      </c>
    </row>
    <row r="1513" spans="1:22">
      <c r="A1513" s="32" t="s">
        <v>3682</v>
      </c>
      <c r="B1513" s="32" t="s">
        <v>3649</v>
      </c>
      <c r="C1513" s="32" t="s">
        <v>1205</v>
      </c>
      <c r="D1513" s="33" t="s">
        <v>1639</v>
      </c>
      <c r="E1513" s="33">
        <v>239</v>
      </c>
      <c r="F1513" s="33">
        <v>2530</v>
      </c>
      <c r="G1513" s="33">
        <v>549</v>
      </c>
      <c r="H1513" s="33" t="s">
        <v>1639</v>
      </c>
      <c r="I1513" s="33">
        <v>3386</v>
      </c>
      <c r="K1513" t="b">
        <f>QHPSelections2016[[#This Row],[County Name]]=P1513</f>
        <v>1</v>
      </c>
      <c r="L1513" t="b">
        <f>QHPSelections2016[[#This Row],[Silver]]=S1513</f>
        <v>1</v>
      </c>
      <c r="N1513">
        <v>34041</v>
      </c>
      <c r="O1513" t="s">
        <v>3649</v>
      </c>
      <c r="P1513" t="s">
        <v>1205</v>
      </c>
      <c r="R1513">
        <v>239</v>
      </c>
      <c r="S1513" s="51">
        <v>2530</v>
      </c>
      <c r="T1513">
        <v>549</v>
      </c>
      <c r="V1513" s="51">
        <v>3386</v>
      </c>
    </row>
    <row r="1514" spans="1:22">
      <c r="A1514" s="32" t="s">
        <v>3683</v>
      </c>
      <c r="B1514" s="32" t="s">
        <v>3684</v>
      </c>
      <c r="C1514" s="32" t="s">
        <v>3685</v>
      </c>
      <c r="D1514" s="33">
        <v>146</v>
      </c>
      <c r="E1514" s="33">
        <v>2949</v>
      </c>
      <c r="F1514" s="33">
        <v>10949</v>
      </c>
      <c r="G1514" s="33">
        <v>4072</v>
      </c>
      <c r="H1514" s="33">
        <v>156</v>
      </c>
      <c r="I1514" s="33">
        <v>18272</v>
      </c>
      <c r="K1514" t="b">
        <f>QHPSelections2016[[#This Row],[County Name]]=P1514</f>
        <v>1</v>
      </c>
      <c r="L1514" t="b">
        <f>QHPSelections2016[[#This Row],[Silver]]=S1514</f>
        <v>1</v>
      </c>
      <c r="N1514">
        <v>35001</v>
      </c>
      <c r="O1514" t="s">
        <v>3684</v>
      </c>
      <c r="P1514" t="s">
        <v>3685</v>
      </c>
      <c r="Q1514">
        <v>146</v>
      </c>
      <c r="R1514" s="51">
        <v>2949</v>
      </c>
      <c r="S1514" s="51">
        <v>10949</v>
      </c>
      <c r="T1514" s="51">
        <v>4072</v>
      </c>
      <c r="U1514">
        <v>156</v>
      </c>
      <c r="V1514" s="51">
        <v>18272</v>
      </c>
    </row>
    <row r="1515" spans="1:22">
      <c r="A1515" s="32" t="s">
        <v>3686</v>
      </c>
      <c r="B1515" s="32" t="s">
        <v>3684</v>
      </c>
      <c r="C1515" s="32" t="s">
        <v>3687</v>
      </c>
      <c r="D1515" s="33">
        <v>0</v>
      </c>
      <c r="E1515" s="33" t="s">
        <v>1639</v>
      </c>
      <c r="F1515" s="33">
        <v>88</v>
      </c>
      <c r="G1515" s="33">
        <v>32</v>
      </c>
      <c r="H1515" s="33" t="s">
        <v>1639</v>
      </c>
      <c r="I1515" s="33">
        <v>129</v>
      </c>
      <c r="K1515" t="b">
        <f>QHPSelections2016[[#This Row],[County Name]]=P1515</f>
        <v>1</v>
      </c>
      <c r="L1515" t="b">
        <f>QHPSelections2016[[#This Row],[Silver]]=S1515</f>
        <v>1</v>
      </c>
      <c r="N1515">
        <v>35003</v>
      </c>
      <c r="O1515" t="s">
        <v>3684</v>
      </c>
      <c r="P1515" t="s">
        <v>3687</v>
      </c>
      <c r="Q1515">
        <v>0</v>
      </c>
      <c r="S1515">
        <v>88</v>
      </c>
      <c r="T1515">
        <v>32</v>
      </c>
      <c r="V1515">
        <v>129</v>
      </c>
    </row>
    <row r="1516" spans="1:22">
      <c r="A1516" s="32" t="s">
        <v>3688</v>
      </c>
      <c r="B1516" s="32" t="s">
        <v>3684</v>
      </c>
      <c r="C1516" s="32" t="s">
        <v>3689</v>
      </c>
      <c r="D1516" s="33" t="s">
        <v>1639</v>
      </c>
      <c r="E1516" s="33">
        <v>183</v>
      </c>
      <c r="F1516" s="33">
        <v>1127</v>
      </c>
      <c r="G1516" s="33">
        <v>353</v>
      </c>
      <c r="H1516" s="33" t="s">
        <v>1639</v>
      </c>
      <c r="I1516" s="33">
        <v>1675</v>
      </c>
      <c r="K1516" t="b">
        <f>QHPSelections2016[[#This Row],[County Name]]=P1516</f>
        <v>1</v>
      </c>
      <c r="L1516" t="b">
        <f>QHPSelections2016[[#This Row],[Silver]]=S1516</f>
        <v>1</v>
      </c>
      <c r="N1516">
        <v>35005</v>
      </c>
      <c r="O1516" t="s">
        <v>3684</v>
      </c>
      <c r="P1516" t="s">
        <v>3689</v>
      </c>
      <c r="R1516">
        <v>183</v>
      </c>
      <c r="S1516" s="51">
        <v>1127</v>
      </c>
      <c r="T1516">
        <v>353</v>
      </c>
      <c r="V1516" s="51">
        <v>1675</v>
      </c>
    </row>
    <row r="1517" spans="1:22">
      <c r="A1517" s="32" t="s">
        <v>3690</v>
      </c>
      <c r="B1517" s="32" t="s">
        <v>3684</v>
      </c>
      <c r="C1517" s="32" t="s">
        <v>3691</v>
      </c>
      <c r="D1517" s="33" t="s">
        <v>1639</v>
      </c>
      <c r="E1517" s="33">
        <v>35</v>
      </c>
      <c r="F1517" s="33">
        <v>139</v>
      </c>
      <c r="G1517" s="33">
        <v>116</v>
      </c>
      <c r="H1517" s="33" t="s">
        <v>1639</v>
      </c>
      <c r="I1517" s="33">
        <v>296</v>
      </c>
      <c r="K1517" t="b">
        <f>QHPSelections2016[[#This Row],[County Name]]=P1517</f>
        <v>1</v>
      </c>
      <c r="L1517" t="b">
        <f>QHPSelections2016[[#This Row],[Silver]]=S1517</f>
        <v>1</v>
      </c>
      <c r="N1517">
        <v>35006</v>
      </c>
      <c r="O1517" t="s">
        <v>3684</v>
      </c>
      <c r="P1517" t="s">
        <v>3691</v>
      </c>
      <c r="R1517">
        <v>35</v>
      </c>
      <c r="S1517">
        <v>139</v>
      </c>
      <c r="T1517">
        <v>116</v>
      </c>
      <c r="V1517">
        <v>296</v>
      </c>
    </row>
    <row r="1518" spans="1:22">
      <c r="A1518" s="32" t="s">
        <v>3692</v>
      </c>
      <c r="B1518" s="32" t="s">
        <v>3684</v>
      </c>
      <c r="C1518" s="32" t="s">
        <v>3520</v>
      </c>
      <c r="D1518" s="33" t="s">
        <v>1639</v>
      </c>
      <c r="E1518" s="33">
        <v>38</v>
      </c>
      <c r="F1518" s="33">
        <v>281</v>
      </c>
      <c r="G1518" s="33">
        <v>119</v>
      </c>
      <c r="H1518" s="33" t="s">
        <v>1639</v>
      </c>
      <c r="I1518" s="33">
        <v>445</v>
      </c>
      <c r="K1518" t="b">
        <f>QHPSelections2016[[#This Row],[County Name]]=P1518</f>
        <v>1</v>
      </c>
      <c r="L1518" t="b">
        <f>QHPSelections2016[[#This Row],[Silver]]=S1518</f>
        <v>1</v>
      </c>
      <c r="N1518">
        <v>35007</v>
      </c>
      <c r="O1518" t="s">
        <v>3684</v>
      </c>
      <c r="P1518" t="s">
        <v>3520</v>
      </c>
      <c r="R1518">
        <v>38</v>
      </c>
      <c r="S1518">
        <v>281</v>
      </c>
      <c r="T1518">
        <v>119</v>
      </c>
      <c r="V1518">
        <v>445</v>
      </c>
    </row>
    <row r="1519" spans="1:22">
      <c r="A1519" s="32" t="s">
        <v>3693</v>
      </c>
      <c r="B1519" s="32" t="s">
        <v>3684</v>
      </c>
      <c r="C1519" s="32" t="s">
        <v>3694</v>
      </c>
      <c r="D1519" s="33" t="s">
        <v>1639</v>
      </c>
      <c r="E1519" s="33">
        <v>181</v>
      </c>
      <c r="F1519" s="33">
        <v>720</v>
      </c>
      <c r="G1519" s="33">
        <v>196</v>
      </c>
      <c r="H1519" s="33" t="s">
        <v>1639</v>
      </c>
      <c r="I1519" s="33">
        <v>1111</v>
      </c>
      <c r="K1519" t="b">
        <f>QHPSelections2016[[#This Row],[County Name]]=P1519</f>
        <v>1</v>
      </c>
      <c r="L1519" t="b">
        <f>QHPSelections2016[[#This Row],[Silver]]=S1519</f>
        <v>1</v>
      </c>
      <c r="N1519">
        <v>35009</v>
      </c>
      <c r="O1519" t="s">
        <v>3684</v>
      </c>
      <c r="P1519" t="s">
        <v>3694</v>
      </c>
      <c r="R1519">
        <v>181</v>
      </c>
      <c r="S1519">
        <v>720</v>
      </c>
      <c r="T1519">
        <v>196</v>
      </c>
      <c r="V1519" s="51">
        <v>1111</v>
      </c>
    </row>
    <row r="1520" spans="1:22">
      <c r="A1520" s="32" t="s">
        <v>3695</v>
      </c>
      <c r="B1520" s="32" t="s">
        <v>3684</v>
      </c>
      <c r="C1520" s="32" t="s">
        <v>3696</v>
      </c>
      <c r="D1520" s="33" t="s">
        <v>1639</v>
      </c>
      <c r="E1520" s="33">
        <v>18</v>
      </c>
      <c r="F1520" s="33">
        <v>40</v>
      </c>
      <c r="G1520" s="33" t="s">
        <v>1639</v>
      </c>
      <c r="H1520" s="33">
        <v>0</v>
      </c>
      <c r="I1520" s="33">
        <v>62</v>
      </c>
      <c r="K1520" t="b">
        <f>QHPSelections2016[[#This Row],[County Name]]=P1520</f>
        <v>1</v>
      </c>
      <c r="L1520" t="b">
        <f>QHPSelections2016[[#This Row],[Silver]]=S1520</f>
        <v>1</v>
      </c>
      <c r="N1520">
        <v>35011</v>
      </c>
      <c r="O1520" t="s">
        <v>3684</v>
      </c>
      <c r="P1520" t="s">
        <v>3696</v>
      </c>
      <c r="R1520">
        <v>18</v>
      </c>
      <c r="S1520">
        <v>40</v>
      </c>
      <c r="U1520">
        <v>0</v>
      </c>
      <c r="V1520">
        <v>62</v>
      </c>
    </row>
    <row r="1521" spans="1:22">
      <c r="A1521" s="32" t="s">
        <v>3697</v>
      </c>
      <c r="B1521" s="32" t="s">
        <v>3684</v>
      </c>
      <c r="C1521" s="32" t="s">
        <v>3698</v>
      </c>
      <c r="D1521" s="33">
        <v>26</v>
      </c>
      <c r="E1521" s="33">
        <v>977</v>
      </c>
      <c r="F1521" s="33">
        <v>4262</v>
      </c>
      <c r="G1521" s="33">
        <v>1169</v>
      </c>
      <c r="H1521" s="33">
        <v>32</v>
      </c>
      <c r="I1521" s="33">
        <v>6466</v>
      </c>
      <c r="K1521" t="b">
        <f>QHPSelections2016[[#This Row],[County Name]]=P1521</f>
        <v>1</v>
      </c>
      <c r="L1521" t="b">
        <f>QHPSelections2016[[#This Row],[Silver]]=S1521</f>
        <v>1</v>
      </c>
      <c r="N1521">
        <v>35013</v>
      </c>
      <c r="O1521" t="s">
        <v>3684</v>
      </c>
      <c r="P1521" t="s">
        <v>3698</v>
      </c>
      <c r="Q1521">
        <v>26</v>
      </c>
      <c r="R1521">
        <v>977</v>
      </c>
      <c r="S1521" s="51">
        <v>4262</v>
      </c>
      <c r="T1521" s="51">
        <v>1169</v>
      </c>
      <c r="U1521">
        <v>32</v>
      </c>
      <c r="V1521" s="51">
        <v>6466</v>
      </c>
    </row>
    <row r="1522" spans="1:22">
      <c r="A1522" s="32" t="s">
        <v>3699</v>
      </c>
      <c r="B1522" s="32" t="s">
        <v>3684</v>
      </c>
      <c r="C1522" s="32" t="s">
        <v>3428</v>
      </c>
      <c r="D1522" s="33" t="s">
        <v>1639</v>
      </c>
      <c r="E1522" s="33">
        <v>256</v>
      </c>
      <c r="F1522" s="33">
        <v>825</v>
      </c>
      <c r="G1522" s="33">
        <v>298</v>
      </c>
      <c r="H1522" s="33" t="s">
        <v>1639</v>
      </c>
      <c r="I1522" s="33">
        <v>1398</v>
      </c>
      <c r="K1522" t="b">
        <f>QHPSelections2016[[#This Row],[County Name]]=P1522</f>
        <v>1</v>
      </c>
      <c r="L1522" t="b">
        <f>QHPSelections2016[[#This Row],[Silver]]=S1522</f>
        <v>1</v>
      </c>
      <c r="N1522">
        <v>35015</v>
      </c>
      <c r="O1522" t="s">
        <v>3684</v>
      </c>
      <c r="P1522" t="s">
        <v>3428</v>
      </c>
      <c r="R1522">
        <v>256</v>
      </c>
      <c r="S1522">
        <v>825</v>
      </c>
      <c r="T1522">
        <v>298</v>
      </c>
      <c r="V1522" s="51">
        <v>1398</v>
      </c>
    </row>
    <row r="1523" spans="1:22">
      <c r="A1523" s="32" t="s">
        <v>3700</v>
      </c>
      <c r="B1523" s="32" t="s">
        <v>3684</v>
      </c>
      <c r="C1523" s="32" t="s">
        <v>1803</v>
      </c>
      <c r="D1523" s="33" t="s">
        <v>1639</v>
      </c>
      <c r="E1523" s="33">
        <v>78</v>
      </c>
      <c r="F1523" s="33">
        <v>413</v>
      </c>
      <c r="G1523" s="33">
        <v>212</v>
      </c>
      <c r="H1523" s="33" t="s">
        <v>1639</v>
      </c>
      <c r="I1523" s="33">
        <v>711</v>
      </c>
      <c r="K1523" t="b">
        <f>QHPSelections2016[[#This Row],[County Name]]=P1523</f>
        <v>1</v>
      </c>
      <c r="L1523" t="b">
        <f>QHPSelections2016[[#This Row],[Silver]]=S1523</f>
        <v>1</v>
      </c>
      <c r="N1523">
        <v>35017</v>
      </c>
      <c r="O1523" t="s">
        <v>3684</v>
      </c>
      <c r="P1523" t="s">
        <v>1803</v>
      </c>
      <c r="R1523">
        <v>78</v>
      </c>
      <c r="S1523">
        <v>413</v>
      </c>
      <c r="T1523">
        <v>212</v>
      </c>
      <c r="V1523">
        <v>711</v>
      </c>
    </row>
    <row r="1524" spans="1:22">
      <c r="A1524" s="32" t="s">
        <v>3701</v>
      </c>
      <c r="B1524" s="32" t="s">
        <v>3684</v>
      </c>
      <c r="C1524" s="32" t="s">
        <v>1262</v>
      </c>
      <c r="D1524" s="33">
        <v>0</v>
      </c>
      <c r="E1524" s="33">
        <v>21</v>
      </c>
      <c r="F1524" s="33">
        <v>72</v>
      </c>
      <c r="G1524" s="33">
        <v>49</v>
      </c>
      <c r="H1524" s="33">
        <v>0</v>
      </c>
      <c r="I1524" s="33">
        <v>142</v>
      </c>
      <c r="K1524" t="b">
        <f>QHPSelections2016[[#This Row],[County Name]]=P1524</f>
        <v>1</v>
      </c>
      <c r="L1524" t="b">
        <f>QHPSelections2016[[#This Row],[Silver]]=S1524</f>
        <v>1</v>
      </c>
      <c r="N1524">
        <v>35019</v>
      </c>
      <c r="O1524" t="s">
        <v>3684</v>
      </c>
      <c r="P1524" t="s">
        <v>1262</v>
      </c>
      <c r="Q1524">
        <v>0</v>
      </c>
      <c r="R1524">
        <v>21</v>
      </c>
      <c r="S1524">
        <v>72</v>
      </c>
      <c r="T1524">
        <v>49</v>
      </c>
      <c r="U1524">
        <v>0</v>
      </c>
      <c r="V1524">
        <v>142</v>
      </c>
    </row>
    <row r="1525" spans="1:22">
      <c r="A1525" s="32" t="s">
        <v>3702</v>
      </c>
      <c r="B1525" s="32" t="s">
        <v>3684</v>
      </c>
      <c r="C1525" s="32" t="s">
        <v>3703</v>
      </c>
      <c r="D1525" s="33">
        <v>0</v>
      </c>
      <c r="E1525" s="33" t="s">
        <v>1639</v>
      </c>
      <c r="F1525" s="33">
        <v>13</v>
      </c>
      <c r="G1525" s="33" t="s">
        <v>1639</v>
      </c>
      <c r="H1525" s="33">
        <v>0</v>
      </c>
      <c r="I1525" s="33">
        <v>18</v>
      </c>
      <c r="K1525" t="b">
        <f>QHPSelections2016[[#This Row],[County Name]]=P1525</f>
        <v>1</v>
      </c>
      <c r="L1525" t="b">
        <f>QHPSelections2016[[#This Row],[Silver]]=S1525</f>
        <v>1</v>
      </c>
      <c r="N1525">
        <v>35021</v>
      </c>
      <c r="O1525" t="s">
        <v>3684</v>
      </c>
      <c r="P1525" t="s">
        <v>3703</v>
      </c>
      <c r="Q1525">
        <v>0</v>
      </c>
      <c r="S1525">
        <v>13</v>
      </c>
      <c r="U1525">
        <v>0</v>
      </c>
      <c r="V1525">
        <v>18</v>
      </c>
    </row>
    <row r="1526" spans="1:22">
      <c r="A1526" s="32" t="s">
        <v>3704</v>
      </c>
      <c r="B1526" s="32" t="s">
        <v>3684</v>
      </c>
      <c r="C1526" s="32" t="s">
        <v>1279</v>
      </c>
      <c r="D1526" s="33" t="s">
        <v>1639</v>
      </c>
      <c r="E1526" s="33">
        <v>12</v>
      </c>
      <c r="F1526" s="33">
        <v>60</v>
      </c>
      <c r="G1526" s="33">
        <v>23</v>
      </c>
      <c r="H1526" s="33" t="s">
        <v>1639</v>
      </c>
      <c r="I1526" s="33">
        <v>97</v>
      </c>
      <c r="K1526" t="b">
        <f>QHPSelections2016[[#This Row],[County Name]]=P1526</f>
        <v>1</v>
      </c>
      <c r="L1526" t="b">
        <f>QHPSelections2016[[#This Row],[Silver]]=S1526</f>
        <v>1</v>
      </c>
      <c r="N1526">
        <v>35023</v>
      </c>
      <c r="O1526" t="s">
        <v>3684</v>
      </c>
      <c r="P1526" t="s">
        <v>1279</v>
      </c>
      <c r="R1526">
        <v>12</v>
      </c>
      <c r="S1526">
        <v>60</v>
      </c>
      <c r="T1526">
        <v>23</v>
      </c>
      <c r="V1526">
        <v>97</v>
      </c>
    </row>
    <row r="1527" spans="1:22">
      <c r="A1527" s="32" t="s">
        <v>3705</v>
      </c>
      <c r="B1527" s="32" t="s">
        <v>3684</v>
      </c>
      <c r="C1527" s="32" t="s">
        <v>3706</v>
      </c>
      <c r="D1527" s="33" t="s">
        <v>1639</v>
      </c>
      <c r="E1527" s="33">
        <v>241</v>
      </c>
      <c r="F1527" s="33">
        <v>927</v>
      </c>
      <c r="G1527" s="33">
        <v>331</v>
      </c>
      <c r="H1527" s="33" t="s">
        <v>1639</v>
      </c>
      <c r="I1527" s="33">
        <v>1521</v>
      </c>
      <c r="K1527" t="b">
        <f>QHPSelections2016[[#This Row],[County Name]]=P1527</f>
        <v>1</v>
      </c>
      <c r="L1527" t="b">
        <f>QHPSelections2016[[#This Row],[Silver]]=S1527</f>
        <v>1</v>
      </c>
      <c r="N1527">
        <v>35025</v>
      </c>
      <c r="O1527" t="s">
        <v>3684</v>
      </c>
      <c r="P1527" t="s">
        <v>3706</v>
      </c>
      <c r="R1527">
        <v>241</v>
      </c>
      <c r="S1527">
        <v>927</v>
      </c>
      <c r="T1527">
        <v>331</v>
      </c>
      <c r="V1527" s="51">
        <v>1521</v>
      </c>
    </row>
    <row r="1528" spans="1:22">
      <c r="A1528" s="32" t="s">
        <v>3707</v>
      </c>
      <c r="B1528" s="32" t="s">
        <v>3684</v>
      </c>
      <c r="C1528" s="32" t="s">
        <v>1051</v>
      </c>
      <c r="D1528" s="33" t="s">
        <v>1639</v>
      </c>
      <c r="E1528" s="33">
        <v>108</v>
      </c>
      <c r="F1528" s="33">
        <v>608</v>
      </c>
      <c r="G1528" s="33">
        <v>171</v>
      </c>
      <c r="H1528" s="33" t="s">
        <v>1639</v>
      </c>
      <c r="I1528" s="33">
        <v>889</v>
      </c>
      <c r="K1528" t="b">
        <f>QHPSelections2016[[#This Row],[County Name]]=P1528</f>
        <v>1</v>
      </c>
      <c r="L1528" t="b">
        <f>QHPSelections2016[[#This Row],[Silver]]=S1528</f>
        <v>1</v>
      </c>
      <c r="N1528">
        <v>35027</v>
      </c>
      <c r="O1528" t="s">
        <v>3684</v>
      </c>
      <c r="P1528" t="s">
        <v>1051</v>
      </c>
      <c r="R1528">
        <v>108</v>
      </c>
      <c r="S1528">
        <v>608</v>
      </c>
      <c r="T1528">
        <v>171</v>
      </c>
      <c r="V1528">
        <v>889</v>
      </c>
    </row>
    <row r="1529" spans="1:22">
      <c r="A1529" s="32" t="s">
        <v>3708</v>
      </c>
      <c r="B1529" s="32" t="s">
        <v>3684</v>
      </c>
      <c r="C1529" s="32" t="s">
        <v>3709</v>
      </c>
      <c r="D1529" s="33" t="s">
        <v>1639</v>
      </c>
      <c r="E1529" s="33">
        <v>49</v>
      </c>
      <c r="F1529" s="33">
        <v>191</v>
      </c>
      <c r="G1529" s="33">
        <v>62</v>
      </c>
      <c r="H1529" s="33" t="s">
        <v>1639</v>
      </c>
      <c r="I1529" s="33">
        <v>311</v>
      </c>
      <c r="K1529" t="b">
        <f>QHPSelections2016[[#This Row],[County Name]]=P1529</f>
        <v>1</v>
      </c>
      <c r="L1529" t="b">
        <f>QHPSelections2016[[#This Row],[Silver]]=S1529</f>
        <v>1</v>
      </c>
      <c r="N1529">
        <v>35028</v>
      </c>
      <c r="O1529" t="s">
        <v>3684</v>
      </c>
      <c r="P1529" t="s">
        <v>3709</v>
      </c>
      <c r="R1529">
        <v>49</v>
      </c>
      <c r="S1529">
        <v>191</v>
      </c>
      <c r="T1529">
        <v>62</v>
      </c>
      <c r="V1529">
        <v>311</v>
      </c>
    </row>
    <row r="1530" spans="1:22">
      <c r="A1530" s="32" t="s">
        <v>3710</v>
      </c>
      <c r="B1530" s="32" t="s">
        <v>3684</v>
      </c>
      <c r="C1530" s="32" t="s">
        <v>3711</v>
      </c>
      <c r="D1530" s="33" t="s">
        <v>1639</v>
      </c>
      <c r="E1530" s="33">
        <v>51</v>
      </c>
      <c r="F1530" s="33">
        <v>361</v>
      </c>
      <c r="G1530" s="33">
        <v>132</v>
      </c>
      <c r="H1530" s="33" t="s">
        <v>1639</v>
      </c>
      <c r="I1530" s="33">
        <v>549</v>
      </c>
      <c r="K1530" t="b">
        <f>QHPSelections2016[[#This Row],[County Name]]=P1530</f>
        <v>1</v>
      </c>
      <c r="L1530" t="b">
        <f>QHPSelections2016[[#This Row],[Silver]]=S1530</f>
        <v>1</v>
      </c>
      <c r="N1530">
        <v>35029</v>
      </c>
      <c r="O1530" t="s">
        <v>3684</v>
      </c>
      <c r="P1530" t="s">
        <v>3711</v>
      </c>
      <c r="R1530">
        <v>51</v>
      </c>
      <c r="S1530">
        <v>361</v>
      </c>
      <c r="T1530">
        <v>132</v>
      </c>
      <c r="V1530">
        <v>549</v>
      </c>
    </row>
    <row r="1531" spans="1:22">
      <c r="A1531" s="32" t="s">
        <v>3712</v>
      </c>
      <c r="B1531" s="32" t="s">
        <v>3684</v>
      </c>
      <c r="C1531" s="32" t="s">
        <v>3713</v>
      </c>
      <c r="D1531" s="33" t="s">
        <v>1639</v>
      </c>
      <c r="E1531" s="33">
        <v>113</v>
      </c>
      <c r="F1531" s="33">
        <v>279</v>
      </c>
      <c r="G1531" s="33">
        <v>192</v>
      </c>
      <c r="H1531" s="33" t="s">
        <v>1639</v>
      </c>
      <c r="I1531" s="33">
        <v>592</v>
      </c>
      <c r="K1531" t="b">
        <f>QHPSelections2016[[#This Row],[County Name]]=P1531</f>
        <v>1</v>
      </c>
      <c r="L1531" t="b">
        <f>QHPSelections2016[[#This Row],[Silver]]=S1531</f>
        <v>1</v>
      </c>
      <c r="N1531">
        <v>35031</v>
      </c>
      <c r="O1531" t="s">
        <v>3684</v>
      </c>
      <c r="P1531" t="s">
        <v>3713</v>
      </c>
      <c r="R1531">
        <v>113</v>
      </c>
      <c r="S1531">
        <v>279</v>
      </c>
      <c r="T1531">
        <v>192</v>
      </c>
      <c r="V1531">
        <v>592</v>
      </c>
    </row>
    <row r="1532" spans="1:22">
      <c r="A1532" s="32" t="s">
        <v>3714</v>
      </c>
      <c r="B1532" s="32" t="s">
        <v>3684</v>
      </c>
      <c r="C1532" s="32" t="s">
        <v>3715</v>
      </c>
      <c r="D1532" s="33" t="s">
        <v>1639</v>
      </c>
      <c r="E1532" s="33">
        <v>22</v>
      </c>
      <c r="F1532" s="33">
        <v>93</v>
      </c>
      <c r="G1532" s="33">
        <v>34</v>
      </c>
      <c r="H1532" s="33" t="s">
        <v>1639</v>
      </c>
      <c r="I1532" s="33">
        <v>151</v>
      </c>
      <c r="K1532" t="b">
        <f>QHPSelections2016[[#This Row],[County Name]]=P1532</f>
        <v>1</v>
      </c>
      <c r="L1532" t="b">
        <f>QHPSelections2016[[#This Row],[Silver]]=S1532</f>
        <v>1</v>
      </c>
      <c r="N1532">
        <v>35033</v>
      </c>
      <c r="O1532" t="s">
        <v>3684</v>
      </c>
      <c r="P1532" t="s">
        <v>3715</v>
      </c>
      <c r="R1532">
        <v>22</v>
      </c>
      <c r="S1532">
        <v>93</v>
      </c>
      <c r="T1532">
        <v>34</v>
      </c>
      <c r="V1532">
        <v>151</v>
      </c>
    </row>
    <row r="1533" spans="1:22">
      <c r="A1533" s="32" t="s">
        <v>3716</v>
      </c>
      <c r="B1533" s="32" t="s">
        <v>3684</v>
      </c>
      <c r="C1533" s="32" t="s">
        <v>3717</v>
      </c>
      <c r="D1533" s="33" t="s">
        <v>1639</v>
      </c>
      <c r="E1533" s="33">
        <v>222</v>
      </c>
      <c r="F1533" s="33">
        <v>829</v>
      </c>
      <c r="G1533" s="33">
        <v>273</v>
      </c>
      <c r="H1533" s="33" t="s">
        <v>1639</v>
      </c>
      <c r="I1533" s="33">
        <v>1337</v>
      </c>
      <c r="K1533" t="b">
        <f>QHPSelections2016[[#This Row],[County Name]]=P1533</f>
        <v>1</v>
      </c>
      <c r="L1533" t="b">
        <f>QHPSelections2016[[#This Row],[Silver]]=S1533</f>
        <v>1</v>
      </c>
      <c r="N1533">
        <v>35035</v>
      </c>
      <c r="O1533" t="s">
        <v>3684</v>
      </c>
      <c r="P1533" t="s">
        <v>3717</v>
      </c>
      <c r="R1533">
        <v>222</v>
      </c>
      <c r="S1533">
        <v>829</v>
      </c>
      <c r="T1533">
        <v>273</v>
      </c>
      <c r="V1533" s="51">
        <v>1337</v>
      </c>
    </row>
    <row r="1534" spans="1:22">
      <c r="A1534" s="32" t="s">
        <v>3718</v>
      </c>
      <c r="B1534" s="32" t="s">
        <v>3684</v>
      </c>
      <c r="C1534" s="32" t="s">
        <v>3719</v>
      </c>
      <c r="D1534" s="33" t="s">
        <v>1639</v>
      </c>
      <c r="E1534" s="33">
        <v>23</v>
      </c>
      <c r="F1534" s="33">
        <v>155</v>
      </c>
      <c r="G1534" s="33">
        <v>66</v>
      </c>
      <c r="H1534" s="33" t="s">
        <v>1639</v>
      </c>
      <c r="I1534" s="33">
        <v>247</v>
      </c>
      <c r="K1534" t="b">
        <f>QHPSelections2016[[#This Row],[County Name]]=P1534</f>
        <v>1</v>
      </c>
      <c r="L1534" t="b">
        <f>QHPSelections2016[[#This Row],[Silver]]=S1534</f>
        <v>1</v>
      </c>
      <c r="N1534">
        <v>35037</v>
      </c>
      <c r="O1534" t="s">
        <v>3684</v>
      </c>
      <c r="P1534" t="s">
        <v>3719</v>
      </c>
      <c r="R1534">
        <v>23</v>
      </c>
      <c r="S1534">
        <v>155</v>
      </c>
      <c r="T1534">
        <v>66</v>
      </c>
      <c r="V1534">
        <v>247</v>
      </c>
    </row>
    <row r="1535" spans="1:22">
      <c r="A1535" s="32" t="s">
        <v>3720</v>
      </c>
      <c r="B1535" s="32" t="s">
        <v>3684</v>
      </c>
      <c r="C1535" s="32" t="s">
        <v>3721</v>
      </c>
      <c r="D1535" s="33" t="s">
        <v>1639</v>
      </c>
      <c r="E1535" s="33">
        <v>68</v>
      </c>
      <c r="F1535" s="33">
        <v>505</v>
      </c>
      <c r="G1535" s="33">
        <v>238</v>
      </c>
      <c r="H1535" s="33" t="s">
        <v>1639</v>
      </c>
      <c r="I1535" s="33">
        <v>819</v>
      </c>
      <c r="K1535" t="b">
        <f>QHPSelections2016[[#This Row],[County Name]]=P1535</f>
        <v>1</v>
      </c>
      <c r="L1535" t="b">
        <f>QHPSelections2016[[#This Row],[Silver]]=S1535</f>
        <v>1</v>
      </c>
      <c r="N1535">
        <v>35039</v>
      </c>
      <c r="O1535" t="s">
        <v>3684</v>
      </c>
      <c r="P1535" t="s">
        <v>3721</v>
      </c>
      <c r="R1535">
        <v>68</v>
      </c>
      <c r="S1535">
        <v>505</v>
      </c>
      <c r="T1535">
        <v>238</v>
      </c>
      <c r="V1535">
        <v>819</v>
      </c>
    </row>
    <row r="1536" spans="1:22">
      <c r="A1536" s="32" t="s">
        <v>3722</v>
      </c>
      <c r="B1536" s="32" t="s">
        <v>3684</v>
      </c>
      <c r="C1536" s="32" t="s">
        <v>3277</v>
      </c>
      <c r="D1536" s="33" t="s">
        <v>1639</v>
      </c>
      <c r="E1536" s="33">
        <v>59</v>
      </c>
      <c r="F1536" s="33">
        <v>267</v>
      </c>
      <c r="G1536" s="33">
        <v>96</v>
      </c>
      <c r="H1536" s="33" t="s">
        <v>1639</v>
      </c>
      <c r="I1536" s="33">
        <v>428</v>
      </c>
      <c r="K1536" t="b">
        <f>QHPSelections2016[[#This Row],[County Name]]=P1536</f>
        <v>1</v>
      </c>
      <c r="L1536" t="b">
        <f>QHPSelections2016[[#This Row],[Silver]]=S1536</f>
        <v>1</v>
      </c>
      <c r="N1536">
        <v>35041</v>
      </c>
      <c r="O1536" t="s">
        <v>3684</v>
      </c>
      <c r="P1536" t="s">
        <v>3277</v>
      </c>
      <c r="R1536">
        <v>59</v>
      </c>
      <c r="S1536">
        <v>267</v>
      </c>
      <c r="T1536">
        <v>96</v>
      </c>
      <c r="V1536">
        <v>428</v>
      </c>
    </row>
    <row r="1537" spans="1:22">
      <c r="A1537" s="32" t="s">
        <v>3723</v>
      </c>
      <c r="B1537" s="32" t="s">
        <v>3684</v>
      </c>
      <c r="C1537" s="32" t="s">
        <v>3724</v>
      </c>
      <c r="D1537" s="33">
        <v>26</v>
      </c>
      <c r="E1537" s="33">
        <v>616</v>
      </c>
      <c r="F1537" s="33">
        <v>2095</v>
      </c>
      <c r="G1537" s="33">
        <v>655</v>
      </c>
      <c r="H1537" s="33">
        <v>22</v>
      </c>
      <c r="I1537" s="33">
        <v>3414</v>
      </c>
      <c r="K1537" t="b">
        <f>QHPSelections2016[[#This Row],[County Name]]=P1537</f>
        <v>0</v>
      </c>
      <c r="L1537" t="b">
        <f>QHPSelections2016[[#This Row],[Silver]]=S1537</f>
        <v>0</v>
      </c>
      <c r="N1537">
        <v>35045</v>
      </c>
      <c r="O1537" t="s">
        <v>3684</v>
      </c>
      <c r="P1537" t="s">
        <v>3726</v>
      </c>
      <c r="R1537">
        <v>176</v>
      </c>
      <c r="S1537" s="51">
        <v>1078</v>
      </c>
      <c r="T1537">
        <v>395</v>
      </c>
      <c r="V1537" s="51">
        <v>1676</v>
      </c>
    </row>
    <row r="1538" spans="1:22">
      <c r="A1538" s="32" t="s">
        <v>3725</v>
      </c>
      <c r="B1538" s="32" t="s">
        <v>3684</v>
      </c>
      <c r="C1538" s="32" t="s">
        <v>3726</v>
      </c>
      <c r="D1538" s="33" t="s">
        <v>1639</v>
      </c>
      <c r="E1538" s="33">
        <v>176</v>
      </c>
      <c r="F1538" s="33">
        <v>1078</v>
      </c>
      <c r="G1538" s="33">
        <v>395</v>
      </c>
      <c r="H1538" s="33" t="s">
        <v>1639</v>
      </c>
      <c r="I1538" s="33">
        <v>1676</v>
      </c>
      <c r="K1538" t="b">
        <f>QHPSelections2016[[#This Row],[County Name]]=P1538</f>
        <v>0</v>
      </c>
      <c r="L1538" t="b">
        <f>QHPSelections2016[[#This Row],[Silver]]=S1538</f>
        <v>0</v>
      </c>
      <c r="N1538">
        <v>35047</v>
      </c>
      <c r="O1538" t="s">
        <v>3684</v>
      </c>
      <c r="P1538" t="s">
        <v>3728</v>
      </c>
      <c r="R1538">
        <v>85</v>
      </c>
      <c r="S1538">
        <v>361</v>
      </c>
      <c r="T1538">
        <v>148</v>
      </c>
      <c r="V1538">
        <v>601</v>
      </c>
    </row>
    <row r="1539" spans="1:22">
      <c r="A1539" s="32" t="s">
        <v>3727</v>
      </c>
      <c r="B1539" s="32" t="s">
        <v>3684</v>
      </c>
      <c r="C1539" s="32" t="s">
        <v>3728</v>
      </c>
      <c r="D1539" s="33" t="s">
        <v>1639</v>
      </c>
      <c r="E1539" s="33">
        <v>85</v>
      </c>
      <c r="F1539" s="33">
        <v>361</v>
      </c>
      <c r="G1539" s="33">
        <v>148</v>
      </c>
      <c r="H1539" s="33" t="s">
        <v>1639</v>
      </c>
      <c r="I1539" s="33">
        <v>601</v>
      </c>
      <c r="K1539" t="b">
        <f>QHPSelections2016[[#This Row],[County Name]]=P1539</f>
        <v>0</v>
      </c>
      <c r="L1539" t="b">
        <f>QHPSelections2016[[#This Row],[Silver]]=S1539</f>
        <v>0</v>
      </c>
      <c r="N1539">
        <v>35043</v>
      </c>
      <c r="O1539" t="s">
        <v>3684</v>
      </c>
      <c r="P1539" t="s">
        <v>3724</v>
      </c>
      <c r="Q1539">
        <v>26</v>
      </c>
      <c r="R1539">
        <v>616</v>
      </c>
      <c r="S1539" s="51">
        <v>2095</v>
      </c>
      <c r="T1539">
        <v>655</v>
      </c>
      <c r="U1539">
        <v>22</v>
      </c>
      <c r="V1539" s="51">
        <v>3414</v>
      </c>
    </row>
    <row r="1540" spans="1:22">
      <c r="A1540" s="32" t="s">
        <v>3729</v>
      </c>
      <c r="B1540" s="32" t="s">
        <v>3684</v>
      </c>
      <c r="C1540" s="32" t="s">
        <v>3730</v>
      </c>
      <c r="D1540" s="33">
        <v>47</v>
      </c>
      <c r="E1540" s="33">
        <v>1153</v>
      </c>
      <c r="F1540" s="33">
        <v>4119</v>
      </c>
      <c r="G1540" s="33">
        <v>1809</v>
      </c>
      <c r="H1540" s="33">
        <v>40</v>
      </c>
      <c r="I1540" s="33">
        <v>7168</v>
      </c>
      <c r="K1540" t="b">
        <f>QHPSelections2016[[#This Row],[County Name]]=P1540</f>
        <v>1</v>
      </c>
      <c r="L1540" t="b">
        <f>QHPSelections2016[[#This Row],[Silver]]=S1540</f>
        <v>1</v>
      </c>
      <c r="N1540">
        <v>35049</v>
      </c>
      <c r="O1540" t="s">
        <v>3684</v>
      </c>
      <c r="P1540" t="s">
        <v>3730</v>
      </c>
      <c r="Q1540">
        <v>47</v>
      </c>
      <c r="R1540" s="51">
        <v>1153</v>
      </c>
      <c r="S1540" s="51">
        <v>4119</v>
      </c>
      <c r="T1540" s="51">
        <v>1809</v>
      </c>
      <c r="U1540">
        <v>40</v>
      </c>
      <c r="V1540" s="51">
        <v>7168</v>
      </c>
    </row>
    <row r="1541" spans="1:22">
      <c r="A1541" s="32" t="s">
        <v>3731</v>
      </c>
      <c r="B1541" s="32" t="s">
        <v>3684</v>
      </c>
      <c r="C1541" s="32" t="s">
        <v>3732</v>
      </c>
      <c r="D1541" s="33" t="s">
        <v>1639</v>
      </c>
      <c r="E1541" s="33">
        <v>24</v>
      </c>
      <c r="F1541" s="33">
        <v>171</v>
      </c>
      <c r="G1541" s="33">
        <v>63</v>
      </c>
      <c r="H1541" s="33" t="s">
        <v>1639</v>
      </c>
      <c r="I1541" s="33">
        <v>262</v>
      </c>
      <c r="K1541" t="b">
        <f>QHPSelections2016[[#This Row],[County Name]]=P1541</f>
        <v>1</v>
      </c>
      <c r="L1541" t="b">
        <f>QHPSelections2016[[#This Row],[Silver]]=S1541</f>
        <v>1</v>
      </c>
      <c r="N1541">
        <v>35051</v>
      </c>
      <c r="O1541" t="s">
        <v>3684</v>
      </c>
      <c r="P1541" t="s">
        <v>3732</v>
      </c>
      <c r="R1541">
        <v>24</v>
      </c>
      <c r="S1541">
        <v>171</v>
      </c>
      <c r="T1541">
        <v>63</v>
      </c>
      <c r="V1541">
        <v>262</v>
      </c>
    </row>
    <row r="1542" spans="1:22">
      <c r="A1542" s="32" t="s">
        <v>3733</v>
      </c>
      <c r="B1542" s="32" t="s">
        <v>3684</v>
      </c>
      <c r="C1542" s="32" t="s">
        <v>3734</v>
      </c>
      <c r="D1542" s="33" t="s">
        <v>1639</v>
      </c>
      <c r="E1542" s="33">
        <v>28</v>
      </c>
      <c r="F1542" s="33">
        <v>222</v>
      </c>
      <c r="G1542" s="33">
        <v>94</v>
      </c>
      <c r="H1542" s="33" t="s">
        <v>1639</v>
      </c>
      <c r="I1542" s="33">
        <v>349</v>
      </c>
      <c r="K1542" t="b">
        <f>QHPSelections2016[[#This Row],[County Name]]=P1542</f>
        <v>1</v>
      </c>
      <c r="L1542" t="b">
        <f>QHPSelections2016[[#This Row],[Silver]]=S1542</f>
        <v>1</v>
      </c>
      <c r="N1542">
        <v>35053</v>
      </c>
      <c r="O1542" t="s">
        <v>3684</v>
      </c>
      <c r="P1542" t="s">
        <v>3734</v>
      </c>
      <c r="R1542">
        <v>28</v>
      </c>
      <c r="S1542">
        <v>222</v>
      </c>
      <c r="T1542">
        <v>94</v>
      </c>
      <c r="V1542">
        <v>349</v>
      </c>
    </row>
    <row r="1543" spans="1:22">
      <c r="A1543" s="32" t="s">
        <v>3735</v>
      </c>
      <c r="B1543" s="32" t="s">
        <v>3684</v>
      </c>
      <c r="C1543" s="32" t="s">
        <v>3736</v>
      </c>
      <c r="D1543" s="33" t="s">
        <v>1639</v>
      </c>
      <c r="E1543" s="33">
        <v>162</v>
      </c>
      <c r="F1543" s="33">
        <v>1115</v>
      </c>
      <c r="G1543" s="33">
        <v>492</v>
      </c>
      <c r="H1543" s="33" t="s">
        <v>1639</v>
      </c>
      <c r="I1543" s="33">
        <v>1782</v>
      </c>
      <c r="K1543" t="b">
        <f>QHPSelections2016[[#This Row],[County Name]]=P1543</f>
        <v>1</v>
      </c>
      <c r="L1543" t="b">
        <f>QHPSelections2016[[#This Row],[Silver]]=S1543</f>
        <v>1</v>
      </c>
      <c r="N1543">
        <v>35055</v>
      </c>
      <c r="O1543" t="s">
        <v>3684</v>
      </c>
      <c r="P1543" t="s">
        <v>3736</v>
      </c>
      <c r="R1543">
        <v>162</v>
      </c>
      <c r="S1543" s="51">
        <v>1115</v>
      </c>
      <c r="T1543">
        <v>492</v>
      </c>
      <c r="V1543" s="51">
        <v>1782</v>
      </c>
    </row>
    <row r="1544" spans="1:22">
      <c r="A1544" s="32" t="s">
        <v>3737</v>
      </c>
      <c r="B1544" s="32" t="s">
        <v>3684</v>
      </c>
      <c r="C1544" s="32" t="s">
        <v>3738</v>
      </c>
      <c r="D1544" s="33" t="s">
        <v>1639</v>
      </c>
      <c r="E1544" s="33">
        <v>55</v>
      </c>
      <c r="F1544" s="33">
        <v>256</v>
      </c>
      <c r="G1544" s="33">
        <v>76</v>
      </c>
      <c r="H1544" s="33" t="s">
        <v>1639</v>
      </c>
      <c r="I1544" s="33">
        <v>391</v>
      </c>
      <c r="K1544" t="b">
        <f>QHPSelections2016[[#This Row],[County Name]]=P1544</f>
        <v>1</v>
      </c>
      <c r="L1544" t="b">
        <f>QHPSelections2016[[#This Row],[Silver]]=S1544</f>
        <v>1</v>
      </c>
      <c r="N1544">
        <v>35057</v>
      </c>
      <c r="O1544" t="s">
        <v>3684</v>
      </c>
      <c r="P1544" t="s">
        <v>3738</v>
      </c>
      <c r="R1544">
        <v>55</v>
      </c>
      <c r="S1544">
        <v>256</v>
      </c>
      <c r="T1544">
        <v>76</v>
      </c>
      <c r="V1544">
        <v>391</v>
      </c>
    </row>
    <row r="1545" spans="1:22">
      <c r="A1545" s="32" t="s">
        <v>3739</v>
      </c>
      <c r="B1545" s="32" t="s">
        <v>3684</v>
      </c>
      <c r="C1545" s="32" t="s">
        <v>1149</v>
      </c>
      <c r="D1545" s="33" t="s">
        <v>1639</v>
      </c>
      <c r="E1545" s="33">
        <v>15</v>
      </c>
      <c r="F1545" s="33">
        <v>59</v>
      </c>
      <c r="G1545" s="33">
        <v>27</v>
      </c>
      <c r="H1545" s="33" t="s">
        <v>1639</v>
      </c>
      <c r="I1545" s="33">
        <v>103</v>
      </c>
      <c r="K1545" t="b">
        <f>QHPSelections2016[[#This Row],[County Name]]=P1545</f>
        <v>1</v>
      </c>
      <c r="L1545" t="b">
        <f>QHPSelections2016[[#This Row],[Silver]]=S1545</f>
        <v>1</v>
      </c>
      <c r="N1545">
        <v>35059</v>
      </c>
      <c r="O1545" t="s">
        <v>3684</v>
      </c>
      <c r="P1545" t="s">
        <v>1149</v>
      </c>
      <c r="R1545">
        <v>15</v>
      </c>
      <c r="S1545">
        <v>59</v>
      </c>
      <c r="T1545">
        <v>27</v>
      </c>
      <c r="V1545">
        <v>103</v>
      </c>
    </row>
    <row r="1546" spans="1:22">
      <c r="A1546" s="32" t="s">
        <v>3740</v>
      </c>
      <c r="B1546" s="32" t="s">
        <v>3684</v>
      </c>
      <c r="C1546" s="32" t="s">
        <v>3741</v>
      </c>
      <c r="D1546" s="33" t="s">
        <v>1639</v>
      </c>
      <c r="E1546" s="33">
        <v>231</v>
      </c>
      <c r="F1546" s="33">
        <v>932</v>
      </c>
      <c r="G1546" s="33">
        <v>277</v>
      </c>
      <c r="H1546" s="33" t="s">
        <v>1639</v>
      </c>
      <c r="I1546" s="33">
        <v>1451</v>
      </c>
      <c r="K1546" t="b">
        <f>QHPSelections2016[[#This Row],[County Name]]=P1546</f>
        <v>1</v>
      </c>
      <c r="L1546" t="b">
        <f>QHPSelections2016[[#This Row],[Silver]]=S1546</f>
        <v>1</v>
      </c>
      <c r="N1546">
        <v>35061</v>
      </c>
      <c r="O1546" t="s">
        <v>3684</v>
      </c>
      <c r="P1546" t="s">
        <v>3741</v>
      </c>
      <c r="R1546">
        <v>231</v>
      </c>
      <c r="S1546">
        <v>932</v>
      </c>
      <c r="T1546">
        <v>277</v>
      </c>
      <c r="V1546" s="51">
        <v>1451</v>
      </c>
    </row>
    <row r="1547" spans="1:22">
      <c r="A1547" s="32" t="s">
        <v>3742</v>
      </c>
      <c r="B1547" s="32" t="s">
        <v>3743</v>
      </c>
      <c r="C1547" s="32" t="s">
        <v>3744</v>
      </c>
      <c r="D1547" s="33">
        <v>0</v>
      </c>
      <c r="E1547" s="33" t="s">
        <v>1639</v>
      </c>
      <c r="F1547" s="33">
        <v>493</v>
      </c>
      <c r="G1547" s="33">
        <v>238</v>
      </c>
      <c r="H1547" s="33" t="s">
        <v>1639</v>
      </c>
      <c r="I1547" s="33">
        <v>743</v>
      </c>
      <c r="K1547" t="b">
        <f>QHPSelections2016[[#This Row],[County Name]]=P1547</f>
        <v>0</v>
      </c>
      <c r="L1547" t="b">
        <f>QHPSelections2016[[#This Row],[Silver]]=S1547</f>
        <v>0</v>
      </c>
      <c r="N1547">
        <v>32510</v>
      </c>
      <c r="O1547" t="s">
        <v>3743</v>
      </c>
      <c r="P1547" t="s">
        <v>3770</v>
      </c>
      <c r="Q1547">
        <v>0</v>
      </c>
      <c r="R1547">
        <v>34</v>
      </c>
      <c r="S1547" s="51">
        <v>1178</v>
      </c>
      <c r="T1547">
        <v>523</v>
      </c>
      <c r="U1547">
        <v>11</v>
      </c>
      <c r="V1547" s="51">
        <v>1746</v>
      </c>
    </row>
    <row r="1548" spans="1:22">
      <c r="A1548" s="32" t="s">
        <v>3745</v>
      </c>
      <c r="B1548" s="32" t="s">
        <v>3743</v>
      </c>
      <c r="C1548" s="32" t="s">
        <v>1777</v>
      </c>
      <c r="D1548" s="33">
        <v>1611</v>
      </c>
      <c r="E1548" s="33">
        <v>3239</v>
      </c>
      <c r="F1548" s="33">
        <v>43585</v>
      </c>
      <c r="G1548" s="33">
        <v>12691</v>
      </c>
      <c r="H1548" s="33">
        <v>518</v>
      </c>
      <c r="I1548" s="33">
        <v>61644</v>
      </c>
      <c r="K1548" t="b">
        <f>QHPSelections2016[[#This Row],[County Name]]=P1548</f>
        <v>0</v>
      </c>
      <c r="L1548" t="b">
        <f>QHPSelections2016[[#This Row],[Silver]]=S1548</f>
        <v>0</v>
      </c>
      <c r="N1548">
        <v>32001</v>
      </c>
      <c r="O1548" t="s">
        <v>3743</v>
      </c>
      <c r="P1548" t="s">
        <v>3744</v>
      </c>
      <c r="Q1548">
        <v>0</v>
      </c>
      <c r="S1548">
        <v>493</v>
      </c>
      <c r="T1548">
        <v>238</v>
      </c>
      <c r="V1548">
        <v>743</v>
      </c>
    </row>
    <row r="1549" spans="1:22">
      <c r="A1549" s="32" t="s">
        <v>3746</v>
      </c>
      <c r="B1549" s="32" t="s">
        <v>3743</v>
      </c>
      <c r="C1549" s="32" t="s">
        <v>1073</v>
      </c>
      <c r="D1549" s="33">
        <v>0</v>
      </c>
      <c r="E1549" s="33">
        <v>53</v>
      </c>
      <c r="F1549" s="33">
        <v>1594</v>
      </c>
      <c r="G1549" s="33">
        <v>792</v>
      </c>
      <c r="H1549" s="33">
        <v>17</v>
      </c>
      <c r="I1549" s="33">
        <v>2456</v>
      </c>
      <c r="K1549" t="b">
        <f>QHPSelections2016[[#This Row],[County Name]]=P1549</f>
        <v>0</v>
      </c>
      <c r="L1549" t="b">
        <f>QHPSelections2016[[#This Row],[Silver]]=S1549</f>
        <v>0</v>
      </c>
      <c r="N1549">
        <v>32003</v>
      </c>
      <c r="O1549" t="s">
        <v>3743</v>
      </c>
      <c r="P1549" t="s">
        <v>1777</v>
      </c>
      <c r="Q1549" s="51">
        <v>1611</v>
      </c>
      <c r="R1549" s="51">
        <v>3239</v>
      </c>
      <c r="S1549" s="51">
        <v>43585</v>
      </c>
      <c r="T1549" s="51">
        <v>12691</v>
      </c>
      <c r="U1549">
        <v>518</v>
      </c>
      <c r="V1549" s="51">
        <v>61644</v>
      </c>
    </row>
    <row r="1550" spans="1:22">
      <c r="A1550" s="32" t="s">
        <v>3747</v>
      </c>
      <c r="B1550" s="32" t="s">
        <v>3743</v>
      </c>
      <c r="C1550" s="32" t="s">
        <v>3748</v>
      </c>
      <c r="D1550" s="33" t="s">
        <v>1639</v>
      </c>
      <c r="E1550" s="33">
        <v>19</v>
      </c>
      <c r="F1550" s="33">
        <v>628</v>
      </c>
      <c r="G1550" s="33">
        <v>325</v>
      </c>
      <c r="H1550" s="33" t="s">
        <v>1639</v>
      </c>
      <c r="I1550" s="33">
        <v>975</v>
      </c>
      <c r="K1550" t="b">
        <f>QHPSelections2016[[#This Row],[County Name]]=P1550</f>
        <v>0</v>
      </c>
      <c r="L1550" t="b">
        <f>QHPSelections2016[[#This Row],[Silver]]=S1550</f>
        <v>0</v>
      </c>
      <c r="N1550">
        <v>32005</v>
      </c>
      <c r="O1550" t="s">
        <v>3743</v>
      </c>
      <c r="P1550" t="s">
        <v>1073</v>
      </c>
      <c r="Q1550">
        <v>0</v>
      </c>
      <c r="R1550">
        <v>53</v>
      </c>
      <c r="S1550" s="51">
        <v>1594</v>
      </c>
      <c r="T1550">
        <v>792</v>
      </c>
      <c r="U1550">
        <v>17</v>
      </c>
      <c r="V1550" s="51">
        <v>2456</v>
      </c>
    </row>
    <row r="1551" spans="1:22">
      <c r="A1551" s="32" t="s">
        <v>3749</v>
      </c>
      <c r="B1551" s="32" t="s">
        <v>3743</v>
      </c>
      <c r="C1551" s="32" t="s">
        <v>3750</v>
      </c>
      <c r="D1551" s="33" t="s">
        <v>1639</v>
      </c>
      <c r="E1551" s="33">
        <v>0</v>
      </c>
      <c r="F1551" s="33">
        <v>11</v>
      </c>
      <c r="G1551" s="33" t="s">
        <v>1639</v>
      </c>
      <c r="H1551" s="33">
        <v>0</v>
      </c>
      <c r="I1551" s="33">
        <v>17</v>
      </c>
      <c r="K1551" t="b">
        <f>QHPSelections2016[[#This Row],[County Name]]=P1551</f>
        <v>0</v>
      </c>
      <c r="L1551" t="b">
        <f>QHPSelections2016[[#This Row],[Silver]]=S1551</f>
        <v>0</v>
      </c>
      <c r="N1551">
        <v>32007</v>
      </c>
      <c r="O1551" t="s">
        <v>3743</v>
      </c>
      <c r="P1551" t="s">
        <v>3748</v>
      </c>
      <c r="R1551">
        <v>19</v>
      </c>
      <c r="S1551">
        <v>628</v>
      </c>
      <c r="T1551">
        <v>325</v>
      </c>
      <c r="V1551">
        <v>975</v>
      </c>
    </row>
    <row r="1552" spans="1:22">
      <c r="A1552" s="32" t="s">
        <v>3751</v>
      </c>
      <c r="B1552" s="32" t="s">
        <v>3743</v>
      </c>
      <c r="C1552" s="32" t="s">
        <v>3752</v>
      </c>
      <c r="D1552" s="33" t="s">
        <v>1639</v>
      </c>
      <c r="E1552" s="33">
        <v>0</v>
      </c>
      <c r="F1552" s="33">
        <v>34</v>
      </c>
      <c r="G1552" s="33" t="s">
        <v>1639</v>
      </c>
      <c r="H1552" s="33">
        <v>0</v>
      </c>
      <c r="I1552" s="33">
        <v>50</v>
      </c>
      <c r="K1552" t="b">
        <f>QHPSelections2016[[#This Row],[County Name]]=P1552</f>
        <v>0</v>
      </c>
      <c r="L1552" t="b">
        <f>QHPSelections2016[[#This Row],[Silver]]=S1552</f>
        <v>0</v>
      </c>
      <c r="N1552">
        <v>32009</v>
      </c>
      <c r="O1552" t="s">
        <v>3743</v>
      </c>
      <c r="P1552" t="s">
        <v>3750</v>
      </c>
      <c r="R1552">
        <v>0</v>
      </c>
      <c r="S1552">
        <v>11</v>
      </c>
      <c r="U1552">
        <v>0</v>
      </c>
      <c r="V1552">
        <v>17</v>
      </c>
    </row>
    <row r="1553" spans="1:22">
      <c r="A1553" s="32" t="s">
        <v>3753</v>
      </c>
      <c r="B1553" s="32" t="s">
        <v>3743</v>
      </c>
      <c r="C1553" s="32" t="s">
        <v>2210</v>
      </c>
      <c r="D1553" s="33">
        <v>0</v>
      </c>
      <c r="E1553" s="33" t="s">
        <v>1639</v>
      </c>
      <c r="F1553" s="33">
        <v>323</v>
      </c>
      <c r="G1553" s="33">
        <v>129</v>
      </c>
      <c r="H1553" s="33" t="s">
        <v>1639</v>
      </c>
      <c r="I1553" s="33">
        <v>465</v>
      </c>
      <c r="K1553" t="b">
        <f>QHPSelections2016[[#This Row],[County Name]]=P1553</f>
        <v>0</v>
      </c>
      <c r="L1553" t="b">
        <f>QHPSelections2016[[#This Row],[Silver]]=S1553</f>
        <v>0</v>
      </c>
      <c r="N1553">
        <v>32011</v>
      </c>
      <c r="O1553" t="s">
        <v>3743</v>
      </c>
      <c r="P1553" t="s">
        <v>3752</v>
      </c>
      <c r="R1553">
        <v>0</v>
      </c>
      <c r="S1553">
        <v>34</v>
      </c>
      <c r="U1553">
        <v>0</v>
      </c>
      <c r="V1553">
        <v>50</v>
      </c>
    </row>
    <row r="1554" spans="1:22">
      <c r="A1554" s="32" t="s">
        <v>3754</v>
      </c>
      <c r="B1554" s="32" t="s">
        <v>3743</v>
      </c>
      <c r="C1554" s="32" t="s">
        <v>3755</v>
      </c>
      <c r="D1554" s="33">
        <v>0</v>
      </c>
      <c r="E1554" s="33" t="s">
        <v>1639</v>
      </c>
      <c r="F1554" s="33">
        <v>97</v>
      </c>
      <c r="G1554" s="33">
        <v>59</v>
      </c>
      <c r="H1554" s="33" t="s">
        <v>1639</v>
      </c>
      <c r="I1554" s="33">
        <v>161</v>
      </c>
      <c r="K1554" t="b">
        <f>QHPSelections2016[[#This Row],[County Name]]=P1554</f>
        <v>0</v>
      </c>
      <c r="L1554" t="b">
        <f>QHPSelections2016[[#This Row],[Silver]]=S1554</f>
        <v>0</v>
      </c>
      <c r="N1554">
        <v>32013</v>
      </c>
      <c r="O1554" t="s">
        <v>3743</v>
      </c>
      <c r="P1554" t="s">
        <v>2210</v>
      </c>
      <c r="Q1554">
        <v>0</v>
      </c>
      <c r="S1554">
        <v>323</v>
      </c>
      <c r="T1554">
        <v>129</v>
      </c>
      <c r="V1554">
        <v>465</v>
      </c>
    </row>
    <row r="1555" spans="1:22">
      <c r="A1555" s="32" t="s">
        <v>3756</v>
      </c>
      <c r="B1555" s="32" t="s">
        <v>3743</v>
      </c>
      <c r="C1555" s="32" t="s">
        <v>1051</v>
      </c>
      <c r="D1555" s="33" t="s">
        <v>1639</v>
      </c>
      <c r="E1555" s="33">
        <v>0</v>
      </c>
      <c r="F1555" s="33">
        <v>64</v>
      </c>
      <c r="G1555" s="33">
        <v>29</v>
      </c>
      <c r="H1555" s="33" t="s">
        <v>1639</v>
      </c>
      <c r="I1555" s="33">
        <v>94</v>
      </c>
      <c r="K1555" t="b">
        <f>QHPSelections2016[[#This Row],[County Name]]=P1555</f>
        <v>0</v>
      </c>
      <c r="L1555" t="b">
        <f>QHPSelections2016[[#This Row],[Silver]]=S1555</f>
        <v>0</v>
      </c>
      <c r="N1555">
        <v>32015</v>
      </c>
      <c r="O1555" t="s">
        <v>3743</v>
      </c>
      <c r="P1555" t="s">
        <v>3755</v>
      </c>
      <c r="Q1555">
        <v>0</v>
      </c>
      <c r="S1555">
        <v>97</v>
      </c>
      <c r="T1555">
        <v>59</v>
      </c>
      <c r="V1555">
        <v>161</v>
      </c>
    </row>
    <row r="1556" spans="1:22">
      <c r="A1556" s="32" t="s">
        <v>3757</v>
      </c>
      <c r="B1556" s="32" t="s">
        <v>3743</v>
      </c>
      <c r="C1556" s="32" t="s">
        <v>2232</v>
      </c>
      <c r="D1556" s="33" t="s">
        <v>1639</v>
      </c>
      <c r="E1556" s="33">
        <v>46</v>
      </c>
      <c r="F1556" s="33">
        <v>1009</v>
      </c>
      <c r="G1556" s="33">
        <v>498</v>
      </c>
      <c r="H1556" s="33" t="s">
        <v>1639</v>
      </c>
      <c r="I1556" s="33">
        <v>1557</v>
      </c>
      <c r="K1556" t="b">
        <f>QHPSelections2016[[#This Row],[County Name]]=P1556</f>
        <v>0</v>
      </c>
      <c r="L1556" t="b">
        <f>QHPSelections2016[[#This Row],[Silver]]=S1556</f>
        <v>0</v>
      </c>
      <c r="N1556">
        <v>32017</v>
      </c>
      <c r="O1556" t="s">
        <v>3743</v>
      </c>
      <c r="P1556" t="s">
        <v>1051</v>
      </c>
      <c r="R1556">
        <v>0</v>
      </c>
      <c r="S1556">
        <v>64</v>
      </c>
      <c r="T1556">
        <v>29</v>
      </c>
      <c r="V1556">
        <v>94</v>
      </c>
    </row>
    <row r="1557" spans="1:22">
      <c r="A1557" s="32" t="s">
        <v>3758</v>
      </c>
      <c r="B1557" s="32" t="s">
        <v>3743</v>
      </c>
      <c r="C1557" s="32" t="s">
        <v>3256</v>
      </c>
      <c r="D1557" s="33">
        <v>0</v>
      </c>
      <c r="E1557" s="33">
        <v>0</v>
      </c>
      <c r="F1557" s="33">
        <v>57</v>
      </c>
      <c r="G1557" s="33">
        <v>30</v>
      </c>
      <c r="H1557" s="33">
        <v>0</v>
      </c>
      <c r="I1557" s="33">
        <v>87</v>
      </c>
      <c r="K1557" t="b">
        <f>QHPSelections2016[[#This Row],[County Name]]=P1557</f>
        <v>0</v>
      </c>
      <c r="L1557" t="b">
        <f>QHPSelections2016[[#This Row],[Silver]]=S1557</f>
        <v>0</v>
      </c>
      <c r="N1557">
        <v>32019</v>
      </c>
      <c r="O1557" t="s">
        <v>3743</v>
      </c>
      <c r="P1557" t="s">
        <v>2232</v>
      </c>
      <c r="R1557">
        <v>46</v>
      </c>
      <c r="S1557" s="51">
        <v>1009</v>
      </c>
      <c r="T1557">
        <v>498</v>
      </c>
      <c r="V1557" s="51">
        <v>1557</v>
      </c>
    </row>
    <row r="1558" spans="1:22">
      <c r="A1558" s="32" t="s">
        <v>3759</v>
      </c>
      <c r="B1558" s="32" t="s">
        <v>3743</v>
      </c>
      <c r="C1558" s="32" t="s">
        <v>3760</v>
      </c>
      <c r="D1558" s="33" t="s">
        <v>1639</v>
      </c>
      <c r="E1558" s="33">
        <v>81</v>
      </c>
      <c r="F1558" s="33">
        <v>660</v>
      </c>
      <c r="G1558" s="33">
        <v>247</v>
      </c>
      <c r="H1558" s="33" t="s">
        <v>1639</v>
      </c>
      <c r="I1558" s="33">
        <v>1030</v>
      </c>
      <c r="K1558" t="b">
        <f>QHPSelections2016[[#This Row],[County Name]]=P1558</f>
        <v>0</v>
      </c>
      <c r="L1558" t="b">
        <f>QHPSelections2016[[#This Row],[Silver]]=S1558</f>
        <v>0</v>
      </c>
      <c r="N1558">
        <v>32021</v>
      </c>
      <c r="O1558" t="s">
        <v>3743</v>
      </c>
      <c r="P1558" t="s">
        <v>3256</v>
      </c>
      <c r="Q1558">
        <v>0</v>
      </c>
      <c r="R1558">
        <v>0</v>
      </c>
      <c r="S1558">
        <v>57</v>
      </c>
      <c r="T1558">
        <v>30</v>
      </c>
      <c r="U1558">
        <v>0</v>
      </c>
      <c r="V1558">
        <v>87</v>
      </c>
    </row>
    <row r="1559" spans="1:22">
      <c r="A1559" s="32" t="s">
        <v>3761</v>
      </c>
      <c r="B1559" s="32" t="s">
        <v>3743</v>
      </c>
      <c r="C1559" s="32" t="s">
        <v>3762</v>
      </c>
      <c r="D1559" s="33" t="s">
        <v>1639</v>
      </c>
      <c r="E1559" s="33">
        <v>0</v>
      </c>
      <c r="F1559" s="33">
        <v>75</v>
      </c>
      <c r="G1559" s="33">
        <v>43</v>
      </c>
      <c r="H1559" s="33" t="s">
        <v>1639</v>
      </c>
      <c r="I1559" s="33">
        <v>119</v>
      </c>
      <c r="K1559" t="b">
        <f>QHPSelections2016[[#This Row],[County Name]]=P1559</f>
        <v>0</v>
      </c>
      <c r="L1559" t="b">
        <f>QHPSelections2016[[#This Row],[Silver]]=S1559</f>
        <v>0</v>
      </c>
      <c r="N1559">
        <v>32023</v>
      </c>
      <c r="O1559" t="s">
        <v>3743</v>
      </c>
      <c r="P1559" t="s">
        <v>3760</v>
      </c>
      <c r="R1559">
        <v>81</v>
      </c>
      <c r="S1559">
        <v>660</v>
      </c>
      <c r="T1559">
        <v>247</v>
      </c>
      <c r="V1559" s="51">
        <v>1030</v>
      </c>
    </row>
    <row r="1560" spans="1:22">
      <c r="A1560" s="32" t="s">
        <v>3763</v>
      </c>
      <c r="B1560" s="32" t="s">
        <v>3743</v>
      </c>
      <c r="C1560" s="32" t="s">
        <v>3764</v>
      </c>
      <c r="D1560" s="33">
        <v>0</v>
      </c>
      <c r="E1560" s="33" t="s">
        <v>1639</v>
      </c>
      <c r="F1560" s="33">
        <v>127</v>
      </c>
      <c r="G1560" s="33">
        <v>73</v>
      </c>
      <c r="H1560" s="33" t="s">
        <v>1639</v>
      </c>
      <c r="I1560" s="33">
        <v>204</v>
      </c>
      <c r="K1560" t="b">
        <f>QHPSelections2016[[#This Row],[County Name]]=P1560</f>
        <v>0</v>
      </c>
      <c r="L1560" t="b">
        <f>QHPSelections2016[[#This Row],[Silver]]=S1560</f>
        <v>0</v>
      </c>
      <c r="N1560">
        <v>32027</v>
      </c>
      <c r="O1560" t="s">
        <v>3743</v>
      </c>
      <c r="P1560" t="s">
        <v>3762</v>
      </c>
      <c r="R1560">
        <v>0</v>
      </c>
      <c r="S1560">
        <v>75</v>
      </c>
      <c r="T1560">
        <v>43</v>
      </c>
      <c r="V1560">
        <v>119</v>
      </c>
    </row>
    <row r="1561" spans="1:22">
      <c r="A1561" s="32" t="s">
        <v>3765</v>
      </c>
      <c r="B1561" s="32" t="s">
        <v>3743</v>
      </c>
      <c r="C1561" s="32" t="s">
        <v>3766</v>
      </c>
      <c r="D1561" s="33">
        <v>192</v>
      </c>
      <c r="E1561" s="33">
        <v>692</v>
      </c>
      <c r="F1561" s="33">
        <v>11079</v>
      </c>
      <c r="G1561" s="33">
        <v>4528</v>
      </c>
      <c r="H1561" s="33">
        <v>113</v>
      </c>
      <c r="I1561" s="33">
        <v>16604</v>
      </c>
      <c r="K1561" t="b">
        <f>QHPSelections2016[[#This Row],[County Name]]=P1561</f>
        <v>0</v>
      </c>
      <c r="L1561" t="b">
        <f>QHPSelections2016[[#This Row],[Silver]]=S1561</f>
        <v>0</v>
      </c>
      <c r="N1561">
        <v>32029</v>
      </c>
      <c r="O1561" t="s">
        <v>3743</v>
      </c>
      <c r="P1561" t="s">
        <v>3764</v>
      </c>
      <c r="Q1561">
        <v>0</v>
      </c>
      <c r="S1561">
        <v>127</v>
      </c>
      <c r="T1561">
        <v>73</v>
      </c>
      <c r="V1561">
        <v>204</v>
      </c>
    </row>
    <row r="1562" spans="1:22">
      <c r="A1562" s="32" t="s">
        <v>3767</v>
      </c>
      <c r="B1562" s="32" t="s">
        <v>3743</v>
      </c>
      <c r="C1562" s="32" t="s">
        <v>3768</v>
      </c>
      <c r="D1562" s="33" t="s">
        <v>1639</v>
      </c>
      <c r="E1562" s="33" t="s">
        <v>1639</v>
      </c>
      <c r="F1562" s="33">
        <v>128</v>
      </c>
      <c r="G1562" s="33">
        <v>58</v>
      </c>
      <c r="H1562" s="33">
        <v>0</v>
      </c>
      <c r="I1562" s="33">
        <v>190</v>
      </c>
      <c r="K1562" t="b">
        <f>QHPSelections2016[[#This Row],[County Name]]=P1562</f>
        <v>0</v>
      </c>
      <c r="L1562" t="b">
        <f>QHPSelections2016[[#This Row],[Silver]]=S1562</f>
        <v>0</v>
      </c>
      <c r="N1562">
        <v>32031</v>
      </c>
      <c r="O1562" t="s">
        <v>3743</v>
      </c>
      <c r="P1562" t="s">
        <v>3766</v>
      </c>
      <c r="Q1562">
        <v>192</v>
      </c>
      <c r="R1562">
        <v>692</v>
      </c>
      <c r="S1562" s="51">
        <v>11079</v>
      </c>
      <c r="T1562" s="51">
        <v>4528</v>
      </c>
      <c r="U1562">
        <v>113</v>
      </c>
      <c r="V1562" s="51">
        <v>16604</v>
      </c>
    </row>
    <row r="1563" spans="1:22">
      <c r="A1563" s="32" t="s">
        <v>3769</v>
      </c>
      <c r="B1563" s="32" t="s">
        <v>3743</v>
      </c>
      <c r="C1563" s="32" t="s">
        <v>3770</v>
      </c>
      <c r="D1563" s="33">
        <v>0</v>
      </c>
      <c r="E1563" s="33">
        <v>34</v>
      </c>
      <c r="F1563" s="33">
        <v>1178</v>
      </c>
      <c r="G1563" s="33">
        <v>523</v>
      </c>
      <c r="H1563" s="33">
        <v>11</v>
      </c>
      <c r="I1563" s="33">
        <v>1746</v>
      </c>
      <c r="K1563" t="b">
        <f>QHPSelections2016[[#This Row],[County Name]]=P1563</f>
        <v>0</v>
      </c>
      <c r="L1563" t="b">
        <f>QHPSelections2016[[#This Row],[Silver]]=S1563</f>
        <v>0</v>
      </c>
      <c r="N1563">
        <v>32033</v>
      </c>
      <c r="O1563" t="s">
        <v>3743</v>
      </c>
      <c r="P1563" t="s">
        <v>3768</v>
      </c>
      <c r="S1563">
        <v>128</v>
      </c>
      <c r="T1563">
        <v>58</v>
      </c>
      <c r="U1563">
        <v>0</v>
      </c>
      <c r="V1563">
        <v>190</v>
      </c>
    </row>
    <row r="1564" spans="1:22">
      <c r="A1564" s="32" t="s">
        <v>3771</v>
      </c>
      <c r="B1564" s="32" t="s">
        <v>3772</v>
      </c>
      <c r="C1564" s="32" t="s">
        <v>820</v>
      </c>
      <c r="D1564" s="33" t="s">
        <v>1639</v>
      </c>
      <c r="E1564" s="33">
        <v>30</v>
      </c>
      <c r="F1564" s="33">
        <v>288</v>
      </c>
      <c r="G1564" s="33">
        <v>237</v>
      </c>
      <c r="H1564" s="33" t="s">
        <v>1639</v>
      </c>
      <c r="I1564" s="33">
        <v>561</v>
      </c>
      <c r="K1564" t="b">
        <f>QHPSelections2016[[#This Row],[County Name]]=P1564</f>
        <v>1</v>
      </c>
      <c r="L1564" t="b">
        <f>QHPSelections2016[[#This Row],[Silver]]=S1564</f>
        <v>1</v>
      </c>
      <c r="N1564">
        <v>39001</v>
      </c>
      <c r="O1564" t="s">
        <v>3772</v>
      </c>
      <c r="P1564" t="s">
        <v>820</v>
      </c>
      <c r="R1564">
        <v>30</v>
      </c>
      <c r="S1564">
        <v>288</v>
      </c>
      <c r="T1564">
        <v>237</v>
      </c>
      <c r="V1564">
        <v>561</v>
      </c>
    </row>
    <row r="1565" spans="1:22">
      <c r="A1565" s="32" t="s">
        <v>3773</v>
      </c>
      <c r="B1565" s="32" t="s">
        <v>3772</v>
      </c>
      <c r="C1565" s="32" t="s">
        <v>2437</v>
      </c>
      <c r="D1565" s="33">
        <v>0</v>
      </c>
      <c r="E1565" s="33">
        <v>77</v>
      </c>
      <c r="F1565" s="33">
        <v>730</v>
      </c>
      <c r="G1565" s="33">
        <v>603</v>
      </c>
      <c r="H1565" s="33">
        <v>20</v>
      </c>
      <c r="I1565" s="33">
        <v>1430</v>
      </c>
      <c r="K1565" t="b">
        <f>QHPSelections2016[[#This Row],[County Name]]=P1565</f>
        <v>1</v>
      </c>
      <c r="L1565" t="b">
        <f>QHPSelections2016[[#This Row],[Silver]]=S1565</f>
        <v>1</v>
      </c>
      <c r="N1565">
        <v>39003</v>
      </c>
      <c r="O1565" t="s">
        <v>3772</v>
      </c>
      <c r="P1565" t="s">
        <v>2437</v>
      </c>
      <c r="Q1565">
        <v>0</v>
      </c>
      <c r="R1565">
        <v>77</v>
      </c>
      <c r="S1565">
        <v>730</v>
      </c>
      <c r="T1565">
        <v>603</v>
      </c>
      <c r="U1565">
        <v>20</v>
      </c>
      <c r="V1565" s="51">
        <v>1430</v>
      </c>
    </row>
    <row r="1566" spans="1:22">
      <c r="A1566" s="32" t="s">
        <v>3774</v>
      </c>
      <c r="B1566" s="32" t="s">
        <v>3772</v>
      </c>
      <c r="C1566" s="32" t="s">
        <v>3775</v>
      </c>
      <c r="D1566" s="33">
        <v>0</v>
      </c>
      <c r="E1566" s="33">
        <v>67</v>
      </c>
      <c r="F1566" s="33">
        <v>569</v>
      </c>
      <c r="G1566" s="33">
        <v>460</v>
      </c>
      <c r="H1566" s="33">
        <v>13</v>
      </c>
      <c r="I1566" s="33">
        <v>1109</v>
      </c>
      <c r="K1566" t="b">
        <f>QHPSelections2016[[#This Row],[County Name]]=P1566</f>
        <v>1</v>
      </c>
      <c r="L1566" t="b">
        <f>QHPSelections2016[[#This Row],[Silver]]=S1566</f>
        <v>1</v>
      </c>
      <c r="N1566">
        <v>39005</v>
      </c>
      <c r="O1566" t="s">
        <v>3772</v>
      </c>
      <c r="P1566" t="s">
        <v>3775</v>
      </c>
      <c r="Q1566">
        <v>0</v>
      </c>
      <c r="R1566">
        <v>67</v>
      </c>
      <c r="S1566">
        <v>569</v>
      </c>
      <c r="T1566">
        <v>460</v>
      </c>
      <c r="U1566">
        <v>13</v>
      </c>
      <c r="V1566" s="51">
        <v>1109</v>
      </c>
    </row>
    <row r="1567" spans="1:22">
      <c r="A1567" s="32" t="s">
        <v>3776</v>
      </c>
      <c r="B1567" s="32" t="s">
        <v>3772</v>
      </c>
      <c r="C1567" s="32" t="s">
        <v>3777</v>
      </c>
      <c r="D1567" s="33">
        <v>0</v>
      </c>
      <c r="E1567" s="33">
        <v>145</v>
      </c>
      <c r="F1567" s="33">
        <v>1250</v>
      </c>
      <c r="G1567" s="33">
        <v>844</v>
      </c>
      <c r="H1567" s="33">
        <v>17</v>
      </c>
      <c r="I1567" s="33">
        <v>2256</v>
      </c>
      <c r="K1567" t="b">
        <f>QHPSelections2016[[#This Row],[County Name]]=P1567</f>
        <v>1</v>
      </c>
      <c r="L1567" t="b">
        <f>QHPSelections2016[[#This Row],[Silver]]=S1567</f>
        <v>1</v>
      </c>
      <c r="N1567">
        <v>39007</v>
      </c>
      <c r="O1567" t="s">
        <v>3772</v>
      </c>
      <c r="P1567" t="s">
        <v>3777</v>
      </c>
      <c r="Q1567">
        <v>0</v>
      </c>
      <c r="R1567">
        <v>145</v>
      </c>
      <c r="S1567" s="51">
        <v>1250</v>
      </c>
      <c r="T1567">
        <v>844</v>
      </c>
      <c r="U1567">
        <v>17</v>
      </c>
      <c r="V1567" s="51">
        <v>2256</v>
      </c>
    </row>
    <row r="1568" spans="1:22">
      <c r="A1568" s="32" t="s">
        <v>3778</v>
      </c>
      <c r="B1568" s="32" t="s">
        <v>3772</v>
      </c>
      <c r="C1568" s="32" t="s">
        <v>3779</v>
      </c>
      <c r="D1568" s="33" t="s">
        <v>1639</v>
      </c>
      <c r="E1568" s="33">
        <v>66</v>
      </c>
      <c r="F1568" s="33">
        <v>671</v>
      </c>
      <c r="G1568" s="33">
        <v>379</v>
      </c>
      <c r="H1568" s="33" t="s">
        <v>1639</v>
      </c>
      <c r="I1568" s="33">
        <v>1126</v>
      </c>
      <c r="K1568" t="b">
        <f>QHPSelections2016[[#This Row],[County Name]]=P1568</f>
        <v>1</v>
      </c>
      <c r="L1568" t="b">
        <f>QHPSelections2016[[#This Row],[Silver]]=S1568</f>
        <v>1</v>
      </c>
      <c r="N1568">
        <v>39009</v>
      </c>
      <c r="O1568" t="s">
        <v>3772</v>
      </c>
      <c r="P1568" t="s">
        <v>3779</v>
      </c>
      <c r="R1568">
        <v>66</v>
      </c>
      <c r="S1568">
        <v>671</v>
      </c>
      <c r="T1568">
        <v>379</v>
      </c>
      <c r="V1568" s="51">
        <v>1126</v>
      </c>
    </row>
    <row r="1569" spans="1:22">
      <c r="A1569" s="32" t="s">
        <v>3780</v>
      </c>
      <c r="B1569" s="32" t="s">
        <v>3772</v>
      </c>
      <c r="C1569" s="32" t="s">
        <v>3781</v>
      </c>
      <c r="D1569" s="33">
        <v>0</v>
      </c>
      <c r="E1569" s="33">
        <v>53</v>
      </c>
      <c r="F1569" s="33">
        <v>414</v>
      </c>
      <c r="G1569" s="33">
        <v>392</v>
      </c>
      <c r="H1569" s="33">
        <v>12</v>
      </c>
      <c r="I1569" s="33">
        <v>871</v>
      </c>
      <c r="K1569" t="b">
        <f>QHPSelections2016[[#This Row],[County Name]]=P1569</f>
        <v>1</v>
      </c>
      <c r="L1569" t="b">
        <f>QHPSelections2016[[#This Row],[Silver]]=S1569</f>
        <v>1</v>
      </c>
      <c r="N1569">
        <v>39011</v>
      </c>
      <c r="O1569" t="s">
        <v>3772</v>
      </c>
      <c r="P1569" t="s">
        <v>3781</v>
      </c>
      <c r="Q1569">
        <v>0</v>
      </c>
      <c r="R1569">
        <v>53</v>
      </c>
      <c r="S1569">
        <v>414</v>
      </c>
      <c r="T1569">
        <v>392</v>
      </c>
      <c r="U1569">
        <v>12</v>
      </c>
      <c r="V1569">
        <v>871</v>
      </c>
    </row>
    <row r="1570" spans="1:22">
      <c r="A1570" s="32" t="s">
        <v>3782</v>
      </c>
      <c r="B1570" s="32" t="s">
        <v>3772</v>
      </c>
      <c r="C1570" s="32" t="s">
        <v>3783</v>
      </c>
      <c r="D1570" s="33" t="s">
        <v>1639</v>
      </c>
      <c r="E1570" s="33">
        <v>73</v>
      </c>
      <c r="F1570" s="33">
        <v>686</v>
      </c>
      <c r="G1570" s="33">
        <v>520</v>
      </c>
      <c r="H1570" s="33" t="s">
        <v>1639</v>
      </c>
      <c r="I1570" s="33">
        <v>1288</v>
      </c>
      <c r="K1570" t="b">
        <f>QHPSelections2016[[#This Row],[County Name]]=P1570</f>
        <v>1</v>
      </c>
      <c r="L1570" t="b">
        <f>QHPSelections2016[[#This Row],[Silver]]=S1570</f>
        <v>1</v>
      </c>
      <c r="N1570">
        <v>39013</v>
      </c>
      <c r="O1570" t="s">
        <v>3772</v>
      </c>
      <c r="P1570" t="s">
        <v>3783</v>
      </c>
      <c r="R1570">
        <v>73</v>
      </c>
      <c r="S1570">
        <v>686</v>
      </c>
      <c r="T1570">
        <v>520</v>
      </c>
      <c r="V1570" s="51">
        <v>1288</v>
      </c>
    </row>
    <row r="1571" spans="1:22">
      <c r="A1571" s="32" t="s">
        <v>3784</v>
      </c>
      <c r="B1571" s="32" t="s">
        <v>3772</v>
      </c>
      <c r="C1571" s="32" t="s">
        <v>963</v>
      </c>
      <c r="D1571" s="33" t="s">
        <v>1639</v>
      </c>
      <c r="E1571" s="33">
        <v>39</v>
      </c>
      <c r="F1571" s="33">
        <v>541</v>
      </c>
      <c r="G1571" s="33">
        <v>273</v>
      </c>
      <c r="H1571" s="33" t="s">
        <v>1639</v>
      </c>
      <c r="I1571" s="33">
        <v>858</v>
      </c>
      <c r="K1571" t="b">
        <f>QHPSelections2016[[#This Row],[County Name]]=P1571</f>
        <v>1</v>
      </c>
      <c r="L1571" t="b">
        <f>QHPSelections2016[[#This Row],[Silver]]=S1571</f>
        <v>1</v>
      </c>
      <c r="N1571">
        <v>39015</v>
      </c>
      <c r="O1571" t="s">
        <v>3772</v>
      </c>
      <c r="P1571" t="s">
        <v>963</v>
      </c>
      <c r="R1571">
        <v>39</v>
      </c>
      <c r="S1571">
        <v>541</v>
      </c>
      <c r="T1571">
        <v>273</v>
      </c>
      <c r="V1571">
        <v>858</v>
      </c>
    </row>
    <row r="1572" spans="1:22">
      <c r="A1572" s="32" t="s">
        <v>3785</v>
      </c>
      <c r="B1572" s="32" t="s">
        <v>3772</v>
      </c>
      <c r="C1572" s="32" t="s">
        <v>854</v>
      </c>
      <c r="D1572" s="33">
        <v>106</v>
      </c>
      <c r="E1572" s="33">
        <v>710</v>
      </c>
      <c r="F1572" s="33">
        <v>4668</v>
      </c>
      <c r="G1572" s="33">
        <v>2177</v>
      </c>
      <c r="H1572" s="33">
        <v>94</v>
      </c>
      <c r="I1572" s="33">
        <v>7755</v>
      </c>
      <c r="K1572" t="b">
        <f>QHPSelections2016[[#This Row],[County Name]]=P1572</f>
        <v>1</v>
      </c>
      <c r="L1572" t="b">
        <f>QHPSelections2016[[#This Row],[Silver]]=S1572</f>
        <v>1</v>
      </c>
      <c r="N1572">
        <v>39017</v>
      </c>
      <c r="O1572" t="s">
        <v>3772</v>
      </c>
      <c r="P1572" t="s">
        <v>854</v>
      </c>
      <c r="Q1572">
        <v>106</v>
      </c>
      <c r="R1572">
        <v>710</v>
      </c>
      <c r="S1572" s="51">
        <v>4668</v>
      </c>
      <c r="T1572" s="51">
        <v>2177</v>
      </c>
      <c r="U1572">
        <v>94</v>
      </c>
      <c r="V1572" s="51">
        <v>7755</v>
      </c>
    </row>
    <row r="1573" spans="1:22">
      <c r="A1573" s="32" t="s">
        <v>3786</v>
      </c>
      <c r="B1573" s="32" t="s">
        <v>3772</v>
      </c>
      <c r="C1573" s="32" t="s">
        <v>862</v>
      </c>
      <c r="D1573" s="33" t="s">
        <v>1639</v>
      </c>
      <c r="E1573" s="33">
        <v>27</v>
      </c>
      <c r="F1573" s="33">
        <v>348</v>
      </c>
      <c r="G1573" s="33">
        <v>166</v>
      </c>
      <c r="H1573" s="33" t="s">
        <v>1639</v>
      </c>
      <c r="I1573" s="33">
        <v>543</v>
      </c>
      <c r="K1573" t="b">
        <f>QHPSelections2016[[#This Row],[County Name]]=P1573</f>
        <v>1</v>
      </c>
      <c r="L1573" t="b">
        <f>QHPSelections2016[[#This Row],[Silver]]=S1573</f>
        <v>1</v>
      </c>
      <c r="N1573">
        <v>39019</v>
      </c>
      <c r="O1573" t="s">
        <v>3772</v>
      </c>
      <c r="P1573" t="s">
        <v>862</v>
      </c>
      <c r="R1573">
        <v>27</v>
      </c>
      <c r="S1573">
        <v>348</v>
      </c>
      <c r="T1573">
        <v>166</v>
      </c>
      <c r="V1573">
        <v>543</v>
      </c>
    </row>
    <row r="1574" spans="1:22">
      <c r="A1574" s="32" t="s">
        <v>3787</v>
      </c>
      <c r="B1574" s="32" t="s">
        <v>3772</v>
      </c>
      <c r="C1574" s="32" t="s">
        <v>2305</v>
      </c>
      <c r="D1574" s="33" t="s">
        <v>1639</v>
      </c>
      <c r="E1574" s="33">
        <v>56</v>
      </c>
      <c r="F1574" s="33">
        <v>377</v>
      </c>
      <c r="G1574" s="33">
        <v>272</v>
      </c>
      <c r="H1574" s="33" t="s">
        <v>1639</v>
      </c>
      <c r="I1574" s="33">
        <v>711</v>
      </c>
      <c r="K1574" t="b">
        <f>QHPSelections2016[[#This Row],[County Name]]=P1574</f>
        <v>1</v>
      </c>
      <c r="L1574" t="b">
        <f>QHPSelections2016[[#This Row],[Silver]]=S1574</f>
        <v>1</v>
      </c>
      <c r="N1574">
        <v>39021</v>
      </c>
      <c r="O1574" t="s">
        <v>3772</v>
      </c>
      <c r="P1574" t="s">
        <v>2305</v>
      </c>
      <c r="R1574">
        <v>56</v>
      </c>
      <c r="S1574">
        <v>377</v>
      </c>
      <c r="T1574">
        <v>272</v>
      </c>
      <c r="V1574">
        <v>711</v>
      </c>
    </row>
    <row r="1575" spans="1:22">
      <c r="A1575" s="32" t="s">
        <v>3788</v>
      </c>
      <c r="B1575" s="32" t="s">
        <v>3772</v>
      </c>
      <c r="C1575" s="32" t="s">
        <v>1777</v>
      </c>
      <c r="D1575" s="33">
        <v>0</v>
      </c>
      <c r="E1575" s="33">
        <v>169</v>
      </c>
      <c r="F1575" s="33">
        <v>1366</v>
      </c>
      <c r="G1575" s="33">
        <v>733</v>
      </c>
      <c r="H1575" s="33">
        <v>14</v>
      </c>
      <c r="I1575" s="33">
        <v>2282</v>
      </c>
      <c r="K1575" t="b">
        <f>QHPSelections2016[[#This Row],[County Name]]=P1575</f>
        <v>1</v>
      </c>
      <c r="L1575" t="b">
        <f>QHPSelections2016[[#This Row],[Silver]]=S1575</f>
        <v>1</v>
      </c>
      <c r="N1575">
        <v>39023</v>
      </c>
      <c r="O1575" t="s">
        <v>3772</v>
      </c>
      <c r="P1575" t="s">
        <v>1777</v>
      </c>
      <c r="Q1575">
        <v>0</v>
      </c>
      <c r="R1575">
        <v>169</v>
      </c>
      <c r="S1575" s="51">
        <v>1366</v>
      </c>
      <c r="T1575">
        <v>733</v>
      </c>
      <c r="U1575">
        <v>14</v>
      </c>
      <c r="V1575" s="51">
        <v>2282</v>
      </c>
    </row>
    <row r="1576" spans="1:22">
      <c r="A1576" s="32" t="s">
        <v>3789</v>
      </c>
      <c r="B1576" s="32" t="s">
        <v>3772</v>
      </c>
      <c r="C1576" s="32" t="s">
        <v>3790</v>
      </c>
      <c r="D1576" s="33">
        <v>0</v>
      </c>
      <c r="E1576" s="33">
        <v>419</v>
      </c>
      <c r="F1576" s="33">
        <v>3254</v>
      </c>
      <c r="G1576" s="33">
        <v>1711</v>
      </c>
      <c r="H1576" s="33">
        <v>41</v>
      </c>
      <c r="I1576" s="33">
        <v>5425</v>
      </c>
      <c r="K1576" t="b">
        <f>QHPSelections2016[[#This Row],[County Name]]=P1576</f>
        <v>1</v>
      </c>
      <c r="L1576" t="b">
        <f>QHPSelections2016[[#This Row],[Silver]]=S1576</f>
        <v>1</v>
      </c>
      <c r="N1576">
        <v>39025</v>
      </c>
      <c r="O1576" t="s">
        <v>3772</v>
      </c>
      <c r="P1576" t="s">
        <v>3790</v>
      </c>
      <c r="Q1576">
        <v>0</v>
      </c>
      <c r="R1576">
        <v>419</v>
      </c>
      <c r="S1576" s="51">
        <v>3254</v>
      </c>
      <c r="T1576" s="51">
        <v>1711</v>
      </c>
      <c r="U1576">
        <v>41</v>
      </c>
      <c r="V1576" s="51">
        <v>5425</v>
      </c>
    </row>
    <row r="1577" spans="1:22">
      <c r="A1577" s="32" t="s">
        <v>3791</v>
      </c>
      <c r="B1577" s="32" t="s">
        <v>3772</v>
      </c>
      <c r="C1577" s="32" t="s">
        <v>2178</v>
      </c>
      <c r="D1577" s="33" t="s">
        <v>1639</v>
      </c>
      <c r="E1577" s="33">
        <v>63</v>
      </c>
      <c r="F1577" s="33">
        <v>467</v>
      </c>
      <c r="G1577" s="33">
        <v>348</v>
      </c>
      <c r="H1577" s="33" t="s">
        <v>1639</v>
      </c>
      <c r="I1577" s="33">
        <v>881</v>
      </c>
      <c r="K1577" t="b">
        <f>QHPSelections2016[[#This Row],[County Name]]=P1577</f>
        <v>1</v>
      </c>
      <c r="L1577" t="b">
        <f>QHPSelections2016[[#This Row],[Silver]]=S1577</f>
        <v>1</v>
      </c>
      <c r="N1577">
        <v>39027</v>
      </c>
      <c r="O1577" t="s">
        <v>3772</v>
      </c>
      <c r="P1577" t="s">
        <v>2178</v>
      </c>
      <c r="R1577">
        <v>63</v>
      </c>
      <c r="S1577">
        <v>467</v>
      </c>
      <c r="T1577">
        <v>348</v>
      </c>
      <c r="V1577">
        <v>881</v>
      </c>
    </row>
    <row r="1578" spans="1:22">
      <c r="A1578" s="32" t="s">
        <v>3792</v>
      </c>
      <c r="B1578" s="32" t="s">
        <v>3772</v>
      </c>
      <c r="C1578" s="32" t="s">
        <v>3793</v>
      </c>
      <c r="D1578" s="33">
        <v>0</v>
      </c>
      <c r="E1578" s="33">
        <v>146</v>
      </c>
      <c r="F1578" s="33">
        <v>1464</v>
      </c>
      <c r="G1578" s="33">
        <v>819</v>
      </c>
      <c r="H1578" s="33">
        <v>15</v>
      </c>
      <c r="I1578" s="33">
        <v>2444</v>
      </c>
      <c r="K1578" t="b">
        <f>QHPSelections2016[[#This Row],[County Name]]=P1578</f>
        <v>1</v>
      </c>
      <c r="L1578" t="b">
        <f>QHPSelections2016[[#This Row],[Silver]]=S1578</f>
        <v>1</v>
      </c>
      <c r="N1578">
        <v>39029</v>
      </c>
      <c r="O1578" t="s">
        <v>3772</v>
      </c>
      <c r="P1578" t="s">
        <v>3793</v>
      </c>
      <c r="Q1578">
        <v>0</v>
      </c>
      <c r="R1578">
        <v>146</v>
      </c>
      <c r="S1578" s="51">
        <v>1464</v>
      </c>
      <c r="T1578">
        <v>819</v>
      </c>
      <c r="U1578">
        <v>15</v>
      </c>
      <c r="V1578" s="51">
        <v>2444</v>
      </c>
    </row>
    <row r="1579" spans="1:22">
      <c r="A1579" s="32" t="s">
        <v>3794</v>
      </c>
      <c r="B1579" s="32" t="s">
        <v>3772</v>
      </c>
      <c r="C1579" s="32" t="s">
        <v>3795</v>
      </c>
      <c r="D1579" s="33" t="s">
        <v>1639</v>
      </c>
      <c r="E1579" s="33">
        <v>56</v>
      </c>
      <c r="F1579" s="33">
        <v>460</v>
      </c>
      <c r="G1579" s="33">
        <v>332</v>
      </c>
      <c r="H1579" s="33" t="s">
        <v>1639</v>
      </c>
      <c r="I1579" s="33">
        <v>856</v>
      </c>
      <c r="K1579" t="b">
        <f>QHPSelections2016[[#This Row],[County Name]]=P1579</f>
        <v>1</v>
      </c>
      <c r="L1579" t="b">
        <f>QHPSelections2016[[#This Row],[Silver]]=S1579</f>
        <v>1</v>
      </c>
      <c r="N1579">
        <v>39031</v>
      </c>
      <c r="O1579" t="s">
        <v>3772</v>
      </c>
      <c r="P1579" t="s">
        <v>3795</v>
      </c>
      <c r="R1579">
        <v>56</v>
      </c>
      <c r="S1579">
        <v>460</v>
      </c>
      <c r="T1579">
        <v>332</v>
      </c>
      <c r="V1579">
        <v>856</v>
      </c>
    </row>
    <row r="1580" spans="1:22">
      <c r="A1580" s="32" t="s">
        <v>3796</v>
      </c>
      <c r="B1580" s="32" t="s">
        <v>3772</v>
      </c>
      <c r="C1580" s="32" t="s">
        <v>1030</v>
      </c>
      <c r="D1580" s="33" t="s">
        <v>1639</v>
      </c>
      <c r="E1580" s="33">
        <v>44</v>
      </c>
      <c r="F1580" s="33">
        <v>451</v>
      </c>
      <c r="G1580" s="33">
        <v>353</v>
      </c>
      <c r="H1580" s="33" t="s">
        <v>1639</v>
      </c>
      <c r="I1580" s="33">
        <v>854</v>
      </c>
      <c r="K1580" t="b">
        <f>QHPSelections2016[[#This Row],[County Name]]=P1580</f>
        <v>1</v>
      </c>
      <c r="L1580" t="b">
        <f>QHPSelections2016[[#This Row],[Silver]]=S1580</f>
        <v>1</v>
      </c>
      <c r="N1580">
        <v>39033</v>
      </c>
      <c r="O1580" t="s">
        <v>3772</v>
      </c>
      <c r="P1580" t="s">
        <v>1030</v>
      </c>
      <c r="R1580">
        <v>44</v>
      </c>
      <c r="S1580">
        <v>451</v>
      </c>
      <c r="T1580">
        <v>353</v>
      </c>
      <c r="V1580">
        <v>854</v>
      </c>
    </row>
    <row r="1581" spans="1:22">
      <c r="A1581" s="32" t="s">
        <v>3797</v>
      </c>
      <c r="B1581" s="32" t="s">
        <v>3772</v>
      </c>
      <c r="C1581" s="32" t="s">
        <v>3798</v>
      </c>
      <c r="D1581" s="33">
        <v>0</v>
      </c>
      <c r="E1581" s="33">
        <v>2392</v>
      </c>
      <c r="F1581" s="33">
        <v>15135</v>
      </c>
      <c r="G1581" s="33">
        <v>8895</v>
      </c>
      <c r="H1581" s="33">
        <v>517</v>
      </c>
      <c r="I1581" s="33">
        <v>26939</v>
      </c>
      <c r="K1581" t="b">
        <f>QHPSelections2016[[#This Row],[County Name]]=P1581</f>
        <v>1</v>
      </c>
      <c r="L1581" t="b">
        <f>QHPSelections2016[[#This Row],[Silver]]=S1581</f>
        <v>1</v>
      </c>
      <c r="N1581">
        <v>39035</v>
      </c>
      <c r="O1581" t="s">
        <v>3772</v>
      </c>
      <c r="P1581" t="s">
        <v>3798</v>
      </c>
      <c r="Q1581">
        <v>0</v>
      </c>
      <c r="R1581" s="51">
        <v>2392</v>
      </c>
      <c r="S1581" s="51">
        <v>15135</v>
      </c>
      <c r="T1581" s="51">
        <v>8895</v>
      </c>
      <c r="U1581">
        <v>517</v>
      </c>
      <c r="V1581" s="51">
        <v>26939</v>
      </c>
    </row>
    <row r="1582" spans="1:22">
      <c r="A1582" s="32" t="s">
        <v>3799</v>
      </c>
      <c r="B1582" s="32" t="s">
        <v>3772</v>
      </c>
      <c r="C1582" s="32" t="s">
        <v>3800</v>
      </c>
      <c r="D1582" s="33" t="s">
        <v>1639</v>
      </c>
      <c r="E1582" s="33">
        <v>57</v>
      </c>
      <c r="F1582" s="33">
        <v>579</v>
      </c>
      <c r="G1582" s="33">
        <v>502</v>
      </c>
      <c r="H1582" s="33" t="s">
        <v>1639</v>
      </c>
      <c r="I1582" s="33">
        <v>1142</v>
      </c>
      <c r="K1582" t="b">
        <f>QHPSelections2016[[#This Row],[County Name]]=P1582</f>
        <v>1</v>
      </c>
      <c r="L1582" t="b">
        <f>QHPSelections2016[[#This Row],[Silver]]=S1582</f>
        <v>1</v>
      </c>
      <c r="N1582">
        <v>39037</v>
      </c>
      <c r="O1582" t="s">
        <v>3772</v>
      </c>
      <c r="P1582" t="s">
        <v>3800</v>
      </c>
      <c r="R1582">
        <v>57</v>
      </c>
      <c r="S1582">
        <v>579</v>
      </c>
      <c r="T1582">
        <v>502</v>
      </c>
      <c r="V1582" s="51">
        <v>1142</v>
      </c>
    </row>
    <row r="1583" spans="1:22">
      <c r="A1583" s="32" t="s">
        <v>3801</v>
      </c>
      <c r="B1583" s="32" t="s">
        <v>3772</v>
      </c>
      <c r="C1583" s="32" t="s">
        <v>3802</v>
      </c>
      <c r="D1583" s="33">
        <v>0</v>
      </c>
      <c r="E1583" s="33">
        <v>40</v>
      </c>
      <c r="F1583" s="33">
        <v>294</v>
      </c>
      <c r="G1583" s="33">
        <v>254</v>
      </c>
      <c r="H1583" s="33">
        <v>13</v>
      </c>
      <c r="I1583" s="33">
        <v>601</v>
      </c>
      <c r="K1583" t="b">
        <f>QHPSelections2016[[#This Row],[County Name]]=P1583</f>
        <v>1</v>
      </c>
      <c r="L1583" t="b">
        <f>QHPSelections2016[[#This Row],[Silver]]=S1583</f>
        <v>1</v>
      </c>
      <c r="N1583">
        <v>39039</v>
      </c>
      <c r="O1583" t="s">
        <v>3772</v>
      </c>
      <c r="P1583" t="s">
        <v>3802</v>
      </c>
      <c r="Q1583">
        <v>0</v>
      </c>
      <c r="R1583">
        <v>40</v>
      </c>
      <c r="S1583">
        <v>294</v>
      </c>
      <c r="T1583">
        <v>254</v>
      </c>
      <c r="U1583">
        <v>13</v>
      </c>
      <c r="V1583">
        <v>601</v>
      </c>
    </row>
    <row r="1584" spans="1:22">
      <c r="A1584" s="32" t="s">
        <v>3803</v>
      </c>
      <c r="B1584" s="32" t="s">
        <v>3772</v>
      </c>
      <c r="C1584" s="32" t="s">
        <v>2185</v>
      </c>
      <c r="D1584" s="33">
        <v>0</v>
      </c>
      <c r="E1584" s="33">
        <v>478</v>
      </c>
      <c r="F1584" s="33">
        <v>2241</v>
      </c>
      <c r="G1584" s="33">
        <v>1549</v>
      </c>
      <c r="H1584" s="33">
        <v>37</v>
      </c>
      <c r="I1584" s="33">
        <v>4305</v>
      </c>
      <c r="K1584" t="b">
        <f>QHPSelections2016[[#This Row],[County Name]]=P1584</f>
        <v>1</v>
      </c>
      <c r="L1584" t="b">
        <f>QHPSelections2016[[#This Row],[Silver]]=S1584</f>
        <v>1</v>
      </c>
      <c r="N1584">
        <v>39041</v>
      </c>
      <c r="O1584" t="s">
        <v>3772</v>
      </c>
      <c r="P1584" t="s">
        <v>2185</v>
      </c>
      <c r="Q1584">
        <v>0</v>
      </c>
      <c r="R1584">
        <v>478</v>
      </c>
      <c r="S1584" s="51">
        <v>2241</v>
      </c>
      <c r="T1584" s="51">
        <v>1549</v>
      </c>
      <c r="U1584">
        <v>37</v>
      </c>
      <c r="V1584" s="51">
        <v>4305</v>
      </c>
    </row>
    <row r="1585" spans="1:22">
      <c r="A1585" s="32" t="s">
        <v>3804</v>
      </c>
      <c r="B1585" s="32" t="s">
        <v>3772</v>
      </c>
      <c r="C1585" s="32" t="s">
        <v>3805</v>
      </c>
      <c r="D1585" s="33">
        <v>0</v>
      </c>
      <c r="E1585" s="33">
        <v>127</v>
      </c>
      <c r="F1585" s="33">
        <v>908</v>
      </c>
      <c r="G1585" s="33">
        <v>600</v>
      </c>
      <c r="H1585" s="33">
        <v>20</v>
      </c>
      <c r="I1585" s="33">
        <v>1655</v>
      </c>
      <c r="K1585" t="b">
        <f>QHPSelections2016[[#This Row],[County Name]]=P1585</f>
        <v>1</v>
      </c>
      <c r="L1585" t="b">
        <f>QHPSelections2016[[#This Row],[Silver]]=S1585</f>
        <v>1</v>
      </c>
      <c r="N1585">
        <v>39043</v>
      </c>
      <c r="O1585" t="s">
        <v>3772</v>
      </c>
      <c r="P1585" t="s">
        <v>3805</v>
      </c>
      <c r="Q1585">
        <v>0</v>
      </c>
      <c r="R1585">
        <v>127</v>
      </c>
      <c r="S1585">
        <v>908</v>
      </c>
      <c r="T1585">
        <v>600</v>
      </c>
      <c r="U1585">
        <v>20</v>
      </c>
      <c r="V1585" s="51">
        <v>1655</v>
      </c>
    </row>
    <row r="1586" spans="1:22">
      <c r="A1586" s="32" t="s">
        <v>3806</v>
      </c>
      <c r="B1586" s="32" t="s">
        <v>3772</v>
      </c>
      <c r="C1586" s="32" t="s">
        <v>3807</v>
      </c>
      <c r="D1586" s="33">
        <v>0</v>
      </c>
      <c r="E1586" s="33">
        <v>263</v>
      </c>
      <c r="F1586" s="33">
        <v>1713</v>
      </c>
      <c r="G1586" s="33">
        <v>989</v>
      </c>
      <c r="H1586" s="33">
        <v>20</v>
      </c>
      <c r="I1586" s="33">
        <v>2985</v>
      </c>
      <c r="K1586" t="b">
        <f>QHPSelections2016[[#This Row],[County Name]]=P1586</f>
        <v>1</v>
      </c>
      <c r="L1586" t="b">
        <f>QHPSelections2016[[#This Row],[Silver]]=S1586</f>
        <v>1</v>
      </c>
      <c r="N1586">
        <v>39045</v>
      </c>
      <c r="O1586" t="s">
        <v>3772</v>
      </c>
      <c r="P1586" t="s">
        <v>3807</v>
      </c>
      <c r="Q1586">
        <v>0</v>
      </c>
      <c r="R1586">
        <v>263</v>
      </c>
      <c r="S1586" s="51">
        <v>1713</v>
      </c>
      <c r="T1586">
        <v>989</v>
      </c>
      <c r="U1586">
        <v>20</v>
      </c>
      <c r="V1586" s="51">
        <v>2985</v>
      </c>
    </row>
    <row r="1587" spans="1:22">
      <c r="A1587" s="32" t="s">
        <v>3808</v>
      </c>
      <c r="B1587" s="32" t="s">
        <v>3772</v>
      </c>
      <c r="C1587" s="32" t="s">
        <v>958</v>
      </c>
      <c r="D1587" s="33" t="s">
        <v>1639</v>
      </c>
      <c r="E1587" s="33">
        <v>40</v>
      </c>
      <c r="F1587" s="33">
        <v>279</v>
      </c>
      <c r="G1587" s="33">
        <v>163</v>
      </c>
      <c r="H1587" s="33" t="s">
        <v>1639</v>
      </c>
      <c r="I1587" s="33">
        <v>486</v>
      </c>
      <c r="K1587" t="b">
        <f>QHPSelections2016[[#This Row],[County Name]]=P1587</f>
        <v>1</v>
      </c>
      <c r="L1587" t="b">
        <f>QHPSelections2016[[#This Row],[Silver]]=S1587</f>
        <v>1</v>
      </c>
      <c r="N1587">
        <v>39047</v>
      </c>
      <c r="O1587" t="s">
        <v>3772</v>
      </c>
      <c r="P1587" t="s">
        <v>958</v>
      </c>
      <c r="R1587">
        <v>40</v>
      </c>
      <c r="S1587">
        <v>279</v>
      </c>
      <c r="T1587">
        <v>163</v>
      </c>
      <c r="V1587">
        <v>486</v>
      </c>
    </row>
    <row r="1588" spans="1:22">
      <c r="A1588" s="32" t="s">
        <v>3809</v>
      </c>
      <c r="B1588" s="32" t="s">
        <v>3772</v>
      </c>
      <c r="C1588" s="32" t="s">
        <v>919</v>
      </c>
      <c r="D1588" s="33">
        <v>0</v>
      </c>
      <c r="E1588" s="33">
        <v>2226</v>
      </c>
      <c r="F1588" s="33">
        <v>15101</v>
      </c>
      <c r="G1588" s="33">
        <v>8573</v>
      </c>
      <c r="H1588" s="33">
        <v>391</v>
      </c>
      <c r="I1588" s="33">
        <v>26291</v>
      </c>
      <c r="K1588" t="b">
        <f>QHPSelections2016[[#This Row],[County Name]]=P1588</f>
        <v>1</v>
      </c>
      <c r="L1588" t="b">
        <f>QHPSelections2016[[#This Row],[Silver]]=S1588</f>
        <v>1</v>
      </c>
      <c r="N1588">
        <v>39049</v>
      </c>
      <c r="O1588" t="s">
        <v>3772</v>
      </c>
      <c r="P1588" t="s">
        <v>919</v>
      </c>
      <c r="Q1588">
        <v>0</v>
      </c>
      <c r="R1588" s="51">
        <v>2226</v>
      </c>
      <c r="S1588" s="51">
        <v>15101</v>
      </c>
      <c r="T1588" s="51">
        <v>8573</v>
      </c>
      <c r="U1588">
        <v>391</v>
      </c>
      <c r="V1588" s="51">
        <v>26291</v>
      </c>
    </row>
    <row r="1589" spans="1:22">
      <c r="A1589" s="32" t="s">
        <v>3810</v>
      </c>
      <c r="B1589" s="32" t="s">
        <v>3772</v>
      </c>
      <c r="C1589" s="32" t="s">
        <v>1131</v>
      </c>
      <c r="D1589" s="33">
        <v>0</v>
      </c>
      <c r="E1589" s="33">
        <v>51</v>
      </c>
      <c r="F1589" s="33">
        <v>455</v>
      </c>
      <c r="G1589" s="33">
        <v>389</v>
      </c>
      <c r="H1589" s="33">
        <v>19</v>
      </c>
      <c r="I1589" s="33">
        <v>914</v>
      </c>
      <c r="K1589" t="b">
        <f>QHPSelections2016[[#This Row],[County Name]]=P1589</f>
        <v>1</v>
      </c>
      <c r="L1589" t="b">
        <f>QHPSelections2016[[#This Row],[Silver]]=S1589</f>
        <v>1</v>
      </c>
      <c r="N1589">
        <v>39051</v>
      </c>
      <c r="O1589" t="s">
        <v>3772</v>
      </c>
      <c r="P1589" t="s">
        <v>1131</v>
      </c>
      <c r="Q1589">
        <v>0</v>
      </c>
      <c r="R1589">
        <v>51</v>
      </c>
      <c r="S1589">
        <v>455</v>
      </c>
      <c r="T1589">
        <v>389</v>
      </c>
      <c r="U1589">
        <v>19</v>
      </c>
      <c r="V1589">
        <v>914</v>
      </c>
    </row>
    <row r="1590" spans="1:22">
      <c r="A1590" s="32" t="s">
        <v>3811</v>
      </c>
      <c r="B1590" s="32" t="s">
        <v>3772</v>
      </c>
      <c r="C1590" s="32" t="s">
        <v>3812</v>
      </c>
      <c r="D1590" s="33" t="s">
        <v>1639</v>
      </c>
      <c r="E1590" s="33">
        <v>23</v>
      </c>
      <c r="F1590" s="33">
        <v>254</v>
      </c>
      <c r="G1590" s="33">
        <v>151</v>
      </c>
      <c r="H1590" s="33" t="s">
        <v>1639</v>
      </c>
      <c r="I1590" s="33">
        <v>429</v>
      </c>
      <c r="K1590" t="b">
        <f>QHPSelections2016[[#This Row],[County Name]]=P1590</f>
        <v>1</v>
      </c>
      <c r="L1590" t="b">
        <f>QHPSelections2016[[#This Row],[Silver]]=S1590</f>
        <v>1</v>
      </c>
      <c r="N1590">
        <v>39053</v>
      </c>
      <c r="O1590" t="s">
        <v>3772</v>
      </c>
      <c r="P1590" t="s">
        <v>3812</v>
      </c>
      <c r="R1590">
        <v>23</v>
      </c>
      <c r="S1590">
        <v>254</v>
      </c>
      <c r="T1590">
        <v>151</v>
      </c>
      <c r="V1590">
        <v>429</v>
      </c>
    </row>
    <row r="1591" spans="1:22">
      <c r="A1591" s="32" t="s">
        <v>3813</v>
      </c>
      <c r="B1591" s="32" t="s">
        <v>3772</v>
      </c>
      <c r="C1591" s="32" t="s">
        <v>3814</v>
      </c>
      <c r="D1591" s="33">
        <v>0</v>
      </c>
      <c r="E1591" s="33">
        <v>349</v>
      </c>
      <c r="F1591" s="33">
        <v>1542</v>
      </c>
      <c r="G1591" s="33">
        <v>1009</v>
      </c>
      <c r="H1591" s="33">
        <v>50</v>
      </c>
      <c r="I1591" s="33">
        <v>2950</v>
      </c>
      <c r="K1591" t="b">
        <f>QHPSelections2016[[#This Row],[County Name]]=P1591</f>
        <v>1</v>
      </c>
      <c r="L1591" t="b">
        <f>QHPSelections2016[[#This Row],[Silver]]=S1591</f>
        <v>1</v>
      </c>
      <c r="N1591">
        <v>39055</v>
      </c>
      <c r="O1591" t="s">
        <v>3772</v>
      </c>
      <c r="P1591" t="s">
        <v>3814</v>
      </c>
      <c r="Q1591">
        <v>0</v>
      </c>
      <c r="R1591">
        <v>349</v>
      </c>
      <c r="S1591" s="51">
        <v>1542</v>
      </c>
      <c r="T1591" s="51">
        <v>1009</v>
      </c>
      <c r="U1591">
        <v>50</v>
      </c>
      <c r="V1591" s="51">
        <v>2950</v>
      </c>
    </row>
    <row r="1592" spans="1:22">
      <c r="A1592" s="32" t="s">
        <v>3815</v>
      </c>
      <c r="B1592" s="32" t="s">
        <v>3772</v>
      </c>
      <c r="C1592" s="32" t="s">
        <v>937</v>
      </c>
      <c r="D1592" s="33" t="s">
        <v>1639</v>
      </c>
      <c r="E1592" s="33">
        <v>279</v>
      </c>
      <c r="F1592" s="33">
        <v>1735</v>
      </c>
      <c r="G1592" s="33">
        <v>1027</v>
      </c>
      <c r="H1592" s="33" t="s">
        <v>1639</v>
      </c>
      <c r="I1592" s="33">
        <v>3063</v>
      </c>
      <c r="K1592" t="b">
        <f>QHPSelections2016[[#This Row],[County Name]]=P1592</f>
        <v>1</v>
      </c>
      <c r="L1592" t="b">
        <f>QHPSelections2016[[#This Row],[Silver]]=S1592</f>
        <v>1</v>
      </c>
      <c r="N1592">
        <v>39057</v>
      </c>
      <c r="O1592" t="s">
        <v>3772</v>
      </c>
      <c r="P1592" t="s">
        <v>937</v>
      </c>
      <c r="R1592">
        <v>279</v>
      </c>
      <c r="S1592" s="51">
        <v>1735</v>
      </c>
      <c r="T1592" s="51">
        <v>1027</v>
      </c>
      <c r="V1592" s="51">
        <v>3063</v>
      </c>
    </row>
    <row r="1593" spans="1:22">
      <c r="A1593" s="32" t="s">
        <v>3816</v>
      </c>
      <c r="B1593" s="32" t="s">
        <v>3772</v>
      </c>
      <c r="C1593" s="32" t="s">
        <v>3817</v>
      </c>
      <c r="D1593" s="33" t="s">
        <v>1639</v>
      </c>
      <c r="E1593" s="33">
        <v>56</v>
      </c>
      <c r="F1593" s="33">
        <v>413</v>
      </c>
      <c r="G1593" s="33">
        <v>273</v>
      </c>
      <c r="H1593" s="33" t="s">
        <v>1639</v>
      </c>
      <c r="I1593" s="33">
        <v>746</v>
      </c>
      <c r="K1593" t="b">
        <f>QHPSelections2016[[#This Row],[County Name]]=P1593</f>
        <v>1</v>
      </c>
      <c r="L1593" t="b">
        <f>QHPSelections2016[[#This Row],[Silver]]=S1593</f>
        <v>1</v>
      </c>
      <c r="N1593">
        <v>39059</v>
      </c>
      <c r="O1593" t="s">
        <v>3772</v>
      </c>
      <c r="P1593" t="s">
        <v>3817</v>
      </c>
      <c r="R1593">
        <v>56</v>
      </c>
      <c r="S1593">
        <v>413</v>
      </c>
      <c r="T1593">
        <v>273</v>
      </c>
      <c r="V1593">
        <v>746</v>
      </c>
    </row>
    <row r="1594" spans="1:22">
      <c r="A1594" s="32" t="s">
        <v>3818</v>
      </c>
      <c r="B1594" s="32" t="s">
        <v>3772</v>
      </c>
      <c r="C1594" s="32" t="s">
        <v>947</v>
      </c>
      <c r="D1594" s="33">
        <v>361</v>
      </c>
      <c r="E1594" s="33">
        <v>1515</v>
      </c>
      <c r="F1594" s="33">
        <v>10893</v>
      </c>
      <c r="G1594" s="33">
        <v>5503</v>
      </c>
      <c r="H1594" s="33">
        <v>304</v>
      </c>
      <c r="I1594" s="33">
        <v>18576</v>
      </c>
      <c r="K1594" t="b">
        <f>QHPSelections2016[[#This Row],[County Name]]=P1594</f>
        <v>1</v>
      </c>
      <c r="L1594" t="b">
        <f>QHPSelections2016[[#This Row],[Silver]]=S1594</f>
        <v>1</v>
      </c>
      <c r="N1594">
        <v>39061</v>
      </c>
      <c r="O1594" t="s">
        <v>3772</v>
      </c>
      <c r="P1594" t="s">
        <v>947</v>
      </c>
      <c r="Q1594">
        <v>361</v>
      </c>
      <c r="R1594" s="51">
        <v>1515</v>
      </c>
      <c r="S1594" s="51">
        <v>10893</v>
      </c>
      <c r="T1594" s="51">
        <v>5503</v>
      </c>
      <c r="U1594">
        <v>304</v>
      </c>
      <c r="V1594" s="51">
        <v>18576</v>
      </c>
    </row>
    <row r="1595" spans="1:22">
      <c r="A1595" s="32" t="s">
        <v>3819</v>
      </c>
      <c r="B1595" s="32" t="s">
        <v>3772</v>
      </c>
      <c r="C1595" s="32" t="s">
        <v>949</v>
      </c>
      <c r="D1595" s="33">
        <v>0</v>
      </c>
      <c r="E1595" s="33">
        <v>53</v>
      </c>
      <c r="F1595" s="33">
        <v>621</v>
      </c>
      <c r="G1595" s="33">
        <v>586</v>
      </c>
      <c r="H1595" s="33">
        <v>47</v>
      </c>
      <c r="I1595" s="33">
        <v>1307</v>
      </c>
      <c r="K1595" t="b">
        <f>QHPSelections2016[[#This Row],[County Name]]=P1595</f>
        <v>1</v>
      </c>
      <c r="L1595" t="b">
        <f>QHPSelections2016[[#This Row],[Silver]]=S1595</f>
        <v>1</v>
      </c>
      <c r="N1595">
        <v>39063</v>
      </c>
      <c r="O1595" t="s">
        <v>3772</v>
      </c>
      <c r="P1595" t="s">
        <v>949</v>
      </c>
      <c r="Q1595">
        <v>0</v>
      </c>
      <c r="R1595">
        <v>53</v>
      </c>
      <c r="S1595">
        <v>621</v>
      </c>
      <c r="T1595">
        <v>586</v>
      </c>
      <c r="U1595">
        <v>47</v>
      </c>
      <c r="V1595" s="51">
        <v>1307</v>
      </c>
    </row>
    <row r="1596" spans="1:22">
      <c r="A1596" s="32" t="s">
        <v>3820</v>
      </c>
      <c r="B1596" s="32" t="s">
        <v>3772</v>
      </c>
      <c r="C1596" s="32" t="s">
        <v>1017</v>
      </c>
      <c r="D1596" s="33" t="s">
        <v>1639</v>
      </c>
      <c r="E1596" s="33">
        <v>23</v>
      </c>
      <c r="F1596" s="33">
        <v>263</v>
      </c>
      <c r="G1596" s="33">
        <v>140</v>
      </c>
      <c r="H1596" s="33" t="s">
        <v>1639</v>
      </c>
      <c r="I1596" s="33">
        <v>430</v>
      </c>
      <c r="K1596" t="b">
        <f>QHPSelections2016[[#This Row],[County Name]]=P1596</f>
        <v>1</v>
      </c>
      <c r="L1596" t="b">
        <f>QHPSelections2016[[#This Row],[Silver]]=S1596</f>
        <v>1</v>
      </c>
      <c r="N1596">
        <v>39065</v>
      </c>
      <c r="O1596" t="s">
        <v>3772</v>
      </c>
      <c r="P1596" t="s">
        <v>1017</v>
      </c>
      <c r="R1596">
        <v>23</v>
      </c>
      <c r="S1596">
        <v>263</v>
      </c>
      <c r="T1596">
        <v>140</v>
      </c>
      <c r="V1596">
        <v>430</v>
      </c>
    </row>
    <row r="1597" spans="1:22">
      <c r="A1597" s="32" t="s">
        <v>3821</v>
      </c>
      <c r="B1597" s="32" t="s">
        <v>3772</v>
      </c>
      <c r="C1597" s="32" t="s">
        <v>956</v>
      </c>
      <c r="D1597" s="33" t="s">
        <v>1639</v>
      </c>
      <c r="E1597" s="33">
        <v>25</v>
      </c>
      <c r="F1597" s="33">
        <v>207</v>
      </c>
      <c r="G1597" s="33">
        <v>80</v>
      </c>
      <c r="H1597" s="33" t="s">
        <v>1639</v>
      </c>
      <c r="I1597" s="33">
        <v>316</v>
      </c>
      <c r="K1597" t="b">
        <f>QHPSelections2016[[#This Row],[County Name]]=P1597</f>
        <v>1</v>
      </c>
      <c r="L1597" t="b">
        <f>QHPSelections2016[[#This Row],[Silver]]=S1597</f>
        <v>1</v>
      </c>
      <c r="N1597">
        <v>39067</v>
      </c>
      <c r="O1597" t="s">
        <v>3772</v>
      </c>
      <c r="P1597" t="s">
        <v>956</v>
      </c>
      <c r="R1597">
        <v>25</v>
      </c>
      <c r="S1597">
        <v>207</v>
      </c>
      <c r="T1597">
        <v>80</v>
      </c>
      <c r="V1597">
        <v>316</v>
      </c>
    </row>
    <row r="1598" spans="1:22">
      <c r="A1598" s="32" t="s">
        <v>3822</v>
      </c>
      <c r="B1598" s="32" t="s">
        <v>3772</v>
      </c>
      <c r="C1598" s="32" t="s">
        <v>1004</v>
      </c>
      <c r="D1598" s="33">
        <v>0</v>
      </c>
      <c r="E1598" s="33">
        <v>34</v>
      </c>
      <c r="F1598" s="33">
        <v>295</v>
      </c>
      <c r="G1598" s="33">
        <v>264</v>
      </c>
      <c r="H1598" s="33">
        <v>12</v>
      </c>
      <c r="I1598" s="33">
        <v>605</v>
      </c>
      <c r="K1598" t="b">
        <f>QHPSelections2016[[#This Row],[County Name]]=P1598</f>
        <v>1</v>
      </c>
      <c r="L1598" t="b">
        <f>QHPSelections2016[[#This Row],[Silver]]=S1598</f>
        <v>1</v>
      </c>
      <c r="N1598">
        <v>39069</v>
      </c>
      <c r="O1598" t="s">
        <v>3772</v>
      </c>
      <c r="P1598" t="s">
        <v>1004</v>
      </c>
      <c r="Q1598">
        <v>0</v>
      </c>
      <c r="R1598">
        <v>34</v>
      </c>
      <c r="S1598">
        <v>295</v>
      </c>
      <c r="T1598">
        <v>264</v>
      </c>
      <c r="U1598">
        <v>12</v>
      </c>
      <c r="V1598">
        <v>605</v>
      </c>
    </row>
    <row r="1599" spans="1:22">
      <c r="A1599" s="32" t="s">
        <v>3823</v>
      </c>
      <c r="B1599" s="32" t="s">
        <v>3772</v>
      </c>
      <c r="C1599" s="32" t="s">
        <v>3824</v>
      </c>
      <c r="D1599" s="33">
        <v>0</v>
      </c>
      <c r="E1599" s="33">
        <v>52</v>
      </c>
      <c r="F1599" s="33">
        <v>449</v>
      </c>
      <c r="G1599" s="33">
        <v>305</v>
      </c>
      <c r="H1599" s="33">
        <v>0</v>
      </c>
      <c r="I1599" s="33">
        <v>806</v>
      </c>
      <c r="K1599" t="b">
        <f>QHPSelections2016[[#This Row],[County Name]]=P1599</f>
        <v>1</v>
      </c>
      <c r="L1599" t="b">
        <f>QHPSelections2016[[#This Row],[Silver]]=S1599</f>
        <v>1</v>
      </c>
      <c r="N1599">
        <v>39071</v>
      </c>
      <c r="O1599" t="s">
        <v>3772</v>
      </c>
      <c r="P1599" t="s">
        <v>3824</v>
      </c>
      <c r="Q1599">
        <v>0</v>
      </c>
      <c r="R1599">
        <v>52</v>
      </c>
      <c r="S1599">
        <v>449</v>
      </c>
      <c r="T1599">
        <v>305</v>
      </c>
      <c r="U1599">
        <v>0</v>
      </c>
      <c r="V1599">
        <v>806</v>
      </c>
    </row>
    <row r="1600" spans="1:22">
      <c r="A1600" s="32" t="s">
        <v>3825</v>
      </c>
      <c r="B1600" s="32" t="s">
        <v>3772</v>
      </c>
      <c r="C1600" s="32" t="s">
        <v>3826</v>
      </c>
      <c r="D1600" s="33" t="s">
        <v>1639</v>
      </c>
      <c r="E1600" s="33">
        <v>39</v>
      </c>
      <c r="F1600" s="33">
        <v>352</v>
      </c>
      <c r="G1600" s="33">
        <v>259</v>
      </c>
      <c r="H1600" s="33" t="s">
        <v>1639</v>
      </c>
      <c r="I1600" s="33">
        <v>652</v>
      </c>
      <c r="K1600" t="b">
        <f>QHPSelections2016[[#This Row],[County Name]]=P1600</f>
        <v>1</v>
      </c>
      <c r="L1600" t="b">
        <f>QHPSelections2016[[#This Row],[Silver]]=S1600</f>
        <v>1</v>
      </c>
      <c r="N1600">
        <v>39073</v>
      </c>
      <c r="O1600" t="s">
        <v>3772</v>
      </c>
      <c r="P1600" t="s">
        <v>3826</v>
      </c>
      <c r="R1600">
        <v>39</v>
      </c>
      <c r="S1600">
        <v>352</v>
      </c>
      <c r="T1600">
        <v>259</v>
      </c>
      <c r="V1600">
        <v>652</v>
      </c>
    </row>
    <row r="1601" spans="1:22">
      <c r="A1601" s="32" t="s">
        <v>3827</v>
      </c>
      <c r="B1601" s="32" t="s">
        <v>3772</v>
      </c>
      <c r="C1601" s="32" t="s">
        <v>967</v>
      </c>
      <c r="D1601" s="33">
        <v>0</v>
      </c>
      <c r="E1601" s="33">
        <v>31</v>
      </c>
      <c r="F1601" s="33">
        <v>327</v>
      </c>
      <c r="G1601" s="33">
        <v>250</v>
      </c>
      <c r="H1601" s="33">
        <v>32</v>
      </c>
      <c r="I1601" s="33">
        <v>640</v>
      </c>
      <c r="K1601" t="b">
        <f>QHPSelections2016[[#This Row],[County Name]]=P1601</f>
        <v>1</v>
      </c>
      <c r="L1601" t="b">
        <f>QHPSelections2016[[#This Row],[Silver]]=S1601</f>
        <v>1</v>
      </c>
      <c r="N1601">
        <v>39075</v>
      </c>
      <c r="O1601" t="s">
        <v>3772</v>
      </c>
      <c r="P1601" t="s">
        <v>967</v>
      </c>
      <c r="Q1601">
        <v>0</v>
      </c>
      <c r="R1601">
        <v>31</v>
      </c>
      <c r="S1601">
        <v>327</v>
      </c>
      <c r="T1601">
        <v>250</v>
      </c>
      <c r="U1601">
        <v>32</v>
      </c>
      <c r="V1601">
        <v>640</v>
      </c>
    </row>
    <row r="1602" spans="1:22">
      <c r="A1602" s="32" t="s">
        <v>3828</v>
      </c>
      <c r="B1602" s="32" t="s">
        <v>3772</v>
      </c>
      <c r="C1602" s="32" t="s">
        <v>2874</v>
      </c>
      <c r="D1602" s="33">
        <v>0</v>
      </c>
      <c r="E1602" s="33">
        <v>53</v>
      </c>
      <c r="F1602" s="33">
        <v>612</v>
      </c>
      <c r="G1602" s="33">
        <v>386</v>
      </c>
      <c r="H1602" s="33">
        <v>16</v>
      </c>
      <c r="I1602" s="33">
        <v>1067</v>
      </c>
      <c r="K1602" t="b">
        <f>QHPSelections2016[[#This Row],[County Name]]=P1602</f>
        <v>1</v>
      </c>
      <c r="L1602" t="b">
        <f>QHPSelections2016[[#This Row],[Silver]]=S1602</f>
        <v>1</v>
      </c>
      <c r="N1602">
        <v>39077</v>
      </c>
      <c r="O1602" t="s">
        <v>3772</v>
      </c>
      <c r="P1602" t="s">
        <v>2874</v>
      </c>
      <c r="Q1602">
        <v>0</v>
      </c>
      <c r="R1602">
        <v>53</v>
      </c>
      <c r="S1602">
        <v>612</v>
      </c>
      <c r="T1602">
        <v>386</v>
      </c>
      <c r="U1602">
        <v>16</v>
      </c>
      <c r="V1602" s="51">
        <v>1067</v>
      </c>
    </row>
    <row r="1603" spans="1:22">
      <c r="A1603" s="32" t="s">
        <v>3829</v>
      </c>
      <c r="B1603" s="32" t="s">
        <v>3772</v>
      </c>
      <c r="C1603" s="32" t="s">
        <v>984</v>
      </c>
      <c r="D1603" s="33" t="s">
        <v>1639</v>
      </c>
      <c r="E1603" s="33">
        <v>49</v>
      </c>
      <c r="F1603" s="33">
        <v>243</v>
      </c>
      <c r="G1603" s="33">
        <v>197</v>
      </c>
      <c r="H1603" s="33" t="s">
        <v>1639</v>
      </c>
      <c r="I1603" s="33">
        <v>493</v>
      </c>
      <c r="K1603" t="b">
        <f>QHPSelections2016[[#This Row],[County Name]]=P1603</f>
        <v>1</v>
      </c>
      <c r="L1603" t="b">
        <f>QHPSelections2016[[#This Row],[Silver]]=S1603</f>
        <v>1</v>
      </c>
      <c r="N1603">
        <v>39079</v>
      </c>
      <c r="O1603" t="s">
        <v>3772</v>
      </c>
      <c r="P1603" t="s">
        <v>984</v>
      </c>
      <c r="R1603">
        <v>49</v>
      </c>
      <c r="S1603">
        <v>243</v>
      </c>
      <c r="T1603">
        <v>197</v>
      </c>
      <c r="V1603">
        <v>493</v>
      </c>
    </row>
    <row r="1604" spans="1:22">
      <c r="A1604" s="32" t="s">
        <v>3830</v>
      </c>
      <c r="B1604" s="32" t="s">
        <v>3772</v>
      </c>
      <c r="C1604" s="32" t="s">
        <v>993</v>
      </c>
      <c r="D1604" s="33" t="s">
        <v>1639</v>
      </c>
      <c r="E1604" s="33">
        <v>99</v>
      </c>
      <c r="F1604" s="33">
        <v>825</v>
      </c>
      <c r="G1604" s="33">
        <v>460</v>
      </c>
      <c r="H1604" s="33" t="s">
        <v>1639</v>
      </c>
      <c r="I1604" s="33">
        <v>1393</v>
      </c>
      <c r="K1604" t="b">
        <f>QHPSelections2016[[#This Row],[County Name]]=P1604</f>
        <v>1</v>
      </c>
      <c r="L1604" t="b">
        <f>QHPSelections2016[[#This Row],[Silver]]=S1604</f>
        <v>1</v>
      </c>
      <c r="N1604">
        <v>39081</v>
      </c>
      <c r="O1604" t="s">
        <v>3772</v>
      </c>
      <c r="P1604" t="s">
        <v>993</v>
      </c>
      <c r="R1604">
        <v>99</v>
      </c>
      <c r="S1604">
        <v>825</v>
      </c>
      <c r="T1604">
        <v>460</v>
      </c>
      <c r="V1604" s="51">
        <v>1393</v>
      </c>
    </row>
    <row r="1605" spans="1:22">
      <c r="A1605" s="32" t="s">
        <v>3831</v>
      </c>
      <c r="B1605" s="32" t="s">
        <v>3772</v>
      </c>
      <c r="C1605" s="32" t="s">
        <v>1070</v>
      </c>
      <c r="D1605" s="33">
        <v>0</v>
      </c>
      <c r="E1605" s="33">
        <v>69</v>
      </c>
      <c r="F1605" s="33">
        <v>715</v>
      </c>
      <c r="G1605" s="33">
        <v>473</v>
      </c>
      <c r="H1605" s="33">
        <v>19</v>
      </c>
      <c r="I1605" s="33">
        <v>1276</v>
      </c>
      <c r="K1605" t="b">
        <f>QHPSelections2016[[#This Row],[County Name]]=P1605</f>
        <v>1</v>
      </c>
      <c r="L1605" t="b">
        <f>QHPSelections2016[[#This Row],[Silver]]=S1605</f>
        <v>1</v>
      </c>
      <c r="N1605">
        <v>39083</v>
      </c>
      <c r="O1605" t="s">
        <v>3772</v>
      </c>
      <c r="P1605" t="s">
        <v>1070</v>
      </c>
      <c r="Q1605">
        <v>0</v>
      </c>
      <c r="R1605">
        <v>69</v>
      </c>
      <c r="S1605">
        <v>715</v>
      </c>
      <c r="T1605">
        <v>473</v>
      </c>
      <c r="U1605">
        <v>19</v>
      </c>
      <c r="V1605" s="51">
        <v>1276</v>
      </c>
    </row>
    <row r="1606" spans="1:22">
      <c r="A1606" s="32" t="s">
        <v>3832</v>
      </c>
      <c r="B1606" s="32" t="s">
        <v>3772</v>
      </c>
      <c r="C1606" s="32" t="s">
        <v>1005</v>
      </c>
      <c r="D1606" s="33">
        <v>0</v>
      </c>
      <c r="E1606" s="33">
        <v>571</v>
      </c>
      <c r="F1606" s="33">
        <v>3275</v>
      </c>
      <c r="G1606" s="33">
        <v>2071</v>
      </c>
      <c r="H1606" s="33">
        <v>100</v>
      </c>
      <c r="I1606" s="33">
        <v>6017</v>
      </c>
      <c r="K1606" t="b">
        <f>QHPSelections2016[[#This Row],[County Name]]=P1606</f>
        <v>1</v>
      </c>
      <c r="L1606" t="b">
        <f>QHPSelections2016[[#This Row],[Silver]]=S1606</f>
        <v>1</v>
      </c>
      <c r="N1606">
        <v>39085</v>
      </c>
      <c r="O1606" t="s">
        <v>3772</v>
      </c>
      <c r="P1606" t="s">
        <v>1005</v>
      </c>
      <c r="Q1606">
        <v>0</v>
      </c>
      <c r="R1606">
        <v>571</v>
      </c>
      <c r="S1606" s="51">
        <v>3275</v>
      </c>
      <c r="T1606" s="51">
        <v>2071</v>
      </c>
      <c r="U1606">
        <v>100</v>
      </c>
      <c r="V1606" s="51">
        <v>6017</v>
      </c>
    </row>
    <row r="1607" spans="1:22">
      <c r="A1607" s="32" t="s">
        <v>3833</v>
      </c>
      <c r="B1607" s="32" t="s">
        <v>3772</v>
      </c>
      <c r="C1607" s="32" t="s">
        <v>1031</v>
      </c>
      <c r="D1607" s="33" t="s">
        <v>1639</v>
      </c>
      <c r="E1607" s="33">
        <v>82</v>
      </c>
      <c r="F1607" s="33">
        <v>543</v>
      </c>
      <c r="G1607" s="33">
        <v>318</v>
      </c>
      <c r="H1607" s="33" t="s">
        <v>1639</v>
      </c>
      <c r="I1607" s="33">
        <v>946</v>
      </c>
      <c r="K1607" t="b">
        <f>QHPSelections2016[[#This Row],[County Name]]=P1607</f>
        <v>1</v>
      </c>
      <c r="L1607" t="b">
        <f>QHPSelections2016[[#This Row],[Silver]]=S1607</f>
        <v>1</v>
      </c>
      <c r="N1607">
        <v>39087</v>
      </c>
      <c r="O1607" t="s">
        <v>3772</v>
      </c>
      <c r="P1607" t="s">
        <v>1031</v>
      </c>
      <c r="R1607">
        <v>82</v>
      </c>
      <c r="S1607">
        <v>543</v>
      </c>
      <c r="T1607">
        <v>318</v>
      </c>
      <c r="V1607">
        <v>946</v>
      </c>
    </row>
    <row r="1608" spans="1:22">
      <c r="A1608" s="32" t="s">
        <v>3834</v>
      </c>
      <c r="B1608" s="32" t="s">
        <v>3772</v>
      </c>
      <c r="C1608" s="32" t="s">
        <v>3835</v>
      </c>
      <c r="D1608" s="33">
        <v>0</v>
      </c>
      <c r="E1608" s="33">
        <v>227</v>
      </c>
      <c r="F1608" s="33">
        <v>1727</v>
      </c>
      <c r="G1608" s="33">
        <v>1150</v>
      </c>
      <c r="H1608" s="33">
        <v>20</v>
      </c>
      <c r="I1608" s="33">
        <v>3124</v>
      </c>
      <c r="K1608" t="b">
        <f>QHPSelections2016[[#This Row],[County Name]]=P1608</f>
        <v>1</v>
      </c>
      <c r="L1608" t="b">
        <f>QHPSelections2016[[#This Row],[Silver]]=S1608</f>
        <v>1</v>
      </c>
      <c r="N1608">
        <v>39089</v>
      </c>
      <c r="O1608" t="s">
        <v>3772</v>
      </c>
      <c r="P1608" t="s">
        <v>3835</v>
      </c>
      <c r="Q1608">
        <v>0</v>
      </c>
      <c r="R1608">
        <v>227</v>
      </c>
      <c r="S1608" s="51">
        <v>1727</v>
      </c>
      <c r="T1608" s="51">
        <v>1150</v>
      </c>
      <c r="U1608">
        <v>20</v>
      </c>
      <c r="V1608" s="51">
        <v>3124</v>
      </c>
    </row>
    <row r="1609" spans="1:22">
      <c r="A1609" s="32" t="s">
        <v>3836</v>
      </c>
      <c r="B1609" s="32" t="s">
        <v>3772</v>
      </c>
      <c r="C1609" s="32" t="s">
        <v>1824</v>
      </c>
      <c r="D1609" s="33" t="s">
        <v>1639</v>
      </c>
      <c r="E1609" s="33">
        <v>52</v>
      </c>
      <c r="F1609" s="33">
        <v>410</v>
      </c>
      <c r="G1609" s="33">
        <v>288</v>
      </c>
      <c r="H1609" s="33" t="s">
        <v>1639</v>
      </c>
      <c r="I1609" s="33">
        <v>760</v>
      </c>
      <c r="K1609" t="b">
        <f>QHPSelections2016[[#This Row],[County Name]]=P1609</f>
        <v>1</v>
      </c>
      <c r="L1609" t="b">
        <f>QHPSelections2016[[#This Row],[Silver]]=S1609</f>
        <v>1</v>
      </c>
      <c r="N1609">
        <v>39091</v>
      </c>
      <c r="O1609" t="s">
        <v>3772</v>
      </c>
      <c r="P1609" t="s">
        <v>1824</v>
      </c>
      <c r="R1609">
        <v>52</v>
      </c>
      <c r="S1609">
        <v>410</v>
      </c>
      <c r="T1609">
        <v>288</v>
      </c>
      <c r="V1609">
        <v>760</v>
      </c>
    </row>
    <row r="1610" spans="1:22">
      <c r="A1610" s="32" t="s">
        <v>3837</v>
      </c>
      <c r="B1610" s="32" t="s">
        <v>3772</v>
      </c>
      <c r="C1610" s="32" t="s">
        <v>3838</v>
      </c>
      <c r="D1610" s="33">
        <v>0</v>
      </c>
      <c r="E1610" s="33">
        <v>577</v>
      </c>
      <c r="F1610" s="33">
        <v>3541</v>
      </c>
      <c r="G1610" s="33">
        <v>2121</v>
      </c>
      <c r="H1610" s="33">
        <v>80</v>
      </c>
      <c r="I1610" s="33">
        <v>6319</v>
      </c>
      <c r="K1610" t="b">
        <f>QHPSelections2016[[#This Row],[County Name]]=P1610</f>
        <v>1</v>
      </c>
      <c r="L1610" t="b">
        <f>QHPSelections2016[[#This Row],[Silver]]=S1610</f>
        <v>1</v>
      </c>
      <c r="N1610">
        <v>39093</v>
      </c>
      <c r="O1610" t="s">
        <v>3772</v>
      </c>
      <c r="P1610" t="s">
        <v>3838</v>
      </c>
      <c r="Q1610">
        <v>0</v>
      </c>
      <c r="R1610">
        <v>577</v>
      </c>
      <c r="S1610" s="51">
        <v>3541</v>
      </c>
      <c r="T1610" s="51">
        <v>2121</v>
      </c>
      <c r="U1610">
        <v>80</v>
      </c>
      <c r="V1610" s="51">
        <v>6319</v>
      </c>
    </row>
    <row r="1611" spans="1:22">
      <c r="A1611" s="32" t="s">
        <v>3839</v>
      </c>
      <c r="B1611" s="32" t="s">
        <v>3772</v>
      </c>
      <c r="C1611" s="32" t="s">
        <v>2230</v>
      </c>
      <c r="D1611" s="33">
        <v>0</v>
      </c>
      <c r="E1611" s="33">
        <v>638</v>
      </c>
      <c r="F1611" s="33">
        <v>4726</v>
      </c>
      <c r="G1611" s="33">
        <v>2360</v>
      </c>
      <c r="H1611" s="33">
        <v>126</v>
      </c>
      <c r="I1611" s="33">
        <v>7850</v>
      </c>
      <c r="K1611" t="b">
        <f>QHPSelections2016[[#This Row],[County Name]]=P1611</f>
        <v>1</v>
      </c>
      <c r="L1611" t="b">
        <f>QHPSelections2016[[#This Row],[Silver]]=S1611</f>
        <v>1</v>
      </c>
      <c r="N1611">
        <v>39095</v>
      </c>
      <c r="O1611" t="s">
        <v>3772</v>
      </c>
      <c r="P1611" t="s">
        <v>2230</v>
      </c>
      <c r="Q1611">
        <v>0</v>
      </c>
      <c r="R1611">
        <v>638</v>
      </c>
      <c r="S1611" s="51">
        <v>4726</v>
      </c>
      <c r="T1611" s="51">
        <v>2360</v>
      </c>
      <c r="U1611">
        <v>126</v>
      </c>
      <c r="V1611" s="51">
        <v>7850</v>
      </c>
    </row>
    <row r="1612" spans="1:22">
      <c r="A1612" s="32" t="s">
        <v>3840</v>
      </c>
      <c r="B1612" s="32" t="s">
        <v>3772</v>
      </c>
      <c r="C1612" s="32" t="s">
        <v>1029</v>
      </c>
      <c r="D1612" s="33">
        <v>0</v>
      </c>
      <c r="E1612" s="33">
        <v>59</v>
      </c>
      <c r="F1612" s="33">
        <v>391</v>
      </c>
      <c r="G1612" s="33">
        <v>230</v>
      </c>
      <c r="H1612" s="33">
        <v>11</v>
      </c>
      <c r="I1612" s="33">
        <v>691</v>
      </c>
      <c r="K1612" t="b">
        <f>QHPSelections2016[[#This Row],[County Name]]=P1612</f>
        <v>1</v>
      </c>
      <c r="L1612" t="b">
        <f>QHPSelections2016[[#This Row],[Silver]]=S1612</f>
        <v>1</v>
      </c>
      <c r="N1612">
        <v>39097</v>
      </c>
      <c r="O1612" t="s">
        <v>3772</v>
      </c>
      <c r="P1612" t="s">
        <v>1029</v>
      </c>
      <c r="Q1612">
        <v>0</v>
      </c>
      <c r="R1612">
        <v>59</v>
      </c>
      <c r="S1612">
        <v>391</v>
      </c>
      <c r="T1612">
        <v>230</v>
      </c>
      <c r="U1612">
        <v>11</v>
      </c>
      <c r="V1612">
        <v>691</v>
      </c>
    </row>
    <row r="1613" spans="1:22">
      <c r="A1613" s="32" t="s">
        <v>3841</v>
      </c>
      <c r="B1613" s="32" t="s">
        <v>3772</v>
      </c>
      <c r="C1613" s="32" t="s">
        <v>3842</v>
      </c>
      <c r="D1613" s="33">
        <v>0</v>
      </c>
      <c r="E1613" s="33">
        <v>407</v>
      </c>
      <c r="F1613" s="33">
        <v>2966</v>
      </c>
      <c r="G1613" s="33">
        <v>1891</v>
      </c>
      <c r="H1613" s="33">
        <v>65</v>
      </c>
      <c r="I1613" s="33">
        <v>5329</v>
      </c>
      <c r="K1613" t="b">
        <f>QHPSelections2016[[#This Row],[County Name]]=P1613</f>
        <v>1</v>
      </c>
      <c r="L1613" t="b">
        <f>QHPSelections2016[[#This Row],[Silver]]=S1613</f>
        <v>1</v>
      </c>
      <c r="N1613">
        <v>39099</v>
      </c>
      <c r="O1613" t="s">
        <v>3772</v>
      </c>
      <c r="P1613" t="s">
        <v>3842</v>
      </c>
      <c r="Q1613">
        <v>0</v>
      </c>
      <c r="R1613">
        <v>407</v>
      </c>
      <c r="S1613" s="51">
        <v>2966</v>
      </c>
      <c r="T1613" s="51">
        <v>1891</v>
      </c>
      <c r="U1613">
        <v>65</v>
      </c>
      <c r="V1613" s="51">
        <v>5329</v>
      </c>
    </row>
    <row r="1614" spans="1:22">
      <c r="A1614" s="32" t="s">
        <v>3843</v>
      </c>
      <c r="B1614" s="32" t="s">
        <v>3772</v>
      </c>
      <c r="C1614" s="32" t="s">
        <v>1038</v>
      </c>
      <c r="D1614" s="33">
        <v>0</v>
      </c>
      <c r="E1614" s="33">
        <v>30</v>
      </c>
      <c r="F1614" s="33">
        <v>401</v>
      </c>
      <c r="G1614" s="33">
        <v>289</v>
      </c>
      <c r="H1614" s="33">
        <v>12</v>
      </c>
      <c r="I1614" s="33">
        <v>732</v>
      </c>
      <c r="K1614" t="b">
        <f>QHPSelections2016[[#This Row],[County Name]]=P1614</f>
        <v>1</v>
      </c>
      <c r="L1614" t="b">
        <f>QHPSelections2016[[#This Row],[Silver]]=S1614</f>
        <v>1</v>
      </c>
      <c r="N1614">
        <v>39101</v>
      </c>
      <c r="O1614" t="s">
        <v>3772</v>
      </c>
      <c r="P1614" t="s">
        <v>1038</v>
      </c>
      <c r="Q1614">
        <v>0</v>
      </c>
      <c r="R1614">
        <v>30</v>
      </c>
      <c r="S1614">
        <v>401</v>
      </c>
      <c r="T1614">
        <v>289</v>
      </c>
      <c r="U1614">
        <v>12</v>
      </c>
      <c r="V1614">
        <v>732</v>
      </c>
    </row>
    <row r="1615" spans="1:22">
      <c r="A1615" s="32" t="s">
        <v>3844</v>
      </c>
      <c r="B1615" s="32" t="s">
        <v>3772</v>
      </c>
      <c r="C1615" s="32" t="s">
        <v>1347</v>
      </c>
      <c r="D1615" s="33">
        <v>0</v>
      </c>
      <c r="E1615" s="33">
        <v>435</v>
      </c>
      <c r="F1615" s="33">
        <v>2507</v>
      </c>
      <c r="G1615" s="33">
        <v>1571</v>
      </c>
      <c r="H1615" s="33">
        <v>67</v>
      </c>
      <c r="I1615" s="33">
        <v>4580</v>
      </c>
      <c r="K1615" t="b">
        <f>QHPSelections2016[[#This Row],[County Name]]=P1615</f>
        <v>1</v>
      </c>
      <c r="L1615" t="b">
        <f>QHPSelections2016[[#This Row],[Silver]]=S1615</f>
        <v>1</v>
      </c>
      <c r="N1615">
        <v>39103</v>
      </c>
      <c r="O1615" t="s">
        <v>3772</v>
      </c>
      <c r="P1615" t="s">
        <v>1347</v>
      </c>
      <c r="Q1615">
        <v>0</v>
      </c>
      <c r="R1615">
        <v>435</v>
      </c>
      <c r="S1615" s="51">
        <v>2507</v>
      </c>
      <c r="T1615" s="51">
        <v>1571</v>
      </c>
      <c r="U1615">
        <v>67</v>
      </c>
      <c r="V1615" s="51">
        <v>4580</v>
      </c>
    </row>
    <row r="1616" spans="1:22">
      <c r="A1616" s="32" t="s">
        <v>3845</v>
      </c>
      <c r="B1616" s="32" t="s">
        <v>3772</v>
      </c>
      <c r="C1616" s="32" t="s">
        <v>1141</v>
      </c>
      <c r="D1616" s="33">
        <v>0</v>
      </c>
      <c r="E1616" s="33" t="s">
        <v>1639</v>
      </c>
      <c r="F1616" s="33">
        <v>186</v>
      </c>
      <c r="G1616" s="33">
        <v>181</v>
      </c>
      <c r="H1616" s="33" t="s">
        <v>1639</v>
      </c>
      <c r="I1616" s="33">
        <v>372</v>
      </c>
      <c r="K1616" t="b">
        <f>QHPSelections2016[[#This Row],[County Name]]=P1616</f>
        <v>1</v>
      </c>
      <c r="L1616" t="b">
        <f>QHPSelections2016[[#This Row],[Silver]]=S1616</f>
        <v>1</v>
      </c>
      <c r="N1616">
        <v>39105</v>
      </c>
      <c r="O1616" t="s">
        <v>3772</v>
      </c>
      <c r="P1616" t="s">
        <v>1141</v>
      </c>
      <c r="Q1616">
        <v>0</v>
      </c>
      <c r="S1616">
        <v>186</v>
      </c>
      <c r="T1616">
        <v>181</v>
      </c>
      <c r="V1616">
        <v>372</v>
      </c>
    </row>
    <row r="1617" spans="1:22">
      <c r="A1617" s="32" t="s">
        <v>3846</v>
      </c>
      <c r="B1617" s="32" t="s">
        <v>3772</v>
      </c>
      <c r="C1617" s="32" t="s">
        <v>2381</v>
      </c>
      <c r="D1617" s="33">
        <v>0</v>
      </c>
      <c r="E1617" s="33">
        <v>37</v>
      </c>
      <c r="F1617" s="33">
        <v>444</v>
      </c>
      <c r="G1617" s="33">
        <v>417</v>
      </c>
      <c r="H1617" s="33">
        <v>13</v>
      </c>
      <c r="I1617" s="33">
        <v>911</v>
      </c>
      <c r="K1617" t="b">
        <f>QHPSelections2016[[#This Row],[County Name]]=P1617</f>
        <v>1</v>
      </c>
      <c r="L1617" t="b">
        <f>QHPSelections2016[[#This Row],[Silver]]=S1617</f>
        <v>1</v>
      </c>
      <c r="N1617">
        <v>39107</v>
      </c>
      <c r="O1617" t="s">
        <v>3772</v>
      </c>
      <c r="P1617" t="s">
        <v>2381</v>
      </c>
      <c r="Q1617">
        <v>0</v>
      </c>
      <c r="R1617">
        <v>37</v>
      </c>
      <c r="S1617">
        <v>444</v>
      </c>
      <c r="T1617">
        <v>417</v>
      </c>
      <c r="U1617">
        <v>13</v>
      </c>
      <c r="V1617">
        <v>911</v>
      </c>
    </row>
    <row r="1618" spans="1:22">
      <c r="A1618" s="32" t="s">
        <v>3847</v>
      </c>
      <c r="B1618" s="32" t="s">
        <v>3772</v>
      </c>
      <c r="C1618" s="32" t="s">
        <v>2502</v>
      </c>
      <c r="D1618" s="33" t="s">
        <v>1639</v>
      </c>
      <c r="E1618" s="33">
        <v>213</v>
      </c>
      <c r="F1618" s="33">
        <v>1403</v>
      </c>
      <c r="G1618" s="33">
        <v>814</v>
      </c>
      <c r="H1618" s="33" t="s">
        <v>1639</v>
      </c>
      <c r="I1618" s="33">
        <v>2447</v>
      </c>
      <c r="K1618" t="b">
        <f>QHPSelections2016[[#This Row],[County Name]]=P1618</f>
        <v>1</v>
      </c>
      <c r="L1618" t="b">
        <f>QHPSelections2016[[#This Row],[Silver]]=S1618</f>
        <v>1</v>
      </c>
      <c r="N1618">
        <v>39109</v>
      </c>
      <c r="O1618" t="s">
        <v>3772</v>
      </c>
      <c r="P1618" t="s">
        <v>2502</v>
      </c>
      <c r="R1618">
        <v>213</v>
      </c>
      <c r="S1618" s="51">
        <v>1403</v>
      </c>
      <c r="T1618">
        <v>814</v>
      </c>
      <c r="V1618" s="51">
        <v>2447</v>
      </c>
    </row>
    <row r="1619" spans="1:22">
      <c r="A1619" s="32" t="s">
        <v>3848</v>
      </c>
      <c r="B1619" s="32" t="s">
        <v>3772</v>
      </c>
      <c r="C1619" s="32" t="s">
        <v>1055</v>
      </c>
      <c r="D1619" s="33" t="s">
        <v>1639</v>
      </c>
      <c r="E1619" s="33">
        <v>24</v>
      </c>
      <c r="F1619" s="33">
        <v>162</v>
      </c>
      <c r="G1619" s="33">
        <v>121</v>
      </c>
      <c r="H1619" s="33" t="s">
        <v>1639</v>
      </c>
      <c r="I1619" s="33">
        <v>308</v>
      </c>
      <c r="K1619" t="b">
        <f>QHPSelections2016[[#This Row],[County Name]]=P1619</f>
        <v>1</v>
      </c>
      <c r="L1619" t="b">
        <f>QHPSelections2016[[#This Row],[Silver]]=S1619</f>
        <v>1</v>
      </c>
      <c r="N1619">
        <v>39111</v>
      </c>
      <c r="O1619" t="s">
        <v>3772</v>
      </c>
      <c r="P1619" t="s">
        <v>1055</v>
      </c>
      <c r="R1619">
        <v>24</v>
      </c>
      <c r="S1619">
        <v>162</v>
      </c>
      <c r="T1619">
        <v>121</v>
      </c>
      <c r="V1619">
        <v>308</v>
      </c>
    </row>
    <row r="1620" spans="1:22">
      <c r="A1620" s="32" t="s">
        <v>3849</v>
      </c>
      <c r="B1620" s="32" t="s">
        <v>3772</v>
      </c>
      <c r="C1620" s="32" t="s">
        <v>1079</v>
      </c>
      <c r="D1620" s="33">
        <v>62</v>
      </c>
      <c r="E1620" s="33">
        <v>844</v>
      </c>
      <c r="F1620" s="33">
        <v>6701</v>
      </c>
      <c r="G1620" s="33">
        <v>3564</v>
      </c>
      <c r="H1620" s="33">
        <v>66</v>
      </c>
      <c r="I1620" s="33">
        <v>11237</v>
      </c>
      <c r="K1620" t="b">
        <f>QHPSelections2016[[#This Row],[County Name]]=P1620</f>
        <v>1</v>
      </c>
      <c r="L1620" t="b">
        <f>QHPSelections2016[[#This Row],[Silver]]=S1620</f>
        <v>1</v>
      </c>
      <c r="N1620">
        <v>39113</v>
      </c>
      <c r="O1620" t="s">
        <v>3772</v>
      </c>
      <c r="P1620" t="s">
        <v>1079</v>
      </c>
      <c r="Q1620">
        <v>62</v>
      </c>
      <c r="R1620">
        <v>844</v>
      </c>
      <c r="S1620" s="51">
        <v>6701</v>
      </c>
      <c r="T1620" s="51">
        <v>3564</v>
      </c>
      <c r="U1620">
        <v>66</v>
      </c>
      <c r="V1620" s="51">
        <v>11237</v>
      </c>
    </row>
    <row r="1621" spans="1:22">
      <c r="A1621" s="32" t="s">
        <v>3850</v>
      </c>
      <c r="B1621" s="32" t="s">
        <v>3772</v>
      </c>
      <c r="C1621" s="32" t="s">
        <v>1092</v>
      </c>
      <c r="D1621" s="33">
        <v>0</v>
      </c>
      <c r="E1621" s="33">
        <v>16</v>
      </c>
      <c r="F1621" s="33">
        <v>164</v>
      </c>
      <c r="G1621" s="33">
        <v>104</v>
      </c>
      <c r="H1621" s="33">
        <v>0</v>
      </c>
      <c r="I1621" s="33">
        <v>284</v>
      </c>
      <c r="K1621" t="b">
        <f>QHPSelections2016[[#This Row],[County Name]]=P1621</f>
        <v>1</v>
      </c>
      <c r="L1621" t="b">
        <f>QHPSelections2016[[#This Row],[Silver]]=S1621</f>
        <v>1</v>
      </c>
      <c r="N1621">
        <v>39115</v>
      </c>
      <c r="O1621" t="s">
        <v>3772</v>
      </c>
      <c r="P1621" t="s">
        <v>1092</v>
      </c>
      <c r="Q1621">
        <v>0</v>
      </c>
      <c r="R1621">
        <v>16</v>
      </c>
      <c r="S1621">
        <v>164</v>
      </c>
      <c r="T1621">
        <v>104</v>
      </c>
      <c r="U1621">
        <v>0</v>
      </c>
      <c r="V1621">
        <v>284</v>
      </c>
    </row>
    <row r="1622" spans="1:22">
      <c r="A1622" s="32" t="s">
        <v>3851</v>
      </c>
      <c r="B1622" s="32" t="s">
        <v>3772</v>
      </c>
      <c r="C1622" s="32" t="s">
        <v>3852</v>
      </c>
      <c r="D1622" s="33">
        <v>0</v>
      </c>
      <c r="E1622" s="33">
        <v>40</v>
      </c>
      <c r="F1622" s="33">
        <v>367</v>
      </c>
      <c r="G1622" s="33">
        <v>230</v>
      </c>
      <c r="H1622" s="33">
        <v>13</v>
      </c>
      <c r="I1622" s="33">
        <v>650</v>
      </c>
      <c r="K1622" t="b">
        <f>QHPSelections2016[[#This Row],[County Name]]=P1622</f>
        <v>1</v>
      </c>
      <c r="L1622" t="b">
        <f>QHPSelections2016[[#This Row],[Silver]]=S1622</f>
        <v>1</v>
      </c>
      <c r="N1622">
        <v>39117</v>
      </c>
      <c r="O1622" t="s">
        <v>3772</v>
      </c>
      <c r="P1622" t="s">
        <v>3852</v>
      </c>
      <c r="Q1622">
        <v>0</v>
      </c>
      <c r="R1622">
        <v>40</v>
      </c>
      <c r="S1622">
        <v>367</v>
      </c>
      <c r="T1622">
        <v>230</v>
      </c>
      <c r="U1622">
        <v>13</v>
      </c>
      <c r="V1622">
        <v>650</v>
      </c>
    </row>
    <row r="1623" spans="1:22">
      <c r="A1623" s="32" t="s">
        <v>3853</v>
      </c>
      <c r="B1623" s="32" t="s">
        <v>3772</v>
      </c>
      <c r="C1623" s="32" t="s">
        <v>3854</v>
      </c>
      <c r="D1623" s="33">
        <v>0</v>
      </c>
      <c r="E1623" s="33">
        <v>126</v>
      </c>
      <c r="F1623" s="33">
        <v>997</v>
      </c>
      <c r="G1623" s="33">
        <v>645</v>
      </c>
      <c r="H1623" s="33">
        <v>16</v>
      </c>
      <c r="I1623" s="33">
        <v>1784</v>
      </c>
      <c r="K1623" t="b">
        <f>QHPSelections2016[[#This Row],[County Name]]=P1623</f>
        <v>1</v>
      </c>
      <c r="L1623" t="b">
        <f>QHPSelections2016[[#This Row],[Silver]]=S1623</f>
        <v>1</v>
      </c>
      <c r="N1623">
        <v>39119</v>
      </c>
      <c r="O1623" t="s">
        <v>3772</v>
      </c>
      <c r="P1623" t="s">
        <v>3854</v>
      </c>
      <c r="Q1623">
        <v>0</v>
      </c>
      <c r="R1623">
        <v>126</v>
      </c>
      <c r="S1623">
        <v>997</v>
      </c>
      <c r="T1623">
        <v>645</v>
      </c>
      <c r="U1623">
        <v>16</v>
      </c>
      <c r="V1623" s="51">
        <v>1784</v>
      </c>
    </row>
    <row r="1624" spans="1:22">
      <c r="A1624" s="32" t="s">
        <v>3855</v>
      </c>
      <c r="B1624" s="32" t="s">
        <v>3772</v>
      </c>
      <c r="C1624" s="32" t="s">
        <v>2508</v>
      </c>
      <c r="D1624" s="33" t="s">
        <v>1639</v>
      </c>
      <c r="E1624" s="33">
        <v>17</v>
      </c>
      <c r="F1624" s="33">
        <v>158</v>
      </c>
      <c r="G1624" s="33">
        <v>98</v>
      </c>
      <c r="H1624" s="33" t="s">
        <v>1639</v>
      </c>
      <c r="I1624" s="33">
        <v>277</v>
      </c>
      <c r="K1624" t="b">
        <f>QHPSelections2016[[#This Row],[County Name]]=P1624</f>
        <v>1</v>
      </c>
      <c r="L1624" t="b">
        <f>QHPSelections2016[[#This Row],[Silver]]=S1624</f>
        <v>1</v>
      </c>
      <c r="N1624">
        <v>39121</v>
      </c>
      <c r="O1624" t="s">
        <v>3772</v>
      </c>
      <c r="P1624" t="s">
        <v>2508</v>
      </c>
      <c r="R1624">
        <v>17</v>
      </c>
      <c r="S1624">
        <v>158</v>
      </c>
      <c r="T1624">
        <v>98</v>
      </c>
      <c r="V1624">
        <v>277</v>
      </c>
    </row>
    <row r="1625" spans="1:22">
      <c r="A1625" s="32" t="s">
        <v>3856</v>
      </c>
      <c r="B1625" s="32" t="s">
        <v>3772</v>
      </c>
      <c r="C1625" s="32" t="s">
        <v>2673</v>
      </c>
      <c r="D1625" s="33">
        <v>0</v>
      </c>
      <c r="E1625" s="33">
        <v>81</v>
      </c>
      <c r="F1625" s="33">
        <v>597</v>
      </c>
      <c r="G1625" s="33">
        <v>391</v>
      </c>
      <c r="H1625" s="33">
        <v>11</v>
      </c>
      <c r="I1625" s="33">
        <v>1080</v>
      </c>
      <c r="K1625" t="b">
        <f>QHPSelections2016[[#This Row],[County Name]]=P1625</f>
        <v>1</v>
      </c>
      <c r="L1625" t="b">
        <f>QHPSelections2016[[#This Row],[Silver]]=S1625</f>
        <v>1</v>
      </c>
      <c r="N1625">
        <v>39123</v>
      </c>
      <c r="O1625" t="s">
        <v>3772</v>
      </c>
      <c r="P1625" t="s">
        <v>2673</v>
      </c>
      <c r="Q1625">
        <v>0</v>
      </c>
      <c r="R1625">
        <v>81</v>
      </c>
      <c r="S1625">
        <v>597</v>
      </c>
      <c r="T1625">
        <v>391</v>
      </c>
      <c r="U1625">
        <v>11</v>
      </c>
      <c r="V1625" s="51">
        <v>1080</v>
      </c>
    </row>
    <row r="1626" spans="1:22">
      <c r="A1626" s="32" t="s">
        <v>3857</v>
      </c>
      <c r="B1626" s="32" t="s">
        <v>3772</v>
      </c>
      <c r="C1626" s="32" t="s">
        <v>1282</v>
      </c>
      <c r="D1626" s="33" t="s">
        <v>1639</v>
      </c>
      <c r="E1626" s="33" t="s">
        <v>1639</v>
      </c>
      <c r="F1626" s="33">
        <v>223</v>
      </c>
      <c r="G1626" s="33">
        <v>142</v>
      </c>
      <c r="H1626" s="33" t="s">
        <v>1639</v>
      </c>
      <c r="I1626" s="33">
        <v>380</v>
      </c>
      <c r="K1626" t="b">
        <f>QHPSelections2016[[#This Row],[County Name]]=P1626</f>
        <v>1</v>
      </c>
      <c r="L1626" t="b">
        <f>QHPSelections2016[[#This Row],[Silver]]=S1626</f>
        <v>1</v>
      </c>
      <c r="N1626">
        <v>39125</v>
      </c>
      <c r="O1626" t="s">
        <v>3772</v>
      </c>
      <c r="P1626" t="s">
        <v>1282</v>
      </c>
      <c r="S1626">
        <v>223</v>
      </c>
      <c r="T1626">
        <v>142</v>
      </c>
      <c r="V1626">
        <v>380</v>
      </c>
    </row>
    <row r="1627" spans="1:22">
      <c r="A1627" s="32" t="s">
        <v>3858</v>
      </c>
      <c r="B1627" s="32" t="s">
        <v>3772</v>
      </c>
      <c r="C1627" s="32" t="s">
        <v>1097</v>
      </c>
      <c r="D1627" s="33" t="s">
        <v>1639</v>
      </c>
      <c r="E1627" s="33">
        <v>37</v>
      </c>
      <c r="F1627" s="33">
        <v>377</v>
      </c>
      <c r="G1627" s="33">
        <v>233</v>
      </c>
      <c r="H1627" s="33" t="s">
        <v>1639</v>
      </c>
      <c r="I1627" s="33">
        <v>655</v>
      </c>
      <c r="K1627" t="b">
        <f>QHPSelections2016[[#This Row],[County Name]]=P1627</f>
        <v>1</v>
      </c>
      <c r="L1627" t="b">
        <f>QHPSelections2016[[#This Row],[Silver]]=S1627</f>
        <v>1</v>
      </c>
      <c r="N1627">
        <v>39127</v>
      </c>
      <c r="O1627" t="s">
        <v>3772</v>
      </c>
      <c r="P1627" t="s">
        <v>1097</v>
      </c>
      <c r="R1627">
        <v>37</v>
      </c>
      <c r="S1627">
        <v>377</v>
      </c>
      <c r="T1627">
        <v>233</v>
      </c>
      <c r="V1627">
        <v>655</v>
      </c>
    </row>
    <row r="1628" spans="1:22">
      <c r="A1628" s="32" t="s">
        <v>3859</v>
      </c>
      <c r="B1628" s="32" t="s">
        <v>3772</v>
      </c>
      <c r="C1628" s="32" t="s">
        <v>3860</v>
      </c>
      <c r="D1628" s="33" t="s">
        <v>1639</v>
      </c>
      <c r="E1628" s="33">
        <v>59</v>
      </c>
      <c r="F1628" s="33">
        <v>509</v>
      </c>
      <c r="G1628" s="33">
        <v>322</v>
      </c>
      <c r="H1628" s="33" t="s">
        <v>1639</v>
      </c>
      <c r="I1628" s="33">
        <v>896</v>
      </c>
      <c r="K1628" t="b">
        <f>QHPSelections2016[[#This Row],[County Name]]=P1628</f>
        <v>1</v>
      </c>
      <c r="L1628" t="b">
        <f>QHPSelections2016[[#This Row],[Silver]]=S1628</f>
        <v>1</v>
      </c>
      <c r="N1628">
        <v>39129</v>
      </c>
      <c r="O1628" t="s">
        <v>3772</v>
      </c>
      <c r="P1628" t="s">
        <v>3860</v>
      </c>
      <c r="R1628">
        <v>59</v>
      </c>
      <c r="S1628">
        <v>509</v>
      </c>
      <c r="T1628">
        <v>322</v>
      </c>
      <c r="V1628">
        <v>896</v>
      </c>
    </row>
    <row r="1629" spans="1:22">
      <c r="A1629" s="32" t="s">
        <v>3861</v>
      </c>
      <c r="B1629" s="32" t="s">
        <v>3772</v>
      </c>
      <c r="C1629" s="32" t="s">
        <v>1109</v>
      </c>
      <c r="D1629" s="33">
        <v>0</v>
      </c>
      <c r="E1629" s="33">
        <v>30</v>
      </c>
      <c r="F1629" s="33">
        <v>219</v>
      </c>
      <c r="G1629" s="33">
        <v>180</v>
      </c>
      <c r="H1629" s="33">
        <v>0</v>
      </c>
      <c r="I1629" s="33">
        <v>429</v>
      </c>
      <c r="K1629" t="b">
        <f>QHPSelections2016[[#This Row],[County Name]]=P1629</f>
        <v>1</v>
      </c>
      <c r="L1629" t="b">
        <f>QHPSelections2016[[#This Row],[Silver]]=S1629</f>
        <v>1</v>
      </c>
      <c r="N1629">
        <v>39131</v>
      </c>
      <c r="O1629" t="s">
        <v>3772</v>
      </c>
      <c r="P1629" t="s">
        <v>1109</v>
      </c>
      <c r="Q1629">
        <v>0</v>
      </c>
      <c r="R1629">
        <v>30</v>
      </c>
      <c r="S1629">
        <v>219</v>
      </c>
      <c r="T1629">
        <v>180</v>
      </c>
      <c r="U1629">
        <v>0</v>
      </c>
      <c r="V1629">
        <v>429</v>
      </c>
    </row>
    <row r="1630" spans="1:22">
      <c r="A1630" s="32" t="s">
        <v>3862</v>
      </c>
      <c r="B1630" s="32" t="s">
        <v>3772</v>
      </c>
      <c r="C1630" s="32" t="s">
        <v>3863</v>
      </c>
      <c r="D1630" s="33">
        <v>0</v>
      </c>
      <c r="E1630" s="33">
        <v>303</v>
      </c>
      <c r="F1630" s="33">
        <v>1908</v>
      </c>
      <c r="G1630" s="33">
        <v>1248</v>
      </c>
      <c r="H1630" s="33">
        <v>43</v>
      </c>
      <c r="I1630" s="33">
        <v>3502</v>
      </c>
      <c r="K1630" t="b">
        <f>QHPSelections2016[[#This Row],[County Name]]=P1630</f>
        <v>1</v>
      </c>
      <c r="L1630" t="b">
        <f>QHPSelections2016[[#This Row],[Silver]]=S1630</f>
        <v>1</v>
      </c>
      <c r="N1630">
        <v>39133</v>
      </c>
      <c r="O1630" t="s">
        <v>3772</v>
      </c>
      <c r="P1630" t="s">
        <v>3863</v>
      </c>
      <c r="Q1630">
        <v>0</v>
      </c>
      <c r="R1630">
        <v>303</v>
      </c>
      <c r="S1630" s="51">
        <v>1908</v>
      </c>
      <c r="T1630" s="51">
        <v>1248</v>
      </c>
      <c r="U1630">
        <v>43</v>
      </c>
      <c r="V1630" s="51">
        <v>3502</v>
      </c>
    </row>
    <row r="1631" spans="1:22">
      <c r="A1631" s="32" t="s">
        <v>3864</v>
      </c>
      <c r="B1631" s="32" t="s">
        <v>3772</v>
      </c>
      <c r="C1631" s="32" t="s">
        <v>3865</v>
      </c>
      <c r="D1631" s="33" t="s">
        <v>1639</v>
      </c>
      <c r="E1631" s="33">
        <v>79</v>
      </c>
      <c r="F1631" s="33">
        <v>483</v>
      </c>
      <c r="G1631" s="33">
        <v>293</v>
      </c>
      <c r="H1631" s="33" t="s">
        <v>1639</v>
      </c>
      <c r="I1631" s="33">
        <v>860</v>
      </c>
      <c r="K1631" t="b">
        <f>QHPSelections2016[[#This Row],[County Name]]=P1631</f>
        <v>1</v>
      </c>
      <c r="L1631" t="b">
        <f>QHPSelections2016[[#This Row],[Silver]]=S1631</f>
        <v>1</v>
      </c>
      <c r="N1631">
        <v>39135</v>
      </c>
      <c r="O1631" t="s">
        <v>3772</v>
      </c>
      <c r="P1631" t="s">
        <v>3865</v>
      </c>
      <c r="R1631">
        <v>79</v>
      </c>
      <c r="S1631">
        <v>483</v>
      </c>
      <c r="T1631">
        <v>293</v>
      </c>
      <c r="V1631">
        <v>860</v>
      </c>
    </row>
    <row r="1632" spans="1:22">
      <c r="A1632" s="32" t="s">
        <v>3866</v>
      </c>
      <c r="B1632" s="32" t="s">
        <v>3772</v>
      </c>
      <c r="C1632" s="32" t="s">
        <v>1103</v>
      </c>
      <c r="D1632" s="33">
        <v>0</v>
      </c>
      <c r="E1632" s="33">
        <v>21</v>
      </c>
      <c r="F1632" s="33">
        <v>246</v>
      </c>
      <c r="G1632" s="33">
        <v>303</v>
      </c>
      <c r="H1632" s="33">
        <v>19</v>
      </c>
      <c r="I1632" s="33">
        <v>589</v>
      </c>
      <c r="K1632" t="b">
        <f>QHPSelections2016[[#This Row],[County Name]]=P1632</f>
        <v>1</v>
      </c>
      <c r="L1632" t="b">
        <f>QHPSelections2016[[#This Row],[Silver]]=S1632</f>
        <v>1</v>
      </c>
      <c r="N1632">
        <v>39137</v>
      </c>
      <c r="O1632" t="s">
        <v>3772</v>
      </c>
      <c r="P1632" t="s">
        <v>1103</v>
      </c>
      <c r="Q1632">
        <v>0</v>
      </c>
      <c r="R1632">
        <v>21</v>
      </c>
      <c r="S1632">
        <v>246</v>
      </c>
      <c r="T1632">
        <v>303</v>
      </c>
      <c r="U1632">
        <v>19</v>
      </c>
      <c r="V1632">
        <v>589</v>
      </c>
    </row>
    <row r="1633" spans="1:22">
      <c r="A1633" s="32" t="s">
        <v>3867</v>
      </c>
      <c r="B1633" s="32" t="s">
        <v>3772</v>
      </c>
      <c r="C1633" s="32" t="s">
        <v>2400</v>
      </c>
      <c r="D1633" s="33">
        <v>0</v>
      </c>
      <c r="E1633" s="33">
        <v>170</v>
      </c>
      <c r="F1633" s="33">
        <v>1242</v>
      </c>
      <c r="G1633" s="33">
        <v>877</v>
      </c>
      <c r="H1633" s="33">
        <v>19</v>
      </c>
      <c r="I1633" s="33">
        <v>2308</v>
      </c>
      <c r="K1633" t="b">
        <f>QHPSelections2016[[#This Row],[County Name]]=P1633</f>
        <v>1</v>
      </c>
      <c r="L1633" t="b">
        <f>QHPSelections2016[[#This Row],[Silver]]=S1633</f>
        <v>1</v>
      </c>
      <c r="N1633">
        <v>39139</v>
      </c>
      <c r="O1633" t="s">
        <v>3772</v>
      </c>
      <c r="P1633" t="s">
        <v>2400</v>
      </c>
      <c r="Q1633">
        <v>0</v>
      </c>
      <c r="R1633">
        <v>170</v>
      </c>
      <c r="S1633" s="51">
        <v>1242</v>
      </c>
      <c r="T1633">
        <v>877</v>
      </c>
      <c r="U1633">
        <v>19</v>
      </c>
      <c r="V1633" s="51">
        <v>2308</v>
      </c>
    </row>
    <row r="1634" spans="1:22">
      <c r="A1634" s="32" t="s">
        <v>3868</v>
      </c>
      <c r="B1634" s="32" t="s">
        <v>3772</v>
      </c>
      <c r="C1634" s="32" t="s">
        <v>3869</v>
      </c>
      <c r="D1634" s="33" t="s">
        <v>1639</v>
      </c>
      <c r="E1634" s="33">
        <v>82</v>
      </c>
      <c r="F1634" s="33">
        <v>732</v>
      </c>
      <c r="G1634" s="33">
        <v>494</v>
      </c>
      <c r="H1634" s="33" t="s">
        <v>1639</v>
      </c>
      <c r="I1634" s="33">
        <v>1312</v>
      </c>
      <c r="K1634" t="b">
        <f>QHPSelections2016[[#This Row],[County Name]]=P1634</f>
        <v>1</v>
      </c>
      <c r="L1634" t="b">
        <f>QHPSelections2016[[#This Row],[Silver]]=S1634</f>
        <v>1</v>
      </c>
      <c r="N1634">
        <v>39141</v>
      </c>
      <c r="O1634" t="s">
        <v>3772</v>
      </c>
      <c r="P1634" t="s">
        <v>3869</v>
      </c>
      <c r="R1634">
        <v>82</v>
      </c>
      <c r="S1634">
        <v>732</v>
      </c>
      <c r="T1634">
        <v>494</v>
      </c>
      <c r="V1634" s="51">
        <v>1312</v>
      </c>
    </row>
    <row r="1635" spans="1:22">
      <c r="A1635" s="32" t="s">
        <v>3870</v>
      </c>
      <c r="B1635" s="32" t="s">
        <v>3772</v>
      </c>
      <c r="C1635" s="32" t="s">
        <v>3871</v>
      </c>
      <c r="D1635" s="33">
        <v>0</v>
      </c>
      <c r="E1635" s="33">
        <v>77</v>
      </c>
      <c r="F1635" s="33">
        <v>560</v>
      </c>
      <c r="G1635" s="33">
        <v>364</v>
      </c>
      <c r="H1635" s="33">
        <v>28</v>
      </c>
      <c r="I1635" s="33">
        <v>1029</v>
      </c>
      <c r="K1635" t="b">
        <f>QHPSelections2016[[#This Row],[County Name]]=P1635</f>
        <v>1</v>
      </c>
      <c r="L1635" t="b">
        <f>QHPSelections2016[[#This Row],[Silver]]=S1635</f>
        <v>1</v>
      </c>
      <c r="N1635">
        <v>39143</v>
      </c>
      <c r="O1635" t="s">
        <v>3772</v>
      </c>
      <c r="P1635" t="s">
        <v>3871</v>
      </c>
      <c r="Q1635">
        <v>0</v>
      </c>
      <c r="R1635">
        <v>77</v>
      </c>
      <c r="S1635">
        <v>560</v>
      </c>
      <c r="T1635">
        <v>364</v>
      </c>
      <c r="U1635">
        <v>28</v>
      </c>
      <c r="V1635" s="51">
        <v>1029</v>
      </c>
    </row>
    <row r="1636" spans="1:22">
      <c r="A1636" s="32" t="s">
        <v>3872</v>
      </c>
      <c r="B1636" s="32" t="s">
        <v>3772</v>
      </c>
      <c r="C1636" s="32" t="s">
        <v>3873</v>
      </c>
      <c r="D1636" s="33" t="s">
        <v>1639</v>
      </c>
      <c r="E1636" s="33">
        <v>90</v>
      </c>
      <c r="F1636" s="33">
        <v>966</v>
      </c>
      <c r="G1636" s="33">
        <v>259</v>
      </c>
      <c r="H1636" s="33" t="s">
        <v>1639</v>
      </c>
      <c r="I1636" s="33">
        <v>1318</v>
      </c>
      <c r="K1636" t="b">
        <f>QHPSelections2016[[#This Row],[County Name]]=P1636</f>
        <v>1</v>
      </c>
      <c r="L1636" t="b">
        <f>QHPSelections2016[[#This Row],[Silver]]=S1636</f>
        <v>1</v>
      </c>
      <c r="N1636">
        <v>39145</v>
      </c>
      <c r="O1636" t="s">
        <v>3772</v>
      </c>
      <c r="P1636" t="s">
        <v>3873</v>
      </c>
      <c r="R1636">
        <v>90</v>
      </c>
      <c r="S1636">
        <v>966</v>
      </c>
      <c r="T1636">
        <v>259</v>
      </c>
      <c r="V1636" s="51">
        <v>1318</v>
      </c>
    </row>
    <row r="1637" spans="1:22">
      <c r="A1637" s="32" t="s">
        <v>3874</v>
      </c>
      <c r="B1637" s="32" t="s">
        <v>3772</v>
      </c>
      <c r="C1637" s="32" t="s">
        <v>3875</v>
      </c>
      <c r="D1637" s="33">
        <v>0</v>
      </c>
      <c r="E1637" s="33">
        <v>34</v>
      </c>
      <c r="F1637" s="33">
        <v>586</v>
      </c>
      <c r="G1637" s="33">
        <v>446</v>
      </c>
      <c r="H1637" s="33">
        <v>13</v>
      </c>
      <c r="I1637" s="33">
        <v>1079</v>
      </c>
      <c r="K1637" t="b">
        <f>QHPSelections2016[[#This Row],[County Name]]=P1637</f>
        <v>1</v>
      </c>
      <c r="L1637" t="b">
        <f>QHPSelections2016[[#This Row],[Silver]]=S1637</f>
        <v>1</v>
      </c>
      <c r="N1637">
        <v>39147</v>
      </c>
      <c r="O1637" t="s">
        <v>3772</v>
      </c>
      <c r="P1637" t="s">
        <v>3875</v>
      </c>
      <c r="Q1637">
        <v>0</v>
      </c>
      <c r="R1637">
        <v>34</v>
      </c>
      <c r="S1637">
        <v>586</v>
      </c>
      <c r="T1637">
        <v>446</v>
      </c>
      <c r="U1637">
        <v>13</v>
      </c>
      <c r="V1637" s="51">
        <v>1079</v>
      </c>
    </row>
    <row r="1638" spans="1:22">
      <c r="A1638" s="32" t="s">
        <v>3876</v>
      </c>
      <c r="B1638" s="32" t="s">
        <v>3772</v>
      </c>
      <c r="C1638" s="32" t="s">
        <v>1126</v>
      </c>
      <c r="D1638" s="33" t="s">
        <v>1639</v>
      </c>
      <c r="E1638" s="33">
        <v>44</v>
      </c>
      <c r="F1638" s="33">
        <v>444</v>
      </c>
      <c r="G1638" s="33">
        <v>339</v>
      </c>
      <c r="H1638" s="33" t="s">
        <v>1639</v>
      </c>
      <c r="I1638" s="33">
        <v>831</v>
      </c>
      <c r="K1638" t="b">
        <f>QHPSelections2016[[#This Row],[County Name]]=P1638</f>
        <v>1</v>
      </c>
      <c r="L1638" t="b">
        <f>QHPSelections2016[[#This Row],[Silver]]=S1638</f>
        <v>1</v>
      </c>
      <c r="N1638">
        <v>39149</v>
      </c>
      <c r="O1638" t="s">
        <v>3772</v>
      </c>
      <c r="P1638" t="s">
        <v>1126</v>
      </c>
      <c r="R1638">
        <v>44</v>
      </c>
      <c r="S1638">
        <v>444</v>
      </c>
      <c r="T1638">
        <v>339</v>
      </c>
      <c r="V1638">
        <v>831</v>
      </c>
    </row>
    <row r="1639" spans="1:22">
      <c r="A1639" s="32" t="s">
        <v>3877</v>
      </c>
      <c r="B1639" s="32" t="s">
        <v>3772</v>
      </c>
      <c r="C1639" s="32" t="s">
        <v>2412</v>
      </c>
      <c r="D1639" s="33">
        <v>0</v>
      </c>
      <c r="E1639" s="33">
        <v>524</v>
      </c>
      <c r="F1639" s="33">
        <v>5109</v>
      </c>
      <c r="G1639" s="33">
        <v>2305</v>
      </c>
      <c r="H1639" s="33">
        <v>105</v>
      </c>
      <c r="I1639" s="33">
        <v>8043</v>
      </c>
      <c r="K1639" t="b">
        <f>QHPSelections2016[[#This Row],[County Name]]=P1639</f>
        <v>1</v>
      </c>
      <c r="L1639" t="b">
        <f>QHPSelections2016[[#This Row],[Silver]]=S1639</f>
        <v>1</v>
      </c>
      <c r="N1639">
        <v>39151</v>
      </c>
      <c r="O1639" t="s">
        <v>3772</v>
      </c>
      <c r="P1639" t="s">
        <v>2412</v>
      </c>
      <c r="Q1639">
        <v>0</v>
      </c>
      <c r="R1639">
        <v>524</v>
      </c>
      <c r="S1639" s="51">
        <v>5109</v>
      </c>
      <c r="T1639" s="51">
        <v>2305</v>
      </c>
      <c r="U1639">
        <v>105</v>
      </c>
      <c r="V1639" s="51">
        <v>8043</v>
      </c>
    </row>
    <row r="1640" spans="1:22">
      <c r="A1640" s="32" t="s">
        <v>3878</v>
      </c>
      <c r="B1640" s="32" t="s">
        <v>3772</v>
      </c>
      <c r="C1640" s="32" t="s">
        <v>3879</v>
      </c>
      <c r="D1640" s="33">
        <v>0</v>
      </c>
      <c r="E1640" s="33">
        <v>1169</v>
      </c>
      <c r="F1640" s="33">
        <v>7051</v>
      </c>
      <c r="G1640" s="33">
        <v>4290</v>
      </c>
      <c r="H1640" s="33">
        <v>132</v>
      </c>
      <c r="I1640" s="33">
        <v>12642</v>
      </c>
      <c r="K1640" t="b">
        <f>QHPSelections2016[[#This Row],[County Name]]=P1640</f>
        <v>1</v>
      </c>
      <c r="L1640" t="b">
        <f>QHPSelections2016[[#This Row],[Silver]]=S1640</f>
        <v>1</v>
      </c>
      <c r="N1640">
        <v>39153</v>
      </c>
      <c r="O1640" t="s">
        <v>3772</v>
      </c>
      <c r="P1640" t="s">
        <v>3879</v>
      </c>
      <c r="Q1640">
        <v>0</v>
      </c>
      <c r="R1640" s="51">
        <v>1169</v>
      </c>
      <c r="S1640" s="51">
        <v>7051</v>
      </c>
      <c r="T1640" s="51">
        <v>4290</v>
      </c>
      <c r="U1640">
        <v>132</v>
      </c>
      <c r="V1640" s="51">
        <v>12642</v>
      </c>
    </row>
    <row r="1641" spans="1:22">
      <c r="A1641" s="32" t="s">
        <v>3880</v>
      </c>
      <c r="B1641" s="32" t="s">
        <v>3772</v>
      </c>
      <c r="C1641" s="32" t="s">
        <v>3881</v>
      </c>
      <c r="D1641" s="33">
        <v>0</v>
      </c>
      <c r="E1641" s="33">
        <v>347</v>
      </c>
      <c r="F1641" s="33">
        <v>2855</v>
      </c>
      <c r="G1641" s="33">
        <v>1694</v>
      </c>
      <c r="H1641" s="33">
        <v>57</v>
      </c>
      <c r="I1641" s="33">
        <v>4953</v>
      </c>
      <c r="K1641" t="b">
        <f>QHPSelections2016[[#This Row],[County Name]]=P1641</f>
        <v>1</v>
      </c>
      <c r="L1641" t="b">
        <f>QHPSelections2016[[#This Row],[Silver]]=S1641</f>
        <v>1</v>
      </c>
      <c r="N1641">
        <v>39155</v>
      </c>
      <c r="O1641" t="s">
        <v>3772</v>
      </c>
      <c r="P1641" t="s">
        <v>3881</v>
      </c>
      <c r="Q1641">
        <v>0</v>
      </c>
      <c r="R1641">
        <v>347</v>
      </c>
      <c r="S1641" s="51">
        <v>2855</v>
      </c>
      <c r="T1641" s="51">
        <v>1694</v>
      </c>
      <c r="U1641">
        <v>57</v>
      </c>
      <c r="V1641" s="51">
        <v>4953</v>
      </c>
    </row>
    <row r="1642" spans="1:22">
      <c r="A1642" s="32" t="s">
        <v>3882</v>
      </c>
      <c r="B1642" s="32" t="s">
        <v>3772</v>
      </c>
      <c r="C1642" s="32" t="s">
        <v>3883</v>
      </c>
      <c r="D1642" s="33">
        <v>0</v>
      </c>
      <c r="E1642" s="33">
        <v>51</v>
      </c>
      <c r="F1642" s="33">
        <v>1350</v>
      </c>
      <c r="G1642" s="33">
        <v>418</v>
      </c>
      <c r="H1642" s="33">
        <v>23</v>
      </c>
      <c r="I1642" s="33">
        <v>1842</v>
      </c>
      <c r="K1642" t="b">
        <f>QHPSelections2016[[#This Row],[County Name]]=P1642</f>
        <v>1</v>
      </c>
      <c r="L1642" t="b">
        <f>QHPSelections2016[[#This Row],[Silver]]=S1642</f>
        <v>1</v>
      </c>
      <c r="N1642">
        <v>39157</v>
      </c>
      <c r="O1642" t="s">
        <v>3772</v>
      </c>
      <c r="P1642" t="s">
        <v>3883</v>
      </c>
      <c r="Q1642">
        <v>0</v>
      </c>
      <c r="R1642">
        <v>51</v>
      </c>
      <c r="S1642" s="51">
        <v>1350</v>
      </c>
      <c r="T1642">
        <v>418</v>
      </c>
      <c r="U1642">
        <v>23</v>
      </c>
      <c r="V1642" s="51">
        <v>1842</v>
      </c>
    </row>
    <row r="1643" spans="1:22">
      <c r="A1643" s="32" t="s">
        <v>3884</v>
      </c>
      <c r="B1643" s="32" t="s">
        <v>3772</v>
      </c>
      <c r="C1643" s="32" t="s">
        <v>1149</v>
      </c>
      <c r="D1643" s="33">
        <v>0</v>
      </c>
      <c r="E1643" s="33">
        <v>51</v>
      </c>
      <c r="F1643" s="33">
        <v>479</v>
      </c>
      <c r="G1643" s="33">
        <v>307</v>
      </c>
      <c r="H1643" s="33">
        <v>12</v>
      </c>
      <c r="I1643" s="33">
        <v>849</v>
      </c>
      <c r="K1643" t="b">
        <f>QHPSelections2016[[#This Row],[County Name]]=P1643</f>
        <v>1</v>
      </c>
      <c r="L1643" t="b">
        <f>QHPSelections2016[[#This Row],[Silver]]=S1643</f>
        <v>1</v>
      </c>
      <c r="N1643">
        <v>39159</v>
      </c>
      <c r="O1643" t="s">
        <v>3772</v>
      </c>
      <c r="P1643" t="s">
        <v>1149</v>
      </c>
      <c r="Q1643">
        <v>0</v>
      </c>
      <c r="R1643">
        <v>51</v>
      </c>
      <c r="S1643">
        <v>479</v>
      </c>
      <c r="T1643">
        <v>307</v>
      </c>
      <c r="U1643">
        <v>12</v>
      </c>
      <c r="V1643">
        <v>849</v>
      </c>
    </row>
    <row r="1644" spans="1:22">
      <c r="A1644" s="32" t="s">
        <v>3885</v>
      </c>
      <c r="B1644" s="32" t="s">
        <v>3772</v>
      </c>
      <c r="C1644" s="32" t="s">
        <v>3886</v>
      </c>
      <c r="D1644" s="33" t="s">
        <v>1639</v>
      </c>
      <c r="E1644" s="33">
        <v>21</v>
      </c>
      <c r="F1644" s="33">
        <v>284</v>
      </c>
      <c r="G1644" s="33">
        <v>240</v>
      </c>
      <c r="H1644" s="33" t="s">
        <v>1639</v>
      </c>
      <c r="I1644" s="33">
        <v>548</v>
      </c>
      <c r="K1644" t="b">
        <f>QHPSelections2016[[#This Row],[County Name]]=P1644</f>
        <v>1</v>
      </c>
      <c r="L1644" t="b">
        <f>QHPSelections2016[[#This Row],[Silver]]=S1644</f>
        <v>1</v>
      </c>
      <c r="N1644">
        <v>39161</v>
      </c>
      <c r="O1644" t="s">
        <v>3772</v>
      </c>
      <c r="P1644" t="s">
        <v>3886</v>
      </c>
      <c r="R1644">
        <v>21</v>
      </c>
      <c r="S1644">
        <v>284</v>
      </c>
      <c r="T1644">
        <v>240</v>
      </c>
      <c r="V1644">
        <v>548</v>
      </c>
    </row>
    <row r="1645" spans="1:22">
      <c r="A1645" s="32" t="s">
        <v>3887</v>
      </c>
      <c r="B1645" s="32" t="s">
        <v>3772</v>
      </c>
      <c r="C1645" s="32" t="s">
        <v>3888</v>
      </c>
      <c r="D1645" s="33" t="s">
        <v>1639</v>
      </c>
      <c r="E1645" s="33">
        <v>12</v>
      </c>
      <c r="F1645" s="33">
        <v>90</v>
      </c>
      <c r="G1645" s="33">
        <v>80</v>
      </c>
      <c r="H1645" s="33" t="s">
        <v>1639</v>
      </c>
      <c r="I1645" s="33">
        <v>184</v>
      </c>
      <c r="K1645" t="b">
        <f>QHPSelections2016[[#This Row],[County Name]]=P1645</f>
        <v>1</v>
      </c>
      <c r="L1645" t="b">
        <f>QHPSelections2016[[#This Row],[Silver]]=S1645</f>
        <v>1</v>
      </c>
      <c r="N1645">
        <v>39163</v>
      </c>
      <c r="O1645" t="s">
        <v>3772</v>
      </c>
      <c r="P1645" t="s">
        <v>3888</v>
      </c>
      <c r="R1645">
        <v>12</v>
      </c>
      <c r="S1645">
        <v>90</v>
      </c>
      <c r="T1645">
        <v>80</v>
      </c>
      <c r="V1645">
        <v>184</v>
      </c>
    </row>
    <row r="1646" spans="1:22">
      <c r="A1646" s="32" t="s">
        <v>3889</v>
      </c>
      <c r="B1646" s="32" t="s">
        <v>3772</v>
      </c>
      <c r="C1646" s="32" t="s">
        <v>1205</v>
      </c>
      <c r="D1646" s="33">
        <v>91</v>
      </c>
      <c r="E1646" s="33">
        <v>598</v>
      </c>
      <c r="F1646" s="33">
        <v>3005</v>
      </c>
      <c r="G1646" s="33">
        <v>1614</v>
      </c>
      <c r="H1646" s="33">
        <v>71</v>
      </c>
      <c r="I1646" s="33">
        <v>5379</v>
      </c>
      <c r="K1646" t="b">
        <f>QHPSelections2016[[#This Row],[County Name]]=P1646</f>
        <v>1</v>
      </c>
      <c r="L1646" t="b">
        <f>QHPSelections2016[[#This Row],[Silver]]=S1646</f>
        <v>1</v>
      </c>
      <c r="N1646">
        <v>39165</v>
      </c>
      <c r="O1646" t="s">
        <v>3772</v>
      </c>
      <c r="P1646" t="s">
        <v>1205</v>
      </c>
      <c r="Q1646">
        <v>91</v>
      </c>
      <c r="R1646">
        <v>598</v>
      </c>
      <c r="S1646" s="51">
        <v>3005</v>
      </c>
      <c r="T1646" s="51">
        <v>1614</v>
      </c>
      <c r="U1646">
        <v>71</v>
      </c>
      <c r="V1646" s="51">
        <v>5379</v>
      </c>
    </row>
    <row r="1647" spans="1:22">
      <c r="A1647" s="32" t="s">
        <v>3890</v>
      </c>
      <c r="B1647" s="32" t="s">
        <v>3772</v>
      </c>
      <c r="C1647" s="32" t="s">
        <v>1160</v>
      </c>
      <c r="D1647" s="33">
        <v>0</v>
      </c>
      <c r="E1647" s="33">
        <v>89</v>
      </c>
      <c r="F1647" s="33">
        <v>585</v>
      </c>
      <c r="G1647" s="33">
        <v>723</v>
      </c>
      <c r="H1647" s="33">
        <v>15</v>
      </c>
      <c r="I1647" s="33">
        <v>1412</v>
      </c>
      <c r="K1647" t="b">
        <f>QHPSelections2016[[#This Row],[County Name]]=P1647</f>
        <v>1</v>
      </c>
      <c r="L1647" t="b">
        <f>QHPSelections2016[[#This Row],[Silver]]=S1647</f>
        <v>1</v>
      </c>
      <c r="N1647">
        <v>39167</v>
      </c>
      <c r="O1647" t="s">
        <v>3772</v>
      </c>
      <c r="P1647" t="s">
        <v>1160</v>
      </c>
      <c r="Q1647">
        <v>0</v>
      </c>
      <c r="R1647">
        <v>89</v>
      </c>
      <c r="S1647">
        <v>585</v>
      </c>
      <c r="T1647">
        <v>723</v>
      </c>
      <c r="U1647">
        <v>15</v>
      </c>
      <c r="V1647" s="51">
        <v>1412</v>
      </c>
    </row>
    <row r="1648" spans="1:22">
      <c r="A1648" s="32" t="s">
        <v>3891</v>
      </c>
      <c r="B1648" s="32" t="s">
        <v>3772</v>
      </c>
      <c r="C1648" s="32" t="s">
        <v>1209</v>
      </c>
      <c r="D1648" s="33">
        <v>0</v>
      </c>
      <c r="E1648" s="33">
        <v>103</v>
      </c>
      <c r="F1648" s="33">
        <v>1231</v>
      </c>
      <c r="G1648" s="33">
        <v>733</v>
      </c>
      <c r="H1648" s="33">
        <v>39</v>
      </c>
      <c r="I1648" s="33">
        <v>2106</v>
      </c>
      <c r="K1648" t="b">
        <f>QHPSelections2016[[#This Row],[County Name]]=P1648</f>
        <v>1</v>
      </c>
      <c r="L1648" t="b">
        <f>QHPSelections2016[[#This Row],[Silver]]=S1648</f>
        <v>1</v>
      </c>
      <c r="N1648">
        <v>39169</v>
      </c>
      <c r="O1648" t="s">
        <v>3772</v>
      </c>
      <c r="P1648" t="s">
        <v>1209</v>
      </c>
      <c r="Q1648">
        <v>0</v>
      </c>
      <c r="R1648">
        <v>103</v>
      </c>
      <c r="S1648" s="51">
        <v>1231</v>
      </c>
      <c r="T1648">
        <v>733</v>
      </c>
      <c r="U1648">
        <v>39</v>
      </c>
      <c r="V1648" s="51">
        <v>2106</v>
      </c>
    </row>
    <row r="1649" spans="1:22">
      <c r="A1649" s="32" t="s">
        <v>3892</v>
      </c>
      <c r="B1649" s="32" t="s">
        <v>3772</v>
      </c>
      <c r="C1649" s="32" t="s">
        <v>3491</v>
      </c>
      <c r="D1649" s="33" t="s">
        <v>1639</v>
      </c>
      <c r="E1649" s="33">
        <v>25</v>
      </c>
      <c r="F1649" s="33">
        <v>403</v>
      </c>
      <c r="G1649" s="33">
        <v>225</v>
      </c>
      <c r="H1649" s="33" t="s">
        <v>1639</v>
      </c>
      <c r="I1649" s="33">
        <v>663</v>
      </c>
      <c r="K1649" t="b">
        <f>QHPSelections2016[[#This Row],[County Name]]=P1649</f>
        <v>1</v>
      </c>
      <c r="L1649" t="b">
        <f>QHPSelections2016[[#This Row],[Silver]]=S1649</f>
        <v>1</v>
      </c>
      <c r="N1649">
        <v>39171</v>
      </c>
      <c r="O1649" t="s">
        <v>3772</v>
      </c>
      <c r="P1649" t="s">
        <v>3491</v>
      </c>
      <c r="R1649">
        <v>25</v>
      </c>
      <c r="S1649">
        <v>403</v>
      </c>
      <c r="T1649">
        <v>225</v>
      </c>
      <c r="V1649">
        <v>663</v>
      </c>
    </row>
    <row r="1650" spans="1:22">
      <c r="A1650" s="32" t="s">
        <v>3893</v>
      </c>
      <c r="B1650" s="32" t="s">
        <v>3772</v>
      </c>
      <c r="C1650" s="32" t="s">
        <v>1416</v>
      </c>
      <c r="D1650" s="33">
        <v>0</v>
      </c>
      <c r="E1650" s="33">
        <v>176</v>
      </c>
      <c r="F1650" s="33">
        <v>1382</v>
      </c>
      <c r="G1650" s="33">
        <v>797</v>
      </c>
      <c r="H1650" s="33">
        <v>41</v>
      </c>
      <c r="I1650" s="33">
        <v>2396</v>
      </c>
      <c r="K1650" t="b">
        <f>QHPSelections2016[[#This Row],[County Name]]=P1650</f>
        <v>1</v>
      </c>
      <c r="L1650" t="b">
        <f>QHPSelections2016[[#This Row],[Silver]]=S1650</f>
        <v>1</v>
      </c>
      <c r="N1650">
        <v>39173</v>
      </c>
      <c r="O1650" t="s">
        <v>3772</v>
      </c>
      <c r="P1650" t="s">
        <v>1416</v>
      </c>
      <c r="Q1650">
        <v>0</v>
      </c>
      <c r="R1650">
        <v>176</v>
      </c>
      <c r="S1650" s="51">
        <v>1382</v>
      </c>
      <c r="T1650">
        <v>797</v>
      </c>
      <c r="U1650">
        <v>41</v>
      </c>
      <c r="V1650" s="51">
        <v>2396</v>
      </c>
    </row>
    <row r="1651" spans="1:22">
      <c r="A1651" s="32" t="s">
        <v>3894</v>
      </c>
      <c r="B1651" s="32" t="s">
        <v>3772</v>
      </c>
      <c r="C1651" s="32" t="s">
        <v>3895</v>
      </c>
      <c r="D1651" s="33" t="s">
        <v>1639</v>
      </c>
      <c r="E1651" s="33">
        <v>15</v>
      </c>
      <c r="F1651" s="33">
        <v>277</v>
      </c>
      <c r="G1651" s="33">
        <v>200</v>
      </c>
      <c r="H1651" s="33" t="s">
        <v>1639</v>
      </c>
      <c r="I1651" s="33">
        <v>494</v>
      </c>
      <c r="K1651" t="b">
        <f>QHPSelections2016[[#This Row],[County Name]]=P1651</f>
        <v>1</v>
      </c>
      <c r="L1651" t="b">
        <f>QHPSelections2016[[#This Row],[Silver]]=S1651</f>
        <v>1</v>
      </c>
      <c r="N1651">
        <v>39175</v>
      </c>
      <c r="O1651" t="s">
        <v>3772</v>
      </c>
      <c r="P1651" t="s">
        <v>3895</v>
      </c>
      <c r="R1651">
        <v>15</v>
      </c>
      <c r="S1651">
        <v>277</v>
      </c>
      <c r="T1651">
        <v>200</v>
      </c>
      <c r="V1651">
        <v>494</v>
      </c>
    </row>
    <row r="1652" spans="1:22">
      <c r="A1652" s="32" t="s">
        <v>3896</v>
      </c>
      <c r="B1652" s="32" t="s">
        <v>3897</v>
      </c>
      <c r="C1652" s="32" t="s">
        <v>2146</v>
      </c>
      <c r="D1652" s="33">
        <v>0</v>
      </c>
      <c r="E1652" s="33" t="s">
        <v>1639</v>
      </c>
      <c r="F1652" s="33">
        <v>362</v>
      </c>
      <c r="G1652" s="33">
        <v>207</v>
      </c>
      <c r="H1652" s="33" t="s">
        <v>1639</v>
      </c>
      <c r="I1652" s="33">
        <v>583</v>
      </c>
      <c r="K1652" t="b">
        <f>QHPSelections2016[[#This Row],[County Name]]=P1652</f>
        <v>1</v>
      </c>
      <c r="L1652" t="b">
        <f>QHPSelections2016[[#This Row],[Silver]]=S1652</f>
        <v>1</v>
      </c>
      <c r="N1652">
        <v>40001</v>
      </c>
      <c r="O1652" t="s">
        <v>3897</v>
      </c>
      <c r="P1652" t="s">
        <v>2146</v>
      </c>
      <c r="Q1652">
        <v>0</v>
      </c>
      <c r="S1652">
        <v>362</v>
      </c>
      <c r="T1652">
        <v>207</v>
      </c>
      <c r="V1652">
        <v>583</v>
      </c>
    </row>
    <row r="1653" spans="1:22">
      <c r="A1653" s="32" t="s">
        <v>3898</v>
      </c>
      <c r="B1653" s="32" t="s">
        <v>3897</v>
      </c>
      <c r="C1653" s="32" t="s">
        <v>3899</v>
      </c>
      <c r="D1653" s="33">
        <v>0</v>
      </c>
      <c r="E1653" s="33" t="s">
        <v>1639</v>
      </c>
      <c r="F1653" s="33">
        <v>139</v>
      </c>
      <c r="G1653" s="33">
        <v>71</v>
      </c>
      <c r="H1653" s="33" t="s">
        <v>1639</v>
      </c>
      <c r="I1653" s="33">
        <v>225</v>
      </c>
      <c r="K1653" t="b">
        <f>QHPSelections2016[[#This Row],[County Name]]=P1653</f>
        <v>1</v>
      </c>
      <c r="L1653" t="b">
        <f>QHPSelections2016[[#This Row],[Silver]]=S1653</f>
        <v>1</v>
      </c>
      <c r="N1653">
        <v>40003</v>
      </c>
      <c r="O1653" t="s">
        <v>3897</v>
      </c>
      <c r="P1653" t="s">
        <v>3899</v>
      </c>
      <c r="Q1653">
        <v>0</v>
      </c>
      <c r="S1653">
        <v>139</v>
      </c>
      <c r="T1653">
        <v>71</v>
      </c>
      <c r="V1653">
        <v>225</v>
      </c>
    </row>
    <row r="1654" spans="1:22">
      <c r="A1654" s="32" t="s">
        <v>3900</v>
      </c>
      <c r="B1654" s="32" t="s">
        <v>3897</v>
      </c>
      <c r="C1654" s="32" t="s">
        <v>3901</v>
      </c>
      <c r="D1654" s="33">
        <v>0</v>
      </c>
      <c r="E1654" s="33">
        <v>16</v>
      </c>
      <c r="F1654" s="33">
        <v>309</v>
      </c>
      <c r="G1654" s="33">
        <v>139</v>
      </c>
      <c r="H1654" s="33">
        <v>0</v>
      </c>
      <c r="I1654" s="33">
        <v>464</v>
      </c>
      <c r="K1654" t="b">
        <f>QHPSelections2016[[#This Row],[County Name]]=P1654</f>
        <v>1</v>
      </c>
      <c r="L1654" t="b">
        <f>QHPSelections2016[[#This Row],[Silver]]=S1654</f>
        <v>1</v>
      </c>
      <c r="N1654">
        <v>40005</v>
      </c>
      <c r="O1654" t="s">
        <v>3897</v>
      </c>
      <c r="P1654" t="s">
        <v>3901</v>
      </c>
      <c r="Q1654">
        <v>0</v>
      </c>
      <c r="R1654">
        <v>16</v>
      </c>
      <c r="S1654">
        <v>309</v>
      </c>
      <c r="T1654">
        <v>139</v>
      </c>
      <c r="U1654">
        <v>0</v>
      </c>
      <c r="V1654">
        <v>464</v>
      </c>
    </row>
    <row r="1655" spans="1:22">
      <c r="A1655" s="32" t="s">
        <v>3902</v>
      </c>
      <c r="B1655" s="32" t="s">
        <v>3897</v>
      </c>
      <c r="C1655" s="32" t="s">
        <v>3903</v>
      </c>
      <c r="D1655" s="33">
        <v>0</v>
      </c>
      <c r="E1655" s="33" t="s">
        <v>1639</v>
      </c>
      <c r="F1655" s="33">
        <v>132</v>
      </c>
      <c r="G1655" s="33">
        <v>73</v>
      </c>
      <c r="H1655" s="33" t="s">
        <v>1639</v>
      </c>
      <c r="I1655" s="33">
        <v>224</v>
      </c>
      <c r="K1655" t="b">
        <f>QHPSelections2016[[#This Row],[County Name]]=P1655</f>
        <v>1</v>
      </c>
      <c r="L1655" t="b">
        <f>QHPSelections2016[[#This Row],[Silver]]=S1655</f>
        <v>1</v>
      </c>
      <c r="N1655">
        <v>40007</v>
      </c>
      <c r="O1655" t="s">
        <v>3897</v>
      </c>
      <c r="P1655" t="s">
        <v>3903</v>
      </c>
      <c r="Q1655">
        <v>0</v>
      </c>
      <c r="S1655">
        <v>132</v>
      </c>
      <c r="T1655">
        <v>73</v>
      </c>
      <c r="V1655">
        <v>224</v>
      </c>
    </row>
    <row r="1656" spans="1:22">
      <c r="A1656" s="32" t="s">
        <v>3904</v>
      </c>
      <c r="B1656" s="32" t="s">
        <v>3897</v>
      </c>
      <c r="C1656" s="32" t="s">
        <v>3905</v>
      </c>
      <c r="D1656" s="33">
        <v>0</v>
      </c>
      <c r="E1656" s="33" t="s">
        <v>1639</v>
      </c>
      <c r="F1656" s="33">
        <v>570</v>
      </c>
      <c r="G1656" s="33">
        <v>247</v>
      </c>
      <c r="H1656" s="33" t="s">
        <v>1639</v>
      </c>
      <c r="I1656" s="33">
        <v>858</v>
      </c>
      <c r="K1656" t="b">
        <f>QHPSelections2016[[#This Row],[County Name]]=P1656</f>
        <v>1</v>
      </c>
      <c r="L1656" t="b">
        <f>QHPSelections2016[[#This Row],[Silver]]=S1656</f>
        <v>1</v>
      </c>
      <c r="N1656">
        <v>40009</v>
      </c>
      <c r="O1656" t="s">
        <v>3897</v>
      </c>
      <c r="P1656" t="s">
        <v>3905</v>
      </c>
      <c r="Q1656">
        <v>0</v>
      </c>
      <c r="S1656">
        <v>570</v>
      </c>
      <c r="T1656">
        <v>247</v>
      </c>
      <c r="V1656">
        <v>858</v>
      </c>
    </row>
    <row r="1657" spans="1:22">
      <c r="A1657" s="32" t="s">
        <v>3906</v>
      </c>
      <c r="B1657" s="32" t="s">
        <v>3897</v>
      </c>
      <c r="C1657" s="32" t="s">
        <v>3209</v>
      </c>
      <c r="D1657" s="33">
        <v>0</v>
      </c>
      <c r="E1657" s="33">
        <v>19</v>
      </c>
      <c r="F1657" s="33">
        <v>245</v>
      </c>
      <c r="G1657" s="33">
        <v>75</v>
      </c>
      <c r="H1657" s="33">
        <v>0</v>
      </c>
      <c r="I1657" s="33">
        <v>339</v>
      </c>
      <c r="K1657" t="b">
        <f>QHPSelections2016[[#This Row],[County Name]]=P1657</f>
        <v>1</v>
      </c>
      <c r="L1657" t="b">
        <f>QHPSelections2016[[#This Row],[Silver]]=S1657</f>
        <v>1</v>
      </c>
      <c r="N1657">
        <v>40011</v>
      </c>
      <c r="O1657" t="s">
        <v>3897</v>
      </c>
      <c r="P1657" t="s">
        <v>3209</v>
      </c>
      <c r="Q1657">
        <v>0</v>
      </c>
      <c r="R1657">
        <v>19</v>
      </c>
      <c r="S1657">
        <v>245</v>
      </c>
      <c r="T1657">
        <v>75</v>
      </c>
      <c r="U1657">
        <v>0</v>
      </c>
      <c r="V1657">
        <v>339</v>
      </c>
    </row>
    <row r="1658" spans="1:22">
      <c r="A1658" s="32" t="s">
        <v>3907</v>
      </c>
      <c r="B1658" s="32" t="s">
        <v>3897</v>
      </c>
      <c r="C1658" s="32" t="s">
        <v>902</v>
      </c>
      <c r="D1658" s="33">
        <v>0</v>
      </c>
      <c r="E1658" s="33" t="s">
        <v>1639</v>
      </c>
      <c r="F1658" s="33">
        <v>848</v>
      </c>
      <c r="G1658" s="33">
        <v>367</v>
      </c>
      <c r="H1658" s="33" t="s">
        <v>1639</v>
      </c>
      <c r="I1658" s="33">
        <v>1279</v>
      </c>
      <c r="K1658" t="b">
        <f>QHPSelections2016[[#This Row],[County Name]]=P1658</f>
        <v>1</v>
      </c>
      <c r="L1658" t="b">
        <f>QHPSelections2016[[#This Row],[Silver]]=S1658</f>
        <v>1</v>
      </c>
      <c r="N1658">
        <v>40013</v>
      </c>
      <c r="O1658" t="s">
        <v>3897</v>
      </c>
      <c r="P1658" t="s">
        <v>902</v>
      </c>
      <c r="Q1658">
        <v>0</v>
      </c>
      <c r="S1658">
        <v>848</v>
      </c>
      <c r="T1658">
        <v>367</v>
      </c>
      <c r="V1658" s="51">
        <v>1279</v>
      </c>
    </row>
    <row r="1659" spans="1:22">
      <c r="A1659" s="32" t="s">
        <v>3908</v>
      </c>
      <c r="B1659" s="32" t="s">
        <v>3897</v>
      </c>
      <c r="C1659" s="32" t="s">
        <v>3909</v>
      </c>
      <c r="D1659" s="33">
        <v>0</v>
      </c>
      <c r="E1659" s="33" t="s">
        <v>1639</v>
      </c>
      <c r="F1659" s="33">
        <v>527</v>
      </c>
      <c r="G1659" s="33">
        <v>308</v>
      </c>
      <c r="H1659" s="33" t="s">
        <v>1639</v>
      </c>
      <c r="I1659" s="33">
        <v>871</v>
      </c>
      <c r="K1659" t="b">
        <f>QHPSelections2016[[#This Row],[County Name]]=P1659</f>
        <v>1</v>
      </c>
      <c r="L1659" t="b">
        <f>QHPSelections2016[[#This Row],[Silver]]=S1659</f>
        <v>1</v>
      </c>
      <c r="N1659">
        <v>40015</v>
      </c>
      <c r="O1659" t="s">
        <v>3897</v>
      </c>
      <c r="P1659" t="s">
        <v>3909</v>
      </c>
      <c r="Q1659">
        <v>0</v>
      </c>
      <c r="S1659">
        <v>527</v>
      </c>
      <c r="T1659">
        <v>308</v>
      </c>
      <c r="V1659">
        <v>871</v>
      </c>
    </row>
    <row r="1660" spans="1:22">
      <c r="A1660" s="32" t="s">
        <v>3910</v>
      </c>
      <c r="B1660" s="32" t="s">
        <v>3897</v>
      </c>
      <c r="C1660" s="32" t="s">
        <v>3911</v>
      </c>
      <c r="D1660" s="33">
        <v>0</v>
      </c>
      <c r="E1660" s="33" t="s">
        <v>1639</v>
      </c>
      <c r="F1660" s="33">
        <v>3399</v>
      </c>
      <c r="G1660" s="33">
        <v>1603</v>
      </c>
      <c r="H1660" s="33" t="s">
        <v>1639</v>
      </c>
      <c r="I1660" s="33">
        <v>5327</v>
      </c>
      <c r="K1660" t="b">
        <f>QHPSelections2016[[#This Row],[County Name]]=P1660</f>
        <v>1</v>
      </c>
      <c r="L1660" t="b">
        <f>QHPSelections2016[[#This Row],[Silver]]=S1660</f>
        <v>1</v>
      </c>
      <c r="N1660">
        <v>40017</v>
      </c>
      <c r="O1660" t="s">
        <v>3897</v>
      </c>
      <c r="P1660" t="s">
        <v>3911</v>
      </c>
      <c r="Q1660">
        <v>0</v>
      </c>
      <c r="S1660" s="51">
        <v>3399</v>
      </c>
      <c r="T1660" s="51">
        <v>1603</v>
      </c>
      <c r="V1660" s="51">
        <v>5327</v>
      </c>
    </row>
    <row r="1661" spans="1:22">
      <c r="A1661" s="32" t="s">
        <v>3912</v>
      </c>
      <c r="B1661" s="32" t="s">
        <v>3897</v>
      </c>
      <c r="C1661" s="32" t="s">
        <v>877</v>
      </c>
      <c r="D1661" s="33">
        <v>0</v>
      </c>
      <c r="E1661" s="33" t="s">
        <v>1639</v>
      </c>
      <c r="F1661" s="33">
        <v>938</v>
      </c>
      <c r="G1661" s="33">
        <v>389</v>
      </c>
      <c r="H1661" s="33" t="s">
        <v>1639</v>
      </c>
      <c r="I1661" s="33">
        <v>1418</v>
      </c>
      <c r="K1661" t="b">
        <f>QHPSelections2016[[#This Row],[County Name]]=P1661</f>
        <v>1</v>
      </c>
      <c r="L1661" t="b">
        <f>QHPSelections2016[[#This Row],[Silver]]=S1661</f>
        <v>1</v>
      </c>
      <c r="N1661">
        <v>40019</v>
      </c>
      <c r="O1661" t="s">
        <v>3897</v>
      </c>
      <c r="P1661" t="s">
        <v>877</v>
      </c>
      <c r="Q1661">
        <v>0</v>
      </c>
      <c r="S1661">
        <v>938</v>
      </c>
      <c r="T1661">
        <v>389</v>
      </c>
      <c r="V1661" s="51">
        <v>1418</v>
      </c>
    </row>
    <row r="1662" spans="1:22">
      <c r="A1662" s="32" t="s">
        <v>3913</v>
      </c>
      <c r="B1662" s="32" t="s">
        <v>3897</v>
      </c>
      <c r="C1662" s="32" t="s">
        <v>872</v>
      </c>
      <c r="D1662" s="33">
        <v>0</v>
      </c>
      <c r="E1662" s="33" t="s">
        <v>1639</v>
      </c>
      <c r="F1662" s="33">
        <v>745</v>
      </c>
      <c r="G1662" s="33">
        <v>475</v>
      </c>
      <c r="H1662" s="33" t="s">
        <v>1639</v>
      </c>
      <c r="I1662" s="33">
        <v>1252</v>
      </c>
      <c r="K1662" t="b">
        <f>QHPSelections2016[[#This Row],[County Name]]=P1662</f>
        <v>1</v>
      </c>
      <c r="L1662" t="b">
        <f>QHPSelections2016[[#This Row],[Silver]]=S1662</f>
        <v>1</v>
      </c>
      <c r="N1662">
        <v>40021</v>
      </c>
      <c r="O1662" t="s">
        <v>3897</v>
      </c>
      <c r="P1662" t="s">
        <v>872</v>
      </c>
      <c r="Q1662">
        <v>0</v>
      </c>
      <c r="S1662">
        <v>745</v>
      </c>
      <c r="T1662">
        <v>475</v>
      </c>
      <c r="V1662" s="51">
        <v>1252</v>
      </c>
    </row>
    <row r="1663" spans="1:22">
      <c r="A1663" s="32" t="s">
        <v>3914</v>
      </c>
      <c r="B1663" s="32" t="s">
        <v>3897</v>
      </c>
      <c r="C1663" s="32" t="s">
        <v>875</v>
      </c>
      <c r="D1663" s="33">
        <v>0</v>
      </c>
      <c r="E1663" s="33">
        <v>13</v>
      </c>
      <c r="F1663" s="33">
        <v>472</v>
      </c>
      <c r="G1663" s="33">
        <v>152</v>
      </c>
      <c r="H1663" s="33">
        <v>0</v>
      </c>
      <c r="I1663" s="33">
        <v>637</v>
      </c>
      <c r="K1663" t="b">
        <f>QHPSelections2016[[#This Row],[County Name]]=P1663</f>
        <v>1</v>
      </c>
      <c r="L1663" t="b">
        <f>QHPSelections2016[[#This Row],[Silver]]=S1663</f>
        <v>1</v>
      </c>
      <c r="N1663">
        <v>40023</v>
      </c>
      <c r="O1663" t="s">
        <v>3897</v>
      </c>
      <c r="P1663" t="s">
        <v>875</v>
      </c>
      <c r="Q1663">
        <v>0</v>
      </c>
      <c r="R1663">
        <v>13</v>
      </c>
      <c r="S1663">
        <v>472</v>
      </c>
      <c r="T1663">
        <v>152</v>
      </c>
      <c r="U1663">
        <v>0</v>
      </c>
      <c r="V1663">
        <v>637</v>
      </c>
    </row>
    <row r="1664" spans="1:22">
      <c r="A1664" s="32" t="s">
        <v>3915</v>
      </c>
      <c r="B1664" s="32" t="s">
        <v>3897</v>
      </c>
      <c r="C1664" s="32" t="s">
        <v>3916</v>
      </c>
      <c r="D1664" s="33">
        <v>0</v>
      </c>
      <c r="E1664" s="33" t="s">
        <v>1639</v>
      </c>
      <c r="F1664" s="33">
        <v>91</v>
      </c>
      <c r="G1664" s="33">
        <v>36</v>
      </c>
      <c r="H1664" s="33" t="s">
        <v>1639</v>
      </c>
      <c r="I1664" s="33">
        <v>134</v>
      </c>
      <c r="K1664" t="b">
        <f>QHPSelections2016[[#This Row],[County Name]]=P1664</f>
        <v>1</v>
      </c>
      <c r="L1664" t="b">
        <f>QHPSelections2016[[#This Row],[Silver]]=S1664</f>
        <v>1</v>
      </c>
      <c r="N1664">
        <v>40025</v>
      </c>
      <c r="O1664" t="s">
        <v>3897</v>
      </c>
      <c r="P1664" t="s">
        <v>3916</v>
      </c>
      <c r="Q1664">
        <v>0</v>
      </c>
      <c r="S1664">
        <v>91</v>
      </c>
      <c r="T1664">
        <v>36</v>
      </c>
      <c r="V1664">
        <v>134</v>
      </c>
    </row>
    <row r="1665" spans="1:22">
      <c r="A1665" s="32" t="s">
        <v>3917</v>
      </c>
      <c r="B1665" s="32" t="s">
        <v>3897</v>
      </c>
      <c r="C1665" s="32" t="s">
        <v>950</v>
      </c>
      <c r="D1665" s="33">
        <v>0</v>
      </c>
      <c r="E1665" s="33" t="s">
        <v>1639</v>
      </c>
      <c r="F1665" s="33">
        <v>7016</v>
      </c>
      <c r="G1665" s="33">
        <v>3267</v>
      </c>
      <c r="H1665" s="33" t="s">
        <v>1639</v>
      </c>
      <c r="I1665" s="33">
        <v>10885</v>
      </c>
      <c r="K1665" t="b">
        <f>QHPSelections2016[[#This Row],[County Name]]=P1665</f>
        <v>1</v>
      </c>
      <c r="L1665" t="b">
        <f>QHPSelections2016[[#This Row],[Silver]]=S1665</f>
        <v>1</v>
      </c>
      <c r="N1665">
        <v>40027</v>
      </c>
      <c r="O1665" t="s">
        <v>3897</v>
      </c>
      <c r="P1665" t="s">
        <v>950</v>
      </c>
      <c r="Q1665">
        <v>0</v>
      </c>
      <c r="S1665" s="51">
        <v>7016</v>
      </c>
      <c r="T1665" s="51">
        <v>3267</v>
      </c>
      <c r="V1665" s="51">
        <v>10885</v>
      </c>
    </row>
    <row r="1666" spans="1:22">
      <c r="A1666" s="32" t="s">
        <v>3918</v>
      </c>
      <c r="B1666" s="32" t="s">
        <v>3897</v>
      </c>
      <c r="C1666" s="32" t="s">
        <v>3919</v>
      </c>
      <c r="D1666" s="33">
        <v>0</v>
      </c>
      <c r="E1666" s="33" t="s">
        <v>1639</v>
      </c>
      <c r="F1666" s="33">
        <v>86</v>
      </c>
      <c r="G1666" s="33">
        <v>55</v>
      </c>
      <c r="H1666" s="33" t="s">
        <v>1639</v>
      </c>
      <c r="I1666" s="33">
        <v>149</v>
      </c>
      <c r="K1666" t="b">
        <f>QHPSelections2016[[#This Row],[County Name]]=P1666</f>
        <v>1</v>
      </c>
      <c r="L1666" t="b">
        <f>QHPSelections2016[[#This Row],[Silver]]=S1666</f>
        <v>1</v>
      </c>
      <c r="N1666">
        <v>40029</v>
      </c>
      <c r="O1666" t="s">
        <v>3897</v>
      </c>
      <c r="P1666" t="s">
        <v>3919</v>
      </c>
      <c r="Q1666">
        <v>0</v>
      </c>
      <c r="S1666">
        <v>86</v>
      </c>
      <c r="T1666">
        <v>55</v>
      </c>
      <c r="V1666">
        <v>149</v>
      </c>
    </row>
    <row r="1667" spans="1:22">
      <c r="A1667" s="32" t="s">
        <v>3920</v>
      </c>
      <c r="B1667" s="32" t="s">
        <v>3897</v>
      </c>
      <c r="C1667" s="32" t="s">
        <v>1071</v>
      </c>
      <c r="D1667" s="33">
        <v>0</v>
      </c>
      <c r="E1667" s="33" t="s">
        <v>1639</v>
      </c>
      <c r="F1667" s="33">
        <v>2291</v>
      </c>
      <c r="G1667" s="33">
        <v>811</v>
      </c>
      <c r="H1667" s="33" t="s">
        <v>1639</v>
      </c>
      <c r="I1667" s="33">
        <v>3273</v>
      </c>
      <c r="K1667" t="b">
        <f>QHPSelections2016[[#This Row],[County Name]]=P1667</f>
        <v>1</v>
      </c>
      <c r="L1667" t="b">
        <f>QHPSelections2016[[#This Row],[Silver]]=S1667</f>
        <v>1</v>
      </c>
      <c r="N1667">
        <v>40031</v>
      </c>
      <c r="O1667" t="s">
        <v>3897</v>
      </c>
      <c r="P1667" t="s">
        <v>1071</v>
      </c>
      <c r="Q1667">
        <v>0</v>
      </c>
      <c r="S1667" s="51">
        <v>2291</v>
      </c>
      <c r="T1667">
        <v>811</v>
      </c>
      <c r="V1667" s="51">
        <v>3273</v>
      </c>
    </row>
    <row r="1668" spans="1:22">
      <c r="A1668" s="32" t="s">
        <v>3921</v>
      </c>
      <c r="B1668" s="32" t="s">
        <v>3897</v>
      </c>
      <c r="C1668" s="32" t="s">
        <v>3922</v>
      </c>
      <c r="D1668" s="33">
        <v>0</v>
      </c>
      <c r="E1668" s="33" t="s">
        <v>1639</v>
      </c>
      <c r="F1668" s="33">
        <v>126</v>
      </c>
      <c r="G1668" s="33">
        <v>59</v>
      </c>
      <c r="H1668" s="33" t="s">
        <v>1639</v>
      </c>
      <c r="I1668" s="33">
        <v>193</v>
      </c>
      <c r="K1668" t="b">
        <f>QHPSelections2016[[#This Row],[County Name]]=P1668</f>
        <v>1</v>
      </c>
      <c r="L1668" t="b">
        <f>QHPSelections2016[[#This Row],[Silver]]=S1668</f>
        <v>1</v>
      </c>
      <c r="N1668">
        <v>40033</v>
      </c>
      <c r="O1668" t="s">
        <v>3897</v>
      </c>
      <c r="P1668" t="s">
        <v>3922</v>
      </c>
      <c r="Q1668">
        <v>0</v>
      </c>
      <c r="S1668">
        <v>126</v>
      </c>
      <c r="T1668">
        <v>59</v>
      </c>
      <c r="V1668">
        <v>193</v>
      </c>
    </row>
    <row r="1669" spans="1:22">
      <c r="A1669" s="32" t="s">
        <v>3923</v>
      </c>
      <c r="B1669" s="32" t="s">
        <v>3897</v>
      </c>
      <c r="C1669" s="32" t="s">
        <v>3924</v>
      </c>
      <c r="D1669" s="33">
        <v>0</v>
      </c>
      <c r="E1669" s="33">
        <v>31</v>
      </c>
      <c r="F1669" s="33">
        <v>363</v>
      </c>
      <c r="G1669" s="33">
        <v>190</v>
      </c>
      <c r="H1669" s="33">
        <v>0</v>
      </c>
      <c r="I1669" s="33">
        <v>584</v>
      </c>
      <c r="K1669" t="b">
        <f>QHPSelections2016[[#This Row],[County Name]]=P1669</f>
        <v>1</v>
      </c>
      <c r="L1669" t="b">
        <f>QHPSelections2016[[#This Row],[Silver]]=S1669</f>
        <v>1</v>
      </c>
      <c r="N1669">
        <v>40035</v>
      </c>
      <c r="O1669" t="s">
        <v>3897</v>
      </c>
      <c r="P1669" t="s">
        <v>3924</v>
      </c>
      <c r="Q1669">
        <v>0</v>
      </c>
      <c r="R1669">
        <v>31</v>
      </c>
      <c r="S1669">
        <v>363</v>
      </c>
      <c r="T1669">
        <v>190</v>
      </c>
      <c r="U1669">
        <v>0</v>
      </c>
      <c r="V1669">
        <v>584</v>
      </c>
    </row>
    <row r="1670" spans="1:22">
      <c r="A1670" s="32" t="s">
        <v>3925</v>
      </c>
      <c r="B1670" s="32" t="s">
        <v>3897</v>
      </c>
      <c r="C1670" s="32" t="s">
        <v>3926</v>
      </c>
      <c r="D1670" s="33">
        <v>0</v>
      </c>
      <c r="E1670" s="33" t="s">
        <v>1639</v>
      </c>
      <c r="F1670" s="33">
        <v>1665</v>
      </c>
      <c r="G1670" s="33">
        <v>723</v>
      </c>
      <c r="H1670" s="33" t="s">
        <v>1639</v>
      </c>
      <c r="I1670" s="33">
        <v>2513</v>
      </c>
      <c r="K1670" t="b">
        <f>QHPSelections2016[[#This Row],[County Name]]=P1670</f>
        <v>1</v>
      </c>
      <c r="L1670" t="b">
        <f>QHPSelections2016[[#This Row],[Silver]]=S1670</f>
        <v>1</v>
      </c>
      <c r="N1670">
        <v>40037</v>
      </c>
      <c r="O1670" t="s">
        <v>3897</v>
      </c>
      <c r="P1670" t="s">
        <v>3926</v>
      </c>
      <c r="Q1670">
        <v>0</v>
      </c>
      <c r="S1670" s="51">
        <v>1665</v>
      </c>
      <c r="T1670">
        <v>723</v>
      </c>
      <c r="V1670" s="51">
        <v>2513</v>
      </c>
    </row>
    <row r="1671" spans="1:22">
      <c r="A1671" s="32" t="s">
        <v>3927</v>
      </c>
      <c r="B1671" s="32" t="s">
        <v>3897</v>
      </c>
      <c r="C1671" s="32" t="s">
        <v>3220</v>
      </c>
      <c r="D1671" s="33">
        <v>0</v>
      </c>
      <c r="E1671" s="33" t="s">
        <v>1639</v>
      </c>
      <c r="F1671" s="33">
        <v>642</v>
      </c>
      <c r="G1671" s="33">
        <v>281</v>
      </c>
      <c r="H1671" s="33" t="s">
        <v>1639</v>
      </c>
      <c r="I1671" s="33">
        <v>969</v>
      </c>
      <c r="K1671" t="b">
        <f>QHPSelections2016[[#This Row],[County Name]]=P1671</f>
        <v>1</v>
      </c>
      <c r="L1671" t="b">
        <f>QHPSelections2016[[#This Row],[Silver]]=S1671</f>
        <v>1</v>
      </c>
      <c r="N1671">
        <v>40039</v>
      </c>
      <c r="O1671" t="s">
        <v>3897</v>
      </c>
      <c r="P1671" t="s">
        <v>3220</v>
      </c>
      <c r="Q1671">
        <v>0</v>
      </c>
      <c r="S1671">
        <v>642</v>
      </c>
      <c r="T1671">
        <v>281</v>
      </c>
      <c r="V1671">
        <v>969</v>
      </c>
    </row>
    <row r="1672" spans="1:22">
      <c r="A1672" s="32" t="s">
        <v>3928</v>
      </c>
      <c r="B1672" s="32" t="s">
        <v>3897</v>
      </c>
      <c r="C1672" s="32" t="s">
        <v>2185</v>
      </c>
      <c r="D1672" s="33">
        <v>0</v>
      </c>
      <c r="E1672" s="33" t="s">
        <v>1639</v>
      </c>
      <c r="F1672" s="33">
        <v>935</v>
      </c>
      <c r="G1672" s="33">
        <v>574</v>
      </c>
      <c r="H1672" s="33" t="s">
        <v>1639</v>
      </c>
      <c r="I1672" s="33">
        <v>1561</v>
      </c>
      <c r="K1672" t="b">
        <f>QHPSelections2016[[#This Row],[County Name]]=P1672</f>
        <v>1</v>
      </c>
      <c r="L1672" t="b">
        <f>QHPSelections2016[[#This Row],[Silver]]=S1672</f>
        <v>1</v>
      </c>
      <c r="N1672">
        <v>40041</v>
      </c>
      <c r="O1672" t="s">
        <v>3897</v>
      </c>
      <c r="P1672" t="s">
        <v>2185</v>
      </c>
      <c r="Q1672">
        <v>0</v>
      </c>
      <c r="S1672">
        <v>935</v>
      </c>
      <c r="T1672">
        <v>574</v>
      </c>
      <c r="V1672" s="51">
        <v>1561</v>
      </c>
    </row>
    <row r="1673" spans="1:22">
      <c r="A1673" s="32" t="s">
        <v>3929</v>
      </c>
      <c r="B1673" s="32" t="s">
        <v>3897</v>
      </c>
      <c r="C1673" s="32" t="s">
        <v>3930</v>
      </c>
      <c r="D1673" s="33">
        <v>0</v>
      </c>
      <c r="E1673" s="33" t="s">
        <v>1639</v>
      </c>
      <c r="F1673" s="33">
        <v>133</v>
      </c>
      <c r="G1673" s="33">
        <v>67</v>
      </c>
      <c r="H1673" s="33" t="s">
        <v>1639</v>
      </c>
      <c r="I1673" s="33">
        <v>207</v>
      </c>
      <c r="K1673" t="b">
        <f>QHPSelections2016[[#This Row],[County Name]]=P1673</f>
        <v>1</v>
      </c>
      <c r="L1673" t="b">
        <f>QHPSelections2016[[#This Row],[Silver]]=S1673</f>
        <v>1</v>
      </c>
      <c r="N1673">
        <v>40043</v>
      </c>
      <c r="O1673" t="s">
        <v>3897</v>
      </c>
      <c r="P1673" t="s">
        <v>3930</v>
      </c>
      <c r="Q1673">
        <v>0</v>
      </c>
      <c r="S1673">
        <v>133</v>
      </c>
      <c r="T1673">
        <v>67</v>
      </c>
      <c r="V1673">
        <v>207</v>
      </c>
    </row>
    <row r="1674" spans="1:22">
      <c r="A1674" s="32" t="s">
        <v>3931</v>
      </c>
      <c r="B1674" s="32" t="s">
        <v>3897</v>
      </c>
      <c r="C1674" s="32" t="s">
        <v>1187</v>
      </c>
      <c r="D1674" s="33">
        <v>0</v>
      </c>
      <c r="E1674" s="33" t="s">
        <v>1639</v>
      </c>
      <c r="F1674" s="33">
        <v>115</v>
      </c>
      <c r="G1674" s="33">
        <v>41</v>
      </c>
      <c r="H1674" s="33" t="s">
        <v>1639</v>
      </c>
      <c r="I1674" s="33">
        <v>165</v>
      </c>
      <c r="K1674" t="b">
        <f>QHPSelections2016[[#This Row],[County Name]]=P1674</f>
        <v>1</v>
      </c>
      <c r="L1674" t="b">
        <f>QHPSelections2016[[#This Row],[Silver]]=S1674</f>
        <v>1</v>
      </c>
      <c r="N1674">
        <v>40045</v>
      </c>
      <c r="O1674" t="s">
        <v>3897</v>
      </c>
      <c r="P1674" t="s">
        <v>1187</v>
      </c>
      <c r="Q1674">
        <v>0</v>
      </c>
      <c r="S1674">
        <v>115</v>
      </c>
      <c r="T1674">
        <v>41</v>
      </c>
      <c r="V1674">
        <v>165</v>
      </c>
    </row>
    <row r="1675" spans="1:22">
      <c r="A1675" s="32" t="s">
        <v>3932</v>
      </c>
      <c r="B1675" s="32" t="s">
        <v>3897</v>
      </c>
      <c r="C1675" s="32" t="s">
        <v>3234</v>
      </c>
      <c r="D1675" s="33">
        <v>0</v>
      </c>
      <c r="E1675" s="33">
        <v>78</v>
      </c>
      <c r="F1675" s="33">
        <v>1421</v>
      </c>
      <c r="G1675" s="33">
        <v>605</v>
      </c>
      <c r="H1675" s="33">
        <v>20</v>
      </c>
      <c r="I1675" s="33">
        <v>2124</v>
      </c>
      <c r="K1675" t="b">
        <f>QHPSelections2016[[#This Row],[County Name]]=P1675</f>
        <v>1</v>
      </c>
      <c r="L1675" t="b">
        <f>QHPSelections2016[[#This Row],[Silver]]=S1675</f>
        <v>1</v>
      </c>
      <c r="N1675">
        <v>40047</v>
      </c>
      <c r="O1675" t="s">
        <v>3897</v>
      </c>
      <c r="P1675" t="s">
        <v>3234</v>
      </c>
      <c r="Q1675">
        <v>0</v>
      </c>
      <c r="R1675">
        <v>78</v>
      </c>
      <c r="S1675" s="51">
        <v>1421</v>
      </c>
      <c r="T1675">
        <v>605</v>
      </c>
      <c r="U1675">
        <v>20</v>
      </c>
      <c r="V1675" s="51">
        <v>2124</v>
      </c>
    </row>
    <row r="1676" spans="1:22">
      <c r="A1676" s="32" t="s">
        <v>3933</v>
      </c>
      <c r="B1676" s="32" t="s">
        <v>3897</v>
      </c>
      <c r="C1676" s="32" t="s">
        <v>3934</v>
      </c>
      <c r="D1676" s="33">
        <v>0</v>
      </c>
      <c r="E1676" s="33" t="s">
        <v>1639</v>
      </c>
      <c r="F1676" s="33">
        <v>744</v>
      </c>
      <c r="G1676" s="33">
        <v>315</v>
      </c>
      <c r="H1676" s="33" t="s">
        <v>1639</v>
      </c>
      <c r="I1676" s="33">
        <v>1086</v>
      </c>
      <c r="K1676" t="b">
        <f>QHPSelections2016[[#This Row],[County Name]]=P1676</f>
        <v>1</v>
      </c>
      <c r="L1676" t="b">
        <f>QHPSelections2016[[#This Row],[Silver]]=S1676</f>
        <v>1</v>
      </c>
      <c r="N1676">
        <v>40049</v>
      </c>
      <c r="O1676" t="s">
        <v>3897</v>
      </c>
      <c r="P1676" t="s">
        <v>3934</v>
      </c>
      <c r="Q1676">
        <v>0</v>
      </c>
      <c r="S1676">
        <v>744</v>
      </c>
      <c r="T1676">
        <v>315</v>
      </c>
      <c r="V1676" s="51">
        <v>1086</v>
      </c>
    </row>
    <row r="1677" spans="1:22">
      <c r="A1677" s="32" t="s">
        <v>3935</v>
      </c>
      <c r="B1677" s="32" t="s">
        <v>3897</v>
      </c>
      <c r="C1677" s="32" t="s">
        <v>1162</v>
      </c>
      <c r="D1677" s="33">
        <v>0</v>
      </c>
      <c r="E1677" s="33" t="s">
        <v>1639</v>
      </c>
      <c r="F1677" s="33">
        <v>1492</v>
      </c>
      <c r="G1677" s="33">
        <v>649</v>
      </c>
      <c r="H1677" s="33" t="s">
        <v>1639</v>
      </c>
      <c r="I1677" s="33">
        <v>2231</v>
      </c>
      <c r="K1677" t="b">
        <f>QHPSelections2016[[#This Row],[County Name]]=P1677</f>
        <v>1</v>
      </c>
      <c r="L1677" t="b">
        <f>QHPSelections2016[[#This Row],[Silver]]=S1677</f>
        <v>1</v>
      </c>
      <c r="N1677">
        <v>40051</v>
      </c>
      <c r="O1677" t="s">
        <v>3897</v>
      </c>
      <c r="P1677" t="s">
        <v>1162</v>
      </c>
      <c r="Q1677">
        <v>0</v>
      </c>
      <c r="S1677" s="51">
        <v>1492</v>
      </c>
      <c r="T1677">
        <v>649</v>
      </c>
      <c r="V1677" s="51">
        <v>2231</v>
      </c>
    </row>
    <row r="1678" spans="1:22">
      <c r="A1678" s="32" t="s">
        <v>3936</v>
      </c>
      <c r="B1678" s="32" t="s">
        <v>3897</v>
      </c>
      <c r="C1678" s="32" t="s">
        <v>1803</v>
      </c>
      <c r="D1678" s="33">
        <v>0</v>
      </c>
      <c r="E1678" s="33" t="s">
        <v>1639</v>
      </c>
      <c r="F1678" s="33">
        <v>145</v>
      </c>
      <c r="G1678" s="33">
        <v>52</v>
      </c>
      <c r="H1678" s="33" t="s">
        <v>1639</v>
      </c>
      <c r="I1678" s="33">
        <v>206</v>
      </c>
      <c r="K1678" t="b">
        <f>QHPSelections2016[[#This Row],[County Name]]=P1678</f>
        <v>1</v>
      </c>
      <c r="L1678" t="b">
        <f>QHPSelections2016[[#This Row],[Silver]]=S1678</f>
        <v>1</v>
      </c>
      <c r="N1678">
        <v>40053</v>
      </c>
      <c r="O1678" t="s">
        <v>3897</v>
      </c>
      <c r="P1678" t="s">
        <v>1803</v>
      </c>
      <c r="Q1678">
        <v>0</v>
      </c>
      <c r="S1678">
        <v>145</v>
      </c>
      <c r="T1678">
        <v>52</v>
      </c>
      <c r="V1678">
        <v>206</v>
      </c>
    </row>
    <row r="1679" spans="1:22">
      <c r="A1679" s="32" t="s">
        <v>3937</v>
      </c>
      <c r="B1679" s="32" t="s">
        <v>3897</v>
      </c>
      <c r="C1679" s="32" t="s">
        <v>3938</v>
      </c>
      <c r="D1679" s="33">
        <v>0</v>
      </c>
      <c r="E1679" s="33" t="s">
        <v>1639</v>
      </c>
      <c r="F1679" s="33">
        <v>124</v>
      </c>
      <c r="G1679" s="33">
        <v>59</v>
      </c>
      <c r="H1679" s="33" t="s">
        <v>1639</v>
      </c>
      <c r="I1679" s="33">
        <v>190</v>
      </c>
      <c r="K1679" t="b">
        <f>QHPSelections2016[[#This Row],[County Name]]=P1679</f>
        <v>1</v>
      </c>
      <c r="L1679" t="b">
        <f>QHPSelections2016[[#This Row],[Silver]]=S1679</f>
        <v>1</v>
      </c>
      <c r="N1679">
        <v>40055</v>
      </c>
      <c r="O1679" t="s">
        <v>3897</v>
      </c>
      <c r="P1679" t="s">
        <v>3938</v>
      </c>
      <c r="Q1679">
        <v>0</v>
      </c>
      <c r="S1679">
        <v>124</v>
      </c>
      <c r="T1679">
        <v>59</v>
      </c>
      <c r="V1679">
        <v>190</v>
      </c>
    </row>
    <row r="1680" spans="1:22">
      <c r="A1680" s="32" t="s">
        <v>3939</v>
      </c>
      <c r="B1680" s="32" t="s">
        <v>3897</v>
      </c>
      <c r="C1680" s="32" t="s">
        <v>3940</v>
      </c>
      <c r="D1680" s="33">
        <v>0</v>
      </c>
      <c r="E1680" s="33">
        <v>11</v>
      </c>
      <c r="F1680" s="33">
        <v>50</v>
      </c>
      <c r="G1680" s="33">
        <v>23</v>
      </c>
      <c r="H1680" s="33">
        <v>0</v>
      </c>
      <c r="I1680" s="33">
        <v>84</v>
      </c>
      <c r="K1680" t="b">
        <f>QHPSelections2016[[#This Row],[County Name]]=P1680</f>
        <v>1</v>
      </c>
      <c r="L1680" t="b">
        <f>QHPSelections2016[[#This Row],[Silver]]=S1680</f>
        <v>1</v>
      </c>
      <c r="N1680">
        <v>40057</v>
      </c>
      <c r="O1680" t="s">
        <v>3897</v>
      </c>
      <c r="P1680" t="s">
        <v>3940</v>
      </c>
      <c r="Q1680">
        <v>0</v>
      </c>
      <c r="R1680">
        <v>11</v>
      </c>
      <c r="S1680">
        <v>50</v>
      </c>
      <c r="T1680">
        <v>23</v>
      </c>
      <c r="U1680">
        <v>0</v>
      </c>
      <c r="V1680">
        <v>84</v>
      </c>
    </row>
    <row r="1681" spans="1:22">
      <c r="A1681" s="32" t="s">
        <v>3941</v>
      </c>
      <c r="B1681" s="32" t="s">
        <v>3897</v>
      </c>
      <c r="C1681" s="32" t="s">
        <v>2621</v>
      </c>
      <c r="D1681" s="33">
        <v>0</v>
      </c>
      <c r="E1681" s="33" t="s">
        <v>1639</v>
      </c>
      <c r="F1681" s="33">
        <v>86</v>
      </c>
      <c r="G1681" s="33">
        <v>40</v>
      </c>
      <c r="H1681" s="33" t="s">
        <v>1639</v>
      </c>
      <c r="I1681" s="33">
        <v>134</v>
      </c>
      <c r="K1681" t="b">
        <f>QHPSelections2016[[#This Row],[County Name]]=P1681</f>
        <v>1</v>
      </c>
      <c r="L1681" t="b">
        <f>QHPSelections2016[[#This Row],[Silver]]=S1681</f>
        <v>1</v>
      </c>
      <c r="N1681">
        <v>40059</v>
      </c>
      <c r="O1681" t="s">
        <v>3897</v>
      </c>
      <c r="P1681" t="s">
        <v>2621</v>
      </c>
      <c r="Q1681">
        <v>0</v>
      </c>
      <c r="S1681">
        <v>86</v>
      </c>
      <c r="T1681">
        <v>40</v>
      </c>
      <c r="V1681">
        <v>134</v>
      </c>
    </row>
    <row r="1682" spans="1:22">
      <c r="A1682" s="32" t="s">
        <v>3942</v>
      </c>
      <c r="B1682" s="32" t="s">
        <v>3897</v>
      </c>
      <c r="C1682" s="32" t="s">
        <v>1273</v>
      </c>
      <c r="D1682" s="33">
        <v>0</v>
      </c>
      <c r="E1682" s="33" t="s">
        <v>1639</v>
      </c>
      <c r="F1682" s="33">
        <v>392</v>
      </c>
      <c r="G1682" s="33">
        <v>203</v>
      </c>
      <c r="H1682" s="33" t="s">
        <v>1639</v>
      </c>
      <c r="I1682" s="33">
        <v>614</v>
      </c>
      <c r="K1682" t="b">
        <f>QHPSelections2016[[#This Row],[County Name]]=P1682</f>
        <v>1</v>
      </c>
      <c r="L1682" t="b">
        <f>QHPSelections2016[[#This Row],[Silver]]=S1682</f>
        <v>1</v>
      </c>
      <c r="N1682">
        <v>40061</v>
      </c>
      <c r="O1682" t="s">
        <v>3897</v>
      </c>
      <c r="P1682" t="s">
        <v>1273</v>
      </c>
      <c r="Q1682">
        <v>0</v>
      </c>
      <c r="S1682">
        <v>392</v>
      </c>
      <c r="T1682">
        <v>203</v>
      </c>
      <c r="V1682">
        <v>614</v>
      </c>
    </row>
    <row r="1683" spans="1:22">
      <c r="A1683" s="32" t="s">
        <v>3943</v>
      </c>
      <c r="B1683" s="32" t="s">
        <v>3897</v>
      </c>
      <c r="C1683" s="32" t="s">
        <v>3944</v>
      </c>
      <c r="D1683" s="33">
        <v>0</v>
      </c>
      <c r="E1683" s="33">
        <v>25</v>
      </c>
      <c r="F1683" s="33">
        <v>296</v>
      </c>
      <c r="G1683" s="33">
        <v>145</v>
      </c>
      <c r="H1683" s="33">
        <v>0</v>
      </c>
      <c r="I1683" s="33">
        <v>466</v>
      </c>
      <c r="K1683" t="b">
        <f>QHPSelections2016[[#This Row],[County Name]]=P1683</f>
        <v>1</v>
      </c>
      <c r="L1683" t="b">
        <f>QHPSelections2016[[#This Row],[Silver]]=S1683</f>
        <v>1</v>
      </c>
      <c r="N1683">
        <v>40063</v>
      </c>
      <c r="O1683" t="s">
        <v>3897</v>
      </c>
      <c r="P1683" t="s">
        <v>3944</v>
      </c>
      <c r="Q1683">
        <v>0</v>
      </c>
      <c r="R1683">
        <v>25</v>
      </c>
      <c r="S1683">
        <v>296</v>
      </c>
      <c r="T1683">
        <v>145</v>
      </c>
      <c r="U1683">
        <v>0</v>
      </c>
      <c r="V1683">
        <v>466</v>
      </c>
    </row>
    <row r="1684" spans="1:22">
      <c r="A1684" s="32" t="s">
        <v>3945</v>
      </c>
      <c r="B1684" s="32" t="s">
        <v>3897</v>
      </c>
      <c r="C1684" s="32" t="s">
        <v>984</v>
      </c>
      <c r="D1684" s="33">
        <v>0</v>
      </c>
      <c r="E1684" s="33" t="s">
        <v>1639</v>
      </c>
      <c r="F1684" s="33">
        <v>434</v>
      </c>
      <c r="G1684" s="33">
        <v>165</v>
      </c>
      <c r="H1684" s="33" t="s">
        <v>1639</v>
      </c>
      <c r="I1684" s="33">
        <v>631</v>
      </c>
      <c r="K1684" t="b">
        <f>QHPSelections2016[[#This Row],[County Name]]=P1684</f>
        <v>1</v>
      </c>
      <c r="L1684" t="b">
        <f>QHPSelections2016[[#This Row],[Silver]]=S1684</f>
        <v>1</v>
      </c>
      <c r="N1684">
        <v>40065</v>
      </c>
      <c r="O1684" t="s">
        <v>3897</v>
      </c>
      <c r="P1684" t="s">
        <v>984</v>
      </c>
      <c r="Q1684">
        <v>0</v>
      </c>
      <c r="S1684">
        <v>434</v>
      </c>
      <c r="T1684">
        <v>165</v>
      </c>
      <c r="V1684">
        <v>631</v>
      </c>
    </row>
    <row r="1685" spans="1:22">
      <c r="A1685" s="32" t="s">
        <v>3946</v>
      </c>
      <c r="B1685" s="32" t="s">
        <v>3897</v>
      </c>
      <c r="C1685" s="32" t="s">
        <v>993</v>
      </c>
      <c r="D1685" s="33">
        <v>0</v>
      </c>
      <c r="E1685" s="33" t="s">
        <v>1639</v>
      </c>
      <c r="F1685" s="33">
        <v>151</v>
      </c>
      <c r="G1685" s="33">
        <v>52</v>
      </c>
      <c r="H1685" s="33" t="s">
        <v>1639</v>
      </c>
      <c r="I1685" s="33">
        <v>208</v>
      </c>
      <c r="K1685" t="b">
        <f>QHPSelections2016[[#This Row],[County Name]]=P1685</f>
        <v>1</v>
      </c>
      <c r="L1685" t="b">
        <f>QHPSelections2016[[#This Row],[Silver]]=S1685</f>
        <v>1</v>
      </c>
      <c r="N1685">
        <v>40067</v>
      </c>
      <c r="O1685" t="s">
        <v>3897</v>
      </c>
      <c r="P1685" t="s">
        <v>993</v>
      </c>
      <c r="Q1685">
        <v>0</v>
      </c>
      <c r="S1685">
        <v>151</v>
      </c>
      <c r="T1685">
        <v>52</v>
      </c>
      <c r="V1685">
        <v>208</v>
      </c>
    </row>
    <row r="1686" spans="1:22">
      <c r="A1686" s="32" t="s">
        <v>3947</v>
      </c>
      <c r="B1686" s="32" t="s">
        <v>3897</v>
      </c>
      <c r="C1686" s="32" t="s">
        <v>1089</v>
      </c>
      <c r="D1686" s="33">
        <v>0</v>
      </c>
      <c r="E1686" s="33">
        <v>16</v>
      </c>
      <c r="F1686" s="33">
        <v>224</v>
      </c>
      <c r="G1686" s="33">
        <v>91</v>
      </c>
      <c r="H1686" s="33">
        <v>0</v>
      </c>
      <c r="I1686" s="33">
        <v>331</v>
      </c>
      <c r="K1686" t="b">
        <f>QHPSelections2016[[#This Row],[County Name]]=P1686</f>
        <v>1</v>
      </c>
      <c r="L1686" t="b">
        <f>QHPSelections2016[[#This Row],[Silver]]=S1686</f>
        <v>1</v>
      </c>
      <c r="N1686">
        <v>40069</v>
      </c>
      <c r="O1686" t="s">
        <v>3897</v>
      </c>
      <c r="P1686" t="s">
        <v>1089</v>
      </c>
      <c r="Q1686">
        <v>0</v>
      </c>
      <c r="R1686">
        <v>16</v>
      </c>
      <c r="S1686">
        <v>224</v>
      </c>
      <c r="T1686">
        <v>91</v>
      </c>
      <c r="U1686">
        <v>0</v>
      </c>
      <c r="V1686">
        <v>331</v>
      </c>
    </row>
    <row r="1687" spans="1:22">
      <c r="A1687" s="32" t="s">
        <v>3948</v>
      </c>
      <c r="B1687" s="32" t="s">
        <v>3897</v>
      </c>
      <c r="C1687" s="32" t="s">
        <v>3949</v>
      </c>
      <c r="D1687" s="33">
        <v>0</v>
      </c>
      <c r="E1687" s="33" t="s">
        <v>1639</v>
      </c>
      <c r="F1687" s="33">
        <v>775</v>
      </c>
      <c r="G1687" s="33">
        <v>418</v>
      </c>
      <c r="H1687" s="33" t="s">
        <v>1639</v>
      </c>
      <c r="I1687" s="33">
        <v>1243</v>
      </c>
      <c r="K1687" t="b">
        <f>QHPSelections2016[[#This Row],[County Name]]=P1687</f>
        <v>1</v>
      </c>
      <c r="L1687" t="b">
        <f>QHPSelections2016[[#This Row],[Silver]]=S1687</f>
        <v>1</v>
      </c>
      <c r="N1687">
        <v>40071</v>
      </c>
      <c r="O1687" t="s">
        <v>3897</v>
      </c>
      <c r="P1687" t="s">
        <v>3949</v>
      </c>
      <c r="Q1687">
        <v>0</v>
      </c>
      <c r="S1687">
        <v>775</v>
      </c>
      <c r="T1687">
        <v>418</v>
      </c>
      <c r="V1687" s="51">
        <v>1243</v>
      </c>
    </row>
    <row r="1688" spans="1:22">
      <c r="A1688" s="32" t="s">
        <v>3950</v>
      </c>
      <c r="B1688" s="32" t="s">
        <v>3897</v>
      </c>
      <c r="C1688" s="32" t="s">
        <v>3951</v>
      </c>
      <c r="D1688" s="33">
        <v>0</v>
      </c>
      <c r="E1688" s="33">
        <v>38</v>
      </c>
      <c r="F1688" s="33">
        <v>492</v>
      </c>
      <c r="G1688" s="33">
        <v>191</v>
      </c>
      <c r="H1688" s="33">
        <v>0</v>
      </c>
      <c r="I1688" s="33">
        <v>721</v>
      </c>
      <c r="K1688" t="b">
        <f>QHPSelections2016[[#This Row],[County Name]]=P1688</f>
        <v>1</v>
      </c>
      <c r="L1688" t="b">
        <f>QHPSelections2016[[#This Row],[Silver]]=S1688</f>
        <v>1</v>
      </c>
      <c r="N1688">
        <v>40073</v>
      </c>
      <c r="O1688" t="s">
        <v>3897</v>
      </c>
      <c r="P1688" t="s">
        <v>3951</v>
      </c>
      <c r="Q1688">
        <v>0</v>
      </c>
      <c r="R1688">
        <v>38</v>
      </c>
      <c r="S1688">
        <v>492</v>
      </c>
      <c r="T1688">
        <v>191</v>
      </c>
      <c r="U1688">
        <v>0</v>
      </c>
      <c r="V1688">
        <v>721</v>
      </c>
    </row>
    <row r="1689" spans="1:22">
      <c r="A1689" s="32" t="s">
        <v>3952</v>
      </c>
      <c r="B1689" s="32" t="s">
        <v>3897</v>
      </c>
      <c r="C1689" s="32" t="s">
        <v>2637</v>
      </c>
      <c r="D1689" s="33">
        <v>0</v>
      </c>
      <c r="E1689" s="33" t="s">
        <v>1639</v>
      </c>
      <c r="F1689" s="33">
        <v>207</v>
      </c>
      <c r="G1689" s="33">
        <v>65</v>
      </c>
      <c r="H1689" s="33" t="s">
        <v>1639</v>
      </c>
      <c r="I1689" s="33">
        <v>280</v>
      </c>
      <c r="K1689" t="b">
        <f>QHPSelections2016[[#This Row],[County Name]]=P1689</f>
        <v>1</v>
      </c>
      <c r="L1689" t="b">
        <f>QHPSelections2016[[#This Row],[Silver]]=S1689</f>
        <v>1</v>
      </c>
      <c r="N1689">
        <v>40075</v>
      </c>
      <c r="O1689" t="s">
        <v>3897</v>
      </c>
      <c r="P1689" t="s">
        <v>2637</v>
      </c>
      <c r="Q1689">
        <v>0</v>
      </c>
      <c r="S1689">
        <v>207</v>
      </c>
      <c r="T1689">
        <v>65</v>
      </c>
      <c r="V1689">
        <v>280</v>
      </c>
    </row>
    <row r="1690" spans="1:22">
      <c r="A1690" s="32" t="s">
        <v>3953</v>
      </c>
      <c r="B1690" s="32" t="s">
        <v>3897</v>
      </c>
      <c r="C1690" s="32" t="s">
        <v>3954</v>
      </c>
      <c r="D1690" s="33">
        <v>0</v>
      </c>
      <c r="E1690" s="33" t="s">
        <v>1639</v>
      </c>
      <c r="F1690" s="33">
        <v>271</v>
      </c>
      <c r="G1690" s="33">
        <v>126</v>
      </c>
      <c r="H1690" s="33" t="s">
        <v>1639</v>
      </c>
      <c r="I1690" s="33">
        <v>418</v>
      </c>
      <c r="K1690" t="b">
        <f>QHPSelections2016[[#This Row],[County Name]]=P1690</f>
        <v>1</v>
      </c>
      <c r="L1690" t="b">
        <f>QHPSelections2016[[#This Row],[Silver]]=S1690</f>
        <v>1</v>
      </c>
      <c r="N1690">
        <v>40077</v>
      </c>
      <c r="O1690" t="s">
        <v>3897</v>
      </c>
      <c r="P1690" t="s">
        <v>3954</v>
      </c>
      <c r="Q1690">
        <v>0</v>
      </c>
      <c r="S1690">
        <v>271</v>
      </c>
      <c r="T1690">
        <v>126</v>
      </c>
      <c r="V1690">
        <v>418</v>
      </c>
    </row>
    <row r="1691" spans="1:22">
      <c r="A1691" s="32" t="s">
        <v>3955</v>
      </c>
      <c r="B1691" s="32" t="s">
        <v>3897</v>
      </c>
      <c r="C1691" s="32" t="s">
        <v>3956</v>
      </c>
      <c r="D1691" s="33">
        <v>0</v>
      </c>
      <c r="E1691" s="33">
        <v>39</v>
      </c>
      <c r="F1691" s="33">
        <v>1483</v>
      </c>
      <c r="G1691" s="33">
        <v>579</v>
      </c>
      <c r="H1691" s="33">
        <v>14</v>
      </c>
      <c r="I1691" s="33">
        <v>2115</v>
      </c>
      <c r="K1691" t="b">
        <f>QHPSelections2016[[#This Row],[County Name]]=P1691</f>
        <v>1</v>
      </c>
      <c r="L1691" t="b">
        <f>QHPSelections2016[[#This Row],[Silver]]=S1691</f>
        <v>1</v>
      </c>
      <c r="N1691">
        <v>40079</v>
      </c>
      <c r="O1691" t="s">
        <v>3897</v>
      </c>
      <c r="P1691" t="s">
        <v>3956</v>
      </c>
      <c r="Q1691">
        <v>0</v>
      </c>
      <c r="R1691">
        <v>39</v>
      </c>
      <c r="S1691" s="51">
        <v>1483</v>
      </c>
      <c r="T1691">
        <v>579</v>
      </c>
      <c r="U1691">
        <v>14</v>
      </c>
      <c r="V1691" s="51">
        <v>2115</v>
      </c>
    </row>
    <row r="1692" spans="1:22">
      <c r="A1692" s="32" t="s">
        <v>3957</v>
      </c>
      <c r="B1692" s="32" t="s">
        <v>3897</v>
      </c>
      <c r="C1692" s="32" t="s">
        <v>1051</v>
      </c>
      <c r="D1692" s="33">
        <v>0</v>
      </c>
      <c r="E1692" s="33">
        <v>61</v>
      </c>
      <c r="F1692" s="33">
        <v>900</v>
      </c>
      <c r="G1692" s="33">
        <v>362</v>
      </c>
      <c r="H1692" s="33">
        <v>0</v>
      </c>
      <c r="I1692" s="33">
        <v>1323</v>
      </c>
      <c r="K1692" t="b">
        <f>QHPSelections2016[[#This Row],[County Name]]=P1692</f>
        <v>1</v>
      </c>
      <c r="L1692" t="b">
        <f>QHPSelections2016[[#This Row],[Silver]]=S1692</f>
        <v>1</v>
      </c>
      <c r="N1692">
        <v>40081</v>
      </c>
      <c r="O1692" t="s">
        <v>3897</v>
      </c>
      <c r="P1692" t="s">
        <v>1051</v>
      </c>
      <c r="Q1692">
        <v>0</v>
      </c>
      <c r="R1692">
        <v>61</v>
      </c>
      <c r="S1692">
        <v>900</v>
      </c>
      <c r="T1692">
        <v>362</v>
      </c>
      <c r="U1692">
        <v>0</v>
      </c>
      <c r="V1692" s="51">
        <v>1323</v>
      </c>
    </row>
    <row r="1693" spans="1:22">
      <c r="A1693" s="32" t="s">
        <v>3958</v>
      </c>
      <c r="B1693" s="32" t="s">
        <v>3897</v>
      </c>
      <c r="C1693" s="32" t="s">
        <v>1824</v>
      </c>
      <c r="D1693" s="33">
        <v>0</v>
      </c>
      <c r="E1693" s="33" t="s">
        <v>1639</v>
      </c>
      <c r="F1693" s="33">
        <v>1408</v>
      </c>
      <c r="G1693" s="33">
        <v>619</v>
      </c>
      <c r="H1693" s="33" t="s">
        <v>1639</v>
      </c>
      <c r="I1693" s="33">
        <v>2135</v>
      </c>
      <c r="K1693" t="b">
        <f>QHPSelections2016[[#This Row],[County Name]]=P1693</f>
        <v>1</v>
      </c>
      <c r="L1693" t="b">
        <f>QHPSelections2016[[#This Row],[Silver]]=S1693</f>
        <v>1</v>
      </c>
      <c r="N1693">
        <v>40083</v>
      </c>
      <c r="O1693" t="s">
        <v>3897</v>
      </c>
      <c r="P1693" t="s">
        <v>1824</v>
      </c>
      <c r="Q1693">
        <v>0</v>
      </c>
      <c r="S1693" s="51">
        <v>1408</v>
      </c>
      <c r="T1693">
        <v>619</v>
      </c>
      <c r="V1693" s="51">
        <v>2135</v>
      </c>
    </row>
    <row r="1694" spans="1:22">
      <c r="A1694" s="32" t="s">
        <v>3959</v>
      </c>
      <c r="B1694" s="32" t="s">
        <v>3897</v>
      </c>
      <c r="C1694" s="32" t="s">
        <v>3960</v>
      </c>
      <c r="D1694" s="33">
        <v>0</v>
      </c>
      <c r="E1694" s="33" t="s">
        <v>1639</v>
      </c>
      <c r="F1694" s="33">
        <v>201</v>
      </c>
      <c r="G1694" s="33">
        <v>67</v>
      </c>
      <c r="H1694" s="33" t="s">
        <v>1639</v>
      </c>
      <c r="I1694" s="33">
        <v>283</v>
      </c>
      <c r="K1694" t="b">
        <f>QHPSelections2016[[#This Row],[County Name]]=P1694</f>
        <v>1</v>
      </c>
      <c r="L1694" t="b">
        <f>QHPSelections2016[[#This Row],[Silver]]=S1694</f>
        <v>1</v>
      </c>
      <c r="N1694">
        <v>40085</v>
      </c>
      <c r="O1694" t="s">
        <v>3897</v>
      </c>
      <c r="P1694" t="s">
        <v>3960</v>
      </c>
      <c r="Q1694">
        <v>0</v>
      </c>
      <c r="S1694">
        <v>201</v>
      </c>
      <c r="T1694">
        <v>67</v>
      </c>
      <c r="V1694">
        <v>283</v>
      </c>
    </row>
    <row r="1695" spans="1:22">
      <c r="A1695" s="32" t="s">
        <v>3961</v>
      </c>
      <c r="B1695" s="32" t="s">
        <v>3897</v>
      </c>
      <c r="C1695" s="32" t="s">
        <v>3962</v>
      </c>
      <c r="D1695" s="33">
        <v>0</v>
      </c>
      <c r="E1695" s="33" t="s">
        <v>1639</v>
      </c>
      <c r="F1695" s="33">
        <v>1057</v>
      </c>
      <c r="G1695" s="33">
        <v>450</v>
      </c>
      <c r="H1695" s="33" t="s">
        <v>1639</v>
      </c>
      <c r="I1695" s="33">
        <v>1597</v>
      </c>
      <c r="K1695" t="b">
        <f>QHPSelections2016[[#This Row],[County Name]]=P1695</f>
        <v>0</v>
      </c>
      <c r="L1695" t="b">
        <f>QHPSelections2016[[#This Row],[Silver]]=S1695</f>
        <v>0</v>
      </c>
      <c r="N1695">
        <v>40093</v>
      </c>
      <c r="O1695" t="s">
        <v>3897</v>
      </c>
      <c r="P1695" t="s">
        <v>3967</v>
      </c>
      <c r="Q1695">
        <v>0</v>
      </c>
      <c r="R1695">
        <v>26</v>
      </c>
      <c r="S1695">
        <v>226</v>
      </c>
      <c r="T1695">
        <v>89</v>
      </c>
      <c r="U1695">
        <v>0</v>
      </c>
      <c r="V1695">
        <v>341</v>
      </c>
    </row>
    <row r="1696" spans="1:22">
      <c r="A1696" s="32" t="s">
        <v>3963</v>
      </c>
      <c r="B1696" s="32" t="s">
        <v>3897</v>
      </c>
      <c r="C1696" s="32" t="s">
        <v>3964</v>
      </c>
      <c r="D1696" s="33">
        <v>0</v>
      </c>
      <c r="E1696" s="33" t="s">
        <v>1639</v>
      </c>
      <c r="F1696" s="33">
        <v>790</v>
      </c>
      <c r="G1696" s="33">
        <v>308</v>
      </c>
      <c r="H1696" s="33" t="s">
        <v>1639</v>
      </c>
      <c r="I1696" s="33">
        <v>1149</v>
      </c>
      <c r="K1696" t="b">
        <f>QHPSelections2016[[#This Row],[County Name]]=P1696</f>
        <v>0</v>
      </c>
      <c r="L1696" t="b">
        <f>QHPSelections2016[[#This Row],[Silver]]=S1696</f>
        <v>0</v>
      </c>
      <c r="N1696">
        <v>40095</v>
      </c>
      <c r="O1696" t="s">
        <v>3897</v>
      </c>
      <c r="P1696" t="s">
        <v>1068</v>
      </c>
      <c r="Q1696">
        <v>0</v>
      </c>
      <c r="S1696">
        <v>256</v>
      </c>
      <c r="T1696">
        <v>141</v>
      </c>
      <c r="V1696">
        <v>419</v>
      </c>
    </row>
    <row r="1697" spans="1:22">
      <c r="A1697" s="32" t="s">
        <v>3965</v>
      </c>
      <c r="B1697" s="32" t="s">
        <v>3897</v>
      </c>
      <c r="C1697" s="32" t="s">
        <v>1263</v>
      </c>
      <c r="D1697" s="33">
        <v>0</v>
      </c>
      <c r="E1697" s="33" t="s">
        <v>1639</v>
      </c>
      <c r="F1697" s="33">
        <v>514</v>
      </c>
      <c r="G1697" s="33">
        <v>316</v>
      </c>
      <c r="H1697" s="33" t="s">
        <v>1639</v>
      </c>
      <c r="I1697" s="33">
        <v>845</v>
      </c>
      <c r="K1697" t="b">
        <f>QHPSelections2016[[#This Row],[County Name]]=P1697</f>
        <v>0</v>
      </c>
      <c r="L1697" t="b">
        <f>QHPSelections2016[[#This Row],[Silver]]=S1697</f>
        <v>0</v>
      </c>
      <c r="N1697">
        <v>40097</v>
      </c>
      <c r="O1697" t="s">
        <v>3897</v>
      </c>
      <c r="P1697" t="s">
        <v>3970</v>
      </c>
      <c r="Q1697">
        <v>0</v>
      </c>
      <c r="R1697">
        <v>27</v>
      </c>
      <c r="S1697">
        <v>792</v>
      </c>
      <c r="T1697">
        <v>425</v>
      </c>
      <c r="U1697">
        <v>17</v>
      </c>
      <c r="V1697" s="51">
        <v>1261</v>
      </c>
    </row>
    <row r="1698" spans="1:22">
      <c r="A1698" s="32" t="s">
        <v>3966</v>
      </c>
      <c r="B1698" s="32" t="s">
        <v>3897</v>
      </c>
      <c r="C1698" s="32" t="s">
        <v>3967</v>
      </c>
      <c r="D1698" s="33">
        <v>0</v>
      </c>
      <c r="E1698" s="33">
        <v>26</v>
      </c>
      <c r="F1698" s="33">
        <v>226</v>
      </c>
      <c r="G1698" s="33">
        <v>89</v>
      </c>
      <c r="H1698" s="33">
        <v>0</v>
      </c>
      <c r="I1698" s="33">
        <v>341</v>
      </c>
      <c r="K1698" t="b">
        <f>QHPSelections2016[[#This Row],[County Name]]=P1698</f>
        <v>0</v>
      </c>
      <c r="L1698" t="b">
        <f>QHPSelections2016[[#This Row],[Silver]]=S1698</f>
        <v>0</v>
      </c>
      <c r="N1698">
        <v>40087</v>
      </c>
      <c r="O1698" t="s">
        <v>3897</v>
      </c>
      <c r="P1698" t="s">
        <v>3962</v>
      </c>
      <c r="Q1698">
        <v>0</v>
      </c>
      <c r="S1698" s="51">
        <v>1057</v>
      </c>
      <c r="T1698">
        <v>450</v>
      </c>
      <c r="V1698" s="51">
        <v>1597</v>
      </c>
    </row>
    <row r="1699" spans="1:22">
      <c r="A1699" s="32" t="s">
        <v>3968</v>
      </c>
      <c r="B1699" s="32" t="s">
        <v>3897</v>
      </c>
      <c r="C1699" s="32" t="s">
        <v>1068</v>
      </c>
      <c r="D1699" s="33">
        <v>0</v>
      </c>
      <c r="E1699" s="33" t="s">
        <v>1639</v>
      </c>
      <c r="F1699" s="33">
        <v>256</v>
      </c>
      <c r="G1699" s="33">
        <v>141</v>
      </c>
      <c r="H1699" s="33" t="s">
        <v>1639</v>
      </c>
      <c r="I1699" s="33">
        <v>419</v>
      </c>
      <c r="K1699" t="b">
        <f>QHPSelections2016[[#This Row],[County Name]]=P1699</f>
        <v>0</v>
      </c>
      <c r="L1699" t="b">
        <f>QHPSelections2016[[#This Row],[Silver]]=S1699</f>
        <v>0</v>
      </c>
      <c r="N1699">
        <v>40089</v>
      </c>
      <c r="O1699" t="s">
        <v>3897</v>
      </c>
      <c r="P1699" t="s">
        <v>3964</v>
      </c>
      <c r="Q1699">
        <v>0</v>
      </c>
      <c r="S1699">
        <v>790</v>
      </c>
      <c r="T1699">
        <v>308</v>
      </c>
      <c r="V1699" s="51">
        <v>1149</v>
      </c>
    </row>
    <row r="1700" spans="1:22">
      <c r="A1700" s="32" t="s">
        <v>3969</v>
      </c>
      <c r="B1700" s="32" t="s">
        <v>3897</v>
      </c>
      <c r="C1700" s="32" t="s">
        <v>3970</v>
      </c>
      <c r="D1700" s="33">
        <v>0</v>
      </c>
      <c r="E1700" s="33">
        <v>27</v>
      </c>
      <c r="F1700" s="33">
        <v>792</v>
      </c>
      <c r="G1700" s="33">
        <v>425</v>
      </c>
      <c r="H1700" s="33">
        <v>17</v>
      </c>
      <c r="I1700" s="33">
        <v>1261</v>
      </c>
      <c r="K1700" t="b">
        <f>QHPSelections2016[[#This Row],[County Name]]=P1700</f>
        <v>0</v>
      </c>
      <c r="L1700" t="b">
        <f>QHPSelections2016[[#This Row],[Silver]]=S1700</f>
        <v>0</v>
      </c>
      <c r="N1700">
        <v>40091</v>
      </c>
      <c r="O1700" t="s">
        <v>3897</v>
      </c>
      <c r="P1700" t="s">
        <v>1263</v>
      </c>
      <c r="Q1700">
        <v>0</v>
      </c>
      <c r="S1700">
        <v>514</v>
      </c>
      <c r="T1700">
        <v>316</v>
      </c>
      <c r="V1700">
        <v>845</v>
      </c>
    </row>
    <row r="1701" spans="1:22">
      <c r="A1701" s="32" t="s">
        <v>3971</v>
      </c>
      <c r="B1701" s="32" t="s">
        <v>3897</v>
      </c>
      <c r="C1701" s="32" t="s">
        <v>1274</v>
      </c>
      <c r="D1701" s="33">
        <v>0</v>
      </c>
      <c r="E1701" s="33">
        <v>26</v>
      </c>
      <c r="F1701" s="33">
        <v>237</v>
      </c>
      <c r="G1701" s="33">
        <v>88</v>
      </c>
      <c r="H1701" s="33">
        <v>0</v>
      </c>
      <c r="I1701" s="33">
        <v>351</v>
      </c>
      <c r="K1701" t="b">
        <f>QHPSelections2016[[#This Row],[County Name]]=P1701</f>
        <v>1</v>
      </c>
      <c r="L1701" t="b">
        <f>QHPSelections2016[[#This Row],[Silver]]=S1701</f>
        <v>1</v>
      </c>
      <c r="N1701">
        <v>40099</v>
      </c>
      <c r="O1701" t="s">
        <v>3897</v>
      </c>
      <c r="P1701" t="s">
        <v>1274</v>
      </c>
      <c r="Q1701">
        <v>0</v>
      </c>
      <c r="R1701">
        <v>26</v>
      </c>
      <c r="S1701">
        <v>237</v>
      </c>
      <c r="T1701">
        <v>88</v>
      </c>
      <c r="U1701">
        <v>0</v>
      </c>
      <c r="V1701">
        <v>351</v>
      </c>
    </row>
    <row r="1702" spans="1:22">
      <c r="A1702" s="32" t="s">
        <v>3972</v>
      </c>
      <c r="B1702" s="32" t="s">
        <v>3897</v>
      </c>
      <c r="C1702" s="32" t="s">
        <v>3973</v>
      </c>
      <c r="D1702" s="33">
        <v>0</v>
      </c>
      <c r="E1702" s="33" t="s">
        <v>1639</v>
      </c>
      <c r="F1702" s="33">
        <v>1411</v>
      </c>
      <c r="G1702" s="33">
        <v>611</v>
      </c>
      <c r="H1702" s="33" t="s">
        <v>1639</v>
      </c>
      <c r="I1702" s="33">
        <v>2102</v>
      </c>
      <c r="K1702" t="b">
        <f>QHPSelections2016[[#This Row],[County Name]]=P1702</f>
        <v>1</v>
      </c>
      <c r="L1702" t="b">
        <f>QHPSelections2016[[#This Row],[Silver]]=S1702</f>
        <v>1</v>
      </c>
      <c r="N1702">
        <v>40101</v>
      </c>
      <c r="O1702" t="s">
        <v>3897</v>
      </c>
      <c r="P1702" t="s">
        <v>3973</v>
      </c>
      <c r="Q1702">
        <v>0</v>
      </c>
      <c r="S1702" s="51">
        <v>1411</v>
      </c>
      <c r="T1702">
        <v>611</v>
      </c>
      <c r="V1702" s="51">
        <v>2102</v>
      </c>
    </row>
    <row r="1703" spans="1:22">
      <c r="A1703" s="32" t="s">
        <v>3974</v>
      </c>
      <c r="B1703" s="32" t="s">
        <v>3897</v>
      </c>
      <c r="C1703" s="32" t="s">
        <v>2508</v>
      </c>
      <c r="D1703" s="33">
        <v>0</v>
      </c>
      <c r="E1703" s="33" t="s">
        <v>1639</v>
      </c>
      <c r="F1703" s="33">
        <v>183</v>
      </c>
      <c r="G1703" s="33">
        <v>113</v>
      </c>
      <c r="H1703" s="33" t="s">
        <v>1639</v>
      </c>
      <c r="I1703" s="33">
        <v>303</v>
      </c>
      <c r="K1703" t="b">
        <f>QHPSelections2016[[#This Row],[County Name]]=P1703</f>
        <v>1</v>
      </c>
      <c r="L1703" t="b">
        <f>QHPSelections2016[[#This Row],[Silver]]=S1703</f>
        <v>1</v>
      </c>
      <c r="N1703">
        <v>40103</v>
      </c>
      <c r="O1703" t="s">
        <v>3897</v>
      </c>
      <c r="P1703" t="s">
        <v>2508</v>
      </c>
      <c r="Q1703">
        <v>0</v>
      </c>
      <c r="S1703">
        <v>183</v>
      </c>
      <c r="T1703">
        <v>113</v>
      </c>
      <c r="V1703">
        <v>303</v>
      </c>
    </row>
    <row r="1704" spans="1:22">
      <c r="A1704" s="32" t="s">
        <v>3975</v>
      </c>
      <c r="B1704" s="32" t="s">
        <v>3897</v>
      </c>
      <c r="C1704" s="32" t="s">
        <v>3976</v>
      </c>
      <c r="D1704" s="33">
        <v>0</v>
      </c>
      <c r="E1704" s="33" t="s">
        <v>1639</v>
      </c>
      <c r="F1704" s="33">
        <v>204</v>
      </c>
      <c r="G1704" s="33">
        <v>168</v>
      </c>
      <c r="H1704" s="33" t="s">
        <v>1639</v>
      </c>
      <c r="I1704" s="33">
        <v>385</v>
      </c>
      <c r="K1704" t="b">
        <f>QHPSelections2016[[#This Row],[County Name]]=P1704</f>
        <v>1</v>
      </c>
      <c r="L1704" t="b">
        <f>QHPSelections2016[[#This Row],[Silver]]=S1704</f>
        <v>1</v>
      </c>
      <c r="N1704">
        <v>40105</v>
      </c>
      <c r="O1704" t="s">
        <v>3897</v>
      </c>
      <c r="P1704" t="s">
        <v>3976</v>
      </c>
      <c r="Q1704">
        <v>0</v>
      </c>
      <c r="S1704">
        <v>204</v>
      </c>
      <c r="T1704">
        <v>168</v>
      </c>
      <c r="V1704">
        <v>385</v>
      </c>
    </row>
    <row r="1705" spans="1:22">
      <c r="A1705" s="32" t="s">
        <v>3977</v>
      </c>
      <c r="B1705" s="32" t="s">
        <v>3897</v>
      </c>
      <c r="C1705" s="32" t="s">
        <v>3978</v>
      </c>
      <c r="D1705" s="33">
        <v>0</v>
      </c>
      <c r="E1705" s="33" t="s">
        <v>1639</v>
      </c>
      <c r="F1705" s="33">
        <v>243</v>
      </c>
      <c r="G1705" s="33">
        <v>96</v>
      </c>
      <c r="H1705" s="33" t="s">
        <v>1639</v>
      </c>
      <c r="I1705" s="33">
        <v>345</v>
      </c>
      <c r="K1705" t="b">
        <f>QHPSelections2016[[#This Row],[County Name]]=P1705</f>
        <v>1</v>
      </c>
      <c r="L1705" t="b">
        <f>QHPSelections2016[[#This Row],[Silver]]=S1705</f>
        <v>1</v>
      </c>
      <c r="N1705">
        <v>40107</v>
      </c>
      <c r="O1705" t="s">
        <v>3897</v>
      </c>
      <c r="P1705" t="s">
        <v>3978</v>
      </c>
      <c r="Q1705">
        <v>0</v>
      </c>
      <c r="S1705">
        <v>243</v>
      </c>
      <c r="T1705">
        <v>96</v>
      </c>
      <c r="V1705">
        <v>345</v>
      </c>
    </row>
    <row r="1706" spans="1:22">
      <c r="A1706" s="32" t="s">
        <v>3979</v>
      </c>
      <c r="B1706" s="32" t="s">
        <v>3897</v>
      </c>
      <c r="C1706" s="32" t="s">
        <v>3980</v>
      </c>
      <c r="D1706" s="33">
        <v>0</v>
      </c>
      <c r="E1706" s="33">
        <v>1829</v>
      </c>
      <c r="F1706" s="33">
        <v>23075</v>
      </c>
      <c r="G1706" s="33">
        <v>9005</v>
      </c>
      <c r="H1706" s="33">
        <v>36</v>
      </c>
      <c r="I1706" s="33">
        <v>33945</v>
      </c>
      <c r="K1706" t="b">
        <f>QHPSelections2016[[#This Row],[County Name]]=P1706</f>
        <v>1</v>
      </c>
      <c r="L1706" t="b">
        <f>QHPSelections2016[[#This Row],[Silver]]=S1706</f>
        <v>1</v>
      </c>
      <c r="N1706">
        <v>40109</v>
      </c>
      <c r="O1706" t="s">
        <v>3897</v>
      </c>
      <c r="P1706" t="s">
        <v>3980</v>
      </c>
      <c r="Q1706">
        <v>0</v>
      </c>
      <c r="R1706" s="51">
        <v>1829</v>
      </c>
      <c r="S1706" s="51">
        <v>23075</v>
      </c>
      <c r="T1706" s="51">
        <v>9005</v>
      </c>
      <c r="U1706">
        <v>36</v>
      </c>
      <c r="V1706" s="51">
        <v>33945</v>
      </c>
    </row>
    <row r="1707" spans="1:22">
      <c r="A1707" s="32" t="s">
        <v>3981</v>
      </c>
      <c r="B1707" s="32" t="s">
        <v>3897</v>
      </c>
      <c r="C1707" s="32" t="s">
        <v>3982</v>
      </c>
      <c r="D1707" s="33">
        <v>0</v>
      </c>
      <c r="E1707" s="33" t="s">
        <v>1639</v>
      </c>
      <c r="F1707" s="33">
        <v>742</v>
      </c>
      <c r="G1707" s="33">
        <v>327</v>
      </c>
      <c r="H1707" s="33" t="s">
        <v>1639</v>
      </c>
      <c r="I1707" s="33">
        <v>1121</v>
      </c>
      <c r="K1707" t="b">
        <f>QHPSelections2016[[#This Row],[County Name]]=P1707</f>
        <v>1</v>
      </c>
      <c r="L1707" t="b">
        <f>QHPSelections2016[[#This Row],[Silver]]=S1707</f>
        <v>1</v>
      </c>
      <c r="N1707">
        <v>40111</v>
      </c>
      <c r="O1707" t="s">
        <v>3897</v>
      </c>
      <c r="P1707" t="s">
        <v>3982</v>
      </c>
      <c r="Q1707">
        <v>0</v>
      </c>
      <c r="S1707">
        <v>742</v>
      </c>
      <c r="T1707">
        <v>327</v>
      </c>
      <c r="V1707" s="51">
        <v>1121</v>
      </c>
    </row>
    <row r="1708" spans="1:22">
      <c r="A1708" s="32" t="s">
        <v>3983</v>
      </c>
      <c r="B1708" s="32" t="s">
        <v>3897</v>
      </c>
      <c r="C1708" s="32" t="s">
        <v>2669</v>
      </c>
      <c r="D1708" s="33">
        <v>0</v>
      </c>
      <c r="E1708" s="33" t="s">
        <v>1639</v>
      </c>
      <c r="F1708" s="33">
        <v>996</v>
      </c>
      <c r="G1708" s="33">
        <v>517</v>
      </c>
      <c r="H1708" s="33" t="s">
        <v>1639</v>
      </c>
      <c r="I1708" s="33">
        <v>1613</v>
      </c>
      <c r="K1708" t="b">
        <f>QHPSelections2016[[#This Row],[County Name]]=P1708</f>
        <v>1</v>
      </c>
      <c r="L1708" t="b">
        <f>QHPSelections2016[[#This Row],[Silver]]=S1708</f>
        <v>1</v>
      </c>
      <c r="N1708">
        <v>40113</v>
      </c>
      <c r="O1708" t="s">
        <v>3897</v>
      </c>
      <c r="P1708" t="s">
        <v>2669</v>
      </c>
      <c r="Q1708">
        <v>0</v>
      </c>
      <c r="S1708">
        <v>996</v>
      </c>
      <c r="T1708">
        <v>517</v>
      </c>
      <c r="V1708" s="51">
        <v>1613</v>
      </c>
    </row>
    <row r="1709" spans="1:22">
      <c r="A1709" s="32" t="s">
        <v>3984</v>
      </c>
      <c r="B1709" s="32" t="s">
        <v>3897</v>
      </c>
      <c r="C1709" s="32" t="s">
        <v>2673</v>
      </c>
      <c r="D1709" s="33">
        <v>0</v>
      </c>
      <c r="E1709" s="33" t="s">
        <v>1639</v>
      </c>
      <c r="F1709" s="33">
        <v>531</v>
      </c>
      <c r="G1709" s="33">
        <v>361</v>
      </c>
      <c r="H1709" s="33" t="s">
        <v>1639</v>
      </c>
      <c r="I1709" s="33">
        <v>938</v>
      </c>
      <c r="K1709" t="b">
        <f>QHPSelections2016[[#This Row],[County Name]]=P1709</f>
        <v>1</v>
      </c>
      <c r="L1709" t="b">
        <f>QHPSelections2016[[#This Row],[Silver]]=S1709</f>
        <v>1</v>
      </c>
      <c r="N1709">
        <v>40115</v>
      </c>
      <c r="O1709" t="s">
        <v>3897</v>
      </c>
      <c r="P1709" t="s">
        <v>2673</v>
      </c>
      <c r="Q1709">
        <v>0</v>
      </c>
      <c r="S1709">
        <v>531</v>
      </c>
      <c r="T1709">
        <v>361</v>
      </c>
      <c r="V1709">
        <v>938</v>
      </c>
    </row>
    <row r="1710" spans="1:22">
      <c r="A1710" s="32" t="s">
        <v>3985</v>
      </c>
      <c r="B1710" s="32" t="s">
        <v>3897</v>
      </c>
      <c r="C1710" s="32" t="s">
        <v>2675</v>
      </c>
      <c r="D1710" s="33">
        <v>0</v>
      </c>
      <c r="E1710" s="33">
        <v>17</v>
      </c>
      <c r="F1710" s="33">
        <v>354</v>
      </c>
      <c r="G1710" s="33">
        <v>156</v>
      </c>
      <c r="H1710" s="33">
        <v>0</v>
      </c>
      <c r="I1710" s="33">
        <v>527</v>
      </c>
      <c r="K1710" t="b">
        <f>QHPSelections2016[[#This Row],[County Name]]=P1710</f>
        <v>1</v>
      </c>
      <c r="L1710" t="b">
        <f>QHPSelections2016[[#This Row],[Silver]]=S1710</f>
        <v>1</v>
      </c>
      <c r="N1710">
        <v>40117</v>
      </c>
      <c r="O1710" t="s">
        <v>3897</v>
      </c>
      <c r="P1710" t="s">
        <v>2675</v>
      </c>
      <c r="Q1710">
        <v>0</v>
      </c>
      <c r="R1710">
        <v>17</v>
      </c>
      <c r="S1710">
        <v>354</v>
      </c>
      <c r="T1710">
        <v>156</v>
      </c>
      <c r="U1710">
        <v>0</v>
      </c>
      <c r="V1710">
        <v>527</v>
      </c>
    </row>
    <row r="1711" spans="1:22">
      <c r="A1711" s="32" t="s">
        <v>3986</v>
      </c>
      <c r="B1711" s="32" t="s">
        <v>3897</v>
      </c>
      <c r="C1711" s="32" t="s">
        <v>3987</v>
      </c>
      <c r="D1711" s="33">
        <v>0</v>
      </c>
      <c r="E1711" s="33" t="s">
        <v>1639</v>
      </c>
      <c r="F1711" s="33">
        <v>1607</v>
      </c>
      <c r="G1711" s="33">
        <v>871</v>
      </c>
      <c r="H1711" s="33" t="s">
        <v>1639</v>
      </c>
      <c r="I1711" s="33">
        <v>2590</v>
      </c>
      <c r="K1711" t="b">
        <f>QHPSelections2016[[#This Row],[County Name]]=P1711</f>
        <v>1</v>
      </c>
      <c r="L1711" t="b">
        <f>QHPSelections2016[[#This Row],[Silver]]=S1711</f>
        <v>1</v>
      </c>
      <c r="N1711">
        <v>40119</v>
      </c>
      <c r="O1711" t="s">
        <v>3897</v>
      </c>
      <c r="P1711" t="s">
        <v>3987</v>
      </c>
      <c r="Q1711">
        <v>0</v>
      </c>
      <c r="S1711" s="51">
        <v>1607</v>
      </c>
      <c r="T1711">
        <v>871</v>
      </c>
      <c r="V1711" s="51">
        <v>2590</v>
      </c>
    </row>
    <row r="1712" spans="1:22">
      <c r="A1712" s="32" t="s">
        <v>3988</v>
      </c>
      <c r="B1712" s="32" t="s">
        <v>3897</v>
      </c>
      <c r="C1712" s="32" t="s">
        <v>3989</v>
      </c>
      <c r="D1712" s="33">
        <v>0</v>
      </c>
      <c r="E1712" s="33" t="s">
        <v>1639</v>
      </c>
      <c r="F1712" s="33">
        <v>878</v>
      </c>
      <c r="G1712" s="33">
        <v>359</v>
      </c>
      <c r="H1712" s="33" t="s">
        <v>1639</v>
      </c>
      <c r="I1712" s="33">
        <v>1282</v>
      </c>
      <c r="K1712" t="b">
        <f>QHPSelections2016[[#This Row],[County Name]]=P1712</f>
        <v>1</v>
      </c>
      <c r="L1712" t="b">
        <f>QHPSelections2016[[#This Row],[Silver]]=S1712</f>
        <v>1</v>
      </c>
      <c r="N1712">
        <v>40121</v>
      </c>
      <c r="O1712" t="s">
        <v>3897</v>
      </c>
      <c r="P1712" t="s">
        <v>3989</v>
      </c>
      <c r="Q1712">
        <v>0</v>
      </c>
      <c r="S1712">
        <v>878</v>
      </c>
      <c r="T1712">
        <v>359</v>
      </c>
      <c r="V1712" s="51">
        <v>1282</v>
      </c>
    </row>
    <row r="1713" spans="1:22">
      <c r="A1713" s="32" t="s">
        <v>3990</v>
      </c>
      <c r="B1713" s="32" t="s">
        <v>3897</v>
      </c>
      <c r="C1713" s="32" t="s">
        <v>1125</v>
      </c>
      <c r="D1713" s="33">
        <v>0</v>
      </c>
      <c r="E1713" s="33" t="s">
        <v>1639</v>
      </c>
      <c r="F1713" s="33">
        <v>679</v>
      </c>
      <c r="G1713" s="33">
        <v>346</v>
      </c>
      <c r="H1713" s="33" t="s">
        <v>1639</v>
      </c>
      <c r="I1713" s="33">
        <v>1098</v>
      </c>
      <c r="K1713" t="b">
        <f>QHPSelections2016[[#This Row],[County Name]]=P1713</f>
        <v>1</v>
      </c>
      <c r="L1713" t="b">
        <f>QHPSelections2016[[#This Row],[Silver]]=S1713</f>
        <v>1</v>
      </c>
      <c r="N1713">
        <v>40123</v>
      </c>
      <c r="O1713" t="s">
        <v>3897</v>
      </c>
      <c r="P1713" t="s">
        <v>1125</v>
      </c>
      <c r="Q1713">
        <v>0</v>
      </c>
      <c r="S1713">
        <v>679</v>
      </c>
      <c r="T1713">
        <v>346</v>
      </c>
      <c r="V1713" s="51">
        <v>1098</v>
      </c>
    </row>
    <row r="1714" spans="1:22">
      <c r="A1714" s="32" t="s">
        <v>3991</v>
      </c>
      <c r="B1714" s="32" t="s">
        <v>3897</v>
      </c>
      <c r="C1714" s="32" t="s">
        <v>2678</v>
      </c>
      <c r="D1714" s="33">
        <v>0</v>
      </c>
      <c r="E1714" s="33" t="s">
        <v>1639</v>
      </c>
      <c r="F1714" s="33">
        <v>1494</v>
      </c>
      <c r="G1714" s="33">
        <v>636</v>
      </c>
      <c r="H1714" s="33" t="s">
        <v>1639</v>
      </c>
      <c r="I1714" s="33">
        <v>2235</v>
      </c>
      <c r="K1714" t="b">
        <f>QHPSelections2016[[#This Row],[County Name]]=P1714</f>
        <v>1</v>
      </c>
      <c r="L1714" t="b">
        <f>QHPSelections2016[[#This Row],[Silver]]=S1714</f>
        <v>1</v>
      </c>
      <c r="N1714">
        <v>40125</v>
      </c>
      <c r="O1714" t="s">
        <v>3897</v>
      </c>
      <c r="P1714" t="s">
        <v>2678</v>
      </c>
      <c r="Q1714">
        <v>0</v>
      </c>
      <c r="S1714" s="51">
        <v>1494</v>
      </c>
      <c r="T1714">
        <v>636</v>
      </c>
      <c r="V1714" s="51">
        <v>2235</v>
      </c>
    </row>
    <row r="1715" spans="1:22">
      <c r="A1715" s="32" t="s">
        <v>3992</v>
      </c>
      <c r="B1715" s="32" t="s">
        <v>3897</v>
      </c>
      <c r="C1715" s="32" t="s">
        <v>3993</v>
      </c>
      <c r="D1715" s="33">
        <v>0</v>
      </c>
      <c r="E1715" s="33">
        <v>12</v>
      </c>
      <c r="F1715" s="33">
        <v>328</v>
      </c>
      <c r="G1715" s="33">
        <v>111</v>
      </c>
      <c r="H1715" s="33">
        <v>0</v>
      </c>
      <c r="I1715" s="33">
        <v>451</v>
      </c>
      <c r="K1715" t="b">
        <f>QHPSelections2016[[#This Row],[County Name]]=P1715</f>
        <v>1</v>
      </c>
      <c r="L1715" t="b">
        <f>QHPSelections2016[[#This Row],[Silver]]=S1715</f>
        <v>1</v>
      </c>
      <c r="N1715">
        <v>40127</v>
      </c>
      <c r="O1715" t="s">
        <v>3897</v>
      </c>
      <c r="P1715" t="s">
        <v>3993</v>
      </c>
      <c r="Q1715">
        <v>0</v>
      </c>
      <c r="R1715">
        <v>12</v>
      </c>
      <c r="S1715">
        <v>328</v>
      </c>
      <c r="T1715">
        <v>111</v>
      </c>
      <c r="U1715">
        <v>0</v>
      </c>
      <c r="V1715">
        <v>451</v>
      </c>
    </row>
    <row r="1716" spans="1:22">
      <c r="A1716" s="32" t="s">
        <v>3994</v>
      </c>
      <c r="B1716" s="32" t="s">
        <v>3897</v>
      </c>
      <c r="C1716" s="32" t="s">
        <v>3995</v>
      </c>
      <c r="D1716" s="33">
        <v>0</v>
      </c>
      <c r="E1716" s="33" t="s">
        <v>1639</v>
      </c>
      <c r="F1716" s="33">
        <v>90</v>
      </c>
      <c r="G1716" s="33">
        <v>31</v>
      </c>
      <c r="H1716" s="33" t="s">
        <v>1639</v>
      </c>
      <c r="I1716" s="33">
        <v>133</v>
      </c>
      <c r="K1716" t="b">
        <f>QHPSelections2016[[#This Row],[County Name]]=P1716</f>
        <v>1</v>
      </c>
      <c r="L1716" t="b">
        <f>QHPSelections2016[[#This Row],[Silver]]=S1716</f>
        <v>1</v>
      </c>
      <c r="N1716">
        <v>40129</v>
      </c>
      <c r="O1716" t="s">
        <v>3897</v>
      </c>
      <c r="P1716" t="s">
        <v>3995</v>
      </c>
      <c r="Q1716">
        <v>0</v>
      </c>
      <c r="S1716">
        <v>90</v>
      </c>
      <c r="T1716">
        <v>31</v>
      </c>
      <c r="V1716">
        <v>133</v>
      </c>
    </row>
    <row r="1717" spans="1:22">
      <c r="A1717" s="32" t="s">
        <v>3996</v>
      </c>
      <c r="B1717" s="32" t="s">
        <v>3897</v>
      </c>
      <c r="C1717" s="32" t="s">
        <v>3997</v>
      </c>
      <c r="D1717" s="33">
        <v>0</v>
      </c>
      <c r="E1717" s="33" t="s">
        <v>1639</v>
      </c>
      <c r="F1717" s="33">
        <v>1817</v>
      </c>
      <c r="G1717" s="33">
        <v>1226</v>
      </c>
      <c r="H1717" s="33" t="s">
        <v>1639</v>
      </c>
      <c r="I1717" s="33">
        <v>3218</v>
      </c>
      <c r="K1717" t="b">
        <f>QHPSelections2016[[#This Row],[County Name]]=P1717</f>
        <v>1</v>
      </c>
      <c r="L1717" t="b">
        <f>QHPSelections2016[[#This Row],[Silver]]=S1717</f>
        <v>1</v>
      </c>
      <c r="N1717">
        <v>40131</v>
      </c>
      <c r="O1717" t="s">
        <v>3897</v>
      </c>
      <c r="P1717" t="s">
        <v>3997</v>
      </c>
      <c r="Q1717">
        <v>0</v>
      </c>
      <c r="S1717" s="51">
        <v>1817</v>
      </c>
      <c r="T1717" s="51">
        <v>1226</v>
      </c>
      <c r="V1717" s="51">
        <v>3218</v>
      </c>
    </row>
    <row r="1718" spans="1:22">
      <c r="A1718" s="32" t="s">
        <v>3998</v>
      </c>
      <c r="B1718" s="32" t="s">
        <v>3897</v>
      </c>
      <c r="C1718" s="32" t="s">
        <v>1127</v>
      </c>
      <c r="D1718" s="33">
        <v>0</v>
      </c>
      <c r="E1718" s="33" t="s">
        <v>1639</v>
      </c>
      <c r="F1718" s="33">
        <v>458</v>
      </c>
      <c r="G1718" s="33">
        <v>249</v>
      </c>
      <c r="H1718" s="33" t="s">
        <v>1639</v>
      </c>
      <c r="I1718" s="33">
        <v>721</v>
      </c>
      <c r="K1718" t="b">
        <f>QHPSelections2016[[#This Row],[County Name]]=P1718</f>
        <v>1</v>
      </c>
      <c r="L1718" t="b">
        <f>QHPSelections2016[[#This Row],[Silver]]=S1718</f>
        <v>1</v>
      </c>
      <c r="N1718">
        <v>40133</v>
      </c>
      <c r="O1718" t="s">
        <v>3897</v>
      </c>
      <c r="P1718" t="s">
        <v>1127</v>
      </c>
      <c r="Q1718">
        <v>0</v>
      </c>
      <c r="S1718">
        <v>458</v>
      </c>
      <c r="T1718">
        <v>249</v>
      </c>
      <c r="V1718">
        <v>721</v>
      </c>
    </row>
    <row r="1719" spans="1:22">
      <c r="A1719" s="32" t="s">
        <v>3999</v>
      </c>
      <c r="B1719" s="32" t="s">
        <v>3897</v>
      </c>
      <c r="C1719" s="32" t="s">
        <v>4000</v>
      </c>
      <c r="D1719" s="33">
        <v>0</v>
      </c>
      <c r="E1719" s="33">
        <v>26</v>
      </c>
      <c r="F1719" s="33">
        <v>786</v>
      </c>
      <c r="G1719" s="33">
        <v>520</v>
      </c>
      <c r="H1719" s="33">
        <v>11</v>
      </c>
      <c r="I1719" s="33">
        <v>1343</v>
      </c>
      <c r="K1719" t="b">
        <f>QHPSelections2016[[#This Row],[County Name]]=P1719</f>
        <v>1</v>
      </c>
      <c r="L1719" t="b">
        <f>QHPSelections2016[[#This Row],[Silver]]=S1719</f>
        <v>1</v>
      </c>
      <c r="N1719">
        <v>40135</v>
      </c>
      <c r="O1719" t="s">
        <v>3897</v>
      </c>
      <c r="P1719" t="s">
        <v>4000</v>
      </c>
      <c r="Q1719">
        <v>0</v>
      </c>
      <c r="R1719">
        <v>26</v>
      </c>
      <c r="S1719">
        <v>786</v>
      </c>
      <c r="T1719">
        <v>520</v>
      </c>
      <c r="U1719">
        <v>11</v>
      </c>
      <c r="V1719" s="51">
        <v>1343</v>
      </c>
    </row>
    <row r="1720" spans="1:22">
      <c r="A1720" s="32" t="s">
        <v>4001</v>
      </c>
      <c r="B1720" s="32" t="s">
        <v>3897</v>
      </c>
      <c r="C1720" s="32" t="s">
        <v>1302</v>
      </c>
      <c r="D1720" s="33">
        <v>0</v>
      </c>
      <c r="E1720" s="33">
        <v>52</v>
      </c>
      <c r="F1720" s="33">
        <v>981</v>
      </c>
      <c r="G1720" s="33">
        <v>451</v>
      </c>
      <c r="H1720" s="33">
        <v>11</v>
      </c>
      <c r="I1720" s="33">
        <v>1495</v>
      </c>
      <c r="K1720" t="b">
        <f>QHPSelections2016[[#This Row],[County Name]]=P1720</f>
        <v>1</v>
      </c>
      <c r="L1720" t="b">
        <f>QHPSelections2016[[#This Row],[Silver]]=S1720</f>
        <v>1</v>
      </c>
      <c r="N1720">
        <v>40137</v>
      </c>
      <c r="O1720" t="s">
        <v>3897</v>
      </c>
      <c r="P1720" t="s">
        <v>1302</v>
      </c>
      <c r="Q1720">
        <v>0</v>
      </c>
      <c r="R1720">
        <v>52</v>
      </c>
      <c r="S1720">
        <v>981</v>
      </c>
      <c r="T1720">
        <v>451</v>
      </c>
      <c r="U1720">
        <v>11</v>
      </c>
      <c r="V1720" s="51">
        <v>1495</v>
      </c>
    </row>
    <row r="1721" spans="1:22">
      <c r="A1721" s="32" t="s">
        <v>4002</v>
      </c>
      <c r="B1721" s="32" t="s">
        <v>3897</v>
      </c>
      <c r="C1721" s="32" t="s">
        <v>3110</v>
      </c>
      <c r="D1721" s="33">
        <v>0</v>
      </c>
      <c r="E1721" s="33" t="s">
        <v>1639</v>
      </c>
      <c r="F1721" s="33">
        <v>475</v>
      </c>
      <c r="G1721" s="33">
        <v>146</v>
      </c>
      <c r="H1721" s="33" t="s">
        <v>1639</v>
      </c>
      <c r="I1721" s="33">
        <v>656</v>
      </c>
      <c r="K1721" t="b">
        <f>QHPSelections2016[[#This Row],[County Name]]=P1721</f>
        <v>1</v>
      </c>
      <c r="L1721" t="b">
        <f>QHPSelections2016[[#This Row],[Silver]]=S1721</f>
        <v>1</v>
      </c>
      <c r="N1721">
        <v>40139</v>
      </c>
      <c r="O1721" t="s">
        <v>3897</v>
      </c>
      <c r="P1721" t="s">
        <v>3110</v>
      </c>
      <c r="Q1721">
        <v>0</v>
      </c>
      <c r="S1721">
        <v>475</v>
      </c>
      <c r="T1721">
        <v>146</v>
      </c>
      <c r="V1721">
        <v>656</v>
      </c>
    </row>
    <row r="1722" spans="1:22">
      <c r="A1722" s="32" t="s">
        <v>4003</v>
      </c>
      <c r="B1722" s="32" t="s">
        <v>3897</v>
      </c>
      <c r="C1722" s="32" t="s">
        <v>4004</v>
      </c>
      <c r="D1722" s="33">
        <v>0</v>
      </c>
      <c r="E1722" s="33">
        <v>13</v>
      </c>
      <c r="F1722" s="33">
        <v>166</v>
      </c>
      <c r="G1722" s="33">
        <v>61</v>
      </c>
      <c r="H1722" s="33">
        <v>0</v>
      </c>
      <c r="I1722" s="33">
        <v>240</v>
      </c>
      <c r="K1722" t="b">
        <f>QHPSelections2016[[#This Row],[County Name]]=P1722</f>
        <v>1</v>
      </c>
      <c r="L1722" t="b">
        <f>QHPSelections2016[[#This Row],[Silver]]=S1722</f>
        <v>1</v>
      </c>
      <c r="N1722">
        <v>40141</v>
      </c>
      <c r="O1722" t="s">
        <v>3897</v>
      </c>
      <c r="P1722" t="s">
        <v>4004</v>
      </c>
      <c r="Q1722">
        <v>0</v>
      </c>
      <c r="R1722">
        <v>13</v>
      </c>
      <c r="S1722">
        <v>166</v>
      </c>
      <c r="T1722">
        <v>61</v>
      </c>
      <c r="U1722">
        <v>0</v>
      </c>
      <c r="V1722">
        <v>240</v>
      </c>
    </row>
    <row r="1723" spans="1:22">
      <c r="A1723" s="32" t="s">
        <v>4005</v>
      </c>
      <c r="B1723" s="32" t="s">
        <v>3897</v>
      </c>
      <c r="C1723" s="32" t="s">
        <v>4006</v>
      </c>
      <c r="D1723" s="33">
        <v>0</v>
      </c>
      <c r="E1723" s="33">
        <v>1383</v>
      </c>
      <c r="F1723" s="33">
        <v>16783</v>
      </c>
      <c r="G1723" s="33">
        <v>7594</v>
      </c>
      <c r="H1723" s="33">
        <v>48</v>
      </c>
      <c r="I1723" s="33">
        <v>25808</v>
      </c>
      <c r="K1723" t="b">
        <f>QHPSelections2016[[#This Row],[County Name]]=P1723</f>
        <v>1</v>
      </c>
      <c r="L1723" t="b">
        <f>QHPSelections2016[[#This Row],[Silver]]=S1723</f>
        <v>1</v>
      </c>
      <c r="N1723">
        <v>40143</v>
      </c>
      <c r="O1723" t="s">
        <v>3897</v>
      </c>
      <c r="P1723" t="s">
        <v>4006</v>
      </c>
      <c r="Q1723">
        <v>0</v>
      </c>
      <c r="R1723" s="51">
        <v>1383</v>
      </c>
      <c r="S1723" s="51">
        <v>16783</v>
      </c>
      <c r="T1723" s="51">
        <v>7594</v>
      </c>
      <c r="U1723">
        <v>48</v>
      </c>
      <c r="V1723" s="51">
        <v>25808</v>
      </c>
    </row>
    <row r="1724" spans="1:22">
      <c r="A1724" s="32" t="s">
        <v>4007</v>
      </c>
      <c r="B1724" s="32" t="s">
        <v>3897</v>
      </c>
      <c r="C1724" s="32" t="s">
        <v>4008</v>
      </c>
      <c r="D1724" s="33">
        <v>0</v>
      </c>
      <c r="E1724" s="33" t="s">
        <v>1639</v>
      </c>
      <c r="F1724" s="33">
        <v>1758</v>
      </c>
      <c r="G1724" s="33">
        <v>871</v>
      </c>
      <c r="H1724" s="33" t="s">
        <v>1639</v>
      </c>
      <c r="I1724" s="33">
        <v>2775</v>
      </c>
      <c r="K1724" t="b">
        <f>QHPSelections2016[[#This Row],[County Name]]=P1724</f>
        <v>1</v>
      </c>
      <c r="L1724" t="b">
        <f>QHPSelections2016[[#This Row],[Silver]]=S1724</f>
        <v>1</v>
      </c>
      <c r="N1724">
        <v>40145</v>
      </c>
      <c r="O1724" t="s">
        <v>3897</v>
      </c>
      <c r="P1724" t="s">
        <v>4008</v>
      </c>
      <c r="Q1724">
        <v>0</v>
      </c>
      <c r="S1724" s="51">
        <v>1758</v>
      </c>
      <c r="T1724">
        <v>871</v>
      </c>
      <c r="V1724" s="51">
        <v>2775</v>
      </c>
    </row>
    <row r="1725" spans="1:22">
      <c r="A1725" s="32" t="s">
        <v>4009</v>
      </c>
      <c r="B1725" s="32" t="s">
        <v>3897</v>
      </c>
      <c r="C1725" s="32" t="s">
        <v>1160</v>
      </c>
      <c r="D1725" s="33">
        <v>0</v>
      </c>
      <c r="E1725" s="33">
        <v>45</v>
      </c>
      <c r="F1725" s="33">
        <v>1010</v>
      </c>
      <c r="G1725" s="33">
        <v>538</v>
      </c>
      <c r="H1725" s="33">
        <v>16</v>
      </c>
      <c r="I1725" s="33">
        <v>1609</v>
      </c>
      <c r="K1725" t="b">
        <f>QHPSelections2016[[#This Row],[County Name]]=P1725</f>
        <v>1</v>
      </c>
      <c r="L1725" t="b">
        <f>QHPSelections2016[[#This Row],[Silver]]=S1725</f>
        <v>1</v>
      </c>
      <c r="N1725">
        <v>40147</v>
      </c>
      <c r="O1725" t="s">
        <v>3897</v>
      </c>
      <c r="P1725" t="s">
        <v>1160</v>
      </c>
      <c r="Q1725">
        <v>0</v>
      </c>
      <c r="R1725">
        <v>45</v>
      </c>
      <c r="S1725" s="51">
        <v>1010</v>
      </c>
      <c r="T1725">
        <v>538</v>
      </c>
      <c r="U1725">
        <v>16</v>
      </c>
      <c r="V1725" s="51">
        <v>1609</v>
      </c>
    </row>
    <row r="1726" spans="1:22">
      <c r="A1726" s="32" t="s">
        <v>4010</v>
      </c>
      <c r="B1726" s="32" t="s">
        <v>3897</v>
      </c>
      <c r="C1726" s="32" t="s">
        <v>4011</v>
      </c>
      <c r="D1726" s="33">
        <v>0</v>
      </c>
      <c r="E1726" s="33" t="s">
        <v>1639</v>
      </c>
      <c r="F1726" s="33">
        <v>296</v>
      </c>
      <c r="G1726" s="33">
        <v>142</v>
      </c>
      <c r="H1726" s="33" t="s">
        <v>1639</v>
      </c>
      <c r="I1726" s="33">
        <v>451</v>
      </c>
      <c r="K1726" t="b">
        <f>QHPSelections2016[[#This Row],[County Name]]=P1726</f>
        <v>1</v>
      </c>
      <c r="L1726" t="b">
        <f>QHPSelections2016[[#This Row],[Silver]]=S1726</f>
        <v>1</v>
      </c>
      <c r="N1726">
        <v>40149</v>
      </c>
      <c r="O1726" t="s">
        <v>3897</v>
      </c>
      <c r="P1726" t="s">
        <v>4011</v>
      </c>
      <c r="Q1726">
        <v>0</v>
      </c>
      <c r="S1726">
        <v>296</v>
      </c>
      <c r="T1726">
        <v>142</v>
      </c>
      <c r="V1726">
        <v>451</v>
      </c>
    </row>
    <row r="1727" spans="1:22">
      <c r="A1727" s="32" t="s">
        <v>4012</v>
      </c>
      <c r="B1727" s="32" t="s">
        <v>3897</v>
      </c>
      <c r="C1727" s="32" t="s">
        <v>4013</v>
      </c>
      <c r="D1727" s="33">
        <v>0</v>
      </c>
      <c r="E1727" s="33" t="s">
        <v>1639</v>
      </c>
      <c r="F1727" s="33">
        <v>163</v>
      </c>
      <c r="G1727" s="33">
        <v>91</v>
      </c>
      <c r="H1727" s="33" t="s">
        <v>1639</v>
      </c>
      <c r="I1727" s="33">
        <v>264</v>
      </c>
      <c r="K1727" t="b">
        <f>QHPSelections2016[[#This Row],[County Name]]=P1727</f>
        <v>1</v>
      </c>
      <c r="L1727" t="b">
        <f>QHPSelections2016[[#This Row],[Silver]]=S1727</f>
        <v>1</v>
      </c>
      <c r="N1727">
        <v>40151</v>
      </c>
      <c r="O1727" t="s">
        <v>3897</v>
      </c>
      <c r="P1727" t="s">
        <v>4013</v>
      </c>
      <c r="Q1727">
        <v>0</v>
      </c>
      <c r="S1727">
        <v>163</v>
      </c>
      <c r="T1727">
        <v>91</v>
      </c>
      <c r="V1727">
        <v>264</v>
      </c>
    </row>
    <row r="1728" spans="1:22">
      <c r="A1728" s="32" t="s">
        <v>4014</v>
      </c>
      <c r="B1728" s="32" t="s">
        <v>3897</v>
      </c>
      <c r="C1728" s="32" t="s">
        <v>4015</v>
      </c>
      <c r="D1728" s="33">
        <v>0</v>
      </c>
      <c r="E1728" s="33" t="s">
        <v>1639</v>
      </c>
      <c r="F1728" s="33">
        <v>569</v>
      </c>
      <c r="G1728" s="33">
        <v>177</v>
      </c>
      <c r="H1728" s="33" t="s">
        <v>1639</v>
      </c>
      <c r="I1728" s="33">
        <v>784</v>
      </c>
      <c r="K1728" t="b">
        <f>QHPSelections2016[[#This Row],[County Name]]=P1728</f>
        <v>1</v>
      </c>
      <c r="L1728" t="b">
        <f>QHPSelections2016[[#This Row],[Silver]]=S1728</f>
        <v>1</v>
      </c>
      <c r="N1728">
        <v>40153</v>
      </c>
      <c r="O1728" t="s">
        <v>3897</v>
      </c>
      <c r="P1728" t="s">
        <v>4015</v>
      </c>
      <c r="Q1728">
        <v>0</v>
      </c>
      <c r="S1728">
        <v>569</v>
      </c>
      <c r="T1728">
        <v>177</v>
      </c>
      <c r="V1728">
        <v>784</v>
      </c>
    </row>
    <row r="1729" spans="1:22">
      <c r="A1729" s="32" t="s">
        <v>4016</v>
      </c>
      <c r="B1729" s="32" t="s">
        <v>4017</v>
      </c>
      <c r="C1729" s="32" t="s">
        <v>824</v>
      </c>
      <c r="D1729" s="33">
        <v>0</v>
      </c>
      <c r="E1729" s="33" t="s">
        <v>1639</v>
      </c>
      <c r="F1729" s="33">
        <v>359</v>
      </c>
      <c r="G1729" s="33">
        <v>204</v>
      </c>
      <c r="H1729" s="33" t="s">
        <v>1639</v>
      </c>
      <c r="I1729" s="33">
        <v>621</v>
      </c>
      <c r="K1729" t="b">
        <f>QHPSelections2016[[#This Row],[County Name]]=P1729</f>
        <v>1</v>
      </c>
      <c r="L1729" t="b">
        <f>QHPSelections2016[[#This Row],[Silver]]=S1729</f>
        <v>1</v>
      </c>
      <c r="N1729">
        <v>41001</v>
      </c>
      <c r="O1729" t="s">
        <v>4017</v>
      </c>
      <c r="P1729" t="s">
        <v>824</v>
      </c>
      <c r="Q1729">
        <v>0</v>
      </c>
      <c r="S1729">
        <v>359</v>
      </c>
      <c r="T1729">
        <v>204</v>
      </c>
      <c r="V1729">
        <v>621</v>
      </c>
    </row>
    <row r="1730" spans="1:22">
      <c r="A1730" s="32" t="s">
        <v>4018</v>
      </c>
      <c r="B1730" s="32" t="s">
        <v>4017</v>
      </c>
      <c r="C1730" s="32" t="s">
        <v>835</v>
      </c>
      <c r="D1730" s="33">
        <v>0</v>
      </c>
      <c r="E1730" s="33">
        <v>254</v>
      </c>
      <c r="F1730" s="33">
        <v>1503</v>
      </c>
      <c r="G1730" s="33">
        <v>863</v>
      </c>
      <c r="H1730" s="33">
        <v>38</v>
      </c>
      <c r="I1730" s="33">
        <v>2658</v>
      </c>
      <c r="K1730" t="b">
        <f>QHPSelections2016[[#This Row],[County Name]]=P1730</f>
        <v>1</v>
      </c>
      <c r="L1730" t="b">
        <f>QHPSelections2016[[#This Row],[Silver]]=S1730</f>
        <v>1</v>
      </c>
      <c r="N1730">
        <v>41003</v>
      </c>
      <c r="O1730" t="s">
        <v>4017</v>
      </c>
      <c r="P1730" t="s">
        <v>835</v>
      </c>
      <c r="Q1730">
        <v>0</v>
      </c>
      <c r="R1730">
        <v>254</v>
      </c>
      <c r="S1730" s="51">
        <v>1503</v>
      </c>
      <c r="T1730">
        <v>863</v>
      </c>
      <c r="U1730">
        <v>38</v>
      </c>
      <c r="V1730" s="51">
        <v>2658</v>
      </c>
    </row>
    <row r="1731" spans="1:22">
      <c r="A1731" s="32" t="s">
        <v>4019</v>
      </c>
      <c r="B1731" s="32" t="s">
        <v>4017</v>
      </c>
      <c r="C1731" s="32" t="s">
        <v>4020</v>
      </c>
      <c r="D1731" s="33">
        <v>0</v>
      </c>
      <c r="E1731" s="33">
        <v>1882</v>
      </c>
      <c r="F1731" s="33">
        <v>9083</v>
      </c>
      <c r="G1731" s="33">
        <v>3583</v>
      </c>
      <c r="H1731" s="33">
        <v>97</v>
      </c>
      <c r="I1731" s="33">
        <v>14645</v>
      </c>
      <c r="K1731" t="b">
        <f>QHPSelections2016[[#This Row],[County Name]]=P1731</f>
        <v>1</v>
      </c>
      <c r="L1731" t="b">
        <f>QHPSelections2016[[#This Row],[Silver]]=S1731</f>
        <v>1</v>
      </c>
      <c r="N1731">
        <v>41005</v>
      </c>
      <c r="O1731" t="s">
        <v>4017</v>
      </c>
      <c r="P1731" t="s">
        <v>4020</v>
      </c>
      <c r="Q1731">
        <v>0</v>
      </c>
      <c r="R1731" s="51">
        <v>1882</v>
      </c>
      <c r="S1731" s="51">
        <v>9083</v>
      </c>
      <c r="T1731" s="51">
        <v>3583</v>
      </c>
      <c r="U1731">
        <v>97</v>
      </c>
      <c r="V1731" s="51">
        <v>14645</v>
      </c>
    </row>
    <row r="1732" spans="1:22">
      <c r="A1732" s="32" t="s">
        <v>4021</v>
      </c>
      <c r="B1732" s="32" t="s">
        <v>4017</v>
      </c>
      <c r="C1732" s="32" t="s">
        <v>4022</v>
      </c>
      <c r="D1732" s="33">
        <v>0</v>
      </c>
      <c r="E1732" s="33">
        <v>155</v>
      </c>
      <c r="F1732" s="33">
        <v>1044</v>
      </c>
      <c r="G1732" s="33">
        <v>637</v>
      </c>
      <c r="H1732" s="33">
        <v>25</v>
      </c>
      <c r="I1732" s="33">
        <v>1861</v>
      </c>
      <c r="K1732" t="b">
        <f>QHPSelections2016[[#This Row],[County Name]]=P1732</f>
        <v>1</v>
      </c>
      <c r="L1732" t="b">
        <f>QHPSelections2016[[#This Row],[Silver]]=S1732</f>
        <v>1</v>
      </c>
      <c r="N1732">
        <v>41007</v>
      </c>
      <c r="O1732" t="s">
        <v>4017</v>
      </c>
      <c r="P1732" t="s">
        <v>4022</v>
      </c>
      <c r="Q1732">
        <v>0</v>
      </c>
      <c r="R1732">
        <v>155</v>
      </c>
      <c r="S1732" s="51">
        <v>1044</v>
      </c>
      <c r="T1732">
        <v>637</v>
      </c>
      <c r="U1732">
        <v>25</v>
      </c>
      <c r="V1732" s="51">
        <v>1861</v>
      </c>
    </row>
    <row r="1733" spans="1:22">
      <c r="A1733" s="32" t="s">
        <v>4023</v>
      </c>
      <c r="B1733" s="32" t="s">
        <v>4017</v>
      </c>
      <c r="C1733" s="32" t="s">
        <v>885</v>
      </c>
      <c r="D1733" s="33">
        <v>0</v>
      </c>
      <c r="E1733" s="33">
        <v>117</v>
      </c>
      <c r="F1733" s="33">
        <v>843</v>
      </c>
      <c r="G1733" s="33">
        <v>348</v>
      </c>
      <c r="H1733" s="33">
        <v>13</v>
      </c>
      <c r="I1733" s="33">
        <v>1321</v>
      </c>
      <c r="K1733" t="b">
        <f>QHPSelections2016[[#This Row],[County Name]]=P1733</f>
        <v>1</v>
      </c>
      <c r="L1733" t="b">
        <f>QHPSelections2016[[#This Row],[Silver]]=S1733</f>
        <v>1</v>
      </c>
      <c r="N1733">
        <v>41009</v>
      </c>
      <c r="O1733" t="s">
        <v>4017</v>
      </c>
      <c r="P1733" t="s">
        <v>885</v>
      </c>
      <c r="Q1733">
        <v>0</v>
      </c>
      <c r="R1733">
        <v>117</v>
      </c>
      <c r="S1733">
        <v>843</v>
      </c>
      <c r="T1733">
        <v>348</v>
      </c>
      <c r="U1733">
        <v>13</v>
      </c>
      <c r="V1733" s="51">
        <v>1321</v>
      </c>
    </row>
    <row r="1734" spans="1:22">
      <c r="A1734" s="32" t="s">
        <v>4024</v>
      </c>
      <c r="B1734" s="32" t="s">
        <v>4017</v>
      </c>
      <c r="C1734" s="32" t="s">
        <v>3638</v>
      </c>
      <c r="D1734" s="33">
        <v>0</v>
      </c>
      <c r="E1734" s="33">
        <v>127</v>
      </c>
      <c r="F1734" s="33">
        <v>1399</v>
      </c>
      <c r="G1734" s="33">
        <v>551</v>
      </c>
      <c r="H1734" s="33">
        <v>11</v>
      </c>
      <c r="I1734" s="33">
        <v>2088</v>
      </c>
      <c r="K1734" t="b">
        <f>QHPSelections2016[[#This Row],[County Name]]=P1734</f>
        <v>1</v>
      </c>
      <c r="L1734" t="b">
        <f>QHPSelections2016[[#This Row],[Silver]]=S1734</f>
        <v>1</v>
      </c>
      <c r="N1734">
        <v>41011</v>
      </c>
      <c r="O1734" t="s">
        <v>4017</v>
      </c>
      <c r="P1734" t="s">
        <v>3638</v>
      </c>
      <c r="Q1734">
        <v>0</v>
      </c>
      <c r="R1734">
        <v>127</v>
      </c>
      <c r="S1734" s="51">
        <v>1399</v>
      </c>
      <c r="T1734">
        <v>551</v>
      </c>
      <c r="U1734">
        <v>11</v>
      </c>
      <c r="V1734" s="51">
        <v>2088</v>
      </c>
    </row>
    <row r="1735" spans="1:22">
      <c r="A1735" s="32" t="s">
        <v>4025</v>
      </c>
      <c r="B1735" s="32" t="s">
        <v>4017</v>
      </c>
      <c r="C1735" s="32" t="s">
        <v>4026</v>
      </c>
      <c r="D1735" s="33">
        <v>0</v>
      </c>
      <c r="E1735" s="33" t="s">
        <v>1639</v>
      </c>
      <c r="F1735" s="33">
        <v>567</v>
      </c>
      <c r="G1735" s="33">
        <v>255</v>
      </c>
      <c r="H1735" s="33" t="s">
        <v>1639</v>
      </c>
      <c r="I1735" s="33">
        <v>890</v>
      </c>
      <c r="K1735" t="b">
        <f>QHPSelections2016[[#This Row],[County Name]]=P1735</f>
        <v>1</v>
      </c>
      <c r="L1735" t="b">
        <f>QHPSelections2016[[#This Row],[Silver]]=S1735</f>
        <v>1</v>
      </c>
      <c r="N1735">
        <v>41013</v>
      </c>
      <c r="O1735" t="s">
        <v>4017</v>
      </c>
      <c r="P1735" t="s">
        <v>4026</v>
      </c>
      <c r="Q1735">
        <v>0</v>
      </c>
      <c r="S1735">
        <v>567</v>
      </c>
      <c r="T1735">
        <v>255</v>
      </c>
      <c r="V1735">
        <v>890</v>
      </c>
    </row>
    <row r="1736" spans="1:22">
      <c r="A1736" s="32" t="s">
        <v>4027</v>
      </c>
      <c r="B1736" s="32" t="s">
        <v>4017</v>
      </c>
      <c r="C1736" s="32" t="s">
        <v>3694</v>
      </c>
      <c r="D1736" s="33">
        <v>0</v>
      </c>
      <c r="E1736" s="33" t="s">
        <v>1639</v>
      </c>
      <c r="F1736" s="33">
        <v>674</v>
      </c>
      <c r="G1736" s="33">
        <v>402</v>
      </c>
      <c r="H1736" s="33" t="s">
        <v>1639</v>
      </c>
      <c r="I1736" s="33">
        <v>1145</v>
      </c>
      <c r="K1736" t="b">
        <f>QHPSelections2016[[#This Row],[County Name]]=P1736</f>
        <v>1</v>
      </c>
      <c r="L1736" t="b">
        <f>QHPSelections2016[[#This Row],[Silver]]=S1736</f>
        <v>1</v>
      </c>
      <c r="N1736">
        <v>41015</v>
      </c>
      <c r="O1736" t="s">
        <v>4017</v>
      </c>
      <c r="P1736" t="s">
        <v>3694</v>
      </c>
      <c r="Q1736">
        <v>0</v>
      </c>
      <c r="S1736">
        <v>674</v>
      </c>
      <c r="T1736">
        <v>402</v>
      </c>
      <c r="V1736" s="51">
        <v>1145</v>
      </c>
    </row>
    <row r="1737" spans="1:22">
      <c r="A1737" s="32" t="s">
        <v>4028</v>
      </c>
      <c r="B1737" s="32" t="s">
        <v>4017</v>
      </c>
      <c r="C1737" s="32" t="s">
        <v>4029</v>
      </c>
      <c r="D1737" s="33">
        <v>0</v>
      </c>
      <c r="E1737" s="33">
        <v>893</v>
      </c>
      <c r="F1737" s="33">
        <v>6059</v>
      </c>
      <c r="G1737" s="33">
        <v>3751</v>
      </c>
      <c r="H1737" s="33">
        <v>121</v>
      </c>
      <c r="I1737" s="33">
        <v>10824</v>
      </c>
      <c r="K1737" t="b">
        <f>QHPSelections2016[[#This Row],[County Name]]=P1737</f>
        <v>1</v>
      </c>
      <c r="L1737" t="b">
        <f>QHPSelections2016[[#This Row],[Silver]]=S1737</f>
        <v>1</v>
      </c>
      <c r="N1737">
        <v>41017</v>
      </c>
      <c r="O1737" t="s">
        <v>4017</v>
      </c>
      <c r="P1737" t="s">
        <v>4029</v>
      </c>
      <c r="Q1737">
        <v>0</v>
      </c>
      <c r="R1737">
        <v>893</v>
      </c>
      <c r="S1737" s="51">
        <v>6059</v>
      </c>
      <c r="T1737" s="51">
        <v>3751</v>
      </c>
      <c r="U1737">
        <v>121</v>
      </c>
      <c r="V1737" s="51">
        <v>10824</v>
      </c>
    </row>
    <row r="1738" spans="1:22">
      <c r="A1738" s="32" t="s">
        <v>4030</v>
      </c>
      <c r="B1738" s="32" t="s">
        <v>4017</v>
      </c>
      <c r="C1738" s="32" t="s">
        <v>1073</v>
      </c>
      <c r="D1738" s="33">
        <v>0</v>
      </c>
      <c r="E1738" s="33" t="s">
        <v>1639</v>
      </c>
      <c r="F1738" s="33">
        <v>1781</v>
      </c>
      <c r="G1738" s="33">
        <v>837</v>
      </c>
      <c r="H1738" s="33" t="s">
        <v>1639</v>
      </c>
      <c r="I1738" s="33">
        <v>2850</v>
      </c>
      <c r="K1738" t="b">
        <f>QHPSelections2016[[#This Row],[County Name]]=P1738</f>
        <v>1</v>
      </c>
      <c r="L1738" t="b">
        <f>QHPSelections2016[[#This Row],[Silver]]=S1738</f>
        <v>1</v>
      </c>
      <c r="N1738">
        <v>41019</v>
      </c>
      <c r="O1738" t="s">
        <v>4017</v>
      </c>
      <c r="P1738" t="s">
        <v>1073</v>
      </c>
      <c r="Q1738">
        <v>0</v>
      </c>
      <c r="S1738" s="51">
        <v>1781</v>
      </c>
      <c r="T1738">
        <v>837</v>
      </c>
      <c r="V1738" s="51">
        <v>2850</v>
      </c>
    </row>
    <row r="1739" spans="1:22">
      <c r="A1739" s="32" t="s">
        <v>4031</v>
      </c>
      <c r="B1739" s="32" t="s">
        <v>4017</v>
      </c>
      <c r="C1739" s="32" t="s">
        <v>4032</v>
      </c>
      <c r="D1739" s="33">
        <v>0</v>
      </c>
      <c r="E1739" s="33" t="s">
        <v>1639</v>
      </c>
      <c r="F1739" s="33">
        <v>39</v>
      </c>
      <c r="G1739" s="33">
        <v>34</v>
      </c>
      <c r="H1739" s="33" t="s">
        <v>1639</v>
      </c>
      <c r="I1739" s="33">
        <v>81</v>
      </c>
      <c r="K1739" t="b">
        <f>QHPSelections2016[[#This Row],[County Name]]=P1739</f>
        <v>1</v>
      </c>
      <c r="L1739" t="b">
        <f>QHPSelections2016[[#This Row],[Silver]]=S1739</f>
        <v>1</v>
      </c>
      <c r="N1739">
        <v>41021</v>
      </c>
      <c r="O1739" t="s">
        <v>4017</v>
      </c>
      <c r="P1739" t="s">
        <v>4032</v>
      </c>
      <c r="Q1739">
        <v>0</v>
      </c>
      <c r="S1739">
        <v>39</v>
      </c>
      <c r="T1739">
        <v>34</v>
      </c>
      <c r="V1739">
        <v>81</v>
      </c>
    </row>
    <row r="1740" spans="1:22">
      <c r="A1740" s="32" t="s">
        <v>4033</v>
      </c>
      <c r="B1740" s="32" t="s">
        <v>4017</v>
      </c>
      <c r="C1740" s="32" t="s">
        <v>1803</v>
      </c>
      <c r="D1740" s="33">
        <v>0</v>
      </c>
      <c r="E1740" s="33" t="s">
        <v>1639</v>
      </c>
      <c r="F1740" s="33">
        <v>156</v>
      </c>
      <c r="G1740" s="33">
        <v>69</v>
      </c>
      <c r="H1740" s="33" t="s">
        <v>1639</v>
      </c>
      <c r="I1740" s="33">
        <v>248</v>
      </c>
      <c r="K1740" t="b">
        <f>QHPSelections2016[[#This Row],[County Name]]=P1740</f>
        <v>1</v>
      </c>
      <c r="L1740" t="b">
        <f>QHPSelections2016[[#This Row],[Silver]]=S1740</f>
        <v>1</v>
      </c>
      <c r="N1740">
        <v>41023</v>
      </c>
      <c r="O1740" t="s">
        <v>4017</v>
      </c>
      <c r="P1740" t="s">
        <v>1803</v>
      </c>
      <c r="Q1740">
        <v>0</v>
      </c>
      <c r="S1740">
        <v>156</v>
      </c>
      <c r="T1740">
        <v>69</v>
      </c>
      <c r="V1740">
        <v>248</v>
      </c>
    </row>
    <row r="1741" spans="1:22">
      <c r="A1741" s="32" t="s">
        <v>4034</v>
      </c>
      <c r="B1741" s="32" t="s">
        <v>4017</v>
      </c>
      <c r="C1741" s="32" t="s">
        <v>4035</v>
      </c>
      <c r="D1741" s="33">
        <v>0</v>
      </c>
      <c r="E1741" s="33">
        <v>21</v>
      </c>
      <c r="F1741" s="33">
        <v>193</v>
      </c>
      <c r="G1741" s="33">
        <v>84</v>
      </c>
      <c r="H1741" s="33">
        <v>0</v>
      </c>
      <c r="I1741" s="33">
        <v>298</v>
      </c>
      <c r="K1741" t="b">
        <f>QHPSelections2016[[#This Row],[County Name]]=P1741</f>
        <v>1</v>
      </c>
      <c r="L1741" t="b">
        <f>QHPSelections2016[[#This Row],[Silver]]=S1741</f>
        <v>1</v>
      </c>
      <c r="N1741">
        <v>41025</v>
      </c>
      <c r="O1741" t="s">
        <v>4017</v>
      </c>
      <c r="P1741" t="s">
        <v>4035</v>
      </c>
      <c r="Q1741">
        <v>0</v>
      </c>
      <c r="R1741">
        <v>21</v>
      </c>
      <c r="S1741">
        <v>193</v>
      </c>
      <c r="T1741">
        <v>84</v>
      </c>
      <c r="U1741">
        <v>0</v>
      </c>
      <c r="V1741">
        <v>298</v>
      </c>
    </row>
    <row r="1742" spans="1:22">
      <c r="A1742" s="32" t="s">
        <v>4036</v>
      </c>
      <c r="B1742" s="32" t="s">
        <v>4017</v>
      </c>
      <c r="C1742" s="32" t="s">
        <v>4037</v>
      </c>
      <c r="D1742" s="33">
        <v>0</v>
      </c>
      <c r="E1742" s="33">
        <v>114</v>
      </c>
      <c r="F1742" s="33">
        <v>793</v>
      </c>
      <c r="G1742" s="33">
        <v>657</v>
      </c>
      <c r="H1742" s="33">
        <v>14</v>
      </c>
      <c r="I1742" s="33">
        <v>1578</v>
      </c>
      <c r="K1742" t="b">
        <f>QHPSelections2016[[#This Row],[County Name]]=P1742</f>
        <v>1</v>
      </c>
      <c r="L1742" t="b">
        <f>QHPSelections2016[[#This Row],[Silver]]=S1742</f>
        <v>1</v>
      </c>
      <c r="N1742">
        <v>41027</v>
      </c>
      <c r="O1742" t="s">
        <v>4017</v>
      </c>
      <c r="P1742" t="s">
        <v>4037</v>
      </c>
      <c r="Q1742">
        <v>0</v>
      </c>
      <c r="R1742">
        <v>114</v>
      </c>
      <c r="S1742">
        <v>793</v>
      </c>
      <c r="T1742">
        <v>657</v>
      </c>
      <c r="U1742">
        <v>14</v>
      </c>
      <c r="V1742" s="51">
        <v>1578</v>
      </c>
    </row>
    <row r="1743" spans="1:22">
      <c r="A1743" s="32" t="s">
        <v>4038</v>
      </c>
      <c r="B1743" s="32" t="s">
        <v>4017</v>
      </c>
      <c r="C1743" s="32" t="s">
        <v>984</v>
      </c>
      <c r="D1743" s="33">
        <v>0</v>
      </c>
      <c r="E1743" s="33">
        <v>646</v>
      </c>
      <c r="F1743" s="33">
        <v>4774</v>
      </c>
      <c r="G1743" s="33">
        <v>2871</v>
      </c>
      <c r="H1743" s="33">
        <v>61</v>
      </c>
      <c r="I1743" s="33">
        <v>8352</v>
      </c>
      <c r="K1743" t="b">
        <f>QHPSelections2016[[#This Row],[County Name]]=P1743</f>
        <v>1</v>
      </c>
      <c r="L1743" t="b">
        <f>QHPSelections2016[[#This Row],[Silver]]=S1743</f>
        <v>1</v>
      </c>
      <c r="N1743">
        <v>41029</v>
      </c>
      <c r="O1743" t="s">
        <v>4017</v>
      </c>
      <c r="P1743" t="s">
        <v>984</v>
      </c>
      <c r="Q1743">
        <v>0</v>
      </c>
      <c r="R1743">
        <v>646</v>
      </c>
      <c r="S1743" s="51">
        <v>4774</v>
      </c>
      <c r="T1743" s="51">
        <v>2871</v>
      </c>
      <c r="U1743">
        <v>61</v>
      </c>
      <c r="V1743" s="51">
        <v>8352</v>
      </c>
    </row>
    <row r="1744" spans="1:22">
      <c r="A1744" s="32" t="s">
        <v>4039</v>
      </c>
      <c r="B1744" s="32" t="s">
        <v>4017</v>
      </c>
      <c r="C1744" s="32" t="s">
        <v>993</v>
      </c>
      <c r="D1744" s="33">
        <v>0</v>
      </c>
      <c r="E1744" s="33" t="s">
        <v>1639</v>
      </c>
      <c r="F1744" s="33">
        <v>409</v>
      </c>
      <c r="G1744" s="33">
        <v>169</v>
      </c>
      <c r="H1744" s="33" t="s">
        <v>1639</v>
      </c>
      <c r="I1744" s="33">
        <v>620</v>
      </c>
      <c r="K1744" t="b">
        <f>QHPSelections2016[[#This Row],[County Name]]=P1744</f>
        <v>1</v>
      </c>
      <c r="L1744" t="b">
        <f>QHPSelections2016[[#This Row],[Silver]]=S1744</f>
        <v>1</v>
      </c>
      <c r="N1744">
        <v>41031</v>
      </c>
      <c r="O1744" t="s">
        <v>4017</v>
      </c>
      <c r="P1744" t="s">
        <v>993</v>
      </c>
      <c r="Q1744">
        <v>0</v>
      </c>
      <c r="S1744">
        <v>409</v>
      </c>
      <c r="T1744">
        <v>169</v>
      </c>
      <c r="V1744">
        <v>620</v>
      </c>
    </row>
    <row r="1745" spans="1:22">
      <c r="A1745" s="32" t="s">
        <v>4040</v>
      </c>
      <c r="B1745" s="32" t="s">
        <v>4017</v>
      </c>
      <c r="C1745" s="32" t="s">
        <v>4041</v>
      </c>
      <c r="D1745" s="33">
        <v>0</v>
      </c>
      <c r="E1745" s="33">
        <v>217</v>
      </c>
      <c r="F1745" s="33">
        <v>1953</v>
      </c>
      <c r="G1745" s="33">
        <v>1043</v>
      </c>
      <c r="H1745" s="33">
        <v>16</v>
      </c>
      <c r="I1745" s="33">
        <v>3229</v>
      </c>
      <c r="K1745" t="b">
        <f>QHPSelections2016[[#This Row],[County Name]]=P1745</f>
        <v>1</v>
      </c>
      <c r="L1745" t="b">
        <f>QHPSelections2016[[#This Row],[Silver]]=S1745</f>
        <v>1</v>
      </c>
      <c r="N1745">
        <v>41033</v>
      </c>
      <c r="O1745" t="s">
        <v>4017</v>
      </c>
      <c r="P1745" t="s">
        <v>4041</v>
      </c>
      <c r="Q1745">
        <v>0</v>
      </c>
      <c r="R1745">
        <v>217</v>
      </c>
      <c r="S1745" s="51">
        <v>1953</v>
      </c>
      <c r="T1745" s="51">
        <v>1043</v>
      </c>
      <c r="U1745">
        <v>16</v>
      </c>
      <c r="V1745" s="51">
        <v>3229</v>
      </c>
    </row>
    <row r="1746" spans="1:22">
      <c r="A1746" s="32" t="s">
        <v>4042</v>
      </c>
      <c r="B1746" s="32" t="s">
        <v>4017</v>
      </c>
      <c r="C1746" s="32" t="s">
        <v>4043</v>
      </c>
      <c r="D1746" s="33">
        <v>0</v>
      </c>
      <c r="E1746" s="33">
        <v>123</v>
      </c>
      <c r="F1746" s="33">
        <v>992</v>
      </c>
      <c r="G1746" s="33">
        <v>696</v>
      </c>
      <c r="H1746" s="33">
        <v>14</v>
      </c>
      <c r="I1746" s="33">
        <v>1825</v>
      </c>
      <c r="K1746" t="b">
        <f>QHPSelections2016[[#This Row],[County Name]]=P1746</f>
        <v>1</v>
      </c>
      <c r="L1746" t="b">
        <f>QHPSelections2016[[#This Row],[Silver]]=S1746</f>
        <v>1</v>
      </c>
      <c r="N1746">
        <v>41035</v>
      </c>
      <c r="O1746" t="s">
        <v>4017</v>
      </c>
      <c r="P1746" t="s">
        <v>4043</v>
      </c>
      <c r="Q1746">
        <v>0</v>
      </c>
      <c r="R1746">
        <v>123</v>
      </c>
      <c r="S1746">
        <v>992</v>
      </c>
      <c r="T1746">
        <v>696</v>
      </c>
      <c r="U1746">
        <v>14</v>
      </c>
      <c r="V1746" s="51">
        <v>1825</v>
      </c>
    </row>
    <row r="1747" spans="1:22">
      <c r="A1747" s="32" t="s">
        <v>4044</v>
      </c>
      <c r="B1747" s="32" t="s">
        <v>4017</v>
      </c>
      <c r="C1747" s="32" t="s">
        <v>1005</v>
      </c>
      <c r="D1747" s="33">
        <v>0</v>
      </c>
      <c r="E1747" s="33">
        <v>19</v>
      </c>
      <c r="F1747" s="33">
        <v>169</v>
      </c>
      <c r="G1747" s="33">
        <v>100</v>
      </c>
      <c r="H1747" s="33">
        <v>0</v>
      </c>
      <c r="I1747" s="33">
        <v>288</v>
      </c>
      <c r="K1747" t="b">
        <f>QHPSelections2016[[#This Row],[County Name]]=P1747</f>
        <v>1</v>
      </c>
      <c r="L1747" t="b">
        <f>QHPSelections2016[[#This Row],[Silver]]=S1747</f>
        <v>1</v>
      </c>
      <c r="N1747">
        <v>41037</v>
      </c>
      <c r="O1747" t="s">
        <v>4017</v>
      </c>
      <c r="P1747" t="s">
        <v>1005</v>
      </c>
      <c r="Q1747">
        <v>0</v>
      </c>
      <c r="R1747">
        <v>19</v>
      </c>
      <c r="S1747">
        <v>169</v>
      </c>
      <c r="T1747">
        <v>100</v>
      </c>
      <c r="U1747">
        <v>0</v>
      </c>
      <c r="V1747">
        <v>288</v>
      </c>
    </row>
    <row r="1748" spans="1:22">
      <c r="A1748" s="32" t="s">
        <v>4045</v>
      </c>
      <c r="B1748" s="32" t="s">
        <v>4017</v>
      </c>
      <c r="C1748" s="32" t="s">
        <v>2641</v>
      </c>
      <c r="D1748" s="33">
        <v>0</v>
      </c>
      <c r="E1748" s="33">
        <v>1053</v>
      </c>
      <c r="F1748" s="33">
        <v>7819</v>
      </c>
      <c r="G1748" s="33">
        <v>3695</v>
      </c>
      <c r="H1748" s="33">
        <v>141</v>
      </c>
      <c r="I1748" s="33">
        <v>12708</v>
      </c>
      <c r="K1748" t="b">
        <f>QHPSelections2016[[#This Row],[County Name]]=P1748</f>
        <v>1</v>
      </c>
      <c r="L1748" t="b">
        <f>QHPSelections2016[[#This Row],[Silver]]=S1748</f>
        <v>1</v>
      </c>
      <c r="N1748">
        <v>41039</v>
      </c>
      <c r="O1748" t="s">
        <v>4017</v>
      </c>
      <c r="P1748" t="s">
        <v>2641</v>
      </c>
      <c r="Q1748">
        <v>0</v>
      </c>
      <c r="R1748" s="51">
        <v>1053</v>
      </c>
      <c r="S1748" s="51">
        <v>7819</v>
      </c>
      <c r="T1748" s="51">
        <v>3695</v>
      </c>
      <c r="U1748">
        <v>141</v>
      </c>
      <c r="V1748" s="51">
        <v>12708</v>
      </c>
    </row>
    <row r="1749" spans="1:22">
      <c r="A1749" s="32" t="s">
        <v>4046</v>
      </c>
      <c r="B1749" s="32" t="s">
        <v>4017</v>
      </c>
      <c r="C1749" s="32" t="s">
        <v>1051</v>
      </c>
      <c r="D1749" s="33">
        <v>0</v>
      </c>
      <c r="E1749" s="33" t="s">
        <v>1639</v>
      </c>
      <c r="F1749" s="33">
        <v>1266</v>
      </c>
      <c r="G1749" s="33">
        <v>703</v>
      </c>
      <c r="H1749" s="33" t="s">
        <v>1639</v>
      </c>
      <c r="I1749" s="33">
        <v>2187</v>
      </c>
      <c r="K1749" t="b">
        <f>QHPSelections2016[[#This Row],[County Name]]=P1749</f>
        <v>1</v>
      </c>
      <c r="L1749" t="b">
        <f>QHPSelections2016[[#This Row],[Silver]]=S1749</f>
        <v>1</v>
      </c>
      <c r="N1749">
        <v>41041</v>
      </c>
      <c r="O1749" t="s">
        <v>4017</v>
      </c>
      <c r="P1749" t="s">
        <v>1051</v>
      </c>
      <c r="Q1749">
        <v>0</v>
      </c>
      <c r="S1749" s="51">
        <v>1266</v>
      </c>
      <c r="T1749">
        <v>703</v>
      </c>
      <c r="V1749" s="51">
        <v>2187</v>
      </c>
    </row>
    <row r="1750" spans="1:22">
      <c r="A1750" s="32" t="s">
        <v>4047</v>
      </c>
      <c r="B1750" s="32" t="s">
        <v>4017</v>
      </c>
      <c r="C1750" s="32" t="s">
        <v>2226</v>
      </c>
      <c r="D1750" s="33">
        <v>0</v>
      </c>
      <c r="E1750" s="33">
        <v>244</v>
      </c>
      <c r="F1750" s="33">
        <v>2045</v>
      </c>
      <c r="G1750" s="33">
        <v>903</v>
      </c>
      <c r="H1750" s="33">
        <v>32</v>
      </c>
      <c r="I1750" s="33">
        <v>3224</v>
      </c>
      <c r="K1750" t="b">
        <f>QHPSelections2016[[#This Row],[County Name]]=P1750</f>
        <v>1</v>
      </c>
      <c r="L1750" t="b">
        <f>QHPSelections2016[[#This Row],[Silver]]=S1750</f>
        <v>1</v>
      </c>
      <c r="N1750">
        <v>41043</v>
      </c>
      <c r="O1750" t="s">
        <v>4017</v>
      </c>
      <c r="P1750" t="s">
        <v>2226</v>
      </c>
      <c r="Q1750">
        <v>0</v>
      </c>
      <c r="R1750">
        <v>244</v>
      </c>
      <c r="S1750" s="51">
        <v>2045</v>
      </c>
      <c r="T1750">
        <v>903</v>
      </c>
      <c r="U1750">
        <v>32</v>
      </c>
      <c r="V1750" s="51">
        <v>3224</v>
      </c>
    </row>
    <row r="1751" spans="1:22">
      <c r="A1751" s="32" t="s">
        <v>4048</v>
      </c>
      <c r="B1751" s="32" t="s">
        <v>4017</v>
      </c>
      <c r="C1751" s="32" t="s">
        <v>4049</v>
      </c>
      <c r="D1751" s="33">
        <v>0</v>
      </c>
      <c r="E1751" s="33" t="s">
        <v>1639</v>
      </c>
      <c r="F1751" s="33">
        <v>557</v>
      </c>
      <c r="G1751" s="33">
        <v>282</v>
      </c>
      <c r="H1751" s="33" t="s">
        <v>1639</v>
      </c>
      <c r="I1751" s="33">
        <v>908</v>
      </c>
      <c r="K1751" t="b">
        <f>QHPSelections2016[[#This Row],[County Name]]=P1751</f>
        <v>1</v>
      </c>
      <c r="L1751" t="b">
        <f>QHPSelections2016[[#This Row],[Silver]]=S1751</f>
        <v>1</v>
      </c>
      <c r="N1751">
        <v>41045</v>
      </c>
      <c r="O1751" t="s">
        <v>4017</v>
      </c>
      <c r="P1751" t="s">
        <v>4049</v>
      </c>
      <c r="Q1751">
        <v>0</v>
      </c>
      <c r="S1751">
        <v>557</v>
      </c>
      <c r="T1751">
        <v>282</v>
      </c>
      <c r="V1751">
        <v>908</v>
      </c>
    </row>
    <row r="1752" spans="1:22">
      <c r="A1752" s="32" t="s">
        <v>4050</v>
      </c>
      <c r="B1752" s="32" t="s">
        <v>4017</v>
      </c>
      <c r="C1752" s="32" t="s">
        <v>1038</v>
      </c>
      <c r="D1752" s="33">
        <v>0</v>
      </c>
      <c r="E1752" s="33">
        <v>845</v>
      </c>
      <c r="F1752" s="33">
        <v>5210</v>
      </c>
      <c r="G1752" s="33">
        <v>2297</v>
      </c>
      <c r="H1752" s="33">
        <v>74</v>
      </c>
      <c r="I1752" s="33">
        <v>8426</v>
      </c>
      <c r="K1752" t="b">
        <f>QHPSelections2016[[#This Row],[County Name]]=P1752</f>
        <v>1</v>
      </c>
      <c r="L1752" t="b">
        <f>QHPSelections2016[[#This Row],[Silver]]=S1752</f>
        <v>1</v>
      </c>
      <c r="N1752">
        <v>41047</v>
      </c>
      <c r="O1752" t="s">
        <v>4017</v>
      </c>
      <c r="P1752" t="s">
        <v>1038</v>
      </c>
      <c r="Q1752">
        <v>0</v>
      </c>
      <c r="R1752">
        <v>845</v>
      </c>
      <c r="S1752" s="51">
        <v>5210</v>
      </c>
      <c r="T1752" s="51">
        <v>2297</v>
      </c>
      <c r="U1752">
        <v>74</v>
      </c>
      <c r="V1752" s="51">
        <v>8426</v>
      </c>
    </row>
    <row r="1753" spans="1:22">
      <c r="A1753" s="32" t="s">
        <v>4051</v>
      </c>
      <c r="B1753" s="32" t="s">
        <v>4017</v>
      </c>
      <c r="C1753" s="32" t="s">
        <v>3852</v>
      </c>
      <c r="D1753" s="33">
        <v>0</v>
      </c>
      <c r="E1753" s="33" t="s">
        <v>1639</v>
      </c>
      <c r="F1753" s="33">
        <v>119</v>
      </c>
      <c r="G1753" s="33">
        <v>38</v>
      </c>
      <c r="H1753" s="33" t="s">
        <v>1639</v>
      </c>
      <c r="I1753" s="33">
        <v>177</v>
      </c>
      <c r="K1753" t="b">
        <f>QHPSelections2016[[#This Row],[County Name]]=P1753</f>
        <v>1</v>
      </c>
      <c r="L1753" t="b">
        <f>QHPSelections2016[[#This Row],[Silver]]=S1753</f>
        <v>1</v>
      </c>
      <c r="N1753">
        <v>41049</v>
      </c>
      <c r="O1753" t="s">
        <v>4017</v>
      </c>
      <c r="P1753" t="s">
        <v>3852</v>
      </c>
      <c r="Q1753">
        <v>0</v>
      </c>
      <c r="S1753">
        <v>119</v>
      </c>
      <c r="T1753">
        <v>38</v>
      </c>
      <c r="V1753">
        <v>177</v>
      </c>
    </row>
    <row r="1754" spans="1:22">
      <c r="A1754" s="32" t="s">
        <v>4052</v>
      </c>
      <c r="B1754" s="32" t="s">
        <v>4017</v>
      </c>
      <c r="C1754" s="32" t="s">
        <v>4053</v>
      </c>
      <c r="D1754" s="33">
        <v>0</v>
      </c>
      <c r="E1754" s="33">
        <v>3631</v>
      </c>
      <c r="F1754" s="33">
        <v>21706</v>
      </c>
      <c r="G1754" s="33">
        <v>9381</v>
      </c>
      <c r="H1754" s="33">
        <v>402</v>
      </c>
      <c r="I1754" s="33">
        <v>35120</v>
      </c>
      <c r="K1754" t="b">
        <f>QHPSelections2016[[#This Row],[County Name]]=P1754</f>
        <v>1</v>
      </c>
      <c r="L1754" t="b">
        <f>QHPSelections2016[[#This Row],[Silver]]=S1754</f>
        <v>1</v>
      </c>
      <c r="N1754">
        <v>41051</v>
      </c>
      <c r="O1754" t="s">
        <v>4017</v>
      </c>
      <c r="P1754" t="s">
        <v>4053</v>
      </c>
      <c r="Q1754">
        <v>0</v>
      </c>
      <c r="R1754" s="51">
        <v>3631</v>
      </c>
      <c r="S1754" s="51">
        <v>21706</v>
      </c>
      <c r="T1754" s="51">
        <v>9381</v>
      </c>
      <c r="U1754">
        <v>402</v>
      </c>
      <c r="V1754" s="51">
        <v>35120</v>
      </c>
    </row>
    <row r="1755" spans="1:22">
      <c r="A1755" s="32" t="s">
        <v>4054</v>
      </c>
      <c r="B1755" s="32" t="s">
        <v>4017</v>
      </c>
      <c r="C1755" s="32" t="s">
        <v>1098</v>
      </c>
      <c r="D1755" s="33">
        <v>0</v>
      </c>
      <c r="E1755" s="33">
        <v>200</v>
      </c>
      <c r="F1755" s="33">
        <v>1274</v>
      </c>
      <c r="G1755" s="33">
        <v>591</v>
      </c>
      <c r="H1755" s="33">
        <v>18</v>
      </c>
      <c r="I1755" s="33">
        <v>2083</v>
      </c>
      <c r="K1755" t="b">
        <f>QHPSelections2016[[#This Row],[County Name]]=P1755</f>
        <v>1</v>
      </c>
      <c r="L1755" t="b">
        <f>QHPSelections2016[[#This Row],[Silver]]=S1755</f>
        <v>1</v>
      </c>
      <c r="N1755">
        <v>41053</v>
      </c>
      <c r="O1755" t="s">
        <v>4017</v>
      </c>
      <c r="P1755" t="s">
        <v>1098</v>
      </c>
      <c r="Q1755">
        <v>0</v>
      </c>
      <c r="R1755">
        <v>200</v>
      </c>
      <c r="S1755" s="51">
        <v>1274</v>
      </c>
      <c r="T1755">
        <v>591</v>
      </c>
      <c r="U1755">
        <v>18</v>
      </c>
      <c r="V1755" s="51">
        <v>2083</v>
      </c>
    </row>
    <row r="1756" spans="1:22">
      <c r="A1756" s="32" t="s">
        <v>4055</v>
      </c>
      <c r="B1756" s="32" t="s">
        <v>4017</v>
      </c>
      <c r="C1756" s="32" t="s">
        <v>1386</v>
      </c>
      <c r="D1756" s="33">
        <v>0</v>
      </c>
      <c r="E1756" s="33" t="s">
        <v>1639</v>
      </c>
      <c r="F1756" s="33">
        <v>36</v>
      </c>
      <c r="G1756" s="33">
        <v>28</v>
      </c>
      <c r="H1756" s="33" t="s">
        <v>1639</v>
      </c>
      <c r="I1756" s="33">
        <v>73</v>
      </c>
      <c r="K1756" t="b">
        <f>QHPSelections2016[[#This Row],[County Name]]=P1756</f>
        <v>1</v>
      </c>
      <c r="L1756" t="b">
        <f>QHPSelections2016[[#This Row],[Silver]]=S1756</f>
        <v>1</v>
      </c>
      <c r="N1756">
        <v>41055</v>
      </c>
      <c r="O1756" t="s">
        <v>4017</v>
      </c>
      <c r="P1756" t="s">
        <v>1386</v>
      </c>
      <c r="Q1756">
        <v>0</v>
      </c>
      <c r="S1756">
        <v>36</v>
      </c>
      <c r="T1756">
        <v>28</v>
      </c>
      <c r="V1756">
        <v>73</v>
      </c>
    </row>
    <row r="1757" spans="1:22">
      <c r="A1757" s="32" t="s">
        <v>4056</v>
      </c>
      <c r="B1757" s="32" t="s">
        <v>4017</v>
      </c>
      <c r="C1757" s="32" t="s">
        <v>4057</v>
      </c>
      <c r="D1757" s="33">
        <v>0</v>
      </c>
      <c r="E1757" s="33" t="s">
        <v>1639</v>
      </c>
      <c r="F1757" s="33">
        <v>729</v>
      </c>
      <c r="G1757" s="33">
        <v>378</v>
      </c>
      <c r="H1757" s="33" t="s">
        <v>1639</v>
      </c>
      <c r="I1757" s="33">
        <v>1202</v>
      </c>
      <c r="K1757" t="b">
        <f>QHPSelections2016[[#This Row],[County Name]]=P1757</f>
        <v>1</v>
      </c>
      <c r="L1757" t="b">
        <f>QHPSelections2016[[#This Row],[Silver]]=S1757</f>
        <v>1</v>
      </c>
      <c r="N1757">
        <v>41057</v>
      </c>
      <c r="O1757" t="s">
        <v>4017</v>
      </c>
      <c r="P1757" t="s">
        <v>4057</v>
      </c>
      <c r="Q1757">
        <v>0</v>
      </c>
      <c r="S1757">
        <v>729</v>
      </c>
      <c r="T1757">
        <v>378</v>
      </c>
      <c r="V1757" s="51">
        <v>1202</v>
      </c>
    </row>
    <row r="1758" spans="1:22">
      <c r="A1758" s="32" t="s">
        <v>4058</v>
      </c>
      <c r="B1758" s="32" t="s">
        <v>4017</v>
      </c>
      <c r="C1758" s="32" t="s">
        <v>4059</v>
      </c>
      <c r="D1758" s="33">
        <v>0</v>
      </c>
      <c r="E1758" s="33">
        <v>91</v>
      </c>
      <c r="F1758" s="33">
        <v>1096</v>
      </c>
      <c r="G1758" s="33">
        <v>471</v>
      </c>
      <c r="H1758" s="33">
        <v>18</v>
      </c>
      <c r="I1758" s="33">
        <v>1676</v>
      </c>
      <c r="K1758" t="b">
        <f>QHPSelections2016[[#This Row],[County Name]]=P1758</f>
        <v>1</v>
      </c>
      <c r="L1758" t="b">
        <f>QHPSelections2016[[#This Row],[Silver]]=S1758</f>
        <v>1</v>
      </c>
      <c r="N1758">
        <v>41059</v>
      </c>
      <c r="O1758" t="s">
        <v>4017</v>
      </c>
      <c r="P1758" t="s">
        <v>4059</v>
      </c>
      <c r="Q1758">
        <v>0</v>
      </c>
      <c r="R1758">
        <v>91</v>
      </c>
      <c r="S1758" s="51">
        <v>1096</v>
      </c>
      <c r="T1758">
        <v>471</v>
      </c>
      <c r="U1758">
        <v>18</v>
      </c>
      <c r="V1758" s="51">
        <v>1676</v>
      </c>
    </row>
    <row r="1759" spans="1:22">
      <c r="A1759" s="32" t="s">
        <v>4060</v>
      </c>
      <c r="B1759" s="32" t="s">
        <v>4017</v>
      </c>
      <c r="C1759" s="32" t="s">
        <v>1149</v>
      </c>
      <c r="D1759" s="33">
        <v>0</v>
      </c>
      <c r="E1759" s="33" t="s">
        <v>1639</v>
      </c>
      <c r="F1759" s="33">
        <v>529</v>
      </c>
      <c r="G1759" s="33">
        <v>371</v>
      </c>
      <c r="H1759" s="33" t="s">
        <v>1639</v>
      </c>
      <c r="I1759" s="33">
        <v>978</v>
      </c>
      <c r="K1759" t="b">
        <f>QHPSelections2016[[#This Row],[County Name]]=P1759</f>
        <v>1</v>
      </c>
      <c r="L1759" t="b">
        <f>QHPSelections2016[[#This Row],[Silver]]=S1759</f>
        <v>1</v>
      </c>
      <c r="N1759">
        <v>41061</v>
      </c>
      <c r="O1759" t="s">
        <v>4017</v>
      </c>
      <c r="P1759" t="s">
        <v>1149</v>
      </c>
      <c r="Q1759">
        <v>0</v>
      </c>
      <c r="S1759">
        <v>529</v>
      </c>
      <c r="T1759">
        <v>371</v>
      </c>
      <c r="V1759">
        <v>978</v>
      </c>
    </row>
    <row r="1760" spans="1:22">
      <c r="A1760" s="32" t="s">
        <v>4061</v>
      </c>
      <c r="B1760" s="32" t="s">
        <v>4017</v>
      </c>
      <c r="C1760" s="32" t="s">
        <v>4062</v>
      </c>
      <c r="D1760" s="33">
        <v>0</v>
      </c>
      <c r="E1760" s="33">
        <v>33</v>
      </c>
      <c r="F1760" s="33">
        <v>315</v>
      </c>
      <c r="G1760" s="33">
        <v>211</v>
      </c>
      <c r="H1760" s="33">
        <v>12</v>
      </c>
      <c r="I1760" s="33">
        <v>571</v>
      </c>
      <c r="K1760" t="b">
        <f>QHPSelections2016[[#This Row],[County Name]]=P1760</f>
        <v>1</v>
      </c>
      <c r="L1760" t="b">
        <f>QHPSelections2016[[#This Row],[Silver]]=S1760</f>
        <v>1</v>
      </c>
      <c r="N1760">
        <v>41063</v>
      </c>
      <c r="O1760" t="s">
        <v>4017</v>
      </c>
      <c r="P1760" t="s">
        <v>4062</v>
      </c>
      <c r="Q1760">
        <v>0</v>
      </c>
      <c r="R1760">
        <v>33</v>
      </c>
      <c r="S1760">
        <v>315</v>
      </c>
      <c r="T1760">
        <v>211</v>
      </c>
      <c r="U1760">
        <v>12</v>
      </c>
      <c r="V1760">
        <v>571</v>
      </c>
    </row>
    <row r="1761" spans="1:22">
      <c r="A1761" s="32" t="s">
        <v>4063</v>
      </c>
      <c r="B1761" s="32" t="s">
        <v>4017</v>
      </c>
      <c r="C1761" s="32" t="s">
        <v>4064</v>
      </c>
      <c r="D1761" s="33">
        <v>0</v>
      </c>
      <c r="E1761" s="33" t="s">
        <v>1639</v>
      </c>
      <c r="F1761" s="33">
        <v>511</v>
      </c>
      <c r="G1761" s="33">
        <v>315</v>
      </c>
      <c r="H1761" s="33" t="s">
        <v>1639</v>
      </c>
      <c r="I1761" s="33">
        <v>879</v>
      </c>
      <c r="K1761" t="b">
        <f>QHPSelections2016[[#This Row],[County Name]]=P1761</f>
        <v>1</v>
      </c>
      <c r="L1761" t="b">
        <f>QHPSelections2016[[#This Row],[Silver]]=S1761</f>
        <v>1</v>
      </c>
      <c r="N1761">
        <v>41065</v>
      </c>
      <c r="O1761" t="s">
        <v>4017</v>
      </c>
      <c r="P1761" t="s">
        <v>4064</v>
      </c>
      <c r="Q1761">
        <v>0</v>
      </c>
      <c r="S1761">
        <v>511</v>
      </c>
      <c r="T1761">
        <v>315</v>
      </c>
      <c r="V1761">
        <v>879</v>
      </c>
    </row>
    <row r="1762" spans="1:22">
      <c r="A1762" s="32" t="s">
        <v>4065</v>
      </c>
      <c r="B1762" s="32" t="s">
        <v>4017</v>
      </c>
      <c r="C1762" s="32" t="s">
        <v>1160</v>
      </c>
      <c r="D1762" s="33">
        <v>0</v>
      </c>
      <c r="E1762" s="33">
        <v>2299</v>
      </c>
      <c r="F1762" s="33">
        <v>11359</v>
      </c>
      <c r="G1762" s="33">
        <v>4530</v>
      </c>
      <c r="H1762" s="33">
        <v>198</v>
      </c>
      <c r="I1762" s="33">
        <v>18386</v>
      </c>
      <c r="K1762" t="b">
        <f>QHPSelections2016[[#This Row],[County Name]]=P1762</f>
        <v>1</v>
      </c>
      <c r="L1762" t="b">
        <f>QHPSelections2016[[#This Row],[Silver]]=S1762</f>
        <v>1</v>
      </c>
      <c r="N1762">
        <v>41067</v>
      </c>
      <c r="O1762" t="s">
        <v>4017</v>
      </c>
      <c r="P1762" t="s">
        <v>1160</v>
      </c>
      <c r="Q1762">
        <v>0</v>
      </c>
      <c r="R1762" s="51">
        <v>2299</v>
      </c>
      <c r="S1762" s="51">
        <v>11359</v>
      </c>
      <c r="T1762" s="51">
        <v>4530</v>
      </c>
      <c r="U1762">
        <v>198</v>
      </c>
      <c r="V1762" s="51">
        <v>18386</v>
      </c>
    </row>
    <row r="1763" spans="1:22">
      <c r="A1763" s="32" t="s">
        <v>4066</v>
      </c>
      <c r="B1763" s="32" t="s">
        <v>4017</v>
      </c>
      <c r="C1763" s="32" t="s">
        <v>1337</v>
      </c>
      <c r="D1763" s="33">
        <v>0</v>
      </c>
      <c r="E1763" s="33" t="s">
        <v>1639</v>
      </c>
      <c r="F1763" s="33">
        <v>48</v>
      </c>
      <c r="G1763" s="33">
        <v>18</v>
      </c>
      <c r="H1763" s="33" t="s">
        <v>1639</v>
      </c>
      <c r="I1763" s="33">
        <v>67</v>
      </c>
      <c r="K1763" t="b">
        <f>QHPSelections2016[[#This Row],[County Name]]=P1763</f>
        <v>1</v>
      </c>
      <c r="L1763" t="b">
        <f>QHPSelections2016[[#This Row],[Silver]]=S1763</f>
        <v>1</v>
      </c>
      <c r="N1763">
        <v>41069</v>
      </c>
      <c r="O1763" t="s">
        <v>4017</v>
      </c>
      <c r="P1763" t="s">
        <v>1337</v>
      </c>
      <c r="Q1763">
        <v>0</v>
      </c>
      <c r="S1763">
        <v>48</v>
      </c>
      <c r="T1763">
        <v>18</v>
      </c>
      <c r="V1763">
        <v>67</v>
      </c>
    </row>
    <row r="1764" spans="1:22">
      <c r="A1764" s="32" t="s">
        <v>4067</v>
      </c>
      <c r="B1764" s="32" t="s">
        <v>4017</v>
      </c>
      <c r="C1764" s="32" t="s">
        <v>4068</v>
      </c>
      <c r="D1764" s="33">
        <v>0</v>
      </c>
      <c r="E1764" s="33">
        <v>353</v>
      </c>
      <c r="F1764" s="33">
        <v>1760</v>
      </c>
      <c r="G1764" s="33">
        <v>875</v>
      </c>
      <c r="H1764" s="33">
        <v>33</v>
      </c>
      <c r="I1764" s="33">
        <v>3021</v>
      </c>
      <c r="K1764" t="b">
        <f>QHPSelections2016[[#This Row],[County Name]]=P1764</f>
        <v>1</v>
      </c>
      <c r="L1764" t="b">
        <f>QHPSelections2016[[#This Row],[Silver]]=S1764</f>
        <v>1</v>
      </c>
      <c r="N1764">
        <v>41071</v>
      </c>
      <c r="O1764" t="s">
        <v>4017</v>
      </c>
      <c r="P1764" t="s">
        <v>4068</v>
      </c>
      <c r="Q1764">
        <v>0</v>
      </c>
      <c r="R1764">
        <v>353</v>
      </c>
      <c r="S1764" s="51">
        <v>1760</v>
      </c>
      <c r="T1764">
        <v>875</v>
      </c>
      <c r="U1764">
        <v>33</v>
      </c>
      <c r="V1764" s="51">
        <v>3021</v>
      </c>
    </row>
    <row r="1765" spans="1:22">
      <c r="A1765" s="32" t="s">
        <v>4069</v>
      </c>
      <c r="B1765" s="32" t="s">
        <v>4070</v>
      </c>
      <c r="C1765" s="32" t="s">
        <v>820</v>
      </c>
      <c r="D1765" s="33">
        <v>22</v>
      </c>
      <c r="E1765" s="33">
        <v>248</v>
      </c>
      <c r="F1765" s="33">
        <v>2435</v>
      </c>
      <c r="G1765" s="33">
        <v>782</v>
      </c>
      <c r="H1765" s="33">
        <v>50</v>
      </c>
      <c r="I1765" s="33">
        <v>3537</v>
      </c>
      <c r="K1765" t="b">
        <f>QHPSelections2016[[#This Row],[County Name]]=P1765</f>
        <v>1</v>
      </c>
      <c r="L1765" t="b">
        <f>QHPSelections2016[[#This Row],[Silver]]=S1765</f>
        <v>1</v>
      </c>
      <c r="N1765">
        <v>42001</v>
      </c>
      <c r="O1765" t="s">
        <v>4070</v>
      </c>
      <c r="P1765" t="s">
        <v>820</v>
      </c>
      <c r="Q1765">
        <v>22</v>
      </c>
      <c r="R1765">
        <v>248</v>
      </c>
      <c r="S1765" s="51">
        <v>2435</v>
      </c>
      <c r="T1765">
        <v>782</v>
      </c>
      <c r="U1765">
        <v>50</v>
      </c>
      <c r="V1765" s="51">
        <v>3537</v>
      </c>
    </row>
    <row r="1766" spans="1:22">
      <c r="A1766" s="32" t="s">
        <v>4071</v>
      </c>
      <c r="B1766" s="32" t="s">
        <v>4070</v>
      </c>
      <c r="C1766" s="32" t="s">
        <v>4072</v>
      </c>
      <c r="D1766" s="33">
        <v>490</v>
      </c>
      <c r="E1766" s="33">
        <v>5885</v>
      </c>
      <c r="F1766" s="33">
        <v>28306</v>
      </c>
      <c r="G1766" s="33">
        <v>4661</v>
      </c>
      <c r="H1766" s="33">
        <v>287</v>
      </c>
      <c r="I1766" s="33">
        <v>39629</v>
      </c>
      <c r="K1766" t="b">
        <f>QHPSelections2016[[#This Row],[County Name]]=P1766</f>
        <v>1</v>
      </c>
      <c r="L1766" t="b">
        <f>QHPSelections2016[[#This Row],[Silver]]=S1766</f>
        <v>1</v>
      </c>
      <c r="N1766">
        <v>42003</v>
      </c>
      <c r="O1766" t="s">
        <v>4070</v>
      </c>
      <c r="P1766" t="s">
        <v>4072</v>
      </c>
      <c r="Q1766">
        <v>490</v>
      </c>
      <c r="R1766" s="51">
        <v>5885</v>
      </c>
      <c r="S1766" s="51">
        <v>28306</v>
      </c>
      <c r="T1766" s="51">
        <v>4661</v>
      </c>
      <c r="U1766">
        <v>287</v>
      </c>
      <c r="V1766" s="51">
        <v>39629</v>
      </c>
    </row>
    <row r="1767" spans="1:22">
      <c r="A1767" s="32" t="s">
        <v>4073</v>
      </c>
      <c r="B1767" s="32" t="s">
        <v>4070</v>
      </c>
      <c r="C1767" s="32" t="s">
        <v>853</v>
      </c>
      <c r="D1767" s="33" t="s">
        <v>1639</v>
      </c>
      <c r="E1767" s="33">
        <v>248</v>
      </c>
      <c r="F1767" s="33">
        <v>1330</v>
      </c>
      <c r="G1767" s="33">
        <v>227</v>
      </c>
      <c r="H1767" s="33" t="s">
        <v>1639</v>
      </c>
      <c r="I1767" s="33">
        <v>1818</v>
      </c>
      <c r="K1767" t="b">
        <f>QHPSelections2016[[#This Row],[County Name]]=P1767</f>
        <v>1</v>
      </c>
      <c r="L1767" t="b">
        <f>QHPSelections2016[[#This Row],[Silver]]=S1767</f>
        <v>1</v>
      </c>
      <c r="N1767">
        <v>42005</v>
      </c>
      <c r="O1767" t="s">
        <v>4070</v>
      </c>
      <c r="P1767" t="s">
        <v>853</v>
      </c>
      <c r="R1767">
        <v>248</v>
      </c>
      <c r="S1767" s="51">
        <v>1330</v>
      </c>
      <c r="T1767">
        <v>227</v>
      </c>
      <c r="V1767" s="51">
        <v>1818</v>
      </c>
    </row>
    <row r="1768" spans="1:22">
      <c r="A1768" s="32" t="s">
        <v>4074</v>
      </c>
      <c r="B1768" s="32" t="s">
        <v>4070</v>
      </c>
      <c r="C1768" s="32" t="s">
        <v>3903</v>
      </c>
      <c r="D1768" s="33">
        <v>25</v>
      </c>
      <c r="E1768" s="33">
        <v>681</v>
      </c>
      <c r="F1768" s="33">
        <v>3676</v>
      </c>
      <c r="G1768" s="33">
        <v>605</v>
      </c>
      <c r="H1768" s="33">
        <v>21</v>
      </c>
      <c r="I1768" s="33">
        <v>5008</v>
      </c>
      <c r="K1768" t="b">
        <f>QHPSelections2016[[#This Row],[County Name]]=P1768</f>
        <v>1</v>
      </c>
      <c r="L1768" t="b">
        <f>QHPSelections2016[[#This Row],[Silver]]=S1768</f>
        <v>1</v>
      </c>
      <c r="N1768">
        <v>42007</v>
      </c>
      <c r="O1768" t="s">
        <v>4070</v>
      </c>
      <c r="P1768" t="s">
        <v>3903</v>
      </c>
      <c r="Q1768">
        <v>25</v>
      </c>
      <c r="R1768">
        <v>681</v>
      </c>
      <c r="S1768" s="51">
        <v>3676</v>
      </c>
      <c r="T1768">
        <v>605</v>
      </c>
      <c r="U1768">
        <v>21</v>
      </c>
      <c r="V1768" s="51">
        <v>5008</v>
      </c>
    </row>
    <row r="1769" spans="1:22">
      <c r="A1769" s="32" t="s">
        <v>4075</v>
      </c>
      <c r="B1769" s="32" t="s">
        <v>4070</v>
      </c>
      <c r="C1769" s="32" t="s">
        <v>828</v>
      </c>
      <c r="D1769" s="33" t="s">
        <v>1639</v>
      </c>
      <c r="E1769" s="33">
        <v>234</v>
      </c>
      <c r="F1769" s="33">
        <v>1140</v>
      </c>
      <c r="G1769" s="33">
        <v>204</v>
      </c>
      <c r="H1769" s="33" t="s">
        <v>1639</v>
      </c>
      <c r="I1769" s="33">
        <v>1592</v>
      </c>
      <c r="K1769" t="b">
        <f>QHPSelections2016[[#This Row],[County Name]]=P1769</f>
        <v>1</v>
      </c>
      <c r="L1769" t="b">
        <f>QHPSelections2016[[#This Row],[Silver]]=S1769</f>
        <v>1</v>
      </c>
      <c r="N1769">
        <v>42009</v>
      </c>
      <c r="O1769" t="s">
        <v>4070</v>
      </c>
      <c r="P1769" t="s">
        <v>828</v>
      </c>
      <c r="R1769">
        <v>234</v>
      </c>
      <c r="S1769" s="51">
        <v>1140</v>
      </c>
      <c r="T1769">
        <v>204</v>
      </c>
      <c r="V1769" s="51">
        <v>1592</v>
      </c>
    </row>
    <row r="1770" spans="1:22">
      <c r="A1770" s="32" t="s">
        <v>4076</v>
      </c>
      <c r="B1770" s="32" t="s">
        <v>4070</v>
      </c>
      <c r="C1770" s="32" t="s">
        <v>4077</v>
      </c>
      <c r="D1770" s="33">
        <v>169</v>
      </c>
      <c r="E1770" s="33">
        <v>1586</v>
      </c>
      <c r="F1770" s="33">
        <v>9849</v>
      </c>
      <c r="G1770" s="33">
        <v>2143</v>
      </c>
      <c r="H1770" s="33">
        <v>225</v>
      </c>
      <c r="I1770" s="33">
        <v>13972</v>
      </c>
      <c r="K1770" t="b">
        <f>QHPSelections2016[[#This Row],[County Name]]=P1770</f>
        <v>1</v>
      </c>
      <c r="L1770" t="b">
        <f>QHPSelections2016[[#This Row],[Silver]]=S1770</f>
        <v>1</v>
      </c>
      <c r="N1770">
        <v>42011</v>
      </c>
      <c r="O1770" t="s">
        <v>4070</v>
      </c>
      <c r="P1770" t="s">
        <v>4077</v>
      </c>
      <c r="Q1770">
        <v>169</v>
      </c>
      <c r="R1770" s="51">
        <v>1586</v>
      </c>
      <c r="S1770" s="51">
        <v>9849</v>
      </c>
      <c r="T1770" s="51">
        <v>2143</v>
      </c>
      <c r="U1770">
        <v>225</v>
      </c>
      <c r="V1770" s="51">
        <v>13972</v>
      </c>
    </row>
    <row r="1771" spans="1:22">
      <c r="A1771" s="32" t="s">
        <v>4078</v>
      </c>
      <c r="B1771" s="32" t="s">
        <v>4070</v>
      </c>
      <c r="C1771" s="32" t="s">
        <v>4079</v>
      </c>
      <c r="D1771" s="33">
        <v>21</v>
      </c>
      <c r="E1771" s="33">
        <v>388</v>
      </c>
      <c r="F1771" s="33">
        <v>2161</v>
      </c>
      <c r="G1771" s="33">
        <v>341</v>
      </c>
      <c r="H1771" s="33">
        <v>15</v>
      </c>
      <c r="I1771" s="33">
        <v>2926</v>
      </c>
      <c r="K1771" t="b">
        <f>QHPSelections2016[[#This Row],[County Name]]=P1771</f>
        <v>1</v>
      </c>
      <c r="L1771" t="b">
        <f>QHPSelections2016[[#This Row],[Silver]]=S1771</f>
        <v>1</v>
      </c>
      <c r="N1771">
        <v>42013</v>
      </c>
      <c r="O1771" t="s">
        <v>4070</v>
      </c>
      <c r="P1771" t="s">
        <v>4079</v>
      </c>
      <c r="Q1771">
        <v>21</v>
      </c>
      <c r="R1771">
        <v>388</v>
      </c>
      <c r="S1771" s="51">
        <v>2161</v>
      </c>
      <c r="T1771">
        <v>341</v>
      </c>
      <c r="U1771">
        <v>15</v>
      </c>
      <c r="V1771" s="51">
        <v>2926</v>
      </c>
    </row>
    <row r="1772" spans="1:22">
      <c r="A1772" s="32" t="s">
        <v>4080</v>
      </c>
      <c r="B1772" s="32" t="s">
        <v>4070</v>
      </c>
      <c r="C1772" s="32" t="s">
        <v>838</v>
      </c>
      <c r="D1772" s="33">
        <v>0</v>
      </c>
      <c r="E1772" s="33">
        <v>355</v>
      </c>
      <c r="F1772" s="33">
        <v>1151</v>
      </c>
      <c r="G1772" s="33">
        <v>392</v>
      </c>
      <c r="H1772" s="33">
        <v>26</v>
      </c>
      <c r="I1772" s="33">
        <v>1924</v>
      </c>
      <c r="K1772" t="b">
        <f>QHPSelections2016[[#This Row],[County Name]]=P1772</f>
        <v>1</v>
      </c>
      <c r="L1772" t="b">
        <f>QHPSelections2016[[#This Row],[Silver]]=S1772</f>
        <v>1</v>
      </c>
      <c r="N1772">
        <v>42015</v>
      </c>
      <c r="O1772" t="s">
        <v>4070</v>
      </c>
      <c r="P1772" t="s">
        <v>838</v>
      </c>
      <c r="Q1772">
        <v>0</v>
      </c>
      <c r="R1772">
        <v>355</v>
      </c>
      <c r="S1772" s="51">
        <v>1151</v>
      </c>
      <c r="T1772">
        <v>392</v>
      </c>
      <c r="U1772">
        <v>26</v>
      </c>
      <c r="V1772" s="51">
        <v>1924</v>
      </c>
    </row>
    <row r="1773" spans="1:22">
      <c r="A1773" s="32" t="s">
        <v>4081</v>
      </c>
      <c r="B1773" s="32" t="s">
        <v>4070</v>
      </c>
      <c r="C1773" s="32" t="s">
        <v>4082</v>
      </c>
      <c r="D1773" s="33">
        <v>1050</v>
      </c>
      <c r="E1773" s="33">
        <v>2643</v>
      </c>
      <c r="F1773" s="33">
        <v>23653</v>
      </c>
      <c r="G1773" s="33">
        <v>4155</v>
      </c>
      <c r="H1773" s="33">
        <v>22</v>
      </c>
      <c r="I1773" s="33">
        <v>31523</v>
      </c>
      <c r="K1773" t="b">
        <f>QHPSelections2016[[#This Row],[County Name]]=P1773</f>
        <v>1</v>
      </c>
      <c r="L1773" t="b">
        <f>QHPSelections2016[[#This Row],[Silver]]=S1773</f>
        <v>1</v>
      </c>
      <c r="N1773">
        <v>42017</v>
      </c>
      <c r="O1773" t="s">
        <v>4070</v>
      </c>
      <c r="P1773" t="s">
        <v>4082</v>
      </c>
      <c r="Q1773" s="51">
        <v>1050</v>
      </c>
      <c r="R1773" s="51">
        <v>2643</v>
      </c>
      <c r="S1773" s="51">
        <v>23653</v>
      </c>
      <c r="T1773" s="51">
        <v>4155</v>
      </c>
      <c r="U1773">
        <v>22</v>
      </c>
      <c r="V1773" s="51">
        <v>31523</v>
      </c>
    </row>
    <row r="1774" spans="1:22">
      <c r="A1774" s="32" t="s">
        <v>4083</v>
      </c>
      <c r="B1774" s="32" t="s">
        <v>4070</v>
      </c>
      <c r="C1774" s="32" t="s">
        <v>854</v>
      </c>
      <c r="D1774" s="33">
        <v>61</v>
      </c>
      <c r="E1774" s="33">
        <v>774</v>
      </c>
      <c r="F1774" s="33">
        <v>3868</v>
      </c>
      <c r="G1774" s="33">
        <v>592</v>
      </c>
      <c r="H1774" s="33">
        <v>25</v>
      </c>
      <c r="I1774" s="33">
        <v>5320</v>
      </c>
      <c r="K1774" t="b">
        <f>QHPSelections2016[[#This Row],[County Name]]=P1774</f>
        <v>1</v>
      </c>
      <c r="L1774" t="b">
        <f>QHPSelections2016[[#This Row],[Silver]]=S1774</f>
        <v>1</v>
      </c>
      <c r="N1774">
        <v>42019</v>
      </c>
      <c r="O1774" t="s">
        <v>4070</v>
      </c>
      <c r="P1774" t="s">
        <v>854</v>
      </c>
      <c r="Q1774">
        <v>61</v>
      </c>
      <c r="R1774">
        <v>774</v>
      </c>
      <c r="S1774" s="51">
        <v>3868</v>
      </c>
      <c r="T1774">
        <v>592</v>
      </c>
      <c r="U1774">
        <v>25</v>
      </c>
      <c r="V1774" s="51">
        <v>5320</v>
      </c>
    </row>
    <row r="1775" spans="1:22">
      <c r="A1775" s="32" t="s">
        <v>4084</v>
      </c>
      <c r="B1775" s="32" t="s">
        <v>4070</v>
      </c>
      <c r="C1775" s="32" t="s">
        <v>4085</v>
      </c>
      <c r="D1775" s="33" t="s">
        <v>1639</v>
      </c>
      <c r="E1775" s="33">
        <v>533</v>
      </c>
      <c r="F1775" s="33">
        <v>2727</v>
      </c>
      <c r="G1775" s="33">
        <v>514</v>
      </c>
      <c r="H1775" s="33" t="s">
        <v>1639</v>
      </c>
      <c r="I1775" s="33">
        <v>3803</v>
      </c>
      <c r="K1775" t="b">
        <f>QHPSelections2016[[#This Row],[County Name]]=P1775</f>
        <v>1</v>
      </c>
      <c r="L1775" t="b">
        <f>QHPSelections2016[[#This Row],[Silver]]=S1775</f>
        <v>1</v>
      </c>
      <c r="N1775">
        <v>42021</v>
      </c>
      <c r="O1775" t="s">
        <v>4070</v>
      </c>
      <c r="P1775" t="s">
        <v>4085</v>
      </c>
      <c r="R1775">
        <v>533</v>
      </c>
      <c r="S1775" s="51">
        <v>2727</v>
      </c>
      <c r="T1775">
        <v>514</v>
      </c>
      <c r="V1775" s="51">
        <v>3803</v>
      </c>
    </row>
    <row r="1776" spans="1:22">
      <c r="A1776" s="32" t="s">
        <v>4086</v>
      </c>
      <c r="B1776" s="32" t="s">
        <v>4070</v>
      </c>
      <c r="C1776" s="32" t="s">
        <v>992</v>
      </c>
      <c r="D1776" s="33">
        <v>0</v>
      </c>
      <c r="E1776" s="33">
        <v>22</v>
      </c>
      <c r="F1776" s="33">
        <v>93</v>
      </c>
      <c r="G1776" s="33">
        <v>15</v>
      </c>
      <c r="H1776" s="33">
        <v>0</v>
      </c>
      <c r="I1776" s="33">
        <v>130</v>
      </c>
      <c r="K1776" t="b">
        <f>QHPSelections2016[[#This Row],[County Name]]=P1776</f>
        <v>1</v>
      </c>
      <c r="L1776" t="b">
        <f>QHPSelections2016[[#This Row],[Silver]]=S1776</f>
        <v>1</v>
      </c>
      <c r="N1776">
        <v>42023</v>
      </c>
      <c r="O1776" t="s">
        <v>4070</v>
      </c>
      <c r="P1776" t="s">
        <v>992</v>
      </c>
      <c r="Q1776">
        <v>0</v>
      </c>
      <c r="R1776">
        <v>22</v>
      </c>
      <c r="S1776">
        <v>93</v>
      </c>
      <c r="T1776">
        <v>15</v>
      </c>
      <c r="U1776">
        <v>0</v>
      </c>
      <c r="V1776">
        <v>130</v>
      </c>
    </row>
    <row r="1777" spans="1:22">
      <c r="A1777" s="32" t="s">
        <v>4087</v>
      </c>
      <c r="B1777" s="32" t="s">
        <v>4070</v>
      </c>
      <c r="C1777" s="32" t="s">
        <v>3213</v>
      </c>
      <c r="D1777" s="33">
        <v>0</v>
      </c>
      <c r="E1777" s="33">
        <v>557</v>
      </c>
      <c r="F1777" s="33">
        <v>1506</v>
      </c>
      <c r="G1777" s="33">
        <v>351</v>
      </c>
      <c r="H1777" s="33">
        <v>23</v>
      </c>
      <c r="I1777" s="33">
        <v>2437</v>
      </c>
      <c r="K1777" t="b">
        <f>QHPSelections2016[[#This Row],[County Name]]=P1777</f>
        <v>1</v>
      </c>
      <c r="L1777" t="b">
        <f>QHPSelections2016[[#This Row],[Silver]]=S1777</f>
        <v>1</v>
      </c>
      <c r="N1777">
        <v>42025</v>
      </c>
      <c r="O1777" t="s">
        <v>4070</v>
      </c>
      <c r="P1777" t="s">
        <v>3213</v>
      </c>
      <c r="Q1777">
        <v>0</v>
      </c>
      <c r="R1777">
        <v>557</v>
      </c>
      <c r="S1777" s="51">
        <v>1506</v>
      </c>
      <c r="T1777">
        <v>351</v>
      </c>
      <c r="U1777">
        <v>23</v>
      </c>
      <c r="V1777" s="51">
        <v>2437</v>
      </c>
    </row>
    <row r="1778" spans="1:22">
      <c r="A1778" s="32" t="s">
        <v>4088</v>
      </c>
      <c r="B1778" s="32" t="s">
        <v>4070</v>
      </c>
      <c r="C1778" s="32" t="s">
        <v>4089</v>
      </c>
      <c r="D1778" s="33">
        <v>27</v>
      </c>
      <c r="E1778" s="33">
        <v>448</v>
      </c>
      <c r="F1778" s="33">
        <v>2504</v>
      </c>
      <c r="G1778" s="33">
        <v>395</v>
      </c>
      <c r="H1778" s="33">
        <v>64</v>
      </c>
      <c r="I1778" s="33">
        <v>3438</v>
      </c>
      <c r="K1778" t="b">
        <f>QHPSelections2016[[#This Row],[County Name]]=P1778</f>
        <v>1</v>
      </c>
      <c r="L1778" t="b">
        <f>QHPSelections2016[[#This Row],[Silver]]=S1778</f>
        <v>1</v>
      </c>
      <c r="N1778">
        <v>42027</v>
      </c>
      <c r="O1778" t="s">
        <v>4070</v>
      </c>
      <c r="P1778" t="s">
        <v>4089</v>
      </c>
      <c r="Q1778">
        <v>27</v>
      </c>
      <c r="R1778">
        <v>448</v>
      </c>
      <c r="S1778" s="51">
        <v>2504</v>
      </c>
      <c r="T1778">
        <v>395</v>
      </c>
      <c r="U1778">
        <v>64</v>
      </c>
      <c r="V1778" s="51">
        <v>3438</v>
      </c>
    </row>
    <row r="1779" spans="1:22">
      <c r="A1779" s="32" t="s">
        <v>4090</v>
      </c>
      <c r="B1779" s="32" t="s">
        <v>4070</v>
      </c>
      <c r="C1779" s="32" t="s">
        <v>889</v>
      </c>
      <c r="D1779" s="33">
        <v>785</v>
      </c>
      <c r="E1779" s="33">
        <v>2069</v>
      </c>
      <c r="F1779" s="33">
        <v>14071</v>
      </c>
      <c r="G1779" s="33">
        <v>3583</v>
      </c>
      <c r="H1779" s="33">
        <v>13</v>
      </c>
      <c r="I1779" s="33">
        <v>20521</v>
      </c>
      <c r="K1779" t="b">
        <f>QHPSelections2016[[#This Row],[County Name]]=P1779</f>
        <v>1</v>
      </c>
      <c r="L1779" t="b">
        <f>QHPSelections2016[[#This Row],[Silver]]=S1779</f>
        <v>1</v>
      </c>
      <c r="N1779">
        <v>42029</v>
      </c>
      <c r="O1779" t="s">
        <v>4070</v>
      </c>
      <c r="P1779" t="s">
        <v>889</v>
      </c>
      <c r="Q1779">
        <v>785</v>
      </c>
      <c r="R1779" s="51">
        <v>2069</v>
      </c>
      <c r="S1779" s="51">
        <v>14071</v>
      </c>
      <c r="T1779" s="51">
        <v>3583</v>
      </c>
      <c r="U1779">
        <v>13</v>
      </c>
      <c r="V1779" s="51">
        <v>20521</v>
      </c>
    </row>
    <row r="1780" spans="1:22">
      <c r="A1780" s="32" t="s">
        <v>4091</v>
      </c>
      <c r="B1780" s="32" t="s">
        <v>4070</v>
      </c>
      <c r="C1780" s="32" t="s">
        <v>4092</v>
      </c>
      <c r="D1780" s="33" t="s">
        <v>1639</v>
      </c>
      <c r="E1780" s="33">
        <v>102</v>
      </c>
      <c r="F1780" s="33">
        <v>1192</v>
      </c>
      <c r="G1780" s="33">
        <v>135</v>
      </c>
      <c r="H1780" s="33" t="s">
        <v>1639</v>
      </c>
      <c r="I1780" s="33">
        <v>1442</v>
      </c>
      <c r="K1780" t="b">
        <f>QHPSelections2016[[#This Row],[County Name]]=P1780</f>
        <v>1</v>
      </c>
      <c r="L1780" t="b">
        <f>QHPSelections2016[[#This Row],[Silver]]=S1780</f>
        <v>1</v>
      </c>
      <c r="N1780">
        <v>42031</v>
      </c>
      <c r="O1780" t="s">
        <v>4070</v>
      </c>
      <c r="P1780" t="s">
        <v>4092</v>
      </c>
      <c r="R1780">
        <v>102</v>
      </c>
      <c r="S1780" s="51">
        <v>1192</v>
      </c>
      <c r="T1780">
        <v>135</v>
      </c>
      <c r="V1780" s="51">
        <v>1442</v>
      </c>
    </row>
    <row r="1781" spans="1:22">
      <c r="A1781" s="32" t="s">
        <v>4093</v>
      </c>
      <c r="B1781" s="32" t="s">
        <v>4070</v>
      </c>
      <c r="C1781" s="32" t="s">
        <v>4094</v>
      </c>
      <c r="D1781" s="33" t="s">
        <v>1639</v>
      </c>
      <c r="E1781" s="33">
        <v>265</v>
      </c>
      <c r="F1781" s="33">
        <v>1579</v>
      </c>
      <c r="G1781" s="33">
        <v>282</v>
      </c>
      <c r="H1781" s="33" t="s">
        <v>1639</v>
      </c>
      <c r="I1781" s="33">
        <v>2146</v>
      </c>
      <c r="K1781" t="b">
        <f>QHPSelections2016[[#This Row],[County Name]]=P1781</f>
        <v>1</v>
      </c>
      <c r="L1781" t="b">
        <f>QHPSelections2016[[#This Row],[Silver]]=S1781</f>
        <v>1</v>
      </c>
      <c r="N1781">
        <v>42033</v>
      </c>
      <c r="O1781" t="s">
        <v>4070</v>
      </c>
      <c r="P1781" t="s">
        <v>4094</v>
      </c>
      <c r="R1781">
        <v>265</v>
      </c>
      <c r="S1781" s="51">
        <v>1579</v>
      </c>
      <c r="T1781">
        <v>282</v>
      </c>
      <c r="V1781" s="51">
        <v>2146</v>
      </c>
    </row>
    <row r="1782" spans="1:22">
      <c r="A1782" s="32" t="s">
        <v>4095</v>
      </c>
      <c r="B1782" s="32" t="s">
        <v>4070</v>
      </c>
      <c r="C1782" s="32" t="s">
        <v>2178</v>
      </c>
      <c r="D1782" s="33" t="s">
        <v>1639</v>
      </c>
      <c r="E1782" s="33">
        <v>195</v>
      </c>
      <c r="F1782" s="33">
        <v>559</v>
      </c>
      <c r="G1782" s="33">
        <v>98</v>
      </c>
      <c r="H1782" s="33" t="s">
        <v>1639</v>
      </c>
      <c r="I1782" s="33">
        <v>862</v>
      </c>
      <c r="K1782" t="b">
        <f>QHPSelections2016[[#This Row],[County Name]]=P1782</f>
        <v>1</v>
      </c>
      <c r="L1782" t="b">
        <f>QHPSelections2016[[#This Row],[Silver]]=S1782</f>
        <v>1</v>
      </c>
      <c r="N1782">
        <v>42035</v>
      </c>
      <c r="O1782" t="s">
        <v>4070</v>
      </c>
      <c r="P1782" t="s">
        <v>2178</v>
      </c>
      <c r="R1782">
        <v>195</v>
      </c>
      <c r="S1782">
        <v>559</v>
      </c>
      <c r="T1782">
        <v>98</v>
      </c>
      <c r="V1782">
        <v>862</v>
      </c>
    </row>
    <row r="1783" spans="1:22">
      <c r="A1783" s="32" t="s">
        <v>4096</v>
      </c>
      <c r="B1783" s="32" t="s">
        <v>4070</v>
      </c>
      <c r="C1783" s="32" t="s">
        <v>885</v>
      </c>
      <c r="D1783" s="33">
        <v>20</v>
      </c>
      <c r="E1783" s="33">
        <v>225</v>
      </c>
      <c r="F1783" s="33">
        <v>1378</v>
      </c>
      <c r="G1783" s="33">
        <v>157</v>
      </c>
      <c r="H1783" s="33">
        <v>19</v>
      </c>
      <c r="I1783" s="33">
        <v>1799</v>
      </c>
      <c r="K1783" t="b">
        <f>QHPSelections2016[[#This Row],[County Name]]=P1783</f>
        <v>1</v>
      </c>
      <c r="L1783" t="b">
        <f>QHPSelections2016[[#This Row],[Silver]]=S1783</f>
        <v>1</v>
      </c>
      <c r="N1783">
        <v>42037</v>
      </c>
      <c r="O1783" t="s">
        <v>4070</v>
      </c>
      <c r="P1783" t="s">
        <v>885</v>
      </c>
      <c r="Q1783">
        <v>20</v>
      </c>
      <c r="R1783">
        <v>225</v>
      </c>
      <c r="S1783" s="51">
        <v>1378</v>
      </c>
      <c r="T1783">
        <v>157</v>
      </c>
      <c r="U1783">
        <v>19</v>
      </c>
      <c r="V1783" s="51">
        <v>1799</v>
      </c>
    </row>
    <row r="1784" spans="1:22">
      <c r="A1784" s="32" t="s">
        <v>4097</v>
      </c>
      <c r="B1784" s="32" t="s">
        <v>4070</v>
      </c>
      <c r="C1784" s="32" t="s">
        <v>1030</v>
      </c>
      <c r="D1784" s="33" t="s">
        <v>1639</v>
      </c>
      <c r="E1784" s="33">
        <v>145</v>
      </c>
      <c r="F1784" s="33">
        <v>1522</v>
      </c>
      <c r="G1784" s="33">
        <v>196</v>
      </c>
      <c r="H1784" s="33" t="s">
        <v>1639</v>
      </c>
      <c r="I1784" s="33">
        <v>1888</v>
      </c>
      <c r="K1784" t="b">
        <f>QHPSelections2016[[#This Row],[County Name]]=P1784</f>
        <v>1</v>
      </c>
      <c r="L1784" t="b">
        <f>QHPSelections2016[[#This Row],[Silver]]=S1784</f>
        <v>1</v>
      </c>
      <c r="N1784">
        <v>42039</v>
      </c>
      <c r="O1784" t="s">
        <v>4070</v>
      </c>
      <c r="P1784" t="s">
        <v>1030</v>
      </c>
      <c r="R1784">
        <v>145</v>
      </c>
      <c r="S1784" s="51">
        <v>1522</v>
      </c>
      <c r="T1784">
        <v>196</v>
      </c>
      <c r="V1784" s="51">
        <v>1888</v>
      </c>
    </row>
    <row r="1785" spans="1:22">
      <c r="A1785" s="32" t="s">
        <v>4098</v>
      </c>
      <c r="B1785" s="32" t="s">
        <v>4070</v>
      </c>
      <c r="C1785" s="32" t="s">
        <v>923</v>
      </c>
      <c r="D1785" s="33">
        <v>81</v>
      </c>
      <c r="E1785" s="33">
        <v>1061</v>
      </c>
      <c r="F1785" s="33">
        <v>5598</v>
      </c>
      <c r="G1785" s="33">
        <v>1098</v>
      </c>
      <c r="H1785" s="33">
        <v>123</v>
      </c>
      <c r="I1785" s="33">
        <v>7961</v>
      </c>
      <c r="K1785" t="b">
        <f>QHPSelections2016[[#This Row],[County Name]]=P1785</f>
        <v>1</v>
      </c>
      <c r="L1785" t="b">
        <f>QHPSelections2016[[#This Row],[Silver]]=S1785</f>
        <v>1</v>
      </c>
      <c r="N1785">
        <v>42041</v>
      </c>
      <c r="O1785" t="s">
        <v>4070</v>
      </c>
      <c r="P1785" t="s">
        <v>923</v>
      </c>
      <c r="Q1785">
        <v>81</v>
      </c>
      <c r="R1785" s="51">
        <v>1061</v>
      </c>
      <c r="S1785" s="51">
        <v>5598</v>
      </c>
      <c r="T1785" s="51">
        <v>1098</v>
      </c>
      <c r="U1785">
        <v>123</v>
      </c>
      <c r="V1785" s="51">
        <v>7961</v>
      </c>
    </row>
    <row r="1786" spans="1:22">
      <c r="A1786" s="32" t="s">
        <v>4099</v>
      </c>
      <c r="B1786" s="32" t="s">
        <v>4070</v>
      </c>
      <c r="C1786" s="32" t="s">
        <v>4100</v>
      </c>
      <c r="D1786" s="33">
        <v>68</v>
      </c>
      <c r="E1786" s="33">
        <v>837</v>
      </c>
      <c r="F1786" s="33">
        <v>5233</v>
      </c>
      <c r="G1786" s="33">
        <v>1072</v>
      </c>
      <c r="H1786" s="33">
        <v>137</v>
      </c>
      <c r="I1786" s="33">
        <v>7347</v>
      </c>
      <c r="K1786" t="b">
        <f>QHPSelections2016[[#This Row],[County Name]]=P1786</f>
        <v>1</v>
      </c>
      <c r="L1786" t="b">
        <f>QHPSelections2016[[#This Row],[Silver]]=S1786</f>
        <v>1</v>
      </c>
      <c r="N1786">
        <v>42043</v>
      </c>
      <c r="O1786" t="s">
        <v>4070</v>
      </c>
      <c r="P1786" t="s">
        <v>4100</v>
      </c>
      <c r="Q1786">
        <v>68</v>
      </c>
      <c r="R1786">
        <v>837</v>
      </c>
      <c r="S1786" s="51">
        <v>5233</v>
      </c>
      <c r="T1786" s="51">
        <v>1072</v>
      </c>
      <c r="U1786">
        <v>137</v>
      </c>
      <c r="V1786" s="51">
        <v>7347</v>
      </c>
    </row>
    <row r="1787" spans="1:22">
      <c r="A1787" s="32" t="s">
        <v>4101</v>
      </c>
      <c r="B1787" s="32" t="s">
        <v>4070</v>
      </c>
      <c r="C1787" s="32" t="s">
        <v>2185</v>
      </c>
      <c r="D1787" s="33">
        <v>738</v>
      </c>
      <c r="E1787" s="33">
        <v>1966</v>
      </c>
      <c r="F1787" s="33">
        <v>17546</v>
      </c>
      <c r="G1787" s="33">
        <v>3967</v>
      </c>
      <c r="H1787" s="33">
        <v>18</v>
      </c>
      <c r="I1787" s="33">
        <v>24235</v>
      </c>
      <c r="K1787" t="b">
        <f>QHPSelections2016[[#This Row],[County Name]]=P1787</f>
        <v>1</v>
      </c>
      <c r="L1787" t="b">
        <f>QHPSelections2016[[#This Row],[Silver]]=S1787</f>
        <v>1</v>
      </c>
      <c r="N1787">
        <v>42045</v>
      </c>
      <c r="O1787" t="s">
        <v>4070</v>
      </c>
      <c r="P1787" t="s">
        <v>2185</v>
      </c>
      <c r="Q1787">
        <v>738</v>
      </c>
      <c r="R1787" s="51">
        <v>1966</v>
      </c>
      <c r="S1787" s="51">
        <v>17546</v>
      </c>
      <c r="T1787" s="51">
        <v>3967</v>
      </c>
      <c r="U1787">
        <v>18</v>
      </c>
      <c r="V1787" s="51">
        <v>24235</v>
      </c>
    </row>
    <row r="1788" spans="1:22">
      <c r="A1788" s="32" t="s">
        <v>4102</v>
      </c>
      <c r="B1788" s="32" t="s">
        <v>4070</v>
      </c>
      <c r="C1788" s="32" t="s">
        <v>2600</v>
      </c>
      <c r="D1788" s="33" t="s">
        <v>1639</v>
      </c>
      <c r="E1788" s="33">
        <v>160</v>
      </c>
      <c r="F1788" s="33">
        <v>558</v>
      </c>
      <c r="G1788" s="33">
        <v>98</v>
      </c>
      <c r="H1788" s="33" t="s">
        <v>1639</v>
      </c>
      <c r="I1788" s="33">
        <v>828</v>
      </c>
      <c r="K1788" t="b">
        <f>QHPSelections2016[[#This Row],[County Name]]=P1788</f>
        <v>1</v>
      </c>
      <c r="L1788" t="b">
        <f>QHPSelections2016[[#This Row],[Silver]]=S1788</f>
        <v>1</v>
      </c>
      <c r="N1788">
        <v>42047</v>
      </c>
      <c r="O1788" t="s">
        <v>4070</v>
      </c>
      <c r="P1788" t="s">
        <v>2600</v>
      </c>
      <c r="R1788">
        <v>160</v>
      </c>
      <c r="S1788">
        <v>558</v>
      </c>
      <c r="T1788">
        <v>98</v>
      </c>
      <c r="V1788">
        <v>828</v>
      </c>
    </row>
    <row r="1789" spans="1:22">
      <c r="A1789" s="32" t="s">
        <v>4103</v>
      </c>
      <c r="B1789" s="32" t="s">
        <v>4070</v>
      </c>
      <c r="C1789" s="32" t="s">
        <v>3805</v>
      </c>
      <c r="D1789" s="33">
        <v>55</v>
      </c>
      <c r="E1789" s="33">
        <v>680</v>
      </c>
      <c r="F1789" s="33">
        <v>4905</v>
      </c>
      <c r="G1789" s="33">
        <v>712</v>
      </c>
      <c r="H1789" s="33">
        <v>25</v>
      </c>
      <c r="I1789" s="33">
        <v>6377</v>
      </c>
      <c r="K1789" t="b">
        <f>QHPSelections2016[[#This Row],[County Name]]=P1789</f>
        <v>1</v>
      </c>
      <c r="L1789" t="b">
        <f>QHPSelections2016[[#This Row],[Silver]]=S1789</f>
        <v>1</v>
      </c>
      <c r="N1789">
        <v>42049</v>
      </c>
      <c r="O1789" t="s">
        <v>4070</v>
      </c>
      <c r="P1789" t="s">
        <v>3805</v>
      </c>
      <c r="Q1789">
        <v>55</v>
      </c>
      <c r="R1789">
        <v>680</v>
      </c>
      <c r="S1789" s="51">
        <v>4905</v>
      </c>
      <c r="T1789">
        <v>712</v>
      </c>
      <c r="U1789">
        <v>25</v>
      </c>
      <c r="V1789" s="51">
        <v>6377</v>
      </c>
    </row>
    <row r="1790" spans="1:22">
      <c r="A1790" s="32" t="s">
        <v>4104</v>
      </c>
      <c r="B1790" s="32" t="s">
        <v>4070</v>
      </c>
      <c r="C1790" s="32" t="s">
        <v>958</v>
      </c>
      <c r="D1790" s="33" t="s">
        <v>1639</v>
      </c>
      <c r="E1790" s="33">
        <v>400</v>
      </c>
      <c r="F1790" s="33">
        <v>3112</v>
      </c>
      <c r="G1790" s="33">
        <v>385</v>
      </c>
      <c r="H1790" s="33" t="s">
        <v>1639</v>
      </c>
      <c r="I1790" s="33">
        <v>3932</v>
      </c>
      <c r="K1790" t="b">
        <f>QHPSelections2016[[#This Row],[County Name]]=P1790</f>
        <v>1</v>
      </c>
      <c r="L1790" t="b">
        <f>QHPSelections2016[[#This Row],[Silver]]=S1790</f>
        <v>1</v>
      </c>
      <c r="N1790">
        <v>42051</v>
      </c>
      <c r="O1790" t="s">
        <v>4070</v>
      </c>
      <c r="P1790" t="s">
        <v>958</v>
      </c>
      <c r="R1790">
        <v>400</v>
      </c>
      <c r="S1790" s="51">
        <v>3112</v>
      </c>
      <c r="T1790">
        <v>385</v>
      </c>
      <c r="V1790" s="51">
        <v>3932</v>
      </c>
    </row>
    <row r="1791" spans="1:22">
      <c r="A1791" s="32" t="s">
        <v>4105</v>
      </c>
      <c r="B1791" s="32" t="s">
        <v>4070</v>
      </c>
      <c r="C1791" s="32" t="s">
        <v>4106</v>
      </c>
      <c r="D1791" s="33">
        <v>0</v>
      </c>
      <c r="E1791" s="33">
        <v>18</v>
      </c>
      <c r="F1791" s="33">
        <v>113</v>
      </c>
      <c r="G1791" s="33">
        <v>20</v>
      </c>
      <c r="H1791" s="33">
        <v>0</v>
      </c>
      <c r="I1791" s="33">
        <v>151</v>
      </c>
      <c r="K1791" t="b">
        <f>QHPSelections2016[[#This Row],[County Name]]=P1791</f>
        <v>1</v>
      </c>
      <c r="L1791" t="b">
        <f>QHPSelections2016[[#This Row],[Silver]]=S1791</f>
        <v>1</v>
      </c>
      <c r="N1791">
        <v>42053</v>
      </c>
      <c r="O1791" t="s">
        <v>4070</v>
      </c>
      <c r="P1791" t="s">
        <v>4106</v>
      </c>
      <c r="Q1791">
        <v>0</v>
      </c>
      <c r="R1791">
        <v>18</v>
      </c>
      <c r="S1791">
        <v>113</v>
      </c>
      <c r="T1791">
        <v>20</v>
      </c>
      <c r="U1791">
        <v>0</v>
      </c>
      <c r="V1791">
        <v>151</v>
      </c>
    </row>
    <row r="1792" spans="1:22">
      <c r="A1792" s="32" t="s">
        <v>4107</v>
      </c>
      <c r="B1792" s="32" t="s">
        <v>4070</v>
      </c>
      <c r="C1792" s="32" t="s">
        <v>919</v>
      </c>
      <c r="D1792" s="33">
        <v>21</v>
      </c>
      <c r="E1792" s="33">
        <v>342</v>
      </c>
      <c r="F1792" s="33">
        <v>3096</v>
      </c>
      <c r="G1792" s="33">
        <v>916</v>
      </c>
      <c r="H1792" s="33">
        <v>41</v>
      </c>
      <c r="I1792" s="33">
        <v>4416</v>
      </c>
      <c r="K1792" t="b">
        <f>QHPSelections2016[[#This Row],[County Name]]=P1792</f>
        <v>1</v>
      </c>
      <c r="L1792" t="b">
        <f>QHPSelections2016[[#This Row],[Silver]]=S1792</f>
        <v>1</v>
      </c>
      <c r="N1792">
        <v>42055</v>
      </c>
      <c r="O1792" t="s">
        <v>4070</v>
      </c>
      <c r="P1792" t="s">
        <v>919</v>
      </c>
      <c r="Q1792">
        <v>21</v>
      </c>
      <c r="R1792">
        <v>342</v>
      </c>
      <c r="S1792" s="51">
        <v>3096</v>
      </c>
      <c r="T1792">
        <v>916</v>
      </c>
      <c r="U1792">
        <v>41</v>
      </c>
      <c r="V1792" s="51">
        <v>4416</v>
      </c>
    </row>
    <row r="1793" spans="1:22">
      <c r="A1793" s="32" t="s">
        <v>4108</v>
      </c>
      <c r="B1793" s="32" t="s">
        <v>4070</v>
      </c>
      <c r="C1793" s="32" t="s">
        <v>1131</v>
      </c>
      <c r="D1793" s="33" t="s">
        <v>1639</v>
      </c>
      <c r="E1793" s="33">
        <v>61</v>
      </c>
      <c r="F1793" s="33">
        <v>287</v>
      </c>
      <c r="G1793" s="33">
        <v>66</v>
      </c>
      <c r="H1793" s="33" t="s">
        <v>1639</v>
      </c>
      <c r="I1793" s="33">
        <v>427</v>
      </c>
      <c r="K1793" t="b">
        <f>QHPSelections2016[[#This Row],[County Name]]=P1793</f>
        <v>1</v>
      </c>
      <c r="L1793" t="b">
        <f>QHPSelections2016[[#This Row],[Silver]]=S1793</f>
        <v>1</v>
      </c>
      <c r="N1793">
        <v>42057</v>
      </c>
      <c r="O1793" t="s">
        <v>4070</v>
      </c>
      <c r="P1793" t="s">
        <v>1131</v>
      </c>
      <c r="R1793">
        <v>61</v>
      </c>
      <c r="S1793">
        <v>287</v>
      </c>
      <c r="T1793">
        <v>66</v>
      </c>
      <c r="V1793">
        <v>427</v>
      </c>
    </row>
    <row r="1794" spans="1:22">
      <c r="A1794" s="32" t="s">
        <v>4109</v>
      </c>
      <c r="B1794" s="32" t="s">
        <v>4070</v>
      </c>
      <c r="C1794" s="32" t="s">
        <v>937</v>
      </c>
      <c r="D1794" s="33" t="s">
        <v>1639</v>
      </c>
      <c r="E1794" s="33">
        <v>79</v>
      </c>
      <c r="F1794" s="33">
        <v>571</v>
      </c>
      <c r="G1794" s="33">
        <v>107</v>
      </c>
      <c r="H1794" s="33" t="s">
        <v>1639</v>
      </c>
      <c r="I1794" s="33">
        <v>785</v>
      </c>
      <c r="K1794" t="b">
        <f>QHPSelections2016[[#This Row],[County Name]]=P1794</f>
        <v>1</v>
      </c>
      <c r="L1794" t="b">
        <f>QHPSelections2016[[#This Row],[Silver]]=S1794</f>
        <v>1</v>
      </c>
      <c r="N1794">
        <v>42059</v>
      </c>
      <c r="O1794" t="s">
        <v>4070</v>
      </c>
      <c r="P1794" t="s">
        <v>937</v>
      </c>
      <c r="R1794">
        <v>79</v>
      </c>
      <c r="S1794">
        <v>571</v>
      </c>
      <c r="T1794">
        <v>107</v>
      </c>
      <c r="V1794">
        <v>785</v>
      </c>
    </row>
    <row r="1795" spans="1:22">
      <c r="A1795" s="32" t="s">
        <v>4110</v>
      </c>
      <c r="B1795" s="32" t="s">
        <v>4070</v>
      </c>
      <c r="C1795" s="32" t="s">
        <v>4111</v>
      </c>
      <c r="D1795" s="33" t="s">
        <v>1639</v>
      </c>
      <c r="E1795" s="33">
        <v>129</v>
      </c>
      <c r="F1795" s="33">
        <v>815</v>
      </c>
      <c r="G1795" s="33">
        <v>144</v>
      </c>
      <c r="H1795" s="33" t="s">
        <v>1639</v>
      </c>
      <c r="I1795" s="33">
        <v>1104</v>
      </c>
      <c r="K1795" t="b">
        <f>QHPSelections2016[[#This Row],[County Name]]=P1795</f>
        <v>1</v>
      </c>
      <c r="L1795" t="b">
        <f>QHPSelections2016[[#This Row],[Silver]]=S1795</f>
        <v>1</v>
      </c>
      <c r="N1795">
        <v>42061</v>
      </c>
      <c r="O1795" t="s">
        <v>4070</v>
      </c>
      <c r="P1795" t="s">
        <v>4111</v>
      </c>
      <c r="R1795">
        <v>129</v>
      </c>
      <c r="S1795">
        <v>815</v>
      </c>
      <c r="T1795">
        <v>144</v>
      </c>
      <c r="V1795" s="51">
        <v>1104</v>
      </c>
    </row>
    <row r="1796" spans="1:22">
      <c r="A1796" s="32" t="s">
        <v>4112</v>
      </c>
      <c r="B1796" s="32" t="s">
        <v>4070</v>
      </c>
      <c r="C1796" s="32" t="s">
        <v>4113</v>
      </c>
      <c r="D1796" s="33" t="s">
        <v>1639</v>
      </c>
      <c r="E1796" s="33">
        <v>310</v>
      </c>
      <c r="F1796" s="33">
        <v>1425</v>
      </c>
      <c r="G1796" s="33">
        <v>266</v>
      </c>
      <c r="H1796" s="33" t="s">
        <v>1639</v>
      </c>
      <c r="I1796" s="33">
        <v>2017</v>
      </c>
      <c r="K1796" t="b">
        <f>QHPSelections2016[[#This Row],[County Name]]=P1796</f>
        <v>1</v>
      </c>
      <c r="L1796" t="b">
        <f>QHPSelections2016[[#This Row],[Silver]]=S1796</f>
        <v>1</v>
      </c>
      <c r="N1796">
        <v>42063</v>
      </c>
      <c r="O1796" t="s">
        <v>4070</v>
      </c>
      <c r="P1796" t="s">
        <v>4113</v>
      </c>
      <c r="R1796">
        <v>310</v>
      </c>
      <c r="S1796" s="51">
        <v>1425</v>
      </c>
      <c r="T1796">
        <v>266</v>
      </c>
      <c r="V1796" s="51">
        <v>2017</v>
      </c>
    </row>
    <row r="1797" spans="1:22">
      <c r="A1797" s="32" t="s">
        <v>4114</v>
      </c>
      <c r="B1797" s="32" t="s">
        <v>4070</v>
      </c>
      <c r="C1797" s="32" t="s">
        <v>993</v>
      </c>
      <c r="D1797" s="33" t="s">
        <v>1639</v>
      </c>
      <c r="E1797" s="33">
        <v>184</v>
      </c>
      <c r="F1797" s="33">
        <v>994</v>
      </c>
      <c r="G1797" s="33">
        <v>139</v>
      </c>
      <c r="H1797" s="33" t="s">
        <v>1639</v>
      </c>
      <c r="I1797" s="33">
        <v>1341</v>
      </c>
      <c r="K1797" t="b">
        <f>QHPSelections2016[[#This Row],[County Name]]=P1797</f>
        <v>1</v>
      </c>
      <c r="L1797" t="b">
        <f>QHPSelections2016[[#This Row],[Silver]]=S1797</f>
        <v>1</v>
      </c>
      <c r="N1797">
        <v>42065</v>
      </c>
      <c r="O1797" t="s">
        <v>4070</v>
      </c>
      <c r="P1797" t="s">
        <v>993</v>
      </c>
      <c r="R1797">
        <v>184</v>
      </c>
      <c r="S1797">
        <v>994</v>
      </c>
      <c r="T1797">
        <v>139</v>
      </c>
      <c r="V1797" s="51">
        <v>1341</v>
      </c>
    </row>
    <row r="1798" spans="1:22">
      <c r="A1798" s="32" t="s">
        <v>4115</v>
      </c>
      <c r="B1798" s="32" t="s">
        <v>4070</v>
      </c>
      <c r="C1798" s="32" t="s">
        <v>4116</v>
      </c>
      <c r="D1798" s="33" t="s">
        <v>1639</v>
      </c>
      <c r="E1798" s="33">
        <v>87</v>
      </c>
      <c r="F1798" s="33">
        <v>578</v>
      </c>
      <c r="G1798" s="33">
        <v>64</v>
      </c>
      <c r="H1798" s="33" t="s">
        <v>1639</v>
      </c>
      <c r="I1798" s="33">
        <v>732</v>
      </c>
      <c r="K1798" t="b">
        <f>QHPSelections2016[[#This Row],[County Name]]=P1798</f>
        <v>1</v>
      </c>
      <c r="L1798" t="b">
        <f>QHPSelections2016[[#This Row],[Silver]]=S1798</f>
        <v>1</v>
      </c>
      <c r="N1798">
        <v>42067</v>
      </c>
      <c r="O1798" t="s">
        <v>4070</v>
      </c>
      <c r="P1798" t="s">
        <v>4116</v>
      </c>
      <c r="R1798">
        <v>87</v>
      </c>
      <c r="S1798">
        <v>578</v>
      </c>
      <c r="T1798">
        <v>64</v>
      </c>
      <c r="V1798">
        <v>732</v>
      </c>
    </row>
    <row r="1799" spans="1:22">
      <c r="A1799" s="32" t="s">
        <v>4117</v>
      </c>
      <c r="B1799" s="32" t="s">
        <v>4070</v>
      </c>
      <c r="C1799" s="32" t="s">
        <v>4118</v>
      </c>
      <c r="D1799" s="33">
        <v>0</v>
      </c>
      <c r="E1799" s="33">
        <v>1505</v>
      </c>
      <c r="F1799" s="33">
        <v>4882</v>
      </c>
      <c r="G1799" s="33">
        <v>865</v>
      </c>
      <c r="H1799" s="33">
        <v>84</v>
      </c>
      <c r="I1799" s="33">
        <v>7336</v>
      </c>
      <c r="K1799" t="b">
        <f>QHPSelections2016[[#This Row],[County Name]]=P1799</f>
        <v>1</v>
      </c>
      <c r="L1799" t="b">
        <f>QHPSelections2016[[#This Row],[Silver]]=S1799</f>
        <v>1</v>
      </c>
      <c r="N1799">
        <v>42069</v>
      </c>
      <c r="O1799" t="s">
        <v>4070</v>
      </c>
      <c r="P1799" t="s">
        <v>4118</v>
      </c>
      <c r="Q1799">
        <v>0</v>
      </c>
      <c r="R1799" s="51">
        <v>1505</v>
      </c>
      <c r="S1799" s="51">
        <v>4882</v>
      </c>
      <c r="T1799">
        <v>865</v>
      </c>
      <c r="U1799">
        <v>84</v>
      </c>
      <c r="V1799" s="51">
        <v>7336</v>
      </c>
    </row>
    <row r="1800" spans="1:22">
      <c r="A1800" s="32" t="s">
        <v>4119</v>
      </c>
      <c r="B1800" s="32" t="s">
        <v>4070</v>
      </c>
      <c r="C1800" s="32" t="s">
        <v>3577</v>
      </c>
      <c r="D1800" s="33">
        <v>185</v>
      </c>
      <c r="E1800" s="33">
        <v>1126</v>
      </c>
      <c r="F1800" s="33">
        <v>11385</v>
      </c>
      <c r="G1800" s="33">
        <v>4293</v>
      </c>
      <c r="H1800" s="33">
        <v>418</v>
      </c>
      <c r="I1800" s="33">
        <v>17407</v>
      </c>
      <c r="K1800" t="b">
        <f>QHPSelections2016[[#This Row],[County Name]]=P1800</f>
        <v>1</v>
      </c>
      <c r="L1800" t="b">
        <f>QHPSelections2016[[#This Row],[Silver]]=S1800</f>
        <v>1</v>
      </c>
      <c r="N1800">
        <v>42071</v>
      </c>
      <c r="O1800" t="s">
        <v>4070</v>
      </c>
      <c r="P1800" t="s">
        <v>3577</v>
      </c>
      <c r="Q1800">
        <v>185</v>
      </c>
      <c r="R1800" s="51">
        <v>1126</v>
      </c>
      <c r="S1800" s="51">
        <v>11385</v>
      </c>
      <c r="T1800" s="51">
        <v>4293</v>
      </c>
      <c r="U1800">
        <v>418</v>
      </c>
      <c r="V1800" s="51">
        <v>17407</v>
      </c>
    </row>
    <row r="1801" spans="1:22">
      <c r="A1801" s="32" t="s">
        <v>4120</v>
      </c>
      <c r="B1801" s="32" t="s">
        <v>4070</v>
      </c>
      <c r="C1801" s="32" t="s">
        <v>1031</v>
      </c>
      <c r="D1801" s="33" t="s">
        <v>1639</v>
      </c>
      <c r="E1801" s="33">
        <v>300</v>
      </c>
      <c r="F1801" s="33">
        <v>1797</v>
      </c>
      <c r="G1801" s="33">
        <v>282</v>
      </c>
      <c r="H1801" s="33" t="s">
        <v>1639</v>
      </c>
      <c r="I1801" s="33">
        <v>2402</v>
      </c>
      <c r="K1801" t="b">
        <f>QHPSelections2016[[#This Row],[County Name]]=P1801</f>
        <v>1</v>
      </c>
      <c r="L1801" t="b">
        <f>QHPSelections2016[[#This Row],[Silver]]=S1801</f>
        <v>1</v>
      </c>
      <c r="N1801">
        <v>42073</v>
      </c>
      <c r="O1801" t="s">
        <v>4070</v>
      </c>
      <c r="P1801" t="s">
        <v>1031</v>
      </c>
      <c r="R1801">
        <v>300</v>
      </c>
      <c r="S1801" s="51">
        <v>1797</v>
      </c>
      <c r="T1801">
        <v>282</v>
      </c>
      <c r="V1801" s="51">
        <v>2402</v>
      </c>
    </row>
    <row r="1802" spans="1:22">
      <c r="A1802" s="32" t="s">
        <v>4121</v>
      </c>
      <c r="B1802" s="32" t="s">
        <v>4070</v>
      </c>
      <c r="C1802" s="32" t="s">
        <v>4122</v>
      </c>
      <c r="D1802" s="33">
        <v>22</v>
      </c>
      <c r="E1802" s="33">
        <v>444</v>
      </c>
      <c r="F1802" s="33">
        <v>2713</v>
      </c>
      <c r="G1802" s="33">
        <v>602</v>
      </c>
      <c r="H1802" s="33">
        <v>57</v>
      </c>
      <c r="I1802" s="33">
        <v>3838</v>
      </c>
      <c r="K1802" t="b">
        <f>QHPSelections2016[[#This Row],[County Name]]=P1802</f>
        <v>1</v>
      </c>
      <c r="L1802" t="b">
        <f>QHPSelections2016[[#This Row],[Silver]]=S1802</f>
        <v>1</v>
      </c>
      <c r="N1802">
        <v>42075</v>
      </c>
      <c r="O1802" t="s">
        <v>4070</v>
      </c>
      <c r="P1802" t="s">
        <v>4122</v>
      </c>
      <c r="Q1802">
        <v>22</v>
      </c>
      <c r="R1802">
        <v>444</v>
      </c>
      <c r="S1802" s="51">
        <v>2713</v>
      </c>
      <c r="T1802">
        <v>602</v>
      </c>
      <c r="U1802">
        <v>57</v>
      </c>
      <c r="V1802" s="51">
        <v>3838</v>
      </c>
    </row>
    <row r="1803" spans="1:22">
      <c r="A1803" s="32" t="s">
        <v>4123</v>
      </c>
      <c r="B1803" s="32" t="s">
        <v>4070</v>
      </c>
      <c r="C1803" s="32" t="s">
        <v>4124</v>
      </c>
      <c r="D1803" s="33">
        <v>132</v>
      </c>
      <c r="E1803" s="33">
        <v>987</v>
      </c>
      <c r="F1803" s="33">
        <v>8759</v>
      </c>
      <c r="G1803" s="33">
        <v>2322</v>
      </c>
      <c r="H1803" s="33">
        <v>216</v>
      </c>
      <c r="I1803" s="33">
        <v>12416</v>
      </c>
      <c r="K1803" t="b">
        <f>QHPSelections2016[[#This Row],[County Name]]=P1803</f>
        <v>1</v>
      </c>
      <c r="L1803" t="b">
        <f>QHPSelections2016[[#This Row],[Silver]]=S1803</f>
        <v>1</v>
      </c>
      <c r="N1803">
        <v>42077</v>
      </c>
      <c r="O1803" t="s">
        <v>4070</v>
      </c>
      <c r="P1803" t="s">
        <v>4124</v>
      </c>
      <c r="Q1803">
        <v>132</v>
      </c>
      <c r="R1803">
        <v>987</v>
      </c>
      <c r="S1803" s="51">
        <v>8759</v>
      </c>
      <c r="T1803" s="51">
        <v>2322</v>
      </c>
      <c r="U1803">
        <v>216</v>
      </c>
      <c r="V1803" s="51">
        <v>12416</v>
      </c>
    </row>
    <row r="1804" spans="1:22">
      <c r="A1804" s="32" t="s">
        <v>4125</v>
      </c>
      <c r="B1804" s="32" t="s">
        <v>4070</v>
      </c>
      <c r="C1804" s="32" t="s">
        <v>4126</v>
      </c>
      <c r="D1804" s="33">
        <v>0</v>
      </c>
      <c r="E1804" s="33">
        <v>1842</v>
      </c>
      <c r="F1804" s="33">
        <v>6814</v>
      </c>
      <c r="G1804" s="33">
        <v>1238</v>
      </c>
      <c r="H1804" s="33">
        <v>96</v>
      </c>
      <c r="I1804" s="33">
        <v>9990</v>
      </c>
      <c r="K1804" t="b">
        <f>QHPSelections2016[[#This Row],[County Name]]=P1804</f>
        <v>1</v>
      </c>
      <c r="L1804" t="b">
        <f>QHPSelections2016[[#This Row],[Silver]]=S1804</f>
        <v>1</v>
      </c>
      <c r="N1804">
        <v>42079</v>
      </c>
      <c r="O1804" t="s">
        <v>4070</v>
      </c>
      <c r="P1804" t="s">
        <v>4126</v>
      </c>
      <c r="Q1804">
        <v>0</v>
      </c>
      <c r="R1804" s="51">
        <v>1842</v>
      </c>
      <c r="S1804" s="51">
        <v>6814</v>
      </c>
      <c r="T1804" s="51">
        <v>1238</v>
      </c>
      <c r="U1804">
        <v>96</v>
      </c>
      <c r="V1804" s="51">
        <v>9990</v>
      </c>
    </row>
    <row r="1805" spans="1:22">
      <c r="A1805" s="32" t="s">
        <v>4127</v>
      </c>
      <c r="B1805" s="32" t="s">
        <v>4070</v>
      </c>
      <c r="C1805" s="32" t="s">
        <v>4128</v>
      </c>
      <c r="D1805" s="33">
        <v>0</v>
      </c>
      <c r="E1805" s="33">
        <v>645</v>
      </c>
      <c r="F1805" s="33">
        <v>2244</v>
      </c>
      <c r="G1805" s="33">
        <v>501</v>
      </c>
      <c r="H1805" s="33">
        <v>39</v>
      </c>
      <c r="I1805" s="33">
        <v>3429</v>
      </c>
      <c r="K1805" t="b">
        <f>QHPSelections2016[[#This Row],[County Name]]=P1805</f>
        <v>1</v>
      </c>
      <c r="L1805" t="b">
        <f>QHPSelections2016[[#This Row],[Silver]]=S1805</f>
        <v>1</v>
      </c>
      <c r="N1805">
        <v>42081</v>
      </c>
      <c r="O1805" t="s">
        <v>4070</v>
      </c>
      <c r="P1805" t="s">
        <v>4128</v>
      </c>
      <c r="Q1805">
        <v>0</v>
      </c>
      <c r="R1805">
        <v>645</v>
      </c>
      <c r="S1805" s="51">
        <v>2244</v>
      </c>
      <c r="T1805">
        <v>501</v>
      </c>
      <c r="U1805">
        <v>39</v>
      </c>
      <c r="V1805" s="51">
        <v>3429</v>
      </c>
    </row>
    <row r="1806" spans="1:22">
      <c r="A1806" s="32" t="s">
        <v>4129</v>
      </c>
      <c r="B1806" s="32" t="s">
        <v>4070</v>
      </c>
      <c r="C1806" s="32" t="s">
        <v>4130</v>
      </c>
      <c r="D1806" s="33" t="s">
        <v>1639</v>
      </c>
      <c r="E1806" s="33">
        <v>94</v>
      </c>
      <c r="F1806" s="33">
        <v>555</v>
      </c>
      <c r="G1806" s="33">
        <v>77</v>
      </c>
      <c r="H1806" s="33" t="s">
        <v>1639</v>
      </c>
      <c r="I1806" s="33">
        <v>751</v>
      </c>
      <c r="K1806" t="b">
        <f>QHPSelections2016[[#This Row],[County Name]]=P1806</f>
        <v>1</v>
      </c>
      <c r="L1806" t="b">
        <f>QHPSelections2016[[#This Row],[Silver]]=S1806</f>
        <v>1</v>
      </c>
      <c r="N1806">
        <v>42083</v>
      </c>
      <c r="O1806" t="s">
        <v>4070</v>
      </c>
      <c r="P1806" t="s">
        <v>4130</v>
      </c>
      <c r="R1806">
        <v>94</v>
      </c>
      <c r="S1806">
        <v>555</v>
      </c>
      <c r="T1806">
        <v>77</v>
      </c>
      <c r="V1806">
        <v>751</v>
      </c>
    </row>
    <row r="1807" spans="1:22">
      <c r="A1807" s="32" t="s">
        <v>4131</v>
      </c>
      <c r="B1807" s="32" t="s">
        <v>4070</v>
      </c>
      <c r="C1807" s="32" t="s">
        <v>2381</v>
      </c>
      <c r="D1807" s="33" t="s">
        <v>1639</v>
      </c>
      <c r="E1807" s="33">
        <v>292</v>
      </c>
      <c r="F1807" s="33">
        <v>1876</v>
      </c>
      <c r="G1807" s="33">
        <v>274</v>
      </c>
      <c r="H1807" s="33" t="s">
        <v>1639</v>
      </c>
      <c r="I1807" s="33">
        <v>2449</v>
      </c>
      <c r="K1807" t="b">
        <f>QHPSelections2016[[#This Row],[County Name]]=P1807</f>
        <v>1</v>
      </c>
      <c r="L1807" t="b">
        <f>QHPSelections2016[[#This Row],[Silver]]=S1807</f>
        <v>1</v>
      </c>
      <c r="N1807">
        <v>42085</v>
      </c>
      <c r="O1807" t="s">
        <v>4070</v>
      </c>
      <c r="P1807" t="s">
        <v>2381</v>
      </c>
      <c r="R1807">
        <v>292</v>
      </c>
      <c r="S1807" s="51">
        <v>1876</v>
      </c>
      <c r="T1807">
        <v>274</v>
      </c>
      <c r="V1807" s="51">
        <v>2449</v>
      </c>
    </row>
    <row r="1808" spans="1:22">
      <c r="A1808" s="32" t="s">
        <v>4132</v>
      </c>
      <c r="B1808" s="32" t="s">
        <v>4070</v>
      </c>
      <c r="C1808" s="32" t="s">
        <v>4133</v>
      </c>
      <c r="D1808" s="33" t="s">
        <v>1639</v>
      </c>
      <c r="E1808" s="33">
        <v>148</v>
      </c>
      <c r="F1808" s="33">
        <v>855</v>
      </c>
      <c r="G1808" s="33">
        <v>101</v>
      </c>
      <c r="H1808" s="33" t="s">
        <v>1639</v>
      </c>
      <c r="I1808" s="33">
        <v>1117</v>
      </c>
      <c r="K1808" t="b">
        <f>QHPSelections2016[[#This Row],[County Name]]=P1808</f>
        <v>1</v>
      </c>
      <c r="L1808" t="b">
        <f>QHPSelections2016[[#This Row],[Silver]]=S1808</f>
        <v>1</v>
      </c>
      <c r="N1808">
        <v>42087</v>
      </c>
      <c r="O1808" t="s">
        <v>4070</v>
      </c>
      <c r="P1808" t="s">
        <v>4133</v>
      </c>
      <c r="R1808">
        <v>148</v>
      </c>
      <c r="S1808">
        <v>855</v>
      </c>
      <c r="T1808">
        <v>101</v>
      </c>
      <c r="V1808" s="51">
        <v>1117</v>
      </c>
    </row>
    <row r="1809" spans="1:22">
      <c r="A1809" s="32" t="s">
        <v>4134</v>
      </c>
      <c r="B1809" s="32" t="s">
        <v>4070</v>
      </c>
      <c r="C1809" s="32" t="s">
        <v>1055</v>
      </c>
      <c r="D1809" s="33">
        <v>0</v>
      </c>
      <c r="E1809" s="33">
        <v>1362</v>
      </c>
      <c r="F1809" s="33">
        <v>4318</v>
      </c>
      <c r="G1809" s="33">
        <v>963</v>
      </c>
      <c r="H1809" s="33">
        <v>70</v>
      </c>
      <c r="I1809" s="33">
        <v>6713</v>
      </c>
      <c r="K1809" t="b">
        <f>QHPSelections2016[[#This Row],[County Name]]=P1809</f>
        <v>1</v>
      </c>
      <c r="L1809" t="b">
        <f>QHPSelections2016[[#This Row],[Silver]]=S1809</f>
        <v>1</v>
      </c>
      <c r="N1809">
        <v>42089</v>
      </c>
      <c r="O1809" t="s">
        <v>4070</v>
      </c>
      <c r="P1809" t="s">
        <v>1055</v>
      </c>
      <c r="Q1809">
        <v>0</v>
      </c>
      <c r="R1809" s="51">
        <v>1362</v>
      </c>
      <c r="S1809" s="51">
        <v>4318</v>
      </c>
      <c r="T1809">
        <v>963</v>
      </c>
      <c r="U1809">
        <v>70</v>
      </c>
      <c r="V1809" s="51">
        <v>6713</v>
      </c>
    </row>
    <row r="1810" spans="1:22">
      <c r="A1810" s="32" t="s">
        <v>4135</v>
      </c>
      <c r="B1810" s="32" t="s">
        <v>4070</v>
      </c>
      <c r="C1810" s="32" t="s">
        <v>1079</v>
      </c>
      <c r="D1810" s="33">
        <v>1234</v>
      </c>
      <c r="E1810" s="33">
        <v>3161</v>
      </c>
      <c r="F1810" s="33">
        <v>27310</v>
      </c>
      <c r="G1810" s="33">
        <v>5536</v>
      </c>
      <c r="H1810" s="33">
        <v>36</v>
      </c>
      <c r="I1810" s="33">
        <v>37277</v>
      </c>
      <c r="K1810" t="b">
        <f>QHPSelections2016[[#This Row],[County Name]]=P1810</f>
        <v>1</v>
      </c>
      <c r="L1810" t="b">
        <f>QHPSelections2016[[#This Row],[Silver]]=S1810</f>
        <v>1</v>
      </c>
      <c r="N1810">
        <v>42091</v>
      </c>
      <c r="O1810" t="s">
        <v>4070</v>
      </c>
      <c r="P1810" t="s">
        <v>1079</v>
      </c>
      <c r="Q1810" s="51">
        <v>1234</v>
      </c>
      <c r="R1810" s="51">
        <v>3161</v>
      </c>
      <c r="S1810" s="51">
        <v>27310</v>
      </c>
      <c r="T1810" s="51">
        <v>5536</v>
      </c>
      <c r="U1810">
        <v>36</v>
      </c>
      <c r="V1810" s="51">
        <v>37277</v>
      </c>
    </row>
    <row r="1811" spans="1:22">
      <c r="A1811" s="32" t="s">
        <v>4136</v>
      </c>
      <c r="B1811" s="32" t="s">
        <v>4070</v>
      </c>
      <c r="C1811" s="32" t="s">
        <v>4137</v>
      </c>
      <c r="D1811" s="33" t="s">
        <v>1639</v>
      </c>
      <c r="E1811" s="33">
        <v>51</v>
      </c>
      <c r="F1811" s="33">
        <v>258</v>
      </c>
      <c r="G1811" s="33">
        <v>26</v>
      </c>
      <c r="H1811" s="33" t="s">
        <v>1639</v>
      </c>
      <c r="I1811" s="33">
        <v>358</v>
      </c>
      <c r="K1811" t="b">
        <f>QHPSelections2016[[#This Row],[County Name]]=P1811</f>
        <v>1</v>
      </c>
      <c r="L1811" t="b">
        <f>QHPSelections2016[[#This Row],[Silver]]=S1811</f>
        <v>1</v>
      </c>
      <c r="N1811">
        <v>42093</v>
      </c>
      <c r="O1811" t="s">
        <v>4070</v>
      </c>
      <c r="P1811" t="s">
        <v>4137</v>
      </c>
      <c r="R1811">
        <v>51</v>
      </c>
      <c r="S1811">
        <v>258</v>
      </c>
      <c r="T1811">
        <v>26</v>
      </c>
      <c r="V1811">
        <v>358</v>
      </c>
    </row>
    <row r="1812" spans="1:22">
      <c r="A1812" s="32" t="s">
        <v>4138</v>
      </c>
      <c r="B1812" s="32" t="s">
        <v>4070</v>
      </c>
      <c r="C1812" s="32" t="s">
        <v>1169</v>
      </c>
      <c r="D1812" s="33">
        <v>194</v>
      </c>
      <c r="E1812" s="33">
        <v>942</v>
      </c>
      <c r="F1812" s="33">
        <v>7573</v>
      </c>
      <c r="G1812" s="33">
        <v>1913</v>
      </c>
      <c r="H1812" s="33">
        <v>181</v>
      </c>
      <c r="I1812" s="33">
        <v>10803</v>
      </c>
      <c r="K1812" t="b">
        <f>QHPSelections2016[[#This Row],[County Name]]=P1812</f>
        <v>1</v>
      </c>
      <c r="L1812" t="b">
        <f>QHPSelections2016[[#This Row],[Silver]]=S1812</f>
        <v>1</v>
      </c>
      <c r="N1812">
        <v>42095</v>
      </c>
      <c r="O1812" t="s">
        <v>4070</v>
      </c>
      <c r="P1812" t="s">
        <v>1169</v>
      </c>
      <c r="Q1812">
        <v>194</v>
      </c>
      <c r="R1812">
        <v>942</v>
      </c>
      <c r="S1812" s="51">
        <v>7573</v>
      </c>
      <c r="T1812" s="51">
        <v>1913</v>
      </c>
      <c r="U1812">
        <v>181</v>
      </c>
      <c r="V1812" s="51">
        <v>10803</v>
      </c>
    </row>
    <row r="1813" spans="1:22">
      <c r="A1813" s="32" t="s">
        <v>4139</v>
      </c>
      <c r="B1813" s="32" t="s">
        <v>4070</v>
      </c>
      <c r="C1813" s="32" t="s">
        <v>4140</v>
      </c>
      <c r="D1813" s="33" t="s">
        <v>1639</v>
      </c>
      <c r="E1813" s="33">
        <v>263</v>
      </c>
      <c r="F1813" s="33">
        <v>1660</v>
      </c>
      <c r="G1813" s="33">
        <v>227</v>
      </c>
      <c r="H1813" s="33" t="s">
        <v>1639</v>
      </c>
      <c r="I1813" s="33">
        <v>2178</v>
      </c>
      <c r="K1813" t="b">
        <f>QHPSelections2016[[#This Row],[County Name]]=P1813</f>
        <v>1</v>
      </c>
      <c r="L1813" t="b">
        <f>QHPSelections2016[[#This Row],[Silver]]=S1813</f>
        <v>1</v>
      </c>
      <c r="N1813">
        <v>42097</v>
      </c>
      <c r="O1813" t="s">
        <v>4070</v>
      </c>
      <c r="P1813" t="s">
        <v>4140</v>
      </c>
      <c r="R1813">
        <v>263</v>
      </c>
      <c r="S1813" s="51">
        <v>1660</v>
      </c>
      <c r="T1813">
        <v>227</v>
      </c>
      <c r="V1813" s="51">
        <v>2178</v>
      </c>
    </row>
    <row r="1814" spans="1:22">
      <c r="A1814" s="32" t="s">
        <v>4141</v>
      </c>
      <c r="B1814" s="32" t="s">
        <v>4070</v>
      </c>
      <c r="C1814" s="32" t="s">
        <v>1097</v>
      </c>
      <c r="D1814" s="33">
        <v>18</v>
      </c>
      <c r="E1814" s="33">
        <v>166</v>
      </c>
      <c r="F1814" s="33">
        <v>1178</v>
      </c>
      <c r="G1814" s="33">
        <v>168</v>
      </c>
      <c r="H1814" s="33">
        <v>19</v>
      </c>
      <c r="I1814" s="33">
        <v>1549</v>
      </c>
      <c r="K1814" t="b">
        <f>QHPSelections2016[[#This Row],[County Name]]=P1814</f>
        <v>1</v>
      </c>
      <c r="L1814" t="b">
        <f>QHPSelections2016[[#This Row],[Silver]]=S1814</f>
        <v>1</v>
      </c>
      <c r="N1814">
        <v>42099</v>
      </c>
      <c r="O1814" t="s">
        <v>4070</v>
      </c>
      <c r="P1814" t="s">
        <v>1097</v>
      </c>
      <c r="Q1814">
        <v>18</v>
      </c>
      <c r="R1814">
        <v>166</v>
      </c>
      <c r="S1814" s="51">
        <v>1178</v>
      </c>
      <c r="T1814">
        <v>168</v>
      </c>
      <c r="U1814">
        <v>19</v>
      </c>
      <c r="V1814" s="51">
        <v>1549</v>
      </c>
    </row>
    <row r="1815" spans="1:22">
      <c r="A1815" s="32" t="s">
        <v>4142</v>
      </c>
      <c r="B1815" s="32" t="s">
        <v>4070</v>
      </c>
      <c r="C1815" s="32" t="s">
        <v>4143</v>
      </c>
      <c r="D1815" s="33">
        <v>1155</v>
      </c>
      <c r="E1815" s="33">
        <v>2839</v>
      </c>
      <c r="F1815" s="33">
        <v>45015</v>
      </c>
      <c r="G1815" s="33">
        <v>10064</v>
      </c>
      <c r="H1815" s="33">
        <v>95</v>
      </c>
      <c r="I1815" s="33">
        <v>59168</v>
      </c>
      <c r="K1815" t="b">
        <f>QHPSelections2016[[#This Row],[County Name]]=P1815</f>
        <v>1</v>
      </c>
      <c r="L1815" t="b">
        <f>QHPSelections2016[[#This Row],[Silver]]=S1815</f>
        <v>1</v>
      </c>
      <c r="N1815">
        <v>42101</v>
      </c>
      <c r="O1815" t="s">
        <v>4070</v>
      </c>
      <c r="P1815" t="s">
        <v>4143</v>
      </c>
      <c r="Q1815" s="51">
        <v>1155</v>
      </c>
      <c r="R1815" s="51">
        <v>2839</v>
      </c>
      <c r="S1815" s="51">
        <v>45015</v>
      </c>
      <c r="T1815" s="51">
        <v>10064</v>
      </c>
      <c r="U1815">
        <v>95</v>
      </c>
      <c r="V1815" s="51">
        <v>59168</v>
      </c>
    </row>
    <row r="1816" spans="1:22">
      <c r="A1816" s="32" t="s">
        <v>4144</v>
      </c>
      <c r="B1816" s="32" t="s">
        <v>4070</v>
      </c>
      <c r="C1816" s="32" t="s">
        <v>1109</v>
      </c>
      <c r="D1816" s="33">
        <v>0</v>
      </c>
      <c r="E1816" s="33">
        <v>547</v>
      </c>
      <c r="F1816" s="33">
        <v>1477</v>
      </c>
      <c r="G1816" s="33">
        <v>412</v>
      </c>
      <c r="H1816" s="33">
        <v>25</v>
      </c>
      <c r="I1816" s="33">
        <v>2461</v>
      </c>
      <c r="K1816" t="b">
        <f>QHPSelections2016[[#This Row],[County Name]]=P1816</f>
        <v>1</v>
      </c>
      <c r="L1816" t="b">
        <f>QHPSelections2016[[#This Row],[Silver]]=S1816</f>
        <v>1</v>
      </c>
      <c r="N1816">
        <v>42103</v>
      </c>
      <c r="O1816" t="s">
        <v>4070</v>
      </c>
      <c r="P1816" t="s">
        <v>1109</v>
      </c>
      <c r="Q1816">
        <v>0</v>
      </c>
      <c r="R1816">
        <v>547</v>
      </c>
      <c r="S1816" s="51">
        <v>1477</v>
      </c>
      <c r="T1816">
        <v>412</v>
      </c>
      <c r="U1816">
        <v>25</v>
      </c>
      <c r="V1816" s="51">
        <v>2461</v>
      </c>
    </row>
    <row r="1817" spans="1:22">
      <c r="A1817" s="32" t="s">
        <v>4145</v>
      </c>
      <c r="B1817" s="32" t="s">
        <v>4070</v>
      </c>
      <c r="C1817" s="32" t="s">
        <v>1365</v>
      </c>
      <c r="D1817" s="33" t="s">
        <v>1639</v>
      </c>
      <c r="E1817" s="33">
        <v>62</v>
      </c>
      <c r="F1817" s="33">
        <v>335</v>
      </c>
      <c r="G1817" s="33">
        <v>61</v>
      </c>
      <c r="H1817" s="33" t="s">
        <v>1639</v>
      </c>
      <c r="I1817" s="33">
        <v>467</v>
      </c>
      <c r="K1817" t="b">
        <f>QHPSelections2016[[#This Row],[County Name]]=P1817</f>
        <v>1</v>
      </c>
      <c r="L1817" t="b">
        <f>QHPSelections2016[[#This Row],[Silver]]=S1817</f>
        <v>1</v>
      </c>
      <c r="N1817">
        <v>42105</v>
      </c>
      <c r="O1817" t="s">
        <v>4070</v>
      </c>
      <c r="P1817" t="s">
        <v>1365</v>
      </c>
      <c r="R1817">
        <v>62</v>
      </c>
      <c r="S1817">
        <v>335</v>
      </c>
      <c r="T1817">
        <v>61</v>
      </c>
      <c r="V1817">
        <v>467</v>
      </c>
    </row>
    <row r="1818" spans="1:22">
      <c r="A1818" s="32" t="s">
        <v>4146</v>
      </c>
      <c r="B1818" s="32" t="s">
        <v>4070</v>
      </c>
      <c r="C1818" s="32" t="s">
        <v>4147</v>
      </c>
      <c r="D1818" s="33">
        <v>22</v>
      </c>
      <c r="E1818" s="33">
        <v>463</v>
      </c>
      <c r="F1818" s="33">
        <v>3019</v>
      </c>
      <c r="G1818" s="33">
        <v>493</v>
      </c>
      <c r="H1818" s="33">
        <v>35</v>
      </c>
      <c r="I1818" s="33">
        <v>4032</v>
      </c>
      <c r="K1818" t="b">
        <f>QHPSelections2016[[#This Row],[County Name]]=P1818</f>
        <v>1</v>
      </c>
      <c r="L1818" t="b">
        <f>QHPSelections2016[[#This Row],[Silver]]=S1818</f>
        <v>1</v>
      </c>
      <c r="N1818">
        <v>42107</v>
      </c>
      <c r="O1818" t="s">
        <v>4070</v>
      </c>
      <c r="P1818" t="s">
        <v>4147</v>
      </c>
      <c r="Q1818">
        <v>22</v>
      </c>
      <c r="R1818">
        <v>463</v>
      </c>
      <c r="S1818" s="51">
        <v>3019</v>
      </c>
      <c r="T1818">
        <v>493</v>
      </c>
      <c r="U1818">
        <v>35</v>
      </c>
      <c r="V1818" s="51">
        <v>4032</v>
      </c>
    </row>
    <row r="1819" spans="1:22">
      <c r="A1819" s="32" t="s">
        <v>4148</v>
      </c>
      <c r="B1819" s="32" t="s">
        <v>4070</v>
      </c>
      <c r="C1819" s="32" t="s">
        <v>4149</v>
      </c>
      <c r="D1819" s="33" t="s">
        <v>1639</v>
      </c>
      <c r="E1819" s="33">
        <v>115</v>
      </c>
      <c r="F1819" s="33">
        <v>948</v>
      </c>
      <c r="G1819" s="33">
        <v>139</v>
      </c>
      <c r="H1819" s="33" t="s">
        <v>1639</v>
      </c>
      <c r="I1819" s="33">
        <v>1214</v>
      </c>
      <c r="K1819" t="b">
        <f>QHPSelections2016[[#This Row],[County Name]]=P1819</f>
        <v>1</v>
      </c>
      <c r="L1819" t="b">
        <f>QHPSelections2016[[#This Row],[Silver]]=S1819</f>
        <v>1</v>
      </c>
      <c r="N1819">
        <v>42109</v>
      </c>
      <c r="O1819" t="s">
        <v>4070</v>
      </c>
      <c r="P1819" t="s">
        <v>4149</v>
      </c>
      <c r="R1819">
        <v>115</v>
      </c>
      <c r="S1819">
        <v>948</v>
      </c>
      <c r="T1819">
        <v>139</v>
      </c>
      <c r="V1819" s="51">
        <v>1214</v>
      </c>
    </row>
    <row r="1820" spans="1:22">
      <c r="A1820" s="32" t="s">
        <v>4150</v>
      </c>
      <c r="B1820" s="32" t="s">
        <v>4070</v>
      </c>
      <c r="C1820" s="32" t="s">
        <v>2813</v>
      </c>
      <c r="D1820" s="33" t="s">
        <v>1639</v>
      </c>
      <c r="E1820" s="33">
        <v>324</v>
      </c>
      <c r="F1820" s="33">
        <v>1781</v>
      </c>
      <c r="G1820" s="33">
        <v>302</v>
      </c>
      <c r="H1820" s="33" t="s">
        <v>1639</v>
      </c>
      <c r="I1820" s="33">
        <v>2421</v>
      </c>
      <c r="K1820" t="b">
        <f>QHPSelections2016[[#This Row],[County Name]]=P1820</f>
        <v>1</v>
      </c>
      <c r="L1820" t="b">
        <f>QHPSelections2016[[#This Row],[Silver]]=S1820</f>
        <v>1</v>
      </c>
      <c r="N1820">
        <v>42111</v>
      </c>
      <c r="O1820" t="s">
        <v>4070</v>
      </c>
      <c r="P1820" t="s">
        <v>2813</v>
      </c>
      <c r="R1820">
        <v>324</v>
      </c>
      <c r="S1820" s="51">
        <v>1781</v>
      </c>
      <c r="T1820">
        <v>302</v>
      </c>
      <c r="V1820" s="51">
        <v>2421</v>
      </c>
    </row>
    <row r="1821" spans="1:22">
      <c r="A1821" s="32" t="s">
        <v>4151</v>
      </c>
      <c r="B1821" s="32" t="s">
        <v>4070</v>
      </c>
      <c r="C1821" s="32" t="s">
        <v>1227</v>
      </c>
      <c r="D1821" s="33" t="s">
        <v>1639</v>
      </c>
      <c r="E1821" s="33">
        <v>43</v>
      </c>
      <c r="F1821" s="33">
        <v>183</v>
      </c>
      <c r="G1821" s="33">
        <v>54</v>
      </c>
      <c r="H1821" s="33" t="s">
        <v>1639</v>
      </c>
      <c r="I1821" s="33">
        <v>283</v>
      </c>
      <c r="K1821" t="b">
        <f>QHPSelections2016[[#This Row],[County Name]]=P1821</f>
        <v>1</v>
      </c>
      <c r="L1821" t="b">
        <f>QHPSelections2016[[#This Row],[Silver]]=S1821</f>
        <v>1</v>
      </c>
      <c r="N1821">
        <v>42113</v>
      </c>
      <c r="O1821" t="s">
        <v>4070</v>
      </c>
      <c r="P1821" t="s">
        <v>1227</v>
      </c>
      <c r="R1821">
        <v>43</v>
      </c>
      <c r="S1821">
        <v>183</v>
      </c>
      <c r="T1821">
        <v>54</v>
      </c>
      <c r="V1821">
        <v>283</v>
      </c>
    </row>
    <row r="1822" spans="1:22">
      <c r="A1822" s="32" t="s">
        <v>4152</v>
      </c>
      <c r="B1822" s="32" t="s">
        <v>4070</v>
      </c>
      <c r="C1822" s="32" t="s">
        <v>4153</v>
      </c>
      <c r="D1822" s="33">
        <v>0</v>
      </c>
      <c r="E1822" s="33">
        <v>348</v>
      </c>
      <c r="F1822" s="33">
        <v>1181</v>
      </c>
      <c r="G1822" s="33">
        <v>300</v>
      </c>
      <c r="H1822" s="33">
        <v>21</v>
      </c>
      <c r="I1822" s="33">
        <v>1850</v>
      </c>
      <c r="K1822" t="b">
        <f>QHPSelections2016[[#This Row],[County Name]]=P1822</f>
        <v>1</v>
      </c>
      <c r="L1822" t="b">
        <f>QHPSelections2016[[#This Row],[Silver]]=S1822</f>
        <v>1</v>
      </c>
      <c r="N1822">
        <v>42115</v>
      </c>
      <c r="O1822" t="s">
        <v>4070</v>
      </c>
      <c r="P1822" t="s">
        <v>4153</v>
      </c>
      <c r="Q1822">
        <v>0</v>
      </c>
      <c r="R1822">
        <v>348</v>
      </c>
      <c r="S1822" s="51">
        <v>1181</v>
      </c>
      <c r="T1822">
        <v>300</v>
      </c>
      <c r="U1822">
        <v>21</v>
      </c>
      <c r="V1822" s="51">
        <v>1850</v>
      </c>
    </row>
    <row r="1823" spans="1:22">
      <c r="A1823" s="32" t="s">
        <v>4154</v>
      </c>
      <c r="B1823" s="32" t="s">
        <v>4070</v>
      </c>
      <c r="C1823" s="32" t="s">
        <v>4155</v>
      </c>
      <c r="D1823" s="33">
        <v>0</v>
      </c>
      <c r="E1823" s="33">
        <v>184</v>
      </c>
      <c r="F1823" s="33">
        <v>772</v>
      </c>
      <c r="G1823" s="33">
        <v>243</v>
      </c>
      <c r="H1823" s="33">
        <v>15</v>
      </c>
      <c r="I1823" s="33">
        <v>1214</v>
      </c>
      <c r="K1823" t="b">
        <f>QHPSelections2016[[#This Row],[County Name]]=P1823</f>
        <v>1</v>
      </c>
      <c r="L1823" t="b">
        <f>QHPSelections2016[[#This Row],[Silver]]=S1823</f>
        <v>1</v>
      </c>
      <c r="N1823">
        <v>42117</v>
      </c>
      <c r="O1823" t="s">
        <v>4070</v>
      </c>
      <c r="P1823" t="s">
        <v>4155</v>
      </c>
      <c r="Q1823">
        <v>0</v>
      </c>
      <c r="R1823">
        <v>184</v>
      </c>
      <c r="S1823">
        <v>772</v>
      </c>
      <c r="T1823">
        <v>243</v>
      </c>
      <c r="U1823">
        <v>15</v>
      </c>
      <c r="V1823" s="51">
        <v>1214</v>
      </c>
    </row>
    <row r="1824" spans="1:22">
      <c r="A1824" s="32" t="s">
        <v>4156</v>
      </c>
      <c r="B1824" s="32" t="s">
        <v>4070</v>
      </c>
      <c r="C1824" s="32" t="s">
        <v>1149</v>
      </c>
      <c r="D1824" s="33" t="s">
        <v>1639</v>
      </c>
      <c r="E1824" s="33">
        <v>116</v>
      </c>
      <c r="F1824" s="33">
        <v>788</v>
      </c>
      <c r="G1824" s="33">
        <v>132</v>
      </c>
      <c r="H1824" s="33" t="s">
        <v>1639</v>
      </c>
      <c r="I1824" s="33">
        <v>1057</v>
      </c>
      <c r="K1824" t="b">
        <f>QHPSelections2016[[#This Row],[County Name]]=P1824</f>
        <v>1</v>
      </c>
      <c r="L1824" t="b">
        <f>QHPSelections2016[[#This Row],[Silver]]=S1824</f>
        <v>1</v>
      </c>
      <c r="N1824">
        <v>42119</v>
      </c>
      <c r="O1824" t="s">
        <v>4070</v>
      </c>
      <c r="P1824" t="s">
        <v>1149</v>
      </c>
      <c r="R1824">
        <v>116</v>
      </c>
      <c r="S1824">
        <v>788</v>
      </c>
      <c r="T1824">
        <v>132</v>
      </c>
      <c r="V1824" s="51">
        <v>1057</v>
      </c>
    </row>
    <row r="1825" spans="1:22">
      <c r="A1825" s="32" t="s">
        <v>4157</v>
      </c>
      <c r="B1825" s="32" t="s">
        <v>4070</v>
      </c>
      <c r="C1825" s="32" t="s">
        <v>4158</v>
      </c>
      <c r="D1825" s="33" t="s">
        <v>1639</v>
      </c>
      <c r="E1825" s="33">
        <v>171</v>
      </c>
      <c r="F1825" s="33">
        <v>1140</v>
      </c>
      <c r="G1825" s="33">
        <v>192</v>
      </c>
      <c r="H1825" s="33" t="s">
        <v>1639</v>
      </c>
      <c r="I1825" s="33">
        <v>1507</v>
      </c>
      <c r="K1825" t="b">
        <f>QHPSelections2016[[#This Row],[County Name]]=P1825</f>
        <v>1</v>
      </c>
      <c r="L1825" t="b">
        <f>QHPSelections2016[[#This Row],[Silver]]=S1825</f>
        <v>1</v>
      </c>
      <c r="N1825">
        <v>42121</v>
      </c>
      <c r="O1825" t="s">
        <v>4070</v>
      </c>
      <c r="P1825" t="s">
        <v>4158</v>
      </c>
      <c r="R1825">
        <v>171</v>
      </c>
      <c r="S1825" s="51">
        <v>1140</v>
      </c>
      <c r="T1825">
        <v>192</v>
      </c>
      <c r="V1825" s="51">
        <v>1507</v>
      </c>
    </row>
    <row r="1826" spans="1:22">
      <c r="A1826" s="32" t="s">
        <v>4159</v>
      </c>
      <c r="B1826" s="32" t="s">
        <v>4070</v>
      </c>
      <c r="C1826" s="32" t="s">
        <v>1205</v>
      </c>
      <c r="D1826" s="33" t="s">
        <v>1639</v>
      </c>
      <c r="E1826" s="33">
        <v>101</v>
      </c>
      <c r="F1826" s="33">
        <v>753</v>
      </c>
      <c r="G1826" s="33">
        <v>95</v>
      </c>
      <c r="H1826" s="33" t="s">
        <v>1639</v>
      </c>
      <c r="I1826" s="33">
        <v>956</v>
      </c>
      <c r="K1826" t="b">
        <f>QHPSelections2016[[#This Row],[County Name]]=P1826</f>
        <v>1</v>
      </c>
      <c r="L1826" t="b">
        <f>QHPSelections2016[[#This Row],[Silver]]=S1826</f>
        <v>1</v>
      </c>
      <c r="N1826">
        <v>42123</v>
      </c>
      <c r="O1826" t="s">
        <v>4070</v>
      </c>
      <c r="P1826" t="s">
        <v>1205</v>
      </c>
      <c r="R1826">
        <v>101</v>
      </c>
      <c r="S1826">
        <v>753</v>
      </c>
      <c r="T1826">
        <v>95</v>
      </c>
      <c r="V1826">
        <v>956</v>
      </c>
    </row>
    <row r="1827" spans="1:22">
      <c r="A1827" s="32" t="s">
        <v>4160</v>
      </c>
      <c r="B1827" s="32" t="s">
        <v>4070</v>
      </c>
      <c r="C1827" s="32" t="s">
        <v>1160</v>
      </c>
      <c r="D1827" s="33">
        <v>49</v>
      </c>
      <c r="E1827" s="33">
        <v>1018</v>
      </c>
      <c r="F1827" s="33">
        <v>4628</v>
      </c>
      <c r="G1827" s="33">
        <v>665</v>
      </c>
      <c r="H1827" s="33">
        <v>26</v>
      </c>
      <c r="I1827" s="33">
        <v>6386</v>
      </c>
      <c r="K1827" t="b">
        <f>QHPSelections2016[[#This Row],[County Name]]=P1827</f>
        <v>1</v>
      </c>
      <c r="L1827" t="b">
        <f>QHPSelections2016[[#This Row],[Silver]]=S1827</f>
        <v>1</v>
      </c>
      <c r="N1827">
        <v>42125</v>
      </c>
      <c r="O1827" t="s">
        <v>4070</v>
      </c>
      <c r="P1827" t="s">
        <v>1160</v>
      </c>
      <c r="Q1827">
        <v>49</v>
      </c>
      <c r="R1827" s="51">
        <v>1018</v>
      </c>
      <c r="S1827" s="51">
        <v>4628</v>
      </c>
      <c r="T1827">
        <v>665</v>
      </c>
      <c r="U1827">
        <v>26</v>
      </c>
      <c r="V1827" s="51">
        <v>6386</v>
      </c>
    </row>
    <row r="1828" spans="1:22">
      <c r="A1828" s="32" t="s">
        <v>4161</v>
      </c>
      <c r="B1828" s="32" t="s">
        <v>4070</v>
      </c>
      <c r="C1828" s="32" t="s">
        <v>1209</v>
      </c>
      <c r="D1828" s="33">
        <v>0</v>
      </c>
      <c r="E1828" s="33">
        <v>534</v>
      </c>
      <c r="F1828" s="33">
        <v>1594</v>
      </c>
      <c r="G1828" s="33">
        <v>268</v>
      </c>
      <c r="H1828" s="33">
        <v>26</v>
      </c>
      <c r="I1828" s="33">
        <v>2422</v>
      </c>
      <c r="K1828" t="b">
        <f>QHPSelections2016[[#This Row],[County Name]]=P1828</f>
        <v>1</v>
      </c>
      <c r="L1828" t="b">
        <f>QHPSelections2016[[#This Row],[Silver]]=S1828</f>
        <v>1</v>
      </c>
      <c r="N1828">
        <v>42127</v>
      </c>
      <c r="O1828" t="s">
        <v>4070</v>
      </c>
      <c r="P1828" t="s">
        <v>1209</v>
      </c>
      <c r="Q1828">
        <v>0</v>
      </c>
      <c r="R1828">
        <v>534</v>
      </c>
      <c r="S1828" s="51">
        <v>1594</v>
      </c>
      <c r="T1828">
        <v>268</v>
      </c>
      <c r="U1828">
        <v>26</v>
      </c>
      <c r="V1828" s="51">
        <v>2422</v>
      </c>
    </row>
    <row r="1829" spans="1:22">
      <c r="A1829" s="32" t="s">
        <v>4162</v>
      </c>
      <c r="B1829" s="32" t="s">
        <v>4070</v>
      </c>
      <c r="C1829" s="32" t="s">
        <v>4163</v>
      </c>
      <c r="D1829" s="33">
        <v>94</v>
      </c>
      <c r="E1829" s="33">
        <v>1662</v>
      </c>
      <c r="F1829" s="33">
        <v>8221</v>
      </c>
      <c r="G1829" s="33">
        <v>1176</v>
      </c>
      <c r="H1829" s="33">
        <v>40</v>
      </c>
      <c r="I1829" s="33">
        <v>11193</v>
      </c>
      <c r="K1829" t="b">
        <f>QHPSelections2016[[#This Row],[County Name]]=P1829</f>
        <v>1</v>
      </c>
      <c r="L1829" t="b">
        <f>QHPSelections2016[[#This Row],[Silver]]=S1829</f>
        <v>1</v>
      </c>
      <c r="N1829">
        <v>42129</v>
      </c>
      <c r="O1829" t="s">
        <v>4070</v>
      </c>
      <c r="P1829" t="s">
        <v>4163</v>
      </c>
      <c r="Q1829">
        <v>94</v>
      </c>
      <c r="R1829" s="51">
        <v>1662</v>
      </c>
      <c r="S1829" s="51">
        <v>8221</v>
      </c>
      <c r="T1829" s="51">
        <v>1176</v>
      </c>
      <c r="U1829">
        <v>40</v>
      </c>
      <c r="V1829" s="51">
        <v>11193</v>
      </c>
    </row>
    <row r="1830" spans="1:22">
      <c r="A1830" s="32" t="s">
        <v>4164</v>
      </c>
      <c r="B1830" s="32" t="s">
        <v>4070</v>
      </c>
      <c r="C1830" s="32" t="s">
        <v>4165</v>
      </c>
      <c r="D1830" s="33" t="s">
        <v>1639</v>
      </c>
      <c r="E1830" s="33">
        <v>198</v>
      </c>
      <c r="F1830" s="33">
        <v>749</v>
      </c>
      <c r="G1830" s="33">
        <v>157</v>
      </c>
      <c r="H1830" s="33" t="s">
        <v>1639</v>
      </c>
      <c r="I1830" s="33">
        <v>1113</v>
      </c>
      <c r="K1830" t="b">
        <f>QHPSelections2016[[#This Row],[County Name]]=P1830</f>
        <v>1</v>
      </c>
      <c r="L1830" t="b">
        <f>QHPSelections2016[[#This Row],[Silver]]=S1830</f>
        <v>1</v>
      </c>
      <c r="N1830">
        <v>42131</v>
      </c>
      <c r="O1830" t="s">
        <v>4070</v>
      </c>
      <c r="P1830" t="s">
        <v>4165</v>
      </c>
      <c r="R1830">
        <v>198</v>
      </c>
      <c r="S1830">
        <v>749</v>
      </c>
      <c r="T1830">
        <v>157</v>
      </c>
      <c r="V1830" s="51">
        <v>1113</v>
      </c>
    </row>
    <row r="1831" spans="1:22">
      <c r="A1831" s="32" t="s">
        <v>4166</v>
      </c>
      <c r="B1831" s="32" t="s">
        <v>4070</v>
      </c>
      <c r="C1831" s="32" t="s">
        <v>2818</v>
      </c>
      <c r="D1831" s="33">
        <v>96</v>
      </c>
      <c r="E1831" s="33">
        <v>1045</v>
      </c>
      <c r="F1831" s="33">
        <v>9700</v>
      </c>
      <c r="G1831" s="33">
        <v>3102</v>
      </c>
      <c r="H1831" s="33">
        <v>167</v>
      </c>
      <c r="I1831" s="33">
        <v>14110</v>
      </c>
      <c r="K1831" t="b">
        <f>QHPSelections2016[[#This Row],[County Name]]=P1831</f>
        <v>1</v>
      </c>
      <c r="L1831" t="b">
        <f>QHPSelections2016[[#This Row],[Silver]]=S1831</f>
        <v>1</v>
      </c>
      <c r="N1831">
        <v>42133</v>
      </c>
      <c r="O1831" t="s">
        <v>4070</v>
      </c>
      <c r="P1831" t="s">
        <v>2818</v>
      </c>
      <c r="Q1831">
        <v>96</v>
      </c>
      <c r="R1831" s="51">
        <v>1045</v>
      </c>
      <c r="S1831" s="51">
        <v>9700</v>
      </c>
      <c r="T1831" s="51">
        <v>3102</v>
      </c>
      <c r="U1831">
        <v>167</v>
      </c>
      <c r="V1831" s="51">
        <v>14110</v>
      </c>
    </row>
    <row r="1832" spans="1:22">
      <c r="A1832" s="32" t="s">
        <v>4167</v>
      </c>
      <c r="B1832" s="32" t="s">
        <v>4168</v>
      </c>
      <c r="C1832" s="32" t="s">
        <v>4169</v>
      </c>
      <c r="D1832" s="33">
        <v>0</v>
      </c>
      <c r="E1832" s="33" t="s">
        <v>1639</v>
      </c>
      <c r="F1832" s="33">
        <v>863</v>
      </c>
      <c r="G1832" s="33">
        <v>62</v>
      </c>
      <c r="H1832" s="33" t="s">
        <v>1639</v>
      </c>
      <c r="I1832" s="33">
        <v>956</v>
      </c>
      <c r="K1832" t="b">
        <f>QHPSelections2016[[#This Row],[County Name]]=P1832</f>
        <v>1</v>
      </c>
      <c r="L1832" t="b">
        <f>QHPSelections2016[[#This Row],[Silver]]=S1832</f>
        <v>1</v>
      </c>
      <c r="N1832">
        <v>45001</v>
      </c>
      <c r="O1832" t="s">
        <v>4168</v>
      </c>
      <c r="P1832" t="s">
        <v>4169</v>
      </c>
      <c r="Q1832">
        <v>0</v>
      </c>
      <c r="S1832">
        <v>863</v>
      </c>
      <c r="T1832">
        <v>62</v>
      </c>
      <c r="V1832">
        <v>956</v>
      </c>
    </row>
    <row r="1833" spans="1:22">
      <c r="A1833" s="32" t="s">
        <v>4170</v>
      </c>
      <c r="B1833" s="32" t="s">
        <v>4168</v>
      </c>
      <c r="C1833" s="32" t="s">
        <v>4171</v>
      </c>
      <c r="D1833" s="33">
        <v>0</v>
      </c>
      <c r="E1833" s="33">
        <v>167</v>
      </c>
      <c r="F1833" s="33">
        <v>5177</v>
      </c>
      <c r="G1833" s="33">
        <v>470</v>
      </c>
      <c r="H1833" s="33">
        <v>47</v>
      </c>
      <c r="I1833" s="33">
        <v>5861</v>
      </c>
      <c r="K1833" t="b">
        <f>QHPSelections2016[[#This Row],[County Name]]=P1833</f>
        <v>1</v>
      </c>
      <c r="L1833" t="b">
        <f>QHPSelections2016[[#This Row],[Silver]]=S1833</f>
        <v>1</v>
      </c>
      <c r="N1833">
        <v>45003</v>
      </c>
      <c r="O1833" t="s">
        <v>4168</v>
      </c>
      <c r="P1833" t="s">
        <v>4171</v>
      </c>
      <c r="Q1833">
        <v>0</v>
      </c>
      <c r="R1833">
        <v>167</v>
      </c>
      <c r="S1833" s="51">
        <v>5177</v>
      </c>
      <c r="T1833">
        <v>470</v>
      </c>
      <c r="U1833">
        <v>47</v>
      </c>
      <c r="V1833" s="51">
        <v>5861</v>
      </c>
    </row>
    <row r="1834" spans="1:22">
      <c r="A1834" s="32" t="s">
        <v>4172</v>
      </c>
      <c r="B1834" s="32" t="s">
        <v>4168</v>
      </c>
      <c r="C1834" s="32" t="s">
        <v>4173</v>
      </c>
      <c r="D1834" s="33">
        <v>0</v>
      </c>
      <c r="E1834" s="33" t="s">
        <v>1639</v>
      </c>
      <c r="F1834" s="33">
        <v>263</v>
      </c>
      <c r="G1834" s="33">
        <v>24</v>
      </c>
      <c r="H1834" s="33" t="s">
        <v>1639</v>
      </c>
      <c r="I1834" s="33">
        <v>299</v>
      </c>
      <c r="K1834" t="b">
        <f>QHPSelections2016[[#This Row],[County Name]]=P1834</f>
        <v>1</v>
      </c>
      <c r="L1834" t="b">
        <f>QHPSelections2016[[#This Row],[Silver]]=S1834</f>
        <v>1</v>
      </c>
      <c r="N1834">
        <v>45005</v>
      </c>
      <c r="O1834" t="s">
        <v>4168</v>
      </c>
      <c r="P1834" t="s">
        <v>4173</v>
      </c>
      <c r="Q1834">
        <v>0</v>
      </c>
      <c r="S1834">
        <v>263</v>
      </c>
      <c r="T1834">
        <v>24</v>
      </c>
      <c r="V1834">
        <v>299</v>
      </c>
    </row>
    <row r="1835" spans="1:22">
      <c r="A1835" s="32" t="s">
        <v>4174</v>
      </c>
      <c r="B1835" s="32" t="s">
        <v>4168</v>
      </c>
      <c r="C1835" s="32" t="s">
        <v>822</v>
      </c>
      <c r="D1835" s="33">
        <v>0</v>
      </c>
      <c r="E1835" s="33">
        <v>255</v>
      </c>
      <c r="F1835" s="33">
        <v>7816</v>
      </c>
      <c r="G1835" s="33">
        <v>640</v>
      </c>
      <c r="H1835" s="33">
        <v>56</v>
      </c>
      <c r="I1835" s="33">
        <v>8767</v>
      </c>
      <c r="K1835" t="b">
        <f>QHPSelections2016[[#This Row],[County Name]]=P1835</f>
        <v>1</v>
      </c>
      <c r="L1835" t="b">
        <f>QHPSelections2016[[#This Row],[Silver]]=S1835</f>
        <v>1</v>
      </c>
      <c r="N1835">
        <v>45007</v>
      </c>
      <c r="O1835" t="s">
        <v>4168</v>
      </c>
      <c r="P1835" t="s">
        <v>822</v>
      </c>
      <c r="Q1835">
        <v>0</v>
      </c>
      <c r="R1835">
        <v>255</v>
      </c>
      <c r="S1835" s="51">
        <v>7816</v>
      </c>
      <c r="T1835">
        <v>640</v>
      </c>
      <c r="U1835">
        <v>56</v>
      </c>
      <c r="V1835" s="51">
        <v>8767</v>
      </c>
    </row>
    <row r="1836" spans="1:22">
      <c r="A1836" s="32" t="s">
        <v>4175</v>
      </c>
      <c r="B1836" s="32" t="s">
        <v>4168</v>
      </c>
      <c r="C1836" s="32" t="s">
        <v>4176</v>
      </c>
      <c r="D1836" s="33">
        <v>0</v>
      </c>
      <c r="E1836" s="33" t="s">
        <v>1639</v>
      </c>
      <c r="F1836" s="33">
        <v>469</v>
      </c>
      <c r="G1836" s="33">
        <v>39</v>
      </c>
      <c r="H1836" s="33" t="s">
        <v>1639</v>
      </c>
      <c r="I1836" s="33">
        <v>518</v>
      </c>
      <c r="K1836" t="b">
        <f>QHPSelections2016[[#This Row],[County Name]]=P1836</f>
        <v>1</v>
      </c>
      <c r="L1836" t="b">
        <f>QHPSelections2016[[#This Row],[Silver]]=S1836</f>
        <v>1</v>
      </c>
      <c r="N1836">
        <v>45009</v>
      </c>
      <c r="O1836" t="s">
        <v>4168</v>
      </c>
      <c r="P1836" t="s">
        <v>4176</v>
      </c>
      <c r="Q1836">
        <v>0</v>
      </c>
      <c r="S1836">
        <v>469</v>
      </c>
      <c r="T1836">
        <v>39</v>
      </c>
      <c r="V1836">
        <v>518</v>
      </c>
    </row>
    <row r="1837" spans="1:22">
      <c r="A1837" s="32" t="s">
        <v>4177</v>
      </c>
      <c r="B1837" s="32" t="s">
        <v>4168</v>
      </c>
      <c r="C1837" s="32" t="s">
        <v>4178</v>
      </c>
      <c r="D1837" s="33">
        <v>0</v>
      </c>
      <c r="E1837" s="33" t="s">
        <v>1639</v>
      </c>
      <c r="F1837" s="33">
        <v>531</v>
      </c>
      <c r="G1837" s="33">
        <v>55</v>
      </c>
      <c r="H1837" s="33" t="s">
        <v>1639</v>
      </c>
      <c r="I1837" s="33">
        <v>600</v>
      </c>
      <c r="K1837" t="b">
        <f>QHPSelections2016[[#This Row],[County Name]]=P1837</f>
        <v>1</v>
      </c>
      <c r="L1837" t="b">
        <f>QHPSelections2016[[#This Row],[Silver]]=S1837</f>
        <v>1</v>
      </c>
      <c r="N1837">
        <v>45011</v>
      </c>
      <c r="O1837" t="s">
        <v>4168</v>
      </c>
      <c r="P1837" t="s">
        <v>4178</v>
      </c>
      <c r="Q1837">
        <v>0</v>
      </c>
      <c r="S1837">
        <v>531</v>
      </c>
      <c r="T1837">
        <v>55</v>
      </c>
      <c r="V1837">
        <v>600</v>
      </c>
    </row>
    <row r="1838" spans="1:22">
      <c r="A1838" s="32" t="s">
        <v>4179</v>
      </c>
      <c r="B1838" s="32" t="s">
        <v>4168</v>
      </c>
      <c r="C1838" s="32" t="s">
        <v>857</v>
      </c>
      <c r="D1838" s="33">
        <v>0</v>
      </c>
      <c r="E1838" s="33">
        <v>500</v>
      </c>
      <c r="F1838" s="33">
        <v>7647</v>
      </c>
      <c r="G1838" s="33">
        <v>709</v>
      </c>
      <c r="H1838" s="33">
        <v>76</v>
      </c>
      <c r="I1838" s="33">
        <v>8932</v>
      </c>
      <c r="K1838" t="b">
        <f>QHPSelections2016[[#This Row],[County Name]]=P1838</f>
        <v>1</v>
      </c>
      <c r="L1838" t="b">
        <f>QHPSelections2016[[#This Row],[Silver]]=S1838</f>
        <v>1</v>
      </c>
      <c r="N1838">
        <v>45013</v>
      </c>
      <c r="O1838" t="s">
        <v>4168</v>
      </c>
      <c r="P1838" t="s">
        <v>857</v>
      </c>
      <c r="Q1838">
        <v>0</v>
      </c>
      <c r="R1838">
        <v>500</v>
      </c>
      <c r="S1838" s="51">
        <v>7647</v>
      </c>
      <c r="T1838">
        <v>709</v>
      </c>
      <c r="U1838">
        <v>76</v>
      </c>
      <c r="V1838" s="51">
        <v>8932</v>
      </c>
    </row>
    <row r="1839" spans="1:22">
      <c r="A1839" s="32" t="s">
        <v>4180</v>
      </c>
      <c r="B1839" s="32" t="s">
        <v>4168</v>
      </c>
      <c r="C1839" s="32" t="s">
        <v>4181</v>
      </c>
      <c r="D1839" s="33">
        <v>0</v>
      </c>
      <c r="E1839" s="33">
        <v>336</v>
      </c>
      <c r="F1839" s="33">
        <v>7215</v>
      </c>
      <c r="G1839" s="33">
        <v>754</v>
      </c>
      <c r="H1839" s="33">
        <v>93</v>
      </c>
      <c r="I1839" s="33">
        <v>8398</v>
      </c>
      <c r="K1839" t="b">
        <f>QHPSelections2016[[#This Row],[County Name]]=P1839</f>
        <v>1</v>
      </c>
      <c r="L1839" t="b">
        <f>QHPSelections2016[[#This Row],[Silver]]=S1839</f>
        <v>1</v>
      </c>
      <c r="N1839">
        <v>45015</v>
      </c>
      <c r="O1839" t="s">
        <v>4168</v>
      </c>
      <c r="P1839" t="s">
        <v>4181</v>
      </c>
      <c r="Q1839">
        <v>0</v>
      </c>
      <c r="R1839">
        <v>336</v>
      </c>
      <c r="S1839" s="51">
        <v>7215</v>
      </c>
      <c r="T1839">
        <v>754</v>
      </c>
      <c r="U1839">
        <v>93</v>
      </c>
      <c r="V1839" s="51">
        <v>8398</v>
      </c>
    </row>
    <row r="1840" spans="1:22">
      <c r="A1840" s="32" t="s">
        <v>4182</v>
      </c>
      <c r="B1840" s="32" t="s">
        <v>4168</v>
      </c>
      <c r="C1840" s="32" t="s">
        <v>855</v>
      </c>
      <c r="D1840" s="33">
        <v>0</v>
      </c>
      <c r="E1840" s="33" t="s">
        <v>1639</v>
      </c>
      <c r="F1840" s="33">
        <v>579</v>
      </c>
      <c r="G1840" s="33">
        <v>60</v>
      </c>
      <c r="H1840" s="33" t="s">
        <v>1639</v>
      </c>
      <c r="I1840" s="33">
        <v>660</v>
      </c>
      <c r="K1840" t="b">
        <f>QHPSelections2016[[#This Row],[County Name]]=P1840</f>
        <v>1</v>
      </c>
      <c r="L1840" t="b">
        <f>QHPSelections2016[[#This Row],[Silver]]=S1840</f>
        <v>1</v>
      </c>
      <c r="N1840">
        <v>45017</v>
      </c>
      <c r="O1840" t="s">
        <v>4168</v>
      </c>
      <c r="P1840" t="s">
        <v>855</v>
      </c>
      <c r="Q1840">
        <v>0</v>
      </c>
      <c r="S1840">
        <v>579</v>
      </c>
      <c r="T1840">
        <v>60</v>
      </c>
      <c r="V1840">
        <v>660</v>
      </c>
    </row>
    <row r="1841" spans="1:22">
      <c r="A1841" s="32" t="s">
        <v>4183</v>
      </c>
      <c r="B1841" s="32" t="s">
        <v>4168</v>
      </c>
      <c r="C1841" s="32" t="s">
        <v>4184</v>
      </c>
      <c r="D1841" s="33">
        <v>0</v>
      </c>
      <c r="E1841" s="33">
        <v>1289</v>
      </c>
      <c r="F1841" s="33">
        <v>18733</v>
      </c>
      <c r="G1841" s="33">
        <v>2591</v>
      </c>
      <c r="H1841" s="33">
        <v>402</v>
      </c>
      <c r="I1841" s="33">
        <v>23015</v>
      </c>
      <c r="K1841" t="b">
        <f>QHPSelections2016[[#This Row],[County Name]]=P1841</f>
        <v>1</v>
      </c>
      <c r="L1841" t="b">
        <f>QHPSelections2016[[#This Row],[Silver]]=S1841</f>
        <v>1</v>
      </c>
      <c r="N1841">
        <v>45019</v>
      </c>
      <c r="O1841" t="s">
        <v>4168</v>
      </c>
      <c r="P1841" t="s">
        <v>4184</v>
      </c>
      <c r="Q1841">
        <v>0</v>
      </c>
      <c r="R1841" s="51">
        <v>1289</v>
      </c>
      <c r="S1841" s="51">
        <v>18733</v>
      </c>
      <c r="T1841" s="51">
        <v>2591</v>
      </c>
      <c r="U1841">
        <v>402</v>
      </c>
      <c r="V1841" s="51">
        <v>23015</v>
      </c>
    </row>
    <row r="1842" spans="1:22">
      <c r="A1842" s="32" t="s">
        <v>4185</v>
      </c>
      <c r="B1842" s="32" t="s">
        <v>4168</v>
      </c>
      <c r="C1842" s="32" t="s">
        <v>872</v>
      </c>
      <c r="D1842" s="33">
        <v>0</v>
      </c>
      <c r="E1842" s="33">
        <v>54</v>
      </c>
      <c r="F1842" s="33">
        <v>1652</v>
      </c>
      <c r="G1842" s="33">
        <v>104</v>
      </c>
      <c r="H1842" s="33">
        <v>13</v>
      </c>
      <c r="I1842" s="33">
        <v>1823</v>
      </c>
      <c r="K1842" t="b">
        <f>QHPSelections2016[[#This Row],[County Name]]=P1842</f>
        <v>1</v>
      </c>
      <c r="L1842" t="b">
        <f>QHPSelections2016[[#This Row],[Silver]]=S1842</f>
        <v>1</v>
      </c>
      <c r="N1842">
        <v>45021</v>
      </c>
      <c r="O1842" t="s">
        <v>4168</v>
      </c>
      <c r="P1842" t="s">
        <v>872</v>
      </c>
      <c r="Q1842">
        <v>0</v>
      </c>
      <c r="R1842">
        <v>54</v>
      </c>
      <c r="S1842" s="51">
        <v>1652</v>
      </c>
      <c r="T1842">
        <v>104</v>
      </c>
      <c r="U1842">
        <v>13</v>
      </c>
      <c r="V1842" s="51">
        <v>1823</v>
      </c>
    </row>
    <row r="1843" spans="1:22">
      <c r="A1843" s="32" t="s">
        <v>4186</v>
      </c>
      <c r="B1843" s="32" t="s">
        <v>4168</v>
      </c>
      <c r="C1843" s="32" t="s">
        <v>889</v>
      </c>
      <c r="D1843" s="33">
        <v>0</v>
      </c>
      <c r="E1843" s="33" t="s">
        <v>1639</v>
      </c>
      <c r="F1843" s="33">
        <v>1147</v>
      </c>
      <c r="G1843" s="33">
        <v>80</v>
      </c>
      <c r="H1843" s="33" t="s">
        <v>1639</v>
      </c>
      <c r="I1843" s="33">
        <v>1282</v>
      </c>
      <c r="K1843" t="b">
        <f>QHPSelections2016[[#This Row],[County Name]]=P1843</f>
        <v>1</v>
      </c>
      <c r="L1843" t="b">
        <f>QHPSelections2016[[#This Row],[Silver]]=S1843</f>
        <v>1</v>
      </c>
      <c r="N1843">
        <v>45023</v>
      </c>
      <c r="O1843" t="s">
        <v>4168</v>
      </c>
      <c r="P1843" t="s">
        <v>889</v>
      </c>
      <c r="Q1843">
        <v>0</v>
      </c>
      <c r="S1843" s="51">
        <v>1147</v>
      </c>
      <c r="T1843">
        <v>80</v>
      </c>
      <c r="V1843" s="51">
        <v>1282</v>
      </c>
    </row>
    <row r="1844" spans="1:22">
      <c r="A1844" s="32" t="s">
        <v>4187</v>
      </c>
      <c r="B1844" s="32" t="s">
        <v>4168</v>
      </c>
      <c r="C1844" s="32" t="s">
        <v>4188</v>
      </c>
      <c r="D1844" s="33">
        <v>0</v>
      </c>
      <c r="E1844" s="33">
        <v>65</v>
      </c>
      <c r="F1844" s="33">
        <v>1430</v>
      </c>
      <c r="G1844" s="33">
        <v>99</v>
      </c>
      <c r="H1844" s="33">
        <v>13</v>
      </c>
      <c r="I1844" s="33">
        <v>1607</v>
      </c>
      <c r="K1844" t="b">
        <f>QHPSelections2016[[#This Row],[County Name]]=P1844</f>
        <v>1</v>
      </c>
      <c r="L1844" t="b">
        <f>QHPSelections2016[[#This Row],[Silver]]=S1844</f>
        <v>1</v>
      </c>
      <c r="N1844">
        <v>45025</v>
      </c>
      <c r="O1844" t="s">
        <v>4168</v>
      </c>
      <c r="P1844" t="s">
        <v>4188</v>
      </c>
      <c r="Q1844">
        <v>0</v>
      </c>
      <c r="R1844">
        <v>65</v>
      </c>
      <c r="S1844" s="51">
        <v>1430</v>
      </c>
      <c r="T1844">
        <v>99</v>
      </c>
      <c r="U1844">
        <v>13</v>
      </c>
      <c r="V1844" s="51">
        <v>1607</v>
      </c>
    </row>
    <row r="1845" spans="1:22">
      <c r="A1845" s="32" t="s">
        <v>4189</v>
      </c>
      <c r="B1845" s="32" t="s">
        <v>4168</v>
      </c>
      <c r="C1845" s="32" t="s">
        <v>4190</v>
      </c>
      <c r="D1845" s="33">
        <v>0</v>
      </c>
      <c r="E1845" s="33" t="s">
        <v>1639</v>
      </c>
      <c r="F1845" s="33">
        <v>1264</v>
      </c>
      <c r="G1845" s="33">
        <v>70</v>
      </c>
      <c r="H1845" s="33" t="s">
        <v>1639</v>
      </c>
      <c r="I1845" s="33">
        <v>1372</v>
      </c>
      <c r="K1845" t="b">
        <f>QHPSelections2016[[#This Row],[County Name]]=P1845</f>
        <v>1</v>
      </c>
      <c r="L1845" t="b">
        <f>QHPSelections2016[[#This Row],[Silver]]=S1845</f>
        <v>1</v>
      </c>
      <c r="N1845">
        <v>45027</v>
      </c>
      <c r="O1845" t="s">
        <v>4168</v>
      </c>
      <c r="P1845" t="s">
        <v>4190</v>
      </c>
      <c r="Q1845">
        <v>0</v>
      </c>
      <c r="S1845" s="51">
        <v>1264</v>
      </c>
      <c r="T1845">
        <v>70</v>
      </c>
      <c r="V1845" s="51">
        <v>1372</v>
      </c>
    </row>
    <row r="1846" spans="1:22">
      <c r="A1846" s="32" t="s">
        <v>4191</v>
      </c>
      <c r="B1846" s="32" t="s">
        <v>4168</v>
      </c>
      <c r="C1846" s="32" t="s">
        <v>4192</v>
      </c>
      <c r="D1846" s="33">
        <v>0</v>
      </c>
      <c r="E1846" s="33" t="s">
        <v>1639</v>
      </c>
      <c r="F1846" s="33">
        <v>2214</v>
      </c>
      <c r="G1846" s="33">
        <v>115</v>
      </c>
      <c r="H1846" s="33" t="s">
        <v>1639</v>
      </c>
      <c r="I1846" s="33">
        <v>2405</v>
      </c>
      <c r="K1846" t="b">
        <f>QHPSelections2016[[#This Row],[County Name]]=P1846</f>
        <v>1</v>
      </c>
      <c r="L1846" t="b">
        <f>QHPSelections2016[[#This Row],[Silver]]=S1846</f>
        <v>1</v>
      </c>
      <c r="N1846">
        <v>45029</v>
      </c>
      <c r="O1846" t="s">
        <v>4168</v>
      </c>
      <c r="P1846" t="s">
        <v>4192</v>
      </c>
      <c r="Q1846">
        <v>0</v>
      </c>
      <c r="S1846" s="51">
        <v>2214</v>
      </c>
      <c r="T1846">
        <v>115</v>
      </c>
      <c r="V1846" s="51">
        <v>2405</v>
      </c>
    </row>
    <row r="1847" spans="1:22">
      <c r="A1847" s="32" t="s">
        <v>4193</v>
      </c>
      <c r="B1847" s="32" t="s">
        <v>4168</v>
      </c>
      <c r="C1847" s="32" t="s">
        <v>4194</v>
      </c>
      <c r="D1847" s="33">
        <v>0</v>
      </c>
      <c r="E1847" s="33">
        <v>108</v>
      </c>
      <c r="F1847" s="33">
        <v>2746</v>
      </c>
      <c r="G1847" s="33">
        <v>194</v>
      </c>
      <c r="H1847" s="33">
        <v>19</v>
      </c>
      <c r="I1847" s="33">
        <v>3067</v>
      </c>
      <c r="K1847" t="b">
        <f>QHPSelections2016[[#This Row],[County Name]]=P1847</f>
        <v>1</v>
      </c>
      <c r="L1847" t="b">
        <f>QHPSelections2016[[#This Row],[Silver]]=S1847</f>
        <v>1</v>
      </c>
      <c r="N1847">
        <v>45031</v>
      </c>
      <c r="O1847" t="s">
        <v>4168</v>
      </c>
      <c r="P1847" t="s">
        <v>4194</v>
      </c>
      <c r="Q1847">
        <v>0</v>
      </c>
      <c r="R1847">
        <v>108</v>
      </c>
      <c r="S1847" s="51">
        <v>2746</v>
      </c>
      <c r="T1847">
        <v>194</v>
      </c>
      <c r="U1847">
        <v>19</v>
      </c>
      <c r="V1847" s="51">
        <v>3067</v>
      </c>
    </row>
    <row r="1848" spans="1:22">
      <c r="A1848" s="32" t="s">
        <v>4195</v>
      </c>
      <c r="B1848" s="32" t="s">
        <v>4168</v>
      </c>
      <c r="C1848" s="32" t="s">
        <v>4196</v>
      </c>
      <c r="D1848" s="33">
        <v>0</v>
      </c>
      <c r="E1848" s="33" t="s">
        <v>1639</v>
      </c>
      <c r="F1848" s="33">
        <v>1147</v>
      </c>
      <c r="G1848" s="33">
        <v>67</v>
      </c>
      <c r="H1848" s="33" t="s">
        <v>1639</v>
      </c>
      <c r="I1848" s="33">
        <v>1237</v>
      </c>
      <c r="K1848" t="b">
        <f>QHPSelections2016[[#This Row],[County Name]]=P1848</f>
        <v>1</v>
      </c>
      <c r="L1848" t="b">
        <f>QHPSelections2016[[#This Row],[Silver]]=S1848</f>
        <v>1</v>
      </c>
      <c r="N1848">
        <v>45033</v>
      </c>
      <c r="O1848" t="s">
        <v>4168</v>
      </c>
      <c r="P1848" t="s">
        <v>4196</v>
      </c>
      <c r="Q1848">
        <v>0</v>
      </c>
      <c r="S1848" s="51">
        <v>1147</v>
      </c>
      <c r="T1848">
        <v>67</v>
      </c>
      <c r="V1848" s="51">
        <v>1237</v>
      </c>
    </row>
    <row r="1849" spans="1:22">
      <c r="A1849" s="32" t="s">
        <v>4197</v>
      </c>
      <c r="B1849" s="32" t="s">
        <v>4168</v>
      </c>
      <c r="C1849" s="32" t="s">
        <v>4198</v>
      </c>
      <c r="D1849" s="33">
        <v>0</v>
      </c>
      <c r="E1849" s="33">
        <v>253</v>
      </c>
      <c r="F1849" s="33">
        <v>5681</v>
      </c>
      <c r="G1849" s="33">
        <v>582</v>
      </c>
      <c r="H1849" s="33">
        <v>79</v>
      </c>
      <c r="I1849" s="33">
        <v>6595</v>
      </c>
      <c r="K1849" t="b">
        <f>QHPSelections2016[[#This Row],[County Name]]=P1849</f>
        <v>1</v>
      </c>
      <c r="L1849" t="b">
        <f>QHPSelections2016[[#This Row],[Silver]]=S1849</f>
        <v>1</v>
      </c>
      <c r="N1849">
        <v>45035</v>
      </c>
      <c r="O1849" t="s">
        <v>4168</v>
      </c>
      <c r="P1849" t="s">
        <v>4198</v>
      </c>
      <c r="Q1849">
        <v>0</v>
      </c>
      <c r="R1849">
        <v>253</v>
      </c>
      <c r="S1849" s="51">
        <v>5681</v>
      </c>
      <c r="T1849">
        <v>582</v>
      </c>
      <c r="U1849">
        <v>79</v>
      </c>
      <c r="V1849" s="51">
        <v>6595</v>
      </c>
    </row>
    <row r="1850" spans="1:22">
      <c r="A1850" s="32" t="s">
        <v>4199</v>
      </c>
      <c r="B1850" s="32" t="s">
        <v>4168</v>
      </c>
      <c r="C1850" s="32" t="s">
        <v>4200</v>
      </c>
      <c r="D1850" s="33">
        <v>0</v>
      </c>
      <c r="E1850" s="33" t="s">
        <v>1639</v>
      </c>
      <c r="F1850" s="33">
        <v>788</v>
      </c>
      <c r="G1850" s="33">
        <v>52</v>
      </c>
      <c r="H1850" s="33" t="s">
        <v>1639</v>
      </c>
      <c r="I1850" s="33">
        <v>873</v>
      </c>
      <c r="K1850" t="b">
        <f>QHPSelections2016[[#This Row],[County Name]]=P1850</f>
        <v>1</v>
      </c>
      <c r="L1850" t="b">
        <f>QHPSelections2016[[#This Row],[Silver]]=S1850</f>
        <v>1</v>
      </c>
      <c r="N1850">
        <v>45037</v>
      </c>
      <c r="O1850" t="s">
        <v>4168</v>
      </c>
      <c r="P1850" t="s">
        <v>4200</v>
      </c>
      <c r="Q1850">
        <v>0</v>
      </c>
      <c r="S1850">
        <v>788</v>
      </c>
      <c r="T1850">
        <v>52</v>
      </c>
      <c r="V1850">
        <v>873</v>
      </c>
    </row>
    <row r="1851" spans="1:22">
      <c r="A1851" s="32" t="s">
        <v>4201</v>
      </c>
      <c r="B1851" s="32" t="s">
        <v>4168</v>
      </c>
      <c r="C1851" s="32" t="s">
        <v>3807</v>
      </c>
      <c r="D1851" s="33">
        <v>0</v>
      </c>
      <c r="E1851" s="33">
        <v>20</v>
      </c>
      <c r="F1851" s="33">
        <v>809</v>
      </c>
      <c r="G1851" s="33">
        <v>111</v>
      </c>
      <c r="H1851" s="33">
        <v>18</v>
      </c>
      <c r="I1851" s="33">
        <v>958</v>
      </c>
      <c r="K1851" t="b">
        <f>QHPSelections2016[[#This Row],[County Name]]=P1851</f>
        <v>1</v>
      </c>
      <c r="L1851" t="b">
        <f>QHPSelections2016[[#This Row],[Silver]]=S1851</f>
        <v>1</v>
      </c>
      <c r="N1851">
        <v>45039</v>
      </c>
      <c r="O1851" t="s">
        <v>4168</v>
      </c>
      <c r="P1851" t="s">
        <v>3807</v>
      </c>
      <c r="Q1851">
        <v>0</v>
      </c>
      <c r="R1851">
        <v>20</v>
      </c>
      <c r="S1851">
        <v>809</v>
      </c>
      <c r="T1851">
        <v>111</v>
      </c>
      <c r="U1851">
        <v>18</v>
      </c>
      <c r="V1851">
        <v>958</v>
      </c>
    </row>
    <row r="1852" spans="1:22">
      <c r="A1852" s="32" t="s">
        <v>4202</v>
      </c>
      <c r="B1852" s="32" t="s">
        <v>4168</v>
      </c>
      <c r="C1852" s="32" t="s">
        <v>4203</v>
      </c>
      <c r="D1852" s="33">
        <v>0</v>
      </c>
      <c r="E1852" s="33">
        <v>231</v>
      </c>
      <c r="F1852" s="33">
        <v>5951</v>
      </c>
      <c r="G1852" s="33">
        <v>556</v>
      </c>
      <c r="H1852" s="33">
        <v>66</v>
      </c>
      <c r="I1852" s="33">
        <v>6804</v>
      </c>
      <c r="K1852" t="b">
        <f>QHPSelections2016[[#This Row],[County Name]]=P1852</f>
        <v>1</v>
      </c>
      <c r="L1852" t="b">
        <f>QHPSelections2016[[#This Row],[Silver]]=S1852</f>
        <v>1</v>
      </c>
      <c r="N1852">
        <v>45041</v>
      </c>
      <c r="O1852" t="s">
        <v>4168</v>
      </c>
      <c r="P1852" t="s">
        <v>4203</v>
      </c>
      <c r="Q1852">
        <v>0</v>
      </c>
      <c r="R1852">
        <v>231</v>
      </c>
      <c r="S1852" s="51">
        <v>5951</v>
      </c>
      <c r="T1852">
        <v>556</v>
      </c>
      <c r="U1852">
        <v>66</v>
      </c>
      <c r="V1852" s="51">
        <v>6804</v>
      </c>
    </row>
    <row r="1853" spans="1:22">
      <c r="A1853" s="32" t="s">
        <v>4204</v>
      </c>
      <c r="B1853" s="32" t="s">
        <v>4168</v>
      </c>
      <c r="C1853" s="32" t="s">
        <v>4205</v>
      </c>
      <c r="D1853" s="33">
        <v>0</v>
      </c>
      <c r="E1853" s="33">
        <v>145</v>
      </c>
      <c r="F1853" s="33">
        <v>3116</v>
      </c>
      <c r="G1853" s="33">
        <v>262</v>
      </c>
      <c r="H1853" s="33">
        <v>22</v>
      </c>
      <c r="I1853" s="33">
        <v>3545</v>
      </c>
      <c r="K1853" t="b">
        <f>QHPSelections2016[[#This Row],[County Name]]=P1853</f>
        <v>1</v>
      </c>
      <c r="L1853" t="b">
        <f>QHPSelections2016[[#This Row],[Silver]]=S1853</f>
        <v>1</v>
      </c>
      <c r="N1853">
        <v>45043</v>
      </c>
      <c r="O1853" t="s">
        <v>4168</v>
      </c>
      <c r="P1853" t="s">
        <v>4205</v>
      </c>
      <c r="Q1853">
        <v>0</v>
      </c>
      <c r="R1853">
        <v>145</v>
      </c>
      <c r="S1853" s="51">
        <v>3116</v>
      </c>
      <c r="T1853">
        <v>262</v>
      </c>
      <c r="U1853">
        <v>22</v>
      </c>
      <c r="V1853" s="51">
        <v>3545</v>
      </c>
    </row>
    <row r="1854" spans="1:22">
      <c r="A1854" s="32" t="s">
        <v>4206</v>
      </c>
      <c r="B1854" s="32" t="s">
        <v>4168</v>
      </c>
      <c r="C1854" s="32" t="s">
        <v>4207</v>
      </c>
      <c r="D1854" s="33">
        <v>0</v>
      </c>
      <c r="E1854" s="33">
        <v>1132</v>
      </c>
      <c r="F1854" s="33">
        <v>22845</v>
      </c>
      <c r="G1854" s="33">
        <v>2761</v>
      </c>
      <c r="H1854" s="33">
        <v>317</v>
      </c>
      <c r="I1854" s="33">
        <v>27055</v>
      </c>
      <c r="K1854" t="b">
        <f>QHPSelections2016[[#This Row],[County Name]]=P1854</f>
        <v>1</v>
      </c>
      <c r="L1854" t="b">
        <f>QHPSelections2016[[#This Row],[Silver]]=S1854</f>
        <v>1</v>
      </c>
      <c r="N1854">
        <v>45045</v>
      </c>
      <c r="O1854" t="s">
        <v>4168</v>
      </c>
      <c r="P1854" t="s">
        <v>4207</v>
      </c>
      <c r="Q1854">
        <v>0</v>
      </c>
      <c r="R1854" s="51">
        <v>1132</v>
      </c>
      <c r="S1854" s="51">
        <v>22845</v>
      </c>
      <c r="T1854" s="51">
        <v>2761</v>
      </c>
      <c r="U1854">
        <v>317</v>
      </c>
      <c r="V1854" s="51">
        <v>27055</v>
      </c>
    </row>
    <row r="1855" spans="1:22">
      <c r="A1855" s="32" t="s">
        <v>4208</v>
      </c>
      <c r="B1855" s="32" t="s">
        <v>4168</v>
      </c>
      <c r="C1855" s="32" t="s">
        <v>2618</v>
      </c>
      <c r="D1855" s="33">
        <v>0</v>
      </c>
      <c r="E1855" s="33">
        <v>89</v>
      </c>
      <c r="F1855" s="33">
        <v>2367</v>
      </c>
      <c r="G1855" s="33">
        <v>189</v>
      </c>
      <c r="H1855" s="33">
        <v>16</v>
      </c>
      <c r="I1855" s="33">
        <v>2661</v>
      </c>
      <c r="K1855" t="b">
        <f>QHPSelections2016[[#This Row],[County Name]]=P1855</f>
        <v>1</v>
      </c>
      <c r="L1855" t="b">
        <f>QHPSelections2016[[#This Row],[Silver]]=S1855</f>
        <v>1</v>
      </c>
      <c r="N1855">
        <v>45047</v>
      </c>
      <c r="O1855" t="s">
        <v>4168</v>
      </c>
      <c r="P1855" t="s">
        <v>2618</v>
      </c>
      <c r="Q1855">
        <v>0</v>
      </c>
      <c r="R1855">
        <v>89</v>
      </c>
      <c r="S1855" s="51">
        <v>2367</v>
      </c>
      <c r="T1855">
        <v>189</v>
      </c>
      <c r="U1855">
        <v>16</v>
      </c>
      <c r="V1855" s="51">
        <v>2661</v>
      </c>
    </row>
    <row r="1856" spans="1:22">
      <c r="A1856" s="32" t="s">
        <v>4209</v>
      </c>
      <c r="B1856" s="32" t="s">
        <v>4168</v>
      </c>
      <c r="C1856" s="32" t="s">
        <v>4210</v>
      </c>
      <c r="D1856" s="33">
        <v>0</v>
      </c>
      <c r="E1856" s="33" t="s">
        <v>1639</v>
      </c>
      <c r="F1856" s="33">
        <v>758</v>
      </c>
      <c r="G1856" s="33">
        <v>39</v>
      </c>
      <c r="H1856" s="33" t="s">
        <v>1639</v>
      </c>
      <c r="I1856" s="33">
        <v>823</v>
      </c>
      <c r="K1856" t="b">
        <f>QHPSelections2016[[#This Row],[County Name]]=P1856</f>
        <v>1</v>
      </c>
      <c r="L1856" t="b">
        <f>QHPSelections2016[[#This Row],[Silver]]=S1856</f>
        <v>1</v>
      </c>
      <c r="N1856">
        <v>45049</v>
      </c>
      <c r="O1856" t="s">
        <v>4168</v>
      </c>
      <c r="P1856" t="s">
        <v>4210</v>
      </c>
      <c r="Q1856">
        <v>0</v>
      </c>
      <c r="S1856">
        <v>758</v>
      </c>
      <c r="T1856">
        <v>39</v>
      </c>
      <c r="V1856">
        <v>823</v>
      </c>
    </row>
    <row r="1857" spans="1:22">
      <c r="A1857" s="32" t="s">
        <v>4211</v>
      </c>
      <c r="B1857" s="32" t="s">
        <v>4168</v>
      </c>
      <c r="C1857" s="32" t="s">
        <v>4212</v>
      </c>
      <c r="D1857" s="33">
        <v>0</v>
      </c>
      <c r="E1857" s="33">
        <v>806</v>
      </c>
      <c r="F1857" s="33">
        <v>19771</v>
      </c>
      <c r="G1857" s="33">
        <v>1405</v>
      </c>
      <c r="H1857" s="33">
        <v>129</v>
      </c>
      <c r="I1857" s="33">
        <v>22111</v>
      </c>
      <c r="K1857" t="b">
        <f>QHPSelections2016[[#This Row],[County Name]]=P1857</f>
        <v>1</v>
      </c>
      <c r="L1857" t="b">
        <f>QHPSelections2016[[#This Row],[Silver]]=S1857</f>
        <v>1</v>
      </c>
      <c r="N1857">
        <v>45051</v>
      </c>
      <c r="O1857" t="s">
        <v>4168</v>
      </c>
      <c r="P1857" t="s">
        <v>4212</v>
      </c>
      <c r="Q1857">
        <v>0</v>
      </c>
      <c r="R1857">
        <v>806</v>
      </c>
      <c r="S1857" s="51">
        <v>19771</v>
      </c>
      <c r="T1857" s="51">
        <v>1405</v>
      </c>
      <c r="U1857">
        <v>129</v>
      </c>
      <c r="V1857" s="51">
        <v>22111</v>
      </c>
    </row>
    <row r="1858" spans="1:22">
      <c r="A1858" s="32" t="s">
        <v>4213</v>
      </c>
      <c r="B1858" s="32" t="s">
        <v>4168</v>
      </c>
      <c r="C1858" s="32" t="s">
        <v>989</v>
      </c>
      <c r="D1858" s="33">
        <v>0</v>
      </c>
      <c r="E1858" s="33" t="s">
        <v>1639</v>
      </c>
      <c r="F1858" s="33">
        <v>1232</v>
      </c>
      <c r="G1858" s="33">
        <v>70</v>
      </c>
      <c r="H1858" s="33" t="s">
        <v>1639</v>
      </c>
      <c r="I1858" s="33">
        <v>1367</v>
      </c>
      <c r="K1858" t="b">
        <f>QHPSelections2016[[#This Row],[County Name]]=P1858</f>
        <v>1</v>
      </c>
      <c r="L1858" t="b">
        <f>QHPSelections2016[[#This Row],[Silver]]=S1858</f>
        <v>1</v>
      </c>
      <c r="N1858">
        <v>45053</v>
      </c>
      <c r="O1858" t="s">
        <v>4168</v>
      </c>
      <c r="P1858" t="s">
        <v>989</v>
      </c>
      <c r="Q1858">
        <v>0</v>
      </c>
      <c r="S1858" s="51">
        <v>1232</v>
      </c>
      <c r="T1858">
        <v>70</v>
      </c>
      <c r="V1858" s="51">
        <v>1367</v>
      </c>
    </row>
    <row r="1859" spans="1:22">
      <c r="A1859" s="32" t="s">
        <v>4214</v>
      </c>
      <c r="B1859" s="32" t="s">
        <v>4168</v>
      </c>
      <c r="C1859" s="32" t="s">
        <v>4215</v>
      </c>
      <c r="D1859" s="33">
        <v>0</v>
      </c>
      <c r="E1859" s="33">
        <v>80</v>
      </c>
      <c r="F1859" s="33">
        <v>2444</v>
      </c>
      <c r="G1859" s="33">
        <v>362</v>
      </c>
      <c r="H1859" s="33">
        <v>34</v>
      </c>
      <c r="I1859" s="33">
        <v>2920</v>
      </c>
      <c r="K1859" t="b">
        <f>QHPSelections2016[[#This Row],[County Name]]=P1859</f>
        <v>1</v>
      </c>
      <c r="L1859" t="b">
        <f>QHPSelections2016[[#This Row],[Silver]]=S1859</f>
        <v>1</v>
      </c>
      <c r="N1859">
        <v>45055</v>
      </c>
      <c r="O1859" t="s">
        <v>4168</v>
      </c>
      <c r="P1859" t="s">
        <v>4215</v>
      </c>
      <c r="Q1859">
        <v>0</v>
      </c>
      <c r="R1859">
        <v>80</v>
      </c>
      <c r="S1859" s="51">
        <v>2444</v>
      </c>
      <c r="T1859">
        <v>362</v>
      </c>
      <c r="U1859">
        <v>34</v>
      </c>
      <c r="V1859" s="51">
        <v>2920</v>
      </c>
    </row>
    <row r="1860" spans="1:22">
      <c r="A1860" s="32" t="s">
        <v>4216</v>
      </c>
      <c r="B1860" s="32" t="s">
        <v>4168</v>
      </c>
      <c r="C1860" s="32" t="s">
        <v>3577</v>
      </c>
      <c r="D1860" s="33">
        <v>0</v>
      </c>
      <c r="E1860" s="33">
        <v>193</v>
      </c>
      <c r="F1860" s="33">
        <v>3385</v>
      </c>
      <c r="G1860" s="33">
        <v>469</v>
      </c>
      <c r="H1860" s="33">
        <v>50</v>
      </c>
      <c r="I1860" s="33">
        <v>4097</v>
      </c>
      <c r="K1860" t="b">
        <f>QHPSelections2016[[#This Row],[County Name]]=P1860</f>
        <v>1</v>
      </c>
      <c r="L1860" t="b">
        <f>QHPSelections2016[[#This Row],[Silver]]=S1860</f>
        <v>1</v>
      </c>
      <c r="N1860">
        <v>45057</v>
      </c>
      <c r="O1860" t="s">
        <v>4168</v>
      </c>
      <c r="P1860" t="s">
        <v>3577</v>
      </c>
      <c r="Q1860">
        <v>0</v>
      </c>
      <c r="R1860">
        <v>193</v>
      </c>
      <c r="S1860" s="51">
        <v>3385</v>
      </c>
      <c r="T1860">
        <v>469</v>
      </c>
      <c r="U1860">
        <v>50</v>
      </c>
      <c r="V1860" s="51">
        <v>4097</v>
      </c>
    </row>
    <row r="1861" spans="1:22">
      <c r="A1861" s="32" t="s">
        <v>4217</v>
      </c>
      <c r="B1861" s="32" t="s">
        <v>4168</v>
      </c>
      <c r="C1861" s="32" t="s">
        <v>1242</v>
      </c>
      <c r="D1861" s="33">
        <v>0</v>
      </c>
      <c r="E1861" s="33">
        <v>66</v>
      </c>
      <c r="F1861" s="33">
        <v>2217</v>
      </c>
      <c r="G1861" s="33">
        <v>165</v>
      </c>
      <c r="H1861" s="33">
        <v>18</v>
      </c>
      <c r="I1861" s="33">
        <v>2466</v>
      </c>
      <c r="K1861" t="b">
        <f>QHPSelections2016[[#This Row],[County Name]]=P1861</f>
        <v>1</v>
      </c>
      <c r="L1861" t="b">
        <f>QHPSelections2016[[#This Row],[Silver]]=S1861</f>
        <v>1</v>
      </c>
      <c r="N1861">
        <v>45059</v>
      </c>
      <c r="O1861" t="s">
        <v>4168</v>
      </c>
      <c r="P1861" t="s">
        <v>1242</v>
      </c>
      <c r="Q1861">
        <v>0</v>
      </c>
      <c r="R1861">
        <v>66</v>
      </c>
      <c r="S1861" s="51">
        <v>2217</v>
      </c>
      <c r="T1861">
        <v>165</v>
      </c>
      <c r="U1861">
        <v>18</v>
      </c>
      <c r="V1861" s="51">
        <v>2466</v>
      </c>
    </row>
    <row r="1862" spans="1:22">
      <c r="A1862" s="32" t="s">
        <v>4218</v>
      </c>
      <c r="B1862" s="32" t="s">
        <v>4168</v>
      </c>
      <c r="C1862" s="32" t="s">
        <v>1010</v>
      </c>
      <c r="D1862" s="33">
        <v>0</v>
      </c>
      <c r="E1862" s="33" t="s">
        <v>1639</v>
      </c>
      <c r="F1862" s="33">
        <v>678</v>
      </c>
      <c r="G1862" s="33">
        <v>62</v>
      </c>
      <c r="H1862" s="33" t="s">
        <v>1639</v>
      </c>
      <c r="I1862" s="33">
        <v>755</v>
      </c>
      <c r="K1862" t="b">
        <f>QHPSelections2016[[#This Row],[County Name]]=P1862</f>
        <v>1</v>
      </c>
      <c r="L1862" t="b">
        <f>QHPSelections2016[[#This Row],[Silver]]=S1862</f>
        <v>1</v>
      </c>
      <c r="N1862">
        <v>45061</v>
      </c>
      <c r="O1862" t="s">
        <v>4168</v>
      </c>
      <c r="P1862" t="s">
        <v>1010</v>
      </c>
      <c r="Q1862">
        <v>0</v>
      </c>
      <c r="S1862">
        <v>678</v>
      </c>
      <c r="T1862">
        <v>62</v>
      </c>
      <c r="V1862">
        <v>755</v>
      </c>
    </row>
    <row r="1863" spans="1:22">
      <c r="A1863" s="32" t="s">
        <v>4219</v>
      </c>
      <c r="B1863" s="32" t="s">
        <v>4168</v>
      </c>
      <c r="C1863" s="32" t="s">
        <v>4220</v>
      </c>
      <c r="D1863" s="33">
        <v>0</v>
      </c>
      <c r="E1863" s="33">
        <v>371</v>
      </c>
      <c r="F1863" s="33">
        <v>10373</v>
      </c>
      <c r="G1863" s="33">
        <v>920</v>
      </c>
      <c r="H1863" s="33">
        <v>82</v>
      </c>
      <c r="I1863" s="33">
        <v>11746</v>
      </c>
      <c r="K1863" t="b">
        <f>QHPSelections2016[[#This Row],[County Name]]=P1863</f>
        <v>1</v>
      </c>
      <c r="L1863" t="b">
        <f>QHPSelections2016[[#This Row],[Silver]]=S1863</f>
        <v>1</v>
      </c>
      <c r="N1863">
        <v>45063</v>
      </c>
      <c r="O1863" t="s">
        <v>4168</v>
      </c>
      <c r="P1863" t="s">
        <v>4220</v>
      </c>
      <c r="Q1863">
        <v>0</v>
      </c>
      <c r="R1863">
        <v>371</v>
      </c>
      <c r="S1863" s="51">
        <v>10373</v>
      </c>
      <c r="T1863">
        <v>920</v>
      </c>
      <c r="U1863">
        <v>82</v>
      </c>
      <c r="V1863" s="51">
        <v>11746</v>
      </c>
    </row>
    <row r="1864" spans="1:22">
      <c r="A1864" s="32" t="s">
        <v>4221</v>
      </c>
      <c r="B1864" s="32" t="s">
        <v>4168</v>
      </c>
      <c r="C1864" s="32" t="s">
        <v>4222</v>
      </c>
      <c r="D1864" s="33">
        <v>0</v>
      </c>
      <c r="E1864" s="33" t="s">
        <v>1639</v>
      </c>
      <c r="F1864" s="33">
        <v>288</v>
      </c>
      <c r="G1864" s="33" t="s">
        <v>1639</v>
      </c>
      <c r="H1864" s="33" t="s">
        <v>1639</v>
      </c>
      <c r="I1864" s="33">
        <v>318</v>
      </c>
      <c r="K1864" t="b">
        <f>QHPSelections2016[[#This Row],[County Name]]=P1864</f>
        <v>0</v>
      </c>
      <c r="L1864" t="b">
        <f>QHPSelections2016[[#This Row],[Silver]]=S1864</f>
        <v>0</v>
      </c>
      <c r="N1864">
        <v>45067</v>
      </c>
      <c r="O1864" t="s">
        <v>4168</v>
      </c>
      <c r="P1864" t="s">
        <v>1038</v>
      </c>
      <c r="Q1864">
        <v>0</v>
      </c>
      <c r="S1864" s="51">
        <v>1439</v>
      </c>
      <c r="T1864">
        <v>105</v>
      </c>
      <c r="V1864" s="51">
        <v>1591</v>
      </c>
    </row>
    <row r="1865" spans="1:22">
      <c r="A1865" s="32" t="s">
        <v>4223</v>
      </c>
      <c r="B1865" s="32" t="s">
        <v>4168</v>
      </c>
      <c r="C1865" s="32" t="s">
        <v>1038</v>
      </c>
      <c r="D1865" s="33">
        <v>0</v>
      </c>
      <c r="E1865" s="33" t="s">
        <v>1639</v>
      </c>
      <c r="F1865" s="33">
        <v>1439</v>
      </c>
      <c r="G1865" s="33">
        <v>105</v>
      </c>
      <c r="H1865" s="33" t="s">
        <v>1639</v>
      </c>
      <c r="I1865" s="33">
        <v>1591</v>
      </c>
      <c r="K1865" t="b">
        <f>QHPSelections2016[[#This Row],[County Name]]=P1865</f>
        <v>0</v>
      </c>
      <c r="L1865" t="b">
        <f>QHPSelections2016[[#This Row],[Silver]]=S1865</f>
        <v>0</v>
      </c>
      <c r="N1865">
        <v>45069</v>
      </c>
      <c r="O1865" t="s">
        <v>4168</v>
      </c>
      <c r="P1865" t="s">
        <v>4225</v>
      </c>
      <c r="Q1865">
        <v>0</v>
      </c>
      <c r="R1865">
        <v>52</v>
      </c>
      <c r="S1865">
        <v>817</v>
      </c>
      <c r="V1865">
        <v>922</v>
      </c>
    </row>
    <row r="1866" spans="1:22">
      <c r="A1866" s="32" t="s">
        <v>4224</v>
      </c>
      <c r="B1866" s="32" t="s">
        <v>4168</v>
      </c>
      <c r="C1866" s="32" t="s">
        <v>4225</v>
      </c>
      <c r="D1866" s="33">
        <v>0</v>
      </c>
      <c r="E1866" s="33">
        <v>52</v>
      </c>
      <c r="F1866" s="33">
        <v>817</v>
      </c>
      <c r="G1866" s="33" t="s">
        <v>1639</v>
      </c>
      <c r="H1866" s="33" t="s">
        <v>1639</v>
      </c>
      <c r="I1866" s="33">
        <v>922</v>
      </c>
      <c r="K1866" t="b">
        <f>QHPSelections2016[[#This Row],[County Name]]=P1866</f>
        <v>0</v>
      </c>
      <c r="L1866" t="b">
        <f>QHPSelections2016[[#This Row],[Silver]]=S1866</f>
        <v>0</v>
      </c>
      <c r="N1866">
        <v>45065</v>
      </c>
      <c r="O1866" t="s">
        <v>4168</v>
      </c>
      <c r="P1866" t="s">
        <v>4222</v>
      </c>
      <c r="Q1866">
        <v>0</v>
      </c>
      <c r="S1866">
        <v>288</v>
      </c>
      <c r="V1866">
        <v>318</v>
      </c>
    </row>
    <row r="1867" spans="1:22">
      <c r="A1867" s="32" t="s">
        <v>4226</v>
      </c>
      <c r="B1867" s="32" t="s">
        <v>4168</v>
      </c>
      <c r="C1867" s="32" t="s">
        <v>4227</v>
      </c>
      <c r="D1867" s="33">
        <v>0</v>
      </c>
      <c r="E1867" s="33">
        <v>46</v>
      </c>
      <c r="F1867" s="33">
        <v>1124</v>
      </c>
      <c r="G1867" s="33">
        <v>124</v>
      </c>
      <c r="H1867" s="33">
        <v>12</v>
      </c>
      <c r="I1867" s="33">
        <v>1306</v>
      </c>
      <c r="K1867" t="b">
        <f>QHPSelections2016[[#This Row],[County Name]]=P1867</f>
        <v>1</v>
      </c>
      <c r="L1867" t="b">
        <f>QHPSelections2016[[#This Row],[Silver]]=S1867</f>
        <v>1</v>
      </c>
      <c r="N1867">
        <v>45071</v>
      </c>
      <c r="O1867" t="s">
        <v>4168</v>
      </c>
      <c r="P1867" t="s">
        <v>4227</v>
      </c>
      <c r="Q1867">
        <v>0</v>
      </c>
      <c r="R1867">
        <v>46</v>
      </c>
      <c r="S1867" s="51">
        <v>1124</v>
      </c>
      <c r="T1867">
        <v>124</v>
      </c>
      <c r="U1867">
        <v>12</v>
      </c>
      <c r="V1867" s="51">
        <v>1306</v>
      </c>
    </row>
    <row r="1868" spans="1:22">
      <c r="A1868" s="32" t="s">
        <v>4228</v>
      </c>
      <c r="B1868" s="32" t="s">
        <v>4168</v>
      </c>
      <c r="C1868" s="32" t="s">
        <v>1278</v>
      </c>
      <c r="D1868" s="33">
        <v>0</v>
      </c>
      <c r="E1868" s="33">
        <v>94</v>
      </c>
      <c r="F1868" s="33">
        <v>2603</v>
      </c>
      <c r="G1868" s="33">
        <v>264</v>
      </c>
      <c r="H1868" s="33">
        <v>14</v>
      </c>
      <c r="I1868" s="33">
        <v>2975</v>
      </c>
      <c r="K1868" t="b">
        <f>QHPSelections2016[[#This Row],[County Name]]=P1868</f>
        <v>1</v>
      </c>
      <c r="L1868" t="b">
        <f>QHPSelections2016[[#This Row],[Silver]]=S1868</f>
        <v>1</v>
      </c>
      <c r="N1868">
        <v>45073</v>
      </c>
      <c r="O1868" t="s">
        <v>4168</v>
      </c>
      <c r="P1868" t="s">
        <v>1278</v>
      </c>
      <c r="Q1868">
        <v>0</v>
      </c>
      <c r="R1868">
        <v>94</v>
      </c>
      <c r="S1868" s="51">
        <v>2603</v>
      </c>
      <c r="T1868">
        <v>264</v>
      </c>
      <c r="U1868">
        <v>14</v>
      </c>
      <c r="V1868" s="51">
        <v>2975</v>
      </c>
    </row>
    <row r="1869" spans="1:22">
      <c r="A1869" s="32" t="s">
        <v>4229</v>
      </c>
      <c r="B1869" s="32" t="s">
        <v>4168</v>
      </c>
      <c r="C1869" s="32" t="s">
        <v>4230</v>
      </c>
      <c r="D1869" s="33">
        <v>0</v>
      </c>
      <c r="E1869" s="33">
        <v>90</v>
      </c>
      <c r="F1869" s="33">
        <v>3526</v>
      </c>
      <c r="G1869" s="33">
        <v>344</v>
      </c>
      <c r="H1869" s="33">
        <v>37</v>
      </c>
      <c r="I1869" s="33">
        <v>3997</v>
      </c>
      <c r="K1869" t="b">
        <f>QHPSelections2016[[#This Row],[County Name]]=P1869</f>
        <v>1</v>
      </c>
      <c r="L1869" t="b">
        <f>QHPSelections2016[[#This Row],[Silver]]=S1869</f>
        <v>1</v>
      </c>
      <c r="N1869">
        <v>45075</v>
      </c>
      <c r="O1869" t="s">
        <v>4168</v>
      </c>
      <c r="P1869" t="s">
        <v>4230</v>
      </c>
      <c r="Q1869">
        <v>0</v>
      </c>
      <c r="R1869">
        <v>90</v>
      </c>
      <c r="S1869" s="51">
        <v>3526</v>
      </c>
      <c r="T1869">
        <v>344</v>
      </c>
      <c r="U1869">
        <v>37</v>
      </c>
      <c r="V1869" s="51">
        <v>3997</v>
      </c>
    </row>
    <row r="1870" spans="1:22">
      <c r="A1870" s="32" t="s">
        <v>4231</v>
      </c>
      <c r="B1870" s="32" t="s">
        <v>4168</v>
      </c>
      <c r="C1870" s="32" t="s">
        <v>1102</v>
      </c>
      <c r="D1870" s="33">
        <v>0</v>
      </c>
      <c r="E1870" s="33">
        <v>166</v>
      </c>
      <c r="F1870" s="33">
        <v>4809</v>
      </c>
      <c r="G1870" s="33">
        <v>377</v>
      </c>
      <c r="H1870" s="33">
        <v>36</v>
      </c>
      <c r="I1870" s="33">
        <v>5388</v>
      </c>
      <c r="K1870" t="b">
        <f>QHPSelections2016[[#This Row],[County Name]]=P1870</f>
        <v>1</v>
      </c>
      <c r="L1870" t="b">
        <f>QHPSelections2016[[#This Row],[Silver]]=S1870</f>
        <v>1</v>
      </c>
      <c r="N1870">
        <v>45077</v>
      </c>
      <c r="O1870" t="s">
        <v>4168</v>
      </c>
      <c r="P1870" t="s">
        <v>1102</v>
      </c>
      <c r="Q1870">
        <v>0</v>
      </c>
      <c r="R1870">
        <v>166</v>
      </c>
      <c r="S1870" s="51">
        <v>4809</v>
      </c>
      <c r="T1870">
        <v>377</v>
      </c>
      <c r="U1870">
        <v>36</v>
      </c>
      <c r="V1870" s="51">
        <v>5388</v>
      </c>
    </row>
    <row r="1871" spans="1:22">
      <c r="A1871" s="32" t="s">
        <v>4232</v>
      </c>
      <c r="B1871" s="32" t="s">
        <v>4168</v>
      </c>
      <c r="C1871" s="32" t="s">
        <v>2400</v>
      </c>
      <c r="D1871" s="33">
        <v>0</v>
      </c>
      <c r="E1871" s="33">
        <v>666</v>
      </c>
      <c r="F1871" s="33">
        <v>14579</v>
      </c>
      <c r="G1871" s="33">
        <v>2579</v>
      </c>
      <c r="H1871" s="33">
        <v>347</v>
      </c>
      <c r="I1871" s="33">
        <v>18171</v>
      </c>
      <c r="K1871" t="b">
        <f>QHPSelections2016[[#This Row],[County Name]]=P1871</f>
        <v>1</v>
      </c>
      <c r="L1871" t="b">
        <f>QHPSelections2016[[#This Row],[Silver]]=S1871</f>
        <v>1</v>
      </c>
      <c r="N1871">
        <v>45079</v>
      </c>
      <c r="O1871" t="s">
        <v>4168</v>
      </c>
      <c r="P1871" t="s">
        <v>2400</v>
      </c>
      <c r="Q1871">
        <v>0</v>
      </c>
      <c r="R1871">
        <v>666</v>
      </c>
      <c r="S1871" s="51">
        <v>14579</v>
      </c>
      <c r="T1871" s="51">
        <v>2579</v>
      </c>
      <c r="U1871">
        <v>347</v>
      </c>
      <c r="V1871" s="51">
        <v>18171</v>
      </c>
    </row>
    <row r="1872" spans="1:22">
      <c r="A1872" s="32" t="s">
        <v>4233</v>
      </c>
      <c r="B1872" s="32" t="s">
        <v>4168</v>
      </c>
      <c r="C1872" s="32" t="s">
        <v>4234</v>
      </c>
      <c r="D1872" s="33">
        <v>0</v>
      </c>
      <c r="E1872" s="33" t="s">
        <v>1639</v>
      </c>
      <c r="F1872" s="33">
        <v>604</v>
      </c>
      <c r="G1872" s="33">
        <v>58</v>
      </c>
      <c r="H1872" s="33" t="s">
        <v>1639</v>
      </c>
      <c r="I1872" s="33">
        <v>683</v>
      </c>
      <c r="K1872" t="b">
        <f>QHPSelections2016[[#This Row],[County Name]]=P1872</f>
        <v>1</v>
      </c>
      <c r="L1872" t="b">
        <f>QHPSelections2016[[#This Row],[Silver]]=S1872</f>
        <v>1</v>
      </c>
      <c r="N1872">
        <v>45081</v>
      </c>
      <c r="O1872" t="s">
        <v>4168</v>
      </c>
      <c r="P1872" t="s">
        <v>4234</v>
      </c>
      <c r="Q1872">
        <v>0</v>
      </c>
      <c r="S1872">
        <v>604</v>
      </c>
      <c r="T1872">
        <v>58</v>
      </c>
      <c r="V1872">
        <v>683</v>
      </c>
    </row>
    <row r="1873" spans="1:22">
      <c r="A1873" s="32" t="s">
        <v>4235</v>
      </c>
      <c r="B1873" s="32" t="s">
        <v>4168</v>
      </c>
      <c r="C1873" s="32" t="s">
        <v>4236</v>
      </c>
      <c r="D1873" s="33">
        <v>0</v>
      </c>
      <c r="E1873" s="33">
        <v>450</v>
      </c>
      <c r="F1873" s="33">
        <v>10988</v>
      </c>
      <c r="G1873" s="33">
        <v>731</v>
      </c>
      <c r="H1873" s="33">
        <v>92</v>
      </c>
      <c r="I1873" s="33">
        <v>12261</v>
      </c>
      <c r="K1873" t="b">
        <f>QHPSelections2016[[#This Row],[County Name]]=P1873</f>
        <v>1</v>
      </c>
      <c r="L1873" t="b">
        <f>QHPSelections2016[[#This Row],[Silver]]=S1873</f>
        <v>1</v>
      </c>
      <c r="N1873">
        <v>45083</v>
      </c>
      <c r="O1873" t="s">
        <v>4168</v>
      </c>
      <c r="P1873" t="s">
        <v>4236</v>
      </c>
      <c r="Q1873">
        <v>0</v>
      </c>
      <c r="R1873">
        <v>450</v>
      </c>
      <c r="S1873" s="51">
        <v>10988</v>
      </c>
      <c r="T1873">
        <v>731</v>
      </c>
      <c r="U1873">
        <v>92</v>
      </c>
      <c r="V1873" s="51">
        <v>12261</v>
      </c>
    </row>
    <row r="1874" spans="1:22">
      <c r="A1874" s="32" t="s">
        <v>4237</v>
      </c>
      <c r="B1874" s="32" t="s">
        <v>4168</v>
      </c>
      <c r="C1874" s="32" t="s">
        <v>1130</v>
      </c>
      <c r="D1874" s="33">
        <v>0</v>
      </c>
      <c r="E1874" s="33">
        <v>115</v>
      </c>
      <c r="F1874" s="33">
        <v>3243</v>
      </c>
      <c r="G1874" s="33">
        <v>574</v>
      </c>
      <c r="H1874" s="33">
        <v>64</v>
      </c>
      <c r="I1874" s="33">
        <v>3996</v>
      </c>
      <c r="K1874" t="b">
        <f>QHPSelections2016[[#This Row],[County Name]]=P1874</f>
        <v>1</v>
      </c>
      <c r="L1874" t="b">
        <f>QHPSelections2016[[#This Row],[Silver]]=S1874</f>
        <v>1</v>
      </c>
      <c r="N1874">
        <v>45085</v>
      </c>
      <c r="O1874" t="s">
        <v>4168</v>
      </c>
      <c r="P1874" t="s">
        <v>1130</v>
      </c>
      <c r="Q1874">
        <v>0</v>
      </c>
      <c r="R1874">
        <v>115</v>
      </c>
      <c r="S1874" s="51">
        <v>3243</v>
      </c>
      <c r="T1874">
        <v>574</v>
      </c>
      <c r="U1874">
        <v>64</v>
      </c>
      <c r="V1874" s="51">
        <v>3996</v>
      </c>
    </row>
    <row r="1875" spans="1:22">
      <c r="A1875" s="32" t="s">
        <v>4238</v>
      </c>
      <c r="B1875" s="32" t="s">
        <v>4168</v>
      </c>
      <c r="C1875" s="32" t="s">
        <v>1149</v>
      </c>
      <c r="D1875" s="33">
        <v>0</v>
      </c>
      <c r="E1875" s="33" t="s">
        <v>1639</v>
      </c>
      <c r="F1875" s="33">
        <v>674</v>
      </c>
      <c r="G1875" s="33">
        <v>49</v>
      </c>
      <c r="H1875" s="33" t="s">
        <v>1639</v>
      </c>
      <c r="I1875" s="33">
        <v>746</v>
      </c>
      <c r="K1875" t="b">
        <f>QHPSelections2016[[#This Row],[County Name]]=P1875</f>
        <v>1</v>
      </c>
      <c r="L1875" t="b">
        <f>QHPSelections2016[[#This Row],[Silver]]=S1875</f>
        <v>1</v>
      </c>
      <c r="N1875">
        <v>45087</v>
      </c>
      <c r="O1875" t="s">
        <v>4168</v>
      </c>
      <c r="P1875" t="s">
        <v>1149</v>
      </c>
      <c r="Q1875">
        <v>0</v>
      </c>
      <c r="S1875">
        <v>674</v>
      </c>
      <c r="T1875">
        <v>49</v>
      </c>
      <c r="V1875">
        <v>746</v>
      </c>
    </row>
    <row r="1876" spans="1:22">
      <c r="A1876" s="32" t="s">
        <v>4239</v>
      </c>
      <c r="B1876" s="32" t="s">
        <v>4168</v>
      </c>
      <c r="C1876" s="32" t="s">
        <v>4240</v>
      </c>
      <c r="D1876" s="33">
        <v>0</v>
      </c>
      <c r="E1876" s="33" t="s">
        <v>1639</v>
      </c>
      <c r="F1876" s="33">
        <v>1362</v>
      </c>
      <c r="G1876" s="33">
        <v>114</v>
      </c>
      <c r="H1876" s="33" t="s">
        <v>1639</v>
      </c>
      <c r="I1876" s="33">
        <v>1506</v>
      </c>
      <c r="K1876" t="b">
        <f>QHPSelections2016[[#This Row],[County Name]]=P1876</f>
        <v>1</v>
      </c>
      <c r="L1876" t="b">
        <f>QHPSelections2016[[#This Row],[Silver]]=S1876</f>
        <v>1</v>
      </c>
      <c r="N1876">
        <v>45089</v>
      </c>
      <c r="O1876" t="s">
        <v>4168</v>
      </c>
      <c r="P1876" t="s">
        <v>4240</v>
      </c>
      <c r="Q1876">
        <v>0</v>
      </c>
      <c r="S1876" s="51">
        <v>1362</v>
      </c>
      <c r="T1876">
        <v>114</v>
      </c>
      <c r="V1876" s="51">
        <v>1506</v>
      </c>
    </row>
    <row r="1877" spans="1:22">
      <c r="A1877" s="32" t="s">
        <v>4241</v>
      </c>
      <c r="B1877" s="32" t="s">
        <v>4168</v>
      </c>
      <c r="C1877" s="32" t="s">
        <v>2818</v>
      </c>
      <c r="D1877" s="33">
        <v>0</v>
      </c>
      <c r="E1877" s="33">
        <v>546</v>
      </c>
      <c r="F1877" s="33">
        <v>9803</v>
      </c>
      <c r="G1877" s="33">
        <v>1874</v>
      </c>
      <c r="H1877" s="33">
        <v>187</v>
      </c>
      <c r="I1877" s="33">
        <v>12410</v>
      </c>
      <c r="K1877" t="b">
        <f>QHPSelections2016[[#This Row],[County Name]]=P1877</f>
        <v>1</v>
      </c>
      <c r="L1877" t="b">
        <f>QHPSelections2016[[#This Row],[Silver]]=S1877</f>
        <v>1</v>
      </c>
      <c r="N1877">
        <v>45091</v>
      </c>
      <c r="O1877" t="s">
        <v>4168</v>
      </c>
      <c r="P1877" t="s">
        <v>2818</v>
      </c>
      <c r="Q1877">
        <v>0</v>
      </c>
      <c r="R1877">
        <v>546</v>
      </c>
      <c r="S1877" s="51">
        <v>9803</v>
      </c>
      <c r="T1877" s="51">
        <v>1874</v>
      </c>
      <c r="U1877">
        <v>187</v>
      </c>
      <c r="V1877" s="51">
        <v>12410</v>
      </c>
    </row>
    <row r="1878" spans="1:22">
      <c r="A1878" s="32" t="s">
        <v>4242</v>
      </c>
      <c r="B1878" s="32" t="s">
        <v>4243</v>
      </c>
      <c r="C1878" s="32" t="s">
        <v>4244</v>
      </c>
      <c r="D1878" s="33">
        <v>0</v>
      </c>
      <c r="E1878" s="33" t="s">
        <v>1639</v>
      </c>
      <c r="F1878" s="33">
        <v>110</v>
      </c>
      <c r="G1878" s="33">
        <v>16</v>
      </c>
      <c r="H1878" s="33" t="s">
        <v>1639</v>
      </c>
      <c r="I1878" s="33">
        <v>134</v>
      </c>
      <c r="K1878" t="b">
        <f>QHPSelections2016[[#This Row],[County Name]]=P1878</f>
        <v>1</v>
      </c>
      <c r="L1878" t="b">
        <f>QHPSelections2016[[#This Row],[Silver]]=S1878</f>
        <v>1</v>
      </c>
      <c r="N1878">
        <v>46003</v>
      </c>
      <c r="O1878" t="s">
        <v>4243</v>
      </c>
      <c r="P1878" t="s">
        <v>4244</v>
      </c>
      <c r="Q1878">
        <v>0</v>
      </c>
      <c r="S1878">
        <v>110</v>
      </c>
      <c r="T1878">
        <v>16</v>
      </c>
      <c r="V1878">
        <v>134</v>
      </c>
    </row>
    <row r="1879" spans="1:22">
      <c r="A1879" s="32" t="s">
        <v>4245</v>
      </c>
      <c r="B1879" s="32" t="s">
        <v>4243</v>
      </c>
      <c r="C1879" s="32" t="s">
        <v>4246</v>
      </c>
      <c r="D1879" s="33">
        <v>0</v>
      </c>
      <c r="E1879" s="33" t="s">
        <v>1639</v>
      </c>
      <c r="F1879" s="33">
        <v>396</v>
      </c>
      <c r="G1879" s="33">
        <v>67</v>
      </c>
      <c r="H1879" s="33" t="s">
        <v>1639</v>
      </c>
      <c r="I1879" s="33">
        <v>490</v>
      </c>
      <c r="K1879" t="b">
        <f>QHPSelections2016[[#This Row],[County Name]]=P1879</f>
        <v>1</v>
      </c>
      <c r="L1879" t="b">
        <f>QHPSelections2016[[#This Row],[Silver]]=S1879</f>
        <v>1</v>
      </c>
      <c r="N1879">
        <v>46005</v>
      </c>
      <c r="O1879" t="s">
        <v>4243</v>
      </c>
      <c r="P1879" t="s">
        <v>4246</v>
      </c>
      <c r="Q1879">
        <v>0</v>
      </c>
      <c r="S1879">
        <v>396</v>
      </c>
      <c r="T1879">
        <v>67</v>
      </c>
      <c r="V1879">
        <v>490</v>
      </c>
    </row>
    <row r="1880" spans="1:22">
      <c r="A1880" s="32" t="s">
        <v>4247</v>
      </c>
      <c r="B1880" s="32" t="s">
        <v>4243</v>
      </c>
      <c r="C1880" s="32" t="s">
        <v>4248</v>
      </c>
      <c r="D1880" s="33">
        <v>0</v>
      </c>
      <c r="E1880" s="33">
        <v>0</v>
      </c>
      <c r="F1880" s="33">
        <v>20</v>
      </c>
      <c r="G1880" s="33">
        <v>27</v>
      </c>
      <c r="H1880" s="33">
        <v>0</v>
      </c>
      <c r="I1880" s="33">
        <v>47</v>
      </c>
      <c r="K1880" t="b">
        <f>QHPSelections2016[[#This Row],[County Name]]=P1880</f>
        <v>1</v>
      </c>
      <c r="L1880" t="b">
        <f>QHPSelections2016[[#This Row],[Silver]]=S1880</f>
        <v>1</v>
      </c>
      <c r="N1880">
        <v>46007</v>
      </c>
      <c r="O1880" t="s">
        <v>4243</v>
      </c>
      <c r="P1880" t="s">
        <v>4248</v>
      </c>
      <c r="Q1880">
        <v>0</v>
      </c>
      <c r="R1880">
        <v>0</v>
      </c>
      <c r="S1880">
        <v>20</v>
      </c>
      <c r="T1880">
        <v>27</v>
      </c>
      <c r="U1880">
        <v>0</v>
      </c>
      <c r="V1880">
        <v>47</v>
      </c>
    </row>
    <row r="1881" spans="1:22">
      <c r="A1881" s="32" t="s">
        <v>4249</v>
      </c>
      <c r="B1881" s="32" t="s">
        <v>4243</v>
      </c>
      <c r="C1881" s="32" t="s">
        <v>4250</v>
      </c>
      <c r="D1881" s="33">
        <v>0</v>
      </c>
      <c r="E1881" s="33" t="s">
        <v>1639</v>
      </c>
      <c r="F1881" s="33">
        <v>166</v>
      </c>
      <c r="G1881" s="33">
        <v>48</v>
      </c>
      <c r="H1881" s="33" t="s">
        <v>1639</v>
      </c>
      <c r="I1881" s="33">
        <v>221</v>
      </c>
      <c r="K1881" t="b">
        <f>QHPSelections2016[[#This Row],[County Name]]=P1881</f>
        <v>1</v>
      </c>
      <c r="L1881" t="b">
        <f>QHPSelections2016[[#This Row],[Silver]]=S1881</f>
        <v>1</v>
      </c>
      <c r="N1881">
        <v>46009</v>
      </c>
      <c r="O1881" t="s">
        <v>4243</v>
      </c>
      <c r="P1881" t="s">
        <v>4250</v>
      </c>
      <c r="Q1881">
        <v>0</v>
      </c>
      <c r="S1881">
        <v>166</v>
      </c>
      <c r="T1881">
        <v>48</v>
      </c>
      <c r="V1881">
        <v>221</v>
      </c>
    </row>
    <row r="1882" spans="1:22">
      <c r="A1882" s="32" t="s">
        <v>4251</v>
      </c>
      <c r="B1882" s="32" t="s">
        <v>4243</v>
      </c>
      <c r="C1882" s="32" t="s">
        <v>4252</v>
      </c>
      <c r="D1882" s="33">
        <v>0</v>
      </c>
      <c r="E1882" s="33">
        <v>30</v>
      </c>
      <c r="F1882" s="33">
        <v>738</v>
      </c>
      <c r="G1882" s="33">
        <v>165</v>
      </c>
      <c r="H1882" s="33">
        <v>13</v>
      </c>
      <c r="I1882" s="33">
        <v>946</v>
      </c>
      <c r="K1882" t="b">
        <f>QHPSelections2016[[#This Row],[County Name]]=P1882</f>
        <v>1</v>
      </c>
      <c r="L1882" t="b">
        <f>QHPSelections2016[[#This Row],[Silver]]=S1882</f>
        <v>1</v>
      </c>
      <c r="N1882">
        <v>46011</v>
      </c>
      <c r="O1882" t="s">
        <v>4243</v>
      </c>
      <c r="P1882" t="s">
        <v>4252</v>
      </c>
      <c r="Q1882">
        <v>0</v>
      </c>
      <c r="R1882">
        <v>30</v>
      </c>
      <c r="S1882">
        <v>738</v>
      </c>
      <c r="T1882">
        <v>165</v>
      </c>
      <c r="U1882">
        <v>13</v>
      </c>
      <c r="V1882">
        <v>946</v>
      </c>
    </row>
    <row r="1883" spans="1:22">
      <c r="A1883" s="32" t="s">
        <v>4253</v>
      </c>
      <c r="B1883" s="32" t="s">
        <v>4243</v>
      </c>
      <c r="C1883" s="32" t="s">
        <v>963</v>
      </c>
      <c r="D1883" s="33">
        <v>0</v>
      </c>
      <c r="E1883" s="33">
        <v>38</v>
      </c>
      <c r="F1883" s="33">
        <v>798</v>
      </c>
      <c r="G1883" s="33">
        <v>189</v>
      </c>
      <c r="H1883" s="33">
        <v>22</v>
      </c>
      <c r="I1883" s="33">
        <v>1047</v>
      </c>
      <c r="K1883" t="b">
        <f>QHPSelections2016[[#This Row],[County Name]]=P1883</f>
        <v>1</v>
      </c>
      <c r="L1883" t="b">
        <f>QHPSelections2016[[#This Row],[Silver]]=S1883</f>
        <v>1</v>
      </c>
      <c r="N1883">
        <v>46013</v>
      </c>
      <c r="O1883" t="s">
        <v>4243</v>
      </c>
      <c r="P1883" t="s">
        <v>963</v>
      </c>
      <c r="Q1883">
        <v>0</v>
      </c>
      <c r="R1883">
        <v>38</v>
      </c>
      <c r="S1883">
        <v>798</v>
      </c>
      <c r="T1883">
        <v>189</v>
      </c>
      <c r="U1883">
        <v>22</v>
      </c>
      <c r="V1883" s="51">
        <v>1047</v>
      </c>
    </row>
    <row r="1884" spans="1:22">
      <c r="A1884" s="32" t="s">
        <v>4254</v>
      </c>
      <c r="B1884" s="32" t="s">
        <v>4243</v>
      </c>
      <c r="C1884" s="32" t="s">
        <v>4255</v>
      </c>
      <c r="D1884" s="33">
        <v>0</v>
      </c>
      <c r="E1884" s="33" t="s">
        <v>1639</v>
      </c>
      <c r="F1884" s="33">
        <v>168</v>
      </c>
      <c r="G1884" s="33">
        <v>28</v>
      </c>
      <c r="H1884" s="33" t="s">
        <v>1639</v>
      </c>
      <c r="I1884" s="33">
        <v>206</v>
      </c>
      <c r="K1884" t="b">
        <f>QHPSelections2016[[#This Row],[County Name]]=P1884</f>
        <v>1</v>
      </c>
      <c r="L1884" t="b">
        <f>QHPSelections2016[[#This Row],[Silver]]=S1884</f>
        <v>1</v>
      </c>
      <c r="N1884">
        <v>46015</v>
      </c>
      <c r="O1884" t="s">
        <v>4243</v>
      </c>
      <c r="P1884" t="s">
        <v>4255</v>
      </c>
      <c r="Q1884">
        <v>0</v>
      </c>
      <c r="S1884">
        <v>168</v>
      </c>
      <c r="T1884">
        <v>28</v>
      </c>
      <c r="V1884">
        <v>206</v>
      </c>
    </row>
    <row r="1885" spans="1:22">
      <c r="A1885" s="32" t="s">
        <v>4256</v>
      </c>
      <c r="B1885" s="32" t="s">
        <v>4243</v>
      </c>
      <c r="C1885" s="32" t="s">
        <v>3508</v>
      </c>
      <c r="D1885" s="33">
        <v>0</v>
      </c>
      <c r="E1885" s="33" t="s">
        <v>1639</v>
      </c>
      <c r="F1885" s="33">
        <v>15</v>
      </c>
      <c r="G1885" s="33" t="s">
        <v>1639</v>
      </c>
      <c r="H1885" s="33">
        <v>0</v>
      </c>
      <c r="I1885" s="33">
        <v>23</v>
      </c>
      <c r="K1885" t="b">
        <f>QHPSelections2016[[#This Row],[County Name]]=P1885</f>
        <v>1</v>
      </c>
      <c r="L1885" t="b">
        <f>QHPSelections2016[[#This Row],[Silver]]=S1885</f>
        <v>1</v>
      </c>
      <c r="N1885">
        <v>46017</v>
      </c>
      <c r="O1885" t="s">
        <v>4243</v>
      </c>
      <c r="P1885" t="s">
        <v>3508</v>
      </c>
      <c r="Q1885">
        <v>0</v>
      </c>
      <c r="S1885">
        <v>15</v>
      </c>
      <c r="U1885">
        <v>0</v>
      </c>
      <c r="V1885">
        <v>23</v>
      </c>
    </row>
    <row r="1886" spans="1:22">
      <c r="A1886" s="32" t="s">
        <v>4257</v>
      </c>
      <c r="B1886" s="32" t="s">
        <v>4243</v>
      </c>
      <c r="C1886" s="32" t="s">
        <v>4258</v>
      </c>
      <c r="D1886" s="33">
        <v>0</v>
      </c>
      <c r="E1886" s="33" t="s">
        <v>1639</v>
      </c>
      <c r="F1886" s="33">
        <v>218</v>
      </c>
      <c r="G1886" s="33">
        <v>65</v>
      </c>
      <c r="H1886" s="33" t="s">
        <v>1639</v>
      </c>
      <c r="I1886" s="33">
        <v>300</v>
      </c>
      <c r="K1886" t="b">
        <f>QHPSelections2016[[#This Row],[County Name]]=P1886</f>
        <v>1</v>
      </c>
      <c r="L1886" t="b">
        <f>QHPSelections2016[[#This Row],[Silver]]=S1886</f>
        <v>1</v>
      </c>
      <c r="N1886">
        <v>46019</v>
      </c>
      <c r="O1886" t="s">
        <v>4243</v>
      </c>
      <c r="P1886" t="s">
        <v>4258</v>
      </c>
      <c r="Q1886">
        <v>0</v>
      </c>
      <c r="S1886">
        <v>218</v>
      </c>
      <c r="T1886">
        <v>65</v>
      </c>
      <c r="V1886">
        <v>300</v>
      </c>
    </row>
    <row r="1887" spans="1:22">
      <c r="A1887" s="32" t="s">
        <v>4259</v>
      </c>
      <c r="B1887" s="32" t="s">
        <v>4243</v>
      </c>
      <c r="C1887" s="32" t="s">
        <v>858</v>
      </c>
      <c r="D1887" s="33">
        <v>0</v>
      </c>
      <c r="E1887" s="33" t="s">
        <v>1639</v>
      </c>
      <c r="F1887" s="33">
        <v>33</v>
      </c>
      <c r="G1887" s="33" t="s">
        <v>1639</v>
      </c>
      <c r="H1887" s="33" t="s">
        <v>1639</v>
      </c>
      <c r="I1887" s="33">
        <v>48</v>
      </c>
      <c r="K1887" t="b">
        <f>QHPSelections2016[[#This Row],[County Name]]=P1887</f>
        <v>1</v>
      </c>
      <c r="L1887" t="b">
        <f>QHPSelections2016[[#This Row],[Silver]]=S1887</f>
        <v>1</v>
      </c>
      <c r="N1887">
        <v>46021</v>
      </c>
      <c r="O1887" t="s">
        <v>4243</v>
      </c>
      <c r="P1887" t="s">
        <v>858</v>
      </c>
      <c r="Q1887">
        <v>0</v>
      </c>
      <c r="S1887">
        <v>33</v>
      </c>
      <c r="V1887">
        <v>48</v>
      </c>
    </row>
    <row r="1888" spans="1:22">
      <c r="A1888" s="32" t="s">
        <v>4260</v>
      </c>
      <c r="B1888" s="32" t="s">
        <v>4243</v>
      </c>
      <c r="C1888" s="32" t="s">
        <v>4261</v>
      </c>
      <c r="D1888" s="33">
        <v>0</v>
      </c>
      <c r="E1888" s="33" t="s">
        <v>1639</v>
      </c>
      <c r="F1888" s="33">
        <v>234</v>
      </c>
      <c r="G1888" s="33">
        <v>49</v>
      </c>
      <c r="H1888" s="33" t="s">
        <v>1639</v>
      </c>
      <c r="I1888" s="33">
        <v>302</v>
      </c>
      <c r="K1888" t="b">
        <f>QHPSelections2016[[#This Row],[County Name]]=P1888</f>
        <v>1</v>
      </c>
      <c r="L1888" t="b">
        <f>QHPSelections2016[[#This Row],[Silver]]=S1888</f>
        <v>1</v>
      </c>
      <c r="N1888">
        <v>46023</v>
      </c>
      <c r="O1888" t="s">
        <v>4243</v>
      </c>
      <c r="P1888" t="s">
        <v>4261</v>
      </c>
      <c r="Q1888">
        <v>0</v>
      </c>
      <c r="S1888">
        <v>234</v>
      </c>
      <c r="T1888">
        <v>49</v>
      </c>
      <c r="V1888">
        <v>302</v>
      </c>
    </row>
    <row r="1889" spans="1:22">
      <c r="A1889" s="32" t="s">
        <v>4262</v>
      </c>
      <c r="B1889" s="32" t="s">
        <v>4243</v>
      </c>
      <c r="C1889" s="32" t="s">
        <v>1777</v>
      </c>
      <c r="D1889" s="33">
        <v>0</v>
      </c>
      <c r="E1889" s="33" t="s">
        <v>1639</v>
      </c>
      <c r="F1889" s="33">
        <v>265</v>
      </c>
      <c r="G1889" s="33">
        <v>22</v>
      </c>
      <c r="H1889" s="33" t="s">
        <v>1639</v>
      </c>
      <c r="I1889" s="33">
        <v>301</v>
      </c>
      <c r="K1889" t="b">
        <f>QHPSelections2016[[#This Row],[County Name]]=P1889</f>
        <v>1</v>
      </c>
      <c r="L1889" t="b">
        <f>QHPSelections2016[[#This Row],[Silver]]=S1889</f>
        <v>1</v>
      </c>
      <c r="N1889">
        <v>46025</v>
      </c>
      <c r="O1889" t="s">
        <v>4243</v>
      </c>
      <c r="P1889" t="s">
        <v>1777</v>
      </c>
      <c r="Q1889">
        <v>0</v>
      </c>
      <c r="S1889">
        <v>265</v>
      </c>
      <c r="T1889">
        <v>22</v>
      </c>
      <c r="V1889">
        <v>301</v>
      </c>
    </row>
    <row r="1890" spans="1:22">
      <c r="A1890" s="32" t="s">
        <v>4263</v>
      </c>
      <c r="B1890" s="32" t="s">
        <v>4243</v>
      </c>
      <c r="C1890" s="32" t="s">
        <v>873</v>
      </c>
      <c r="D1890" s="33">
        <v>0</v>
      </c>
      <c r="E1890" s="33">
        <v>24</v>
      </c>
      <c r="F1890" s="33">
        <v>338</v>
      </c>
      <c r="G1890" s="33">
        <v>62</v>
      </c>
      <c r="H1890" s="33">
        <v>17</v>
      </c>
      <c r="I1890" s="33">
        <v>441</v>
      </c>
      <c r="K1890" t="b">
        <f>QHPSelections2016[[#This Row],[County Name]]=P1890</f>
        <v>1</v>
      </c>
      <c r="L1890" t="b">
        <f>QHPSelections2016[[#This Row],[Silver]]=S1890</f>
        <v>1</v>
      </c>
      <c r="N1890">
        <v>46027</v>
      </c>
      <c r="O1890" t="s">
        <v>4243</v>
      </c>
      <c r="P1890" t="s">
        <v>873</v>
      </c>
      <c r="Q1890">
        <v>0</v>
      </c>
      <c r="R1890">
        <v>24</v>
      </c>
      <c r="S1890">
        <v>338</v>
      </c>
      <c r="T1890">
        <v>62</v>
      </c>
      <c r="U1890">
        <v>17</v>
      </c>
      <c r="V1890">
        <v>441</v>
      </c>
    </row>
    <row r="1891" spans="1:22">
      <c r="A1891" s="32" t="s">
        <v>4264</v>
      </c>
      <c r="B1891" s="32" t="s">
        <v>4243</v>
      </c>
      <c r="C1891" s="32" t="s">
        <v>4265</v>
      </c>
      <c r="D1891" s="33">
        <v>0</v>
      </c>
      <c r="E1891" s="33" t="s">
        <v>1639</v>
      </c>
      <c r="F1891" s="33">
        <v>1023</v>
      </c>
      <c r="G1891" s="33">
        <v>150</v>
      </c>
      <c r="H1891" s="33" t="s">
        <v>1639</v>
      </c>
      <c r="I1891" s="33">
        <v>1211</v>
      </c>
      <c r="K1891" t="b">
        <f>QHPSelections2016[[#This Row],[County Name]]=P1891</f>
        <v>1</v>
      </c>
      <c r="L1891" t="b">
        <f>QHPSelections2016[[#This Row],[Silver]]=S1891</f>
        <v>1</v>
      </c>
      <c r="N1891">
        <v>46029</v>
      </c>
      <c r="O1891" t="s">
        <v>4243</v>
      </c>
      <c r="P1891" t="s">
        <v>4265</v>
      </c>
      <c r="Q1891">
        <v>0</v>
      </c>
      <c r="S1891" s="51">
        <v>1023</v>
      </c>
      <c r="T1891">
        <v>150</v>
      </c>
      <c r="V1891" s="51">
        <v>1211</v>
      </c>
    </row>
    <row r="1892" spans="1:22">
      <c r="A1892" s="32" t="s">
        <v>4266</v>
      </c>
      <c r="B1892" s="32" t="s">
        <v>4243</v>
      </c>
      <c r="C1892" s="32" t="s">
        <v>4267</v>
      </c>
      <c r="D1892" s="33">
        <v>0</v>
      </c>
      <c r="E1892" s="33" t="s">
        <v>1639</v>
      </c>
      <c r="F1892" s="33">
        <v>34</v>
      </c>
      <c r="G1892" s="33">
        <v>15</v>
      </c>
      <c r="H1892" s="33" t="s">
        <v>1639</v>
      </c>
      <c r="I1892" s="33">
        <v>51</v>
      </c>
      <c r="K1892" t="b">
        <f>QHPSelections2016[[#This Row],[County Name]]=P1892</f>
        <v>1</v>
      </c>
      <c r="L1892" t="b">
        <f>QHPSelections2016[[#This Row],[Silver]]=S1892</f>
        <v>1</v>
      </c>
      <c r="N1892">
        <v>46031</v>
      </c>
      <c r="O1892" t="s">
        <v>4243</v>
      </c>
      <c r="P1892" t="s">
        <v>4267</v>
      </c>
      <c r="Q1892">
        <v>0</v>
      </c>
      <c r="S1892">
        <v>34</v>
      </c>
      <c r="T1892">
        <v>15</v>
      </c>
      <c r="V1892">
        <v>51</v>
      </c>
    </row>
    <row r="1893" spans="1:22">
      <c r="A1893" s="32" t="s">
        <v>4268</v>
      </c>
      <c r="B1893" s="32" t="s">
        <v>4243</v>
      </c>
      <c r="C1893" s="32" t="s">
        <v>3220</v>
      </c>
      <c r="D1893" s="33">
        <v>0</v>
      </c>
      <c r="E1893" s="33" t="s">
        <v>1639</v>
      </c>
      <c r="F1893" s="33">
        <v>238</v>
      </c>
      <c r="G1893" s="33">
        <v>68</v>
      </c>
      <c r="H1893" s="33" t="s">
        <v>1639</v>
      </c>
      <c r="I1893" s="33">
        <v>323</v>
      </c>
      <c r="K1893" t="b">
        <f>QHPSelections2016[[#This Row],[County Name]]=P1893</f>
        <v>1</v>
      </c>
      <c r="L1893" t="b">
        <f>QHPSelections2016[[#This Row],[Silver]]=S1893</f>
        <v>1</v>
      </c>
      <c r="N1893">
        <v>46033</v>
      </c>
      <c r="O1893" t="s">
        <v>4243</v>
      </c>
      <c r="P1893" t="s">
        <v>3220</v>
      </c>
      <c r="Q1893">
        <v>0</v>
      </c>
      <c r="S1893">
        <v>238</v>
      </c>
      <c r="T1893">
        <v>68</v>
      </c>
      <c r="V1893">
        <v>323</v>
      </c>
    </row>
    <row r="1894" spans="1:22">
      <c r="A1894" s="32" t="s">
        <v>4269</v>
      </c>
      <c r="B1894" s="32" t="s">
        <v>4243</v>
      </c>
      <c r="C1894" s="32" t="s">
        <v>4270</v>
      </c>
      <c r="D1894" s="33">
        <v>0</v>
      </c>
      <c r="E1894" s="33" t="s">
        <v>1639</v>
      </c>
      <c r="F1894" s="33">
        <v>399</v>
      </c>
      <c r="G1894" s="33">
        <v>73</v>
      </c>
      <c r="H1894" s="33" t="s">
        <v>1639</v>
      </c>
      <c r="I1894" s="33">
        <v>506</v>
      </c>
      <c r="K1894" t="b">
        <f>QHPSelections2016[[#This Row],[County Name]]=P1894</f>
        <v>1</v>
      </c>
      <c r="L1894" t="b">
        <f>QHPSelections2016[[#This Row],[Silver]]=S1894</f>
        <v>1</v>
      </c>
      <c r="N1894">
        <v>46035</v>
      </c>
      <c r="O1894" t="s">
        <v>4243</v>
      </c>
      <c r="P1894" t="s">
        <v>4270</v>
      </c>
      <c r="Q1894">
        <v>0</v>
      </c>
      <c r="S1894">
        <v>399</v>
      </c>
      <c r="T1894">
        <v>73</v>
      </c>
      <c r="V1894">
        <v>506</v>
      </c>
    </row>
    <row r="1895" spans="1:22">
      <c r="A1895" s="32" t="s">
        <v>4271</v>
      </c>
      <c r="B1895" s="32" t="s">
        <v>4243</v>
      </c>
      <c r="C1895" s="32" t="s">
        <v>4272</v>
      </c>
      <c r="D1895" s="33">
        <v>0</v>
      </c>
      <c r="E1895" s="33" t="s">
        <v>1639</v>
      </c>
      <c r="F1895" s="33">
        <v>398</v>
      </c>
      <c r="G1895" s="33">
        <v>40</v>
      </c>
      <c r="H1895" s="33" t="s">
        <v>1639</v>
      </c>
      <c r="I1895" s="33">
        <v>443</v>
      </c>
      <c r="K1895" t="b">
        <f>QHPSelections2016[[#This Row],[County Name]]=P1895</f>
        <v>1</v>
      </c>
      <c r="L1895" t="b">
        <f>QHPSelections2016[[#This Row],[Silver]]=S1895</f>
        <v>1</v>
      </c>
      <c r="N1895">
        <v>46037</v>
      </c>
      <c r="O1895" t="s">
        <v>4243</v>
      </c>
      <c r="P1895" t="s">
        <v>4272</v>
      </c>
      <c r="Q1895">
        <v>0</v>
      </c>
      <c r="S1895">
        <v>398</v>
      </c>
      <c r="T1895">
        <v>40</v>
      </c>
      <c r="V1895">
        <v>443</v>
      </c>
    </row>
    <row r="1896" spans="1:22">
      <c r="A1896" s="32" t="s">
        <v>4273</v>
      </c>
      <c r="B1896" s="32" t="s">
        <v>4243</v>
      </c>
      <c r="C1896" s="32" t="s">
        <v>3530</v>
      </c>
      <c r="D1896" s="33">
        <v>0</v>
      </c>
      <c r="E1896" s="33" t="s">
        <v>1639</v>
      </c>
      <c r="F1896" s="33">
        <v>163</v>
      </c>
      <c r="G1896" s="33">
        <v>27</v>
      </c>
      <c r="H1896" s="33" t="s">
        <v>1639</v>
      </c>
      <c r="I1896" s="33">
        <v>192</v>
      </c>
      <c r="K1896" t="b">
        <f>QHPSelections2016[[#This Row],[County Name]]=P1896</f>
        <v>1</v>
      </c>
      <c r="L1896" t="b">
        <f>QHPSelections2016[[#This Row],[Silver]]=S1896</f>
        <v>1</v>
      </c>
      <c r="N1896">
        <v>46039</v>
      </c>
      <c r="O1896" t="s">
        <v>4243</v>
      </c>
      <c r="P1896" t="s">
        <v>3530</v>
      </c>
      <c r="Q1896">
        <v>0</v>
      </c>
      <c r="S1896">
        <v>163</v>
      </c>
      <c r="T1896">
        <v>27</v>
      </c>
      <c r="V1896">
        <v>192</v>
      </c>
    </row>
    <row r="1897" spans="1:22">
      <c r="A1897" s="32" t="s">
        <v>4274</v>
      </c>
      <c r="B1897" s="32" t="s">
        <v>4243</v>
      </c>
      <c r="C1897" s="32" t="s">
        <v>3930</v>
      </c>
      <c r="D1897" s="33">
        <v>0</v>
      </c>
      <c r="E1897" s="33" t="s">
        <v>1639</v>
      </c>
      <c r="F1897" s="33">
        <v>37</v>
      </c>
      <c r="G1897" s="33">
        <v>19</v>
      </c>
      <c r="H1897" s="33" t="s">
        <v>1639</v>
      </c>
      <c r="I1897" s="33">
        <v>58</v>
      </c>
      <c r="K1897" t="b">
        <f>QHPSelections2016[[#This Row],[County Name]]=P1897</f>
        <v>1</v>
      </c>
      <c r="L1897" t="b">
        <f>QHPSelections2016[[#This Row],[Silver]]=S1897</f>
        <v>1</v>
      </c>
      <c r="N1897">
        <v>46041</v>
      </c>
      <c r="O1897" t="s">
        <v>4243</v>
      </c>
      <c r="P1897" t="s">
        <v>3930</v>
      </c>
      <c r="Q1897">
        <v>0</v>
      </c>
      <c r="S1897">
        <v>37</v>
      </c>
      <c r="T1897">
        <v>19</v>
      </c>
      <c r="V1897">
        <v>58</v>
      </c>
    </row>
    <row r="1898" spans="1:22">
      <c r="A1898" s="32" t="s">
        <v>4275</v>
      </c>
      <c r="B1898" s="32" t="s">
        <v>4243</v>
      </c>
      <c r="C1898" s="32" t="s">
        <v>1073</v>
      </c>
      <c r="D1898" s="33">
        <v>0</v>
      </c>
      <c r="E1898" s="33" t="s">
        <v>1639</v>
      </c>
      <c r="F1898" s="33">
        <v>96</v>
      </c>
      <c r="G1898" s="33">
        <v>25</v>
      </c>
      <c r="H1898" s="33" t="s">
        <v>1639</v>
      </c>
      <c r="I1898" s="33">
        <v>123</v>
      </c>
      <c r="K1898" t="b">
        <f>QHPSelections2016[[#This Row],[County Name]]=P1898</f>
        <v>1</v>
      </c>
      <c r="L1898" t="b">
        <f>QHPSelections2016[[#This Row],[Silver]]=S1898</f>
        <v>1</v>
      </c>
      <c r="N1898">
        <v>46043</v>
      </c>
      <c r="O1898" t="s">
        <v>4243</v>
      </c>
      <c r="P1898" t="s">
        <v>1073</v>
      </c>
      <c r="Q1898">
        <v>0</v>
      </c>
      <c r="S1898">
        <v>96</v>
      </c>
      <c r="T1898">
        <v>25</v>
      </c>
      <c r="V1898">
        <v>123</v>
      </c>
    </row>
    <row r="1899" spans="1:22">
      <c r="A1899" s="32" t="s">
        <v>4276</v>
      </c>
      <c r="B1899" s="32" t="s">
        <v>4243</v>
      </c>
      <c r="C1899" s="32" t="s">
        <v>4277</v>
      </c>
      <c r="D1899" s="33">
        <v>0</v>
      </c>
      <c r="E1899" s="33" t="s">
        <v>1639</v>
      </c>
      <c r="F1899" s="33">
        <v>100</v>
      </c>
      <c r="G1899" s="33">
        <v>29</v>
      </c>
      <c r="H1899" s="33" t="s">
        <v>1639</v>
      </c>
      <c r="I1899" s="33">
        <v>146</v>
      </c>
      <c r="K1899" t="b">
        <f>QHPSelections2016[[#This Row],[County Name]]=P1899</f>
        <v>1</v>
      </c>
      <c r="L1899" t="b">
        <f>QHPSelections2016[[#This Row],[Silver]]=S1899</f>
        <v>1</v>
      </c>
      <c r="N1899">
        <v>46045</v>
      </c>
      <c r="O1899" t="s">
        <v>4243</v>
      </c>
      <c r="P1899" t="s">
        <v>4277</v>
      </c>
      <c r="Q1899">
        <v>0</v>
      </c>
      <c r="S1899">
        <v>100</v>
      </c>
      <c r="T1899">
        <v>29</v>
      </c>
      <c r="V1899">
        <v>146</v>
      </c>
    </row>
    <row r="1900" spans="1:22">
      <c r="A1900" s="32" t="s">
        <v>4278</v>
      </c>
      <c r="B1900" s="32" t="s">
        <v>4243</v>
      </c>
      <c r="C1900" s="32" t="s">
        <v>4279</v>
      </c>
      <c r="D1900" s="33">
        <v>0</v>
      </c>
      <c r="E1900" s="33" t="s">
        <v>1639</v>
      </c>
      <c r="F1900" s="33">
        <v>154</v>
      </c>
      <c r="G1900" s="33">
        <v>63</v>
      </c>
      <c r="H1900" s="33" t="s">
        <v>1639</v>
      </c>
      <c r="I1900" s="33">
        <v>228</v>
      </c>
      <c r="K1900" t="b">
        <f>QHPSelections2016[[#This Row],[County Name]]=P1900</f>
        <v>1</v>
      </c>
      <c r="L1900" t="b">
        <f>QHPSelections2016[[#This Row],[Silver]]=S1900</f>
        <v>1</v>
      </c>
      <c r="N1900">
        <v>46047</v>
      </c>
      <c r="O1900" t="s">
        <v>4243</v>
      </c>
      <c r="P1900" t="s">
        <v>4279</v>
      </c>
      <c r="Q1900">
        <v>0</v>
      </c>
      <c r="S1900">
        <v>154</v>
      </c>
      <c r="T1900">
        <v>63</v>
      </c>
      <c r="V1900">
        <v>228</v>
      </c>
    </row>
    <row r="1901" spans="1:22">
      <c r="A1901" s="32" t="s">
        <v>4280</v>
      </c>
      <c r="B1901" s="32" t="s">
        <v>4243</v>
      </c>
      <c r="C1901" s="32" t="s">
        <v>4281</v>
      </c>
      <c r="D1901" s="33">
        <v>0</v>
      </c>
      <c r="E1901" s="33" t="s">
        <v>1639</v>
      </c>
      <c r="F1901" s="33">
        <v>65</v>
      </c>
      <c r="G1901" s="33" t="s">
        <v>1639</v>
      </c>
      <c r="H1901" s="33" t="s">
        <v>1639</v>
      </c>
      <c r="I1901" s="33">
        <v>82</v>
      </c>
      <c r="K1901" t="b">
        <f>QHPSelections2016[[#This Row],[County Name]]=P1901</f>
        <v>1</v>
      </c>
      <c r="L1901" t="b">
        <f>QHPSelections2016[[#This Row],[Silver]]=S1901</f>
        <v>1</v>
      </c>
      <c r="N1901">
        <v>46049</v>
      </c>
      <c r="O1901" t="s">
        <v>4243</v>
      </c>
      <c r="P1901" t="s">
        <v>4281</v>
      </c>
      <c r="Q1901">
        <v>0</v>
      </c>
      <c r="S1901">
        <v>65</v>
      </c>
      <c r="V1901">
        <v>82</v>
      </c>
    </row>
    <row r="1902" spans="1:22">
      <c r="A1902" s="32" t="s">
        <v>4282</v>
      </c>
      <c r="B1902" s="32" t="s">
        <v>4243</v>
      </c>
      <c r="C1902" s="32" t="s">
        <v>1803</v>
      </c>
      <c r="D1902" s="33">
        <v>0</v>
      </c>
      <c r="E1902" s="33" t="s">
        <v>1639</v>
      </c>
      <c r="F1902" s="33">
        <v>159</v>
      </c>
      <c r="G1902" s="33">
        <v>36</v>
      </c>
      <c r="H1902" s="33" t="s">
        <v>1639</v>
      </c>
      <c r="I1902" s="33">
        <v>228</v>
      </c>
      <c r="K1902" t="b">
        <f>QHPSelections2016[[#This Row],[County Name]]=P1902</f>
        <v>1</v>
      </c>
      <c r="L1902" t="b">
        <f>QHPSelections2016[[#This Row],[Silver]]=S1902</f>
        <v>1</v>
      </c>
      <c r="N1902">
        <v>46051</v>
      </c>
      <c r="O1902" t="s">
        <v>4243</v>
      </c>
      <c r="P1902" t="s">
        <v>1803</v>
      </c>
      <c r="Q1902">
        <v>0</v>
      </c>
      <c r="S1902">
        <v>159</v>
      </c>
      <c r="T1902">
        <v>36</v>
      </c>
      <c r="V1902">
        <v>228</v>
      </c>
    </row>
    <row r="1903" spans="1:22">
      <c r="A1903" s="32" t="s">
        <v>4283</v>
      </c>
      <c r="B1903" s="32" t="s">
        <v>4243</v>
      </c>
      <c r="C1903" s="32" t="s">
        <v>4284</v>
      </c>
      <c r="D1903" s="33">
        <v>0</v>
      </c>
      <c r="E1903" s="33" t="s">
        <v>1639</v>
      </c>
      <c r="F1903" s="33">
        <v>238</v>
      </c>
      <c r="G1903" s="33">
        <v>22</v>
      </c>
      <c r="H1903" s="33" t="s">
        <v>1639</v>
      </c>
      <c r="I1903" s="33">
        <v>276</v>
      </c>
      <c r="K1903" t="b">
        <f>QHPSelections2016[[#This Row],[County Name]]=P1903</f>
        <v>1</v>
      </c>
      <c r="L1903" t="b">
        <f>QHPSelections2016[[#This Row],[Silver]]=S1903</f>
        <v>1</v>
      </c>
      <c r="N1903">
        <v>46053</v>
      </c>
      <c r="O1903" t="s">
        <v>4243</v>
      </c>
      <c r="P1903" t="s">
        <v>4284</v>
      </c>
      <c r="Q1903">
        <v>0</v>
      </c>
      <c r="S1903">
        <v>238</v>
      </c>
      <c r="T1903">
        <v>22</v>
      </c>
      <c r="V1903">
        <v>276</v>
      </c>
    </row>
    <row r="1904" spans="1:22">
      <c r="A1904" s="32" t="s">
        <v>4285</v>
      </c>
      <c r="B1904" s="32" t="s">
        <v>4243</v>
      </c>
      <c r="C1904" s="32" t="s">
        <v>4286</v>
      </c>
      <c r="D1904" s="33">
        <v>0</v>
      </c>
      <c r="E1904" s="33" t="s">
        <v>1639</v>
      </c>
      <c r="F1904" s="33">
        <v>66</v>
      </c>
      <c r="G1904" s="33" t="s">
        <v>1639</v>
      </c>
      <c r="H1904" s="33">
        <v>0</v>
      </c>
      <c r="I1904" s="33">
        <v>73</v>
      </c>
      <c r="K1904" t="b">
        <f>QHPSelections2016[[#This Row],[County Name]]=P1904</f>
        <v>1</v>
      </c>
      <c r="L1904" t="b">
        <f>QHPSelections2016[[#This Row],[Silver]]=S1904</f>
        <v>1</v>
      </c>
      <c r="N1904">
        <v>46055</v>
      </c>
      <c r="O1904" t="s">
        <v>4243</v>
      </c>
      <c r="P1904" t="s">
        <v>4286</v>
      </c>
      <c r="Q1904">
        <v>0</v>
      </c>
      <c r="S1904">
        <v>66</v>
      </c>
      <c r="U1904">
        <v>0</v>
      </c>
      <c r="V1904">
        <v>73</v>
      </c>
    </row>
    <row r="1905" spans="1:22">
      <c r="A1905" s="32" t="s">
        <v>4287</v>
      </c>
      <c r="B1905" s="32" t="s">
        <v>4243</v>
      </c>
      <c r="C1905" s="32" t="s">
        <v>4288</v>
      </c>
      <c r="D1905" s="33">
        <v>0</v>
      </c>
      <c r="E1905" s="33" t="s">
        <v>1639</v>
      </c>
      <c r="F1905" s="33">
        <v>277</v>
      </c>
      <c r="G1905" s="33">
        <v>15</v>
      </c>
      <c r="H1905" s="33" t="s">
        <v>1639</v>
      </c>
      <c r="I1905" s="33">
        <v>311</v>
      </c>
      <c r="K1905" t="b">
        <f>QHPSelections2016[[#This Row],[County Name]]=P1905</f>
        <v>1</v>
      </c>
      <c r="L1905" t="b">
        <f>QHPSelections2016[[#This Row],[Silver]]=S1905</f>
        <v>1</v>
      </c>
      <c r="N1905">
        <v>46057</v>
      </c>
      <c r="O1905" t="s">
        <v>4243</v>
      </c>
      <c r="P1905" t="s">
        <v>4288</v>
      </c>
      <c r="Q1905">
        <v>0</v>
      </c>
      <c r="S1905">
        <v>277</v>
      </c>
      <c r="T1905">
        <v>15</v>
      </c>
      <c r="V1905">
        <v>311</v>
      </c>
    </row>
    <row r="1906" spans="1:22">
      <c r="A1906" s="32" t="s">
        <v>4289</v>
      </c>
      <c r="B1906" s="32" t="s">
        <v>4243</v>
      </c>
      <c r="C1906" s="32" t="s">
        <v>4290</v>
      </c>
      <c r="D1906" s="33">
        <v>0</v>
      </c>
      <c r="E1906" s="33" t="s">
        <v>1639</v>
      </c>
      <c r="F1906" s="33">
        <v>92</v>
      </c>
      <c r="G1906" s="33">
        <v>16</v>
      </c>
      <c r="H1906" s="33" t="s">
        <v>1639</v>
      </c>
      <c r="I1906" s="33">
        <v>111</v>
      </c>
      <c r="K1906" t="b">
        <f>QHPSelections2016[[#This Row],[County Name]]=P1906</f>
        <v>1</v>
      </c>
      <c r="L1906" t="b">
        <f>QHPSelections2016[[#This Row],[Silver]]=S1906</f>
        <v>1</v>
      </c>
      <c r="N1906">
        <v>46059</v>
      </c>
      <c r="O1906" t="s">
        <v>4243</v>
      </c>
      <c r="P1906" t="s">
        <v>4290</v>
      </c>
      <c r="Q1906">
        <v>0</v>
      </c>
      <c r="S1906">
        <v>92</v>
      </c>
      <c r="T1906">
        <v>16</v>
      </c>
      <c r="V1906">
        <v>111</v>
      </c>
    </row>
    <row r="1907" spans="1:22">
      <c r="A1907" s="32" t="s">
        <v>4291</v>
      </c>
      <c r="B1907" s="32" t="s">
        <v>4243</v>
      </c>
      <c r="C1907" s="32" t="s">
        <v>4292</v>
      </c>
      <c r="D1907" s="33">
        <v>0</v>
      </c>
      <c r="E1907" s="33" t="s">
        <v>1639</v>
      </c>
      <c r="F1907" s="33">
        <v>32</v>
      </c>
      <c r="G1907" s="33">
        <v>13</v>
      </c>
      <c r="H1907" s="33" t="s">
        <v>1639</v>
      </c>
      <c r="I1907" s="33">
        <v>50</v>
      </c>
      <c r="K1907" t="b">
        <f>QHPSelections2016[[#This Row],[County Name]]=P1907</f>
        <v>1</v>
      </c>
      <c r="L1907" t="b">
        <f>QHPSelections2016[[#This Row],[Silver]]=S1907</f>
        <v>1</v>
      </c>
      <c r="N1907">
        <v>46061</v>
      </c>
      <c r="O1907" t="s">
        <v>4243</v>
      </c>
      <c r="P1907" t="s">
        <v>4292</v>
      </c>
      <c r="Q1907">
        <v>0</v>
      </c>
      <c r="S1907">
        <v>32</v>
      </c>
      <c r="T1907">
        <v>13</v>
      </c>
      <c r="V1907">
        <v>50</v>
      </c>
    </row>
    <row r="1908" spans="1:22">
      <c r="A1908" s="32" t="s">
        <v>4293</v>
      </c>
      <c r="B1908" s="32" t="s">
        <v>4243</v>
      </c>
      <c r="C1908" s="32" t="s">
        <v>3703</v>
      </c>
      <c r="D1908" s="33">
        <v>0</v>
      </c>
      <c r="E1908" s="33">
        <v>0</v>
      </c>
      <c r="F1908" s="33">
        <v>37</v>
      </c>
      <c r="G1908" s="33" t="s">
        <v>1639</v>
      </c>
      <c r="H1908" s="33" t="s">
        <v>1639</v>
      </c>
      <c r="I1908" s="33">
        <v>42</v>
      </c>
      <c r="K1908" t="b">
        <f>QHPSelections2016[[#This Row],[County Name]]=P1908</f>
        <v>1</v>
      </c>
      <c r="L1908" t="b">
        <f>QHPSelections2016[[#This Row],[Silver]]=S1908</f>
        <v>1</v>
      </c>
      <c r="N1908">
        <v>46063</v>
      </c>
      <c r="O1908" t="s">
        <v>4243</v>
      </c>
      <c r="P1908" t="s">
        <v>3703</v>
      </c>
      <c r="Q1908">
        <v>0</v>
      </c>
      <c r="R1908">
        <v>0</v>
      </c>
      <c r="S1908">
        <v>37</v>
      </c>
      <c r="V1908">
        <v>42</v>
      </c>
    </row>
    <row r="1909" spans="1:22">
      <c r="A1909" s="32" t="s">
        <v>4294</v>
      </c>
      <c r="B1909" s="32" t="s">
        <v>4243</v>
      </c>
      <c r="C1909" s="32" t="s">
        <v>3944</v>
      </c>
      <c r="D1909" s="33">
        <v>0</v>
      </c>
      <c r="E1909" s="33" t="s">
        <v>1639</v>
      </c>
      <c r="F1909" s="33">
        <v>319</v>
      </c>
      <c r="G1909" s="33">
        <v>93</v>
      </c>
      <c r="H1909" s="33" t="s">
        <v>1639</v>
      </c>
      <c r="I1909" s="33">
        <v>419</v>
      </c>
      <c r="K1909" t="b">
        <f>QHPSelections2016[[#This Row],[County Name]]=P1909</f>
        <v>1</v>
      </c>
      <c r="L1909" t="b">
        <f>QHPSelections2016[[#This Row],[Silver]]=S1909</f>
        <v>1</v>
      </c>
      <c r="N1909">
        <v>46065</v>
      </c>
      <c r="O1909" t="s">
        <v>4243</v>
      </c>
      <c r="P1909" t="s">
        <v>3944</v>
      </c>
      <c r="Q1909">
        <v>0</v>
      </c>
      <c r="S1909">
        <v>319</v>
      </c>
      <c r="T1909">
        <v>93</v>
      </c>
      <c r="V1909">
        <v>419</v>
      </c>
    </row>
    <row r="1910" spans="1:22">
      <c r="A1910" s="32" t="s">
        <v>4295</v>
      </c>
      <c r="B1910" s="32" t="s">
        <v>4243</v>
      </c>
      <c r="C1910" s="32" t="s">
        <v>1292</v>
      </c>
      <c r="D1910" s="33">
        <v>0</v>
      </c>
      <c r="E1910" s="33" t="s">
        <v>1639</v>
      </c>
      <c r="F1910" s="33">
        <v>211</v>
      </c>
      <c r="G1910" s="33">
        <v>34</v>
      </c>
      <c r="H1910" s="33" t="s">
        <v>1639</v>
      </c>
      <c r="I1910" s="33">
        <v>266</v>
      </c>
      <c r="K1910" t="b">
        <f>QHPSelections2016[[#This Row],[County Name]]=P1910</f>
        <v>1</v>
      </c>
      <c r="L1910" t="b">
        <f>QHPSelections2016[[#This Row],[Silver]]=S1910</f>
        <v>1</v>
      </c>
      <c r="N1910">
        <v>46067</v>
      </c>
      <c r="O1910" t="s">
        <v>4243</v>
      </c>
      <c r="P1910" t="s">
        <v>1292</v>
      </c>
      <c r="Q1910">
        <v>0</v>
      </c>
      <c r="S1910">
        <v>211</v>
      </c>
      <c r="T1910">
        <v>34</v>
      </c>
      <c r="V1910">
        <v>266</v>
      </c>
    </row>
    <row r="1911" spans="1:22">
      <c r="A1911" s="32" t="s">
        <v>4296</v>
      </c>
      <c r="B1911" s="32" t="s">
        <v>4243</v>
      </c>
      <c r="C1911" s="32" t="s">
        <v>1074</v>
      </c>
      <c r="D1911" s="33">
        <v>0</v>
      </c>
      <c r="E1911" s="33" t="s">
        <v>1639</v>
      </c>
      <c r="F1911" s="33">
        <v>62</v>
      </c>
      <c r="G1911" s="33">
        <v>12</v>
      </c>
      <c r="H1911" s="33" t="s">
        <v>1639</v>
      </c>
      <c r="I1911" s="33">
        <v>75</v>
      </c>
      <c r="K1911" t="b">
        <f>QHPSelections2016[[#This Row],[County Name]]=P1911</f>
        <v>1</v>
      </c>
      <c r="L1911" t="b">
        <f>QHPSelections2016[[#This Row],[Silver]]=S1911</f>
        <v>1</v>
      </c>
      <c r="N1911">
        <v>46069</v>
      </c>
      <c r="O1911" t="s">
        <v>4243</v>
      </c>
      <c r="P1911" t="s">
        <v>1074</v>
      </c>
      <c r="Q1911">
        <v>0</v>
      </c>
      <c r="S1911">
        <v>62</v>
      </c>
      <c r="T1911">
        <v>12</v>
      </c>
      <c r="V1911">
        <v>75</v>
      </c>
    </row>
    <row r="1912" spans="1:22">
      <c r="A1912" s="32" t="s">
        <v>4297</v>
      </c>
      <c r="B1912" s="32" t="s">
        <v>4243</v>
      </c>
      <c r="C1912" s="32" t="s">
        <v>984</v>
      </c>
      <c r="D1912" s="33">
        <v>0</v>
      </c>
      <c r="E1912" s="33" t="s">
        <v>1639</v>
      </c>
      <c r="F1912" s="33">
        <v>56</v>
      </c>
      <c r="G1912" s="33">
        <v>34</v>
      </c>
      <c r="H1912" s="33" t="s">
        <v>1639</v>
      </c>
      <c r="I1912" s="33">
        <v>91</v>
      </c>
      <c r="K1912" t="b">
        <f>QHPSelections2016[[#This Row],[County Name]]=P1912</f>
        <v>1</v>
      </c>
      <c r="L1912" t="b">
        <f>QHPSelections2016[[#This Row],[Silver]]=S1912</f>
        <v>1</v>
      </c>
      <c r="N1912">
        <v>46071</v>
      </c>
      <c r="O1912" t="s">
        <v>4243</v>
      </c>
      <c r="P1912" t="s">
        <v>984</v>
      </c>
      <c r="Q1912">
        <v>0</v>
      </c>
      <c r="S1912">
        <v>56</v>
      </c>
      <c r="T1912">
        <v>34</v>
      </c>
      <c r="V1912">
        <v>91</v>
      </c>
    </row>
    <row r="1913" spans="1:22">
      <c r="A1913" s="32" t="s">
        <v>4298</v>
      </c>
      <c r="B1913" s="32" t="s">
        <v>4243</v>
      </c>
      <c r="C1913" s="32" t="s">
        <v>4299</v>
      </c>
      <c r="D1913" s="33">
        <v>0</v>
      </c>
      <c r="E1913" s="33" t="s">
        <v>1639</v>
      </c>
      <c r="F1913" s="33">
        <v>66</v>
      </c>
      <c r="G1913" s="33" t="s">
        <v>1639</v>
      </c>
      <c r="H1913" s="33" t="s">
        <v>1639</v>
      </c>
      <c r="I1913" s="33">
        <v>83</v>
      </c>
      <c r="K1913" t="b">
        <f>QHPSelections2016[[#This Row],[County Name]]=P1913</f>
        <v>1</v>
      </c>
      <c r="L1913" t="b">
        <f>QHPSelections2016[[#This Row],[Silver]]=S1913</f>
        <v>1</v>
      </c>
      <c r="N1913">
        <v>46073</v>
      </c>
      <c r="O1913" t="s">
        <v>4243</v>
      </c>
      <c r="P1913" t="s">
        <v>4299</v>
      </c>
      <c r="Q1913">
        <v>0</v>
      </c>
      <c r="S1913">
        <v>66</v>
      </c>
      <c r="V1913">
        <v>83</v>
      </c>
    </row>
    <row r="1914" spans="1:22">
      <c r="A1914" s="32" t="s">
        <v>4300</v>
      </c>
      <c r="B1914" s="32" t="s">
        <v>4243</v>
      </c>
      <c r="C1914" s="32" t="s">
        <v>1006</v>
      </c>
      <c r="D1914" s="33">
        <v>0</v>
      </c>
      <c r="E1914" s="33" t="s">
        <v>1639</v>
      </c>
      <c r="F1914" s="33">
        <v>47</v>
      </c>
      <c r="G1914" s="33">
        <v>15</v>
      </c>
      <c r="H1914" s="33" t="s">
        <v>1639</v>
      </c>
      <c r="I1914" s="33">
        <v>63</v>
      </c>
      <c r="K1914" t="b">
        <f>QHPSelections2016[[#This Row],[County Name]]=P1914</f>
        <v>1</v>
      </c>
      <c r="L1914" t="b">
        <f>QHPSelections2016[[#This Row],[Silver]]=S1914</f>
        <v>1</v>
      </c>
      <c r="N1914">
        <v>46075</v>
      </c>
      <c r="O1914" t="s">
        <v>4243</v>
      </c>
      <c r="P1914" t="s">
        <v>1006</v>
      </c>
      <c r="Q1914">
        <v>0</v>
      </c>
      <c r="S1914">
        <v>47</v>
      </c>
      <c r="T1914">
        <v>15</v>
      </c>
      <c r="V1914">
        <v>63</v>
      </c>
    </row>
    <row r="1915" spans="1:22">
      <c r="A1915" s="32" t="s">
        <v>4301</v>
      </c>
      <c r="B1915" s="32" t="s">
        <v>4243</v>
      </c>
      <c r="C1915" s="32" t="s">
        <v>4302</v>
      </c>
      <c r="D1915" s="33">
        <v>0</v>
      </c>
      <c r="E1915" s="33" t="s">
        <v>1639</v>
      </c>
      <c r="F1915" s="33">
        <v>206</v>
      </c>
      <c r="G1915" s="33">
        <v>27</v>
      </c>
      <c r="H1915" s="33" t="s">
        <v>1639</v>
      </c>
      <c r="I1915" s="33">
        <v>252</v>
      </c>
      <c r="K1915" t="b">
        <f>QHPSelections2016[[#This Row],[County Name]]=P1915</f>
        <v>1</v>
      </c>
      <c r="L1915" t="b">
        <f>QHPSelections2016[[#This Row],[Silver]]=S1915</f>
        <v>1</v>
      </c>
      <c r="N1915">
        <v>46077</v>
      </c>
      <c r="O1915" t="s">
        <v>4243</v>
      </c>
      <c r="P1915" t="s">
        <v>4302</v>
      </c>
      <c r="Q1915">
        <v>0</v>
      </c>
      <c r="S1915">
        <v>206</v>
      </c>
      <c r="T1915">
        <v>27</v>
      </c>
      <c r="V1915">
        <v>252</v>
      </c>
    </row>
    <row r="1916" spans="1:22">
      <c r="A1916" s="32" t="s">
        <v>4303</v>
      </c>
      <c r="B1916" s="32" t="s">
        <v>4243</v>
      </c>
      <c r="C1916" s="32" t="s">
        <v>1005</v>
      </c>
      <c r="D1916" s="33">
        <v>0</v>
      </c>
      <c r="E1916" s="33">
        <v>23</v>
      </c>
      <c r="F1916" s="33">
        <v>326</v>
      </c>
      <c r="G1916" s="33">
        <v>81</v>
      </c>
      <c r="H1916" s="33">
        <v>11</v>
      </c>
      <c r="I1916" s="33">
        <v>441</v>
      </c>
      <c r="K1916" t="b">
        <f>QHPSelections2016[[#This Row],[County Name]]=P1916</f>
        <v>1</v>
      </c>
      <c r="L1916" t="b">
        <f>QHPSelections2016[[#This Row],[Silver]]=S1916</f>
        <v>1</v>
      </c>
      <c r="N1916">
        <v>46079</v>
      </c>
      <c r="O1916" t="s">
        <v>4243</v>
      </c>
      <c r="P1916" t="s">
        <v>1005</v>
      </c>
      <c r="Q1916">
        <v>0</v>
      </c>
      <c r="R1916">
        <v>23</v>
      </c>
      <c r="S1916">
        <v>326</v>
      </c>
      <c r="T1916">
        <v>81</v>
      </c>
      <c r="U1916">
        <v>11</v>
      </c>
      <c r="V1916">
        <v>441</v>
      </c>
    </row>
    <row r="1917" spans="1:22">
      <c r="A1917" s="32" t="s">
        <v>4304</v>
      </c>
      <c r="B1917" s="32" t="s">
        <v>4243</v>
      </c>
      <c r="C1917" s="32" t="s">
        <v>1031</v>
      </c>
      <c r="D1917" s="33">
        <v>0</v>
      </c>
      <c r="E1917" s="33">
        <v>29</v>
      </c>
      <c r="F1917" s="33">
        <v>603</v>
      </c>
      <c r="G1917" s="33">
        <v>278</v>
      </c>
      <c r="H1917" s="33">
        <v>22</v>
      </c>
      <c r="I1917" s="33">
        <v>932</v>
      </c>
      <c r="K1917" t="b">
        <f>QHPSelections2016[[#This Row],[County Name]]=P1917</f>
        <v>1</v>
      </c>
      <c r="L1917" t="b">
        <f>QHPSelections2016[[#This Row],[Silver]]=S1917</f>
        <v>1</v>
      </c>
      <c r="N1917">
        <v>46081</v>
      </c>
      <c r="O1917" t="s">
        <v>4243</v>
      </c>
      <c r="P1917" t="s">
        <v>1031</v>
      </c>
      <c r="Q1917">
        <v>0</v>
      </c>
      <c r="R1917">
        <v>29</v>
      </c>
      <c r="S1917">
        <v>603</v>
      </c>
      <c r="T1917">
        <v>278</v>
      </c>
      <c r="U1917">
        <v>22</v>
      </c>
      <c r="V1917">
        <v>932</v>
      </c>
    </row>
    <row r="1918" spans="1:22">
      <c r="A1918" s="32" t="s">
        <v>4305</v>
      </c>
      <c r="B1918" s="32" t="s">
        <v>4243</v>
      </c>
      <c r="C1918" s="32" t="s">
        <v>1051</v>
      </c>
      <c r="D1918" s="33">
        <v>0</v>
      </c>
      <c r="E1918" s="33">
        <v>61</v>
      </c>
      <c r="F1918" s="33">
        <v>935</v>
      </c>
      <c r="G1918" s="33">
        <v>258</v>
      </c>
      <c r="H1918" s="33">
        <v>23</v>
      </c>
      <c r="I1918" s="33">
        <v>1277</v>
      </c>
      <c r="K1918" t="b">
        <f>QHPSelections2016[[#This Row],[County Name]]=P1918</f>
        <v>1</v>
      </c>
      <c r="L1918" t="b">
        <f>QHPSelections2016[[#This Row],[Silver]]=S1918</f>
        <v>1</v>
      </c>
      <c r="N1918">
        <v>46083</v>
      </c>
      <c r="O1918" t="s">
        <v>4243</v>
      </c>
      <c r="P1918" t="s">
        <v>1051</v>
      </c>
      <c r="Q1918">
        <v>0</v>
      </c>
      <c r="R1918">
        <v>61</v>
      </c>
      <c r="S1918">
        <v>935</v>
      </c>
      <c r="T1918">
        <v>258</v>
      </c>
      <c r="U1918">
        <v>23</v>
      </c>
      <c r="V1918" s="51">
        <v>1277</v>
      </c>
    </row>
    <row r="1919" spans="1:22">
      <c r="A1919" s="32" t="s">
        <v>4306</v>
      </c>
      <c r="B1919" s="32" t="s">
        <v>4243</v>
      </c>
      <c r="C1919" s="32" t="s">
        <v>4307</v>
      </c>
      <c r="D1919" s="33">
        <v>0</v>
      </c>
      <c r="E1919" s="33" t="s">
        <v>1639</v>
      </c>
      <c r="F1919" s="33">
        <v>106</v>
      </c>
      <c r="G1919" s="33">
        <v>17</v>
      </c>
      <c r="H1919" s="33" t="s">
        <v>1639</v>
      </c>
      <c r="I1919" s="33">
        <v>130</v>
      </c>
      <c r="K1919" t="b">
        <f>QHPSelections2016[[#This Row],[County Name]]=P1919</f>
        <v>1</v>
      </c>
      <c r="L1919" t="b">
        <f>QHPSelections2016[[#This Row],[Silver]]=S1919</f>
        <v>1</v>
      </c>
      <c r="N1919">
        <v>46085</v>
      </c>
      <c r="O1919" t="s">
        <v>4243</v>
      </c>
      <c r="P1919" t="s">
        <v>4307</v>
      </c>
      <c r="Q1919">
        <v>0</v>
      </c>
      <c r="S1919">
        <v>106</v>
      </c>
      <c r="T1919">
        <v>17</v>
      </c>
      <c r="V1919">
        <v>130</v>
      </c>
    </row>
    <row r="1920" spans="1:22">
      <c r="A1920" s="32" t="s">
        <v>4308</v>
      </c>
      <c r="B1920" s="32" t="s">
        <v>4243</v>
      </c>
      <c r="C1920" s="32" t="s">
        <v>4309</v>
      </c>
      <c r="D1920" s="33">
        <v>0</v>
      </c>
      <c r="E1920" s="33" t="s">
        <v>1639</v>
      </c>
      <c r="F1920" s="33">
        <v>116</v>
      </c>
      <c r="G1920" s="33">
        <v>25</v>
      </c>
      <c r="H1920" s="33" t="s">
        <v>1639</v>
      </c>
      <c r="I1920" s="33">
        <v>145</v>
      </c>
      <c r="K1920" t="b">
        <f>QHPSelections2016[[#This Row],[County Name]]=P1920</f>
        <v>0</v>
      </c>
      <c r="L1920" t="b">
        <f>QHPSelections2016[[#This Row],[Silver]]=S1920</f>
        <v>0</v>
      </c>
      <c r="N1920">
        <v>46091</v>
      </c>
      <c r="O1920" t="s">
        <v>4243</v>
      </c>
      <c r="P1920" t="s">
        <v>1068</v>
      </c>
      <c r="Q1920">
        <v>0</v>
      </c>
      <c r="S1920">
        <v>112</v>
      </c>
      <c r="T1920">
        <v>23</v>
      </c>
      <c r="V1920">
        <v>142</v>
      </c>
    </row>
    <row r="1921" spans="1:22">
      <c r="A1921" s="32" t="s">
        <v>4310</v>
      </c>
      <c r="B1921" s="32" t="s">
        <v>4243</v>
      </c>
      <c r="C1921" s="32" t="s">
        <v>2649</v>
      </c>
      <c r="D1921" s="33">
        <v>0</v>
      </c>
      <c r="E1921" s="33" t="s">
        <v>1639</v>
      </c>
      <c r="F1921" s="33">
        <v>57</v>
      </c>
      <c r="G1921" s="33" t="s">
        <v>1639</v>
      </c>
      <c r="H1921" s="33" t="s">
        <v>1639</v>
      </c>
      <c r="I1921" s="33">
        <v>69</v>
      </c>
      <c r="K1921" t="b">
        <f>QHPSelections2016[[#This Row],[County Name]]=P1921</f>
        <v>0</v>
      </c>
      <c r="L1921" t="b">
        <f>QHPSelections2016[[#This Row],[Silver]]=S1921</f>
        <v>0</v>
      </c>
      <c r="N1921">
        <v>46087</v>
      </c>
      <c r="O1921" t="s">
        <v>4243</v>
      </c>
      <c r="P1921" t="s">
        <v>4309</v>
      </c>
      <c r="Q1921">
        <v>0</v>
      </c>
      <c r="S1921">
        <v>116</v>
      </c>
      <c r="T1921">
        <v>25</v>
      </c>
      <c r="V1921">
        <v>145</v>
      </c>
    </row>
    <row r="1922" spans="1:22">
      <c r="A1922" s="32" t="s">
        <v>4311</v>
      </c>
      <c r="B1922" s="32" t="s">
        <v>4243</v>
      </c>
      <c r="C1922" s="32" t="s">
        <v>1068</v>
      </c>
      <c r="D1922" s="33">
        <v>0</v>
      </c>
      <c r="E1922" s="33" t="s">
        <v>1639</v>
      </c>
      <c r="F1922" s="33">
        <v>112</v>
      </c>
      <c r="G1922" s="33">
        <v>23</v>
      </c>
      <c r="H1922" s="33" t="s">
        <v>1639</v>
      </c>
      <c r="I1922" s="33">
        <v>142</v>
      </c>
      <c r="K1922" t="b">
        <f>QHPSelections2016[[#This Row],[County Name]]=P1922</f>
        <v>0</v>
      </c>
      <c r="L1922" t="b">
        <f>QHPSelections2016[[#This Row],[Silver]]=S1922</f>
        <v>0</v>
      </c>
      <c r="N1922">
        <v>46089</v>
      </c>
      <c r="O1922" t="s">
        <v>4243</v>
      </c>
      <c r="P1922" t="s">
        <v>2649</v>
      </c>
      <c r="Q1922">
        <v>0</v>
      </c>
      <c r="S1922">
        <v>57</v>
      </c>
      <c r="V1922">
        <v>69</v>
      </c>
    </row>
    <row r="1923" spans="1:22">
      <c r="A1923" s="32" t="s">
        <v>4312</v>
      </c>
      <c r="B1923" s="32" t="s">
        <v>4243</v>
      </c>
      <c r="C1923" s="32" t="s">
        <v>2653</v>
      </c>
      <c r="D1923" s="33">
        <v>0</v>
      </c>
      <c r="E1923" s="33" t="s">
        <v>1639</v>
      </c>
      <c r="F1923" s="33">
        <v>534</v>
      </c>
      <c r="G1923" s="33">
        <v>172</v>
      </c>
      <c r="H1923" s="33" t="s">
        <v>1639</v>
      </c>
      <c r="I1923" s="33">
        <v>764</v>
      </c>
      <c r="K1923" t="b">
        <f>QHPSelections2016[[#This Row],[County Name]]=P1923</f>
        <v>1</v>
      </c>
      <c r="L1923" t="b">
        <f>QHPSelections2016[[#This Row],[Silver]]=S1923</f>
        <v>1</v>
      </c>
      <c r="N1923">
        <v>46093</v>
      </c>
      <c r="O1923" t="s">
        <v>4243</v>
      </c>
      <c r="P1923" t="s">
        <v>2653</v>
      </c>
      <c r="Q1923">
        <v>0</v>
      </c>
      <c r="S1923">
        <v>534</v>
      </c>
      <c r="T1923">
        <v>172</v>
      </c>
      <c r="V1923">
        <v>764</v>
      </c>
    </row>
    <row r="1924" spans="1:22">
      <c r="A1924" s="32" t="s">
        <v>4313</v>
      </c>
      <c r="B1924" s="32" t="s">
        <v>4243</v>
      </c>
      <c r="C1924" s="32" t="s">
        <v>4314</v>
      </c>
      <c r="D1924" s="33">
        <v>0</v>
      </c>
      <c r="E1924" s="33" t="s">
        <v>1639</v>
      </c>
      <c r="F1924" s="33">
        <v>37</v>
      </c>
      <c r="G1924" s="33">
        <v>21</v>
      </c>
      <c r="H1924" s="33" t="s">
        <v>1639</v>
      </c>
      <c r="I1924" s="33">
        <v>61</v>
      </c>
      <c r="K1924" t="b">
        <f>QHPSelections2016[[#This Row],[County Name]]=P1924</f>
        <v>1</v>
      </c>
      <c r="L1924" t="b">
        <f>QHPSelections2016[[#This Row],[Silver]]=S1924</f>
        <v>1</v>
      </c>
      <c r="N1924">
        <v>46095</v>
      </c>
      <c r="O1924" t="s">
        <v>4243</v>
      </c>
      <c r="P1924" t="s">
        <v>4314</v>
      </c>
      <c r="Q1924">
        <v>0</v>
      </c>
      <c r="S1924">
        <v>37</v>
      </c>
      <c r="T1924">
        <v>21</v>
      </c>
      <c r="V1924">
        <v>61</v>
      </c>
    </row>
    <row r="1925" spans="1:22">
      <c r="A1925" s="32" t="s">
        <v>4315</v>
      </c>
      <c r="B1925" s="32" t="s">
        <v>4243</v>
      </c>
      <c r="C1925" s="32" t="s">
        <v>4316</v>
      </c>
      <c r="D1925" s="33">
        <v>0</v>
      </c>
      <c r="E1925" s="33" t="s">
        <v>1639</v>
      </c>
      <c r="F1925" s="33">
        <v>47</v>
      </c>
      <c r="G1925" s="33">
        <v>11</v>
      </c>
      <c r="H1925" s="33" t="s">
        <v>1639</v>
      </c>
      <c r="I1925" s="33">
        <v>65</v>
      </c>
      <c r="K1925" t="b">
        <f>QHPSelections2016[[#This Row],[County Name]]=P1925</f>
        <v>1</v>
      </c>
      <c r="L1925" t="b">
        <f>QHPSelections2016[[#This Row],[Silver]]=S1925</f>
        <v>1</v>
      </c>
      <c r="N1925">
        <v>46097</v>
      </c>
      <c r="O1925" t="s">
        <v>4243</v>
      </c>
      <c r="P1925" t="s">
        <v>4316</v>
      </c>
      <c r="Q1925">
        <v>0</v>
      </c>
      <c r="S1925">
        <v>47</v>
      </c>
      <c r="T1925">
        <v>11</v>
      </c>
      <c r="V1925">
        <v>65</v>
      </c>
    </row>
    <row r="1926" spans="1:22">
      <c r="A1926" s="32" t="s">
        <v>4317</v>
      </c>
      <c r="B1926" s="32" t="s">
        <v>4243</v>
      </c>
      <c r="C1926" s="32" t="s">
        <v>4318</v>
      </c>
      <c r="D1926" s="33">
        <v>0</v>
      </c>
      <c r="E1926" s="33">
        <v>253</v>
      </c>
      <c r="F1926" s="33">
        <v>4084</v>
      </c>
      <c r="G1926" s="33">
        <v>1088</v>
      </c>
      <c r="H1926" s="33">
        <v>106</v>
      </c>
      <c r="I1926" s="33">
        <v>5531</v>
      </c>
      <c r="K1926" t="b">
        <f>QHPSelections2016[[#This Row],[County Name]]=P1926</f>
        <v>1</v>
      </c>
      <c r="L1926" t="b">
        <f>QHPSelections2016[[#This Row],[Silver]]=S1926</f>
        <v>1</v>
      </c>
      <c r="N1926">
        <v>46099</v>
      </c>
      <c r="O1926" t="s">
        <v>4243</v>
      </c>
      <c r="P1926" t="s">
        <v>4318</v>
      </c>
      <c r="Q1926">
        <v>0</v>
      </c>
      <c r="R1926">
        <v>253</v>
      </c>
      <c r="S1926" s="51">
        <v>4084</v>
      </c>
      <c r="T1926" s="51">
        <v>1088</v>
      </c>
      <c r="U1926">
        <v>106</v>
      </c>
      <c r="V1926" s="51">
        <v>5531</v>
      </c>
    </row>
    <row r="1927" spans="1:22">
      <c r="A1927" s="32" t="s">
        <v>4319</v>
      </c>
      <c r="B1927" s="32" t="s">
        <v>4243</v>
      </c>
      <c r="C1927" s="32" t="s">
        <v>4320</v>
      </c>
      <c r="D1927" s="33">
        <v>0</v>
      </c>
      <c r="E1927" s="33" t="s">
        <v>1639</v>
      </c>
      <c r="F1927" s="33">
        <v>144</v>
      </c>
      <c r="G1927" s="33">
        <v>38</v>
      </c>
      <c r="H1927" s="33" t="s">
        <v>1639</v>
      </c>
      <c r="I1927" s="33">
        <v>203</v>
      </c>
      <c r="K1927" t="b">
        <f>QHPSelections2016[[#This Row],[County Name]]=P1927</f>
        <v>1</v>
      </c>
      <c r="L1927" t="b">
        <f>QHPSelections2016[[#This Row],[Silver]]=S1927</f>
        <v>1</v>
      </c>
      <c r="N1927">
        <v>46101</v>
      </c>
      <c r="O1927" t="s">
        <v>4243</v>
      </c>
      <c r="P1927" t="s">
        <v>4320</v>
      </c>
      <c r="Q1927">
        <v>0</v>
      </c>
      <c r="S1927">
        <v>144</v>
      </c>
      <c r="T1927">
        <v>38</v>
      </c>
      <c r="V1927">
        <v>203</v>
      </c>
    </row>
    <row r="1928" spans="1:22">
      <c r="A1928" s="32" t="s">
        <v>4321</v>
      </c>
      <c r="B1928" s="32" t="s">
        <v>4243</v>
      </c>
      <c r="C1928" s="32" t="s">
        <v>4322</v>
      </c>
      <c r="D1928" s="33">
        <v>0</v>
      </c>
      <c r="E1928" s="33">
        <v>86</v>
      </c>
      <c r="F1928" s="33">
        <v>1939</v>
      </c>
      <c r="G1928" s="33">
        <v>727</v>
      </c>
      <c r="H1928" s="33">
        <v>46</v>
      </c>
      <c r="I1928" s="33">
        <v>2798</v>
      </c>
      <c r="K1928" t="b">
        <f>QHPSelections2016[[#This Row],[County Name]]=P1928</f>
        <v>1</v>
      </c>
      <c r="L1928" t="b">
        <f>QHPSelections2016[[#This Row],[Silver]]=S1928</f>
        <v>1</v>
      </c>
      <c r="N1928">
        <v>46103</v>
      </c>
      <c r="O1928" t="s">
        <v>4243</v>
      </c>
      <c r="P1928" t="s">
        <v>4322</v>
      </c>
      <c r="Q1928">
        <v>0</v>
      </c>
      <c r="R1928">
        <v>86</v>
      </c>
      <c r="S1928" s="51">
        <v>1939</v>
      </c>
      <c r="T1928">
        <v>727</v>
      </c>
      <c r="U1928">
        <v>46</v>
      </c>
      <c r="V1928" s="51">
        <v>2798</v>
      </c>
    </row>
    <row r="1929" spans="1:22">
      <c r="A1929" s="32" t="s">
        <v>4323</v>
      </c>
      <c r="B1929" s="32" t="s">
        <v>4243</v>
      </c>
      <c r="C1929" s="32" t="s">
        <v>3597</v>
      </c>
      <c r="D1929" s="33">
        <v>0</v>
      </c>
      <c r="E1929" s="33" t="s">
        <v>1639</v>
      </c>
      <c r="F1929" s="33">
        <v>106</v>
      </c>
      <c r="G1929" s="33">
        <v>21</v>
      </c>
      <c r="H1929" s="33" t="s">
        <v>1639</v>
      </c>
      <c r="I1929" s="33">
        <v>139</v>
      </c>
      <c r="K1929" t="b">
        <f>QHPSelections2016[[#This Row],[County Name]]=P1929</f>
        <v>1</v>
      </c>
      <c r="L1929" t="b">
        <f>QHPSelections2016[[#This Row],[Silver]]=S1929</f>
        <v>1</v>
      </c>
      <c r="N1929">
        <v>46105</v>
      </c>
      <c r="O1929" t="s">
        <v>4243</v>
      </c>
      <c r="P1929" t="s">
        <v>3597</v>
      </c>
      <c r="Q1929">
        <v>0</v>
      </c>
      <c r="S1929">
        <v>106</v>
      </c>
      <c r="T1929">
        <v>21</v>
      </c>
      <c r="V1929">
        <v>139</v>
      </c>
    </row>
    <row r="1930" spans="1:22">
      <c r="A1930" s="32" t="s">
        <v>4324</v>
      </c>
      <c r="B1930" s="32" t="s">
        <v>4243</v>
      </c>
      <c r="C1930" s="32" t="s">
        <v>1365</v>
      </c>
      <c r="D1930" s="33">
        <v>0</v>
      </c>
      <c r="E1930" s="33" t="s">
        <v>1639</v>
      </c>
      <c r="F1930" s="33">
        <v>105</v>
      </c>
      <c r="G1930" s="33">
        <v>19</v>
      </c>
      <c r="H1930" s="33" t="s">
        <v>1639</v>
      </c>
      <c r="I1930" s="33">
        <v>131</v>
      </c>
      <c r="K1930" t="b">
        <f>QHPSelections2016[[#This Row],[County Name]]=P1930</f>
        <v>1</v>
      </c>
      <c r="L1930" t="b">
        <f>QHPSelections2016[[#This Row],[Silver]]=S1930</f>
        <v>1</v>
      </c>
      <c r="N1930">
        <v>46107</v>
      </c>
      <c r="O1930" t="s">
        <v>4243</v>
      </c>
      <c r="P1930" t="s">
        <v>1365</v>
      </c>
      <c r="Q1930">
        <v>0</v>
      </c>
      <c r="S1930">
        <v>105</v>
      </c>
      <c r="T1930">
        <v>19</v>
      </c>
      <c r="V1930">
        <v>131</v>
      </c>
    </row>
    <row r="1931" spans="1:22">
      <c r="A1931" s="32" t="s">
        <v>4325</v>
      </c>
      <c r="B1931" s="32" t="s">
        <v>4243</v>
      </c>
      <c r="C1931" s="32" t="s">
        <v>1374</v>
      </c>
      <c r="D1931" s="33">
        <v>0</v>
      </c>
      <c r="E1931" s="33" t="s">
        <v>1639</v>
      </c>
      <c r="F1931" s="33">
        <v>183</v>
      </c>
      <c r="G1931" s="33">
        <v>51</v>
      </c>
      <c r="H1931" s="33" t="s">
        <v>1639</v>
      </c>
      <c r="I1931" s="33">
        <v>242</v>
      </c>
      <c r="K1931" t="b">
        <f>QHPSelections2016[[#This Row],[County Name]]=P1931</f>
        <v>1</v>
      </c>
      <c r="L1931" t="b">
        <f>QHPSelections2016[[#This Row],[Silver]]=S1931</f>
        <v>1</v>
      </c>
      <c r="N1931">
        <v>46109</v>
      </c>
      <c r="O1931" t="s">
        <v>4243</v>
      </c>
      <c r="P1931" t="s">
        <v>1374</v>
      </c>
      <c r="Q1931">
        <v>0</v>
      </c>
      <c r="S1931">
        <v>183</v>
      </c>
      <c r="T1931">
        <v>51</v>
      </c>
      <c r="V1931">
        <v>242</v>
      </c>
    </row>
    <row r="1932" spans="1:22">
      <c r="A1932" s="32" t="s">
        <v>4326</v>
      </c>
      <c r="B1932" s="32" t="s">
        <v>4243</v>
      </c>
      <c r="C1932" s="32" t="s">
        <v>4327</v>
      </c>
      <c r="D1932" s="33">
        <v>0</v>
      </c>
      <c r="E1932" s="33" t="s">
        <v>1639</v>
      </c>
      <c r="F1932" s="33">
        <v>105</v>
      </c>
      <c r="G1932" s="33" t="s">
        <v>1639</v>
      </c>
      <c r="H1932" s="33" t="s">
        <v>1639</v>
      </c>
      <c r="I1932" s="33">
        <v>120</v>
      </c>
      <c r="K1932" t="b">
        <f>QHPSelections2016[[#This Row],[County Name]]=P1932</f>
        <v>1</v>
      </c>
      <c r="L1932" t="b">
        <f>QHPSelections2016[[#This Row],[Silver]]=S1932</f>
        <v>1</v>
      </c>
      <c r="N1932">
        <v>46111</v>
      </c>
      <c r="O1932" t="s">
        <v>4243</v>
      </c>
      <c r="P1932" t="s">
        <v>4327</v>
      </c>
      <c r="Q1932">
        <v>0</v>
      </c>
      <c r="S1932">
        <v>105</v>
      </c>
      <c r="V1932">
        <v>120</v>
      </c>
    </row>
    <row r="1933" spans="1:22">
      <c r="A1933" s="32" t="s">
        <v>4328</v>
      </c>
      <c r="B1933" s="32" t="s">
        <v>4243</v>
      </c>
      <c r="C1933" s="32" t="s">
        <v>3101</v>
      </c>
      <c r="D1933" s="33">
        <v>0</v>
      </c>
      <c r="E1933" s="33" t="s">
        <v>1639</v>
      </c>
      <c r="F1933" s="33">
        <v>20</v>
      </c>
      <c r="G1933" s="33">
        <v>185</v>
      </c>
      <c r="H1933" s="33" t="s">
        <v>1639</v>
      </c>
      <c r="I1933" s="33">
        <v>207</v>
      </c>
      <c r="K1933" t="b">
        <f>QHPSelections2016[[#This Row],[County Name]]=P1933</f>
        <v>1</v>
      </c>
      <c r="L1933" t="b">
        <f>QHPSelections2016[[#This Row],[Silver]]=S1933</f>
        <v>1</v>
      </c>
      <c r="N1933">
        <v>46113</v>
      </c>
      <c r="O1933" t="s">
        <v>4243</v>
      </c>
      <c r="P1933" t="s">
        <v>3101</v>
      </c>
      <c r="Q1933">
        <v>0</v>
      </c>
      <c r="S1933">
        <v>20</v>
      </c>
      <c r="T1933">
        <v>185</v>
      </c>
      <c r="V1933">
        <v>207</v>
      </c>
    </row>
    <row r="1934" spans="1:22">
      <c r="A1934" s="32" t="s">
        <v>4329</v>
      </c>
      <c r="B1934" s="32" t="s">
        <v>4243</v>
      </c>
      <c r="C1934" s="32" t="s">
        <v>4330</v>
      </c>
      <c r="D1934" s="33">
        <v>0</v>
      </c>
      <c r="E1934" s="33" t="s">
        <v>1639</v>
      </c>
      <c r="F1934" s="33">
        <v>143</v>
      </c>
      <c r="G1934" s="33">
        <v>29</v>
      </c>
      <c r="H1934" s="33" t="s">
        <v>1639</v>
      </c>
      <c r="I1934" s="33">
        <v>202</v>
      </c>
      <c r="K1934" t="b">
        <f>QHPSelections2016[[#This Row],[County Name]]=P1934</f>
        <v>1</v>
      </c>
      <c r="L1934" t="b">
        <f>QHPSelections2016[[#This Row],[Silver]]=S1934</f>
        <v>1</v>
      </c>
      <c r="N1934">
        <v>46115</v>
      </c>
      <c r="O1934" t="s">
        <v>4243</v>
      </c>
      <c r="P1934" t="s">
        <v>4330</v>
      </c>
      <c r="Q1934">
        <v>0</v>
      </c>
      <c r="S1934">
        <v>143</v>
      </c>
      <c r="T1934">
        <v>29</v>
      </c>
      <c r="V1934">
        <v>202</v>
      </c>
    </row>
    <row r="1935" spans="1:22">
      <c r="A1935" s="32" t="s">
        <v>4331</v>
      </c>
      <c r="B1935" s="32" t="s">
        <v>4243</v>
      </c>
      <c r="C1935" s="32" t="s">
        <v>4332</v>
      </c>
      <c r="D1935" s="33">
        <v>0</v>
      </c>
      <c r="E1935" s="33" t="s">
        <v>1639</v>
      </c>
      <c r="F1935" s="33">
        <v>58</v>
      </c>
      <c r="G1935" s="33">
        <v>22</v>
      </c>
      <c r="H1935" s="33" t="s">
        <v>1639</v>
      </c>
      <c r="I1935" s="33">
        <v>86</v>
      </c>
      <c r="K1935" t="b">
        <f>QHPSelections2016[[#This Row],[County Name]]=P1935</f>
        <v>1</v>
      </c>
      <c r="L1935" t="b">
        <f>QHPSelections2016[[#This Row],[Silver]]=S1935</f>
        <v>1</v>
      </c>
      <c r="N1935">
        <v>46117</v>
      </c>
      <c r="O1935" t="s">
        <v>4243</v>
      </c>
      <c r="P1935" t="s">
        <v>4332</v>
      </c>
      <c r="Q1935">
        <v>0</v>
      </c>
      <c r="S1935">
        <v>58</v>
      </c>
      <c r="T1935">
        <v>22</v>
      </c>
      <c r="V1935">
        <v>86</v>
      </c>
    </row>
    <row r="1936" spans="1:22">
      <c r="A1936" s="32" t="s">
        <v>4333</v>
      </c>
      <c r="B1936" s="32" t="s">
        <v>4243</v>
      </c>
      <c r="C1936" s="32" t="s">
        <v>4334</v>
      </c>
      <c r="D1936" s="33">
        <v>0</v>
      </c>
      <c r="E1936" s="33" t="s">
        <v>1639</v>
      </c>
      <c r="F1936" s="33">
        <v>47</v>
      </c>
      <c r="G1936" s="33" t="s">
        <v>1639</v>
      </c>
      <c r="H1936" s="33">
        <v>0</v>
      </c>
      <c r="I1936" s="33">
        <v>56</v>
      </c>
      <c r="K1936" t="b">
        <f>QHPSelections2016[[#This Row],[County Name]]=P1936</f>
        <v>1</v>
      </c>
      <c r="L1936" t="b">
        <f>QHPSelections2016[[#This Row],[Silver]]=S1936</f>
        <v>1</v>
      </c>
      <c r="N1936">
        <v>46119</v>
      </c>
      <c r="O1936" t="s">
        <v>4243</v>
      </c>
      <c r="P1936" t="s">
        <v>4334</v>
      </c>
      <c r="Q1936">
        <v>0</v>
      </c>
      <c r="S1936">
        <v>47</v>
      </c>
      <c r="U1936">
        <v>0</v>
      </c>
      <c r="V1936">
        <v>56</v>
      </c>
    </row>
    <row r="1937" spans="1:22">
      <c r="A1937" s="32" t="s">
        <v>4335</v>
      </c>
      <c r="B1937" s="32" t="s">
        <v>4243</v>
      </c>
      <c r="C1937" s="32" t="s">
        <v>4336</v>
      </c>
      <c r="D1937" s="33">
        <v>0</v>
      </c>
      <c r="E1937" s="33" t="s">
        <v>1639</v>
      </c>
      <c r="F1937" s="33">
        <v>28</v>
      </c>
      <c r="G1937" s="33">
        <v>49</v>
      </c>
      <c r="H1937" s="33" t="s">
        <v>1639</v>
      </c>
      <c r="I1937" s="33">
        <v>78</v>
      </c>
      <c r="K1937" t="b">
        <f>QHPSelections2016[[#This Row],[County Name]]=P1937</f>
        <v>1</v>
      </c>
      <c r="L1937" t="b">
        <f>QHPSelections2016[[#This Row],[Silver]]=S1937</f>
        <v>1</v>
      </c>
      <c r="N1937">
        <v>46121</v>
      </c>
      <c r="O1937" t="s">
        <v>4243</v>
      </c>
      <c r="P1937" t="s">
        <v>4336</v>
      </c>
      <c r="Q1937">
        <v>0</v>
      </c>
      <c r="S1937">
        <v>28</v>
      </c>
      <c r="T1937">
        <v>49</v>
      </c>
      <c r="V1937">
        <v>78</v>
      </c>
    </row>
    <row r="1938" spans="1:22">
      <c r="A1938" s="32" t="s">
        <v>4337</v>
      </c>
      <c r="B1938" s="32" t="s">
        <v>4243</v>
      </c>
      <c r="C1938" s="32" t="s">
        <v>4338</v>
      </c>
      <c r="D1938" s="33">
        <v>0</v>
      </c>
      <c r="E1938" s="33" t="s">
        <v>1639</v>
      </c>
      <c r="F1938" s="33">
        <v>186</v>
      </c>
      <c r="G1938" s="33">
        <v>67</v>
      </c>
      <c r="H1938" s="33" t="s">
        <v>1639</v>
      </c>
      <c r="I1938" s="33">
        <v>275</v>
      </c>
      <c r="K1938" t="b">
        <f>QHPSelections2016[[#This Row],[County Name]]=P1938</f>
        <v>1</v>
      </c>
      <c r="L1938" t="b">
        <f>QHPSelections2016[[#This Row],[Silver]]=S1938</f>
        <v>1</v>
      </c>
      <c r="N1938">
        <v>46123</v>
      </c>
      <c r="O1938" t="s">
        <v>4243</v>
      </c>
      <c r="P1938" t="s">
        <v>4338</v>
      </c>
      <c r="Q1938">
        <v>0</v>
      </c>
      <c r="S1938">
        <v>186</v>
      </c>
      <c r="T1938">
        <v>67</v>
      </c>
      <c r="V1938">
        <v>275</v>
      </c>
    </row>
    <row r="1939" spans="1:22">
      <c r="A1939" s="32" t="s">
        <v>4339</v>
      </c>
      <c r="B1939" s="32" t="s">
        <v>4243</v>
      </c>
      <c r="C1939" s="32" t="s">
        <v>1326</v>
      </c>
      <c r="D1939" s="33">
        <v>0</v>
      </c>
      <c r="E1939" s="33" t="s">
        <v>1639</v>
      </c>
      <c r="F1939" s="33">
        <v>258</v>
      </c>
      <c r="G1939" s="33">
        <v>39</v>
      </c>
      <c r="H1939" s="33" t="s">
        <v>1639</v>
      </c>
      <c r="I1939" s="33">
        <v>311</v>
      </c>
      <c r="K1939" t="b">
        <f>QHPSelections2016[[#This Row],[County Name]]=P1939</f>
        <v>1</v>
      </c>
      <c r="L1939" t="b">
        <f>QHPSelections2016[[#This Row],[Silver]]=S1939</f>
        <v>1</v>
      </c>
      <c r="N1939">
        <v>46125</v>
      </c>
      <c r="O1939" t="s">
        <v>4243</v>
      </c>
      <c r="P1939" t="s">
        <v>1326</v>
      </c>
      <c r="Q1939">
        <v>0</v>
      </c>
      <c r="S1939">
        <v>258</v>
      </c>
      <c r="T1939">
        <v>39</v>
      </c>
      <c r="V1939">
        <v>311</v>
      </c>
    </row>
    <row r="1940" spans="1:22">
      <c r="A1940" s="32" t="s">
        <v>4340</v>
      </c>
      <c r="B1940" s="32" t="s">
        <v>4243</v>
      </c>
      <c r="C1940" s="32" t="s">
        <v>1149</v>
      </c>
      <c r="D1940" s="33">
        <v>0</v>
      </c>
      <c r="E1940" s="33" t="s">
        <v>1639</v>
      </c>
      <c r="F1940" s="33">
        <v>376</v>
      </c>
      <c r="G1940" s="33">
        <v>96</v>
      </c>
      <c r="H1940" s="33" t="s">
        <v>1639</v>
      </c>
      <c r="I1940" s="33">
        <v>495</v>
      </c>
      <c r="K1940" t="b">
        <f>QHPSelections2016[[#This Row],[County Name]]=P1940</f>
        <v>1</v>
      </c>
      <c r="L1940" t="b">
        <f>QHPSelections2016[[#This Row],[Silver]]=S1940</f>
        <v>1</v>
      </c>
      <c r="N1940">
        <v>46127</v>
      </c>
      <c r="O1940" t="s">
        <v>4243</v>
      </c>
      <c r="P1940" t="s">
        <v>1149</v>
      </c>
      <c r="Q1940">
        <v>0</v>
      </c>
      <c r="S1940">
        <v>376</v>
      </c>
      <c r="T1940">
        <v>96</v>
      </c>
      <c r="V1940">
        <v>495</v>
      </c>
    </row>
    <row r="1941" spans="1:22">
      <c r="A1941" s="32" t="s">
        <v>4341</v>
      </c>
      <c r="B1941" s="32" t="s">
        <v>4243</v>
      </c>
      <c r="C1941" s="32" t="s">
        <v>4342</v>
      </c>
      <c r="D1941" s="33">
        <v>0</v>
      </c>
      <c r="E1941" s="33" t="s">
        <v>1639</v>
      </c>
      <c r="F1941" s="33">
        <v>141</v>
      </c>
      <c r="G1941" s="33">
        <v>31</v>
      </c>
      <c r="H1941" s="33" t="s">
        <v>1639</v>
      </c>
      <c r="I1941" s="33">
        <v>181</v>
      </c>
      <c r="K1941" t="b">
        <f>QHPSelections2016[[#This Row],[County Name]]=P1941</f>
        <v>1</v>
      </c>
      <c r="L1941" t="b">
        <f>QHPSelections2016[[#This Row],[Silver]]=S1941</f>
        <v>1</v>
      </c>
      <c r="N1941">
        <v>46129</v>
      </c>
      <c r="O1941" t="s">
        <v>4243</v>
      </c>
      <c r="P1941" t="s">
        <v>4342</v>
      </c>
      <c r="Q1941">
        <v>0</v>
      </c>
      <c r="S1941">
        <v>141</v>
      </c>
      <c r="T1941">
        <v>31</v>
      </c>
      <c r="V1941">
        <v>181</v>
      </c>
    </row>
    <row r="1942" spans="1:22">
      <c r="A1942" s="32" t="s">
        <v>4343</v>
      </c>
      <c r="B1942" s="32" t="s">
        <v>4243</v>
      </c>
      <c r="C1942" s="32" t="s">
        <v>4344</v>
      </c>
      <c r="D1942" s="33">
        <v>0</v>
      </c>
      <c r="E1942" s="33" t="s">
        <v>1639</v>
      </c>
      <c r="F1942" s="33">
        <v>519</v>
      </c>
      <c r="G1942" s="33">
        <v>119</v>
      </c>
      <c r="H1942" s="33" t="s">
        <v>1639</v>
      </c>
      <c r="I1942" s="33">
        <v>681</v>
      </c>
      <c r="K1942" t="b">
        <f>QHPSelections2016[[#This Row],[County Name]]=P1942</f>
        <v>1</v>
      </c>
      <c r="L1942" t="b">
        <f>QHPSelections2016[[#This Row],[Silver]]=S1942</f>
        <v>1</v>
      </c>
      <c r="N1942">
        <v>46135</v>
      </c>
      <c r="O1942" t="s">
        <v>4243</v>
      </c>
      <c r="P1942" t="s">
        <v>4344</v>
      </c>
      <c r="Q1942">
        <v>0</v>
      </c>
      <c r="S1942">
        <v>519</v>
      </c>
      <c r="T1942">
        <v>119</v>
      </c>
      <c r="V1942">
        <v>681</v>
      </c>
    </row>
    <row r="1943" spans="1:22">
      <c r="A1943" s="32" t="s">
        <v>4345</v>
      </c>
      <c r="B1943" s="32" t="s">
        <v>4243</v>
      </c>
      <c r="C1943" s="32" t="s">
        <v>4346</v>
      </c>
      <c r="D1943" s="33">
        <v>0</v>
      </c>
      <c r="E1943" s="33" t="s">
        <v>1639</v>
      </c>
      <c r="F1943" s="33">
        <v>18</v>
      </c>
      <c r="G1943" s="33" t="s">
        <v>1639</v>
      </c>
      <c r="H1943" s="33">
        <v>0</v>
      </c>
      <c r="I1943" s="33">
        <v>23</v>
      </c>
      <c r="K1943" t="b">
        <f>QHPSelections2016[[#This Row],[County Name]]=P1943</f>
        <v>1</v>
      </c>
      <c r="L1943" t="b">
        <f>QHPSelections2016[[#This Row],[Silver]]=S1943</f>
        <v>1</v>
      </c>
      <c r="N1943">
        <v>46137</v>
      </c>
      <c r="O1943" t="s">
        <v>4243</v>
      </c>
      <c r="P1943" t="s">
        <v>4346</v>
      </c>
      <c r="Q1943">
        <v>0</v>
      </c>
      <c r="S1943">
        <v>18</v>
      </c>
      <c r="U1943">
        <v>0</v>
      </c>
      <c r="V1943">
        <v>23</v>
      </c>
    </row>
    <row r="1944" spans="1:22">
      <c r="A1944" s="32" t="s">
        <v>4347</v>
      </c>
      <c r="B1944" s="32" t="s">
        <v>1565</v>
      </c>
      <c r="C1944" s="32" t="s">
        <v>822</v>
      </c>
      <c r="D1944" s="33">
        <v>14</v>
      </c>
      <c r="E1944" s="33">
        <v>158</v>
      </c>
      <c r="F1944" s="33">
        <v>2092</v>
      </c>
      <c r="G1944" s="33">
        <v>458</v>
      </c>
      <c r="H1944" s="33">
        <v>34</v>
      </c>
      <c r="I1944" s="33">
        <v>2756</v>
      </c>
      <c r="K1944" t="b">
        <f>QHPSelections2016[[#This Row],[County Name]]=P1944</f>
        <v>1</v>
      </c>
      <c r="L1944" t="b">
        <f>QHPSelections2016[[#This Row],[Silver]]=S1944</f>
        <v>1</v>
      </c>
      <c r="N1944">
        <v>47001</v>
      </c>
      <c r="O1944" t="s">
        <v>1565</v>
      </c>
      <c r="P1944" t="s">
        <v>822</v>
      </c>
      <c r="Q1944">
        <v>14</v>
      </c>
      <c r="R1944">
        <v>158</v>
      </c>
      <c r="S1944" s="51">
        <v>2092</v>
      </c>
      <c r="T1944">
        <v>458</v>
      </c>
      <c r="U1944">
        <v>34</v>
      </c>
      <c r="V1944" s="51">
        <v>2756</v>
      </c>
    </row>
    <row r="1945" spans="1:22">
      <c r="A1945" s="32" t="s">
        <v>4348</v>
      </c>
      <c r="B1945" s="32" t="s">
        <v>1565</v>
      </c>
      <c r="C1945" s="32" t="s">
        <v>828</v>
      </c>
      <c r="D1945" s="33" t="s">
        <v>1639</v>
      </c>
      <c r="E1945" s="33">
        <v>26</v>
      </c>
      <c r="F1945" s="33">
        <v>1143</v>
      </c>
      <c r="G1945" s="33">
        <v>415</v>
      </c>
      <c r="H1945" s="33" t="s">
        <v>1639</v>
      </c>
      <c r="I1945" s="33">
        <v>1594</v>
      </c>
      <c r="K1945" t="b">
        <f>QHPSelections2016[[#This Row],[County Name]]=P1945</f>
        <v>1</v>
      </c>
      <c r="L1945" t="b">
        <f>QHPSelections2016[[#This Row],[Silver]]=S1945</f>
        <v>1</v>
      </c>
      <c r="N1945">
        <v>47003</v>
      </c>
      <c r="O1945" t="s">
        <v>1565</v>
      </c>
      <c r="P1945" t="s">
        <v>828</v>
      </c>
      <c r="R1945">
        <v>26</v>
      </c>
      <c r="S1945" s="51">
        <v>1143</v>
      </c>
      <c r="T1945">
        <v>415</v>
      </c>
      <c r="V1945" s="51">
        <v>1594</v>
      </c>
    </row>
    <row r="1946" spans="1:22">
      <c r="A1946" s="32" t="s">
        <v>4349</v>
      </c>
      <c r="B1946" s="32" t="s">
        <v>1565</v>
      </c>
      <c r="C1946" s="32" t="s">
        <v>835</v>
      </c>
      <c r="D1946" s="33" t="s">
        <v>1639</v>
      </c>
      <c r="E1946" s="33">
        <v>15</v>
      </c>
      <c r="F1946" s="33">
        <v>454</v>
      </c>
      <c r="G1946" s="33">
        <v>156</v>
      </c>
      <c r="H1946" s="33" t="s">
        <v>1639</v>
      </c>
      <c r="I1946" s="33">
        <v>636</v>
      </c>
      <c r="K1946" t="b">
        <f>QHPSelections2016[[#This Row],[County Name]]=P1946</f>
        <v>1</v>
      </c>
      <c r="L1946" t="b">
        <f>QHPSelections2016[[#This Row],[Silver]]=S1946</f>
        <v>1</v>
      </c>
      <c r="N1946">
        <v>47005</v>
      </c>
      <c r="O1946" t="s">
        <v>1565</v>
      </c>
      <c r="P1946" t="s">
        <v>835</v>
      </c>
      <c r="R1946">
        <v>15</v>
      </c>
      <c r="S1946">
        <v>454</v>
      </c>
      <c r="T1946">
        <v>156</v>
      </c>
      <c r="V1946">
        <v>636</v>
      </c>
    </row>
    <row r="1947" spans="1:22">
      <c r="A1947" s="32" t="s">
        <v>4350</v>
      </c>
      <c r="B1947" s="32" t="s">
        <v>1565</v>
      </c>
      <c r="C1947" s="32" t="s">
        <v>841</v>
      </c>
      <c r="D1947" s="33" t="s">
        <v>1639</v>
      </c>
      <c r="E1947" s="33" t="s">
        <v>1639</v>
      </c>
      <c r="F1947" s="33">
        <v>306</v>
      </c>
      <c r="G1947" s="33">
        <v>69</v>
      </c>
      <c r="H1947" s="33">
        <v>0</v>
      </c>
      <c r="I1947" s="33">
        <v>380</v>
      </c>
      <c r="K1947" t="b">
        <f>QHPSelections2016[[#This Row],[County Name]]=P1947</f>
        <v>1</v>
      </c>
      <c r="L1947" t="b">
        <f>QHPSelections2016[[#This Row],[Silver]]=S1947</f>
        <v>1</v>
      </c>
      <c r="N1947">
        <v>47007</v>
      </c>
      <c r="O1947" t="s">
        <v>1565</v>
      </c>
      <c r="P1947" t="s">
        <v>841</v>
      </c>
      <c r="S1947">
        <v>306</v>
      </c>
      <c r="T1947">
        <v>69</v>
      </c>
      <c r="U1947">
        <v>0</v>
      </c>
      <c r="V1947">
        <v>380</v>
      </c>
    </row>
    <row r="1948" spans="1:22">
      <c r="A1948" s="32" t="s">
        <v>4351</v>
      </c>
      <c r="B1948" s="32" t="s">
        <v>1565</v>
      </c>
      <c r="C1948" s="32" t="s">
        <v>843</v>
      </c>
      <c r="D1948" s="33">
        <v>25</v>
      </c>
      <c r="E1948" s="33">
        <v>266</v>
      </c>
      <c r="F1948" s="33">
        <v>3571</v>
      </c>
      <c r="G1948" s="33">
        <v>1181</v>
      </c>
      <c r="H1948" s="33">
        <v>81</v>
      </c>
      <c r="I1948" s="33">
        <v>5124</v>
      </c>
      <c r="K1948" t="b">
        <f>QHPSelections2016[[#This Row],[County Name]]=P1948</f>
        <v>1</v>
      </c>
      <c r="L1948" t="b">
        <f>QHPSelections2016[[#This Row],[Silver]]=S1948</f>
        <v>1</v>
      </c>
      <c r="N1948">
        <v>47009</v>
      </c>
      <c r="O1948" t="s">
        <v>1565</v>
      </c>
      <c r="P1948" t="s">
        <v>843</v>
      </c>
      <c r="Q1948">
        <v>25</v>
      </c>
      <c r="R1948">
        <v>266</v>
      </c>
      <c r="S1948" s="51">
        <v>3571</v>
      </c>
      <c r="T1948" s="51">
        <v>1181</v>
      </c>
      <c r="U1948">
        <v>81</v>
      </c>
      <c r="V1948" s="51">
        <v>5124</v>
      </c>
    </row>
    <row r="1949" spans="1:22">
      <c r="A1949" s="32" t="s">
        <v>4352</v>
      </c>
      <c r="B1949" s="32" t="s">
        <v>1565</v>
      </c>
      <c r="C1949" s="32" t="s">
        <v>852</v>
      </c>
      <c r="D1949" s="33">
        <v>17</v>
      </c>
      <c r="E1949" s="33">
        <v>131</v>
      </c>
      <c r="F1949" s="33">
        <v>2863</v>
      </c>
      <c r="G1949" s="33">
        <v>852</v>
      </c>
      <c r="H1949" s="33">
        <v>33</v>
      </c>
      <c r="I1949" s="33">
        <v>3896</v>
      </c>
      <c r="K1949" t="b">
        <f>QHPSelections2016[[#This Row],[County Name]]=P1949</f>
        <v>1</v>
      </c>
      <c r="L1949" t="b">
        <f>QHPSelections2016[[#This Row],[Silver]]=S1949</f>
        <v>1</v>
      </c>
      <c r="N1949">
        <v>47011</v>
      </c>
      <c r="O1949" t="s">
        <v>1565</v>
      </c>
      <c r="P1949" t="s">
        <v>852</v>
      </c>
      <c r="Q1949">
        <v>17</v>
      </c>
      <c r="R1949">
        <v>131</v>
      </c>
      <c r="S1949" s="51">
        <v>2863</v>
      </c>
      <c r="T1949">
        <v>852</v>
      </c>
      <c r="U1949">
        <v>33</v>
      </c>
      <c r="V1949" s="51">
        <v>3896</v>
      </c>
    </row>
    <row r="1950" spans="1:22">
      <c r="A1950" s="32" t="s">
        <v>4353</v>
      </c>
      <c r="B1950" s="32" t="s">
        <v>1565</v>
      </c>
      <c r="C1950" s="32" t="s">
        <v>858</v>
      </c>
      <c r="D1950" s="33" t="s">
        <v>1639</v>
      </c>
      <c r="E1950" s="33">
        <v>58</v>
      </c>
      <c r="F1950" s="33">
        <v>975</v>
      </c>
      <c r="G1950" s="33">
        <v>270</v>
      </c>
      <c r="H1950" s="33" t="s">
        <v>1639</v>
      </c>
      <c r="I1950" s="33">
        <v>1325</v>
      </c>
      <c r="K1950" t="b">
        <f>QHPSelections2016[[#This Row],[County Name]]=P1950</f>
        <v>1</v>
      </c>
      <c r="L1950" t="b">
        <f>QHPSelections2016[[#This Row],[Silver]]=S1950</f>
        <v>1</v>
      </c>
      <c r="N1950">
        <v>47013</v>
      </c>
      <c r="O1950" t="s">
        <v>1565</v>
      </c>
      <c r="P1950" t="s">
        <v>858</v>
      </c>
      <c r="R1950">
        <v>58</v>
      </c>
      <c r="S1950">
        <v>975</v>
      </c>
      <c r="T1950">
        <v>270</v>
      </c>
      <c r="V1950" s="51">
        <v>1325</v>
      </c>
    </row>
    <row r="1951" spans="1:22">
      <c r="A1951" s="32" t="s">
        <v>4354</v>
      </c>
      <c r="B1951" s="32" t="s">
        <v>1565</v>
      </c>
      <c r="C1951" s="32" t="s">
        <v>864</v>
      </c>
      <c r="D1951" s="33" t="s">
        <v>1639</v>
      </c>
      <c r="E1951" s="33">
        <v>13</v>
      </c>
      <c r="F1951" s="33">
        <v>359</v>
      </c>
      <c r="G1951" s="33">
        <v>144</v>
      </c>
      <c r="H1951" s="33" t="s">
        <v>1639</v>
      </c>
      <c r="I1951" s="33">
        <v>521</v>
      </c>
      <c r="K1951" t="b">
        <f>QHPSelections2016[[#This Row],[County Name]]=P1951</f>
        <v>1</v>
      </c>
      <c r="L1951" t="b">
        <f>QHPSelections2016[[#This Row],[Silver]]=S1951</f>
        <v>1</v>
      </c>
      <c r="N1951">
        <v>47015</v>
      </c>
      <c r="O1951" t="s">
        <v>1565</v>
      </c>
      <c r="P1951" t="s">
        <v>864</v>
      </c>
      <c r="R1951">
        <v>13</v>
      </c>
      <c r="S1951">
        <v>359</v>
      </c>
      <c r="T1951">
        <v>144</v>
      </c>
      <c r="V1951">
        <v>521</v>
      </c>
    </row>
    <row r="1952" spans="1:22">
      <c r="A1952" s="32" t="s">
        <v>4355</v>
      </c>
      <c r="B1952" s="32" t="s">
        <v>1565</v>
      </c>
      <c r="C1952" s="32" t="s">
        <v>862</v>
      </c>
      <c r="D1952" s="33" t="s">
        <v>1639</v>
      </c>
      <c r="E1952" s="33">
        <v>24</v>
      </c>
      <c r="F1952" s="33">
        <v>683</v>
      </c>
      <c r="G1952" s="33">
        <v>250</v>
      </c>
      <c r="H1952" s="33" t="s">
        <v>1639</v>
      </c>
      <c r="I1952" s="33">
        <v>973</v>
      </c>
      <c r="K1952" t="b">
        <f>QHPSelections2016[[#This Row],[County Name]]=P1952</f>
        <v>1</v>
      </c>
      <c r="L1952" t="b">
        <f>QHPSelections2016[[#This Row],[Silver]]=S1952</f>
        <v>1</v>
      </c>
      <c r="N1952">
        <v>47017</v>
      </c>
      <c r="O1952" t="s">
        <v>1565</v>
      </c>
      <c r="P1952" t="s">
        <v>862</v>
      </c>
      <c r="R1952">
        <v>24</v>
      </c>
      <c r="S1952">
        <v>683</v>
      </c>
      <c r="T1952">
        <v>250</v>
      </c>
      <c r="V1952">
        <v>973</v>
      </c>
    </row>
    <row r="1953" spans="1:22">
      <c r="A1953" s="32" t="s">
        <v>4356</v>
      </c>
      <c r="B1953" s="32" t="s">
        <v>1565</v>
      </c>
      <c r="C1953" s="32" t="s">
        <v>877</v>
      </c>
      <c r="D1953" s="33" t="s">
        <v>1639</v>
      </c>
      <c r="E1953" s="33">
        <v>20</v>
      </c>
      <c r="F1953" s="33">
        <v>1617</v>
      </c>
      <c r="G1953" s="33">
        <v>558</v>
      </c>
      <c r="H1953" s="33" t="s">
        <v>1639</v>
      </c>
      <c r="I1953" s="33">
        <v>2211</v>
      </c>
      <c r="K1953" t="b">
        <f>QHPSelections2016[[#This Row],[County Name]]=P1953</f>
        <v>1</v>
      </c>
      <c r="L1953" t="b">
        <f>QHPSelections2016[[#This Row],[Silver]]=S1953</f>
        <v>1</v>
      </c>
      <c r="N1953">
        <v>47019</v>
      </c>
      <c r="O1953" t="s">
        <v>1565</v>
      </c>
      <c r="P1953" t="s">
        <v>877</v>
      </c>
      <c r="R1953">
        <v>20</v>
      </c>
      <c r="S1953" s="51">
        <v>1617</v>
      </c>
      <c r="T1953">
        <v>558</v>
      </c>
      <c r="V1953" s="51">
        <v>2211</v>
      </c>
    </row>
    <row r="1954" spans="1:22">
      <c r="A1954" s="32" t="s">
        <v>4357</v>
      </c>
      <c r="B1954" s="32" t="s">
        <v>1565</v>
      </c>
      <c r="C1954" s="32" t="s">
        <v>883</v>
      </c>
      <c r="D1954" s="33" t="s">
        <v>1639</v>
      </c>
      <c r="E1954" s="33">
        <v>41</v>
      </c>
      <c r="F1954" s="33">
        <v>1138</v>
      </c>
      <c r="G1954" s="33">
        <v>507</v>
      </c>
      <c r="H1954" s="33" t="s">
        <v>1639</v>
      </c>
      <c r="I1954" s="33">
        <v>1709</v>
      </c>
      <c r="K1954" t="b">
        <f>QHPSelections2016[[#This Row],[County Name]]=P1954</f>
        <v>1</v>
      </c>
      <c r="L1954" t="b">
        <f>QHPSelections2016[[#This Row],[Silver]]=S1954</f>
        <v>1</v>
      </c>
      <c r="N1954">
        <v>47021</v>
      </c>
      <c r="O1954" t="s">
        <v>1565</v>
      </c>
      <c r="P1954" t="s">
        <v>883</v>
      </c>
      <c r="R1954">
        <v>41</v>
      </c>
      <c r="S1954" s="51">
        <v>1138</v>
      </c>
      <c r="T1954">
        <v>507</v>
      </c>
      <c r="V1954" s="51">
        <v>1709</v>
      </c>
    </row>
    <row r="1955" spans="1:22">
      <c r="A1955" s="32" t="s">
        <v>4358</v>
      </c>
      <c r="B1955" s="32" t="s">
        <v>1565</v>
      </c>
      <c r="C1955" s="32" t="s">
        <v>889</v>
      </c>
      <c r="D1955" s="33" t="s">
        <v>1639</v>
      </c>
      <c r="E1955" s="33">
        <v>16</v>
      </c>
      <c r="F1955" s="33">
        <v>401</v>
      </c>
      <c r="G1955" s="33">
        <v>146</v>
      </c>
      <c r="H1955" s="33" t="s">
        <v>1639</v>
      </c>
      <c r="I1955" s="33">
        <v>571</v>
      </c>
      <c r="K1955" t="b">
        <f>QHPSelections2016[[#This Row],[County Name]]=P1955</f>
        <v>1</v>
      </c>
      <c r="L1955" t="b">
        <f>QHPSelections2016[[#This Row],[Silver]]=S1955</f>
        <v>1</v>
      </c>
      <c r="N1955">
        <v>47023</v>
      </c>
      <c r="O1955" t="s">
        <v>1565</v>
      </c>
      <c r="P1955" t="s">
        <v>889</v>
      </c>
      <c r="R1955">
        <v>16</v>
      </c>
      <c r="S1955">
        <v>401</v>
      </c>
      <c r="T1955">
        <v>146</v>
      </c>
      <c r="V1955">
        <v>571</v>
      </c>
    </row>
    <row r="1956" spans="1:22">
      <c r="A1956" s="32" t="s">
        <v>4359</v>
      </c>
      <c r="B1956" s="32" t="s">
        <v>1565</v>
      </c>
      <c r="C1956" s="32" t="s">
        <v>881</v>
      </c>
      <c r="D1956" s="33" t="s">
        <v>1639</v>
      </c>
      <c r="E1956" s="33">
        <v>40</v>
      </c>
      <c r="F1956" s="33">
        <v>873</v>
      </c>
      <c r="G1956" s="33">
        <v>198</v>
      </c>
      <c r="H1956" s="33" t="s">
        <v>1639</v>
      </c>
      <c r="I1956" s="33">
        <v>1146</v>
      </c>
      <c r="K1956" t="b">
        <f>QHPSelections2016[[#This Row],[County Name]]=P1956</f>
        <v>1</v>
      </c>
      <c r="L1956" t="b">
        <f>QHPSelections2016[[#This Row],[Silver]]=S1956</f>
        <v>1</v>
      </c>
      <c r="N1956">
        <v>47025</v>
      </c>
      <c r="O1956" t="s">
        <v>1565</v>
      </c>
      <c r="P1956" t="s">
        <v>881</v>
      </c>
      <c r="R1956">
        <v>40</v>
      </c>
      <c r="S1956">
        <v>873</v>
      </c>
      <c r="T1956">
        <v>198</v>
      </c>
      <c r="V1956" s="51">
        <v>1146</v>
      </c>
    </row>
    <row r="1957" spans="1:22">
      <c r="A1957" s="32" t="s">
        <v>4360</v>
      </c>
      <c r="B1957" s="32" t="s">
        <v>1565</v>
      </c>
      <c r="C1957" s="32" t="s">
        <v>873</v>
      </c>
      <c r="D1957" s="33">
        <v>0</v>
      </c>
      <c r="E1957" s="33" t="s">
        <v>1639</v>
      </c>
      <c r="F1957" s="33">
        <v>312</v>
      </c>
      <c r="G1957" s="33">
        <v>90</v>
      </c>
      <c r="H1957" s="33" t="s">
        <v>1639</v>
      </c>
      <c r="I1957" s="33">
        <v>410</v>
      </c>
      <c r="K1957" t="b">
        <f>QHPSelections2016[[#This Row],[County Name]]=P1957</f>
        <v>1</v>
      </c>
      <c r="L1957" t="b">
        <f>QHPSelections2016[[#This Row],[Silver]]=S1957</f>
        <v>1</v>
      </c>
      <c r="N1957">
        <v>47027</v>
      </c>
      <c r="O1957" t="s">
        <v>1565</v>
      </c>
      <c r="P1957" t="s">
        <v>873</v>
      </c>
      <c r="Q1957">
        <v>0</v>
      </c>
      <c r="S1957">
        <v>312</v>
      </c>
      <c r="T1957">
        <v>90</v>
      </c>
      <c r="V1957">
        <v>410</v>
      </c>
    </row>
    <row r="1958" spans="1:22">
      <c r="A1958" s="32" t="s">
        <v>4361</v>
      </c>
      <c r="B1958" s="32" t="s">
        <v>1565</v>
      </c>
      <c r="C1958" s="32" t="s">
        <v>905</v>
      </c>
      <c r="D1958" s="33" t="s">
        <v>1639</v>
      </c>
      <c r="E1958" s="33">
        <v>20</v>
      </c>
      <c r="F1958" s="33">
        <v>1119</v>
      </c>
      <c r="G1958" s="33">
        <v>283</v>
      </c>
      <c r="H1958" s="33" t="s">
        <v>1639</v>
      </c>
      <c r="I1958" s="33">
        <v>1444</v>
      </c>
      <c r="K1958" t="b">
        <f>QHPSelections2016[[#This Row],[County Name]]=P1958</f>
        <v>1</v>
      </c>
      <c r="L1958" t="b">
        <f>QHPSelections2016[[#This Row],[Silver]]=S1958</f>
        <v>1</v>
      </c>
      <c r="N1958">
        <v>47029</v>
      </c>
      <c r="O1958" t="s">
        <v>1565</v>
      </c>
      <c r="P1958" t="s">
        <v>905</v>
      </c>
      <c r="R1958">
        <v>20</v>
      </c>
      <c r="S1958" s="51">
        <v>1119</v>
      </c>
      <c r="T1958">
        <v>283</v>
      </c>
      <c r="V1958" s="51">
        <v>1444</v>
      </c>
    </row>
    <row r="1959" spans="1:22">
      <c r="A1959" s="32" t="s">
        <v>4362</v>
      </c>
      <c r="B1959" s="32" t="s">
        <v>1565</v>
      </c>
      <c r="C1959" s="32" t="s">
        <v>907</v>
      </c>
      <c r="D1959" s="33">
        <v>11</v>
      </c>
      <c r="E1959" s="33">
        <v>48</v>
      </c>
      <c r="F1959" s="33">
        <v>1387</v>
      </c>
      <c r="G1959" s="33">
        <v>446</v>
      </c>
      <c r="H1959" s="33">
        <v>12</v>
      </c>
      <c r="I1959" s="33">
        <v>1904</v>
      </c>
      <c r="K1959" t="b">
        <f>QHPSelections2016[[#This Row],[County Name]]=P1959</f>
        <v>1</v>
      </c>
      <c r="L1959" t="b">
        <f>QHPSelections2016[[#This Row],[Silver]]=S1959</f>
        <v>1</v>
      </c>
      <c r="N1959">
        <v>47031</v>
      </c>
      <c r="O1959" t="s">
        <v>1565</v>
      </c>
      <c r="P1959" t="s">
        <v>907</v>
      </c>
      <c r="Q1959">
        <v>11</v>
      </c>
      <c r="R1959">
        <v>48</v>
      </c>
      <c r="S1959" s="51">
        <v>1387</v>
      </c>
      <c r="T1959">
        <v>446</v>
      </c>
      <c r="U1959">
        <v>12</v>
      </c>
      <c r="V1959" s="51">
        <v>1904</v>
      </c>
    </row>
    <row r="1960" spans="1:22">
      <c r="A1960" s="32" t="s">
        <v>4363</v>
      </c>
      <c r="B1960" s="32" t="s">
        <v>1565</v>
      </c>
      <c r="C1960" s="32" t="s">
        <v>916</v>
      </c>
      <c r="D1960" s="33" t="s">
        <v>1639</v>
      </c>
      <c r="E1960" s="33">
        <v>15</v>
      </c>
      <c r="F1960" s="33">
        <v>383</v>
      </c>
      <c r="G1960" s="33">
        <v>162</v>
      </c>
      <c r="H1960" s="33" t="s">
        <v>1639</v>
      </c>
      <c r="I1960" s="33">
        <v>570</v>
      </c>
      <c r="K1960" t="b">
        <f>QHPSelections2016[[#This Row],[County Name]]=P1960</f>
        <v>1</v>
      </c>
      <c r="L1960" t="b">
        <f>QHPSelections2016[[#This Row],[Silver]]=S1960</f>
        <v>1</v>
      </c>
      <c r="N1960">
        <v>47033</v>
      </c>
      <c r="O1960" t="s">
        <v>1565</v>
      </c>
      <c r="P1960" t="s">
        <v>916</v>
      </c>
      <c r="R1960">
        <v>15</v>
      </c>
      <c r="S1960">
        <v>383</v>
      </c>
      <c r="T1960">
        <v>162</v>
      </c>
      <c r="V1960">
        <v>570</v>
      </c>
    </row>
    <row r="1961" spans="1:22">
      <c r="A1961" s="32" t="s">
        <v>4364</v>
      </c>
      <c r="B1961" s="32" t="s">
        <v>1565</v>
      </c>
      <c r="C1961" s="32" t="s">
        <v>923</v>
      </c>
      <c r="D1961" s="33" t="s">
        <v>1639</v>
      </c>
      <c r="E1961" s="33">
        <v>53</v>
      </c>
      <c r="F1961" s="33">
        <v>1463</v>
      </c>
      <c r="G1961" s="33">
        <v>554</v>
      </c>
      <c r="H1961" s="33" t="s">
        <v>1639</v>
      </c>
      <c r="I1961" s="33">
        <v>2098</v>
      </c>
      <c r="K1961" t="b">
        <f>QHPSelections2016[[#This Row],[County Name]]=P1961</f>
        <v>1</v>
      </c>
      <c r="L1961" t="b">
        <f>QHPSelections2016[[#This Row],[Silver]]=S1961</f>
        <v>1</v>
      </c>
      <c r="N1961">
        <v>47035</v>
      </c>
      <c r="O1961" t="s">
        <v>1565</v>
      </c>
      <c r="P1961" t="s">
        <v>923</v>
      </c>
      <c r="R1961">
        <v>53</v>
      </c>
      <c r="S1961" s="51">
        <v>1463</v>
      </c>
      <c r="T1961">
        <v>554</v>
      </c>
      <c r="V1961" s="51">
        <v>2098</v>
      </c>
    </row>
    <row r="1962" spans="1:22">
      <c r="A1962" s="32" t="s">
        <v>4365</v>
      </c>
      <c r="B1962" s="32" t="s">
        <v>1565</v>
      </c>
      <c r="C1962" s="32" t="s">
        <v>928</v>
      </c>
      <c r="D1962" s="33">
        <v>222</v>
      </c>
      <c r="E1962" s="33">
        <v>953</v>
      </c>
      <c r="F1962" s="33">
        <v>22665</v>
      </c>
      <c r="G1962" s="33">
        <v>11389</v>
      </c>
      <c r="H1962" s="33">
        <v>359</v>
      </c>
      <c r="I1962" s="33">
        <v>35588</v>
      </c>
      <c r="K1962" t="b">
        <f>QHPSelections2016[[#This Row],[County Name]]=P1962</f>
        <v>1</v>
      </c>
      <c r="L1962" t="b">
        <f>QHPSelections2016[[#This Row],[Silver]]=S1962</f>
        <v>1</v>
      </c>
      <c r="N1962">
        <v>47037</v>
      </c>
      <c r="O1962" t="s">
        <v>1565</v>
      </c>
      <c r="P1962" t="s">
        <v>928</v>
      </c>
      <c r="Q1962">
        <v>222</v>
      </c>
      <c r="R1962">
        <v>953</v>
      </c>
      <c r="S1962" s="51">
        <v>22665</v>
      </c>
      <c r="T1962" s="51">
        <v>11389</v>
      </c>
      <c r="U1962">
        <v>359</v>
      </c>
      <c r="V1962" s="51">
        <v>35588</v>
      </c>
    </row>
    <row r="1963" spans="1:22">
      <c r="A1963" s="32" t="s">
        <v>4366</v>
      </c>
      <c r="B1963" s="32" t="s">
        <v>1565</v>
      </c>
      <c r="C1963" s="32" t="s">
        <v>932</v>
      </c>
      <c r="D1963" s="33" t="s">
        <v>1639</v>
      </c>
      <c r="E1963" s="33" t="s">
        <v>1639</v>
      </c>
      <c r="F1963" s="33">
        <v>411</v>
      </c>
      <c r="G1963" s="33">
        <v>141</v>
      </c>
      <c r="H1963" s="33" t="s">
        <v>1639</v>
      </c>
      <c r="I1963" s="33">
        <v>560</v>
      </c>
      <c r="K1963" t="b">
        <f>QHPSelections2016[[#This Row],[County Name]]=P1963</f>
        <v>1</v>
      </c>
      <c r="L1963" t="b">
        <f>QHPSelections2016[[#This Row],[Silver]]=S1963</f>
        <v>1</v>
      </c>
      <c r="N1963">
        <v>47039</v>
      </c>
      <c r="O1963" t="s">
        <v>1565</v>
      </c>
      <c r="P1963" t="s">
        <v>932</v>
      </c>
      <c r="S1963">
        <v>411</v>
      </c>
      <c r="T1963">
        <v>141</v>
      </c>
      <c r="V1963">
        <v>560</v>
      </c>
    </row>
    <row r="1964" spans="1:22">
      <c r="A1964" s="32" t="s">
        <v>4367</v>
      </c>
      <c r="B1964" s="32" t="s">
        <v>1565</v>
      </c>
      <c r="C1964" s="32" t="s">
        <v>939</v>
      </c>
      <c r="D1964" s="33" t="s">
        <v>1639</v>
      </c>
      <c r="E1964" s="33">
        <v>13</v>
      </c>
      <c r="F1964" s="33">
        <v>551</v>
      </c>
      <c r="G1964" s="33">
        <v>168</v>
      </c>
      <c r="H1964" s="33" t="s">
        <v>1639</v>
      </c>
      <c r="I1964" s="33">
        <v>743</v>
      </c>
      <c r="K1964" t="b">
        <f>QHPSelections2016[[#This Row],[County Name]]=P1964</f>
        <v>1</v>
      </c>
      <c r="L1964" t="b">
        <f>QHPSelections2016[[#This Row],[Silver]]=S1964</f>
        <v>1</v>
      </c>
      <c r="N1964">
        <v>47041</v>
      </c>
      <c r="O1964" t="s">
        <v>1565</v>
      </c>
      <c r="P1964" t="s">
        <v>939</v>
      </c>
      <c r="R1964">
        <v>13</v>
      </c>
      <c r="S1964">
        <v>551</v>
      </c>
      <c r="T1964">
        <v>168</v>
      </c>
      <c r="V1964">
        <v>743</v>
      </c>
    </row>
    <row r="1965" spans="1:22">
      <c r="A1965" s="32" t="s">
        <v>4368</v>
      </c>
      <c r="B1965" s="32" t="s">
        <v>1565</v>
      </c>
      <c r="C1965" s="32" t="s">
        <v>944</v>
      </c>
      <c r="D1965" s="33" t="s">
        <v>1639</v>
      </c>
      <c r="E1965" s="33">
        <v>48</v>
      </c>
      <c r="F1965" s="33">
        <v>1514</v>
      </c>
      <c r="G1965" s="33">
        <v>546</v>
      </c>
      <c r="H1965" s="33" t="s">
        <v>1639</v>
      </c>
      <c r="I1965" s="33">
        <v>2127</v>
      </c>
      <c r="K1965" t="b">
        <f>QHPSelections2016[[#This Row],[County Name]]=P1965</f>
        <v>1</v>
      </c>
      <c r="L1965" t="b">
        <f>QHPSelections2016[[#This Row],[Silver]]=S1965</f>
        <v>1</v>
      </c>
      <c r="N1965">
        <v>47043</v>
      </c>
      <c r="O1965" t="s">
        <v>1565</v>
      </c>
      <c r="P1965" t="s">
        <v>944</v>
      </c>
      <c r="R1965">
        <v>48</v>
      </c>
      <c r="S1965" s="51">
        <v>1514</v>
      </c>
      <c r="T1965">
        <v>546</v>
      </c>
      <c r="V1965" s="51">
        <v>2127</v>
      </c>
    </row>
    <row r="1966" spans="1:22">
      <c r="A1966" s="32" t="s">
        <v>4369</v>
      </c>
      <c r="B1966" s="32" t="s">
        <v>1565</v>
      </c>
      <c r="C1966" s="32" t="s">
        <v>951</v>
      </c>
      <c r="D1966" s="33" t="s">
        <v>1639</v>
      </c>
      <c r="E1966" s="33">
        <v>27</v>
      </c>
      <c r="F1966" s="33">
        <v>946</v>
      </c>
      <c r="G1966" s="33">
        <v>389</v>
      </c>
      <c r="H1966" s="33" t="s">
        <v>1639</v>
      </c>
      <c r="I1966" s="33">
        <v>1372</v>
      </c>
      <c r="K1966" t="b">
        <f>QHPSelections2016[[#This Row],[County Name]]=P1966</f>
        <v>1</v>
      </c>
      <c r="L1966" t="b">
        <f>QHPSelections2016[[#This Row],[Silver]]=S1966</f>
        <v>1</v>
      </c>
      <c r="N1966">
        <v>47045</v>
      </c>
      <c r="O1966" t="s">
        <v>1565</v>
      </c>
      <c r="P1966" t="s">
        <v>951</v>
      </c>
      <c r="R1966">
        <v>27</v>
      </c>
      <c r="S1966">
        <v>946</v>
      </c>
      <c r="T1966">
        <v>389</v>
      </c>
      <c r="V1966" s="51">
        <v>1372</v>
      </c>
    </row>
    <row r="1967" spans="1:22">
      <c r="A1967" s="32" t="s">
        <v>4370</v>
      </c>
      <c r="B1967" s="32" t="s">
        <v>1565</v>
      </c>
      <c r="C1967" s="32" t="s">
        <v>958</v>
      </c>
      <c r="D1967" s="33" t="s">
        <v>1639</v>
      </c>
      <c r="E1967" s="33">
        <v>97</v>
      </c>
      <c r="F1967" s="33">
        <v>1154</v>
      </c>
      <c r="G1967" s="33">
        <v>346</v>
      </c>
      <c r="H1967" s="33" t="s">
        <v>1639</v>
      </c>
      <c r="I1967" s="33">
        <v>1624</v>
      </c>
      <c r="K1967" t="b">
        <f>QHPSelections2016[[#This Row],[County Name]]=P1967</f>
        <v>1</v>
      </c>
      <c r="L1967" t="b">
        <f>QHPSelections2016[[#This Row],[Silver]]=S1967</f>
        <v>1</v>
      </c>
      <c r="N1967">
        <v>47047</v>
      </c>
      <c r="O1967" t="s">
        <v>1565</v>
      </c>
      <c r="P1967" t="s">
        <v>958</v>
      </c>
      <c r="R1967">
        <v>97</v>
      </c>
      <c r="S1967" s="51">
        <v>1154</v>
      </c>
      <c r="T1967">
        <v>346</v>
      </c>
      <c r="V1967" s="51">
        <v>1624</v>
      </c>
    </row>
    <row r="1968" spans="1:22">
      <c r="A1968" s="32" t="s">
        <v>4371</v>
      </c>
      <c r="B1968" s="32" t="s">
        <v>1565</v>
      </c>
      <c r="C1968" s="32" t="s">
        <v>962</v>
      </c>
      <c r="D1968" s="33" t="s">
        <v>1639</v>
      </c>
      <c r="E1968" s="33">
        <v>27</v>
      </c>
      <c r="F1968" s="33">
        <v>514</v>
      </c>
      <c r="G1968" s="33">
        <v>172</v>
      </c>
      <c r="H1968" s="33" t="s">
        <v>1639</v>
      </c>
      <c r="I1968" s="33">
        <v>716</v>
      </c>
      <c r="K1968" t="b">
        <f>QHPSelections2016[[#This Row],[County Name]]=P1968</f>
        <v>1</v>
      </c>
      <c r="L1968" t="b">
        <f>QHPSelections2016[[#This Row],[Silver]]=S1968</f>
        <v>1</v>
      </c>
      <c r="N1968">
        <v>47049</v>
      </c>
      <c r="O1968" t="s">
        <v>1565</v>
      </c>
      <c r="P1968" t="s">
        <v>962</v>
      </c>
      <c r="R1968">
        <v>27</v>
      </c>
      <c r="S1968">
        <v>514</v>
      </c>
      <c r="T1968">
        <v>172</v>
      </c>
      <c r="V1968">
        <v>716</v>
      </c>
    </row>
    <row r="1969" spans="1:22">
      <c r="A1969" s="32" t="s">
        <v>4372</v>
      </c>
      <c r="B1969" s="32" t="s">
        <v>1565</v>
      </c>
      <c r="C1969" s="32" t="s">
        <v>919</v>
      </c>
      <c r="D1969" s="33" t="s">
        <v>1639</v>
      </c>
      <c r="E1969" s="33">
        <v>44</v>
      </c>
      <c r="F1969" s="33">
        <v>1025</v>
      </c>
      <c r="G1969" s="33">
        <v>342</v>
      </c>
      <c r="H1969" s="33" t="s">
        <v>1639</v>
      </c>
      <c r="I1969" s="33">
        <v>1433</v>
      </c>
      <c r="K1969" t="b">
        <f>QHPSelections2016[[#This Row],[County Name]]=P1969</f>
        <v>1</v>
      </c>
      <c r="L1969" t="b">
        <f>QHPSelections2016[[#This Row],[Silver]]=S1969</f>
        <v>1</v>
      </c>
      <c r="N1969">
        <v>47051</v>
      </c>
      <c r="O1969" t="s">
        <v>1565</v>
      </c>
      <c r="P1969" t="s">
        <v>919</v>
      </c>
      <c r="R1969">
        <v>44</v>
      </c>
      <c r="S1969" s="51">
        <v>1025</v>
      </c>
      <c r="T1969">
        <v>342</v>
      </c>
      <c r="V1969" s="51">
        <v>1433</v>
      </c>
    </row>
    <row r="1970" spans="1:22">
      <c r="A1970" s="32" t="s">
        <v>4373</v>
      </c>
      <c r="B1970" s="32" t="s">
        <v>1565</v>
      </c>
      <c r="C1970" s="32" t="s">
        <v>973</v>
      </c>
      <c r="D1970" s="33" t="s">
        <v>1639</v>
      </c>
      <c r="E1970" s="33">
        <v>40</v>
      </c>
      <c r="F1970" s="33">
        <v>1364</v>
      </c>
      <c r="G1970" s="33">
        <v>530</v>
      </c>
      <c r="H1970" s="33" t="s">
        <v>1639</v>
      </c>
      <c r="I1970" s="33">
        <v>1960</v>
      </c>
      <c r="K1970" t="b">
        <f>QHPSelections2016[[#This Row],[County Name]]=P1970</f>
        <v>1</v>
      </c>
      <c r="L1970" t="b">
        <f>QHPSelections2016[[#This Row],[Silver]]=S1970</f>
        <v>1</v>
      </c>
      <c r="N1970">
        <v>47053</v>
      </c>
      <c r="O1970" t="s">
        <v>1565</v>
      </c>
      <c r="P1970" t="s">
        <v>973</v>
      </c>
      <c r="R1970">
        <v>40</v>
      </c>
      <c r="S1970" s="51">
        <v>1364</v>
      </c>
      <c r="T1970">
        <v>530</v>
      </c>
      <c r="V1970" s="51">
        <v>1960</v>
      </c>
    </row>
    <row r="1971" spans="1:22">
      <c r="A1971" s="32" t="s">
        <v>4374</v>
      </c>
      <c r="B1971" s="32" t="s">
        <v>1565</v>
      </c>
      <c r="C1971" s="32" t="s">
        <v>979</v>
      </c>
      <c r="D1971" s="33" t="s">
        <v>1639</v>
      </c>
      <c r="E1971" s="33">
        <v>18</v>
      </c>
      <c r="F1971" s="33">
        <v>889</v>
      </c>
      <c r="G1971" s="33">
        <v>272</v>
      </c>
      <c r="H1971" s="33" t="s">
        <v>1639</v>
      </c>
      <c r="I1971" s="33">
        <v>1190</v>
      </c>
      <c r="K1971" t="b">
        <f>QHPSelections2016[[#This Row],[County Name]]=P1971</f>
        <v>1</v>
      </c>
      <c r="L1971" t="b">
        <f>QHPSelections2016[[#This Row],[Silver]]=S1971</f>
        <v>1</v>
      </c>
      <c r="N1971">
        <v>47055</v>
      </c>
      <c r="O1971" t="s">
        <v>1565</v>
      </c>
      <c r="P1971" t="s">
        <v>979</v>
      </c>
      <c r="R1971">
        <v>18</v>
      </c>
      <c r="S1971">
        <v>889</v>
      </c>
      <c r="T1971">
        <v>272</v>
      </c>
      <c r="V1971" s="51">
        <v>1190</v>
      </c>
    </row>
    <row r="1972" spans="1:22">
      <c r="A1972" s="32" t="s">
        <v>4375</v>
      </c>
      <c r="B1972" s="32" t="s">
        <v>1565</v>
      </c>
      <c r="C1972" s="32" t="s">
        <v>981</v>
      </c>
      <c r="D1972" s="33" t="s">
        <v>1639</v>
      </c>
      <c r="E1972" s="33">
        <v>30</v>
      </c>
      <c r="F1972" s="33">
        <v>753</v>
      </c>
      <c r="G1972" s="33">
        <v>167</v>
      </c>
      <c r="H1972" s="33" t="s">
        <v>1639</v>
      </c>
      <c r="I1972" s="33">
        <v>969</v>
      </c>
      <c r="K1972" t="b">
        <f>QHPSelections2016[[#This Row],[County Name]]=P1972</f>
        <v>1</v>
      </c>
      <c r="L1972" t="b">
        <f>QHPSelections2016[[#This Row],[Silver]]=S1972</f>
        <v>1</v>
      </c>
      <c r="N1972">
        <v>47057</v>
      </c>
      <c r="O1972" t="s">
        <v>1565</v>
      </c>
      <c r="P1972" t="s">
        <v>981</v>
      </c>
      <c r="R1972">
        <v>30</v>
      </c>
      <c r="S1972">
        <v>753</v>
      </c>
      <c r="T1972">
        <v>167</v>
      </c>
      <c r="V1972">
        <v>969</v>
      </c>
    </row>
    <row r="1973" spans="1:22">
      <c r="A1973" s="32" t="s">
        <v>4376</v>
      </c>
      <c r="B1973" s="32" t="s">
        <v>1565</v>
      </c>
      <c r="C1973" s="32" t="s">
        <v>937</v>
      </c>
      <c r="D1973" s="33" t="s">
        <v>1639</v>
      </c>
      <c r="E1973" s="33">
        <v>36</v>
      </c>
      <c r="F1973" s="33">
        <v>1872</v>
      </c>
      <c r="G1973" s="33">
        <v>593</v>
      </c>
      <c r="H1973" s="33" t="s">
        <v>1639</v>
      </c>
      <c r="I1973" s="33">
        <v>2515</v>
      </c>
      <c r="K1973" t="b">
        <f>QHPSelections2016[[#This Row],[County Name]]=P1973</f>
        <v>1</v>
      </c>
      <c r="L1973" t="b">
        <f>QHPSelections2016[[#This Row],[Silver]]=S1973</f>
        <v>1</v>
      </c>
      <c r="N1973">
        <v>47059</v>
      </c>
      <c r="O1973" t="s">
        <v>1565</v>
      </c>
      <c r="P1973" t="s">
        <v>937</v>
      </c>
      <c r="R1973">
        <v>36</v>
      </c>
      <c r="S1973" s="51">
        <v>1872</v>
      </c>
      <c r="T1973">
        <v>593</v>
      </c>
      <c r="V1973" s="51">
        <v>2515</v>
      </c>
    </row>
    <row r="1974" spans="1:22">
      <c r="A1974" s="32" t="s">
        <v>4377</v>
      </c>
      <c r="B1974" s="32" t="s">
        <v>1565</v>
      </c>
      <c r="C1974" s="32" t="s">
        <v>991</v>
      </c>
      <c r="D1974" s="33" t="s">
        <v>1639</v>
      </c>
      <c r="E1974" s="33" t="s">
        <v>1639</v>
      </c>
      <c r="F1974" s="33">
        <v>381</v>
      </c>
      <c r="G1974" s="33">
        <v>113</v>
      </c>
      <c r="H1974" s="33" t="s">
        <v>1639</v>
      </c>
      <c r="I1974" s="33">
        <v>504</v>
      </c>
      <c r="K1974" t="b">
        <f>QHPSelections2016[[#This Row],[County Name]]=P1974</f>
        <v>1</v>
      </c>
      <c r="L1974" t="b">
        <f>QHPSelections2016[[#This Row],[Silver]]=S1974</f>
        <v>1</v>
      </c>
      <c r="N1974">
        <v>47061</v>
      </c>
      <c r="O1974" t="s">
        <v>1565</v>
      </c>
      <c r="P1974" t="s">
        <v>991</v>
      </c>
      <c r="S1974">
        <v>381</v>
      </c>
      <c r="T1974">
        <v>113</v>
      </c>
      <c r="V1974">
        <v>504</v>
      </c>
    </row>
    <row r="1975" spans="1:22">
      <c r="A1975" s="32" t="s">
        <v>4378</v>
      </c>
      <c r="B1975" s="32" t="s">
        <v>1565</v>
      </c>
      <c r="C1975" s="32" t="s">
        <v>996</v>
      </c>
      <c r="D1975" s="33" t="s">
        <v>1639</v>
      </c>
      <c r="E1975" s="33">
        <v>101</v>
      </c>
      <c r="F1975" s="33">
        <v>1801</v>
      </c>
      <c r="G1975" s="33">
        <v>442</v>
      </c>
      <c r="H1975" s="33" t="s">
        <v>1639</v>
      </c>
      <c r="I1975" s="33">
        <v>2366</v>
      </c>
      <c r="K1975" t="b">
        <f>QHPSelections2016[[#This Row],[County Name]]=P1975</f>
        <v>1</v>
      </c>
      <c r="L1975" t="b">
        <f>QHPSelections2016[[#This Row],[Silver]]=S1975</f>
        <v>1</v>
      </c>
      <c r="N1975">
        <v>47063</v>
      </c>
      <c r="O1975" t="s">
        <v>1565</v>
      </c>
      <c r="P1975" t="s">
        <v>996</v>
      </c>
      <c r="R1975">
        <v>101</v>
      </c>
      <c r="S1975" s="51">
        <v>1801</v>
      </c>
      <c r="T1975">
        <v>442</v>
      </c>
      <c r="V1975" s="51">
        <v>2366</v>
      </c>
    </row>
    <row r="1976" spans="1:22">
      <c r="A1976" s="32" t="s">
        <v>4379</v>
      </c>
      <c r="B1976" s="32" t="s">
        <v>1565</v>
      </c>
      <c r="C1976" s="32" t="s">
        <v>947</v>
      </c>
      <c r="D1976" s="33">
        <v>86</v>
      </c>
      <c r="E1976" s="33">
        <v>537</v>
      </c>
      <c r="F1976" s="33">
        <v>10957</v>
      </c>
      <c r="G1976" s="33">
        <v>4053</v>
      </c>
      <c r="H1976" s="33">
        <v>172</v>
      </c>
      <c r="I1976" s="33">
        <v>15805</v>
      </c>
      <c r="K1976" t="b">
        <f>QHPSelections2016[[#This Row],[County Name]]=P1976</f>
        <v>1</v>
      </c>
      <c r="L1976" t="b">
        <f>QHPSelections2016[[#This Row],[Silver]]=S1976</f>
        <v>1</v>
      </c>
      <c r="N1976">
        <v>47065</v>
      </c>
      <c r="O1976" t="s">
        <v>1565</v>
      </c>
      <c r="P1976" t="s">
        <v>947</v>
      </c>
      <c r="Q1976">
        <v>86</v>
      </c>
      <c r="R1976">
        <v>537</v>
      </c>
      <c r="S1976" s="51">
        <v>10957</v>
      </c>
      <c r="T1976" s="51">
        <v>4053</v>
      </c>
      <c r="U1976">
        <v>172</v>
      </c>
      <c r="V1976" s="51">
        <v>15805</v>
      </c>
    </row>
    <row r="1977" spans="1:22">
      <c r="A1977" s="32" t="s">
        <v>4380</v>
      </c>
      <c r="B1977" s="32" t="s">
        <v>1565</v>
      </c>
      <c r="C1977" s="32" t="s">
        <v>949</v>
      </c>
      <c r="D1977" s="33" t="s">
        <v>1639</v>
      </c>
      <c r="E1977" s="33" t="s">
        <v>1639</v>
      </c>
      <c r="F1977" s="33">
        <v>255</v>
      </c>
      <c r="G1977" s="33">
        <v>46</v>
      </c>
      <c r="H1977" s="33">
        <v>0</v>
      </c>
      <c r="I1977" s="33">
        <v>305</v>
      </c>
      <c r="K1977" t="b">
        <f>QHPSelections2016[[#This Row],[County Name]]=P1977</f>
        <v>1</v>
      </c>
      <c r="L1977" t="b">
        <f>QHPSelections2016[[#This Row],[Silver]]=S1977</f>
        <v>1</v>
      </c>
      <c r="N1977">
        <v>47067</v>
      </c>
      <c r="O1977" t="s">
        <v>1565</v>
      </c>
      <c r="P1977" t="s">
        <v>949</v>
      </c>
      <c r="S1977">
        <v>255</v>
      </c>
      <c r="T1977">
        <v>46</v>
      </c>
      <c r="U1977">
        <v>0</v>
      </c>
      <c r="V1977">
        <v>305</v>
      </c>
    </row>
    <row r="1978" spans="1:22">
      <c r="A1978" s="32" t="s">
        <v>4381</v>
      </c>
      <c r="B1978" s="32" t="s">
        <v>1565</v>
      </c>
      <c r="C1978" s="32" t="s">
        <v>1013</v>
      </c>
      <c r="D1978" s="33" t="s">
        <v>1639</v>
      </c>
      <c r="E1978" s="33">
        <v>24</v>
      </c>
      <c r="F1978" s="33">
        <v>621</v>
      </c>
      <c r="G1978" s="33">
        <v>259</v>
      </c>
      <c r="H1978" s="33" t="s">
        <v>1639</v>
      </c>
      <c r="I1978" s="33">
        <v>919</v>
      </c>
      <c r="K1978" t="b">
        <f>QHPSelections2016[[#This Row],[County Name]]=P1978</f>
        <v>1</v>
      </c>
      <c r="L1978" t="b">
        <f>QHPSelections2016[[#This Row],[Silver]]=S1978</f>
        <v>1</v>
      </c>
      <c r="N1978">
        <v>47069</v>
      </c>
      <c r="O1978" t="s">
        <v>1565</v>
      </c>
      <c r="P1978" t="s">
        <v>1013</v>
      </c>
      <c r="R1978">
        <v>24</v>
      </c>
      <c r="S1978">
        <v>621</v>
      </c>
      <c r="T1978">
        <v>259</v>
      </c>
      <c r="V1978">
        <v>919</v>
      </c>
    </row>
    <row r="1979" spans="1:22">
      <c r="A1979" s="32" t="s">
        <v>4382</v>
      </c>
      <c r="B1979" s="32" t="s">
        <v>1565</v>
      </c>
      <c r="C1979" s="32" t="s">
        <v>1017</v>
      </c>
      <c r="D1979" s="33" t="s">
        <v>1639</v>
      </c>
      <c r="E1979" s="33">
        <v>12</v>
      </c>
      <c r="F1979" s="33">
        <v>778</v>
      </c>
      <c r="G1979" s="33">
        <v>277</v>
      </c>
      <c r="H1979" s="33" t="s">
        <v>1639</v>
      </c>
      <c r="I1979" s="33">
        <v>1081</v>
      </c>
      <c r="K1979" t="b">
        <f>QHPSelections2016[[#This Row],[County Name]]=P1979</f>
        <v>1</v>
      </c>
      <c r="L1979" t="b">
        <f>QHPSelections2016[[#This Row],[Silver]]=S1979</f>
        <v>1</v>
      </c>
      <c r="N1979">
        <v>47071</v>
      </c>
      <c r="O1979" t="s">
        <v>1565</v>
      </c>
      <c r="P1979" t="s">
        <v>1017</v>
      </c>
      <c r="R1979">
        <v>12</v>
      </c>
      <c r="S1979">
        <v>778</v>
      </c>
      <c r="T1979">
        <v>277</v>
      </c>
      <c r="V1979" s="51">
        <v>1081</v>
      </c>
    </row>
    <row r="1980" spans="1:22">
      <c r="A1980" s="32" t="s">
        <v>4383</v>
      </c>
      <c r="B1980" s="32" t="s">
        <v>1565</v>
      </c>
      <c r="C1980" s="32" t="s">
        <v>1022</v>
      </c>
      <c r="D1980" s="33" t="s">
        <v>1639</v>
      </c>
      <c r="E1980" s="33">
        <v>31</v>
      </c>
      <c r="F1980" s="33">
        <v>1515</v>
      </c>
      <c r="G1980" s="33">
        <v>375</v>
      </c>
      <c r="H1980" s="33" t="s">
        <v>1639</v>
      </c>
      <c r="I1980" s="33">
        <v>1931</v>
      </c>
      <c r="K1980" t="b">
        <f>QHPSelections2016[[#This Row],[County Name]]=P1980</f>
        <v>1</v>
      </c>
      <c r="L1980" t="b">
        <f>QHPSelections2016[[#This Row],[Silver]]=S1980</f>
        <v>1</v>
      </c>
      <c r="N1980">
        <v>47073</v>
      </c>
      <c r="O1980" t="s">
        <v>1565</v>
      </c>
      <c r="P1980" t="s">
        <v>1022</v>
      </c>
      <c r="R1980">
        <v>31</v>
      </c>
      <c r="S1980" s="51">
        <v>1515</v>
      </c>
      <c r="T1980">
        <v>375</v>
      </c>
      <c r="V1980" s="51">
        <v>1931</v>
      </c>
    </row>
    <row r="1981" spans="1:22">
      <c r="A1981" s="32" t="s">
        <v>4384</v>
      </c>
      <c r="B1981" s="32" t="s">
        <v>1565</v>
      </c>
      <c r="C1981" s="32" t="s">
        <v>1027</v>
      </c>
      <c r="D1981" s="33">
        <v>0</v>
      </c>
      <c r="E1981" s="33">
        <v>20</v>
      </c>
      <c r="F1981" s="33">
        <v>452</v>
      </c>
      <c r="G1981" s="33">
        <v>176</v>
      </c>
      <c r="H1981" s="33">
        <v>16</v>
      </c>
      <c r="I1981" s="33">
        <v>664</v>
      </c>
      <c r="K1981" t="b">
        <f>QHPSelections2016[[#This Row],[County Name]]=P1981</f>
        <v>1</v>
      </c>
      <c r="L1981" t="b">
        <f>QHPSelections2016[[#This Row],[Silver]]=S1981</f>
        <v>1</v>
      </c>
      <c r="N1981">
        <v>47075</v>
      </c>
      <c r="O1981" t="s">
        <v>1565</v>
      </c>
      <c r="P1981" t="s">
        <v>1027</v>
      </c>
      <c r="Q1981">
        <v>0</v>
      </c>
      <c r="R1981">
        <v>20</v>
      </c>
      <c r="S1981">
        <v>452</v>
      </c>
      <c r="T1981">
        <v>176</v>
      </c>
      <c r="U1981">
        <v>16</v>
      </c>
      <c r="V1981">
        <v>664</v>
      </c>
    </row>
    <row r="1982" spans="1:22">
      <c r="A1982" s="32" t="s">
        <v>4385</v>
      </c>
      <c r="B1982" s="32" t="s">
        <v>1565</v>
      </c>
      <c r="C1982" s="32" t="s">
        <v>1033</v>
      </c>
      <c r="D1982" s="33" t="s">
        <v>1639</v>
      </c>
      <c r="E1982" s="33" t="s">
        <v>1639</v>
      </c>
      <c r="F1982" s="33">
        <v>847</v>
      </c>
      <c r="G1982" s="33">
        <v>334</v>
      </c>
      <c r="H1982" s="33">
        <v>14</v>
      </c>
      <c r="I1982" s="33">
        <v>1203</v>
      </c>
      <c r="K1982" t="b">
        <f>QHPSelections2016[[#This Row],[County Name]]=P1982</f>
        <v>1</v>
      </c>
      <c r="L1982" t="b">
        <f>QHPSelections2016[[#This Row],[Silver]]=S1982</f>
        <v>1</v>
      </c>
      <c r="N1982">
        <v>47077</v>
      </c>
      <c r="O1982" t="s">
        <v>1565</v>
      </c>
      <c r="P1982" t="s">
        <v>1033</v>
      </c>
      <c r="S1982">
        <v>847</v>
      </c>
      <c r="T1982">
        <v>334</v>
      </c>
      <c r="U1982">
        <v>14</v>
      </c>
      <c r="V1982" s="51">
        <v>1203</v>
      </c>
    </row>
    <row r="1983" spans="1:22">
      <c r="A1983" s="32" t="s">
        <v>4386</v>
      </c>
      <c r="B1983" s="32" t="s">
        <v>1565</v>
      </c>
      <c r="C1983" s="32" t="s">
        <v>1004</v>
      </c>
      <c r="D1983" s="33" t="s">
        <v>1639</v>
      </c>
      <c r="E1983" s="33">
        <v>17</v>
      </c>
      <c r="F1983" s="33">
        <v>904</v>
      </c>
      <c r="G1983" s="33">
        <v>317</v>
      </c>
      <c r="H1983" s="33" t="s">
        <v>1639</v>
      </c>
      <c r="I1983" s="33">
        <v>1253</v>
      </c>
      <c r="K1983" t="b">
        <f>QHPSelections2016[[#This Row],[County Name]]=P1983</f>
        <v>1</v>
      </c>
      <c r="L1983" t="b">
        <f>QHPSelections2016[[#This Row],[Silver]]=S1983</f>
        <v>1</v>
      </c>
      <c r="N1983">
        <v>47079</v>
      </c>
      <c r="O1983" t="s">
        <v>1565</v>
      </c>
      <c r="P1983" t="s">
        <v>1004</v>
      </c>
      <c r="R1983">
        <v>17</v>
      </c>
      <c r="S1983">
        <v>904</v>
      </c>
      <c r="T1983">
        <v>317</v>
      </c>
      <c r="V1983" s="51">
        <v>1253</v>
      </c>
    </row>
    <row r="1984" spans="1:22">
      <c r="A1984" s="32" t="s">
        <v>4387</v>
      </c>
      <c r="B1984" s="32" t="s">
        <v>1565</v>
      </c>
      <c r="C1984" s="32" t="s">
        <v>1041</v>
      </c>
      <c r="D1984" s="33" t="s">
        <v>1639</v>
      </c>
      <c r="E1984" s="33">
        <v>23</v>
      </c>
      <c r="F1984" s="33">
        <v>794</v>
      </c>
      <c r="G1984" s="33">
        <v>262</v>
      </c>
      <c r="H1984" s="33" t="s">
        <v>1639</v>
      </c>
      <c r="I1984" s="33">
        <v>1084</v>
      </c>
      <c r="K1984" t="b">
        <f>QHPSelections2016[[#This Row],[County Name]]=P1984</f>
        <v>1</v>
      </c>
      <c r="L1984" t="b">
        <f>QHPSelections2016[[#This Row],[Silver]]=S1984</f>
        <v>1</v>
      </c>
      <c r="N1984">
        <v>47081</v>
      </c>
      <c r="O1984" t="s">
        <v>1565</v>
      </c>
      <c r="P1984" t="s">
        <v>1041</v>
      </c>
      <c r="R1984">
        <v>23</v>
      </c>
      <c r="S1984">
        <v>794</v>
      </c>
      <c r="T1984">
        <v>262</v>
      </c>
      <c r="V1984" s="51">
        <v>1084</v>
      </c>
    </row>
    <row r="1985" spans="1:22">
      <c r="A1985" s="32" t="s">
        <v>4388</v>
      </c>
      <c r="B1985" s="32" t="s">
        <v>1565</v>
      </c>
      <c r="C1985" s="32" t="s">
        <v>1009</v>
      </c>
      <c r="D1985" s="33">
        <v>0</v>
      </c>
      <c r="E1985" s="33" t="s">
        <v>1639</v>
      </c>
      <c r="F1985" s="33">
        <v>179</v>
      </c>
      <c r="G1985" s="33">
        <v>44</v>
      </c>
      <c r="H1985" s="33" t="s">
        <v>1639</v>
      </c>
      <c r="I1985" s="33">
        <v>230</v>
      </c>
      <c r="K1985" t="b">
        <f>QHPSelections2016[[#This Row],[County Name]]=P1985</f>
        <v>1</v>
      </c>
      <c r="L1985" t="b">
        <f>QHPSelections2016[[#This Row],[Silver]]=S1985</f>
        <v>1</v>
      </c>
      <c r="N1985">
        <v>47083</v>
      </c>
      <c r="O1985" t="s">
        <v>1565</v>
      </c>
      <c r="P1985" t="s">
        <v>1009</v>
      </c>
      <c r="Q1985">
        <v>0</v>
      </c>
      <c r="S1985">
        <v>179</v>
      </c>
      <c r="T1985">
        <v>44</v>
      </c>
      <c r="V1985">
        <v>230</v>
      </c>
    </row>
    <row r="1986" spans="1:22">
      <c r="A1986" s="32" t="s">
        <v>4389</v>
      </c>
      <c r="B1986" s="32" t="s">
        <v>1565</v>
      </c>
      <c r="C1986" s="32" t="s">
        <v>971</v>
      </c>
      <c r="D1986" s="33" t="s">
        <v>1639</v>
      </c>
      <c r="E1986" s="33">
        <v>18</v>
      </c>
      <c r="F1986" s="33">
        <v>475</v>
      </c>
      <c r="G1986" s="33">
        <v>130</v>
      </c>
      <c r="H1986" s="33" t="s">
        <v>1639</v>
      </c>
      <c r="I1986" s="33">
        <v>628</v>
      </c>
      <c r="K1986" t="b">
        <f>QHPSelections2016[[#This Row],[County Name]]=P1986</f>
        <v>1</v>
      </c>
      <c r="L1986" t="b">
        <f>QHPSelections2016[[#This Row],[Silver]]=S1986</f>
        <v>1</v>
      </c>
      <c r="N1986">
        <v>47085</v>
      </c>
      <c r="O1986" t="s">
        <v>1565</v>
      </c>
      <c r="P1986" t="s">
        <v>971</v>
      </c>
      <c r="R1986">
        <v>18</v>
      </c>
      <c r="S1986">
        <v>475</v>
      </c>
      <c r="T1986">
        <v>130</v>
      </c>
      <c r="V1986">
        <v>628</v>
      </c>
    </row>
    <row r="1987" spans="1:22">
      <c r="A1987" s="32" t="s">
        <v>4390</v>
      </c>
      <c r="B1987" s="32" t="s">
        <v>1565</v>
      </c>
      <c r="C1987" s="32" t="s">
        <v>984</v>
      </c>
      <c r="D1987" s="33" t="s">
        <v>1639</v>
      </c>
      <c r="E1987" s="33" t="s">
        <v>1639</v>
      </c>
      <c r="F1987" s="33">
        <v>398</v>
      </c>
      <c r="G1987" s="33">
        <v>100</v>
      </c>
      <c r="H1987" s="33" t="s">
        <v>1639</v>
      </c>
      <c r="I1987" s="33">
        <v>514</v>
      </c>
      <c r="K1987" t="b">
        <f>QHPSelections2016[[#This Row],[County Name]]=P1987</f>
        <v>1</v>
      </c>
      <c r="L1987" t="b">
        <f>QHPSelections2016[[#This Row],[Silver]]=S1987</f>
        <v>1</v>
      </c>
      <c r="N1987">
        <v>47087</v>
      </c>
      <c r="O1987" t="s">
        <v>1565</v>
      </c>
      <c r="P1987" t="s">
        <v>984</v>
      </c>
      <c r="S1987">
        <v>398</v>
      </c>
      <c r="T1987">
        <v>100</v>
      </c>
      <c r="V1987">
        <v>514</v>
      </c>
    </row>
    <row r="1988" spans="1:22">
      <c r="A1988" s="32" t="s">
        <v>4391</v>
      </c>
      <c r="B1988" s="32" t="s">
        <v>1565</v>
      </c>
      <c r="C1988" s="32" t="s">
        <v>993</v>
      </c>
      <c r="D1988" s="33" t="s">
        <v>1639</v>
      </c>
      <c r="E1988" s="33">
        <v>114</v>
      </c>
      <c r="F1988" s="33">
        <v>1525</v>
      </c>
      <c r="G1988" s="33">
        <v>410</v>
      </c>
      <c r="H1988" s="33" t="s">
        <v>1639</v>
      </c>
      <c r="I1988" s="33">
        <v>2076</v>
      </c>
      <c r="K1988" t="b">
        <f>QHPSelections2016[[#This Row],[County Name]]=P1988</f>
        <v>1</v>
      </c>
      <c r="L1988" t="b">
        <f>QHPSelections2016[[#This Row],[Silver]]=S1988</f>
        <v>1</v>
      </c>
      <c r="N1988">
        <v>47089</v>
      </c>
      <c r="O1988" t="s">
        <v>1565</v>
      </c>
      <c r="P1988" t="s">
        <v>993</v>
      </c>
      <c r="R1988">
        <v>114</v>
      </c>
      <c r="S1988" s="51">
        <v>1525</v>
      </c>
      <c r="T1988">
        <v>410</v>
      </c>
      <c r="V1988" s="51">
        <v>2076</v>
      </c>
    </row>
    <row r="1989" spans="1:22">
      <c r="A1989" s="32" t="s">
        <v>4392</v>
      </c>
      <c r="B1989" s="32" t="s">
        <v>1565</v>
      </c>
      <c r="C1989" s="32" t="s">
        <v>1064</v>
      </c>
      <c r="D1989" s="33" t="s">
        <v>1639</v>
      </c>
      <c r="E1989" s="33" t="s">
        <v>1639</v>
      </c>
      <c r="F1989" s="33">
        <v>386</v>
      </c>
      <c r="G1989" s="33">
        <v>148</v>
      </c>
      <c r="H1989" s="33" t="s">
        <v>1639</v>
      </c>
      <c r="I1989" s="33">
        <v>544</v>
      </c>
      <c r="K1989" t="b">
        <f>QHPSelections2016[[#This Row],[County Name]]=P1989</f>
        <v>1</v>
      </c>
      <c r="L1989" t="b">
        <f>QHPSelections2016[[#This Row],[Silver]]=S1989</f>
        <v>1</v>
      </c>
      <c r="N1989">
        <v>47091</v>
      </c>
      <c r="O1989" t="s">
        <v>1565</v>
      </c>
      <c r="P1989" t="s">
        <v>1064</v>
      </c>
      <c r="S1989">
        <v>386</v>
      </c>
      <c r="T1989">
        <v>148</v>
      </c>
      <c r="V1989">
        <v>544</v>
      </c>
    </row>
    <row r="1990" spans="1:22">
      <c r="A1990" s="32" t="s">
        <v>4393</v>
      </c>
      <c r="B1990" s="32" t="s">
        <v>1565</v>
      </c>
      <c r="C1990" s="32" t="s">
        <v>1070</v>
      </c>
      <c r="D1990" s="33">
        <v>135</v>
      </c>
      <c r="E1990" s="33">
        <v>1131</v>
      </c>
      <c r="F1990" s="33">
        <v>13735</v>
      </c>
      <c r="G1990" s="33">
        <v>4046</v>
      </c>
      <c r="H1990" s="33">
        <v>415</v>
      </c>
      <c r="I1990" s="33">
        <v>19462</v>
      </c>
      <c r="K1990" t="b">
        <f>QHPSelections2016[[#This Row],[County Name]]=P1990</f>
        <v>1</v>
      </c>
      <c r="L1990" t="b">
        <f>QHPSelections2016[[#This Row],[Silver]]=S1990</f>
        <v>1</v>
      </c>
      <c r="N1990">
        <v>47093</v>
      </c>
      <c r="O1990" t="s">
        <v>1565</v>
      </c>
      <c r="P1990" t="s">
        <v>1070</v>
      </c>
      <c r="Q1990">
        <v>135</v>
      </c>
      <c r="R1990" s="51">
        <v>1131</v>
      </c>
      <c r="S1990" s="51">
        <v>13735</v>
      </c>
      <c r="T1990" s="51">
        <v>4046</v>
      </c>
      <c r="U1990">
        <v>415</v>
      </c>
      <c r="V1990" s="51">
        <v>19462</v>
      </c>
    </row>
    <row r="1991" spans="1:22">
      <c r="A1991" s="32" t="s">
        <v>4394</v>
      </c>
      <c r="B1991" s="32" t="s">
        <v>1565</v>
      </c>
      <c r="C1991" s="32" t="s">
        <v>1005</v>
      </c>
      <c r="D1991" s="33" t="s">
        <v>1639</v>
      </c>
      <c r="E1991" s="33" t="s">
        <v>1639</v>
      </c>
      <c r="F1991" s="33">
        <v>131</v>
      </c>
      <c r="G1991" s="33">
        <v>28</v>
      </c>
      <c r="H1991" s="33" t="s">
        <v>1639</v>
      </c>
      <c r="I1991" s="33">
        <v>166</v>
      </c>
      <c r="K1991" t="b">
        <f>QHPSelections2016[[#This Row],[County Name]]=P1991</f>
        <v>1</v>
      </c>
      <c r="L1991" t="b">
        <f>QHPSelections2016[[#This Row],[Silver]]=S1991</f>
        <v>1</v>
      </c>
      <c r="N1991">
        <v>47095</v>
      </c>
      <c r="O1991" t="s">
        <v>1565</v>
      </c>
      <c r="P1991" t="s">
        <v>1005</v>
      </c>
      <c r="S1991">
        <v>131</v>
      </c>
      <c r="T1991">
        <v>28</v>
      </c>
      <c r="V1991">
        <v>166</v>
      </c>
    </row>
    <row r="1992" spans="1:22">
      <c r="A1992" s="32" t="s">
        <v>4395</v>
      </c>
      <c r="B1992" s="32" t="s">
        <v>1565</v>
      </c>
      <c r="C1992" s="32" t="s">
        <v>1025</v>
      </c>
      <c r="D1992" s="33" t="s">
        <v>1639</v>
      </c>
      <c r="E1992" s="33">
        <v>19</v>
      </c>
      <c r="F1992" s="33">
        <v>568</v>
      </c>
      <c r="G1992" s="33">
        <v>177</v>
      </c>
      <c r="H1992" s="33" t="s">
        <v>1639</v>
      </c>
      <c r="I1992" s="33">
        <v>779</v>
      </c>
      <c r="K1992" t="b">
        <f>QHPSelections2016[[#This Row],[County Name]]=P1992</f>
        <v>1</v>
      </c>
      <c r="L1992" t="b">
        <f>QHPSelections2016[[#This Row],[Silver]]=S1992</f>
        <v>1</v>
      </c>
      <c r="N1992">
        <v>47097</v>
      </c>
      <c r="O1992" t="s">
        <v>1565</v>
      </c>
      <c r="P1992" t="s">
        <v>1025</v>
      </c>
      <c r="R1992">
        <v>19</v>
      </c>
      <c r="S1992">
        <v>568</v>
      </c>
      <c r="T1992">
        <v>177</v>
      </c>
      <c r="V1992">
        <v>779</v>
      </c>
    </row>
    <row r="1993" spans="1:22">
      <c r="A1993" s="32" t="s">
        <v>4396</v>
      </c>
      <c r="B1993" s="32" t="s">
        <v>1565</v>
      </c>
      <c r="C1993" s="32" t="s">
        <v>1031</v>
      </c>
      <c r="D1993" s="33" t="s">
        <v>1639</v>
      </c>
      <c r="E1993" s="33">
        <v>31</v>
      </c>
      <c r="F1993" s="33">
        <v>1514</v>
      </c>
      <c r="G1993" s="33">
        <v>398</v>
      </c>
      <c r="H1993" s="33" t="s">
        <v>1639</v>
      </c>
      <c r="I1993" s="33">
        <v>1952</v>
      </c>
      <c r="K1993" t="b">
        <f>QHPSelections2016[[#This Row],[County Name]]=P1993</f>
        <v>1</v>
      </c>
      <c r="L1993" t="b">
        <f>QHPSelections2016[[#This Row],[Silver]]=S1993</f>
        <v>1</v>
      </c>
      <c r="N1993">
        <v>47099</v>
      </c>
      <c r="O1993" t="s">
        <v>1565</v>
      </c>
      <c r="P1993" t="s">
        <v>1031</v>
      </c>
      <c r="R1993">
        <v>31</v>
      </c>
      <c r="S1993" s="51">
        <v>1514</v>
      </c>
      <c r="T1993">
        <v>398</v>
      </c>
      <c r="V1993" s="51">
        <v>1952</v>
      </c>
    </row>
    <row r="1994" spans="1:22">
      <c r="A1994" s="32" t="s">
        <v>4397</v>
      </c>
      <c r="B1994" s="32" t="s">
        <v>1565</v>
      </c>
      <c r="C1994" s="32" t="s">
        <v>1090</v>
      </c>
      <c r="D1994" s="33" t="s">
        <v>1639</v>
      </c>
      <c r="E1994" s="33">
        <v>15</v>
      </c>
      <c r="F1994" s="33">
        <v>418</v>
      </c>
      <c r="G1994" s="33">
        <v>150</v>
      </c>
      <c r="H1994" s="33" t="s">
        <v>1639</v>
      </c>
      <c r="I1994" s="33">
        <v>584</v>
      </c>
      <c r="K1994" t="b">
        <f>QHPSelections2016[[#This Row],[County Name]]=P1994</f>
        <v>1</v>
      </c>
      <c r="L1994" t="b">
        <f>QHPSelections2016[[#This Row],[Silver]]=S1994</f>
        <v>1</v>
      </c>
      <c r="N1994">
        <v>47101</v>
      </c>
      <c r="O1994" t="s">
        <v>1565</v>
      </c>
      <c r="P1994" t="s">
        <v>1090</v>
      </c>
      <c r="R1994">
        <v>15</v>
      </c>
      <c r="S1994">
        <v>418</v>
      </c>
      <c r="T1994">
        <v>150</v>
      </c>
      <c r="V1994">
        <v>584</v>
      </c>
    </row>
    <row r="1995" spans="1:22">
      <c r="A1995" s="32" t="s">
        <v>4398</v>
      </c>
      <c r="B1995" s="32" t="s">
        <v>1565</v>
      </c>
      <c r="C1995" s="32" t="s">
        <v>1051</v>
      </c>
      <c r="D1995" s="33" t="s">
        <v>1639</v>
      </c>
      <c r="E1995" s="33">
        <v>22</v>
      </c>
      <c r="F1995" s="33">
        <v>1113</v>
      </c>
      <c r="G1995" s="33">
        <v>321</v>
      </c>
      <c r="H1995" s="33" t="s">
        <v>1639</v>
      </c>
      <c r="I1995" s="33">
        <v>1469</v>
      </c>
      <c r="K1995" t="b">
        <f>QHPSelections2016[[#This Row],[County Name]]=P1995</f>
        <v>1</v>
      </c>
      <c r="L1995" t="b">
        <f>QHPSelections2016[[#This Row],[Silver]]=S1995</f>
        <v>1</v>
      </c>
      <c r="N1995">
        <v>47103</v>
      </c>
      <c r="O1995" t="s">
        <v>1565</v>
      </c>
      <c r="P1995" t="s">
        <v>1051</v>
      </c>
      <c r="R1995">
        <v>22</v>
      </c>
      <c r="S1995" s="51">
        <v>1113</v>
      </c>
      <c r="T1995">
        <v>321</v>
      </c>
      <c r="V1995" s="51">
        <v>1469</v>
      </c>
    </row>
    <row r="1996" spans="1:22">
      <c r="A1996" s="32" t="s">
        <v>4399</v>
      </c>
      <c r="B1996" s="32" t="s">
        <v>1565</v>
      </c>
      <c r="C1996" s="32" t="s">
        <v>1101</v>
      </c>
      <c r="D1996" s="33" t="s">
        <v>1639</v>
      </c>
      <c r="E1996" s="33">
        <v>103</v>
      </c>
      <c r="F1996" s="33">
        <v>1397</v>
      </c>
      <c r="G1996" s="33">
        <v>399</v>
      </c>
      <c r="H1996" s="33" t="s">
        <v>1639</v>
      </c>
      <c r="I1996" s="33">
        <v>1934</v>
      </c>
      <c r="K1996" t="b">
        <f>QHPSelections2016[[#This Row],[County Name]]=P1996</f>
        <v>1</v>
      </c>
      <c r="L1996" t="b">
        <f>QHPSelections2016[[#This Row],[Silver]]=S1996</f>
        <v>1</v>
      </c>
      <c r="N1996">
        <v>47105</v>
      </c>
      <c r="O1996" t="s">
        <v>1565</v>
      </c>
      <c r="P1996" t="s">
        <v>1101</v>
      </c>
      <c r="R1996">
        <v>103</v>
      </c>
      <c r="S1996" s="51">
        <v>1397</v>
      </c>
      <c r="T1996">
        <v>399</v>
      </c>
      <c r="V1996" s="51">
        <v>1934</v>
      </c>
    </row>
    <row r="1997" spans="1:22">
      <c r="A1997" s="32" t="s">
        <v>4400</v>
      </c>
      <c r="B1997" s="32" t="s">
        <v>1565</v>
      </c>
      <c r="C1997" s="32" t="s">
        <v>1107</v>
      </c>
      <c r="D1997" s="33" t="s">
        <v>1639</v>
      </c>
      <c r="E1997" s="33">
        <v>43</v>
      </c>
      <c r="F1997" s="33">
        <v>1257</v>
      </c>
      <c r="G1997" s="33">
        <v>304</v>
      </c>
      <c r="H1997" s="33" t="s">
        <v>1639</v>
      </c>
      <c r="I1997" s="33">
        <v>1619</v>
      </c>
      <c r="K1997" t="b">
        <f>QHPSelections2016[[#This Row],[County Name]]=P1997</f>
        <v>0</v>
      </c>
      <c r="L1997" t="b">
        <f>QHPSelections2016[[#This Row],[Silver]]=S1997</f>
        <v>0</v>
      </c>
      <c r="N1997">
        <v>47111</v>
      </c>
      <c r="O1997" t="s">
        <v>1565</v>
      </c>
      <c r="P1997" t="s">
        <v>1054</v>
      </c>
      <c r="R1997">
        <v>11</v>
      </c>
      <c r="S1997">
        <v>685</v>
      </c>
      <c r="T1997">
        <v>202</v>
      </c>
      <c r="V1997">
        <v>905</v>
      </c>
    </row>
    <row r="1998" spans="1:22">
      <c r="A1998" s="32" t="s">
        <v>4401</v>
      </c>
      <c r="B1998" s="32" t="s">
        <v>1565</v>
      </c>
      <c r="C1998" s="32" t="s">
        <v>1113</v>
      </c>
      <c r="D1998" s="33" t="s">
        <v>1639</v>
      </c>
      <c r="E1998" s="33">
        <v>15</v>
      </c>
      <c r="F1998" s="33">
        <v>736</v>
      </c>
      <c r="G1998" s="33">
        <v>242</v>
      </c>
      <c r="H1998" s="33" t="s">
        <v>1639</v>
      </c>
      <c r="I1998" s="33">
        <v>1009</v>
      </c>
      <c r="K1998" t="b">
        <f>QHPSelections2016[[#This Row],[County Name]]=P1998</f>
        <v>0</v>
      </c>
      <c r="L1998" t="b">
        <f>QHPSelections2016[[#This Row],[Silver]]=S1998</f>
        <v>0</v>
      </c>
      <c r="N1998">
        <v>47113</v>
      </c>
      <c r="O1998" t="s">
        <v>1565</v>
      </c>
      <c r="P1998" t="s">
        <v>1029</v>
      </c>
      <c r="Q1998">
        <v>12</v>
      </c>
      <c r="R1998">
        <v>84</v>
      </c>
      <c r="S1998" s="51">
        <v>2803</v>
      </c>
      <c r="T1998" s="51">
        <v>1349</v>
      </c>
      <c r="U1998">
        <v>57</v>
      </c>
      <c r="V1998" s="51">
        <v>4305</v>
      </c>
    </row>
    <row r="1999" spans="1:22">
      <c r="A1999" s="32" t="s">
        <v>4402</v>
      </c>
      <c r="B1999" s="32" t="s">
        <v>1565</v>
      </c>
      <c r="C1999" s="32" t="s">
        <v>1054</v>
      </c>
      <c r="D1999" s="33" t="s">
        <v>1639</v>
      </c>
      <c r="E1999" s="33">
        <v>11</v>
      </c>
      <c r="F1999" s="33">
        <v>685</v>
      </c>
      <c r="G1999" s="33">
        <v>202</v>
      </c>
      <c r="H1999" s="33" t="s">
        <v>1639</v>
      </c>
      <c r="I1999" s="33">
        <v>905</v>
      </c>
      <c r="K1999" t="b">
        <f>QHPSelections2016[[#This Row],[County Name]]=P1999</f>
        <v>0</v>
      </c>
      <c r="L1999" t="b">
        <f>QHPSelections2016[[#This Row],[Silver]]=S1999</f>
        <v>0</v>
      </c>
      <c r="N1999">
        <v>47115</v>
      </c>
      <c r="O1999" t="s">
        <v>1565</v>
      </c>
      <c r="P1999" t="s">
        <v>1038</v>
      </c>
      <c r="R1999">
        <v>24</v>
      </c>
      <c r="S1999">
        <v>770</v>
      </c>
      <c r="T1999">
        <v>189</v>
      </c>
      <c r="V1999">
        <v>993</v>
      </c>
    </row>
    <row r="2000" spans="1:22">
      <c r="A2000" s="32" t="s">
        <v>4403</v>
      </c>
      <c r="B2000" s="32" t="s">
        <v>1565</v>
      </c>
      <c r="C2000" s="32" t="s">
        <v>1029</v>
      </c>
      <c r="D2000" s="33">
        <v>12</v>
      </c>
      <c r="E2000" s="33">
        <v>84</v>
      </c>
      <c r="F2000" s="33">
        <v>2803</v>
      </c>
      <c r="G2000" s="33">
        <v>1349</v>
      </c>
      <c r="H2000" s="33">
        <v>57</v>
      </c>
      <c r="I2000" s="33">
        <v>4305</v>
      </c>
      <c r="K2000" t="b">
        <f>QHPSelections2016[[#This Row],[County Name]]=P2000</f>
        <v>0</v>
      </c>
      <c r="L2000" t="b">
        <f>QHPSelections2016[[#This Row],[Silver]]=S2000</f>
        <v>0</v>
      </c>
      <c r="N2000">
        <v>47117</v>
      </c>
      <c r="O2000" t="s">
        <v>1565</v>
      </c>
      <c r="P2000" t="s">
        <v>1068</v>
      </c>
      <c r="R2000">
        <v>16</v>
      </c>
      <c r="S2000">
        <v>794</v>
      </c>
      <c r="T2000">
        <v>265</v>
      </c>
      <c r="V2000" s="51">
        <v>1089</v>
      </c>
    </row>
    <row r="2001" spans="1:22">
      <c r="A2001" s="32" t="s">
        <v>4404</v>
      </c>
      <c r="B2001" s="32" t="s">
        <v>1565</v>
      </c>
      <c r="C2001" s="32" t="s">
        <v>1038</v>
      </c>
      <c r="D2001" s="33" t="s">
        <v>1639</v>
      </c>
      <c r="E2001" s="33">
        <v>24</v>
      </c>
      <c r="F2001" s="33">
        <v>770</v>
      </c>
      <c r="G2001" s="33">
        <v>189</v>
      </c>
      <c r="H2001" s="33" t="s">
        <v>1639</v>
      </c>
      <c r="I2001" s="33">
        <v>993</v>
      </c>
      <c r="K2001" t="b">
        <f>QHPSelections2016[[#This Row],[County Name]]=P2001</f>
        <v>0</v>
      </c>
      <c r="L2001" t="b">
        <f>QHPSelections2016[[#This Row],[Silver]]=S2001</f>
        <v>0</v>
      </c>
      <c r="N2001">
        <v>47119</v>
      </c>
      <c r="O2001" t="s">
        <v>1565</v>
      </c>
      <c r="P2001" t="s">
        <v>1134</v>
      </c>
      <c r="Q2001">
        <v>24</v>
      </c>
      <c r="R2001">
        <v>75</v>
      </c>
      <c r="S2001" s="51">
        <v>2435</v>
      </c>
      <c r="T2001">
        <v>958</v>
      </c>
      <c r="U2001">
        <v>25</v>
      </c>
      <c r="V2001" s="51">
        <v>3517</v>
      </c>
    </row>
    <row r="2002" spans="1:22">
      <c r="A2002" s="32" t="s">
        <v>4405</v>
      </c>
      <c r="B2002" s="32" t="s">
        <v>1565</v>
      </c>
      <c r="C2002" s="32" t="s">
        <v>1068</v>
      </c>
      <c r="D2002" s="33" t="s">
        <v>1639</v>
      </c>
      <c r="E2002" s="33">
        <v>16</v>
      </c>
      <c r="F2002" s="33">
        <v>794</v>
      </c>
      <c r="G2002" s="33">
        <v>265</v>
      </c>
      <c r="H2002" s="33" t="s">
        <v>1639</v>
      </c>
      <c r="I2002" s="33">
        <v>1089</v>
      </c>
      <c r="K2002" t="b">
        <f>QHPSelections2016[[#This Row],[County Name]]=P2002</f>
        <v>0</v>
      </c>
      <c r="L2002" t="b">
        <f>QHPSelections2016[[#This Row],[Silver]]=S2002</f>
        <v>0</v>
      </c>
      <c r="N2002">
        <v>47107</v>
      </c>
      <c r="O2002" t="s">
        <v>1565</v>
      </c>
      <c r="P2002" t="s">
        <v>1107</v>
      </c>
      <c r="R2002">
        <v>43</v>
      </c>
      <c r="S2002" s="51">
        <v>1257</v>
      </c>
      <c r="T2002">
        <v>304</v>
      </c>
      <c r="V2002" s="51">
        <v>1619</v>
      </c>
    </row>
    <row r="2003" spans="1:22">
      <c r="A2003" s="32" t="s">
        <v>4406</v>
      </c>
      <c r="B2003" s="32" t="s">
        <v>1565</v>
      </c>
      <c r="C2003" s="32" t="s">
        <v>1134</v>
      </c>
      <c r="D2003" s="33">
        <v>24</v>
      </c>
      <c r="E2003" s="33">
        <v>75</v>
      </c>
      <c r="F2003" s="33">
        <v>2435</v>
      </c>
      <c r="G2003" s="33">
        <v>958</v>
      </c>
      <c r="H2003" s="33">
        <v>25</v>
      </c>
      <c r="I2003" s="33">
        <v>3517</v>
      </c>
      <c r="K2003" t="b">
        <f>QHPSelections2016[[#This Row],[County Name]]=P2003</f>
        <v>0</v>
      </c>
      <c r="L2003" t="b">
        <f>QHPSelections2016[[#This Row],[Silver]]=S2003</f>
        <v>0</v>
      </c>
      <c r="N2003">
        <v>47109</v>
      </c>
      <c r="O2003" t="s">
        <v>1565</v>
      </c>
      <c r="P2003" t="s">
        <v>1113</v>
      </c>
      <c r="R2003">
        <v>15</v>
      </c>
      <c r="S2003">
        <v>736</v>
      </c>
      <c r="T2003">
        <v>242</v>
      </c>
      <c r="V2003" s="51">
        <v>1009</v>
      </c>
    </row>
    <row r="2004" spans="1:22">
      <c r="A2004" s="32" t="s">
        <v>4407</v>
      </c>
      <c r="B2004" s="32" t="s">
        <v>1565</v>
      </c>
      <c r="C2004" s="32" t="s">
        <v>1141</v>
      </c>
      <c r="D2004" s="33" t="s">
        <v>1639</v>
      </c>
      <c r="E2004" s="33" t="s">
        <v>1639</v>
      </c>
      <c r="F2004" s="33">
        <v>311</v>
      </c>
      <c r="G2004" s="33">
        <v>67</v>
      </c>
      <c r="H2004" s="33" t="s">
        <v>1639</v>
      </c>
      <c r="I2004" s="33">
        <v>387</v>
      </c>
      <c r="K2004" t="b">
        <f>QHPSelections2016[[#This Row],[County Name]]=P2004</f>
        <v>1</v>
      </c>
      <c r="L2004" t="b">
        <f>QHPSelections2016[[#This Row],[Silver]]=S2004</f>
        <v>1</v>
      </c>
      <c r="N2004">
        <v>47121</v>
      </c>
      <c r="O2004" t="s">
        <v>1565</v>
      </c>
      <c r="P2004" t="s">
        <v>1141</v>
      </c>
      <c r="S2004">
        <v>311</v>
      </c>
      <c r="T2004">
        <v>67</v>
      </c>
      <c r="V2004">
        <v>387</v>
      </c>
    </row>
    <row r="2005" spans="1:22">
      <c r="A2005" s="32" t="s">
        <v>4408</v>
      </c>
      <c r="B2005" s="32" t="s">
        <v>1565</v>
      </c>
      <c r="C2005" s="32" t="s">
        <v>1055</v>
      </c>
      <c r="D2005" s="33" t="s">
        <v>1639</v>
      </c>
      <c r="E2005" s="33">
        <v>43</v>
      </c>
      <c r="F2005" s="33">
        <v>1201</v>
      </c>
      <c r="G2005" s="33">
        <v>266</v>
      </c>
      <c r="H2005" s="33" t="s">
        <v>1639</v>
      </c>
      <c r="I2005" s="33">
        <v>1543</v>
      </c>
      <c r="K2005" t="b">
        <f>QHPSelections2016[[#This Row],[County Name]]=P2005</f>
        <v>1</v>
      </c>
      <c r="L2005" t="b">
        <f>QHPSelections2016[[#This Row],[Silver]]=S2005</f>
        <v>1</v>
      </c>
      <c r="N2005">
        <v>47123</v>
      </c>
      <c r="O2005" t="s">
        <v>1565</v>
      </c>
      <c r="P2005" t="s">
        <v>1055</v>
      </c>
      <c r="R2005">
        <v>43</v>
      </c>
      <c r="S2005" s="51">
        <v>1201</v>
      </c>
      <c r="T2005">
        <v>266</v>
      </c>
      <c r="V2005" s="51">
        <v>1543</v>
      </c>
    </row>
    <row r="2006" spans="1:22">
      <c r="A2006" s="32" t="s">
        <v>4409</v>
      </c>
      <c r="B2006" s="32" t="s">
        <v>1565</v>
      </c>
      <c r="C2006" s="32" t="s">
        <v>1079</v>
      </c>
      <c r="D2006" s="33">
        <v>25</v>
      </c>
      <c r="E2006" s="33">
        <v>110</v>
      </c>
      <c r="F2006" s="33">
        <v>3087</v>
      </c>
      <c r="G2006" s="33">
        <v>1330</v>
      </c>
      <c r="H2006" s="33">
        <v>54</v>
      </c>
      <c r="I2006" s="33">
        <v>4606</v>
      </c>
      <c r="K2006" t="b">
        <f>QHPSelections2016[[#This Row],[County Name]]=P2006</f>
        <v>1</v>
      </c>
      <c r="L2006" t="b">
        <f>QHPSelections2016[[#This Row],[Silver]]=S2006</f>
        <v>1</v>
      </c>
      <c r="N2006">
        <v>47125</v>
      </c>
      <c r="O2006" t="s">
        <v>1565</v>
      </c>
      <c r="P2006" t="s">
        <v>1079</v>
      </c>
      <c r="Q2006">
        <v>25</v>
      </c>
      <c r="R2006">
        <v>110</v>
      </c>
      <c r="S2006" s="51">
        <v>3087</v>
      </c>
      <c r="T2006" s="51">
        <v>1330</v>
      </c>
      <c r="U2006">
        <v>54</v>
      </c>
      <c r="V2006" s="51">
        <v>4606</v>
      </c>
    </row>
    <row r="2007" spans="1:22">
      <c r="A2007" s="32" t="s">
        <v>4410</v>
      </c>
      <c r="B2007" s="32" t="s">
        <v>1565</v>
      </c>
      <c r="C2007" s="32" t="s">
        <v>1152</v>
      </c>
      <c r="D2007" s="33" t="s">
        <v>1639</v>
      </c>
      <c r="E2007" s="33" t="s">
        <v>1639</v>
      </c>
      <c r="F2007" s="33">
        <v>136</v>
      </c>
      <c r="G2007" s="33">
        <v>42</v>
      </c>
      <c r="H2007" s="33">
        <v>0</v>
      </c>
      <c r="I2007" s="33">
        <v>182</v>
      </c>
      <c r="K2007" t="b">
        <f>QHPSelections2016[[#This Row],[County Name]]=P2007</f>
        <v>1</v>
      </c>
      <c r="L2007" t="b">
        <f>QHPSelections2016[[#This Row],[Silver]]=S2007</f>
        <v>1</v>
      </c>
      <c r="N2007">
        <v>47127</v>
      </c>
      <c r="O2007" t="s">
        <v>1565</v>
      </c>
      <c r="P2007" t="s">
        <v>1152</v>
      </c>
      <c r="S2007">
        <v>136</v>
      </c>
      <c r="T2007">
        <v>42</v>
      </c>
      <c r="U2007">
        <v>0</v>
      </c>
      <c r="V2007">
        <v>182</v>
      </c>
    </row>
    <row r="2008" spans="1:22">
      <c r="A2008" s="32" t="s">
        <v>4411</v>
      </c>
      <c r="B2008" s="32" t="s">
        <v>1565</v>
      </c>
      <c r="C2008" s="32" t="s">
        <v>1092</v>
      </c>
      <c r="D2008" s="33" t="s">
        <v>1639</v>
      </c>
      <c r="E2008" s="33" t="s">
        <v>1639</v>
      </c>
      <c r="F2008" s="33">
        <v>392</v>
      </c>
      <c r="G2008" s="33">
        <v>83</v>
      </c>
      <c r="H2008" s="33">
        <v>14</v>
      </c>
      <c r="I2008" s="33">
        <v>506</v>
      </c>
      <c r="K2008" t="b">
        <f>QHPSelections2016[[#This Row],[County Name]]=P2008</f>
        <v>1</v>
      </c>
      <c r="L2008" t="b">
        <f>QHPSelections2016[[#This Row],[Silver]]=S2008</f>
        <v>1</v>
      </c>
      <c r="N2008">
        <v>47129</v>
      </c>
      <c r="O2008" t="s">
        <v>1565</v>
      </c>
      <c r="P2008" t="s">
        <v>1092</v>
      </c>
      <c r="S2008">
        <v>392</v>
      </c>
      <c r="T2008">
        <v>83</v>
      </c>
      <c r="U2008">
        <v>14</v>
      </c>
      <c r="V2008">
        <v>506</v>
      </c>
    </row>
    <row r="2009" spans="1:22">
      <c r="A2009" s="32" t="s">
        <v>4412</v>
      </c>
      <c r="B2009" s="32" t="s">
        <v>1565</v>
      </c>
      <c r="C2009" s="32" t="s">
        <v>1170</v>
      </c>
      <c r="D2009" s="33" t="s">
        <v>1639</v>
      </c>
      <c r="E2009" s="33">
        <v>20</v>
      </c>
      <c r="F2009" s="33">
        <v>731</v>
      </c>
      <c r="G2009" s="33">
        <v>272</v>
      </c>
      <c r="H2009" s="33" t="s">
        <v>1639</v>
      </c>
      <c r="I2009" s="33">
        <v>1040</v>
      </c>
      <c r="K2009" t="b">
        <f>QHPSelections2016[[#This Row],[County Name]]=P2009</f>
        <v>1</v>
      </c>
      <c r="L2009" t="b">
        <f>QHPSelections2016[[#This Row],[Silver]]=S2009</f>
        <v>1</v>
      </c>
      <c r="N2009">
        <v>47131</v>
      </c>
      <c r="O2009" t="s">
        <v>1565</v>
      </c>
      <c r="P2009" t="s">
        <v>1170</v>
      </c>
      <c r="R2009">
        <v>20</v>
      </c>
      <c r="S2009">
        <v>731</v>
      </c>
      <c r="T2009">
        <v>272</v>
      </c>
      <c r="V2009" s="51">
        <v>1040</v>
      </c>
    </row>
    <row r="2010" spans="1:22">
      <c r="A2010" s="32" t="s">
        <v>4413</v>
      </c>
      <c r="B2010" s="32" t="s">
        <v>1565</v>
      </c>
      <c r="C2010" s="32" t="s">
        <v>1175</v>
      </c>
      <c r="D2010" s="33" t="s">
        <v>1639</v>
      </c>
      <c r="E2010" s="33">
        <v>13</v>
      </c>
      <c r="F2010" s="33">
        <v>705</v>
      </c>
      <c r="G2010" s="33">
        <v>160</v>
      </c>
      <c r="H2010" s="33" t="s">
        <v>1639</v>
      </c>
      <c r="I2010" s="33">
        <v>884</v>
      </c>
      <c r="K2010" t="b">
        <f>QHPSelections2016[[#This Row],[County Name]]=P2010</f>
        <v>1</v>
      </c>
      <c r="L2010" t="b">
        <f>QHPSelections2016[[#This Row],[Silver]]=S2010</f>
        <v>1</v>
      </c>
      <c r="N2010">
        <v>47133</v>
      </c>
      <c r="O2010" t="s">
        <v>1565</v>
      </c>
      <c r="P2010" t="s">
        <v>1175</v>
      </c>
      <c r="R2010">
        <v>13</v>
      </c>
      <c r="S2010">
        <v>705</v>
      </c>
      <c r="T2010">
        <v>160</v>
      </c>
      <c r="V2010">
        <v>884</v>
      </c>
    </row>
    <row r="2011" spans="1:22">
      <c r="A2011" s="32" t="s">
        <v>4414</v>
      </c>
      <c r="B2011" s="32" t="s">
        <v>1565</v>
      </c>
      <c r="C2011" s="32" t="s">
        <v>1097</v>
      </c>
      <c r="D2011" s="33">
        <v>0</v>
      </c>
      <c r="E2011" s="33" t="s">
        <v>1639</v>
      </c>
      <c r="F2011" s="33">
        <v>231</v>
      </c>
      <c r="G2011" s="33">
        <v>74</v>
      </c>
      <c r="H2011" s="33" t="s">
        <v>1639</v>
      </c>
      <c r="I2011" s="33">
        <v>310</v>
      </c>
      <c r="K2011" t="b">
        <f>QHPSelections2016[[#This Row],[County Name]]=P2011</f>
        <v>1</v>
      </c>
      <c r="L2011" t="b">
        <f>QHPSelections2016[[#This Row],[Silver]]=S2011</f>
        <v>1</v>
      </c>
      <c r="N2011">
        <v>47135</v>
      </c>
      <c r="O2011" t="s">
        <v>1565</v>
      </c>
      <c r="P2011" t="s">
        <v>1097</v>
      </c>
      <c r="Q2011">
        <v>0</v>
      </c>
      <c r="S2011">
        <v>231</v>
      </c>
      <c r="T2011">
        <v>74</v>
      </c>
      <c r="V2011">
        <v>310</v>
      </c>
    </row>
    <row r="2012" spans="1:22">
      <c r="A2012" s="32" t="s">
        <v>4415</v>
      </c>
      <c r="B2012" s="32" t="s">
        <v>1565</v>
      </c>
      <c r="C2012" s="32" t="s">
        <v>1183</v>
      </c>
      <c r="D2012" s="33" t="s">
        <v>1639</v>
      </c>
      <c r="E2012" s="33" t="s">
        <v>1639</v>
      </c>
      <c r="F2012" s="33">
        <v>190</v>
      </c>
      <c r="G2012" s="33">
        <v>63</v>
      </c>
      <c r="H2012" s="33">
        <v>0</v>
      </c>
      <c r="I2012" s="33">
        <v>259</v>
      </c>
      <c r="K2012" t="b">
        <f>QHPSelections2016[[#This Row],[County Name]]=P2012</f>
        <v>1</v>
      </c>
      <c r="L2012" t="b">
        <f>QHPSelections2016[[#This Row],[Silver]]=S2012</f>
        <v>1</v>
      </c>
      <c r="N2012">
        <v>47137</v>
      </c>
      <c r="O2012" t="s">
        <v>1565</v>
      </c>
      <c r="P2012" t="s">
        <v>1183</v>
      </c>
      <c r="S2012">
        <v>190</v>
      </c>
      <c r="T2012">
        <v>63</v>
      </c>
      <c r="U2012">
        <v>0</v>
      </c>
      <c r="V2012">
        <v>259</v>
      </c>
    </row>
    <row r="2013" spans="1:22">
      <c r="A2013" s="32" t="s">
        <v>4416</v>
      </c>
      <c r="B2013" s="32" t="s">
        <v>1565</v>
      </c>
      <c r="C2013" s="32" t="s">
        <v>1098</v>
      </c>
      <c r="D2013" s="33" t="s">
        <v>1639</v>
      </c>
      <c r="E2013" s="33">
        <v>15</v>
      </c>
      <c r="F2013" s="33">
        <v>462</v>
      </c>
      <c r="G2013" s="33">
        <v>173</v>
      </c>
      <c r="H2013" s="33" t="s">
        <v>1639</v>
      </c>
      <c r="I2013" s="33">
        <v>659</v>
      </c>
      <c r="K2013" t="b">
        <f>QHPSelections2016[[#This Row],[County Name]]=P2013</f>
        <v>1</v>
      </c>
      <c r="L2013" t="b">
        <f>QHPSelections2016[[#This Row],[Silver]]=S2013</f>
        <v>1</v>
      </c>
      <c r="N2013">
        <v>47139</v>
      </c>
      <c r="O2013" t="s">
        <v>1565</v>
      </c>
      <c r="P2013" t="s">
        <v>1098</v>
      </c>
      <c r="R2013">
        <v>15</v>
      </c>
      <c r="S2013">
        <v>462</v>
      </c>
      <c r="T2013">
        <v>173</v>
      </c>
      <c r="V2013">
        <v>659</v>
      </c>
    </row>
    <row r="2014" spans="1:22">
      <c r="A2014" s="32" t="s">
        <v>4417</v>
      </c>
      <c r="B2014" s="32" t="s">
        <v>1565</v>
      </c>
      <c r="C2014" s="32" t="s">
        <v>1103</v>
      </c>
      <c r="D2014" s="33" t="s">
        <v>1639</v>
      </c>
      <c r="E2014" s="33">
        <v>85</v>
      </c>
      <c r="F2014" s="33">
        <v>2344</v>
      </c>
      <c r="G2014" s="33">
        <v>775</v>
      </c>
      <c r="H2014" s="33" t="s">
        <v>1639</v>
      </c>
      <c r="I2014" s="33">
        <v>3253</v>
      </c>
      <c r="K2014" t="b">
        <f>QHPSelections2016[[#This Row],[County Name]]=P2014</f>
        <v>1</v>
      </c>
      <c r="L2014" t="b">
        <f>QHPSelections2016[[#This Row],[Silver]]=S2014</f>
        <v>1</v>
      </c>
      <c r="N2014">
        <v>47141</v>
      </c>
      <c r="O2014" t="s">
        <v>1565</v>
      </c>
      <c r="P2014" t="s">
        <v>1103</v>
      </c>
      <c r="R2014">
        <v>85</v>
      </c>
      <c r="S2014" s="51">
        <v>2344</v>
      </c>
      <c r="T2014">
        <v>775</v>
      </c>
      <c r="V2014" s="51">
        <v>3253</v>
      </c>
    </row>
    <row r="2015" spans="1:22">
      <c r="A2015" s="32" t="s">
        <v>4418</v>
      </c>
      <c r="B2015" s="32" t="s">
        <v>1565</v>
      </c>
      <c r="C2015" s="32" t="s">
        <v>1195</v>
      </c>
      <c r="D2015" s="33" t="s">
        <v>1639</v>
      </c>
      <c r="E2015" s="33">
        <v>33</v>
      </c>
      <c r="F2015" s="33">
        <v>682</v>
      </c>
      <c r="G2015" s="33">
        <v>207</v>
      </c>
      <c r="H2015" s="33" t="s">
        <v>1639</v>
      </c>
      <c r="I2015" s="33">
        <v>933</v>
      </c>
      <c r="K2015" t="b">
        <f>QHPSelections2016[[#This Row],[County Name]]=P2015</f>
        <v>1</v>
      </c>
      <c r="L2015" t="b">
        <f>QHPSelections2016[[#This Row],[Silver]]=S2015</f>
        <v>1</v>
      </c>
      <c r="N2015">
        <v>47143</v>
      </c>
      <c r="O2015" t="s">
        <v>1565</v>
      </c>
      <c r="P2015" t="s">
        <v>1195</v>
      </c>
      <c r="R2015">
        <v>33</v>
      </c>
      <c r="S2015">
        <v>682</v>
      </c>
      <c r="T2015">
        <v>207</v>
      </c>
      <c r="V2015">
        <v>933</v>
      </c>
    </row>
    <row r="2016" spans="1:22">
      <c r="A2016" s="32" t="s">
        <v>4419</v>
      </c>
      <c r="B2016" s="32" t="s">
        <v>1565</v>
      </c>
      <c r="C2016" s="32" t="s">
        <v>1199</v>
      </c>
      <c r="D2016" s="33" t="s">
        <v>1639</v>
      </c>
      <c r="E2016" s="33">
        <v>104</v>
      </c>
      <c r="F2016" s="33">
        <v>1245</v>
      </c>
      <c r="G2016" s="33">
        <v>299</v>
      </c>
      <c r="H2016" s="33" t="s">
        <v>1639</v>
      </c>
      <c r="I2016" s="33">
        <v>1670</v>
      </c>
      <c r="K2016" t="b">
        <f>QHPSelections2016[[#This Row],[County Name]]=P2016</f>
        <v>1</v>
      </c>
      <c r="L2016" t="b">
        <f>QHPSelections2016[[#This Row],[Silver]]=S2016</f>
        <v>1</v>
      </c>
      <c r="N2016">
        <v>47145</v>
      </c>
      <c r="O2016" t="s">
        <v>1565</v>
      </c>
      <c r="P2016" t="s">
        <v>1199</v>
      </c>
      <c r="R2016">
        <v>104</v>
      </c>
      <c r="S2016" s="51">
        <v>1245</v>
      </c>
      <c r="T2016">
        <v>299</v>
      </c>
      <c r="V2016" s="51">
        <v>1670</v>
      </c>
    </row>
    <row r="2017" spans="1:22">
      <c r="A2017" s="32" t="s">
        <v>4420</v>
      </c>
      <c r="B2017" s="32" t="s">
        <v>1565</v>
      </c>
      <c r="C2017" s="32" t="s">
        <v>1204</v>
      </c>
      <c r="D2017" s="33">
        <v>17</v>
      </c>
      <c r="E2017" s="33">
        <v>87</v>
      </c>
      <c r="F2017" s="33">
        <v>1535</v>
      </c>
      <c r="G2017" s="33">
        <v>764</v>
      </c>
      <c r="H2017" s="33">
        <v>13</v>
      </c>
      <c r="I2017" s="33">
        <v>2416</v>
      </c>
      <c r="K2017" t="b">
        <f>QHPSelections2016[[#This Row],[County Name]]=P2017</f>
        <v>1</v>
      </c>
      <c r="L2017" t="b">
        <f>QHPSelections2016[[#This Row],[Silver]]=S2017</f>
        <v>1</v>
      </c>
      <c r="N2017">
        <v>47147</v>
      </c>
      <c r="O2017" t="s">
        <v>1565</v>
      </c>
      <c r="P2017" t="s">
        <v>1204</v>
      </c>
      <c r="Q2017">
        <v>17</v>
      </c>
      <c r="R2017">
        <v>87</v>
      </c>
      <c r="S2017" s="51">
        <v>1535</v>
      </c>
      <c r="T2017">
        <v>764</v>
      </c>
      <c r="U2017">
        <v>13</v>
      </c>
      <c r="V2017" s="51">
        <v>2416</v>
      </c>
    </row>
    <row r="2018" spans="1:22">
      <c r="A2018" s="32" t="s">
        <v>4421</v>
      </c>
      <c r="B2018" s="32" t="s">
        <v>1565</v>
      </c>
      <c r="C2018" s="32" t="s">
        <v>1206</v>
      </c>
      <c r="D2018" s="33">
        <v>50</v>
      </c>
      <c r="E2018" s="33">
        <v>266</v>
      </c>
      <c r="F2018" s="33">
        <v>6463</v>
      </c>
      <c r="G2018" s="33">
        <v>3211</v>
      </c>
      <c r="H2018" s="33">
        <v>75</v>
      </c>
      <c r="I2018" s="33">
        <v>10065</v>
      </c>
      <c r="K2018" t="b">
        <f>QHPSelections2016[[#This Row],[County Name]]=P2018</f>
        <v>1</v>
      </c>
      <c r="L2018" t="b">
        <f>QHPSelections2016[[#This Row],[Silver]]=S2018</f>
        <v>1</v>
      </c>
      <c r="N2018">
        <v>47149</v>
      </c>
      <c r="O2018" t="s">
        <v>1565</v>
      </c>
      <c r="P2018" t="s">
        <v>1206</v>
      </c>
      <c r="Q2018">
        <v>50</v>
      </c>
      <c r="R2018">
        <v>266</v>
      </c>
      <c r="S2018" s="51">
        <v>6463</v>
      </c>
      <c r="T2018" s="51">
        <v>3211</v>
      </c>
      <c r="U2018">
        <v>75</v>
      </c>
      <c r="V2018" s="51">
        <v>10065</v>
      </c>
    </row>
    <row r="2019" spans="1:22">
      <c r="A2019" s="32" t="s">
        <v>4422</v>
      </c>
      <c r="B2019" s="32" t="s">
        <v>1565</v>
      </c>
      <c r="C2019" s="32" t="s">
        <v>1146</v>
      </c>
      <c r="D2019" s="33" t="s">
        <v>1639</v>
      </c>
      <c r="E2019" s="33">
        <v>29</v>
      </c>
      <c r="F2019" s="33">
        <v>580</v>
      </c>
      <c r="G2019" s="33">
        <v>120</v>
      </c>
      <c r="H2019" s="33" t="s">
        <v>1639</v>
      </c>
      <c r="I2019" s="33">
        <v>744</v>
      </c>
      <c r="K2019" t="b">
        <f>QHPSelections2016[[#This Row],[County Name]]=P2019</f>
        <v>1</v>
      </c>
      <c r="L2019" t="b">
        <f>QHPSelections2016[[#This Row],[Silver]]=S2019</f>
        <v>1</v>
      </c>
      <c r="N2019">
        <v>47151</v>
      </c>
      <c r="O2019" t="s">
        <v>1565</v>
      </c>
      <c r="P2019" t="s">
        <v>1146</v>
      </c>
      <c r="R2019">
        <v>29</v>
      </c>
      <c r="S2019">
        <v>580</v>
      </c>
      <c r="T2019">
        <v>120</v>
      </c>
      <c r="V2019">
        <v>744</v>
      </c>
    </row>
    <row r="2020" spans="1:22">
      <c r="A2020" s="32" t="s">
        <v>4423</v>
      </c>
      <c r="B2020" s="32" t="s">
        <v>1565</v>
      </c>
      <c r="C2020" s="32" t="s">
        <v>1211</v>
      </c>
      <c r="D2020" s="33" t="s">
        <v>1639</v>
      </c>
      <c r="E2020" s="33">
        <v>15</v>
      </c>
      <c r="F2020" s="33">
        <v>423</v>
      </c>
      <c r="G2020" s="33">
        <v>108</v>
      </c>
      <c r="H2020" s="33" t="s">
        <v>1639</v>
      </c>
      <c r="I2020" s="33">
        <v>551</v>
      </c>
      <c r="K2020" t="b">
        <f>QHPSelections2016[[#This Row],[County Name]]=P2020</f>
        <v>1</v>
      </c>
      <c r="L2020" t="b">
        <f>QHPSelections2016[[#This Row],[Silver]]=S2020</f>
        <v>1</v>
      </c>
      <c r="N2020">
        <v>47153</v>
      </c>
      <c r="O2020" t="s">
        <v>1565</v>
      </c>
      <c r="P2020" t="s">
        <v>1211</v>
      </c>
      <c r="R2020">
        <v>15</v>
      </c>
      <c r="S2020">
        <v>423</v>
      </c>
      <c r="T2020">
        <v>108</v>
      </c>
      <c r="V2020">
        <v>551</v>
      </c>
    </row>
    <row r="2021" spans="1:22">
      <c r="A2021" s="32" t="s">
        <v>4424</v>
      </c>
      <c r="B2021" s="32" t="s">
        <v>1565</v>
      </c>
      <c r="C2021" s="32" t="s">
        <v>1214</v>
      </c>
      <c r="D2021" s="33">
        <v>36</v>
      </c>
      <c r="E2021" s="33">
        <v>236</v>
      </c>
      <c r="F2021" s="33">
        <v>4188</v>
      </c>
      <c r="G2021" s="33">
        <v>1140</v>
      </c>
      <c r="H2021" s="33">
        <v>61</v>
      </c>
      <c r="I2021" s="33">
        <v>5661</v>
      </c>
      <c r="K2021" t="b">
        <f>QHPSelections2016[[#This Row],[County Name]]=P2021</f>
        <v>1</v>
      </c>
      <c r="L2021" t="b">
        <f>QHPSelections2016[[#This Row],[Silver]]=S2021</f>
        <v>1</v>
      </c>
      <c r="N2021">
        <v>47155</v>
      </c>
      <c r="O2021" t="s">
        <v>1565</v>
      </c>
      <c r="P2021" t="s">
        <v>1214</v>
      </c>
      <c r="Q2021">
        <v>36</v>
      </c>
      <c r="R2021">
        <v>236</v>
      </c>
      <c r="S2021" s="51">
        <v>4188</v>
      </c>
      <c r="T2021" s="51">
        <v>1140</v>
      </c>
      <c r="U2021">
        <v>61</v>
      </c>
      <c r="V2021" s="51">
        <v>5661</v>
      </c>
    </row>
    <row r="2022" spans="1:22">
      <c r="A2022" s="32" t="s">
        <v>4425</v>
      </c>
      <c r="B2022" s="32" t="s">
        <v>1565</v>
      </c>
      <c r="C2022" s="32" t="s">
        <v>1126</v>
      </c>
      <c r="D2022" s="33">
        <v>258</v>
      </c>
      <c r="E2022" s="33">
        <v>1490</v>
      </c>
      <c r="F2022" s="33">
        <v>27522</v>
      </c>
      <c r="G2022" s="33">
        <v>9638</v>
      </c>
      <c r="H2022" s="33">
        <v>884</v>
      </c>
      <c r="I2022" s="33">
        <v>39792</v>
      </c>
      <c r="K2022" t="b">
        <f>QHPSelections2016[[#This Row],[County Name]]=P2022</f>
        <v>1</v>
      </c>
      <c r="L2022" t="b">
        <f>QHPSelections2016[[#This Row],[Silver]]=S2022</f>
        <v>1</v>
      </c>
      <c r="N2022">
        <v>47157</v>
      </c>
      <c r="O2022" t="s">
        <v>1565</v>
      </c>
      <c r="P2022" t="s">
        <v>1126</v>
      </c>
      <c r="Q2022">
        <v>258</v>
      </c>
      <c r="R2022" s="51">
        <v>1490</v>
      </c>
      <c r="S2022" s="51">
        <v>27522</v>
      </c>
      <c r="T2022" s="51">
        <v>9638</v>
      </c>
      <c r="U2022">
        <v>884</v>
      </c>
      <c r="V2022" s="51">
        <v>39792</v>
      </c>
    </row>
    <row r="2023" spans="1:22">
      <c r="A2023" s="32" t="s">
        <v>4426</v>
      </c>
      <c r="B2023" s="32" t="s">
        <v>1565</v>
      </c>
      <c r="C2023" s="32" t="s">
        <v>1163</v>
      </c>
      <c r="D2023" s="33" t="s">
        <v>1639</v>
      </c>
      <c r="E2023" s="33">
        <v>14</v>
      </c>
      <c r="F2023" s="33">
        <v>507</v>
      </c>
      <c r="G2023" s="33">
        <v>169</v>
      </c>
      <c r="H2023" s="33" t="s">
        <v>1639</v>
      </c>
      <c r="I2023" s="33">
        <v>699</v>
      </c>
      <c r="K2023" t="b">
        <f>QHPSelections2016[[#This Row],[County Name]]=P2023</f>
        <v>1</v>
      </c>
      <c r="L2023" t="b">
        <f>QHPSelections2016[[#This Row],[Silver]]=S2023</f>
        <v>1</v>
      </c>
      <c r="N2023">
        <v>47159</v>
      </c>
      <c r="O2023" t="s">
        <v>1565</v>
      </c>
      <c r="P2023" t="s">
        <v>1163</v>
      </c>
      <c r="R2023">
        <v>14</v>
      </c>
      <c r="S2023">
        <v>507</v>
      </c>
      <c r="T2023">
        <v>169</v>
      </c>
      <c r="V2023">
        <v>699</v>
      </c>
    </row>
    <row r="2024" spans="1:22">
      <c r="A2024" s="32" t="s">
        <v>4427</v>
      </c>
      <c r="B2024" s="32" t="s">
        <v>1565</v>
      </c>
      <c r="C2024" s="32" t="s">
        <v>1222</v>
      </c>
      <c r="D2024" s="33" t="s">
        <v>1639</v>
      </c>
      <c r="E2024" s="33" t="s">
        <v>1639</v>
      </c>
      <c r="F2024" s="33">
        <v>326</v>
      </c>
      <c r="G2024" s="33">
        <v>90</v>
      </c>
      <c r="H2024" s="33" t="s">
        <v>1639</v>
      </c>
      <c r="I2024" s="33">
        <v>432</v>
      </c>
      <c r="K2024" t="b">
        <f>QHPSelections2016[[#This Row],[County Name]]=P2024</f>
        <v>1</v>
      </c>
      <c r="L2024" t="b">
        <f>QHPSelections2016[[#This Row],[Silver]]=S2024</f>
        <v>1</v>
      </c>
      <c r="N2024">
        <v>47161</v>
      </c>
      <c r="O2024" t="s">
        <v>1565</v>
      </c>
      <c r="P2024" t="s">
        <v>1222</v>
      </c>
      <c r="S2024">
        <v>326</v>
      </c>
      <c r="T2024">
        <v>90</v>
      </c>
      <c r="V2024">
        <v>432</v>
      </c>
    </row>
    <row r="2025" spans="1:22">
      <c r="A2025" s="32" t="s">
        <v>4428</v>
      </c>
      <c r="B2025" s="32" t="s">
        <v>1565</v>
      </c>
      <c r="C2025" s="32" t="s">
        <v>1227</v>
      </c>
      <c r="D2025" s="33">
        <v>49</v>
      </c>
      <c r="E2025" s="33">
        <v>118</v>
      </c>
      <c r="F2025" s="33">
        <v>4530</v>
      </c>
      <c r="G2025" s="33">
        <v>1563</v>
      </c>
      <c r="H2025" s="33">
        <v>27</v>
      </c>
      <c r="I2025" s="33">
        <v>6287</v>
      </c>
      <c r="K2025" t="b">
        <f>QHPSelections2016[[#This Row],[County Name]]=P2025</f>
        <v>1</v>
      </c>
      <c r="L2025" t="b">
        <f>QHPSelections2016[[#This Row],[Silver]]=S2025</f>
        <v>1</v>
      </c>
      <c r="N2025">
        <v>47163</v>
      </c>
      <c r="O2025" t="s">
        <v>1565</v>
      </c>
      <c r="P2025" t="s">
        <v>1227</v>
      </c>
      <c r="Q2025">
        <v>49</v>
      </c>
      <c r="R2025">
        <v>118</v>
      </c>
      <c r="S2025" s="51">
        <v>4530</v>
      </c>
      <c r="T2025" s="51">
        <v>1563</v>
      </c>
      <c r="U2025">
        <v>27</v>
      </c>
      <c r="V2025" s="51">
        <v>6287</v>
      </c>
    </row>
    <row r="2026" spans="1:22">
      <c r="A2026" s="32" t="s">
        <v>4429</v>
      </c>
      <c r="B2026" s="32" t="s">
        <v>1565</v>
      </c>
      <c r="C2026" s="32" t="s">
        <v>1230</v>
      </c>
      <c r="D2026" s="33">
        <v>23</v>
      </c>
      <c r="E2026" s="33">
        <v>273</v>
      </c>
      <c r="F2026" s="33">
        <v>4241</v>
      </c>
      <c r="G2026" s="33">
        <v>2024</v>
      </c>
      <c r="H2026" s="33">
        <v>43</v>
      </c>
      <c r="I2026" s="33">
        <v>6604</v>
      </c>
      <c r="K2026" t="b">
        <f>QHPSelections2016[[#This Row],[County Name]]=P2026</f>
        <v>1</v>
      </c>
      <c r="L2026" t="b">
        <f>QHPSelections2016[[#This Row],[Silver]]=S2026</f>
        <v>1</v>
      </c>
      <c r="N2026">
        <v>47165</v>
      </c>
      <c r="O2026" t="s">
        <v>1565</v>
      </c>
      <c r="P2026" t="s">
        <v>1230</v>
      </c>
      <c r="Q2026">
        <v>23</v>
      </c>
      <c r="R2026">
        <v>273</v>
      </c>
      <c r="S2026" s="51">
        <v>4241</v>
      </c>
      <c r="T2026" s="51">
        <v>2024</v>
      </c>
      <c r="U2026">
        <v>43</v>
      </c>
      <c r="V2026" s="51">
        <v>6604</v>
      </c>
    </row>
    <row r="2027" spans="1:22">
      <c r="A2027" s="32" t="s">
        <v>4430</v>
      </c>
      <c r="B2027" s="32" t="s">
        <v>1565</v>
      </c>
      <c r="C2027" s="32" t="s">
        <v>1233</v>
      </c>
      <c r="D2027" s="33">
        <v>11</v>
      </c>
      <c r="E2027" s="33">
        <v>84</v>
      </c>
      <c r="F2027" s="33">
        <v>1348</v>
      </c>
      <c r="G2027" s="33">
        <v>392</v>
      </c>
      <c r="H2027" s="33">
        <v>28</v>
      </c>
      <c r="I2027" s="33">
        <v>1863</v>
      </c>
      <c r="K2027" t="b">
        <f>QHPSelections2016[[#This Row],[County Name]]=P2027</f>
        <v>1</v>
      </c>
      <c r="L2027" t="b">
        <f>QHPSelections2016[[#This Row],[Silver]]=S2027</f>
        <v>1</v>
      </c>
      <c r="N2027">
        <v>47167</v>
      </c>
      <c r="O2027" t="s">
        <v>1565</v>
      </c>
      <c r="P2027" t="s">
        <v>1233</v>
      </c>
      <c r="Q2027">
        <v>11</v>
      </c>
      <c r="R2027">
        <v>84</v>
      </c>
      <c r="S2027" s="51">
        <v>1348</v>
      </c>
      <c r="T2027">
        <v>392</v>
      </c>
      <c r="U2027">
        <v>28</v>
      </c>
      <c r="V2027" s="51">
        <v>1863</v>
      </c>
    </row>
    <row r="2028" spans="1:22">
      <c r="A2028" s="32" t="s">
        <v>4431</v>
      </c>
      <c r="B2028" s="32" t="s">
        <v>1565</v>
      </c>
      <c r="C2028" s="32" t="s">
        <v>1236</v>
      </c>
      <c r="D2028" s="33" t="s">
        <v>1639</v>
      </c>
      <c r="E2028" s="33" t="s">
        <v>1639</v>
      </c>
      <c r="F2028" s="33">
        <v>196</v>
      </c>
      <c r="G2028" s="33">
        <v>79</v>
      </c>
      <c r="H2028" s="33" t="s">
        <v>1639</v>
      </c>
      <c r="I2028" s="33">
        <v>283</v>
      </c>
      <c r="K2028" t="b">
        <f>QHPSelections2016[[#This Row],[County Name]]=P2028</f>
        <v>1</v>
      </c>
      <c r="L2028" t="b">
        <f>QHPSelections2016[[#This Row],[Silver]]=S2028</f>
        <v>1</v>
      </c>
      <c r="N2028">
        <v>47169</v>
      </c>
      <c r="O2028" t="s">
        <v>1565</v>
      </c>
      <c r="P2028" t="s">
        <v>1236</v>
      </c>
      <c r="S2028">
        <v>196</v>
      </c>
      <c r="T2028">
        <v>79</v>
      </c>
      <c r="V2028">
        <v>283</v>
      </c>
    </row>
    <row r="2029" spans="1:22">
      <c r="A2029" s="32" t="s">
        <v>4432</v>
      </c>
      <c r="B2029" s="32" t="s">
        <v>1565</v>
      </c>
      <c r="C2029" s="32" t="s">
        <v>1240</v>
      </c>
      <c r="D2029" s="33" t="s">
        <v>1639</v>
      </c>
      <c r="E2029" s="33">
        <v>16</v>
      </c>
      <c r="F2029" s="33">
        <v>491</v>
      </c>
      <c r="G2029" s="33">
        <v>138</v>
      </c>
      <c r="H2029" s="33" t="s">
        <v>1639</v>
      </c>
      <c r="I2029" s="33">
        <v>652</v>
      </c>
      <c r="K2029" t="b">
        <f>QHPSelections2016[[#This Row],[County Name]]=P2029</f>
        <v>1</v>
      </c>
      <c r="L2029" t="b">
        <f>QHPSelections2016[[#This Row],[Silver]]=S2029</f>
        <v>1</v>
      </c>
      <c r="N2029">
        <v>47171</v>
      </c>
      <c r="O2029" t="s">
        <v>1565</v>
      </c>
      <c r="P2029" t="s">
        <v>1240</v>
      </c>
      <c r="R2029">
        <v>16</v>
      </c>
      <c r="S2029">
        <v>491</v>
      </c>
      <c r="T2029">
        <v>138</v>
      </c>
      <c r="V2029">
        <v>652</v>
      </c>
    </row>
    <row r="2030" spans="1:22">
      <c r="A2030" s="32" t="s">
        <v>4433</v>
      </c>
      <c r="B2030" s="32" t="s">
        <v>1565</v>
      </c>
      <c r="C2030" s="32" t="s">
        <v>1149</v>
      </c>
      <c r="D2030" s="33" t="s">
        <v>1639</v>
      </c>
      <c r="E2030" s="33">
        <v>41</v>
      </c>
      <c r="F2030" s="33">
        <v>502</v>
      </c>
      <c r="G2030" s="33">
        <v>124</v>
      </c>
      <c r="H2030" s="33" t="s">
        <v>1639</v>
      </c>
      <c r="I2030" s="33">
        <v>675</v>
      </c>
      <c r="K2030" t="b">
        <f>QHPSelections2016[[#This Row],[County Name]]=P2030</f>
        <v>1</v>
      </c>
      <c r="L2030" t="b">
        <f>QHPSelections2016[[#This Row],[Silver]]=S2030</f>
        <v>1</v>
      </c>
      <c r="N2030">
        <v>47173</v>
      </c>
      <c r="O2030" t="s">
        <v>1565</v>
      </c>
      <c r="P2030" t="s">
        <v>1149</v>
      </c>
      <c r="R2030">
        <v>41</v>
      </c>
      <c r="S2030">
        <v>502</v>
      </c>
      <c r="T2030">
        <v>124</v>
      </c>
      <c r="V2030">
        <v>675</v>
      </c>
    </row>
    <row r="2031" spans="1:22">
      <c r="A2031" s="32" t="s">
        <v>4434</v>
      </c>
      <c r="B2031" s="32" t="s">
        <v>1565</v>
      </c>
      <c r="C2031" s="32" t="s">
        <v>1246</v>
      </c>
      <c r="D2031" s="33" t="s">
        <v>1639</v>
      </c>
      <c r="E2031" s="33" t="s">
        <v>1639</v>
      </c>
      <c r="F2031" s="33">
        <v>184</v>
      </c>
      <c r="G2031" s="33">
        <v>51</v>
      </c>
      <c r="H2031" s="33" t="s">
        <v>1639</v>
      </c>
      <c r="I2031" s="33">
        <v>241</v>
      </c>
      <c r="K2031" t="b">
        <f>QHPSelections2016[[#This Row],[County Name]]=P2031</f>
        <v>1</v>
      </c>
      <c r="L2031" t="b">
        <f>QHPSelections2016[[#This Row],[Silver]]=S2031</f>
        <v>1</v>
      </c>
      <c r="N2031">
        <v>47175</v>
      </c>
      <c r="O2031" t="s">
        <v>1565</v>
      </c>
      <c r="P2031" t="s">
        <v>1246</v>
      </c>
      <c r="S2031">
        <v>184</v>
      </c>
      <c r="T2031">
        <v>51</v>
      </c>
      <c r="V2031">
        <v>241</v>
      </c>
    </row>
    <row r="2032" spans="1:22">
      <c r="A2032" s="32" t="s">
        <v>4435</v>
      </c>
      <c r="B2032" s="32" t="s">
        <v>1565</v>
      </c>
      <c r="C2032" s="32" t="s">
        <v>1205</v>
      </c>
      <c r="D2032" s="33">
        <v>11</v>
      </c>
      <c r="E2032" s="33">
        <v>45</v>
      </c>
      <c r="F2032" s="33">
        <v>1093</v>
      </c>
      <c r="G2032" s="33">
        <v>349</v>
      </c>
      <c r="H2032" s="33">
        <v>13</v>
      </c>
      <c r="I2032" s="33">
        <v>1511</v>
      </c>
      <c r="K2032" t="b">
        <f>QHPSelections2016[[#This Row],[County Name]]=P2032</f>
        <v>1</v>
      </c>
      <c r="L2032" t="b">
        <f>QHPSelections2016[[#This Row],[Silver]]=S2032</f>
        <v>1</v>
      </c>
      <c r="N2032">
        <v>47177</v>
      </c>
      <c r="O2032" t="s">
        <v>1565</v>
      </c>
      <c r="P2032" t="s">
        <v>1205</v>
      </c>
      <c r="Q2032">
        <v>11</v>
      </c>
      <c r="R2032">
        <v>45</v>
      </c>
      <c r="S2032" s="51">
        <v>1093</v>
      </c>
      <c r="T2032">
        <v>349</v>
      </c>
      <c r="U2032">
        <v>13</v>
      </c>
      <c r="V2032" s="51">
        <v>1511</v>
      </c>
    </row>
    <row r="2033" spans="1:22">
      <c r="A2033" s="32" t="s">
        <v>4436</v>
      </c>
      <c r="B2033" s="32" t="s">
        <v>1565</v>
      </c>
      <c r="C2033" s="32" t="s">
        <v>1160</v>
      </c>
      <c r="D2033" s="33">
        <v>55</v>
      </c>
      <c r="E2033" s="33">
        <v>117</v>
      </c>
      <c r="F2033" s="33">
        <v>3852</v>
      </c>
      <c r="G2033" s="33">
        <v>1441</v>
      </c>
      <c r="H2033" s="33">
        <v>22</v>
      </c>
      <c r="I2033" s="33">
        <v>5487</v>
      </c>
      <c r="K2033" t="b">
        <f>QHPSelections2016[[#This Row],[County Name]]=P2033</f>
        <v>1</v>
      </c>
      <c r="L2033" t="b">
        <f>QHPSelections2016[[#This Row],[Silver]]=S2033</f>
        <v>1</v>
      </c>
      <c r="N2033">
        <v>47179</v>
      </c>
      <c r="O2033" t="s">
        <v>1565</v>
      </c>
      <c r="P2033" t="s">
        <v>1160</v>
      </c>
      <c r="Q2033">
        <v>55</v>
      </c>
      <c r="R2033">
        <v>117</v>
      </c>
      <c r="S2033" s="51">
        <v>3852</v>
      </c>
      <c r="T2033" s="51">
        <v>1441</v>
      </c>
      <c r="U2033">
        <v>22</v>
      </c>
      <c r="V2033" s="51">
        <v>5487</v>
      </c>
    </row>
    <row r="2034" spans="1:22">
      <c r="A2034" s="32" t="s">
        <v>4437</v>
      </c>
      <c r="B2034" s="32" t="s">
        <v>1565</v>
      </c>
      <c r="C2034" s="32" t="s">
        <v>1209</v>
      </c>
      <c r="D2034" s="33">
        <v>0</v>
      </c>
      <c r="E2034" s="33" t="s">
        <v>1639</v>
      </c>
      <c r="F2034" s="33">
        <v>617</v>
      </c>
      <c r="G2034" s="33">
        <v>188</v>
      </c>
      <c r="H2034" s="33" t="s">
        <v>1639</v>
      </c>
      <c r="I2034" s="33">
        <v>814</v>
      </c>
      <c r="K2034" t="b">
        <f>QHPSelections2016[[#This Row],[County Name]]=P2034</f>
        <v>1</v>
      </c>
      <c r="L2034" t="b">
        <f>QHPSelections2016[[#This Row],[Silver]]=S2034</f>
        <v>1</v>
      </c>
      <c r="N2034">
        <v>47181</v>
      </c>
      <c r="O2034" t="s">
        <v>1565</v>
      </c>
      <c r="P2034" t="s">
        <v>1209</v>
      </c>
      <c r="Q2034">
        <v>0</v>
      </c>
      <c r="S2034">
        <v>617</v>
      </c>
      <c r="T2034">
        <v>188</v>
      </c>
      <c r="V2034">
        <v>814</v>
      </c>
    </row>
    <row r="2035" spans="1:22">
      <c r="A2035" s="32" t="s">
        <v>4438</v>
      </c>
      <c r="B2035" s="32" t="s">
        <v>1565</v>
      </c>
      <c r="C2035" s="32" t="s">
        <v>1255</v>
      </c>
      <c r="D2035" s="33" t="s">
        <v>1639</v>
      </c>
      <c r="E2035" s="33">
        <v>11</v>
      </c>
      <c r="F2035" s="33">
        <v>667</v>
      </c>
      <c r="G2035" s="33">
        <v>266</v>
      </c>
      <c r="H2035" s="33" t="s">
        <v>1639</v>
      </c>
      <c r="I2035" s="33">
        <v>959</v>
      </c>
      <c r="K2035" t="b">
        <f>QHPSelections2016[[#This Row],[County Name]]=P2035</f>
        <v>1</v>
      </c>
      <c r="L2035" t="b">
        <f>QHPSelections2016[[#This Row],[Silver]]=S2035</f>
        <v>1</v>
      </c>
      <c r="N2035">
        <v>47183</v>
      </c>
      <c r="O2035" t="s">
        <v>1565</v>
      </c>
      <c r="P2035" t="s">
        <v>1255</v>
      </c>
      <c r="R2035">
        <v>11</v>
      </c>
      <c r="S2035">
        <v>667</v>
      </c>
      <c r="T2035">
        <v>266</v>
      </c>
      <c r="V2035">
        <v>959</v>
      </c>
    </row>
    <row r="2036" spans="1:22">
      <c r="A2036" s="32" t="s">
        <v>4439</v>
      </c>
      <c r="B2036" s="32" t="s">
        <v>1565</v>
      </c>
      <c r="C2036" s="32" t="s">
        <v>1258</v>
      </c>
      <c r="D2036" s="33" t="s">
        <v>1639</v>
      </c>
      <c r="E2036" s="33">
        <v>16</v>
      </c>
      <c r="F2036" s="33">
        <v>964</v>
      </c>
      <c r="G2036" s="33">
        <v>216</v>
      </c>
      <c r="H2036" s="33" t="s">
        <v>1639</v>
      </c>
      <c r="I2036" s="33">
        <v>1206</v>
      </c>
      <c r="K2036" t="b">
        <f>QHPSelections2016[[#This Row],[County Name]]=P2036</f>
        <v>1</v>
      </c>
      <c r="L2036" t="b">
        <f>QHPSelections2016[[#This Row],[Silver]]=S2036</f>
        <v>1</v>
      </c>
      <c r="N2036">
        <v>47185</v>
      </c>
      <c r="O2036" t="s">
        <v>1565</v>
      </c>
      <c r="P2036" t="s">
        <v>1258</v>
      </c>
      <c r="R2036">
        <v>16</v>
      </c>
      <c r="S2036">
        <v>964</v>
      </c>
      <c r="T2036">
        <v>216</v>
      </c>
      <c r="V2036" s="51">
        <v>1206</v>
      </c>
    </row>
    <row r="2037" spans="1:22">
      <c r="A2037" s="32" t="s">
        <v>4440</v>
      </c>
      <c r="B2037" s="32" t="s">
        <v>1565</v>
      </c>
      <c r="C2037" s="32" t="s">
        <v>1261</v>
      </c>
      <c r="D2037" s="33">
        <v>98</v>
      </c>
      <c r="E2037" s="33">
        <v>441</v>
      </c>
      <c r="F2037" s="33">
        <v>5353</v>
      </c>
      <c r="G2037" s="33">
        <v>3907</v>
      </c>
      <c r="H2037" s="33">
        <v>40</v>
      </c>
      <c r="I2037" s="33">
        <v>9839</v>
      </c>
      <c r="K2037" t="b">
        <f>QHPSelections2016[[#This Row],[County Name]]=P2037</f>
        <v>1</v>
      </c>
      <c r="L2037" t="b">
        <f>QHPSelections2016[[#This Row],[Silver]]=S2037</f>
        <v>1</v>
      </c>
      <c r="N2037">
        <v>47187</v>
      </c>
      <c r="O2037" t="s">
        <v>1565</v>
      </c>
      <c r="P2037" t="s">
        <v>1261</v>
      </c>
      <c r="Q2037">
        <v>98</v>
      </c>
      <c r="R2037">
        <v>441</v>
      </c>
      <c r="S2037" s="51">
        <v>5353</v>
      </c>
      <c r="T2037" s="51">
        <v>3907</v>
      </c>
      <c r="U2037">
        <v>40</v>
      </c>
      <c r="V2037" s="51">
        <v>9839</v>
      </c>
    </row>
    <row r="2038" spans="1:22">
      <c r="A2038" s="32" t="s">
        <v>4441</v>
      </c>
      <c r="B2038" s="32" t="s">
        <v>1565</v>
      </c>
      <c r="C2038" s="32" t="s">
        <v>1265</v>
      </c>
      <c r="D2038" s="33">
        <v>17</v>
      </c>
      <c r="E2038" s="33">
        <v>174</v>
      </c>
      <c r="F2038" s="33">
        <v>3079</v>
      </c>
      <c r="G2038" s="33">
        <v>1589</v>
      </c>
      <c r="H2038" s="33">
        <v>33</v>
      </c>
      <c r="I2038" s="33">
        <v>4892</v>
      </c>
      <c r="K2038" t="b">
        <f>QHPSelections2016[[#This Row],[County Name]]=P2038</f>
        <v>1</v>
      </c>
      <c r="L2038" t="b">
        <f>QHPSelections2016[[#This Row],[Silver]]=S2038</f>
        <v>1</v>
      </c>
      <c r="N2038">
        <v>47189</v>
      </c>
      <c r="O2038" t="s">
        <v>1565</v>
      </c>
      <c r="P2038" t="s">
        <v>1265</v>
      </c>
      <c r="Q2038">
        <v>17</v>
      </c>
      <c r="R2038">
        <v>174</v>
      </c>
      <c r="S2038" s="51">
        <v>3079</v>
      </c>
      <c r="T2038" s="51">
        <v>1589</v>
      </c>
      <c r="U2038">
        <v>33</v>
      </c>
      <c r="V2038" s="51">
        <v>4892</v>
      </c>
    </row>
    <row r="2039" spans="1:22">
      <c r="A2039" s="32" t="s">
        <v>4442</v>
      </c>
      <c r="B2039" s="32" t="s">
        <v>1574</v>
      </c>
      <c r="C2039" s="32" t="s">
        <v>822</v>
      </c>
      <c r="D2039" s="33">
        <v>0</v>
      </c>
      <c r="E2039" s="33">
        <v>72</v>
      </c>
      <c r="F2039" s="33">
        <v>887</v>
      </c>
      <c r="G2039" s="33">
        <v>356</v>
      </c>
      <c r="H2039" s="33">
        <v>13</v>
      </c>
      <c r="I2039" s="33">
        <v>1328</v>
      </c>
      <c r="K2039" t="b">
        <f>QHPSelections2016[[#This Row],[County Name]]=P2039</f>
        <v>1</v>
      </c>
      <c r="L2039" t="b">
        <f>QHPSelections2016[[#This Row],[Silver]]=S2039</f>
        <v>1</v>
      </c>
      <c r="N2039">
        <v>48001</v>
      </c>
      <c r="O2039" t="s">
        <v>1574</v>
      </c>
      <c r="P2039" t="s">
        <v>822</v>
      </c>
      <c r="Q2039">
        <v>0</v>
      </c>
      <c r="R2039">
        <v>72</v>
      </c>
      <c r="S2039">
        <v>887</v>
      </c>
      <c r="T2039">
        <v>356</v>
      </c>
      <c r="U2039">
        <v>13</v>
      </c>
      <c r="V2039" s="51">
        <v>1328</v>
      </c>
    </row>
    <row r="2040" spans="1:22">
      <c r="A2040" s="32" t="s">
        <v>4443</v>
      </c>
      <c r="B2040" s="32" t="s">
        <v>1574</v>
      </c>
      <c r="C2040" s="32" t="s">
        <v>829</v>
      </c>
      <c r="D2040" s="33" t="s">
        <v>1639</v>
      </c>
      <c r="E2040" s="33">
        <v>31</v>
      </c>
      <c r="F2040" s="33">
        <v>266</v>
      </c>
      <c r="G2040" s="33">
        <v>127</v>
      </c>
      <c r="H2040" s="33" t="s">
        <v>1639</v>
      </c>
      <c r="I2040" s="33">
        <v>428</v>
      </c>
      <c r="K2040" t="b">
        <f>QHPSelections2016[[#This Row],[County Name]]=P2040</f>
        <v>1</v>
      </c>
      <c r="L2040" t="b">
        <f>QHPSelections2016[[#This Row],[Silver]]=S2040</f>
        <v>1</v>
      </c>
      <c r="N2040">
        <v>48003</v>
      </c>
      <c r="O2040" t="s">
        <v>1574</v>
      </c>
      <c r="P2040" t="s">
        <v>829</v>
      </c>
      <c r="R2040">
        <v>31</v>
      </c>
      <c r="S2040">
        <v>266</v>
      </c>
      <c r="T2040">
        <v>127</v>
      </c>
      <c r="V2040">
        <v>428</v>
      </c>
    </row>
    <row r="2041" spans="1:22">
      <c r="A2041" s="32" t="s">
        <v>4444</v>
      </c>
      <c r="B2041" s="32" t="s">
        <v>1574</v>
      </c>
      <c r="C2041" s="32" t="s">
        <v>836</v>
      </c>
      <c r="D2041" s="33">
        <v>0</v>
      </c>
      <c r="E2041" s="33">
        <v>88</v>
      </c>
      <c r="F2041" s="33">
        <v>1857</v>
      </c>
      <c r="G2041" s="33">
        <v>881</v>
      </c>
      <c r="H2041" s="33">
        <v>20</v>
      </c>
      <c r="I2041" s="33">
        <v>2846</v>
      </c>
      <c r="K2041" t="b">
        <f>QHPSelections2016[[#This Row],[County Name]]=P2041</f>
        <v>1</v>
      </c>
      <c r="L2041" t="b">
        <f>QHPSelections2016[[#This Row],[Silver]]=S2041</f>
        <v>1</v>
      </c>
      <c r="N2041">
        <v>48005</v>
      </c>
      <c r="O2041" t="s">
        <v>1574</v>
      </c>
      <c r="P2041" t="s">
        <v>836</v>
      </c>
      <c r="Q2041">
        <v>0</v>
      </c>
      <c r="R2041">
        <v>88</v>
      </c>
      <c r="S2041" s="51">
        <v>1857</v>
      </c>
      <c r="T2041">
        <v>881</v>
      </c>
      <c r="U2041">
        <v>20</v>
      </c>
      <c r="V2041" s="51">
        <v>2846</v>
      </c>
    </row>
    <row r="2042" spans="1:22">
      <c r="A2042" s="32" t="s">
        <v>4445</v>
      </c>
      <c r="B2042" s="32" t="s">
        <v>1574</v>
      </c>
      <c r="C2042" s="32" t="s">
        <v>842</v>
      </c>
      <c r="D2042" s="33">
        <v>15</v>
      </c>
      <c r="E2042" s="33">
        <v>51</v>
      </c>
      <c r="F2042" s="33">
        <v>904</v>
      </c>
      <c r="G2042" s="33">
        <v>362</v>
      </c>
      <c r="H2042" s="33">
        <v>13</v>
      </c>
      <c r="I2042" s="33">
        <v>1345</v>
      </c>
      <c r="K2042" t="b">
        <f>QHPSelections2016[[#This Row],[County Name]]=P2042</f>
        <v>1</v>
      </c>
      <c r="L2042" t="b">
        <f>QHPSelections2016[[#This Row],[Silver]]=S2042</f>
        <v>1</v>
      </c>
      <c r="N2042">
        <v>48007</v>
      </c>
      <c r="O2042" t="s">
        <v>1574</v>
      </c>
      <c r="P2042" t="s">
        <v>842</v>
      </c>
      <c r="Q2042">
        <v>15</v>
      </c>
      <c r="R2042">
        <v>51</v>
      </c>
      <c r="S2042">
        <v>904</v>
      </c>
      <c r="T2042">
        <v>362</v>
      </c>
      <c r="U2042">
        <v>13</v>
      </c>
      <c r="V2042" s="51">
        <v>1345</v>
      </c>
    </row>
    <row r="2043" spans="1:22">
      <c r="A2043" s="32" t="s">
        <v>4446</v>
      </c>
      <c r="B2043" s="32" t="s">
        <v>1574</v>
      </c>
      <c r="C2043" s="32" t="s">
        <v>846</v>
      </c>
      <c r="D2043" s="33">
        <v>0</v>
      </c>
      <c r="E2043" s="33" t="s">
        <v>1639</v>
      </c>
      <c r="F2043" s="33">
        <v>145</v>
      </c>
      <c r="G2043" s="33">
        <v>112</v>
      </c>
      <c r="H2043" s="33" t="s">
        <v>1639</v>
      </c>
      <c r="I2043" s="33">
        <v>266</v>
      </c>
      <c r="K2043" t="b">
        <f>QHPSelections2016[[#This Row],[County Name]]=P2043</f>
        <v>1</v>
      </c>
      <c r="L2043" t="b">
        <f>QHPSelections2016[[#This Row],[Silver]]=S2043</f>
        <v>1</v>
      </c>
      <c r="N2043">
        <v>48009</v>
      </c>
      <c r="O2043" t="s">
        <v>1574</v>
      </c>
      <c r="P2043" t="s">
        <v>846</v>
      </c>
      <c r="Q2043">
        <v>0</v>
      </c>
      <c r="S2043">
        <v>145</v>
      </c>
      <c r="T2043">
        <v>112</v>
      </c>
      <c r="V2043">
        <v>266</v>
      </c>
    </row>
    <row r="2044" spans="1:22">
      <c r="A2044" s="32" t="s">
        <v>4447</v>
      </c>
      <c r="B2044" s="32" t="s">
        <v>1574</v>
      </c>
      <c r="C2044" s="32" t="s">
        <v>853</v>
      </c>
      <c r="D2044" s="33">
        <v>0</v>
      </c>
      <c r="E2044" s="33">
        <v>0</v>
      </c>
      <c r="F2044" s="33">
        <v>34</v>
      </c>
      <c r="G2044" s="33">
        <v>15</v>
      </c>
      <c r="H2044" s="33">
        <v>0</v>
      </c>
      <c r="I2044" s="33">
        <v>49</v>
      </c>
      <c r="K2044" t="b">
        <f>QHPSelections2016[[#This Row],[County Name]]=P2044</f>
        <v>1</v>
      </c>
      <c r="L2044" t="b">
        <f>QHPSelections2016[[#This Row],[Silver]]=S2044</f>
        <v>1</v>
      </c>
      <c r="N2044">
        <v>48011</v>
      </c>
      <c r="O2044" t="s">
        <v>1574</v>
      </c>
      <c r="P2044" t="s">
        <v>853</v>
      </c>
      <c r="Q2044">
        <v>0</v>
      </c>
      <c r="R2044">
        <v>0</v>
      </c>
      <c r="S2044">
        <v>34</v>
      </c>
      <c r="T2044">
        <v>15</v>
      </c>
      <c r="U2044">
        <v>0</v>
      </c>
      <c r="V2044">
        <v>49</v>
      </c>
    </row>
    <row r="2045" spans="1:22">
      <c r="A2045" s="32" t="s">
        <v>4448</v>
      </c>
      <c r="B2045" s="32" t="s">
        <v>1574</v>
      </c>
      <c r="C2045" s="32" t="s">
        <v>859</v>
      </c>
      <c r="D2045" s="33" t="s">
        <v>1639</v>
      </c>
      <c r="E2045" s="33">
        <v>106</v>
      </c>
      <c r="F2045" s="33">
        <v>1443</v>
      </c>
      <c r="G2045" s="33">
        <v>537</v>
      </c>
      <c r="H2045" s="33" t="s">
        <v>1639</v>
      </c>
      <c r="I2045" s="33">
        <v>2094</v>
      </c>
      <c r="K2045" t="b">
        <f>QHPSelections2016[[#This Row],[County Name]]=P2045</f>
        <v>1</v>
      </c>
      <c r="L2045" t="b">
        <f>QHPSelections2016[[#This Row],[Silver]]=S2045</f>
        <v>1</v>
      </c>
      <c r="N2045">
        <v>48013</v>
      </c>
      <c r="O2045" t="s">
        <v>1574</v>
      </c>
      <c r="P2045" t="s">
        <v>859</v>
      </c>
      <c r="R2045">
        <v>106</v>
      </c>
      <c r="S2045" s="51">
        <v>1443</v>
      </c>
      <c r="T2045">
        <v>537</v>
      </c>
      <c r="V2045" s="51">
        <v>2094</v>
      </c>
    </row>
    <row r="2046" spans="1:22">
      <c r="A2046" s="32" t="s">
        <v>4449</v>
      </c>
      <c r="B2046" s="32" t="s">
        <v>1574</v>
      </c>
      <c r="C2046" s="32" t="s">
        <v>865</v>
      </c>
      <c r="D2046" s="33" t="s">
        <v>1639</v>
      </c>
      <c r="E2046" s="33">
        <v>70</v>
      </c>
      <c r="F2046" s="33">
        <v>892</v>
      </c>
      <c r="G2046" s="33">
        <v>372</v>
      </c>
      <c r="H2046" s="33" t="s">
        <v>1639</v>
      </c>
      <c r="I2046" s="33">
        <v>1344</v>
      </c>
      <c r="K2046" t="b">
        <f>QHPSelections2016[[#This Row],[County Name]]=P2046</f>
        <v>1</v>
      </c>
      <c r="L2046" t="b">
        <f>QHPSelections2016[[#This Row],[Silver]]=S2046</f>
        <v>1</v>
      </c>
      <c r="N2046">
        <v>48015</v>
      </c>
      <c r="O2046" t="s">
        <v>1574</v>
      </c>
      <c r="P2046" t="s">
        <v>865</v>
      </c>
      <c r="R2046">
        <v>70</v>
      </c>
      <c r="S2046">
        <v>892</v>
      </c>
      <c r="T2046">
        <v>372</v>
      </c>
      <c r="V2046" s="51">
        <v>1344</v>
      </c>
    </row>
    <row r="2047" spans="1:22">
      <c r="A2047" s="32" t="s">
        <v>4450</v>
      </c>
      <c r="B2047" s="32" t="s">
        <v>1574</v>
      </c>
      <c r="C2047" s="32" t="s">
        <v>871</v>
      </c>
      <c r="D2047" s="33">
        <v>0</v>
      </c>
      <c r="E2047" s="33" t="s">
        <v>1639</v>
      </c>
      <c r="F2047" s="33">
        <v>192</v>
      </c>
      <c r="G2047" s="33">
        <v>86</v>
      </c>
      <c r="H2047" s="33" t="s">
        <v>1639</v>
      </c>
      <c r="I2047" s="33">
        <v>287</v>
      </c>
      <c r="K2047" t="b">
        <f>QHPSelections2016[[#This Row],[County Name]]=P2047</f>
        <v>1</v>
      </c>
      <c r="L2047" t="b">
        <f>QHPSelections2016[[#This Row],[Silver]]=S2047</f>
        <v>1</v>
      </c>
      <c r="N2047">
        <v>48017</v>
      </c>
      <c r="O2047" t="s">
        <v>1574</v>
      </c>
      <c r="P2047" t="s">
        <v>871</v>
      </c>
      <c r="Q2047">
        <v>0</v>
      </c>
      <c r="S2047">
        <v>192</v>
      </c>
      <c r="T2047">
        <v>86</v>
      </c>
      <c r="V2047">
        <v>287</v>
      </c>
    </row>
    <row r="2048" spans="1:22">
      <c r="A2048" s="32" t="s">
        <v>4451</v>
      </c>
      <c r="B2048" s="32" t="s">
        <v>1574</v>
      </c>
      <c r="C2048" s="32" t="s">
        <v>878</v>
      </c>
      <c r="D2048" s="33" t="s">
        <v>1639</v>
      </c>
      <c r="E2048" s="33">
        <v>52</v>
      </c>
      <c r="F2048" s="33">
        <v>602</v>
      </c>
      <c r="G2048" s="33">
        <v>276</v>
      </c>
      <c r="H2048" s="33" t="s">
        <v>1639</v>
      </c>
      <c r="I2048" s="33">
        <v>932</v>
      </c>
      <c r="K2048" t="b">
        <f>QHPSelections2016[[#This Row],[County Name]]=P2048</f>
        <v>1</v>
      </c>
      <c r="L2048" t="b">
        <f>QHPSelections2016[[#This Row],[Silver]]=S2048</f>
        <v>1</v>
      </c>
      <c r="N2048">
        <v>48019</v>
      </c>
      <c r="O2048" t="s">
        <v>1574</v>
      </c>
      <c r="P2048" t="s">
        <v>878</v>
      </c>
      <c r="R2048">
        <v>52</v>
      </c>
      <c r="S2048">
        <v>602</v>
      </c>
      <c r="T2048">
        <v>276</v>
      </c>
      <c r="V2048">
        <v>932</v>
      </c>
    </row>
    <row r="2049" spans="1:22">
      <c r="A2049" s="32" t="s">
        <v>4452</v>
      </c>
      <c r="B2049" s="32" t="s">
        <v>1574</v>
      </c>
      <c r="C2049" s="32" t="s">
        <v>884</v>
      </c>
      <c r="D2049" s="33" t="s">
        <v>1639</v>
      </c>
      <c r="E2049" s="33">
        <v>284</v>
      </c>
      <c r="F2049" s="33">
        <v>2391</v>
      </c>
      <c r="G2049" s="33">
        <v>939</v>
      </c>
      <c r="H2049" s="33" t="s">
        <v>1639</v>
      </c>
      <c r="I2049" s="33">
        <v>3623</v>
      </c>
      <c r="K2049" t="b">
        <f>QHPSelections2016[[#This Row],[County Name]]=P2049</f>
        <v>1</v>
      </c>
      <c r="L2049" t="b">
        <f>QHPSelections2016[[#This Row],[Silver]]=S2049</f>
        <v>1</v>
      </c>
      <c r="N2049">
        <v>48021</v>
      </c>
      <c r="O2049" t="s">
        <v>1574</v>
      </c>
      <c r="P2049" t="s">
        <v>884</v>
      </c>
      <c r="R2049">
        <v>284</v>
      </c>
      <c r="S2049" s="51">
        <v>2391</v>
      </c>
      <c r="T2049">
        <v>939</v>
      </c>
      <c r="V2049" s="51">
        <v>3623</v>
      </c>
    </row>
    <row r="2050" spans="1:22">
      <c r="A2050" s="32" t="s">
        <v>4453</v>
      </c>
      <c r="B2050" s="32" t="s">
        <v>1574</v>
      </c>
      <c r="C2050" s="32" t="s">
        <v>890</v>
      </c>
      <c r="D2050" s="33" t="s">
        <v>1639</v>
      </c>
      <c r="E2050" s="33" t="s">
        <v>1639</v>
      </c>
      <c r="F2050" s="33">
        <v>79</v>
      </c>
      <c r="G2050" s="33">
        <v>22</v>
      </c>
      <c r="H2050" s="33">
        <v>0</v>
      </c>
      <c r="I2050" s="33">
        <v>103</v>
      </c>
      <c r="K2050" t="b">
        <f>QHPSelections2016[[#This Row],[County Name]]=P2050</f>
        <v>1</v>
      </c>
      <c r="L2050" t="b">
        <f>QHPSelections2016[[#This Row],[Silver]]=S2050</f>
        <v>1</v>
      </c>
      <c r="N2050">
        <v>48023</v>
      </c>
      <c r="O2050" t="s">
        <v>1574</v>
      </c>
      <c r="P2050" t="s">
        <v>890</v>
      </c>
      <c r="S2050">
        <v>79</v>
      </c>
      <c r="T2050">
        <v>22</v>
      </c>
      <c r="U2050">
        <v>0</v>
      </c>
      <c r="V2050">
        <v>103</v>
      </c>
    </row>
    <row r="2051" spans="1:22">
      <c r="A2051" s="32" t="s">
        <v>4454</v>
      </c>
      <c r="B2051" s="32" t="s">
        <v>1574</v>
      </c>
      <c r="C2051" s="32" t="s">
        <v>894</v>
      </c>
      <c r="D2051" s="33" t="s">
        <v>1639</v>
      </c>
      <c r="E2051" s="33">
        <v>43</v>
      </c>
      <c r="F2051" s="33">
        <v>531</v>
      </c>
      <c r="G2051" s="33">
        <v>246</v>
      </c>
      <c r="H2051" s="33" t="s">
        <v>1639</v>
      </c>
      <c r="I2051" s="33">
        <v>835</v>
      </c>
      <c r="K2051" t="b">
        <f>QHPSelections2016[[#This Row],[County Name]]=P2051</f>
        <v>1</v>
      </c>
      <c r="L2051" t="b">
        <f>QHPSelections2016[[#This Row],[Silver]]=S2051</f>
        <v>1</v>
      </c>
      <c r="N2051">
        <v>48025</v>
      </c>
      <c r="O2051" t="s">
        <v>1574</v>
      </c>
      <c r="P2051" t="s">
        <v>894</v>
      </c>
      <c r="R2051">
        <v>43</v>
      </c>
      <c r="S2051">
        <v>531</v>
      </c>
      <c r="T2051">
        <v>246</v>
      </c>
      <c r="V2051">
        <v>835</v>
      </c>
    </row>
    <row r="2052" spans="1:22">
      <c r="A2052" s="32" t="s">
        <v>4455</v>
      </c>
      <c r="B2052" s="32" t="s">
        <v>1574</v>
      </c>
      <c r="C2052" s="32" t="s">
        <v>899</v>
      </c>
      <c r="D2052" s="33">
        <v>0</v>
      </c>
      <c r="E2052" s="33">
        <v>384</v>
      </c>
      <c r="F2052" s="33">
        <v>6008</v>
      </c>
      <c r="G2052" s="33">
        <v>1984</v>
      </c>
      <c r="H2052" s="33">
        <v>145</v>
      </c>
      <c r="I2052" s="33">
        <v>8521</v>
      </c>
      <c r="K2052" t="b">
        <f>QHPSelections2016[[#This Row],[County Name]]=P2052</f>
        <v>1</v>
      </c>
      <c r="L2052" t="b">
        <f>QHPSelections2016[[#This Row],[Silver]]=S2052</f>
        <v>1</v>
      </c>
      <c r="N2052">
        <v>48027</v>
      </c>
      <c r="O2052" t="s">
        <v>1574</v>
      </c>
      <c r="P2052" t="s">
        <v>899</v>
      </c>
      <c r="Q2052">
        <v>0</v>
      </c>
      <c r="R2052">
        <v>384</v>
      </c>
      <c r="S2052" s="51">
        <v>6008</v>
      </c>
      <c r="T2052" s="51">
        <v>1984</v>
      </c>
      <c r="U2052">
        <v>145</v>
      </c>
      <c r="V2052" s="51">
        <v>8521</v>
      </c>
    </row>
    <row r="2053" spans="1:22">
      <c r="A2053" s="32" t="s">
        <v>4456</v>
      </c>
      <c r="B2053" s="32" t="s">
        <v>1574</v>
      </c>
      <c r="C2053" s="32" t="s">
        <v>906</v>
      </c>
      <c r="D2053" s="33">
        <v>1032</v>
      </c>
      <c r="E2053" s="33">
        <v>4524</v>
      </c>
      <c r="F2053" s="33">
        <v>69673</v>
      </c>
      <c r="G2053" s="33">
        <v>15754</v>
      </c>
      <c r="H2053" s="33">
        <v>1709</v>
      </c>
      <c r="I2053" s="33">
        <v>92692</v>
      </c>
      <c r="K2053" t="b">
        <f>QHPSelections2016[[#This Row],[County Name]]=P2053</f>
        <v>1</v>
      </c>
      <c r="L2053" t="b">
        <f>QHPSelections2016[[#This Row],[Silver]]=S2053</f>
        <v>1</v>
      </c>
      <c r="N2053">
        <v>48029</v>
      </c>
      <c r="O2053" t="s">
        <v>1574</v>
      </c>
      <c r="P2053" t="s">
        <v>906</v>
      </c>
      <c r="Q2053" s="51">
        <v>1032</v>
      </c>
      <c r="R2053" s="51">
        <v>4524</v>
      </c>
      <c r="S2053" s="51">
        <v>69673</v>
      </c>
      <c r="T2053" s="51">
        <v>15754</v>
      </c>
      <c r="U2053" s="51">
        <v>1709</v>
      </c>
      <c r="V2053" s="51">
        <v>92692</v>
      </c>
    </row>
    <row r="2054" spans="1:22">
      <c r="A2054" s="32" t="s">
        <v>4457</v>
      </c>
      <c r="B2054" s="32" t="s">
        <v>1574</v>
      </c>
      <c r="C2054" s="32" t="s">
        <v>912</v>
      </c>
      <c r="D2054" s="33" t="s">
        <v>1639</v>
      </c>
      <c r="E2054" s="33">
        <v>34</v>
      </c>
      <c r="F2054" s="33">
        <v>476</v>
      </c>
      <c r="G2054" s="33">
        <v>157</v>
      </c>
      <c r="H2054" s="33" t="s">
        <v>1639</v>
      </c>
      <c r="I2054" s="33">
        <v>670</v>
      </c>
      <c r="K2054" t="b">
        <f>QHPSelections2016[[#This Row],[County Name]]=P2054</f>
        <v>1</v>
      </c>
      <c r="L2054" t="b">
        <f>QHPSelections2016[[#This Row],[Silver]]=S2054</f>
        <v>1</v>
      </c>
      <c r="N2054">
        <v>48031</v>
      </c>
      <c r="O2054" t="s">
        <v>1574</v>
      </c>
      <c r="P2054" t="s">
        <v>912</v>
      </c>
      <c r="R2054">
        <v>34</v>
      </c>
      <c r="S2054">
        <v>476</v>
      </c>
      <c r="T2054">
        <v>157</v>
      </c>
      <c r="V2054">
        <v>670</v>
      </c>
    </row>
    <row r="2055" spans="1:22">
      <c r="A2055" s="32" t="s">
        <v>4458</v>
      </c>
      <c r="B2055" s="32" t="s">
        <v>1574</v>
      </c>
      <c r="C2055" s="32" t="s">
        <v>917</v>
      </c>
      <c r="D2055" s="33">
        <v>0</v>
      </c>
      <c r="E2055" s="33" t="s">
        <v>1639</v>
      </c>
      <c r="F2055" s="33">
        <v>11</v>
      </c>
      <c r="G2055" s="33" t="s">
        <v>1639</v>
      </c>
      <c r="H2055" s="33">
        <v>0</v>
      </c>
      <c r="I2055" s="33">
        <v>24</v>
      </c>
      <c r="K2055" t="b">
        <f>QHPSelections2016[[#This Row],[County Name]]=P2055</f>
        <v>1</v>
      </c>
      <c r="L2055" t="b">
        <f>QHPSelections2016[[#This Row],[Silver]]=S2055</f>
        <v>1</v>
      </c>
      <c r="N2055">
        <v>48033</v>
      </c>
      <c r="O2055" t="s">
        <v>1574</v>
      </c>
      <c r="P2055" t="s">
        <v>917</v>
      </c>
      <c r="Q2055">
        <v>0</v>
      </c>
      <c r="S2055">
        <v>11</v>
      </c>
      <c r="U2055">
        <v>0</v>
      </c>
      <c r="V2055">
        <v>24</v>
      </c>
    </row>
    <row r="2056" spans="1:22">
      <c r="A2056" s="32" t="s">
        <v>4459</v>
      </c>
      <c r="B2056" s="32" t="s">
        <v>1574</v>
      </c>
      <c r="C2056" s="32" t="s">
        <v>924</v>
      </c>
      <c r="D2056" s="33" t="s">
        <v>1639</v>
      </c>
      <c r="E2056" s="33">
        <v>32</v>
      </c>
      <c r="F2056" s="33">
        <v>569</v>
      </c>
      <c r="G2056" s="33">
        <v>191</v>
      </c>
      <c r="H2056" s="33" t="s">
        <v>1639</v>
      </c>
      <c r="I2056" s="33">
        <v>799</v>
      </c>
      <c r="K2056" t="b">
        <f>QHPSelections2016[[#This Row],[County Name]]=P2056</f>
        <v>1</v>
      </c>
      <c r="L2056" t="b">
        <f>QHPSelections2016[[#This Row],[Silver]]=S2056</f>
        <v>1</v>
      </c>
      <c r="N2056">
        <v>48035</v>
      </c>
      <c r="O2056" t="s">
        <v>1574</v>
      </c>
      <c r="P2056" t="s">
        <v>924</v>
      </c>
      <c r="R2056">
        <v>32</v>
      </c>
      <c r="S2056">
        <v>569</v>
      </c>
      <c r="T2056">
        <v>191</v>
      </c>
      <c r="V2056">
        <v>799</v>
      </c>
    </row>
    <row r="2057" spans="1:22">
      <c r="A2057" s="32" t="s">
        <v>4460</v>
      </c>
      <c r="B2057" s="32" t="s">
        <v>1574</v>
      </c>
      <c r="C2057" s="32" t="s">
        <v>929</v>
      </c>
      <c r="D2057" s="33">
        <v>0</v>
      </c>
      <c r="E2057" s="33">
        <v>150</v>
      </c>
      <c r="F2057" s="33">
        <v>1852</v>
      </c>
      <c r="G2057" s="33">
        <v>792</v>
      </c>
      <c r="H2057" s="33">
        <v>40</v>
      </c>
      <c r="I2057" s="33">
        <v>2834</v>
      </c>
      <c r="K2057" t="b">
        <f>QHPSelections2016[[#This Row],[County Name]]=P2057</f>
        <v>1</v>
      </c>
      <c r="L2057" t="b">
        <f>QHPSelections2016[[#This Row],[Silver]]=S2057</f>
        <v>1</v>
      </c>
      <c r="N2057">
        <v>48037</v>
      </c>
      <c r="O2057" t="s">
        <v>1574</v>
      </c>
      <c r="P2057" t="s">
        <v>929</v>
      </c>
      <c r="Q2057">
        <v>0</v>
      </c>
      <c r="R2057">
        <v>150</v>
      </c>
      <c r="S2057" s="51">
        <v>1852</v>
      </c>
      <c r="T2057">
        <v>792</v>
      </c>
      <c r="U2057">
        <v>40</v>
      </c>
      <c r="V2057" s="51">
        <v>2834</v>
      </c>
    </row>
    <row r="2058" spans="1:22">
      <c r="A2058" s="32" t="s">
        <v>4461</v>
      </c>
      <c r="B2058" s="32" t="s">
        <v>1574</v>
      </c>
      <c r="C2058" s="32" t="s">
        <v>933</v>
      </c>
      <c r="D2058" s="33">
        <v>0</v>
      </c>
      <c r="E2058" s="33">
        <v>1052</v>
      </c>
      <c r="F2058" s="33">
        <v>8867</v>
      </c>
      <c r="G2058" s="33">
        <v>3467</v>
      </c>
      <c r="H2058" s="33">
        <v>67</v>
      </c>
      <c r="I2058" s="33">
        <v>13453</v>
      </c>
      <c r="K2058" t="b">
        <f>QHPSelections2016[[#This Row],[County Name]]=P2058</f>
        <v>1</v>
      </c>
      <c r="L2058" t="b">
        <f>QHPSelections2016[[#This Row],[Silver]]=S2058</f>
        <v>1</v>
      </c>
      <c r="N2058">
        <v>48039</v>
      </c>
      <c r="O2058" t="s">
        <v>1574</v>
      </c>
      <c r="P2058" t="s">
        <v>933</v>
      </c>
      <c r="Q2058">
        <v>0</v>
      </c>
      <c r="R2058" s="51">
        <v>1052</v>
      </c>
      <c r="S2058" s="51">
        <v>8867</v>
      </c>
      <c r="T2058" s="51">
        <v>3467</v>
      </c>
      <c r="U2058">
        <v>67</v>
      </c>
      <c r="V2058" s="51">
        <v>13453</v>
      </c>
    </row>
    <row r="2059" spans="1:22">
      <c r="A2059" s="32" t="s">
        <v>4462</v>
      </c>
      <c r="B2059" s="32" t="s">
        <v>1574</v>
      </c>
      <c r="C2059" s="32" t="s">
        <v>940</v>
      </c>
      <c r="D2059" s="33">
        <v>0</v>
      </c>
      <c r="E2059" s="33">
        <v>377</v>
      </c>
      <c r="F2059" s="33">
        <v>4038</v>
      </c>
      <c r="G2059" s="33">
        <v>1288</v>
      </c>
      <c r="H2059" s="33">
        <v>87</v>
      </c>
      <c r="I2059" s="33">
        <v>5790</v>
      </c>
      <c r="K2059" t="b">
        <f>QHPSelections2016[[#This Row],[County Name]]=P2059</f>
        <v>1</v>
      </c>
      <c r="L2059" t="b">
        <f>QHPSelections2016[[#This Row],[Silver]]=S2059</f>
        <v>1</v>
      </c>
      <c r="N2059">
        <v>48041</v>
      </c>
      <c r="O2059" t="s">
        <v>1574</v>
      </c>
      <c r="P2059" t="s">
        <v>940</v>
      </c>
      <c r="Q2059">
        <v>0</v>
      </c>
      <c r="R2059">
        <v>377</v>
      </c>
      <c r="S2059" s="51">
        <v>4038</v>
      </c>
      <c r="T2059" s="51">
        <v>1288</v>
      </c>
      <c r="U2059">
        <v>87</v>
      </c>
      <c r="V2059" s="51">
        <v>5790</v>
      </c>
    </row>
    <row r="2060" spans="1:22">
      <c r="A2060" s="32" t="s">
        <v>4463</v>
      </c>
      <c r="B2060" s="32" t="s">
        <v>1574</v>
      </c>
      <c r="C2060" s="32" t="s">
        <v>945</v>
      </c>
      <c r="D2060" s="33" t="s">
        <v>1639</v>
      </c>
      <c r="E2060" s="33">
        <v>23</v>
      </c>
      <c r="F2060" s="33">
        <v>359</v>
      </c>
      <c r="G2060" s="33">
        <v>156</v>
      </c>
      <c r="H2060" s="33" t="s">
        <v>1639</v>
      </c>
      <c r="I2060" s="33">
        <v>544</v>
      </c>
      <c r="K2060" t="b">
        <f>QHPSelections2016[[#This Row],[County Name]]=P2060</f>
        <v>1</v>
      </c>
      <c r="L2060" t="b">
        <f>QHPSelections2016[[#This Row],[Silver]]=S2060</f>
        <v>1</v>
      </c>
      <c r="N2060">
        <v>48043</v>
      </c>
      <c r="O2060" t="s">
        <v>1574</v>
      </c>
      <c r="P2060" t="s">
        <v>945</v>
      </c>
      <c r="R2060">
        <v>23</v>
      </c>
      <c r="S2060">
        <v>359</v>
      </c>
      <c r="T2060">
        <v>156</v>
      </c>
      <c r="V2060">
        <v>544</v>
      </c>
    </row>
    <row r="2061" spans="1:22">
      <c r="A2061" s="32" t="s">
        <v>4464</v>
      </c>
      <c r="B2061" s="32" t="s">
        <v>1574</v>
      </c>
      <c r="C2061" s="32" t="s">
        <v>952</v>
      </c>
      <c r="D2061" s="33" t="s">
        <v>1639</v>
      </c>
      <c r="E2061" s="33" t="s">
        <v>1639</v>
      </c>
      <c r="F2061" s="33">
        <v>55</v>
      </c>
      <c r="G2061" s="33">
        <v>14</v>
      </c>
      <c r="H2061" s="33">
        <v>0</v>
      </c>
      <c r="I2061" s="33">
        <v>76</v>
      </c>
      <c r="K2061" t="b">
        <f>QHPSelections2016[[#This Row],[County Name]]=P2061</f>
        <v>1</v>
      </c>
      <c r="L2061" t="b">
        <f>QHPSelections2016[[#This Row],[Silver]]=S2061</f>
        <v>1</v>
      </c>
      <c r="N2061">
        <v>48045</v>
      </c>
      <c r="O2061" t="s">
        <v>1574</v>
      </c>
      <c r="P2061" t="s">
        <v>952</v>
      </c>
      <c r="S2061">
        <v>55</v>
      </c>
      <c r="T2061">
        <v>14</v>
      </c>
      <c r="U2061">
        <v>0</v>
      </c>
      <c r="V2061">
        <v>76</v>
      </c>
    </row>
    <row r="2062" spans="1:22">
      <c r="A2062" s="32" t="s">
        <v>4465</v>
      </c>
      <c r="B2062" s="32" t="s">
        <v>1574</v>
      </c>
      <c r="C2062" s="32" t="s">
        <v>896</v>
      </c>
      <c r="D2062" s="33" t="s">
        <v>1639</v>
      </c>
      <c r="E2062" s="33">
        <v>12</v>
      </c>
      <c r="F2062" s="33">
        <v>170</v>
      </c>
      <c r="G2062" s="33">
        <v>98</v>
      </c>
      <c r="H2062" s="33" t="s">
        <v>1639</v>
      </c>
      <c r="I2062" s="33">
        <v>287</v>
      </c>
      <c r="K2062" t="b">
        <f>QHPSelections2016[[#This Row],[County Name]]=P2062</f>
        <v>1</v>
      </c>
      <c r="L2062" t="b">
        <f>QHPSelections2016[[#This Row],[Silver]]=S2062</f>
        <v>1</v>
      </c>
      <c r="N2062">
        <v>48047</v>
      </c>
      <c r="O2062" t="s">
        <v>1574</v>
      </c>
      <c r="P2062" t="s">
        <v>896</v>
      </c>
      <c r="R2062">
        <v>12</v>
      </c>
      <c r="S2062">
        <v>170</v>
      </c>
      <c r="T2062">
        <v>98</v>
      </c>
      <c r="V2062">
        <v>287</v>
      </c>
    </row>
    <row r="2063" spans="1:22">
      <c r="A2063" s="32" t="s">
        <v>4466</v>
      </c>
      <c r="B2063" s="32" t="s">
        <v>1574</v>
      </c>
      <c r="C2063" s="32" t="s">
        <v>963</v>
      </c>
      <c r="D2063" s="33" t="s">
        <v>1639</v>
      </c>
      <c r="E2063" s="33">
        <v>63</v>
      </c>
      <c r="F2063" s="33">
        <v>745</v>
      </c>
      <c r="G2063" s="33">
        <v>309</v>
      </c>
      <c r="H2063" s="33" t="s">
        <v>1639</v>
      </c>
      <c r="I2063" s="33">
        <v>1126</v>
      </c>
      <c r="K2063" t="b">
        <f>QHPSelections2016[[#This Row],[County Name]]=P2063</f>
        <v>1</v>
      </c>
      <c r="L2063" t="b">
        <f>QHPSelections2016[[#This Row],[Silver]]=S2063</f>
        <v>1</v>
      </c>
      <c r="N2063">
        <v>48049</v>
      </c>
      <c r="O2063" t="s">
        <v>1574</v>
      </c>
      <c r="P2063" t="s">
        <v>963</v>
      </c>
      <c r="R2063">
        <v>63</v>
      </c>
      <c r="S2063">
        <v>745</v>
      </c>
      <c r="T2063">
        <v>309</v>
      </c>
      <c r="V2063" s="51">
        <v>1126</v>
      </c>
    </row>
    <row r="2064" spans="1:22">
      <c r="A2064" s="32" t="s">
        <v>4467</v>
      </c>
      <c r="B2064" s="32" t="s">
        <v>1574</v>
      </c>
      <c r="C2064" s="32" t="s">
        <v>968</v>
      </c>
      <c r="D2064" s="33" t="s">
        <v>1639</v>
      </c>
      <c r="E2064" s="33">
        <v>43</v>
      </c>
      <c r="F2064" s="33">
        <v>484</v>
      </c>
      <c r="G2064" s="33">
        <v>162</v>
      </c>
      <c r="H2064" s="33" t="s">
        <v>1639</v>
      </c>
      <c r="I2064" s="33">
        <v>694</v>
      </c>
      <c r="K2064" t="b">
        <f>QHPSelections2016[[#This Row],[County Name]]=P2064</f>
        <v>1</v>
      </c>
      <c r="L2064" t="b">
        <f>QHPSelections2016[[#This Row],[Silver]]=S2064</f>
        <v>1</v>
      </c>
      <c r="N2064">
        <v>48051</v>
      </c>
      <c r="O2064" t="s">
        <v>1574</v>
      </c>
      <c r="P2064" t="s">
        <v>968</v>
      </c>
      <c r="R2064">
        <v>43</v>
      </c>
      <c r="S2064">
        <v>484</v>
      </c>
      <c r="T2064">
        <v>162</v>
      </c>
      <c r="V2064">
        <v>694</v>
      </c>
    </row>
    <row r="2065" spans="1:22">
      <c r="A2065" s="32" t="s">
        <v>4468</v>
      </c>
      <c r="B2065" s="32" t="s">
        <v>1574</v>
      </c>
      <c r="C2065" s="32" t="s">
        <v>974</v>
      </c>
      <c r="D2065" s="33">
        <v>32</v>
      </c>
      <c r="E2065" s="33">
        <v>138</v>
      </c>
      <c r="F2065" s="33">
        <v>1534</v>
      </c>
      <c r="G2065" s="33">
        <v>593</v>
      </c>
      <c r="H2065" s="33">
        <v>18</v>
      </c>
      <c r="I2065" s="33">
        <v>2315</v>
      </c>
      <c r="K2065" t="b">
        <f>QHPSelections2016[[#This Row],[County Name]]=P2065</f>
        <v>1</v>
      </c>
      <c r="L2065" t="b">
        <f>QHPSelections2016[[#This Row],[Silver]]=S2065</f>
        <v>1</v>
      </c>
      <c r="N2065">
        <v>48053</v>
      </c>
      <c r="O2065" t="s">
        <v>1574</v>
      </c>
      <c r="P2065" t="s">
        <v>974</v>
      </c>
      <c r="Q2065">
        <v>32</v>
      </c>
      <c r="R2065">
        <v>138</v>
      </c>
      <c r="S2065" s="51">
        <v>1534</v>
      </c>
      <c r="T2065">
        <v>593</v>
      </c>
      <c r="U2065">
        <v>18</v>
      </c>
      <c r="V2065" s="51">
        <v>2315</v>
      </c>
    </row>
    <row r="2066" spans="1:22">
      <c r="A2066" s="32" t="s">
        <v>4469</v>
      </c>
      <c r="B2066" s="32" t="s">
        <v>1574</v>
      </c>
      <c r="C2066" s="32" t="s">
        <v>898</v>
      </c>
      <c r="D2066" s="33" t="s">
        <v>1639</v>
      </c>
      <c r="E2066" s="33">
        <v>80</v>
      </c>
      <c r="F2066" s="33">
        <v>1044</v>
      </c>
      <c r="G2066" s="33">
        <v>394</v>
      </c>
      <c r="H2066" s="33" t="s">
        <v>1639</v>
      </c>
      <c r="I2066" s="33">
        <v>1525</v>
      </c>
      <c r="K2066" t="b">
        <f>QHPSelections2016[[#This Row],[County Name]]=P2066</f>
        <v>1</v>
      </c>
      <c r="L2066" t="b">
        <f>QHPSelections2016[[#This Row],[Silver]]=S2066</f>
        <v>1</v>
      </c>
      <c r="N2066">
        <v>48055</v>
      </c>
      <c r="O2066" t="s">
        <v>1574</v>
      </c>
      <c r="P2066" t="s">
        <v>898</v>
      </c>
      <c r="R2066">
        <v>80</v>
      </c>
      <c r="S2066" s="51">
        <v>1044</v>
      </c>
      <c r="T2066">
        <v>394</v>
      </c>
      <c r="V2066" s="51">
        <v>1525</v>
      </c>
    </row>
    <row r="2067" spans="1:22">
      <c r="A2067" s="32" t="s">
        <v>4470</v>
      </c>
      <c r="B2067" s="32" t="s">
        <v>1574</v>
      </c>
      <c r="C2067" s="32" t="s">
        <v>855</v>
      </c>
      <c r="D2067" s="33" t="s">
        <v>1639</v>
      </c>
      <c r="E2067" s="33">
        <v>46</v>
      </c>
      <c r="F2067" s="33">
        <v>510</v>
      </c>
      <c r="G2067" s="33">
        <v>230</v>
      </c>
      <c r="H2067" s="33" t="s">
        <v>1639</v>
      </c>
      <c r="I2067" s="33">
        <v>791</v>
      </c>
      <c r="K2067" t="b">
        <f>QHPSelections2016[[#This Row],[County Name]]=P2067</f>
        <v>1</v>
      </c>
      <c r="L2067" t="b">
        <f>QHPSelections2016[[#This Row],[Silver]]=S2067</f>
        <v>1</v>
      </c>
      <c r="N2067">
        <v>48057</v>
      </c>
      <c r="O2067" t="s">
        <v>1574</v>
      </c>
      <c r="P2067" t="s">
        <v>855</v>
      </c>
      <c r="R2067">
        <v>46</v>
      </c>
      <c r="S2067">
        <v>510</v>
      </c>
      <c r="T2067">
        <v>230</v>
      </c>
      <c r="V2067">
        <v>791</v>
      </c>
    </row>
    <row r="2068" spans="1:22">
      <c r="A2068" s="32" t="s">
        <v>4471</v>
      </c>
      <c r="B2068" s="32" t="s">
        <v>1574</v>
      </c>
      <c r="C2068" s="32" t="s">
        <v>986</v>
      </c>
      <c r="D2068" s="33" t="s">
        <v>1639</v>
      </c>
      <c r="E2068" s="33">
        <v>24</v>
      </c>
      <c r="F2068" s="33">
        <v>323</v>
      </c>
      <c r="G2068" s="33">
        <v>150</v>
      </c>
      <c r="H2068" s="33" t="s">
        <v>1639</v>
      </c>
      <c r="I2068" s="33">
        <v>507</v>
      </c>
      <c r="K2068" t="b">
        <f>QHPSelections2016[[#This Row],[County Name]]=P2068</f>
        <v>1</v>
      </c>
      <c r="L2068" t="b">
        <f>QHPSelections2016[[#This Row],[Silver]]=S2068</f>
        <v>1</v>
      </c>
      <c r="N2068">
        <v>48059</v>
      </c>
      <c r="O2068" t="s">
        <v>1574</v>
      </c>
      <c r="P2068" t="s">
        <v>986</v>
      </c>
      <c r="R2068">
        <v>24</v>
      </c>
      <c r="S2068">
        <v>323</v>
      </c>
      <c r="T2068">
        <v>150</v>
      </c>
      <c r="V2068">
        <v>507</v>
      </c>
    </row>
    <row r="2069" spans="1:22">
      <c r="A2069" s="32" t="s">
        <v>4472</v>
      </c>
      <c r="B2069" s="32" t="s">
        <v>1574</v>
      </c>
      <c r="C2069" s="32" t="s">
        <v>992</v>
      </c>
      <c r="D2069" s="33">
        <v>0</v>
      </c>
      <c r="E2069" s="33">
        <v>787</v>
      </c>
      <c r="F2069" s="33">
        <v>14371</v>
      </c>
      <c r="G2069" s="33">
        <v>5125</v>
      </c>
      <c r="H2069" s="33">
        <v>123</v>
      </c>
      <c r="I2069" s="33">
        <v>20406</v>
      </c>
      <c r="K2069" t="b">
        <f>QHPSelections2016[[#This Row],[County Name]]=P2069</f>
        <v>1</v>
      </c>
      <c r="L2069" t="b">
        <f>QHPSelections2016[[#This Row],[Silver]]=S2069</f>
        <v>1</v>
      </c>
      <c r="N2069">
        <v>48061</v>
      </c>
      <c r="O2069" t="s">
        <v>1574</v>
      </c>
      <c r="P2069" t="s">
        <v>992</v>
      </c>
      <c r="Q2069">
        <v>0</v>
      </c>
      <c r="R2069">
        <v>787</v>
      </c>
      <c r="S2069" s="51">
        <v>14371</v>
      </c>
      <c r="T2069" s="51">
        <v>5125</v>
      </c>
      <c r="U2069">
        <v>123</v>
      </c>
      <c r="V2069" s="51">
        <v>20406</v>
      </c>
    </row>
    <row r="2070" spans="1:22">
      <c r="A2070" s="32" t="s">
        <v>4473</v>
      </c>
      <c r="B2070" s="32" t="s">
        <v>1574</v>
      </c>
      <c r="C2070" s="32" t="s">
        <v>997</v>
      </c>
      <c r="D2070" s="33" t="s">
        <v>1639</v>
      </c>
      <c r="E2070" s="33">
        <v>30</v>
      </c>
      <c r="F2070" s="33">
        <v>324</v>
      </c>
      <c r="G2070" s="33">
        <v>109</v>
      </c>
      <c r="H2070" s="33" t="s">
        <v>1639</v>
      </c>
      <c r="I2070" s="33">
        <v>466</v>
      </c>
      <c r="K2070" t="b">
        <f>QHPSelections2016[[#This Row],[County Name]]=P2070</f>
        <v>1</v>
      </c>
      <c r="L2070" t="b">
        <f>QHPSelections2016[[#This Row],[Silver]]=S2070</f>
        <v>1</v>
      </c>
      <c r="N2070">
        <v>48063</v>
      </c>
      <c r="O2070" t="s">
        <v>1574</v>
      </c>
      <c r="P2070" t="s">
        <v>997</v>
      </c>
      <c r="R2070">
        <v>30</v>
      </c>
      <c r="S2070">
        <v>324</v>
      </c>
      <c r="T2070">
        <v>109</v>
      </c>
      <c r="V2070">
        <v>466</v>
      </c>
    </row>
    <row r="2071" spans="1:22">
      <c r="A2071" s="32" t="s">
        <v>4474</v>
      </c>
      <c r="B2071" s="32" t="s">
        <v>1574</v>
      </c>
      <c r="C2071" s="32" t="s">
        <v>1003</v>
      </c>
      <c r="D2071" s="33" t="s">
        <v>1639</v>
      </c>
      <c r="E2071" s="33">
        <v>13</v>
      </c>
      <c r="F2071" s="33">
        <v>110</v>
      </c>
      <c r="G2071" s="33">
        <v>51</v>
      </c>
      <c r="H2071" s="33" t="s">
        <v>1639</v>
      </c>
      <c r="I2071" s="33">
        <v>177</v>
      </c>
      <c r="K2071" t="b">
        <f>QHPSelections2016[[#This Row],[County Name]]=P2071</f>
        <v>1</v>
      </c>
      <c r="L2071" t="b">
        <f>QHPSelections2016[[#This Row],[Silver]]=S2071</f>
        <v>1</v>
      </c>
      <c r="N2071">
        <v>48065</v>
      </c>
      <c r="O2071" t="s">
        <v>1574</v>
      </c>
      <c r="P2071" t="s">
        <v>1003</v>
      </c>
      <c r="R2071">
        <v>13</v>
      </c>
      <c r="S2071">
        <v>110</v>
      </c>
      <c r="T2071">
        <v>51</v>
      </c>
      <c r="V2071">
        <v>177</v>
      </c>
    </row>
    <row r="2072" spans="1:22">
      <c r="A2072" s="32" t="s">
        <v>4475</v>
      </c>
      <c r="B2072" s="32" t="s">
        <v>1574</v>
      </c>
      <c r="C2072" s="32" t="s">
        <v>1008</v>
      </c>
      <c r="D2072" s="33" t="s">
        <v>1639</v>
      </c>
      <c r="E2072" s="33">
        <v>39</v>
      </c>
      <c r="F2072" s="33">
        <v>667</v>
      </c>
      <c r="G2072" s="33">
        <v>305</v>
      </c>
      <c r="H2072" s="33" t="s">
        <v>1639</v>
      </c>
      <c r="I2072" s="33">
        <v>1020</v>
      </c>
      <c r="K2072" t="b">
        <f>QHPSelections2016[[#This Row],[County Name]]=P2072</f>
        <v>1</v>
      </c>
      <c r="L2072" t="b">
        <f>QHPSelections2016[[#This Row],[Silver]]=S2072</f>
        <v>1</v>
      </c>
      <c r="N2072">
        <v>48067</v>
      </c>
      <c r="O2072" t="s">
        <v>1574</v>
      </c>
      <c r="P2072" t="s">
        <v>1008</v>
      </c>
      <c r="R2072">
        <v>39</v>
      </c>
      <c r="S2072">
        <v>667</v>
      </c>
      <c r="T2072">
        <v>305</v>
      </c>
      <c r="V2072" s="51">
        <v>1020</v>
      </c>
    </row>
    <row r="2073" spans="1:22">
      <c r="A2073" s="32" t="s">
        <v>4476</v>
      </c>
      <c r="B2073" s="32" t="s">
        <v>1574</v>
      </c>
      <c r="C2073" s="32" t="s">
        <v>1014</v>
      </c>
      <c r="D2073" s="33" t="s">
        <v>1639</v>
      </c>
      <c r="E2073" s="33">
        <v>19</v>
      </c>
      <c r="F2073" s="33">
        <v>183</v>
      </c>
      <c r="G2073" s="33">
        <v>78</v>
      </c>
      <c r="H2073" s="33" t="s">
        <v>1639</v>
      </c>
      <c r="I2073" s="33">
        <v>282</v>
      </c>
      <c r="K2073" t="b">
        <f>QHPSelections2016[[#This Row],[County Name]]=P2073</f>
        <v>1</v>
      </c>
      <c r="L2073" t="b">
        <f>QHPSelections2016[[#This Row],[Silver]]=S2073</f>
        <v>1</v>
      </c>
      <c r="N2073">
        <v>48069</v>
      </c>
      <c r="O2073" t="s">
        <v>1574</v>
      </c>
      <c r="P2073" t="s">
        <v>1014</v>
      </c>
      <c r="R2073">
        <v>19</v>
      </c>
      <c r="S2073">
        <v>183</v>
      </c>
      <c r="T2073">
        <v>78</v>
      </c>
      <c r="V2073">
        <v>282</v>
      </c>
    </row>
    <row r="2074" spans="1:22">
      <c r="A2074" s="32" t="s">
        <v>4477</v>
      </c>
      <c r="B2074" s="32" t="s">
        <v>1574</v>
      </c>
      <c r="C2074" s="32" t="s">
        <v>866</v>
      </c>
      <c r="D2074" s="33" t="s">
        <v>1639</v>
      </c>
      <c r="E2074" s="33">
        <v>71</v>
      </c>
      <c r="F2074" s="33">
        <v>673</v>
      </c>
      <c r="G2074" s="33">
        <v>254</v>
      </c>
      <c r="H2074" s="33" t="s">
        <v>1639</v>
      </c>
      <c r="I2074" s="33">
        <v>1004</v>
      </c>
      <c r="K2074" t="b">
        <f>QHPSelections2016[[#This Row],[County Name]]=P2074</f>
        <v>1</v>
      </c>
      <c r="L2074" t="b">
        <f>QHPSelections2016[[#This Row],[Silver]]=S2074</f>
        <v>1</v>
      </c>
      <c r="N2074">
        <v>48071</v>
      </c>
      <c r="O2074" t="s">
        <v>1574</v>
      </c>
      <c r="P2074" t="s">
        <v>866</v>
      </c>
      <c r="R2074">
        <v>71</v>
      </c>
      <c r="S2074">
        <v>673</v>
      </c>
      <c r="T2074">
        <v>254</v>
      </c>
      <c r="V2074" s="51">
        <v>1004</v>
      </c>
    </row>
    <row r="2075" spans="1:22">
      <c r="A2075" s="32" t="s">
        <v>4478</v>
      </c>
      <c r="B2075" s="32" t="s">
        <v>1574</v>
      </c>
      <c r="C2075" s="32" t="s">
        <v>872</v>
      </c>
      <c r="D2075" s="33">
        <v>0</v>
      </c>
      <c r="E2075" s="33">
        <v>69</v>
      </c>
      <c r="F2075" s="33">
        <v>1113</v>
      </c>
      <c r="G2075" s="33">
        <v>408</v>
      </c>
      <c r="H2075" s="33">
        <v>13</v>
      </c>
      <c r="I2075" s="33">
        <v>1603</v>
      </c>
      <c r="K2075" t="b">
        <f>QHPSelections2016[[#This Row],[County Name]]=P2075</f>
        <v>1</v>
      </c>
      <c r="L2075" t="b">
        <f>QHPSelections2016[[#This Row],[Silver]]=S2075</f>
        <v>1</v>
      </c>
      <c r="N2075">
        <v>48073</v>
      </c>
      <c r="O2075" t="s">
        <v>1574</v>
      </c>
      <c r="P2075" t="s">
        <v>872</v>
      </c>
      <c r="Q2075">
        <v>0</v>
      </c>
      <c r="R2075">
        <v>69</v>
      </c>
      <c r="S2075" s="51">
        <v>1113</v>
      </c>
      <c r="T2075">
        <v>408</v>
      </c>
      <c r="U2075">
        <v>13</v>
      </c>
      <c r="V2075" s="51">
        <v>1603</v>
      </c>
    </row>
    <row r="2076" spans="1:22">
      <c r="A2076" s="32" t="s">
        <v>4479</v>
      </c>
      <c r="B2076" s="32" t="s">
        <v>1574</v>
      </c>
      <c r="C2076" s="32" t="s">
        <v>1028</v>
      </c>
      <c r="D2076" s="33" t="s">
        <v>1639</v>
      </c>
      <c r="E2076" s="33">
        <v>11</v>
      </c>
      <c r="F2076" s="33">
        <v>114</v>
      </c>
      <c r="G2076" s="33">
        <v>39</v>
      </c>
      <c r="H2076" s="33" t="s">
        <v>1639</v>
      </c>
      <c r="I2076" s="33">
        <v>165</v>
      </c>
      <c r="K2076" t="b">
        <f>QHPSelections2016[[#This Row],[County Name]]=P2076</f>
        <v>1</v>
      </c>
      <c r="L2076" t="b">
        <f>QHPSelections2016[[#This Row],[Silver]]=S2076</f>
        <v>1</v>
      </c>
      <c r="N2076">
        <v>48075</v>
      </c>
      <c r="O2076" t="s">
        <v>1574</v>
      </c>
      <c r="P2076" t="s">
        <v>1028</v>
      </c>
      <c r="R2076">
        <v>11</v>
      </c>
      <c r="S2076">
        <v>114</v>
      </c>
      <c r="T2076">
        <v>39</v>
      </c>
      <c r="V2076">
        <v>165</v>
      </c>
    </row>
    <row r="2077" spans="1:22">
      <c r="A2077" s="32" t="s">
        <v>4480</v>
      </c>
      <c r="B2077" s="32" t="s">
        <v>1574</v>
      </c>
      <c r="C2077" s="32" t="s">
        <v>873</v>
      </c>
      <c r="D2077" s="33">
        <v>0</v>
      </c>
      <c r="E2077" s="33" t="s">
        <v>1639</v>
      </c>
      <c r="F2077" s="33">
        <v>170</v>
      </c>
      <c r="G2077" s="33">
        <v>107</v>
      </c>
      <c r="H2077" s="33" t="s">
        <v>1639</v>
      </c>
      <c r="I2077" s="33">
        <v>287</v>
      </c>
      <c r="K2077" t="b">
        <f>QHPSelections2016[[#This Row],[County Name]]=P2077</f>
        <v>1</v>
      </c>
      <c r="L2077" t="b">
        <f>QHPSelections2016[[#This Row],[Silver]]=S2077</f>
        <v>1</v>
      </c>
      <c r="N2077">
        <v>48077</v>
      </c>
      <c r="O2077" t="s">
        <v>1574</v>
      </c>
      <c r="P2077" t="s">
        <v>873</v>
      </c>
      <c r="Q2077">
        <v>0</v>
      </c>
      <c r="S2077">
        <v>170</v>
      </c>
      <c r="T2077">
        <v>107</v>
      </c>
      <c r="V2077">
        <v>287</v>
      </c>
    </row>
    <row r="2078" spans="1:22">
      <c r="A2078" s="32" t="s">
        <v>4481</v>
      </c>
      <c r="B2078" s="32" t="s">
        <v>1574</v>
      </c>
      <c r="C2078" s="32" t="s">
        <v>1037</v>
      </c>
      <c r="D2078" s="33" t="s">
        <v>1639</v>
      </c>
      <c r="E2078" s="33" t="s">
        <v>1639</v>
      </c>
      <c r="F2078" s="33">
        <v>64</v>
      </c>
      <c r="G2078" s="33">
        <v>30</v>
      </c>
      <c r="H2078" s="33">
        <v>0</v>
      </c>
      <c r="I2078" s="33">
        <v>95</v>
      </c>
      <c r="K2078" t="b">
        <f>QHPSelections2016[[#This Row],[County Name]]=P2078</f>
        <v>1</v>
      </c>
      <c r="L2078" t="b">
        <f>QHPSelections2016[[#This Row],[Silver]]=S2078</f>
        <v>1</v>
      </c>
      <c r="N2078">
        <v>48079</v>
      </c>
      <c r="O2078" t="s">
        <v>1574</v>
      </c>
      <c r="P2078" t="s">
        <v>1037</v>
      </c>
      <c r="S2078">
        <v>64</v>
      </c>
      <c r="T2078">
        <v>30</v>
      </c>
      <c r="U2078">
        <v>0</v>
      </c>
      <c r="V2078">
        <v>95</v>
      </c>
    </row>
    <row r="2079" spans="1:22">
      <c r="A2079" s="32" t="s">
        <v>4482</v>
      </c>
      <c r="B2079" s="32" t="s">
        <v>1574</v>
      </c>
      <c r="C2079" s="32" t="s">
        <v>1042</v>
      </c>
      <c r="D2079" s="33">
        <v>0</v>
      </c>
      <c r="E2079" s="33">
        <v>11</v>
      </c>
      <c r="F2079" s="33">
        <v>67</v>
      </c>
      <c r="G2079" s="33">
        <v>27</v>
      </c>
      <c r="H2079" s="33">
        <v>0</v>
      </c>
      <c r="I2079" s="33">
        <v>105</v>
      </c>
      <c r="K2079" t="b">
        <f>QHPSelections2016[[#This Row],[County Name]]=P2079</f>
        <v>1</v>
      </c>
      <c r="L2079" t="b">
        <f>QHPSelections2016[[#This Row],[Silver]]=S2079</f>
        <v>1</v>
      </c>
      <c r="N2079">
        <v>48081</v>
      </c>
      <c r="O2079" t="s">
        <v>1574</v>
      </c>
      <c r="P2079" t="s">
        <v>1042</v>
      </c>
      <c r="Q2079">
        <v>0</v>
      </c>
      <c r="R2079">
        <v>11</v>
      </c>
      <c r="S2079">
        <v>67</v>
      </c>
      <c r="T2079">
        <v>27</v>
      </c>
      <c r="U2079">
        <v>0</v>
      </c>
      <c r="V2079">
        <v>105</v>
      </c>
    </row>
    <row r="2080" spans="1:22">
      <c r="A2080" s="32" t="s">
        <v>4483</v>
      </c>
      <c r="B2080" s="32" t="s">
        <v>1574</v>
      </c>
      <c r="C2080" s="32" t="s">
        <v>1048</v>
      </c>
      <c r="D2080" s="33" t="s">
        <v>1639</v>
      </c>
      <c r="E2080" s="33">
        <v>18</v>
      </c>
      <c r="F2080" s="33">
        <v>229</v>
      </c>
      <c r="G2080" s="33">
        <v>90</v>
      </c>
      <c r="H2080" s="33" t="s">
        <v>1639</v>
      </c>
      <c r="I2080" s="33">
        <v>338</v>
      </c>
      <c r="K2080" t="b">
        <f>QHPSelections2016[[#This Row],[County Name]]=P2080</f>
        <v>1</v>
      </c>
      <c r="L2080" t="b">
        <f>QHPSelections2016[[#This Row],[Silver]]=S2080</f>
        <v>1</v>
      </c>
      <c r="N2080">
        <v>48083</v>
      </c>
      <c r="O2080" t="s">
        <v>1574</v>
      </c>
      <c r="P2080" t="s">
        <v>1048</v>
      </c>
      <c r="R2080">
        <v>18</v>
      </c>
      <c r="S2080">
        <v>229</v>
      </c>
      <c r="T2080">
        <v>90</v>
      </c>
      <c r="V2080">
        <v>338</v>
      </c>
    </row>
    <row r="2081" spans="1:22">
      <c r="A2081" s="32" t="s">
        <v>4484</v>
      </c>
      <c r="B2081" s="32" t="s">
        <v>1574</v>
      </c>
      <c r="C2081" s="32" t="s">
        <v>1053</v>
      </c>
      <c r="D2081" s="33">
        <v>0</v>
      </c>
      <c r="E2081" s="33">
        <v>4080</v>
      </c>
      <c r="F2081" s="33">
        <v>30346</v>
      </c>
      <c r="G2081" s="33">
        <v>14930</v>
      </c>
      <c r="H2081" s="33">
        <v>186</v>
      </c>
      <c r="I2081" s="33">
        <v>49542</v>
      </c>
      <c r="K2081" t="b">
        <f>QHPSelections2016[[#This Row],[County Name]]=P2081</f>
        <v>1</v>
      </c>
      <c r="L2081" t="b">
        <f>QHPSelections2016[[#This Row],[Silver]]=S2081</f>
        <v>1</v>
      </c>
      <c r="N2081">
        <v>48085</v>
      </c>
      <c r="O2081" t="s">
        <v>1574</v>
      </c>
      <c r="P2081" t="s">
        <v>1053</v>
      </c>
      <c r="Q2081">
        <v>0</v>
      </c>
      <c r="R2081" s="51">
        <v>4080</v>
      </c>
      <c r="S2081" s="51">
        <v>30346</v>
      </c>
      <c r="T2081" s="51">
        <v>14930</v>
      </c>
      <c r="U2081">
        <v>186</v>
      </c>
      <c r="V2081" s="51">
        <v>49542</v>
      </c>
    </row>
    <row r="2082" spans="1:22">
      <c r="A2082" s="32" t="s">
        <v>4485</v>
      </c>
      <c r="B2082" s="32" t="s">
        <v>1574</v>
      </c>
      <c r="C2082" s="32" t="s">
        <v>1056</v>
      </c>
      <c r="D2082" s="33">
        <v>0</v>
      </c>
      <c r="E2082" s="33">
        <v>11</v>
      </c>
      <c r="F2082" s="33">
        <v>63</v>
      </c>
      <c r="G2082" s="33">
        <v>29</v>
      </c>
      <c r="H2082" s="33">
        <v>0</v>
      </c>
      <c r="I2082" s="33">
        <v>103</v>
      </c>
      <c r="K2082" t="b">
        <f>QHPSelections2016[[#This Row],[County Name]]=P2082</f>
        <v>1</v>
      </c>
      <c r="L2082" t="b">
        <f>QHPSelections2016[[#This Row],[Silver]]=S2082</f>
        <v>1</v>
      </c>
      <c r="N2082">
        <v>48087</v>
      </c>
      <c r="O2082" t="s">
        <v>1574</v>
      </c>
      <c r="P2082" t="s">
        <v>1056</v>
      </c>
      <c r="Q2082">
        <v>0</v>
      </c>
      <c r="R2082">
        <v>11</v>
      </c>
      <c r="S2082">
        <v>63</v>
      </c>
      <c r="T2082">
        <v>29</v>
      </c>
      <c r="U2082">
        <v>0</v>
      </c>
      <c r="V2082">
        <v>103</v>
      </c>
    </row>
    <row r="2083" spans="1:22">
      <c r="A2083" s="32" t="s">
        <v>4486</v>
      </c>
      <c r="B2083" s="32" t="s">
        <v>1574</v>
      </c>
      <c r="C2083" s="32" t="s">
        <v>1059</v>
      </c>
      <c r="D2083" s="33" t="s">
        <v>1639</v>
      </c>
      <c r="E2083" s="33">
        <v>60</v>
      </c>
      <c r="F2083" s="33">
        <v>712</v>
      </c>
      <c r="G2083" s="33">
        <v>292</v>
      </c>
      <c r="H2083" s="33" t="s">
        <v>1639</v>
      </c>
      <c r="I2083" s="33">
        <v>1068</v>
      </c>
      <c r="K2083" t="b">
        <f>QHPSelections2016[[#This Row],[County Name]]=P2083</f>
        <v>1</v>
      </c>
      <c r="L2083" t="b">
        <f>QHPSelections2016[[#This Row],[Silver]]=S2083</f>
        <v>1</v>
      </c>
      <c r="N2083">
        <v>48089</v>
      </c>
      <c r="O2083" t="s">
        <v>1574</v>
      </c>
      <c r="P2083" t="s">
        <v>1059</v>
      </c>
      <c r="R2083">
        <v>60</v>
      </c>
      <c r="S2083">
        <v>712</v>
      </c>
      <c r="T2083">
        <v>292</v>
      </c>
      <c r="V2083" s="51">
        <v>1068</v>
      </c>
    </row>
    <row r="2084" spans="1:22">
      <c r="A2084" s="32" t="s">
        <v>4487</v>
      </c>
      <c r="B2084" s="32" t="s">
        <v>1574</v>
      </c>
      <c r="C2084" s="32" t="s">
        <v>1065</v>
      </c>
      <c r="D2084" s="33">
        <v>52</v>
      </c>
      <c r="E2084" s="33">
        <v>513</v>
      </c>
      <c r="F2084" s="33">
        <v>3644</v>
      </c>
      <c r="G2084" s="33">
        <v>1471</v>
      </c>
      <c r="H2084" s="33">
        <v>60</v>
      </c>
      <c r="I2084" s="33">
        <v>5740</v>
      </c>
      <c r="K2084" t="b">
        <f>QHPSelections2016[[#This Row],[County Name]]=P2084</f>
        <v>1</v>
      </c>
      <c r="L2084" t="b">
        <f>QHPSelections2016[[#This Row],[Silver]]=S2084</f>
        <v>1</v>
      </c>
      <c r="N2084">
        <v>48091</v>
      </c>
      <c r="O2084" t="s">
        <v>1574</v>
      </c>
      <c r="P2084" t="s">
        <v>1065</v>
      </c>
      <c r="Q2084">
        <v>52</v>
      </c>
      <c r="R2084">
        <v>513</v>
      </c>
      <c r="S2084" s="51">
        <v>3644</v>
      </c>
      <c r="T2084" s="51">
        <v>1471</v>
      </c>
      <c r="U2084">
        <v>60</v>
      </c>
      <c r="V2084" s="51">
        <v>5740</v>
      </c>
    </row>
    <row r="2085" spans="1:22">
      <c r="A2085" s="32" t="s">
        <v>4488</v>
      </c>
      <c r="B2085" s="32" t="s">
        <v>1574</v>
      </c>
      <c r="C2085" s="32" t="s">
        <v>1071</v>
      </c>
      <c r="D2085" s="33" t="s">
        <v>1639</v>
      </c>
      <c r="E2085" s="33">
        <v>32</v>
      </c>
      <c r="F2085" s="33">
        <v>393</v>
      </c>
      <c r="G2085" s="33">
        <v>168</v>
      </c>
      <c r="H2085" s="33" t="s">
        <v>1639</v>
      </c>
      <c r="I2085" s="33">
        <v>599</v>
      </c>
      <c r="K2085" t="b">
        <f>QHPSelections2016[[#This Row],[County Name]]=P2085</f>
        <v>1</v>
      </c>
      <c r="L2085" t="b">
        <f>QHPSelections2016[[#This Row],[Silver]]=S2085</f>
        <v>1</v>
      </c>
      <c r="N2085">
        <v>48093</v>
      </c>
      <c r="O2085" t="s">
        <v>1574</v>
      </c>
      <c r="P2085" t="s">
        <v>1071</v>
      </c>
      <c r="R2085">
        <v>32</v>
      </c>
      <c r="S2085">
        <v>393</v>
      </c>
      <c r="T2085">
        <v>168</v>
      </c>
      <c r="V2085">
        <v>599</v>
      </c>
    </row>
    <row r="2086" spans="1:22">
      <c r="A2086" s="32" t="s">
        <v>4489</v>
      </c>
      <c r="B2086" s="32" t="s">
        <v>1574</v>
      </c>
      <c r="C2086" s="32" t="s">
        <v>1075</v>
      </c>
      <c r="D2086" s="33">
        <v>0</v>
      </c>
      <c r="E2086" s="33">
        <v>14</v>
      </c>
      <c r="F2086" s="33">
        <v>90</v>
      </c>
      <c r="G2086" s="33">
        <v>30</v>
      </c>
      <c r="H2086" s="33">
        <v>0</v>
      </c>
      <c r="I2086" s="33">
        <v>134</v>
      </c>
      <c r="K2086" t="b">
        <f>QHPSelections2016[[#This Row],[County Name]]=P2086</f>
        <v>1</v>
      </c>
      <c r="L2086" t="b">
        <f>QHPSelections2016[[#This Row],[Silver]]=S2086</f>
        <v>1</v>
      </c>
      <c r="N2086">
        <v>48095</v>
      </c>
      <c r="O2086" t="s">
        <v>1574</v>
      </c>
      <c r="P2086" t="s">
        <v>1075</v>
      </c>
      <c r="Q2086">
        <v>0</v>
      </c>
      <c r="R2086">
        <v>14</v>
      </c>
      <c r="S2086">
        <v>90</v>
      </c>
      <c r="T2086">
        <v>30</v>
      </c>
      <c r="U2086">
        <v>0</v>
      </c>
      <c r="V2086">
        <v>134</v>
      </c>
    </row>
    <row r="2087" spans="1:22">
      <c r="A2087" s="32" t="s">
        <v>4490</v>
      </c>
      <c r="B2087" s="32" t="s">
        <v>1574</v>
      </c>
      <c r="C2087" s="32" t="s">
        <v>1081</v>
      </c>
      <c r="D2087" s="33" t="s">
        <v>1639</v>
      </c>
      <c r="E2087" s="33">
        <v>76</v>
      </c>
      <c r="F2087" s="33">
        <v>908</v>
      </c>
      <c r="G2087" s="33">
        <v>356</v>
      </c>
      <c r="H2087" s="33" t="s">
        <v>1639</v>
      </c>
      <c r="I2087" s="33">
        <v>1347</v>
      </c>
      <c r="K2087" t="b">
        <f>QHPSelections2016[[#This Row],[County Name]]=P2087</f>
        <v>1</v>
      </c>
      <c r="L2087" t="b">
        <f>QHPSelections2016[[#This Row],[Silver]]=S2087</f>
        <v>1</v>
      </c>
      <c r="N2087">
        <v>48097</v>
      </c>
      <c r="O2087" t="s">
        <v>1574</v>
      </c>
      <c r="P2087" t="s">
        <v>1081</v>
      </c>
      <c r="R2087">
        <v>76</v>
      </c>
      <c r="S2087">
        <v>908</v>
      </c>
      <c r="T2087">
        <v>356</v>
      </c>
      <c r="V2087" s="51">
        <v>1347</v>
      </c>
    </row>
    <row r="2088" spans="1:22">
      <c r="A2088" s="32" t="s">
        <v>4491</v>
      </c>
      <c r="B2088" s="32" t="s">
        <v>1574</v>
      </c>
      <c r="C2088" s="32" t="s">
        <v>1085</v>
      </c>
      <c r="D2088" s="33">
        <v>0</v>
      </c>
      <c r="E2088" s="33">
        <v>64</v>
      </c>
      <c r="F2088" s="33">
        <v>991</v>
      </c>
      <c r="G2088" s="33">
        <v>345</v>
      </c>
      <c r="H2088" s="33">
        <v>19</v>
      </c>
      <c r="I2088" s="33">
        <v>1419</v>
      </c>
      <c r="K2088" t="b">
        <f>QHPSelections2016[[#This Row],[County Name]]=P2088</f>
        <v>1</v>
      </c>
      <c r="L2088" t="b">
        <f>QHPSelections2016[[#This Row],[Silver]]=S2088</f>
        <v>1</v>
      </c>
      <c r="N2088">
        <v>48099</v>
      </c>
      <c r="O2088" t="s">
        <v>1574</v>
      </c>
      <c r="P2088" t="s">
        <v>1085</v>
      </c>
      <c r="Q2088">
        <v>0</v>
      </c>
      <c r="R2088">
        <v>64</v>
      </c>
      <c r="S2088">
        <v>991</v>
      </c>
      <c r="T2088">
        <v>345</v>
      </c>
      <c r="U2088">
        <v>19</v>
      </c>
      <c r="V2088" s="51">
        <v>1419</v>
      </c>
    </row>
    <row r="2089" spans="1:22">
      <c r="A2089" s="32" t="s">
        <v>4492</v>
      </c>
      <c r="B2089" s="32" t="s">
        <v>1574</v>
      </c>
      <c r="C2089" s="32" t="s">
        <v>1091</v>
      </c>
      <c r="D2089" s="33">
        <v>0</v>
      </c>
      <c r="E2089" s="33" t="s">
        <v>1639</v>
      </c>
      <c r="F2089" s="33">
        <v>33</v>
      </c>
      <c r="G2089" s="33" t="s">
        <v>1639</v>
      </c>
      <c r="H2089" s="33" t="s">
        <v>1639</v>
      </c>
      <c r="I2089" s="33">
        <v>41</v>
      </c>
      <c r="K2089" t="b">
        <f>QHPSelections2016[[#This Row],[County Name]]=P2089</f>
        <v>1</v>
      </c>
      <c r="L2089" t="b">
        <f>QHPSelections2016[[#This Row],[Silver]]=S2089</f>
        <v>1</v>
      </c>
      <c r="N2089">
        <v>48101</v>
      </c>
      <c r="O2089" t="s">
        <v>1574</v>
      </c>
      <c r="P2089" t="s">
        <v>1091</v>
      </c>
      <c r="Q2089">
        <v>0</v>
      </c>
      <c r="S2089">
        <v>33</v>
      </c>
      <c r="V2089">
        <v>41</v>
      </c>
    </row>
    <row r="2090" spans="1:22">
      <c r="A2090" s="32" t="s">
        <v>4493</v>
      </c>
      <c r="B2090" s="32" t="s">
        <v>1574</v>
      </c>
      <c r="C2090" s="32" t="s">
        <v>1096</v>
      </c>
      <c r="D2090" s="33" t="s">
        <v>1639</v>
      </c>
      <c r="E2090" s="33">
        <v>15</v>
      </c>
      <c r="F2090" s="33">
        <v>98</v>
      </c>
      <c r="G2090" s="33">
        <v>24</v>
      </c>
      <c r="H2090" s="33" t="s">
        <v>1639</v>
      </c>
      <c r="I2090" s="33">
        <v>138</v>
      </c>
      <c r="K2090" t="b">
        <f>QHPSelections2016[[#This Row],[County Name]]=P2090</f>
        <v>1</v>
      </c>
      <c r="L2090" t="b">
        <f>QHPSelections2016[[#This Row],[Silver]]=S2090</f>
        <v>1</v>
      </c>
      <c r="N2090">
        <v>48103</v>
      </c>
      <c r="O2090" t="s">
        <v>1574</v>
      </c>
      <c r="P2090" t="s">
        <v>1096</v>
      </c>
      <c r="R2090">
        <v>15</v>
      </c>
      <c r="S2090">
        <v>98</v>
      </c>
      <c r="T2090">
        <v>24</v>
      </c>
      <c r="V2090">
        <v>138</v>
      </c>
    </row>
    <row r="2091" spans="1:22">
      <c r="A2091" s="32" t="s">
        <v>4494</v>
      </c>
      <c r="B2091" s="32" t="s">
        <v>1574</v>
      </c>
      <c r="C2091" s="32" t="s">
        <v>916</v>
      </c>
      <c r="D2091" s="33">
        <v>0</v>
      </c>
      <c r="E2091" s="33">
        <v>14</v>
      </c>
      <c r="F2091" s="33">
        <v>82</v>
      </c>
      <c r="G2091" s="33">
        <v>31</v>
      </c>
      <c r="H2091" s="33">
        <v>0</v>
      </c>
      <c r="I2091" s="33">
        <v>127</v>
      </c>
      <c r="K2091" t="b">
        <f>QHPSelections2016[[#This Row],[County Name]]=P2091</f>
        <v>1</v>
      </c>
      <c r="L2091" t="b">
        <f>QHPSelections2016[[#This Row],[Silver]]=S2091</f>
        <v>1</v>
      </c>
      <c r="N2091">
        <v>48105</v>
      </c>
      <c r="O2091" t="s">
        <v>1574</v>
      </c>
      <c r="P2091" t="s">
        <v>916</v>
      </c>
      <c r="Q2091">
        <v>0</v>
      </c>
      <c r="R2091">
        <v>14</v>
      </c>
      <c r="S2091">
        <v>82</v>
      </c>
      <c r="T2091">
        <v>31</v>
      </c>
      <c r="U2091">
        <v>0</v>
      </c>
      <c r="V2091">
        <v>127</v>
      </c>
    </row>
    <row r="2092" spans="1:22">
      <c r="A2092" s="32" t="s">
        <v>4495</v>
      </c>
      <c r="B2092" s="32" t="s">
        <v>1574</v>
      </c>
      <c r="C2092" s="32" t="s">
        <v>1108</v>
      </c>
      <c r="D2092" s="33" t="s">
        <v>1639</v>
      </c>
      <c r="E2092" s="33" t="s">
        <v>1639</v>
      </c>
      <c r="F2092" s="33">
        <v>155</v>
      </c>
      <c r="G2092" s="33">
        <v>61</v>
      </c>
      <c r="H2092" s="33">
        <v>0</v>
      </c>
      <c r="I2092" s="33">
        <v>223</v>
      </c>
      <c r="K2092" t="b">
        <f>QHPSelections2016[[#This Row],[County Name]]=P2092</f>
        <v>1</v>
      </c>
      <c r="L2092" t="b">
        <f>QHPSelections2016[[#This Row],[Silver]]=S2092</f>
        <v>1</v>
      </c>
      <c r="N2092">
        <v>48107</v>
      </c>
      <c r="O2092" t="s">
        <v>1574</v>
      </c>
      <c r="P2092" t="s">
        <v>1108</v>
      </c>
      <c r="S2092">
        <v>155</v>
      </c>
      <c r="T2092">
        <v>61</v>
      </c>
      <c r="U2092">
        <v>0</v>
      </c>
      <c r="V2092">
        <v>223</v>
      </c>
    </row>
    <row r="2093" spans="1:22">
      <c r="A2093" s="32" t="s">
        <v>4496</v>
      </c>
      <c r="B2093" s="32" t="s">
        <v>1574</v>
      </c>
      <c r="C2093" s="32" t="s">
        <v>1114</v>
      </c>
      <c r="D2093" s="33" t="s">
        <v>1639</v>
      </c>
      <c r="E2093" s="33" t="s">
        <v>1639</v>
      </c>
      <c r="F2093" s="33">
        <v>84</v>
      </c>
      <c r="G2093" s="33">
        <v>23</v>
      </c>
      <c r="H2093" s="33">
        <v>0</v>
      </c>
      <c r="I2093" s="33">
        <v>113</v>
      </c>
      <c r="K2093" t="b">
        <f>QHPSelections2016[[#This Row],[County Name]]=P2093</f>
        <v>1</v>
      </c>
      <c r="L2093" t="b">
        <f>QHPSelections2016[[#This Row],[Silver]]=S2093</f>
        <v>1</v>
      </c>
      <c r="N2093">
        <v>48109</v>
      </c>
      <c r="O2093" t="s">
        <v>1574</v>
      </c>
      <c r="P2093" t="s">
        <v>1114</v>
      </c>
      <c r="S2093">
        <v>84</v>
      </c>
      <c r="T2093">
        <v>23</v>
      </c>
      <c r="U2093">
        <v>0</v>
      </c>
      <c r="V2093">
        <v>113</v>
      </c>
    </row>
    <row r="2094" spans="1:22">
      <c r="A2094" s="32" t="s">
        <v>4497</v>
      </c>
      <c r="B2094" s="32" t="s">
        <v>1574</v>
      </c>
      <c r="C2094" s="32" t="s">
        <v>1118</v>
      </c>
      <c r="D2094" s="33" t="s">
        <v>1639</v>
      </c>
      <c r="E2094" s="33">
        <v>13</v>
      </c>
      <c r="F2094" s="33">
        <v>197</v>
      </c>
      <c r="G2094" s="33">
        <v>81</v>
      </c>
      <c r="H2094" s="33" t="s">
        <v>1639</v>
      </c>
      <c r="I2094" s="33">
        <v>292</v>
      </c>
      <c r="K2094" t="b">
        <f>QHPSelections2016[[#This Row],[County Name]]=P2094</f>
        <v>1</v>
      </c>
      <c r="L2094" t="b">
        <f>QHPSelections2016[[#This Row],[Silver]]=S2094</f>
        <v>1</v>
      </c>
      <c r="N2094">
        <v>48111</v>
      </c>
      <c r="O2094" t="s">
        <v>1574</v>
      </c>
      <c r="P2094" t="s">
        <v>1118</v>
      </c>
      <c r="R2094">
        <v>13</v>
      </c>
      <c r="S2094">
        <v>197</v>
      </c>
      <c r="T2094">
        <v>81</v>
      </c>
      <c r="V2094">
        <v>292</v>
      </c>
    </row>
    <row r="2095" spans="1:22">
      <c r="A2095" s="32" t="s">
        <v>4498</v>
      </c>
      <c r="B2095" s="32" t="s">
        <v>1574</v>
      </c>
      <c r="C2095" s="32" t="s">
        <v>953</v>
      </c>
      <c r="D2095" s="33">
        <v>0</v>
      </c>
      <c r="E2095" s="33">
        <v>6210</v>
      </c>
      <c r="F2095" s="33">
        <v>88201</v>
      </c>
      <c r="G2095" s="33">
        <v>37678</v>
      </c>
      <c r="H2095" s="33">
        <v>548</v>
      </c>
      <c r="I2095" s="33">
        <v>132637</v>
      </c>
      <c r="K2095" t="b">
        <f>QHPSelections2016[[#This Row],[County Name]]=P2095</f>
        <v>1</v>
      </c>
      <c r="L2095" t="b">
        <f>QHPSelections2016[[#This Row],[Silver]]=S2095</f>
        <v>1</v>
      </c>
      <c r="N2095">
        <v>48113</v>
      </c>
      <c r="O2095" t="s">
        <v>1574</v>
      </c>
      <c r="P2095" t="s">
        <v>953</v>
      </c>
      <c r="Q2095">
        <v>0</v>
      </c>
      <c r="R2095" s="51">
        <v>6210</v>
      </c>
      <c r="S2095" s="51">
        <v>88201</v>
      </c>
      <c r="T2095" s="51">
        <v>37678</v>
      </c>
      <c r="U2095">
        <v>548</v>
      </c>
      <c r="V2095" s="51">
        <v>132637</v>
      </c>
    </row>
    <row r="2096" spans="1:22">
      <c r="A2096" s="32" t="s">
        <v>4499</v>
      </c>
      <c r="B2096" s="32" t="s">
        <v>1574</v>
      </c>
      <c r="C2096" s="32" t="s">
        <v>1045</v>
      </c>
      <c r="D2096" s="33" t="s">
        <v>1639</v>
      </c>
      <c r="E2096" s="33">
        <v>19</v>
      </c>
      <c r="F2096" s="33">
        <v>253</v>
      </c>
      <c r="G2096" s="33">
        <v>78</v>
      </c>
      <c r="H2096" s="33" t="s">
        <v>1639</v>
      </c>
      <c r="I2096" s="33">
        <v>353</v>
      </c>
      <c r="K2096" t="b">
        <f>QHPSelections2016[[#This Row],[County Name]]=P2096</f>
        <v>1</v>
      </c>
      <c r="L2096" t="b">
        <f>QHPSelections2016[[#This Row],[Silver]]=S2096</f>
        <v>1</v>
      </c>
      <c r="N2096">
        <v>48115</v>
      </c>
      <c r="O2096" t="s">
        <v>1574</v>
      </c>
      <c r="P2096" t="s">
        <v>1045</v>
      </c>
      <c r="R2096">
        <v>19</v>
      </c>
      <c r="S2096">
        <v>253</v>
      </c>
      <c r="T2096">
        <v>78</v>
      </c>
      <c r="V2096">
        <v>353</v>
      </c>
    </row>
    <row r="2097" spans="1:22">
      <c r="A2097" s="32" t="s">
        <v>4500</v>
      </c>
      <c r="B2097" s="32" t="s">
        <v>1574</v>
      </c>
      <c r="C2097" s="32" t="s">
        <v>1129</v>
      </c>
      <c r="D2097" s="33" t="s">
        <v>1639</v>
      </c>
      <c r="E2097" s="33">
        <v>26</v>
      </c>
      <c r="F2097" s="33">
        <v>443</v>
      </c>
      <c r="G2097" s="33">
        <v>134</v>
      </c>
      <c r="H2097" s="33" t="s">
        <v>1639</v>
      </c>
      <c r="I2097" s="33">
        <v>606</v>
      </c>
      <c r="K2097" t="b">
        <f>QHPSelections2016[[#This Row],[County Name]]=P2097</f>
        <v>1</v>
      </c>
      <c r="L2097" t="b">
        <f>QHPSelections2016[[#This Row],[Silver]]=S2097</f>
        <v>1</v>
      </c>
      <c r="N2097">
        <v>48117</v>
      </c>
      <c r="O2097" t="s">
        <v>1574</v>
      </c>
      <c r="P2097" t="s">
        <v>1129</v>
      </c>
      <c r="R2097">
        <v>26</v>
      </c>
      <c r="S2097">
        <v>443</v>
      </c>
      <c r="T2097">
        <v>134</v>
      </c>
      <c r="V2097">
        <v>606</v>
      </c>
    </row>
    <row r="2098" spans="1:22">
      <c r="A2098" s="32" t="s">
        <v>4501</v>
      </c>
      <c r="B2098" s="32" t="s">
        <v>1574</v>
      </c>
      <c r="C2098" s="32" t="s">
        <v>1135</v>
      </c>
      <c r="D2098" s="33">
        <v>0</v>
      </c>
      <c r="E2098" s="33">
        <v>16</v>
      </c>
      <c r="F2098" s="33">
        <v>88</v>
      </c>
      <c r="G2098" s="33">
        <v>55</v>
      </c>
      <c r="H2098" s="33">
        <v>0</v>
      </c>
      <c r="I2098" s="33">
        <v>159</v>
      </c>
      <c r="K2098" t="b">
        <f>QHPSelections2016[[#This Row],[County Name]]=P2098</f>
        <v>1</v>
      </c>
      <c r="L2098" t="b">
        <f>QHPSelections2016[[#This Row],[Silver]]=S2098</f>
        <v>1</v>
      </c>
      <c r="N2098">
        <v>48119</v>
      </c>
      <c r="O2098" t="s">
        <v>1574</v>
      </c>
      <c r="P2098" t="s">
        <v>1135</v>
      </c>
      <c r="Q2098">
        <v>0</v>
      </c>
      <c r="R2098">
        <v>16</v>
      </c>
      <c r="S2098">
        <v>88</v>
      </c>
      <c r="T2098">
        <v>55</v>
      </c>
      <c r="U2098">
        <v>0</v>
      </c>
      <c r="V2098">
        <v>159</v>
      </c>
    </row>
    <row r="2099" spans="1:22">
      <c r="A2099" s="32" t="s">
        <v>4502</v>
      </c>
      <c r="B2099" s="32" t="s">
        <v>1574</v>
      </c>
      <c r="C2099" s="32" t="s">
        <v>1142</v>
      </c>
      <c r="D2099" s="33">
        <v>0</v>
      </c>
      <c r="E2099" s="33">
        <v>3344</v>
      </c>
      <c r="F2099" s="33">
        <v>23871</v>
      </c>
      <c r="G2099" s="33">
        <v>11371</v>
      </c>
      <c r="H2099" s="33">
        <v>298</v>
      </c>
      <c r="I2099" s="33">
        <v>38884</v>
      </c>
      <c r="K2099" t="b">
        <f>QHPSelections2016[[#This Row],[County Name]]=P2099</f>
        <v>1</v>
      </c>
      <c r="L2099" t="b">
        <f>QHPSelections2016[[#This Row],[Silver]]=S2099</f>
        <v>1</v>
      </c>
      <c r="N2099">
        <v>48121</v>
      </c>
      <c r="O2099" t="s">
        <v>1574</v>
      </c>
      <c r="P2099" t="s">
        <v>1142</v>
      </c>
      <c r="Q2099">
        <v>0</v>
      </c>
      <c r="R2099" s="51">
        <v>3344</v>
      </c>
      <c r="S2099" s="51">
        <v>23871</v>
      </c>
      <c r="T2099" s="51">
        <v>11371</v>
      </c>
      <c r="U2099">
        <v>298</v>
      </c>
      <c r="V2099" s="51">
        <v>38884</v>
      </c>
    </row>
    <row r="2100" spans="1:22">
      <c r="A2100" s="32" t="s">
        <v>4503</v>
      </c>
      <c r="B2100" s="32" t="s">
        <v>1574</v>
      </c>
      <c r="C2100" s="32" t="s">
        <v>1147</v>
      </c>
      <c r="D2100" s="33" t="s">
        <v>1639</v>
      </c>
      <c r="E2100" s="33">
        <v>50</v>
      </c>
      <c r="F2100" s="33">
        <v>505</v>
      </c>
      <c r="G2100" s="33">
        <v>188</v>
      </c>
      <c r="H2100" s="33" t="s">
        <v>1639</v>
      </c>
      <c r="I2100" s="33">
        <v>745</v>
      </c>
      <c r="K2100" t="b">
        <f>QHPSelections2016[[#This Row],[County Name]]=P2100</f>
        <v>1</v>
      </c>
      <c r="L2100" t="b">
        <f>QHPSelections2016[[#This Row],[Silver]]=S2100</f>
        <v>1</v>
      </c>
      <c r="N2100">
        <v>48123</v>
      </c>
      <c r="O2100" t="s">
        <v>1574</v>
      </c>
      <c r="P2100" t="s">
        <v>1147</v>
      </c>
      <c r="R2100">
        <v>50</v>
      </c>
      <c r="S2100">
        <v>505</v>
      </c>
      <c r="T2100">
        <v>188</v>
      </c>
      <c r="V2100">
        <v>745</v>
      </c>
    </row>
    <row r="2101" spans="1:22">
      <c r="A2101" s="32" t="s">
        <v>4504</v>
      </c>
      <c r="B2101" s="32" t="s">
        <v>1574</v>
      </c>
      <c r="C2101" s="32" t="s">
        <v>1153</v>
      </c>
      <c r="D2101" s="33">
        <v>0</v>
      </c>
      <c r="E2101" s="33" t="s">
        <v>1639</v>
      </c>
      <c r="F2101" s="33">
        <v>44</v>
      </c>
      <c r="G2101" s="33" t="s">
        <v>1639</v>
      </c>
      <c r="H2101" s="33">
        <v>0</v>
      </c>
      <c r="I2101" s="33">
        <v>55</v>
      </c>
      <c r="K2101" t="b">
        <f>QHPSelections2016[[#This Row],[County Name]]=P2101</f>
        <v>1</v>
      </c>
      <c r="L2101" t="b">
        <f>QHPSelections2016[[#This Row],[Silver]]=S2101</f>
        <v>1</v>
      </c>
      <c r="N2101">
        <v>48125</v>
      </c>
      <c r="O2101" t="s">
        <v>1574</v>
      </c>
      <c r="P2101" t="s">
        <v>1153</v>
      </c>
      <c r="Q2101">
        <v>0</v>
      </c>
      <c r="S2101">
        <v>44</v>
      </c>
      <c r="U2101">
        <v>0</v>
      </c>
      <c r="V2101">
        <v>55</v>
      </c>
    </row>
    <row r="2102" spans="1:22">
      <c r="A2102" s="32" t="s">
        <v>4505</v>
      </c>
      <c r="B2102" s="32" t="s">
        <v>1574</v>
      </c>
      <c r="C2102" s="32" t="s">
        <v>1159</v>
      </c>
      <c r="D2102" s="33" t="s">
        <v>1639</v>
      </c>
      <c r="E2102" s="33">
        <v>22</v>
      </c>
      <c r="F2102" s="33">
        <v>455</v>
      </c>
      <c r="G2102" s="33">
        <v>130</v>
      </c>
      <c r="H2102" s="33" t="s">
        <v>1639</v>
      </c>
      <c r="I2102" s="33">
        <v>609</v>
      </c>
      <c r="K2102" t="b">
        <f>QHPSelections2016[[#This Row],[County Name]]=P2102</f>
        <v>1</v>
      </c>
      <c r="L2102" t="b">
        <f>QHPSelections2016[[#This Row],[Silver]]=S2102</f>
        <v>1</v>
      </c>
      <c r="N2102">
        <v>48127</v>
      </c>
      <c r="O2102" t="s">
        <v>1574</v>
      </c>
      <c r="P2102" t="s">
        <v>1159</v>
      </c>
      <c r="R2102">
        <v>22</v>
      </c>
      <c r="S2102">
        <v>455</v>
      </c>
      <c r="T2102">
        <v>130</v>
      </c>
      <c r="V2102">
        <v>609</v>
      </c>
    </row>
    <row r="2103" spans="1:22">
      <c r="A2103" s="32" t="s">
        <v>4506</v>
      </c>
      <c r="B2103" s="32" t="s">
        <v>1574</v>
      </c>
      <c r="C2103" s="32" t="s">
        <v>1165</v>
      </c>
      <c r="D2103" s="33">
        <v>0</v>
      </c>
      <c r="E2103" s="33" t="s">
        <v>1639</v>
      </c>
      <c r="F2103" s="33">
        <v>87</v>
      </c>
      <c r="G2103" s="33">
        <v>36</v>
      </c>
      <c r="H2103" s="33" t="s">
        <v>1639</v>
      </c>
      <c r="I2103" s="33">
        <v>132</v>
      </c>
      <c r="K2103" t="b">
        <f>QHPSelections2016[[#This Row],[County Name]]=P2103</f>
        <v>1</v>
      </c>
      <c r="L2103" t="b">
        <f>QHPSelections2016[[#This Row],[Silver]]=S2103</f>
        <v>1</v>
      </c>
      <c r="N2103">
        <v>48129</v>
      </c>
      <c r="O2103" t="s">
        <v>1574</v>
      </c>
      <c r="P2103" t="s">
        <v>1165</v>
      </c>
      <c r="Q2103">
        <v>0</v>
      </c>
      <c r="S2103">
        <v>87</v>
      </c>
      <c r="T2103">
        <v>36</v>
      </c>
      <c r="V2103">
        <v>132</v>
      </c>
    </row>
    <row r="2104" spans="1:22">
      <c r="A2104" s="32" t="s">
        <v>4507</v>
      </c>
      <c r="B2104" s="32" t="s">
        <v>1574</v>
      </c>
      <c r="C2104" s="32" t="s">
        <v>901</v>
      </c>
      <c r="D2104" s="33" t="s">
        <v>1639</v>
      </c>
      <c r="E2104" s="33">
        <v>31</v>
      </c>
      <c r="F2104" s="33">
        <v>313</v>
      </c>
      <c r="G2104" s="33">
        <v>81</v>
      </c>
      <c r="H2104" s="33" t="s">
        <v>1639</v>
      </c>
      <c r="I2104" s="33">
        <v>430</v>
      </c>
      <c r="K2104" t="b">
        <f>QHPSelections2016[[#This Row],[County Name]]=P2104</f>
        <v>1</v>
      </c>
      <c r="L2104" t="b">
        <f>QHPSelections2016[[#This Row],[Silver]]=S2104</f>
        <v>1</v>
      </c>
      <c r="N2104">
        <v>48131</v>
      </c>
      <c r="O2104" t="s">
        <v>1574</v>
      </c>
      <c r="P2104" t="s">
        <v>901</v>
      </c>
      <c r="R2104">
        <v>31</v>
      </c>
      <c r="S2104">
        <v>313</v>
      </c>
      <c r="T2104">
        <v>81</v>
      </c>
      <c r="V2104">
        <v>430</v>
      </c>
    </row>
    <row r="2105" spans="1:22">
      <c r="A2105" s="32" t="s">
        <v>4508</v>
      </c>
      <c r="B2105" s="32" t="s">
        <v>1574</v>
      </c>
      <c r="C2105" s="32" t="s">
        <v>1176</v>
      </c>
      <c r="D2105" s="33" t="s">
        <v>1639</v>
      </c>
      <c r="E2105" s="33">
        <v>37</v>
      </c>
      <c r="F2105" s="33">
        <v>494</v>
      </c>
      <c r="G2105" s="33">
        <v>247</v>
      </c>
      <c r="H2105" s="33" t="s">
        <v>1639</v>
      </c>
      <c r="I2105" s="33">
        <v>785</v>
      </c>
      <c r="K2105" t="b">
        <f>QHPSelections2016[[#This Row],[County Name]]=P2105</f>
        <v>1</v>
      </c>
      <c r="L2105" t="b">
        <f>QHPSelections2016[[#This Row],[Silver]]=S2105</f>
        <v>1</v>
      </c>
      <c r="N2105">
        <v>48133</v>
      </c>
      <c r="O2105" t="s">
        <v>1574</v>
      </c>
      <c r="P2105" t="s">
        <v>1176</v>
      </c>
      <c r="R2105">
        <v>37</v>
      </c>
      <c r="S2105">
        <v>494</v>
      </c>
      <c r="T2105">
        <v>247</v>
      </c>
      <c r="V2105">
        <v>785</v>
      </c>
    </row>
    <row r="2106" spans="1:22">
      <c r="A2106" s="32" t="s">
        <v>4509</v>
      </c>
      <c r="B2106" s="32" t="s">
        <v>1574</v>
      </c>
      <c r="C2106" s="32" t="s">
        <v>1179</v>
      </c>
      <c r="D2106" s="33">
        <v>0</v>
      </c>
      <c r="E2106" s="33">
        <v>322</v>
      </c>
      <c r="F2106" s="33">
        <v>3181</v>
      </c>
      <c r="G2106" s="33">
        <v>1201</v>
      </c>
      <c r="H2106" s="33">
        <v>56</v>
      </c>
      <c r="I2106" s="33">
        <v>4760</v>
      </c>
      <c r="K2106" t="b">
        <f>QHPSelections2016[[#This Row],[County Name]]=P2106</f>
        <v>1</v>
      </c>
      <c r="L2106" t="b">
        <f>QHPSelections2016[[#This Row],[Silver]]=S2106</f>
        <v>1</v>
      </c>
      <c r="N2106">
        <v>48135</v>
      </c>
      <c r="O2106" t="s">
        <v>1574</v>
      </c>
      <c r="P2106" t="s">
        <v>1179</v>
      </c>
      <c r="Q2106">
        <v>0</v>
      </c>
      <c r="R2106">
        <v>322</v>
      </c>
      <c r="S2106" s="51">
        <v>3181</v>
      </c>
      <c r="T2106" s="51">
        <v>1201</v>
      </c>
      <c r="U2106">
        <v>56</v>
      </c>
      <c r="V2106" s="51">
        <v>4760</v>
      </c>
    </row>
    <row r="2107" spans="1:22">
      <c r="A2107" s="32" t="s">
        <v>4510</v>
      </c>
      <c r="B2107" s="32" t="s">
        <v>1574</v>
      </c>
      <c r="C2107" s="32" t="s">
        <v>1184</v>
      </c>
      <c r="D2107" s="33" t="s">
        <v>1639</v>
      </c>
      <c r="E2107" s="33" t="s">
        <v>1639</v>
      </c>
      <c r="F2107" s="33">
        <v>69</v>
      </c>
      <c r="G2107" s="33">
        <v>27</v>
      </c>
      <c r="H2107" s="33">
        <v>0</v>
      </c>
      <c r="I2107" s="33">
        <v>99</v>
      </c>
      <c r="K2107" t="b">
        <f>QHPSelections2016[[#This Row],[County Name]]=P2107</f>
        <v>1</v>
      </c>
      <c r="L2107" t="b">
        <f>QHPSelections2016[[#This Row],[Silver]]=S2107</f>
        <v>1</v>
      </c>
      <c r="N2107">
        <v>48137</v>
      </c>
      <c r="O2107" t="s">
        <v>1574</v>
      </c>
      <c r="P2107" t="s">
        <v>1184</v>
      </c>
      <c r="S2107">
        <v>69</v>
      </c>
      <c r="T2107">
        <v>27</v>
      </c>
      <c r="U2107">
        <v>0</v>
      </c>
      <c r="V2107">
        <v>99</v>
      </c>
    </row>
    <row r="2108" spans="1:22">
      <c r="A2108" s="32" t="s">
        <v>4511</v>
      </c>
      <c r="B2108" s="32" t="s">
        <v>1574</v>
      </c>
      <c r="C2108" s="32" t="s">
        <v>1187</v>
      </c>
      <c r="D2108" s="33">
        <v>0</v>
      </c>
      <c r="E2108" s="33">
        <v>373</v>
      </c>
      <c r="F2108" s="33">
        <v>4781</v>
      </c>
      <c r="G2108" s="33">
        <v>2063</v>
      </c>
      <c r="H2108" s="33">
        <v>45</v>
      </c>
      <c r="I2108" s="33">
        <v>7262</v>
      </c>
      <c r="K2108" t="b">
        <f>QHPSelections2016[[#This Row],[County Name]]=P2108</f>
        <v>0</v>
      </c>
      <c r="L2108" t="b">
        <f>QHPSelections2016[[#This Row],[Silver]]=S2108</f>
        <v>0</v>
      </c>
      <c r="N2108">
        <v>48141</v>
      </c>
      <c r="O2108" t="s">
        <v>1574</v>
      </c>
      <c r="P2108" t="s">
        <v>1191</v>
      </c>
      <c r="Q2108">
        <v>0</v>
      </c>
      <c r="R2108" s="51">
        <v>1346</v>
      </c>
      <c r="S2108" s="51">
        <v>39279</v>
      </c>
      <c r="T2108" s="51">
        <v>21887</v>
      </c>
      <c r="U2108">
        <v>410</v>
      </c>
      <c r="V2108" s="51">
        <v>62922</v>
      </c>
    </row>
    <row r="2109" spans="1:22">
      <c r="A2109" s="32" t="s">
        <v>4512</v>
      </c>
      <c r="B2109" s="32" t="s">
        <v>1574</v>
      </c>
      <c r="C2109" s="32" t="s">
        <v>1191</v>
      </c>
      <c r="D2109" s="33">
        <v>0</v>
      </c>
      <c r="E2109" s="33">
        <v>1346</v>
      </c>
      <c r="F2109" s="33">
        <v>39279</v>
      </c>
      <c r="G2109" s="33">
        <v>21887</v>
      </c>
      <c r="H2109" s="33">
        <v>410</v>
      </c>
      <c r="I2109" s="33">
        <v>62922</v>
      </c>
      <c r="K2109" t="b">
        <f>QHPSelections2016[[#This Row],[County Name]]=P2109</f>
        <v>0</v>
      </c>
      <c r="L2109" t="b">
        <f>QHPSelections2016[[#This Row],[Silver]]=S2109</f>
        <v>0</v>
      </c>
      <c r="N2109">
        <v>48139</v>
      </c>
      <c r="O2109" t="s">
        <v>1574</v>
      </c>
      <c r="P2109" t="s">
        <v>1187</v>
      </c>
      <c r="Q2109">
        <v>0</v>
      </c>
      <c r="R2109">
        <v>373</v>
      </c>
      <c r="S2109" s="51">
        <v>4781</v>
      </c>
      <c r="T2109" s="51">
        <v>2063</v>
      </c>
      <c r="U2109">
        <v>45</v>
      </c>
      <c r="V2109" s="51">
        <v>7262</v>
      </c>
    </row>
    <row r="2110" spans="1:22">
      <c r="A2110" s="32" t="s">
        <v>4513</v>
      </c>
      <c r="B2110" s="32" t="s">
        <v>1574</v>
      </c>
      <c r="C2110" s="32" t="s">
        <v>1196</v>
      </c>
      <c r="D2110" s="33">
        <v>0</v>
      </c>
      <c r="E2110" s="33">
        <v>98</v>
      </c>
      <c r="F2110" s="33">
        <v>999</v>
      </c>
      <c r="G2110" s="33">
        <v>487</v>
      </c>
      <c r="H2110" s="33">
        <v>13</v>
      </c>
      <c r="I2110" s="33">
        <v>1597</v>
      </c>
      <c r="K2110" t="b">
        <f>QHPSelections2016[[#This Row],[County Name]]=P2110</f>
        <v>1</v>
      </c>
      <c r="L2110" t="b">
        <f>QHPSelections2016[[#This Row],[Silver]]=S2110</f>
        <v>1</v>
      </c>
      <c r="N2110">
        <v>48143</v>
      </c>
      <c r="O2110" t="s">
        <v>1574</v>
      </c>
      <c r="P2110" t="s">
        <v>1196</v>
      </c>
      <c r="Q2110">
        <v>0</v>
      </c>
      <c r="R2110">
        <v>98</v>
      </c>
      <c r="S2110">
        <v>999</v>
      </c>
      <c r="T2110">
        <v>487</v>
      </c>
      <c r="U2110">
        <v>13</v>
      </c>
      <c r="V2110" s="51">
        <v>1597</v>
      </c>
    </row>
    <row r="2111" spans="1:22">
      <c r="A2111" s="32" t="s">
        <v>4514</v>
      </c>
      <c r="B2111" s="32" t="s">
        <v>1574</v>
      </c>
      <c r="C2111" s="32" t="s">
        <v>1200</v>
      </c>
      <c r="D2111" s="33" t="s">
        <v>1639</v>
      </c>
      <c r="E2111" s="33">
        <v>21</v>
      </c>
      <c r="F2111" s="33">
        <v>431</v>
      </c>
      <c r="G2111" s="33">
        <v>139</v>
      </c>
      <c r="H2111" s="33" t="s">
        <v>1639</v>
      </c>
      <c r="I2111" s="33">
        <v>596</v>
      </c>
      <c r="K2111" t="b">
        <f>QHPSelections2016[[#This Row],[County Name]]=P2111</f>
        <v>1</v>
      </c>
      <c r="L2111" t="b">
        <f>QHPSelections2016[[#This Row],[Silver]]=S2111</f>
        <v>1</v>
      </c>
      <c r="N2111">
        <v>48145</v>
      </c>
      <c r="O2111" t="s">
        <v>1574</v>
      </c>
      <c r="P2111" t="s">
        <v>1200</v>
      </c>
      <c r="R2111">
        <v>21</v>
      </c>
      <c r="S2111">
        <v>431</v>
      </c>
      <c r="T2111">
        <v>139</v>
      </c>
      <c r="V2111">
        <v>596</v>
      </c>
    </row>
    <row r="2112" spans="1:22">
      <c r="A2112" s="32" t="s">
        <v>4515</v>
      </c>
      <c r="B2112" s="32" t="s">
        <v>1574</v>
      </c>
      <c r="C2112" s="32" t="s">
        <v>1111</v>
      </c>
      <c r="D2112" s="33" t="s">
        <v>1639</v>
      </c>
      <c r="E2112" s="33">
        <v>77</v>
      </c>
      <c r="F2112" s="33">
        <v>770</v>
      </c>
      <c r="G2112" s="33">
        <v>260</v>
      </c>
      <c r="H2112" s="33" t="s">
        <v>1639</v>
      </c>
      <c r="I2112" s="33">
        <v>1117</v>
      </c>
      <c r="K2112" t="b">
        <f>QHPSelections2016[[#This Row],[County Name]]=P2112</f>
        <v>1</v>
      </c>
      <c r="L2112" t="b">
        <f>QHPSelections2016[[#This Row],[Silver]]=S2112</f>
        <v>1</v>
      </c>
      <c r="N2112">
        <v>48147</v>
      </c>
      <c r="O2112" t="s">
        <v>1574</v>
      </c>
      <c r="P2112" t="s">
        <v>1111</v>
      </c>
      <c r="R2112">
        <v>77</v>
      </c>
      <c r="S2112">
        <v>770</v>
      </c>
      <c r="T2112">
        <v>260</v>
      </c>
      <c r="V2112" s="51">
        <v>1117</v>
      </c>
    </row>
    <row r="2113" spans="1:22">
      <c r="A2113" s="32" t="s">
        <v>4516</v>
      </c>
      <c r="B2113" s="32" t="s">
        <v>1574</v>
      </c>
      <c r="C2113" s="32" t="s">
        <v>958</v>
      </c>
      <c r="D2113" s="33" t="s">
        <v>1639</v>
      </c>
      <c r="E2113" s="33">
        <v>82</v>
      </c>
      <c r="F2113" s="33">
        <v>644</v>
      </c>
      <c r="G2113" s="33">
        <v>330</v>
      </c>
      <c r="H2113" s="33" t="s">
        <v>1639</v>
      </c>
      <c r="I2113" s="33">
        <v>1063</v>
      </c>
      <c r="K2113" t="b">
        <f>QHPSelections2016[[#This Row],[County Name]]=P2113</f>
        <v>1</v>
      </c>
      <c r="L2113" t="b">
        <f>QHPSelections2016[[#This Row],[Silver]]=S2113</f>
        <v>1</v>
      </c>
      <c r="N2113">
        <v>48149</v>
      </c>
      <c r="O2113" t="s">
        <v>1574</v>
      </c>
      <c r="P2113" t="s">
        <v>958</v>
      </c>
      <c r="R2113">
        <v>82</v>
      </c>
      <c r="S2113">
        <v>644</v>
      </c>
      <c r="T2113">
        <v>330</v>
      </c>
      <c r="V2113" s="51">
        <v>1063</v>
      </c>
    </row>
    <row r="2114" spans="1:22">
      <c r="A2114" s="32" t="s">
        <v>4517</v>
      </c>
      <c r="B2114" s="32" t="s">
        <v>1574</v>
      </c>
      <c r="C2114" s="32" t="s">
        <v>1207</v>
      </c>
      <c r="D2114" s="33">
        <v>0</v>
      </c>
      <c r="E2114" s="33" t="s">
        <v>1639</v>
      </c>
      <c r="F2114" s="33">
        <v>92</v>
      </c>
      <c r="G2114" s="33">
        <v>41</v>
      </c>
      <c r="H2114" s="33" t="s">
        <v>1639</v>
      </c>
      <c r="I2114" s="33">
        <v>140</v>
      </c>
      <c r="K2114" t="b">
        <f>QHPSelections2016[[#This Row],[County Name]]=P2114</f>
        <v>1</v>
      </c>
      <c r="L2114" t="b">
        <f>QHPSelections2016[[#This Row],[Silver]]=S2114</f>
        <v>1</v>
      </c>
      <c r="N2114">
        <v>48151</v>
      </c>
      <c r="O2114" t="s">
        <v>1574</v>
      </c>
      <c r="P2114" t="s">
        <v>1207</v>
      </c>
      <c r="Q2114">
        <v>0</v>
      </c>
      <c r="S2114">
        <v>92</v>
      </c>
      <c r="T2114">
        <v>41</v>
      </c>
      <c r="V2114">
        <v>140</v>
      </c>
    </row>
    <row r="2115" spans="1:22">
      <c r="A2115" s="32" t="s">
        <v>4518</v>
      </c>
      <c r="B2115" s="32" t="s">
        <v>1574</v>
      </c>
      <c r="C2115" s="32" t="s">
        <v>1121</v>
      </c>
      <c r="D2115" s="33">
        <v>0</v>
      </c>
      <c r="E2115" s="33" t="s">
        <v>1639</v>
      </c>
      <c r="F2115" s="33">
        <v>159</v>
      </c>
      <c r="G2115" s="33">
        <v>34</v>
      </c>
      <c r="H2115" s="33" t="s">
        <v>1639</v>
      </c>
      <c r="I2115" s="33">
        <v>200</v>
      </c>
      <c r="K2115" t="b">
        <f>QHPSelections2016[[#This Row],[County Name]]=P2115</f>
        <v>1</v>
      </c>
      <c r="L2115" t="b">
        <f>QHPSelections2016[[#This Row],[Silver]]=S2115</f>
        <v>1</v>
      </c>
      <c r="N2115">
        <v>48153</v>
      </c>
      <c r="O2115" t="s">
        <v>1574</v>
      </c>
      <c r="P2115" t="s">
        <v>1121</v>
      </c>
      <c r="Q2115">
        <v>0</v>
      </c>
      <c r="S2115">
        <v>159</v>
      </c>
      <c r="T2115">
        <v>34</v>
      </c>
      <c r="V2115">
        <v>200</v>
      </c>
    </row>
    <row r="2116" spans="1:22">
      <c r="A2116" s="32" t="s">
        <v>4519</v>
      </c>
      <c r="B2116" s="32" t="s">
        <v>1574</v>
      </c>
      <c r="C2116" s="32" t="s">
        <v>1215</v>
      </c>
      <c r="D2116" s="33">
        <v>0</v>
      </c>
      <c r="E2116" s="33" t="s">
        <v>1639</v>
      </c>
      <c r="F2116" s="33">
        <v>29</v>
      </c>
      <c r="G2116" s="33" t="s">
        <v>1639</v>
      </c>
      <c r="H2116" s="33">
        <v>0</v>
      </c>
      <c r="I2116" s="33">
        <v>42</v>
      </c>
      <c r="K2116" t="b">
        <f>QHPSelections2016[[#This Row],[County Name]]=P2116</f>
        <v>1</v>
      </c>
      <c r="L2116" t="b">
        <f>QHPSelections2016[[#This Row],[Silver]]=S2116</f>
        <v>1</v>
      </c>
      <c r="N2116">
        <v>48155</v>
      </c>
      <c r="O2116" t="s">
        <v>1574</v>
      </c>
      <c r="P2116" t="s">
        <v>1215</v>
      </c>
      <c r="Q2116">
        <v>0</v>
      </c>
      <c r="S2116">
        <v>29</v>
      </c>
      <c r="U2116">
        <v>0</v>
      </c>
      <c r="V2116">
        <v>42</v>
      </c>
    </row>
    <row r="2117" spans="1:22">
      <c r="A2117" s="32" t="s">
        <v>4520</v>
      </c>
      <c r="B2117" s="32" t="s">
        <v>1574</v>
      </c>
      <c r="C2117" s="32" t="s">
        <v>1218</v>
      </c>
      <c r="D2117" s="33">
        <v>198</v>
      </c>
      <c r="E2117" s="33">
        <v>2955</v>
      </c>
      <c r="F2117" s="33">
        <v>31461</v>
      </c>
      <c r="G2117" s="33">
        <v>12671</v>
      </c>
      <c r="H2117" s="33">
        <v>224</v>
      </c>
      <c r="I2117" s="33">
        <v>47509</v>
      </c>
      <c r="K2117" t="b">
        <f>QHPSelections2016[[#This Row],[County Name]]=P2117</f>
        <v>1</v>
      </c>
      <c r="L2117" t="b">
        <f>QHPSelections2016[[#This Row],[Silver]]=S2117</f>
        <v>1</v>
      </c>
      <c r="N2117">
        <v>48157</v>
      </c>
      <c r="O2117" t="s">
        <v>1574</v>
      </c>
      <c r="P2117" t="s">
        <v>1218</v>
      </c>
      <c r="Q2117">
        <v>198</v>
      </c>
      <c r="R2117" s="51">
        <v>2955</v>
      </c>
      <c r="S2117" s="51">
        <v>31461</v>
      </c>
      <c r="T2117" s="51">
        <v>12671</v>
      </c>
      <c r="U2117">
        <v>224</v>
      </c>
      <c r="V2117" s="51">
        <v>47509</v>
      </c>
    </row>
    <row r="2118" spans="1:22">
      <c r="A2118" s="32" t="s">
        <v>4521</v>
      </c>
      <c r="B2118" s="32" t="s">
        <v>1574</v>
      </c>
      <c r="C2118" s="32" t="s">
        <v>919</v>
      </c>
      <c r="D2118" s="33" t="s">
        <v>1639</v>
      </c>
      <c r="E2118" s="33">
        <v>24</v>
      </c>
      <c r="F2118" s="33">
        <v>333</v>
      </c>
      <c r="G2118" s="33">
        <v>129</v>
      </c>
      <c r="H2118" s="33" t="s">
        <v>1639</v>
      </c>
      <c r="I2118" s="33">
        <v>487</v>
      </c>
      <c r="K2118" t="b">
        <f>QHPSelections2016[[#This Row],[County Name]]=P2118</f>
        <v>1</v>
      </c>
      <c r="L2118" t="b">
        <f>QHPSelections2016[[#This Row],[Silver]]=S2118</f>
        <v>1</v>
      </c>
      <c r="N2118">
        <v>48159</v>
      </c>
      <c r="O2118" t="s">
        <v>1574</v>
      </c>
      <c r="P2118" t="s">
        <v>919</v>
      </c>
      <c r="R2118">
        <v>24</v>
      </c>
      <c r="S2118">
        <v>333</v>
      </c>
      <c r="T2118">
        <v>129</v>
      </c>
      <c r="V2118">
        <v>487</v>
      </c>
    </row>
    <row r="2119" spans="1:22">
      <c r="A2119" s="32" t="s">
        <v>4522</v>
      </c>
      <c r="B2119" s="32" t="s">
        <v>1574</v>
      </c>
      <c r="C2119" s="32" t="s">
        <v>1223</v>
      </c>
      <c r="D2119" s="33" t="s">
        <v>1639</v>
      </c>
      <c r="E2119" s="33">
        <v>56</v>
      </c>
      <c r="F2119" s="33">
        <v>424</v>
      </c>
      <c r="G2119" s="33">
        <v>130</v>
      </c>
      <c r="H2119" s="33" t="s">
        <v>1639</v>
      </c>
      <c r="I2119" s="33">
        <v>611</v>
      </c>
      <c r="K2119" t="b">
        <f>QHPSelections2016[[#This Row],[County Name]]=P2119</f>
        <v>1</v>
      </c>
      <c r="L2119" t="b">
        <f>QHPSelections2016[[#This Row],[Silver]]=S2119</f>
        <v>1</v>
      </c>
      <c r="N2119">
        <v>48161</v>
      </c>
      <c r="O2119" t="s">
        <v>1574</v>
      </c>
      <c r="P2119" t="s">
        <v>1223</v>
      </c>
      <c r="R2119">
        <v>56</v>
      </c>
      <c r="S2119">
        <v>424</v>
      </c>
      <c r="T2119">
        <v>130</v>
      </c>
      <c r="V2119">
        <v>611</v>
      </c>
    </row>
    <row r="2120" spans="1:22">
      <c r="A2120" s="32" t="s">
        <v>4523</v>
      </c>
      <c r="B2120" s="32" t="s">
        <v>1574</v>
      </c>
      <c r="C2120" s="32" t="s">
        <v>1228</v>
      </c>
      <c r="D2120" s="33" t="s">
        <v>1639</v>
      </c>
      <c r="E2120" s="33">
        <v>36</v>
      </c>
      <c r="F2120" s="33">
        <v>533</v>
      </c>
      <c r="G2120" s="33">
        <v>168</v>
      </c>
      <c r="H2120" s="33" t="s">
        <v>1639</v>
      </c>
      <c r="I2120" s="33">
        <v>742</v>
      </c>
      <c r="K2120" t="b">
        <f>QHPSelections2016[[#This Row],[County Name]]=P2120</f>
        <v>1</v>
      </c>
      <c r="L2120" t="b">
        <f>QHPSelections2016[[#This Row],[Silver]]=S2120</f>
        <v>1</v>
      </c>
      <c r="N2120">
        <v>48163</v>
      </c>
      <c r="O2120" t="s">
        <v>1574</v>
      </c>
      <c r="P2120" t="s">
        <v>1228</v>
      </c>
      <c r="R2120">
        <v>36</v>
      </c>
      <c r="S2120">
        <v>533</v>
      </c>
      <c r="T2120">
        <v>168</v>
      </c>
      <c r="V2120">
        <v>742</v>
      </c>
    </row>
    <row r="2121" spans="1:22">
      <c r="A2121" s="32" t="s">
        <v>4524</v>
      </c>
      <c r="B2121" s="32" t="s">
        <v>1574</v>
      </c>
      <c r="C2121" s="32" t="s">
        <v>1231</v>
      </c>
      <c r="D2121" s="33" t="s">
        <v>1639</v>
      </c>
      <c r="E2121" s="33">
        <v>23</v>
      </c>
      <c r="F2121" s="33">
        <v>277</v>
      </c>
      <c r="G2121" s="33">
        <v>154</v>
      </c>
      <c r="H2121" s="33" t="s">
        <v>1639</v>
      </c>
      <c r="I2121" s="33">
        <v>459</v>
      </c>
      <c r="K2121" t="b">
        <f>QHPSelections2016[[#This Row],[County Name]]=P2121</f>
        <v>1</v>
      </c>
      <c r="L2121" t="b">
        <f>QHPSelections2016[[#This Row],[Silver]]=S2121</f>
        <v>1</v>
      </c>
      <c r="N2121">
        <v>48165</v>
      </c>
      <c r="O2121" t="s">
        <v>1574</v>
      </c>
      <c r="P2121" t="s">
        <v>1231</v>
      </c>
      <c r="R2121">
        <v>23</v>
      </c>
      <c r="S2121">
        <v>277</v>
      </c>
      <c r="T2121">
        <v>154</v>
      </c>
      <c r="V2121">
        <v>459</v>
      </c>
    </row>
    <row r="2122" spans="1:22">
      <c r="A2122" s="32" t="s">
        <v>4525</v>
      </c>
      <c r="B2122" s="32" t="s">
        <v>1574</v>
      </c>
      <c r="C2122" s="32" t="s">
        <v>1234</v>
      </c>
      <c r="D2122" s="33">
        <v>0</v>
      </c>
      <c r="E2122" s="33">
        <v>1243</v>
      </c>
      <c r="F2122" s="33">
        <v>9206</v>
      </c>
      <c r="G2122" s="33">
        <v>3562</v>
      </c>
      <c r="H2122" s="33">
        <v>69</v>
      </c>
      <c r="I2122" s="33">
        <v>14080</v>
      </c>
      <c r="K2122" t="b">
        <f>QHPSelections2016[[#This Row],[County Name]]=P2122</f>
        <v>1</v>
      </c>
      <c r="L2122" t="b">
        <f>QHPSelections2016[[#This Row],[Silver]]=S2122</f>
        <v>1</v>
      </c>
      <c r="N2122">
        <v>48167</v>
      </c>
      <c r="O2122" t="s">
        <v>1574</v>
      </c>
      <c r="P2122" t="s">
        <v>1234</v>
      </c>
      <c r="Q2122">
        <v>0</v>
      </c>
      <c r="R2122" s="51">
        <v>1243</v>
      </c>
      <c r="S2122" s="51">
        <v>9206</v>
      </c>
      <c r="T2122" s="51">
        <v>3562</v>
      </c>
      <c r="U2122">
        <v>69</v>
      </c>
      <c r="V2122" s="51">
        <v>14080</v>
      </c>
    </row>
    <row r="2123" spans="1:22">
      <c r="A2123" s="32" t="s">
        <v>4526</v>
      </c>
      <c r="B2123" s="32" t="s">
        <v>1574</v>
      </c>
      <c r="C2123" s="32" t="s">
        <v>1237</v>
      </c>
      <c r="D2123" s="33">
        <v>0</v>
      </c>
      <c r="E2123" s="33" t="s">
        <v>1639</v>
      </c>
      <c r="F2123" s="33">
        <v>117</v>
      </c>
      <c r="G2123" s="33">
        <v>37</v>
      </c>
      <c r="H2123" s="33" t="s">
        <v>1639</v>
      </c>
      <c r="I2123" s="33">
        <v>156</v>
      </c>
      <c r="K2123" t="b">
        <f>QHPSelections2016[[#This Row],[County Name]]=P2123</f>
        <v>1</v>
      </c>
      <c r="L2123" t="b">
        <f>QHPSelections2016[[#This Row],[Silver]]=S2123</f>
        <v>1</v>
      </c>
      <c r="N2123">
        <v>48169</v>
      </c>
      <c r="O2123" t="s">
        <v>1574</v>
      </c>
      <c r="P2123" t="s">
        <v>1237</v>
      </c>
      <c r="Q2123">
        <v>0</v>
      </c>
      <c r="S2123">
        <v>117</v>
      </c>
      <c r="T2123">
        <v>37</v>
      </c>
      <c r="V2123">
        <v>156</v>
      </c>
    </row>
    <row r="2124" spans="1:22">
      <c r="A2124" s="32" t="s">
        <v>4527</v>
      </c>
      <c r="B2124" s="32" t="s">
        <v>1574</v>
      </c>
      <c r="C2124" s="32" t="s">
        <v>1241</v>
      </c>
      <c r="D2124" s="33" t="s">
        <v>1639</v>
      </c>
      <c r="E2124" s="33">
        <v>48</v>
      </c>
      <c r="F2124" s="33">
        <v>842</v>
      </c>
      <c r="G2124" s="33">
        <v>476</v>
      </c>
      <c r="H2124" s="33" t="s">
        <v>1639</v>
      </c>
      <c r="I2124" s="33">
        <v>1374</v>
      </c>
      <c r="K2124" t="b">
        <f>QHPSelections2016[[#This Row],[County Name]]=P2124</f>
        <v>1</v>
      </c>
      <c r="L2124" t="b">
        <f>QHPSelections2016[[#This Row],[Silver]]=S2124</f>
        <v>1</v>
      </c>
      <c r="N2124">
        <v>48171</v>
      </c>
      <c r="O2124" t="s">
        <v>1574</v>
      </c>
      <c r="P2124" t="s">
        <v>1241</v>
      </c>
      <c r="R2124">
        <v>48</v>
      </c>
      <c r="S2124">
        <v>842</v>
      </c>
      <c r="T2124">
        <v>476</v>
      </c>
      <c r="V2124" s="51">
        <v>1374</v>
      </c>
    </row>
    <row r="2125" spans="1:22">
      <c r="A2125" s="32" t="s">
        <v>4528</v>
      </c>
      <c r="B2125" s="32" t="s">
        <v>1574</v>
      </c>
      <c r="C2125" s="32" t="s">
        <v>1244</v>
      </c>
      <c r="D2125" s="33" t="s">
        <v>1639</v>
      </c>
      <c r="E2125" s="33" t="s">
        <v>1639</v>
      </c>
      <c r="F2125" s="33">
        <v>44</v>
      </c>
      <c r="G2125" s="33">
        <v>21</v>
      </c>
      <c r="H2125" s="33">
        <v>0</v>
      </c>
      <c r="I2125" s="33">
        <v>72</v>
      </c>
      <c r="K2125" t="b">
        <f>QHPSelections2016[[#This Row],[County Name]]=P2125</f>
        <v>1</v>
      </c>
      <c r="L2125" t="b">
        <f>QHPSelections2016[[#This Row],[Silver]]=S2125</f>
        <v>1</v>
      </c>
      <c r="N2125">
        <v>48173</v>
      </c>
      <c r="O2125" t="s">
        <v>1574</v>
      </c>
      <c r="P2125" t="s">
        <v>1244</v>
      </c>
      <c r="S2125">
        <v>44</v>
      </c>
      <c r="T2125">
        <v>21</v>
      </c>
      <c r="U2125">
        <v>0</v>
      </c>
      <c r="V2125">
        <v>72</v>
      </c>
    </row>
    <row r="2126" spans="1:22">
      <c r="A2126" s="32" t="s">
        <v>4529</v>
      </c>
      <c r="B2126" s="32" t="s">
        <v>1574</v>
      </c>
      <c r="C2126" s="32" t="s">
        <v>1247</v>
      </c>
      <c r="D2126" s="33" t="s">
        <v>1639</v>
      </c>
      <c r="E2126" s="33">
        <v>12</v>
      </c>
      <c r="F2126" s="33">
        <v>195</v>
      </c>
      <c r="G2126" s="33">
        <v>82</v>
      </c>
      <c r="H2126" s="33" t="s">
        <v>1639</v>
      </c>
      <c r="I2126" s="33">
        <v>291</v>
      </c>
      <c r="K2126" t="b">
        <f>QHPSelections2016[[#This Row],[County Name]]=P2126</f>
        <v>1</v>
      </c>
      <c r="L2126" t="b">
        <f>QHPSelections2016[[#This Row],[Silver]]=S2126</f>
        <v>1</v>
      </c>
      <c r="N2126">
        <v>48175</v>
      </c>
      <c r="O2126" t="s">
        <v>1574</v>
      </c>
      <c r="P2126" t="s">
        <v>1247</v>
      </c>
      <c r="R2126">
        <v>12</v>
      </c>
      <c r="S2126">
        <v>195</v>
      </c>
      <c r="T2126">
        <v>82</v>
      </c>
      <c r="V2126">
        <v>291</v>
      </c>
    </row>
    <row r="2127" spans="1:22">
      <c r="A2127" s="32" t="s">
        <v>4530</v>
      </c>
      <c r="B2127" s="32" t="s">
        <v>1574</v>
      </c>
      <c r="C2127" s="32" t="s">
        <v>1249</v>
      </c>
      <c r="D2127" s="33" t="s">
        <v>1639</v>
      </c>
      <c r="E2127" s="33">
        <v>31</v>
      </c>
      <c r="F2127" s="33">
        <v>454</v>
      </c>
      <c r="G2127" s="33">
        <v>181</v>
      </c>
      <c r="H2127" s="33" t="s">
        <v>1639</v>
      </c>
      <c r="I2127" s="33">
        <v>674</v>
      </c>
      <c r="K2127" t="b">
        <f>QHPSelections2016[[#This Row],[County Name]]=P2127</f>
        <v>1</v>
      </c>
      <c r="L2127" t="b">
        <f>QHPSelections2016[[#This Row],[Silver]]=S2127</f>
        <v>1</v>
      </c>
      <c r="N2127">
        <v>48177</v>
      </c>
      <c r="O2127" t="s">
        <v>1574</v>
      </c>
      <c r="P2127" t="s">
        <v>1249</v>
      </c>
      <c r="R2127">
        <v>31</v>
      </c>
      <c r="S2127">
        <v>454</v>
      </c>
      <c r="T2127">
        <v>181</v>
      </c>
      <c r="V2127">
        <v>674</v>
      </c>
    </row>
    <row r="2128" spans="1:22">
      <c r="A2128" s="32" t="s">
        <v>4531</v>
      </c>
      <c r="B2128" s="32" t="s">
        <v>1574</v>
      </c>
      <c r="C2128" s="32" t="s">
        <v>1250</v>
      </c>
      <c r="D2128" s="33" t="s">
        <v>1639</v>
      </c>
      <c r="E2128" s="33">
        <v>34</v>
      </c>
      <c r="F2128" s="33">
        <v>413</v>
      </c>
      <c r="G2128" s="33">
        <v>151</v>
      </c>
      <c r="H2128" s="33" t="s">
        <v>1639</v>
      </c>
      <c r="I2128" s="33">
        <v>607</v>
      </c>
      <c r="K2128" t="b">
        <f>QHPSelections2016[[#This Row],[County Name]]=P2128</f>
        <v>1</v>
      </c>
      <c r="L2128" t="b">
        <f>QHPSelections2016[[#This Row],[Silver]]=S2128</f>
        <v>1</v>
      </c>
      <c r="N2128">
        <v>48179</v>
      </c>
      <c r="O2128" t="s">
        <v>1574</v>
      </c>
      <c r="P2128" t="s">
        <v>1250</v>
      </c>
      <c r="R2128">
        <v>34</v>
      </c>
      <c r="S2128">
        <v>413</v>
      </c>
      <c r="T2128">
        <v>151</v>
      </c>
      <c r="V2128">
        <v>607</v>
      </c>
    </row>
    <row r="2129" spans="1:22">
      <c r="A2129" s="32" t="s">
        <v>4532</v>
      </c>
      <c r="B2129" s="32" t="s">
        <v>1574</v>
      </c>
      <c r="C2129" s="32" t="s">
        <v>1253</v>
      </c>
      <c r="D2129" s="33">
        <v>0</v>
      </c>
      <c r="E2129" s="33">
        <v>253</v>
      </c>
      <c r="F2129" s="33">
        <v>2910</v>
      </c>
      <c r="G2129" s="33">
        <v>1177</v>
      </c>
      <c r="H2129" s="33">
        <v>26</v>
      </c>
      <c r="I2129" s="33">
        <v>4366</v>
      </c>
      <c r="K2129" t="b">
        <f>QHPSelections2016[[#This Row],[County Name]]=P2129</f>
        <v>1</v>
      </c>
      <c r="L2129" t="b">
        <f>QHPSelections2016[[#This Row],[Silver]]=S2129</f>
        <v>1</v>
      </c>
      <c r="N2129">
        <v>48181</v>
      </c>
      <c r="O2129" t="s">
        <v>1574</v>
      </c>
      <c r="P2129" t="s">
        <v>1253</v>
      </c>
      <c r="Q2129">
        <v>0</v>
      </c>
      <c r="R2129">
        <v>253</v>
      </c>
      <c r="S2129" s="51">
        <v>2910</v>
      </c>
      <c r="T2129" s="51">
        <v>1177</v>
      </c>
      <c r="U2129">
        <v>26</v>
      </c>
      <c r="V2129" s="51">
        <v>4366</v>
      </c>
    </row>
    <row r="2130" spans="1:22">
      <c r="A2130" s="32" t="s">
        <v>4533</v>
      </c>
      <c r="B2130" s="32" t="s">
        <v>1574</v>
      </c>
      <c r="C2130" s="32" t="s">
        <v>1256</v>
      </c>
      <c r="D2130" s="33">
        <v>0</v>
      </c>
      <c r="E2130" s="33">
        <v>324</v>
      </c>
      <c r="F2130" s="33">
        <v>3284</v>
      </c>
      <c r="G2130" s="33">
        <v>1222</v>
      </c>
      <c r="H2130" s="33">
        <v>62</v>
      </c>
      <c r="I2130" s="33">
        <v>4892</v>
      </c>
      <c r="K2130" t="b">
        <f>QHPSelections2016[[#This Row],[County Name]]=P2130</f>
        <v>1</v>
      </c>
      <c r="L2130" t="b">
        <f>QHPSelections2016[[#This Row],[Silver]]=S2130</f>
        <v>1</v>
      </c>
      <c r="N2130">
        <v>48183</v>
      </c>
      <c r="O2130" t="s">
        <v>1574</v>
      </c>
      <c r="P2130" t="s">
        <v>1256</v>
      </c>
      <c r="Q2130">
        <v>0</v>
      </c>
      <c r="R2130">
        <v>324</v>
      </c>
      <c r="S2130" s="51">
        <v>3284</v>
      </c>
      <c r="T2130" s="51">
        <v>1222</v>
      </c>
      <c r="U2130">
        <v>62</v>
      </c>
      <c r="V2130" s="51">
        <v>4892</v>
      </c>
    </row>
    <row r="2131" spans="1:22">
      <c r="A2131" s="32" t="s">
        <v>4534</v>
      </c>
      <c r="B2131" s="32" t="s">
        <v>1574</v>
      </c>
      <c r="C2131" s="32" t="s">
        <v>1259</v>
      </c>
      <c r="D2131" s="33" t="s">
        <v>1639</v>
      </c>
      <c r="E2131" s="33">
        <v>55</v>
      </c>
      <c r="F2131" s="33">
        <v>677</v>
      </c>
      <c r="G2131" s="33">
        <v>199</v>
      </c>
      <c r="H2131" s="33" t="s">
        <v>1639</v>
      </c>
      <c r="I2131" s="33">
        <v>934</v>
      </c>
      <c r="K2131" t="b">
        <f>QHPSelections2016[[#This Row],[County Name]]=P2131</f>
        <v>1</v>
      </c>
      <c r="L2131" t="b">
        <f>QHPSelections2016[[#This Row],[Silver]]=S2131</f>
        <v>1</v>
      </c>
      <c r="N2131">
        <v>48185</v>
      </c>
      <c r="O2131" t="s">
        <v>1574</v>
      </c>
      <c r="P2131" t="s">
        <v>1259</v>
      </c>
      <c r="R2131">
        <v>55</v>
      </c>
      <c r="S2131">
        <v>677</v>
      </c>
      <c r="T2131">
        <v>199</v>
      </c>
      <c r="V2131">
        <v>934</v>
      </c>
    </row>
    <row r="2132" spans="1:22">
      <c r="A2132" s="32" t="s">
        <v>4535</v>
      </c>
      <c r="B2132" s="32" t="s">
        <v>1574</v>
      </c>
      <c r="C2132" s="32" t="s">
        <v>1262</v>
      </c>
      <c r="D2132" s="33">
        <v>0</v>
      </c>
      <c r="E2132" s="33">
        <v>417</v>
      </c>
      <c r="F2132" s="33">
        <v>3089</v>
      </c>
      <c r="G2132" s="33">
        <v>1328</v>
      </c>
      <c r="H2132" s="33">
        <v>22</v>
      </c>
      <c r="I2132" s="33">
        <v>4856</v>
      </c>
      <c r="K2132" t="b">
        <f>QHPSelections2016[[#This Row],[County Name]]=P2132</f>
        <v>1</v>
      </c>
      <c r="L2132" t="b">
        <f>QHPSelections2016[[#This Row],[Silver]]=S2132</f>
        <v>1</v>
      </c>
      <c r="N2132">
        <v>48187</v>
      </c>
      <c r="O2132" t="s">
        <v>1574</v>
      </c>
      <c r="P2132" t="s">
        <v>1262</v>
      </c>
      <c r="Q2132">
        <v>0</v>
      </c>
      <c r="R2132">
        <v>417</v>
      </c>
      <c r="S2132" s="51">
        <v>3089</v>
      </c>
      <c r="T2132" s="51">
        <v>1328</v>
      </c>
      <c r="U2132">
        <v>22</v>
      </c>
      <c r="V2132" s="51">
        <v>4856</v>
      </c>
    </row>
    <row r="2133" spans="1:22">
      <c r="A2133" s="32" t="s">
        <v>4536</v>
      </c>
      <c r="B2133" s="32" t="s">
        <v>1574</v>
      </c>
      <c r="C2133" s="32" t="s">
        <v>998</v>
      </c>
      <c r="D2133" s="33" t="s">
        <v>1639</v>
      </c>
      <c r="E2133" s="33">
        <v>42</v>
      </c>
      <c r="F2133" s="33">
        <v>739</v>
      </c>
      <c r="G2133" s="33">
        <v>246</v>
      </c>
      <c r="H2133" s="33" t="s">
        <v>1639</v>
      </c>
      <c r="I2133" s="33">
        <v>1035</v>
      </c>
      <c r="K2133" t="b">
        <f>QHPSelections2016[[#This Row],[County Name]]=P2133</f>
        <v>1</v>
      </c>
      <c r="L2133" t="b">
        <f>QHPSelections2016[[#This Row],[Silver]]=S2133</f>
        <v>1</v>
      </c>
      <c r="N2133">
        <v>48189</v>
      </c>
      <c r="O2133" t="s">
        <v>1574</v>
      </c>
      <c r="P2133" t="s">
        <v>998</v>
      </c>
      <c r="R2133">
        <v>42</v>
      </c>
      <c r="S2133">
        <v>739</v>
      </c>
      <c r="T2133">
        <v>246</v>
      </c>
      <c r="V2133" s="51">
        <v>1035</v>
      </c>
    </row>
    <row r="2134" spans="1:22">
      <c r="A2134" s="32" t="s">
        <v>4537</v>
      </c>
      <c r="B2134" s="32" t="s">
        <v>1574</v>
      </c>
      <c r="C2134" s="32" t="s">
        <v>1180</v>
      </c>
      <c r="D2134" s="33" t="s">
        <v>1639</v>
      </c>
      <c r="E2134" s="33">
        <v>16</v>
      </c>
      <c r="F2134" s="33">
        <v>72</v>
      </c>
      <c r="G2134" s="33">
        <v>29</v>
      </c>
      <c r="H2134" s="33" t="s">
        <v>1639</v>
      </c>
      <c r="I2134" s="33">
        <v>119</v>
      </c>
      <c r="K2134" t="b">
        <f>QHPSelections2016[[#This Row],[County Name]]=P2134</f>
        <v>1</v>
      </c>
      <c r="L2134" t="b">
        <f>QHPSelections2016[[#This Row],[Silver]]=S2134</f>
        <v>1</v>
      </c>
      <c r="N2134">
        <v>48191</v>
      </c>
      <c r="O2134" t="s">
        <v>1574</v>
      </c>
      <c r="P2134" t="s">
        <v>1180</v>
      </c>
      <c r="R2134">
        <v>16</v>
      </c>
      <c r="S2134">
        <v>72</v>
      </c>
      <c r="T2134">
        <v>29</v>
      </c>
      <c r="V2134">
        <v>119</v>
      </c>
    </row>
    <row r="2135" spans="1:22">
      <c r="A2135" s="32" t="s">
        <v>4538</v>
      </c>
      <c r="B2135" s="32" t="s">
        <v>1574</v>
      </c>
      <c r="C2135" s="32" t="s">
        <v>947</v>
      </c>
      <c r="D2135" s="33">
        <v>0</v>
      </c>
      <c r="E2135" s="33" t="s">
        <v>1639</v>
      </c>
      <c r="F2135" s="33">
        <v>262</v>
      </c>
      <c r="G2135" s="33">
        <v>104</v>
      </c>
      <c r="H2135" s="33" t="s">
        <v>1639</v>
      </c>
      <c r="I2135" s="33">
        <v>373</v>
      </c>
      <c r="K2135" t="b">
        <f>QHPSelections2016[[#This Row],[County Name]]=P2135</f>
        <v>1</v>
      </c>
      <c r="L2135" t="b">
        <f>QHPSelections2016[[#This Row],[Silver]]=S2135</f>
        <v>1</v>
      </c>
      <c r="N2135">
        <v>48193</v>
      </c>
      <c r="O2135" t="s">
        <v>1574</v>
      </c>
      <c r="P2135" t="s">
        <v>947</v>
      </c>
      <c r="Q2135">
        <v>0</v>
      </c>
      <c r="S2135">
        <v>262</v>
      </c>
      <c r="T2135">
        <v>104</v>
      </c>
      <c r="V2135">
        <v>373</v>
      </c>
    </row>
    <row r="2136" spans="1:22">
      <c r="A2136" s="32" t="s">
        <v>4539</v>
      </c>
      <c r="B2136" s="32" t="s">
        <v>1574</v>
      </c>
      <c r="C2136" s="32" t="s">
        <v>1267</v>
      </c>
      <c r="D2136" s="33" t="s">
        <v>1639</v>
      </c>
      <c r="E2136" s="33">
        <v>16</v>
      </c>
      <c r="F2136" s="33">
        <v>144</v>
      </c>
      <c r="G2136" s="33">
        <v>47</v>
      </c>
      <c r="H2136" s="33" t="s">
        <v>1639</v>
      </c>
      <c r="I2136" s="33">
        <v>209</v>
      </c>
      <c r="K2136" t="b">
        <f>QHPSelections2016[[#This Row],[County Name]]=P2136</f>
        <v>1</v>
      </c>
      <c r="L2136" t="b">
        <f>QHPSelections2016[[#This Row],[Silver]]=S2136</f>
        <v>1</v>
      </c>
      <c r="N2136">
        <v>48195</v>
      </c>
      <c r="O2136" t="s">
        <v>1574</v>
      </c>
      <c r="P2136" t="s">
        <v>1267</v>
      </c>
      <c r="R2136">
        <v>16</v>
      </c>
      <c r="S2136">
        <v>144</v>
      </c>
      <c r="T2136">
        <v>47</v>
      </c>
      <c r="V2136">
        <v>209</v>
      </c>
    </row>
    <row r="2137" spans="1:22">
      <c r="A2137" s="32" t="s">
        <v>4540</v>
      </c>
      <c r="B2137" s="32" t="s">
        <v>1574</v>
      </c>
      <c r="C2137" s="32" t="s">
        <v>1013</v>
      </c>
      <c r="D2137" s="33" t="s">
        <v>1639</v>
      </c>
      <c r="E2137" s="33">
        <v>11</v>
      </c>
      <c r="F2137" s="33">
        <v>94</v>
      </c>
      <c r="G2137" s="33">
        <v>44</v>
      </c>
      <c r="H2137" s="33" t="s">
        <v>1639</v>
      </c>
      <c r="I2137" s="33">
        <v>152</v>
      </c>
      <c r="K2137" t="b">
        <f>QHPSelections2016[[#This Row],[County Name]]=P2137</f>
        <v>1</v>
      </c>
      <c r="L2137" t="b">
        <f>QHPSelections2016[[#This Row],[Silver]]=S2137</f>
        <v>1</v>
      </c>
      <c r="N2137">
        <v>48197</v>
      </c>
      <c r="O2137" t="s">
        <v>1574</v>
      </c>
      <c r="P2137" t="s">
        <v>1013</v>
      </c>
      <c r="R2137">
        <v>11</v>
      </c>
      <c r="S2137">
        <v>94</v>
      </c>
      <c r="T2137">
        <v>44</v>
      </c>
      <c r="V2137">
        <v>152</v>
      </c>
    </row>
    <row r="2138" spans="1:22">
      <c r="A2138" s="32" t="s">
        <v>4541</v>
      </c>
      <c r="B2138" s="32" t="s">
        <v>1574</v>
      </c>
      <c r="C2138" s="32" t="s">
        <v>1017</v>
      </c>
      <c r="D2138" s="33" t="s">
        <v>1639</v>
      </c>
      <c r="E2138" s="33">
        <v>130</v>
      </c>
      <c r="F2138" s="33">
        <v>1059</v>
      </c>
      <c r="G2138" s="33">
        <v>582</v>
      </c>
      <c r="H2138" s="33" t="s">
        <v>1639</v>
      </c>
      <c r="I2138" s="33">
        <v>1800</v>
      </c>
      <c r="K2138" t="b">
        <f>QHPSelections2016[[#This Row],[County Name]]=P2138</f>
        <v>1</v>
      </c>
      <c r="L2138" t="b">
        <f>QHPSelections2016[[#This Row],[Silver]]=S2138</f>
        <v>1</v>
      </c>
      <c r="N2138">
        <v>48199</v>
      </c>
      <c r="O2138" t="s">
        <v>1574</v>
      </c>
      <c r="P2138" t="s">
        <v>1017</v>
      </c>
      <c r="R2138">
        <v>130</v>
      </c>
      <c r="S2138" s="51">
        <v>1059</v>
      </c>
      <c r="T2138">
        <v>582</v>
      </c>
      <c r="V2138" s="51">
        <v>1800</v>
      </c>
    </row>
    <row r="2139" spans="1:22">
      <c r="A2139" s="32" t="s">
        <v>4542</v>
      </c>
      <c r="B2139" s="32" t="s">
        <v>1574</v>
      </c>
      <c r="C2139" s="32" t="s">
        <v>1192</v>
      </c>
      <c r="D2139" s="33">
        <v>727</v>
      </c>
      <c r="E2139" s="33">
        <v>11708</v>
      </c>
      <c r="F2139" s="33">
        <v>163078</v>
      </c>
      <c r="G2139" s="33">
        <v>62862</v>
      </c>
      <c r="H2139" s="33">
        <v>1281</v>
      </c>
      <c r="I2139" s="33">
        <v>239656</v>
      </c>
      <c r="K2139" t="b">
        <f>QHPSelections2016[[#This Row],[County Name]]=P2139</f>
        <v>1</v>
      </c>
      <c r="L2139" t="b">
        <f>QHPSelections2016[[#This Row],[Silver]]=S2139</f>
        <v>1</v>
      </c>
      <c r="N2139">
        <v>48201</v>
      </c>
      <c r="O2139" t="s">
        <v>1574</v>
      </c>
      <c r="P2139" t="s">
        <v>1192</v>
      </c>
      <c r="Q2139">
        <v>727</v>
      </c>
      <c r="R2139" s="51">
        <v>11708</v>
      </c>
      <c r="S2139" s="51">
        <v>163078</v>
      </c>
      <c r="T2139" s="51">
        <v>62862</v>
      </c>
      <c r="U2139" s="51">
        <v>1281</v>
      </c>
      <c r="V2139" s="51">
        <v>239656</v>
      </c>
    </row>
    <row r="2140" spans="1:22">
      <c r="A2140" s="32" t="s">
        <v>4543</v>
      </c>
      <c r="B2140" s="32" t="s">
        <v>1574</v>
      </c>
      <c r="C2140" s="32" t="s">
        <v>956</v>
      </c>
      <c r="D2140" s="33">
        <v>0</v>
      </c>
      <c r="E2140" s="33">
        <v>133</v>
      </c>
      <c r="F2140" s="33">
        <v>1748</v>
      </c>
      <c r="G2140" s="33">
        <v>553</v>
      </c>
      <c r="H2140" s="33">
        <v>32</v>
      </c>
      <c r="I2140" s="33">
        <v>2466</v>
      </c>
      <c r="K2140" t="b">
        <f>QHPSelections2016[[#This Row],[County Name]]=P2140</f>
        <v>1</v>
      </c>
      <c r="L2140" t="b">
        <f>QHPSelections2016[[#This Row],[Silver]]=S2140</f>
        <v>1</v>
      </c>
      <c r="N2140">
        <v>48203</v>
      </c>
      <c r="O2140" t="s">
        <v>1574</v>
      </c>
      <c r="P2140" t="s">
        <v>956</v>
      </c>
      <c r="Q2140">
        <v>0</v>
      </c>
      <c r="R2140">
        <v>133</v>
      </c>
      <c r="S2140" s="51">
        <v>1748</v>
      </c>
      <c r="T2140">
        <v>553</v>
      </c>
      <c r="U2140">
        <v>32</v>
      </c>
      <c r="V2140" s="51">
        <v>2466</v>
      </c>
    </row>
    <row r="2141" spans="1:22">
      <c r="A2141" s="32" t="s">
        <v>4544</v>
      </c>
      <c r="B2141" s="32" t="s">
        <v>1574</v>
      </c>
      <c r="C2141" s="32" t="s">
        <v>1272</v>
      </c>
      <c r="D2141" s="33" t="s">
        <v>1639</v>
      </c>
      <c r="E2141" s="33">
        <v>11</v>
      </c>
      <c r="F2141" s="33">
        <v>125</v>
      </c>
      <c r="G2141" s="33">
        <v>35</v>
      </c>
      <c r="H2141" s="33" t="s">
        <v>1639</v>
      </c>
      <c r="I2141" s="33">
        <v>172</v>
      </c>
      <c r="K2141" t="b">
        <f>QHPSelections2016[[#This Row],[County Name]]=P2141</f>
        <v>1</v>
      </c>
      <c r="L2141" t="b">
        <f>QHPSelections2016[[#This Row],[Silver]]=S2141</f>
        <v>1</v>
      </c>
      <c r="N2141">
        <v>48205</v>
      </c>
      <c r="O2141" t="s">
        <v>1574</v>
      </c>
      <c r="P2141" t="s">
        <v>1272</v>
      </c>
      <c r="R2141">
        <v>11</v>
      </c>
      <c r="S2141">
        <v>125</v>
      </c>
      <c r="T2141">
        <v>35</v>
      </c>
      <c r="V2141">
        <v>172</v>
      </c>
    </row>
    <row r="2142" spans="1:22">
      <c r="A2142" s="32" t="s">
        <v>4545</v>
      </c>
      <c r="B2142" s="32" t="s">
        <v>1574</v>
      </c>
      <c r="C2142" s="32" t="s">
        <v>1273</v>
      </c>
      <c r="D2142" s="33" t="s">
        <v>1639</v>
      </c>
      <c r="E2142" s="33" t="s">
        <v>1639</v>
      </c>
      <c r="F2142" s="33">
        <v>188</v>
      </c>
      <c r="G2142" s="33">
        <v>96</v>
      </c>
      <c r="H2142" s="33">
        <v>0</v>
      </c>
      <c r="I2142" s="33">
        <v>291</v>
      </c>
      <c r="K2142" t="b">
        <f>QHPSelections2016[[#This Row],[County Name]]=P2142</f>
        <v>1</v>
      </c>
      <c r="L2142" t="b">
        <f>QHPSelections2016[[#This Row],[Silver]]=S2142</f>
        <v>1</v>
      </c>
      <c r="N2142">
        <v>48207</v>
      </c>
      <c r="O2142" t="s">
        <v>1574</v>
      </c>
      <c r="P2142" t="s">
        <v>1273</v>
      </c>
      <c r="S2142">
        <v>188</v>
      </c>
      <c r="T2142">
        <v>96</v>
      </c>
      <c r="U2142">
        <v>0</v>
      </c>
      <c r="V2142">
        <v>291</v>
      </c>
    </row>
    <row r="2143" spans="1:22">
      <c r="A2143" s="32" t="s">
        <v>4546</v>
      </c>
      <c r="B2143" s="32" t="s">
        <v>1574</v>
      </c>
      <c r="C2143" s="32" t="s">
        <v>1275</v>
      </c>
      <c r="D2143" s="33">
        <v>197</v>
      </c>
      <c r="E2143" s="33">
        <v>871</v>
      </c>
      <c r="F2143" s="33">
        <v>6468</v>
      </c>
      <c r="G2143" s="33">
        <v>2267</v>
      </c>
      <c r="H2143" s="33">
        <v>234</v>
      </c>
      <c r="I2143" s="33">
        <v>10037</v>
      </c>
      <c r="K2143" t="b">
        <f>QHPSelections2016[[#This Row],[County Name]]=P2143</f>
        <v>1</v>
      </c>
      <c r="L2143" t="b">
        <f>QHPSelections2016[[#This Row],[Silver]]=S2143</f>
        <v>1</v>
      </c>
      <c r="N2143">
        <v>48209</v>
      </c>
      <c r="O2143" t="s">
        <v>1574</v>
      </c>
      <c r="P2143" t="s">
        <v>1275</v>
      </c>
      <c r="Q2143">
        <v>197</v>
      </c>
      <c r="R2143">
        <v>871</v>
      </c>
      <c r="S2143" s="51">
        <v>6468</v>
      </c>
      <c r="T2143" s="51">
        <v>2267</v>
      </c>
      <c r="U2143">
        <v>234</v>
      </c>
      <c r="V2143" s="51">
        <v>10037</v>
      </c>
    </row>
    <row r="2144" spans="1:22">
      <c r="A2144" s="32" t="s">
        <v>4547</v>
      </c>
      <c r="B2144" s="32" t="s">
        <v>1574</v>
      </c>
      <c r="C2144" s="32" t="s">
        <v>1277</v>
      </c>
      <c r="D2144" s="33" t="s">
        <v>1639</v>
      </c>
      <c r="E2144" s="33">
        <v>16</v>
      </c>
      <c r="F2144" s="33">
        <v>65</v>
      </c>
      <c r="G2144" s="33">
        <v>34</v>
      </c>
      <c r="H2144" s="33" t="s">
        <v>1639</v>
      </c>
      <c r="I2144" s="33">
        <v>116</v>
      </c>
      <c r="K2144" t="b">
        <f>QHPSelections2016[[#This Row],[County Name]]=P2144</f>
        <v>1</v>
      </c>
      <c r="L2144" t="b">
        <f>QHPSelections2016[[#This Row],[Silver]]=S2144</f>
        <v>1</v>
      </c>
      <c r="N2144">
        <v>48211</v>
      </c>
      <c r="O2144" t="s">
        <v>1574</v>
      </c>
      <c r="P2144" t="s">
        <v>1277</v>
      </c>
      <c r="R2144">
        <v>16</v>
      </c>
      <c r="S2144">
        <v>65</v>
      </c>
      <c r="T2144">
        <v>34</v>
      </c>
      <c r="V2144">
        <v>116</v>
      </c>
    </row>
    <row r="2145" spans="1:22">
      <c r="A2145" s="32" t="s">
        <v>4548</v>
      </c>
      <c r="B2145" s="32" t="s">
        <v>1574</v>
      </c>
      <c r="C2145" s="32" t="s">
        <v>1033</v>
      </c>
      <c r="D2145" s="33">
        <v>0</v>
      </c>
      <c r="E2145" s="33">
        <v>166</v>
      </c>
      <c r="F2145" s="33">
        <v>2306</v>
      </c>
      <c r="G2145" s="33">
        <v>917</v>
      </c>
      <c r="H2145" s="33">
        <v>23</v>
      </c>
      <c r="I2145" s="33">
        <v>3412</v>
      </c>
      <c r="K2145" t="b">
        <f>QHPSelections2016[[#This Row],[County Name]]=P2145</f>
        <v>1</v>
      </c>
      <c r="L2145" t="b">
        <f>QHPSelections2016[[#This Row],[Silver]]=S2145</f>
        <v>1</v>
      </c>
      <c r="N2145">
        <v>48213</v>
      </c>
      <c r="O2145" t="s">
        <v>1574</v>
      </c>
      <c r="P2145" t="s">
        <v>1033</v>
      </c>
      <c r="Q2145">
        <v>0</v>
      </c>
      <c r="R2145">
        <v>166</v>
      </c>
      <c r="S2145" s="51">
        <v>2306</v>
      </c>
      <c r="T2145">
        <v>917</v>
      </c>
      <c r="U2145">
        <v>23</v>
      </c>
      <c r="V2145" s="51">
        <v>3412</v>
      </c>
    </row>
    <row r="2146" spans="1:22">
      <c r="A2146" s="32" t="s">
        <v>4549</v>
      </c>
      <c r="B2146" s="32" t="s">
        <v>1574</v>
      </c>
      <c r="C2146" s="32" t="s">
        <v>1279</v>
      </c>
      <c r="D2146" s="33">
        <v>0</v>
      </c>
      <c r="E2146" s="33">
        <v>1480</v>
      </c>
      <c r="F2146" s="33">
        <v>29528</v>
      </c>
      <c r="G2146" s="33">
        <v>6959</v>
      </c>
      <c r="H2146" s="33">
        <v>167</v>
      </c>
      <c r="I2146" s="33">
        <v>38134</v>
      </c>
      <c r="K2146" t="b">
        <f>QHPSelections2016[[#This Row],[County Name]]=P2146</f>
        <v>1</v>
      </c>
      <c r="L2146" t="b">
        <f>QHPSelections2016[[#This Row],[Silver]]=S2146</f>
        <v>1</v>
      </c>
      <c r="N2146">
        <v>48215</v>
      </c>
      <c r="O2146" t="s">
        <v>1574</v>
      </c>
      <c r="P2146" t="s">
        <v>1279</v>
      </c>
      <c r="Q2146">
        <v>0</v>
      </c>
      <c r="R2146" s="51">
        <v>1480</v>
      </c>
      <c r="S2146" s="51">
        <v>29528</v>
      </c>
      <c r="T2146" s="51">
        <v>6959</v>
      </c>
      <c r="U2146">
        <v>167</v>
      </c>
      <c r="V2146" s="51">
        <v>38134</v>
      </c>
    </row>
    <row r="2147" spans="1:22">
      <c r="A2147" s="32" t="s">
        <v>4550</v>
      </c>
      <c r="B2147" s="32" t="s">
        <v>1574</v>
      </c>
      <c r="C2147" s="32" t="s">
        <v>1281</v>
      </c>
      <c r="D2147" s="33">
        <v>0</v>
      </c>
      <c r="E2147" s="33">
        <v>80</v>
      </c>
      <c r="F2147" s="33">
        <v>990</v>
      </c>
      <c r="G2147" s="33">
        <v>332</v>
      </c>
      <c r="H2147" s="33">
        <v>16</v>
      </c>
      <c r="I2147" s="33">
        <v>1418</v>
      </c>
      <c r="K2147" t="b">
        <f>QHPSelections2016[[#This Row],[County Name]]=P2147</f>
        <v>1</v>
      </c>
      <c r="L2147" t="b">
        <f>QHPSelections2016[[#This Row],[Silver]]=S2147</f>
        <v>1</v>
      </c>
      <c r="N2147">
        <v>48217</v>
      </c>
      <c r="O2147" t="s">
        <v>1574</v>
      </c>
      <c r="P2147" t="s">
        <v>1281</v>
      </c>
      <c r="Q2147">
        <v>0</v>
      </c>
      <c r="R2147">
        <v>80</v>
      </c>
      <c r="S2147">
        <v>990</v>
      </c>
      <c r="T2147">
        <v>332</v>
      </c>
      <c r="U2147">
        <v>16</v>
      </c>
      <c r="V2147" s="51">
        <v>1418</v>
      </c>
    </row>
    <row r="2148" spans="1:22">
      <c r="A2148" s="32" t="s">
        <v>4551</v>
      </c>
      <c r="B2148" s="32" t="s">
        <v>1574</v>
      </c>
      <c r="C2148" s="32" t="s">
        <v>1283</v>
      </c>
      <c r="D2148" s="33">
        <v>0</v>
      </c>
      <c r="E2148" s="33">
        <v>48</v>
      </c>
      <c r="F2148" s="33">
        <v>438</v>
      </c>
      <c r="G2148" s="33">
        <v>167</v>
      </c>
      <c r="H2148" s="33">
        <v>13</v>
      </c>
      <c r="I2148" s="33">
        <v>666</v>
      </c>
      <c r="K2148" t="b">
        <f>QHPSelections2016[[#This Row],[County Name]]=P2148</f>
        <v>1</v>
      </c>
      <c r="L2148" t="b">
        <f>QHPSelections2016[[#This Row],[Silver]]=S2148</f>
        <v>1</v>
      </c>
      <c r="N2148">
        <v>48219</v>
      </c>
      <c r="O2148" t="s">
        <v>1574</v>
      </c>
      <c r="P2148" t="s">
        <v>1283</v>
      </c>
      <c r="Q2148">
        <v>0</v>
      </c>
      <c r="R2148">
        <v>48</v>
      </c>
      <c r="S2148">
        <v>438</v>
      </c>
      <c r="T2148">
        <v>167</v>
      </c>
      <c r="U2148">
        <v>13</v>
      </c>
      <c r="V2148">
        <v>666</v>
      </c>
    </row>
    <row r="2149" spans="1:22">
      <c r="A2149" s="32" t="s">
        <v>4552</v>
      </c>
      <c r="B2149" s="32" t="s">
        <v>1574</v>
      </c>
      <c r="C2149" s="32" t="s">
        <v>1285</v>
      </c>
      <c r="D2149" s="33">
        <v>0</v>
      </c>
      <c r="E2149" s="33">
        <v>133</v>
      </c>
      <c r="F2149" s="33">
        <v>1703</v>
      </c>
      <c r="G2149" s="33">
        <v>731</v>
      </c>
      <c r="H2149" s="33">
        <v>16</v>
      </c>
      <c r="I2149" s="33">
        <v>2583</v>
      </c>
      <c r="K2149" t="b">
        <f>QHPSelections2016[[#This Row],[County Name]]=P2149</f>
        <v>1</v>
      </c>
      <c r="L2149" t="b">
        <f>QHPSelections2016[[#This Row],[Silver]]=S2149</f>
        <v>1</v>
      </c>
      <c r="N2149">
        <v>48221</v>
      </c>
      <c r="O2149" t="s">
        <v>1574</v>
      </c>
      <c r="P2149" t="s">
        <v>1285</v>
      </c>
      <c r="Q2149">
        <v>0</v>
      </c>
      <c r="R2149">
        <v>133</v>
      </c>
      <c r="S2149" s="51">
        <v>1703</v>
      </c>
      <c r="T2149">
        <v>731</v>
      </c>
      <c r="U2149">
        <v>16</v>
      </c>
      <c r="V2149" s="51">
        <v>2583</v>
      </c>
    </row>
    <row r="2150" spans="1:22">
      <c r="A2150" s="32" t="s">
        <v>4553</v>
      </c>
      <c r="B2150" s="32" t="s">
        <v>1574</v>
      </c>
      <c r="C2150" s="32" t="s">
        <v>1286</v>
      </c>
      <c r="D2150" s="33" t="s">
        <v>1639</v>
      </c>
      <c r="E2150" s="33">
        <v>47</v>
      </c>
      <c r="F2150" s="33">
        <v>878</v>
      </c>
      <c r="G2150" s="33">
        <v>355</v>
      </c>
      <c r="H2150" s="33" t="s">
        <v>1639</v>
      </c>
      <c r="I2150" s="33">
        <v>1288</v>
      </c>
      <c r="K2150" t="b">
        <f>QHPSelections2016[[#This Row],[County Name]]=P2150</f>
        <v>1</v>
      </c>
      <c r="L2150" t="b">
        <f>QHPSelections2016[[#This Row],[Silver]]=S2150</f>
        <v>1</v>
      </c>
      <c r="N2150">
        <v>48223</v>
      </c>
      <c r="O2150" t="s">
        <v>1574</v>
      </c>
      <c r="P2150" t="s">
        <v>1286</v>
      </c>
      <c r="R2150">
        <v>47</v>
      </c>
      <c r="S2150">
        <v>878</v>
      </c>
      <c r="T2150">
        <v>355</v>
      </c>
      <c r="V2150" s="51">
        <v>1288</v>
      </c>
    </row>
    <row r="2151" spans="1:22">
      <c r="A2151" s="32" t="s">
        <v>4554</v>
      </c>
      <c r="B2151" s="32" t="s">
        <v>1574</v>
      </c>
      <c r="C2151" s="32" t="s">
        <v>1009</v>
      </c>
      <c r="D2151" s="33" t="s">
        <v>1639</v>
      </c>
      <c r="E2151" s="33">
        <v>33</v>
      </c>
      <c r="F2151" s="33">
        <v>413</v>
      </c>
      <c r="G2151" s="33">
        <v>134</v>
      </c>
      <c r="H2151" s="33" t="s">
        <v>1639</v>
      </c>
      <c r="I2151" s="33">
        <v>587</v>
      </c>
      <c r="K2151" t="b">
        <f>QHPSelections2016[[#This Row],[County Name]]=P2151</f>
        <v>1</v>
      </c>
      <c r="L2151" t="b">
        <f>QHPSelections2016[[#This Row],[Silver]]=S2151</f>
        <v>1</v>
      </c>
      <c r="N2151">
        <v>48225</v>
      </c>
      <c r="O2151" t="s">
        <v>1574</v>
      </c>
      <c r="P2151" t="s">
        <v>1009</v>
      </c>
      <c r="R2151">
        <v>33</v>
      </c>
      <c r="S2151">
        <v>413</v>
      </c>
      <c r="T2151">
        <v>134</v>
      </c>
      <c r="V2151">
        <v>587</v>
      </c>
    </row>
    <row r="2152" spans="1:22">
      <c r="A2152" s="32" t="s">
        <v>4555</v>
      </c>
      <c r="B2152" s="32" t="s">
        <v>1574</v>
      </c>
      <c r="C2152" s="32" t="s">
        <v>1288</v>
      </c>
      <c r="D2152" s="33" t="s">
        <v>1639</v>
      </c>
      <c r="E2152" s="33">
        <v>74</v>
      </c>
      <c r="F2152" s="33">
        <v>732</v>
      </c>
      <c r="G2152" s="33">
        <v>282</v>
      </c>
      <c r="H2152" s="33" t="s">
        <v>1639</v>
      </c>
      <c r="I2152" s="33">
        <v>1091</v>
      </c>
      <c r="K2152" t="b">
        <f>QHPSelections2016[[#This Row],[County Name]]=P2152</f>
        <v>1</v>
      </c>
      <c r="L2152" t="b">
        <f>QHPSelections2016[[#This Row],[Silver]]=S2152</f>
        <v>1</v>
      </c>
      <c r="N2152">
        <v>48227</v>
      </c>
      <c r="O2152" t="s">
        <v>1574</v>
      </c>
      <c r="P2152" t="s">
        <v>1288</v>
      </c>
      <c r="R2152">
        <v>74</v>
      </c>
      <c r="S2152">
        <v>732</v>
      </c>
      <c r="T2152">
        <v>282</v>
      </c>
      <c r="V2152" s="51">
        <v>1091</v>
      </c>
    </row>
    <row r="2153" spans="1:22">
      <c r="A2153" s="32" t="s">
        <v>4556</v>
      </c>
      <c r="B2153" s="32" t="s">
        <v>1574</v>
      </c>
      <c r="C2153" s="32" t="s">
        <v>1289</v>
      </c>
      <c r="D2153" s="33" t="s">
        <v>1639</v>
      </c>
      <c r="E2153" s="33" t="s">
        <v>1639</v>
      </c>
      <c r="F2153" s="33">
        <v>203</v>
      </c>
      <c r="G2153" s="33">
        <v>60</v>
      </c>
      <c r="H2153" s="33">
        <v>0</v>
      </c>
      <c r="I2153" s="33">
        <v>271</v>
      </c>
      <c r="K2153" t="b">
        <f>QHPSelections2016[[#This Row],[County Name]]=P2153</f>
        <v>1</v>
      </c>
      <c r="L2153" t="b">
        <f>QHPSelections2016[[#This Row],[Silver]]=S2153</f>
        <v>1</v>
      </c>
      <c r="N2153">
        <v>48229</v>
      </c>
      <c r="O2153" t="s">
        <v>1574</v>
      </c>
      <c r="P2153" t="s">
        <v>1289</v>
      </c>
      <c r="S2153">
        <v>203</v>
      </c>
      <c r="T2153">
        <v>60</v>
      </c>
      <c r="U2153">
        <v>0</v>
      </c>
      <c r="V2153">
        <v>271</v>
      </c>
    </row>
    <row r="2154" spans="1:22">
      <c r="A2154" s="32" t="s">
        <v>4557</v>
      </c>
      <c r="B2154" s="32" t="s">
        <v>1574</v>
      </c>
      <c r="C2154" s="32" t="s">
        <v>1291</v>
      </c>
      <c r="D2154" s="33">
        <v>0</v>
      </c>
      <c r="E2154" s="33">
        <v>210</v>
      </c>
      <c r="F2154" s="33">
        <v>2197</v>
      </c>
      <c r="G2154" s="33">
        <v>1050</v>
      </c>
      <c r="H2154" s="33">
        <v>37</v>
      </c>
      <c r="I2154" s="33">
        <v>3494</v>
      </c>
      <c r="K2154" t="b">
        <f>QHPSelections2016[[#This Row],[County Name]]=P2154</f>
        <v>1</v>
      </c>
      <c r="L2154" t="b">
        <f>QHPSelections2016[[#This Row],[Silver]]=S2154</f>
        <v>1</v>
      </c>
      <c r="N2154">
        <v>48231</v>
      </c>
      <c r="O2154" t="s">
        <v>1574</v>
      </c>
      <c r="P2154" t="s">
        <v>1291</v>
      </c>
      <c r="Q2154">
        <v>0</v>
      </c>
      <c r="R2154">
        <v>210</v>
      </c>
      <c r="S2154" s="51">
        <v>2197</v>
      </c>
      <c r="T2154" s="51">
        <v>1050</v>
      </c>
      <c r="U2154">
        <v>37</v>
      </c>
      <c r="V2154" s="51">
        <v>3494</v>
      </c>
    </row>
    <row r="2155" spans="1:22">
      <c r="A2155" s="32" t="s">
        <v>4558</v>
      </c>
      <c r="B2155" s="32" t="s">
        <v>1574</v>
      </c>
      <c r="C2155" s="32" t="s">
        <v>1292</v>
      </c>
      <c r="D2155" s="33" t="s">
        <v>1639</v>
      </c>
      <c r="E2155" s="33">
        <v>45</v>
      </c>
      <c r="F2155" s="33">
        <v>384</v>
      </c>
      <c r="G2155" s="33">
        <v>124</v>
      </c>
      <c r="H2155" s="33" t="s">
        <v>1639</v>
      </c>
      <c r="I2155" s="33">
        <v>554</v>
      </c>
      <c r="K2155" t="b">
        <f>QHPSelections2016[[#This Row],[County Name]]=P2155</f>
        <v>1</v>
      </c>
      <c r="L2155" t="b">
        <f>QHPSelections2016[[#This Row],[Silver]]=S2155</f>
        <v>1</v>
      </c>
      <c r="N2155">
        <v>48233</v>
      </c>
      <c r="O2155" t="s">
        <v>1574</v>
      </c>
      <c r="P2155" t="s">
        <v>1292</v>
      </c>
      <c r="R2155">
        <v>45</v>
      </c>
      <c r="S2155">
        <v>384</v>
      </c>
      <c r="T2155">
        <v>124</v>
      </c>
      <c r="V2155">
        <v>554</v>
      </c>
    </row>
    <row r="2156" spans="1:22">
      <c r="A2156" s="32" t="s">
        <v>4559</v>
      </c>
      <c r="B2156" s="32" t="s">
        <v>1574</v>
      </c>
      <c r="C2156" s="32" t="s">
        <v>1293</v>
      </c>
      <c r="D2156" s="33" t="s">
        <v>1639</v>
      </c>
      <c r="E2156" s="33" t="s">
        <v>1639</v>
      </c>
      <c r="F2156" s="33">
        <v>42</v>
      </c>
      <c r="G2156" s="33">
        <v>17</v>
      </c>
      <c r="H2156" s="33">
        <v>0</v>
      </c>
      <c r="I2156" s="33">
        <v>65</v>
      </c>
      <c r="K2156" t="b">
        <f>QHPSelections2016[[#This Row],[County Name]]=P2156</f>
        <v>1</v>
      </c>
      <c r="L2156" t="b">
        <f>QHPSelections2016[[#This Row],[Silver]]=S2156</f>
        <v>1</v>
      </c>
      <c r="N2156">
        <v>48235</v>
      </c>
      <c r="O2156" t="s">
        <v>1574</v>
      </c>
      <c r="P2156" t="s">
        <v>1293</v>
      </c>
      <c r="S2156">
        <v>42</v>
      </c>
      <c r="T2156">
        <v>17</v>
      </c>
      <c r="U2156">
        <v>0</v>
      </c>
      <c r="V2156">
        <v>65</v>
      </c>
    </row>
    <row r="2157" spans="1:22">
      <c r="A2157" s="32" t="s">
        <v>4560</v>
      </c>
      <c r="B2157" s="32" t="s">
        <v>1574</v>
      </c>
      <c r="C2157" s="32" t="s">
        <v>1295</v>
      </c>
      <c r="D2157" s="33" t="s">
        <v>1639</v>
      </c>
      <c r="E2157" s="33">
        <v>43</v>
      </c>
      <c r="F2157" s="33">
        <v>199</v>
      </c>
      <c r="G2157" s="33">
        <v>80</v>
      </c>
      <c r="H2157" s="33" t="s">
        <v>1639</v>
      </c>
      <c r="I2157" s="33">
        <v>324</v>
      </c>
      <c r="K2157" t="b">
        <f>QHPSelections2016[[#This Row],[County Name]]=P2157</f>
        <v>1</v>
      </c>
      <c r="L2157" t="b">
        <f>QHPSelections2016[[#This Row],[Silver]]=S2157</f>
        <v>1</v>
      </c>
      <c r="N2157">
        <v>48237</v>
      </c>
      <c r="O2157" t="s">
        <v>1574</v>
      </c>
      <c r="P2157" t="s">
        <v>1295</v>
      </c>
      <c r="R2157">
        <v>43</v>
      </c>
      <c r="S2157">
        <v>199</v>
      </c>
      <c r="T2157">
        <v>80</v>
      </c>
      <c r="V2157">
        <v>324</v>
      </c>
    </row>
    <row r="2158" spans="1:22">
      <c r="A2158" s="32" t="s">
        <v>4561</v>
      </c>
      <c r="B2158" s="32" t="s">
        <v>1574</v>
      </c>
      <c r="C2158" s="32" t="s">
        <v>984</v>
      </c>
      <c r="D2158" s="33">
        <v>0</v>
      </c>
      <c r="E2158" s="33">
        <v>51</v>
      </c>
      <c r="F2158" s="33">
        <v>306</v>
      </c>
      <c r="G2158" s="33">
        <v>94</v>
      </c>
      <c r="H2158" s="33">
        <v>0</v>
      </c>
      <c r="I2158" s="33">
        <v>451</v>
      </c>
      <c r="K2158" t="b">
        <f>QHPSelections2016[[#This Row],[County Name]]=P2158</f>
        <v>1</v>
      </c>
      <c r="L2158" t="b">
        <f>QHPSelections2016[[#This Row],[Silver]]=S2158</f>
        <v>1</v>
      </c>
      <c r="N2158">
        <v>48239</v>
      </c>
      <c r="O2158" t="s">
        <v>1574</v>
      </c>
      <c r="P2158" t="s">
        <v>984</v>
      </c>
      <c r="Q2158">
        <v>0</v>
      </c>
      <c r="R2158">
        <v>51</v>
      </c>
      <c r="S2158">
        <v>306</v>
      </c>
      <c r="T2158">
        <v>94</v>
      </c>
      <c r="U2158">
        <v>0</v>
      </c>
      <c r="V2158">
        <v>451</v>
      </c>
    </row>
    <row r="2159" spans="1:22">
      <c r="A2159" s="32" t="s">
        <v>4562</v>
      </c>
      <c r="B2159" s="32" t="s">
        <v>1574</v>
      </c>
      <c r="C2159" s="32" t="s">
        <v>989</v>
      </c>
      <c r="D2159" s="33" t="s">
        <v>1639</v>
      </c>
      <c r="E2159" s="33">
        <v>63</v>
      </c>
      <c r="F2159" s="33">
        <v>1051</v>
      </c>
      <c r="G2159" s="33">
        <v>439</v>
      </c>
      <c r="H2159" s="33" t="s">
        <v>1639</v>
      </c>
      <c r="I2159" s="33">
        <v>1563</v>
      </c>
      <c r="K2159" t="b">
        <f>QHPSelections2016[[#This Row],[County Name]]=P2159</f>
        <v>1</v>
      </c>
      <c r="L2159" t="b">
        <f>QHPSelections2016[[#This Row],[Silver]]=S2159</f>
        <v>1</v>
      </c>
      <c r="N2159">
        <v>48241</v>
      </c>
      <c r="O2159" t="s">
        <v>1574</v>
      </c>
      <c r="P2159" t="s">
        <v>989</v>
      </c>
      <c r="R2159">
        <v>63</v>
      </c>
      <c r="S2159" s="51">
        <v>1051</v>
      </c>
      <c r="T2159">
        <v>439</v>
      </c>
      <c r="V2159" s="51">
        <v>1563</v>
      </c>
    </row>
    <row r="2160" spans="1:22">
      <c r="A2160" s="32" t="s">
        <v>4563</v>
      </c>
      <c r="B2160" s="32" t="s">
        <v>1574</v>
      </c>
      <c r="C2160" s="32" t="s">
        <v>1219</v>
      </c>
      <c r="D2160" s="33" t="s">
        <v>1639</v>
      </c>
      <c r="E2160" s="33" t="s">
        <v>1639</v>
      </c>
      <c r="F2160" s="33">
        <v>62</v>
      </c>
      <c r="G2160" s="33">
        <v>17</v>
      </c>
      <c r="H2160" s="33">
        <v>0</v>
      </c>
      <c r="I2160" s="33">
        <v>85</v>
      </c>
      <c r="K2160" t="b">
        <f>QHPSelections2016[[#This Row],[County Name]]=P2160</f>
        <v>1</v>
      </c>
      <c r="L2160" t="b">
        <f>QHPSelections2016[[#This Row],[Silver]]=S2160</f>
        <v>1</v>
      </c>
      <c r="N2160">
        <v>48243</v>
      </c>
      <c r="O2160" t="s">
        <v>1574</v>
      </c>
      <c r="P2160" t="s">
        <v>1219</v>
      </c>
      <c r="S2160">
        <v>62</v>
      </c>
      <c r="T2160">
        <v>17</v>
      </c>
      <c r="U2160">
        <v>0</v>
      </c>
      <c r="V2160">
        <v>85</v>
      </c>
    </row>
    <row r="2161" spans="1:22">
      <c r="A2161" s="32" t="s">
        <v>4564</v>
      </c>
      <c r="B2161" s="32" t="s">
        <v>1574</v>
      </c>
      <c r="C2161" s="32" t="s">
        <v>993</v>
      </c>
      <c r="D2161" s="33">
        <v>46</v>
      </c>
      <c r="E2161" s="33">
        <v>289</v>
      </c>
      <c r="F2161" s="33">
        <v>5707</v>
      </c>
      <c r="G2161" s="33">
        <v>2291</v>
      </c>
      <c r="H2161" s="33">
        <v>57</v>
      </c>
      <c r="I2161" s="33">
        <v>8390</v>
      </c>
      <c r="K2161" t="b">
        <f>QHPSelections2016[[#This Row],[County Name]]=P2161</f>
        <v>1</v>
      </c>
      <c r="L2161" t="b">
        <f>QHPSelections2016[[#This Row],[Silver]]=S2161</f>
        <v>1</v>
      </c>
      <c r="N2161">
        <v>48245</v>
      </c>
      <c r="O2161" t="s">
        <v>1574</v>
      </c>
      <c r="P2161" t="s">
        <v>993</v>
      </c>
      <c r="Q2161">
        <v>46</v>
      </c>
      <c r="R2161">
        <v>289</v>
      </c>
      <c r="S2161" s="51">
        <v>5707</v>
      </c>
      <c r="T2161" s="51">
        <v>2291</v>
      </c>
      <c r="U2161">
        <v>57</v>
      </c>
      <c r="V2161" s="51">
        <v>8390</v>
      </c>
    </row>
    <row r="2162" spans="1:22">
      <c r="A2162" s="32" t="s">
        <v>4565</v>
      </c>
      <c r="B2162" s="32" t="s">
        <v>1574</v>
      </c>
      <c r="C2162" s="32" t="s">
        <v>1299</v>
      </c>
      <c r="D2162" s="33">
        <v>0</v>
      </c>
      <c r="E2162" s="33">
        <v>15</v>
      </c>
      <c r="F2162" s="33">
        <v>128</v>
      </c>
      <c r="G2162" s="33">
        <v>28</v>
      </c>
      <c r="H2162" s="33">
        <v>0</v>
      </c>
      <c r="I2162" s="33">
        <v>171</v>
      </c>
      <c r="K2162" t="b">
        <f>QHPSelections2016[[#This Row],[County Name]]=P2162</f>
        <v>1</v>
      </c>
      <c r="L2162" t="b">
        <f>QHPSelections2016[[#This Row],[Silver]]=S2162</f>
        <v>1</v>
      </c>
      <c r="N2162">
        <v>48247</v>
      </c>
      <c r="O2162" t="s">
        <v>1574</v>
      </c>
      <c r="P2162" t="s">
        <v>1299</v>
      </c>
      <c r="Q2162">
        <v>0</v>
      </c>
      <c r="R2162">
        <v>15</v>
      </c>
      <c r="S2162">
        <v>128</v>
      </c>
      <c r="T2162">
        <v>28</v>
      </c>
      <c r="U2162">
        <v>0</v>
      </c>
      <c r="V2162">
        <v>171</v>
      </c>
    </row>
    <row r="2163" spans="1:22">
      <c r="A2163" s="32" t="s">
        <v>4566</v>
      </c>
      <c r="B2163" s="32" t="s">
        <v>1574</v>
      </c>
      <c r="C2163" s="32" t="s">
        <v>1300</v>
      </c>
      <c r="D2163" s="33" t="s">
        <v>1639</v>
      </c>
      <c r="E2163" s="33">
        <v>68</v>
      </c>
      <c r="F2163" s="33">
        <v>1214</v>
      </c>
      <c r="G2163" s="33">
        <v>416</v>
      </c>
      <c r="H2163" s="33" t="s">
        <v>1639</v>
      </c>
      <c r="I2163" s="33">
        <v>1724</v>
      </c>
      <c r="K2163" t="b">
        <f>QHPSelections2016[[#This Row],[County Name]]=P2163</f>
        <v>1</v>
      </c>
      <c r="L2163" t="b">
        <f>QHPSelections2016[[#This Row],[Silver]]=S2163</f>
        <v>1</v>
      </c>
      <c r="N2163">
        <v>48249</v>
      </c>
      <c r="O2163" t="s">
        <v>1574</v>
      </c>
      <c r="P2163" t="s">
        <v>1300</v>
      </c>
      <c r="R2163">
        <v>68</v>
      </c>
      <c r="S2163" s="51">
        <v>1214</v>
      </c>
      <c r="T2163">
        <v>416</v>
      </c>
      <c r="V2163" s="51">
        <v>1724</v>
      </c>
    </row>
    <row r="2164" spans="1:22">
      <c r="A2164" s="32" t="s">
        <v>4567</v>
      </c>
      <c r="B2164" s="32" t="s">
        <v>1574</v>
      </c>
      <c r="C2164" s="32" t="s">
        <v>1064</v>
      </c>
      <c r="D2164" s="33">
        <v>0</v>
      </c>
      <c r="E2164" s="33">
        <v>324</v>
      </c>
      <c r="F2164" s="33">
        <v>4239</v>
      </c>
      <c r="G2164" s="33">
        <v>2160</v>
      </c>
      <c r="H2164" s="33">
        <v>47</v>
      </c>
      <c r="I2164" s="33">
        <v>6770</v>
      </c>
      <c r="K2164" t="b">
        <f>QHPSelections2016[[#This Row],[County Name]]=P2164</f>
        <v>1</v>
      </c>
      <c r="L2164" t="b">
        <f>QHPSelections2016[[#This Row],[Silver]]=S2164</f>
        <v>1</v>
      </c>
      <c r="N2164">
        <v>48251</v>
      </c>
      <c r="O2164" t="s">
        <v>1574</v>
      </c>
      <c r="P2164" t="s">
        <v>1064</v>
      </c>
      <c r="Q2164">
        <v>0</v>
      </c>
      <c r="R2164">
        <v>324</v>
      </c>
      <c r="S2164" s="51">
        <v>4239</v>
      </c>
      <c r="T2164" s="51">
        <v>2160</v>
      </c>
      <c r="U2164">
        <v>47</v>
      </c>
      <c r="V2164" s="51">
        <v>6770</v>
      </c>
    </row>
    <row r="2165" spans="1:22">
      <c r="A2165" s="32" t="s">
        <v>4568</v>
      </c>
      <c r="B2165" s="32" t="s">
        <v>1574</v>
      </c>
      <c r="C2165" s="32" t="s">
        <v>1006</v>
      </c>
      <c r="D2165" s="33" t="s">
        <v>1639</v>
      </c>
      <c r="E2165" s="33">
        <v>31</v>
      </c>
      <c r="F2165" s="33">
        <v>353</v>
      </c>
      <c r="G2165" s="33">
        <v>161</v>
      </c>
      <c r="H2165" s="33" t="s">
        <v>1639</v>
      </c>
      <c r="I2165" s="33">
        <v>548</v>
      </c>
      <c r="K2165" t="b">
        <f>QHPSelections2016[[#This Row],[County Name]]=P2165</f>
        <v>1</v>
      </c>
      <c r="L2165" t="b">
        <f>QHPSelections2016[[#This Row],[Silver]]=S2165</f>
        <v>1</v>
      </c>
      <c r="N2165">
        <v>48253</v>
      </c>
      <c r="O2165" t="s">
        <v>1574</v>
      </c>
      <c r="P2165" t="s">
        <v>1006</v>
      </c>
      <c r="R2165">
        <v>31</v>
      </c>
      <c r="S2165">
        <v>353</v>
      </c>
      <c r="T2165">
        <v>161</v>
      </c>
      <c r="V2165">
        <v>548</v>
      </c>
    </row>
    <row r="2166" spans="1:22">
      <c r="A2166" s="32" t="s">
        <v>4569</v>
      </c>
      <c r="B2166" s="32" t="s">
        <v>1574</v>
      </c>
      <c r="C2166" s="32" t="s">
        <v>1303</v>
      </c>
      <c r="D2166" s="33" t="s">
        <v>1639</v>
      </c>
      <c r="E2166" s="33">
        <v>29</v>
      </c>
      <c r="F2166" s="33">
        <v>269</v>
      </c>
      <c r="G2166" s="33">
        <v>151</v>
      </c>
      <c r="H2166" s="33" t="s">
        <v>1639</v>
      </c>
      <c r="I2166" s="33">
        <v>452</v>
      </c>
      <c r="K2166" t="b">
        <f>QHPSelections2016[[#This Row],[County Name]]=P2166</f>
        <v>1</v>
      </c>
      <c r="L2166" t="b">
        <f>QHPSelections2016[[#This Row],[Silver]]=S2166</f>
        <v>1</v>
      </c>
      <c r="N2166">
        <v>48255</v>
      </c>
      <c r="O2166" t="s">
        <v>1574</v>
      </c>
      <c r="P2166" t="s">
        <v>1303</v>
      </c>
      <c r="R2166">
        <v>29</v>
      </c>
      <c r="S2166">
        <v>269</v>
      </c>
      <c r="T2166">
        <v>151</v>
      </c>
      <c r="V2166">
        <v>452</v>
      </c>
    </row>
    <row r="2167" spans="1:22">
      <c r="A2167" s="32" t="s">
        <v>4570</v>
      </c>
      <c r="B2167" s="32" t="s">
        <v>1574</v>
      </c>
      <c r="C2167" s="32" t="s">
        <v>1304</v>
      </c>
      <c r="D2167" s="33">
        <v>0</v>
      </c>
      <c r="E2167" s="33">
        <v>269</v>
      </c>
      <c r="F2167" s="33">
        <v>3160</v>
      </c>
      <c r="G2167" s="33">
        <v>1309</v>
      </c>
      <c r="H2167" s="33">
        <v>43</v>
      </c>
      <c r="I2167" s="33">
        <v>4781</v>
      </c>
      <c r="K2167" t="b">
        <f>QHPSelections2016[[#This Row],[County Name]]=P2167</f>
        <v>1</v>
      </c>
      <c r="L2167" t="b">
        <f>QHPSelections2016[[#This Row],[Silver]]=S2167</f>
        <v>1</v>
      </c>
      <c r="N2167">
        <v>48257</v>
      </c>
      <c r="O2167" t="s">
        <v>1574</v>
      </c>
      <c r="P2167" t="s">
        <v>1304</v>
      </c>
      <c r="Q2167">
        <v>0</v>
      </c>
      <c r="R2167">
        <v>269</v>
      </c>
      <c r="S2167" s="51">
        <v>3160</v>
      </c>
      <c r="T2167" s="51">
        <v>1309</v>
      </c>
      <c r="U2167">
        <v>43</v>
      </c>
      <c r="V2167" s="51">
        <v>4781</v>
      </c>
    </row>
    <row r="2168" spans="1:22">
      <c r="A2168" s="32" t="s">
        <v>4571</v>
      </c>
      <c r="B2168" s="32" t="s">
        <v>1574</v>
      </c>
      <c r="C2168" s="32" t="s">
        <v>1306</v>
      </c>
      <c r="D2168" s="33" t="s">
        <v>1639</v>
      </c>
      <c r="E2168" s="33">
        <v>103</v>
      </c>
      <c r="F2168" s="33">
        <v>970</v>
      </c>
      <c r="G2168" s="33">
        <v>507</v>
      </c>
      <c r="H2168" s="33" t="s">
        <v>1639</v>
      </c>
      <c r="I2168" s="33">
        <v>1587</v>
      </c>
      <c r="K2168" t="b">
        <f>QHPSelections2016[[#This Row],[County Name]]=P2168</f>
        <v>1</v>
      </c>
      <c r="L2168" t="b">
        <f>QHPSelections2016[[#This Row],[Silver]]=S2168</f>
        <v>1</v>
      </c>
      <c r="N2168">
        <v>48259</v>
      </c>
      <c r="O2168" t="s">
        <v>1574</v>
      </c>
      <c r="P2168" t="s">
        <v>1306</v>
      </c>
      <c r="R2168">
        <v>103</v>
      </c>
      <c r="S2168">
        <v>970</v>
      </c>
      <c r="T2168">
        <v>507</v>
      </c>
      <c r="V2168" s="51">
        <v>1587</v>
      </c>
    </row>
    <row r="2169" spans="1:22">
      <c r="A2169" s="32" t="s">
        <v>4572</v>
      </c>
      <c r="B2169" s="32" t="s">
        <v>1574</v>
      </c>
      <c r="C2169" s="32" t="s">
        <v>1308</v>
      </c>
      <c r="D2169" s="33">
        <v>0</v>
      </c>
      <c r="E2169" s="33">
        <v>0</v>
      </c>
      <c r="F2169" s="33">
        <v>17</v>
      </c>
      <c r="G2169" s="33" t="s">
        <v>1639</v>
      </c>
      <c r="H2169" s="33" t="s">
        <v>1639</v>
      </c>
      <c r="I2169" s="33">
        <v>21</v>
      </c>
      <c r="K2169" t="b">
        <f>QHPSelections2016[[#This Row],[County Name]]=P2169</f>
        <v>1</v>
      </c>
      <c r="L2169" t="b">
        <f>QHPSelections2016[[#This Row],[Silver]]=S2169</f>
        <v>1</v>
      </c>
      <c r="N2169">
        <v>48261</v>
      </c>
      <c r="O2169" t="s">
        <v>1574</v>
      </c>
      <c r="P2169" t="s">
        <v>1308</v>
      </c>
      <c r="Q2169">
        <v>0</v>
      </c>
      <c r="R2169">
        <v>0</v>
      </c>
      <c r="S2169">
        <v>17</v>
      </c>
      <c r="V2169">
        <v>21</v>
      </c>
    </row>
    <row r="2170" spans="1:22">
      <c r="A2170" s="32" t="s">
        <v>4573</v>
      </c>
      <c r="B2170" s="32" t="s">
        <v>1574</v>
      </c>
      <c r="C2170" s="32" t="s">
        <v>1310</v>
      </c>
      <c r="D2170" s="33">
        <v>0</v>
      </c>
      <c r="E2170" s="33" t="s">
        <v>1639</v>
      </c>
      <c r="F2170" s="33">
        <v>20</v>
      </c>
      <c r="G2170" s="33" t="s">
        <v>1639</v>
      </c>
      <c r="H2170" s="33">
        <v>0</v>
      </c>
      <c r="I2170" s="33">
        <v>27</v>
      </c>
      <c r="K2170" t="b">
        <f>QHPSelections2016[[#This Row],[County Name]]=P2170</f>
        <v>1</v>
      </c>
      <c r="L2170" t="b">
        <f>QHPSelections2016[[#This Row],[Silver]]=S2170</f>
        <v>1</v>
      </c>
      <c r="N2170">
        <v>48263</v>
      </c>
      <c r="O2170" t="s">
        <v>1574</v>
      </c>
      <c r="P2170" t="s">
        <v>1310</v>
      </c>
      <c r="Q2170">
        <v>0</v>
      </c>
      <c r="S2170">
        <v>20</v>
      </c>
      <c r="U2170">
        <v>0</v>
      </c>
      <c r="V2170">
        <v>27</v>
      </c>
    </row>
    <row r="2171" spans="1:22">
      <c r="A2171" s="32" t="s">
        <v>4574</v>
      </c>
      <c r="B2171" s="32" t="s">
        <v>1574</v>
      </c>
      <c r="C2171" s="32" t="s">
        <v>1311</v>
      </c>
      <c r="D2171" s="33">
        <v>0</v>
      </c>
      <c r="E2171" s="33">
        <v>151</v>
      </c>
      <c r="F2171" s="33">
        <v>1487</v>
      </c>
      <c r="G2171" s="33">
        <v>655</v>
      </c>
      <c r="H2171" s="33">
        <v>18</v>
      </c>
      <c r="I2171" s="33">
        <v>2311</v>
      </c>
      <c r="K2171" t="b">
        <f>QHPSelections2016[[#This Row],[County Name]]=P2171</f>
        <v>1</v>
      </c>
      <c r="L2171" t="b">
        <f>QHPSelections2016[[#This Row],[Silver]]=S2171</f>
        <v>1</v>
      </c>
      <c r="N2171">
        <v>48265</v>
      </c>
      <c r="O2171" t="s">
        <v>1574</v>
      </c>
      <c r="P2171" t="s">
        <v>1311</v>
      </c>
      <c r="Q2171">
        <v>0</v>
      </c>
      <c r="R2171">
        <v>151</v>
      </c>
      <c r="S2171" s="51">
        <v>1487</v>
      </c>
      <c r="T2171">
        <v>655</v>
      </c>
      <c r="U2171">
        <v>18</v>
      </c>
      <c r="V2171" s="51">
        <v>2311</v>
      </c>
    </row>
    <row r="2172" spans="1:22">
      <c r="A2172" s="32" t="s">
        <v>4575</v>
      </c>
      <c r="B2172" s="32" t="s">
        <v>1574</v>
      </c>
      <c r="C2172" s="32" t="s">
        <v>1313</v>
      </c>
      <c r="D2172" s="33" t="s">
        <v>1639</v>
      </c>
      <c r="E2172" s="33">
        <v>11</v>
      </c>
      <c r="F2172" s="33">
        <v>138</v>
      </c>
      <c r="G2172" s="33">
        <v>74</v>
      </c>
      <c r="H2172" s="33" t="s">
        <v>1639</v>
      </c>
      <c r="I2172" s="33">
        <v>224</v>
      </c>
      <c r="K2172" t="b">
        <f>QHPSelections2016[[#This Row],[County Name]]=P2172</f>
        <v>1</v>
      </c>
      <c r="L2172" t="b">
        <f>QHPSelections2016[[#This Row],[Silver]]=S2172</f>
        <v>1</v>
      </c>
      <c r="N2172">
        <v>48267</v>
      </c>
      <c r="O2172" t="s">
        <v>1574</v>
      </c>
      <c r="P2172" t="s">
        <v>1313</v>
      </c>
      <c r="R2172">
        <v>11</v>
      </c>
      <c r="S2172">
        <v>138</v>
      </c>
      <c r="T2172">
        <v>74</v>
      </c>
      <c r="V2172">
        <v>224</v>
      </c>
    </row>
    <row r="2173" spans="1:22">
      <c r="A2173" s="32" t="s">
        <v>4576</v>
      </c>
      <c r="B2173" s="32" t="s">
        <v>1574</v>
      </c>
      <c r="C2173" s="32" t="s">
        <v>1317</v>
      </c>
      <c r="D2173" s="33" t="s">
        <v>1639</v>
      </c>
      <c r="E2173" s="33" t="s">
        <v>1639</v>
      </c>
      <c r="F2173" s="33">
        <v>77</v>
      </c>
      <c r="G2173" s="33">
        <v>44</v>
      </c>
      <c r="H2173" s="33">
        <v>0</v>
      </c>
      <c r="I2173" s="33">
        <v>123</v>
      </c>
      <c r="K2173" t="b">
        <f>QHPSelections2016[[#This Row],[County Name]]=P2173</f>
        <v>1</v>
      </c>
      <c r="L2173" t="b">
        <f>QHPSelections2016[[#This Row],[Silver]]=S2173</f>
        <v>1</v>
      </c>
      <c r="N2173">
        <v>48271</v>
      </c>
      <c r="O2173" t="s">
        <v>1574</v>
      </c>
      <c r="P2173" t="s">
        <v>1317</v>
      </c>
      <c r="S2173">
        <v>77</v>
      </c>
      <c r="T2173">
        <v>44</v>
      </c>
      <c r="U2173">
        <v>0</v>
      </c>
      <c r="V2173">
        <v>123</v>
      </c>
    </row>
    <row r="2174" spans="1:22">
      <c r="A2174" s="32" t="s">
        <v>4577</v>
      </c>
      <c r="B2174" s="32" t="s">
        <v>1574</v>
      </c>
      <c r="C2174" s="32" t="s">
        <v>1319</v>
      </c>
      <c r="D2174" s="33" t="s">
        <v>1639</v>
      </c>
      <c r="E2174" s="33">
        <v>39</v>
      </c>
      <c r="F2174" s="33">
        <v>666</v>
      </c>
      <c r="G2174" s="33">
        <v>304</v>
      </c>
      <c r="H2174" s="33" t="s">
        <v>1639</v>
      </c>
      <c r="I2174" s="33">
        <v>1031</v>
      </c>
      <c r="K2174" t="b">
        <f>QHPSelections2016[[#This Row],[County Name]]=P2174</f>
        <v>1</v>
      </c>
      <c r="L2174" t="b">
        <f>QHPSelections2016[[#This Row],[Silver]]=S2174</f>
        <v>1</v>
      </c>
      <c r="N2174">
        <v>48273</v>
      </c>
      <c r="O2174" t="s">
        <v>1574</v>
      </c>
      <c r="P2174" t="s">
        <v>1319</v>
      </c>
      <c r="R2174">
        <v>39</v>
      </c>
      <c r="S2174">
        <v>666</v>
      </c>
      <c r="T2174">
        <v>304</v>
      </c>
      <c r="V2174" s="51">
        <v>1031</v>
      </c>
    </row>
    <row r="2175" spans="1:22">
      <c r="A2175" s="32" t="s">
        <v>4578</v>
      </c>
      <c r="B2175" s="32" t="s">
        <v>1574</v>
      </c>
      <c r="C2175" s="32" t="s">
        <v>1070</v>
      </c>
      <c r="D2175" s="33" t="s">
        <v>1639</v>
      </c>
      <c r="E2175" s="33" t="s">
        <v>1639</v>
      </c>
      <c r="F2175" s="33">
        <v>120</v>
      </c>
      <c r="G2175" s="33">
        <v>54</v>
      </c>
      <c r="H2175" s="33">
        <v>0</v>
      </c>
      <c r="I2175" s="33">
        <v>182</v>
      </c>
      <c r="K2175" t="b">
        <f>QHPSelections2016[[#This Row],[County Name]]=P2175</f>
        <v>1</v>
      </c>
      <c r="L2175" t="b">
        <f>QHPSelections2016[[#This Row],[Silver]]=S2175</f>
        <v>1</v>
      </c>
      <c r="N2175">
        <v>48275</v>
      </c>
      <c r="O2175" t="s">
        <v>1574</v>
      </c>
      <c r="P2175" t="s">
        <v>1070</v>
      </c>
      <c r="S2175">
        <v>120</v>
      </c>
      <c r="T2175">
        <v>54</v>
      </c>
      <c r="U2175">
        <v>0</v>
      </c>
      <c r="V2175">
        <v>182</v>
      </c>
    </row>
    <row r="2176" spans="1:22">
      <c r="A2176" s="32" t="s">
        <v>4579</v>
      </c>
      <c r="B2176" s="32" t="s">
        <v>1574</v>
      </c>
      <c r="C2176" s="32" t="s">
        <v>1020</v>
      </c>
      <c r="D2176" s="33">
        <v>0</v>
      </c>
      <c r="E2176" s="33">
        <v>88</v>
      </c>
      <c r="F2176" s="33">
        <v>1024</v>
      </c>
      <c r="G2176" s="33">
        <v>418</v>
      </c>
      <c r="H2176" s="33">
        <v>12</v>
      </c>
      <c r="I2176" s="33">
        <v>1542</v>
      </c>
      <c r="K2176" t="b">
        <f>QHPSelections2016[[#This Row],[County Name]]=P2176</f>
        <v>0</v>
      </c>
      <c r="L2176" t="b">
        <f>QHPSelections2016[[#This Row],[Silver]]=S2176</f>
        <v>0</v>
      </c>
      <c r="N2176">
        <v>48283</v>
      </c>
      <c r="O2176" t="s">
        <v>1574</v>
      </c>
      <c r="P2176" t="s">
        <v>1327</v>
      </c>
      <c r="R2176">
        <v>11</v>
      </c>
      <c r="S2176">
        <v>188</v>
      </c>
      <c r="T2176">
        <v>82</v>
      </c>
      <c r="V2176">
        <v>283</v>
      </c>
    </row>
    <row r="2177" spans="1:22">
      <c r="A2177" s="32" t="s">
        <v>4580</v>
      </c>
      <c r="B2177" s="32" t="s">
        <v>1574</v>
      </c>
      <c r="C2177" s="32" t="s">
        <v>1323</v>
      </c>
      <c r="D2177" s="33" t="s">
        <v>1639</v>
      </c>
      <c r="E2177" s="33">
        <v>29</v>
      </c>
      <c r="F2177" s="33">
        <v>386</v>
      </c>
      <c r="G2177" s="33">
        <v>133</v>
      </c>
      <c r="H2177" s="33" t="s">
        <v>1639</v>
      </c>
      <c r="I2177" s="33">
        <v>553</v>
      </c>
      <c r="K2177" t="b">
        <f>QHPSelections2016[[#This Row],[County Name]]=P2177</f>
        <v>0</v>
      </c>
      <c r="L2177" t="b">
        <f>QHPSelections2016[[#This Row],[Silver]]=S2177</f>
        <v>0</v>
      </c>
      <c r="N2177">
        <v>48277</v>
      </c>
      <c r="O2177" t="s">
        <v>1574</v>
      </c>
      <c r="P2177" t="s">
        <v>1020</v>
      </c>
      <c r="Q2177">
        <v>0</v>
      </c>
      <c r="R2177">
        <v>88</v>
      </c>
      <c r="S2177" s="51">
        <v>1024</v>
      </c>
      <c r="T2177">
        <v>418</v>
      </c>
      <c r="U2177">
        <v>12</v>
      </c>
      <c r="V2177" s="51">
        <v>1542</v>
      </c>
    </row>
    <row r="2178" spans="1:22">
      <c r="A2178" s="32" t="s">
        <v>4581</v>
      </c>
      <c r="B2178" s="32" t="s">
        <v>1574</v>
      </c>
      <c r="C2178" s="32" t="s">
        <v>1325</v>
      </c>
      <c r="D2178" s="33" t="s">
        <v>1639</v>
      </c>
      <c r="E2178" s="33">
        <v>45</v>
      </c>
      <c r="F2178" s="33">
        <v>430</v>
      </c>
      <c r="G2178" s="33">
        <v>172</v>
      </c>
      <c r="H2178" s="33" t="s">
        <v>1639</v>
      </c>
      <c r="I2178" s="33">
        <v>649</v>
      </c>
      <c r="K2178" t="b">
        <f>QHPSelections2016[[#This Row],[County Name]]=P2178</f>
        <v>0</v>
      </c>
      <c r="L2178" t="b">
        <f>QHPSelections2016[[#This Row],[Silver]]=S2178</f>
        <v>0</v>
      </c>
      <c r="N2178">
        <v>48279</v>
      </c>
      <c r="O2178" t="s">
        <v>1574</v>
      </c>
      <c r="P2178" t="s">
        <v>1323</v>
      </c>
      <c r="R2178">
        <v>29</v>
      </c>
      <c r="S2178">
        <v>386</v>
      </c>
      <c r="T2178">
        <v>133</v>
      </c>
      <c r="V2178">
        <v>553</v>
      </c>
    </row>
    <row r="2179" spans="1:22">
      <c r="A2179" s="32" t="s">
        <v>4582</v>
      </c>
      <c r="B2179" s="32" t="s">
        <v>1574</v>
      </c>
      <c r="C2179" s="32" t="s">
        <v>1327</v>
      </c>
      <c r="D2179" s="33" t="s">
        <v>1639</v>
      </c>
      <c r="E2179" s="33">
        <v>11</v>
      </c>
      <c r="F2179" s="33">
        <v>188</v>
      </c>
      <c r="G2179" s="33">
        <v>82</v>
      </c>
      <c r="H2179" s="33" t="s">
        <v>1639</v>
      </c>
      <c r="I2179" s="33">
        <v>283</v>
      </c>
      <c r="K2179" t="b">
        <f>QHPSelections2016[[#This Row],[County Name]]=P2179</f>
        <v>0</v>
      </c>
      <c r="L2179" t="b">
        <f>QHPSelections2016[[#This Row],[Silver]]=S2179</f>
        <v>0</v>
      </c>
      <c r="N2179">
        <v>48281</v>
      </c>
      <c r="O2179" t="s">
        <v>1574</v>
      </c>
      <c r="P2179" t="s">
        <v>1325</v>
      </c>
      <c r="R2179">
        <v>45</v>
      </c>
      <c r="S2179">
        <v>430</v>
      </c>
      <c r="T2179">
        <v>172</v>
      </c>
      <c r="V2179">
        <v>649</v>
      </c>
    </row>
    <row r="2180" spans="1:22">
      <c r="A2180" s="32" t="s">
        <v>4583</v>
      </c>
      <c r="B2180" s="32" t="s">
        <v>1574</v>
      </c>
      <c r="C2180" s="32" t="s">
        <v>1329</v>
      </c>
      <c r="D2180" s="33" t="s">
        <v>1639</v>
      </c>
      <c r="E2180" s="33">
        <v>42</v>
      </c>
      <c r="F2180" s="33">
        <v>439</v>
      </c>
      <c r="G2180" s="33">
        <v>185</v>
      </c>
      <c r="H2180" s="33" t="s">
        <v>1639</v>
      </c>
      <c r="I2180" s="33">
        <v>675</v>
      </c>
      <c r="K2180" t="b">
        <f>QHPSelections2016[[#This Row],[County Name]]=P2180</f>
        <v>1</v>
      </c>
      <c r="L2180" t="b">
        <f>QHPSelections2016[[#This Row],[Silver]]=S2180</f>
        <v>1</v>
      </c>
      <c r="N2180">
        <v>48285</v>
      </c>
      <c r="O2180" t="s">
        <v>1574</v>
      </c>
      <c r="P2180" t="s">
        <v>1329</v>
      </c>
      <c r="R2180">
        <v>42</v>
      </c>
      <c r="S2180">
        <v>439</v>
      </c>
      <c r="T2180">
        <v>185</v>
      </c>
      <c r="V2180">
        <v>675</v>
      </c>
    </row>
    <row r="2181" spans="1:22">
      <c r="A2181" s="32" t="s">
        <v>4584</v>
      </c>
      <c r="B2181" s="32" t="s">
        <v>1574</v>
      </c>
      <c r="C2181" s="32" t="s">
        <v>1010</v>
      </c>
      <c r="D2181" s="33" t="s">
        <v>1639</v>
      </c>
      <c r="E2181" s="33">
        <v>43</v>
      </c>
      <c r="F2181" s="33">
        <v>438</v>
      </c>
      <c r="G2181" s="33">
        <v>177</v>
      </c>
      <c r="H2181" s="33" t="s">
        <v>1639</v>
      </c>
      <c r="I2181" s="33">
        <v>662</v>
      </c>
      <c r="K2181" t="b">
        <f>QHPSelections2016[[#This Row],[County Name]]=P2181</f>
        <v>1</v>
      </c>
      <c r="L2181" t="b">
        <f>QHPSelections2016[[#This Row],[Silver]]=S2181</f>
        <v>1</v>
      </c>
      <c r="N2181">
        <v>48287</v>
      </c>
      <c r="O2181" t="s">
        <v>1574</v>
      </c>
      <c r="P2181" t="s">
        <v>1010</v>
      </c>
      <c r="R2181">
        <v>43</v>
      </c>
      <c r="S2181">
        <v>438</v>
      </c>
      <c r="T2181">
        <v>177</v>
      </c>
      <c r="V2181">
        <v>662</v>
      </c>
    </row>
    <row r="2182" spans="1:22">
      <c r="A2182" s="32" t="s">
        <v>4585</v>
      </c>
      <c r="B2182" s="32" t="s">
        <v>1574</v>
      </c>
      <c r="C2182" s="32" t="s">
        <v>1015</v>
      </c>
      <c r="D2182" s="33" t="s">
        <v>1639</v>
      </c>
      <c r="E2182" s="33">
        <v>33</v>
      </c>
      <c r="F2182" s="33">
        <v>467</v>
      </c>
      <c r="G2182" s="33">
        <v>171</v>
      </c>
      <c r="H2182" s="33" t="s">
        <v>1639</v>
      </c>
      <c r="I2182" s="33">
        <v>675</v>
      </c>
      <c r="K2182" t="b">
        <f>QHPSelections2016[[#This Row],[County Name]]=P2182</f>
        <v>1</v>
      </c>
      <c r="L2182" t="b">
        <f>QHPSelections2016[[#This Row],[Silver]]=S2182</f>
        <v>1</v>
      </c>
      <c r="N2182">
        <v>48289</v>
      </c>
      <c r="O2182" t="s">
        <v>1574</v>
      </c>
      <c r="P2182" t="s">
        <v>1015</v>
      </c>
      <c r="R2182">
        <v>33</v>
      </c>
      <c r="S2182">
        <v>467</v>
      </c>
      <c r="T2182">
        <v>171</v>
      </c>
      <c r="V2182">
        <v>675</v>
      </c>
    </row>
    <row r="2183" spans="1:22">
      <c r="A2183" s="32" t="s">
        <v>4586</v>
      </c>
      <c r="B2183" s="32" t="s">
        <v>1574</v>
      </c>
      <c r="C2183" s="32" t="s">
        <v>1023</v>
      </c>
      <c r="D2183" s="33">
        <v>0</v>
      </c>
      <c r="E2183" s="33">
        <v>143</v>
      </c>
      <c r="F2183" s="33">
        <v>1872</v>
      </c>
      <c r="G2183" s="33">
        <v>766</v>
      </c>
      <c r="H2183" s="33">
        <v>11</v>
      </c>
      <c r="I2183" s="33">
        <v>2792</v>
      </c>
      <c r="K2183" t="b">
        <f>QHPSelections2016[[#This Row],[County Name]]=P2183</f>
        <v>1</v>
      </c>
      <c r="L2183" t="b">
        <f>QHPSelections2016[[#This Row],[Silver]]=S2183</f>
        <v>1</v>
      </c>
      <c r="N2183">
        <v>48291</v>
      </c>
      <c r="O2183" t="s">
        <v>1574</v>
      </c>
      <c r="P2183" t="s">
        <v>1023</v>
      </c>
      <c r="Q2183">
        <v>0</v>
      </c>
      <c r="R2183">
        <v>143</v>
      </c>
      <c r="S2183" s="51">
        <v>1872</v>
      </c>
      <c r="T2183">
        <v>766</v>
      </c>
      <c r="U2183">
        <v>11</v>
      </c>
      <c r="V2183" s="51">
        <v>2792</v>
      </c>
    </row>
    <row r="2184" spans="1:22">
      <c r="A2184" s="32" t="s">
        <v>4587</v>
      </c>
      <c r="B2184" s="32" t="s">
        <v>1574</v>
      </c>
      <c r="C2184" s="32" t="s">
        <v>1043</v>
      </c>
      <c r="D2184" s="33">
        <v>0</v>
      </c>
      <c r="E2184" s="33">
        <v>32</v>
      </c>
      <c r="F2184" s="33">
        <v>531</v>
      </c>
      <c r="G2184" s="33">
        <v>181</v>
      </c>
      <c r="H2184" s="33">
        <v>13</v>
      </c>
      <c r="I2184" s="33">
        <v>757</v>
      </c>
      <c r="K2184" t="b">
        <f>QHPSelections2016[[#This Row],[County Name]]=P2184</f>
        <v>1</v>
      </c>
      <c r="L2184" t="b">
        <f>QHPSelections2016[[#This Row],[Silver]]=S2184</f>
        <v>1</v>
      </c>
      <c r="N2184">
        <v>48293</v>
      </c>
      <c r="O2184" t="s">
        <v>1574</v>
      </c>
      <c r="P2184" t="s">
        <v>1043</v>
      </c>
      <c r="Q2184">
        <v>0</v>
      </c>
      <c r="R2184">
        <v>32</v>
      </c>
      <c r="S2184">
        <v>531</v>
      </c>
      <c r="T2184">
        <v>181</v>
      </c>
      <c r="U2184">
        <v>13</v>
      </c>
      <c r="V2184">
        <v>757</v>
      </c>
    </row>
    <row r="2185" spans="1:22">
      <c r="A2185" s="32" t="s">
        <v>4588</v>
      </c>
      <c r="B2185" s="32" t="s">
        <v>1574</v>
      </c>
      <c r="C2185" s="32" t="s">
        <v>1332</v>
      </c>
      <c r="D2185" s="33" t="s">
        <v>1639</v>
      </c>
      <c r="E2185" s="33" t="s">
        <v>1639</v>
      </c>
      <c r="F2185" s="33">
        <v>67</v>
      </c>
      <c r="G2185" s="33">
        <v>12</v>
      </c>
      <c r="H2185" s="33">
        <v>0</v>
      </c>
      <c r="I2185" s="33">
        <v>82</v>
      </c>
      <c r="K2185" t="b">
        <f>QHPSelections2016[[#This Row],[County Name]]=P2185</f>
        <v>1</v>
      </c>
      <c r="L2185" t="b">
        <f>QHPSelections2016[[#This Row],[Silver]]=S2185</f>
        <v>1</v>
      </c>
      <c r="N2185">
        <v>48295</v>
      </c>
      <c r="O2185" t="s">
        <v>1574</v>
      </c>
      <c r="P2185" t="s">
        <v>1332</v>
      </c>
      <c r="S2185">
        <v>67</v>
      </c>
      <c r="T2185">
        <v>12</v>
      </c>
      <c r="U2185">
        <v>0</v>
      </c>
      <c r="V2185">
        <v>82</v>
      </c>
    </row>
    <row r="2186" spans="1:22">
      <c r="A2186" s="32" t="s">
        <v>4589</v>
      </c>
      <c r="B2186" s="32" t="s">
        <v>1574</v>
      </c>
      <c r="C2186" s="32" t="s">
        <v>1333</v>
      </c>
      <c r="D2186" s="33" t="s">
        <v>1639</v>
      </c>
      <c r="E2186" s="33">
        <v>18</v>
      </c>
      <c r="F2186" s="33">
        <v>271</v>
      </c>
      <c r="G2186" s="33">
        <v>140</v>
      </c>
      <c r="H2186" s="33" t="s">
        <v>1639</v>
      </c>
      <c r="I2186" s="33">
        <v>431</v>
      </c>
      <c r="K2186" t="b">
        <f>QHPSelections2016[[#This Row],[County Name]]=P2186</f>
        <v>1</v>
      </c>
      <c r="L2186" t="b">
        <f>QHPSelections2016[[#This Row],[Silver]]=S2186</f>
        <v>1</v>
      </c>
      <c r="N2186">
        <v>48297</v>
      </c>
      <c r="O2186" t="s">
        <v>1574</v>
      </c>
      <c r="P2186" t="s">
        <v>1333</v>
      </c>
      <c r="R2186">
        <v>18</v>
      </c>
      <c r="S2186">
        <v>271</v>
      </c>
      <c r="T2186">
        <v>140</v>
      </c>
      <c r="V2186">
        <v>431</v>
      </c>
    </row>
    <row r="2187" spans="1:22">
      <c r="A2187" s="32" t="s">
        <v>4590</v>
      </c>
      <c r="B2187" s="32" t="s">
        <v>1574</v>
      </c>
      <c r="C2187" s="32" t="s">
        <v>1334</v>
      </c>
      <c r="D2187" s="33" t="s">
        <v>1639</v>
      </c>
      <c r="E2187" s="33">
        <v>50</v>
      </c>
      <c r="F2187" s="33">
        <v>760</v>
      </c>
      <c r="G2187" s="33">
        <v>232</v>
      </c>
      <c r="H2187" s="33" t="s">
        <v>1639</v>
      </c>
      <c r="I2187" s="33">
        <v>1052</v>
      </c>
      <c r="K2187" t="b">
        <f>QHPSelections2016[[#This Row],[County Name]]=P2187</f>
        <v>1</v>
      </c>
      <c r="L2187" t="b">
        <f>QHPSelections2016[[#This Row],[Silver]]=S2187</f>
        <v>1</v>
      </c>
      <c r="N2187">
        <v>48299</v>
      </c>
      <c r="O2187" t="s">
        <v>1574</v>
      </c>
      <c r="P2187" t="s">
        <v>1334</v>
      </c>
      <c r="R2187">
        <v>50</v>
      </c>
      <c r="S2187">
        <v>760</v>
      </c>
      <c r="T2187">
        <v>232</v>
      </c>
      <c r="V2187" s="51">
        <v>1052</v>
      </c>
    </row>
    <row r="2188" spans="1:22">
      <c r="A2188" s="32" t="s">
        <v>4591</v>
      </c>
      <c r="B2188" s="32" t="s">
        <v>1574</v>
      </c>
      <c r="C2188" s="32" t="s">
        <v>1335</v>
      </c>
      <c r="D2188" s="33" t="s">
        <v>1639</v>
      </c>
      <c r="E2188" s="33" t="s">
        <v>1639</v>
      </c>
      <c r="F2188" s="33" t="s">
        <v>1639</v>
      </c>
      <c r="G2188" s="33">
        <v>0</v>
      </c>
      <c r="H2188" s="33">
        <v>0</v>
      </c>
      <c r="I2188" s="33" t="s">
        <v>1639</v>
      </c>
      <c r="K2188" t="b">
        <f>QHPSelections2016[[#This Row],[County Name]]=P2188</f>
        <v>1</v>
      </c>
      <c r="L2188" t="b">
        <f>QHPSelections2016[[#This Row],[Silver]]=S2188</f>
        <v>0</v>
      </c>
      <c r="N2188">
        <v>48301</v>
      </c>
      <c r="O2188" t="s">
        <v>1574</v>
      </c>
      <c r="P2188" t="s">
        <v>1335</v>
      </c>
      <c r="T2188">
        <v>0</v>
      </c>
      <c r="U2188">
        <v>0</v>
      </c>
    </row>
    <row r="2189" spans="1:22">
      <c r="A2189" s="32" t="s">
        <v>4592</v>
      </c>
      <c r="B2189" s="32" t="s">
        <v>1574</v>
      </c>
      <c r="C2189" s="32" t="s">
        <v>1336</v>
      </c>
      <c r="D2189" s="33">
        <v>0</v>
      </c>
      <c r="E2189" s="33">
        <v>641</v>
      </c>
      <c r="F2189" s="33">
        <v>6117</v>
      </c>
      <c r="G2189" s="33">
        <v>2531</v>
      </c>
      <c r="H2189" s="33">
        <v>106</v>
      </c>
      <c r="I2189" s="33">
        <v>9395</v>
      </c>
      <c r="K2189" t="b">
        <f>QHPSelections2016[[#This Row],[County Name]]=P2189</f>
        <v>1</v>
      </c>
      <c r="L2189" t="b">
        <f>QHPSelections2016[[#This Row],[Silver]]=S2189</f>
        <v>1</v>
      </c>
      <c r="N2189">
        <v>48303</v>
      </c>
      <c r="O2189" t="s">
        <v>1574</v>
      </c>
      <c r="P2189" t="s">
        <v>1336</v>
      </c>
      <c r="Q2189">
        <v>0</v>
      </c>
      <c r="R2189">
        <v>641</v>
      </c>
      <c r="S2189" s="51">
        <v>6117</v>
      </c>
      <c r="T2189" s="51">
        <v>2531</v>
      </c>
      <c r="U2189">
        <v>106</v>
      </c>
      <c r="V2189" s="51">
        <v>9395</v>
      </c>
    </row>
    <row r="2190" spans="1:22">
      <c r="A2190" s="32" t="s">
        <v>4593</v>
      </c>
      <c r="B2190" s="32" t="s">
        <v>1574</v>
      </c>
      <c r="C2190" s="32" t="s">
        <v>1338</v>
      </c>
      <c r="D2190" s="33">
        <v>0</v>
      </c>
      <c r="E2190" s="33">
        <v>11</v>
      </c>
      <c r="F2190" s="33">
        <v>106</v>
      </c>
      <c r="G2190" s="33">
        <v>45</v>
      </c>
      <c r="H2190" s="33">
        <v>0</v>
      </c>
      <c r="I2190" s="33">
        <v>162</v>
      </c>
      <c r="K2190" t="b">
        <f>QHPSelections2016[[#This Row],[County Name]]=P2190</f>
        <v>1</v>
      </c>
      <c r="L2190" t="b">
        <f>QHPSelections2016[[#This Row],[Silver]]=S2190</f>
        <v>1</v>
      </c>
      <c r="N2190">
        <v>48305</v>
      </c>
      <c r="O2190" t="s">
        <v>1574</v>
      </c>
      <c r="P2190" t="s">
        <v>1338</v>
      </c>
      <c r="Q2190">
        <v>0</v>
      </c>
      <c r="R2190">
        <v>11</v>
      </c>
      <c r="S2190">
        <v>106</v>
      </c>
      <c r="T2190">
        <v>45</v>
      </c>
      <c r="U2190">
        <v>0</v>
      </c>
      <c r="V2190">
        <v>162</v>
      </c>
    </row>
    <row r="2191" spans="1:22">
      <c r="A2191" s="32" t="s">
        <v>4594</v>
      </c>
      <c r="B2191" s="32" t="s">
        <v>1574</v>
      </c>
      <c r="C2191" s="32" t="s">
        <v>1339</v>
      </c>
      <c r="D2191" s="33" t="s">
        <v>1639</v>
      </c>
      <c r="E2191" s="33">
        <v>17</v>
      </c>
      <c r="F2191" s="33">
        <v>192</v>
      </c>
      <c r="G2191" s="33">
        <v>58</v>
      </c>
      <c r="H2191" s="33" t="s">
        <v>1639</v>
      </c>
      <c r="I2191" s="33">
        <v>270</v>
      </c>
      <c r="K2191" t="b">
        <f>QHPSelections2016[[#This Row],[County Name]]=P2191</f>
        <v>0</v>
      </c>
      <c r="L2191" t="b">
        <f>QHPSelections2016[[#This Row],[Silver]]=S2191</f>
        <v>0</v>
      </c>
      <c r="N2191">
        <v>48313</v>
      </c>
      <c r="O2191" t="s">
        <v>1574</v>
      </c>
      <c r="P2191" t="s">
        <v>1029</v>
      </c>
      <c r="R2191">
        <v>25</v>
      </c>
      <c r="S2191">
        <v>280</v>
      </c>
      <c r="T2191">
        <v>80</v>
      </c>
      <c r="V2191">
        <v>391</v>
      </c>
    </row>
    <row r="2192" spans="1:22">
      <c r="A2192" s="32" t="s">
        <v>4595</v>
      </c>
      <c r="B2192" s="32" t="s">
        <v>1574</v>
      </c>
      <c r="C2192" s="32" t="s">
        <v>1341</v>
      </c>
      <c r="D2192" s="33">
        <v>106</v>
      </c>
      <c r="E2192" s="33">
        <v>293</v>
      </c>
      <c r="F2192" s="33">
        <v>5441</v>
      </c>
      <c r="G2192" s="33">
        <v>1872</v>
      </c>
      <c r="H2192" s="33">
        <v>146</v>
      </c>
      <c r="I2192" s="33">
        <v>7858</v>
      </c>
      <c r="K2192" t="b">
        <f>QHPSelections2016[[#This Row],[County Name]]=P2192</f>
        <v>0</v>
      </c>
      <c r="L2192" t="b">
        <f>QHPSelections2016[[#This Row],[Silver]]=S2192</f>
        <v>0</v>
      </c>
      <c r="N2192">
        <v>48315</v>
      </c>
      <c r="O2192" t="s">
        <v>1574</v>
      </c>
      <c r="P2192" t="s">
        <v>1038</v>
      </c>
      <c r="R2192">
        <v>21</v>
      </c>
      <c r="S2192">
        <v>282</v>
      </c>
      <c r="T2192">
        <v>111</v>
      </c>
      <c r="V2192">
        <v>417</v>
      </c>
    </row>
    <row r="2193" spans="1:22">
      <c r="A2193" s="32" t="s">
        <v>4596</v>
      </c>
      <c r="B2193" s="32" t="s">
        <v>1574</v>
      </c>
      <c r="C2193" s="32" t="s">
        <v>1342</v>
      </c>
      <c r="D2193" s="33" t="s">
        <v>1639</v>
      </c>
      <c r="E2193" s="33" t="s">
        <v>1639</v>
      </c>
      <c r="F2193" s="33">
        <v>34</v>
      </c>
      <c r="G2193" s="33">
        <v>12</v>
      </c>
      <c r="H2193" s="33">
        <v>0</v>
      </c>
      <c r="I2193" s="33">
        <v>50</v>
      </c>
      <c r="K2193" t="b">
        <f>QHPSelections2016[[#This Row],[County Name]]=P2193</f>
        <v>0</v>
      </c>
      <c r="L2193" t="b">
        <f>QHPSelections2016[[#This Row],[Silver]]=S2193</f>
        <v>0</v>
      </c>
      <c r="N2193">
        <v>48317</v>
      </c>
      <c r="O2193" t="s">
        <v>1574</v>
      </c>
      <c r="P2193" t="s">
        <v>1044</v>
      </c>
      <c r="Q2193">
        <v>0</v>
      </c>
      <c r="S2193">
        <v>106</v>
      </c>
      <c r="T2193">
        <v>32</v>
      </c>
      <c r="V2193">
        <v>146</v>
      </c>
    </row>
    <row r="2194" spans="1:22">
      <c r="A2194" s="32" t="s">
        <v>4597</v>
      </c>
      <c r="B2194" s="32" t="s">
        <v>1574</v>
      </c>
      <c r="C2194" s="32" t="s">
        <v>1029</v>
      </c>
      <c r="D2194" s="33" t="s">
        <v>1639</v>
      </c>
      <c r="E2194" s="33">
        <v>25</v>
      </c>
      <c r="F2194" s="33">
        <v>280</v>
      </c>
      <c r="G2194" s="33">
        <v>80</v>
      </c>
      <c r="H2194" s="33" t="s">
        <v>1639</v>
      </c>
      <c r="I2194" s="33">
        <v>391</v>
      </c>
      <c r="K2194" t="b">
        <f>QHPSelections2016[[#This Row],[County Name]]=P2194</f>
        <v>0</v>
      </c>
      <c r="L2194" t="b">
        <f>QHPSelections2016[[#This Row],[Silver]]=S2194</f>
        <v>0</v>
      </c>
      <c r="N2194">
        <v>48319</v>
      </c>
      <c r="O2194" t="s">
        <v>1574</v>
      </c>
      <c r="P2194" t="s">
        <v>1344</v>
      </c>
      <c r="R2194">
        <v>11</v>
      </c>
      <c r="S2194">
        <v>124</v>
      </c>
      <c r="T2194">
        <v>56</v>
      </c>
      <c r="V2194">
        <v>192</v>
      </c>
    </row>
    <row r="2195" spans="1:22">
      <c r="A2195" s="32" t="s">
        <v>4598</v>
      </c>
      <c r="B2195" s="32" t="s">
        <v>1574</v>
      </c>
      <c r="C2195" s="32" t="s">
        <v>1038</v>
      </c>
      <c r="D2195" s="33" t="s">
        <v>1639</v>
      </c>
      <c r="E2195" s="33">
        <v>21</v>
      </c>
      <c r="F2195" s="33">
        <v>282</v>
      </c>
      <c r="G2195" s="33">
        <v>111</v>
      </c>
      <c r="H2195" s="33" t="s">
        <v>1639</v>
      </c>
      <c r="I2195" s="33">
        <v>417</v>
      </c>
      <c r="K2195" t="b">
        <f>QHPSelections2016[[#This Row],[County Name]]=P2195</f>
        <v>0</v>
      </c>
      <c r="L2195" t="b">
        <f>QHPSelections2016[[#This Row],[Silver]]=S2195</f>
        <v>0</v>
      </c>
      <c r="N2195">
        <v>48321</v>
      </c>
      <c r="O2195" t="s">
        <v>1574</v>
      </c>
      <c r="P2195" t="s">
        <v>1345</v>
      </c>
      <c r="Q2195">
        <v>0</v>
      </c>
      <c r="R2195">
        <v>97</v>
      </c>
      <c r="S2195" s="51">
        <v>1049</v>
      </c>
      <c r="T2195">
        <v>440</v>
      </c>
      <c r="U2195">
        <v>16</v>
      </c>
      <c r="V2195" s="51">
        <v>1602</v>
      </c>
    </row>
    <row r="2196" spans="1:22">
      <c r="A2196" s="32" t="s">
        <v>4599</v>
      </c>
      <c r="B2196" s="32" t="s">
        <v>1574</v>
      </c>
      <c r="C2196" s="32" t="s">
        <v>1044</v>
      </c>
      <c r="D2196" s="33">
        <v>0</v>
      </c>
      <c r="E2196" s="33" t="s">
        <v>1639</v>
      </c>
      <c r="F2196" s="33">
        <v>106</v>
      </c>
      <c r="G2196" s="33">
        <v>32</v>
      </c>
      <c r="H2196" s="33" t="s">
        <v>1639</v>
      </c>
      <c r="I2196" s="33">
        <v>146</v>
      </c>
      <c r="K2196" t="b">
        <f>QHPSelections2016[[#This Row],[County Name]]=P2196</f>
        <v>0</v>
      </c>
      <c r="L2196" t="b">
        <f>QHPSelections2016[[#This Row],[Silver]]=S2196</f>
        <v>0</v>
      </c>
      <c r="N2196">
        <v>48323</v>
      </c>
      <c r="O2196" t="s">
        <v>1574</v>
      </c>
      <c r="P2196" t="s">
        <v>1346</v>
      </c>
      <c r="Q2196">
        <v>0</v>
      </c>
      <c r="R2196">
        <v>48</v>
      </c>
      <c r="S2196" s="51">
        <v>1933</v>
      </c>
      <c r="T2196">
        <v>816</v>
      </c>
      <c r="U2196">
        <v>17</v>
      </c>
      <c r="V2196" s="51">
        <v>2814</v>
      </c>
    </row>
    <row r="2197" spans="1:22">
      <c r="A2197" s="32" t="s">
        <v>4600</v>
      </c>
      <c r="B2197" s="32" t="s">
        <v>1574</v>
      </c>
      <c r="C2197" s="32" t="s">
        <v>1344</v>
      </c>
      <c r="D2197" s="33" t="s">
        <v>1639</v>
      </c>
      <c r="E2197" s="33">
        <v>11</v>
      </c>
      <c r="F2197" s="33">
        <v>124</v>
      </c>
      <c r="G2197" s="33">
        <v>56</v>
      </c>
      <c r="H2197" s="33" t="s">
        <v>1639</v>
      </c>
      <c r="I2197" s="33">
        <v>192</v>
      </c>
      <c r="K2197" t="b">
        <f>QHPSelections2016[[#This Row],[County Name]]=P2197</f>
        <v>0</v>
      </c>
      <c r="L2197" t="b">
        <f>QHPSelections2016[[#This Row],[Silver]]=S2197</f>
        <v>0</v>
      </c>
      <c r="N2197">
        <v>48307</v>
      </c>
      <c r="O2197" t="s">
        <v>1574</v>
      </c>
      <c r="P2197" t="s">
        <v>1339</v>
      </c>
      <c r="R2197">
        <v>17</v>
      </c>
      <c r="S2197">
        <v>192</v>
      </c>
      <c r="T2197">
        <v>58</v>
      </c>
      <c r="V2197">
        <v>270</v>
      </c>
    </row>
    <row r="2198" spans="1:22">
      <c r="A2198" s="32" t="s">
        <v>4601</v>
      </c>
      <c r="B2198" s="32" t="s">
        <v>1574</v>
      </c>
      <c r="C2198" s="32" t="s">
        <v>1345</v>
      </c>
      <c r="D2198" s="33">
        <v>0</v>
      </c>
      <c r="E2198" s="33">
        <v>97</v>
      </c>
      <c r="F2198" s="33">
        <v>1049</v>
      </c>
      <c r="G2198" s="33">
        <v>440</v>
      </c>
      <c r="H2198" s="33">
        <v>16</v>
      </c>
      <c r="I2198" s="33">
        <v>1602</v>
      </c>
      <c r="K2198" t="b">
        <f>QHPSelections2016[[#This Row],[County Name]]=P2198</f>
        <v>0</v>
      </c>
      <c r="L2198" t="b">
        <f>QHPSelections2016[[#This Row],[Silver]]=S2198</f>
        <v>0</v>
      </c>
      <c r="N2198">
        <v>48309</v>
      </c>
      <c r="O2198" t="s">
        <v>1574</v>
      </c>
      <c r="P2198" t="s">
        <v>1341</v>
      </c>
      <c r="Q2198">
        <v>106</v>
      </c>
      <c r="R2198">
        <v>293</v>
      </c>
      <c r="S2198" s="51">
        <v>5441</v>
      </c>
      <c r="T2198" s="51">
        <v>1872</v>
      </c>
      <c r="U2198">
        <v>146</v>
      </c>
      <c r="V2198" s="51">
        <v>7858</v>
      </c>
    </row>
    <row r="2199" spans="1:22">
      <c r="A2199" s="32" t="s">
        <v>4602</v>
      </c>
      <c r="B2199" s="32" t="s">
        <v>1574</v>
      </c>
      <c r="C2199" s="32" t="s">
        <v>1346</v>
      </c>
      <c r="D2199" s="33">
        <v>0</v>
      </c>
      <c r="E2199" s="33">
        <v>48</v>
      </c>
      <c r="F2199" s="33">
        <v>1933</v>
      </c>
      <c r="G2199" s="33">
        <v>816</v>
      </c>
      <c r="H2199" s="33">
        <v>17</v>
      </c>
      <c r="I2199" s="33">
        <v>2814</v>
      </c>
      <c r="K2199" t="b">
        <f>QHPSelections2016[[#This Row],[County Name]]=P2199</f>
        <v>0</v>
      </c>
      <c r="L2199" t="b">
        <f>QHPSelections2016[[#This Row],[Silver]]=S2199</f>
        <v>0</v>
      </c>
      <c r="N2199">
        <v>48311</v>
      </c>
      <c r="O2199" t="s">
        <v>1574</v>
      </c>
      <c r="P2199" t="s">
        <v>1342</v>
      </c>
      <c r="S2199">
        <v>34</v>
      </c>
      <c r="T2199">
        <v>12</v>
      </c>
      <c r="U2199">
        <v>0</v>
      </c>
      <c r="V2199">
        <v>50</v>
      </c>
    </row>
    <row r="2200" spans="1:22">
      <c r="A2200" s="32" t="s">
        <v>4603</v>
      </c>
      <c r="B2200" s="32" t="s">
        <v>1574</v>
      </c>
      <c r="C2200" s="32" t="s">
        <v>1347</v>
      </c>
      <c r="D2200" s="33" t="s">
        <v>1639</v>
      </c>
      <c r="E2200" s="33">
        <v>91</v>
      </c>
      <c r="F2200" s="33">
        <v>1395</v>
      </c>
      <c r="G2200" s="33">
        <v>561</v>
      </c>
      <c r="H2200" s="33" t="s">
        <v>1639</v>
      </c>
      <c r="I2200" s="33">
        <v>2053</v>
      </c>
      <c r="K2200" t="b">
        <f>QHPSelections2016[[#This Row],[County Name]]=P2200</f>
        <v>1</v>
      </c>
      <c r="L2200" t="b">
        <f>QHPSelections2016[[#This Row],[Silver]]=S2200</f>
        <v>1</v>
      </c>
      <c r="N2200">
        <v>48325</v>
      </c>
      <c r="O2200" t="s">
        <v>1574</v>
      </c>
      <c r="P2200" t="s">
        <v>1347</v>
      </c>
      <c r="R2200">
        <v>91</v>
      </c>
      <c r="S2200" s="51">
        <v>1395</v>
      </c>
      <c r="T2200">
        <v>561</v>
      </c>
      <c r="V2200" s="51">
        <v>2053</v>
      </c>
    </row>
    <row r="2201" spans="1:22">
      <c r="A2201" s="32" t="s">
        <v>4604</v>
      </c>
      <c r="B2201" s="32" t="s">
        <v>1574</v>
      </c>
      <c r="C2201" s="32" t="s">
        <v>1348</v>
      </c>
      <c r="D2201" s="33" t="s">
        <v>1639</v>
      </c>
      <c r="E2201" s="33">
        <v>12</v>
      </c>
      <c r="F2201" s="33">
        <v>55</v>
      </c>
      <c r="G2201" s="33">
        <v>24</v>
      </c>
      <c r="H2201" s="33" t="s">
        <v>1639</v>
      </c>
      <c r="I2201" s="33">
        <v>93</v>
      </c>
      <c r="K2201" t="b">
        <f>QHPSelections2016[[#This Row],[County Name]]=P2201</f>
        <v>1</v>
      </c>
      <c r="L2201" t="b">
        <f>QHPSelections2016[[#This Row],[Silver]]=S2201</f>
        <v>1</v>
      </c>
      <c r="N2201">
        <v>48327</v>
      </c>
      <c r="O2201" t="s">
        <v>1574</v>
      </c>
      <c r="P2201" t="s">
        <v>1348</v>
      </c>
      <c r="R2201">
        <v>12</v>
      </c>
      <c r="S2201">
        <v>55</v>
      </c>
      <c r="T2201">
        <v>24</v>
      </c>
      <c r="V2201">
        <v>93</v>
      </c>
    </row>
    <row r="2202" spans="1:22">
      <c r="A2202" s="32" t="s">
        <v>4605</v>
      </c>
      <c r="B2202" s="32" t="s">
        <v>1574</v>
      </c>
      <c r="C2202" s="32" t="s">
        <v>1349</v>
      </c>
      <c r="D2202" s="33">
        <v>0</v>
      </c>
      <c r="E2202" s="33">
        <v>375</v>
      </c>
      <c r="F2202" s="33">
        <v>2927</v>
      </c>
      <c r="G2202" s="33">
        <v>1291</v>
      </c>
      <c r="H2202" s="33">
        <v>61</v>
      </c>
      <c r="I2202" s="33">
        <v>4654</v>
      </c>
      <c r="K2202" t="b">
        <f>QHPSelections2016[[#This Row],[County Name]]=P2202</f>
        <v>1</v>
      </c>
      <c r="L2202" t="b">
        <f>QHPSelections2016[[#This Row],[Silver]]=S2202</f>
        <v>1</v>
      </c>
      <c r="N2202">
        <v>48329</v>
      </c>
      <c r="O2202" t="s">
        <v>1574</v>
      </c>
      <c r="P2202" t="s">
        <v>1349</v>
      </c>
      <c r="Q2202">
        <v>0</v>
      </c>
      <c r="R2202">
        <v>375</v>
      </c>
      <c r="S2202" s="51">
        <v>2927</v>
      </c>
      <c r="T2202" s="51">
        <v>1291</v>
      </c>
      <c r="U2202">
        <v>61</v>
      </c>
      <c r="V2202" s="51">
        <v>4654</v>
      </c>
    </row>
    <row r="2203" spans="1:22">
      <c r="A2203" s="32" t="s">
        <v>4606</v>
      </c>
      <c r="B2203" s="32" t="s">
        <v>1574</v>
      </c>
      <c r="C2203" s="32" t="s">
        <v>1350</v>
      </c>
      <c r="D2203" s="33" t="s">
        <v>1639</v>
      </c>
      <c r="E2203" s="33">
        <v>33</v>
      </c>
      <c r="F2203" s="33">
        <v>571</v>
      </c>
      <c r="G2203" s="33">
        <v>200</v>
      </c>
      <c r="H2203" s="33" t="s">
        <v>1639</v>
      </c>
      <c r="I2203" s="33">
        <v>812</v>
      </c>
      <c r="K2203" t="b">
        <f>QHPSelections2016[[#This Row],[County Name]]=P2203</f>
        <v>1</v>
      </c>
      <c r="L2203" t="b">
        <f>QHPSelections2016[[#This Row],[Silver]]=S2203</f>
        <v>1</v>
      </c>
      <c r="N2203">
        <v>48331</v>
      </c>
      <c r="O2203" t="s">
        <v>1574</v>
      </c>
      <c r="P2203" t="s">
        <v>1350</v>
      </c>
      <c r="R2203">
        <v>33</v>
      </c>
      <c r="S2203">
        <v>571</v>
      </c>
      <c r="T2203">
        <v>200</v>
      </c>
      <c r="V2203">
        <v>812</v>
      </c>
    </row>
    <row r="2204" spans="1:22">
      <c r="A2204" s="32" t="s">
        <v>4607</v>
      </c>
      <c r="B2204" s="32" t="s">
        <v>1574</v>
      </c>
      <c r="C2204" s="32" t="s">
        <v>1351</v>
      </c>
      <c r="D2204" s="33">
        <v>0</v>
      </c>
      <c r="E2204" s="33" t="s">
        <v>1639</v>
      </c>
      <c r="F2204" s="33">
        <v>133</v>
      </c>
      <c r="G2204" s="33">
        <v>48</v>
      </c>
      <c r="H2204" s="33" t="s">
        <v>1639</v>
      </c>
      <c r="I2204" s="33">
        <v>192</v>
      </c>
      <c r="K2204" t="b">
        <f>QHPSelections2016[[#This Row],[County Name]]=P2204</f>
        <v>1</v>
      </c>
      <c r="L2204" t="b">
        <f>QHPSelections2016[[#This Row],[Silver]]=S2204</f>
        <v>1</v>
      </c>
      <c r="N2204">
        <v>48333</v>
      </c>
      <c r="O2204" t="s">
        <v>1574</v>
      </c>
      <c r="P2204" t="s">
        <v>1351</v>
      </c>
      <c r="Q2204">
        <v>0</v>
      </c>
      <c r="S2204">
        <v>133</v>
      </c>
      <c r="T2204">
        <v>48</v>
      </c>
      <c r="V2204">
        <v>192</v>
      </c>
    </row>
    <row r="2205" spans="1:22">
      <c r="A2205" s="32" t="s">
        <v>4608</v>
      </c>
      <c r="B2205" s="32" t="s">
        <v>1574</v>
      </c>
      <c r="C2205" s="32" t="s">
        <v>1140</v>
      </c>
      <c r="D2205" s="33" t="s">
        <v>1639</v>
      </c>
      <c r="E2205" s="33">
        <v>13</v>
      </c>
      <c r="F2205" s="33">
        <v>130</v>
      </c>
      <c r="G2205" s="33">
        <v>64</v>
      </c>
      <c r="H2205" s="33" t="s">
        <v>1639</v>
      </c>
      <c r="I2205" s="33">
        <v>213</v>
      </c>
      <c r="K2205" t="b">
        <f>QHPSelections2016[[#This Row],[County Name]]=P2205</f>
        <v>1</v>
      </c>
      <c r="L2205" t="b">
        <f>QHPSelections2016[[#This Row],[Silver]]=S2205</f>
        <v>1</v>
      </c>
      <c r="N2205">
        <v>48335</v>
      </c>
      <c r="O2205" t="s">
        <v>1574</v>
      </c>
      <c r="P2205" t="s">
        <v>1140</v>
      </c>
      <c r="R2205">
        <v>13</v>
      </c>
      <c r="S2205">
        <v>130</v>
      </c>
      <c r="T2205">
        <v>64</v>
      </c>
      <c r="V2205">
        <v>213</v>
      </c>
    </row>
    <row r="2206" spans="1:22">
      <c r="A2206" s="32" t="s">
        <v>4609</v>
      </c>
      <c r="B2206" s="32" t="s">
        <v>1574</v>
      </c>
      <c r="C2206" s="32" t="s">
        <v>1352</v>
      </c>
      <c r="D2206" s="33" t="s">
        <v>1639</v>
      </c>
      <c r="E2206" s="33">
        <v>41</v>
      </c>
      <c r="F2206" s="33">
        <v>535</v>
      </c>
      <c r="G2206" s="33">
        <v>215</v>
      </c>
      <c r="H2206" s="33" t="s">
        <v>1639</v>
      </c>
      <c r="I2206" s="33">
        <v>796</v>
      </c>
      <c r="K2206" t="b">
        <f>QHPSelections2016[[#This Row],[County Name]]=P2206</f>
        <v>1</v>
      </c>
      <c r="L2206" t="b">
        <f>QHPSelections2016[[#This Row],[Silver]]=S2206</f>
        <v>1</v>
      </c>
      <c r="N2206">
        <v>48337</v>
      </c>
      <c r="O2206" t="s">
        <v>1574</v>
      </c>
      <c r="P2206" t="s">
        <v>1352</v>
      </c>
      <c r="R2206">
        <v>41</v>
      </c>
      <c r="S2206">
        <v>535</v>
      </c>
      <c r="T2206">
        <v>215</v>
      </c>
      <c r="V2206">
        <v>796</v>
      </c>
    </row>
    <row r="2207" spans="1:22">
      <c r="A2207" s="32" t="s">
        <v>4610</v>
      </c>
      <c r="B2207" s="32" t="s">
        <v>1574</v>
      </c>
      <c r="C2207" s="32" t="s">
        <v>1079</v>
      </c>
      <c r="D2207" s="33">
        <v>120</v>
      </c>
      <c r="E2207" s="33">
        <v>1980</v>
      </c>
      <c r="F2207" s="33">
        <v>15006</v>
      </c>
      <c r="G2207" s="33">
        <v>5807</v>
      </c>
      <c r="H2207" s="33">
        <v>159</v>
      </c>
      <c r="I2207" s="33">
        <v>23072</v>
      </c>
      <c r="K2207" t="b">
        <f>QHPSelections2016[[#This Row],[County Name]]=P2207</f>
        <v>1</v>
      </c>
      <c r="L2207" t="b">
        <f>QHPSelections2016[[#This Row],[Silver]]=S2207</f>
        <v>1</v>
      </c>
      <c r="N2207">
        <v>48339</v>
      </c>
      <c r="O2207" t="s">
        <v>1574</v>
      </c>
      <c r="P2207" t="s">
        <v>1079</v>
      </c>
      <c r="Q2207">
        <v>120</v>
      </c>
      <c r="R2207" s="51">
        <v>1980</v>
      </c>
      <c r="S2207" s="51">
        <v>15006</v>
      </c>
      <c r="T2207" s="51">
        <v>5807</v>
      </c>
      <c r="U2207">
        <v>159</v>
      </c>
      <c r="V2207" s="51">
        <v>23072</v>
      </c>
    </row>
    <row r="2208" spans="1:22">
      <c r="A2208" s="32" t="s">
        <v>4611</v>
      </c>
      <c r="B2208" s="32" t="s">
        <v>1574</v>
      </c>
      <c r="C2208" s="32" t="s">
        <v>1152</v>
      </c>
      <c r="D2208" s="33" t="s">
        <v>1639</v>
      </c>
      <c r="E2208" s="33">
        <v>31</v>
      </c>
      <c r="F2208" s="33">
        <v>379</v>
      </c>
      <c r="G2208" s="33">
        <v>125</v>
      </c>
      <c r="H2208" s="33" t="s">
        <v>1639</v>
      </c>
      <c r="I2208" s="33">
        <v>541</v>
      </c>
      <c r="K2208" t="b">
        <f>QHPSelections2016[[#This Row],[County Name]]=P2208</f>
        <v>1</v>
      </c>
      <c r="L2208" t="b">
        <f>QHPSelections2016[[#This Row],[Silver]]=S2208</f>
        <v>1</v>
      </c>
      <c r="N2208">
        <v>48341</v>
      </c>
      <c r="O2208" t="s">
        <v>1574</v>
      </c>
      <c r="P2208" t="s">
        <v>1152</v>
      </c>
      <c r="R2208">
        <v>31</v>
      </c>
      <c r="S2208">
        <v>379</v>
      </c>
      <c r="T2208">
        <v>125</v>
      </c>
      <c r="V2208">
        <v>541</v>
      </c>
    </row>
    <row r="2209" spans="1:22">
      <c r="A2209" s="32" t="s">
        <v>4612</v>
      </c>
      <c r="B2209" s="32" t="s">
        <v>1574</v>
      </c>
      <c r="C2209" s="32" t="s">
        <v>1353</v>
      </c>
      <c r="D2209" s="33" t="s">
        <v>1639</v>
      </c>
      <c r="E2209" s="33">
        <v>22</v>
      </c>
      <c r="F2209" s="33">
        <v>295</v>
      </c>
      <c r="G2209" s="33">
        <v>102</v>
      </c>
      <c r="H2209" s="33" t="s">
        <v>1639</v>
      </c>
      <c r="I2209" s="33">
        <v>422</v>
      </c>
      <c r="K2209" t="b">
        <f>QHPSelections2016[[#This Row],[County Name]]=P2209</f>
        <v>1</v>
      </c>
      <c r="L2209" t="b">
        <f>QHPSelections2016[[#This Row],[Silver]]=S2209</f>
        <v>1</v>
      </c>
      <c r="N2209">
        <v>48343</v>
      </c>
      <c r="O2209" t="s">
        <v>1574</v>
      </c>
      <c r="P2209" t="s">
        <v>1353</v>
      </c>
      <c r="R2209">
        <v>22</v>
      </c>
      <c r="S2209">
        <v>295</v>
      </c>
      <c r="T2209">
        <v>102</v>
      </c>
      <c r="V2209">
        <v>422</v>
      </c>
    </row>
    <row r="2210" spans="1:22">
      <c r="A2210" s="32" t="s">
        <v>4613</v>
      </c>
      <c r="B2210" s="32" t="s">
        <v>1574</v>
      </c>
      <c r="C2210" s="32" t="s">
        <v>1354</v>
      </c>
      <c r="D2210" s="33">
        <v>0</v>
      </c>
      <c r="E2210" s="33" t="s">
        <v>1639</v>
      </c>
      <c r="F2210" s="33">
        <v>25</v>
      </c>
      <c r="G2210" s="33" t="s">
        <v>1639</v>
      </c>
      <c r="H2210" s="33">
        <v>0</v>
      </c>
      <c r="I2210" s="33">
        <v>34</v>
      </c>
      <c r="K2210" t="b">
        <f>QHPSelections2016[[#This Row],[County Name]]=P2210</f>
        <v>1</v>
      </c>
      <c r="L2210" t="b">
        <f>QHPSelections2016[[#This Row],[Silver]]=S2210</f>
        <v>1</v>
      </c>
      <c r="N2210">
        <v>48345</v>
      </c>
      <c r="O2210" t="s">
        <v>1574</v>
      </c>
      <c r="P2210" t="s">
        <v>1354</v>
      </c>
      <c r="Q2210">
        <v>0</v>
      </c>
      <c r="S2210">
        <v>25</v>
      </c>
      <c r="U2210">
        <v>0</v>
      </c>
      <c r="V2210">
        <v>34</v>
      </c>
    </row>
    <row r="2211" spans="1:22">
      <c r="A2211" s="32" t="s">
        <v>4614</v>
      </c>
      <c r="B2211" s="32" t="s">
        <v>1574</v>
      </c>
      <c r="C2211" s="32" t="s">
        <v>1355</v>
      </c>
      <c r="D2211" s="33">
        <v>0</v>
      </c>
      <c r="E2211" s="33">
        <v>111</v>
      </c>
      <c r="F2211" s="33">
        <v>1347</v>
      </c>
      <c r="G2211" s="33">
        <v>1356</v>
      </c>
      <c r="H2211" s="33">
        <v>18</v>
      </c>
      <c r="I2211" s="33">
        <v>2832</v>
      </c>
      <c r="K2211" t="b">
        <f>QHPSelections2016[[#This Row],[County Name]]=P2211</f>
        <v>1</v>
      </c>
      <c r="L2211" t="b">
        <f>QHPSelections2016[[#This Row],[Silver]]=S2211</f>
        <v>1</v>
      </c>
      <c r="N2211">
        <v>48347</v>
      </c>
      <c r="O2211" t="s">
        <v>1574</v>
      </c>
      <c r="P2211" t="s">
        <v>1355</v>
      </c>
      <c r="Q2211">
        <v>0</v>
      </c>
      <c r="R2211">
        <v>111</v>
      </c>
      <c r="S2211" s="51">
        <v>1347</v>
      </c>
      <c r="T2211" s="51">
        <v>1356</v>
      </c>
      <c r="U2211">
        <v>18</v>
      </c>
      <c r="V2211" s="51">
        <v>2832</v>
      </c>
    </row>
    <row r="2212" spans="1:22">
      <c r="A2212" s="32" t="s">
        <v>4615</v>
      </c>
      <c r="B2212" s="32" t="s">
        <v>1574</v>
      </c>
      <c r="C2212" s="32" t="s">
        <v>1356</v>
      </c>
      <c r="D2212" s="33">
        <v>0</v>
      </c>
      <c r="E2212" s="33">
        <v>98</v>
      </c>
      <c r="F2212" s="33">
        <v>1291</v>
      </c>
      <c r="G2212" s="33">
        <v>459</v>
      </c>
      <c r="H2212" s="33">
        <v>19</v>
      </c>
      <c r="I2212" s="33">
        <v>1867</v>
      </c>
      <c r="K2212" t="b">
        <f>QHPSelections2016[[#This Row],[County Name]]=P2212</f>
        <v>1</v>
      </c>
      <c r="L2212" t="b">
        <f>QHPSelections2016[[#This Row],[Silver]]=S2212</f>
        <v>1</v>
      </c>
      <c r="N2212">
        <v>48349</v>
      </c>
      <c r="O2212" t="s">
        <v>1574</v>
      </c>
      <c r="P2212" t="s">
        <v>1356</v>
      </c>
      <c r="Q2212">
        <v>0</v>
      </c>
      <c r="R2212">
        <v>98</v>
      </c>
      <c r="S2212" s="51">
        <v>1291</v>
      </c>
      <c r="T2212">
        <v>459</v>
      </c>
      <c r="U2212">
        <v>19</v>
      </c>
      <c r="V2212" s="51">
        <v>1867</v>
      </c>
    </row>
    <row r="2213" spans="1:22">
      <c r="A2213" s="32" t="s">
        <v>4616</v>
      </c>
      <c r="B2213" s="32" t="s">
        <v>1574</v>
      </c>
      <c r="C2213" s="32" t="s">
        <v>1088</v>
      </c>
      <c r="D2213" s="33" t="s">
        <v>1639</v>
      </c>
      <c r="E2213" s="33">
        <v>12</v>
      </c>
      <c r="F2213" s="33">
        <v>329</v>
      </c>
      <c r="G2213" s="33">
        <v>151</v>
      </c>
      <c r="H2213" s="33" t="s">
        <v>1639</v>
      </c>
      <c r="I2213" s="33">
        <v>496</v>
      </c>
      <c r="K2213" t="b">
        <f>QHPSelections2016[[#This Row],[County Name]]=P2213</f>
        <v>1</v>
      </c>
      <c r="L2213" t="b">
        <f>QHPSelections2016[[#This Row],[Silver]]=S2213</f>
        <v>1</v>
      </c>
      <c r="N2213">
        <v>48351</v>
      </c>
      <c r="O2213" t="s">
        <v>1574</v>
      </c>
      <c r="P2213" t="s">
        <v>1088</v>
      </c>
      <c r="R2213">
        <v>12</v>
      </c>
      <c r="S2213">
        <v>329</v>
      </c>
      <c r="T2213">
        <v>151</v>
      </c>
      <c r="V2213">
        <v>496</v>
      </c>
    </row>
    <row r="2214" spans="1:22">
      <c r="A2214" s="32" t="s">
        <v>4617</v>
      </c>
      <c r="B2214" s="32" t="s">
        <v>1574</v>
      </c>
      <c r="C2214" s="32" t="s">
        <v>1357</v>
      </c>
      <c r="D2214" s="33">
        <v>0</v>
      </c>
      <c r="E2214" s="33">
        <v>28</v>
      </c>
      <c r="F2214" s="33">
        <v>304</v>
      </c>
      <c r="G2214" s="33">
        <v>120</v>
      </c>
      <c r="H2214" s="33">
        <v>0</v>
      </c>
      <c r="I2214" s="33">
        <v>452</v>
      </c>
      <c r="K2214" t="b">
        <f>QHPSelections2016[[#This Row],[County Name]]=P2214</f>
        <v>1</v>
      </c>
      <c r="L2214" t="b">
        <f>QHPSelections2016[[#This Row],[Silver]]=S2214</f>
        <v>1</v>
      </c>
      <c r="N2214">
        <v>48353</v>
      </c>
      <c r="O2214" t="s">
        <v>1574</v>
      </c>
      <c r="P2214" t="s">
        <v>1357</v>
      </c>
      <c r="Q2214">
        <v>0</v>
      </c>
      <c r="R2214">
        <v>28</v>
      </c>
      <c r="S2214">
        <v>304</v>
      </c>
      <c r="T2214">
        <v>120</v>
      </c>
      <c r="U2214">
        <v>0</v>
      </c>
      <c r="V2214">
        <v>452</v>
      </c>
    </row>
    <row r="2215" spans="1:22">
      <c r="A2215" s="32" t="s">
        <v>4618</v>
      </c>
      <c r="B2215" s="32" t="s">
        <v>1574</v>
      </c>
      <c r="C2215" s="32" t="s">
        <v>1358</v>
      </c>
      <c r="D2215" s="33">
        <v>112</v>
      </c>
      <c r="E2215" s="33">
        <v>883</v>
      </c>
      <c r="F2215" s="33">
        <v>8275</v>
      </c>
      <c r="G2215" s="33">
        <v>3343</v>
      </c>
      <c r="H2215" s="33">
        <v>185</v>
      </c>
      <c r="I2215" s="33">
        <v>12798</v>
      </c>
      <c r="K2215" t="b">
        <f>QHPSelections2016[[#This Row],[County Name]]=P2215</f>
        <v>1</v>
      </c>
      <c r="L2215" t="b">
        <f>QHPSelections2016[[#This Row],[Silver]]=S2215</f>
        <v>1</v>
      </c>
      <c r="N2215">
        <v>48355</v>
      </c>
      <c r="O2215" t="s">
        <v>1574</v>
      </c>
      <c r="P2215" t="s">
        <v>1358</v>
      </c>
      <c r="Q2215">
        <v>112</v>
      </c>
      <c r="R2215">
        <v>883</v>
      </c>
      <c r="S2215" s="51">
        <v>8275</v>
      </c>
      <c r="T2215" s="51">
        <v>3343</v>
      </c>
      <c r="U2215">
        <v>185</v>
      </c>
      <c r="V2215" s="51">
        <v>12798</v>
      </c>
    </row>
    <row r="2216" spans="1:22">
      <c r="A2216" s="32" t="s">
        <v>4619</v>
      </c>
      <c r="B2216" s="32" t="s">
        <v>1574</v>
      </c>
      <c r="C2216" s="32" t="s">
        <v>1359</v>
      </c>
      <c r="D2216" s="33" t="s">
        <v>1639</v>
      </c>
      <c r="E2216" s="33">
        <v>17</v>
      </c>
      <c r="F2216" s="33">
        <v>203</v>
      </c>
      <c r="G2216" s="33">
        <v>132</v>
      </c>
      <c r="H2216" s="33" t="s">
        <v>1639</v>
      </c>
      <c r="I2216" s="33">
        <v>354</v>
      </c>
      <c r="K2216" t="b">
        <f>QHPSelections2016[[#This Row],[County Name]]=P2216</f>
        <v>1</v>
      </c>
      <c r="L2216" t="b">
        <f>QHPSelections2016[[#This Row],[Silver]]=S2216</f>
        <v>1</v>
      </c>
      <c r="N2216">
        <v>48357</v>
      </c>
      <c r="O2216" t="s">
        <v>1574</v>
      </c>
      <c r="P2216" t="s">
        <v>1359</v>
      </c>
      <c r="R2216">
        <v>17</v>
      </c>
      <c r="S2216">
        <v>203</v>
      </c>
      <c r="T2216">
        <v>132</v>
      </c>
      <c r="V2216">
        <v>354</v>
      </c>
    </row>
    <row r="2217" spans="1:22">
      <c r="A2217" s="32" t="s">
        <v>4620</v>
      </c>
      <c r="B2217" s="32" t="s">
        <v>1574</v>
      </c>
      <c r="C2217" s="32" t="s">
        <v>1360</v>
      </c>
      <c r="D2217" s="33">
        <v>0</v>
      </c>
      <c r="E2217" s="33" t="s">
        <v>1639</v>
      </c>
      <c r="F2217" s="33">
        <v>52</v>
      </c>
      <c r="G2217" s="33">
        <v>23</v>
      </c>
      <c r="H2217" s="33" t="s">
        <v>1639</v>
      </c>
      <c r="I2217" s="33">
        <v>84</v>
      </c>
      <c r="K2217" t="b">
        <f>QHPSelections2016[[#This Row],[County Name]]=P2217</f>
        <v>1</v>
      </c>
      <c r="L2217" t="b">
        <f>QHPSelections2016[[#This Row],[Silver]]=S2217</f>
        <v>1</v>
      </c>
      <c r="N2217">
        <v>48359</v>
      </c>
      <c r="O2217" t="s">
        <v>1574</v>
      </c>
      <c r="P2217" t="s">
        <v>1360</v>
      </c>
      <c r="Q2217">
        <v>0</v>
      </c>
      <c r="S2217">
        <v>52</v>
      </c>
      <c r="T2217">
        <v>23</v>
      </c>
      <c r="V2217">
        <v>84</v>
      </c>
    </row>
    <row r="2218" spans="1:22">
      <c r="A2218" s="32" t="s">
        <v>4621</v>
      </c>
      <c r="B2218" s="32" t="s">
        <v>1574</v>
      </c>
      <c r="C2218" s="32" t="s">
        <v>1072</v>
      </c>
      <c r="D2218" s="33" t="s">
        <v>1639</v>
      </c>
      <c r="E2218" s="33">
        <v>107</v>
      </c>
      <c r="F2218" s="33">
        <v>1601</v>
      </c>
      <c r="G2218" s="33">
        <v>639</v>
      </c>
      <c r="H2218" s="33" t="s">
        <v>1639</v>
      </c>
      <c r="I2218" s="33">
        <v>2367</v>
      </c>
      <c r="K2218" t="b">
        <f>QHPSelections2016[[#This Row],[County Name]]=P2218</f>
        <v>1</v>
      </c>
      <c r="L2218" t="b">
        <f>QHPSelections2016[[#This Row],[Silver]]=S2218</f>
        <v>1</v>
      </c>
      <c r="N2218">
        <v>48361</v>
      </c>
      <c r="O2218" t="s">
        <v>1574</v>
      </c>
      <c r="P2218" t="s">
        <v>1072</v>
      </c>
      <c r="R2218">
        <v>107</v>
      </c>
      <c r="S2218" s="51">
        <v>1601</v>
      </c>
      <c r="T2218">
        <v>639</v>
      </c>
      <c r="V2218" s="51">
        <v>2367</v>
      </c>
    </row>
    <row r="2219" spans="1:22">
      <c r="A2219" s="32" t="s">
        <v>4622</v>
      </c>
      <c r="B2219" s="32" t="s">
        <v>1574</v>
      </c>
      <c r="C2219" s="32" t="s">
        <v>1361</v>
      </c>
      <c r="D2219" s="33" t="s">
        <v>1639</v>
      </c>
      <c r="E2219" s="33">
        <v>63</v>
      </c>
      <c r="F2219" s="33">
        <v>925</v>
      </c>
      <c r="G2219" s="33">
        <v>316</v>
      </c>
      <c r="H2219" s="33" t="s">
        <v>1639</v>
      </c>
      <c r="I2219" s="33">
        <v>1313</v>
      </c>
      <c r="K2219" t="b">
        <f>QHPSelections2016[[#This Row],[County Name]]=P2219</f>
        <v>1</v>
      </c>
      <c r="L2219" t="b">
        <f>QHPSelections2016[[#This Row],[Silver]]=S2219</f>
        <v>1</v>
      </c>
      <c r="N2219">
        <v>48363</v>
      </c>
      <c r="O2219" t="s">
        <v>1574</v>
      </c>
      <c r="P2219" t="s">
        <v>1361</v>
      </c>
      <c r="R2219">
        <v>63</v>
      </c>
      <c r="S2219">
        <v>925</v>
      </c>
      <c r="T2219">
        <v>316</v>
      </c>
      <c r="V2219" s="51">
        <v>1313</v>
      </c>
    </row>
    <row r="2220" spans="1:22">
      <c r="A2220" s="32" t="s">
        <v>4623</v>
      </c>
      <c r="B2220" s="32" t="s">
        <v>1574</v>
      </c>
      <c r="C2220" s="32" t="s">
        <v>1105</v>
      </c>
      <c r="D2220" s="33" t="s">
        <v>1639</v>
      </c>
      <c r="E2220" s="33">
        <v>57</v>
      </c>
      <c r="F2220" s="33">
        <v>583</v>
      </c>
      <c r="G2220" s="33">
        <v>198</v>
      </c>
      <c r="H2220" s="33" t="s">
        <v>1639</v>
      </c>
      <c r="I2220" s="33">
        <v>847</v>
      </c>
      <c r="K2220" t="b">
        <f>QHPSelections2016[[#This Row],[County Name]]=P2220</f>
        <v>1</v>
      </c>
      <c r="L2220" t="b">
        <f>QHPSelections2016[[#This Row],[Silver]]=S2220</f>
        <v>1</v>
      </c>
      <c r="N2220">
        <v>48365</v>
      </c>
      <c r="O2220" t="s">
        <v>1574</v>
      </c>
      <c r="P2220" t="s">
        <v>1105</v>
      </c>
      <c r="R2220">
        <v>57</v>
      </c>
      <c r="S2220">
        <v>583</v>
      </c>
      <c r="T2220">
        <v>198</v>
      </c>
      <c r="V2220">
        <v>847</v>
      </c>
    </row>
    <row r="2221" spans="1:22">
      <c r="A2221" s="32" t="s">
        <v>4624</v>
      </c>
      <c r="B2221" s="32" t="s">
        <v>1574</v>
      </c>
      <c r="C2221" s="32" t="s">
        <v>1362</v>
      </c>
      <c r="D2221" s="33">
        <v>0</v>
      </c>
      <c r="E2221" s="33">
        <v>353</v>
      </c>
      <c r="F2221" s="33">
        <v>3410</v>
      </c>
      <c r="G2221" s="33">
        <v>1782</v>
      </c>
      <c r="H2221" s="33">
        <v>35</v>
      </c>
      <c r="I2221" s="33">
        <v>5580</v>
      </c>
      <c r="K2221" t="b">
        <f>QHPSelections2016[[#This Row],[County Name]]=P2221</f>
        <v>1</v>
      </c>
      <c r="L2221" t="b">
        <f>QHPSelections2016[[#This Row],[Silver]]=S2221</f>
        <v>1</v>
      </c>
      <c r="N2221">
        <v>48367</v>
      </c>
      <c r="O2221" t="s">
        <v>1574</v>
      </c>
      <c r="P2221" t="s">
        <v>1362</v>
      </c>
      <c r="Q2221">
        <v>0</v>
      </c>
      <c r="R2221">
        <v>353</v>
      </c>
      <c r="S2221" s="51">
        <v>3410</v>
      </c>
      <c r="T2221" s="51">
        <v>1782</v>
      </c>
      <c r="U2221">
        <v>35</v>
      </c>
      <c r="V2221" s="51">
        <v>5580</v>
      </c>
    </row>
    <row r="2222" spans="1:22">
      <c r="A2222" s="32" t="s">
        <v>4625</v>
      </c>
      <c r="B2222" s="32" t="s">
        <v>1574</v>
      </c>
      <c r="C2222" s="32" t="s">
        <v>1363</v>
      </c>
      <c r="D2222" s="33">
        <v>0</v>
      </c>
      <c r="E2222" s="33" t="s">
        <v>1639</v>
      </c>
      <c r="F2222" s="33">
        <v>208</v>
      </c>
      <c r="G2222" s="33">
        <v>58</v>
      </c>
      <c r="H2222" s="33" t="s">
        <v>1639</v>
      </c>
      <c r="I2222" s="33">
        <v>274</v>
      </c>
      <c r="K2222" t="b">
        <f>QHPSelections2016[[#This Row],[County Name]]=P2222</f>
        <v>1</v>
      </c>
      <c r="L2222" t="b">
        <f>QHPSelections2016[[#This Row],[Silver]]=S2222</f>
        <v>1</v>
      </c>
      <c r="N2222">
        <v>48369</v>
      </c>
      <c r="O2222" t="s">
        <v>1574</v>
      </c>
      <c r="P2222" t="s">
        <v>1363</v>
      </c>
      <c r="Q2222">
        <v>0</v>
      </c>
      <c r="S2222">
        <v>208</v>
      </c>
      <c r="T2222">
        <v>58</v>
      </c>
      <c r="V2222">
        <v>274</v>
      </c>
    </row>
    <row r="2223" spans="1:22">
      <c r="A2223" s="32" t="s">
        <v>4626</v>
      </c>
      <c r="B2223" s="32" t="s">
        <v>1574</v>
      </c>
      <c r="C2223" s="32" t="s">
        <v>1364</v>
      </c>
      <c r="D2223" s="33" t="s">
        <v>1639</v>
      </c>
      <c r="E2223" s="33">
        <v>36</v>
      </c>
      <c r="F2223" s="33">
        <v>333</v>
      </c>
      <c r="G2223" s="33">
        <v>134</v>
      </c>
      <c r="H2223" s="33" t="s">
        <v>1639</v>
      </c>
      <c r="I2223" s="33">
        <v>505</v>
      </c>
      <c r="K2223" t="b">
        <f>QHPSelections2016[[#This Row],[County Name]]=P2223</f>
        <v>1</v>
      </c>
      <c r="L2223" t="b">
        <f>QHPSelections2016[[#This Row],[Silver]]=S2223</f>
        <v>1</v>
      </c>
      <c r="N2223">
        <v>48371</v>
      </c>
      <c r="O2223" t="s">
        <v>1574</v>
      </c>
      <c r="P2223" t="s">
        <v>1364</v>
      </c>
      <c r="R2223">
        <v>36</v>
      </c>
      <c r="S2223">
        <v>333</v>
      </c>
      <c r="T2223">
        <v>134</v>
      </c>
      <c r="V2223">
        <v>505</v>
      </c>
    </row>
    <row r="2224" spans="1:22">
      <c r="A2224" s="32" t="s">
        <v>4627</v>
      </c>
      <c r="B2224" s="32" t="s">
        <v>1574</v>
      </c>
      <c r="C2224" s="32" t="s">
        <v>1098</v>
      </c>
      <c r="D2224" s="33">
        <v>0</v>
      </c>
      <c r="E2224" s="33">
        <v>147</v>
      </c>
      <c r="F2224" s="33">
        <v>1411</v>
      </c>
      <c r="G2224" s="33">
        <v>555</v>
      </c>
      <c r="H2224" s="33">
        <v>14</v>
      </c>
      <c r="I2224" s="33">
        <v>2127</v>
      </c>
      <c r="K2224" t="b">
        <f>QHPSelections2016[[#This Row],[County Name]]=P2224</f>
        <v>1</v>
      </c>
      <c r="L2224" t="b">
        <f>QHPSelections2016[[#This Row],[Silver]]=S2224</f>
        <v>1</v>
      </c>
      <c r="N2224">
        <v>48373</v>
      </c>
      <c r="O2224" t="s">
        <v>1574</v>
      </c>
      <c r="P2224" t="s">
        <v>1098</v>
      </c>
      <c r="Q2224">
        <v>0</v>
      </c>
      <c r="R2224">
        <v>147</v>
      </c>
      <c r="S2224" s="51">
        <v>1411</v>
      </c>
      <c r="T2224">
        <v>555</v>
      </c>
      <c r="U2224">
        <v>14</v>
      </c>
      <c r="V2224" s="51">
        <v>2127</v>
      </c>
    </row>
    <row r="2225" spans="1:22">
      <c r="A2225" s="32" t="s">
        <v>4628</v>
      </c>
      <c r="B2225" s="32" t="s">
        <v>1574</v>
      </c>
      <c r="C2225" s="32" t="s">
        <v>1365</v>
      </c>
      <c r="D2225" s="33">
        <v>0</v>
      </c>
      <c r="E2225" s="33">
        <v>153</v>
      </c>
      <c r="F2225" s="33">
        <v>2238</v>
      </c>
      <c r="G2225" s="33">
        <v>805</v>
      </c>
      <c r="H2225" s="33">
        <v>27</v>
      </c>
      <c r="I2225" s="33">
        <v>3223</v>
      </c>
      <c r="K2225" t="b">
        <f>QHPSelections2016[[#This Row],[County Name]]=P2225</f>
        <v>1</v>
      </c>
      <c r="L2225" t="b">
        <f>QHPSelections2016[[#This Row],[Silver]]=S2225</f>
        <v>1</v>
      </c>
      <c r="N2225">
        <v>48375</v>
      </c>
      <c r="O2225" t="s">
        <v>1574</v>
      </c>
      <c r="P2225" t="s">
        <v>1365</v>
      </c>
      <c r="Q2225">
        <v>0</v>
      </c>
      <c r="R2225">
        <v>153</v>
      </c>
      <c r="S2225" s="51">
        <v>2238</v>
      </c>
      <c r="T2225">
        <v>805</v>
      </c>
      <c r="U2225">
        <v>27</v>
      </c>
      <c r="V2225" s="51">
        <v>3223</v>
      </c>
    </row>
    <row r="2226" spans="1:22">
      <c r="A2226" s="32" t="s">
        <v>4629</v>
      </c>
      <c r="B2226" s="32" t="s">
        <v>1574</v>
      </c>
      <c r="C2226" s="32" t="s">
        <v>1366</v>
      </c>
      <c r="D2226" s="33">
        <v>0</v>
      </c>
      <c r="E2226" s="33" t="s">
        <v>1639</v>
      </c>
      <c r="F2226" s="33">
        <v>173</v>
      </c>
      <c r="G2226" s="33">
        <v>87</v>
      </c>
      <c r="H2226" s="33" t="s">
        <v>1639</v>
      </c>
      <c r="I2226" s="33">
        <v>269</v>
      </c>
      <c r="K2226" t="b">
        <f>QHPSelections2016[[#This Row],[County Name]]=P2226</f>
        <v>1</v>
      </c>
      <c r="L2226" t="b">
        <f>QHPSelections2016[[#This Row],[Silver]]=S2226</f>
        <v>1</v>
      </c>
      <c r="N2226">
        <v>48377</v>
      </c>
      <c r="O2226" t="s">
        <v>1574</v>
      </c>
      <c r="P2226" t="s">
        <v>1366</v>
      </c>
      <c r="Q2226">
        <v>0</v>
      </c>
      <c r="S2226">
        <v>173</v>
      </c>
      <c r="T2226">
        <v>87</v>
      </c>
      <c r="V2226">
        <v>269</v>
      </c>
    </row>
    <row r="2227" spans="1:22">
      <c r="A2227" s="32" t="s">
        <v>4630</v>
      </c>
      <c r="B2227" s="32" t="s">
        <v>1574</v>
      </c>
      <c r="C2227" s="32" t="s">
        <v>1367</v>
      </c>
      <c r="D2227" s="33" t="s">
        <v>1639</v>
      </c>
      <c r="E2227" s="33">
        <v>33</v>
      </c>
      <c r="F2227" s="33">
        <v>307</v>
      </c>
      <c r="G2227" s="33">
        <v>117</v>
      </c>
      <c r="H2227" s="33" t="s">
        <v>1639</v>
      </c>
      <c r="I2227" s="33">
        <v>460</v>
      </c>
      <c r="K2227" t="b">
        <f>QHPSelections2016[[#This Row],[County Name]]=P2227</f>
        <v>1</v>
      </c>
      <c r="L2227" t="b">
        <f>QHPSelections2016[[#This Row],[Silver]]=S2227</f>
        <v>1</v>
      </c>
      <c r="N2227">
        <v>48379</v>
      </c>
      <c r="O2227" t="s">
        <v>1574</v>
      </c>
      <c r="P2227" t="s">
        <v>1367</v>
      </c>
      <c r="R2227">
        <v>33</v>
      </c>
      <c r="S2227">
        <v>307</v>
      </c>
      <c r="T2227">
        <v>117</v>
      </c>
      <c r="V2227">
        <v>460</v>
      </c>
    </row>
    <row r="2228" spans="1:22">
      <c r="A2228" s="32" t="s">
        <v>4631</v>
      </c>
      <c r="B2228" s="32" t="s">
        <v>1574</v>
      </c>
      <c r="C2228" s="32" t="s">
        <v>1368</v>
      </c>
      <c r="D2228" s="33">
        <v>0</v>
      </c>
      <c r="E2228" s="33">
        <v>287</v>
      </c>
      <c r="F2228" s="33">
        <v>2565</v>
      </c>
      <c r="G2228" s="33">
        <v>1119</v>
      </c>
      <c r="H2228" s="33">
        <v>25</v>
      </c>
      <c r="I2228" s="33">
        <v>3996</v>
      </c>
      <c r="K2228" t="b">
        <f>QHPSelections2016[[#This Row],[County Name]]=P2228</f>
        <v>1</v>
      </c>
      <c r="L2228" t="b">
        <f>QHPSelections2016[[#This Row],[Silver]]=S2228</f>
        <v>1</v>
      </c>
      <c r="N2228">
        <v>48381</v>
      </c>
      <c r="O2228" t="s">
        <v>1574</v>
      </c>
      <c r="P2228" t="s">
        <v>1368</v>
      </c>
      <c r="Q2228">
        <v>0</v>
      </c>
      <c r="R2228">
        <v>287</v>
      </c>
      <c r="S2228" s="51">
        <v>2565</v>
      </c>
      <c r="T2228" s="51">
        <v>1119</v>
      </c>
      <c r="U2228">
        <v>25</v>
      </c>
      <c r="V2228" s="51">
        <v>3996</v>
      </c>
    </row>
    <row r="2229" spans="1:22">
      <c r="A2229" s="32" t="s">
        <v>4632</v>
      </c>
      <c r="B2229" s="32" t="s">
        <v>1574</v>
      </c>
      <c r="C2229" s="32" t="s">
        <v>1369</v>
      </c>
      <c r="D2229" s="33" t="s">
        <v>1639</v>
      </c>
      <c r="E2229" s="33" t="s">
        <v>1639</v>
      </c>
      <c r="F2229" s="33">
        <v>74</v>
      </c>
      <c r="G2229" s="33">
        <v>31</v>
      </c>
      <c r="H2229" s="33">
        <v>0</v>
      </c>
      <c r="I2229" s="33">
        <v>112</v>
      </c>
      <c r="K2229" t="b">
        <f>QHPSelections2016[[#This Row],[County Name]]=P2229</f>
        <v>1</v>
      </c>
      <c r="L2229" t="b">
        <f>QHPSelections2016[[#This Row],[Silver]]=S2229</f>
        <v>1</v>
      </c>
      <c r="N2229">
        <v>48383</v>
      </c>
      <c r="O2229" t="s">
        <v>1574</v>
      </c>
      <c r="P2229" t="s">
        <v>1369</v>
      </c>
      <c r="S2229">
        <v>74</v>
      </c>
      <c r="T2229">
        <v>31</v>
      </c>
      <c r="U2229">
        <v>0</v>
      </c>
      <c r="V2229">
        <v>112</v>
      </c>
    </row>
    <row r="2230" spans="1:22">
      <c r="A2230" s="32" t="s">
        <v>4633</v>
      </c>
      <c r="B2230" s="32" t="s">
        <v>1574</v>
      </c>
      <c r="C2230" s="32" t="s">
        <v>1370</v>
      </c>
      <c r="D2230" s="33">
        <v>0</v>
      </c>
      <c r="E2230" s="33">
        <v>11</v>
      </c>
      <c r="F2230" s="33">
        <v>117</v>
      </c>
      <c r="G2230" s="33">
        <v>63</v>
      </c>
      <c r="H2230" s="33">
        <v>0</v>
      </c>
      <c r="I2230" s="33">
        <v>191</v>
      </c>
      <c r="K2230" t="b">
        <f>QHPSelections2016[[#This Row],[County Name]]=P2230</f>
        <v>1</v>
      </c>
      <c r="L2230" t="b">
        <f>QHPSelections2016[[#This Row],[Silver]]=S2230</f>
        <v>1</v>
      </c>
      <c r="N2230">
        <v>48385</v>
      </c>
      <c r="O2230" t="s">
        <v>1574</v>
      </c>
      <c r="P2230" t="s">
        <v>1370</v>
      </c>
      <c r="Q2230">
        <v>0</v>
      </c>
      <c r="R2230">
        <v>11</v>
      </c>
      <c r="S2230">
        <v>117</v>
      </c>
      <c r="T2230">
        <v>63</v>
      </c>
      <c r="U2230">
        <v>0</v>
      </c>
      <c r="V2230">
        <v>191</v>
      </c>
    </row>
    <row r="2231" spans="1:22">
      <c r="A2231" s="32" t="s">
        <v>4634</v>
      </c>
      <c r="B2231" s="32" t="s">
        <v>1574</v>
      </c>
      <c r="C2231" s="32" t="s">
        <v>1371</v>
      </c>
      <c r="D2231" s="33" t="s">
        <v>1639</v>
      </c>
      <c r="E2231" s="33">
        <v>21</v>
      </c>
      <c r="F2231" s="33">
        <v>332</v>
      </c>
      <c r="G2231" s="33">
        <v>148</v>
      </c>
      <c r="H2231" s="33" t="s">
        <v>1639</v>
      </c>
      <c r="I2231" s="33">
        <v>505</v>
      </c>
      <c r="K2231" t="b">
        <f>QHPSelections2016[[#This Row],[County Name]]=P2231</f>
        <v>1</v>
      </c>
      <c r="L2231" t="b">
        <f>QHPSelections2016[[#This Row],[Silver]]=S2231</f>
        <v>1</v>
      </c>
      <c r="N2231">
        <v>48387</v>
      </c>
      <c r="O2231" t="s">
        <v>1574</v>
      </c>
      <c r="P2231" t="s">
        <v>1371</v>
      </c>
      <c r="R2231">
        <v>21</v>
      </c>
      <c r="S2231">
        <v>332</v>
      </c>
      <c r="T2231">
        <v>148</v>
      </c>
      <c r="V2231">
        <v>505</v>
      </c>
    </row>
    <row r="2232" spans="1:22">
      <c r="A2232" s="32" t="s">
        <v>4635</v>
      </c>
      <c r="B2232" s="32" t="s">
        <v>1574</v>
      </c>
      <c r="C2232" s="32" t="s">
        <v>1372</v>
      </c>
      <c r="D2232" s="33" t="s">
        <v>1639</v>
      </c>
      <c r="E2232" s="33">
        <v>19</v>
      </c>
      <c r="F2232" s="33">
        <v>228</v>
      </c>
      <c r="G2232" s="33">
        <v>69</v>
      </c>
      <c r="H2232" s="33" t="s">
        <v>1639</v>
      </c>
      <c r="I2232" s="33">
        <v>317</v>
      </c>
      <c r="K2232" t="b">
        <f>QHPSelections2016[[#This Row],[County Name]]=P2232</f>
        <v>1</v>
      </c>
      <c r="L2232" t="b">
        <f>QHPSelections2016[[#This Row],[Silver]]=S2232</f>
        <v>1</v>
      </c>
      <c r="N2232">
        <v>48389</v>
      </c>
      <c r="O2232" t="s">
        <v>1574</v>
      </c>
      <c r="P2232" t="s">
        <v>1372</v>
      </c>
      <c r="R2232">
        <v>19</v>
      </c>
      <c r="S2232">
        <v>228</v>
      </c>
      <c r="T2232">
        <v>69</v>
      </c>
      <c r="V2232">
        <v>317</v>
      </c>
    </row>
    <row r="2233" spans="1:22">
      <c r="A2233" s="32" t="s">
        <v>4636</v>
      </c>
      <c r="B2233" s="32" t="s">
        <v>1574</v>
      </c>
      <c r="C2233" s="32" t="s">
        <v>1373</v>
      </c>
      <c r="D2233" s="33" t="s">
        <v>1639</v>
      </c>
      <c r="E2233" s="33" t="s">
        <v>1639</v>
      </c>
      <c r="F2233" s="33">
        <v>178</v>
      </c>
      <c r="G2233" s="33">
        <v>88</v>
      </c>
      <c r="H2233" s="33" t="s">
        <v>1639</v>
      </c>
      <c r="I2233" s="33">
        <v>280</v>
      </c>
      <c r="K2233" t="b">
        <f>QHPSelections2016[[#This Row],[County Name]]=P2233</f>
        <v>1</v>
      </c>
      <c r="L2233" t="b">
        <f>QHPSelections2016[[#This Row],[Silver]]=S2233</f>
        <v>1</v>
      </c>
      <c r="N2233">
        <v>48391</v>
      </c>
      <c r="O2233" t="s">
        <v>1574</v>
      </c>
      <c r="P2233" t="s">
        <v>1373</v>
      </c>
      <c r="S2233">
        <v>178</v>
      </c>
      <c r="T2233">
        <v>88</v>
      </c>
      <c r="V2233">
        <v>280</v>
      </c>
    </row>
    <row r="2234" spans="1:22">
      <c r="A2234" s="32" t="s">
        <v>4637</v>
      </c>
      <c r="B2234" s="32" t="s">
        <v>1574</v>
      </c>
      <c r="C2234" s="32" t="s">
        <v>1374</v>
      </c>
      <c r="D2234" s="33">
        <v>0</v>
      </c>
      <c r="E2234" s="33" t="s">
        <v>1639</v>
      </c>
      <c r="F2234" s="33" t="s">
        <v>1639</v>
      </c>
      <c r="G2234" s="33" t="s">
        <v>1639</v>
      </c>
      <c r="H2234" s="33">
        <v>0</v>
      </c>
      <c r="I2234" s="33" t="s">
        <v>1639</v>
      </c>
      <c r="K2234" t="b">
        <f>QHPSelections2016[[#This Row],[County Name]]=P2234</f>
        <v>1</v>
      </c>
      <c r="L2234" t="b">
        <f>QHPSelections2016[[#This Row],[Silver]]=S2234</f>
        <v>0</v>
      </c>
      <c r="N2234">
        <v>48393</v>
      </c>
      <c r="O2234" t="s">
        <v>1574</v>
      </c>
      <c r="P2234" t="s">
        <v>1374</v>
      </c>
      <c r="Q2234">
        <v>0</v>
      </c>
      <c r="U2234">
        <v>0</v>
      </c>
    </row>
    <row r="2235" spans="1:22">
      <c r="A2235" s="32" t="s">
        <v>4638</v>
      </c>
      <c r="B2235" s="32" t="s">
        <v>1574</v>
      </c>
      <c r="C2235" s="32" t="s">
        <v>1204</v>
      </c>
      <c r="D2235" s="33" t="s">
        <v>1639</v>
      </c>
      <c r="E2235" s="33">
        <v>47</v>
      </c>
      <c r="F2235" s="33">
        <v>444</v>
      </c>
      <c r="G2235" s="33">
        <v>134</v>
      </c>
      <c r="H2235" s="33" t="s">
        <v>1639</v>
      </c>
      <c r="I2235" s="33">
        <v>627</v>
      </c>
      <c r="K2235" t="b">
        <f>QHPSelections2016[[#This Row],[County Name]]=P2235</f>
        <v>1</v>
      </c>
      <c r="L2235" t="b">
        <f>QHPSelections2016[[#This Row],[Silver]]=S2235</f>
        <v>1</v>
      </c>
      <c r="N2235">
        <v>48395</v>
      </c>
      <c r="O2235" t="s">
        <v>1574</v>
      </c>
      <c r="P2235" t="s">
        <v>1204</v>
      </c>
      <c r="R2235">
        <v>47</v>
      </c>
      <c r="S2235">
        <v>444</v>
      </c>
      <c r="T2235">
        <v>134</v>
      </c>
      <c r="V2235">
        <v>627</v>
      </c>
    </row>
    <row r="2236" spans="1:22">
      <c r="A2236" s="32" t="s">
        <v>4639</v>
      </c>
      <c r="B2236" s="32" t="s">
        <v>1574</v>
      </c>
      <c r="C2236" s="32" t="s">
        <v>1375</v>
      </c>
      <c r="D2236" s="33">
        <v>0</v>
      </c>
      <c r="E2236" s="33">
        <v>304</v>
      </c>
      <c r="F2236" s="33">
        <v>2809</v>
      </c>
      <c r="G2236" s="33">
        <v>1411</v>
      </c>
      <c r="H2236" s="33">
        <v>28</v>
      </c>
      <c r="I2236" s="33">
        <v>4552</v>
      </c>
      <c r="K2236" t="b">
        <f>QHPSelections2016[[#This Row],[County Name]]=P2236</f>
        <v>1</v>
      </c>
      <c r="L2236" t="b">
        <f>QHPSelections2016[[#This Row],[Silver]]=S2236</f>
        <v>1</v>
      </c>
      <c r="N2236">
        <v>48397</v>
      </c>
      <c r="O2236" t="s">
        <v>1574</v>
      </c>
      <c r="P2236" t="s">
        <v>1375</v>
      </c>
      <c r="Q2236">
        <v>0</v>
      </c>
      <c r="R2236">
        <v>304</v>
      </c>
      <c r="S2236" s="51">
        <v>2809</v>
      </c>
      <c r="T2236" s="51">
        <v>1411</v>
      </c>
      <c r="U2236">
        <v>28</v>
      </c>
      <c r="V2236" s="51">
        <v>4552</v>
      </c>
    </row>
    <row r="2237" spans="1:22">
      <c r="A2237" s="32" t="s">
        <v>4640</v>
      </c>
      <c r="B2237" s="32" t="s">
        <v>1574</v>
      </c>
      <c r="C2237" s="32" t="s">
        <v>1376</v>
      </c>
      <c r="D2237" s="33" t="s">
        <v>1639</v>
      </c>
      <c r="E2237" s="33">
        <v>25</v>
      </c>
      <c r="F2237" s="33">
        <v>290</v>
      </c>
      <c r="G2237" s="33">
        <v>113</v>
      </c>
      <c r="H2237" s="33" t="s">
        <v>1639</v>
      </c>
      <c r="I2237" s="33">
        <v>430</v>
      </c>
      <c r="K2237" t="b">
        <f>QHPSelections2016[[#This Row],[County Name]]=P2237</f>
        <v>1</v>
      </c>
      <c r="L2237" t="b">
        <f>QHPSelections2016[[#This Row],[Silver]]=S2237</f>
        <v>1</v>
      </c>
      <c r="N2237">
        <v>48399</v>
      </c>
      <c r="O2237" t="s">
        <v>1574</v>
      </c>
      <c r="P2237" t="s">
        <v>1376</v>
      </c>
      <c r="R2237">
        <v>25</v>
      </c>
      <c r="S2237">
        <v>290</v>
      </c>
      <c r="T2237">
        <v>113</v>
      </c>
      <c r="V2237">
        <v>430</v>
      </c>
    </row>
    <row r="2238" spans="1:22">
      <c r="A2238" s="32" t="s">
        <v>4641</v>
      </c>
      <c r="B2238" s="32" t="s">
        <v>1574</v>
      </c>
      <c r="C2238" s="32" t="s">
        <v>1377</v>
      </c>
      <c r="D2238" s="33" t="s">
        <v>1639</v>
      </c>
      <c r="E2238" s="33">
        <v>98</v>
      </c>
      <c r="F2238" s="33">
        <v>1151</v>
      </c>
      <c r="G2238" s="33">
        <v>450</v>
      </c>
      <c r="H2238" s="33" t="s">
        <v>1639</v>
      </c>
      <c r="I2238" s="33">
        <v>1705</v>
      </c>
      <c r="K2238" t="b">
        <f>QHPSelections2016[[#This Row],[County Name]]=P2238</f>
        <v>1</v>
      </c>
      <c r="L2238" t="b">
        <f>QHPSelections2016[[#This Row],[Silver]]=S2238</f>
        <v>1</v>
      </c>
      <c r="N2238">
        <v>48401</v>
      </c>
      <c r="O2238" t="s">
        <v>1574</v>
      </c>
      <c r="P2238" t="s">
        <v>1377</v>
      </c>
      <c r="R2238">
        <v>98</v>
      </c>
      <c r="S2238" s="51">
        <v>1151</v>
      </c>
      <c r="T2238">
        <v>450</v>
      </c>
      <c r="V2238" s="51">
        <v>1705</v>
      </c>
    </row>
    <row r="2239" spans="1:22">
      <c r="A2239" s="32" t="s">
        <v>4642</v>
      </c>
      <c r="B2239" s="32" t="s">
        <v>1574</v>
      </c>
      <c r="C2239" s="32" t="s">
        <v>1378</v>
      </c>
      <c r="D2239" s="33" t="s">
        <v>1639</v>
      </c>
      <c r="E2239" s="33">
        <v>22</v>
      </c>
      <c r="F2239" s="33">
        <v>255</v>
      </c>
      <c r="G2239" s="33">
        <v>100</v>
      </c>
      <c r="H2239" s="33" t="s">
        <v>1639</v>
      </c>
      <c r="I2239" s="33">
        <v>379</v>
      </c>
      <c r="K2239" t="b">
        <f>QHPSelections2016[[#This Row],[County Name]]=P2239</f>
        <v>1</v>
      </c>
      <c r="L2239" t="b">
        <f>QHPSelections2016[[#This Row],[Silver]]=S2239</f>
        <v>1</v>
      </c>
      <c r="N2239">
        <v>48403</v>
      </c>
      <c r="O2239" t="s">
        <v>1574</v>
      </c>
      <c r="P2239" t="s">
        <v>1378</v>
      </c>
      <c r="R2239">
        <v>22</v>
      </c>
      <c r="S2239">
        <v>255</v>
      </c>
      <c r="T2239">
        <v>100</v>
      </c>
      <c r="V2239">
        <v>379</v>
      </c>
    </row>
    <row r="2240" spans="1:22">
      <c r="A2240" s="32" t="s">
        <v>4643</v>
      </c>
      <c r="B2240" s="32" t="s">
        <v>1574</v>
      </c>
      <c r="C2240" s="32" t="s">
        <v>1379</v>
      </c>
      <c r="D2240" s="33" t="s">
        <v>1639</v>
      </c>
      <c r="E2240" s="33">
        <v>22</v>
      </c>
      <c r="F2240" s="33">
        <v>218</v>
      </c>
      <c r="G2240" s="33">
        <v>112</v>
      </c>
      <c r="H2240" s="33" t="s">
        <v>1639</v>
      </c>
      <c r="I2240" s="33">
        <v>356</v>
      </c>
      <c r="K2240" t="b">
        <f>QHPSelections2016[[#This Row],[County Name]]=P2240</f>
        <v>1</v>
      </c>
      <c r="L2240" t="b">
        <f>QHPSelections2016[[#This Row],[Silver]]=S2240</f>
        <v>1</v>
      </c>
      <c r="N2240">
        <v>48405</v>
      </c>
      <c r="O2240" t="s">
        <v>1574</v>
      </c>
      <c r="P2240" t="s">
        <v>1379</v>
      </c>
      <c r="R2240">
        <v>22</v>
      </c>
      <c r="S2240">
        <v>218</v>
      </c>
      <c r="T2240">
        <v>112</v>
      </c>
      <c r="V2240">
        <v>356</v>
      </c>
    </row>
    <row r="2241" spans="1:22">
      <c r="A2241" s="32" t="s">
        <v>4644</v>
      </c>
      <c r="B2241" s="32" t="s">
        <v>1574</v>
      </c>
      <c r="C2241" s="32" t="s">
        <v>1380</v>
      </c>
      <c r="D2241" s="33" t="s">
        <v>1639</v>
      </c>
      <c r="E2241" s="33">
        <v>67</v>
      </c>
      <c r="F2241" s="33">
        <v>674</v>
      </c>
      <c r="G2241" s="33">
        <v>242</v>
      </c>
      <c r="H2241" s="33" t="s">
        <v>1639</v>
      </c>
      <c r="I2241" s="33">
        <v>989</v>
      </c>
      <c r="K2241" t="b">
        <f>QHPSelections2016[[#This Row],[County Name]]=P2241</f>
        <v>1</v>
      </c>
      <c r="L2241" t="b">
        <f>QHPSelections2016[[#This Row],[Silver]]=S2241</f>
        <v>1</v>
      </c>
      <c r="N2241">
        <v>48407</v>
      </c>
      <c r="O2241" t="s">
        <v>1574</v>
      </c>
      <c r="P2241" t="s">
        <v>1380</v>
      </c>
      <c r="R2241">
        <v>67</v>
      </c>
      <c r="S2241">
        <v>674</v>
      </c>
      <c r="T2241">
        <v>242</v>
      </c>
      <c r="V2241">
        <v>989</v>
      </c>
    </row>
    <row r="2242" spans="1:22">
      <c r="A2242" s="32" t="s">
        <v>4645</v>
      </c>
      <c r="B2242" s="32" t="s">
        <v>1574</v>
      </c>
      <c r="C2242" s="32" t="s">
        <v>1381</v>
      </c>
      <c r="D2242" s="33">
        <v>31</v>
      </c>
      <c r="E2242" s="33">
        <v>171</v>
      </c>
      <c r="F2242" s="33">
        <v>1557</v>
      </c>
      <c r="G2242" s="33">
        <v>722</v>
      </c>
      <c r="H2242" s="33">
        <v>39</v>
      </c>
      <c r="I2242" s="33">
        <v>2520</v>
      </c>
      <c r="K2242" t="b">
        <f>QHPSelections2016[[#This Row],[County Name]]=P2242</f>
        <v>1</v>
      </c>
      <c r="L2242" t="b">
        <f>QHPSelections2016[[#This Row],[Silver]]=S2242</f>
        <v>1</v>
      </c>
      <c r="N2242">
        <v>48409</v>
      </c>
      <c r="O2242" t="s">
        <v>1574</v>
      </c>
      <c r="P2242" t="s">
        <v>1381</v>
      </c>
      <c r="Q2242">
        <v>31</v>
      </c>
      <c r="R2242">
        <v>171</v>
      </c>
      <c r="S2242" s="51">
        <v>1557</v>
      </c>
      <c r="T2242">
        <v>722</v>
      </c>
      <c r="U2242">
        <v>39</v>
      </c>
      <c r="V2242" s="51">
        <v>2520</v>
      </c>
    </row>
    <row r="2243" spans="1:22">
      <c r="A2243" s="32" t="s">
        <v>4646</v>
      </c>
      <c r="B2243" s="32" t="s">
        <v>1574</v>
      </c>
      <c r="C2243" s="32" t="s">
        <v>1382</v>
      </c>
      <c r="D2243" s="33">
        <v>0</v>
      </c>
      <c r="E2243" s="33" t="s">
        <v>1639</v>
      </c>
      <c r="F2243" s="33">
        <v>183</v>
      </c>
      <c r="G2243" s="33">
        <v>49</v>
      </c>
      <c r="H2243" s="33" t="s">
        <v>1639</v>
      </c>
      <c r="I2243" s="33">
        <v>243</v>
      </c>
      <c r="K2243" t="b">
        <f>QHPSelections2016[[#This Row],[County Name]]=P2243</f>
        <v>1</v>
      </c>
      <c r="L2243" t="b">
        <f>QHPSelections2016[[#This Row],[Silver]]=S2243</f>
        <v>1</v>
      </c>
      <c r="N2243">
        <v>48411</v>
      </c>
      <c r="O2243" t="s">
        <v>1574</v>
      </c>
      <c r="P2243" t="s">
        <v>1382</v>
      </c>
      <c r="Q2243">
        <v>0</v>
      </c>
      <c r="S2243">
        <v>183</v>
      </c>
      <c r="T2243">
        <v>49</v>
      </c>
      <c r="V2243">
        <v>243</v>
      </c>
    </row>
    <row r="2244" spans="1:22">
      <c r="A2244" s="32" t="s">
        <v>4647</v>
      </c>
      <c r="B2244" s="32" t="s">
        <v>1574</v>
      </c>
      <c r="C2244" s="32" t="s">
        <v>1383</v>
      </c>
      <c r="D2244" s="33">
        <v>0</v>
      </c>
      <c r="E2244" s="33" t="s">
        <v>1639</v>
      </c>
      <c r="F2244" s="33">
        <v>58</v>
      </c>
      <c r="G2244" s="33">
        <v>22</v>
      </c>
      <c r="H2244" s="33" t="s">
        <v>1639</v>
      </c>
      <c r="I2244" s="33">
        <v>86</v>
      </c>
      <c r="K2244" t="b">
        <f>QHPSelections2016[[#This Row],[County Name]]=P2244</f>
        <v>1</v>
      </c>
      <c r="L2244" t="b">
        <f>QHPSelections2016[[#This Row],[Silver]]=S2244</f>
        <v>1</v>
      </c>
      <c r="N2244">
        <v>48413</v>
      </c>
      <c r="O2244" t="s">
        <v>1574</v>
      </c>
      <c r="P2244" t="s">
        <v>1383</v>
      </c>
      <c r="Q2244">
        <v>0</v>
      </c>
      <c r="S2244">
        <v>58</v>
      </c>
      <c r="T2244">
        <v>22</v>
      </c>
      <c r="V2244">
        <v>86</v>
      </c>
    </row>
    <row r="2245" spans="1:22">
      <c r="A2245" s="32" t="s">
        <v>4648</v>
      </c>
      <c r="B2245" s="32" t="s">
        <v>1574</v>
      </c>
      <c r="C2245" s="32" t="s">
        <v>1384</v>
      </c>
      <c r="D2245" s="33" t="s">
        <v>1639</v>
      </c>
      <c r="E2245" s="33">
        <v>35</v>
      </c>
      <c r="F2245" s="33">
        <v>299</v>
      </c>
      <c r="G2245" s="33">
        <v>96</v>
      </c>
      <c r="H2245" s="33" t="s">
        <v>1639</v>
      </c>
      <c r="I2245" s="33">
        <v>432</v>
      </c>
      <c r="K2245" t="b">
        <f>QHPSelections2016[[#This Row],[County Name]]=P2245</f>
        <v>1</v>
      </c>
      <c r="L2245" t="b">
        <f>QHPSelections2016[[#This Row],[Silver]]=S2245</f>
        <v>1</v>
      </c>
      <c r="N2245">
        <v>48415</v>
      </c>
      <c r="O2245" t="s">
        <v>1574</v>
      </c>
      <c r="P2245" t="s">
        <v>1384</v>
      </c>
      <c r="R2245">
        <v>35</v>
      </c>
      <c r="S2245">
        <v>299</v>
      </c>
      <c r="T2245">
        <v>96</v>
      </c>
      <c r="V2245">
        <v>432</v>
      </c>
    </row>
    <row r="2246" spans="1:22">
      <c r="A2246" s="32" t="s">
        <v>4649</v>
      </c>
      <c r="B2246" s="32" t="s">
        <v>1574</v>
      </c>
      <c r="C2246" s="32" t="s">
        <v>1385</v>
      </c>
      <c r="D2246" s="33" t="s">
        <v>1639</v>
      </c>
      <c r="E2246" s="33">
        <v>17</v>
      </c>
      <c r="F2246" s="33">
        <v>91</v>
      </c>
      <c r="G2246" s="33">
        <v>35</v>
      </c>
      <c r="H2246" s="33" t="s">
        <v>1639</v>
      </c>
      <c r="I2246" s="33">
        <v>145</v>
      </c>
      <c r="K2246" t="b">
        <f>QHPSelections2016[[#This Row],[County Name]]=P2246</f>
        <v>1</v>
      </c>
      <c r="L2246" t="b">
        <f>QHPSelections2016[[#This Row],[Silver]]=S2246</f>
        <v>1</v>
      </c>
      <c r="N2246">
        <v>48417</v>
      </c>
      <c r="O2246" t="s">
        <v>1574</v>
      </c>
      <c r="P2246" t="s">
        <v>1385</v>
      </c>
      <c r="R2246">
        <v>17</v>
      </c>
      <c r="S2246">
        <v>91</v>
      </c>
      <c r="T2246">
        <v>35</v>
      </c>
      <c r="V2246">
        <v>145</v>
      </c>
    </row>
    <row r="2247" spans="1:22">
      <c r="A2247" s="32" t="s">
        <v>4650</v>
      </c>
      <c r="B2247" s="32" t="s">
        <v>1574</v>
      </c>
      <c r="C2247" s="32" t="s">
        <v>1126</v>
      </c>
      <c r="D2247" s="33" t="s">
        <v>1639</v>
      </c>
      <c r="E2247" s="33">
        <v>47</v>
      </c>
      <c r="F2247" s="33">
        <v>548</v>
      </c>
      <c r="G2247" s="33">
        <v>251</v>
      </c>
      <c r="H2247" s="33" t="s">
        <v>1639</v>
      </c>
      <c r="I2247" s="33">
        <v>852</v>
      </c>
      <c r="K2247" t="b">
        <f>QHPSelections2016[[#This Row],[County Name]]=P2247</f>
        <v>1</v>
      </c>
      <c r="L2247" t="b">
        <f>QHPSelections2016[[#This Row],[Silver]]=S2247</f>
        <v>1</v>
      </c>
      <c r="N2247">
        <v>48419</v>
      </c>
      <c r="O2247" t="s">
        <v>1574</v>
      </c>
      <c r="P2247" t="s">
        <v>1126</v>
      </c>
      <c r="R2247">
        <v>47</v>
      </c>
      <c r="S2247">
        <v>548</v>
      </c>
      <c r="T2247">
        <v>251</v>
      </c>
      <c r="V2247">
        <v>852</v>
      </c>
    </row>
    <row r="2248" spans="1:22">
      <c r="A2248" s="32" t="s">
        <v>4651</v>
      </c>
      <c r="B2248" s="32" t="s">
        <v>1574</v>
      </c>
      <c r="C2248" s="32" t="s">
        <v>1386</v>
      </c>
      <c r="D2248" s="33" t="s">
        <v>1639</v>
      </c>
      <c r="E2248" s="33">
        <v>12</v>
      </c>
      <c r="F2248" s="33">
        <v>54</v>
      </c>
      <c r="G2248" s="33">
        <v>18</v>
      </c>
      <c r="H2248" s="33" t="s">
        <v>1639</v>
      </c>
      <c r="I2248" s="33">
        <v>85</v>
      </c>
      <c r="K2248" t="b">
        <f>QHPSelections2016[[#This Row],[County Name]]=P2248</f>
        <v>1</v>
      </c>
      <c r="L2248" t="b">
        <f>QHPSelections2016[[#This Row],[Silver]]=S2248</f>
        <v>1</v>
      </c>
      <c r="N2248">
        <v>48421</v>
      </c>
      <c r="O2248" t="s">
        <v>1574</v>
      </c>
      <c r="P2248" t="s">
        <v>1386</v>
      </c>
      <c r="R2248">
        <v>12</v>
      </c>
      <c r="S2248">
        <v>54</v>
      </c>
      <c r="T2248">
        <v>18</v>
      </c>
      <c r="V2248">
        <v>85</v>
      </c>
    </row>
    <row r="2249" spans="1:22">
      <c r="A2249" s="32" t="s">
        <v>4652</v>
      </c>
      <c r="B2249" s="32" t="s">
        <v>1574</v>
      </c>
      <c r="C2249" s="32" t="s">
        <v>1163</v>
      </c>
      <c r="D2249" s="33">
        <v>0</v>
      </c>
      <c r="E2249" s="33">
        <v>575</v>
      </c>
      <c r="F2249" s="33">
        <v>6261</v>
      </c>
      <c r="G2249" s="33">
        <v>2357</v>
      </c>
      <c r="H2249" s="33">
        <v>68</v>
      </c>
      <c r="I2249" s="33">
        <v>9261</v>
      </c>
      <c r="K2249" t="b">
        <f>QHPSelections2016[[#This Row],[County Name]]=P2249</f>
        <v>1</v>
      </c>
      <c r="L2249" t="b">
        <f>QHPSelections2016[[#This Row],[Silver]]=S2249</f>
        <v>1</v>
      </c>
      <c r="N2249">
        <v>48423</v>
      </c>
      <c r="O2249" t="s">
        <v>1574</v>
      </c>
      <c r="P2249" t="s">
        <v>1163</v>
      </c>
      <c r="Q2249">
        <v>0</v>
      </c>
      <c r="R2249">
        <v>575</v>
      </c>
      <c r="S2249" s="51">
        <v>6261</v>
      </c>
      <c r="T2249" s="51">
        <v>2357</v>
      </c>
      <c r="U2249">
        <v>68</v>
      </c>
      <c r="V2249" s="51">
        <v>9261</v>
      </c>
    </row>
    <row r="2250" spans="1:22">
      <c r="A2250" s="32" t="s">
        <v>4653</v>
      </c>
      <c r="B2250" s="32" t="s">
        <v>1574</v>
      </c>
      <c r="C2250" s="32" t="s">
        <v>1387</v>
      </c>
      <c r="D2250" s="33">
        <v>0</v>
      </c>
      <c r="E2250" s="33" t="s">
        <v>1639</v>
      </c>
      <c r="F2250" s="33">
        <v>247</v>
      </c>
      <c r="G2250" s="33">
        <v>120</v>
      </c>
      <c r="H2250" s="33" t="s">
        <v>1639</v>
      </c>
      <c r="I2250" s="33">
        <v>379</v>
      </c>
      <c r="K2250" t="b">
        <f>QHPSelections2016[[#This Row],[County Name]]=P2250</f>
        <v>1</v>
      </c>
      <c r="L2250" t="b">
        <f>QHPSelections2016[[#This Row],[Silver]]=S2250</f>
        <v>1</v>
      </c>
      <c r="N2250">
        <v>48425</v>
      </c>
      <c r="O2250" t="s">
        <v>1574</v>
      </c>
      <c r="P2250" t="s">
        <v>1387</v>
      </c>
      <c r="Q2250">
        <v>0</v>
      </c>
      <c r="S2250">
        <v>247</v>
      </c>
      <c r="T2250">
        <v>120</v>
      </c>
      <c r="V2250">
        <v>379</v>
      </c>
    </row>
    <row r="2251" spans="1:22">
      <c r="A2251" s="32" t="s">
        <v>4654</v>
      </c>
      <c r="B2251" s="32" t="s">
        <v>1574</v>
      </c>
      <c r="C2251" s="32" t="s">
        <v>1388</v>
      </c>
      <c r="D2251" s="33" t="s">
        <v>1639</v>
      </c>
      <c r="E2251" s="33">
        <v>66</v>
      </c>
      <c r="F2251" s="33">
        <v>2952</v>
      </c>
      <c r="G2251" s="33">
        <v>579</v>
      </c>
      <c r="H2251" s="33" t="s">
        <v>1639</v>
      </c>
      <c r="I2251" s="33">
        <v>3605</v>
      </c>
      <c r="K2251" t="b">
        <f>QHPSelections2016[[#This Row],[County Name]]=P2251</f>
        <v>1</v>
      </c>
      <c r="L2251" t="b">
        <f>QHPSelections2016[[#This Row],[Silver]]=S2251</f>
        <v>1</v>
      </c>
      <c r="N2251">
        <v>48427</v>
      </c>
      <c r="O2251" t="s">
        <v>1574</v>
      </c>
      <c r="P2251" t="s">
        <v>1388</v>
      </c>
      <c r="R2251">
        <v>66</v>
      </c>
      <c r="S2251" s="51">
        <v>2952</v>
      </c>
      <c r="T2251">
        <v>579</v>
      </c>
      <c r="V2251" s="51">
        <v>3605</v>
      </c>
    </row>
    <row r="2252" spans="1:22">
      <c r="A2252" s="32" t="s">
        <v>4655</v>
      </c>
      <c r="B2252" s="32" t="s">
        <v>1574</v>
      </c>
      <c r="C2252" s="32" t="s">
        <v>1302</v>
      </c>
      <c r="D2252" s="33" t="s">
        <v>1639</v>
      </c>
      <c r="E2252" s="33">
        <v>21</v>
      </c>
      <c r="F2252" s="33">
        <v>285</v>
      </c>
      <c r="G2252" s="33">
        <v>106</v>
      </c>
      <c r="H2252" s="33" t="s">
        <v>1639</v>
      </c>
      <c r="I2252" s="33">
        <v>415</v>
      </c>
      <c r="K2252" t="b">
        <f>QHPSelections2016[[#This Row],[County Name]]=P2252</f>
        <v>1</v>
      </c>
      <c r="L2252" t="b">
        <f>QHPSelections2016[[#This Row],[Silver]]=S2252</f>
        <v>1</v>
      </c>
      <c r="N2252">
        <v>48429</v>
      </c>
      <c r="O2252" t="s">
        <v>1574</v>
      </c>
      <c r="P2252" t="s">
        <v>1302</v>
      </c>
      <c r="R2252">
        <v>21</v>
      </c>
      <c r="S2252">
        <v>285</v>
      </c>
      <c r="T2252">
        <v>106</v>
      </c>
      <c r="V2252">
        <v>415</v>
      </c>
    </row>
    <row r="2253" spans="1:22">
      <c r="A2253" s="32" t="s">
        <v>4656</v>
      </c>
      <c r="B2253" s="32" t="s">
        <v>1574</v>
      </c>
      <c r="C2253" s="32" t="s">
        <v>1389</v>
      </c>
      <c r="D2253" s="33" t="s">
        <v>1639</v>
      </c>
      <c r="E2253" s="33" t="s">
        <v>1639</v>
      </c>
      <c r="F2253" s="33">
        <v>45</v>
      </c>
      <c r="G2253" s="33">
        <v>12</v>
      </c>
      <c r="H2253" s="33">
        <v>0</v>
      </c>
      <c r="I2253" s="33">
        <v>61</v>
      </c>
      <c r="K2253" t="b">
        <f>QHPSelections2016[[#This Row],[County Name]]=P2253</f>
        <v>1</v>
      </c>
      <c r="L2253" t="b">
        <f>QHPSelections2016[[#This Row],[Silver]]=S2253</f>
        <v>1</v>
      </c>
      <c r="N2253">
        <v>48431</v>
      </c>
      <c r="O2253" t="s">
        <v>1574</v>
      </c>
      <c r="P2253" t="s">
        <v>1389</v>
      </c>
      <c r="S2253">
        <v>45</v>
      </c>
      <c r="T2253">
        <v>12</v>
      </c>
      <c r="U2253">
        <v>0</v>
      </c>
      <c r="V2253">
        <v>61</v>
      </c>
    </row>
    <row r="2254" spans="1:22">
      <c r="A2254" s="32" t="s">
        <v>4657</v>
      </c>
      <c r="B2254" s="32" t="s">
        <v>1574</v>
      </c>
      <c r="C2254" s="32" t="s">
        <v>1390</v>
      </c>
      <c r="D2254" s="33">
        <v>0</v>
      </c>
      <c r="E2254" s="33" t="s">
        <v>1639</v>
      </c>
      <c r="F2254" s="33">
        <v>29</v>
      </c>
      <c r="G2254" s="33" t="s">
        <v>1639</v>
      </c>
      <c r="H2254" s="33" t="s">
        <v>1639</v>
      </c>
      <c r="I2254" s="33">
        <v>49</v>
      </c>
      <c r="K2254" t="b">
        <f>QHPSelections2016[[#This Row],[County Name]]=P2254</f>
        <v>1</v>
      </c>
      <c r="L2254" t="b">
        <f>QHPSelections2016[[#This Row],[Silver]]=S2254</f>
        <v>1</v>
      </c>
      <c r="N2254">
        <v>48433</v>
      </c>
      <c r="O2254" t="s">
        <v>1574</v>
      </c>
      <c r="P2254" t="s">
        <v>1390</v>
      </c>
      <c r="Q2254">
        <v>0</v>
      </c>
      <c r="S2254">
        <v>29</v>
      </c>
      <c r="V2254">
        <v>49</v>
      </c>
    </row>
    <row r="2255" spans="1:22">
      <c r="A2255" s="32" t="s">
        <v>4658</v>
      </c>
      <c r="B2255" s="32" t="s">
        <v>1574</v>
      </c>
      <c r="C2255" s="32" t="s">
        <v>1391</v>
      </c>
      <c r="D2255" s="33">
        <v>0</v>
      </c>
      <c r="E2255" s="33" t="s">
        <v>1639</v>
      </c>
      <c r="F2255" s="33">
        <v>91</v>
      </c>
      <c r="G2255" s="33">
        <v>72</v>
      </c>
      <c r="H2255" s="33" t="s">
        <v>1639</v>
      </c>
      <c r="I2255" s="33">
        <v>174</v>
      </c>
      <c r="K2255" t="b">
        <f>QHPSelections2016[[#This Row],[County Name]]=P2255</f>
        <v>1</v>
      </c>
      <c r="L2255" t="b">
        <f>QHPSelections2016[[#This Row],[Silver]]=S2255</f>
        <v>1</v>
      </c>
      <c r="N2255">
        <v>48435</v>
      </c>
      <c r="O2255" t="s">
        <v>1574</v>
      </c>
      <c r="P2255" t="s">
        <v>1391</v>
      </c>
      <c r="Q2255">
        <v>0</v>
      </c>
      <c r="S2255">
        <v>91</v>
      </c>
      <c r="T2255">
        <v>72</v>
      </c>
      <c r="V2255">
        <v>174</v>
      </c>
    </row>
    <row r="2256" spans="1:22">
      <c r="A2256" s="32" t="s">
        <v>4659</v>
      </c>
      <c r="B2256" s="32" t="s">
        <v>1574</v>
      </c>
      <c r="C2256" s="32" t="s">
        <v>1392</v>
      </c>
      <c r="D2256" s="33" t="s">
        <v>1639</v>
      </c>
      <c r="E2256" s="33">
        <v>13</v>
      </c>
      <c r="F2256" s="33">
        <v>149</v>
      </c>
      <c r="G2256" s="33">
        <v>78</v>
      </c>
      <c r="H2256" s="33" t="s">
        <v>1639</v>
      </c>
      <c r="I2256" s="33">
        <v>241</v>
      </c>
      <c r="K2256" t="b">
        <f>QHPSelections2016[[#This Row],[County Name]]=P2256</f>
        <v>1</v>
      </c>
      <c r="L2256" t="b">
        <f>QHPSelections2016[[#This Row],[Silver]]=S2256</f>
        <v>1</v>
      </c>
      <c r="N2256">
        <v>48437</v>
      </c>
      <c r="O2256" t="s">
        <v>1574</v>
      </c>
      <c r="P2256" t="s">
        <v>1392</v>
      </c>
      <c r="R2256">
        <v>13</v>
      </c>
      <c r="S2256">
        <v>149</v>
      </c>
      <c r="T2256">
        <v>78</v>
      </c>
      <c r="V2256">
        <v>241</v>
      </c>
    </row>
    <row r="2257" spans="1:22">
      <c r="A2257" s="32" t="s">
        <v>4660</v>
      </c>
      <c r="B2257" s="32" t="s">
        <v>1574</v>
      </c>
      <c r="C2257" s="32" t="s">
        <v>1393</v>
      </c>
      <c r="D2257" s="33">
        <v>0</v>
      </c>
      <c r="E2257" s="33">
        <v>5824</v>
      </c>
      <c r="F2257" s="33">
        <v>60579</v>
      </c>
      <c r="G2257" s="33">
        <v>33560</v>
      </c>
      <c r="H2257" s="33">
        <v>870</v>
      </c>
      <c r="I2257" s="33">
        <v>100833</v>
      </c>
      <c r="K2257" t="b">
        <f>QHPSelections2016[[#This Row],[County Name]]=P2257</f>
        <v>1</v>
      </c>
      <c r="L2257" t="b">
        <f>QHPSelections2016[[#This Row],[Silver]]=S2257</f>
        <v>1</v>
      </c>
      <c r="N2257">
        <v>48439</v>
      </c>
      <c r="O2257" t="s">
        <v>1574</v>
      </c>
      <c r="P2257" t="s">
        <v>1393</v>
      </c>
      <c r="Q2257">
        <v>0</v>
      </c>
      <c r="R2257" s="51">
        <v>5824</v>
      </c>
      <c r="S2257" s="51">
        <v>60579</v>
      </c>
      <c r="T2257" s="51">
        <v>33560</v>
      </c>
      <c r="U2257">
        <v>870</v>
      </c>
      <c r="V2257" s="51">
        <v>100833</v>
      </c>
    </row>
    <row r="2258" spans="1:22">
      <c r="A2258" s="32" t="s">
        <v>4661</v>
      </c>
      <c r="B2258" s="32" t="s">
        <v>1574</v>
      </c>
      <c r="C2258" s="32" t="s">
        <v>1144</v>
      </c>
      <c r="D2258" s="33">
        <v>0</v>
      </c>
      <c r="E2258" s="33">
        <v>210</v>
      </c>
      <c r="F2258" s="33">
        <v>2729</v>
      </c>
      <c r="G2258" s="33">
        <v>1144</v>
      </c>
      <c r="H2258" s="33">
        <v>44</v>
      </c>
      <c r="I2258" s="33">
        <v>4127</v>
      </c>
      <c r="K2258" t="b">
        <f>QHPSelections2016[[#This Row],[County Name]]=P2258</f>
        <v>1</v>
      </c>
      <c r="L2258" t="b">
        <f>QHPSelections2016[[#This Row],[Silver]]=S2258</f>
        <v>1</v>
      </c>
      <c r="N2258">
        <v>48441</v>
      </c>
      <c r="O2258" t="s">
        <v>1574</v>
      </c>
      <c r="P2258" t="s">
        <v>1144</v>
      </c>
      <c r="Q2258">
        <v>0</v>
      </c>
      <c r="R2258">
        <v>210</v>
      </c>
      <c r="S2258" s="51">
        <v>2729</v>
      </c>
      <c r="T2258" s="51">
        <v>1144</v>
      </c>
      <c r="U2258">
        <v>44</v>
      </c>
      <c r="V2258" s="51">
        <v>4127</v>
      </c>
    </row>
    <row r="2259" spans="1:22">
      <c r="A2259" s="32" t="s">
        <v>4662</v>
      </c>
      <c r="B2259" s="32" t="s">
        <v>1574</v>
      </c>
      <c r="C2259" s="32" t="s">
        <v>1314</v>
      </c>
      <c r="D2259" s="33" t="s">
        <v>1639</v>
      </c>
      <c r="E2259" s="33" t="s">
        <v>1639</v>
      </c>
      <c r="F2259" s="33">
        <v>56</v>
      </c>
      <c r="G2259" s="33">
        <v>14</v>
      </c>
      <c r="H2259" s="33">
        <v>0</v>
      </c>
      <c r="I2259" s="33">
        <v>74</v>
      </c>
      <c r="K2259" t="b">
        <f>QHPSelections2016[[#This Row],[County Name]]=P2259</f>
        <v>1</v>
      </c>
      <c r="L2259" t="b">
        <f>QHPSelections2016[[#This Row],[Silver]]=S2259</f>
        <v>1</v>
      </c>
      <c r="N2259">
        <v>48443</v>
      </c>
      <c r="O2259" t="s">
        <v>1574</v>
      </c>
      <c r="P2259" t="s">
        <v>1314</v>
      </c>
      <c r="S2259">
        <v>56</v>
      </c>
      <c r="T2259">
        <v>14</v>
      </c>
      <c r="U2259">
        <v>0</v>
      </c>
      <c r="V2259">
        <v>74</v>
      </c>
    </row>
    <row r="2260" spans="1:22">
      <c r="A2260" s="32" t="s">
        <v>4663</v>
      </c>
      <c r="B2260" s="32" t="s">
        <v>1574</v>
      </c>
      <c r="C2260" s="32" t="s">
        <v>1394</v>
      </c>
      <c r="D2260" s="33" t="s">
        <v>1639</v>
      </c>
      <c r="E2260" s="33">
        <v>22</v>
      </c>
      <c r="F2260" s="33">
        <v>223</v>
      </c>
      <c r="G2260" s="33">
        <v>87</v>
      </c>
      <c r="H2260" s="33" t="s">
        <v>1639</v>
      </c>
      <c r="I2260" s="33">
        <v>338</v>
      </c>
      <c r="K2260" t="b">
        <f>QHPSelections2016[[#This Row],[County Name]]=P2260</f>
        <v>1</v>
      </c>
      <c r="L2260" t="b">
        <f>QHPSelections2016[[#This Row],[Silver]]=S2260</f>
        <v>1</v>
      </c>
      <c r="N2260">
        <v>48445</v>
      </c>
      <c r="O2260" t="s">
        <v>1574</v>
      </c>
      <c r="P2260" t="s">
        <v>1394</v>
      </c>
      <c r="R2260">
        <v>22</v>
      </c>
      <c r="S2260">
        <v>223</v>
      </c>
      <c r="T2260">
        <v>87</v>
      </c>
      <c r="V2260">
        <v>338</v>
      </c>
    </row>
    <row r="2261" spans="1:22">
      <c r="A2261" s="32" t="s">
        <v>4664</v>
      </c>
      <c r="B2261" s="32" t="s">
        <v>1574</v>
      </c>
      <c r="C2261" s="32" t="s">
        <v>1395</v>
      </c>
      <c r="D2261" s="33">
        <v>0</v>
      </c>
      <c r="E2261" s="33" t="s">
        <v>1639</v>
      </c>
      <c r="F2261" s="33">
        <v>37</v>
      </c>
      <c r="G2261" s="33">
        <v>11</v>
      </c>
      <c r="H2261" s="33" t="s">
        <v>1639</v>
      </c>
      <c r="I2261" s="33">
        <v>54</v>
      </c>
      <c r="K2261" t="b">
        <f>QHPSelections2016[[#This Row],[County Name]]=P2261</f>
        <v>1</v>
      </c>
      <c r="L2261" t="b">
        <f>QHPSelections2016[[#This Row],[Silver]]=S2261</f>
        <v>1</v>
      </c>
      <c r="N2261">
        <v>48447</v>
      </c>
      <c r="O2261" t="s">
        <v>1574</v>
      </c>
      <c r="P2261" t="s">
        <v>1395</v>
      </c>
      <c r="Q2261">
        <v>0</v>
      </c>
      <c r="S2261">
        <v>37</v>
      </c>
      <c r="T2261">
        <v>11</v>
      </c>
      <c r="V2261">
        <v>54</v>
      </c>
    </row>
    <row r="2262" spans="1:22">
      <c r="A2262" s="32" t="s">
        <v>4665</v>
      </c>
      <c r="B2262" s="32" t="s">
        <v>1574</v>
      </c>
      <c r="C2262" s="32" t="s">
        <v>1396</v>
      </c>
      <c r="D2262" s="33" t="s">
        <v>1639</v>
      </c>
      <c r="E2262" s="33">
        <v>50</v>
      </c>
      <c r="F2262" s="33">
        <v>660</v>
      </c>
      <c r="G2262" s="33">
        <v>180</v>
      </c>
      <c r="H2262" s="33" t="s">
        <v>1639</v>
      </c>
      <c r="I2262" s="33">
        <v>895</v>
      </c>
      <c r="K2262" t="b">
        <f>QHPSelections2016[[#This Row],[County Name]]=P2262</f>
        <v>1</v>
      </c>
      <c r="L2262" t="b">
        <f>QHPSelections2016[[#This Row],[Silver]]=S2262</f>
        <v>1</v>
      </c>
      <c r="N2262">
        <v>48449</v>
      </c>
      <c r="O2262" t="s">
        <v>1574</v>
      </c>
      <c r="P2262" t="s">
        <v>1396</v>
      </c>
      <c r="R2262">
        <v>50</v>
      </c>
      <c r="S2262">
        <v>660</v>
      </c>
      <c r="T2262">
        <v>180</v>
      </c>
      <c r="V2262">
        <v>895</v>
      </c>
    </row>
    <row r="2263" spans="1:22">
      <c r="A2263" s="32" t="s">
        <v>4666</v>
      </c>
      <c r="B2263" s="32" t="s">
        <v>1574</v>
      </c>
      <c r="C2263" s="32" t="s">
        <v>1397</v>
      </c>
      <c r="D2263" s="33">
        <v>0</v>
      </c>
      <c r="E2263" s="33">
        <v>246</v>
      </c>
      <c r="F2263" s="33">
        <v>2891</v>
      </c>
      <c r="G2263" s="33">
        <v>903</v>
      </c>
      <c r="H2263" s="33">
        <v>28</v>
      </c>
      <c r="I2263" s="33">
        <v>4068</v>
      </c>
      <c r="K2263" t="b">
        <f>QHPSelections2016[[#This Row],[County Name]]=P2263</f>
        <v>1</v>
      </c>
      <c r="L2263" t="b">
        <f>QHPSelections2016[[#This Row],[Silver]]=S2263</f>
        <v>1</v>
      </c>
      <c r="N2263">
        <v>48451</v>
      </c>
      <c r="O2263" t="s">
        <v>1574</v>
      </c>
      <c r="P2263" t="s">
        <v>1397</v>
      </c>
      <c r="Q2263">
        <v>0</v>
      </c>
      <c r="R2263">
        <v>246</v>
      </c>
      <c r="S2263" s="51">
        <v>2891</v>
      </c>
      <c r="T2263">
        <v>903</v>
      </c>
      <c r="U2263">
        <v>28</v>
      </c>
      <c r="V2263" s="51">
        <v>4068</v>
      </c>
    </row>
    <row r="2264" spans="1:22">
      <c r="A2264" s="32" t="s">
        <v>4667</v>
      </c>
      <c r="B2264" s="32" t="s">
        <v>1574</v>
      </c>
      <c r="C2264" s="32" t="s">
        <v>1398</v>
      </c>
      <c r="D2264" s="33">
        <v>1599</v>
      </c>
      <c r="E2264" s="33">
        <v>7658</v>
      </c>
      <c r="F2264" s="33">
        <v>46599</v>
      </c>
      <c r="G2264" s="33">
        <v>15586</v>
      </c>
      <c r="H2264" s="33">
        <v>1651</v>
      </c>
      <c r="I2264" s="33">
        <v>73093</v>
      </c>
      <c r="K2264" t="b">
        <f>QHPSelections2016[[#This Row],[County Name]]=P2264</f>
        <v>1</v>
      </c>
      <c r="L2264" t="b">
        <f>QHPSelections2016[[#This Row],[Silver]]=S2264</f>
        <v>1</v>
      </c>
      <c r="N2264">
        <v>48453</v>
      </c>
      <c r="O2264" t="s">
        <v>1574</v>
      </c>
      <c r="P2264" t="s">
        <v>1398</v>
      </c>
      <c r="Q2264" s="51">
        <v>1599</v>
      </c>
      <c r="R2264" s="51">
        <v>7658</v>
      </c>
      <c r="S2264" s="51">
        <v>46599</v>
      </c>
      <c r="T2264" s="51">
        <v>15586</v>
      </c>
      <c r="U2264" s="51">
        <v>1651</v>
      </c>
      <c r="V2264" s="51">
        <v>73093</v>
      </c>
    </row>
    <row r="2265" spans="1:22">
      <c r="A2265" s="32" t="s">
        <v>4668</v>
      </c>
      <c r="B2265" s="32" t="s">
        <v>1574</v>
      </c>
      <c r="C2265" s="32" t="s">
        <v>1399</v>
      </c>
      <c r="D2265" s="33" t="s">
        <v>1639</v>
      </c>
      <c r="E2265" s="33">
        <v>18</v>
      </c>
      <c r="F2265" s="33">
        <v>292</v>
      </c>
      <c r="G2265" s="33">
        <v>92</v>
      </c>
      <c r="H2265" s="33" t="s">
        <v>1639</v>
      </c>
      <c r="I2265" s="33">
        <v>407</v>
      </c>
      <c r="K2265" t="b">
        <f>QHPSelections2016[[#This Row],[County Name]]=P2265</f>
        <v>1</v>
      </c>
      <c r="L2265" t="b">
        <f>QHPSelections2016[[#This Row],[Silver]]=S2265</f>
        <v>1</v>
      </c>
      <c r="N2265">
        <v>48455</v>
      </c>
      <c r="O2265" t="s">
        <v>1574</v>
      </c>
      <c r="P2265" t="s">
        <v>1399</v>
      </c>
      <c r="R2265">
        <v>18</v>
      </c>
      <c r="S2265">
        <v>292</v>
      </c>
      <c r="T2265">
        <v>92</v>
      </c>
      <c r="V2265">
        <v>407</v>
      </c>
    </row>
    <row r="2266" spans="1:22">
      <c r="A2266" s="32" t="s">
        <v>4669</v>
      </c>
      <c r="B2266" s="32" t="s">
        <v>1574</v>
      </c>
      <c r="C2266" s="32" t="s">
        <v>1400</v>
      </c>
      <c r="D2266" s="33" t="s">
        <v>1639</v>
      </c>
      <c r="E2266" s="33">
        <v>31</v>
      </c>
      <c r="F2266" s="33">
        <v>392</v>
      </c>
      <c r="G2266" s="33">
        <v>295</v>
      </c>
      <c r="H2266" s="33" t="s">
        <v>1639</v>
      </c>
      <c r="I2266" s="33">
        <v>726</v>
      </c>
      <c r="K2266" t="b">
        <f>QHPSelections2016[[#This Row],[County Name]]=P2266</f>
        <v>1</v>
      </c>
      <c r="L2266" t="b">
        <f>QHPSelections2016[[#This Row],[Silver]]=S2266</f>
        <v>1</v>
      </c>
      <c r="N2266">
        <v>48457</v>
      </c>
      <c r="O2266" t="s">
        <v>1574</v>
      </c>
      <c r="P2266" t="s">
        <v>1400</v>
      </c>
      <c r="R2266">
        <v>31</v>
      </c>
      <c r="S2266">
        <v>392</v>
      </c>
      <c r="T2266">
        <v>295</v>
      </c>
      <c r="V2266">
        <v>726</v>
      </c>
    </row>
    <row r="2267" spans="1:22">
      <c r="A2267" s="32" t="s">
        <v>4670</v>
      </c>
      <c r="B2267" s="32" t="s">
        <v>1574</v>
      </c>
      <c r="C2267" s="32" t="s">
        <v>1401</v>
      </c>
      <c r="D2267" s="33" t="s">
        <v>1639</v>
      </c>
      <c r="E2267" s="33">
        <v>109</v>
      </c>
      <c r="F2267" s="33">
        <v>1083</v>
      </c>
      <c r="G2267" s="33">
        <v>410</v>
      </c>
      <c r="H2267" s="33" t="s">
        <v>1639</v>
      </c>
      <c r="I2267" s="33">
        <v>1611</v>
      </c>
      <c r="K2267" t="b">
        <f>QHPSelections2016[[#This Row],[County Name]]=P2267</f>
        <v>1</v>
      </c>
      <c r="L2267" t="b">
        <f>QHPSelections2016[[#This Row],[Silver]]=S2267</f>
        <v>1</v>
      </c>
      <c r="N2267">
        <v>48459</v>
      </c>
      <c r="O2267" t="s">
        <v>1574</v>
      </c>
      <c r="P2267" t="s">
        <v>1401</v>
      </c>
      <c r="R2267">
        <v>109</v>
      </c>
      <c r="S2267" s="51">
        <v>1083</v>
      </c>
      <c r="T2267">
        <v>410</v>
      </c>
      <c r="V2267" s="51">
        <v>1611</v>
      </c>
    </row>
    <row r="2268" spans="1:22">
      <c r="A2268" s="32" t="s">
        <v>4671</v>
      </c>
      <c r="B2268" s="32" t="s">
        <v>1574</v>
      </c>
      <c r="C2268" s="32" t="s">
        <v>1402</v>
      </c>
      <c r="D2268" s="33" t="s">
        <v>1639</v>
      </c>
      <c r="E2268" s="33" t="s">
        <v>1639</v>
      </c>
      <c r="F2268" s="33">
        <v>46</v>
      </c>
      <c r="G2268" s="33">
        <v>12</v>
      </c>
      <c r="H2268" s="33">
        <v>0</v>
      </c>
      <c r="I2268" s="33">
        <v>66</v>
      </c>
      <c r="K2268" t="b">
        <f>QHPSelections2016[[#This Row],[County Name]]=P2268</f>
        <v>1</v>
      </c>
      <c r="L2268" t="b">
        <f>QHPSelections2016[[#This Row],[Silver]]=S2268</f>
        <v>1</v>
      </c>
      <c r="N2268">
        <v>48461</v>
      </c>
      <c r="O2268" t="s">
        <v>1574</v>
      </c>
      <c r="P2268" t="s">
        <v>1402</v>
      </c>
      <c r="S2268">
        <v>46</v>
      </c>
      <c r="T2268">
        <v>12</v>
      </c>
      <c r="U2268">
        <v>0</v>
      </c>
      <c r="V2268">
        <v>66</v>
      </c>
    </row>
    <row r="2269" spans="1:22">
      <c r="A2269" s="32" t="s">
        <v>4672</v>
      </c>
      <c r="B2269" s="32" t="s">
        <v>1574</v>
      </c>
      <c r="C2269" s="32" t="s">
        <v>1403</v>
      </c>
      <c r="D2269" s="33" t="s">
        <v>1639</v>
      </c>
      <c r="E2269" s="33">
        <v>50</v>
      </c>
      <c r="F2269" s="33">
        <v>1269</v>
      </c>
      <c r="G2269" s="33">
        <v>401</v>
      </c>
      <c r="H2269" s="33" t="s">
        <v>1639</v>
      </c>
      <c r="I2269" s="33">
        <v>1728</v>
      </c>
      <c r="K2269" t="b">
        <f>QHPSelections2016[[#This Row],[County Name]]=P2269</f>
        <v>1</v>
      </c>
      <c r="L2269" t="b">
        <f>QHPSelections2016[[#This Row],[Silver]]=S2269</f>
        <v>1</v>
      </c>
      <c r="N2269">
        <v>48463</v>
      </c>
      <c r="O2269" t="s">
        <v>1574</v>
      </c>
      <c r="P2269" t="s">
        <v>1403</v>
      </c>
      <c r="R2269">
        <v>50</v>
      </c>
      <c r="S2269" s="51">
        <v>1269</v>
      </c>
      <c r="T2269">
        <v>401</v>
      </c>
      <c r="V2269" s="51">
        <v>1728</v>
      </c>
    </row>
    <row r="2270" spans="1:22">
      <c r="A2270" s="32" t="s">
        <v>4673</v>
      </c>
      <c r="B2270" s="32" t="s">
        <v>1574</v>
      </c>
      <c r="C2270" s="32" t="s">
        <v>1404</v>
      </c>
      <c r="D2270" s="33">
        <v>0</v>
      </c>
      <c r="E2270" s="33">
        <v>44</v>
      </c>
      <c r="F2270" s="33">
        <v>1852</v>
      </c>
      <c r="G2270" s="33">
        <v>736</v>
      </c>
      <c r="H2270" s="33">
        <v>14</v>
      </c>
      <c r="I2270" s="33">
        <v>2646</v>
      </c>
      <c r="K2270" t="b">
        <f>QHPSelections2016[[#This Row],[County Name]]=P2270</f>
        <v>1</v>
      </c>
      <c r="L2270" t="b">
        <f>QHPSelections2016[[#This Row],[Silver]]=S2270</f>
        <v>1</v>
      </c>
      <c r="N2270">
        <v>48465</v>
      </c>
      <c r="O2270" t="s">
        <v>1574</v>
      </c>
      <c r="P2270" t="s">
        <v>1404</v>
      </c>
      <c r="Q2270">
        <v>0</v>
      </c>
      <c r="R2270">
        <v>44</v>
      </c>
      <c r="S2270" s="51">
        <v>1852</v>
      </c>
      <c r="T2270">
        <v>736</v>
      </c>
      <c r="U2270">
        <v>14</v>
      </c>
      <c r="V2270" s="51">
        <v>2646</v>
      </c>
    </row>
    <row r="2271" spans="1:22">
      <c r="A2271" s="32" t="s">
        <v>4674</v>
      </c>
      <c r="B2271" s="32" t="s">
        <v>1574</v>
      </c>
      <c r="C2271" s="32" t="s">
        <v>1405</v>
      </c>
      <c r="D2271" s="33">
        <v>0</v>
      </c>
      <c r="E2271" s="33">
        <v>133</v>
      </c>
      <c r="F2271" s="33">
        <v>1674</v>
      </c>
      <c r="G2271" s="33">
        <v>695</v>
      </c>
      <c r="H2271" s="33">
        <v>12</v>
      </c>
      <c r="I2271" s="33">
        <v>2514</v>
      </c>
      <c r="K2271" t="b">
        <f>QHPSelections2016[[#This Row],[County Name]]=P2271</f>
        <v>1</v>
      </c>
      <c r="L2271" t="b">
        <f>QHPSelections2016[[#This Row],[Silver]]=S2271</f>
        <v>1</v>
      </c>
      <c r="N2271">
        <v>48467</v>
      </c>
      <c r="O2271" t="s">
        <v>1574</v>
      </c>
      <c r="P2271" t="s">
        <v>1405</v>
      </c>
      <c r="Q2271">
        <v>0</v>
      </c>
      <c r="R2271">
        <v>133</v>
      </c>
      <c r="S2271" s="51">
        <v>1674</v>
      </c>
      <c r="T2271">
        <v>695</v>
      </c>
      <c r="U2271">
        <v>12</v>
      </c>
      <c r="V2271" s="51">
        <v>2514</v>
      </c>
    </row>
    <row r="2272" spans="1:22">
      <c r="A2272" s="32" t="s">
        <v>4675</v>
      </c>
      <c r="B2272" s="32" t="s">
        <v>1574</v>
      </c>
      <c r="C2272" s="32" t="s">
        <v>1406</v>
      </c>
      <c r="D2272" s="33">
        <v>0</v>
      </c>
      <c r="E2272" s="33">
        <v>184</v>
      </c>
      <c r="F2272" s="33">
        <v>1841</v>
      </c>
      <c r="G2272" s="33">
        <v>812</v>
      </c>
      <c r="H2272" s="33">
        <v>32</v>
      </c>
      <c r="I2272" s="33">
        <v>2869</v>
      </c>
      <c r="K2272" t="b">
        <f>QHPSelections2016[[#This Row],[County Name]]=P2272</f>
        <v>1</v>
      </c>
      <c r="L2272" t="b">
        <f>QHPSelections2016[[#This Row],[Silver]]=S2272</f>
        <v>1</v>
      </c>
      <c r="N2272">
        <v>48469</v>
      </c>
      <c r="O2272" t="s">
        <v>1574</v>
      </c>
      <c r="P2272" t="s">
        <v>1406</v>
      </c>
      <c r="Q2272">
        <v>0</v>
      </c>
      <c r="R2272">
        <v>184</v>
      </c>
      <c r="S2272" s="51">
        <v>1841</v>
      </c>
      <c r="T2272">
        <v>812</v>
      </c>
      <c r="U2272">
        <v>32</v>
      </c>
      <c r="V2272" s="51">
        <v>2869</v>
      </c>
    </row>
    <row r="2273" spans="1:22">
      <c r="A2273" s="32" t="s">
        <v>4676</v>
      </c>
      <c r="B2273" s="32" t="s">
        <v>1574</v>
      </c>
      <c r="C2273" s="32" t="s">
        <v>1154</v>
      </c>
      <c r="D2273" s="33">
        <v>0</v>
      </c>
      <c r="E2273" s="33">
        <v>79</v>
      </c>
      <c r="F2273" s="33">
        <v>1040</v>
      </c>
      <c r="G2273" s="33">
        <v>429</v>
      </c>
      <c r="H2273" s="33">
        <v>26</v>
      </c>
      <c r="I2273" s="33">
        <v>1574</v>
      </c>
      <c r="K2273" t="b">
        <f>QHPSelections2016[[#This Row],[County Name]]=P2273</f>
        <v>1</v>
      </c>
      <c r="L2273" t="b">
        <f>QHPSelections2016[[#This Row],[Silver]]=S2273</f>
        <v>1</v>
      </c>
      <c r="N2273">
        <v>48471</v>
      </c>
      <c r="O2273" t="s">
        <v>1574</v>
      </c>
      <c r="P2273" t="s">
        <v>1154</v>
      </c>
      <c r="Q2273">
        <v>0</v>
      </c>
      <c r="R2273">
        <v>79</v>
      </c>
      <c r="S2273" s="51">
        <v>1040</v>
      </c>
      <c r="T2273">
        <v>429</v>
      </c>
      <c r="U2273">
        <v>26</v>
      </c>
      <c r="V2273" s="51">
        <v>1574</v>
      </c>
    </row>
    <row r="2274" spans="1:22">
      <c r="A2274" s="32" t="s">
        <v>4677</v>
      </c>
      <c r="B2274" s="32" t="s">
        <v>1574</v>
      </c>
      <c r="C2274" s="32" t="s">
        <v>1407</v>
      </c>
      <c r="D2274" s="33">
        <v>0</v>
      </c>
      <c r="E2274" s="33">
        <v>104</v>
      </c>
      <c r="F2274" s="33">
        <v>1277</v>
      </c>
      <c r="G2274" s="33">
        <v>472</v>
      </c>
      <c r="H2274" s="33">
        <v>13</v>
      </c>
      <c r="I2274" s="33">
        <v>1866</v>
      </c>
      <c r="K2274" t="b">
        <f>QHPSelections2016[[#This Row],[County Name]]=P2274</f>
        <v>1</v>
      </c>
      <c r="L2274" t="b">
        <f>QHPSelections2016[[#This Row],[Silver]]=S2274</f>
        <v>1</v>
      </c>
      <c r="N2274">
        <v>48473</v>
      </c>
      <c r="O2274" t="s">
        <v>1574</v>
      </c>
      <c r="P2274" t="s">
        <v>1407</v>
      </c>
      <c r="Q2274">
        <v>0</v>
      </c>
      <c r="R2274">
        <v>104</v>
      </c>
      <c r="S2274" s="51">
        <v>1277</v>
      </c>
      <c r="T2274">
        <v>472</v>
      </c>
      <c r="U2274">
        <v>13</v>
      </c>
      <c r="V2274" s="51">
        <v>1866</v>
      </c>
    </row>
    <row r="2275" spans="1:22">
      <c r="A2275" s="32" t="s">
        <v>4678</v>
      </c>
      <c r="B2275" s="32" t="s">
        <v>1574</v>
      </c>
      <c r="C2275" s="32" t="s">
        <v>1408</v>
      </c>
      <c r="D2275" s="33" t="s">
        <v>1639</v>
      </c>
      <c r="E2275" s="33">
        <v>26</v>
      </c>
      <c r="F2275" s="33">
        <v>210</v>
      </c>
      <c r="G2275" s="33">
        <v>75</v>
      </c>
      <c r="H2275" s="33" t="s">
        <v>1639</v>
      </c>
      <c r="I2275" s="33">
        <v>313</v>
      </c>
      <c r="K2275" t="b">
        <f>QHPSelections2016[[#This Row],[County Name]]=P2275</f>
        <v>1</v>
      </c>
      <c r="L2275" t="b">
        <f>QHPSelections2016[[#This Row],[Silver]]=S2275</f>
        <v>1</v>
      </c>
      <c r="N2275">
        <v>48475</v>
      </c>
      <c r="O2275" t="s">
        <v>1574</v>
      </c>
      <c r="P2275" t="s">
        <v>1408</v>
      </c>
      <c r="R2275">
        <v>26</v>
      </c>
      <c r="S2275">
        <v>210</v>
      </c>
      <c r="T2275">
        <v>75</v>
      </c>
      <c r="V2275">
        <v>313</v>
      </c>
    </row>
    <row r="2276" spans="1:22">
      <c r="A2276" s="32" t="s">
        <v>4679</v>
      </c>
      <c r="B2276" s="32" t="s">
        <v>1574</v>
      </c>
      <c r="C2276" s="32" t="s">
        <v>1160</v>
      </c>
      <c r="D2276" s="33">
        <v>0</v>
      </c>
      <c r="E2276" s="33">
        <v>92</v>
      </c>
      <c r="F2276" s="33">
        <v>900</v>
      </c>
      <c r="G2276" s="33">
        <v>319</v>
      </c>
      <c r="H2276" s="33">
        <v>18</v>
      </c>
      <c r="I2276" s="33">
        <v>1329</v>
      </c>
      <c r="K2276" t="b">
        <f>QHPSelections2016[[#This Row],[County Name]]=P2276</f>
        <v>1</v>
      </c>
      <c r="L2276" t="b">
        <f>QHPSelections2016[[#This Row],[Silver]]=S2276</f>
        <v>1</v>
      </c>
      <c r="N2276">
        <v>48477</v>
      </c>
      <c r="O2276" t="s">
        <v>1574</v>
      </c>
      <c r="P2276" t="s">
        <v>1160</v>
      </c>
      <c r="Q2276">
        <v>0</v>
      </c>
      <c r="R2276">
        <v>92</v>
      </c>
      <c r="S2276">
        <v>900</v>
      </c>
      <c r="T2276">
        <v>319</v>
      </c>
      <c r="U2276">
        <v>18</v>
      </c>
      <c r="V2276" s="51">
        <v>1329</v>
      </c>
    </row>
    <row r="2277" spans="1:22">
      <c r="A2277" s="32" t="s">
        <v>4680</v>
      </c>
      <c r="B2277" s="32" t="s">
        <v>1574</v>
      </c>
      <c r="C2277" s="32" t="s">
        <v>1409</v>
      </c>
      <c r="D2277" s="33">
        <v>0</v>
      </c>
      <c r="E2277" s="33">
        <v>469</v>
      </c>
      <c r="F2277" s="33">
        <v>11110</v>
      </c>
      <c r="G2277" s="33">
        <v>4121</v>
      </c>
      <c r="H2277" s="33">
        <v>105</v>
      </c>
      <c r="I2277" s="33">
        <v>15805</v>
      </c>
      <c r="K2277" t="b">
        <f>QHPSelections2016[[#This Row],[County Name]]=P2277</f>
        <v>1</v>
      </c>
      <c r="L2277" t="b">
        <f>QHPSelections2016[[#This Row],[Silver]]=S2277</f>
        <v>1</v>
      </c>
      <c r="N2277">
        <v>48479</v>
      </c>
      <c r="O2277" t="s">
        <v>1574</v>
      </c>
      <c r="P2277" t="s">
        <v>1409</v>
      </c>
      <c r="Q2277">
        <v>0</v>
      </c>
      <c r="R2277">
        <v>469</v>
      </c>
      <c r="S2277" s="51">
        <v>11110</v>
      </c>
      <c r="T2277" s="51">
        <v>4121</v>
      </c>
      <c r="U2277">
        <v>105</v>
      </c>
      <c r="V2277" s="51">
        <v>15805</v>
      </c>
    </row>
    <row r="2278" spans="1:22">
      <c r="A2278" s="32" t="s">
        <v>4681</v>
      </c>
      <c r="B2278" s="32" t="s">
        <v>1574</v>
      </c>
      <c r="C2278" s="32" t="s">
        <v>1410</v>
      </c>
      <c r="D2278" s="33" t="s">
        <v>1639</v>
      </c>
      <c r="E2278" s="33">
        <v>109</v>
      </c>
      <c r="F2278" s="33">
        <v>1163</v>
      </c>
      <c r="G2278" s="33">
        <v>466</v>
      </c>
      <c r="H2278" s="33" t="s">
        <v>1639</v>
      </c>
      <c r="I2278" s="33">
        <v>1748</v>
      </c>
      <c r="K2278" t="b">
        <f>QHPSelections2016[[#This Row],[County Name]]=P2278</f>
        <v>1</v>
      </c>
      <c r="L2278" t="b">
        <f>QHPSelections2016[[#This Row],[Silver]]=S2278</f>
        <v>1</v>
      </c>
      <c r="N2278">
        <v>48481</v>
      </c>
      <c r="O2278" t="s">
        <v>1574</v>
      </c>
      <c r="P2278" t="s">
        <v>1410</v>
      </c>
      <c r="R2278">
        <v>109</v>
      </c>
      <c r="S2278" s="51">
        <v>1163</v>
      </c>
      <c r="T2278">
        <v>466</v>
      </c>
      <c r="V2278" s="51">
        <v>1748</v>
      </c>
    </row>
    <row r="2279" spans="1:22">
      <c r="A2279" s="32" t="s">
        <v>4682</v>
      </c>
      <c r="B2279" s="32" t="s">
        <v>1574</v>
      </c>
      <c r="C2279" s="32" t="s">
        <v>1337</v>
      </c>
      <c r="D2279" s="33">
        <v>0</v>
      </c>
      <c r="E2279" s="33" t="s">
        <v>1639</v>
      </c>
      <c r="F2279" s="33">
        <v>103</v>
      </c>
      <c r="G2279" s="33">
        <v>67</v>
      </c>
      <c r="H2279" s="33" t="s">
        <v>1639</v>
      </c>
      <c r="I2279" s="33">
        <v>180</v>
      </c>
      <c r="K2279" t="b">
        <f>QHPSelections2016[[#This Row],[County Name]]=P2279</f>
        <v>1</v>
      </c>
      <c r="L2279" t="b">
        <f>QHPSelections2016[[#This Row],[Silver]]=S2279</f>
        <v>1</v>
      </c>
      <c r="N2279">
        <v>48483</v>
      </c>
      <c r="O2279" t="s">
        <v>1574</v>
      </c>
      <c r="P2279" t="s">
        <v>1337</v>
      </c>
      <c r="Q2279">
        <v>0</v>
      </c>
      <c r="S2279">
        <v>103</v>
      </c>
      <c r="T2279">
        <v>67</v>
      </c>
      <c r="V2279">
        <v>180</v>
      </c>
    </row>
    <row r="2280" spans="1:22">
      <c r="A2280" s="32" t="s">
        <v>4683</v>
      </c>
      <c r="B2280" s="32" t="s">
        <v>1574</v>
      </c>
      <c r="C2280" s="32" t="s">
        <v>1411</v>
      </c>
      <c r="D2280" s="33">
        <v>0</v>
      </c>
      <c r="E2280" s="33">
        <v>104</v>
      </c>
      <c r="F2280" s="33">
        <v>2102</v>
      </c>
      <c r="G2280" s="33">
        <v>1097</v>
      </c>
      <c r="H2280" s="33">
        <v>37</v>
      </c>
      <c r="I2280" s="33">
        <v>3340</v>
      </c>
      <c r="K2280" t="b">
        <f>QHPSelections2016[[#This Row],[County Name]]=P2280</f>
        <v>1</v>
      </c>
      <c r="L2280" t="b">
        <f>QHPSelections2016[[#This Row],[Silver]]=S2280</f>
        <v>1</v>
      </c>
      <c r="N2280">
        <v>48485</v>
      </c>
      <c r="O2280" t="s">
        <v>1574</v>
      </c>
      <c r="P2280" t="s">
        <v>1411</v>
      </c>
      <c r="Q2280">
        <v>0</v>
      </c>
      <c r="R2280">
        <v>104</v>
      </c>
      <c r="S2280" s="51">
        <v>2102</v>
      </c>
      <c r="T2280" s="51">
        <v>1097</v>
      </c>
      <c r="U2280">
        <v>37</v>
      </c>
      <c r="V2280" s="51">
        <v>3340</v>
      </c>
    </row>
    <row r="2281" spans="1:22">
      <c r="A2281" s="32" t="s">
        <v>4684</v>
      </c>
      <c r="B2281" s="32" t="s">
        <v>1574</v>
      </c>
      <c r="C2281" s="32" t="s">
        <v>1412</v>
      </c>
      <c r="D2281" s="33" t="s">
        <v>1639</v>
      </c>
      <c r="E2281" s="33">
        <v>12</v>
      </c>
      <c r="F2281" s="33">
        <v>204</v>
      </c>
      <c r="G2281" s="33">
        <v>75</v>
      </c>
      <c r="H2281" s="33" t="s">
        <v>1639</v>
      </c>
      <c r="I2281" s="33">
        <v>293</v>
      </c>
      <c r="K2281" t="b">
        <f>QHPSelections2016[[#This Row],[County Name]]=P2281</f>
        <v>1</v>
      </c>
      <c r="L2281" t="b">
        <f>QHPSelections2016[[#This Row],[Silver]]=S2281</f>
        <v>1</v>
      </c>
      <c r="N2281">
        <v>48487</v>
      </c>
      <c r="O2281" t="s">
        <v>1574</v>
      </c>
      <c r="P2281" t="s">
        <v>1412</v>
      </c>
      <c r="R2281">
        <v>12</v>
      </c>
      <c r="S2281">
        <v>204</v>
      </c>
      <c r="T2281">
        <v>75</v>
      </c>
      <c r="V2281">
        <v>293</v>
      </c>
    </row>
    <row r="2282" spans="1:22">
      <c r="A2282" s="32" t="s">
        <v>4685</v>
      </c>
      <c r="B2282" s="32" t="s">
        <v>1574</v>
      </c>
      <c r="C2282" s="32" t="s">
        <v>1413</v>
      </c>
      <c r="D2282" s="33" t="s">
        <v>1639</v>
      </c>
      <c r="E2282" s="33">
        <v>19</v>
      </c>
      <c r="F2282" s="33">
        <v>893</v>
      </c>
      <c r="G2282" s="33">
        <v>243</v>
      </c>
      <c r="H2282" s="33" t="s">
        <v>1639</v>
      </c>
      <c r="I2282" s="33">
        <v>1156</v>
      </c>
      <c r="K2282" t="b">
        <f>QHPSelections2016[[#This Row],[County Name]]=P2282</f>
        <v>1</v>
      </c>
      <c r="L2282" t="b">
        <f>QHPSelections2016[[#This Row],[Silver]]=S2282</f>
        <v>1</v>
      </c>
      <c r="N2282">
        <v>48489</v>
      </c>
      <c r="O2282" t="s">
        <v>1574</v>
      </c>
      <c r="P2282" t="s">
        <v>1413</v>
      </c>
      <c r="R2282">
        <v>19</v>
      </c>
      <c r="S2282">
        <v>893</v>
      </c>
      <c r="T2282">
        <v>243</v>
      </c>
      <c r="V2282" s="51">
        <v>1156</v>
      </c>
    </row>
    <row r="2283" spans="1:22">
      <c r="A2283" s="32" t="s">
        <v>4686</v>
      </c>
      <c r="B2283" s="32" t="s">
        <v>1574</v>
      </c>
      <c r="C2283" s="32" t="s">
        <v>1261</v>
      </c>
      <c r="D2283" s="33">
        <v>636</v>
      </c>
      <c r="E2283" s="33">
        <v>2888</v>
      </c>
      <c r="F2283" s="33">
        <v>16299</v>
      </c>
      <c r="G2283" s="33">
        <v>5217</v>
      </c>
      <c r="H2283" s="33">
        <v>417</v>
      </c>
      <c r="I2283" s="33">
        <v>25457</v>
      </c>
      <c r="K2283" t="b">
        <f>QHPSelections2016[[#This Row],[County Name]]=P2283</f>
        <v>1</v>
      </c>
      <c r="L2283" t="b">
        <f>QHPSelections2016[[#This Row],[Silver]]=S2283</f>
        <v>1</v>
      </c>
      <c r="N2283">
        <v>48491</v>
      </c>
      <c r="O2283" t="s">
        <v>1574</v>
      </c>
      <c r="P2283" t="s">
        <v>1261</v>
      </c>
      <c r="Q2283">
        <v>636</v>
      </c>
      <c r="R2283" s="51">
        <v>2888</v>
      </c>
      <c r="S2283" s="51">
        <v>16299</v>
      </c>
      <c r="T2283" s="51">
        <v>5217</v>
      </c>
      <c r="U2283">
        <v>417</v>
      </c>
      <c r="V2283" s="51">
        <v>25457</v>
      </c>
    </row>
    <row r="2284" spans="1:22">
      <c r="A2284" s="32" t="s">
        <v>4687</v>
      </c>
      <c r="B2284" s="32" t="s">
        <v>1574</v>
      </c>
      <c r="C2284" s="32" t="s">
        <v>1265</v>
      </c>
      <c r="D2284" s="33">
        <v>0</v>
      </c>
      <c r="E2284" s="33">
        <v>137</v>
      </c>
      <c r="F2284" s="33">
        <v>1204</v>
      </c>
      <c r="G2284" s="33">
        <v>466</v>
      </c>
      <c r="H2284" s="33">
        <v>26</v>
      </c>
      <c r="I2284" s="33">
        <v>1833</v>
      </c>
      <c r="K2284" t="b">
        <f>QHPSelections2016[[#This Row],[County Name]]=P2284</f>
        <v>1</v>
      </c>
      <c r="L2284" t="b">
        <f>QHPSelections2016[[#This Row],[Silver]]=S2284</f>
        <v>1</v>
      </c>
      <c r="N2284">
        <v>48493</v>
      </c>
      <c r="O2284" t="s">
        <v>1574</v>
      </c>
      <c r="P2284" t="s">
        <v>1265</v>
      </c>
      <c r="Q2284">
        <v>0</v>
      </c>
      <c r="R2284">
        <v>137</v>
      </c>
      <c r="S2284" s="51">
        <v>1204</v>
      </c>
      <c r="T2284">
        <v>466</v>
      </c>
      <c r="U2284">
        <v>26</v>
      </c>
      <c r="V2284" s="51">
        <v>1833</v>
      </c>
    </row>
    <row r="2285" spans="1:22">
      <c r="A2285" s="32" t="s">
        <v>4688</v>
      </c>
      <c r="B2285" s="32" t="s">
        <v>1574</v>
      </c>
      <c r="C2285" s="32" t="s">
        <v>1414</v>
      </c>
      <c r="D2285" s="33" t="s">
        <v>1639</v>
      </c>
      <c r="E2285" s="33">
        <v>23</v>
      </c>
      <c r="F2285" s="33">
        <v>153</v>
      </c>
      <c r="G2285" s="33">
        <v>47</v>
      </c>
      <c r="H2285" s="33" t="s">
        <v>1639</v>
      </c>
      <c r="I2285" s="33">
        <v>224</v>
      </c>
      <c r="K2285" t="b">
        <f>QHPSelections2016[[#This Row],[County Name]]=P2285</f>
        <v>1</v>
      </c>
      <c r="L2285" t="b">
        <f>QHPSelections2016[[#This Row],[Silver]]=S2285</f>
        <v>1</v>
      </c>
      <c r="N2285">
        <v>48495</v>
      </c>
      <c r="O2285" t="s">
        <v>1574</v>
      </c>
      <c r="P2285" t="s">
        <v>1414</v>
      </c>
      <c r="R2285">
        <v>23</v>
      </c>
      <c r="S2285">
        <v>153</v>
      </c>
      <c r="T2285">
        <v>47</v>
      </c>
      <c r="V2285">
        <v>224</v>
      </c>
    </row>
    <row r="2286" spans="1:22">
      <c r="A2286" s="32" t="s">
        <v>4689</v>
      </c>
      <c r="B2286" s="32" t="s">
        <v>1574</v>
      </c>
      <c r="C2286" s="32" t="s">
        <v>1415</v>
      </c>
      <c r="D2286" s="33">
        <v>0</v>
      </c>
      <c r="E2286" s="33">
        <v>224</v>
      </c>
      <c r="F2286" s="33">
        <v>1895</v>
      </c>
      <c r="G2286" s="33">
        <v>761</v>
      </c>
      <c r="H2286" s="33">
        <v>14</v>
      </c>
      <c r="I2286" s="33">
        <v>2894</v>
      </c>
      <c r="K2286" t="b">
        <f>QHPSelections2016[[#This Row],[County Name]]=P2286</f>
        <v>1</v>
      </c>
      <c r="L2286" t="b">
        <f>QHPSelections2016[[#This Row],[Silver]]=S2286</f>
        <v>1</v>
      </c>
      <c r="N2286">
        <v>48497</v>
      </c>
      <c r="O2286" t="s">
        <v>1574</v>
      </c>
      <c r="P2286" t="s">
        <v>1415</v>
      </c>
      <c r="Q2286">
        <v>0</v>
      </c>
      <c r="R2286">
        <v>224</v>
      </c>
      <c r="S2286" s="51">
        <v>1895</v>
      </c>
      <c r="T2286">
        <v>761</v>
      </c>
      <c r="U2286">
        <v>14</v>
      </c>
      <c r="V2286" s="51">
        <v>2894</v>
      </c>
    </row>
    <row r="2287" spans="1:22">
      <c r="A2287" s="32" t="s">
        <v>4690</v>
      </c>
      <c r="B2287" s="32" t="s">
        <v>1574</v>
      </c>
      <c r="C2287" s="32" t="s">
        <v>1416</v>
      </c>
      <c r="D2287" s="33">
        <v>0</v>
      </c>
      <c r="E2287" s="33">
        <v>84</v>
      </c>
      <c r="F2287" s="33">
        <v>1329</v>
      </c>
      <c r="G2287" s="33">
        <v>452</v>
      </c>
      <c r="H2287" s="33">
        <v>13</v>
      </c>
      <c r="I2287" s="33">
        <v>1878</v>
      </c>
      <c r="K2287" t="b">
        <f>QHPSelections2016[[#This Row],[County Name]]=P2287</f>
        <v>1</v>
      </c>
      <c r="L2287" t="b">
        <f>QHPSelections2016[[#This Row],[Silver]]=S2287</f>
        <v>1</v>
      </c>
      <c r="N2287">
        <v>48499</v>
      </c>
      <c r="O2287" t="s">
        <v>1574</v>
      </c>
      <c r="P2287" t="s">
        <v>1416</v>
      </c>
      <c r="Q2287">
        <v>0</v>
      </c>
      <c r="R2287">
        <v>84</v>
      </c>
      <c r="S2287" s="51">
        <v>1329</v>
      </c>
      <c r="T2287">
        <v>452</v>
      </c>
      <c r="U2287">
        <v>13</v>
      </c>
      <c r="V2287" s="51">
        <v>1878</v>
      </c>
    </row>
    <row r="2288" spans="1:22">
      <c r="A2288" s="32" t="s">
        <v>4691</v>
      </c>
      <c r="B2288" s="32" t="s">
        <v>1574</v>
      </c>
      <c r="C2288" s="32" t="s">
        <v>1417</v>
      </c>
      <c r="D2288" s="33" t="s">
        <v>1639</v>
      </c>
      <c r="E2288" s="33">
        <v>14</v>
      </c>
      <c r="F2288" s="33">
        <v>127</v>
      </c>
      <c r="G2288" s="33">
        <v>76</v>
      </c>
      <c r="H2288" s="33" t="s">
        <v>1639</v>
      </c>
      <c r="I2288" s="33">
        <v>219</v>
      </c>
      <c r="K2288" t="b">
        <f>QHPSelections2016[[#This Row],[County Name]]=P2288</f>
        <v>1</v>
      </c>
      <c r="L2288" t="b">
        <f>QHPSelections2016[[#This Row],[Silver]]=S2288</f>
        <v>1</v>
      </c>
      <c r="N2288">
        <v>48501</v>
      </c>
      <c r="O2288" t="s">
        <v>1574</v>
      </c>
      <c r="P2288" t="s">
        <v>1417</v>
      </c>
      <c r="R2288">
        <v>14</v>
      </c>
      <c r="S2288">
        <v>127</v>
      </c>
      <c r="T2288">
        <v>76</v>
      </c>
      <c r="V2288">
        <v>219</v>
      </c>
    </row>
    <row r="2289" spans="1:22">
      <c r="A2289" s="32" t="s">
        <v>4692</v>
      </c>
      <c r="B2289" s="32" t="s">
        <v>1574</v>
      </c>
      <c r="C2289" s="32" t="s">
        <v>1418</v>
      </c>
      <c r="D2289" s="33" t="s">
        <v>1639</v>
      </c>
      <c r="E2289" s="33">
        <v>46</v>
      </c>
      <c r="F2289" s="33">
        <v>450</v>
      </c>
      <c r="G2289" s="33">
        <v>203</v>
      </c>
      <c r="H2289" s="33" t="s">
        <v>1639</v>
      </c>
      <c r="I2289" s="33">
        <v>700</v>
      </c>
      <c r="K2289" t="b">
        <f>QHPSelections2016[[#This Row],[County Name]]=P2289</f>
        <v>1</v>
      </c>
      <c r="L2289" t="b">
        <f>QHPSelections2016[[#This Row],[Silver]]=S2289</f>
        <v>1</v>
      </c>
      <c r="N2289">
        <v>48503</v>
      </c>
      <c r="O2289" t="s">
        <v>1574</v>
      </c>
      <c r="P2289" t="s">
        <v>1418</v>
      </c>
      <c r="R2289">
        <v>46</v>
      </c>
      <c r="S2289">
        <v>450</v>
      </c>
      <c r="T2289">
        <v>203</v>
      </c>
      <c r="V2289">
        <v>700</v>
      </c>
    </row>
    <row r="2290" spans="1:22">
      <c r="A2290" s="32" t="s">
        <v>4693</v>
      </c>
      <c r="B2290" s="32" t="s">
        <v>1574</v>
      </c>
      <c r="C2290" s="32" t="s">
        <v>1419</v>
      </c>
      <c r="D2290" s="33" t="s">
        <v>1639</v>
      </c>
      <c r="E2290" s="33">
        <v>29</v>
      </c>
      <c r="F2290" s="33">
        <v>424</v>
      </c>
      <c r="G2290" s="33">
        <v>76</v>
      </c>
      <c r="H2290" s="33" t="s">
        <v>1639</v>
      </c>
      <c r="I2290" s="33">
        <v>533</v>
      </c>
      <c r="K2290" t="b">
        <f>QHPSelections2016[[#This Row],[County Name]]=P2290</f>
        <v>1</v>
      </c>
      <c r="L2290" t="b">
        <f>QHPSelections2016[[#This Row],[Silver]]=S2290</f>
        <v>1</v>
      </c>
      <c r="N2290">
        <v>48505</v>
      </c>
      <c r="O2290" t="s">
        <v>1574</v>
      </c>
      <c r="P2290" t="s">
        <v>1419</v>
      </c>
      <c r="R2290">
        <v>29</v>
      </c>
      <c r="S2290">
        <v>424</v>
      </c>
      <c r="T2290">
        <v>76</v>
      </c>
      <c r="V2290">
        <v>533</v>
      </c>
    </row>
    <row r="2291" spans="1:22">
      <c r="A2291" s="32" t="s">
        <v>4694</v>
      </c>
      <c r="B2291" s="32" t="s">
        <v>1574</v>
      </c>
      <c r="C2291" s="32" t="s">
        <v>1420</v>
      </c>
      <c r="D2291" s="33" t="s">
        <v>1639</v>
      </c>
      <c r="E2291" s="33">
        <v>23</v>
      </c>
      <c r="F2291" s="33">
        <v>454</v>
      </c>
      <c r="G2291" s="33">
        <v>119</v>
      </c>
      <c r="H2291" s="33" t="s">
        <v>1639</v>
      </c>
      <c r="I2291" s="33">
        <v>602</v>
      </c>
      <c r="K2291" t="b">
        <f>QHPSelections2016[[#This Row],[County Name]]=P2291</f>
        <v>1</v>
      </c>
      <c r="L2291" t="b">
        <f>QHPSelections2016[[#This Row],[Silver]]=S2291</f>
        <v>1</v>
      </c>
      <c r="N2291">
        <v>48507</v>
      </c>
      <c r="O2291" t="s">
        <v>1574</v>
      </c>
      <c r="P2291" t="s">
        <v>1420</v>
      </c>
      <c r="R2291">
        <v>23</v>
      </c>
      <c r="S2291">
        <v>454</v>
      </c>
      <c r="T2291">
        <v>119</v>
      </c>
      <c r="V2291">
        <v>602</v>
      </c>
    </row>
    <row r="2292" spans="1:22">
      <c r="A2292" s="32" t="s">
        <v>4695</v>
      </c>
      <c r="B2292" s="32" t="s">
        <v>4696</v>
      </c>
      <c r="C2292" s="32" t="s">
        <v>3903</v>
      </c>
      <c r="D2292" s="33">
        <v>0</v>
      </c>
      <c r="E2292" s="33">
        <v>43</v>
      </c>
      <c r="F2292" s="33">
        <v>287</v>
      </c>
      <c r="G2292" s="33">
        <v>52</v>
      </c>
      <c r="H2292" s="33">
        <v>0</v>
      </c>
      <c r="I2292" s="33">
        <v>382</v>
      </c>
      <c r="K2292" t="b">
        <f>QHPSelections2016[[#This Row],[County Name]]=P2292</f>
        <v>1</v>
      </c>
      <c r="L2292" t="b">
        <f>QHPSelections2016[[#This Row],[Silver]]=S2292</f>
        <v>1</v>
      </c>
      <c r="N2292">
        <v>49001</v>
      </c>
      <c r="O2292" t="s">
        <v>4696</v>
      </c>
      <c r="P2292" t="s">
        <v>3903</v>
      </c>
      <c r="Q2292">
        <v>0</v>
      </c>
      <c r="R2292">
        <v>43</v>
      </c>
      <c r="S2292">
        <v>287</v>
      </c>
      <c r="T2292">
        <v>52</v>
      </c>
      <c r="U2292">
        <v>0</v>
      </c>
      <c r="V2292">
        <v>382</v>
      </c>
    </row>
    <row r="2293" spans="1:22">
      <c r="A2293" s="32" t="s">
        <v>4697</v>
      </c>
      <c r="B2293" s="32" t="s">
        <v>4696</v>
      </c>
      <c r="C2293" s="32" t="s">
        <v>4698</v>
      </c>
      <c r="D2293" s="33" t="s">
        <v>1639</v>
      </c>
      <c r="E2293" s="33">
        <v>221</v>
      </c>
      <c r="F2293" s="33">
        <v>1975</v>
      </c>
      <c r="G2293" s="33">
        <v>442</v>
      </c>
      <c r="H2293" s="33" t="s">
        <v>1639</v>
      </c>
      <c r="I2293" s="33">
        <v>2648</v>
      </c>
      <c r="K2293" t="b">
        <f>QHPSelections2016[[#This Row],[County Name]]=P2293</f>
        <v>1</v>
      </c>
      <c r="L2293" t="b">
        <f>QHPSelections2016[[#This Row],[Silver]]=S2293</f>
        <v>1</v>
      </c>
      <c r="N2293">
        <v>49003</v>
      </c>
      <c r="O2293" t="s">
        <v>4696</v>
      </c>
      <c r="P2293" t="s">
        <v>4698</v>
      </c>
      <c r="R2293">
        <v>221</v>
      </c>
      <c r="S2293" s="51">
        <v>1975</v>
      </c>
      <c r="T2293">
        <v>442</v>
      </c>
      <c r="V2293" s="51">
        <v>2648</v>
      </c>
    </row>
    <row r="2294" spans="1:22">
      <c r="A2294" s="32" t="s">
        <v>4699</v>
      </c>
      <c r="B2294" s="32" t="s">
        <v>4696</v>
      </c>
      <c r="C2294" s="32" t="s">
        <v>4700</v>
      </c>
      <c r="D2294" s="33">
        <v>0</v>
      </c>
      <c r="E2294" s="33">
        <v>520</v>
      </c>
      <c r="F2294" s="33">
        <v>5229</v>
      </c>
      <c r="G2294" s="33">
        <v>1534</v>
      </c>
      <c r="H2294" s="33">
        <v>38</v>
      </c>
      <c r="I2294" s="33">
        <v>7321</v>
      </c>
      <c r="K2294" t="b">
        <f>QHPSelections2016[[#This Row],[County Name]]=P2294</f>
        <v>1</v>
      </c>
      <c r="L2294" t="b">
        <f>QHPSelections2016[[#This Row],[Silver]]=S2294</f>
        <v>1</v>
      </c>
      <c r="N2294">
        <v>49005</v>
      </c>
      <c r="O2294" t="s">
        <v>4696</v>
      </c>
      <c r="P2294" t="s">
        <v>4700</v>
      </c>
      <c r="Q2294">
        <v>0</v>
      </c>
      <c r="R2294">
        <v>520</v>
      </c>
      <c r="S2294" s="51">
        <v>5229</v>
      </c>
      <c r="T2294" s="51">
        <v>1534</v>
      </c>
      <c r="U2294">
        <v>38</v>
      </c>
      <c r="V2294" s="51">
        <v>7321</v>
      </c>
    </row>
    <row r="2295" spans="1:22">
      <c r="A2295" s="32" t="s">
        <v>4701</v>
      </c>
      <c r="B2295" s="32" t="s">
        <v>4696</v>
      </c>
      <c r="C2295" s="32" t="s">
        <v>3213</v>
      </c>
      <c r="D2295" s="33" t="s">
        <v>1639</v>
      </c>
      <c r="E2295" s="33">
        <v>79</v>
      </c>
      <c r="F2295" s="33">
        <v>679</v>
      </c>
      <c r="G2295" s="33">
        <v>169</v>
      </c>
      <c r="H2295" s="33" t="s">
        <v>1639</v>
      </c>
      <c r="I2295" s="33">
        <v>930</v>
      </c>
      <c r="K2295" t="b">
        <f>QHPSelections2016[[#This Row],[County Name]]=P2295</f>
        <v>1</v>
      </c>
      <c r="L2295" t="b">
        <f>QHPSelections2016[[#This Row],[Silver]]=S2295</f>
        <v>1</v>
      </c>
      <c r="N2295">
        <v>49007</v>
      </c>
      <c r="O2295" t="s">
        <v>4696</v>
      </c>
      <c r="P2295" t="s">
        <v>3213</v>
      </c>
      <c r="R2295">
        <v>79</v>
      </c>
      <c r="S2295">
        <v>679</v>
      </c>
      <c r="T2295">
        <v>169</v>
      </c>
      <c r="V2295">
        <v>930</v>
      </c>
    </row>
    <row r="2296" spans="1:22">
      <c r="A2296" s="32" t="s">
        <v>4702</v>
      </c>
      <c r="B2296" s="32" t="s">
        <v>4696</v>
      </c>
      <c r="C2296" s="32" t="s">
        <v>4703</v>
      </c>
      <c r="D2296" s="33" t="s">
        <v>1639</v>
      </c>
      <c r="E2296" s="33" t="s">
        <v>1639</v>
      </c>
      <c r="F2296" s="33">
        <v>50</v>
      </c>
      <c r="G2296" s="33">
        <v>16</v>
      </c>
      <c r="H2296" s="33">
        <v>0</v>
      </c>
      <c r="I2296" s="33">
        <v>71</v>
      </c>
      <c r="K2296" t="b">
        <f>QHPSelections2016[[#This Row],[County Name]]=P2296</f>
        <v>1</v>
      </c>
      <c r="L2296" t="b">
        <f>QHPSelections2016[[#This Row],[Silver]]=S2296</f>
        <v>1</v>
      </c>
      <c r="N2296">
        <v>49009</v>
      </c>
      <c r="O2296" t="s">
        <v>4696</v>
      </c>
      <c r="P2296" t="s">
        <v>4703</v>
      </c>
      <c r="S2296">
        <v>50</v>
      </c>
      <c r="T2296">
        <v>16</v>
      </c>
      <c r="U2296">
        <v>0</v>
      </c>
      <c r="V2296">
        <v>71</v>
      </c>
    </row>
    <row r="2297" spans="1:22">
      <c r="A2297" s="32" t="s">
        <v>4704</v>
      </c>
      <c r="B2297" s="32" t="s">
        <v>4696</v>
      </c>
      <c r="C2297" s="32" t="s">
        <v>2182</v>
      </c>
      <c r="D2297" s="33">
        <v>206</v>
      </c>
      <c r="E2297" s="33">
        <v>2102</v>
      </c>
      <c r="F2297" s="33">
        <v>12017</v>
      </c>
      <c r="G2297" s="33">
        <v>2050</v>
      </c>
      <c r="H2297" s="33">
        <v>56</v>
      </c>
      <c r="I2297" s="33">
        <v>16431</v>
      </c>
      <c r="K2297" t="b">
        <f>QHPSelections2016[[#This Row],[County Name]]=P2297</f>
        <v>1</v>
      </c>
      <c r="L2297" t="b">
        <f>QHPSelections2016[[#This Row],[Silver]]=S2297</f>
        <v>1</v>
      </c>
      <c r="N2297">
        <v>49011</v>
      </c>
      <c r="O2297" t="s">
        <v>4696</v>
      </c>
      <c r="P2297" t="s">
        <v>2182</v>
      </c>
      <c r="Q2297">
        <v>206</v>
      </c>
      <c r="R2297" s="51">
        <v>2102</v>
      </c>
      <c r="S2297" s="51">
        <v>12017</v>
      </c>
      <c r="T2297" s="51">
        <v>2050</v>
      </c>
      <c r="U2297">
        <v>56</v>
      </c>
      <c r="V2297" s="51">
        <v>16431</v>
      </c>
    </row>
    <row r="2298" spans="1:22">
      <c r="A2298" s="32" t="s">
        <v>4705</v>
      </c>
      <c r="B2298" s="32" t="s">
        <v>4696</v>
      </c>
      <c r="C2298" s="32" t="s">
        <v>4706</v>
      </c>
      <c r="D2298" s="33" t="s">
        <v>1639</v>
      </c>
      <c r="E2298" s="33">
        <v>116</v>
      </c>
      <c r="F2298" s="33">
        <v>681</v>
      </c>
      <c r="G2298" s="33">
        <v>173</v>
      </c>
      <c r="H2298" s="33" t="s">
        <v>1639</v>
      </c>
      <c r="I2298" s="33">
        <v>971</v>
      </c>
      <c r="K2298" t="b">
        <f>QHPSelections2016[[#This Row],[County Name]]=P2298</f>
        <v>1</v>
      </c>
      <c r="L2298" t="b">
        <f>QHPSelections2016[[#This Row],[Silver]]=S2298</f>
        <v>1</v>
      </c>
      <c r="N2298">
        <v>49013</v>
      </c>
      <c r="O2298" t="s">
        <v>4696</v>
      </c>
      <c r="P2298" t="s">
        <v>4706</v>
      </c>
      <c r="R2298">
        <v>116</v>
      </c>
      <c r="S2298">
        <v>681</v>
      </c>
      <c r="T2298">
        <v>173</v>
      </c>
      <c r="V2298">
        <v>971</v>
      </c>
    </row>
    <row r="2299" spans="1:22">
      <c r="A2299" s="32" t="s">
        <v>4707</v>
      </c>
      <c r="B2299" s="32" t="s">
        <v>4696</v>
      </c>
      <c r="C2299" s="32" t="s">
        <v>4708</v>
      </c>
      <c r="D2299" s="33" t="s">
        <v>1639</v>
      </c>
      <c r="E2299" s="33">
        <v>19</v>
      </c>
      <c r="F2299" s="33">
        <v>329</v>
      </c>
      <c r="G2299" s="33">
        <v>61</v>
      </c>
      <c r="H2299" s="33" t="s">
        <v>1639</v>
      </c>
      <c r="I2299" s="33">
        <v>411</v>
      </c>
      <c r="K2299" t="b">
        <f>QHPSelections2016[[#This Row],[County Name]]=P2299</f>
        <v>1</v>
      </c>
      <c r="L2299" t="b">
        <f>QHPSelections2016[[#This Row],[Silver]]=S2299</f>
        <v>1</v>
      </c>
      <c r="N2299">
        <v>49015</v>
      </c>
      <c r="O2299" t="s">
        <v>4696</v>
      </c>
      <c r="P2299" t="s">
        <v>4708</v>
      </c>
      <c r="R2299">
        <v>19</v>
      </c>
      <c r="S2299">
        <v>329</v>
      </c>
      <c r="T2299">
        <v>61</v>
      </c>
      <c r="V2299">
        <v>411</v>
      </c>
    </row>
    <row r="2300" spans="1:22">
      <c r="A2300" s="32" t="s">
        <v>4709</v>
      </c>
      <c r="B2300" s="32" t="s">
        <v>4696</v>
      </c>
      <c r="C2300" s="32" t="s">
        <v>3234</v>
      </c>
      <c r="D2300" s="33">
        <v>0</v>
      </c>
      <c r="E2300" s="33">
        <v>19</v>
      </c>
      <c r="F2300" s="33">
        <v>277</v>
      </c>
      <c r="G2300" s="33">
        <v>80</v>
      </c>
      <c r="H2300" s="33">
        <v>0</v>
      </c>
      <c r="I2300" s="33">
        <v>376</v>
      </c>
      <c r="K2300" t="b">
        <f>QHPSelections2016[[#This Row],[County Name]]=P2300</f>
        <v>1</v>
      </c>
      <c r="L2300" t="b">
        <f>QHPSelections2016[[#This Row],[Silver]]=S2300</f>
        <v>1</v>
      </c>
      <c r="N2300">
        <v>49017</v>
      </c>
      <c r="O2300" t="s">
        <v>4696</v>
      </c>
      <c r="P2300" t="s">
        <v>3234</v>
      </c>
      <c r="Q2300">
        <v>0</v>
      </c>
      <c r="R2300">
        <v>19</v>
      </c>
      <c r="S2300">
        <v>277</v>
      </c>
      <c r="T2300">
        <v>80</v>
      </c>
      <c r="U2300">
        <v>0</v>
      </c>
      <c r="V2300">
        <v>376</v>
      </c>
    </row>
    <row r="2301" spans="1:22">
      <c r="A2301" s="32" t="s">
        <v>4710</v>
      </c>
      <c r="B2301" s="32" t="s">
        <v>4696</v>
      </c>
      <c r="C2301" s="32" t="s">
        <v>4711</v>
      </c>
      <c r="D2301" s="33" t="s">
        <v>1639</v>
      </c>
      <c r="E2301" s="33">
        <v>39</v>
      </c>
      <c r="F2301" s="33">
        <v>741</v>
      </c>
      <c r="G2301" s="33">
        <v>239</v>
      </c>
      <c r="H2301" s="33" t="s">
        <v>1639</v>
      </c>
      <c r="I2301" s="33">
        <v>1021</v>
      </c>
      <c r="K2301" t="b">
        <f>QHPSelections2016[[#This Row],[County Name]]=P2301</f>
        <v>1</v>
      </c>
      <c r="L2301" t="b">
        <f>QHPSelections2016[[#This Row],[Silver]]=S2301</f>
        <v>1</v>
      </c>
      <c r="N2301">
        <v>49019</v>
      </c>
      <c r="O2301" t="s">
        <v>4696</v>
      </c>
      <c r="P2301" t="s">
        <v>4711</v>
      </c>
      <c r="R2301">
        <v>39</v>
      </c>
      <c r="S2301">
        <v>741</v>
      </c>
      <c r="T2301">
        <v>239</v>
      </c>
      <c r="V2301" s="51">
        <v>1021</v>
      </c>
    </row>
    <row r="2302" spans="1:22">
      <c r="A2302" s="32" t="s">
        <v>4712</v>
      </c>
      <c r="B2302" s="32" t="s">
        <v>4696</v>
      </c>
      <c r="C2302" s="32" t="s">
        <v>2882</v>
      </c>
      <c r="D2302" s="33" t="s">
        <v>1639</v>
      </c>
      <c r="E2302" s="33">
        <v>195</v>
      </c>
      <c r="F2302" s="33">
        <v>2093</v>
      </c>
      <c r="G2302" s="33">
        <v>599</v>
      </c>
      <c r="H2302" s="33" t="s">
        <v>1639</v>
      </c>
      <c r="I2302" s="33">
        <v>2895</v>
      </c>
      <c r="K2302" t="b">
        <f>QHPSelections2016[[#This Row],[County Name]]=P2302</f>
        <v>1</v>
      </c>
      <c r="L2302" t="b">
        <f>QHPSelections2016[[#This Row],[Silver]]=S2302</f>
        <v>1</v>
      </c>
      <c r="N2302">
        <v>49021</v>
      </c>
      <c r="O2302" t="s">
        <v>4696</v>
      </c>
      <c r="P2302" t="s">
        <v>2882</v>
      </c>
      <c r="R2302">
        <v>195</v>
      </c>
      <c r="S2302" s="51">
        <v>2093</v>
      </c>
      <c r="T2302">
        <v>599</v>
      </c>
      <c r="V2302" s="51">
        <v>2895</v>
      </c>
    </row>
    <row r="2303" spans="1:22">
      <c r="A2303" s="32" t="s">
        <v>4713</v>
      </c>
      <c r="B2303" s="32" t="s">
        <v>4696</v>
      </c>
      <c r="C2303" s="32" t="s">
        <v>4714</v>
      </c>
      <c r="D2303" s="33">
        <v>0</v>
      </c>
      <c r="E2303" s="33">
        <v>97</v>
      </c>
      <c r="F2303" s="33">
        <v>493</v>
      </c>
      <c r="G2303" s="33">
        <v>115</v>
      </c>
      <c r="H2303" s="33">
        <v>0</v>
      </c>
      <c r="I2303" s="33">
        <v>705</v>
      </c>
      <c r="K2303" t="b">
        <f>QHPSelections2016[[#This Row],[County Name]]=P2303</f>
        <v>1</v>
      </c>
      <c r="L2303" t="b">
        <f>QHPSelections2016[[#This Row],[Silver]]=S2303</f>
        <v>1</v>
      </c>
      <c r="N2303">
        <v>49023</v>
      </c>
      <c r="O2303" t="s">
        <v>4696</v>
      </c>
      <c r="P2303" t="s">
        <v>4714</v>
      </c>
      <c r="Q2303">
        <v>0</v>
      </c>
      <c r="R2303">
        <v>97</v>
      </c>
      <c r="S2303">
        <v>493</v>
      </c>
      <c r="T2303">
        <v>115</v>
      </c>
      <c r="U2303">
        <v>0</v>
      </c>
      <c r="V2303">
        <v>705</v>
      </c>
    </row>
    <row r="2304" spans="1:22">
      <c r="A2304" s="32" t="s">
        <v>4715</v>
      </c>
      <c r="B2304" s="32" t="s">
        <v>4696</v>
      </c>
      <c r="C2304" s="32" t="s">
        <v>2351</v>
      </c>
      <c r="D2304" s="33" t="s">
        <v>1639</v>
      </c>
      <c r="E2304" s="33">
        <v>21</v>
      </c>
      <c r="F2304" s="33">
        <v>399</v>
      </c>
      <c r="G2304" s="33">
        <v>141</v>
      </c>
      <c r="H2304" s="33" t="s">
        <v>1639</v>
      </c>
      <c r="I2304" s="33">
        <v>563</v>
      </c>
      <c r="K2304" t="b">
        <f>QHPSelections2016[[#This Row],[County Name]]=P2304</f>
        <v>1</v>
      </c>
      <c r="L2304" t="b">
        <f>QHPSelections2016[[#This Row],[Silver]]=S2304</f>
        <v>1</v>
      </c>
      <c r="N2304">
        <v>49025</v>
      </c>
      <c r="O2304" t="s">
        <v>4696</v>
      </c>
      <c r="P2304" t="s">
        <v>2351</v>
      </c>
      <c r="R2304">
        <v>21</v>
      </c>
      <c r="S2304">
        <v>399</v>
      </c>
      <c r="T2304">
        <v>141</v>
      </c>
      <c r="V2304">
        <v>563</v>
      </c>
    </row>
    <row r="2305" spans="1:22">
      <c r="A2305" s="32" t="s">
        <v>4716</v>
      </c>
      <c r="B2305" s="32" t="s">
        <v>4696</v>
      </c>
      <c r="C2305" s="32" t="s">
        <v>4717</v>
      </c>
      <c r="D2305" s="33" t="s">
        <v>1639</v>
      </c>
      <c r="E2305" s="33">
        <v>30</v>
      </c>
      <c r="F2305" s="33">
        <v>490</v>
      </c>
      <c r="G2305" s="33">
        <v>133</v>
      </c>
      <c r="H2305" s="33" t="s">
        <v>1639</v>
      </c>
      <c r="I2305" s="33">
        <v>654</v>
      </c>
      <c r="K2305" t="b">
        <f>QHPSelections2016[[#This Row],[County Name]]=P2305</f>
        <v>1</v>
      </c>
      <c r="L2305" t="b">
        <f>QHPSelections2016[[#This Row],[Silver]]=S2305</f>
        <v>1</v>
      </c>
      <c r="N2305">
        <v>49027</v>
      </c>
      <c r="O2305" t="s">
        <v>4696</v>
      </c>
      <c r="P2305" t="s">
        <v>4717</v>
      </c>
      <c r="R2305">
        <v>30</v>
      </c>
      <c r="S2305">
        <v>490</v>
      </c>
      <c r="T2305">
        <v>133</v>
      </c>
      <c r="V2305">
        <v>654</v>
      </c>
    </row>
    <row r="2306" spans="1:22">
      <c r="A2306" s="32" t="s">
        <v>4718</v>
      </c>
      <c r="B2306" s="32" t="s">
        <v>4696</v>
      </c>
      <c r="C2306" s="32" t="s">
        <v>1092</v>
      </c>
      <c r="D2306" s="33" t="s">
        <v>1639</v>
      </c>
      <c r="E2306" s="33">
        <v>57</v>
      </c>
      <c r="F2306" s="33">
        <v>419</v>
      </c>
      <c r="G2306" s="33">
        <v>106</v>
      </c>
      <c r="H2306" s="33" t="s">
        <v>1639</v>
      </c>
      <c r="I2306" s="33">
        <v>583</v>
      </c>
      <c r="K2306" t="b">
        <f>QHPSelections2016[[#This Row],[County Name]]=P2306</f>
        <v>1</v>
      </c>
      <c r="L2306" t="b">
        <f>QHPSelections2016[[#This Row],[Silver]]=S2306</f>
        <v>1</v>
      </c>
      <c r="N2306">
        <v>49029</v>
      </c>
      <c r="O2306" t="s">
        <v>4696</v>
      </c>
      <c r="P2306" t="s">
        <v>1092</v>
      </c>
      <c r="R2306">
        <v>57</v>
      </c>
      <c r="S2306">
        <v>419</v>
      </c>
      <c r="T2306">
        <v>106</v>
      </c>
      <c r="V2306">
        <v>583</v>
      </c>
    </row>
    <row r="2307" spans="1:22">
      <c r="A2307" s="32" t="s">
        <v>4719</v>
      </c>
      <c r="B2307" s="32" t="s">
        <v>4696</v>
      </c>
      <c r="C2307" s="32" t="s">
        <v>4720</v>
      </c>
      <c r="D2307" s="33" t="s">
        <v>1639</v>
      </c>
      <c r="E2307" s="33" t="s">
        <v>1639</v>
      </c>
      <c r="F2307" s="33">
        <v>88</v>
      </c>
      <c r="G2307" s="33">
        <v>17</v>
      </c>
      <c r="H2307" s="33">
        <v>0</v>
      </c>
      <c r="I2307" s="33">
        <v>111</v>
      </c>
      <c r="K2307" t="b">
        <f>QHPSelections2016[[#This Row],[County Name]]=P2307</f>
        <v>1</v>
      </c>
      <c r="L2307" t="b">
        <f>QHPSelections2016[[#This Row],[Silver]]=S2307</f>
        <v>1</v>
      </c>
      <c r="N2307">
        <v>49031</v>
      </c>
      <c r="O2307" t="s">
        <v>4696</v>
      </c>
      <c r="P2307" t="s">
        <v>4720</v>
      </c>
      <c r="S2307">
        <v>88</v>
      </c>
      <c r="T2307">
        <v>17</v>
      </c>
      <c r="U2307">
        <v>0</v>
      </c>
      <c r="V2307">
        <v>111</v>
      </c>
    </row>
    <row r="2308" spans="1:22">
      <c r="A2308" s="32" t="s">
        <v>4721</v>
      </c>
      <c r="B2308" s="32" t="s">
        <v>4696</v>
      </c>
      <c r="C2308" s="32" t="s">
        <v>4722</v>
      </c>
      <c r="D2308" s="33" t="s">
        <v>1639</v>
      </c>
      <c r="E2308" s="33" t="s">
        <v>1639</v>
      </c>
      <c r="F2308" s="33">
        <v>177</v>
      </c>
      <c r="G2308" s="33">
        <v>42</v>
      </c>
      <c r="H2308" s="33">
        <v>0</v>
      </c>
      <c r="I2308" s="33">
        <v>221</v>
      </c>
      <c r="K2308" t="b">
        <f>QHPSelections2016[[#This Row],[County Name]]=P2308</f>
        <v>1</v>
      </c>
      <c r="L2308" t="b">
        <f>QHPSelections2016[[#This Row],[Silver]]=S2308</f>
        <v>1</v>
      </c>
      <c r="N2308">
        <v>49033</v>
      </c>
      <c r="O2308" t="s">
        <v>4696</v>
      </c>
      <c r="P2308" t="s">
        <v>4722</v>
      </c>
      <c r="S2308">
        <v>177</v>
      </c>
      <c r="T2308">
        <v>42</v>
      </c>
      <c r="U2308">
        <v>0</v>
      </c>
      <c r="V2308">
        <v>221</v>
      </c>
    </row>
    <row r="2309" spans="1:22">
      <c r="A2309" s="32" t="s">
        <v>4723</v>
      </c>
      <c r="B2309" s="32" t="s">
        <v>4696</v>
      </c>
      <c r="C2309" s="32" t="s">
        <v>4724</v>
      </c>
      <c r="D2309" s="33">
        <v>562</v>
      </c>
      <c r="E2309" s="33">
        <v>6877</v>
      </c>
      <c r="F2309" s="33">
        <v>48631</v>
      </c>
      <c r="G2309" s="33">
        <v>8702</v>
      </c>
      <c r="H2309" s="33">
        <v>296</v>
      </c>
      <c r="I2309" s="33">
        <v>65068</v>
      </c>
      <c r="K2309" t="b">
        <f>QHPSelections2016[[#This Row],[County Name]]=P2309</f>
        <v>1</v>
      </c>
      <c r="L2309" t="b">
        <f>QHPSelections2016[[#This Row],[Silver]]=S2309</f>
        <v>1</v>
      </c>
      <c r="N2309">
        <v>49035</v>
      </c>
      <c r="O2309" t="s">
        <v>4696</v>
      </c>
      <c r="P2309" t="s">
        <v>4724</v>
      </c>
      <c r="Q2309">
        <v>562</v>
      </c>
      <c r="R2309" s="51">
        <v>6877</v>
      </c>
      <c r="S2309" s="51">
        <v>48631</v>
      </c>
      <c r="T2309" s="51">
        <v>8702</v>
      </c>
      <c r="U2309">
        <v>296</v>
      </c>
      <c r="V2309" s="51">
        <v>65068</v>
      </c>
    </row>
    <row r="2310" spans="1:22">
      <c r="A2310" s="32" t="s">
        <v>4725</v>
      </c>
      <c r="B2310" s="32" t="s">
        <v>4696</v>
      </c>
      <c r="C2310" s="32" t="s">
        <v>3726</v>
      </c>
      <c r="D2310" s="33" t="s">
        <v>1639</v>
      </c>
      <c r="E2310" s="33">
        <v>31</v>
      </c>
      <c r="F2310" s="33">
        <v>224</v>
      </c>
      <c r="G2310" s="33">
        <v>83</v>
      </c>
      <c r="H2310" s="33" t="s">
        <v>1639</v>
      </c>
      <c r="I2310" s="33">
        <v>339</v>
      </c>
      <c r="K2310" t="b">
        <f>QHPSelections2016[[#This Row],[County Name]]=P2310</f>
        <v>1</v>
      </c>
      <c r="L2310" t="b">
        <f>QHPSelections2016[[#This Row],[Silver]]=S2310</f>
        <v>1</v>
      </c>
      <c r="N2310">
        <v>49037</v>
      </c>
      <c r="O2310" t="s">
        <v>4696</v>
      </c>
      <c r="P2310" t="s">
        <v>3726</v>
      </c>
      <c r="R2310">
        <v>31</v>
      </c>
      <c r="S2310">
        <v>224</v>
      </c>
      <c r="T2310">
        <v>83</v>
      </c>
      <c r="V2310">
        <v>339</v>
      </c>
    </row>
    <row r="2311" spans="1:22">
      <c r="A2311" s="32" t="s">
        <v>4726</v>
      </c>
      <c r="B2311" s="32" t="s">
        <v>4696</v>
      </c>
      <c r="C2311" s="32" t="s">
        <v>4727</v>
      </c>
      <c r="D2311" s="33" t="s">
        <v>1639</v>
      </c>
      <c r="E2311" s="33">
        <v>110</v>
      </c>
      <c r="F2311" s="33">
        <v>1189</v>
      </c>
      <c r="G2311" s="33">
        <v>263</v>
      </c>
      <c r="H2311" s="33" t="s">
        <v>1639</v>
      </c>
      <c r="I2311" s="33">
        <v>1564</v>
      </c>
      <c r="K2311" t="b">
        <f>QHPSelections2016[[#This Row],[County Name]]=P2311</f>
        <v>1</v>
      </c>
      <c r="L2311" t="b">
        <f>QHPSelections2016[[#This Row],[Silver]]=S2311</f>
        <v>1</v>
      </c>
      <c r="N2311">
        <v>49039</v>
      </c>
      <c r="O2311" t="s">
        <v>4696</v>
      </c>
      <c r="P2311" t="s">
        <v>4727</v>
      </c>
      <c r="R2311">
        <v>110</v>
      </c>
      <c r="S2311" s="51">
        <v>1189</v>
      </c>
      <c r="T2311">
        <v>263</v>
      </c>
      <c r="V2311" s="51">
        <v>1564</v>
      </c>
    </row>
    <row r="2312" spans="1:22">
      <c r="A2312" s="32" t="s">
        <v>4728</v>
      </c>
      <c r="B2312" s="32" t="s">
        <v>4696</v>
      </c>
      <c r="C2312" s="32" t="s">
        <v>1214</v>
      </c>
      <c r="D2312" s="33" t="s">
        <v>1639</v>
      </c>
      <c r="E2312" s="33">
        <v>93</v>
      </c>
      <c r="F2312" s="33">
        <v>1102</v>
      </c>
      <c r="G2312" s="33">
        <v>201</v>
      </c>
      <c r="H2312" s="33" t="s">
        <v>1639</v>
      </c>
      <c r="I2312" s="33">
        <v>1403</v>
      </c>
      <c r="K2312" t="b">
        <f>QHPSelections2016[[#This Row],[County Name]]=P2312</f>
        <v>1</v>
      </c>
      <c r="L2312" t="b">
        <f>QHPSelections2016[[#This Row],[Silver]]=S2312</f>
        <v>1</v>
      </c>
      <c r="N2312">
        <v>49041</v>
      </c>
      <c r="O2312" t="s">
        <v>4696</v>
      </c>
      <c r="P2312" t="s">
        <v>1214</v>
      </c>
      <c r="R2312">
        <v>93</v>
      </c>
      <c r="S2312" s="51">
        <v>1102</v>
      </c>
      <c r="T2312">
        <v>201</v>
      </c>
      <c r="V2312" s="51">
        <v>1403</v>
      </c>
    </row>
    <row r="2313" spans="1:22">
      <c r="A2313" s="32" t="s">
        <v>4729</v>
      </c>
      <c r="B2313" s="32" t="s">
        <v>4696</v>
      </c>
      <c r="C2313" s="32" t="s">
        <v>3879</v>
      </c>
      <c r="D2313" s="33">
        <v>0</v>
      </c>
      <c r="E2313" s="33">
        <v>626</v>
      </c>
      <c r="F2313" s="33">
        <v>2250</v>
      </c>
      <c r="G2313" s="33">
        <v>545</v>
      </c>
      <c r="H2313" s="33">
        <v>13</v>
      </c>
      <c r="I2313" s="33">
        <v>3434</v>
      </c>
      <c r="K2313" t="b">
        <f>QHPSelections2016[[#This Row],[County Name]]=P2313</f>
        <v>1</v>
      </c>
      <c r="L2313" t="b">
        <f>QHPSelections2016[[#This Row],[Silver]]=S2313</f>
        <v>1</v>
      </c>
      <c r="N2313">
        <v>49043</v>
      </c>
      <c r="O2313" t="s">
        <v>4696</v>
      </c>
      <c r="P2313" t="s">
        <v>3879</v>
      </c>
      <c r="Q2313">
        <v>0</v>
      </c>
      <c r="R2313">
        <v>626</v>
      </c>
      <c r="S2313" s="51">
        <v>2250</v>
      </c>
      <c r="T2313">
        <v>545</v>
      </c>
      <c r="U2313">
        <v>13</v>
      </c>
      <c r="V2313" s="51">
        <v>3434</v>
      </c>
    </row>
    <row r="2314" spans="1:22">
      <c r="A2314" s="32" t="s">
        <v>4730</v>
      </c>
      <c r="B2314" s="32" t="s">
        <v>4696</v>
      </c>
      <c r="C2314" s="32" t="s">
        <v>4731</v>
      </c>
      <c r="D2314" s="33" t="s">
        <v>1639</v>
      </c>
      <c r="E2314" s="33">
        <v>381</v>
      </c>
      <c r="F2314" s="33">
        <v>1964</v>
      </c>
      <c r="G2314" s="33">
        <v>263</v>
      </c>
      <c r="H2314" s="33" t="s">
        <v>1639</v>
      </c>
      <c r="I2314" s="33">
        <v>2613</v>
      </c>
      <c r="K2314" t="b">
        <f>QHPSelections2016[[#This Row],[County Name]]=P2314</f>
        <v>1</v>
      </c>
      <c r="L2314" t="b">
        <f>QHPSelections2016[[#This Row],[Silver]]=S2314</f>
        <v>1</v>
      </c>
      <c r="N2314">
        <v>49045</v>
      </c>
      <c r="O2314" t="s">
        <v>4696</v>
      </c>
      <c r="P2314" t="s">
        <v>4731</v>
      </c>
      <c r="R2314">
        <v>381</v>
      </c>
      <c r="S2314" s="51">
        <v>1964</v>
      </c>
      <c r="T2314">
        <v>263</v>
      </c>
      <c r="V2314" s="51">
        <v>2613</v>
      </c>
    </row>
    <row r="2315" spans="1:22">
      <c r="A2315" s="32" t="s">
        <v>4732</v>
      </c>
      <c r="B2315" s="32" t="s">
        <v>4696</v>
      </c>
      <c r="C2315" s="32" t="s">
        <v>4733</v>
      </c>
      <c r="D2315" s="33" t="s">
        <v>1639</v>
      </c>
      <c r="E2315" s="33">
        <v>164</v>
      </c>
      <c r="F2315" s="33">
        <v>1101</v>
      </c>
      <c r="G2315" s="33">
        <v>342</v>
      </c>
      <c r="H2315" s="33" t="s">
        <v>1639</v>
      </c>
      <c r="I2315" s="33">
        <v>1611</v>
      </c>
      <c r="K2315" t="b">
        <f>QHPSelections2016[[#This Row],[County Name]]=P2315</f>
        <v>1</v>
      </c>
      <c r="L2315" t="b">
        <f>QHPSelections2016[[#This Row],[Silver]]=S2315</f>
        <v>1</v>
      </c>
      <c r="N2315">
        <v>49047</v>
      </c>
      <c r="O2315" t="s">
        <v>4696</v>
      </c>
      <c r="P2315" t="s">
        <v>4733</v>
      </c>
      <c r="R2315">
        <v>164</v>
      </c>
      <c r="S2315" s="51">
        <v>1101</v>
      </c>
      <c r="T2315">
        <v>342</v>
      </c>
      <c r="V2315" s="51">
        <v>1611</v>
      </c>
    </row>
    <row r="2316" spans="1:22">
      <c r="A2316" s="32" t="s">
        <v>4734</v>
      </c>
      <c r="B2316" s="32" t="s">
        <v>4696</v>
      </c>
      <c r="C2316" s="32" t="s">
        <v>4735</v>
      </c>
      <c r="D2316" s="33">
        <v>0</v>
      </c>
      <c r="E2316" s="33">
        <v>4382</v>
      </c>
      <c r="F2316" s="33">
        <v>27766</v>
      </c>
      <c r="G2316" s="33">
        <v>5165</v>
      </c>
      <c r="H2316" s="33">
        <v>109</v>
      </c>
      <c r="I2316" s="33">
        <v>37422</v>
      </c>
      <c r="K2316" t="b">
        <f>QHPSelections2016[[#This Row],[County Name]]=P2316</f>
        <v>1</v>
      </c>
      <c r="L2316" t="b">
        <f>QHPSelections2016[[#This Row],[Silver]]=S2316</f>
        <v>1</v>
      </c>
      <c r="N2316">
        <v>49049</v>
      </c>
      <c r="O2316" t="s">
        <v>4696</v>
      </c>
      <c r="P2316" t="s">
        <v>4735</v>
      </c>
      <c r="Q2316">
        <v>0</v>
      </c>
      <c r="R2316" s="51">
        <v>4382</v>
      </c>
      <c r="S2316" s="51">
        <v>27766</v>
      </c>
      <c r="T2316" s="51">
        <v>5165</v>
      </c>
      <c r="U2316">
        <v>109</v>
      </c>
      <c r="V2316" s="51">
        <v>37422</v>
      </c>
    </row>
    <row r="2317" spans="1:22">
      <c r="A2317" s="32" t="s">
        <v>4736</v>
      </c>
      <c r="B2317" s="32" t="s">
        <v>4696</v>
      </c>
      <c r="C2317" s="32" t="s">
        <v>4737</v>
      </c>
      <c r="D2317" s="33">
        <v>0</v>
      </c>
      <c r="E2317" s="33">
        <v>279</v>
      </c>
      <c r="F2317" s="33">
        <v>1739</v>
      </c>
      <c r="G2317" s="33">
        <v>481</v>
      </c>
      <c r="H2317" s="33">
        <v>13</v>
      </c>
      <c r="I2317" s="33">
        <v>2512</v>
      </c>
      <c r="K2317" t="b">
        <f>QHPSelections2016[[#This Row],[County Name]]=P2317</f>
        <v>1</v>
      </c>
      <c r="L2317" t="b">
        <f>QHPSelections2016[[#This Row],[Silver]]=S2317</f>
        <v>1</v>
      </c>
      <c r="N2317">
        <v>49051</v>
      </c>
      <c r="O2317" t="s">
        <v>4696</v>
      </c>
      <c r="P2317" t="s">
        <v>4737</v>
      </c>
      <c r="Q2317">
        <v>0</v>
      </c>
      <c r="R2317">
        <v>279</v>
      </c>
      <c r="S2317" s="51">
        <v>1739</v>
      </c>
      <c r="T2317">
        <v>481</v>
      </c>
      <c r="U2317">
        <v>13</v>
      </c>
      <c r="V2317" s="51">
        <v>2512</v>
      </c>
    </row>
    <row r="2318" spans="1:22">
      <c r="A2318" s="32" t="s">
        <v>4738</v>
      </c>
      <c r="B2318" s="32" t="s">
        <v>4696</v>
      </c>
      <c r="C2318" s="32" t="s">
        <v>1160</v>
      </c>
      <c r="D2318" s="33">
        <v>0</v>
      </c>
      <c r="E2318" s="33">
        <v>915</v>
      </c>
      <c r="F2318" s="33">
        <v>8509</v>
      </c>
      <c r="G2318" s="33">
        <v>2583</v>
      </c>
      <c r="H2318" s="33">
        <v>39</v>
      </c>
      <c r="I2318" s="33">
        <v>12046</v>
      </c>
      <c r="K2318" t="b">
        <f>QHPSelections2016[[#This Row],[County Name]]=P2318</f>
        <v>1</v>
      </c>
      <c r="L2318" t="b">
        <f>QHPSelections2016[[#This Row],[Silver]]=S2318</f>
        <v>1</v>
      </c>
      <c r="N2318">
        <v>49053</v>
      </c>
      <c r="O2318" t="s">
        <v>4696</v>
      </c>
      <c r="P2318" t="s">
        <v>1160</v>
      </c>
      <c r="Q2318">
        <v>0</v>
      </c>
      <c r="R2318">
        <v>915</v>
      </c>
      <c r="S2318" s="51">
        <v>8509</v>
      </c>
      <c r="T2318" s="51">
        <v>2583</v>
      </c>
      <c r="U2318">
        <v>39</v>
      </c>
      <c r="V2318" s="51">
        <v>12046</v>
      </c>
    </row>
    <row r="2319" spans="1:22">
      <c r="A2319" s="32" t="s">
        <v>4739</v>
      </c>
      <c r="B2319" s="32" t="s">
        <v>4696</v>
      </c>
      <c r="C2319" s="32" t="s">
        <v>1209</v>
      </c>
      <c r="D2319" s="33" t="s">
        <v>1639</v>
      </c>
      <c r="E2319" s="33" t="s">
        <v>1639</v>
      </c>
      <c r="F2319" s="33">
        <v>135</v>
      </c>
      <c r="G2319" s="33">
        <v>49</v>
      </c>
      <c r="H2319" s="33">
        <v>0</v>
      </c>
      <c r="I2319" s="33">
        <v>192</v>
      </c>
      <c r="K2319" t="b">
        <f>QHPSelections2016[[#This Row],[County Name]]=P2319</f>
        <v>1</v>
      </c>
      <c r="L2319" t="b">
        <f>QHPSelections2016[[#This Row],[Silver]]=S2319</f>
        <v>1</v>
      </c>
      <c r="N2319">
        <v>49055</v>
      </c>
      <c r="O2319" t="s">
        <v>4696</v>
      </c>
      <c r="P2319" t="s">
        <v>1209</v>
      </c>
      <c r="S2319">
        <v>135</v>
      </c>
      <c r="T2319">
        <v>49</v>
      </c>
      <c r="U2319">
        <v>0</v>
      </c>
      <c r="V2319">
        <v>192</v>
      </c>
    </row>
    <row r="2320" spans="1:22">
      <c r="A2320" s="32" t="s">
        <v>4740</v>
      </c>
      <c r="B2320" s="32" t="s">
        <v>4696</v>
      </c>
      <c r="C2320" s="32" t="s">
        <v>4741</v>
      </c>
      <c r="D2320" s="33">
        <v>0</v>
      </c>
      <c r="E2320" s="33">
        <v>1150</v>
      </c>
      <c r="F2320" s="33">
        <v>8518</v>
      </c>
      <c r="G2320" s="33">
        <v>1443</v>
      </c>
      <c r="H2320" s="33">
        <v>24</v>
      </c>
      <c r="I2320" s="33">
        <v>11135</v>
      </c>
      <c r="K2320" t="b">
        <f>QHPSelections2016[[#This Row],[County Name]]=P2320</f>
        <v>1</v>
      </c>
      <c r="L2320" t="b">
        <f>QHPSelections2016[[#This Row],[Silver]]=S2320</f>
        <v>1</v>
      </c>
      <c r="N2320">
        <v>49057</v>
      </c>
      <c r="O2320" t="s">
        <v>4696</v>
      </c>
      <c r="P2320" t="s">
        <v>4741</v>
      </c>
      <c r="Q2320">
        <v>0</v>
      </c>
      <c r="R2320" s="51">
        <v>1150</v>
      </c>
      <c r="S2320" s="51">
        <v>8518</v>
      </c>
      <c r="T2320" s="51">
        <v>1443</v>
      </c>
      <c r="U2320">
        <v>24</v>
      </c>
      <c r="V2320" s="51">
        <v>11135</v>
      </c>
    </row>
    <row r="2321" spans="1:22">
      <c r="A2321" s="32" t="s">
        <v>4742</v>
      </c>
      <c r="B2321" s="32" t="s">
        <v>4743</v>
      </c>
      <c r="C2321" s="32" t="s">
        <v>4744</v>
      </c>
      <c r="D2321" s="33">
        <v>0</v>
      </c>
      <c r="E2321" s="33">
        <v>99</v>
      </c>
      <c r="F2321" s="33">
        <v>1313</v>
      </c>
      <c r="G2321" s="33">
        <v>286</v>
      </c>
      <c r="H2321" s="33">
        <v>11</v>
      </c>
      <c r="I2321" s="33">
        <v>1709</v>
      </c>
      <c r="K2321" t="b">
        <f>QHPSelections2016[[#This Row],[County Name]]=P2321</f>
        <v>1</v>
      </c>
      <c r="L2321" t="b">
        <f>QHPSelections2016[[#This Row],[Silver]]=S2321</f>
        <v>1</v>
      </c>
      <c r="N2321">
        <v>51001</v>
      </c>
      <c r="O2321" t="s">
        <v>4743</v>
      </c>
      <c r="P2321" t="s">
        <v>4744</v>
      </c>
      <c r="Q2321">
        <v>0</v>
      </c>
      <c r="R2321">
        <v>99</v>
      </c>
      <c r="S2321" s="51">
        <v>1313</v>
      </c>
      <c r="T2321">
        <v>286</v>
      </c>
      <c r="U2321">
        <v>11</v>
      </c>
      <c r="V2321" s="51">
        <v>1709</v>
      </c>
    </row>
    <row r="2322" spans="1:22">
      <c r="A2322" s="32" t="s">
        <v>4745</v>
      </c>
      <c r="B2322" s="32" t="s">
        <v>4743</v>
      </c>
      <c r="C2322" s="32" t="s">
        <v>4746</v>
      </c>
      <c r="D2322" s="33">
        <v>0</v>
      </c>
      <c r="E2322" s="33">
        <v>446</v>
      </c>
      <c r="F2322" s="33">
        <v>3415</v>
      </c>
      <c r="G2322" s="33">
        <v>1494</v>
      </c>
      <c r="H2322" s="33">
        <v>134</v>
      </c>
      <c r="I2322" s="33">
        <v>5489</v>
      </c>
      <c r="K2322" t="b">
        <f>QHPSelections2016[[#This Row],[County Name]]=P2322</f>
        <v>1</v>
      </c>
      <c r="L2322" t="b">
        <f>QHPSelections2016[[#This Row],[Silver]]=S2322</f>
        <v>1</v>
      </c>
      <c r="N2322">
        <v>51003</v>
      </c>
      <c r="O2322" t="s">
        <v>4743</v>
      </c>
      <c r="P2322" t="s">
        <v>4746</v>
      </c>
      <c r="Q2322">
        <v>0</v>
      </c>
      <c r="R2322">
        <v>446</v>
      </c>
      <c r="S2322" s="51">
        <v>3415</v>
      </c>
      <c r="T2322" s="51">
        <v>1494</v>
      </c>
      <c r="U2322">
        <v>134</v>
      </c>
      <c r="V2322" s="51">
        <v>5489</v>
      </c>
    </row>
    <row r="2323" spans="1:22">
      <c r="A2323" s="32" t="s">
        <v>4747</v>
      </c>
      <c r="B2323" s="32" t="s">
        <v>4743</v>
      </c>
      <c r="C2323" s="32" t="s">
        <v>834</v>
      </c>
      <c r="D2323" s="33" t="s">
        <v>1639</v>
      </c>
      <c r="E2323" s="33">
        <v>39</v>
      </c>
      <c r="F2323" s="33">
        <v>905</v>
      </c>
      <c r="G2323" s="33">
        <v>101</v>
      </c>
      <c r="H2323" s="33" t="s">
        <v>1639</v>
      </c>
      <c r="I2323" s="33">
        <v>1053</v>
      </c>
      <c r="K2323" t="b">
        <f>QHPSelections2016[[#This Row],[County Name]]=P2323</f>
        <v>0</v>
      </c>
      <c r="L2323" t="b">
        <f>QHPSelections2016[[#This Row],[Silver]]=S2323</f>
        <v>0</v>
      </c>
      <c r="N2323">
        <v>51510</v>
      </c>
      <c r="O2323" t="s">
        <v>4743</v>
      </c>
      <c r="P2323" t="s">
        <v>4887</v>
      </c>
      <c r="Q2323">
        <v>86</v>
      </c>
      <c r="R2323">
        <v>659</v>
      </c>
      <c r="S2323" s="51">
        <v>5686</v>
      </c>
      <c r="T2323" s="51">
        <v>2249</v>
      </c>
      <c r="U2323">
        <v>182</v>
      </c>
      <c r="V2323" s="51">
        <v>8862</v>
      </c>
    </row>
    <row r="2324" spans="1:22">
      <c r="A2324" s="32" t="s">
        <v>4748</v>
      </c>
      <c r="B2324" s="32" t="s">
        <v>4743</v>
      </c>
      <c r="C2324" s="32" t="s">
        <v>4749</v>
      </c>
      <c r="D2324" s="33" t="s">
        <v>1639</v>
      </c>
      <c r="E2324" s="33">
        <v>41</v>
      </c>
      <c r="F2324" s="33">
        <v>594</v>
      </c>
      <c r="G2324" s="33">
        <v>134</v>
      </c>
      <c r="H2324" s="33" t="s">
        <v>1639</v>
      </c>
      <c r="I2324" s="33">
        <v>778</v>
      </c>
      <c r="K2324" t="b">
        <f>QHPSelections2016[[#This Row],[County Name]]=P2324</f>
        <v>0</v>
      </c>
      <c r="L2324" t="b">
        <f>QHPSelections2016[[#This Row],[Silver]]=S2324</f>
        <v>0</v>
      </c>
      <c r="N2324">
        <v>51005</v>
      </c>
      <c r="O2324" t="s">
        <v>4743</v>
      </c>
      <c r="P2324" t="s">
        <v>834</v>
      </c>
      <c r="R2324">
        <v>39</v>
      </c>
      <c r="S2324">
        <v>905</v>
      </c>
      <c r="T2324">
        <v>101</v>
      </c>
      <c r="V2324" s="51">
        <v>1053</v>
      </c>
    </row>
    <row r="2325" spans="1:22">
      <c r="A2325" s="32" t="s">
        <v>4750</v>
      </c>
      <c r="B2325" s="32" t="s">
        <v>4743</v>
      </c>
      <c r="C2325" s="32" t="s">
        <v>4751</v>
      </c>
      <c r="D2325" s="33" t="s">
        <v>1639</v>
      </c>
      <c r="E2325" s="33">
        <v>63</v>
      </c>
      <c r="F2325" s="33">
        <v>1042</v>
      </c>
      <c r="G2325" s="33">
        <v>302</v>
      </c>
      <c r="H2325" s="33" t="s">
        <v>1639</v>
      </c>
      <c r="I2325" s="33">
        <v>1416</v>
      </c>
      <c r="K2325" t="b">
        <f>QHPSelections2016[[#This Row],[County Name]]=P2325</f>
        <v>0</v>
      </c>
      <c r="L2325" t="b">
        <f>QHPSelections2016[[#This Row],[Silver]]=S2325</f>
        <v>0</v>
      </c>
      <c r="N2325">
        <v>51007</v>
      </c>
      <c r="O2325" t="s">
        <v>4743</v>
      </c>
      <c r="P2325" t="s">
        <v>4749</v>
      </c>
      <c r="R2325">
        <v>41</v>
      </c>
      <c r="S2325">
        <v>594</v>
      </c>
      <c r="T2325">
        <v>134</v>
      </c>
      <c r="V2325">
        <v>778</v>
      </c>
    </row>
    <row r="2326" spans="1:22">
      <c r="A2326" s="32" t="s">
        <v>4752</v>
      </c>
      <c r="B2326" s="32" t="s">
        <v>4743</v>
      </c>
      <c r="C2326" s="32" t="s">
        <v>4753</v>
      </c>
      <c r="D2326" s="33" t="s">
        <v>1639</v>
      </c>
      <c r="E2326" s="33">
        <v>23</v>
      </c>
      <c r="F2326" s="33">
        <v>553</v>
      </c>
      <c r="G2326" s="33">
        <v>260</v>
      </c>
      <c r="H2326" s="33" t="s">
        <v>1639</v>
      </c>
      <c r="I2326" s="33">
        <v>845</v>
      </c>
      <c r="K2326" t="b">
        <f>QHPSelections2016[[#This Row],[County Name]]=P2326</f>
        <v>0</v>
      </c>
      <c r="L2326" t="b">
        <f>QHPSelections2016[[#This Row],[Silver]]=S2326</f>
        <v>0</v>
      </c>
      <c r="N2326">
        <v>51009</v>
      </c>
      <c r="O2326" t="s">
        <v>4743</v>
      </c>
      <c r="P2326" t="s">
        <v>4751</v>
      </c>
      <c r="R2326">
        <v>63</v>
      </c>
      <c r="S2326" s="51">
        <v>1042</v>
      </c>
      <c r="T2326">
        <v>302</v>
      </c>
      <c r="V2326" s="51">
        <v>1416</v>
      </c>
    </row>
    <row r="2327" spans="1:22">
      <c r="A2327" s="32" t="s">
        <v>4754</v>
      </c>
      <c r="B2327" s="32" t="s">
        <v>4743</v>
      </c>
      <c r="C2327" s="32" t="s">
        <v>4755</v>
      </c>
      <c r="D2327" s="33">
        <v>126</v>
      </c>
      <c r="E2327" s="33">
        <v>1009</v>
      </c>
      <c r="F2327" s="33">
        <v>6217</v>
      </c>
      <c r="G2327" s="33">
        <v>3007</v>
      </c>
      <c r="H2327" s="33">
        <v>376</v>
      </c>
      <c r="I2327" s="33">
        <v>10735</v>
      </c>
      <c r="K2327" t="b">
        <f>QHPSelections2016[[#This Row],[County Name]]=P2327</f>
        <v>0</v>
      </c>
      <c r="L2327" t="b">
        <f>QHPSelections2016[[#This Row],[Silver]]=S2327</f>
        <v>0</v>
      </c>
      <c r="N2327">
        <v>51011</v>
      </c>
      <c r="O2327" t="s">
        <v>4743</v>
      </c>
      <c r="P2327" t="s">
        <v>4753</v>
      </c>
      <c r="R2327">
        <v>23</v>
      </c>
      <c r="S2327">
        <v>553</v>
      </c>
      <c r="T2327">
        <v>260</v>
      </c>
      <c r="V2327">
        <v>845</v>
      </c>
    </row>
    <row r="2328" spans="1:22">
      <c r="A2328" s="32" t="s">
        <v>4756</v>
      </c>
      <c r="B2328" s="32" t="s">
        <v>4743</v>
      </c>
      <c r="C2328" s="32" t="s">
        <v>4757</v>
      </c>
      <c r="D2328" s="33">
        <v>0</v>
      </c>
      <c r="E2328" s="33">
        <v>251</v>
      </c>
      <c r="F2328" s="33">
        <v>2815</v>
      </c>
      <c r="G2328" s="33">
        <v>918</v>
      </c>
      <c r="H2328" s="33">
        <v>52</v>
      </c>
      <c r="I2328" s="33">
        <v>4036</v>
      </c>
      <c r="K2328" t="b">
        <f>QHPSelections2016[[#This Row],[County Name]]=P2328</f>
        <v>0</v>
      </c>
      <c r="L2328" t="b">
        <f>QHPSelections2016[[#This Row],[Silver]]=S2328</f>
        <v>0</v>
      </c>
      <c r="N2328">
        <v>51013</v>
      </c>
      <c r="O2328" t="s">
        <v>4743</v>
      </c>
      <c r="P2328" t="s">
        <v>4755</v>
      </c>
      <c r="Q2328">
        <v>126</v>
      </c>
      <c r="R2328" s="51">
        <v>1009</v>
      </c>
      <c r="S2328" s="51">
        <v>6217</v>
      </c>
      <c r="T2328" s="51">
        <v>3007</v>
      </c>
      <c r="U2328">
        <v>376</v>
      </c>
      <c r="V2328" s="51">
        <v>10735</v>
      </c>
    </row>
    <row r="2329" spans="1:22">
      <c r="A2329" s="32" t="s">
        <v>4758</v>
      </c>
      <c r="B2329" s="32" t="s">
        <v>4743</v>
      </c>
      <c r="C2329" s="32" t="s">
        <v>4759</v>
      </c>
      <c r="D2329" s="33" t="s">
        <v>1639</v>
      </c>
      <c r="E2329" s="33" t="s">
        <v>1639</v>
      </c>
      <c r="F2329" s="33">
        <v>212</v>
      </c>
      <c r="G2329" s="33">
        <v>59</v>
      </c>
      <c r="H2329" s="33">
        <v>0</v>
      </c>
      <c r="I2329" s="33">
        <v>276</v>
      </c>
      <c r="K2329" t="b">
        <f>QHPSelections2016[[#This Row],[County Name]]=P2329</f>
        <v>0</v>
      </c>
      <c r="L2329" t="b">
        <f>QHPSelections2016[[#This Row],[Silver]]=S2329</f>
        <v>0</v>
      </c>
      <c r="N2329">
        <v>51015</v>
      </c>
      <c r="O2329" t="s">
        <v>4743</v>
      </c>
      <c r="P2329" t="s">
        <v>4757</v>
      </c>
      <c r="Q2329">
        <v>0</v>
      </c>
      <c r="R2329">
        <v>251</v>
      </c>
      <c r="S2329" s="51">
        <v>2815</v>
      </c>
      <c r="T2329">
        <v>918</v>
      </c>
      <c r="U2329">
        <v>52</v>
      </c>
      <c r="V2329" s="51">
        <v>4036</v>
      </c>
    </row>
    <row r="2330" spans="1:22">
      <c r="A2330" s="32" t="s">
        <v>4760</v>
      </c>
      <c r="B2330" s="32" t="s">
        <v>4743</v>
      </c>
      <c r="C2330" s="32" t="s">
        <v>828</v>
      </c>
      <c r="D2330" s="33">
        <v>0</v>
      </c>
      <c r="E2330" s="33">
        <v>228</v>
      </c>
      <c r="F2330" s="33">
        <v>2815</v>
      </c>
      <c r="G2330" s="33">
        <v>998</v>
      </c>
      <c r="H2330" s="33">
        <v>34</v>
      </c>
      <c r="I2330" s="33">
        <v>4075</v>
      </c>
      <c r="K2330" t="b">
        <f>QHPSelections2016[[#This Row],[County Name]]=P2330</f>
        <v>0</v>
      </c>
      <c r="L2330" t="b">
        <f>QHPSelections2016[[#This Row],[Silver]]=S2330</f>
        <v>0</v>
      </c>
      <c r="N2330">
        <v>51017</v>
      </c>
      <c r="O2330" t="s">
        <v>4743</v>
      </c>
      <c r="P2330" t="s">
        <v>4759</v>
      </c>
      <c r="S2330">
        <v>212</v>
      </c>
      <c r="T2330">
        <v>59</v>
      </c>
      <c r="U2330">
        <v>0</v>
      </c>
      <c r="V2330">
        <v>276</v>
      </c>
    </row>
    <row r="2331" spans="1:22">
      <c r="A2331" s="32" t="s">
        <v>4761</v>
      </c>
      <c r="B2331" s="32" t="s">
        <v>4743</v>
      </c>
      <c r="C2331" s="32" t="s">
        <v>4762</v>
      </c>
      <c r="D2331" s="33" t="s">
        <v>1639</v>
      </c>
      <c r="E2331" s="33">
        <v>11</v>
      </c>
      <c r="F2331" s="33">
        <v>147</v>
      </c>
      <c r="G2331" s="33">
        <v>19</v>
      </c>
      <c r="H2331" s="33" t="s">
        <v>1639</v>
      </c>
      <c r="I2331" s="33">
        <v>179</v>
      </c>
      <c r="K2331" t="b">
        <f>QHPSelections2016[[#This Row],[County Name]]=P2331</f>
        <v>0</v>
      </c>
      <c r="L2331" t="b">
        <f>QHPSelections2016[[#This Row],[Silver]]=S2331</f>
        <v>0</v>
      </c>
      <c r="N2331">
        <v>51515</v>
      </c>
      <c r="O2331" t="s">
        <v>4743</v>
      </c>
      <c r="P2331" t="s">
        <v>4889</v>
      </c>
      <c r="Q2331">
        <v>0</v>
      </c>
      <c r="S2331">
        <v>104</v>
      </c>
      <c r="T2331">
        <v>30</v>
      </c>
      <c r="V2331">
        <v>141</v>
      </c>
    </row>
    <row r="2332" spans="1:22">
      <c r="A2332" s="32" t="s">
        <v>4763</v>
      </c>
      <c r="B2332" s="32" t="s">
        <v>4743</v>
      </c>
      <c r="C2332" s="32" t="s">
        <v>4764</v>
      </c>
      <c r="D2332" s="33">
        <v>0</v>
      </c>
      <c r="E2332" s="33">
        <v>88</v>
      </c>
      <c r="F2332" s="33">
        <v>1044</v>
      </c>
      <c r="G2332" s="33">
        <v>359</v>
      </c>
      <c r="H2332" s="33">
        <v>25</v>
      </c>
      <c r="I2332" s="33">
        <v>1516</v>
      </c>
      <c r="K2332" t="b">
        <f>QHPSelections2016[[#This Row],[County Name]]=P2332</f>
        <v>0</v>
      </c>
      <c r="L2332" t="b">
        <f>QHPSelections2016[[#This Row],[Silver]]=S2332</f>
        <v>0</v>
      </c>
      <c r="N2332">
        <v>51019</v>
      </c>
      <c r="O2332" t="s">
        <v>4743</v>
      </c>
      <c r="P2332" t="s">
        <v>828</v>
      </c>
      <c r="Q2332">
        <v>0</v>
      </c>
      <c r="R2332">
        <v>228</v>
      </c>
      <c r="S2332" s="51">
        <v>2815</v>
      </c>
      <c r="T2332">
        <v>998</v>
      </c>
      <c r="U2332">
        <v>34</v>
      </c>
      <c r="V2332" s="51">
        <v>4075</v>
      </c>
    </row>
    <row r="2333" spans="1:22">
      <c r="A2333" s="32" t="s">
        <v>4765</v>
      </c>
      <c r="B2333" s="32" t="s">
        <v>4743</v>
      </c>
      <c r="C2333" s="32" t="s">
        <v>876</v>
      </c>
      <c r="D2333" s="33">
        <v>0</v>
      </c>
      <c r="E2333" s="33">
        <v>23</v>
      </c>
      <c r="F2333" s="33">
        <v>574</v>
      </c>
      <c r="G2333" s="33">
        <v>144</v>
      </c>
      <c r="H2333" s="33">
        <v>11</v>
      </c>
      <c r="I2333" s="33">
        <v>752</v>
      </c>
      <c r="K2333" t="b">
        <f>QHPSelections2016[[#This Row],[County Name]]=P2333</f>
        <v>0</v>
      </c>
      <c r="L2333" t="b">
        <f>QHPSelections2016[[#This Row],[Silver]]=S2333</f>
        <v>0</v>
      </c>
      <c r="N2333">
        <v>51021</v>
      </c>
      <c r="O2333" t="s">
        <v>4743</v>
      </c>
      <c r="P2333" t="s">
        <v>4762</v>
      </c>
      <c r="R2333">
        <v>11</v>
      </c>
      <c r="S2333">
        <v>147</v>
      </c>
      <c r="T2333">
        <v>19</v>
      </c>
      <c r="V2333">
        <v>179</v>
      </c>
    </row>
    <row r="2334" spans="1:22">
      <c r="A2334" s="32" t="s">
        <v>4766</v>
      </c>
      <c r="B2334" s="32" t="s">
        <v>4743</v>
      </c>
      <c r="C2334" s="32" t="s">
        <v>2161</v>
      </c>
      <c r="D2334" s="33" t="s">
        <v>1639</v>
      </c>
      <c r="E2334" s="33">
        <v>61</v>
      </c>
      <c r="F2334" s="33">
        <v>531</v>
      </c>
      <c r="G2334" s="33">
        <v>67</v>
      </c>
      <c r="H2334" s="33" t="s">
        <v>1639</v>
      </c>
      <c r="I2334" s="33">
        <v>664</v>
      </c>
      <c r="K2334" t="b">
        <f>QHPSelections2016[[#This Row],[County Name]]=P2334</f>
        <v>0</v>
      </c>
      <c r="L2334" t="b">
        <f>QHPSelections2016[[#This Row],[Silver]]=S2334</f>
        <v>0</v>
      </c>
      <c r="N2334">
        <v>51023</v>
      </c>
      <c r="O2334" t="s">
        <v>4743</v>
      </c>
      <c r="P2334" t="s">
        <v>4764</v>
      </c>
      <c r="Q2334">
        <v>0</v>
      </c>
      <c r="R2334">
        <v>88</v>
      </c>
      <c r="S2334" s="51">
        <v>1044</v>
      </c>
      <c r="T2334">
        <v>359</v>
      </c>
      <c r="U2334">
        <v>25</v>
      </c>
      <c r="V2334" s="51">
        <v>1516</v>
      </c>
    </row>
    <row r="2335" spans="1:22">
      <c r="A2335" s="32" t="s">
        <v>4767</v>
      </c>
      <c r="B2335" s="32" t="s">
        <v>4743</v>
      </c>
      <c r="C2335" s="32" t="s">
        <v>4768</v>
      </c>
      <c r="D2335" s="33" t="s">
        <v>1639</v>
      </c>
      <c r="E2335" s="33">
        <v>29</v>
      </c>
      <c r="F2335" s="33">
        <v>518</v>
      </c>
      <c r="G2335" s="33">
        <v>147</v>
      </c>
      <c r="H2335" s="33" t="s">
        <v>1639</v>
      </c>
      <c r="I2335" s="33">
        <v>703</v>
      </c>
      <c r="K2335" t="b">
        <f>QHPSelections2016[[#This Row],[County Name]]=P2335</f>
        <v>0</v>
      </c>
      <c r="L2335" t="b">
        <f>QHPSelections2016[[#This Row],[Silver]]=S2335</f>
        <v>0</v>
      </c>
      <c r="N2335">
        <v>51520</v>
      </c>
      <c r="O2335" t="s">
        <v>4743</v>
      </c>
      <c r="P2335" t="s">
        <v>4891</v>
      </c>
      <c r="R2335">
        <v>28</v>
      </c>
      <c r="S2335">
        <v>521</v>
      </c>
      <c r="T2335">
        <v>115</v>
      </c>
      <c r="V2335">
        <v>674</v>
      </c>
    </row>
    <row r="2336" spans="1:22">
      <c r="A2336" s="32" t="s">
        <v>4769</v>
      </c>
      <c r="B2336" s="32" t="s">
        <v>4743</v>
      </c>
      <c r="C2336" s="32" t="s">
        <v>858</v>
      </c>
      <c r="D2336" s="33">
        <v>0</v>
      </c>
      <c r="E2336" s="33">
        <v>119</v>
      </c>
      <c r="F2336" s="33">
        <v>1818</v>
      </c>
      <c r="G2336" s="33">
        <v>651</v>
      </c>
      <c r="H2336" s="33">
        <v>40</v>
      </c>
      <c r="I2336" s="33">
        <v>2628</v>
      </c>
      <c r="K2336" t="b">
        <f>QHPSelections2016[[#This Row],[County Name]]=P2336</f>
        <v>0</v>
      </c>
      <c r="L2336" t="b">
        <f>QHPSelections2016[[#This Row],[Silver]]=S2336</f>
        <v>0</v>
      </c>
      <c r="N2336">
        <v>51025</v>
      </c>
      <c r="O2336" t="s">
        <v>4743</v>
      </c>
      <c r="P2336" t="s">
        <v>876</v>
      </c>
      <c r="Q2336">
        <v>0</v>
      </c>
      <c r="R2336">
        <v>23</v>
      </c>
      <c r="S2336">
        <v>574</v>
      </c>
      <c r="T2336">
        <v>144</v>
      </c>
      <c r="U2336">
        <v>11</v>
      </c>
      <c r="V2336">
        <v>752</v>
      </c>
    </row>
    <row r="2337" spans="1:22">
      <c r="A2337" s="32" t="s">
        <v>4770</v>
      </c>
      <c r="B2337" s="32" t="s">
        <v>4743</v>
      </c>
      <c r="C2337" s="32" t="s">
        <v>4771</v>
      </c>
      <c r="D2337" s="33" t="s">
        <v>1639</v>
      </c>
      <c r="E2337" s="33">
        <v>78</v>
      </c>
      <c r="F2337" s="33">
        <v>920</v>
      </c>
      <c r="G2337" s="33">
        <v>242</v>
      </c>
      <c r="H2337" s="33" t="s">
        <v>1639</v>
      </c>
      <c r="I2337" s="33">
        <v>1265</v>
      </c>
      <c r="K2337" t="b">
        <f>QHPSelections2016[[#This Row],[County Name]]=P2337</f>
        <v>0</v>
      </c>
      <c r="L2337" t="b">
        <f>QHPSelections2016[[#This Row],[Silver]]=S2337</f>
        <v>0</v>
      </c>
      <c r="N2337">
        <v>51027</v>
      </c>
      <c r="O2337" t="s">
        <v>4743</v>
      </c>
      <c r="P2337" t="s">
        <v>2161</v>
      </c>
      <c r="R2337">
        <v>61</v>
      </c>
      <c r="S2337">
        <v>531</v>
      </c>
      <c r="T2337">
        <v>67</v>
      </c>
      <c r="V2337">
        <v>664</v>
      </c>
    </row>
    <row r="2338" spans="1:22">
      <c r="A2338" s="32" t="s">
        <v>4772</v>
      </c>
      <c r="B2338" s="32" t="s">
        <v>4743</v>
      </c>
      <c r="C2338" s="32" t="s">
        <v>862</v>
      </c>
      <c r="D2338" s="33">
        <v>0</v>
      </c>
      <c r="E2338" s="33">
        <v>77</v>
      </c>
      <c r="F2338" s="33">
        <v>1142</v>
      </c>
      <c r="G2338" s="33">
        <v>268</v>
      </c>
      <c r="H2338" s="33">
        <v>15</v>
      </c>
      <c r="I2338" s="33">
        <v>1502</v>
      </c>
      <c r="K2338" t="b">
        <f>QHPSelections2016[[#This Row],[County Name]]=P2338</f>
        <v>0</v>
      </c>
      <c r="L2338" t="b">
        <f>QHPSelections2016[[#This Row],[Silver]]=S2338</f>
        <v>0</v>
      </c>
      <c r="N2338">
        <v>51029</v>
      </c>
      <c r="O2338" t="s">
        <v>4743</v>
      </c>
      <c r="P2338" t="s">
        <v>4768</v>
      </c>
      <c r="R2338">
        <v>29</v>
      </c>
      <c r="S2338">
        <v>518</v>
      </c>
      <c r="T2338">
        <v>147</v>
      </c>
      <c r="V2338">
        <v>703</v>
      </c>
    </row>
    <row r="2339" spans="1:22">
      <c r="A2339" s="32" t="s">
        <v>4773</v>
      </c>
      <c r="B2339" s="32" t="s">
        <v>4743</v>
      </c>
      <c r="C2339" s="32" t="s">
        <v>4774</v>
      </c>
      <c r="D2339" s="33" t="s">
        <v>1639</v>
      </c>
      <c r="E2339" s="33">
        <v>34</v>
      </c>
      <c r="F2339" s="33">
        <v>261</v>
      </c>
      <c r="G2339" s="33">
        <v>66</v>
      </c>
      <c r="H2339" s="33" t="s">
        <v>1639</v>
      </c>
      <c r="I2339" s="33">
        <v>369</v>
      </c>
      <c r="K2339" t="b">
        <f>QHPSelections2016[[#This Row],[County Name]]=P2339</f>
        <v>0</v>
      </c>
      <c r="L2339" t="b">
        <f>QHPSelections2016[[#This Row],[Silver]]=S2339</f>
        <v>0</v>
      </c>
      <c r="N2339">
        <v>51530</v>
      </c>
      <c r="O2339" t="s">
        <v>4743</v>
      </c>
      <c r="P2339" t="s">
        <v>4893</v>
      </c>
      <c r="Q2339">
        <v>0</v>
      </c>
      <c r="S2339">
        <v>146</v>
      </c>
      <c r="T2339">
        <v>30</v>
      </c>
      <c r="V2339">
        <v>187</v>
      </c>
    </row>
    <row r="2340" spans="1:22">
      <c r="A2340" s="32" t="s">
        <v>4775</v>
      </c>
      <c r="B2340" s="32" t="s">
        <v>4743</v>
      </c>
      <c r="C2340" s="32" t="s">
        <v>860</v>
      </c>
      <c r="D2340" s="33" t="s">
        <v>1639</v>
      </c>
      <c r="E2340" s="33">
        <v>24</v>
      </c>
      <c r="F2340" s="33">
        <v>445</v>
      </c>
      <c r="G2340" s="33">
        <v>145</v>
      </c>
      <c r="H2340" s="33" t="s">
        <v>1639</v>
      </c>
      <c r="I2340" s="33">
        <v>617</v>
      </c>
      <c r="K2340" t="b">
        <f>QHPSelections2016[[#This Row],[County Name]]=P2340</f>
        <v>0</v>
      </c>
      <c r="L2340" t="b">
        <f>QHPSelections2016[[#This Row],[Silver]]=S2340</f>
        <v>0</v>
      </c>
      <c r="N2340">
        <v>51031</v>
      </c>
      <c r="O2340" t="s">
        <v>4743</v>
      </c>
      <c r="P2340" t="s">
        <v>858</v>
      </c>
      <c r="Q2340">
        <v>0</v>
      </c>
      <c r="R2340">
        <v>119</v>
      </c>
      <c r="S2340" s="51">
        <v>1818</v>
      </c>
      <c r="T2340">
        <v>651</v>
      </c>
      <c r="U2340">
        <v>40</v>
      </c>
      <c r="V2340" s="51">
        <v>2628</v>
      </c>
    </row>
    <row r="2341" spans="1:22">
      <c r="A2341" s="32" t="s">
        <v>4776</v>
      </c>
      <c r="B2341" s="32" t="s">
        <v>4743</v>
      </c>
      <c r="C2341" s="32" t="s">
        <v>4188</v>
      </c>
      <c r="D2341" s="33">
        <v>0</v>
      </c>
      <c r="E2341" s="33">
        <v>1464</v>
      </c>
      <c r="F2341" s="33">
        <v>12253</v>
      </c>
      <c r="G2341" s="33">
        <v>3975</v>
      </c>
      <c r="H2341" s="33">
        <v>407</v>
      </c>
      <c r="I2341" s="33">
        <v>18099</v>
      </c>
      <c r="K2341" t="b">
        <f>QHPSelections2016[[#This Row],[County Name]]=P2341</f>
        <v>0</v>
      </c>
      <c r="L2341" t="b">
        <f>QHPSelections2016[[#This Row],[Silver]]=S2341</f>
        <v>0</v>
      </c>
      <c r="N2341">
        <v>51033</v>
      </c>
      <c r="O2341" t="s">
        <v>4743</v>
      </c>
      <c r="P2341" t="s">
        <v>4771</v>
      </c>
      <c r="R2341">
        <v>78</v>
      </c>
      <c r="S2341">
        <v>920</v>
      </c>
      <c r="T2341">
        <v>242</v>
      </c>
      <c r="V2341" s="51">
        <v>1265</v>
      </c>
    </row>
    <row r="2342" spans="1:22">
      <c r="A2342" s="32" t="s">
        <v>4777</v>
      </c>
      <c r="B2342" s="32" t="s">
        <v>4743</v>
      </c>
      <c r="C2342" s="32" t="s">
        <v>887</v>
      </c>
      <c r="D2342" s="33">
        <v>0</v>
      </c>
      <c r="E2342" s="33">
        <v>61</v>
      </c>
      <c r="F2342" s="33">
        <v>522</v>
      </c>
      <c r="G2342" s="33">
        <v>184</v>
      </c>
      <c r="H2342" s="33">
        <v>14</v>
      </c>
      <c r="I2342" s="33">
        <v>781</v>
      </c>
      <c r="K2342" t="b">
        <f>QHPSelections2016[[#This Row],[County Name]]=P2342</f>
        <v>0</v>
      </c>
      <c r="L2342" t="b">
        <f>QHPSelections2016[[#This Row],[Silver]]=S2342</f>
        <v>0</v>
      </c>
      <c r="N2342">
        <v>51035</v>
      </c>
      <c r="O2342" t="s">
        <v>4743</v>
      </c>
      <c r="P2342" t="s">
        <v>862</v>
      </c>
      <c r="Q2342">
        <v>0</v>
      </c>
      <c r="R2342">
        <v>77</v>
      </c>
      <c r="S2342" s="51">
        <v>1142</v>
      </c>
      <c r="T2342">
        <v>268</v>
      </c>
      <c r="U2342">
        <v>15</v>
      </c>
      <c r="V2342" s="51">
        <v>1502</v>
      </c>
    </row>
    <row r="2343" spans="1:22">
      <c r="A2343" s="32" t="s">
        <v>4778</v>
      </c>
      <c r="B2343" s="32" t="s">
        <v>4743</v>
      </c>
      <c r="C2343" s="32" t="s">
        <v>3924</v>
      </c>
      <c r="D2343" s="33" t="s">
        <v>1639</v>
      </c>
      <c r="E2343" s="33">
        <v>20</v>
      </c>
      <c r="F2343" s="33">
        <v>167</v>
      </c>
      <c r="G2343" s="33">
        <v>32</v>
      </c>
      <c r="H2343" s="33" t="s">
        <v>1639</v>
      </c>
      <c r="I2343" s="33">
        <v>222</v>
      </c>
      <c r="K2343" t="b">
        <f>QHPSelections2016[[#This Row],[County Name]]=P2343</f>
        <v>0</v>
      </c>
      <c r="L2343" t="b">
        <f>QHPSelections2016[[#This Row],[Silver]]=S2343</f>
        <v>0</v>
      </c>
      <c r="N2343">
        <v>51036</v>
      </c>
      <c r="O2343" t="s">
        <v>4743</v>
      </c>
      <c r="P2343" t="s">
        <v>4774</v>
      </c>
      <c r="R2343">
        <v>34</v>
      </c>
      <c r="S2343">
        <v>261</v>
      </c>
      <c r="T2343">
        <v>66</v>
      </c>
      <c r="V2343">
        <v>369</v>
      </c>
    </row>
    <row r="2344" spans="1:22">
      <c r="A2344" s="32" t="s">
        <v>4779</v>
      </c>
      <c r="B2344" s="32" t="s">
        <v>4743</v>
      </c>
      <c r="C2344" s="32" t="s">
        <v>4780</v>
      </c>
      <c r="D2344" s="33">
        <v>0</v>
      </c>
      <c r="E2344" s="33">
        <v>190</v>
      </c>
      <c r="F2344" s="33">
        <v>1757</v>
      </c>
      <c r="G2344" s="33">
        <v>385</v>
      </c>
      <c r="H2344" s="33">
        <v>27</v>
      </c>
      <c r="I2344" s="33">
        <v>2359</v>
      </c>
      <c r="K2344" t="b">
        <f>QHPSelections2016[[#This Row],[County Name]]=P2344</f>
        <v>0</v>
      </c>
      <c r="L2344" t="b">
        <f>QHPSelections2016[[#This Row],[Silver]]=S2344</f>
        <v>0</v>
      </c>
      <c r="N2344">
        <v>51037</v>
      </c>
      <c r="O2344" t="s">
        <v>4743</v>
      </c>
      <c r="P2344" t="s">
        <v>860</v>
      </c>
      <c r="R2344">
        <v>24</v>
      </c>
      <c r="S2344">
        <v>445</v>
      </c>
      <c r="T2344">
        <v>145</v>
      </c>
      <c r="V2344">
        <v>617</v>
      </c>
    </row>
    <row r="2345" spans="1:22">
      <c r="A2345" s="32" t="s">
        <v>4781</v>
      </c>
      <c r="B2345" s="32" t="s">
        <v>4743</v>
      </c>
      <c r="C2345" s="32" t="s">
        <v>923</v>
      </c>
      <c r="D2345" s="33" t="s">
        <v>1639</v>
      </c>
      <c r="E2345" s="33">
        <v>41</v>
      </c>
      <c r="F2345" s="33">
        <v>392</v>
      </c>
      <c r="G2345" s="33">
        <v>72</v>
      </c>
      <c r="H2345" s="33" t="s">
        <v>1639</v>
      </c>
      <c r="I2345" s="33">
        <v>511</v>
      </c>
      <c r="K2345" t="b">
        <f>QHPSelections2016[[#This Row],[County Name]]=P2345</f>
        <v>0</v>
      </c>
      <c r="L2345" t="b">
        <f>QHPSelections2016[[#This Row],[Silver]]=S2345</f>
        <v>0</v>
      </c>
      <c r="N2345">
        <v>51540</v>
      </c>
      <c r="O2345" t="s">
        <v>4743</v>
      </c>
      <c r="P2345" t="s">
        <v>4895</v>
      </c>
      <c r="Q2345">
        <v>0</v>
      </c>
      <c r="R2345">
        <v>206</v>
      </c>
      <c r="S2345" s="51">
        <v>1729</v>
      </c>
      <c r="T2345">
        <v>843</v>
      </c>
      <c r="U2345">
        <v>140</v>
      </c>
      <c r="V2345" s="51">
        <v>2918</v>
      </c>
    </row>
    <row r="2346" spans="1:22">
      <c r="A2346" s="32" t="s">
        <v>4782</v>
      </c>
      <c r="B2346" s="32" t="s">
        <v>4743</v>
      </c>
      <c r="C2346" s="32" t="s">
        <v>4783</v>
      </c>
      <c r="D2346" s="33" t="s">
        <v>1639</v>
      </c>
      <c r="E2346" s="33">
        <v>37</v>
      </c>
      <c r="F2346" s="33">
        <v>408</v>
      </c>
      <c r="G2346" s="33">
        <v>34</v>
      </c>
      <c r="H2346" s="33" t="s">
        <v>1639</v>
      </c>
      <c r="I2346" s="33">
        <v>483</v>
      </c>
      <c r="K2346" t="b">
        <f>QHPSelections2016[[#This Row],[County Name]]=P2346</f>
        <v>0</v>
      </c>
      <c r="L2346" t="b">
        <f>QHPSelections2016[[#This Row],[Silver]]=S2346</f>
        <v>0</v>
      </c>
      <c r="N2346">
        <v>51550</v>
      </c>
      <c r="O2346" t="s">
        <v>4743</v>
      </c>
      <c r="P2346" t="s">
        <v>4897</v>
      </c>
      <c r="Q2346">
        <v>0</v>
      </c>
      <c r="R2346">
        <v>572</v>
      </c>
      <c r="S2346" s="51">
        <v>6567</v>
      </c>
      <c r="T2346" s="51">
        <v>1840</v>
      </c>
      <c r="U2346">
        <v>148</v>
      </c>
      <c r="V2346" s="51">
        <v>9127</v>
      </c>
    </row>
    <row r="2347" spans="1:22">
      <c r="A2347" s="32" t="s">
        <v>4784</v>
      </c>
      <c r="B2347" s="32" t="s">
        <v>4743</v>
      </c>
      <c r="C2347" s="32" t="s">
        <v>4785</v>
      </c>
      <c r="D2347" s="33">
        <v>0</v>
      </c>
      <c r="E2347" s="33">
        <v>102</v>
      </c>
      <c r="F2347" s="33">
        <v>716</v>
      </c>
      <c r="G2347" s="33">
        <v>203</v>
      </c>
      <c r="H2347" s="33">
        <v>12</v>
      </c>
      <c r="I2347" s="33">
        <v>1033</v>
      </c>
      <c r="K2347" t="b">
        <f>QHPSelections2016[[#This Row],[County Name]]=P2347</f>
        <v>0</v>
      </c>
      <c r="L2347" t="b">
        <f>QHPSelections2016[[#This Row],[Silver]]=S2347</f>
        <v>0</v>
      </c>
      <c r="N2347">
        <v>51041</v>
      </c>
      <c r="O2347" t="s">
        <v>4743</v>
      </c>
      <c r="P2347" t="s">
        <v>4188</v>
      </c>
      <c r="Q2347">
        <v>0</v>
      </c>
      <c r="R2347" s="51">
        <v>1464</v>
      </c>
      <c r="S2347" s="51">
        <v>12253</v>
      </c>
      <c r="T2347" s="51">
        <v>3975</v>
      </c>
      <c r="U2347">
        <v>407</v>
      </c>
      <c r="V2347" s="51">
        <v>18099</v>
      </c>
    </row>
    <row r="2348" spans="1:22">
      <c r="A2348" s="32" t="s">
        <v>4786</v>
      </c>
      <c r="B2348" s="32" t="s">
        <v>4743</v>
      </c>
      <c r="C2348" s="32" t="s">
        <v>3660</v>
      </c>
      <c r="D2348" s="33" t="s">
        <v>1639</v>
      </c>
      <c r="E2348" s="33">
        <v>28</v>
      </c>
      <c r="F2348" s="33">
        <v>426</v>
      </c>
      <c r="G2348" s="33">
        <v>99</v>
      </c>
      <c r="H2348" s="33" t="s">
        <v>1639</v>
      </c>
      <c r="I2348" s="33">
        <v>557</v>
      </c>
      <c r="K2348" t="b">
        <f>QHPSelections2016[[#This Row],[County Name]]=P2348</f>
        <v>0</v>
      </c>
      <c r="L2348" t="b">
        <f>QHPSelections2016[[#This Row],[Silver]]=S2348</f>
        <v>0</v>
      </c>
      <c r="N2348">
        <v>51043</v>
      </c>
      <c r="O2348" t="s">
        <v>4743</v>
      </c>
      <c r="P2348" t="s">
        <v>887</v>
      </c>
      <c r="Q2348">
        <v>0</v>
      </c>
      <c r="R2348">
        <v>61</v>
      </c>
      <c r="S2348">
        <v>522</v>
      </c>
      <c r="T2348">
        <v>184</v>
      </c>
      <c r="U2348">
        <v>14</v>
      </c>
      <c r="V2348">
        <v>781</v>
      </c>
    </row>
    <row r="2349" spans="1:22">
      <c r="A2349" s="32" t="s">
        <v>4787</v>
      </c>
      <c r="B2349" s="32" t="s">
        <v>4743</v>
      </c>
      <c r="C2349" s="32" t="s">
        <v>4788</v>
      </c>
      <c r="D2349" s="33">
        <v>708</v>
      </c>
      <c r="E2349" s="33">
        <v>5476</v>
      </c>
      <c r="F2349" s="33">
        <v>47569</v>
      </c>
      <c r="G2349" s="33">
        <v>18163</v>
      </c>
      <c r="H2349" s="33">
        <v>1175</v>
      </c>
      <c r="I2349" s="33">
        <v>73091</v>
      </c>
      <c r="K2349" t="b">
        <f>QHPSelections2016[[#This Row],[County Name]]=P2349</f>
        <v>0</v>
      </c>
      <c r="L2349" t="b">
        <f>QHPSelections2016[[#This Row],[Silver]]=S2349</f>
        <v>0</v>
      </c>
      <c r="N2349">
        <v>51570</v>
      </c>
      <c r="O2349" t="s">
        <v>4743</v>
      </c>
      <c r="P2349" t="s">
        <v>4899</v>
      </c>
      <c r="Q2349">
        <v>0</v>
      </c>
      <c r="R2349">
        <v>51</v>
      </c>
      <c r="S2349">
        <v>625</v>
      </c>
      <c r="T2349">
        <v>174</v>
      </c>
      <c r="U2349">
        <v>18</v>
      </c>
      <c r="V2349">
        <v>868</v>
      </c>
    </row>
    <row r="2350" spans="1:22">
      <c r="A2350" s="32" t="s">
        <v>4789</v>
      </c>
      <c r="B2350" s="32" t="s">
        <v>4743</v>
      </c>
      <c r="C2350" s="32" t="s">
        <v>4790</v>
      </c>
      <c r="D2350" s="33" t="s">
        <v>1639</v>
      </c>
      <c r="E2350" s="33">
        <v>422</v>
      </c>
      <c r="F2350" s="33">
        <v>2122</v>
      </c>
      <c r="G2350" s="33">
        <v>749</v>
      </c>
      <c r="H2350" s="33" t="s">
        <v>1639</v>
      </c>
      <c r="I2350" s="33">
        <v>3325</v>
      </c>
      <c r="K2350" t="b">
        <f>QHPSelections2016[[#This Row],[County Name]]=P2350</f>
        <v>0</v>
      </c>
      <c r="L2350" t="b">
        <f>QHPSelections2016[[#This Row],[Silver]]=S2350</f>
        <v>0</v>
      </c>
      <c r="N2350">
        <v>51580</v>
      </c>
      <c r="O2350" t="s">
        <v>4743</v>
      </c>
      <c r="P2350" t="s">
        <v>4901</v>
      </c>
      <c r="R2350">
        <v>14</v>
      </c>
      <c r="S2350">
        <v>170</v>
      </c>
      <c r="T2350">
        <v>18</v>
      </c>
      <c r="V2350">
        <v>205</v>
      </c>
    </row>
    <row r="2351" spans="1:22">
      <c r="A2351" s="32" t="s">
        <v>4791</v>
      </c>
      <c r="B2351" s="32" t="s">
        <v>4743</v>
      </c>
      <c r="C2351" s="32" t="s">
        <v>1121</v>
      </c>
      <c r="D2351" s="33" t="s">
        <v>1639</v>
      </c>
      <c r="E2351" s="33">
        <v>24</v>
      </c>
      <c r="F2351" s="33">
        <v>907</v>
      </c>
      <c r="G2351" s="33">
        <v>272</v>
      </c>
      <c r="H2351" s="33" t="s">
        <v>1639</v>
      </c>
      <c r="I2351" s="33">
        <v>1213</v>
      </c>
      <c r="K2351" t="b">
        <f>QHPSelections2016[[#This Row],[County Name]]=P2351</f>
        <v>0</v>
      </c>
      <c r="L2351" t="b">
        <f>QHPSelections2016[[#This Row],[Silver]]=S2351</f>
        <v>0</v>
      </c>
      <c r="N2351">
        <v>51045</v>
      </c>
      <c r="O2351" t="s">
        <v>4743</v>
      </c>
      <c r="P2351" t="s">
        <v>3924</v>
      </c>
      <c r="R2351">
        <v>20</v>
      </c>
      <c r="S2351">
        <v>167</v>
      </c>
      <c r="T2351">
        <v>32</v>
      </c>
      <c r="V2351">
        <v>222</v>
      </c>
    </row>
    <row r="2352" spans="1:22">
      <c r="A2352" s="32" t="s">
        <v>4792</v>
      </c>
      <c r="B2352" s="32" t="s">
        <v>4743</v>
      </c>
      <c r="C2352" s="32" t="s">
        <v>4793</v>
      </c>
      <c r="D2352" s="33">
        <v>0</v>
      </c>
      <c r="E2352" s="33">
        <v>87</v>
      </c>
      <c r="F2352" s="33">
        <v>885</v>
      </c>
      <c r="G2352" s="33">
        <v>252</v>
      </c>
      <c r="H2352" s="33">
        <v>16</v>
      </c>
      <c r="I2352" s="33">
        <v>1240</v>
      </c>
      <c r="K2352" t="b">
        <f>QHPSelections2016[[#This Row],[County Name]]=P2352</f>
        <v>0</v>
      </c>
      <c r="L2352" t="b">
        <f>QHPSelections2016[[#This Row],[Silver]]=S2352</f>
        <v>0</v>
      </c>
      <c r="N2352">
        <v>51047</v>
      </c>
      <c r="O2352" t="s">
        <v>4743</v>
      </c>
      <c r="P2352" t="s">
        <v>4780</v>
      </c>
      <c r="Q2352">
        <v>0</v>
      </c>
      <c r="R2352">
        <v>190</v>
      </c>
      <c r="S2352" s="51">
        <v>1757</v>
      </c>
      <c r="T2352">
        <v>385</v>
      </c>
      <c r="U2352">
        <v>27</v>
      </c>
      <c r="V2352" s="51">
        <v>2359</v>
      </c>
    </row>
    <row r="2353" spans="1:22">
      <c r="A2353" s="32" t="s">
        <v>4794</v>
      </c>
      <c r="B2353" s="32" t="s">
        <v>4743</v>
      </c>
      <c r="C2353" s="32" t="s">
        <v>919</v>
      </c>
      <c r="D2353" s="33">
        <v>0</v>
      </c>
      <c r="E2353" s="33">
        <v>137</v>
      </c>
      <c r="F2353" s="33">
        <v>2173</v>
      </c>
      <c r="G2353" s="33">
        <v>597</v>
      </c>
      <c r="H2353" s="33">
        <v>46</v>
      </c>
      <c r="I2353" s="33">
        <v>2953</v>
      </c>
      <c r="K2353" t="b">
        <f>QHPSelections2016[[#This Row],[County Name]]=P2353</f>
        <v>0</v>
      </c>
      <c r="L2353" t="b">
        <f>QHPSelections2016[[#This Row],[Silver]]=S2353</f>
        <v>0</v>
      </c>
      <c r="N2353">
        <v>51049</v>
      </c>
      <c r="O2353" t="s">
        <v>4743</v>
      </c>
      <c r="P2353" t="s">
        <v>923</v>
      </c>
      <c r="R2353">
        <v>41</v>
      </c>
      <c r="S2353">
        <v>392</v>
      </c>
      <c r="T2353">
        <v>72</v>
      </c>
      <c r="V2353">
        <v>511</v>
      </c>
    </row>
    <row r="2354" spans="1:22">
      <c r="A2354" s="32" t="s">
        <v>4795</v>
      </c>
      <c r="B2354" s="32" t="s">
        <v>4743</v>
      </c>
      <c r="C2354" s="32" t="s">
        <v>4796</v>
      </c>
      <c r="D2354" s="33">
        <v>0</v>
      </c>
      <c r="E2354" s="33">
        <v>258</v>
      </c>
      <c r="F2354" s="33">
        <v>2554</v>
      </c>
      <c r="G2354" s="33">
        <v>817</v>
      </c>
      <c r="H2354" s="33">
        <v>44</v>
      </c>
      <c r="I2354" s="33">
        <v>3673</v>
      </c>
      <c r="K2354" t="b">
        <f>QHPSelections2016[[#This Row],[County Name]]=P2354</f>
        <v>0</v>
      </c>
      <c r="L2354" t="b">
        <f>QHPSelections2016[[#This Row],[Silver]]=S2354</f>
        <v>0</v>
      </c>
      <c r="N2354">
        <v>51590</v>
      </c>
      <c r="O2354" t="s">
        <v>4743</v>
      </c>
      <c r="P2354" t="s">
        <v>4903</v>
      </c>
      <c r="Q2354">
        <v>0</v>
      </c>
      <c r="R2354">
        <v>64</v>
      </c>
      <c r="S2354" s="51">
        <v>1537</v>
      </c>
      <c r="T2354">
        <v>490</v>
      </c>
      <c r="U2354">
        <v>32</v>
      </c>
      <c r="V2354" s="51">
        <v>2123</v>
      </c>
    </row>
    <row r="2355" spans="1:22">
      <c r="A2355" s="32" t="s">
        <v>4797</v>
      </c>
      <c r="B2355" s="32" t="s">
        <v>4743</v>
      </c>
      <c r="C2355" s="32" t="s">
        <v>979</v>
      </c>
      <c r="D2355" s="33" t="s">
        <v>1639</v>
      </c>
      <c r="E2355" s="33">
        <v>52</v>
      </c>
      <c r="F2355" s="33">
        <v>459</v>
      </c>
      <c r="G2355" s="33">
        <v>147</v>
      </c>
      <c r="H2355" s="33" t="s">
        <v>1639</v>
      </c>
      <c r="I2355" s="33">
        <v>663</v>
      </c>
      <c r="K2355" t="b">
        <f>QHPSelections2016[[#This Row],[County Name]]=P2355</f>
        <v>0</v>
      </c>
      <c r="L2355" t="b">
        <f>QHPSelections2016[[#This Row],[Silver]]=S2355</f>
        <v>0</v>
      </c>
      <c r="N2355">
        <v>51051</v>
      </c>
      <c r="O2355" t="s">
        <v>4743</v>
      </c>
      <c r="P2355" t="s">
        <v>4783</v>
      </c>
      <c r="R2355">
        <v>37</v>
      </c>
      <c r="S2355">
        <v>408</v>
      </c>
      <c r="T2355">
        <v>34</v>
      </c>
      <c r="V2355">
        <v>483</v>
      </c>
    </row>
    <row r="2356" spans="1:22">
      <c r="A2356" s="32" t="s">
        <v>4798</v>
      </c>
      <c r="B2356" s="32" t="s">
        <v>4743</v>
      </c>
      <c r="C2356" s="32" t="s">
        <v>3662</v>
      </c>
      <c r="D2356" s="33">
        <v>0</v>
      </c>
      <c r="E2356" s="33">
        <v>98</v>
      </c>
      <c r="F2356" s="33">
        <v>1276</v>
      </c>
      <c r="G2356" s="33">
        <v>326</v>
      </c>
      <c r="H2356" s="33">
        <v>24</v>
      </c>
      <c r="I2356" s="33">
        <v>1724</v>
      </c>
      <c r="K2356" t="b">
        <f>QHPSelections2016[[#This Row],[County Name]]=P2356</f>
        <v>0</v>
      </c>
      <c r="L2356" t="b">
        <f>QHPSelections2016[[#This Row],[Silver]]=S2356</f>
        <v>0</v>
      </c>
      <c r="N2356">
        <v>51053</v>
      </c>
      <c r="O2356" t="s">
        <v>4743</v>
      </c>
      <c r="P2356" t="s">
        <v>4785</v>
      </c>
      <c r="Q2356">
        <v>0</v>
      </c>
      <c r="R2356">
        <v>102</v>
      </c>
      <c r="S2356">
        <v>716</v>
      </c>
      <c r="T2356">
        <v>203</v>
      </c>
      <c r="U2356">
        <v>12</v>
      </c>
      <c r="V2356" s="51">
        <v>1033</v>
      </c>
    </row>
    <row r="2357" spans="1:22">
      <c r="A2357" s="32" t="s">
        <v>4799</v>
      </c>
      <c r="B2357" s="32" t="s">
        <v>4743</v>
      </c>
      <c r="C2357" s="32" t="s">
        <v>4800</v>
      </c>
      <c r="D2357" s="33">
        <v>0</v>
      </c>
      <c r="E2357" s="33">
        <v>104</v>
      </c>
      <c r="F2357" s="33">
        <v>925</v>
      </c>
      <c r="G2357" s="33">
        <v>348</v>
      </c>
      <c r="H2357" s="33">
        <v>18</v>
      </c>
      <c r="I2357" s="33">
        <v>1395</v>
      </c>
      <c r="K2357" t="b">
        <f>QHPSelections2016[[#This Row],[County Name]]=P2357</f>
        <v>0</v>
      </c>
      <c r="L2357" t="b">
        <f>QHPSelections2016[[#This Row],[Silver]]=S2357</f>
        <v>0</v>
      </c>
      <c r="N2357">
        <v>51595</v>
      </c>
      <c r="O2357" t="s">
        <v>4743</v>
      </c>
      <c r="P2357" t="s">
        <v>4905</v>
      </c>
      <c r="S2357">
        <v>72</v>
      </c>
      <c r="U2357">
        <v>0</v>
      </c>
      <c r="V2357">
        <v>85</v>
      </c>
    </row>
    <row r="2358" spans="1:22">
      <c r="A2358" s="32" t="s">
        <v>4801</v>
      </c>
      <c r="B2358" s="32" t="s">
        <v>4743</v>
      </c>
      <c r="C2358" s="32" t="s">
        <v>1253</v>
      </c>
      <c r="D2358" s="33" t="s">
        <v>1639</v>
      </c>
      <c r="E2358" s="33">
        <v>31</v>
      </c>
      <c r="F2358" s="33">
        <v>680</v>
      </c>
      <c r="G2358" s="33">
        <v>141</v>
      </c>
      <c r="H2358" s="33" t="s">
        <v>1639</v>
      </c>
      <c r="I2358" s="33">
        <v>854</v>
      </c>
      <c r="K2358" t="b">
        <f>QHPSelections2016[[#This Row],[County Name]]=P2358</f>
        <v>0</v>
      </c>
      <c r="L2358" t="b">
        <f>QHPSelections2016[[#This Row],[Silver]]=S2358</f>
        <v>0</v>
      </c>
      <c r="N2358">
        <v>51057</v>
      </c>
      <c r="O2358" t="s">
        <v>4743</v>
      </c>
      <c r="P2358" t="s">
        <v>3660</v>
      </c>
      <c r="R2358">
        <v>28</v>
      </c>
      <c r="S2358">
        <v>426</v>
      </c>
      <c r="T2358">
        <v>99</v>
      </c>
      <c r="V2358">
        <v>557</v>
      </c>
    </row>
    <row r="2359" spans="1:22">
      <c r="A2359" s="32" t="s">
        <v>4802</v>
      </c>
      <c r="B2359" s="32" t="s">
        <v>4743</v>
      </c>
      <c r="C2359" s="32" t="s">
        <v>937</v>
      </c>
      <c r="D2359" s="33">
        <v>0</v>
      </c>
      <c r="E2359" s="33">
        <v>64</v>
      </c>
      <c r="F2359" s="33">
        <v>676</v>
      </c>
      <c r="G2359" s="33">
        <v>218</v>
      </c>
      <c r="H2359" s="33">
        <v>14</v>
      </c>
      <c r="I2359" s="33">
        <v>972</v>
      </c>
      <c r="K2359" t="b">
        <f>QHPSelections2016[[#This Row],[County Name]]=P2359</f>
        <v>0</v>
      </c>
      <c r="L2359" t="b">
        <f>QHPSelections2016[[#This Row],[Silver]]=S2359</f>
        <v>0</v>
      </c>
      <c r="N2359">
        <v>51600</v>
      </c>
      <c r="O2359" t="s">
        <v>4743</v>
      </c>
      <c r="P2359" t="s">
        <v>4907</v>
      </c>
      <c r="Q2359">
        <v>13</v>
      </c>
      <c r="R2359">
        <v>142</v>
      </c>
      <c r="S2359">
        <v>938</v>
      </c>
      <c r="T2359">
        <v>459</v>
      </c>
      <c r="U2359">
        <v>24</v>
      </c>
      <c r="V2359" s="51">
        <v>1576</v>
      </c>
    </row>
    <row r="2360" spans="1:22">
      <c r="A2360" s="32" t="s">
        <v>4803</v>
      </c>
      <c r="B2360" s="32" t="s">
        <v>4743</v>
      </c>
      <c r="C2360" s="32" t="s">
        <v>4804</v>
      </c>
      <c r="D2360" s="33">
        <v>0</v>
      </c>
      <c r="E2360" s="33">
        <v>17</v>
      </c>
      <c r="F2360" s="33">
        <v>411</v>
      </c>
      <c r="G2360" s="33">
        <v>72</v>
      </c>
      <c r="H2360" s="33">
        <v>12</v>
      </c>
      <c r="I2360" s="33">
        <v>512</v>
      </c>
      <c r="K2360" t="b">
        <f>QHPSelections2016[[#This Row],[County Name]]=P2360</f>
        <v>0</v>
      </c>
      <c r="L2360" t="b">
        <f>QHPSelections2016[[#This Row],[Silver]]=S2360</f>
        <v>0</v>
      </c>
      <c r="N2360">
        <v>51059</v>
      </c>
      <c r="O2360" t="s">
        <v>4743</v>
      </c>
      <c r="P2360" t="s">
        <v>4788</v>
      </c>
      <c r="Q2360">
        <v>708</v>
      </c>
      <c r="R2360" s="51">
        <v>5476</v>
      </c>
      <c r="S2360" s="51">
        <v>47569</v>
      </c>
      <c r="T2360" s="51">
        <v>18163</v>
      </c>
      <c r="U2360" s="51">
        <v>1175</v>
      </c>
      <c r="V2360" s="51">
        <v>73091</v>
      </c>
    </row>
    <row r="2361" spans="1:22">
      <c r="A2361" s="32" t="s">
        <v>4805</v>
      </c>
      <c r="B2361" s="32" t="s">
        <v>4743</v>
      </c>
      <c r="C2361" s="32" t="s">
        <v>1047</v>
      </c>
      <c r="D2361" s="33">
        <v>0</v>
      </c>
      <c r="E2361" s="33">
        <v>54</v>
      </c>
      <c r="F2361" s="33">
        <v>1340</v>
      </c>
      <c r="G2361" s="33">
        <v>349</v>
      </c>
      <c r="H2361" s="33">
        <v>23</v>
      </c>
      <c r="I2361" s="33">
        <v>1766</v>
      </c>
      <c r="K2361" t="b">
        <f>QHPSelections2016[[#This Row],[County Name]]=P2361</f>
        <v>0</v>
      </c>
      <c r="L2361" t="b">
        <f>QHPSelections2016[[#This Row],[Silver]]=S2361</f>
        <v>0</v>
      </c>
      <c r="N2361">
        <v>51610</v>
      </c>
      <c r="O2361" t="s">
        <v>4743</v>
      </c>
      <c r="P2361" t="s">
        <v>4909</v>
      </c>
      <c r="R2361">
        <v>64</v>
      </c>
      <c r="S2361">
        <v>659</v>
      </c>
      <c r="T2361">
        <v>312</v>
      </c>
      <c r="V2361" s="51">
        <v>1063</v>
      </c>
    </row>
    <row r="2362" spans="1:22">
      <c r="A2362" s="32" t="s">
        <v>4806</v>
      </c>
      <c r="B2362" s="32" t="s">
        <v>4743</v>
      </c>
      <c r="C2362" s="32" t="s">
        <v>4807</v>
      </c>
      <c r="D2362" s="33">
        <v>0</v>
      </c>
      <c r="E2362" s="33">
        <v>507</v>
      </c>
      <c r="F2362" s="33">
        <v>3983</v>
      </c>
      <c r="G2362" s="33">
        <v>1125</v>
      </c>
      <c r="H2362" s="33">
        <v>100</v>
      </c>
      <c r="I2362" s="33">
        <v>5715</v>
      </c>
      <c r="K2362" t="b">
        <f>QHPSelections2016[[#This Row],[County Name]]=P2362</f>
        <v>0</v>
      </c>
      <c r="L2362" t="b">
        <f>QHPSelections2016[[#This Row],[Silver]]=S2362</f>
        <v>0</v>
      </c>
      <c r="N2362">
        <v>51061</v>
      </c>
      <c r="O2362" t="s">
        <v>4743</v>
      </c>
      <c r="P2362" t="s">
        <v>4790</v>
      </c>
      <c r="R2362">
        <v>422</v>
      </c>
      <c r="S2362" s="51">
        <v>2122</v>
      </c>
      <c r="T2362">
        <v>749</v>
      </c>
      <c r="V2362" s="51">
        <v>3325</v>
      </c>
    </row>
    <row r="2363" spans="1:22">
      <c r="A2363" s="32" t="s">
        <v>4808</v>
      </c>
      <c r="B2363" s="32" t="s">
        <v>4743</v>
      </c>
      <c r="C2363" s="32" t="s">
        <v>4809</v>
      </c>
      <c r="D2363" s="33">
        <v>0</v>
      </c>
      <c r="E2363" s="33">
        <v>1340</v>
      </c>
      <c r="F2363" s="33">
        <v>13828</v>
      </c>
      <c r="G2363" s="33">
        <v>4686</v>
      </c>
      <c r="H2363" s="33">
        <v>504</v>
      </c>
      <c r="I2363" s="33">
        <v>20358</v>
      </c>
      <c r="K2363" t="b">
        <f>QHPSelections2016[[#This Row],[County Name]]=P2363</f>
        <v>0</v>
      </c>
      <c r="L2363" t="b">
        <f>QHPSelections2016[[#This Row],[Silver]]=S2363</f>
        <v>0</v>
      </c>
      <c r="N2363">
        <v>51063</v>
      </c>
      <c r="O2363" t="s">
        <v>4743</v>
      </c>
      <c r="P2363" t="s">
        <v>1121</v>
      </c>
      <c r="R2363">
        <v>24</v>
      </c>
      <c r="S2363">
        <v>907</v>
      </c>
      <c r="T2363">
        <v>272</v>
      </c>
      <c r="V2363" s="51">
        <v>1213</v>
      </c>
    </row>
    <row r="2364" spans="1:22">
      <c r="A2364" s="32" t="s">
        <v>4810</v>
      </c>
      <c r="B2364" s="32" t="s">
        <v>4743</v>
      </c>
      <c r="C2364" s="32" t="s">
        <v>1004</v>
      </c>
      <c r="D2364" s="33">
        <v>0</v>
      </c>
      <c r="E2364" s="33">
        <v>87</v>
      </c>
      <c r="F2364" s="33">
        <v>2556</v>
      </c>
      <c r="G2364" s="33">
        <v>715</v>
      </c>
      <c r="H2364" s="33">
        <v>48</v>
      </c>
      <c r="I2364" s="33">
        <v>3406</v>
      </c>
      <c r="K2364" t="b">
        <f>QHPSelections2016[[#This Row],[County Name]]=P2364</f>
        <v>0</v>
      </c>
      <c r="L2364" t="b">
        <f>QHPSelections2016[[#This Row],[Silver]]=S2364</f>
        <v>0</v>
      </c>
      <c r="N2364">
        <v>51065</v>
      </c>
      <c r="O2364" t="s">
        <v>4743</v>
      </c>
      <c r="P2364" t="s">
        <v>4793</v>
      </c>
      <c r="Q2364">
        <v>0</v>
      </c>
      <c r="R2364">
        <v>87</v>
      </c>
      <c r="S2364">
        <v>885</v>
      </c>
      <c r="T2364">
        <v>252</v>
      </c>
      <c r="U2364">
        <v>16</v>
      </c>
      <c r="V2364" s="51">
        <v>1240</v>
      </c>
    </row>
    <row r="2365" spans="1:22">
      <c r="A2365" s="32" t="s">
        <v>4811</v>
      </c>
      <c r="B2365" s="32" t="s">
        <v>4743</v>
      </c>
      <c r="C2365" s="32" t="s">
        <v>3824</v>
      </c>
      <c r="D2365" s="33">
        <v>0</v>
      </c>
      <c r="E2365" s="33" t="s">
        <v>1639</v>
      </c>
      <c r="F2365" s="33">
        <v>174</v>
      </c>
      <c r="G2365" s="33">
        <v>18</v>
      </c>
      <c r="H2365" s="33" t="s">
        <v>1639</v>
      </c>
      <c r="I2365" s="33">
        <v>199</v>
      </c>
      <c r="K2365" t="b">
        <f>QHPSelections2016[[#This Row],[County Name]]=P2365</f>
        <v>0</v>
      </c>
      <c r="L2365" t="b">
        <f>QHPSelections2016[[#This Row],[Silver]]=S2365</f>
        <v>0</v>
      </c>
      <c r="N2365">
        <v>51620</v>
      </c>
      <c r="O2365" t="s">
        <v>4743</v>
      </c>
      <c r="P2365" t="s">
        <v>4911</v>
      </c>
      <c r="R2365">
        <v>16</v>
      </c>
      <c r="S2365">
        <v>231</v>
      </c>
      <c r="T2365">
        <v>65</v>
      </c>
      <c r="V2365">
        <v>316</v>
      </c>
    </row>
    <row r="2366" spans="1:22">
      <c r="A2366" s="32" t="s">
        <v>4812</v>
      </c>
      <c r="B2366" s="32" t="s">
        <v>4743</v>
      </c>
      <c r="C2366" s="32" t="s">
        <v>4813</v>
      </c>
      <c r="D2366" s="33">
        <v>0</v>
      </c>
      <c r="E2366" s="33">
        <v>72</v>
      </c>
      <c r="F2366" s="33">
        <v>1024</v>
      </c>
      <c r="G2366" s="33">
        <v>308</v>
      </c>
      <c r="H2366" s="33">
        <v>22</v>
      </c>
      <c r="I2366" s="33">
        <v>1426</v>
      </c>
      <c r="K2366" t="b">
        <f>QHPSelections2016[[#This Row],[County Name]]=P2366</f>
        <v>0</v>
      </c>
      <c r="L2366" t="b">
        <f>QHPSelections2016[[#This Row],[Silver]]=S2366</f>
        <v>0</v>
      </c>
      <c r="N2366">
        <v>51067</v>
      </c>
      <c r="O2366" t="s">
        <v>4743</v>
      </c>
      <c r="P2366" t="s">
        <v>919</v>
      </c>
      <c r="Q2366">
        <v>0</v>
      </c>
      <c r="R2366">
        <v>137</v>
      </c>
      <c r="S2366" s="51">
        <v>2173</v>
      </c>
      <c r="T2366">
        <v>597</v>
      </c>
      <c r="U2366">
        <v>46</v>
      </c>
      <c r="V2366" s="51">
        <v>2953</v>
      </c>
    </row>
    <row r="2367" spans="1:22">
      <c r="A2367" s="32" t="s">
        <v>4814</v>
      </c>
      <c r="B2367" s="32" t="s">
        <v>4743</v>
      </c>
      <c r="C2367" s="32" t="s">
        <v>4815</v>
      </c>
      <c r="D2367" s="33">
        <v>0</v>
      </c>
      <c r="E2367" s="33">
        <v>249</v>
      </c>
      <c r="F2367" s="33">
        <v>1872</v>
      </c>
      <c r="G2367" s="33">
        <v>621</v>
      </c>
      <c r="H2367" s="33">
        <v>67</v>
      </c>
      <c r="I2367" s="33">
        <v>2809</v>
      </c>
      <c r="K2367" t="b">
        <f>QHPSelections2016[[#This Row],[County Name]]=P2367</f>
        <v>0</v>
      </c>
      <c r="L2367" t="b">
        <f>QHPSelections2016[[#This Row],[Silver]]=S2367</f>
        <v>0</v>
      </c>
      <c r="N2367">
        <v>51069</v>
      </c>
      <c r="O2367" t="s">
        <v>4743</v>
      </c>
      <c r="P2367" t="s">
        <v>4796</v>
      </c>
      <c r="Q2367">
        <v>0</v>
      </c>
      <c r="R2367">
        <v>258</v>
      </c>
      <c r="S2367" s="51">
        <v>2554</v>
      </c>
      <c r="T2367">
        <v>817</v>
      </c>
      <c r="U2367">
        <v>44</v>
      </c>
      <c r="V2367" s="51">
        <v>3673</v>
      </c>
    </row>
    <row r="2368" spans="1:22">
      <c r="A2368" s="32" t="s">
        <v>4816</v>
      </c>
      <c r="B2368" s="32" t="s">
        <v>4743</v>
      </c>
      <c r="C2368" s="32" t="s">
        <v>4817</v>
      </c>
      <c r="D2368" s="33" t="s">
        <v>1639</v>
      </c>
      <c r="E2368" s="33">
        <v>30</v>
      </c>
      <c r="F2368" s="33">
        <v>253</v>
      </c>
      <c r="G2368" s="33">
        <v>88</v>
      </c>
      <c r="H2368" s="33" t="s">
        <v>1639</v>
      </c>
      <c r="I2368" s="33">
        <v>373</v>
      </c>
      <c r="K2368" t="b">
        <f>QHPSelections2016[[#This Row],[County Name]]=P2368</f>
        <v>0</v>
      </c>
      <c r="L2368" t="b">
        <f>QHPSelections2016[[#This Row],[Silver]]=S2368</f>
        <v>0</v>
      </c>
      <c r="N2368">
        <v>51630</v>
      </c>
      <c r="O2368" t="s">
        <v>4743</v>
      </c>
      <c r="P2368" t="s">
        <v>4913</v>
      </c>
      <c r="Q2368">
        <v>19</v>
      </c>
      <c r="R2368">
        <v>61</v>
      </c>
      <c r="S2368">
        <v>842</v>
      </c>
      <c r="T2368">
        <v>303</v>
      </c>
      <c r="U2368">
        <v>30</v>
      </c>
      <c r="V2368" s="51">
        <v>1255</v>
      </c>
    </row>
    <row r="2369" spans="1:22">
      <c r="A2369" s="32" t="s">
        <v>4818</v>
      </c>
      <c r="B2369" s="32" t="s">
        <v>4743</v>
      </c>
      <c r="C2369" s="32" t="s">
        <v>4819</v>
      </c>
      <c r="D2369" s="33" t="s">
        <v>1639</v>
      </c>
      <c r="E2369" s="33">
        <v>39</v>
      </c>
      <c r="F2369" s="33">
        <v>522</v>
      </c>
      <c r="G2369" s="33">
        <v>167</v>
      </c>
      <c r="H2369" s="33" t="s">
        <v>1639</v>
      </c>
      <c r="I2369" s="33">
        <v>739</v>
      </c>
      <c r="K2369" t="b">
        <f>QHPSelections2016[[#This Row],[County Name]]=P2369</f>
        <v>0</v>
      </c>
      <c r="L2369" t="b">
        <f>QHPSelections2016[[#This Row],[Silver]]=S2369</f>
        <v>0</v>
      </c>
      <c r="N2369">
        <v>51640</v>
      </c>
      <c r="O2369" t="s">
        <v>4743</v>
      </c>
      <c r="P2369" t="s">
        <v>4915</v>
      </c>
      <c r="Q2369">
        <v>0</v>
      </c>
      <c r="S2369">
        <v>188</v>
      </c>
      <c r="T2369">
        <v>50</v>
      </c>
      <c r="V2369">
        <v>249</v>
      </c>
    </row>
    <row r="2370" spans="1:22">
      <c r="A2370" s="32" t="s">
        <v>4820</v>
      </c>
      <c r="B2370" s="32" t="s">
        <v>4743</v>
      </c>
      <c r="C2370" s="32" t="s">
        <v>4821</v>
      </c>
      <c r="D2370" s="33" t="s">
        <v>1639</v>
      </c>
      <c r="E2370" s="33">
        <v>90</v>
      </c>
      <c r="F2370" s="33">
        <v>514</v>
      </c>
      <c r="G2370" s="33">
        <v>146</v>
      </c>
      <c r="H2370" s="33" t="s">
        <v>1639</v>
      </c>
      <c r="I2370" s="33">
        <v>758</v>
      </c>
      <c r="K2370" t="b">
        <f>QHPSelections2016[[#This Row],[County Name]]=P2370</f>
        <v>0</v>
      </c>
      <c r="L2370" t="b">
        <f>QHPSelections2016[[#This Row],[Silver]]=S2370</f>
        <v>0</v>
      </c>
      <c r="N2370">
        <v>51071</v>
      </c>
      <c r="O2370" t="s">
        <v>4743</v>
      </c>
      <c r="P2370" t="s">
        <v>979</v>
      </c>
      <c r="R2370">
        <v>52</v>
      </c>
      <c r="S2370">
        <v>459</v>
      </c>
      <c r="T2370">
        <v>147</v>
      </c>
      <c r="V2370">
        <v>663</v>
      </c>
    </row>
    <row r="2371" spans="1:22">
      <c r="A2371" s="32" t="s">
        <v>4822</v>
      </c>
      <c r="B2371" s="32" t="s">
        <v>4743</v>
      </c>
      <c r="C2371" s="32" t="s">
        <v>3577</v>
      </c>
      <c r="D2371" s="33">
        <v>0</v>
      </c>
      <c r="E2371" s="33">
        <v>23</v>
      </c>
      <c r="F2371" s="33">
        <v>543</v>
      </c>
      <c r="G2371" s="33">
        <v>130</v>
      </c>
      <c r="H2371" s="33">
        <v>12</v>
      </c>
      <c r="I2371" s="33">
        <v>708</v>
      </c>
      <c r="K2371" t="b">
        <f>QHPSelections2016[[#This Row],[County Name]]=P2371</f>
        <v>0</v>
      </c>
      <c r="L2371" t="b">
        <f>QHPSelections2016[[#This Row],[Silver]]=S2371</f>
        <v>0</v>
      </c>
      <c r="N2371">
        <v>51073</v>
      </c>
      <c r="O2371" t="s">
        <v>4743</v>
      </c>
      <c r="P2371" t="s">
        <v>3662</v>
      </c>
      <c r="Q2371">
        <v>0</v>
      </c>
      <c r="R2371">
        <v>98</v>
      </c>
      <c r="S2371" s="51">
        <v>1276</v>
      </c>
      <c r="T2371">
        <v>326</v>
      </c>
      <c r="U2371">
        <v>24</v>
      </c>
      <c r="V2371" s="51">
        <v>1724</v>
      </c>
    </row>
    <row r="2372" spans="1:22">
      <c r="A2372" s="32" t="s">
        <v>4823</v>
      </c>
      <c r="B2372" s="32" t="s">
        <v>4743</v>
      </c>
      <c r="C2372" s="32" t="s">
        <v>1010</v>
      </c>
      <c r="D2372" s="33" t="s">
        <v>1639</v>
      </c>
      <c r="E2372" s="33">
        <v>32</v>
      </c>
      <c r="F2372" s="33">
        <v>513</v>
      </c>
      <c r="G2372" s="33">
        <v>115</v>
      </c>
      <c r="H2372" s="33" t="s">
        <v>1639</v>
      </c>
      <c r="I2372" s="33">
        <v>665</v>
      </c>
      <c r="K2372" t="b">
        <f>QHPSelections2016[[#This Row],[County Name]]=P2372</f>
        <v>0</v>
      </c>
      <c r="L2372" t="b">
        <f>QHPSelections2016[[#This Row],[Silver]]=S2372</f>
        <v>0</v>
      </c>
      <c r="N2372">
        <v>51075</v>
      </c>
      <c r="O2372" t="s">
        <v>4743</v>
      </c>
      <c r="P2372" t="s">
        <v>4800</v>
      </c>
      <c r="Q2372">
        <v>0</v>
      </c>
      <c r="R2372">
        <v>104</v>
      </c>
      <c r="S2372">
        <v>925</v>
      </c>
      <c r="T2372">
        <v>348</v>
      </c>
      <c r="U2372">
        <v>18</v>
      </c>
      <c r="V2372" s="51">
        <v>1395</v>
      </c>
    </row>
    <row r="2373" spans="1:22">
      <c r="A2373" s="32" t="s">
        <v>4824</v>
      </c>
      <c r="B2373" s="32" t="s">
        <v>4743</v>
      </c>
      <c r="C2373" s="32" t="s">
        <v>4825</v>
      </c>
      <c r="D2373" s="33">
        <v>233</v>
      </c>
      <c r="E2373" s="33">
        <v>1921</v>
      </c>
      <c r="F2373" s="33">
        <v>12553</v>
      </c>
      <c r="G2373" s="33">
        <v>4138</v>
      </c>
      <c r="H2373" s="33">
        <v>269</v>
      </c>
      <c r="I2373" s="33">
        <v>19114</v>
      </c>
      <c r="K2373" t="b">
        <f>QHPSelections2016[[#This Row],[County Name]]=P2373</f>
        <v>0</v>
      </c>
      <c r="L2373" t="b">
        <f>QHPSelections2016[[#This Row],[Silver]]=S2373</f>
        <v>0</v>
      </c>
      <c r="N2373">
        <v>51077</v>
      </c>
      <c r="O2373" t="s">
        <v>4743</v>
      </c>
      <c r="P2373" t="s">
        <v>1253</v>
      </c>
      <c r="R2373">
        <v>31</v>
      </c>
      <c r="S2373">
        <v>680</v>
      </c>
      <c r="T2373">
        <v>141</v>
      </c>
      <c r="V2373">
        <v>854</v>
      </c>
    </row>
    <row r="2374" spans="1:22">
      <c r="A2374" s="32" t="s">
        <v>4826</v>
      </c>
      <c r="B2374" s="32" t="s">
        <v>4743</v>
      </c>
      <c r="C2374" s="32" t="s">
        <v>2228</v>
      </c>
      <c r="D2374" s="33" t="s">
        <v>1639</v>
      </c>
      <c r="E2374" s="33">
        <v>149</v>
      </c>
      <c r="F2374" s="33">
        <v>1195</v>
      </c>
      <c r="G2374" s="33">
        <v>402</v>
      </c>
      <c r="H2374" s="33" t="s">
        <v>1639</v>
      </c>
      <c r="I2374" s="33">
        <v>1763</v>
      </c>
      <c r="K2374" t="b">
        <f>QHPSelections2016[[#This Row],[County Name]]=P2374</f>
        <v>0</v>
      </c>
      <c r="L2374" t="b">
        <f>QHPSelections2016[[#This Row],[Silver]]=S2374</f>
        <v>0</v>
      </c>
      <c r="N2374">
        <v>51079</v>
      </c>
      <c r="O2374" t="s">
        <v>4743</v>
      </c>
      <c r="P2374" t="s">
        <v>937</v>
      </c>
      <c r="Q2374">
        <v>0</v>
      </c>
      <c r="R2374">
        <v>64</v>
      </c>
      <c r="S2374">
        <v>676</v>
      </c>
      <c r="T2374">
        <v>218</v>
      </c>
      <c r="U2374">
        <v>14</v>
      </c>
      <c r="V2374">
        <v>972</v>
      </c>
    </row>
    <row r="2375" spans="1:22">
      <c r="A2375" s="32" t="s">
        <v>4827</v>
      </c>
      <c r="B2375" s="32" t="s">
        <v>4743</v>
      </c>
      <c r="C2375" s="32" t="s">
        <v>4828</v>
      </c>
      <c r="D2375" s="33" t="s">
        <v>1639</v>
      </c>
      <c r="E2375" s="33">
        <v>11</v>
      </c>
      <c r="F2375" s="33">
        <v>420</v>
      </c>
      <c r="G2375" s="33">
        <v>103</v>
      </c>
      <c r="H2375" s="33" t="s">
        <v>1639</v>
      </c>
      <c r="I2375" s="33">
        <v>537</v>
      </c>
      <c r="K2375" t="b">
        <f>QHPSelections2016[[#This Row],[County Name]]=P2375</f>
        <v>0</v>
      </c>
      <c r="L2375" t="b">
        <f>QHPSelections2016[[#This Row],[Silver]]=S2375</f>
        <v>0</v>
      </c>
      <c r="N2375">
        <v>51081</v>
      </c>
      <c r="O2375" t="s">
        <v>4743</v>
      </c>
      <c r="P2375" t="s">
        <v>4804</v>
      </c>
      <c r="Q2375">
        <v>0</v>
      </c>
      <c r="R2375">
        <v>17</v>
      </c>
      <c r="S2375">
        <v>411</v>
      </c>
      <c r="T2375">
        <v>72</v>
      </c>
      <c r="U2375">
        <v>12</v>
      </c>
      <c r="V2375">
        <v>512</v>
      </c>
    </row>
    <row r="2376" spans="1:22">
      <c r="A2376" s="32" t="s">
        <v>4829</v>
      </c>
      <c r="B2376" s="32" t="s">
        <v>4743</v>
      </c>
      <c r="C2376" s="32" t="s">
        <v>1029</v>
      </c>
      <c r="D2376" s="33" t="s">
        <v>1639</v>
      </c>
      <c r="E2376" s="33">
        <v>58</v>
      </c>
      <c r="F2376" s="33">
        <v>515</v>
      </c>
      <c r="G2376" s="33">
        <v>119</v>
      </c>
      <c r="H2376" s="33" t="s">
        <v>1639</v>
      </c>
      <c r="I2376" s="33">
        <v>699</v>
      </c>
      <c r="K2376" t="b">
        <f>QHPSelections2016[[#This Row],[County Name]]=P2376</f>
        <v>0</v>
      </c>
      <c r="L2376" t="b">
        <f>QHPSelections2016[[#This Row],[Silver]]=S2376</f>
        <v>0</v>
      </c>
      <c r="N2376">
        <v>51083</v>
      </c>
      <c r="O2376" t="s">
        <v>4743</v>
      </c>
      <c r="P2376" t="s">
        <v>1047</v>
      </c>
      <c r="Q2376">
        <v>0</v>
      </c>
      <c r="R2376">
        <v>54</v>
      </c>
      <c r="S2376" s="51">
        <v>1340</v>
      </c>
      <c r="T2376">
        <v>349</v>
      </c>
      <c r="U2376">
        <v>23</v>
      </c>
      <c r="V2376" s="51">
        <v>1766</v>
      </c>
    </row>
    <row r="2377" spans="1:22">
      <c r="A2377" s="32" t="s">
        <v>4830</v>
      </c>
      <c r="B2377" s="32" t="s">
        <v>4743</v>
      </c>
      <c r="C2377" s="32" t="s">
        <v>4831</v>
      </c>
      <c r="D2377" s="33" t="s">
        <v>1639</v>
      </c>
      <c r="E2377" s="33">
        <v>20</v>
      </c>
      <c r="F2377" s="33">
        <v>398</v>
      </c>
      <c r="G2377" s="33">
        <v>99</v>
      </c>
      <c r="H2377" s="33" t="s">
        <v>1639</v>
      </c>
      <c r="I2377" s="33">
        <v>518</v>
      </c>
      <c r="K2377" t="b">
        <f>QHPSelections2016[[#This Row],[County Name]]=P2377</f>
        <v>0</v>
      </c>
      <c r="L2377" t="b">
        <f>QHPSelections2016[[#This Row],[Silver]]=S2377</f>
        <v>0</v>
      </c>
      <c r="N2377">
        <v>51650</v>
      </c>
      <c r="O2377" t="s">
        <v>4743</v>
      </c>
      <c r="P2377" t="s">
        <v>4917</v>
      </c>
      <c r="Q2377">
        <v>0</v>
      </c>
      <c r="R2377">
        <v>200</v>
      </c>
      <c r="S2377" s="51">
        <v>3814</v>
      </c>
      <c r="T2377" s="51">
        <v>1171</v>
      </c>
      <c r="U2377">
        <v>127</v>
      </c>
      <c r="V2377" s="51">
        <v>5312</v>
      </c>
    </row>
    <row r="2378" spans="1:22">
      <c r="A2378" s="32" t="s">
        <v>4832</v>
      </c>
      <c r="B2378" s="32" t="s">
        <v>4743</v>
      </c>
      <c r="C2378" s="32" t="s">
        <v>1133</v>
      </c>
      <c r="D2378" s="33">
        <v>0</v>
      </c>
      <c r="E2378" s="33">
        <v>60</v>
      </c>
      <c r="F2378" s="33">
        <v>1269</v>
      </c>
      <c r="G2378" s="33">
        <v>256</v>
      </c>
      <c r="H2378" s="33">
        <v>14</v>
      </c>
      <c r="I2378" s="33">
        <v>1599</v>
      </c>
      <c r="K2378" t="b">
        <f>QHPSelections2016[[#This Row],[County Name]]=P2378</f>
        <v>0</v>
      </c>
      <c r="L2378" t="b">
        <f>QHPSelections2016[[#This Row],[Silver]]=S2378</f>
        <v>0</v>
      </c>
      <c r="N2378">
        <v>51085</v>
      </c>
      <c r="O2378" t="s">
        <v>4743</v>
      </c>
      <c r="P2378" t="s">
        <v>4807</v>
      </c>
      <c r="Q2378">
        <v>0</v>
      </c>
      <c r="R2378">
        <v>507</v>
      </c>
      <c r="S2378" s="51">
        <v>3983</v>
      </c>
      <c r="T2378" s="51">
        <v>1125</v>
      </c>
      <c r="U2378">
        <v>100</v>
      </c>
      <c r="V2378" s="51">
        <v>5715</v>
      </c>
    </row>
    <row r="2379" spans="1:22">
      <c r="A2379" s="32" t="s">
        <v>4833</v>
      </c>
      <c r="B2379" s="32" t="s">
        <v>4743</v>
      </c>
      <c r="C2379" s="32" t="s">
        <v>3669</v>
      </c>
      <c r="D2379" s="33" t="s">
        <v>1639</v>
      </c>
      <c r="E2379" s="33">
        <v>31</v>
      </c>
      <c r="F2379" s="33">
        <v>509</v>
      </c>
      <c r="G2379" s="33">
        <v>159</v>
      </c>
      <c r="H2379" s="33" t="s">
        <v>1639</v>
      </c>
      <c r="I2379" s="33">
        <v>706</v>
      </c>
      <c r="K2379" t="b">
        <f>QHPSelections2016[[#This Row],[County Name]]=P2379</f>
        <v>0</v>
      </c>
      <c r="L2379" t="b">
        <f>QHPSelections2016[[#This Row],[Silver]]=S2379</f>
        <v>0</v>
      </c>
      <c r="N2379">
        <v>51660</v>
      </c>
      <c r="O2379" t="s">
        <v>4743</v>
      </c>
      <c r="P2379" t="s">
        <v>4919</v>
      </c>
      <c r="Q2379">
        <v>0</v>
      </c>
      <c r="R2379">
        <v>69</v>
      </c>
      <c r="S2379" s="51">
        <v>1143</v>
      </c>
      <c r="T2379">
        <v>366</v>
      </c>
      <c r="U2379">
        <v>32</v>
      </c>
      <c r="V2379" s="51">
        <v>1610</v>
      </c>
    </row>
    <row r="2380" spans="1:22">
      <c r="A2380" s="32" t="s">
        <v>4834</v>
      </c>
      <c r="B2380" s="32" t="s">
        <v>4743</v>
      </c>
      <c r="C2380" s="32" t="s">
        <v>1079</v>
      </c>
      <c r="D2380" s="33">
        <v>0</v>
      </c>
      <c r="E2380" s="33">
        <v>142</v>
      </c>
      <c r="F2380" s="33">
        <v>2484</v>
      </c>
      <c r="G2380" s="33">
        <v>846</v>
      </c>
      <c r="H2380" s="33">
        <v>87</v>
      </c>
      <c r="I2380" s="33">
        <v>3559</v>
      </c>
      <c r="K2380" t="b">
        <f>QHPSelections2016[[#This Row],[County Name]]=P2380</f>
        <v>0</v>
      </c>
      <c r="L2380" t="b">
        <f>QHPSelections2016[[#This Row],[Silver]]=S2380</f>
        <v>0</v>
      </c>
      <c r="N2380">
        <v>51087</v>
      </c>
      <c r="O2380" t="s">
        <v>4743</v>
      </c>
      <c r="P2380" t="s">
        <v>4809</v>
      </c>
      <c r="Q2380">
        <v>0</v>
      </c>
      <c r="R2380" s="51">
        <v>1340</v>
      </c>
      <c r="S2380" s="51">
        <v>13828</v>
      </c>
      <c r="T2380" s="51">
        <v>4686</v>
      </c>
      <c r="U2380">
        <v>504</v>
      </c>
      <c r="V2380" s="51">
        <v>20358</v>
      </c>
    </row>
    <row r="2381" spans="1:22">
      <c r="A2381" s="32" t="s">
        <v>4835</v>
      </c>
      <c r="B2381" s="32" t="s">
        <v>4743</v>
      </c>
      <c r="C2381" s="32" t="s">
        <v>3456</v>
      </c>
      <c r="D2381" s="33" t="s">
        <v>1639</v>
      </c>
      <c r="E2381" s="33">
        <v>62</v>
      </c>
      <c r="F2381" s="33">
        <v>724</v>
      </c>
      <c r="G2381" s="33">
        <v>288</v>
      </c>
      <c r="H2381" s="33" t="s">
        <v>1639</v>
      </c>
      <c r="I2381" s="33">
        <v>1084</v>
      </c>
      <c r="K2381" t="b">
        <f>QHPSelections2016[[#This Row],[County Name]]=P2381</f>
        <v>0</v>
      </c>
      <c r="L2381" t="b">
        <f>QHPSelections2016[[#This Row],[Silver]]=S2381</f>
        <v>0</v>
      </c>
      <c r="N2381">
        <v>51089</v>
      </c>
      <c r="O2381" t="s">
        <v>4743</v>
      </c>
      <c r="P2381" t="s">
        <v>1004</v>
      </c>
      <c r="Q2381">
        <v>0</v>
      </c>
      <c r="R2381">
        <v>87</v>
      </c>
      <c r="S2381" s="51">
        <v>2556</v>
      </c>
      <c r="T2381">
        <v>715</v>
      </c>
      <c r="U2381">
        <v>48</v>
      </c>
      <c r="V2381" s="51">
        <v>3406</v>
      </c>
    </row>
    <row r="2382" spans="1:22">
      <c r="A2382" s="32" t="s">
        <v>4836</v>
      </c>
      <c r="B2382" s="32" t="s">
        <v>4743</v>
      </c>
      <c r="C2382" s="32" t="s">
        <v>4837</v>
      </c>
      <c r="D2382" s="33">
        <v>0</v>
      </c>
      <c r="E2382" s="33">
        <v>79</v>
      </c>
      <c r="F2382" s="33">
        <v>678</v>
      </c>
      <c r="G2382" s="33">
        <v>198</v>
      </c>
      <c r="H2382" s="33">
        <v>11</v>
      </c>
      <c r="I2382" s="33">
        <v>966</v>
      </c>
      <c r="K2382" t="b">
        <f>QHPSelections2016[[#This Row],[County Name]]=P2382</f>
        <v>0</v>
      </c>
      <c r="L2382" t="b">
        <f>QHPSelections2016[[#This Row],[Silver]]=S2382</f>
        <v>0</v>
      </c>
      <c r="N2382">
        <v>51091</v>
      </c>
      <c r="O2382" t="s">
        <v>4743</v>
      </c>
      <c r="P2382" t="s">
        <v>3824</v>
      </c>
      <c r="Q2382">
        <v>0</v>
      </c>
      <c r="S2382">
        <v>174</v>
      </c>
      <c r="T2382">
        <v>18</v>
      </c>
      <c r="V2382">
        <v>199</v>
      </c>
    </row>
    <row r="2383" spans="1:22">
      <c r="A2383" s="32" t="s">
        <v>4838</v>
      </c>
      <c r="B2383" s="32" t="s">
        <v>4743</v>
      </c>
      <c r="C2383" s="32" t="s">
        <v>1169</v>
      </c>
      <c r="D2383" s="33" t="s">
        <v>1639</v>
      </c>
      <c r="E2383" s="33">
        <v>56</v>
      </c>
      <c r="F2383" s="33">
        <v>595</v>
      </c>
      <c r="G2383" s="33">
        <v>181</v>
      </c>
      <c r="H2383" s="33" t="s">
        <v>1639</v>
      </c>
      <c r="I2383" s="33">
        <v>840</v>
      </c>
      <c r="K2383" t="b">
        <f>QHPSelections2016[[#This Row],[County Name]]=P2383</f>
        <v>0</v>
      </c>
      <c r="L2383" t="b">
        <f>QHPSelections2016[[#This Row],[Silver]]=S2383</f>
        <v>0</v>
      </c>
      <c r="N2383">
        <v>51670</v>
      </c>
      <c r="O2383" t="s">
        <v>4743</v>
      </c>
      <c r="P2383" t="s">
        <v>4921</v>
      </c>
      <c r="Q2383">
        <v>0</v>
      </c>
      <c r="R2383">
        <v>34</v>
      </c>
      <c r="S2383">
        <v>580</v>
      </c>
      <c r="T2383">
        <v>175</v>
      </c>
      <c r="U2383">
        <v>15</v>
      </c>
      <c r="V2383">
        <v>804</v>
      </c>
    </row>
    <row r="2384" spans="1:22">
      <c r="A2384" s="32" t="s">
        <v>4839</v>
      </c>
      <c r="B2384" s="32" t="s">
        <v>4743</v>
      </c>
      <c r="C2384" s="32" t="s">
        <v>4140</v>
      </c>
      <c r="D2384" s="33" t="s">
        <v>1639</v>
      </c>
      <c r="E2384" s="33">
        <v>45</v>
      </c>
      <c r="F2384" s="33">
        <v>498</v>
      </c>
      <c r="G2384" s="33">
        <v>120</v>
      </c>
      <c r="H2384" s="33" t="s">
        <v>1639</v>
      </c>
      <c r="I2384" s="33">
        <v>671</v>
      </c>
      <c r="K2384" t="b">
        <f>QHPSelections2016[[#This Row],[County Name]]=P2384</f>
        <v>0</v>
      </c>
      <c r="L2384" t="b">
        <f>QHPSelections2016[[#This Row],[Silver]]=S2384</f>
        <v>0</v>
      </c>
      <c r="N2384">
        <v>51093</v>
      </c>
      <c r="O2384" t="s">
        <v>4743</v>
      </c>
      <c r="P2384" t="s">
        <v>4813</v>
      </c>
      <c r="Q2384">
        <v>0</v>
      </c>
      <c r="R2384">
        <v>72</v>
      </c>
      <c r="S2384" s="51">
        <v>1024</v>
      </c>
      <c r="T2384">
        <v>308</v>
      </c>
      <c r="U2384">
        <v>22</v>
      </c>
      <c r="V2384" s="51">
        <v>1426</v>
      </c>
    </row>
    <row r="2385" spans="1:22">
      <c r="A2385" s="32" t="s">
        <v>4840</v>
      </c>
      <c r="B2385" s="32" t="s">
        <v>4743</v>
      </c>
      <c r="C2385" s="32" t="s">
        <v>4841</v>
      </c>
      <c r="D2385" s="33" t="s">
        <v>1639</v>
      </c>
      <c r="E2385" s="33">
        <v>34</v>
      </c>
      <c r="F2385" s="33">
        <v>432</v>
      </c>
      <c r="G2385" s="33">
        <v>100</v>
      </c>
      <c r="H2385" s="33" t="s">
        <v>1639</v>
      </c>
      <c r="I2385" s="33">
        <v>571</v>
      </c>
      <c r="K2385" t="b">
        <f>QHPSelections2016[[#This Row],[County Name]]=P2385</f>
        <v>0</v>
      </c>
      <c r="L2385" t="b">
        <f>QHPSelections2016[[#This Row],[Silver]]=S2385</f>
        <v>0</v>
      </c>
      <c r="N2385">
        <v>51095</v>
      </c>
      <c r="O2385" t="s">
        <v>4743</v>
      </c>
      <c r="P2385" t="s">
        <v>4815</v>
      </c>
      <c r="Q2385">
        <v>0</v>
      </c>
      <c r="R2385">
        <v>249</v>
      </c>
      <c r="S2385" s="51">
        <v>1872</v>
      </c>
      <c r="T2385">
        <v>621</v>
      </c>
      <c r="U2385">
        <v>67</v>
      </c>
      <c r="V2385" s="51">
        <v>2809</v>
      </c>
    </row>
    <row r="2386" spans="1:22">
      <c r="A2386" s="32" t="s">
        <v>4842</v>
      </c>
      <c r="B2386" s="32" t="s">
        <v>4743</v>
      </c>
      <c r="C2386" s="32" t="s">
        <v>1072</v>
      </c>
      <c r="D2386" s="33">
        <v>15</v>
      </c>
      <c r="E2386" s="33">
        <v>108</v>
      </c>
      <c r="F2386" s="33">
        <v>1191</v>
      </c>
      <c r="G2386" s="33">
        <v>388</v>
      </c>
      <c r="H2386" s="33">
        <v>20</v>
      </c>
      <c r="I2386" s="33">
        <v>1722</v>
      </c>
      <c r="K2386" t="b">
        <f>QHPSelections2016[[#This Row],[County Name]]=P2386</f>
        <v>0</v>
      </c>
      <c r="L2386" t="b">
        <f>QHPSelections2016[[#This Row],[Silver]]=S2386</f>
        <v>0</v>
      </c>
      <c r="N2386">
        <v>51097</v>
      </c>
      <c r="O2386" t="s">
        <v>4743</v>
      </c>
      <c r="P2386" t="s">
        <v>4817</v>
      </c>
      <c r="R2386">
        <v>30</v>
      </c>
      <c r="S2386">
        <v>253</v>
      </c>
      <c r="T2386">
        <v>88</v>
      </c>
      <c r="V2386">
        <v>373</v>
      </c>
    </row>
    <row r="2387" spans="1:22">
      <c r="A2387" s="32" t="s">
        <v>4843</v>
      </c>
      <c r="B2387" s="32" t="s">
        <v>4743</v>
      </c>
      <c r="C2387" s="32" t="s">
        <v>2250</v>
      </c>
      <c r="D2387" s="33" t="s">
        <v>1639</v>
      </c>
      <c r="E2387" s="33">
        <v>53</v>
      </c>
      <c r="F2387" s="33">
        <v>930</v>
      </c>
      <c r="G2387" s="33">
        <v>183</v>
      </c>
      <c r="H2387" s="33" t="s">
        <v>1639</v>
      </c>
      <c r="I2387" s="33">
        <v>1175</v>
      </c>
      <c r="K2387" t="b">
        <f>QHPSelections2016[[#This Row],[County Name]]=P2387</f>
        <v>0</v>
      </c>
      <c r="L2387" t="b">
        <f>QHPSelections2016[[#This Row],[Silver]]=S2387</f>
        <v>0</v>
      </c>
      <c r="N2387">
        <v>51099</v>
      </c>
      <c r="O2387" t="s">
        <v>4743</v>
      </c>
      <c r="P2387" t="s">
        <v>4819</v>
      </c>
      <c r="R2387">
        <v>39</v>
      </c>
      <c r="S2387">
        <v>522</v>
      </c>
      <c r="T2387">
        <v>167</v>
      </c>
      <c r="V2387">
        <v>739</v>
      </c>
    </row>
    <row r="2388" spans="1:22">
      <c r="A2388" s="32" t="s">
        <v>4844</v>
      </c>
      <c r="B2388" s="32" t="s">
        <v>4743</v>
      </c>
      <c r="C2388" s="32" t="s">
        <v>4845</v>
      </c>
      <c r="D2388" s="33">
        <v>0</v>
      </c>
      <c r="E2388" s="33">
        <v>27</v>
      </c>
      <c r="F2388" s="33">
        <v>706</v>
      </c>
      <c r="G2388" s="33">
        <v>172</v>
      </c>
      <c r="H2388" s="33">
        <v>17</v>
      </c>
      <c r="I2388" s="33">
        <v>922</v>
      </c>
      <c r="K2388" t="b">
        <f>QHPSelections2016[[#This Row],[County Name]]=P2388</f>
        <v>0</v>
      </c>
      <c r="L2388" t="b">
        <f>QHPSelections2016[[#This Row],[Silver]]=S2388</f>
        <v>0</v>
      </c>
      <c r="N2388">
        <v>51101</v>
      </c>
      <c r="O2388" t="s">
        <v>4743</v>
      </c>
      <c r="P2388" t="s">
        <v>4821</v>
      </c>
      <c r="R2388">
        <v>90</v>
      </c>
      <c r="S2388">
        <v>514</v>
      </c>
      <c r="T2388">
        <v>146</v>
      </c>
      <c r="V2388">
        <v>758</v>
      </c>
    </row>
    <row r="2389" spans="1:22">
      <c r="A2389" s="32" t="s">
        <v>4846</v>
      </c>
      <c r="B2389" s="32" t="s">
        <v>4743</v>
      </c>
      <c r="C2389" s="32" t="s">
        <v>4847</v>
      </c>
      <c r="D2389" s="33">
        <v>0</v>
      </c>
      <c r="E2389" s="33">
        <v>216</v>
      </c>
      <c r="F2389" s="33">
        <v>2937</v>
      </c>
      <c r="G2389" s="33">
        <v>817</v>
      </c>
      <c r="H2389" s="33">
        <v>51</v>
      </c>
      <c r="I2389" s="33">
        <v>4021</v>
      </c>
      <c r="K2389" t="b">
        <f>QHPSelections2016[[#This Row],[County Name]]=P2389</f>
        <v>0</v>
      </c>
      <c r="L2389" t="b">
        <f>QHPSelections2016[[#This Row],[Silver]]=S2389</f>
        <v>0</v>
      </c>
      <c r="N2389">
        <v>51103</v>
      </c>
      <c r="O2389" t="s">
        <v>4743</v>
      </c>
      <c r="P2389" t="s">
        <v>3577</v>
      </c>
      <c r="Q2389">
        <v>0</v>
      </c>
      <c r="R2389">
        <v>23</v>
      </c>
      <c r="S2389">
        <v>543</v>
      </c>
      <c r="T2389">
        <v>130</v>
      </c>
      <c r="U2389">
        <v>12</v>
      </c>
      <c r="V2389">
        <v>708</v>
      </c>
    </row>
    <row r="2390" spans="1:22">
      <c r="A2390" s="32" t="s">
        <v>4848</v>
      </c>
      <c r="B2390" s="32" t="s">
        <v>4743</v>
      </c>
      <c r="C2390" s="32" t="s">
        <v>4849</v>
      </c>
      <c r="D2390" s="33">
        <v>0</v>
      </c>
      <c r="E2390" s="33">
        <v>144</v>
      </c>
      <c r="F2390" s="33">
        <v>1046</v>
      </c>
      <c r="G2390" s="33">
        <v>314</v>
      </c>
      <c r="H2390" s="33">
        <v>24</v>
      </c>
      <c r="I2390" s="33">
        <v>1528</v>
      </c>
      <c r="K2390" t="b">
        <f>QHPSelections2016[[#This Row],[County Name]]=P2390</f>
        <v>0</v>
      </c>
      <c r="L2390" t="b">
        <f>QHPSelections2016[[#This Row],[Silver]]=S2390</f>
        <v>0</v>
      </c>
      <c r="N2390">
        <v>51105</v>
      </c>
      <c r="O2390" t="s">
        <v>4743</v>
      </c>
      <c r="P2390" t="s">
        <v>1010</v>
      </c>
      <c r="R2390">
        <v>32</v>
      </c>
      <c r="S2390">
        <v>513</v>
      </c>
      <c r="T2390">
        <v>115</v>
      </c>
      <c r="V2390">
        <v>665</v>
      </c>
    </row>
    <row r="2391" spans="1:22">
      <c r="A2391" s="32" t="s">
        <v>4850</v>
      </c>
      <c r="B2391" s="32" t="s">
        <v>4743</v>
      </c>
      <c r="C2391" s="32" t="s">
        <v>4851</v>
      </c>
      <c r="D2391" s="33">
        <v>0</v>
      </c>
      <c r="E2391" s="33">
        <v>25</v>
      </c>
      <c r="F2391" s="33">
        <v>668</v>
      </c>
      <c r="G2391" s="33">
        <v>183</v>
      </c>
      <c r="H2391" s="33">
        <v>11</v>
      </c>
      <c r="I2391" s="33">
        <v>887</v>
      </c>
      <c r="K2391" t="b">
        <f>QHPSelections2016[[#This Row],[County Name]]=P2391</f>
        <v>0</v>
      </c>
      <c r="L2391" t="b">
        <f>QHPSelections2016[[#This Row],[Silver]]=S2391</f>
        <v>0</v>
      </c>
      <c r="N2391">
        <v>51678</v>
      </c>
      <c r="O2391" t="s">
        <v>4743</v>
      </c>
      <c r="P2391" t="s">
        <v>4923</v>
      </c>
      <c r="Q2391">
        <v>0</v>
      </c>
      <c r="S2391">
        <v>116</v>
      </c>
      <c r="T2391">
        <v>49</v>
      </c>
      <c r="V2391">
        <v>177</v>
      </c>
    </row>
    <row r="2392" spans="1:22">
      <c r="A2392" s="32" t="s">
        <v>4852</v>
      </c>
      <c r="B2392" s="32" t="s">
        <v>4743</v>
      </c>
      <c r="C2392" s="32" t="s">
        <v>4853</v>
      </c>
      <c r="D2392" s="33">
        <v>0</v>
      </c>
      <c r="E2392" s="33">
        <v>106</v>
      </c>
      <c r="F2392" s="33">
        <v>670</v>
      </c>
      <c r="G2392" s="33">
        <v>178</v>
      </c>
      <c r="H2392" s="33">
        <v>24</v>
      </c>
      <c r="I2392" s="33">
        <v>978</v>
      </c>
      <c r="K2392" t="b">
        <f>QHPSelections2016[[#This Row],[County Name]]=P2392</f>
        <v>0</v>
      </c>
      <c r="L2392" t="b">
        <f>QHPSelections2016[[#This Row],[Silver]]=S2392</f>
        <v>0</v>
      </c>
      <c r="N2392">
        <v>51107</v>
      </c>
      <c r="O2392" t="s">
        <v>4743</v>
      </c>
      <c r="P2392" t="s">
        <v>4825</v>
      </c>
      <c r="Q2392">
        <v>233</v>
      </c>
      <c r="R2392" s="51">
        <v>1921</v>
      </c>
      <c r="S2392" s="51">
        <v>12553</v>
      </c>
      <c r="T2392" s="51">
        <v>4138</v>
      </c>
      <c r="U2392">
        <v>269</v>
      </c>
      <c r="V2392" s="51">
        <v>19114</v>
      </c>
    </row>
    <row r="2393" spans="1:22">
      <c r="A2393" s="32" t="s">
        <v>4854</v>
      </c>
      <c r="B2393" s="32" t="s">
        <v>4743</v>
      </c>
      <c r="C2393" s="32" t="s">
        <v>4855</v>
      </c>
      <c r="D2393" s="33">
        <v>303</v>
      </c>
      <c r="E2393" s="33">
        <v>1693</v>
      </c>
      <c r="F2393" s="33">
        <v>19103</v>
      </c>
      <c r="G2393" s="33">
        <v>6217</v>
      </c>
      <c r="H2393" s="33">
        <v>432</v>
      </c>
      <c r="I2393" s="33">
        <v>27748</v>
      </c>
      <c r="K2393" t="b">
        <f>QHPSelections2016[[#This Row],[County Name]]=P2393</f>
        <v>0</v>
      </c>
      <c r="L2393" t="b">
        <f>QHPSelections2016[[#This Row],[Silver]]=S2393</f>
        <v>0</v>
      </c>
      <c r="N2393">
        <v>51109</v>
      </c>
      <c r="O2393" t="s">
        <v>4743</v>
      </c>
      <c r="P2393" t="s">
        <v>2228</v>
      </c>
      <c r="R2393">
        <v>149</v>
      </c>
      <c r="S2393" s="51">
        <v>1195</v>
      </c>
      <c r="T2393">
        <v>402</v>
      </c>
      <c r="V2393" s="51">
        <v>1763</v>
      </c>
    </row>
    <row r="2394" spans="1:22">
      <c r="A2394" s="32" t="s">
        <v>4856</v>
      </c>
      <c r="B2394" s="32" t="s">
        <v>4743</v>
      </c>
      <c r="C2394" s="32" t="s">
        <v>1290</v>
      </c>
      <c r="D2394" s="33">
        <v>0</v>
      </c>
      <c r="E2394" s="33">
        <v>81</v>
      </c>
      <c r="F2394" s="33">
        <v>791</v>
      </c>
      <c r="G2394" s="33">
        <v>231</v>
      </c>
      <c r="H2394" s="33">
        <v>12</v>
      </c>
      <c r="I2394" s="33">
        <v>1115</v>
      </c>
      <c r="K2394" t="b">
        <f>QHPSelections2016[[#This Row],[County Name]]=P2394</f>
        <v>0</v>
      </c>
      <c r="L2394" t="b">
        <f>QHPSelections2016[[#This Row],[Silver]]=S2394</f>
        <v>0</v>
      </c>
      <c r="N2394">
        <v>51111</v>
      </c>
      <c r="O2394" t="s">
        <v>4743</v>
      </c>
      <c r="P2394" t="s">
        <v>4828</v>
      </c>
      <c r="R2394">
        <v>11</v>
      </c>
      <c r="S2394">
        <v>420</v>
      </c>
      <c r="T2394">
        <v>103</v>
      </c>
      <c r="V2394">
        <v>537</v>
      </c>
    </row>
    <row r="2395" spans="1:22">
      <c r="A2395" s="32" t="s">
        <v>4857</v>
      </c>
      <c r="B2395" s="32" t="s">
        <v>4743</v>
      </c>
      <c r="C2395" s="32" t="s">
        <v>4858</v>
      </c>
      <c r="D2395" s="33" t="s">
        <v>1639</v>
      </c>
      <c r="E2395" s="33">
        <v>49</v>
      </c>
      <c r="F2395" s="33">
        <v>417</v>
      </c>
      <c r="G2395" s="33">
        <v>119</v>
      </c>
      <c r="H2395" s="33" t="s">
        <v>1639</v>
      </c>
      <c r="I2395" s="33">
        <v>589</v>
      </c>
      <c r="K2395" t="b">
        <f>QHPSelections2016[[#This Row],[County Name]]=P2395</f>
        <v>0</v>
      </c>
      <c r="L2395" t="b">
        <f>QHPSelections2016[[#This Row],[Silver]]=S2395</f>
        <v>0</v>
      </c>
      <c r="N2395">
        <v>51680</v>
      </c>
      <c r="O2395" t="s">
        <v>4743</v>
      </c>
      <c r="P2395" t="s">
        <v>4925</v>
      </c>
      <c r="Q2395">
        <v>0</v>
      </c>
      <c r="R2395">
        <v>127</v>
      </c>
      <c r="S2395" s="51">
        <v>2217</v>
      </c>
      <c r="T2395">
        <v>802</v>
      </c>
      <c r="U2395">
        <v>63</v>
      </c>
      <c r="V2395" s="51">
        <v>3209</v>
      </c>
    </row>
    <row r="2396" spans="1:22">
      <c r="A2396" s="32" t="s">
        <v>4859</v>
      </c>
      <c r="B2396" s="32" t="s">
        <v>4743</v>
      </c>
      <c r="C2396" s="32" t="s">
        <v>1210</v>
      </c>
      <c r="D2396" s="33" t="s">
        <v>1639</v>
      </c>
      <c r="E2396" s="33">
        <v>43</v>
      </c>
      <c r="F2396" s="33">
        <v>296</v>
      </c>
      <c r="G2396" s="33">
        <v>67</v>
      </c>
      <c r="H2396" s="33" t="s">
        <v>1639</v>
      </c>
      <c r="I2396" s="33">
        <v>411</v>
      </c>
      <c r="K2396" t="b">
        <f>QHPSelections2016[[#This Row],[County Name]]=P2396</f>
        <v>0</v>
      </c>
      <c r="L2396" t="b">
        <f>QHPSelections2016[[#This Row],[Silver]]=S2396</f>
        <v>0</v>
      </c>
      <c r="N2396">
        <v>51113</v>
      </c>
      <c r="O2396" t="s">
        <v>4743</v>
      </c>
      <c r="P2396" t="s">
        <v>1029</v>
      </c>
      <c r="R2396">
        <v>58</v>
      </c>
      <c r="S2396">
        <v>515</v>
      </c>
      <c r="T2396">
        <v>119</v>
      </c>
      <c r="V2396">
        <v>699</v>
      </c>
    </row>
    <row r="2397" spans="1:22">
      <c r="A2397" s="32" t="s">
        <v>4860</v>
      </c>
      <c r="B2397" s="32" t="s">
        <v>4743</v>
      </c>
      <c r="C2397" s="32" t="s">
        <v>4861</v>
      </c>
      <c r="D2397" s="33">
        <v>0</v>
      </c>
      <c r="E2397" s="33">
        <v>221</v>
      </c>
      <c r="F2397" s="33">
        <v>3403</v>
      </c>
      <c r="G2397" s="33">
        <v>1086</v>
      </c>
      <c r="H2397" s="33">
        <v>65</v>
      </c>
      <c r="I2397" s="33">
        <v>4775</v>
      </c>
      <c r="K2397" t="b">
        <f>QHPSelections2016[[#This Row],[County Name]]=P2397</f>
        <v>0</v>
      </c>
      <c r="L2397" t="b">
        <f>QHPSelections2016[[#This Row],[Silver]]=S2397</f>
        <v>0</v>
      </c>
      <c r="N2397">
        <v>51683</v>
      </c>
      <c r="O2397" t="s">
        <v>4743</v>
      </c>
      <c r="P2397" t="s">
        <v>4927</v>
      </c>
      <c r="Q2397">
        <v>17</v>
      </c>
      <c r="R2397">
        <v>138</v>
      </c>
      <c r="S2397" s="51">
        <v>1464</v>
      </c>
      <c r="T2397">
        <v>515</v>
      </c>
      <c r="U2397">
        <v>44</v>
      </c>
      <c r="V2397" s="51">
        <v>2178</v>
      </c>
    </row>
    <row r="2398" spans="1:22">
      <c r="A2398" s="32" t="s">
        <v>4862</v>
      </c>
      <c r="B2398" s="32" t="s">
        <v>4743</v>
      </c>
      <c r="C2398" s="32" t="s">
        <v>4863</v>
      </c>
      <c r="D2398" s="33" t="s">
        <v>1639</v>
      </c>
      <c r="E2398" s="33">
        <v>68</v>
      </c>
      <c r="F2398" s="33">
        <v>1148</v>
      </c>
      <c r="G2398" s="33">
        <v>291</v>
      </c>
      <c r="H2398" s="33" t="s">
        <v>1639</v>
      </c>
      <c r="I2398" s="33">
        <v>1515</v>
      </c>
      <c r="K2398" t="b">
        <f>QHPSelections2016[[#This Row],[County Name]]=P2398</f>
        <v>0</v>
      </c>
      <c r="L2398" t="b">
        <f>QHPSelections2016[[#This Row],[Silver]]=S2398</f>
        <v>0</v>
      </c>
      <c r="N2398">
        <v>51685</v>
      </c>
      <c r="O2398" t="s">
        <v>4743</v>
      </c>
      <c r="P2398" t="s">
        <v>4929</v>
      </c>
      <c r="R2398">
        <v>48</v>
      </c>
      <c r="S2398">
        <v>781</v>
      </c>
      <c r="T2398">
        <v>238</v>
      </c>
      <c r="V2398" s="51">
        <v>1082</v>
      </c>
    </row>
    <row r="2399" spans="1:22">
      <c r="A2399" s="32" t="s">
        <v>4864</v>
      </c>
      <c r="B2399" s="32" t="s">
        <v>4743</v>
      </c>
      <c r="C2399" s="32" t="s">
        <v>1217</v>
      </c>
      <c r="D2399" s="33">
        <v>0</v>
      </c>
      <c r="E2399" s="33">
        <v>167</v>
      </c>
      <c r="F2399" s="33">
        <v>2709</v>
      </c>
      <c r="G2399" s="33">
        <v>853</v>
      </c>
      <c r="H2399" s="33">
        <v>36</v>
      </c>
      <c r="I2399" s="33">
        <v>3765</v>
      </c>
      <c r="K2399" t="b">
        <f>QHPSelections2016[[#This Row],[County Name]]=P2399</f>
        <v>0</v>
      </c>
      <c r="L2399" t="b">
        <f>QHPSelections2016[[#This Row],[Silver]]=S2399</f>
        <v>0</v>
      </c>
      <c r="N2399">
        <v>51690</v>
      </c>
      <c r="O2399" t="s">
        <v>4743</v>
      </c>
      <c r="P2399" t="s">
        <v>4931</v>
      </c>
      <c r="Q2399">
        <v>0</v>
      </c>
      <c r="R2399">
        <v>26</v>
      </c>
      <c r="S2399">
        <v>618</v>
      </c>
      <c r="T2399">
        <v>197</v>
      </c>
      <c r="U2399">
        <v>17</v>
      </c>
      <c r="V2399">
        <v>858</v>
      </c>
    </row>
    <row r="2400" spans="1:22">
      <c r="A2400" s="32" t="s">
        <v>4865</v>
      </c>
      <c r="B2400" s="32" t="s">
        <v>4743</v>
      </c>
      <c r="C2400" s="32" t="s">
        <v>1119</v>
      </c>
      <c r="D2400" s="33" t="s">
        <v>1639</v>
      </c>
      <c r="E2400" s="33">
        <v>76</v>
      </c>
      <c r="F2400" s="33">
        <v>748</v>
      </c>
      <c r="G2400" s="33">
        <v>128</v>
      </c>
      <c r="H2400" s="33" t="s">
        <v>1639</v>
      </c>
      <c r="I2400" s="33">
        <v>958</v>
      </c>
      <c r="K2400" t="b">
        <f>QHPSelections2016[[#This Row],[County Name]]=P2400</f>
        <v>0</v>
      </c>
      <c r="L2400" t="b">
        <f>QHPSelections2016[[#This Row],[Silver]]=S2400</f>
        <v>0</v>
      </c>
      <c r="N2400">
        <v>51115</v>
      </c>
      <c r="O2400" t="s">
        <v>4743</v>
      </c>
      <c r="P2400" t="s">
        <v>4831</v>
      </c>
      <c r="R2400">
        <v>20</v>
      </c>
      <c r="S2400">
        <v>398</v>
      </c>
      <c r="T2400">
        <v>99</v>
      </c>
      <c r="V2400">
        <v>518</v>
      </c>
    </row>
    <row r="2401" spans="1:22">
      <c r="A2401" s="32" t="s">
        <v>4866</v>
      </c>
      <c r="B2401" s="32" t="s">
        <v>4743</v>
      </c>
      <c r="C2401" s="32" t="s">
        <v>1146</v>
      </c>
      <c r="D2401" s="33" t="s">
        <v>1639</v>
      </c>
      <c r="E2401" s="33">
        <v>32</v>
      </c>
      <c r="F2401" s="33">
        <v>514</v>
      </c>
      <c r="G2401" s="33">
        <v>96</v>
      </c>
      <c r="H2401" s="33" t="s">
        <v>1639</v>
      </c>
      <c r="I2401" s="33">
        <v>651</v>
      </c>
      <c r="K2401" t="b">
        <f>QHPSelections2016[[#This Row],[County Name]]=P2401</f>
        <v>0</v>
      </c>
      <c r="L2401" t="b">
        <f>QHPSelections2016[[#This Row],[Silver]]=S2401</f>
        <v>0</v>
      </c>
      <c r="N2401">
        <v>51117</v>
      </c>
      <c r="O2401" t="s">
        <v>4743</v>
      </c>
      <c r="P2401" t="s">
        <v>1133</v>
      </c>
      <c r="Q2401">
        <v>0</v>
      </c>
      <c r="R2401">
        <v>60</v>
      </c>
      <c r="S2401" s="51">
        <v>1269</v>
      </c>
      <c r="T2401">
        <v>256</v>
      </c>
      <c r="U2401">
        <v>14</v>
      </c>
      <c r="V2401" s="51">
        <v>1599</v>
      </c>
    </row>
    <row r="2402" spans="1:22">
      <c r="A2402" s="32" t="s">
        <v>4867</v>
      </c>
      <c r="B2402" s="32" t="s">
        <v>4743</v>
      </c>
      <c r="C2402" s="32" t="s">
        <v>4868</v>
      </c>
      <c r="D2402" s="33">
        <v>0</v>
      </c>
      <c r="E2402" s="33">
        <v>105</v>
      </c>
      <c r="F2402" s="33">
        <v>1487</v>
      </c>
      <c r="G2402" s="33">
        <v>419</v>
      </c>
      <c r="H2402" s="33">
        <v>27</v>
      </c>
      <c r="I2402" s="33">
        <v>2038</v>
      </c>
      <c r="K2402" t="b">
        <f>QHPSelections2016[[#This Row],[County Name]]=P2402</f>
        <v>0</v>
      </c>
      <c r="L2402" t="b">
        <f>QHPSelections2016[[#This Row],[Silver]]=S2402</f>
        <v>0</v>
      </c>
      <c r="N2402">
        <v>51119</v>
      </c>
      <c r="O2402" t="s">
        <v>4743</v>
      </c>
      <c r="P2402" t="s">
        <v>3669</v>
      </c>
      <c r="R2402">
        <v>31</v>
      </c>
      <c r="S2402">
        <v>509</v>
      </c>
      <c r="T2402">
        <v>159</v>
      </c>
      <c r="V2402">
        <v>706</v>
      </c>
    </row>
    <row r="2403" spans="1:22">
      <c r="A2403" s="32" t="s">
        <v>4869</v>
      </c>
      <c r="B2403" s="32" t="s">
        <v>4743</v>
      </c>
      <c r="C2403" s="32" t="s">
        <v>4870</v>
      </c>
      <c r="D2403" s="33" t="s">
        <v>1639</v>
      </c>
      <c r="E2403" s="33">
        <v>52</v>
      </c>
      <c r="F2403" s="33">
        <v>972</v>
      </c>
      <c r="G2403" s="33">
        <v>145</v>
      </c>
      <c r="H2403" s="33" t="s">
        <v>1639</v>
      </c>
      <c r="I2403" s="33">
        <v>1179</v>
      </c>
      <c r="K2403" t="b">
        <f>QHPSelections2016[[#This Row],[County Name]]=P2403</f>
        <v>0</v>
      </c>
      <c r="L2403" t="b">
        <f>QHPSelections2016[[#This Row],[Silver]]=S2403</f>
        <v>0</v>
      </c>
      <c r="N2403">
        <v>51121</v>
      </c>
      <c r="O2403" t="s">
        <v>4743</v>
      </c>
      <c r="P2403" t="s">
        <v>1079</v>
      </c>
      <c r="Q2403">
        <v>0</v>
      </c>
      <c r="R2403">
        <v>142</v>
      </c>
      <c r="S2403" s="51">
        <v>2484</v>
      </c>
      <c r="T2403">
        <v>846</v>
      </c>
      <c r="U2403">
        <v>87</v>
      </c>
      <c r="V2403" s="51">
        <v>3559</v>
      </c>
    </row>
    <row r="2404" spans="1:22">
      <c r="A2404" s="32" t="s">
        <v>4871</v>
      </c>
      <c r="B2404" s="32" t="s">
        <v>4743</v>
      </c>
      <c r="C2404" s="32" t="s">
        <v>4872</v>
      </c>
      <c r="D2404" s="33">
        <v>0</v>
      </c>
      <c r="E2404" s="33">
        <v>59</v>
      </c>
      <c r="F2404" s="33">
        <v>506</v>
      </c>
      <c r="G2404" s="33">
        <v>122</v>
      </c>
      <c r="H2404" s="33">
        <v>11</v>
      </c>
      <c r="I2404" s="33">
        <v>698</v>
      </c>
      <c r="K2404" t="b">
        <f>QHPSelections2016[[#This Row],[County Name]]=P2404</f>
        <v>0</v>
      </c>
      <c r="L2404" t="b">
        <f>QHPSelections2016[[#This Row],[Silver]]=S2404</f>
        <v>0</v>
      </c>
      <c r="N2404">
        <v>51125</v>
      </c>
      <c r="O2404" t="s">
        <v>4743</v>
      </c>
      <c r="P2404" t="s">
        <v>3456</v>
      </c>
      <c r="R2404">
        <v>62</v>
      </c>
      <c r="S2404">
        <v>724</v>
      </c>
      <c r="T2404">
        <v>288</v>
      </c>
      <c r="V2404" s="51">
        <v>1084</v>
      </c>
    </row>
    <row r="2405" spans="1:22">
      <c r="A2405" s="32" t="s">
        <v>4873</v>
      </c>
      <c r="B2405" s="32" t="s">
        <v>4743</v>
      </c>
      <c r="C2405" s="32" t="s">
        <v>4874</v>
      </c>
      <c r="D2405" s="33">
        <v>35</v>
      </c>
      <c r="E2405" s="33">
        <v>412</v>
      </c>
      <c r="F2405" s="33">
        <v>4015</v>
      </c>
      <c r="G2405" s="33">
        <v>1173</v>
      </c>
      <c r="H2405" s="33">
        <v>87</v>
      </c>
      <c r="I2405" s="33">
        <v>5722</v>
      </c>
      <c r="K2405" t="b">
        <f>QHPSelections2016[[#This Row],[County Name]]=P2405</f>
        <v>0</v>
      </c>
      <c r="L2405" t="b">
        <f>QHPSelections2016[[#This Row],[Silver]]=S2405</f>
        <v>0</v>
      </c>
      <c r="N2405">
        <v>51127</v>
      </c>
      <c r="O2405" t="s">
        <v>4743</v>
      </c>
      <c r="P2405" t="s">
        <v>4837</v>
      </c>
      <c r="Q2405">
        <v>0</v>
      </c>
      <c r="R2405">
        <v>79</v>
      </c>
      <c r="S2405">
        <v>678</v>
      </c>
      <c r="T2405">
        <v>198</v>
      </c>
      <c r="U2405">
        <v>11</v>
      </c>
      <c r="V2405">
        <v>966</v>
      </c>
    </row>
    <row r="2406" spans="1:22">
      <c r="A2406" s="32" t="s">
        <v>4875</v>
      </c>
      <c r="B2406" s="32" t="s">
        <v>4743</v>
      </c>
      <c r="C2406" s="32" t="s">
        <v>2708</v>
      </c>
      <c r="D2406" s="33">
        <v>67</v>
      </c>
      <c r="E2406" s="33">
        <v>433</v>
      </c>
      <c r="F2406" s="33">
        <v>3376</v>
      </c>
      <c r="G2406" s="33">
        <v>1228</v>
      </c>
      <c r="H2406" s="33">
        <v>100</v>
      </c>
      <c r="I2406" s="33">
        <v>5204</v>
      </c>
      <c r="K2406" t="b">
        <f>QHPSelections2016[[#This Row],[County Name]]=P2406</f>
        <v>0</v>
      </c>
      <c r="L2406" t="b">
        <f>QHPSelections2016[[#This Row],[Silver]]=S2406</f>
        <v>0</v>
      </c>
      <c r="N2406">
        <v>51700</v>
      </c>
      <c r="O2406" t="s">
        <v>4743</v>
      </c>
      <c r="P2406" t="s">
        <v>4933</v>
      </c>
      <c r="Q2406">
        <v>0</v>
      </c>
      <c r="R2406">
        <v>234</v>
      </c>
      <c r="S2406" s="51">
        <v>4892</v>
      </c>
      <c r="T2406" s="51">
        <v>1609</v>
      </c>
      <c r="U2406">
        <v>172</v>
      </c>
      <c r="V2406" s="51">
        <v>6907</v>
      </c>
    </row>
    <row r="2407" spans="1:22">
      <c r="A2407" s="32" t="s">
        <v>4876</v>
      </c>
      <c r="B2407" s="32" t="s">
        <v>4743</v>
      </c>
      <c r="C2407" s="32" t="s">
        <v>1239</v>
      </c>
      <c r="D2407" s="33" t="s">
        <v>1639</v>
      </c>
      <c r="E2407" s="33">
        <v>26</v>
      </c>
      <c r="F2407" s="33">
        <v>265</v>
      </c>
      <c r="G2407" s="33">
        <v>84</v>
      </c>
      <c r="H2407" s="33" t="s">
        <v>1639</v>
      </c>
      <c r="I2407" s="33">
        <v>379</v>
      </c>
      <c r="K2407" t="b">
        <f>QHPSelections2016[[#This Row],[County Name]]=P2407</f>
        <v>0</v>
      </c>
      <c r="L2407" t="b">
        <f>QHPSelections2016[[#This Row],[Silver]]=S2407</f>
        <v>0</v>
      </c>
      <c r="N2407">
        <v>51710</v>
      </c>
      <c r="O2407" t="s">
        <v>4743</v>
      </c>
      <c r="P2407" t="s">
        <v>4935</v>
      </c>
      <c r="Q2407">
        <v>0</v>
      </c>
      <c r="R2407">
        <v>454</v>
      </c>
      <c r="S2407" s="51">
        <v>6251</v>
      </c>
      <c r="T2407" s="51">
        <v>2078</v>
      </c>
      <c r="U2407">
        <v>175</v>
      </c>
      <c r="V2407" s="51">
        <v>8958</v>
      </c>
    </row>
    <row r="2408" spans="1:22">
      <c r="A2408" s="32" t="s">
        <v>4877</v>
      </c>
      <c r="B2408" s="32" t="s">
        <v>4743</v>
      </c>
      <c r="C2408" s="32" t="s">
        <v>1908</v>
      </c>
      <c r="D2408" s="33" t="s">
        <v>1639</v>
      </c>
      <c r="E2408" s="33">
        <v>24</v>
      </c>
      <c r="F2408" s="33">
        <v>324</v>
      </c>
      <c r="G2408" s="33">
        <v>60</v>
      </c>
      <c r="H2408" s="33" t="s">
        <v>1639</v>
      </c>
      <c r="I2408" s="33">
        <v>418</v>
      </c>
      <c r="K2408" t="b">
        <f>QHPSelections2016[[#This Row],[County Name]]=P2408</f>
        <v>0</v>
      </c>
      <c r="L2408" t="b">
        <f>QHPSelections2016[[#This Row],[Silver]]=S2408</f>
        <v>0</v>
      </c>
      <c r="N2408">
        <v>51131</v>
      </c>
      <c r="O2408" t="s">
        <v>4743</v>
      </c>
      <c r="P2408" t="s">
        <v>1169</v>
      </c>
      <c r="R2408">
        <v>56</v>
      </c>
      <c r="S2408">
        <v>595</v>
      </c>
      <c r="T2408">
        <v>181</v>
      </c>
      <c r="V2408">
        <v>840</v>
      </c>
    </row>
    <row r="2409" spans="1:22">
      <c r="A2409" s="32" t="s">
        <v>4878</v>
      </c>
      <c r="B2409" s="32" t="s">
        <v>4743</v>
      </c>
      <c r="C2409" s="32" t="s">
        <v>2416</v>
      </c>
      <c r="D2409" s="33">
        <v>0</v>
      </c>
      <c r="E2409" s="33">
        <v>111</v>
      </c>
      <c r="F2409" s="33">
        <v>1051</v>
      </c>
      <c r="G2409" s="33">
        <v>248</v>
      </c>
      <c r="H2409" s="33">
        <v>15</v>
      </c>
      <c r="I2409" s="33">
        <v>1425</v>
      </c>
      <c r="K2409" t="b">
        <f>QHPSelections2016[[#This Row],[County Name]]=P2409</f>
        <v>0</v>
      </c>
      <c r="L2409" t="b">
        <f>QHPSelections2016[[#This Row],[Silver]]=S2409</f>
        <v>0</v>
      </c>
      <c r="N2409">
        <v>51133</v>
      </c>
      <c r="O2409" t="s">
        <v>4743</v>
      </c>
      <c r="P2409" t="s">
        <v>4140</v>
      </c>
      <c r="R2409">
        <v>45</v>
      </c>
      <c r="S2409">
        <v>498</v>
      </c>
      <c r="T2409">
        <v>120</v>
      </c>
      <c r="V2409">
        <v>671</v>
      </c>
    </row>
    <row r="2410" spans="1:22">
      <c r="A2410" s="32" t="s">
        <v>4879</v>
      </c>
      <c r="B2410" s="32" t="s">
        <v>4743</v>
      </c>
      <c r="C2410" s="32" t="s">
        <v>1205</v>
      </c>
      <c r="D2410" s="33">
        <v>0</v>
      </c>
      <c r="E2410" s="33">
        <v>141</v>
      </c>
      <c r="F2410" s="33">
        <v>1128</v>
      </c>
      <c r="G2410" s="33">
        <v>445</v>
      </c>
      <c r="H2410" s="33">
        <v>20</v>
      </c>
      <c r="I2410" s="33">
        <v>1734</v>
      </c>
      <c r="K2410" t="b">
        <f>QHPSelections2016[[#This Row],[County Name]]=P2410</f>
        <v>0</v>
      </c>
      <c r="L2410" t="b">
        <f>QHPSelections2016[[#This Row],[Silver]]=S2410</f>
        <v>0</v>
      </c>
      <c r="N2410">
        <v>51720</v>
      </c>
      <c r="O2410" t="s">
        <v>4743</v>
      </c>
      <c r="P2410" t="s">
        <v>4937</v>
      </c>
      <c r="Q2410">
        <v>0</v>
      </c>
      <c r="S2410">
        <v>69</v>
      </c>
      <c r="V2410">
        <v>81</v>
      </c>
    </row>
    <row r="2411" spans="1:22">
      <c r="A2411" s="32" t="s">
        <v>4880</v>
      </c>
      <c r="B2411" s="32" t="s">
        <v>4743</v>
      </c>
      <c r="C2411" s="32" t="s">
        <v>1160</v>
      </c>
      <c r="D2411" s="33">
        <v>0</v>
      </c>
      <c r="E2411" s="33">
        <v>110</v>
      </c>
      <c r="F2411" s="33">
        <v>1978</v>
      </c>
      <c r="G2411" s="33">
        <v>425</v>
      </c>
      <c r="H2411" s="33">
        <v>26</v>
      </c>
      <c r="I2411" s="33">
        <v>2539</v>
      </c>
      <c r="K2411" t="b">
        <f>QHPSelections2016[[#This Row],[County Name]]=P2411</f>
        <v>0</v>
      </c>
      <c r="L2411" t="b">
        <f>QHPSelections2016[[#This Row],[Silver]]=S2411</f>
        <v>0</v>
      </c>
      <c r="N2411">
        <v>51135</v>
      </c>
      <c r="O2411" t="s">
        <v>4743</v>
      </c>
      <c r="P2411" t="s">
        <v>4841</v>
      </c>
      <c r="R2411">
        <v>34</v>
      </c>
      <c r="S2411">
        <v>432</v>
      </c>
      <c r="T2411">
        <v>100</v>
      </c>
      <c r="V2411">
        <v>571</v>
      </c>
    </row>
    <row r="2412" spans="1:22">
      <c r="A2412" s="32" t="s">
        <v>4881</v>
      </c>
      <c r="B2412" s="32" t="s">
        <v>4743</v>
      </c>
      <c r="C2412" s="32" t="s">
        <v>4163</v>
      </c>
      <c r="D2412" s="33" t="s">
        <v>1639</v>
      </c>
      <c r="E2412" s="33">
        <v>52</v>
      </c>
      <c r="F2412" s="33">
        <v>588</v>
      </c>
      <c r="G2412" s="33">
        <v>156</v>
      </c>
      <c r="H2412" s="33" t="s">
        <v>1639</v>
      </c>
      <c r="I2412" s="33">
        <v>809</v>
      </c>
      <c r="K2412" t="b">
        <f>QHPSelections2016[[#This Row],[County Name]]=P2412</f>
        <v>0</v>
      </c>
      <c r="L2412" t="b">
        <f>QHPSelections2016[[#This Row],[Silver]]=S2412</f>
        <v>0</v>
      </c>
      <c r="N2412">
        <v>51137</v>
      </c>
      <c r="O2412" t="s">
        <v>4743</v>
      </c>
      <c r="P2412" t="s">
        <v>1072</v>
      </c>
      <c r="Q2412">
        <v>15</v>
      </c>
      <c r="R2412">
        <v>108</v>
      </c>
      <c r="S2412" s="51">
        <v>1191</v>
      </c>
      <c r="T2412">
        <v>388</v>
      </c>
      <c r="U2412">
        <v>20</v>
      </c>
      <c r="V2412" s="51">
        <v>1722</v>
      </c>
    </row>
    <row r="2413" spans="1:22">
      <c r="A2413" s="32" t="s">
        <v>4882</v>
      </c>
      <c r="B2413" s="32" t="s">
        <v>4743</v>
      </c>
      <c r="C2413" s="32" t="s">
        <v>1415</v>
      </c>
      <c r="D2413" s="33">
        <v>0</v>
      </c>
      <c r="E2413" s="33">
        <v>62</v>
      </c>
      <c r="F2413" s="33">
        <v>993</v>
      </c>
      <c r="G2413" s="33">
        <v>120</v>
      </c>
      <c r="H2413" s="33">
        <v>17</v>
      </c>
      <c r="I2413" s="33">
        <v>1192</v>
      </c>
      <c r="K2413" t="b">
        <f>QHPSelections2016[[#This Row],[County Name]]=P2413</f>
        <v>0</v>
      </c>
      <c r="L2413" t="b">
        <f>QHPSelections2016[[#This Row],[Silver]]=S2413</f>
        <v>0</v>
      </c>
      <c r="N2413">
        <v>51139</v>
      </c>
      <c r="O2413" t="s">
        <v>4743</v>
      </c>
      <c r="P2413" t="s">
        <v>2250</v>
      </c>
      <c r="R2413">
        <v>53</v>
      </c>
      <c r="S2413">
        <v>930</v>
      </c>
      <c r="T2413">
        <v>183</v>
      </c>
      <c r="V2413" s="51">
        <v>1175</v>
      </c>
    </row>
    <row r="2414" spans="1:22">
      <c r="A2414" s="32" t="s">
        <v>4883</v>
      </c>
      <c r="B2414" s="32" t="s">
        <v>4743</v>
      </c>
      <c r="C2414" s="32" t="s">
        <v>4884</v>
      </c>
      <c r="D2414" s="33">
        <v>0</v>
      </c>
      <c r="E2414" s="33">
        <v>62</v>
      </c>
      <c r="F2414" s="33">
        <v>821</v>
      </c>
      <c r="G2414" s="33">
        <v>156</v>
      </c>
      <c r="H2414" s="33">
        <v>23</v>
      </c>
      <c r="I2414" s="33">
        <v>1062</v>
      </c>
      <c r="K2414" t="b">
        <f>QHPSelections2016[[#This Row],[County Name]]=P2414</f>
        <v>0</v>
      </c>
      <c r="L2414" t="b">
        <f>QHPSelections2016[[#This Row],[Silver]]=S2414</f>
        <v>0</v>
      </c>
      <c r="N2414">
        <v>51141</v>
      </c>
      <c r="O2414" t="s">
        <v>4743</v>
      </c>
      <c r="P2414" t="s">
        <v>4845</v>
      </c>
      <c r="Q2414">
        <v>0</v>
      </c>
      <c r="R2414">
        <v>27</v>
      </c>
      <c r="S2414">
        <v>706</v>
      </c>
      <c r="T2414">
        <v>172</v>
      </c>
      <c r="U2414">
        <v>17</v>
      </c>
      <c r="V2414">
        <v>922</v>
      </c>
    </row>
    <row r="2415" spans="1:22">
      <c r="A2415" s="32" t="s">
        <v>4885</v>
      </c>
      <c r="B2415" s="32" t="s">
        <v>4743</v>
      </c>
      <c r="C2415" s="32" t="s">
        <v>2818</v>
      </c>
      <c r="D2415" s="33">
        <v>0</v>
      </c>
      <c r="E2415" s="33">
        <v>167</v>
      </c>
      <c r="F2415" s="33">
        <v>1618</v>
      </c>
      <c r="G2415" s="33">
        <v>510</v>
      </c>
      <c r="H2415" s="33">
        <v>46</v>
      </c>
      <c r="I2415" s="33">
        <v>2341</v>
      </c>
      <c r="K2415" t="b">
        <f>QHPSelections2016[[#This Row],[County Name]]=P2415</f>
        <v>0</v>
      </c>
      <c r="L2415" t="b">
        <f>QHPSelections2016[[#This Row],[Silver]]=S2415</f>
        <v>0</v>
      </c>
      <c r="N2415">
        <v>51730</v>
      </c>
      <c r="O2415" t="s">
        <v>4743</v>
      </c>
      <c r="P2415" t="s">
        <v>4939</v>
      </c>
      <c r="Q2415">
        <v>0</v>
      </c>
      <c r="R2415">
        <v>81</v>
      </c>
      <c r="S2415">
        <v>904</v>
      </c>
      <c r="T2415">
        <v>248</v>
      </c>
      <c r="U2415">
        <v>30</v>
      </c>
      <c r="V2415" s="51">
        <v>1263</v>
      </c>
    </row>
    <row r="2416" spans="1:22">
      <c r="A2416" s="32" t="s">
        <v>4886</v>
      </c>
      <c r="B2416" s="32" t="s">
        <v>4743</v>
      </c>
      <c r="C2416" s="32" t="s">
        <v>4887</v>
      </c>
      <c r="D2416" s="33">
        <v>86</v>
      </c>
      <c r="E2416" s="33">
        <v>659</v>
      </c>
      <c r="F2416" s="33">
        <v>5686</v>
      </c>
      <c r="G2416" s="33">
        <v>2249</v>
      </c>
      <c r="H2416" s="33">
        <v>182</v>
      </c>
      <c r="I2416" s="33">
        <v>8862</v>
      </c>
      <c r="K2416" t="b">
        <f>QHPSelections2016[[#This Row],[County Name]]=P2416</f>
        <v>0</v>
      </c>
      <c r="L2416" t="b">
        <f>QHPSelections2016[[#This Row],[Silver]]=S2416</f>
        <v>0</v>
      </c>
      <c r="N2416">
        <v>51143</v>
      </c>
      <c r="O2416" t="s">
        <v>4743</v>
      </c>
      <c r="P2416" t="s">
        <v>4847</v>
      </c>
      <c r="Q2416">
        <v>0</v>
      </c>
      <c r="R2416">
        <v>216</v>
      </c>
      <c r="S2416" s="51">
        <v>2937</v>
      </c>
      <c r="T2416">
        <v>817</v>
      </c>
      <c r="U2416">
        <v>51</v>
      </c>
      <c r="V2416" s="51">
        <v>4021</v>
      </c>
    </row>
    <row r="2417" spans="1:22">
      <c r="A2417" s="32" t="s">
        <v>4888</v>
      </c>
      <c r="B2417" s="32" t="s">
        <v>4743</v>
      </c>
      <c r="C2417" s="32" t="s">
        <v>4889</v>
      </c>
      <c r="D2417" s="33">
        <v>0</v>
      </c>
      <c r="E2417" s="33" t="s">
        <v>1639</v>
      </c>
      <c r="F2417" s="33">
        <v>104</v>
      </c>
      <c r="G2417" s="33">
        <v>30</v>
      </c>
      <c r="H2417" s="33" t="s">
        <v>1639</v>
      </c>
      <c r="I2417" s="33">
        <v>141</v>
      </c>
      <c r="K2417" t="b">
        <f>QHPSelections2016[[#This Row],[County Name]]=P2417</f>
        <v>0</v>
      </c>
      <c r="L2417" t="b">
        <f>QHPSelections2016[[#This Row],[Silver]]=S2417</f>
        <v>0</v>
      </c>
      <c r="N2417">
        <v>51735</v>
      </c>
      <c r="O2417" t="s">
        <v>4743</v>
      </c>
      <c r="P2417" t="s">
        <v>4941</v>
      </c>
      <c r="R2417">
        <v>30</v>
      </c>
      <c r="S2417">
        <v>313</v>
      </c>
      <c r="T2417">
        <v>89</v>
      </c>
      <c r="V2417">
        <v>439</v>
      </c>
    </row>
    <row r="2418" spans="1:22">
      <c r="A2418" s="32" t="s">
        <v>4890</v>
      </c>
      <c r="B2418" s="32" t="s">
        <v>4743</v>
      </c>
      <c r="C2418" s="32" t="s">
        <v>4891</v>
      </c>
      <c r="D2418" s="33" t="s">
        <v>1639</v>
      </c>
      <c r="E2418" s="33">
        <v>28</v>
      </c>
      <c r="F2418" s="33">
        <v>521</v>
      </c>
      <c r="G2418" s="33">
        <v>115</v>
      </c>
      <c r="H2418" s="33" t="s">
        <v>1639</v>
      </c>
      <c r="I2418" s="33">
        <v>674</v>
      </c>
      <c r="K2418" t="b">
        <f>QHPSelections2016[[#This Row],[County Name]]=P2418</f>
        <v>0</v>
      </c>
      <c r="L2418" t="b">
        <f>QHPSelections2016[[#This Row],[Silver]]=S2418</f>
        <v>0</v>
      </c>
      <c r="N2418">
        <v>51740</v>
      </c>
      <c r="O2418" t="s">
        <v>4743</v>
      </c>
      <c r="P2418" t="s">
        <v>4943</v>
      </c>
      <c r="Q2418">
        <v>0</v>
      </c>
      <c r="R2418">
        <v>159</v>
      </c>
      <c r="S2418" s="51">
        <v>2526</v>
      </c>
      <c r="T2418">
        <v>821</v>
      </c>
      <c r="U2418">
        <v>67</v>
      </c>
      <c r="V2418" s="51">
        <v>3573</v>
      </c>
    </row>
    <row r="2419" spans="1:22">
      <c r="A2419" s="32" t="s">
        <v>4892</v>
      </c>
      <c r="B2419" s="32" t="s">
        <v>4743</v>
      </c>
      <c r="C2419" s="32" t="s">
        <v>4893</v>
      </c>
      <c r="D2419" s="33">
        <v>0</v>
      </c>
      <c r="E2419" s="33" t="s">
        <v>1639</v>
      </c>
      <c r="F2419" s="33">
        <v>146</v>
      </c>
      <c r="G2419" s="33">
        <v>30</v>
      </c>
      <c r="H2419" s="33" t="s">
        <v>1639</v>
      </c>
      <c r="I2419" s="33">
        <v>187</v>
      </c>
      <c r="K2419" t="b">
        <f>QHPSelections2016[[#This Row],[County Name]]=P2419</f>
        <v>0</v>
      </c>
      <c r="L2419" t="b">
        <f>QHPSelections2016[[#This Row],[Silver]]=S2419</f>
        <v>0</v>
      </c>
      <c r="N2419">
        <v>51145</v>
      </c>
      <c r="O2419" t="s">
        <v>4743</v>
      </c>
      <c r="P2419" t="s">
        <v>4849</v>
      </c>
      <c r="Q2419">
        <v>0</v>
      </c>
      <c r="R2419">
        <v>144</v>
      </c>
      <c r="S2419" s="51">
        <v>1046</v>
      </c>
      <c r="T2419">
        <v>314</v>
      </c>
      <c r="U2419">
        <v>24</v>
      </c>
      <c r="V2419" s="51">
        <v>1528</v>
      </c>
    </row>
    <row r="2420" spans="1:22">
      <c r="A2420" s="32" t="s">
        <v>4894</v>
      </c>
      <c r="B2420" s="32" t="s">
        <v>4743</v>
      </c>
      <c r="C2420" s="32" t="s">
        <v>4895</v>
      </c>
      <c r="D2420" s="33">
        <v>0</v>
      </c>
      <c r="E2420" s="33">
        <v>206</v>
      </c>
      <c r="F2420" s="33">
        <v>1729</v>
      </c>
      <c r="G2420" s="33">
        <v>843</v>
      </c>
      <c r="H2420" s="33">
        <v>140</v>
      </c>
      <c r="I2420" s="33">
        <v>2918</v>
      </c>
      <c r="K2420" t="b">
        <f>QHPSelections2016[[#This Row],[County Name]]=P2420</f>
        <v>0</v>
      </c>
      <c r="L2420" t="b">
        <f>QHPSelections2016[[#This Row],[Silver]]=S2420</f>
        <v>0</v>
      </c>
      <c r="N2420">
        <v>51147</v>
      </c>
      <c r="O2420" t="s">
        <v>4743</v>
      </c>
      <c r="P2420" t="s">
        <v>4851</v>
      </c>
      <c r="Q2420">
        <v>0</v>
      </c>
      <c r="R2420">
        <v>25</v>
      </c>
      <c r="S2420">
        <v>668</v>
      </c>
      <c r="T2420">
        <v>183</v>
      </c>
      <c r="U2420">
        <v>11</v>
      </c>
      <c r="V2420">
        <v>887</v>
      </c>
    </row>
    <row r="2421" spans="1:22">
      <c r="A2421" s="32" t="s">
        <v>4896</v>
      </c>
      <c r="B2421" s="32" t="s">
        <v>4743</v>
      </c>
      <c r="C2421" s="32" t="s">
        <v>4897</v>
      </c>
      <c r="D2421" s="33">
        <v>0</v>
      </c>
      <c r="E2421" s="33">
        <v>572</v>
      </c>
      <c r="F2421" s="33">
        <v>6567</v>
      </c>
      <c r="G2421" s="33">
        <v>1840</v>
      </c>
      <c r="H2421" s="33">
        <v>148</v>
      </c>
      <c r="I2421" s="33">
        <v>9127</v>
      </c>
      <c r="K2421" t="b">
        <f>QHPSelections2016[[#This Row],[County Name]]=P2421</f>
        <v>0</v>
      </c>
      <c r="L2421" t="b">
        <f>QHPSelections2016[[#This Row],[Silver]]=S2421</f>
        <v>0</v>
      </c>
      <c r="N2421">
        <v>51149</v>
      </c>
      <c r="O2421" t="s">
        <v>4743</v>
      </c>
      <c r="P2421" t="s">
        <v>4853</v>
      </c>
      <c r="Q2421">
        <v>0</v>
      </c>
      <c r="R2421">
        <v>106</v>
      </c>
      <c r="S2421">
        <v>670</v>
      </c>
      <c r="T2421">
        <v>178</v>
      </c>
      <c r="U2421">
        <v>24</v>
      </c>
      <c r="V2421">
        <v>978</v>
      </c>
    </row>
    <row r="2422" spans="1:22">
      <c r="A2422" s="32" t="s">
        <v>4898</v>
      </c>
      <c r="B2422" s="32" t="s">
        <v>4743</v>
      </c>
      <c r="C2422" s="32" t="s">
        <v>4899</v>
      </c>
      <c r="D2422" s="33">
        <v>0</v>
      </c>
      <c r="E2422" s="33">
        <v>51</v>
      </c>
      <c r="F2422" s="33">
        <v>625</v>
      </c>
      <c r="G2422" s="33">
        <v>174</v>
      </c>
      <c r="H2422" s="33">
        <v>18</v>
      </c>
      <c r="I2422" s="33">
        <v>868</v>
      </c>
      <c r="K2422" t="b">
        <f>QHPSelections2016[[#This Row],[County Name]]=P2422</f>
        <v>0</v>
      </c>
      <c r="L2422" t="b">
        <f>QHPSelections2016[[#This Row],[Silver]]=S2422</f>
        <v>0</v>
      </c>
      <c r="N2422">
        <v>51153</v>
      </c>
      <c r="O2422" t="s">
        <v>4743</v>
      </c>
      <c r="P2422" t="s">
        <v>4855</v>
      </c>
      <c r="Q2422">
        <v>303</v>
      </c>
      <c r="R2422" s="51">
        <v>1693</v>
      </c>
      <c r="S2422" s="51">
        <v>19103</v>
      </c>
      <c r="T2422" s="51">
        <v>6217</v>
      </c>
      <c r="U2422">
        <v>432</v>
      </c>
      <c r="V2422" s="51">
        <v>27748</v>
      </c>
    </row>
    <row r="2423" spans="1:22">
      <c r="A2423" s="32" t="s">
        <v>4900</v>
      </c>
      <c r="B2423" s="32" t="s">
        <v>4743</v>
      </c>
      <c r="C2423" s="32" t="s">
        <v>4901</v>
      </c>
      <c r="D2423" s="33" t="s">
        <v>1639</v>
      </c>
      <c r="E2423" s="33">
        <v>14</v>
      </c>
      <c r="F2423" s="33">
        <v>170</v>
      </c>
      <c r="G2423" s="33">
        <v>18</v>
      </c>
      <c r="H2423" s="33" t="s">
        <v>1639</v>
      </c>
      <c r="I2423" s="33">
        <v>205</v>
      </c>
      <c r="K2423" t="b">
        <f>QHPSelections2016[[#This Row],[County Name]]=P2423</f>
        <v>0</v>
      </c>
      <c r="L2423" t="b">
        <f>QHPSelections2016[[#This Row],[Silver]]=S2423</f>
        <v>0</v>
      </c>
      <c r="N2423">
        <v>51155</v>
      </c>
      <c r="O2423" t="s">
        <v>4743</v>
      </c>
      <c r="P2423" t="s">
        <v>1290</v>
      </c>
      <c r="Q2423">
        <v>0</v>
      </c>
      <c r="R2423">
        <v>81</v>
      </c>
      <c r="S2423">
        <v>791</v>
      </c>
      <c r="T2423">
        <v>231</v>
      </c>
      <c r="U2423">
        <v>12</v>
      </c>
      <c r="V2423" s="51">
        <v>1115</v>
      </c>
    </row>
    <row r="2424" spans="1:22">
      <c r="A2424" s="32" t="s">
        <v>4902</v>
      </c>
      <c r="B2424" s="32" t="s">
        <v>4743</v>
      </c>
      <c r="C2424" s="32" t="s">
        <v>4903</v>
      </c>
      <c r="D2424" s="33">
        <v>0</v>
      </c>
      <c r="E2424" s="33">
        <v>64</v>
      </c>
      <c r="F2424" s="33">
        <v>1537</v>
      </c>
      <c r="G2424" s="33">
        <v>490</v>
      </c>
      <c r="H2424" s="33">
        <v>32</v>
      </c>
      <c r="I2424" s="33">
        <v>2123</v>
      </c>
      <c r="K2424" t="b">
        <f>QHPSelections2016[[#This Row],[County Name]]=P2424</f>
        <v>0</v>
      </c>
      <c r="L2424" t="b">
        <f>QHPSelections2016[[#This Row],[Silver]]=S2424</f>
        <v>0</v>
      </c>
      <c r="N2424">
        <v>51750</v>
      </c>
      <c r="O2424" t="s">
        <v>4743</v>
      </c>
      <c r="P2424" t="s">
        <v>4945</v>
      </c>
      <c r="Q2424">
        <v>0</v>
      </c>
      <c r="R2424">
        <v>14</v>
      </c>
      <c r="S2424">
        <v>333</v>
      </c>
      <c r="T2424">
        <v>115</v>
      </c>
      <c r="U2424">
        <v>16</v>
      </c>
      <c r="V2424">
        <v>478</v>
      </c>
    </row>
    <row r="2425" spans="1:22">
      <c r="A2425" s="32" t="s">
        <v>4904</v>
      </c>
      <c r="B2425" s="32" t="s">
        <v>4743</v>
      </c>
      <c r="C2425" s="32" t="s">
        <v>4905</v>
      </c>
      <c r="D2425" s="33" t="s">
        <v>1639</v>
      </c>
      <c r="E2425" s="33" t="s">
        <v>1639</v>
      </c>
      <c r="F2425" s="33">
        <v>72</v>
      </c>
      <c r="G2425" s="33" t="s">
        <v>1639</v>
      </c>
      <c r="H2425" s="33">
        <v>0</v>
      </c>
      <c r="I2425" s="33">
        <v>85</v>
      </c>
      <c r="K2425" t="b">
        <f>QHPSelections2016[[#This Row],[County Name]]=P2425</f>
        <v>0</v>
      </c>
      <c r="L2425" t="b">
        <f>QHPSelections2016[[#This Row],[Silver]]=S2425</f>
        <v>0</v>
      </c>
      <c r="N2425">
        <v>51157</v>
      </c>
      <c r="O2425" t="s">
        <v>4743</v>
      </c>
      <c r="P2425" t="s">
        <v>4858</v>
      </c>
      <c r="R2425">
        <v>49</v>
      </c>
      <c r="S2425">
        <v>417</v>
      </c>
      <c r="T2425">
        <v>119</v>
      </c>
      <c r="V2425">
        <v>589</v>
      </c>
    </row>
    <row r="2426" spans="1:22">
      <c r="A2426" s="32" t="s">
        <v>4906</v>
      </c>
      <c r="B2426" s="32" t="s">
        <v>4743</v>
      </c>
      <c r="C2426" s="32" t="s">
        <v>4907</v>
      </c>
      <c r="D2426" s="33">
        <v>13</v>
      </c>
      <c r="E2426" s="33">
        <v>142</v>
      </c>
      <c r="F2426" s="33">
        <v>938</v>
      </c>
      <c r="G2426" s="33">
        <v>459</v>
      </c>
      <c r="H2426" s="33">
        <v>24</v>
      </c>
      <c r="I2426" s="33">
        <v>1576</v>
      </c>
      <c r="K2426" t="b">
        <f>QHPSelections2016[[#This Row],[County Name]]=P2426</f>
        <v>0</v>
      </c>
      <c r="L2426" t="b">
        <f>QHPSelections2016[[#This Row],[Silver]]=S2426</f>
        <v>0</v>
      </c>
      <c r="N2426">
        <v>51760</v>
      </c>
      <c r="O2426" t="s">
        <v>4743</v>
      </c>
      <c r="P2426" t="s">
        <v>4947</v>
      </c>
      <c r="Q2426">
        <v>0</v>
      </c>
      <c r="R2426">
        <v>782</v>
      </c>
      <c r="S2426" s="51">
        <v>9318</v>
      </c>
      <c r="T2426" s="51">
        <v>3377</v>
      </c>
      <c r="U2426">
        <v>640</v>
      </c>
      <c r="V2426" s="51">
        <v>14117</v>
      </c>
    </row>
    <row r="2427" spans="1:22">
      <c r="A2427" s="32" t="s">
        <v>4908</v>
      </c>
      <c r="B2427" s="32" t="s">
        <v>4743</v>
      </c>
      <c r="C2427" s="32" t="s">
        <v>4909</v>
      </c>
      <c r="D2427" s="33" t="s">
        <v>1639</v>
      </c>
      <c r="E2427" s="33">
        <v>64</v>
      </c>
      <c r="F2427" s="33">
        <v>659</v>
      </c>
      <c r="G2427" s="33">
        <v>312</v>
      </c>
      <c r="H2427" s="33" t="s">
        <v>1639</v>
      </c>
      <c r="I2427" s="33">
        <v>1063</v>
      </c>
      <c r="K2427" t="b">
        <f>QHPSelections2016[[#This Row],[County Name]]=P2427</f>
        <v>0</v>
      </c>
      <c r="L2427" t="b">
        <f>QHPSelections2016[[#This Row],[Silver]]=S2427</f>
        <v>0</v>
      </c>
      <c r="N2427">
        <v>51159</v>
      </c>
      <c r="O2427" t="s">
        <v>4743</v>
      </c>
      <c r="P2427" t="s">
        <v>1210</v>
      </c>
      <c r="R2427">
        <v>43</v>
      </c>
      <c r="S2427">
        <v>296</v>
      </c>
      <c r="T2427">
        <v>67</v>
      </c>
      <c r="V2427">
        <v>411</v>
      </c>
    </row>
    <row r="2428" spans="1:22">
      <c r="A2428" s="32" t="s">
        <v>4910</v>
      </c>
      <c r="B2428" s="32" t="s">
        <v>4743</v>
      </c>
      <c r="C2428" s="32" t="s">
        <v>4911</v>
      </c>
      <c r="D2428" s="33" t="s">
        <v>1639</v>
      </c>
      <c r="E2428" s="33">
        <v>16</v>
      </c>
      <c r="F2428" s="33">
        <v>231</v>
      </c>
      <c r="G2428" s="33">
        <v>65</v>
      </c>
      <c r="H2428" s="33" t="s">
        <v>1639</v>
      </c>
      <c r="I2428" s="33">
        <v>316</v>
      </c>
      <c r="K2428" t="b">
        <f>QHPSelections2016[[#This Row],[County Name]]=P2428</f>
        <v>0</v>
      </c>
      <c r="L2428" t="b">
        <f>QHPSelections2016[[#This Row],[Silver]]=S2428</f>
        <v>0</v>
      </c>
      <c r="N2428">
        <v>51770</v>
      </c>
      <c r="O2428" t="s">
        <v>4743</v>
      </c>
      <c r="P2428" t="s">
        <v>4949</v>
      </c>
      <c r="Q2428">
        <v>0</v>
      </c>
      <c r="R2428">
        <v>161</v>
      </c>
      <c r="S2428" s="51">
        <v>3045</v>
      </c>
      <c r="T2428" s="51">
        <v>1129</v>
      </c>
      <c r="U2428">
        <v>89</v>
      </c>
      <c r="V2428" s="51">
        <v>4424</v>
      </c>
    </row>
    <row r="2429" spans="1:22">
      <c r="A2429" s="32" t="s">
        <v>4912</v>
      </c>
      <c r="B2429" s="32" t="s">
        <v>4743</v>
      </c>
      <c r="C2429" s="32" t="s">
        <v>4913</v>
      </c>
      <c r="D2429" s="33">
        <v>19</v>
      </c>
      <c r="E2429" s="33">
        <v>61</v>
      </c>
      <c r="F2429" s="33">
        <v>842</v>
      </c>
      <c r="G2429" s="33">
        <v>303</v>
      </c>
      <c r="H2429" s="33">
        <v>30</v>
      </c>
      <c r="I2429" s="33">
        <v>1255</v>
      </c>
      <c r="K2429" t="b">
        <f>QHPSelections2016[[#This Row],[County Name]]=P2429</f>
        <v>0</v>
      </c>
      <c r="L2429" t="b">
        <f>QHPSelections2016[[#This Row],[Silver]]=S2429</f>
        <v>0</v>
      </c>
      <c r="N2429">
        <v>51161</v>
      </c>
      <c r="O2429" t="s">
        <v>4743</v>
      </c>
      <c r="P2429" t="s">
        <v>4861</v>
      </c>
      <c r="Q2429">
        <v>0</v>
      </c>
      <c r="R2429">
        <v>221</v>
      </c>
      <c r="S2429" s="51">
        <v>3403</v>
      </c>
      <c r="T2429" s="51">
        <v>1086</v>
      </c>
      <c r="U2429">
        <v>65</v>
      </c>
      <c r="V2429" s="51">
        <v>4775</v>
      </c>
    </row>
    <row r="2430" spans="1:22">
      <c r="A2430" s="32" t="s">
        <v>4914</v>
      </c>
      <c r="B2430" s="32" t="s">
        <v>4743</v>
      </c>
      <c r="C2430" s="32" t="s">
        <v>4915</v>
      </c>
      <c r="D2430" s="33">
        <v>0</v>
      </c>
      <c r="E2430" s="33" t="s">
        <v>1639</v>
      </c>
      <c r="F2430" s="33">
        <v>188</v>
      </c>
      <c r="G2430" s="33">
        <v>50</v>
      </c>
      <c r="H2430" s="33" t="s">
        <v>1639</v>
      </c>
      <c r="I2430" s="33">
        <v>249</v>
      </c>
      <c r="K2430" t="b">
        <f>QHPSelections2016[[#This Row],[County Name]]=P2430</f>
        <v>0</v>
      </c>
      <c r="L2430" t="b">
        <f>QHPSelections2016[[#This Row],[Silver]]=S2430</f>
        <v>0</v>
      </c>
      <c r="N2430">
        <v>51163</v>
      </c>
      <c r="O2430" t="s">
        <v>4743</v>
      </c>
      <c r="P2430" t="s">
        <v>4863</v>
      </c>
      <c r="R2430">
        <v>68</v>
      </c>
      <c r="S2430" s="51">
        <v>1148</v>
      </c>
      <c r="T2430">
        <v>291</v>
      </c>
      <c r="V2430" s="51">
        <v>1515</v>
      </c>
    </row>
    <row r="2431" spans="1:22">
      <c r="A2431" s="32" t="s">
        <v>4916</v>
      </c>
      <c r="B2431" s="32" t="s">
        <v>4743</v>
      </c>
      <c r="C2431" s="32" t="s">
        <v>4917</v>
      </c>
      <c r="D2431" s="33">
        <v>0</v>
      </c>
      <c r="E2431" s="33">
        <v>200</v>
      </c>
      <c r="F2431" s="33">
        <v>3814</v>
      </c>
      <c r="G2431" s="33">
        <v>1171</v>
      </c>
      <c r="H2431" s="33">
        <v>127</v>
      </c>
      <c r="I2431" s="33">
        <v>5312</v>
      </c>
      <c r="K2431" t="b">
        <f>QHPSelections2016[[#This Row],[County Name]]=P2431</f>
        <v>0</v>
      </c>
      <c r="L2431" t="b">
        <f>QHPSelections2016[[#This Row],[Silver]]=S2431</f>
        <v>0</v>
      </c>
      <c r="N2431">
        <v>51165</v>
      </c>
      <c r="O2431" t="s">
        <v>4743</v>
      </c>
      <c r="P2431" t="s">
        <v>1217</v>
      </c>
      <c r="Q2431">
        <v>0</v>
      </c>
      <c r="R2431">
        <v>167</v>
      </c>
      <c r="S2431" s="51">
        <v>2709</v>
      </c>
      <c r="T2431">
        <v>853</v>
      </c>
      <c r="U2431">
        <v>36</v>
      </c>
      <c r="V2431" s="51">
        <v>3765</v>
      </c>
    </row>
    <row r="2432" spans="1:22">
      <c r="A2432" s="32" t="s">
        <v>4918</v>
      </c>
      <c r="B2432" s="32" t="s">
        <v>4743</v>
      </c>
      <c r="C2432" s="32" t="s">
        <v>4919</v>
      </c>
      <c r="D2432" s="33">
        <v>0</v>
      </c>
      <c r="E2432" s="33">
        <v>69</v>
      </c>
      <c r="F2432" s="33">
        <v>1143</v>
      </c>
      <c r="G2432" s="33">
        <v>366</v>
      </c>
      <c r="H2432" s="33">
        <v>32</v>
      </c>
      <c r="I2432" s="33">
        <v>1610</v>
      </c>
      <c r="K2432" t="b">
        <f>QHPSelections2016[[#This Row],[County Name]]=P2432</f>
        <v>0</v>
      </c>
      <c r="L2432" t="b">
        <f>QHPSelections2016[[#This Row],[Silver]]=S2432</f>
        <v>0</v>
      </c>
      <c r="N2432">
        <v>51167</v>
      </c>
      <c r="O2432" t="s">
        <v>4743</v>
      </c>
      <c r="P2432" t="s">
        <v>1119</v>
      </c>
      <c r="R2432">
        <v>76</v>
      </c>
      <c r="S2432">
        <v>748</v>
      </c>
      <c r="T2432">
        <v>128</v>
      </c>
      <c r="V2432">
        <v>958</v>
      </c>
    </row>
    <row r="2433" spans="1:22">
      <c r="A2433" s="32" t="s">
        <v>4920</v>
      </c>
      <c r="B2433" s="32" t="s">
        <v>4743</v>
      </c>
      <c r="C2433" s="32" t="s">
        <v>4921</v>
      </c>
      <c r="D2433" s="33">
        <v>0</v>
      </c>
      <c r="E2433" s="33">
        <v>34</v>
      </c>
      <c r="F2433" s="33">
        <v>580</v>
      </c>
      <c r="G2433" s="33">
        <v>175</v>
      </c>
      <c r="H2433" s="33">
        <v>15</v>
      </c>
      <c r="I2433" s="33">
        <v>804</v>
      </c>
      <c r="K2433" t="b">
        <f>QHPSelections2016[[#This Row],[County Name]]=P2433</f>
        <v>0</v>
      </c>
      <c r="L2433" t="b">
        <f>QHPSelections2016[[#This Row],[Silver]]=S2433</f>
        <v>0</v>
      </c>
      <c r="N2433">
        <v>51775</v>
      </c>
      <c r="O2433" t="s">
        <v>4743</v>
      </c>
      <c r="P2433" t="s">
        <v>4951</v>
      </c>
      <c r="Q2433">
        <v>0</v>
      </c>
      <c r="R2433">
        <v>58</v>
      </c>
      <c r="S2433">
        <v>776</v>
      </c>
      <c r="T2433">
        <v>239</v>
      </c>
      <c r="U2433">
        <v>17</v>
      </c>
      <c r="V2433" s="51">
        <v>1090</v>
      </c>
    </row>
    <row r="2434" spans="1:22">
      <c r="A2434" s="32" t="s">
        <v>4922</v>
      </c>
      <c r="B2434" s="32" t="s">
        <v>4743</v>
      </c>
      <c r="C2434" s="32" t="s">
        <v>4923</v>
      </c>
      <c r="D2434" s="33">
        <v>0</v>
      </c>
      <c r="E2434" s="33" t="s">
        <v>1639</v>
      </c>
      <c r="F2434" s="33">
        <v>116</v>
      </c>
      <c r="G2434" s="33">
        <v>49</v>
      </c>
      <c r="H2434" s="33" t="s">
        <v>1639</v>
      </c>
      <c r="I2434" s="33">
        <v>177</v>
      </c>
      <c r="K2434" t="b">
        <f>QHPSelections2016[[#This Row],[County Name]]=P2434</f>
        <v>0</v>
      </c>
      <c r="L2434" t="b">
        <f>QHPSelections2016[[#This Row],[Silver]]=S2434</f>
        <v>0</v>
      </c>
      <c r="N2434">
        <v>51169</v>
      </c>
      <c r="O2434" t="s">
        <v>4743</v>
      </c>
      <c r="P2434" t="s">
        <v>1146</v>
      </c>
      <c r="R2434">
        <v>32</v>
      </c>
      <c r="S2434">
        <v>514</v>
      </c>
      <c r="T2434">
        <v>96</v>
      </c>
      <c r="V2434">
        <v>651</v>
      </c>
    </row>
    <row r="2435" spans="1:22">
      <c r="A2435" s="32" t="s">
        <v>4924</v>
      </c>
      <c r="B2435" s="32" t="s">
        <v>4743</v>
      </c>
      <c r="C2435" s="32" t="s">
        <v>4925</v>
      </c>
      <c r="D2435" s="33">
        <v>0</v>
      </c>
      <c r="E2435" s="33">
        <v>127</v>
      </c>
      <c r="F2435" s="33">
        <v>2217</v>
      </c>
      <c r="G2435" s="33">
        <v>802</v>
      </c>
      <c r="H2435" s="33">
        <v>63</v>
      </c>
      <c r="I2435" s="33">
        <v>3209</v>
      </c>
      <c r="K2435" t="b">
        <f>QHPSelections2016[[#This Row],[County Name]]=P2435</f>
        <v>0</v>
      </c>
      <c r="L2435" t="b">
        <f>QHPSelections2016[[#This Row],[Silver]]=S2435</f>
        <v>0</v>
      </c>
      <c r="N2435">
        <v>51171</v>
      </c>
      <c r="O2435" t="s">
        <v>4743</v>
      </c>
      <c r="P2435" t="s">
        <v>4868</v>
      </c>
      <c r="Q2435">
        <v>0</v>
      </c>
      <c r="R2435">
        <v>105</v>
      </c>
      <c r="S2435" s="51">
        <v>1487</v>
      </c>
      <c r="T2435">
        <v>419</v>
      </c>
      <c r="U2435">
        <v>27</v>
      </c>
      <c r="V2435" s="51">
        <v>2038</v>
      </c>
    </row>
    <row r="2436" spans="1:22">
      <c r="A2436" s="32" t="s">
        <v>4926</v>
      </c>
      <c r="B2436" s="32" t="s">
        <v>4743</v>
      </c>
      <c r="C2436" s="32" t="s">
        <v>4927</v>
      </c>
      <c r="D2436" s="33">
        <v>17</v>
      </c>
      <c r="E2436" s="33">
        <v>138</v>
      </c>
      <c r="F2436" s="33">
        <v>1464</v>
      </c>
      <c r="G2436" s="33">
        <v>515</v>
      </c>
      <c r="H2436" s="33">
        <v>44</v>
      </c>
      <c r="I2436" s="33">
        <v>2178</v>
      </c>
      <c r="K2436" t="b">
        <f>QHPSelections2016[[#This Row],[County Name]]=P2436</f>
        <v>0</v>
      </c>
      <c r="L2436" t="b">
        <f>QHPSelections2016[[#This Row],[Silver]]=S2436</f>
        <v>0</v>
      </c>
      <c r="N2436">
        <v>51173</v>
      </c>
      <c r="O2436" t="s">
        <v>4743</v>
      </c>
      <c r="P2436" t="s">
        <v>4870</v>
      </c>
      <c r="R2436">
        <v>52</v>
      </c>
      <c r="S2436">
        <v>972</v>
      </c>
      <c r="T2436">
        <v>145</v>
      </c>
      <c r="V2436" s="51">
        <v>1179</v>
      </c>
    </row>
    <row r="2437" spans="1:22">
      <c r="A2437" s="32" t="s">
        <v>4928</v>
      </c>
      <c r="B2437" s="32" t="s">
        <v>4743</v>
      </c>
      <c r="C2437" s="32" t="s">
        <v>4929</v>
      </c>
      <c r="D2437" s="33" t="s">
        <v>1639</v>
      </c>
      <c r="E2437" s="33">
        <v>48</v>
      </c>
      <c r="F2437" s="33">
        <v>781</v>
      </c>
      <c r="G2437" s="33">
        <v>238</v>
      </c>
      <c r="H2437" s="33" t="s">
        <v>1639</v>
      </c>
      <c r="I2437" s="33">
        <v>1082</v>
      </c>
      <c r="K2437" t="b">
        <f>QHPSelections2016[[#This Row],[County Name]]=P2437</f>
        <v>0</v>
      </c>
      <c r="L2437" t="b">
        <f>QHPSelections2016[[#This Row],[Silver]]=S2437</f>
        <v>0</v>
      </c>
      <c r="N2437">
        <v>51175</v>
      </c>
      <c r="O2437" t="s">
        <v>4743</v>
      </c>
      <c r="P2437" t="s">
        <v>4872</v>
      </c>
      <c r="Q2437">
        <v>0</v>
      </c>
      <c r="R2437">
        <v>59</v>
      </c>
      <c r="S2437">
        <v>506</v>
      </c>
      <c r="T2437">
        <v>122</v>
      </c>
      <c r="U2437">
        <v>11</v>
      </c>
      <c r="V2437">
        <v>698</v>
      </c>
    </row>
    <row r="2438" spans="1:22">
      <c r="A2438" s="32" t="s">
        <v>4930</v>
      </c>
      <c r="B2438" s="32" t="s">
        <v>4743</v>
      </c>
      <c r="C2438" s="32" t="s">
        <v>4931</v>
      </c>
      <c r="D2438" s="33">
        <v>0</v>
      </c>
      <c r="E2438" s="33">
        <v>26</v>
      </c>
      <c r="F2438" s="33">
        <v>618</v>
      </c>
      <c r="G2438" s="33">
        <v>197</v>
      </c>
      <c r="H2438" s="33">
        <v>17</v>
      </c>
      <c r="I2438" s="33">
        <v>858</v>
      </c>
      <c r="K2438" t="b">
        <f>QHPSelections2016[[#This Row],[County Name]]=P2438</f>
        <v>0</v>
      </c>
      <c r="L2438" t="b">
        <f>QHPSelections2016[[#This Row],[Silver]]=S2438</f>
        <v>0</v>
      </c>
      <c r="N2438">
        <v>51177</v>
      </c>
      <c r="O2438" t="s">
        <v>4743</v>
      </c>
      <c r="P2438" t="s">
        <v>4874</v>
      </c>
      <c r="Q2438">
        <v>35</v>
      </c>
      <c r="R2438">
        <v>412</v>
      </c>
      <c r="S2438" s="51">
        <v>4015</v>
      </c>
      <c r="T2438" s="51">
        <v>1173</v>
      </c>
      <c r="U2438">
        <v>87</v>
      </c>
      <c r="V2438" s="51">
        <v>5722</v>
      </c>
    </row>
    <row r="2439" spans="1:22">
      <c r="A2439" s="32" t="s">
        <v>4932</v>
      </c>
      <c r="B2439" s="32" t="s">
        <v>4743</v>
      </c>
      <c r="C2439" s="32" t="s">
        <v>4933</v>
      </c>
      <c r="D2439" s="33">
        <v>0</v>
      </c>
      <c r="E2439" s="33">
        <v>234</v>
      </c>
      <c r="F2439" s="33">
        <v>4892</v>
      </c>
      <c r="G2439" s="33">
        <v>1609</v>
      </c>
      <c r="H2439" s="33">
        <v>172</v>
      </c>
      <c r="I2439" s="33">
        <v>6907</v>
      </c>
      <c r="K2439" t="b">
        <f>QHPSelections2016[[#This Row],[County Name]]=P2439</f>
        <v>0</v>
      </c>
      <c r="L2439" t="b">
        <f>QHPSelections2016[[#This Row],[Silver]]=S2439</f>
        <v>0</v>
      </c>
      <c r="N2439">
        <v>51179</v>
      </c>
      <c r="O2439" t="s">
        <v>4743</v>
      </c>
      <c r="P2439" t="s">
        <v>2708</v>
      </c>
      <c r="Q2439">
        <v>67</v>
      </c>
      <c r="R2439">
        <v>433</v>
      </c>
      <c r="S2439" s="51">
        <v>3376</v>
      </c>
      <c r="T2439" s="51">
        <v>1228</v>
      </c>
      <c r="U2439">
        <v>100</v>
      </c>
      <c r="V2439" s="51">
        <v>5204</v>
      </c>
    </row>
    <row r="2440" spans="1:22">
      <c r="A2440" s="32" t="s">
        <v>4934</v>
      </c>
      <c r="B2440" s="32" t="s">
        <v>4743</v>
      </c>
      <c r="C2440" s="32" t="s">
        <v>4935</v>
      </c>
      <c r="D2440" s="33">
        <v>0</v>
      </c>
      <c r="E2440" s="33">
        <v>454</v>
      </c>
      <c r="F2440" s="33">
        <v>6251</v>
      </c>
      <c r="G2440" s="33">
        <v>2078</v>
      </c>
      <c r="H2440" s="33">
        <v>175</v>
      </c>
      <c r="I2440" s="33">
        <v>8958</v>
      </c>
      <c r="K2440" t="b">
        <f>QHPSelections2016[[#This Row],[County Name]]=P2440</f>
        <v>0</v>
      </c>
      <c r="L2440" t="b">
        <f>QHPSelections2016[[#This Row],[Silver]]=S2440</f>
        <v>0</v>
      </c>
      <c r="N2440">
        <v>51790</v>
      </c>
      <c r="O2440" t="s">
        <v>4743</v>
      </c>
      <c r="P2440" t="s">
        <v>4953</v>
      </c>
      <c r="Q2440">
        <v>0</v>
      </c>
      <c r="R2440">
        <v>46</v>
      </c>
      <c r="S2440">
        <v>761</v>
      </c>
      <c r="T2440">
        <v>280</v>
      </c>
      <c r="U2440">
        <v>31</v>
      </c>
      <c r="V2440" s="51">
        <v>1118</v>
      </c>
    </row>
    <row r="2441" spans="1:22">
      <c r="A2441" s="32" t="s">
        <v>4936</v>
      </c>
      <c r="B2441" s="32" t="s">
        <v>4743</v>
      </c>
      <c r="C2441" s="32" t="s">
        <v>4937</v>
      </c>
      <c r="D2441" s="33">
        <v>0</v>
      </c>
      <c r="E2441" s="33" t="s">
        <v>1639</v>
      </c>
      <c r="F2441" s="33">
        <v>69</v>
      </c>
      <c r="G2441" s="33" t="s">
        <v>1639</v>
      </c>
      <c r="H2441" s="33" t="s">
        <v>1639</v>
      </c>
      <c r="I2441" s="33">
        <v>81</v>
      </c>
      <c r="K2441" t="b">
        <f>QHPSelections2016[[#This Row],[County Name]]=P2441</f>
        <v>0</v>
      </c>
      <c r="L2441" t="b">
        <f>QHPSelections2016[[#This Row],[Silver]]=S2441</f>
        <v>0</v>
      </c>
      <c r="N2441">
        <v>51800</v>
      </c>
      <c r="O2441" t="s">
        <v>4743</v>
      </c>
      <c r="P2441" t="s">
        <v>4955</v>
      </c>
      <c r="Q2441">
        <v>0</v>
      </c>
      <c r="R2441">
        <v>182</v>
      </c>
      <c r="S2441" s="51">
        <v>2145</v>
      </c>
      <c r="T2441">
        <v>591</v>
      </c>
      <c r="U2441">
        <v>56</v>
      </c>
      <c r="V2441" s="51">
        <v>2974</v>
      </c>
    </row>
    <row r="2442" spans="1:22">
      <c r="A2442" s="32" t="s">
        <v>4938</v>
      </c>
      <c r="B2442" s="32" t="s">
        <v>4743</v>
      </c>
      <c r="C2442" s="32" t="s">
        <v>4939</v>
      </c>
      <c r="D2442" s="33">
        <v>0</v>
      </c>
      <c r="E2442" s="33">
        <v>81</v>
      </c>
      <c r="F2442" s="33">
        <v>904</v>
      </c>
      <c r="G2442" s="33">
        <v>248</v>
      </c>
      <c r="H2442" s="33">
        <v>30</v>
      </c>
      <c r="I2442" s="33">
        <v>1263</v>
      </c>
      <c r="K2442" t="b">
        <f>QHPSelections2016[[#This Row],[County Name]]=P2442</f>
        <v>0</v>
      </c>
      <c r="L2442" t="b">
        <f>QHPSelections2016[[#This Row],[Silver]]=S2442</f>
        <v>0</v>
      </c>
      <c r="N2442">
        <v>51181</v>
      </c>
      <c r="O2442" t="s">
        <v>4743</v>
      </c>
      <c r="P2442" t="s">
        <v>1239</v>
      </c>
      <c r="R2442">
        <v>26</v>
      </c>
      <c r="S2442">
        <v>265</v>
      </c>
      <c r="T2442">
        <v>84</v>
      </c>
      <c r="V2442">
        <v>379</v>
      </c>
    </row>
    <row r="2443" spans="1:22">
      <c r="A2443" s="32" t="s">
        <v>4940</v>
      </c>
      <c r="B2443" s="32" t="s">
        <v>4743</v>
      </c>
      <c r="C2443" s="32" t="s">
        <v>4941</v>
      </c>
      <c r="D2443" s="33" t="s">
        <v>1639</v>
      </c>
      <c r="E2443" s="33">
        <v>30</v>
      </c>
      <c r="F2443" s="33">
        <v>313</v>
      </c>
      <c r="G2443" s="33">
        <v>89</v>
      </c>
      <c r="H2443" s="33" t="s">
        <v>1639</v>
      </c>
      <c r="I2443" s="33">
        <v>439</v>
      </c>
      <c r="K2443" t="b">
        <f>QHPSelections2016[[#This Row],[County Name]]=P2443</f>
        <v>0</v>
      </c>
      <c r="L2443" t="b">
        <f>QHPSelections2016[[#This Row],[Silver]]=S2443</f>
        <v>0</v>
      </c>
      <c r="N2443">
        <v>51183</v>
      </c>
      <c r="O2443" t="s">
        <v>4743</v>
      </c>
      <c r="P2443" t="s">
        <v>1908</v>
      </c>
      <c r="R2443">
        <v>24</v>
      </c>
      <c r="S2443">
        <v>324</v>
      </c>
      <c r="T2443">
        <v>60</v>
      </c>
      <c r="V2443">
        <v>418</v>
      </c>
    </row>
    <row r="2444" spans="1:22">
      <c r="A2444" s="32" t="s">
        <v>4942</v>
      </c>
      <c r="B2444" s="32" t="s">
        <v>4743</v>
      </c>
      <c r="C2444" s="32" t="s">
        <v>4943</v>
      </c>
      <c r="D2444" s="33">
        <v>0</v>
      </c>
      <c r="E2444" s="33">
        <v>159</v>
      </c>
      <c r="F2444" s="33">
        <v>2526</v>
      </c>
      <c r="G2444" s="33">
        <v>821</v>
      </c>
      <c r="H2444" s="33">
        <v>67</v>
      </c>
      <c r="I2444" s="33">
        <v>3573</v>
      </c>
      <c r="K2444" t="b">
        <f>QHPSelections2016[[#This Row],[County Name]]=P2444</f>
        <v>0</v>
      </c>
      <c r="L2444" t="b">
        <f>QHPSelections2016[[#This Row],[Silver]]=S2444</f>
        <v>0</v>
      </c>
      <c r="N2444">
        <v>51185</v>
      </c>
      <c r="O2444" t="s">
        <v>4743</v>
      </c>
      <c r="P2444" t="s">
        <v>2416</v>
      </c>
      <c r="Q2444">
        <v>0</v>
      </c>
      <c r="R2444">
        <v>111</v>
      </c>
      <c r="S2444" s="51">
        <v>1051</v>
      </c>
      <c r="T2444">
        <v>248</v>
      </c>
      <c r="U2444">
        <v>15</v>
      </c>
      <c r="V2444" s="51">
        <v>1425</v>
      </c>
    </row>
    <row r="2445" spans="1:22">
      <c r="A2445" s="32" t="s">
        <v>4944</v>
      </c>
      <c r="B2445" s="32" t="s">
        <v>4743</v>
      </c>
      <c r="C2445" s="32" t="s">
        <v>4945</v>
      </c>
      <c r="D2445" s="33">
        <v>0</v>
      </c>
      <c r="E2445" s="33">
        <v>14</v>
      </c>
      <c r="F2445" s="33">
        <v>333</v>
      </c>
      <c r="G2445" s="33">
        <v>115</v>
      </c>
      <c r="H2445" s="33">
        <v>16</v>
      </c>
      <c r="I2445" s="33">
        <v>478</v>
      </c>
      <c r="K2445" t="b">
        <f>QHPSelections2016[[#This Row],[County Name]]=P2445</f>
        <v>0</v>
      </c>
      <c r="L2445" t="b">
        <f>QHPSelections2016[[#This Row],[Silver]]=S2445</f>
        <v>0</v>
      </c>
      <c r="N2445">
        <v>51810</v>
      </c>
      <c r="O2445" t="s">
        <v>4743</v>
      </c>
      <c r="P2445" t="s">
        <v>4957</v>
      </c>
      <c r="Q2445">
        <v>0</v>
      </c>
      <c r="R2445" s="51">
        <v>1293</v>
      </c>
      <c r="S2445" s="51">
        <v>15449</v>
      </c>
      <c r="T2445" s="51">
        <v>4656</v>
      </c>
      <c r="U2445">
        <v>309</v>
      </c>
      <c r="V2445" s="51">
        <v>21707</v>
      </c>
    </row>
    <row r="2446" spans="1:22">
      <c r="A2446" s="32" t="s">
        <v>4946</v>
      </c>
      <c r="B2446" s="32" t="s">
        <v>4743</v>
      </c>
      <c r="C2446" s="32" t="s">
        <v>4947</v>
      </c>
      <c r="D2446" s="33">
        <v>0</v>
      </c>
      <c r="E2446" s="33">
        <v>782</v>
      </c>
      <c r="F2446" s="33">
        <v>9318</v>
      </c>
      <c r="G2446" s="33">
        <v>3377</v>
      </c>
      <c r="H2446" s="33">
        <v>640</v>
      </c>
      <c r="I2446" s="33">
        <v>14117</v>
      </c>
      <c r="K2446" t="b">
        <f>QHPSelections2016[[#This Row],[County Name]]=P2446</f>
        <v>0</v>
      </c>
      <c r="L2446" t="b">
        <f>QHPSelections2016[[#This Row],[Silver]]=S2446</f>
        <v>0</v>
      </c>
      <c r="N2446">
        <v>51187</v>
      </c>
      <c r="O2446" t="s">
        <v>4743</v>
      </c>
      <c r="P2446" t="s">
        <v>1205</v>
      </c>
      <c r="Q2446">
        <v>0</v>
      </c>
      <c r="R2446">
        <v>141</v>
      </c>
      <c r="S2446" s="51">
        <v>1128</v>
      </c>
      <c r="T2446">
        <v>445</v>
      </c>
      <c r="U2446">
        <v>20</v>
      </c>
      <c r="V2446" s="51">
        <v>1734</v>
      </c>
    </row>
    <row r="2447" spans="1:22">
      <c r="A2447" s="32" t="s">
        <v>4948</v>
      </c>
      <c r="B2447" s="32" t="s">
        <v>4743</v>
      </c>
      <c r="C2447" s="32" t="s">
        <v>4949</v>
      </c>
      <c r="D2447" s="33">
        <v>0</v>
      </c>
      <c r="E2447" s="33">
        <v>161</v>
      </c>
      <c r="F2447" s="33">
        <v>3045</v>
      </c>
      <c r="G2447" s="33">
        <v>1129</v>
      </c>
      <c r="H2447" s="33">
        <v>89</v>
      </c>
      <c r="I2447" s="33">
        <v>4424</v>
      </c>
      <c r="K2447" t="b">
        <f>QHPSelections2016[[#This Row],[County Name]]=P2447</f>
        <v>0</v>
      </c>
      <c r="L2447" t="b">
        <f>QHPSelections2016[[#This Row],[Silver]]=S2447</f>
        <v>0</v>
      </c>
      <c r="N2447">
        <v>51191</v>
      </c>
      <c r="O2447" t="s">
        <v>4743</v>
      </c>
      <c r="P2447" t="s">
        <v>1160</v>
      </c>
      <c r="Q2447">
        <v>0</v>
      </c>
      <c r="R2447">
        <v>110</v>
      </c>
      <c r="S2447" s="51">
        <v>1978</v>
      </c>
      <c r="T2447">
        <v>425</v>
      </c>
      <c r="U2447">
        <v>26</v>
      </c>
      <c r="V2447" s="51">
        <v>2539</v>
      </c>
    </row>
    <row r="2448" spans="1:22">
      <c r="A2448" s="32" t="s">
        <v>4950</v>
      </c>
      <c r="B2448" s="32" t="s">
        <v>4743</v>
      </c>
      <c r="C2448" s="32" t="s">
        <v>4951</v>
      </c>
      <c r="D2448" s="33">
        <v>0</v>
      </c>
      <c r="E2448" s="33">
        <v>58</v>
      </c>
      <c r="F2448" s="33">
        <v>776</v>
      </c>
      <c r="G2448" s="33">
        <v>239</v>
      </c>
      <c r="H2448" s="33">
        <v>17</v>
      </c>
      <c r="I2448" s="33">
        <v>1090</v>
      </c>
      <c r="K2448" t="b">
        <f>QHPSelections2016[[#This Row],[County Name]]=P2448</f>
        <v>0</v>
      </c>
      <c r="L2448" t="b">
        <f>QHPSelections2016[[#This Row],[Silver]]=S2448</f>
        <v>0</v>
      </c>
      <c r="N2448">
        <v>51820</v>
      </c>
      <c r="O2448" t="s">
        <v>4743</v>
      </c>
      <c r="P2448" t="s">
        <v>4959</v>
      </c>
      <c r="Q2448">
        <v>0</v>
      </c>
      <c r="R2448">
        <v>49</v>
      </c>
      <c r="S2448">
        <v>551</v>
      </c>
      <c r="T2448">
        <v>203</v>
      </c>
      <c r="U2448">
        <v>17</v>
      </c>
      <c r="V2448">
        <v>820</v>
      </c>
    </row>
    <row r="2449" spans="1:22">
      <c r="A2449" s="32" t="s">
        <v>4952</v>
      </c>
      <c r="B2449" s="32" t="s">
        <v>4743</v>
      </c>
      <c r="C2449" s="32" t="s">
        <v>4953</v>
      </c>
      <c r="D2449" s="33">
        <v>0</v>
      </c>
      <c r="E2449" s="33">
        <v>46</v>
      </c>
      <c r="F2449" s="33">
        <v>761</v>
      </c>
      <c r="G2449" s="33">
        <v>280</v>
      </c>
      <c r="H2449" s="33">
        <v>31</v>
      </c>
      <c r="I2449" s="33">
        <v>1118</v>
      </c>
      <c r="K2449" t="b">
        <f>QHPSelections2016[[#This Row],[County Name]]=P2449</f>
        <v>0</v>
      </c>
      <c r="L2449" t="b">
        <f>QHPSelections2016[[#This Row],[Silver]]=S2449</f>
        <v>0</v>
      </c>
      <c r="N2449">
        <v>51193</v>
      </c>
      <c r="O2449" t="s">
        <v>4743</v>
      </c>
      <c r="P2449" t="s">
        <v>4163</v>
      </c>
      <c r="R2449">
        <v>52</v>
      </c>
      <c r="S2449">
        <v>588</v>
      </c>
      <c r="T2449">
        <v>156</v>
      </c>
      <c r="V2449">
        <v>809</v>
      </c>
    </row>
    <row r="2450" spans="1:22">
      <c r="A2450" s="32" t="s">
        <v>4954</v>
      </c>
      <c r="B2450" s="32" t="s">
        <v>4743</v>
      </c>
      <c r="C2450" s="32" t="s">
        <v>4955</v>
      </c>
      <c r="D2450" s="33">
        <v>0</v>
      </c>
      <c r="E2450" s="33">
        <v>182</v>
      </c>
      <c r="F2450" s="33">
        <v>2145</v>
      </c>
      <c r="G2450" s="33">
        <v>591</v>
      </c>
      <c r="H2450" s="33">
        <v>56</v>
      </c>
      <c r="I2450" s="33">
        <v>2974</v>
      </c>
      <c r="K2450" t="b">
        <f>QHPSelections2016[[#This Row],[County Name]]=P2450</f>
        <v>0</v>
      </c>
      <c r="L2450" t="b">
        <f>QHPSelections2016[[#This Row],[Silver]]=S2450</f>
        <v>0</v>
      </c>
      <c r="N2450">
        <v>51830</v>
      </c>
      <c r="O2450" t="s">
        <v>4743</v>
      </c>
      <c r="P2450" t="s">
        <v>4961</v>
      </c>
      <c r="Q2450">
        <v>0</v>
      </c>
      <c r="R2450">
        <v>22</v>
      </c>
      <c r="S2450">
        <v>388</v>
      </c>
      <c r="T2450">
        <v>111</v>
      </c>
      <c r="U2450">
        <v>11</v>
      </c>
      <c r="V2450">
        <v>532</v>
      </c>
    </row>
    <row r="2451" spans="1:22">
      <c r="A2451" s="32" t="s">
        <v>4956</v>
      </c>
      <c r="B2451" s="32" t="s">
        <v>4743</v>
      </c>
      <c r="C2451" s="32" t="s">
        <v>4957</v>
      </c>
      <c r="D2451" s="33">
        <v>0</v>
      </c>
      <c r="E2451" s="33">
        <v>1293</v>
      </c>
      <c r="F2451" s="33">
        <v>15449</v>
      </c>
      <c r="G2451" s="33">
        <v>4656</v>
      </c>
      <c r="H2451" s="33">
        <v>309</v>
      </c>
      <c r="I2451" s="33">
        <v>21707</v>
      </c>
      <c r="K2451" t="b">
        <f>QHPSelections2016[[#This Row],[County Name]]=P2451</f>
        <v>0</v>
      </c>
      <c r="L2451" t="b">
        <f>QHPSelections2016[[#This Row],[Silver]]=S2451</f>
        <v>0</v>
      </c>
      <c r="N2451">
        <v>51840</v>
      </c>
      <c r="O2451" t="s">
        <v>4743</v>
      </c>
      <c r="P2451" t="s">
        <v>4963</v>
      </c>
      <c r="Q2451">
        <v>0</v>
      </c>
      <c r="R2451">
        <v>76</v>
      </c>
      <c r="S2451">
        <v>807</v>
      </c>
      <c r="T2451">
        <v>313</v>
      </c>
      <c r="U2451">
        <v>20</v>
      </c>
      <c r="V2451" s="51">
        <v>1216</v>
      </c>
    </row>
    <row r="2452" spans="1:22">
      <c r="A2452" s="32" t="s">
        <v>4958</v>
      </c>
      <c r="B2452" s="32" t="s">
        <v>4743</v>
      </c>
      <c r="C2452" s="32" t="s">
        <v>4959</v>
      </c>
      <c r="D2452" s="33">
        <v>0</v>
      </c>
      <c r="E2452" s="33">
        <v>49</v>
      </c>
      <c r="F2452" s="33">
        <v>551</v>
      </c>
      <c r="G2452" s="33">
        <v>203</v>
      </c>
      <c r="H2452" s="33">
        <v>17</v>
      </c>
      <c r="I2452" s="33">
        <v>820</v>
      </c>
      <c r="K2452" t="b">
        <f>QHPSelections2016[[#This Row],[County Name]]=P2452</f>
        <v>0</v>
      </c>
      <c r="L2452" t="b">
        <f>QHPSelections2016[[#This Row],[Silver]]=S2452</f>
        <v>0</v>
      </c>
      <c r="N2452">
        <v>51195</v>
      </c>
      <c r="O2452" t="s">
        <v>4743</v>
      </c>
      <c r="P2452" t="s">
        <v>1415</v>
      </c>
      <c r="Q2452">
        <v>0</v>
      </c>
      <c r="R2452">
        <v>62</v>
      </c>
      <c r="S2452">
        <v>993</v>
      </c>
      <c r="T2452">
        <v>120</v>
      </c>
      <c r="U2452">
        <v>17</v>
      </c>
      <c r="V2452" s="51">
        <v>1192</v>
      </c>
    </row>
    <row r="2453" spans="1:22">
      <c r="A2453" s="32" t="s">
        <v>4960</v>
      </c>
      <c r="B2453" s="32" t="s">
        <v>4743</v>
      </c>
      <c r="C2453" s="32" t="s">
        <v>4961</v>
      </c>
      <c r="D2453" s="33">
        <v>0</v>
      </c>
      <c r="E2453" s="33">
        <v>22</v>
      </c>
      <c r="F2453" s="33">
        <v>388</v>
      </c>
      <c r="G2453" s="33">
        <v>111</v>
      </c>
      <c r="H2453" s="33">
        <v>11</v>
      </c>
      <c r="I2453" s="33">
        <v>532</v>
      </c>
      <c r="K2453" t="b">
        <f>QHPSelections2016[[#This Row],[County Name]]=P2453</f>
        <v>0</v>
      </c>
      <c r="L2453" t="b">
        <f>QHPSelections2016[[#This Row],[Silver]]=S2453</f>
        <v>0</v>
      </c>
      <c r="N2453">
        <v>51197</v>
      </c>
      <c r="O2453" t="s">
        <v>4743</v>
      </c>
      <c r="P2453" t="s">
        <v>4884</v>
      </c>
      <c r="Q2453">
        <v>0</v>
      </c>
      <c r="R2453">
        <v>62</v>
      </c>
      <c r="S2453">
        <v>821</v>
      </c>
      <c r="T2453">
        <v>156</v>
      </c>
      <c r="U2453">
        <v>23</v>
      </c>
      <c r="V2453" s="51">
        <v>1062</v>
      </c>
    </row>
    <row r="2454" spans="1:22">
      <c r="A2454" s="32" t="s">
        <v>4962</v>
      </c>
      <c r="B2454" s="32" t="s">
        <v>4743</v>
      </c>
      <c r="C2454" s="32" t="s">
        <v>4963</v>
      </c>
      <c r="D2454" s="33">
        <v>0</v>
      </c>
      <c r="E2454" s="33">
        <v>76</v>
      </c>
      <c r="F2454" s="33">
        <v>807</v>
      </c>
      <c r="G2454" s="33">
        <v>313</v>
      </c>
      <c r="H2454" s="33">
        <v>20</v>
      </c>
      <c r="I2454" s="33">
        <v>1216</v>
      </c>
      <c r="K2454" t="b">
        <f>QHPSelections2016[[#This Row],[County Name]]=P2454</f>
        <v>0</v>
      </c>
      <c r="L2454" t="b">
        <f>QHPSelections2016[[#This Row],[Silver]]=S2454</f>
        <v>0</v>
      </c>
      <c r="N2454">
        <v>51199</v>
      </c>
      <c r="O2454" t="s">
        <v>4743</v>
      </c>
      <c r="P2454" t="s">
        <v>2818</v>
      </c>
      <c r="Q2454">
        <v>0</v>
      </c>
      <c r="R2454">
        <v>167</v>
      </c>
      <c r="S2454" s="51">
        <v>1618</v>
      </c>
      <c r="T2454">
        <v>510</v>
      </c>
      <c r="U2454">
        <v>46</v>
      </c>
      <c r="V2454" s="51">
        <v>2341</v>
      </c>
    </row>
    <row r="2455" spans="1:22">
      <c r="A2455" s="32" t="s">
        <v>4964</v>
      </c>
      <c r="B2455" s="32" t="s">
        <v>4965</v>
      </c>
      <c r="C2455" s="32" t="s">
        <v>820</v>
      </c>
      <c r="D2455" s="33" t="s">
        <v>1639</v>
      </c>
      <c r="E2455" s="33">
        <v>46</v>
      </c>
      <c r="F2455" s="33">
        <v>570</v>
      </c>
      <c r="G2455" s="33">
        <v>202</v>
      </c>
      <c r="H2455" s="33" t="s">
        <v>1639</v>
      </c>
      <c r="I2455" s="33">
        <v>828</v>
      </c>
      <c r="K2455" t="b">
        <f>QHPSelections2016[[#This Row],[County Name]]=P2455</f>
        <v>1</v>
      </c>
      <c r="L2455" t="b">
        <f>QHPSelections2016[[#This Row],[Silver]]=S2455</f>
        <v>1</v>
      </c>
      <c r="N2455">
        <v>55001</v>
      </c>
      <c r="O2455" t="s">
        <v>4965</v>
      </c>
      <c r="P2455" t="s">
        <v>820</v>
      </c>
      <c r="R2455">
        <v>46</v>
      </c>
      <c r="S2455">
        <v>570</v>
      </c>
      <c r="T2455">
        <v>202</v>
      </c>
      <c r="V2455">
        <v>828</v>
      </c>
    </row>
    <row r="2456" spans="1:22">
      <c r="A2456" s="32" t="s">
        <v>4966</v>
      </c>
      <c r="B2456" s="32" t="s">
        <v>4965</v>
      </c>
      <c r="C2456" s="32" t="s">
        <v>3775</v>
      </c>
      <c r="D2456" s="33">
        <v>0</v>
      </c>
      <c r="E2456" s="33">
        <v>34</v>
      </c>
      <c r="F2456" s="33">
        <v>633</v>
      </c>
      <c r="G2456" s="33">
        <v>309</v>
      </c>
      <c r="H2456" s="33">
        <v>11</v>
      </c>
      <c r="I2456" s="33">
        <v>987</v>
      </c>
      <c r="K2456" t="b">
        <f>QHPSelections2016[[#This Row],[County Name]]=P2456</f>
        <v>1</v>
      </c>
      <c r="L2456" t="b">
        <f>QHPSelections2016[[#This Row],[Silver]]=S2456</f>
        <v>1</v>
      </c>
      <c r="N2456">
        <v>55003</v>
      </c>
      <c r="O2456" t="s">
        <v>4965</v>
      </c>
      <c r="P2456" t="s">
        <v>3775</v>
      </c>
      <c r="Q2456">
        <v>0</v>
      </c>
      <c r="R2456">
        <v>34</v>
      </c>
      <c r="S2456">
        <v>633</v>
      </c>
      <c r="T2456">
        <v>309</v>
      </c>
      <c r="U2456">
        <v>11</v>
      </c>
      <c r="V2456">
        <v>987</v>
      </c>
    </row>
    <row r="2457" spans="1:22">
      <c r="A2457" s="32" t="s">
        <v>4967</v>
      </c>
      <c r="B2457" s="32" t="s">
        <v>4965</v>
      </c>
      <c r="C2457" s="32" t="s">
        <v>4968</v>
      </c>
      <c r="D2457" s="33">
        <v>0</v>
      </c>
      <c r="E2457" s="33">
        <v>65</v>
      </c>
      <c r="F2457" s="33">
        <v>1600</v>
      </c>
      <c r="G2457" s="33">
        <v>829</v>
      </c>
      <c r="H2457" s="33">
        <v>21</v>
      </c>
      <c r="I2457" s="33">
        <v>2515</v>
      </c>
      <c r="K2457" t="b">
        <f>QHPSelections2016[[#This Row],[County Name]]=P2457</f>
        <v>1</v>
      </c>
      <c r="L2457" t="b">
        <f>QHPSelections2016[[#This Row],[Silver]]=S2457</f>
        <v>1</v>
      </c>
      <c r="N2457">
        <v>55005</v>
      </c>
      <c r="O2457" t="s">
        <v>4965</v>
      </c>
      <c r="P2457" t="s">
        <v>4968</v>
      </c>
      <c r="Q2457">
        <v>0</v>
      </c>
      <c r="R2457">
        <v>65</v>
      </c>
      <c r="S2457" s="51">
        <v>1600</v>
      </c>
      <c r="T2457">
        <v>829</v>
      </c>
      <c r="U2457">
        <v>21</v>
      </c>
      <c r="V2457" s="51">
        <v>2515</v>
      </c>
    </row>
    <row r="2458" spans="1:22">
      <c r="A2458" s="32" t="s">
        <v>4969</v>
      </c>
      <c r="B2458" s="32" t="s">
        <v>4965</v>
      </c>
      <c r="C2458" s="32" t="s">
        <v>4970</v>
      </c>
      <c r="D2458" s="33" t="s">
        <v>1639</v>
      </c>
      <c r="E2458" s="33">
        <v>29</v>
      </c>
      <c r="F2458" s="33">
        <v>657</v>
      </c>
      <c r="G2458" s="33">
        <v>420</v>
      </c>
      <c r="H2458" s="33" t="s">
        <v>1639</v>
      </c>
      <c r="I2458" s="33">
        <v>1114</v>
      </c>
      <c r="K2458" t="b">
        <f>QHPSelections2016[[#This Row],[County Name]]=P2458</f>
        <v>1</v>
      </c>
      <c r="L2458" t="b">
        <f>QHPSelections2016[[#This Row],[Silver]]=S2458</f>
        <v>1</v>
      </c>
      <c r="N2458">
        <v>55007</v>
      </c>
      <c r="O2458" t="s">
        <v>4965</v>
      </c>
      <c r="P2458" t="s">
        <v>4970</v>
      </c>
      <c r="R2458">
        <v>29</v>
      </c>
      <c r="S2458">
        <v>657</v>
      </c>
      <c r="T2458">
        <v>420</v>
      </c>
      <c r="V2458" s="51">
        <v>1114</v>
      </c>
    </row>
    <row r="2459" spans="1:22">
      <c r="A2459" s="32" t="s">
        <v>4971</v>
      </c>
      <c r="B2459" s="32" t="s">
        <v>4965</v>
      </c>
      <c r="C2459" s="32" t="s">
        <v>963</v>
      </c>
      <c r="D2459" s="33">
        <v>42</v>
      </c>
      <c r="E2459" s="33">
        <v>471</v>
      </c>
      <c r="F2459" s="33">
        <v>7223</v>
      </c>
      <c r="G2459" s="33">
        <v>2634</v>
      </c>
      <c r="H2459" s="33">
        <v>119</v>
      </c>
      <c r="I2459" s="33">
        <v>10489</v>
      </c>
      <c r="K2459" t="b">
        <f>QHPSelections2016[[#This Row],[County Name]]=P2459</f>
        <v>1</v>
      </c>
      <c r="L2459" t="b">
        <f>QHPSelections2016[[#This Row],[Silver]]=S2459</f>
        <v>1</v>
      </c>
      <c r="N2459">
        <v>55009</v>
      </c>
      <c r="O2459" t="s">
        <v>4965</v>
      </c>
      <c r="P2459" t="s">
        <v>963</v>
      </c>
      <c r="Q2459">
        <v>42</v>
      </c>
      <c r="R2459">
        <v>471</v>
      </c>
      <c r="S2459" s="51">
        <v>7223</v>
      </c>
      <c r="T2459" s="51">
        <v>2634</v>
      </c>
      <c r="U2459">
        <v>119</v>
      </c>
      <c r="V2459" s="51">
        <v>10489</v>
      </c>
    </row>
    <row r="2460" spans="1:22">
      <c r="A2460" s="32" t="s">
        <v>4972</v>
      </c>
      <c r="B2460" s="32" t="s">
        <v>4965</v>
      </c>
      <c r="C2460" s="32" t="s">
        <v>3508</v>
      </c>
      <c r="D2460" s="33" t="s">
        <v>1639</v>
      </c>
      <c r="E2460" s="33">
        <v>31</v>
      </c>
      <c r="F2460" s="33">
        <v>590</v>
      </c>
      <c r="G2460" s="33">
        <v>335</v>
      </c>
      <c r="H2460" s="33" t="s">
        <v>1639</v>
      </c>
      <c r="I2460" s="33">
        <v>963</v>
      </c>
      <c r="K2460" t="b">
        <f>QHPSelections2016[[#This Row],[County Name]]=P2460</f>
        <v>1</v>
      </c>
      <c r="L2460" t="b">
        <f>QHPSelections2016[[#This Row],[Silver]]=S2460</f>
        <v>1</v>
      </c>
      <c r="N2460">
        <v>55011</v>
      </c>
      <c r="O2460" t="s">
        <v>4965</v>
      </c>
      <c r="P2460" t="s">
        <v>3508</v>
      </c>
      <c r="R2460">
        <v>31</v>
      </c>
      <c r="S2460">
        <v>590</v>
      </c>
      <c r="T2460">
        <v>335</v>
      </c>
      <c r="V2460">
        <v>963</v>
      </c>
    </row>
    <row r="2461" spans="1:22">
      <c r="A2461" s="32" t="s">
        <v>4973</v>
      </c>
      <c r="B2461" s="32" t="s">
        <v>4965</v>
      </c>
      <c r="C2461" s="32" t="s">
        <v>4974</v>
      </c>
      <c r="D2461" s="33" t="s">
        <v>1639</v>
      </c>
      <c r="E2461" s="33">
        <v>34</v>
      </c>
      <c r="F2461" s="33">
        <v>559</v>
      </c>
      <c r="G2461" s="33">
        <v>268</v>
      </c>
      <c r="H2461" s="33" t="s">
        <v>1639</v>
      </c>
      <c r="I2461" s="33">
        <v>866</v>
      </c>
      <c r="K2461" t="b">
        <f>QHPSelections2016[[#This Row],[County Name]]=P2461</f>
        <v>1</v>
      </c>
      <c r="L2461" t="b">
        <f>QHPSelections2016[[#This Row],[Silver]]=S2461</f>
        <v>1</v>
      </c>
      <c r="N2461">
        <v>55013</v>
      </c>
      <c r="O2461" t="s">
        <v>4965</v>
      </c>
      <c r="P2461" t="s">
        <v>4974</v>
      </c>
      <c r="R2461">
        <v>34</v>
      </c>
      <c r="S2461">
        <v>559</v>
      </c>
      <c r="T2461">
        <v>268</v>
      </c>
      <c r="V2461">
        <v>866</v>
      </c>
    </row>
    <row r="2462" spans="1:22">
      <c r="A2462" s="32" t="s">
        <v>4975</v>
      </c>
      <c r="B2462" s="32" t="s">
        <v>4965</v>
      </c>
      <c r="C2462" s="32" t="s">
        <v>4976</v>
      </c>
      <c r="D2462" s="33">
        <v>0</v>
      </c>
      <c r="E2462" s="33">
        <v>83</v>
      </c>
      <c r="F2462" s="33">
        <v>1313</v>
      </c>
      <c r="G2462" s="33">
        <v>377</v>
      </c>
      <c r="H2462" s="33">
        <v>13</v>
      </c>
      <c r="I2462" s="33">
        <v>1786</v>
      </c>
      <c r="K2462" t="b">
        <f>QHPSelections2016[[#This Row],[County Name]]=P2462</f>
        <v>1</v>
      </c>
      <c r="L2462" t="b">
        <f>QHPSelections2016[[#This Row],[Silver]]=S2462</f>
        <v>1</v>
      </c>
      <c r="N2462">
        <v>55015</v>
      </c>
      <c r="O2462" t="s">
        <v>4965</v>
      </c>
      <c r="P2462" t="s">
        <v>4976</v>
      </c>
      <c r="Q2462">
        <v>0</v>
      </c>
      <c r="R2462">
        <v>83</v>
      </c>
      <c r="S2462" s="51">
        <v>1313</v>
      </c>
      <c r="T2462">
        <v>377</v>
      </c>
      <c r="U2462">
        <v>13</v>
      </c>
      <c r="V2462" s="51">
        <v>1786</v>
      </c>
    </row>
    <row r="2463" spans="1:22">
      <c r="A2463" s="32" t="s">
        <v>4977</v>
      </c>
      <c r="B2463" s="32" t="s">
        <v>4965</v>
      </c>
      <c r="C2463" s="32" t="s">
        <v>2849</v>
      </c>
      <c r="D2463" s="33">
        <v>0</v>
      </c>
      <c r="E2463" s="33">
        <v>72</v>
      </c>
      <c r="F2463" s="33">
        <v>2100</v>
      </c>
      <c r="G2463" s="33">
        <v>974</v>
      </c>
      <c r="H2463" s="33">
        <v>22</v>
      </c>
      <c r="I2463" s="33">
        <v>3168</v>
      </c>
      <c r="K2463" t="b">
        <f>QHPSelections2016[[#This Row],[County Name]]=P2463</f>
        <v>1</v>
      </c>
      <c r="L2463" t="b">
        <f>QHPSelections2016[[#This Row],[Silver]]=S2463</f>
        <v>1</v>
      </c>
      <c r="N2463">
        <v>55017</v>
      </c>
      <c r="O2463" t="s">
        <v>4965</v>
      </c>
      <c r="P2463" t="s">
        <v>2849</v>
      </c>
      <c r="Q2463">
        <v>0</v>
      </c>
      <c r="R2463">
        <v>72</v>
      </c>
      <c r="S2463" s="51">
        <v>2100</v>
      </c>
      <c r="T2463">
        <v>974</v>
      </c>
      <c r="U2463">
        <v>22</v>
      </c>
      <c r="V2463" s="51">
        <v>3168</v>
      </c>
    </row>
    <row r="2464" spans="1:22">
      <c r="A2464" s="32" t="s">
        <v>4978</v>
      </c>
      <c r="B2464" s="32" t="s">
        <v>4965</v>
      </c>
      <c r="C2464" s="32" t="s">
        <v>1777</v>
      </c>
      <c r="D2464" s="33" t="s">
        <v>1639</v>
      </c>
      <c r="E2464" s="33">
        <v>35</v>
      </c>
      <c r="F2464" s="33">
        <v>1326</v>
      </c>
      <c r="G2464" s="33">
        <v>542</v>
      </c>
      <c r="H2464" s="33" t="s">
        <v>1639</v>
      </c>
      <c r="I2464" s="33">
        <v>1909</v>
      </c>
      <c r="K2464" t="b">
        <f>QHPSelections2016[[#This Row],[County Name]]=P2464</f>
        <v>1</v>
      </c>
      <c r="L2464" t="b">
        <f>QHPSelections2016[[#This Row],[Silver]]=S2464</f>
        <v>1</v>
      </c>
      <c r="N2464">
        <v>55019</v>
      </c>
      <c r="O2464" t="s">
        <v>4965</v>
      </c>
      <c r="P2464" t="s">
        <v>1777</v>
      </c>
      <c r="R2464">
        <v>35</v>
      </c>
      <c r="S2464" s="51">
        <v>1326</v>
      </c>
      <c r="T2464">
        <v>542</v>
      </c>
      <c r="V2464" s="51">
        <v>1909</v>
      </c>
    </row>
    <row r="2465" spans="1:22">
      <c r="A2465" s="32" t="s">
        <v>4979</v>
      </c>
      <c r="B2465" s="32" t="s">
        <v>4965</v>
      </c>
      <c r="C2465" s="32" t="s">
        <v>885</v>
      </c>
      <c r="D2465" s="33">
        <v>51</v>
      </c>
      <c r="E2465" s="33">
        <v>127</v>
      </c>
      <c r="F2465" s="33">
        <v>1372</v>
      </c>
      <c r="G2465" s="33">
        <v>288</v>
      </c>
      <c r="H2465" s="33">
        <v>18</v>
      </c>
      <c r="I2465" s="33">
        <v>1856</v>
      </c>
      <c r="K2465" t="b">
        <f>QHPSelections2016[[#This Row],[County Name]]=P2465</f>
        <v>1</v>
      </c>
      <c r="L2465" t="b">
        <f>QHPSelections2016[[#This Row],[Silver]]=S2465</f>
        <v>1</v>
      </c>
      <c r="N2465">
        <v>55021</v>
      </c>
      <c r="O2465" t="s">
        <v>4965</v>
      </c>
      <c r="P2465" t="s">
        <v>885</v>
      </c>
      <c r="Q2465">
        <v>51</v>
      </c>
      <c r="R2465">
        <v>127</v>
      </c>
      <c r="S2465" s="51">
        <v>1372</v>
      </c>
      <c r="T2465">
        <v>288</v>
      </c>
      <c r="U2465">
        <v>18</v>
      </c>
      <c r="V2465" s="51">
        <v>1856</v>
      </c>
    </row>
    <row r="2466" spans="1:22">
      <c r="A2466" s="32" t="s">
        <v>4980</v>
      </c>
      <c r="B2466" s="32" t="s">
        <v>4965</v>
      </c>
      <c r="C2466" s="32" t="s">
        <v>1030</v>
      </c>
      <c r="D2466" s="33" t="s">
        <v>1639</v>
      </c>
      <c r="E2466" s="33">
        <v>19</v>
      </c>
      <c r="F2466" s="33">
        <v>445</v>
      </c>
      <c r="G2466" s="33">
        <v>216</v>
      </c>
      <c r="H2466" s="33" t="s">
        <v>1639</v>
      </c>
      <c r="I2466" s="33">
        <v>690</v>
      </c>
      <c r="K2466" t="b">
        <f>QHPSelections2016[[#This Row],[County Name]]=P2466</f>
        <v>1</v>
      </c>
      <c r="L2466" t="b">
        <f>QHPSelections2016[[#This Row],[Silver]]=S2466</f>
        <v>1</v>
      </c>
      <c r="N2466">
        <v>55023</v>
      </c>
      <c r="O2466" t="s">
        <v>4965</v>
      </c>
      <c r="P2466" t="s">
        <v>1030</v>
      </c>
      <c r="R2466">
        <v>19</v>
      </c>
      <c r="S2466">
        <v>445</v>
      </c>
      <c r="T2466">
        <v>216</v>
      </c>
      <c r="V2466">
        <v>690</v>
      </c>
    </row>
    <row r="2467" spans="1:22">
      <c r="A2467" s="32" t="s">
        <v>4981</v>
      </c>
      <c r="B2467" s="32" t="s">
        <v>4965</v>
      </c>
      <c r="C2467" s="32" t="s">
        <v>4982</v>
      </c>
      <c r="D2467" s="33">
        <v>891</v>
      </c>
      <c r="E2467" s="33">
        <v>985</v>
      </c>
      <c r="F2467" s="33">
        <v>11598</v>
      </c>
      <c r="G2467" s="33">
        <v>2807</v>
      </c>
      <c r="H2467" s="33">
        <v>300</v>
      </c>
      <c r="I2467" s="33">
        <v>16581</v>
      </c>
      <c r="K2467" t="b">
        <f>QHPSelections2016[[#This Row],[County Name]]=P2467</f>
        <v>1</v>
      </c>
      <c r="L2467" t="b">
        <f>QHPSelections2016[[#This Row],[Silver]]=S2467</f>
        <v>1</v>
      </c>
      <c r="N2467">
        <v>55025</v>
      </c>
      <c r="O2467" t="s">
        <v>4965</v>
      </c>
      <c r="P2467" t="s">
        <v>4982</v>
      </c>
      <c r="Q2467">
        <v>891</v>
      </c>
      <c r="R2467">
        <v>985</v>
      </c>
      <c r="S2467" s="51">
        <v>11598</v>
      </c>
      <c r="T2467" s="51">
        <v>2807</v>
      </c>
      <c r="U2467">
        <v>300</v>
      </c>
      <c r="V2467" s="51">
        <v>16581</v>
      </c>
    </row>
    <row r="2468" spans="1:22">
      <c r="A2468" s="32" t="s">
        <v>4983</v>
      </c>
      <c r="B2468" s="32" t="s">
        <v>4965</v>
      </c>
      <c r="C2468" s="32" t="s">
        <v>1058</v>
      </c>
      <c r="D2468" s="33">
        <v>36</v>
      </c>
      <c r="E2468" s="33">
        <v>115</v>
      </c>
      <c r="F2468" s="33">
        <v>2314</v>
      </c>
      <c r="G2468" s="33">
        <v>627</v>
      </c>
      <c r="H2468" s="33">
        <v>42</v>
      </c>
      <c r="I2468" s="33">
        <v>3134</v>
      </c>
      <c r="K2468" t="b">
        <f>QHPSelections2016[[#This Row],[County Name]]=P2468</f>
        <v>1</v>
      </c>
      <c r="L2468" t="b">
        <f>QHPSelections2016[[#This Row],[Silver]]=S2468</f>
        <v>1</v>
      </c>
      <c r="N2468">
        <v>55027</v>
      </c>
      <c r="O2468" t="s">
        <v>4965</v>
      </c>
      <c r="P2468" t="s">
        <v>1058</v>
      </c>
      <c r="Q2468">
        <v>36</v>
      </c>
      <c r="R2468">
        <v>115</v>
      </c>
      <c r="S2468" s="51">
        <v>2314</v>
      </c>
      <c r="T2468">
        <v>627</v>
      </c>
      <c r="U2468">
        <v>42</v>
      </c>
      <c r="V2468" s="51">
        <v>3134</v>
      </c>
    </row>
    <row r="2469" spans="1:22">
      <c r="A2469" s="32" t="s">
        <v>4984</v>
      </c>
      <c r="B2469" s="32" t="s">
        <v>4965</v>
      </c>
      <c r="C2469" s="32" t="s">
        <v>4985</v>
      </c>
      <c r="D2469" s="33">
        <v>12</v>
      </c>
      <c r="E2469" s="33">
        <v>113</v>
      </c>
      <c r="F2469" s="33">
        <v>1918</v>
      </c>
      <c r="G2469" s="33">
        <v>733</v>
      </c>
      <c r="H2469" s="33">
        <v>15</v>
      </c>
      <c r="I2469" s="33">
        <v>2791</v>
      </c>
      <c r="K2469" t="b">
        <f>QHPSelections2016[[#This Row],[County Name]]=P2469</f>
        <v>1</v>
      </c>
      <c r="L2469" t="b">
        <f>QHPSelections2016[[#This Row],[Silver]]=S2469</f>
        <v>1</v>
      </c>
      <c r="N2469">
        <v>55029</v>
      </c>
      <c r="O2469" t="s">
        <v>4965</v>
      </c>
      <c r="P2469" t="s">
        <v>4985</v>
      </c>
      <c r="Q2469">
        <v>12</v>
      </c>
      <c r="R2469">
        <v>113</v>
      </c>
      <c r="S2469" s="51">
        <v>1918</v>
      </c>
      <c r="T2469">
        <v>733</v>
      </c>
      <c r="U2469">
        <v>15</v>
      </c>
      <c r="V2469" s="51">
        <v>2791</v>
      </c>
    </row>
    <row r="2470" spans="1:22">
      <c r="A2470" s="32" t="s">
        <v>4986</v>
      </c>
      <c r="B2470" s="32" t="s">
        <v>4965</v>
      </c>
      <c r="C2470" s="32" t="s">
        <v>1073</v>
      </c>
      <c r="D2470" s="33">
        <v>0</v>
      </c>
      <c r="E2470" s="33">
        <v>48</v>
      </c>
      <c r="F2470" s="33">
        <v>1077</v>
      </c>
      <c r="G2470" s="33">
        <v>481</v>
      </c>
      <c r="H2470" s="33">
        <v>14</v>
      </c>
      <c r="I2470" s="33">
        <v>1620</v>
      </c>
      <c r="K2470" t="b">
        <f>QHPSelections2016[[#This Row],[County Name]]=P2470</f>
        <v>1</v>
      </c>
      <c r="L2470" t="b">
        <f>QHPSelections2016[[#This Row],[Silver]]=S2470</f>
        <v>1</v>
      </c>
      <c r="N2470">
        <v>55031</v>
      </c>
      <c r="O2470" t="s">
        <v>4965</v>
      </c>
      <c r="P2470" t="s">
        <v>1073</v>
      </c>
      <c r="Q2470">
        <v>0</v>
      </c>
      <c r="R2470">
        <v>48</v>
      </c>
      <c r="S2470" s="51">
        <v>1077</v>
      </c>
      <c r="T2470">
        <v>481</v>
      </c>
      <c r="U2470">
        <v>14</v>
      </c>
      <c r="V2470" s="51">
        <v>1620</v>
      </c>
    </row>
    <row r="2471" spans="1:22">
      <c r="A2471" s="32" t="s">
        <v>4987</v>
      </c>
      <c r="B2471" s="32" t="s">
        <v>4965</v>
      </c>
      <c r="C2471" s="32" t="s">
        <v>3426</v>
      </c>
      <c r="D2471" s="33">
        <v>0</v>
      </c>
      <c r="E2471" s="33">
        <v>39</v>
      </c>
      <c r="F2471" s="33">
        <v>1028</v>
      </c>
      <c r="G2471" s="33">
        <v>618</v>
      </c>
      <c r="H2471" s="33">
        <v>14</v>
      </c>
      <c r="I2471" s="33">
        <v>1699</v>
      </c>
      <c r="K2471" t="b">
        <f>QHPSelections2016[[#This Row],[County Name]]=P2471</f>
        <v>1</v>
      </c>
      <c r="L2471" t="b">
        <f>QHPSelections2016[[#This Row],[Silver]]=S2471</f>
        <v>1</v>
      </c>
      <c r="N2471">
        <v>55033</v>
      </c>
      <c r="O2471" t="s">
        <v>4965</v>
      </c>
      <c r="P2471" t="s">
        <v>3426</v>
      </c>
      <c r="Q2471">
        <v>0</v>
      </c>
      <c r="R2471">
        <v>39</v>
      </c>
      <c r="S2471" s="51">
        <v>1028</v>
      </c>
      <c r="T2471">
        <v>618</v>
      </c>
      <c r="U2471">
        <v>14</v>
      </c>
      <c r="V2471" s="51">
        <v>1699</v>
      </c>
    </row>
    <row r="2472" spans="1:22">
      <c r="A2472" s="32" t="s">
        <v>4988</v>
      </c>
      <c r="B2472" s="32" t="s">
        <v>4965</v>
      </c>
      <c r="C2472" s="32" t="s">
        <v>4989</v>
      </c>
      <c r="D2472" s="33">
        <v>0</v>
      </c>
      <c r="E2472" s="33">
        <v>129</v>
      </c>
      <c r="F2472" s="33">
        <v>2755</v>
      </c>
      <c r="G2472" s="33">
        <v>1306</v>
      </c>
      <c r="H2472" s="33">
        <v>56</v>
      </c>
      <c r="I2472" s="33">
        <v>4246</v>
      </c>
      <c r="K2472" t="b">
        <f>QHPSelections2016[[#This Row],[County Name]]=P2472</f>
        <v>1</v>
      </c>
      <c r="L2472" t="b">
        <f>QHPSelections2016[[#This Row],[Silver]]=S2472</f>
        <v>1</v>
      </c>
      <c r="N2472">
        <v>55035</v>
      </c>
      <c r="O2472" t="s">
        <v>4965</v>
      </c>
      <c r="P2472" t="s">
        <v>4989</v>
      </c>
      <c r="Q2472">
        <v>0</v>
      </c>
      <c r="R2472">
        <v>129</v>
      </c>
      <c r="S2472" s="51">
        <v>2755</v>
      </c>
      <c r="T2472" s="51">
        <v>1306</v>
      </c>
      <c r="U2472">
        <v>56</v>
      </c>
      <c r="V2472" s="51">
        <v>4246</v>
      </c>
    </row>
    <row r="2473" spans="1:22">
      <c r="A2473" s="32" t="s">
        <v>4990</v>
      </c>
      <c r="B2473" s="32" t="s">
        <v>4965</v>
      </c>
      <c r="C2473" s="32" t="s">
        <v>4203</v>
      </c>
      <c r="D2473" s="33" t="s">
        <v>1639</v>
      </c>
      <c r="E2473" s="33" t="s">
        <v>1639</v>
      </c>
      <c r="F2473" s="33">
        <v>194</v>
      </c>
      <c r="G2473" s="33">
        <v>44</v>
      </c>
      <c r="H2473" s="33">
        <v>0</v>
      </c>
      <c r="I2473" s="33">
        <v>245</v>
      </c>
      <c r="K2473" t="b">
        <f>QHPSelections2016[[#This Row],[County Name]]=P2473</f>
        <v>1</v>
      </c>
      <c r="L2473" t="b">
        <f>QHPSelections2016[[#This Row],[Silver]]=S2473</f>
        <v>1</v>
      </c>
      <c r="N2473">
        <v>55037</v>
      </c>
      <c r="O2473" t="s">
        <v>4965</v>
      </c>
      <c r="P2473" t="s">
        <v>4203</v>
      </c>
      <c r="S2473">
        <v>194</v>
      </c>
      <c r="T2473">
        <v>44</v>
      </c>
      <c r="U2473">
        <v>0</v>
      </c>
      <c r="V2473">
        <v>245</v>
      </c>
    </row>
    <row r="2474" spans="1:22">
      <c r="A2474" s="32" t="s">
        <v>4991</v>
      </c>
      <c r="B2474" s="32" t="s">
        <v>4965</v>
      </c>
      <c r="C2474" s="32" t="s">
        <v>4992</v>
      </c>
      <c r="D2474" s="33">
        <v>27</v>
      </c>
      <c r="E2474" s="33">
        <v>188</v>
      </c>
      <c r="F2474" s="33">
        <v>2595</v>
      </c>
      <c r="G2474" s="33">
        <v>807</v>
      </c>
      <c r="H2474" s="33">
        <v>46</v>
      </c>
      <c r="I2474" s="33">
        <v>3663</v>
      </c>
      <c r="K2474" t="b">
        <f>QHPSelections2016[[#This Row],[County Name]]=P2474</f>
        <v>1</v>
      </c>
      <c r="L2474" t="b">
        <f>QHPSelections2016[[#This Row],[Silver]]=S2474</f>
        <v>1</v>
      </c>
      <c r="N2474">
        <v>55039</v>
      </c>
      <c r="O2474" t="s">
        <v>4965</v>
      </c>
      <c r="P2474" t="s">
        <v>4992</v>
      </c>
      <c r="Q2474">
        <v>27</v>
      </c>
      <c r="R2474">
        <v>188</v>
      </c>
      <c r="S2474" s="51">
        <v>2595</v>
      </c>
      <c r="T2474">
        <v>807</v>
      </c>
      <c r="U2474">
        <v>46</v>
      </c>
      <c r="V2474" s="51">
        <v>3663</v>
      </c>
    </row>
    <row r="2475" spans="1:22">
      <c r="A2475" s="32" t="s">
        <v>4993</v>
      </c>
      <c r="B2475" s="32" t="s">
        <v>4965</v>
      </c>
      <c r="C2475" s="32" t="s">
        <v>4106</v>
      </c>
      <c r="D2475" s="33">
        <v>0</v>
      </c>
      <c r="E2475" s="33">
        <v>11</v>
      </c>
      <c r="F2475" s="33">
        <v>406</v>
      </c>
      <c r="G2475" s="33">
        <v>119</v>
      </c>
      <c r="H2475" s="33">
        <v>0</v>
      </c>
      <c r="I2475" s="33">
        <v>536</v>
      </c>
      <c r="K2475" t="b">
        <f>QHPSelections2016[[#This Row],[County Name]]=P2475</f>
        <v>1</v>
      </c>
      <c r="L2475" t="b">
        <f>QHPSelections2016[[#This Row],[Silver]]=S2475</f>
        <v>1</v>
      </c>
      <c r="N2475">
        <v>55041</v>
      </c>
      <c r="O2475" t="s">
        <v>4965</v>
      </c>
      <c r="P2475" t="s">
        <v>4106</v>
      </c>
      <c r="Q2475">
        <v>0</v>
      </c>
      <c r="R2475">
        <v>11</v>
      </c>
      <c r="S2475">
        <v>406</v>
      </c>
      <c r="T2475">
        <v>119</v>
      </c>
      <c r="U2475">
        <v>0</v>
      </c>
      <c r="V2475">
        <v>536</v>
      </c>
    </row>
    <row r="2476" spans="1:22">
      <c r="A2476" s="32" t="s">
        <v>4994</v>
      </c>
      <c r="B2476" s="32" t="s">
        <v>4965</v>
      </c>
      <c r="C2476" s="32" t="s">
        <v>1803</v>
      </c>
      <c r="D2476" s="33">
        <v>32</v>
      </c>
      <c r="E2476" s="33">
        <v>76</v>
      </c>
      <c r="F2476" s="33">
        <v>1765</v>
      </c>
      <c r="G2476" s="33">
        <v>302</v>
      </c>
      <c r="H2476" s="33">
        <v>25</v>
      </c>
      <c r="I2476" s="33">
        <v>2200</v>
      </c>
      <c r="K2476" t="b">
        <f>QHPSelections2016[[#This Row],[County Name]]=P2476</f>
        <v>1</v>
      </c>
      <c r="L2476" t="b">
        <f>QHPSelections2016[[#This Row],[Silver]]=S2476</f>
        <v>1</v>
      </c>
      <c r="N2476">
        <v>55043</v>
      </c>
      <c r="O2476" t="s">
        <v>4965</v>
      </c>
      <c r="P2476" t="s">
        <v>1803</v>
      </c>
      <c r="Q2476">
        <v>32</v>
      </c>
      <c r="R2476">
        <v>76</v>
      </c>
      <c r="S2476" s="51">
        <v>1765</v>
      </c>
      <c r="T2476">
        <v>302</v>
      </c>
      <c r="U2476">
        <v>25</v>
      </c>
      <c r="V2476" s="51">
        <v>2200</v>
      </c>
    </row>
    <row r="2477" spans="1:22">
      <c r="A2477" s="32" t="s">
        <v>4995</v>
      </c>
      <c r="B2477" s="32" t="s">
        <v>4965</v>
      </c>
      <c r="C2477" s="32" t="s">
        <v>4996</v>
      </c>
      <c r="D2477" s="33">
        <v>30</v>
      </c>
      <c r="E2477" s="33">
        <v>99</v>
      </c>
      <c r="F2477" s="33">
        <v>1051</v>
      </c>
      <c r="G2477" s="33">
        <v>242</v>
      </c>
      <c r="H2477" s="33">
        <v>25</v>
      </c>
      <c r="I2477" s="33">
        <v>1447</v>
      </c>
      <c r="K2477" t="b">
        <f>QHPSelections2016[[#This Row],[County Name]]=P2477</f>
        <v>1</v>
      </c>
      <c r="L2477" t="b">
        <f>QHPSelections2016[[#This Row],[Silver]]=S2477</f>
        <v>1</v>
      </c>
      <c r="N2477">
        <v>55045</v>
      </c>
      <c r="O2477" t="s">
        <v>4965</v>
      </c>
      <c r="P2477" t="s">
        <v>4996</v>
      </c>
      <c r="Q2477">
        <v>30</v>
      </c>
      <c r="R2477">
        <v>99</v>
      </c>
      <c r="S2477" s="51">
        <v>1051</v>
      </c>
      <c r="T2477">
        <v>242</v>
      </c>
      <c r="U2477">
        <v>25</v>
      </c>
      <c r="V2477" s="51">
        <v>1447</v>
      </c>
    </row>
    <row r="2478" spans="1:22">
      <c r="A2478" s="32" t="s">
        <v>4997</v>
      </c>
      <c r="B2478" s="32" t="s">
        <v>4965</v>
      </c>
      <c r="C2478" s="32" t="s">
        <v>4998</v>
      </c>
      <c r="D2478" s="33" t="s">
        <v>1639</v>
      </c>
      <c r="E2478" s="33">
        <v>23</v>
      </c>
      <c r="F2478" s="33">
        <v>472</v>
      </c>
      <c r="G2478" s="33">
        <v>134</v>
      </c>
      <c r="H2478" s="33" t="s">
        <v>1639</v>
      </c>
      <c r="I2478" s="33">
        <v>635</v>
      </c>
      <c r="K2478" t="b">
        <f>QHPSelections2016[[#This Row],[County Name]]=P2478</f>
        <v>1</v>
      </c>
      <c r="L2478" t="b">
        <f>QHPSelections2016[[#This Row],[Silver]]=S2478</f>
        <v>1</v>
      </c>
      <c r="N2478">
        <v>55047</v>
      </c>
      <c r="O2478" t="s">
        <v>4965</v>
      </c>
      <c r="P2478" t="s">
        <v>4998</v>
      </c>
      <c r="R2478">
        <v>23</v>
      </c>
      <c r="S2478">
        <v>472</v>
      </c>
      <c r="T2478">
        <v>134</v>
      </c>
      <c r="V2478">
        <v>635</v>
      </c>
    </row>
    <row r="2479" spans="1:22">
      <c r="A2479" s="32" t="s">
        <v>4999</v>
      </c>
      <c r="B2479" s="32" t="s">
        <v>4965</v>
      </c>
      <c r="C2479" s="32" t="s">
        <v>2214</v>
      </c>
      <c r="D2479" s="33" t="s">
        <v>1639</v>
      </c>
      <c r="E2479" s="33">
        <v>64</v>
      </c>
      <c r="F2479" s="33">
        <v>815</v>
      </c>
      <c r="G2479" s="33">
        <v>158</v>
      </c>
      <c r="H2479" s="33" t="s">
        <v>1639</v>
      </c>
      <c r="I2479" s="33">
        <v>1062</v>
      </c>
      <c r="K2479" t="b">
        <f>QHPSelections2016[[#This Row],[County Name]]=P2479</f>
        <v>1</v>
      </c>
      <c r="L2479" t="b">
        <f>QHPSelections2016[[#This Row],[Silver]]=S2479</f>
        <v>1</v>
      </c>
      <c r="N2479">
        <v>55049</v>
      </c>
      <c r="O2479" t="s">
        <v>4965</v>
      </c>
      <c r="P2479" t="s">
        <v>2214</v>
      </c>
      <c r="R2479">
        <v>64</v>
      </c>
      <c r="S2479">
        <v>815</v>
      </c>
      <c r="T2479">
        <v>158</v>
      </c>
      <c r="V2479" s="51">
        <v>1062</v>
      </c>
    </row>
    <row r="2480" spans="1:22">
      <c r="A2480" s="32" t="s">
        <v>5000</v>
      </c>
      <c r="B2480" s="32" t="s">
        <v>4965</v>
      </c>
      <c r="C2480" s="32" t="s">
        <v>2882</v>
      </c>
      <c r="D2480" s="33">
        <v>0</v>
      </c>
      <c r="E2480" s="33" t="s">
        <v>1639</v>
      </c>
      <c r="F2480" s="33">
        <v>392</v>
      </c>
      <c r="G2480" s="33">
        <v>152</v>
      </c>
      <c r="H2480" s="33" t="s">
        <v>1639</v>
      </c>
      <c r="I2480" s="33">
        <v>555</v>
      </c>
      <c r="K2480" t="b">
        <f>QHPSelections2016[[#This Row],[County Name]]=P2480</f>
        <v>1</v>
      </c>
      <c r="L2480" t="b">
        <f>QHPSelections2016[[#This Row],[Silver]]=S2480</f>
        <v>1</v>
      </c>
      <c r="N2480">
        <v>55051</v>
      </c>
      <c r="O2480" t="s">
        <v>4965</v>
      </c>
      <c r="P2480" t="s">
        <v>2882</v>
      </c>
      <c r="Q2480">
        <v>0</v>
      </c>
      <c r="S2480">
        <v>392</v>
      </c>
      <c r="T2480">
        <v>152</v>
      </c>
      <c r="V2480">
        <v>555</v>
      </c>
    </row>
    <row r="2481" spans="1:22">
      <c r="A2481" s="32" t="s">
        <v>5001</v>
      </c>
      <c r="B2481" s="32" t="s">
        <v>4965</v>
      </c>
      <c r="C2481" s="32" t="s">
        <v>984</v>
      </c>
      <c r="D2481" s="33" t="s">
        <v>1639</v>
      </c>
      <c r="E2481" s="33">
        <v>18</v>
      </c>
      <c r="F2481" s="33">
        <v>564</v>
      </c>
      <c r="G2481" s="33">
        <v>286</v>
      </c>
      <c r="H2481" s="33" t="s">
        <v>1639</v>
      </c>
      <c r="I2481" s="33">
        <v>879</v>
      </c>
      <c r="K2481" t="b">
        <f>QHPSelections2016[[#This Row],[County Name]]=P2481</f>
        <v>1</v>
      </c>
      <c r="L2481" t="b">
        <f>QHPSelections2016[[#This Row],[Silver]]=S2481</f>
        <v>1</v>
      </c>
      <c r="N2481">
        <v>55053</v>
      </c>
      <c r="O2481" t="s">
        <v>4965</v>
      </c>
      <c r="P2481" t="s">
        <v>984</v>
      </c>
      <c r="R2481">
        <v>18</v>
      </c>
      <c r="S2481">
        <v>564</v>
      </c>
      <c r="T2481">
        <v>286</v>
      </c>
      <c r="V2481">
        <v>879</v>
      </c>
    </row>
    <row r="2482" spans="1:22">
      <c r="A2482" s="32" t="s">
        <v>5002</v>
      </c>
      <c r="B2482" s="32" t="s">
        <v>4965</v>
      </c>
      <c r="C2482" s="32" t="s">
        <v>993</v>
      </c>
      <c r="D2482" s="33">
        <v>86</v>
      </c>
      <c r="E2482" s="33">
        <v>146</v>
      </c>
      <c r="F2482" s="33">
        <v>2251</v>
      </c>
      <c r="G2482" s="33">
        <v>568</v>
      </c>
      <c r="H2482" s="33">
        <v>40</v>
      </c>
      <c r="I2482" s="33">
        <v>3091</v>
      </c>
      <c r="K2482" t="b">
        <f>QHPSelections2016[[#This Row],[County Name]]=P2482</f>
        <v>1</v>
      </c>
      <c r="L2482" t="b">
        <f>QHPSelections2016[[#This Row],[Silver]]=S2482</f>
        <v>1</v>
      </c>
      <c r="N2482">
        <v>55055</v>
      </c>
      <c r="O2482" t="s">
        <v>4965</v>
      </c>
      <c r="P2482" t="s">
        <v>993</v>
      </c>
      <c r="Q2482">
        <v>86</v>
      </c>
      <c r="R2482">
        <v>146</v>
      </c>
      <c r="S2482" s="51">
        <v>2251</v>
      </c>
      <c r="T2482">
        <v>568</v>
      </c>
      <c r="U2482">
        <v>40</v>
      </c>
      <c r="V2482" s="51">
        <v>3091</v>
      </c>
    </row>
    <row r="2483" spans="1:22">
      <c r="A2483" s="32" t="s">
        <v>5003</v>
      </c>
      <c r="B2483" s="32" t="s">
        <v>4965</v>
      </c>
      <c r="C2483" s="32" t="s">
        <v>5004</v>
      </c>
      <c r="D2483" s="33" t="s">
        <v>1639</v>
      </c>
      <c r="E2483" s="33">
        <v>16</v>
      </c>
      <c r="F2483" s="33">
        <v>642</v>
      </c>
      <c r="G2483" s="33">
        <v>177</v>
      </c>
      <c r="H2483" s="33" t="s">
        <v>1639</v>
      </c>
      <c r="I2483" s="33">
        <v>858</v>
      </c>
      <c r="K2483" t="b">
        <f>QHPSelections2016[[#This Row],[County Name]]=P2483</f>
        <v>1</v>
      </c>
      <c r="L2483" t="b">
        <f>QHPSelections2016[[#This Row],[Silver]]=S2483</f>
        <v>1</v>
      </c>
      <c r="N2483">
        <v>55057</v>
      </c>
      <c r="O2483" t="s">
        <v>4965</v>
      </c>
      <c r="P2483" t="s">
        <v>5004</v>
      </c>
      <c r="R2483">
        <v>16</v>
      </c>
      <c r="S2483">
        <v>642</v>
      </c>
      <c r="T2483">
        <v>177</v>
      </c>
      <c r="V2483">
        <v>858</v>
      </c>
    </row>
    <row r="2484" spans="1:22">
      <c r="A2484" s="32" t="s">
        <v>5005</v>
      </c>
      <c r="B2484" s="32" t="s">
        <v>4965</v>
      </c>
      <c r="C2484" s="32" t="s">
        <v>5006</v>
      </c>
      <c r="D2484" s="33">
        <v>0</v>
      </c>
      <c r="E2484" s="33">
        <v>425</v>
      </c>
      <c r="F2484" s="33">
        <v>5030</v>
      </c>
      <c r="G2484" s="33">
        <v>1003</v>
      </c>
      <c r="H2484" s="33">
        <v>28</v>
      </c>
      <c r="I2484" s="33">
        <v>6486</v>
      </c>
      <c r="K2484" t="b">
        <f>QHPSelections2016[[#This Row],[County Name]]=P2484</f>
        <v>1</v>
      </c>
      <c r="L2484" t="b">
        <f>QHPSelections2016[[#This Row],[Silver]]=S2484</f>
        <v>1</v>
      </c>
      <c r="N2484">
        <v>55059</v>
      </c>
      <c r="O2484" t="s">
        <v>4965</v>
      </c>
      <c r="P2484" t="s">
        <v>5006</v>
      </c>
      <c r="Q2484">
        <v>0</v>
      </c>
      <c r="R2484">
        <v>425</v>
      </c>
      <c r="S2484" s="51">
        <v>5030</v>
      </c>
      <c r="T2484" s="51">
        <v>1003</v>
      </c>
      <c r="U2484">
        <v>28</v>
      </c>
      <c r="V2484" s="51">
        <v>6486</v>
      </c>
    </row>
    <row r="2485" spans="1:22">
      <c r="A2485" s="32" t="s">
        <v>5007</v>
      </c>
      <c r="B2485" s="32" t="s">
        <v>4965</v>
      </c>
      <c r="C2485" s="32" t="s">
        <v>5008</v>
      </c>
      <c r="D2485" s="33" t="s">
        <v>1639</v>
      </c>
      <c r="E2485" s="33">
        <v>38</v>
      </c>
      <c r="F2485" s="33">
        <v>738</v>
      </c>
      <c r="G2485" s="33">
        <v>343</v>
      </c>
      <c r="H2485" s="33" t="s">
        <v>1639</v>
      </c>
      <c r="I2485" s="33">
        <v>1130</v>
      </c>
      <c r="K2485" t="b">
        <f>QHPSelections2016[[#This Row],[County Name]]=P2485</f>
        <v>1</v>
      </c>
      <c r="L2485" t="b">
        <f>QHPSelections2016[[#This Row],[Silver]]=S2485</f>
        <v>1</v>
      </c>
      <c r="N2485">
        <v>55061</v>
      </c>
      <c r="O2485" t="s">
        <v>4965</v>
      </c>
      <c r="P2485" t="s">
        <v>5008</v>
      </c>
      <c r="R2485">
        <v>38</v>
      </c>
      <c r="S2485">
        <v>738</v>
      </c>
      <c r="T2485">
        <v>343</v>
      </c>
      <c r="V2485" s="51">
        <v>1130</v>
      </c>
    </row>
    <row r="2486" spans="1:22">
      <c r="A2486" s="32" t="s">
        <v>5009</v>
      </c>
      <c r="B2486" s="32" t="s">
        <v>4965</v>
      </c>
      <c r="C2486" s="32" t="s">
        <v>5010</v>
      </c>
      <c r="D2486" s="33">
        <v>66</v>
      </c>
      <c r="E2486" s="33">
        <v>171</v>
      </c>
      <c r="F2486" s="33">
        <v>2386</v>
      </c>
      <c r="G2486" s="33">
        <v>1493</v>
      </c>
      <c r="H2486" s="33">
        <v>38</v>
      </c>
      <c r="I2486" s="33">
        <v>4154</v>
      </c>
      <c r="K2486" t="b">
        <f>QHPSelections2016[[#This Row],[County Name]]=P2486</f>
        <v>1</v>
      </c>
      <c r="L2486" t="b">
        <f>QHPSelections2016[[#This Row],[Silver]]=S2486</f>
        <v>1</v>
      </c>
      <c r="N2486">
        <v>55063</v>
      </c>
      <c r="O2486" t="s">
        <v>4965</v>
      </c>
      <c r="P2486" t="s">
        <v>5010</v>
      </c>
      <c r="Q2486">
        <v>66</v>
      </c>
      <c r="R2486">
        <v>171</v>
      </c>
      <c r="S2486" s="51">
        <v>2386</v>
      </c>
      <c r="T2486" s="51">
        <v>1493</v>
      </c>
      <c r="U2486">
        <v>38</v>
      </c>
      <c r="V2486" s="51">
        <v>4154</v>
      </c>
    </row>
    <row r="2487" spans="1:22">
      <c r="A2487" s="32" t="s">
        <v>5011</v>
      </c>
      <c r="B2487" s="32" t="s">
        <v>4965</v>
      </c>
      <c r="C2487" s="32" t="s">
        <v>999</v>
      </c>
      <c r="D2487" s="33" t="s">
        <v>1639</v>
      </c>
      <c r="E2487" s="33">
        <v>50</v>
      </c>
      <c r="F2487" s="33">
        <v>666</v>
      </c>
      <c r="G2487" s="33">
        <v>87</v>
      </c>
      <c r="H2487" s="33" t="s">
        <v>1639</v>
      </c>
      <c r="I2487" s="33">
        <v>822</v>
      </c>
      <c r="K2487" t="b">
        <f>QHPSelections2016[[#This Row],[County Name]]=P2487</f>
        <v>1</v>
      </c>
      <c r="L2487" t="b">
        <f>QHPSelections2016[[#This Row],[Silver]]=S2487</f>
        <v>1</v>
      </c>
      <c r="N2487">
        <v>55065</v>
      </c>
      <c r="O2487" t="s">
        <v>4965</v>
      </c>
      <c r="P2487" t="s">
        <v>999</v>
      </c>
      <c r="R2487">
        <v>50</v>
      </c>
      <c r="S2487">
        <v>666</v>
      </c>
      <c r="T2487">
        <v>87</v>
      </c>
      <c r="V2487">
        <v>822</v>
      </c>
    </row>
    <row r="2488" spans="1:22">
      <c r="A2488" s="32" t="s">
        <v>5012</v>
      </c>
      <c r="B2488" s="32" t="s">
        <v>4965</v>
      </c>
      <c r="C2488" s="32" t="s">
        <v>5013</v>
      </c>
      <c r="D2488" s="33" t="s">
        <v>1639</v>
      </c>
      <c r="E2488" s="33">
        <v>13</v>
      </c>
      <c r="F2488" s="33">
        <v>855</v>
      </c>
      <c r="G2488" s="33">
        <v>281</v>
      </c>
      <c r="H2488" s="33" t="s">
        <v>1639</v>
      </c>
      <c r="I2488" s="33">
        <v>1156</v>
      </c>
      <c r="K2488" t="b">
        <f>QHPSelections2016[[#This Row],[County Name]]=P2488</f>
        <v>1</v>
      </c>
      <c r="L2488" t="b">
        <f>QHPSelections2016[[#This Row],[Silver]]=S2488</f>
        <v>1</v>
      </c>
      <c r="N2488">
        <v>55067</v>
      </c>
      <c r="O2488" t="s">
        <v>4965</v>
      </c>
      <c r="P2488" t="s">
        <v>5013</v>
      </c>
      <c r="R2488">
        <v>13</v>
      </c>
      <c r="S2488">
        <v>855</v>
      </c>
      <c r="T2488">
        <v>281</v>
      </c>
      <c r="V2488" s="51">
        <v>1156</v>
      </c>
    </row>
    <row r="2489" spans="1:22">
      <c r="A2489" s="32" t="s">
        <v>5014</v>
      </c>
      <c r="B2489" s="32" t="s">
        <v>4965</v>
      </c>
      <c r="C2489" s="32" t="s">
        <v>1051</v>
      </c>
      <c r="D2489" s="33">
        <v>0</v>
      </c>
      <c r="E2489" s="33">
        <v>34</v>
      </c>
      <c r="F2489" s="33">
        <v>1131</v>
      </c>
      <c r="G2489" s="33">
        <v>355</v>
      </c>
      <c r="H2489" s="33">
        <v>11</v>
      </c>
      <c r="I2489" s="33">
        <v>1531</v>
      </c>
      <c r="K2489" t="b">
        <f>QHPSelections2016[[#This Row],[County Name]]=P2489</f>
        <v>1</v>
      </c>
      <c r="L2489" t="b">
        <f>QHPSelections2016[[#This Row],[Silver]]=S2489</f>
        <v>1</v>
      </c>
      <c r="N2489">
        <v>55069</v>
      </c>
      <c r="O2489" t="s">
        <v>4965</v>
      </c>
      <c r="P2489" t="s">
        <v>1051</v>
      </c>
      <c r="Q2489">
        <v>0</v>
      </c>
      <c r="R2489">
        <v>34</v>
      </c>
      <c r="S2489" s="51">
        <v>1131</v>
      </c>
      <c r="T2489">
        <v>355</v>
      </c>
      <c r="U2489">
        <v>11</v>
      </c>
      <c r="V2489" s="51">
        <v>1531</v>
      </c>
    </row>
    <row r="2490" spans="1:22">
      <c r="A2490" s="32" t="s">
        <v>5015</v>
      </c>
      <c r="B2490" s="32" t="s">
        <v>4965</v>
      </c>
      <c r="C2490" s="32" t="s">
        <v>5016</v>
      </c>
      <c r="D2490" s="33">
        <v>12</v>
      </c>
      <c r="E2490" s="33">
        <v>133</v>
      </c>
      <c r="F2490" s="33">
        <v>2717</v>
      </c>
      <c r="G2490" s="33">
        <v>881</v>
      </c>
      <c r="H2490" s="33">
        <v>27</v>
      </c>
      <c r="I2490" s="33">
        <v>3770</v>
      </c>
      <c r="K2490" t="b">
        <f>QHPSelections2016[[#This Row],[County Name]]=P2490</f>
        <v>1</v>
      </c>
      <c r="L2490" t="b">
        <f>QHPSelections2016[[#This Row],[Silver]]=S2490</f>
        <v>1</v>
      </c>
      <c r="N2490">
        <v>55071</v>
      </c>
      <c r="O2490" t="s">
        <v>4965</v>
      </c>
      <c r="P2490" t="s">
        <v>5016</v>
      </c>
      <c r="Q2490">
        <v>12</v>
      </c>
      <c r="R2490">
        <v>133</v>
      </c>
      <c r="S2490" s="51">
        <v>2717</v>
      </c>
      <c r="T2490">
        <v>881</v>
      </c>
      <c r="U2490">
        <v>27</v>
      </c>
      <c r="V2490" s="51">
        <v>3770</v>
      </c>
    </row>
    <row r="2491" spans="1:22">
      <c r="A2491" s="32" t="s">
        <v>5017</v>
      </c>
      <c r="B2491" s="32" t="s">
        <v>4965</v>
      </c>
      <c r="C2491" s="32" t="s">
        <v>5018</v>
      </c>
      <c r="D2491" s="33">
        <v>0</v>
      </c>
      <c r="E2491" s="33">
        <v>210</v>
      </c>
      <c r="F2491" s="33">
        <v>4609</v>
      </c>
      <c r="G2491" s="33">
        <v>1648</v>
      </c>
      <c r="H2491" s="33">
        <v>58</v>
      </c>
      <c r="I2491" s="33">
        <v>6525</v>
      </c>
      <c r="K2491" t="b">
        <f>QHPSelections2016[[#This Row],[County Name]]=P2491</f>
        <v>1</v>
      </c>
      <c r="L2491" t="b">
        <f>QHPSelections2016[[#This Row],[Silver]]=S2491</f>
        <v>1</v>
      </c>
      <c r="N2491">
        <v>55073</v>
      </c>
      <c r="O2491" t="s">
        <v>4965</v>
      </c>
      <c r="P2491" t="s">
        <v>5018</v>
      </c>
      <c r="Q2491">
        <v>0</v>
      </c>
      <c r="R2491">
        <v>210</v>
      </c>
      <c r="S2491" s="51">
        <v>4609</v>
      </c>
      <c r="T2491" s="51">
        <v>1648</v>
      </c>
      <c r="U2491">
        <v>58</v>
      </c>
      <c r="V2491" s="51">
        <v>6525</v>
      </c>
    </row>
    <row r="2492" spans="1:22">
      <c r="A2492" s="32" t="s">
        <v>5019</v>
      </c>
      <c r="B2492" s="32" t="s">
        <v>4965</v>
      </c>
      <c r="C2492" s="32" t="s">
        <v>5020</v>
      </c>
      <c r="D2492" s="33" t="s">
        <v>1639</v>
      </c>
      <c r="E2492" s="33">
        <v>71</v>
      </c>
      <c r="F2492" s="33">
        <v>1790</v>
      </c>
      <c r="G2492" s="33">
        <v>496</v>
      </c>
      <c r="H2492" s="33" t="s">
        <v>1639</v>
      </c>
      <c r="I2492" s="33">
        <v>2369</v>
      </c>
      <c r="K2492" t="b">
        <f>QHPSelections2016[[#This Row],[County Name]]=P2492</f>
        <v>1</v>
      </c>
      <c r="L2492" t="b">
        <f>QHPSelections2016[[#This Row],[Silver]]=S2492</f>
        <v>1</v>
      </c>
      <c r="N2492">
        <v>55075</v>
      </c>
      <c r="O2492" t="s">
        <v>4965</v>
      </c>
      <c r="P2492" t="s">
        <v>5020</v>
      </c>
      <c r="R2492">
        <v>71</v>
      </c>
      <c r="S2492" s="51">
        <v>1790</v>
      </c>
      <c r="T2492">
        <v>496</v>
      </c>
      <c r="V2492" s="51">
        <v>2369</v>
      </c>
    </row>
    <row r="2493" spans="1:22">
      <c r="A2493" s="32" t="s">
        <v>5021</v>
      </c>
      <c r="B2493" s="32" t="s">
        <v>4965</v>
      </c>
      <c r="C2493" s="32" t="s">
        <v>2910</v>
      </c>
      <c r="D2493" s="33" t="s">
        <v>1639</v>
      </c>
      <c r="E2493" s="33">
        <v>27</v>
      </c>
      <c r="F2493" s="33">
        <v>456</v>
      </c>
      <c r="G2493" s="33">
        <v>119</v>
      </c>
      <c r="H2493" s="33" t="s">
        <v>1639</v>
      </c>
      <c r="I2493" s="33">
        <v>613</v>
      </c>
      <c r="K2493" t="b">
        <f>QHPSelections2016[[#This Row],[County Name]]=P2493</f>
        <v>1</v>
      </c>
      <c r="L2493" t="b">
        <f>QHPSelections2016[[#This Row],[Silver]]=S2493</f>
        <v>1</v>
      </c>
      <c r="N2493">
        <v>55077</v>
      </c>
      <c r="O2493" t="s">
        <v>4965</v>
      </c>
      <c r="P2493" t="s">
        <v>2910</v>
      </c>
      <c r="R2493">
        <v>27</v>
      </c>
      <c r="S2493">
        <v>456</v>
      </c>
      <c r="T2493">
        <v>119</v>
      </c>
      <c r="V2493">
        <v>613</v>
      </c>
    </row>
    <row r="2494" spans="1:22">
      <c r="A2494" s="32" t="s">
        <v>5022</v>
      </c>
      <c r="B2494" s="32" t="s">
        <v>4965</v>
      </c>
      <c r="C2494" s="32" t="s">
        <v>2915</v>
      </c>
      <c r="D2494" s="33" t="s">
        <v>1639</v>
      </c>
      <c r="E2494" s="33" t="s">
        <v>1639</v>
      </c>
      <c r="F2494" s="33">
        <v>20</v>
      </c>
      <c r="G2494" s="33">
        <v>11</v>
      </c>
      <c r="H2494" s="33">
        <v>0</v>
      </c>
      <c r="I2494" s="33">
        <v>37</v>
      </c>
      <c r="K2494" t="b">
        <f>QHPSelections2016[[#This Row],[County Name]]=P2494</f>
        <v>1</v>
      </c>
      <c r="L2494" t="b">
        <f>QHPSelections2016[[#This Row],[Silver]]=S2494</f>
        <v>1</v>
      </c>
      <c r="N2494">
        <v>55078</v>
      </c>
      <c r="O2494" t="s">
        <v>4965</v>
      </c>
      <c r="P2494" t="s">
        <v>2915</v>
      </c>
      <c r="S2494">
        <v>20</v>
      </c>
      <c r="T2494">
        <v>11</v>
      </c>
      <c r="U2494">
        <v>0</v>
      </c>
      <c r="V2494">
        <v>37</v>
      </c>
    </row>
    <row r="2495" spans="1:22">
      <c r="A2495" s="32" t="s">
        <v>5023</v>
      </c>
      <c r="B2495" s="32" t="s">
        <v>4965</v>
      </c>
      <c r="C2495" s="32" t="s">
        <v>5024</v>
      </c>
      <c r="D2495" s="33">
        <v>0</v>
      </c>
      <c r="E2495" s="33">
        <v>1657</v>
      </c>
      <c r="F2495" s="33">
        <v>27954</v>
      </c>
      <c r="G2495" s="33">
        <v>8426</v>
      </c>
      <c r="H2495" s="33">
        <v>205</v>
      </c>
      <c r="I2495" s="33">
        <v>38242</v>
      </c>
      <c r="K2495" t="b">
        <f>QHPSelections2016[[#This Row],[County Name]]=P2495</f>
        <v>1</v>
      </c>
      <c r="L2495" t="b">
        <f>QHPSelections2016[[#This Row],[Silver]]=S2495</f>
        <v>1</v>
      </c>
      <c r="N2495">
        <v>55079</v>
      </c>
      <c r="O2495" t="s">
        <v>4965</v>
      </c>
      <c r="P2495" t="s">
        <v>5024</v>
      </c>
      <c r="Q2495">
        <v>0</v>
      </c>
      <c r="R2495" s="51">
        <v>1657</v>
      </c>
      <c r="S2495" s="51">
        <v>27954</v>
      </c>
      <c r="T2495" s="51">
        <v>8426</v>
      </c>
      <c r="U2495">
        <v>205</v>
      </c>
      <c r="V2495" s="51">
        <v>38242</v>
      </c>
    </row>
    <row r="2496" spans="1:22">
      <c r="A2496" s="32" t="s">
        <v>5025</v>
      </c>
      <c r="B2496" s="32" t="s">
        <v>4965</v>
      </c>
      <c r="C2496" s="32" t="s">
        <v>1055</v>
      </c>
      <c r="D2496" s="33" t="s">
        <v>1639</v>
      </c>
      <c r="E2496" s="33">
        <v>80</v>
      </c>
      <c r="F2496" s="33">
        <v>934</v>
      </c>
      <c r="G2496" s="33">
        <v>570</v>
      </c>
      <c r="H2496" s="33" t="s">
        <v>1639</v>
      </c>
      <c r="I2496" s="33">
        <v>1622</v>
      </c>
      <c r="K2496" t="b">
        <f>QHPSelections2016[[#This Row],[County Name]]=P2496</f>
        <v>1</v>
      </c>
      <c r="L2496" t="b">
        <f>QHPSelections2016[[#This Row],[Silver]]=S2496</f>
        <v>1</v>
      </c>
      <c r="N2496">
        <v>55081</v>
      </c>
      <c r="O2496" t="s">
        <v>4965</v>
      </c>
      <c r="P2496" t="s">
        <v>1055</v>
      </c>
      <c r="R2496">
        <v>80</v>
      </c>
      <c r="S2496">
        <v>934</v>
      </c>
      <c r="T2496">
        <v>570</v>
      </c>
      <c r="V2496" s="51">
        <v>1622</v>
      </c>
    </row>
    <row r="2497" spans="1:22">
      <c r="A2497" s="32" t="s">
        <v>5026</v>
      </c>
      <c r="B2497" s="32" t="s">
        <v>4965</v>
      </c>
      <c r="C2497" s="32" t="s">
        <v>5027</v>
      </c>
      <c r="D2497" s="33" t="s">
        <v>1639</v>
      </c>
      <c r="E2497" s="33">
        <v>108</v>
      </c>
      <c r="F2497" s="33">
        <v>1476</v>
      </c>
      <c r="G2497" s="33">
        <v>503</v>
      </c>
      <c r="H2497" s="33" t="s">
        <v>1639</v>
      </c>
      <c r="I2497" s="33">
        <v>2109</v>
      </c>
      <c r="K2497" t="b">
        <f>QHPSelections2016[[#This Row],[County Name]]=P2497</f>
        <v>1</v>
      </c>
      <c r="L2497" t="b">
        <f>QHPSelections2016[[#This Row],[Silver]]=S2497</f>
        <v>1</v>
      </c>
      <c r="N2497">
        <v>55083</v>
      </c>
      <c r="O2497" t="s">
        <v>4965</v>
      </c>
      <c r="P2497" t="s">
        <v>5027</v>
      </c>
      <c r="R2497">
        <v>108</v>
      </c>
      <c r="S2497" s="51">
        <v>1476</v>
      </c>
      <c r="T2497">
        <v>503</v>
      </c>
      <c r="V2497" s="51">
        <v>2109</v>
      </c>
    </row>
    <row r="2498" spans="1:22">
      <c r="A2498" s="32" t="s">
        <v>5028</v>
      </c>
      <c r="B2498" s="32" t="s">
        <v>4965</v>
      </c>
      <c r="C2498" s="32" t="s">
        <v>5029</v>
      </c>
      <c r="D2498" s="33" t="s">
        <v>1639</v>
      </c>
      <c r="E2498" s="33">
        <v>69</v>
      </c>
      <c r="F2498" s="33">
        <v>1840</v>
      </c>
      <c r="G2498" s="33">
        <v>780</v>
      </c>
      <c r="H2498" s="33" t="s">
        <v>1639</v>
      </c>
      <c r="I2498" s="33">
        <v>2699</v>
      </c>
      <c r="K2498" t="b">
        <f>QHPSelections2016[[#This Row],[County Name]]=P2498</f>
        <v>1</v>
      </c>
      <c r="L2498" t="b">
        <f>QHPSelections2016[[#This Row],[Silver]]=S2498</f>
        <v>1</v>
      </c>
      <c r="N2498">
        <v>55085</v>
      </c>
      <c r="O2498" t="s">
        <v>4965</v>
      </c>
      <c r="P2498" t="s">
        <v>5029</v>
      </c>
      <c r="R2498">
        <v>69</v>
      </c>
      <c r="S2498" s="51">
        <v>1840</v>
      </c>
      <c r="T2498">
        <v>780</v>
      </c>
      <c r="V2498" s="51">
        <v>2699</v>
      </c>
    </row>
    <row r="2499" spans="1:22">
      <c r="A2499" s="32" t="s">
        <v>5030</v>
      </c>
      <c r="B2499" s="32" t="s">
        <v>4965</v>
      </c>
      <c r="C2499" s="32" t="s">
        <v>5031</v>
      </c>
      <c r="D2499" s="33" t="s">
        <v>1639</v>
      </c>
      <c r="E2499" s="33">
        <v>326</v>
      </c>
      <c r="F2499" s="33">
        <v>5237</v>
      </c>
      <c r="G2499" s="33">
        <v>1605</v>
      </c>
      <c r="H2499" s="33" t="s">
        <v>1639</v>
      </c>
      <c r="I2499" s="33">
        <v>7223</v>
      </c>
      <c r="K2499" t="b">
        <f>QHPSelections2016[[#This Row],[County Name]]=P2499</f>
        <v>1</v>
      </c>
      <c r="L2499" t="b">
        <f>QHPSelections2016[[#This Row],[Silver]]=S2499</f>
        <v>1</v>
      </c>
      <c r="N2499">
        <v>55087</v>
      </c>
      <c r="O2499" t="s">
        <v>4965</v>
      </c>
      <c r="P2499" t="s">
        <v>5031</v>
      </c>
      <c r="R2499">
        <v>326</v>
      </c>
      <c r="S2499" s="51">
        <v>5237</v>
      </c>
      <c r="T2499" s="51">
        <v>1605</v>
      </c>
      <c r="V2499" s="51">
        <v>7223</v>
      </c>
    </row>
    <row r="2500" spans="1:22">
      <c r="A2500" s="32" t="s">
        <v>5032</v>
      </c>
      <c r="B2500" s="32" t="s">
        <v>4965</v>
      </c>
      <c r="C2500" s="32" t="s">
        <v>5033</v>
      </c>
      <c r="D2500" s="33">
        <v>0</v>
      </c>
      <c r="E2500" s="33">
        <v>325</v>
      </c>
      <c r="F2500" s="33">
        <v>3003</v>
      </c>
      <c r="G2500" s="33">
        <v>925</v>
      </c>
      <c r="H2500" s="33">
        <v>12</v>
      </c>
      <c r="I2500" s="33">
        <v>4265</v>
      </c>
      <c r="K2500" t="b">
        <f>QHPSelections2016[[#This Row],[County Name]]=P2500</f>
        <v>1</v>
      </c>
      <c r="L2500" t="b">
        <f>QHPSelections2016[[#This Row],[Silver]]=S2500</f>
        <v>1</v>
      </c>
      <c r="N2500">
        <v>55089</v>
      </c>
      <c r="O2500" t="s">
        <v>4965</v>
      </c>
      <c r="P2500" t="s">
        <v>5033</v>
      </c>
      <c r="Q2500">
        <v>0</v>
      </c>
      <c r="R2500">
        <v>325</v>
      </c>
      <c r="S2500" s="51">
        <v>3003</v>
      </c>
      <c r="T2500">
        <v>925</v>
      </c>
      <c r="U2500">
        <v>12</v>
      </c>
      <c r="V2500" s="51">
        <v>4265</v>
      </c>
    </row>
    <row r="2501" spans="1:22">
      <c r="A2501" s="32" t="s">
        <v>5034</v>
      </c>
      <c r="B2501" s="32" t="s">
        <v>4965</v>
      </c>
      <c r="C2501" s="32" t="s">
        <v>5035</v>
      </c>
      <c r="D2501" s="33" t="s">
        <v>1639</v>
      </c>
      <c r="E2501" s="33">
        <v>11</v>
      </c>
      <c r="F2501" s="33">
        <v>294</v>
      </c>
      <c r="G2501" s="33">
        <v>149</v>
      </c>
      <c r="H2501" s="33" t="s">
        <v>1639</v>
      </c>
      <c r="I2501" s="33">
        <v>458</v>
      </c>
      <c r="K2501" t="b">
        <f>QHPSelections2016[[#This Row],[County Name]]=P2501</f>
        <v>1</v>
      </c>
      <c r="L2501" t="b">
        <f>QHPSelections2016[[#This Row],[Silver]]=S2501</f>
        <v>1</v>
      </c>
      <c r="N2501">
        <v>55091</v>
      </c>
      <c r="O2501" t="s">
        <v>4965</v>
      </c>
      <c r="P2501" t="s">
        <v>5035</v>
      </c>
      <c r="R2501">
        <v>11</v>
      </c>
      <c r="S2501">
        <v>294</v>
      </c>
      <c r="T2501">
        <v>149</v>
      </c>
      <c r="V2501">
        <v>458</v>
      </c>
    </row>
    <row r="2502" spans="1:22">
      <c r="A2502" s="32" t="s">
        <v>5036</v>
      </c>
      <c r="B2502" s="32" t="s">
        <v>4965</v>
      </c>
      <c r="C2502" s="32" t="s">
        <v>1287</v>
      </c>
      <c r="D2502" s="33">
        <v>0</v>
      </c>
      <c r="E2502" s="33">
        <v>160</v>
      </c>
      <c r="F2502" s="33">
        <v>1060</v>
      </c>
      <c r="G2502" s="33">
        <v>398</v>
      </c>
      <c r="H2502" s="33">
        <v>27</v>
      </c>
      <c r="I2502" s="33">
        <v>1645</v>
      </c>
      <c r="K2502" t="b">
        <f>QHPSelections2016[[#This Row],[County Name]]=P2502</f>
        <v>1</v>
      </c>
      <c r="L2502" t="b">
        <f>QHPSelections2016[[#This Row],[Silver]]=S2502</f>
        <v>1</v>
      </c>
      <c r="N2502">
        <v>55093</v>
      </c>
      <c r="O2502" t="s">
        <v>4965</v>
      </c>
      <c r="P2502" t="s">
        <v>1287</v>
      </c>
      <c r="Q2502">
        <v>0</v>
      </c>
      <c r="R2502">
        <v>160</v>
      </c>
      <c r="S2502" s="51">
        <v>1060</v>
      </c>
      <c r="T2502">
        <v>398</v>
      </c>
      <c r="U2502">
        <v>27</v>
      </c>
      <c r="V2502" s="51">
        <v>1645</v>
      </c>
    </row>
    <row r="2503" spans="1:22">
      <c r="A2503" s="32" t="s">
        <v>5037</v>
      </c>
      <c r="B2503" s="32" t="s">
        <v>4965</v>
      </c>
      <c r="C2503" s="32" t="s">
        <v>1098</v>
      </c>
      <c r="D2503" s="33">
        <v>0</v>
      </c>
      <c r="E2503" s="33">
        <v>164</v>
      </c>
      <c r="F2503" s="33">
        <v>1598</v>
      </c>
      <c r="G2503" s="33">
        <v>650</v>
      </c>
      <c r="H2503" s="33">
        <v>18</v>
      </c>
      <c r="I2503" s="33">
        <v>2430</v>
      </c>
      <c r="K2503" t="b">
        <f>QHPSelections2016[[#This Row],[County Name]]=P2503</f>
        <v>1</v>
      </c>
      <c r="L2503" t="b">
        <f>QHPSelections2016[[#This Row],[Silver]]=S2503</f>
        <v>1</v>
      </c>
      <c r="N2503">
        <v>55095</v>
      </c>
      <c r="O2503" t="s">
        <v>4965</v>
      </c>
      <c r="P2503" t="s">
        <v>1098</v>
      </c>
      <c r="Q2503">
        <v>0</v>
      </c>
      <c r="R2503">
        <v>164</v>
      </c>
      <c r="S2503" s="51">
        <v>1598</v>
      </c>
      <c r="T2503">
        <v>650</v>
      </c>
      <c r="U2503">
        <v>18</v>
      </c>
      <c r="V2503" s="51">
        <v>2430</v>
      </c>
    </row>
    <row r="2504" spans="1:22">
      <c r="A2504" s="32" t="s">
        <v>5038</v>
      </c>
      <c r="B2504" s="32" t="s">
        <v>4965</v>
      </c>
      <c r="C2504" s="32" t="s">
        <v>3863</v>
      </c>
      <c r="D2504" s="33">
        <v>0</v>
      </c>
      <c r="E2504" s="33">
        <v>64</v>
      </c>
      <c r="F2504" s="33">
        <v>2503</v>
      </c>
      <c r="G2504" s="33">
        <v>797</v>
      </c>
      <c r="H2504" s="33">
        <v>20</v>
      </c>
      <c r="I2504" s="33">
        <v>3384</v>
      </c>
      <c r="K2504" t="b">
        <f>QHPSelections2016[[#This Row],[County Name]]=P2504</f>
        <v>1</v>
      </c>
      <c r="L2504" t="b">
        <f>QHPSelections2016[[#This Row],[Silver]]=S2504</f>
        <v>1</v>
      </c>
      <c r="N2504">
        <v>55097</v>
      </c>
      <c r="O2504" t="s">
        <v>4965</v>
      </c>
      <c r="P2504" t="s">
        <v>3863</v>
      </c>
      <c r="Q2504">
        <v>0</v>
      </c>
      <c r="R2504">
        <v>64</v>
      </c>
      <c r="S2504" s="51">
        <v>2503</v>
      </c>
      <c r="T2504">
        <v>797</v>
      </c>
      <c r="U2504">
        <v>20</v>
      </c>
      <c r="V2504" s="51">
        <v>3384</v>
      </c>
    </row>
    <row r="2505" spans="1:22">
      <c r="A2505" s="32" t="s">
        <v>5039</v>
      </c>
      <c r="B2505" s="32" t="s">
        <v>4965</v>
      </c>
      <c r="C2505" s="32" t="s">
        <v>5040</v>
      </c>
      <c r="D2505" s="33">
        <v>0</v>
      </c>
      <c r="E2505" s="33">
        <v>24</v>
      </c>
      <c r="F2505" s="33">
        <v>630</v>
      </c>
      <c r="G2505" s="33">
        <v>228</v>
      </c>
      <c r="H2505" s="33">
        <v>11</v>
      </c>
      <c r="I2505" s="33">
        <v>893</v>
      </c>
      <c r="K2505" t="b">
        <f>QHPSelections2016[[#This Row],[County Name]]=P2505</f>
        <v>1</v>
      </c>
      <c r="L2505" t="b">
        <f>QHPSelections2016[[#This Row],[Silver]]=S2505</f>
        <v>1</v>
      </c>
      <c r="N2505">
        <v>55099</v>
      </c>
      <c r="O2505" t="s">
        <v>4965</v>
      </c>
      <c r="P2505" t="s">
        <v>5040</v>
      </c>
      <c r="Q2505">
        <v>0</v>
      </c>
      <c r="R2505">
        <v>24</v>
      </c>
      <c r="S2505">
        <v>630</v>
      </c>
      <c r="T2505">
        <v>228</v>
      </c>
      <c r="U2505">
        <v>11</v>
      </c>
      <c r="V2505">
        <v>893</v>
      </c>
    </row>
    <row r="2506" spans="1:22">
      <c r="A2506" s="32" t="s">
        <v>5041</v>
      </c>
      <c r="B2506" s="32" t="s">
        <v>4965</v>
      </c>
      <c r="C2506" s="32" t="s">
        <v>5042</v>
      </c>
      <c r="D2506" s="33">
        <v>0</v>
      </c>
      <c r="E2506" s="33">
        <v>424</v>
      </c>
      <c r="F2506" s="33">
        <v>5409</v>
      </c>
      <c r="G2506" s="33">
        <v>1293</v>
      </c>
      <c r="H2506" s="33">
        <v>25</v>
      </c>
      <c r="I2506" s="33">
        <v>7151</v>
      </c>
      <c r="K2506" t="b">
        <f>QHPSelections2016[[#This Row],[County Name]]=P2506</f>
        <v>1</v>
      </c>
      <c r="L2506" t="b">
        <f>QHPSelections2016[[#This Row],[Silver]]=S2506</f>
        <v>1</v>
      </c>
      <c r="N2506">
        <v>55101</v>
      </c>
      <c r="O2506" t="s">
        <v>4965</v>
      </c>
      <c r="P2506" t="s">
        <v>5042</v>
      </c>
      <c r="Q2506">
        <v>0</v>
      </c>
      <c r="R2506">
        <v>424</v>
      </c>
      <c r="S2506" s="51">
        <v>5409</v>
      </c>
      <c r="T2506" s="51">
        <v>1293</v>
      </c>
      <c r="U2506">
        <v>25</v>
      </c>
      <c r="V2506" s="51">
        <v>7151</v>
      </c>
    </row>
    <row r="2507" spans="1:22">
      <c r="A2507" s="32" t="s">
        <v>5043</v>
      </c>
      <c r="B2507" s="32" t="s">
        <v>4965</v>
      </c>
      <c r="C2507" s="32" t="s">
        <v>2400</v>
      </c>
      <c r="D2507" s="33" t="s">
        <v>1639</v>
      </c>
      <c r="E2507" s="33">
        <v>15</v>
      </c>
      <c r="F2507" s="33">
        <v>605</v>
      </c>
      <c r="G2507" s="33">
        <v>89</v>
      </c>
      <c r="H2507" s="33" t="s">
        <v>1639</v>
      </c>
      <c r="I2507" s="33">
        <v>724</v>
      </c>
      <c r="K2507" t="b">
        <f>QHPSelections2016[[#This Row],[County Name]]=P2507</f>
        <v>1</v>
      </c>
      <c r="L2507" t="b">
        <f>QHPSelections2016[[#This Row],[Silver]]=S2507</f>
        <v>1</v>
      </c>
      <c r="N2507">
        <v>55103</v>
      </c>
      <c r="O2507" t="s">
        <v>4965</v>
      </c>
      <c r="P2507" t="s">
        <v>2400</v>
      </c>
      <c r="R2507">
        <v>15</v>
      </c>
      <c r="S2507">
        <v>605</v>
      </c>
      <c r="T2507">
        <v>89</v>
      </c>
      <c r="V2507">
        <v>724</v>
      </c>
    </row>
    <row r="2508" spans="1:22">
      <c r="A2508" s="32" t="s">
        <v>5044</v>
      </c>
      <c r="B2508" s="32" t="s">
        <v>4965</v>
      </c>
      <c r="C2508" s="32" t="s">
        <v>3607</v>
      </c>
      <c r="D2508" s="33">
        <v>105</v>
      </c>
      <c r="E2508" s="33">
        <v>269</v>
      </c>
      <c r="F2508" s="33">
        <v>3774</v>
      </c>
      <c r="G2508" s="33">
        <v>810</v>
      </c>
      <c r="H2508" s="33">
        <v>49</v>
      </c>
      <c r="I2508" s="33">
        <v>5007</v>
      </c>
      <c r="K2508" t="b">
        <f>QHPSelections2016[[#This Row],[County Name]]=P2508</f>
        <v>1</v>
      </c>
      <c r="L2508" t="b">
        <f>QHPSelections2016[[#This Row],[Silver]]=S2508</f>
        <v>1</v>
      </c>
      <c r="N2508">
        <v>55105</v>
      </c>
      <c r="O2508" t="s">
        <v>4965</v>
      </c>
      <c r="P2508" t="s">
        <v>3607</v>
      </c>
      <c r="Q2508">
        <v>105</v>
      </c>
      <c r="R2508">
        <v>269</v>
      </c>
      <c r="S2508" s="51">
        <v>3774</v>
      </c>
      <c r="T2508">
        <v>810</v>
      </c>
      <c r="U2508">
        <v>49</v>
      </c>
      <c r="V2508" s="51">
        <v>5007</v>
      </c>
    </row>
    <row r="2509" spans="1:22">
      <c r="A2509" s="32" t="s">
        <v>5045</v>
      </c>
      <c r="B2509" s="32" t="s">
        <v>4965</v>
      </c>
      <c r="C2509" s="32" t="s">
        <v>1377</v>
      </c>
      <c r="D2509" s="33" t="s">
        <v>1639</v>
      </c>
      <c r="E2509" s="33">
        <v>16</v>
      </c>
      <c r="F2509" s="33">
        <v>613</v>
      </c>
      <c r="G2509" s="33">
        <v>200</v>
      </c>
      <c r="H2509" s="33" t="s">
        <v>1639</v>
      </c>
      <c r="I2509" s="33">
        <v>833</v>
      </c>
      <c r="K2509" t="b">
        <f>QHPSelections2016[[#This Row],[County Name]]=P2509</f>
        <v>1</v>
      </c>
      <c r="L2509" t="b">
        <f>QHPSelections2016[[#This Row],[Silver]]=S2509</f>
        <v>1</v>
      </c>
      <c r="N2509">
        <v>55107</v>
      </c>
      <c r="O2509" t="s">
        <v>4965</v>
      </c>
      <c r="P2509" t="s">
        <v>1377</v>
      </c>
      <c r="R2509">
        <v>16</v>
      </c>
      <c r="S2509">
        <v>613</v>
      </c>
      <c r="T2509">
        <v>200</v>
      </c>
      <c r="V2509">
        <v>833</v>
      </c>
    </row>
    <row r="2510" spans="1:22">
      <c r="A2510" s="32" t="s">
        <v>5046</v>
      </c>
      <c r="B2510" s="32" t="s">
        <v>4965</v>
      </c>
      <c r="C2510" s="32" t="s">
        <v>5047</v>
      </c>
      <c r="D2510" s="33">
        <v>0</v>
      </c>
      <c r="E2510" s="33">
        <v>354</v>
      </c>
      <c r="F2510" s="33">
        <v>2064</v>
      </c>
      <c r="G2510" s="33">
        <v>935</v>
      </c>
      <c r="H2510" s="33">
        <v>46</v>
      </c>
      <c r="I2510" s="33">
        <v>3399</v>
      </c>
      <c r="K2510" t="b">
        <f>QHPSelections2016[[#This Row],[County Name]]=P2510</f>
        <v>0</v>
      </c>
      <c r="L2510" t="b">
        <f>QHPSelections2016[[#This Row],[Silver]]=S2510</f>
        <v>0</v>
      </c>
      <c r="N2510">
        <v>55111</v>
      </c>
      <c r="O2510" t="s">
        <v>4965</v>
      </c>
      <c r="P2510" t="s">
        <v>5049</v>
      </c>
      <c r="Q2510">
        <v>74</v>
      </c>
      <c r="R2510">
        <v>97</v>
      </c>
      <c r="S2510" s="51">
        <v>1888</v>
      </c>
      <c r="T2510">
        <v>348</v>
      </c>
      <c r="U2510">
        <v>17</v>
      </c>
      <c r="V2510" s="51">
        <v>2424</v>
      </c>
    </row>
    <row r="2511" spans="1:22">
      <c r="A2511" s="32" t="s">
        <v>5048</v>
      </c>
      <c r="B2511" s="32" t="s">
        <v>4965</v>
      </c>
      <c r="C2511" s="32" t="s">
        <v>5049</v>
      </c>
      <c r="D2511" s="33">
        <v>74</v>
      </c>
      <c r="E2511" s="33">
        <v>97</v>
      </c>
      <c r="F2511" s="33">
        <v>1888</v>
      </c>
      <c r="G2511" s="33">
        <v>348</v>
      </c>
      <c r="H2511" s="33">
        <v>17</v>
      </c>
      <c r="I2511" s="33">
        <v>2424</v>
      </c>
      <c r="K2511" t="b">
        <f>QHPSelections2016[[#This Row],[County Name]]=P2511</f>
        <v>0</v>
      </c>
      <c r="L2511" t="b">
        <f>QHPSelections2016[[#This Row],[Silver]]=S2511</f>
        <v>0</v>
      </c>
      <c r="N2511">
        <v>55113</v>
      </c>
      <c r="O2511" t="s">
        <v>4965</v>
      </c>
      <c r="P2511" t="s">
        <v>5051</v>
      </c>
      <c r="R2511">
        <v>37</v>
      </c>
      <c r="S2511">
        <v>603</v>
      </c>
      <c r="T2511">
        <v>339</v>
      </c>
      <c r="V2511">
        <v>983</v>
      </c>
    </row>
    <row r="2512" spans="1:22">
      <c r="A2512" s="32" t="s">
        <v>5050</v>
      </c>
      <c r="B2512" s="32" t="s">
        <v>4965</v>
      </c>
      <c r="C2512" s="32" t="s">
        <v>5051</v>
      </c>
      <c r="D2512" s="33" t="s">
        <v>1639</v>
      </c>
      <c r="E2512" s="33">
        <v>37</v>
      </c>
      <c r="F2512" s="33">
        <v>603</v>
      </c>
      <c r="G2512" s="33">
        <v>339</v>
      </c>
      <c r="H2512" s="33" t="s">
        <v>1639</v>
      </c>
      <c r="I2512" s="33">
        <v>983</v>
      </c>
      <c r="K2512" t="b">
        <f>QHPSelections2016[[#This Row],[County Name]]=P2512</f>
        <v>0</v>
      </c>
      <c r="L2512" t="b">
        <f>QHPSelections2016[[#This Row],[Silver]]=S2512</f>
        <v>0</v>
      </c>
      <c r="N2512">
        <v>55115</v>
      </c>
      <c r="O2512" t="s">
        <v>4965</v>
      </c>
      <c r="P2512" t="s">
        <v>5053</v>
      </c>
      <c r="R2512">
        <v>95</v>
      </c>
      <c r="S2512" s="51">
        <v>1666</v>
      </c>
      <c r="T2512">
        <v>549</v>
      </c>
      <c r="V2512" s="51">
        <v>2327</v>
      </c>
    </row>
    <row r="2513" spans="1:22">
      <c r="A2513" s="32" t="s">
        <v>5052</v>
      </c>
      <c r="B2513" s="32" t="s">
        <v>4965</v>
      </c>
      <c r="C2513" s="32" t="s">
        <v>5053</v>
      </c>
      <c r="D2513" s="33" t="s">
        <v>1639</v>
      </c>
      <c r="E2513" s="33">
        <v>95</v>
      </c>
      <c r="F2513" s="33">
        <v>1666</v>
      </c>
      <c r="G2513" s="33">
        <v>549</v>
      </c>
      <c r="H2513" s="33" t="s">
        <v>1639</v>
      </c>
      <c r="I2513" s="33">
        <v>2327</v>
      </c>
      <c r="K2513" t="b">
        <f>QHPSelections2016[[#This Row],[County Name]]=P2513</f>
        <v>0</v>
      </c>
      <c r="L2513" t="b">
        <f>QHPSelections2016[[#This Row],[Silver]]=S2513</f>
        <v>0</v>
      </c>
      <c r="N2513">
        <v>55117</v>
      </c>
      <c r="O2513" t="s">
        <v>4965</v>
      </c>
      <c r="P2513" t="s">
        <v>5055</v>
      </c>
      <c r="R2513">
        <v>229</v>
      </c>
      <c r="S2513" s="51">
        <v>3177</v>
      </c>
      <c r="T2513" s="51">
        <v>1117</v>
      </c>
      <c r="V2513" s="51">
        <v>4564</v>
      </c>
    </row>
    <row r="2514" spans="1:22">
      <c r="A2514" s="32" t="s">
        <v>5054</v>
      </c>
      <c r="B2514" s="32" t="s">
        <v>4965</v>
      </c>
      <c r="C2514" s="32" t="s">
        <v>5055</v>
      </c>
      <c r="D2514" s="33" t="s">
        <v>1639</v>
      </c>
      <c r="E2514" s="33">
        <v>229</v>
      </c>
      <c r="F2514" s="33">
        <v>3177</v>
      </c>
      <c r="G2514" s="33">
        <v>1117</v>
      </c>
      <c r="H2514" s="33" t="s">
        <v>1639</v>
      </c>
      <c r="I2514" s="33">
        <v>4564</v>
      </c>
      <c r="K2514" t="b">
        <f>QHPSelections2016[[#This Row],[County Name]]=P2514</f>
        <v>0</v>
      </c>
      <c r="L2514" t="b">
        <f>QHPSelections2016[[#This Row],[Silver]]=S2514</f>
        <v>0</v>
      </c>
      <c r="N2514">
        <v>55109</v>
      </c>
      <c r="O2514" t="s">
        <v>4965</v>
      </c>
      <c r="P2514" t="s">
        <v>5047</v>
      </c>
      <c r="Q2514">
        <v>0</v>
      </c>
      <c r="R2514">
        <v>354</v>
      </c>
      <c r="S2514" s="51">
        <v>2064</v>
      </c>
      <c r="T2514">
        <v>935</v>
      </c>
      <c r="U2514">
        <v>46</v>
      </c>
      <c r="V2514" s="51">
        <v>3399</v>
      </c>
    </row>
    <row r="2515" spans="1:22">
      <c r="A2515" s="32" t="s">
        <v>5056</v>
      </c>
      <c r="B2515" s="32" t="s">
        <v>4965</v>
      </c>
      <c r="C2515" s="32" t="s">
        <v>1144</v>
      </c>
      <c r="D2515" s="33">
        <v>0</v>
      </c>
      <c r="E2515" s="33" t="s">
        <v>1639</v>
      </c>
      <c r="F2515" s="33">
        <v>776</v>
      </c>
      <c r="G2515" s="33">
        <v>387</v>
      </c>
      <c r="H2515" s="33" t="s">
        <v>1639</v>
      </c>
      <c r="I2515" s="33">
        <v>1169</v>
      </c>
      <c r="K2515" t="b">
        <f>QHPSelections2016[[#This Row],[County Name]]=P2515</f>
        <v>1</v>
      </c>
      <c r="L2515" t="b">
        <f>QHPSelections2016[[#This Row],[Silver]]=S2515</f>
        <v>1</v>
      </c>
      <c r="N2515">
        <v>55119</v>
      </c>
      <c r="O2515" t="s">
        <v>4965</v>
      </c>
      <c r="P2515" t="s">
        <v>1144</v>
      </c>
      <c r="Q2515">
        <v>0</v>
      </c>
      <c r="S2515">
        <v>776</v>
      </c>
      <c r="T2515">
        <v>387</v>
      </c>
      <c r="V2515" s="51">
        <v>1169</v>
      </c>
    </row>
    <row r="2516" spans="1:22">
      <c r="A2516" s="32" t="s">
        <v>5057</v>
      </c>
      <c r="B2516" s="32" t="s">
        <v>4965</v>
      </c>
      <c r="C2516" s="32" t="s">
        <v>5058</v>
      </c>
      <c r="D2516" s="33">
        <v>18</v>
      </c>
      <c r="E2516" s="33">
        <v>55</v>
      </c>
      <c r="F2516" s="33">
        <v>721</v>
      </c>
      <c r="G2516" s="33">
        <v>374</v>
      </c>
      <c r="H2516" s="33">
        <v>13</v>
      </c>
      <c r="I2516" s="33">
        <v>1181</v>
      </c>
      <c r="K2516" t="b">
        <f>QHPSelections2016[[#This Row],[County Name]]=P2516</f>
        <v>1</v>
      </c>
      <c r="L2516" t="b">
        <f>QHPSelections2016[[#This Row],[Silver]]=S2516</f>
        <v>1</v>
      </c>
      <c r="N2516">
        <v>55121</v>
      </c>
      <c r="O2516" t="s">
        <v>4965</v>
      </c>
      <c r="P2516" t="s">
        <v>5058</v>
      </c>
      <c r="Q2516">
        <v>18</v>
      </c>
      <c r="R2516">
        <v>55</v>
      </c>
      <c r="S2516">
        <v>721</v>
      </c>
      <c r="T2516">
        <v>374</v>
      </c>
      <c r="U2516">
        <v>13</v>
      </c>
      <c r="V2516" s="51">
        <v>1181</v>
      </c>
    </row>
    <row r="2517" spans="1:22">
      <c r="A2517" s="32" t="s">
        <v>5059</v>
      </c>
      <c r="B2517" s="32" t="s">
        <v>4965</v>
      </c>
      <c r="C2517" s="32" t="s">
        <v>3112</v>
      </c>
      <c r="D2517" s="33" t="s">
        <v>1639</v>
      </c>
      <c r="E2517" s="33">
        <v>29</v>
      </c>
      <c r="F2517" s="33">
        <v>704</v>
      </c>
      <c r="G2517" s="33">
        <v>459</v>
      </c>
      <c r="H2517" s="33" t="s">
        <v>1639</v>
      </c>
      <c r="I2517" s="33">
        <v>1217</v>
      </c>
      <c r="K2517" t="b">
        <f>QHPSelections2016[[#This Row],[County Name]]=P2517</f>
        <v>1</v>
      </c>
      <c r="L2517" t="b">
        <f>QHPSelections2016[[#This Row],[Silver]]=S2517</f>
        <v>1</v>
      </c>
      <c r="N2517">
        <v>55123</v>
      </c>
      <c r="O2517" t="s">
        <v>4965</v>
      </c>
      <c r="P2517" t="s">
        <v>3112</v>
      </c>
      <c r="R2517">
        <v>29</v>
      </c>
      <c r="S2517">
        <v>704</v>
      </c>
      <c r="T2517">
        <v>459</v>
      </c>
      <c r="V2517" s="51">
        <v>1217</v>
      </c>
    </row>
    <row r="2518" spans="1:22">
      <c r="A2518" s="32" t="s">
        <v>5060</v>
      </c>
      <c r="B2518" s="32" t="s">
        <v>4965</v>
      </c>
      <c r="C2518" s="32" t="s">
        <v>5061</v>
      </c>
      <c r="D2518" s="33" t="s">
        <v>1639</v>
      </c>
      <c r="E2518" s="33">
        <v>56</v>
      </c>
      <c r="F2518" s="33">
        <v>1493</v>
      </c>
      <c r="G2518" s="33">
        <v>589</v>
      </c>
      <c r="H2518" s="33" t="s">
        <v>1639</v>
      </c>
      <c r="I2518" s="33">
        <v>2145</v>
      </c>
      <c r="K2518" t="b">
        <f>QHPSelections2016[[#This Row],[County Name]]=P2518</f>
        <v>1</v>
      </c>
      <c r="L2518" t="b">
        <f>QHPSelections2016[[#This Row],[Silver]]=S2518</f>
        <v>1</v>
      </c>
      <c r="N2518">
        <v>55125</v>
      </c>
      <c r="O2518" t="s">
        <v>4965</v>
      </c>
      <c r="P2518" t="s">
        <v>5061</v>
      </c>
      <c r="R2518">
        <v>56</v>
      </c>
      <c r="S2518" s="51">
        <v>1493</v>
      </c>
      <c r="T2518">
        <v>589</v>
      </c>
      <c r="V2518" s="51">
        <v>2145</v>
      </c>
    </row>
    <row r="2519" spans="1:22">
      <c r="A2519" s="32" t="s">
        <v>5062</v>
      </c>
      <c r="B2519" s="32" t="s">
        <v>4965</v>
      </c>
      <c r="C2519" s="32" t="s">
        <v>4342</v>
      </c>
      <c r="D2519" s="33">
        <v>26</v>
      </c>
      <c r="E2519" s="33">
        <v>249</v>
      </c>
      <c r="F2519" s="33">
        <v>3350</v>
      </c>
      <c r="G2519" s="33">
        <v>1321</v>
      </c>
      <c r="H2519" s="33">
        <v>55</v>
      </c>
      <c r="I2519" s="33">
        <v>5001</v>
      </c>
      <c r="K2519" t="b">
        <f>QHPSelections2016[[#This Row],[County Name]]=P2519</f>
        <v>1</v>
      </c>
      <c r="L2519" t="b">
        <f>QHPSelections2016[[#This Row],[Silver]]=S2519</f>
        <v>1</v>
      </c>
      <c r="N2519">
        <v>55127</v>
      </c>
      <c r="O2519" t="s">
        <v>4965</v>
      </c>
      <c r="P2519" t="s">
        <v>4342</v>
      </c>
      <c r="Q2519">
        <v>26</v>
      </c>
      <c r="R2519">
        <v>249</v>
      </c>
      <c r="S2519" s="51">
        <v>3350</v>
      </c>
      <c r="T2519" s="51">
        <v>1321</v>
      </c>
      <c r="U2519">
        <v>55</v>
      </c>
      <c r="V2519" s="51">
        <v>5001</v>
      </c>
    </row>
    <row r="2520" spans="1:22">
      <c r="A2520" s="32" t="s">
        <v>5063</v>
      </c>
      <c r="B2520" s="32" t="s">
        <v>4965</v>
      </c>
      <c r="C2520" s="32" t="s">
        <v>5064</v>
      </c>
      <c r="D2520" s="33" t="s">
        <v>1639</v>
      </c>
      <c r="E2520" s="33">
        <v>36</v>
      </c>
      <c r="F2520" s="33">
        <v>687</v>
      </c>
      <c r="G2520" s="33">
        <v>262</v>
      </c>
      <c r="H2520" s="33" t="s">
        <v>1639</v>
      </c>
      <c r="I2520" s="33">
        <v>993</v>
      </c>
      <c r="K2520" t="b">
        <f>QHPSelections2016[[#This Row],[County Name]]=P2520</f>
        <v>1</v>
      </c>
      <c r="L2520" t="b">
        <f>QHPSelections2016[[#This Row],[Silver]]=S2520</f>
        <v>1</v>
      </c>
      <c r="N2520">
        <v>55129</v>
      </c>
      <c r="O2520" t="s">
        <v>4965</v>
      </c>
      <c r="P2520" t="s">
        <v>5064</v>
      </c>
      <c r="R2520">
        <v>36</v>
      </c>
      <c r="S2520">
        <v>687</v>
      </c>
      <c r="T2520">
        <v>262</v>
      </c>
      <c r="V2520">
        <v>993</v>
      </c>
    </row>
    <row r="2521" spans="1:22">
      <c r="A2521" s="32" t="s">
        <v>5065</v>
      </c>
      <c r="B2521" s="32" t="s">
        <v>4965</v>
      </c>
      <c r="C2521" s="32" t="s">
        <v>1160</v>
      </c>
      <c r="D2521" s="33">
        <v>0</v>
      </c>
      <c r="E2521" s="33">
        <v>306</v>
      </c>
      <c r="F2521" s="33">
        <v>4069</v>
      </c>
      <c r="G2521" s="33">
        <v>1280</v>
      </c>
      <c r="H2521" s="33">
        <v>16</v>
      </c>
      <c r="I2521" s="33">
        <v>5671</v>
      </c>
      <c r="K2521" t="b">
        <f>QHPSelections2016[[#This Row],[County Name]]=P2521</f>
        <v>1</v>
      </c>
      <c r="L2521" t="b">
        <f>QHPSelections2016[[#This Row],[Silver]]=S2521</f>
        <v>1</v>
      </c>
      <c r="N2521">
        <v>55131</v>
      </c>
      <c r="O2521" t="s">
        <v>4965</v>
      </c>
      <c r="P2521" t="s">
        <v>1160</v>
      </c>
      <c r="Q2521">
        <v>0</v>
      </c>
      <c r="R2521">
        <v>306</v>
      </c>
      <c r="S2521" s="51">
        <v>4069</v>
      </c>
      <c r="T2521" s="51">
        <v>1280</v>
      </c>
      <c r="U2521">
        <v>16</v>
      </c>
      <c r="V2521" s="51">
        <v>5671</v>
      </c>
    </row>
    <row r="2522" spans="1:22">
      <c r="A2522" s="32" t="s">
        <v>5066</v>
      </c>
      <c r="B2522" s="32" t="s">
        <v>4965</v>
      </c>
      <c r="C2522" s="32" t="s">
        <v>5067</v>
      </c>
      <c r="D2522" s="33">
        <v>103</v>
      </c>
      <c r="E2522" s="33">
        <v>967</v>
      </c>
      <c r="F2522" s="33">
        <v>9513</v>
      </c>
      <c r="G2522" s="33">
        <v>3586</v>
      </c>
      <c r="H2522" s="33">
        <v>178</v>
      </c>
      <c r="I2522" s="33">
        <v>14347</v>
      </c>
      <c r="K2522" t="b">
        <f>QHPSelections2016[[#This Row],[County Name]]=P2522</f>
        <v>1</v>
      </c>
      <c r="L2522" t="b">
        <f>QHPSelections2016[[#This Row],[Silver]]=S2522</f>
        <v>1</v>
      </c>
      <c r="N2522">
        <v>55133</v>
      </c>
      <c r="O2522" t="s">
        <v>4965</v>
      </c>
      <c r="P2522" t="s">
        <v>5067</v>
      </c>
      <c r="Q2522">
        <v>103</v>
      </c>
      <c r="R2522">
        <v>967</v>
      </c>
      <c r="S2522" s="51">
        <v>9513</v>
      </c>
      <c r="T2522" s="51">
        <v>3586</v>
      </c>
      <c r="U2522">
        <v>178</v>
      </c>
      <c r="V2522" s="51">
        <v>14347</v>
      </c>
    </row>
    <row r="2523" spans="1:22">
      <c r="A2523" s="32" t="s">
        <v>5068</v>
      </c>
      <c r="B2523" s="32" t="s">
        <v>4965</v>
      </c>
      <c r="C2523" s="32" t="s">
        <v>5069</v>
      </c>
      <c r="D2523" s="33">
        <v>0</v>
      </c>
      <c r="E2523" s="33">
        <v>82</v>
      </c>
      <c r="F2523" s="33">
        <v>1953</v>
      </c>
      <c r="G2523" s="33">
        <v>539</v>
      </c>
      <c r="H2523" s="33">
        <v>11</v>
      </c>
      <c r="I2523" s="33">
        <v>2585</v>
      </c>
      <c r="K2523" t="b">
        <f>QHPSelections2016[[#This Row],[County Name]]=P2523</f>
        <v>1</v>
      </c>
      <c r="L2523" t="b">
        <f>QHPSelections2016[[#This Row],[Silver]]=S2523</f>
        <v>1</v>
      </c>
      <c r="N2523">
        <v>55135</v>
      </c>
      <c r="O2523" t="s">
        <v>4965</v>
      </c>
      <c r="P2523" t="s">
        <v>5069</v>
      </c>
      <c r="Q2523">
        <v>0</v>
      </c>
      <c r="R2523">
        <v>82</v>
      </c>
      <c r="S2523" s="51">
        <v>1953</v>
      </c>
      <c r="T2523">
        <v>539</v>
      </c>
      <c r="U2523">
        <v>11</v>
      </c>
      <c r="V2523" s="51">
        <v>2585</v>
      </c>
    </row>
    <row r="2524" spans="1:22">
      <c r="A2524" s="32" t="s">
        <v>5070</v>
      </c>
      <c r="B2524" s="32" t="s">
        <v>4965</v>
      </c>
      <c r="C2524" s="32" t="s">
        <v>5071</v>
      </c>
      <c r="D2524" s="33" t="s">
        <v>1639</v>
      </c>
      <c r="E2524" s="33">
        <v>39</v>
      </c>
      <c r="F2524" s="33">
        <v>787</v>
      </c>
      <c r="G2524" s="33">
        <v>285</v>
      </c>
      <c r="H2524" s="33" t="s">
        <v>1639</v>
      </c>
      <c r="I2524" s="33">
        <v>1113</v>
      </c>
      <c r="K2524" t="b">
        <f>QHPSelections2016[[#This Row],[County Name]]=P2524</f>
        <v>1</v>
      </c>
      <c r="L2524" t="b">
        <f>QHPSelections2016[[#This Row],[Silver]]=S2524</f>
        <v>1</v>
      </c>
      <c r="N2524">
        <v>55137</v>
      </c>
      <c r="O2524" t="s">
        <v>4965</v>
      </c>
      <c r="P2524" t="s">
        <v>5071</v>
      </c>
      <c r="R2524">
        <v>39</v>
      </c>
      <c r="S2524">
        <v>787</v>
      </c>
      <c r="T2524">
        <v>285</v>
      </c>
      <c r="V2524" s="51">
        <v>1113</v>
      </c>
    </row>
    <row r="2525" spans="1:22">
      <c r="A2525" s="32" t="s">
        <v>5072</v>
      </c>
      <c r="B2525" s="32" t="s">
        <v>4965</v>
      </c>
      <c r="C2525" s="32" t="s">
        <v>2284</v>
      </c>
      <c r="D2525" s="33">
        <v>0</v>
      </c>
      <c r="E2525" s="33">
        <v>276</v>
      </c>
      <c r="F2525" s="33">
        <v>4801</v>
      </c>
      <c r="G2525" s="33">
        <v>1280</v>
      </c>
      <c r="H2525" s="33">
        <v>44</v>
      </c>
      <c r="I2525" s="33">
        <v>6401</v>
      </c>
      <c r="K2525" t="b">
        <f>QHPSelections2016[[#This Row],[County Name]]=P2525</f>
        <v>1</v>
      </c>
      <c r="L2525" t="b">
        <f>QHPSelections2016[[#This Row],[Silver]]=S2525</f>
        <v>1</v>
      </c>
      <c r="N2525">
        <v>55139</v>
      </c>
      <c r="O2525" t="s">
        <v>4965</v>
      </c>
      <c r="P2525" t="s">
        <v>2284</v>
      </c>
      <c r="Q2525">
        <v>0</v>
      </c>
      <c r="R2525">
        <v>276</v>
      </c>
      <c r="S2525" s="51">
        <v>4801</v>
      </c>
      <c r="T2525" s="51">
        <v>1280</v>
      </c>
      <c r="U2525">
        <v>44</v>
      </c>
      <c r="V2525" s="51">
        <v>6401</v>
      </c>
    </row>
    <row r="2526" spans="1:22">
      <c r="A2526" s="32" t="s">
        <v>5073</v>
      </c>
      <c r="B2526" s="32" t="s">
        <v>4965</v>
      </c>
      <c r="C2526" s="32" t="s">
        <v>1416</v>
      </c>
      <c r="D2526" s="33">
        <v>0</v>
      </c>
      <c r="E2526" s="33">
        <v>97</v>
      </c>
      <c r="F2526" s="33">
        <v>2665</v>
      </c>
      <c r="G2526" s="33">
        <v>1026</v>
      </c>
      <c r="H2526" s="33">
        <v>32</v>
      </c>
      <c r="I2526" s="33">
        <v>3820</v>
      </c>
      <c r="K2526" t="b">
        <f>QHPSelections2016[[#This Row],[County Name]]=P2526</f>
        <v>1</v>
      </c>
      <c r="L2526" t="b">
        <f>QHPSelections2016[[#This Row],[Silver]]=S2526</f>
        <v>1</v>
      </c>
      <c r="N2526">
        <v>55141</v>
      </c>
      <c r="O2526" t="s">
        <v>4965</v>
      </c>
      <c r="P2526" t="s">
        <v>1416</v>
      </c>
      <c r="Q2526">
        <v>0</v>
      </c>
      <c r="R2526">
        <v>97</v>
      </c>
      <c r="S2526" s="51">
        <v>2665</v>
      </c>
      <c r="T2526" s="51">
        <v>1026</v>
      </c>
      <c r="U2526">
        <v>32</v>
      </c>
      <c r="V2526" s="51">
        <v>3820</v>
      </c>
    </row>
    <row r="2527" spans="1:22">
      <c r="A2527" s="32" t="s">
        <v>5074</v>
      </c>
      <c r="B2527" s="32" t="s">
        <v>5075</v>
      </c>
      <c r="C2527" s="32" t="s">
        <v>830</v>
      </c>
      <c r="D2527" s="33">
        <v>0</v>
      </c>
      <c r="E2527" s="33" t="s">
        <v>1639</v>
      </c>
      <c r="F2527" s="33">
        <v>215</v>
      </c>
      <c r="G2527" s="33">
        <v>64</v>
      </c>
      <c r="H2527" s="33" t="s">
        <v>1639</v>
      </c>
      <c r="I2527" s="33">
        <v>306</v>
      </c>
      <c r="K2527" t="b">
        <f>QHPSelections2016[[#This Row],[County Name]]=P2527</f>
        <v>1</v>
      </c>
      <c r="L2527" t="b">
        <f>QHPSelections2016[[#This Row],[Silver]]=S2527</f>
        <v>1</v>
      </c>
      <c r="N2527">
        <v>54001</v>
      </c>
      <c r="O2527" t="s">
        <v>5075</v>
      </c>
      <c r="P2527" t="s">
        <v>830</v>
      </c>
      <c r="Q2527">
        <v>0</v>
      </c>
      <c r="S2527">
        <v>215</v>
      </c>
      <c r="T2527">
        <v>64</v>
      </c>
      <c r="V2527">
        <v>306</v>
      </c>
    </row>
    <row r="2528" spans="1:22">
      <c r="A2528" s="32" t="s">
        <v>5076</v>
      </c>
      <c r="B2528" s="32" t="s">
        <v>5075</v>
      </c>
      <c r="C2528" s="32" t="s">
        <v>4181</v>
      </c>
      <c r="D2528" s="33">
        <v>0</v>
      </c>
      <c r="E2528" s="33" t="s">
        <v>1639</v>
      </c>
      <c r="F2528" s="33">
        <v>1512</v>
      </c>
      <c r="G2528" s="33">
        <v>377</v>
      </c>
      <c r="H2528" s="33" t="s">
        <v>1639</v>
      </c>
      <c r="I2528" s="33">
        <v>2235</v>
      </c>
      <c r="K2528" t="b">
        <f>QHPSelections2016[[#This Row],[County Name]]=P2528</f>
        <v>1</v>
      </c>
      <c r="L2528" t="b">
        <f>QHPSelections2016[[#This Row],[Silver]]=S2528</f>
        <v>1</v>
      </c>
      <c r="N2528">
        <v>54003</v>
      </c>
      <c r="O2528" t="s">
        <v>5075</v>
      </c>
      <c r="P2528" t="s">
        <v>4181</v>
      </c>
      <c r="Q2528">
        <v>0</v>
      </c>
      <c r="S2528" s="51">
        <v>1512</v>
      </c>
      <c r="T2528">
        <v>377</v>
      </c>
      <c r="V2528" s="51">
        <v>2235</v>
      </c>
    </row>
    <row r="2529" spans="1:22">
      <c r="A2529" s="32" t="s">
        <v>5077</v>
      </c>
      <c r="B2529" s="32" t="s">
        <v>5075</v>
      </c>
      <c r="C2529" s="32" t="s">
        <v>1770</v>
      </c>
      <c r="D2529" s="33">
        <v>0</v>
      </c>
      <c r="E2529" s="33">
        <v>34</v>
      </c>
      <c r="F2529" s="33">
        <v>210</v>
      </c>
      <c r="G2529" s="33">
        <v>70</v>
      </c>
      <c r="H2529" s="33">
        <v>0</v>
      </c>
      <c r="I2529" s="33">
        <v>314</v>
      </c>
      <c r="K2529" t="b">
        <f>QHPSelections2016[[#This Row],[County Name]]=P2529</f>
        <v>1</v>
      </c>
      <c r="L2529" t="b">
        <f>QHPSelections2016[[#This Row],[Silver]]=S2529</f>
        <v>1</v>
      </c>
      <c r="N2529">
        <v>54005</v>
      </c>
      <c r="O2529" t="s">
        <v>5075</v>
      </c>
      <c r="P2529" t="s">
        <v>1770</v>
      </c>
      <c r="Q2529">
        <v>0</v>
      </c>
      <c r="R2529">
        <v>34</v>
      </c>
      <c r="S2529">
        <v>210</v>
      </c>
      <c r="T2529">
        <v>70</v>
      </c>
      <c r="U2529">
        <v>0</v>
      </c>
      <c r="V2529">
        <v>314</v>
      </c>
    </row>
    <row r="2530" spans="1:22">
      <c r="A2530" s="32" t="s">
        <v>5078</v>
      </c>
      <c r="B2530" s="32" t="s">
        <v>5075</v>
      </c>
      <c r="C2530" s="32" t="s">
        <v>5079</v>
      </c>
      <c r="D2530" s="33">
        <v>0</v>
      </c>
      <c r="E2530" s="33" t="s">
        <v>1639</v>
      </c>
      <c r="F2530" s="33">
        <v>276</v>
      </c>
      <c r="G2530" s="33">
        <v>59</v>
      </c>
      <c r="H2530" s="33" t="s">
        <v>1639</v>
      </c>
      <c r="I2530" s="33">
        <v>356</v>
      </c>
      <c r="K2530" t="b">
        <f>QHPSelections2016[[#This Row],[County Name]]=P2530</f>
        <v>1</v>
      </c>
      <c r="L2530" t="b">
        <f>QHPSelections2016[[#This Row],[Silver]]=S2530</f>
        <v>1</v>
      </c>
      <c r="N2530">
        <v>54007</v>
      </c>
      <c r="O2530" t="s">
        <v>5075</v>
      </c>
      <c r="P2530" t="s">
        <v>5079</v>
      </c>
      <c r="Q2530">
        <v>0</v>
      </c>
      <c r="S2530">
        <v>276</v>
      </c>
      <c r="T2530">
        <v>59</v>
      </c>
      <c r="V2530">
        <v>356</v>
      </c>
    </row>
    <row r="2531" spans="1:22">
      <c r="A2531" s="32" t="s">
        <v>5080</v>
      </c>
      <c r="B2531" s="32" t="s">
        <v>5075</v>
      </c>
      <c r="C2531" s="32" t="s">
        <v>5081</v>
      </c>
      <c r="D2531" s="33">
        <v>0</v>
      </c>
      <c r="E2531" s="33" t="s">
        <v>1639</v>
      </c>
      <c r="F2531" s="33">
        <v>361</v>
      </c>
      <c r="G2531" s="33">
        <v>103</v>
      </c>
      <c r="H2531" s="33" t="s">
        <v>1639</v>
      </c>
      <c r="I2531" s="33">
        <v>523</v>
      </c>
      <c r="K2531" t="b">
        <f>QHPSelections2016[[#This Row],[County Name]]=P2531</f>
        <v>1</v>
      </c>
      <c r="L2531" t="b">
        <f>QHPSelections2016[[#This Row],[Silver]]=S2531</f>
        <v>1</v>
      </c>
      <c r="N2531">
        <v>54009</v>
      </c>
      <c r="O2531" t="s">
        <v>5075</v>
      </c>
      <c r="P2531" t="s">
        <v>5081</v>
      </c>
      <c r="Q2531">
        <v>0</v>
      </c>
      <c r="S2531">
        <v>361</v>
      </c>
      <c r="T2531">
        <v>103</v>
      </c>
      <c r="V2531">
        <v>523</v>
      </c>
    </row>
    <row r="2532" spans="1:22">
      <c r="A2532" s="32" t="s">
        <v>5082</v>
      </c>
      <c r="B2532" s="32" t="s">
        <v>5075</v>
      </c>
      <c r="C2532" s="32" t="s">
        <v>5083</v>
      </c>
      <c r="D2532" s="33">
        <v>0</v>
      </c>
      <c r="E2532" s="33" t="s">
        <v>1639</v>
      </c>
      <c r="F2532" s="33">
        <v>1223</v>
      </c>
      <c r="G2532" s="33">
        <v>399</v>
      </c>
      <c r="H2532" s="33" t="s">
        <v>1639</v>
      </c>
      <c r="I2532" s="33">
        <v>1823</v>
      </c>
      <c r="K2532" t="b">
        <f>QHPSelections2016[[#This Row],[County Name]]=P2532</f>
        <v>1</v>
      </c>
      <c r="L2532" t="b">
        <f>QHPSelections2016[[#This Row],[Silver]]=S2532</f>
        <v>1</v>
      </c>
      <c r="N2532">
        <v>54011</v>
      </c>
      <c r="O2532" t="s">
        <v>5075</v>
      </c>
      <c r="P2532" t="s">
        <v>5083</v>
      </c>
      <c r="Q2532">
        <v>0</v>
      </c>
      <c r="S2532" s="51">
        <v>1223</v>
      </c>
      <c r="T2532">
        <v>399</v>
      </c>
      <c r="V2532" s="51">
        <v>1823</v>
      </c>
    </row>
    <row r="2533" spans="1:22">
      <c r="A2533" s="32" t="s">
        <v>5084</v>
      </c>
      <c r="B2533" s="32" t="s">
        <v>5075</v>
      </c>
      <c r="C2533" s="32" t="s">
        <v>855</v>
      </c>
      <c r="D2533" s="33">
        <v>0</v>
      </c>
      <c r="E2533" s="33" t="s">
        <v>1639</v>
      </c>
      <c r="F2533" s="33">
        <v>121</v>
      </c>
      <c r="G2533" s="33" t="s">
        <v>1639</v>
      </c>
      <c r="H2533" s="33" t="s">
        <v>1639</v>
      </c>
      <c r="I2533" s="33">
        <v>142</v>
      </c>
      <c r="K2533" t="b">
        <f>QHPSelections2016[[#This Row],[County Name]]=P2533</f>
        <v>1</v>
      </c>
      <c r="L2533" t="b">
        <f>QHPSelections2016[[#This Row],[Silver]]=S2533</f>
        <v>1</v>
      </c>
      <c r="N2533">
        <v>54013</v>
      </c>
      <c r="O2533" t="s">
        <v>5075</v>
      </c>
      <c r="P2533" t="s">
        <v>855</v>
      </c>
      <c r="Q2533">
        <v>0</v>
      </c>
      <c r="S2533">
        <v>121</v>
      </c>
      <c r="V2533">
        <v>142</v>
      </c>
    </row>
    <row r="2534" spans="1:22">
      <c r="A2534" s="32" t="s">
        <v>5085</v>
      </c>
      <c r="B2534" s="32" t="s">
        <v>5075</v>
      </c>
      <c r="C2534" s="32" t="s">
        <v>873</v>
      </c>
      <c r="D2534" s="33">
        <v>0</v>
      </c>
      <c r="E2534" s="33">
        <v>12</v>
      </c>
      <c r="F2534" s="33">
        <v>135</v>
      </c>
      <c r="G2534" s="33">
        <v>25</v>
      </c>
      <c r="H2534" s="33">
        <v>0</v>
      </c>
      <c r="I2534" s="33">
        <v>172</v>
      </c>
      <c r="K2534" t="b">
        <f>QHPSelections2016[[#This Row],[County Name]]=P2534</f>
        <v>1</v>
      </c>
      <c r="L2534" t="b">
        <f>QHPSelections2016[[#This Row],[Silver]]=S2534</f>
        <v>1</v>
      </c>
      <c r="N2534">
        <v>54015</v>
      </c>
      <c r="O2534" t="s">
        <v>5075</v>
      </c>
      <c r="P2534" t="s">
        <v>873</v>
      </c>
      <c r="Q2534">
        <v>0</v>
      </c>
      <c r="R2534">
        <v>12</v>
      </c>
      <c r="S2534">
        <v>135</v>
      </c>
      <c r="T2534">
        <v>25</v>
      </c>
      <c r="U2534">
        <v>0</v>
      </c>
      <c r="V2534">
        <v>172</v>
      </c>
    </row>
    <row r="2535" spans="1:22">
      <c r="A2535" s="32" t="s">
        <v>5086</v>
      </c>
      <c r="B2535" s="32" t="s">
        <v>5075</v>
      </c>
      <c r="C2535" s="32" t="s">
        <v>5087</v>
      </c>
      <c r="D2535" s="33">
        <v>0</v>
      </c>
      <c r="E2535" s="33">
        <v>13</v>
      </c>
      <c r="F2535" s="33">
        <v>91</v>
      </c>
      <c r="G2535" s="33">
        <v>37</v>
      </c>
      <c r="H2535" s="33">
        <v>0</v>
      </c>
      <c r="I2535" s="33">
        <v>141</v>
      </c>
      <c r="K2535" t="b">
        <f>QHPSelections2016[[#This Row],[County Name]]=P2535</f>
        <v>1</v>
      </c>
      <c r="L2535" t="b">
        <f>QHPSelections2016[[#This Row],[Silver]]=S2535</f>
        <v>1</v>
      </c>
      <c r="N2535">
        <v>54017</v>
      </c>
      <c r="O2535" t="s">
        <v>5075</v>
      </c>
      <c r="P2535" t="s">
        <v>5087</v>
      </c>
      <c r="Q2535">
        <v>0</v>
      </c>
      <c r="R2535">
        <v>13</v>
      </c>
      <c r="S2535">
        <v>91</v>
      </c>
      <c r="T2535">
        <v>37</v>
      </c>
      <c r="U2535">
        <v>0</v>
      </c>
      <c r="V2535">
        <v>141</v>
      </c>
    </row>
    <row r="2536" spans="1:22">
      <c r="A2536" s="32" t="s">
        <v>5088</v>
      </c>
      <c r="B2536" s="32" t="s">
        <v>5075</v>
      </c>
      <c r="C2536" s="32" t="s">
        <v>958</v>
      </c>
      <c r="D2536" s="33">
        <v>0</v>
      </c>
      <c r="E2536" s="33" t="s">
        <v>1639</v>
      </c>
      <c r="F2536" s="33">
        <v>657</v>
      </c>
      <c r="G2536" s="33">
        <v>188</v>
      </c>
      <c r="H2536" s="33" t="s">
        <v>1639</v>
      </c>
      <c r="I2536" s="33">
        <v>897</v>
      </c>
      <c r="K2536" t="b">
        <f>QHPSelections2016[[#This Row],[County Name]]=P2536</f>
        <v>1</v>
      </c>
      <c r="L2536" t="b">
        <f>QHPSelections2016[[#This Row],[Silver]]=S2536</f>
        <v>1</v>
      </c>
      <c r="N2536">
        <v>54019</v>
      </c>
      <c r="O2536" t="s">
        <v>5075</v>
      </c>
      <c r="P2536" t="s">
        <v>958</v>
      </c>
      <c r="Q2536">
        <v>0</v>
      </c>
      <c r="S2536">
        <v>657</v>
      </c>
      <c r="T2536">
        <v>188</v>
      </c>
      <c r="V2536">
        <v>897</v>
      </c>
    </row>
    <row r="2537" spans="1:22">
      <c r="A2537" s="32" t="s">
        <v>5089</v>
      </c>
      <c r="B2537" s="32" t="s">
        <v>5075</v>
      </c>
      <c r="C2537" s="32" t="s">
        <v>1138</v>
      </c>
      <c r="D2537" s="33">
        <v>0</v>
      </c>
      <c r="E2537" s="33">
        <v>18</v>
      </c>
      <c r="F2537" s="33">
        <v>91</v>
      </c>
      <c r="G2537" s="33">
        <v>27</v>
      </c>
      <c r="H2537" s="33">
        <v>0</v>
      </c>
      <c r="I2537" s="33">
        <v>136</v>
      </c>
      <c r="K2537" t="b">
        <f>QHPSelections2016[[#This Row],[County Name]]=P2537</f>
        <v>1</v>
      </c>
      <c r="L2537" t="b">
        <f>QHPSelections2016[[#This Row],[Silver]]=S2537</f>
        <v>1</v>
      </c>
      <c r="N2537">
        <v>54021</v>
      </c>
      <c r="O2537" t="s">
        <v>5075</v>
      </c>
      <c r="P2537" t="s">
        <v>1138</v>
      </c>
      <c r="Q2537">
        <v>0</v>
      </c>
      <c r="R2537">
        <v>18</v>
      </c>
      <c r="S2537">
        <v>91</v>
      </c>
      <c r="T2537">
        <v>27</v>
      </c>
      <c r="U2537">
        <v>0</v>
      </c>
      <c r="V2537">
        <v>136</v>
      </c>
    </row>
    <row r="2538" spans="1:22">
      <c r="A2538" s="32" t="s">
        <v>5090</v>
      </c>
      <c r="B2538" s="32" t="s">
        <v>5075</v>
      </c>
      <c r="C2538" s="32" t="s">
        <v>1803</v>
      </c>
      <c r="D2538" s="33">
        <v>0</v>
      </c>
      <c r="E2538" s="33">
        <v>22</v>
      </c>
      <c r="F2538" s="33">
        <v>168</v>
      </c>
      <c r="G2538" s="33">
        <v>23</v>
      </c>
      <c r="H2538" s="33">
        <v>0</v>
      </c>
      <c r="I2538" s="33">
        <v>213</v>
      </c>
      <c r="K2538" t="b">
        <f>QHPSelections2016[[#This Row],[County Name]]=P2538</f>
        <v>1</v>
      </c>
      <c r="L2538" t="b">
        <f>QHPSelections2016[[#This Row],[Silver]]=S2538</f>
        <v>1</v>
      </c>
      <c r="N2538">
        <v>54023</v>
      </c>
      <c r="O2538" t="s">
        <v>5075</v>
      </c>
      <c r="P2538" t="s">
        <v>1803</v>
      </c>
      <c r="Q2538">
        <v>0</v>
      </c>
      <c r="R2538">
        <v>22</v>
      </c>
      <c r="S2538">
        <v>168</v>
      </c>
      <c r="T2538">
        <v>23</v>
      </c>
      <c r="U2538">
        <v>0</v>
      </c>
      <c r="V2538">
        <v>213</v>
      </c>
    </row>
    <row r="2539" spans="1:22">
      <c r="A2539" s="32" t="s">
        <v>5091</v>
      </c>
      <c r="B2539" s="32" t="s">
        <v>5075</v>
      </c>
      <c r="C2539" s="32" t="s">
        <v>5092</v>
      </c>
      <c r="D2539" s="33">
        <v>0</v>
      </c>
      <c r="E2539" s="33">
        <v>90</v>
      </c>
      <c r="F2539" s="33">
        <v>705</v>
      </c>
      <c r="G2539" s="33">
        <v>179</v>
      </c>
      <c r="H2539" s="33">
        <v>0</v>
      </c>
      <c r="I2539" s="33">
        <v>974</v>
      </c>
      <c r="K2539" t="b">
        <f>QHPSelections2016[[#This Row],[County Name]]=P2539</f>
        <v>1</v>
      </c>
      <c r="L2539" t="b">
        <f>QHPSelections2016[[#This Row],[Silver]]=S2539</f>
        <v>1</v>
      </c>
      <c r="N2539">
        <v>54025</v>
      </c>
      <c r="O2539" t="s">
        <v>5075</v>
      </c>
      <c r="P2539" t="s">
        <v>5092</v>
      </c>
      <c r="Q2539">
        <v>0</v>
      </c>
      <c r="R2539">
        <v>90</v>
      </c>
      <c r="S2539">
        <v>705</v>
      </c>
      <c r="T2539">
        <v>179</v>
      </c>
      <c r="U2539">
        <v>0</v>
      </c>
      <c r="V2539">
        <v>974</v>
      </c>
    </row>
    <row r="2540" spans="1:22">
      <c r="A2540" s="32" t="s">
        <v>5093</v>
      </c>
      <c r="B2540" s="32" t="s">
        <v>5075</v>
      </c>
      <c r="C2540" s="32" t="s">
        <v>5094</v>
      </c>
      <c r="D2540" s="33">
        <v>0</v>
      </c>
      <c r="E2540" s="33" t="s">
        <v>1639</v>
      </c>
      <c r="F2540" s="33">
        <v>376</v>
      </c>
      <c r="G2540" s="33">
        <v>83</v>
      </c>
      <c r="H2540" s="33" t="s">
        <v>1639</v>
      </c>
      <c r="I2540" s="33">
        <v>524</v>
      </c>
      <c r="K2540" t="b">
        <f>QHPSelections2016[[#This Row],[County Name]]=P2540</f>
        <v>1</v>
      </c>
      <c r="L2540" t="b">
        <f>QHPSelections2016[[#This Row],[Silver]]=S2540</f>
        <v>1</v>
      </c>
      <c r="N2540">
        <v>54027</v>
      </c>
      <c r="O2540" t="s">
        <v>5075</v>
      </c>
      <c r="P2540" t="s">
        <v>5094</v>
      </c>
      <c r="Q2540">
        <v>0</v>
      </c>
      <c r="S2540">
        <v>376</v>
      </c>
      <c r="T2540">
        <v>83</v>
      </c>
      <c r="V2540">
        <v>524</v>
      </c>
    </row>
    <row r="2541" spans="1:22">
      <c r="A2541" s="32" t="s">
        <v>5095</v>
      </c>
      <c r="B2541" s="32" t="s">
        <v>5075</v>
      </c>
      <c r="C2541" s="32" t="s">
        <v>949</v>
      </c>
      <c r="D2541" s="33">
        <v>0</v>
      </c>
      <c r="E2541" s="33" t="s">
        <v>1639</v>
      </c>
      <c r="F2541" s="33">
        <v>468</v>
      </c>
      <c r="G2541" s="33">
        <v>154</v>
      </c>
      <c r="H2541" s="33" t="s">
        <v>1639</v>
      </c>
      <c r="I2541" s="33">
        <v>725</v>
      </c>
      <c r="K2541" t="b">
        <f>QHPSelections2016[[#This Row],[County Name]]=P2541</f>
        <v>1</v>
      </c>
      <c r="L2541" t="b">
        <f>QHPSelections2016[[#This Row],[Silver]]=S2541</f>
        <v>1</v>
      </c>
      <c r="N2541">
        <v>54029</v>
      </c>
      <c r="O2541" t="s">
        <v>5075</v>
      </c>
      <c r="P2541" t="s">
        <v>949</v>
      </c>
      <c r="Q2541">
        <v>0</v>
      </c>
      <c r="S2541">
        <v>468</v>
      </c>
      <c r="T2541">
        <v>154</v>
      </c>
      <c r="V2541">
        <v>725</v>
      </c>
    </row>
    <row r="2542" spans="1:22">
      <c r="A2542" s="32" t="s">
        <v>5096</v>
      </c>
      <c r="B2542" s="32" t="s">
        <v>5075</v>
      </c>
      <c r="C2542" s="32" t="s">
        <v>5097</v>
      </c>
      <c r="D2542" s="33">
        <v>0</v>
      </c>
      <c r="E2542" s="33">
        <v>48</v>
      </c>
      <c r="F2542" s="33">
        <v>243</v>
      </c>
      <c r="G2542" s="33" t="s">
        <v>1639</v>
      </c>
      <c r="H2542" s="33" t="s">
        <v>1639</v>
      </c>
      <c r="I2542" s="33">
        <v>329</v>
      </c>
      <c r="K2542" t="b">
        <f>QHPSelections2016[[#This Row],[County Name]]=P2542</f>
        <v>1</v>
      </c>
      <c r="L2542" t="b">
        <f>QHPSelections2016[[#This Row],[Silver]]=S2542</f>
        <v>1</v>
      </c>
      <c r="N2542">
        <v>54031</v>
      </c>
      <c r="O2542" t="s">
        <v>5075</v>
      </c>
      <c r="P2542" t="s">
        <v>5097</v>
      </c>
      <c r="Q2542">
        <v>0</v>
      </c>
      <c r="R2542">
        <v>48</v>
      </c>
      <c r="S2542">
        <v>243</v>
      </c>
      <c r="V2542">
        <v>329</v>
      </c>
    </row>
    <row r="2543" spans="1:22">
      <c r="A2543" s="32" t="s">
        <v>5098</v>
      </c>
      <c r="B2543" s="32" t="s">
        <v>5075</v>
      </c>
      <c r="C2543" s="32" t="s">
        <v>956</v>
      </c>
      <c r="D2543" s="33">
        <v>0</v>
      </c>
      <c r="E2543" s="33" t="s">
        <v>1639</v>
      </c>
      <c r="F2543" s="33">
        <v>974</v>
      </c>
      <c r="G2543" s="33">
        <v>322</v>
      </c>
      <c r="H2543" s="33" t="s">
        <v>1639</v>
      </c>
      <c r="I2543" s="33">
        <v>1498</v>
      </c>
      <c r="K2543" t="b">
        <f>QHPSelections2016[[#This Row],[County Name]]=P2543</f>
        <v>1</v>
      </c>
      <c r="L2543" t="b">
        <f>QHPSelections2016[[#This Row],[Silver]]=S2543</f>
        <v>1</v>
      </c>
      <c r="N2543">
        <v>54033</v>
      </c>
      <c r="O2543" t="s">
        <v>5075</v>
      </c>
      <c r="P2543" t="s">
        <v>956</v>
      </c>
      <c r="Q2543">
        <v>0</v>
      </c>
      <c r="S2543">
        <v>974</v>
      </c>
      <c r="T2543">
        <v>322</v>
      </c>
      <c r="V2543" s="51">
        <v>1498</v>
      </c>
    </row>
    <row r="2544" spans="1:22">
      <c r="A2544" s="32" t="s">
        <v>5099</v>
      </c>
      <c r="B2544" s="32" t="s">
        <v>5075</v>
      </c>
      <c r="C2544" s="32" t="s">
        <v>984</v>
      </c>
      <c r="D2544" s="33">
        <v>0</v>
      </c>
      <c r="E2544" s="33" t="s">
        <v>1639</v>
      </c>
      <c r="F2544" s="33">
        <v>373</v>
      </c>
      <c r="G2544" s="33">
        <v>78</v>
      </c>
      <c r="H2544" s="33" t="s">
        <v>1639</v>
      </c>
      <c r="I2544" s="33">
        <v>509</v>
      </c>
      <c r="K2544" t="b">
        <f>QHPSelections2016[[#This Row],[County Name]]=P2544</f>
        <v>1</v>
      </c>
      <c r="L2544" t="b">
        <f>QHPSelections2016[[#This Row],[Silver]]=S2544</f>
        <v>1</v>
      </c>
      <c r="N2544">
        <v>54035</v>
      </c>
      <c r="O2544" t="s">
        <v>5075</v>
      </c>
      <c r="P2544" t="s">
        <v>984</v>
      </c>
      <c r="Q2544">
        <v>0</v>
      </c>
      <c r="S2544">
        <v>373</v>
      </c>
      <c r="T2544">
        <v>78</v>
      </c>
      <c r="V2544">
        <v>509</v>
      </c>
    </row>
    <row r="2545" spans="1:22">
      <c r="A2545" s="32" t="s">
        <v>5100</v>
      </c>
      <c r="B2545" s="32" t="s">
        <v>5075</v>
      </c>
      <c r="C2545" s="32" t="s">
        <v>993</v>
      </c>
      <c r="D2545" s="33">
        <v>0</v>
      </c>
      <c r="E2545" s="33" t="s">
        <v>1639</v>
      </c>
      <c r="F2545" s="33">
        <v>908</v>
      </c>
      <c r="G2545" s="33">
        <v>243</v>
      </c>
      <c r="H2545" s="33" t="s">
        <v>1639</v>
      </c>
      <c r="I2545" s="33">
        <v>1360</v>
      </c>
      <c r="K2545" t="b">
        <f>QHPSelections2016[[#This Row],[County Name]]=P2545</f>
        <v>1</v>
      </c>
      <c r="L2545" t="b">
        <f>QHPSelections2016[[#This Row],[Silver]]=S2545</f>
        <v>1</v>
      </c>
      <c r="N2545">
        <v>54037</v>
      </c>
      <c r="O2545" t="s">
        <v>5075</v>
      </c>
      <c r="P2545" t="s">
        <v>993</v>
      </c>
      <c r="Q2545">
        <v>0</v>
      </c>
      <c r="S2545">
        <v>908</v>
      </c>
      <c r="T2545">
        <v>243</v>
      </c>
      <c r="V2545" s="51">
        <v>1360</v>
      </c>
    </row>
    <row r="2546" spans="1:22">
      <c r="A2546" s="32" t="s">
        <v>5101</v>
      </c>
      <c r="B2546" s="32" t="s">
        <v>5075</v>
      </c>
      <c r="C2546" s="32" t="s">
        <v>5102</v>
      </c>
      <c r="D2546" s="33">
        <v>0</v>
      </c>
      <c r="E2546" s="33">
        <v>378</v>
      </c>
      <c r="F2546" s="33">
        <v>2560</v>
      </c>
      <c r="G2546" s="33">
        <v>869</v>
      </c>
      <c r="H2546" s="33">
        <v>23</v>
      </c>
      <c r="I2546" s="33">
        <v>3830</v>
      </c>
      <c r="K2546" t="b">
        <f>QHPSelections2016[[#This Row],[County Name]]=P2546</f>
        <v>1</v>
      </c>
      <c r="L2546" t="b">
        <f>QHPSelections2016[[#This Row],[Silver]]=S2546</f>
        <v>1</v>
      </c>
      <c r="N2546">
        <v>54039</v>
      </c>
      <c r="O2546" t="s">
        <v>5075</v>
      </c>
      <c r="P2546" t="s">
        <v>5102</v>
      </c>
      <c r="Q2546">
        <v>0</v>
      </c>
      <c r="R2546">
        <v>378</v>
      </c>
      <c r="S2546" s="51">
        <v>2560</v>
      </c>
      <c r="T2546">
        <v>869</v>
      </c>
      <c r="U2546">
        <v>23</v>
      </c>
      <c r="V2546" s="51">
        <v>3830</v>
      </c>
    </row>
    <row r="2547" spans="1:22">
      <c r="A2547" s="32" t="s">
        <v>5103</v>
      </c>
      <c r="B2547" s="32" t="s">
        <v>5075</v>
      </c>
      <c r="C2547" s="32" t="s">
        <v>1090</v>
      </c>
      <c r="D2547" s="33">
        <v>0</v>
      </c>
      <c r="E2547" s="33">
        <v>36</v>
      </c>
      <c r="F2547" s="33">
        <v>245</v>
      </c>
      <c r="G2547" s="33">
        <v>57</v>
      </c>
      <c r="H2547" s="33">
        <v>0</v>
      </c>
      <c r="I2547" s="33">
        <v>338</v>
      </c>
      <c r="K2547" t="b">
        <f>QHPSelections2016[[#This Row],[County Name]]=P2547</f>
        <v>1</v>
      </c>
      <c r="L2547" t="b">
        <f>QHPSelections2016[[#This Row],[Silver]]=S2547</f>
        <v>1</v>
      </c>
      <c r="N2547">
        <v>54041</v>
      </c>
      <c r="O2547" t="s">
        <v>5075</v>
      </c>
      <c r="P2547" t="s">
        <v>1090</v>
      </c>
      <c r="Q2547">
        <v>0</v>
      </c>
      <c r="R2547">
        <v>36</v>
      </c>
      <c r="S2547">
        <v>245</v>
      </c>
      <c r="T2547">
        <v>57</v>
      </c>
      <c r="U2547">
        <v>0</v>
      </c>
      <c r="V2547">
        <v>338</v>
      </c>
    </row>
    <row r="2548" spans="1:22">
      <c r="A2548" s="32" t="s">
        <v>5104</v>
      </c>
      <c r="B2548" s="32" t="s">
        <v>5075</v>
      </c>
      <c r="C2548" s="32" t="s">
        <v>1051</v>
      </c>
      <c r="D2548" s="33">
        <v>0</v>
      </c>
      <c r="E2548" s="33" t="s">
        <v>1639</v>
      </c>
      <c r="F2548" s="33">
        <v>276</v>
      </c>
      <c r="G2548" s="33">
        <v>66</v>
      </c>
      <c r="H2548" s="33" t="s">
        <v>1639</v>
      </c>
      <c r="I2548" s="33">
        <v>371</v>
      </c>
      <c r="K2548" t="b">
        <f>QHPSelections2016[[#This Row],[County Name]]=P2548</f>
        <v>1</v>
      </c>
      <c r="L2548" t="b">
        <f>QHPSelections2016[[#This Row],[Silver]]=S2548</f>
        <v>1</v>
      </c>
      <c r="N2548">
        <v>54043</v>
      </c>
      <c r="O2548" t="s">
        <v>5075</v>
      </c>
      <c r="P2548" t="s">
        <v>1051</v>
      </c>
      <c r="Q2548">
        <v>0</v>
      </c>
      <c r="S2548">
        <v>276</v>
      </c>
      <c r="T2548">
        <v>66</v>
      </c>
      <c r="V2548">
        <v>371</v>
      </c>
    </row>
    <row r="2549" spans="1:22">
      <c r="A2549" s="32" t="s">
        <v>5105</v>
      </c>
      <c r="B2549" s="32" t="s">
        <v>5075</v>
      </c>
      <c r="C2549" s="32" t="s">
        <v>1824</v>
      </c>
      <c r="D2549" s="33">
        <v>0</v>
      </c>
      <c r="E2549" s="33" t="s">
        <v>1639</v>
      </c>
      <c r="F2549" s="33">
        <v>396</v>
      </c>
      <c r="G2549" s="33">
        <v>68</v>
      </c>
      <c r="H2549" s="33" t="s">
        <v>1639</v>
      </c>
      <c r="I2549" s="33">
        <v>523</v>
      </c>
      <c r="K2549" t="b">
        <f>QHPSelections2016[[#This Row],[County Name]]=P2549</f>
        <v>1</v>
      </c>
      <c r="L2549" t="b">
        <f>QHPSelections2016[[#This Row],[Silver]]=S2549</f>
        <v>1</v>
      </c>
      <c r="N2549">
        <v>54045</v>
      </c>
      <c r="O2549" t="s">
        <v>5075</v>
      </c>
      <c r="P2549" t="s">
        <v>1824</v>
      </c>
      <c r="Q2549">
        <v>0</v>
      </c>
      <c r="S2549">
        <v>396</v>
      </c>
      <c r="T2549">
        <v>68</v>
      </c>
      <c r="V2549">
        <v>523</v>
      </c>
    </row>
    <row r="2550" spans="1:22">
      <c r="A2550" s="32" t="s">
        <v>5106</v>
      </c>
      <c r="B2550" s="32" t="s">
        <v>5075</v>
      </c>
      <c r="C2550" s="32" t="s">
        <v>1117</v>
      </c>
      <c r="D2550" s="33">
        <v>0</v>
      </c>
      <c r="E2550" s="33">
        <v>15</v>
      </c>
      <c r="F2550" s="33">
        <v>149</v>
      </c>
      <c r="G2550" s="33">
        <v>34</v>
      </c>
      <c r="H2550" s="33">
        <v>0</v>
      </c>
      <c r="I2550" s="33">
        <v>198</v>
      </c>
      <c r="K2550" t="b">
        <f>QHPSelections2016[[#This Row],[County Name]]=P2550</f>
        <v>0</v>
      </c>
      <c r="L2550" t="b">
        <f>QHPSelections2016[[#This Row],[Silver]]=S2550</f>
        <v>0</v>
      </c>
      <c r="N2550">
        <v>54049</v>
      </c>
      <c r="O2550" t="s">
        <v>5075</v>
      </c>
      <c r="P2550" t="s">
        <v>1038</v>
      </c>
      <c r="Q2550">
        <v>0</v>
      </c>
      <c r="S2550">
        <v>716</v>
      </c>
      <c r="T2550">
        <v>211</v>
      </c>
      <c r="V2550" s="51">
        <v>1075</v>
      </c>
    </row>
    <row r="2551" spans="1:22">
      <c r="A2551" s="32" t="s">
        <v>5107</v>
      </c>
      <c r="B2551" s="32" t="s">
        <v>5075</v>
      </c>
      <c r="C2551" s="32" t="s">
        <v>1038</v>
      </c>
      <c r="D2551" s="33">
        <v>0</v>
      </c>
      <c r="E2551" s="33" t="s">
        <v>1639</v>
      </c>
      <c r="F2551" s="33">
        <v>716</v>
      </c>
      <c r="G2551" s="33">
        <v>211</v>
      </c>
      <c r="H2551" s="33" t="s">
        <v>1639</v>
      </c>
      <c r="I2551" s="33">
        <v>1075</v>
      </c>
      <c r="K2551" t="b">
        <f>QHPSelections2016[[#This Row],[County Name]]=P2551</f>
        <v>0</v>
      </c>
      <c r="L2551" t="b">
        <f>QHPSelections2016[[#This Row],[Silver]]=S2551</f>
        <v>0</v>
      </c>
      <c r="N2551">
        <v>54051</v>
      </c>
      <c r="O2551" t="s">
        <v>5075</v>
      </c>
      <c r="P2551" t="s">
        <v>1068</v>
      </c>
      <c r="Q2551">
        <v>0</v>
      </c>
      <c r="S2551">
        <v>393</v>
      </c>
      <c r="T2551">
        <v>103</v>
      </c>
      <c r="V2551">
        <v>584</v>
      </c>
    </row>
    <row r="2552" spans="1:22">
      <c r="A2552" s="32" t="s">
        <v>5108</v>
      </c>
      <c r="B2552" s="32" t="s">
        <v>5075</v>
      </c>
      <c r="C2552" s="32" t="s">
        <v>1068</v>
      </c>
      <c r="D2552" s="33">
        <v>0</v>
      </c>
      <c r="E2552" s="33" t="s">
        <v>1639</v>
      </c>
      <c r="F2552" s="33">
        <v>393</v>
      </c>
      <c r="G2552" s="33">
        <v>103</v>
      </c>
      <c r="H2552" s="33" t="s">
        <v>1639</v>
      </c>
      <c r="I2552" s="33">
        <v>584</v>
      </c>
      <c r="K2552" t="b">
        <f>QHPSelections2016[[#This Row],[County Name]]=P2552</f>
        <v>0</v>
      </c>
      <c r="L2552" t="b">
        <f>QHPSelections2016[[#This Row],[Silver]]=S2552</f>
        <v>0</v>
      </c>
      <c r="N2552">
        <v>54053</v>
      </c>
      <c r="O2552" t="s">
        <v>5075</v>
      </c>
      <c r="P2552" t="s">
        <v>1344</v>
      </c>
      <c r="Q2552">
        <v>0</v>
      </c>
      <c r="R2552">
        <v>63</v>
      </c>
      <c r="S2552">
        <v>291</v>
      </c>
      <c r="T2552">
        <v>92</v>
      </c>
      <c r="U2552">
        <v>0</v>
      </c>
      <c r="V2552">
        <v>446</v>
      </c>
    </row>
    <row r="2553" spans="1:22">
      <c r="A2553" s="32" t="s">
        <v>5109</v>
      </c>
      <c r="B2553" s="32" t="s">
        <v>5075</v>
      </c>
      <c r="C2553" s="32" t="s">
        <v>1344</v>
      </c>
      <c r="D2553" s="33">
        <v>0</v>
      </c>
      <c r="E2553" s="33">
        <v>63</v>
      </c>
      <c r="F2553" s="33">
        <v>291</v>
      </c>
      <c r="G2553" s="33">
        <v>92</v>
      </c>
      <c r="H2553" s="33">
        <v>0</v>
      </c>
      <c r="I2553" s="33">
        <v>446</v>
      </c>
      <c r="K2553" t="b">
        <f>QHPSelections2016[[#This Row],[County Name]]=P2553</f>
        <v>0</v>
      </c>
      <c r="L2553" t="b">
        <f>QHPSelections2016[[#This Row],[Silver]]=S2553</f>
        <v>0</v>
      </c>
      <c r="N2553">
        <v>54047</v>
      </c>
      <c r="O2553" t="s">
        <v>5075</v>
      </c>
      <c r="P2553" t="s">
        <v>1117</v>
      </c>
      <c r="Q2553">
        <v>0</v>
      </c>
      <c r="R2553">
        <v>15</v>
      </c>
      <c r="S2553">
        <v>149</v>
      </c>
      <c r="T2553">
        <v>34</v>
      </c>
      <c r="U2553">
        <v>0</v>
      </c>
      <c r="V2553">
        <v>198</v>
      </c>
    </row>
    <row r="2554" spans="1:22">
      <c r="A2554" s="32" t="s">
        <v>5110</v>
      </c>
      <c r="B2554" s="32" t="s">
        <v>5075</v>
      </c>
      <c r="C2554" s="32" t="s">
        <v>2381</v>
      </c>
      <c r="D2554" s="33">
        <v>0</v>
      </c>
      <c r="E2554" s="33" t="s">
        <v>1639</v>
      </c>
      <c r="F2554" s="33">
        <v>933</v>
      </c>
      <c r="G2554" s="33">
        <v>198</v>
      </c>
      <c r="H2554" s="33" t="s">
        <v>1639</v>
      </c>
      <c r="I2554" s="33">
        <v>1233</v>
      </c>
      <c r="K2554" t="b">
        <f>QHPSelections2016[[#This Row],[County Name]]=P2554</f>
        <v>1</v>
      </c>
      <c r="L2554" t="b">
        <f>QHPSelections2016[[#This Row],[Silver]]=S2554</f>
        <v>1</v>
      </c>
      <c r="N2554">
        <v>54055</v>
      </c>
      <c r="O2554" t="s">
        <v>5075</v>
      </c>
      <c r="P2554" t="s">
        <v>2381</v>
      </c>
      <c r="Q2554">
        <v>0</v>
      </c>
      <c r="S2554">
        <v>933</v>
      </c>
      <c r="T2554">
        <v>198</v>
      </c>
      <c r="V2554" s="51">
        <v>1233</v>
      </c>
    </row>
    <row r="2555" spans="1:22">
      <c r="A2555" s="32" t="s">
        <v>5111</v>
      </c>
      <c r="B2555" s="32" t="s">
        <v>5075</v>
      </c>
      <c r="C2555" s="32" t="s">
        <v>3256</v>
      </c>
      <c r="D2555" s="33">
        <v>0</v>
      </c>
      <c r="E2555" s="33" t="s">
        <v>1639</v>
      </c>
      <c r="F2555" s="33">
        <v>359</v>
      </c>
      <c r="G2555" s="33">
        <v>78</v>
      </c>
      <c r="H2555" s="33" t="s">
        <v>1639</v>
      </c>
      <c r="I2555" s="33">
        <v>495</v>
      </c>
      <c r="K2555" t="b">
        <f>QHPSelections2016[[#This Row],[County Name]]=P2555</f>
        <v>1</v>
      </c>
      <c r="L2555" t="b">
        <f>QHPSelections2016[[#This Row],[Silver]]=S2555</f>
        <v>1</v>
      </c>
      <c r="N2555">
        <v>54057</v>
      </c>
      <c r="O2555" t="s">
        <v>5075</v>
      </c>
      <c r="P2555" t="s">
        <v>3256</v>
      </c>
      <c r="Q2555">
        <v>0</v>
      </c>
      <c r="S2555">
        <v>359</v>
      </c>
      <c r="T2555">
        <v>78</v>
      </c>
      <c r="V2555">
        <v>495</v>
      </c>
    </row>
    <row r="2556" spans="1:22">
      <c r="A2556" s="32" t="s">
        <v>5112</v>
      </c>
      <c r="B2556" s="32" t="s">
        <v>5075</v>
      </c>
      <c r="C2556" s="32" t="s">
        <v>5113</v>
      </c>
      <c r="D2556" s="33">
        <v>0</v>
      </c>
      <c r="E2556" s="33" t="s">
        <v>1639</v>
      </c>
      <c r="F2556" s="33">
        <v>360</v>
      </c>
      <c r="G2556" s="33">
        <v>54</v>
      </c>
      <c r="H2556" s="33" t="s">
        <v>1639</v>
      </c>
      <c r="I2556" s="33">
        <v>455</v>
      </c>
      <c r="K2556" t="b">
        <f>QHPSelections2016[[#This Row],[County Name]]=P2556</f>
        <v>1</v>
      </c>
      <c r="L2556" t="b">
        <f>QHPSelections2016[[#This Row],[Silver]]=S2556</f>
        <v>1</v>
      </c>
      <c r="N2556">
        <v>54059</v>
      </c>
      <c r="O2556" t="s">
        <v>5075</v>
      </c>
      <c r="P2556" t="s">
        <v>5113</v>
      </c>
      <c r="Q2556">
        <v>0</v>
      </c>
      <c r="S2556">
        <v>360</v>
      </c>
      <c r="T2556">
        <v>54</v>
      </c>
      <c r="V2556">
        <v>455</v>
      </c>
    </row>
    <row r="2557" spans="1:22">
      <c r="A2557" s="32" t="s">
        <v>5114</v>
      </c>
      <c r="B2557" s="32" t="s">
        <v>5075</v>
      </c>
      <c r="C2557" s="32" t="s">
        <v>5115</v>
      </c>
      <c r="D2557" s="33">
        <v>0</v>
      </c>
      <c r="E2557" s="33">
        <v>237</v>
      </c>
      <c r="F2557" s="33">
        <v>1257</v>
      </c>
      <c r="G2557" s="33">
        <v>446</v>
      </c>
      <c r="H2557" s="33">
        <v>14</v>
      </c>
      <c r="I2557" s="33">
        <v>1954</v>
      </c>
      <c r="K2557" t="b">
        <f>QHPSelections2016[[#This Row],[County Name]]=P2557</f>
        <v>1</v>
      </c>
      <c r="L2557" t="b">
        <f>QHPSelections2016[[#This Row],[Silver]]=S2557</f>
        <v>1</v>
      </c>
      <c r="N2557">
        <v>54061</v>
      </c>
      <c r="O2557" t="s">
        <v>5075</v>
      </c>
      <c r="P2557" t="s">
        <v>5115</v>
      </c>
      <c r="Q2557">
        <v>0</v>
      </c>
      <c r="R2557">
        <v>237</v>
      </c>
      <c r="S2557" s="51">
        <v>1257</v>
      </c>
      <c r="T2557">
        <v>446</v>
      </c>
      <c r="U2557">
        <v>14</v>
      </c>
      <c r="V2557" s="51">
        <v>1954</v>
      </c>
    </row>
    <row r="2558" spans="1:22">
      <c r="A2558" s="32" t="s">
        <v>5116</v>
      </c>
      <c r="B2558" s="32" t="s">
        <v>5075</v>
      </c>
      <c r="C2558" s="32" t="s">
        <v>1055</v>
      </c>
      <c r="D2558" s="33">
        <v>0</v>
      </c>
      <c r="E2558" s="33">
        <v>41</v>
      </c>
      <c r="F2558" s="33">
        <v>388</v>
      </c>
      <c r="G2558" s="33">
        <v>55</v>
      </c>
      <c r="H2558" s="33">
        <v>0</v>
      </c>
      <c r="I2558" s="33">
        <v>484</v>
      </c>
      <c r="K2558" t="b">
        <f>QHPSelections2016[[#This Row],[County Name]]=P2558</f>
        <v>1</v>
      </c>
      <c r="L2558" t="b">
        <f>QHPSelections2016[[#This Row],[Silver]]=S2558</f>
        <v>1</v>
      </c>
      <c r="N2558">
        <v>54063</v>
      </c>
      <c r="O2558" t="s">
        <v>5075</v>
      </c>
      <c r="P2558" t="s">
        <v>1055</v>
      </c>
      <c r="Q2558">
        <v>0</v>
      </c>
      <c r="R2558">
        <v>41</v>
      </c>
      <c r="S2558">
        <v>388</v>
      </c>
      <c r="T2558">
        <v>55</v>
      </c>
      <c r="U2558">
        <v>0</v>
      </c>
      <c r="V2558">
        <v>484</v>
      </c>
    </row>
    <row r="2559" spans="1:22">
      <c r="A2559" s="32" t="s">
        <v>5117</v>
      </c>
      <c r="B2559" s="32" t="s">
        <v>5075</v>
      </c>
      <c r="C2559" s="32" t="s">
        <v>1092</v>
      </c>
      <c r="D2559" s="33">
        <v>0</v>
      </c>
      <c r="E2559" s="33" t="s">
        <v>1639</v>
      </c>
      <c r="F2559" s="33">
        <v>295</v>
      </c>
      <c r="G2559" s="33">
        <v>78</v>
      </c>
      <c r="H2559" s="33" t="s">
        <v>1639</v>
      </c>
      <c r="I2559" s="33">
        <v>415</v>
      </c>
      <c r="K2559" t="b">
        <f>QHPSelections2016[[#This Row],[County Name]]=P2559</f>
        <v>1</v>
      </c>
      <c r="L2559" t="b">
        <f>QHPSelections2016[[#This Row],[Silver]]=S2559</f>
        <v>1</v>
      </c>
      <c r="N2559">
        <v>54065</v>
      </c>
      <c r="O2559" t="s">
        <v>5075</v>
      </c>
      <c r="P2559" t="s">
        <v>1092</v>
      </c>
      <c r="Q2559">
        <v>0</v>
      </c>
      <c r="S2559">
        <v>295</v>
      </c>
      <c r="T2559">
        <v>78</v>
      </c>
      <c r="V2559">
        <v>415</v>
      </c>
    </row>
    <row r="2560" spans="1:22">
      <c r="A2560" s="32" t="s">
        <v>5118</v>
      </c>
      <c r="B2560" s="32" t="s">
        <v>5075</v>
      </c>
      <c r="C2560" s="32" t="s">
        <v>5119</v>
      </c>
      <c r="D2560" s="33">
        <v>0</v>
      </c>
      <c r="E2560" s="33" t="s">
        <v>1639</v>
      </c>
      <c r="F2560" s="33">
        <v>436</v>
      </c>
      <c r="G2560" s="33">
        <v>133</v>
      </c>
      <c r="H2560" s="33" t="s">
        <v>1639</v>
      </c>
      <c r="I2560" s="33">
        <v>613</v>
      </c>
      <c r="K2560" t="b">
        <f>QHPSelections2016[[#This Row],[County Name]]=P2560</f>
        <v>1</v>
      </c>
      <c r="L2560" t="b">
        <f>QHPSelections2016[[#This Row],[Silver]]=S2560</f>
        <v>1</v>
      </c>
      <c r="N2560">
        <v>54067</v>
      </c>
      <c r="O2560" t="s">
        <v>5075</v>
      </c>
      <c r="P2560" t="s">
        <v>5119</v>
      </c>
      <c r="Q2560">
        <v>0</v>
      </c>
      <c r="S2560">
        <v>436</v>
      </c>
      <c r="T2560">
        <v>133</v>
      </c>
      <c r="V2560">
        <v>613</v>
      </c>
    </row>
    <row r="2561" spans="1:22">
      <c r="A2561" s="32" t="s">
        <v>5120</v>
      </c>
      <c r="B2561" s="32" t="s">
        <v>5075</v>
      </c>
      <c r="C2561" s="32" t="s">
        <v>2510</v>
      </c>
      <c r="D2561" s="33">
        <v>0</v>
      </c>
      <c r="E2561" s="33" t="s">
        <v>1639</v>
      </c>
      <c r="F2561" s="33">
        <v>741</v>
      </c>
      <c r="G2561" s="33">
        <v>178</v>
      </c>
      <c r="H2561" s="33" t="s">
        <v>1639</v>
      </c>
      <c r="I2561" s="33">
        <v>1038</v>
      </c>
      <c r="K2561" t="b">
        <f>QHPSelections2016[[#This Row],[County Name]]=P2561</f>
        <v>1</v>
      </c>
      <c r="L2561" t="b">
        <f>QHPSelections2016[[#This Row],[Silver]]=S2561</f>
        <v>1</v>
      </c>
      <c r="N2561">
        <v>54069</v>
      </c>
      <c r="O2561" t="s">
        <v>5075</v>
      </c>
      <c r="P2561" t="s">
        <v>2510</v>
      </c>
      <c r="Q2561">
        <v>0</v>
      </c>
      <c r="S2561">
        <v>741</v>
      </c>
      <c r="T2561">
        <v>178</v>
      </c>
      <c r="V2561" s="51">
        <v>1038</v>
      </c>
    </row>
    <row r="2562" spans="1:22">
      <c r="A2562" s="32" t="s">
        <v>5121</v>
      </c>
      <c r="B2562" s="32" t="s">
        <v>5075</v>
      </c>
      <c r="C2562" s="32" t="s">
        <v>5122</v>
      </c>
      <c r="D2562" s="33">
        <v>0</v>
      </c>
      <c r="E2562" s="33" t="s">
        <v>1639</v>
      </c>
      <c r="F2562" s="33">
        <v>219</v>
      </c>
      <c r="G2562" s="33">
        <v>42</v>
      </c>
      <c r="H2562" s="33" t="s">
        <v>1639</v>
      </c>
      <c r="I2562" s="33">
        <v>280</v>
      </c>
      <c r="K2562" t="b">
        <f>QHPSelections2016[[#This Row],[County Name]]=P2562</f>
        <v>1</v>
      </c>
      <c r="L2562" t="b">
        <f>QHPSelections2016[[#This Row],[Silver]]=S2562</f>
        <v>1</v>
      </c>
      <c r="N2562">
        <v>54071</v>
      </c>
      <c r="O2562" t="s">
        <v>5075</v>
      </c>
      <c r="P2562" t="s">
        <v>5122</v>
      </c>
      <c r="Q2562">
        <v>0</v>
      </c>
      <c r="S2562">
        <v>219</v>
      </c>
      <c r="T2562">
        <v>42</v>
      </c>
      <c r="V2562">
        <v>280</v>
      </c>
    </row>
    <row r="2563" spans="1:22">
      <c r="A2563" s="32" t="s">
        <v>5123</v>
      </c>
      <c r="B2563" s="32" t="s">
        <v>5075</v>
      </c>
      <c r="C2563" s="32" t="s">
        <v>5124</v>
      </c>
      <c r="D2563" s="33">
        <v>0</v>
      </c>
      <c r="E2563" s="33" t="s">
        <v>1639</v>
      </c>
      <c r="F2563" s="33">
        <v>96</v>
      </c>
      <c r="G2563" s="33">
        <v>34</v>
      </c>
      <c r="H2563" s="33" t="s">
        <v>1639</v>
      </c>
      <c r="I2563" s="33">
        <v>135</v>
      </c>
      <c r="K2563" t="b">
        <f>QHPSelections2016[[#This Row],[County Name]]=P2563</f>
        <v>1</v>
      </c>
      <c r="L2563" t="b">
        <f>QHPSelections2016[[#This Row],[Silver]]=S2563</f>
        <v>1</v>
      </c>
      <c r="N2563">
        <v>54073</v>
      </c>
      <c r="O2563" t="s">
        <v>5075</v>
      </c>
      <c r="P2563" t="s">
        <v>5124</v>
      </c>
      <c r="Q2563">
        <v>0</v>
      </c>
      <c r="S2563">
        <v>96</v>
      </c>
      <c r="T2563">
        <v>34</v>
      </c>
      <c r="V2563">
        <v>135</v>
      </c>
    </row>
    <row r="2564" spans="1:22">
      <c r="A2564" s="32" t="s">
        <v>5125</v>
      </c>
      <c r="B2564" s="32" t="s">
        <v>5075</v>
      </c>
      <c r="C2564" s="32" t="s">
        <v>2256</v>
      </c>
      <c r="D2564" s="33">
        <v>0</v>
      </c>
      <c r="E2564" s="33">
        <v>20</v>
      </c>
      <c r="F2564" s="33">
        <v>194</v>
      </c>
      <c r="G2564" s="33">
        <v>76</v>
      </c>
      <c r="H2564" s="33">
        <v>0</v>
      </c>
      <c r="I2564" s="33">
        <v>290</v>
      </c>
      <c r="K2564" t="b">
        <f>QHPSelections2016[[#This Row],[County Name]]=P2564</f>
        <v>1</v>
      </c>
      <c r="L2564" t="b">
        <f>QHPSelections2016[[#This Row],[Silver]]=S2564</f>
        <v>1</v>
      </c>
      <c r="N2564">
        <v>54075</v>
      </c>
      <c r="O2564" t="s">
        <v>5075</v>
      </c>
      <c r="P2564" t="s">
        <v>2256</v>
      </c>
      <c r="Q2564">
        <v>0</v>
      </c>
      <c r="R2564">
        <v>20</v>
      </c>
      <c r="S2564">
        <v>194</v>
      </c>
      <c r="T2564">
        <v>76</v>
      </c>
      <c r="U2564">
        <v>0</v>
      </c>
      <c r="V2564">
        <v>290</v>
      </c>
    </row>
    <row r="2565" spans="1:22">
      <c r="A2565" s="32" t="s">
        <v>5126</v>
      </c>
      <c r="B2565" s="32" t="s">
        <v>5075</v>
      </c>
      <c r="C2565" s="32" t="s">
        <v>5127</v>
      </c>
      <c r="D2565" s="33">
        <v>0</v>
      </c>
      <c r="E2565" s="33" t="s">
        <v>1639</v>
      </c>
      <c r="F2565" s="33">
        <v>445</v>
      </c>
      <c r="G2565" s="33">
        <v>116</v>
      </c>
      <c r="H2565" s="33" t="s">
        <v>1639</v>
      </c>
      <c r="I2565" s="33">
        <v>616</v>
      </c>
      <c r="K2565" t="b">
        <f>QHPSelections2016[[#This Row],[County Name]]=P2565</f>
        <v>1</v>
      </c>
      <c r="L2565" t="b">
        <f>QHPSelections2016[[#This Row],[Silver]]=S2565</f>
        <v>1</v>
      </c>
      <c r="N2565">
        <v>54077</v>
      </c>
      <c r="O2565" t="s">
        <v>5075</v>
      </c>
      <c r="P2565" t="s">
        <v>5127</v>
      </c>
      <c r="Q2565">
        <v>0</v>
      </c>
      <c r="S2565">
        <v>445</v>
      </c>
      <c r="T2565">
        <v>116</v>
      </c>
      <c r="V2565">
        <v>616</v>
      </c>
    </row>
    <row r="2566" spans="1:22">
      <c r="A2566" s="32" t="s">
        <v>5128</v>
      </c>
      <c r="B2566" s="32" t="s">
        <v>5075</v>
      </c>
      <c r="C2566" s="32" t="s">
        <v>1103</v>
      </c>
      <c r="D2566" s="33">
        <v>0</v>
      </c>
      <c r="E2566" s="33" t="s">
        <v>1639</v>
      </c>
      <c r="F2566" s="33">
        <v>778</v>
      </c>
      <c r="G2566" s="33">
        <v>277</v>
      </c>
      <c r="H2566" s="33" t="s">
        <v>1639</v>
      </c>
      <c r="I2566" s="33">
        <v>1205</v>
      </c>
      <c r="K2566" t="b">
        <f>QHPSelections2016[[#This Row],[County Name]]=P2566</f>
        <v>1</v>
      </c>
      <c r="L2566" t="b">
        <f>QHPSelections2016[[#This Row],[Silver]]=S2566</f>
        <v>1</v>
      </c>
      <c r="N2566">
        <v>54079</v>
      </c>
      <c r="O2566" t="s">
        <v>5075</v>
      </c>
      <c r="P2566" t="s">
        <v>1103</v>
      </c>
      <c r="Q2566">
        <v>0</v>
      </c>
      <c r="S2566">
        <v>778</v>
      </c>
      <c r="T2566">
        <v>277</v>
      </c>
      <c r="V2566" s="51">
        <v>1205</v>
      </c>
    </row>
    <row r="2567" spans="1:22">
      <c r="A2567" s="32" t="s">
        <v>5129</v>
      </c>
      <c r="B2567" s="32" t="s">
        <v>5075</v>
      </c>
      <c r="C2567" s="32" t="s">
        <v>5130</v>
      </c>
      <c r="D2567" s="33">
        <v>0</v>
      </c>
      <c r="E2567" s="33" t="s">
        <v>1639</v>
      </c>
      <c r="F2567" s="33">
        <v>1042</v>
      </c>
      <c r="G2567" s="33">
        <v>301</v>
      </c>
      <c r="H2567" s="33" t="s">
        <v>1639</v>
      </c>
      <c r="I2567" s="33">
        <v>1518</v>
      </c>
      <c r="K2567" t="b">
        <f>QHPSelections2016[[#This Row],[County Name]]=P2567</f>
        <v>1</v>
      </c>
      <c r="L2567" t="b">
        <f>QHPSelections2016[[#This Row],[Silver]]=S2567</f>
        <v>1</v>
      </c>
      <c r="N2567">
        <v>54081</v>
      </c>
      <c r="O2567" t="s">
        <v>5075</v>
      </c>
      <c r="P2567" t="s">
        <v>5130</v>
      </c>
      <c r="Q2567">
        <v>0</v>
      </c>
      <c r="S2567" s="51">
        <v>1042</v>
      </c>
      <c r="T2567">
        <v>301</v>
      </c>
      <c r="V2567" s="51">
        <v>1518</v>
      </c>
    </row>
    <row r="2568" spans="1:22">
      <c r="A2568" s="32" t="s">
        <v>5131</v>
      </c>
      <c r="B2568" s="32" t="s">
        <v>5075</v>
      </c>
      <c r="C2568" s="32" t="s">
        <v>1115</v>
      </c>
      <c r="D2568" s="33">
        <v>0</v>
      </c>
      <c r="E2568" s="33" t="s">
        <v>1639</v>
      </c>
      <c r="F2568" s="33">
        <v>435</v>
      </c>
      <c r="G2568" s="33">
        <v>109</v>
      </c>
      <c r="H2568" s="33" t="s">
        <v>1639</v>
      </c>
      <c r="I2568" s="33">
        <v>599</v>
      </c>
      <c r="K2568" t="b">
        <f>QHPSelections2016[[#This Row],[County Name]]=P2568</f>
        <v>1</v>
      </c>
      <c r="L2568" t="b">
        <f>QHPSelections2016[[#This Row],[Silver]]=S2568</f>
        <v>1</v>
      </c>
      <c r="N2568">
        <v>54083</v>
      </c>
      <c r="O2568" t="s">
        <v>5075</v>
      </c>
      <c r="P2568" t="s">
        <v>1115</v>
      </c>
      <c r="Q2568">
        <v>0</v>
      </c>
      <c r="S2568">
        <v>435</v>
      </c>
      <c r="T2568">
        <v>109</v>
      </c>
      <c r="V2568">
        <v>599</v>
      </c>
    </row>
    <row r="2569" spans="1:22">
      <c r="A2569" s="32" t="s">
        <v>5132</v>
      </c>
      <c r="B2569" s="32" t="s">
        <v>5075</v>
      </c>
      <c r="C2569" s="32" t="s">
        <v>5133</v>
      </c>
      <c r="D2569" s="33">
        <v>0</v>
      </c>
      <c r="E2569" s="33">
        <v>12</v>
      </c>
      <c r="F2569" s="33">
        <v>120</v>
      </c>
      <c r="G2569" s="33">
        <v>47</v>
      </c>
      <c r="H2569" s="33">
        <v>0</v>
      </c>
      <c r="I2569" s="33">
        <v>179</v>
      </c>
      <c r="K2569" t="b">
        <f>QHPSelections2016[[#This Row],[County Name]]=P2569</f>
        <v>1</v>
      </c>
      <c r="L2569" t="b">
        <f>QHPSelections2016[[#This Row],[Silver]]=S2569</f>
        <v>1</v>
      </c>
      <c r="N2569">
        <v>54085</v>
      </c>
      <c r="O2569" t="s">
        <v>5075</v>
      </c>
      <c r="P2569" t="s">
        <v>5133</v>
      </c>
      <c r="Q2569">
        <v>0</v>
      </c>
      <c r="R2569">
        <v>12</v>
      </c>
      <c r="S2569">
        <v>120</v>
      </c>
      <c r="T2569">
        <v>47</v>
      </c>
      <c r="U2569">
        <v>0</v>
      </c>
      <c r="V2569">
        <v>179</v>
      </c>
    </row>
    <row r="2570" spans="1:22">
      <c r="A2570" s="32" t="s">
        <v>5134</v>
      </c>
      <c r="B2570" s="32" t="s">
        <v>5075</v>
      </c>
      <c r="C2570" s="32" t="s">
        <v>1199</v>
      </c>
      <c r="D2570" s="33">
        <v>0</v>
      </c>
      <c r="E2570" s="33" t="s">
        <v>1639</v>
      </c>
      <c r="F2570" s="33">
        <v>262</v>
      </c>
      <c r="G2570" s="33">
        <v>64</v>
      </c>
      <c r="H2570" s="33" t="s">
        <v>1639</v>
      </c>
      <c r="I2570" s="33">
        <v>357</v>
      </c>
      <c r="K2570" t="b">
        <f>QHPSelections2016[[#This Row],[County Name]]=P2570</f>
        <v>1</v>
      </c>
      <c r="L2570" t="b">
        <f>QHPSelections2016[[#This Row],[Silver]]=S2570</f>
        <v>1</v>
      </c>
      <c r="N2570">
        <v>54087</v>
      </c>
      <c r="O2570" t="s">
        <v>5075</v>
      </c>
      <c r="P2570" t="s">
        <v>1199</v>
      </c>
      <c r="Q2570">
        <v>0</v>
      </c>
      <c r="S2570">
        <v>262</v>
      </c>
      <c r="T2570">
        <v>64</v>
      </c>
      <c r="V2570">
        <v>357</v>
      </c>
    </row>
    <row r="2571" spans="1:22">
      <c r="A2571" s="32" t="s">
        <v>5135</v>
      </c>
      <c r="B2571" s="32" t="s">
        <v>5075</v>
      </c>
      <c r="C2571" s="32" t="s">
        <v>5136</v>
      </c>
      <c r="D2571" s="33">
        <v>0</v>
      </c>
      <c r="E2571" s="33" t="s">
        <v>1639</v>
      </c>
      <c r="F2571" s="33">
        <v>171</v>
      </c>
      <c r="G2571" s="33">
        <v>40</v>
      </c>
      <c r="H2571" s="33" t="s">
        <v>1639</v>
      </c>
      <c r="I2571" s="33">
        <v>236</v>
      </c>
      <c r="K2571" t="b">
        <f>QHPSelections2016[[#This Row],[County Name]]=P2571</f>
        <v>1</v>
      </c>
      <c r="L2571" t="b">
        <f>QHPSelections2016[[#This Row],[Silver]]=S2571</f>
        <v>1</v>
      </c>
      <c r="N2571">
        <v>54089</v>
      </c>
      <c r="O2571" t="s">
        <v>5075</v>
      </c>
      <c r="P2571" t="s">
        <v>5136</v>
      </c>
      <c r="Q2571">
        <v>0</v>
      </c>
      <c r="S2571">
        <v>171</v>
      </c>
      <c r="T2571">
        <v>40</v>
      </c>
      <c r="V2571">
        <v>236</v>
      </c>
    </row>
    <row r="2572" spans="1:22">
      <c r="A2572" s="32" t="s">
        <v>5137</v>
      </c>
      <c r="B2572" s="32" t="s">
        <v>5075</v>
      </c>
      <c r="C2572" s="32" t="s">
        <v>1144</v>
      </c>
      <c r="D2572" s="33">
        <v>0</v>
      </c>
      <c r="E2572" s="33">
        <v>22</v>
      </c>
      <c r="F2572" s="33">
        <v>168</v>
      </c>
      <c r="G2572" s="33">
        <v>62</v>
      </c>
      <c r="H2572" s="33">
        <v>0</v>
      </c>
      <c r="I2572" s="33">
        <v>252</v>
      </c>
      <c r="K2572" t="b">
        <f>QHPSelections2016[[#This Row],[County Name]]=P2572</f>
        <v>1</v>
      </c>
      <c r="L2572" t="b">
        <f>QHPSelections2016[[#This Row],[Silver]]=S2572</f>
        <v>1</v>
      </c>
      <c r="N2572">
        <v>54091</v>
      </c>
      <c r="O2572" t="s">
        <v>5075</v>
      </c>
      <c r="P2572" t="s">
        <v>1144</v>
      </c>
      <c r="Q2572">
        <v>0</v>
      </c>
      <c r="R2572">
        <v>22</v>
      </c>
      <c r="S2572">
        <v>168</v>
      </c>
      <c r="T2572">
        <v>62</v>
      </c>
      <c r="U2572">
        <v>0</v>
      </c>
      <c r="V2572">
        <v>252</v>
      </c>
    </row>
    <row r="2573" spans="1:22">
      <c r="A2573" s="32" t="s">
        <v>5138</v>
      </c>
      <c r="B2573" s="32" t="s">
        <v>5075</v>
      </c>
      <c r="C2573" s="32" t="s">
        <v>5139</v>
      </c>
      <c r="D2573" s="33">
        <v>0</v>
      </c>
      <c r="E2573" s="33">
        <v>20</v>
      </c>
      <c r="F2573" s="33">
        <v>147</v>
      </c>
      <c r="G2573" s="33">
        <v>55</v>
      </c>
      <c r="H2573" s="33">
        <v>0</v>
      </c>
      <c r="I2573" s="33">
        <v>222</v>
      </c>
      <c r="K2573" t="b">
        <f>QHPSelections2016[[#This Row],[County Name]]=P2573</f>
        <v>1</v>
      </c>
      <c r="L2573" t="b">
        <f>QHPSelections2016[[#This Row],[Silver]]=S2573</f>
        <v>1</v>
      </c>
      <c r="N2573">
        <v>54093</v>
      </c>
      <c r="O2573" t="s">
        <v>5075</v>
      </c>
      <c r="P2573" t="s">
        <v>5139</v>
      </c>
      <c r="Q2573">
        <v>0</v>
      </c>
      <c r="R2573">
        <v>20</v>
      </c>
      <c r="S2573">
        <v>147</v>
      </c>
      <c r="T2573">
        <v>55</v>
      </c>
      <c r="U2573">
        <v>0</v>
      </c>
      <c r="V2573">
        <v>222</v>
      </c>
    </row>
    <row r="2574" spans="1:22">
      <c r="A2574" s="32" t="s">
        <v>5140</v>
      </c>
      <c r="B2574" s="32" t="s">
        <v>5075</v>
      </c>
      <c r="C2574" s="32" t="s">
        <v>1400</v>
      </c>
      <c r="D2574" s="33">
        <v>0</v>
      </c>
      <c r="E2574" s="33">
        <v>22</v>
      </c>
      <c r="F2574" s="33">
        <v>181</v>
      </c>
      <c r="G2574" s="33">
        <v>40</v>
      </c>
      <c r="H2574" s="33">
        <v>0</v>
      </c>
      <c r="I2574" s="33">
        <v>243</v>
      </c>
      <c r="K2574" t="b">
        <f>QHPSelections2016[[#This Row],[County Name]]=P2574</f>
        <v>1</v>
      </c>
      <c r="L2574" t="b">
        <f>QHPSelections2016[[#This Row],[Silver]]=S2574</f>
        <v>1</v>
      </c>
      <c r="N2574">
        <v>54095</v>
      </c>
      <c r="O2574" t="s">
        <v>5075</v>
      </c>
      <c r="P2574" t="s">
        <v>1400</v>
      </c>
      <c r="Q2574">
        <v>0</v>
      </c>
      <c r="R2574">
        <v>22</v>
      </c>
      <c r="S2574">
        <v>181</v>
      </c>
      <c r="T2574">
        <v>40</v>
      </c>
      <c r="U2574">
        <v>0</v>
      </c>
      <c r="V2574">
        <v>243</v>
      </c>
    </row>
    <row r="2575" spans="1:22">
      <c r="A2575" s="32" t="s">
        <v>5141</v>
      </c>
      <c r="B2575" s="32" t="s">
        <v>5075</v>
      </c>
      <c r="C2575" s="32" t="s">
        <v>1401</v>
      </c>
      <c r="D2575" s="33">
        <v>0</v>
      </c>
      <c r="E2575" s="33">
        <v>49</v>
      </c>
      <c r="F2575" s="33">
        <v>340</v>
      </c>
      <c r="G2575" s="33">
        <v>86</v>
      </c>
      <c r="H2575" s="33">
        <v>0</v>
      </c>
      <c r="I2575" s="33">
        <v>475</v>
      </c>
      <c r="K2575" t="b">
        <f>QHPSelections2016[[#This Row],[County Name]]=P2575</f>
        <v>1</v>
      </c>
      <c r="L2575" t="b">
        <f>QHPSelections2016[[#This Row],[Silver]]=S2575</f>
        <v>1</v>
      </c>
      <c r="N2575">
        <v>54097</v>
      </c>
      <c r="O2575" t="s">
        <v>5075</v>
      </c>
      <c r="P2575" t="s">
        <v>1401</v>
      </c>
      <c r="Q2575">
        <v>0</v>
      </c>
      <c r="R2575">
        <v>49</v>
      </c>
      <c r="S2575">
        <v>340</v>
      </c>
      <c r="T2575">
        <v>86</v>
      </c>
      <c r="U2575">
        <v>0</v>
      </c>
      <c r="V2575">
        <v>475</v>
      </c>
    </row>
    <row r="2576" spans="1:22">
      <c r="A2576" s="32" t="s">
        <v>5142</v>
      </c>
      <c r="B2576" s="32" t="s">
        <v>5075</v>
      </c>
      <c r="C2576" s="32" t="s">
        <v>1209</v>
      </c>
      <c r="D2576" s="33">
        <v>0</v>
      </c>
      <c r="E2576" s="33" t="s">
        <v>1639</v>
      </c>
      <c r="F2576" s="33">
        <v>383</v>
      </c>
      <c r="G2576" s="33">
        <v>134</v>
      </c>
      <c r="H2576" s="33" t="s">
        <v>1639</v>
      </c>
      <c r="I2576" s="33">
        <v>605</v>
      </c>
      <c r="K2576" t="b">
        <f>QHPSelections2016[[#This Row],[County Name]]=P2576</f>
        <v>1</v>
      </c>
      <c r="L2576" t="b">
        <f>QHPSelections2016[[#This Row],[Silver]]=S2576</f>
        <v>1</v>
      </c>
      <c r="N2576">
        <v>54099</v>
      </c>
      <c r="O2576" t="s">
        <v>5075</v>
      </c>
      <c r="P2576" t="s">
        <v>1209</v>
      </c>
      <c r="Q2576">
        <v>0</v>
      </c>
      <c r="S2576">
        <v>383</v>
      </c>
      <c r="T2576">
        <v>134</v>
      </c>
      <c r="V2576">
        <v>605</v>
      </c>
    </row>
    <row r="2577" spans="1:22">
      <c r="A2577" s="32" t="s">
        <v>5143</v>
      </c>
      <c r="B2577" s="32" t="s">
        <v>5075</v>
      </c>
      <c r="C2577" s="32" t="s">
        <v>1212</v>
      </c>
      <c r="D2577" s="33">
        <v>0</v>
      </c>
      <c r="E2577" s="33" t="s">
        <v>1639</v>
      </c>
      <c r="F2577" s="33">
        <v>89</v>
      </c>
      <c r="G2577" s="33">
        <v>30</v>
      </c>
      <c r="H2577" s="33" t="s">
        <v>1639</v>
      </c>
      <c r="I2577" s="33">
        <v>128</v>
      </c>
      <c r="K2577" t="b">
        <f>QHPSelections2016[[#This Row],[County Name]]=P2577</f>
        <v>1</v>
      </c>
      <c r="L2577" t="b">
        <f>QHPSelections2016[[#This Row],[Silver]]=S2577</f>
        <v>1</v>
      </c>
      <c r="N2577">
        <v>54101</v>
      </c>
      <c r="O2577" t="s">
        <v>5075</v>
      </c>
      <c r="P2577" t="s">
        <v>1212</v>
      </c>
      <c r="Q2577">
        <v>0</v>
      </c>
      <c r="S2577">
        <v>89</v>
      </c>
      <c r="T2577">
        <v>30</v>
      </c>
      <c r="V2577">
        <v>128</v>
      </c>
    </row>
    <row r="2578" spans="1:22">
      <c r="A2578" s="32" t="s">
        <v>5144</v>
      </c>
      <c r="B2578" s="32" t="s">
        <v>5075</v>
      </c>
      <c r="C2578" s="32" t="s">
        <v>5145</v>
      </c>
      <c r="D2578" s="33">
        <v>0</v>
      </c>
      <c r="E2578" s="33" t="s">
        <v>1639</v>
      </c>
      <c r="F2578" s="33">
        <v>342</v>
      </c>
      <c r="G2578" s="33">
        <v>80</v>
      </c>
      <c r="H2578" s="33" t="s">
        <v>1639</v>
      </c>
      <c r="I2578" s="33">
        <v>453</v>
      </c>
      <c r="K2578" t="b">
        <f>QHPSelections2016[[#This Row],[County Name]]=P2578</f>
        <v>1</v>
      </c>
      <c r="L2578" t="b">
        <f>QHPSelections2016[[#This Row],[Silver]]=S2578</f>
        <v>1</v>
      </c>
      <c r="N2578">
        <v>54103</v>
      </c>
      <c r="O2578" t="s">
        <v>5075</v>
      </c>
      <c r="P2578" t="s">
        <v>5145</v>
      </c>
      <c r="Q2578">
        <v>0</v>
      </c>
      <c r="S2578">
        <v>342</v>
      </c>
      <c r="T2578">
        <v>80</v>
      </c>
      <c r="V2578">
        <v>453</v>
      </c>
    </row>
    <row r="2579" spans="1:22">
      <c r="A2579" s="32" t="s">
        <v>5146</v>
      </c>
      <c r="B2579" s="32" t="s">
        <v>5075</v>
      </c>
      <c r="C2579" s="32" t="s">
        <v>5147</v>
      </c>
      <c r="D2579" s="33">
        <v>0</v>
      </c>
      <c r="E2579" s="33" t="s">
        <v>1639</v>
      </c>
      <c r="F2579" s="33">
        <v>67</v>
      </c>
      <c r="G2579" s="33">
        <v>24</v>
      </c>
      <c r="H2579" s="33" t="s">
        <v>1639</v>
      </c>
      <c r="I2579" s="33">
        <v>95</v>
      </c>
      <c r="K2579" t="b">
        <f>QHPSelections2016[[#This Row],[County Name]]=P2579</f>
        <v>1</v>
      </c>
      <c r="L2579" t="b">
        <f>QHPSelections2016[[#This Row],[Silver]]=S2579</f>
        <v>1</v>
      </c>
      <c r="N2579">
        <v>54105</v>
      </c>
      <c r="O2579" t="s">
        <v>5075</v>
      </c>
      <c r="P2579" t="s">
        <v>5147</v>
      </c>
      <c r="Q2579">
        <v>0</v>
      </c>
      <c r="S2579">
        <v>67</v>
      </c>
      <c r="T2579">
        <v>24</v>
      </c>
      <c r="V2579">
        <v>95</v>
      </c>
    </row>
    <row r="2580" spans="1:22">
      <c r="A2580" s="32" t="s">
        <v>5148</v>
      </c>
      <c r="B2580" s="32" t="s">
        <v>5075</v>
      </c>
      <c r="C2580" s="32" t="s">
        <v>1416</v>
      </c>
      <c r="D2580" s="33">
        <v>0</v>
      </c>
      <c r="E2580" s="33" t="s">
        <v>1639</v>
      </c>
      <c r="F2580" s="33">
        <v>1235</v>
      </c>
      <c r="G2580" s="33">
        <v>397</v>
      </c>
      <c r="H2580" s="33" t="s">
        <v>1639</v>
      </c>
      <c r="I2580" s="33">
        <v>1791</v>
      </c>
      <c r="K2580" t="b">
        <f>QHPSelections2016[[#This Row],[County Name]]=P2580</f>
        <v>1</v>
      </c>
      <c r="L2580" t="b">
        <f>QHPSelections2016[[#This Row],[Silver]]=S2580</f>
        <v>1</v>
      </c>
      <c r="N2580">
        <v>54107</v>
      </c>
      <c r="O2580" t="s">
        <v>5075</v>
      </c>
      <c r="P2580" t="s">
        <v>1416</v>
      </c>
      <c r="Q2580">
        <v>0</v>
      </c>
      <c r="S2580" s="51">
        <v>1235</v>
      </c>
      <c r="T2580">
        <v>397</v>
      </c>
      <c r="V2580" s="51">
        <v>1791</v>
      </c>
    </row>
    <row r="2581" spans="1:22">
      <c r="A2581" s="32" t="s">
        <v>5149</v>
      </c>
      <c r="B2581" s="32" t="s">
        <v>5075</v>
      </c>
      <c r="C2581" s="32" t="s">
        <v>4165</v>
      </c>
      <c r="D2581" s="33">
        <v>0</v>
      </c>
      <c r="E2581" s="33" t="s">
        <v>1639</v>
      </c>
      <c r="F2581" s="33">
        <v>277</v>
      </c>
      <c r="G2581" s="33">
        <v>59</v>
      </c>
      <c r="H2581" s="33" t="s">
        <v>1639</v>
      </c>
      <c r="I2581" s="33">
        <v>376</v>
      </c>
      <c r="K2581" t="b">
        <f>QHPSelections2016[[#This Row],[County Name]]=P2581</f>
        <v>1</v>
      </c>
      <c r="L2581" t="b">
        <f>QHPSelections2016[[#This Row],[Silver]]=S2581</f>
        <v>1</v>
      </c>
      <c r="N2581">
        <v>54109</v>
      </c>
      <c r="O2581" t="s">
        <v>5075</v>
      </c>
      <c r="P2581" t="s">
        <v>4165</v>
      </c>
      <c r="Q2581">
        <v>0</v>
      </c>
      <c r="S2581">
        <v>277</v>
      </c>
      <c r="T2581">
        <v>59</v>
      </c>
      <c r="V2581">
        <v>376</v>
      </c>
    </row>
    <row r="2582" spans="1:22">
      <c r="A2582" s="32" t="s">
        <v>5150</v>
      </c>
      <c r="B2582" s="32" t="s">
        <v>5151</v>
      </c>
      <c r="C2582" s="32" t="s">
        <v>5152</v>
      </c>
      <c r="D2582" s="33">
        <v>0</v>
      </c>
      <c r="E2582" s="33">
        <v>61</v>
      </c>
      <c r="F2582" s="33">
        <v>989</v>
      </c>
      <c r="G2582" s="33">
        <v>320</v>
      </c>
      <c r="H2582" s="33">
        <v>14</v>
      </c>
      <c r="I2582" s="33">
        <v>1384</v>
      </c>
      <c r="K2582" t="b">
        <f>QHPSelections2016[[#This Row],[County Name]]=P2582</f>
        <v>1</v>
      </c>
      <c r="L2582" t="b">
        <f>QHPSelections2016[[#This Row],[Silver]]=S2582</f>
        <v>1</v>
      </c>
      <c r="N2582">
        <v>56001</v>
      </c>
      <c r="O2582" t="s">
        <v>5151</v>
      </c>
      <c r="P2582" t="s">
        <v>5152</v>
      </c>
      <c r="Q2582">
        <v>0</v>
      </c>
      <c r="R2582">
        <v>61</v>
      </c>
      <c r="S2582">
        <v>989</v>
      </c>
      <c r="T2582">
        <v>320</v>
      </c>
      <c r="U2582">
        <v>14</v>
      </c>
      <c r="V2582" s="51">
        <v>1384</v>
      </c>
    </row>
    <row r="2583" spans="1:22">
      <c r="A2583" s="32" t="s">
        <v>5153</v>
      </c>
      <c r="B2583" s="32" t="s">
        <v>5151</v>
      </c>
      <c r="C2583" s="32" t="s">
        <v>3207</v>
      </c>
      <c r="D2583" s="33">
        <v>0</v>
      </c>
      <c r="E2583" s="33" t="s">
        <v>1639</v>
      </c>
      <c r="F2583" s="33">
        <v>362</v>
      </c>
      <c r="G2583" s="33">
        <v>149</v>
      </c>
      <c r="H2583" s="33" t="s">
        <v>1639</v>
      </c>
      <c r="I2583" s="33">
        <v>533</v>
      </c>
      <c r="K2583" t="b">
        <f>QHPSelections2016[[#This Row],[County Name]]=P2583</f>
        <v>1</v>
      </c>
      <c r="L2583" t="b">
        <f>QHPSelections2016[[#This Row],[Silver]]=S2583</f>
        <v>1</v>
      </c>
      <c r="N2583">
        <v>56003</v>
      </c>
      <c r="O2583" t="s">
        <v>5151</v>
      </c>
      <c r="P2583" t="s">
        <v>3207</v>
      </c>
      <c r="Q2583">
        <v>0</v>
      </c>
      <c r="S2583">
        <v>362</v>
      </c>
      <c r="T2583">
        <v>149</v>
      </c>
      <c r="V2583">
        <v>533</v>
      </c>
    </row>
    <row r="2584" spans="1:22">
      <c r="A2584" s="32" t="s">
        <v>5154</v>
      </c>
      <c r="B2584" s="32" t="s">
        <v>5151</v>
      </c>
      <c r="C2584" s="32" t="s">
        <v>858</v>
      </c>
      <c r="D2584" s="33">
        <v>0</v>
      </c>
      <c r="E2584" s="33">
        <v>35</v>
      </c>
      <c r="F2584" s="33">
        <v>713</v>
      </c>
      <c r="G2584" s="33">
        <v>312</v>
      </c>
      <c r="H2584" s="33">
        <v>12</v>
      </c>
      <c r="I2584" s="33">
        <v>1072</v>
      </c>
      <c r="K2584" t="b">
        <f>QHPSelections2016[[#This Row],[County Name]]=P2584</f>
        <v>1</v>
      </c>
      <c r="L2584" t="b">
        <f>QHPSelections2016[[#This Row],[Silver]]=S2584</f>
        <v>1</v>
      </c>
      <c r="N2584">
        <v>56005</v>
      </c>
      <c r="O2584" t="s">
        <v>5151</v>
      </c>
      <c r="P2584" t="s">
        <v>858</v>
      </c>
      <c r="Q2584">
        <v>0</v>
      </c>
      <c r="R2584">
        <v>35</v>
      </c>
      <c r="S2584">
        <v>713</v>
      </c>
      <c r="T2584">
        <v>312</v>
      </c>
      <c r="U2584">
        <v>12</v>
      </c>
      <c r="V2584" s="51">
        <v>1072</v>
      </c>
    </row>
    <row r="2585" spans="1:22">
      <c r="A2585" s="32" t="s">
        <v>5155</v>
      </c>
      <c r="B2585" s="32" t="s">
        <v>5151</v>
      </c>
      <c r="C2585" s="32" t="s">
        <v>3213</v>
      </c>
      <c r="D2585" s="33">
        <v>0</v>
      </c>
      <c r="E2585" s="33" t="s">
        <v>1639</v>
      </c>
      <c r="F2585" s="33">
        <v>349</v>
      </c>
      <c r="G2585" s="33">
        <v>116</v>
      </c>
      <c r="H2585" s="33" t="s">
        <v>1639</v>
      </c>
      <c r="I2585" s="33">
        <v>484</v>
      </c>
      <c r="K2585" t="b">
        <f>QHPSelections2016[[#This Row],[County Name]]=P2585</f>
        <v>1</v>
      </c>
      <c r="L2585" t="b">
        <f>QHPSelections2016[[#This Row],[Silver]]=S2585</f>
        <v>1</v>
      </c>
      <c r="N2585">
        <v>56007</v>
      </c>
      <c r="O2585" t="s">
        <v>5151</v>
      </c>
      <c r="P2585" t="s">
        <v>3213</v>
      </c>
      <c r="Q2585">
        <v>0</v>
      </c>
      <c r="S2585">
        <v>349</v>
      </c>
      <c r="T2585">
        <v>116</v>
      </c>
      <c r="V2585">
        <v>484</v>
      </c>
    </row>
    <row r="2586" spans="1:22">
      <c r="A2586" s="32" t="s">
        <v>5156</v>
      </c>
      <c r="B2586" s="32" t="s">
        <v>5151</v>
      </c>
      <c r="C2586" s="32" t="s">
        <v>5157</v>
      </c>
      <c r="D2586" s="33">
        <v>0</v>
      </c>
      <c r="E2586" s="33" t="s">
        <v>1639</v>
      </c>
      <c r="F2586" s="33">
        <v>261</v>
      </c>
      <c r="G2586" s="33">
        <v>117</v>
      </c>
      <c r="H2586" s="33" t="s">
        <v>1639</v>
      </c>
      <c r="I2586" s="33">
        <v>404</v>
      </c>
      <c r="K2586" t="b">
        <f>QHPSelections2016[[#This Row],[County Name]]=P2586</f>
        <v>1</v>
      </c>
      <c r="L2586" t="b">
        <f>QHPSelections2016[[#This Row],[Silver]]=S2586</f>
        <v>1</v>
      </c>
      <c r="N2586">
        <v>56009</v>
      </c>
      <c r="O2586" t="s">
        <v>5151</v>
      </c>
      <c r="P2586" t="s">
        <v>5157</v>
      </c>
      <c r="Q2586">
        <v>0</v>
      </c>
      <c r="S2586">
        <v>261</v>
      </c>
      <c r="T2586">
        <v>117</v>
      </c>
      <c r="V2586">
        <v>404</v>
      </c>
    </row>
    <row r="2587" spans="1:22">
      <c r="A2587" s="32" t="s">
        <v>5158</v>
      </c>
      <c r="B2587" s="32" t="s">
        <v>5151</v>
      </c>
      <c r="C2587" s="32" t="s">
        <v>4026</v>
      </c>
      <c r="D2587" s="33">
        <v>0</v>
      </c>
      <c r="E2587" s="33" t="s">
        <v>1639</v>
      </c>
      <c r="F2587" s="33">
        <v>253</v>
      </c>
      <c r="G2587" s="33">
        <v>121</v>
      </c>
      <c r="H2587" s="33" t="s">
        <v>1639</v>
      </c>
      <c r="I2587" s="33">
        <v>390</v>
      </c>
      <c r="K2587" t="b">
        <f>QHPSelections2016[[#This Row],[County Name]]=P2587</f>
        <v>1</v>
      </c>
      <c r="L2587" t="b">
        <f>QHPSelections2016[[#This Row],[Silver]]=S2587</f>
        <v>1</v>
      </c>
      <c r="N2587">
        <v>56011</v>
      </c>
      <c r="O2587" t="s">
        <v>5151</v>
      </c>
      <c r="P2587" t="s">
        <v>4026</v>
      </c>
      <c r="Q2587">
        <v>0</v>
      </c>
      <c r="S2587">
        <v>253</v>
      </c>
      <c r="T2587">
        <v>121</v>
      </c>
      <c r="V2587">
        <v>390</v>
      </c>
    </row>
    <row r="2588" spans="1:22">
      <c r="A2588" s="32" t="s">
        <v>5159</v>
      </c>
      <c r="B2588" s="32" t="s">
        <v>5151</v>
      </c>
      <c r="C2588" s="32" t="s">
        <v>2198</v>
      </c>
      <c r="D2588" s="33">
        <v>0</v>
      </c>
      <c r="E2588" s="33">
        <v>81</v>
      </c>
      <c r="F2588" s="33">
        <v>1132</v>
      </c>
      <c r="G2588" s="33">
        <v>515</v>
      </c>
      <c r="H2588" s="33">
        <v>15</v>
      </c>
      <c r="I2588" s="33">
        <v>1743</v>
      </c>
      <c r="K2588" t="b">
        <f>QHPSelections2016[[#This Row],[County Name]]=P2588</f>
        <v>1</v>
      </c>
      <c r="L2588" t="b">
        <f>QHPSelections2016[[#This Row],[Silver]]=S2588</f>
        <v>1</v>
      </c>
      <c r="N2588">
        <v>56013</v>
      </c>
      <c r="O2588" t="s">
        <v>5151</v>
      </c>
      <c r="P2588" t="s">
        <v>2198</v>
      </c>
      <c r="Q2588">
        <v>0</v>
      </c>
      <c r="R2588">
        <v>81</v>
      </c>
      <c r="S2588" s="51">
        <v>1132</v>
      </c>
      <c r="T2588">
        <v>515</v>
      </c>
      <c r="U2588">
        <v>15</v>
      </c>
      <c r="V2588" s="51">
        <v>1743</v>
      </c>
    </row>
    <row r="2589" spans="1:22">
      <c r="A2589" s="32" t="s">
        <v>5160</v>
      </c>
      <c r="B2589" s="32" t="s">
        <v>5151</v>
      </c>
      <c r="C2589" s="32" t="s">
        <v>5161</v>
      </c>
      <c r="D2589" s="33">
        <v>0</v>
      </c>
      <c r="E2589" s="33">
        <v>21</v>
      </c>
      <c r="F2589" s="33">
        <v>568</v>
      </c>
      <c r="G2589" s="33">
        <v>118</v>
      </c>
      <c r="H2589" s="33">
        <v>0</v>
      </c>
      <c r="I2589" s="33">
        <v>707</v>
      </c>
      <c r="K2589" t="b">
        <f>QHPSelections2016[[#This Row],[County Name]]=P2589</f>
        <v>1</v>
      </c>
      <c r="L2589" t="b">
        <f>QHPSelections2016[[#This Row],[Silver]]=S2589</f>
        <v>1</v>
      </c>
      <c r="N2589">
        <v>56015</v>
      </c>
      <c r="O2589" t="s">
        <v>5151</v>
      </c>
      <c r="P2589" t="s">
        <v>5161</v>
      </c>
      <c r="Q2589">
        <v>0</v>
      </c>
      <c r="R2589">
        <v>21</v>
      </c>
      <c r="S2589">
        <v>568</v>
      </c>
      <c r="T2589">
        <v>118</v>
      </c>
      <c r="U2589">
        <v>0</v>
      </c>
      <c r="V2589">
        <v>707</v>
      </c>
    </row>
    <row r="2590" spans="1:22">
      <c r="A2590" s="32" t="s">
        <v>5162</v>
      </c>
      <c r="B2590" s="32" t="s">
        <v>5151</v>
      </c>
      <c r="C2590" s="32" t="s">
        <v>5163</v>
      </c>
      <c r="D2590" s="33">
        <v>0</v>
      </c>
      <c r="E2590" s="33" t="s">
        <v>1639</v>
      </c>
      <c r="F2590" s="33">
        <v>122</v>
      </c>
      <c r="G2590" s="33">
        <v>52</v>
      </c>
      <c r="H2590" s="33" t="s">
        <v>1639</v>
      </c>
      <c r="I2590" s="33">
        <v>180</v>
      </c>
      <c r="K2590" t="b">
        <f>QHPSelections2016[[#This Row],[County Name]]=P2590</f>
        <v>1</v>
      </c>
      <c r="L2590" t="b">
        <f>QHPSelections2016[[#This Row],[Silver]]=S2590</f>
        <v>1</v>
      </c>
      <c r="N2590">
        <v>56017</v>
      </c>
      <c r="O2590" t="s">
        <v>5151</v>
      </c>
      <c r="P2590" t="s">
        <v>5163</v>
      </c>
      <c r="Q2590">
        <v>0</v>
      </c>
      <c r="S2590">
        <v>122</v>
      </c>
      <c r="T2590">
        <v>52</v>
      </c>
      <c r="V2590">
        <v>180</v>
      </c>
    </row>
    <row r="2591" spans="1:22">
      <c r="A2591" s="32" t="s">
        <v>5164</v>
      </c>
      <c r="B2591" s="32" t="s">
        <v>5151</v>
      </c>
      <c r="C2591" s="32" t="s">
        <v>1064</v>
      </c>
      <c r="D2591" s="33">
        <v>0</v>
      </c>
      <c r="E2591" s="33" t="s">
        <v>1639</v>
      </c>
      <c r="F2591" s="33">
        <v>311</v>
      </c>
      <c r="G2591" s="33">
        <v>148</v>
      </c>
      <c r="H2591" s="33" t="s">
        <v>1639</v>
      </c>
      <c r="I2591" s="33">
        <v>478</v>
      </c>
      <c r="K2591" t="b">
        <f>QHPSelections2016[[#This Row],[County Name]]=P2591</f>
        <v>1</v>
      </c>
      <c r="L2591" t="b">
        <f>QHPSelections2016[[#This Row],[Silver]]=S2591</f>
        <v>1</v>
      </c>
      <c r="N2591">
        <v>56019</v>
      </c>
      <c r="O2591" t="s">
        <v>5151</v>
      </c>
      <c r="P2591" t="s">
        <v>1064</v>
      </c>
      <c r="Q2591">
        <v>0</v>
      </c>
      <c r="S2591">
        <v>311</v>
      </c>
      <c r="T2591">
        <v>148</v>
      </c>
      <c r="V2591">
        <v>478</v>
      </c>
    </row>
    <row r="2592" spans="1:22">
      <c r="A2592" s="32" t="s">
        <v>5165</v>
      </c>
      <c r="B2592" s="32" t="s">
        <v>5151</v>
      </c>
      <c r="C2592" s="32" t="s">
        <v>5166</v>
      </c>
      <c r="D2592" s="33">
        <v>0</v>
      </c>
      <c r="E2592" s="33">
        <v>134</v>
      </c>
      <c r="F2592" s="33">
        <v>2014</v>
      </c>
      <c r="G2592" s="33">
        <v>647</v>
      </c>
      <c r="H2592" s="33">
        <v>25</v>
      </c>
      <c r="I2592" s="33">
        <v>2820</v>
      </c>
      <c r="K2592" t="b">
        <f>QHPSelections2016[[#This Row],[County Name]]=P2592</f>
        <v>1</v>
      </c>
      <c r="L2592" t="b">
        <f>QHPSelections2016[[#This Row],[Silver]]=S2592</f>
        <v>1</v>
      </c>
      <c r="N2592">
        <v>56021</v>
      </c>
      <c r="O2592" t="s">
        <v>5151</v>
      </c>
      <c r="P2592" t="s">
        <v>5166</v>
      </c>
      <c r="Q2592">
        <v>0</v>
      </c>
      <c r="R2592">
        <v>134</v>
      </c>
      <c r="S2592" s="51">
        <v>2014</v>
      </c>
      <c r="T2592">
        <v>647</v>
      </c>
      <c r="U2592">
        <v>25</v>
      </c>
      <c r="V2592" s="51">
        <v>2820</v>
      </c>
    </row>
    <row r="2593" spans="1:22">
      <c r="A2593" s="32" t="s">
        <v>5167</v>
      </c>
      <c r="B2593" s="32" t="s">
        <v>5151</v>
      </c>
      <c r="C2593" s="32" t="s">
        <v>1051</v>
      </c>
      <c r="D2593" s="33">
        <v>0</v>
      </c>
      <c r="E2593" s="33" t="s">
        <v>1639</v>
      </c>
      <c r="F2593" s="33">
        <v>942</v>
      </c>
      <c r="G2593" s="33">
        <v>375</v>
      </c>
      <c r="H2593" s="33" t="s">
        <v>1639</v>
      </c>
      <c r="I2593" s="33">
        <v>1362</v>
      </c>
      <c r="K2593" t="b">
        <f>QHPSelections2016[[#This Row],[County Name]]=P2593</f>
        <v>1</v>
      </c>
      <c r="L2593" t="b">
        <f>QHPSelections2016[[#This Row],[Silver]]=S2593</f>
        <v>1</v>
      </c>
      <c r="N2593">
        <v>56023</v>
      </c>
      <c r="O2593" t="s">
        <v>5151</v>
      </c>
      <c r="P2593" t="s">
        <v>1051</v>
      </c>
      <c r="Q2593">
        <v>0</v>
      </c>
      <c r="S2593">
        <v>942</v>
      </c>
      <c r="T2593">
        <v>375</v>
      </c>
      <c r="V2593" s="51">
        <v>1362</v>
      </c>
    </row>
    <row r="2594" spans="1:22">
      <c r="A2594" s="32" t="s">
        <v>5168</v>
      </c>
      <c r="B2594" s="32" t="s">
        <v>5151</v>
      </c>
      <c r="C2594" s="32" t="s">
        <v>5169</v>
      </c>
      <c r="D2594" s="33">
        <v>0</v>
      </c>
      <c r="E2594" s="33">
        <v>82</v>
      </c>
      <c r="F2594" s="33">
        <v>1809</v>
      </c>
      <c r="G2594" s="33">
        <v>734</v>
      </c>
      <c r="H2594" s="33">
        <v>15</v>
      </c>
      <c r="I2594" s="33">
        <v>2640</v>
      </c>
      <c r="K2594" t="b">
        <f>QHPSelections2016[[#This Row],[County Name]]=P2594</f>
        <v>1</v>
      </c>
      <c r="L2594" t="b">
        <f>QHPSelections2016[[#This Row],[Silver]]=S2594</f>
        <v>1</v>
      </c>
      <c r="N2594">
        <v>56025</v>
      </c>
      <c r="O2594" t="s">
        <v>5151</v>
      </c>
      <c r="P2594" t="s">
        <v>5169</v>
      </c>
      <c r="Q2594">
        <v>0</v>
      </c>
      <c r="R2594">
        <v>82</v>
      </c>
      <c r="S2594" s="51">
        <v>1809</v>
      </c>
      <c r="T2594">
        <v>734</v>
      </c>
      <c r="U2594">
        <v>15</v>
      </c>
      <c r="V2594" s="51">
        <v>2640</v>
      </c>
    </row>
    <row r="2595" spans="1:22">
      <c r="A2595" s="32" t="s">
        <v>5170</v>
      </c>
      <c r="B2595" s="32" t="s">
        <v>5151</v>
      </c>
      <c r="C2595" s="32" t="s">
        <v>5171</v>
      </c>
      <c r="D2595" s="33">
        <v>0</v>
      </c>
      <c r="E2595" s="33" t="s">
        <v>1639</v>
      </c>
      <c r="F2595" s="33">
        <v>85</v>
      </c>
      <c r="G2595" s="33">
        <v>59</v>
      </c>
      <c r="H2595" s="33" t="s">
        <v>1639</v>
      </c>
      <c r="I2595" s="33">
        <v>146</v>
      </c>
      <c r="K2595" t="b">
        <f>QHPSelections2016[[#This Row],[County Name]]=P2595</f>
        <v>1</v>
      </c>
      <c r="L2595" t="b">
        <f>QHPSelections2016[[#This Row],[Silver]]=S2595</f>
        <v>1</v>
      </c>
      <c r="N2595">
        <v>56027</v>
      </c>
      <c r="O2595" t="s">
        <v>5151</v>
      </c>
      <c r="P2595" t="s">
        <v>5171</v>
      </c>
      <c r="Q2595">
        <v>0</v>
      </c>
      <c r="S2595">
        <v>85</v>
      </c>
      <c r="T2595">
        <v>59</v>
      </c>
      <c r="V2595">
        <v>146</v>
      </c>
    </row>
    <row r="2596" spans="1:22">
      <c r="A2596" s="32" t="s">
        <v>5172</v>
      </c>
      <c r="B2596" s="32" t="s">
        <v>5151</v>
      </c>
      <c r="C2596" s="32" t="s">
        <v>3262</v>
      </c>
      <c r="D2596" s="33">
        <v>0</v>
      </c>
      <c r="E2596" s="33" t="s">
        <v>1639</v>
      </c>
      <c r="F2596" s="33">
        <v>1235</v>
      </c>
      <c r="G2596" s="33">
        <v>529</v>
      </c>
      <c r="H2596" s="33" t="s">
        <v>1639</v>
      </c>
      <c r="I2596" s="33">
        <v>1830</v>
      </c>
      <c r="K2596" t="b">
        <f>QHPSelections2016[[#This Row],[County Name]]=P2596</f>
        <v>1</v>
      </c>
      <c r="L2596" t="b">
        <f>QHPSelections2016[[#This Row],[Silver]]=S2596</f>
        <v>1</v>
      </c>
      <c r="N2596">
        <v>56029</v>
      </c>
      <c r="O2596" t="s">
        <v>5151</v>
      </c>
      <c r="P2596" t="s">
        <v>3262</v>
      </c>
      <c r="Q2596">
        <v>0</v>
      </c>
      <c r="S2596" s="51">
        <v>1235</v>
      </c>
      <c r="T2596">
        <v>529</v>
      </c>
      <c r="V2596" s="51">
        <v>1830</v>
      </c>
    </row>
    <row r="2597" spans="1:22">
      <c r="A2597" s="32" t="s">
        <v>5173</v>
      </c>
      <c r="B2597" s="32" t="s">
        <v>5151</v>
      </c>
      <c r="C2597" s="32" t="s">
        <v>3075</v>
      </c>
      <c r="D2597" s="33">
        <v>0</v>
      </c>
      <c r="E2597" s="33" t="s">
        <v>1639</v>
      </c>
      <c r="F2597" s="33">
        <v>238</v>
      </c>
      <c r="G2597" s="33">
        <v>98</v>
      </c>
      <c r="H2597" s="33" t="s">
        <v>1639</v>
      </c>
      <c r="I2597" s="33">
        <v>352</v>
      </c>
      <c r="K2597" t="b">
        <f>QHPSelections2016[[#This Row],[County Name]]=P2597</f>
        <v>1</v>
      </c>
      <c r="L2597" t="b">
        <f>QHPSelections2016[[#This Row],[Silver]]=S2597</f>
        <v>1</v>
      </c>
      <c r="N2597">
        <v>56031</v>
      </c>
      <c r="O2597" t="s">
        <v>5151</v>
      </c>
      <c r="P2597" t="s">
        <v>3075</v>
      </c>
      <c r="Q2597">
        <v>0</v>
      </c>
      <c r="S2597">
        <v>238</v>
      </c>
      <c r="T2597">
        <v>98</v>
      </c>
      <c r="V2597">
        <v>352</v>
      </c>
    </row>
    <row r="2598" spans="1:22">
      <c r="A2598" s="32" t="s">
        <v>5174</v>
      </c>
      <c r="B2598" s="32" t="s">
        <v>5151</v>
      </c>
      <c r="C2598" s="32" t="s">
        <v>2704</v>
      </c>
      <c r="D2598" s="33">
        <v>0</v>
      </c>
      <c r="E2598" s="33" t="s">
        <v>1639</v>
      </c>
      <c r="F2598" s="33">
        <v>861</v>
      </c>
      <c r="G2598" s="33">
        <v>478</v>
      </c>
      <c r="H2598" s="33" t="s">
        <v>1639</v>
      </c>
      <c r="I2598" s="33">
        <v>1393</v>
      </c>
      <c r="K2598" t="b">
        <f>QHPSelections2016[[#This Row],[County Name]]=P2598</f>
        <v>1</v>
      </c>
      <c r="L2598" t="b">
        <f>QHPSelections2016[[#This Row],[Silver]]=S2598</f>
        <v>1</v>
      </c>
      <c r="N2598">
        <v>56033</v>
      </c>
      <c r="O2598" t="s">
        <v>5151</v>
      </c>
      <c r="P2598" t="s">
        <v>2704</v>
      </c>
      <c r="Q2598">
        <v>0</v>
      </c>
      <c r="S2598">
        <v>861</v>
      </c>
      <c r="T2598">
        <v>478</v>
      </c>
      <c r="V2598" s="51">
        <v>1393</v>
      </c>
    </row>
    <row r="2599" spans="1:22">
      <c r="A2599" s="32" t="s">
        <v>5175</v>
      </c>
      <c r="B2599" s="32" t="s">
        <v>5151</v>
      </c>
      <c r="C2599" s="32" t="s">
        <v>5176</v>
      </c>
      <c r="D2599" s="33">
        <v>0</v>
      </c>
      <c r="E2599" s="33" t="s">
        <v>1639</v>
      </c>
      <c r="F2599" s="33">
        <v>403</v>
      </c>
      <c r="G2599" s="33">
        <v>202</v>
      </c>
      <c r="H2599" s="33" t="s">
        <v>1639</v>
      </c>
      <c r="I2599" s="33">
        <v>631</v>
      </c>
      <c r="K2599" t="b">
        <f>QHPSelections2016[[#This Row],[County Name]]=P2599</f>
        <v>1</v>
      </c>
      <c r="L2599" t="b">
        <f>QHPSelections2016[[#This Row],[Silver]]=S2599</f>
        <v>1</v>
      </c>
      <c r="N2599">
        <v>56035</v>
      </c>
      <c r="O2599" t="s">
        <v>5151</v>
      </c>
      <c r="P2599" t="s">
        <v>5176</v>
      </c>
      <c r="Q2599">
        <v>0</v>
      </c>
      <c r="S2599">
        <v>403</v>
      </c>
      <c r="T2599">
        <v>202</v>
      </c>
      <c r="V2599">
        <v>631</v>
      </c>
    </row>
    <row r="2600" spans="1:22">
      <c r="A2600" s="32" t="s">
        <v>5177</v>
      </c>
      <c r="B2600" s="32" t="s">
        <v>5151</v>
      </c>
      <c r="C2600" s="32" t="s">
        <v>5178</v>
      </c>
      <c r="D2600" s="33">
        <v>0</v>
      </c>
      <c r="E2600" s="33">
        <v>46</v>
      </c>
      <c r="F2600" s="33">
        <v>841</v>
      </c>
      <c r="G2600" s="33">
        <v>266</v>
      </c>
      <c r="H2600" s="33">
        <v>15</v>
      </c>
      <c r="I2600" s="33">
        <v>1168</v>
      </c>
      <c r="K2600" t="b">
        <f>QHPSelections2016[[#This Row],[County Name]]=P2600</f>
        <v>1</v>
      </c>
      <c r="L2600" t="b">
        <f>QHPSelections2016[[#This Row],[Silver]]=S2600</f>
        <v>1</v>
      </c>
      <c r="N2600">
        <v>56037</v>
      </c>
      <c r="O2600" t="s">
        <v>5151</v>
      </c>
      <c r="P2600" t="s">
        <v>5178</v>
      </c>
      <c r="Q2600">
        <v>0</v>
      </c>
      <c r="R2600">
        <v>46</v>
      </c>
      <c r="S2600">
        <v>841</v>
      </c>
      <c r="T2600">
        <v>266</v>
      </c>
      <c r="U2600">
        <v>15</v>
      </c>
      <c r="V2600" s="51">
        <v>1168</v>
      </c>
    </row>
    <row r="2601" spans="1:22">
      <c r="A2601" s="32" t="s">
        <v>5179</v>
      </c>
      <c r="B2601" s="32" t="s">
        <v>5151</v>
      </c>
      <c r="C2601" s="32" t="s">
        <v>3290</v>
      </c>
      <c r="D2601" s="33">
        <v>0</v>
      </c>
      <c r="E2601" s="33">
        <v>86</v>
      </c>
      <c r="F2601" s="33">
        <v>1810</v>
      </c>
      <c r="G2601" s="33">
        <v>905</v>
      </c>
      <c r="H2601" s="33">
        <v>11</v>
      </c>
      <c r="I2601" s="33">
        <v>2812</v>
      </c>
      <c r="K2601" t="b">
        <f>QHPSelections2016[[#This Row],[County Name]]=P2601</f>
        <v>1</v>
      </c>
      <c r="L2601" t="b">
        <f>QHPSelections2016[[#This Row],[Silver]]=S2601</f>
        <v>1</v>
      </c>
      <c r="N2601">
        <v>56039</v>
      </c>
      <c r="O2601" t="s">
        <v>5151</v>
      </c>
      <c r="P2601" t="s">
        <v>3290</v>
      </c>
      <c r="Q2601">
        <v>0</v>
      </c>
      <c r="R2601">
        <v>86</v>
      </c>
      <c r="S2601" s="51">
        <v>1810</v>
      </c>
      <c r="T2601">
        <v>905</v>
      </c>
      <c r="U2601">
        <v>11</v>
      </c>
      <c r="V2601" s="51">
        <v>2812</v>
      </c>
    </row>
    <row r="2602" spans="1:22">
      <c r="A2602" s="32" t="s">
        <v>5180</v>
      </c>
      <c r="B2602" s="32" t="s">
        <v>5151</v>
      </c>
      <c r="C2602" s="32" t="s">
        <v>5181</v>
      </c>
      <c r="D2602" s="33">
        <v>0</v>
      </c>
      <c r="E2602" s="33">
        <v>34</v>
      </c>
      <c r="F2602" s="33">
        <v>454</v>
      </c>
      <c r="G2602" s="33">
        <v>164</v>
      </c>
      <c r="H2602" s="33">
        <v>11</v>
      </c>
      <c r="I2602" s="33">
        <v>663</v>
      </c>
      <c r="K2602" t="b">
        <f>QHPSelections2016[[#This Row],[County Name]]=P2602</f>
        <v>1</v>
      </c>
      <c r="L2602" t="b">
        <f>QHPSelections2016[[#This Row],[Silver]]=S2602</f>
        <v>1</v>
      </c>
      <c r="N2602">
        <v>56041</v>
      </c>
      <c r="O2602" t="s">
        <v>5151</v>
      </c>
      <c r="P2602" t="s">
        <v>5181</v>
      </c>
      <c r="Q2602">
        <v>0</v>
      </c>
      <c r="R2602">
        <v>34</v>
      </c>
      <c r="S2602">
        <v>454</v>
      </c>
      <c r="T2602">
        <v>164</v>
      </c>
      <c r="U2602">
        <v>11</v>
      </c>
      <c r="V2602">
        <v>663</v>
      </c>
    </row>
    <row r="2603" spans="1:22">
      <c r="A2603" s="32" t="s">
        <v>5182</v>
      </c>
      <c r="B2603" s="32" t="s">
        <v>5151</v>
      </c>
      <c r="C2603" s="32" t="s">
        <v>5183</v>
      </c>
      <c r="D2603" s="33">
        <v>0</v>
      </c>
      <c r="E2603" s="33" t="s">
        <v>1639</v>
      </c>
      <c r="F2603" s="33">
        <v>235</v>
      </c>
      <c r="G2603" s="33">
        <v>90</v>
      </c>
      <c r="H2603" s="33" t="s">
        <v>1639</v>
      </c>
      <c r="I2603" s="33">
        <v>341</v>
      </c>
      <c r="K2603" t="b">
        <f>QHPSelections2016[[#This Row],[County Name]]=P2603</f>
        <v>1</v>
      </c>
      <c r="L2603" t="b">
        <f>QHPSelections2016[[#This Row],[Silver]]=S2603</f>
        <v>1</v>
      </c>
      <c r="N2603">
        <v>56043</v>
      </c>
      <c r="O2603" t="s">
        <v>5151</v>
      </c>
      <c r="P2603" t="s">
        <v>5183</v>
      </c>
      <c r="Q2603">
        <v>0</v>
      </c>
      <c r="S2603">
        <v>235</v>
      </c>
      <c r="T2603">
        <v>90</v>
      </c>
      <c r="V2603">
        <v>341</v>
      </c>
    </row>
    <row r="2604" spans="1:22">
      <c r="A2604" s="32" t="s">
        <v>5184</v>
      </c>
      <c r="B2604" s="32" t="s">
        <v>5151</v>
      </c>
      <c r="C2604" s="32" t="s">
        <v>5185</v>
      </c>
      <c r="D2604" s="33">
        <v>0</v>
      </c>
      <c r="E2604" s="33" t="s">
        <v>1639</v>
      </c>
      <c r="F2604" s="33">
        <v>154</v>
      </c>
      <c r="G2604" s="33">
        <v>80</v>
      </c>
      <c r="H2604" s="33" t="s">
        <v>1639</v>
      </c>
      <c r="I2604" s="33">
        <v>237</v>
      </c>
      <c r="K2604" t="b">
        <f>QHPSelections2016[[#This Row],[County Name]]=P2604</f>
        <v>1</v>
      </c>
      <c r="L2604" t="b">
        <f>QHPSelections2016[[#This Row],[Silver]]=S2604</f>
        <v>1</v>
      </c>
      <c r="N2604">
        <v>56045</v>
      </c>
      <c r="O2604" t="s">
        <v>5151</v>
      </c>
      <c r="P2604" t="s">
        <v>5185</v>
      </c>
      <c r="Q2604">
        <v>0</v>
      </c>
      <c r="S2604">
        <v>154</v>
      </c>
      <c r="T2604">
        <v>80</v>
      </c>
      <c r="V2604">
        <v>237</v>
      </c>
    </row>
    <row r="2605" spans="1:22">
      <c r="A2605" s="32"/>
      <c r="B2605" s="32" t="s">
        <v>5186</v>
      </c>
      <c r="C2605" s="32" t="s">
        <v>5187</v>
      </c>
      <c r="D2605" s="33" t="s">
        <v>1639</v>
      </c>
      <c r="E2605" s="33" t="s">
        <v>1639</v>
      </c>
      <c r="F2605" s="33">
        <v>95</v>
      </c>
      <c r="G2605" s="33">
        <v>40</v>
      </c>
      <c r="H2605" s="33" t="s">
        <v>1639</v>
      </c>
      <c r="I2605" s="33">
        <v>140</v>
      </c>
      <c r="K2605" t="b">
        <f>QHPSelections2016[[#This Row],[County Name]]=P2605</f>
        <v>0</v>
      </c>
      <c r="L2605" t="b">
        <f>QHPSelections2016[[#This Row],[Silver]]=S2605</f>
        <v>0</v>
      </c>
    </row>
    <row r="2606" spans="1:22" s="21" customFormat="1">
      <c r="A2606" s="34" t="s">
        <v>5188</v>
      </c>
      <c r="B2606" s="34"/>
      <c r="C2606" s="34"/>
      <c r="D2606" s="35">
        <v>71701</v>
      </c>
      <c r="E2606" s="35">
        <v>571327</v>
      </c>
      <c r="F2606" s="35">
        <v>6823481</v>
      </c>
      <c r="G2606" s="35">
        <v>2060447</v>
      </c>
      <c r="H2606" s="35">
        <v>99026</v>
      </c>
      <c r="I2606" s="35">
        <v>9625982</v>
      </c>
      <c r="K2606" t="b">
        <f>QHPSelections2016[[#This Row],[County Name]]=P2606</f>
        <v>1</v>
      </c>
      <c r="L2606" t="b">
        <f>QHPSelections2016[[#This Row],[Silver]]=S2606</f>
        <v>0</v>
      </c>
    </row>
    <row r="2607" spans="1:22">
      <c r="K2607" t="s">
        <v>5199</v>
      </c>
      <c r="L2607" t="s">
        <v>5199</v>
      </c>
    </row>
  </sheetData>
  <sortState xmlns:xlrd2="http://schemas.microsoft.com/office/spreadsheetml/2017/richdata2" ref="N4:V2604">
    <sortCondition ref="O4:O2604"/>
    <sortCondition ref="P4:P2604"/>
  </sortState>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207B-5F4D-4C44-A4BC-B518A0AF226E}">
  <dimension ref="B1:W892"/>
  <sheetViews>
    <sheetView tabSelected="1" topLeftCell="H137" workbookViewId="0">
      <selection activeCell="U149" sqref="U149"/>
    </sheetView>
  </sheetViews>
  <sheetFormatPr defaultRowHeight="15"/>
  <cols>
    <col min="3" max="3" width="14" bestFit="1" customWidth="1"/>
    <col min="4" max="4" width="15.85546875" bestFit="1" customWidth="1"/>
    <col min="5" max="5" width="14.85546875" bestFit="1" customWidth="1"/>
    <col min="6" max="7" width="24.140625" bestFit="1" customWidth="1"/>
    <col min="8" max="8" width="13.140625" customWidth="1"/>
    <col min="9" max="9" width="24.140625" bestFit="1" customWidth="1"/>
    <col min="10" max="10" width="24.140625" customWidth="1"/>
    <col min="12" max="12" width="24.140625" bestFit="1" customWidth="1"/>
    <col min="16" max="16" width="14" bestFit="1" customWidth="1"/>
    <col min="17" max="17" width="18" bestFit="1" customWidth="1"/>
  </cols>
  <sheetData>
    <row r="1" spans="2:23">
      <c r="I1">
        <f>SUM(HIX_RatingAreas[Silver Selections 2016])</f>
        <v>3744415</v>
      </c>
      <c r="M1">
        <f>COUNTA(M4:M892)</f>
        <v>889</v>
      </c>
      <c r="R1">
        <f>SUM(R5:R172)/2</f>
        <v>3744415</v>
      </c>
    </row>
    <row r="2" spans="2:23">
      <c r="B2" s="22" t="s">
        <v>5189</v>
      </c>
      <c r="I2" t="s">
        <v>5228</v>
      </c>
      <c r="J2" t="s">
        <v>5229</v>
      </c>
      <c r="M2">
        <f>COUNTIF(M4:M892,"TRUE")</f>
        <v>888</v>
      </c>
    </row>
    <row r="3" spans="2:23">
      <c r="C3" t="s">
        <v>0</v>
      </c>
      <c r="D3" t="s">
        <v>5195</v>
      </c>
      <c r="E3" t="s">
        <v>1427</v>
      </c>
      <c r="F3" t="s">
        <v>5190</v>
      </c>
      <c r="G3" t="s">
        <v>5191</v>
      </c>
      <c r="H3" t="s">
        <v>5192</v>
      </c>
      <c r="I3" t="s">
        <v>5230</v>
      </c>
      <c r="J3" t="s">
        <v>5231</v>
      </c>
      <c r="R3" t="s">
        <v>5228</v>
      </c>
      <c r="W3" t="s">
        <v>1633</v>
      </c>
    </row>
    <row r="4" spans="2:23">
      <c r="C4" t="s">
        <v>2</v>
      </c>
      <c r="D4" t="s">
        <v>1433</v>
      </c>
      <c r="E4" t="s">
        <v>72</v>
      </c>
      <c r="F4" s="36">
        <v>1</v>
      </c>
      <c r="G4" t="s">
        <v>855</v>
      </c>
      <c r="I4" cm="1">
        <f t="array" ref="I4">_xlfn.IFNA(INDEX(QHPSelections2016[],MATCH(1,(QHPSelections2016[State Name]=HIX_RatingAreas[[#This Row],[State Code]])*(QHPSelections2016[County Name]=HIX_RatingAreas[[#This Row],[Subdivision]]),0),MATCH("Silver",QHPSelections2016[#Headers],0)),0)</f>
        <v>3403</v>
      </c>
      <c r="J4" cm="1">
        <f t="array" ref="J4">_xlfn.IFNA(INDEX(QHPSelections2016[],MATCH(1,(QHPSelections2016[State Name]=HIX_RatingAreas[[#This Row],[State Code]])*(QHPSelections2016[County Name]=HIX_RatingAreas[[#This Row],[Subdivision]]),0),MATCH("Total Plan Selections",QHPSelections2016[#Headers],0)),0)</f>
        <v>3966</v>
      </c>
      <c r="L4" t="str" cm="1">
        <f t="array" ref="L4">INDEX(QHPSelections2016[],MATCH(1,(QHPSelections2016[State Name]=HIX_RatingAreas[[#This Row],[State Code]])*(QHPSelections2016[County Name]=HIX_RatingAreas[[#This Row],[Subdivision]]),0),MATCH("County Name",QHPSelections2016[#Headers],0))</f>
        <v>Calhoun County</v>
      </c>
      <c r="M4" t="b">
        <f>L4=HIX_RatingAreas[[#This Row],[Subdivision]]</f>
        <v>1</v>
      </c>
      <c r="N4">
        <v>1</v>
      </c>
      <c r="P4" s="44" t="s">
        <v>0</v>
      </c>
      <c r="Q4" s="45" t="s">
        <v>1427</v>
      </c>
      <c r="U4" t="s">
        <v>5197</v>
      </c>
    </row>
    <row r="5" spans="2:23">
      <c r="C5" t="s">
        <v>2</v>
      </c>
      <c r="D5" t="s">
        <v>1433</v>
      </c>
      <c r="E5" t="s">
        <v>74</v>
      </c>
      <c r="F5" s="36">
        <v>2</v>
      </c>
      <c r="G5" t="s">
        <v>1010</v>
      </c>
      <c r="I5" cm="1">
        <f t="array" ref="I5">_xlfn.IFNA(INDEX(QHPSelections2016[],MATCH(1,(QHPSelections2016[State Name]=HIX_RatingAreas[[#This Row],[State Code]])*(QHPSelections2016[County Name]=HIX_RatingAreas[[#This Row],[Subdivision]]),0),MATCH("Silver",QHPSelections2016[#Headers],0)),0)</f>
        <v>4591</v>
      </c>
      <c r="J5" cm="1">
        <f t="array" ref="J5">_xlfn.IFNA(INDEX(QHPSelections2016[],MATCH(1,(QHPSelections2016[State Name]=HIX_RatingAreas[[#This Row],[State Code]])*(QHPSelections2016[County Name]=HIX_RatingAreas[[#This Row],[Subdivision]]),0),MATCH("Total Plan Selections",QHPSelections2016[#Headers],0)),0)</f>
        <v>5455</v>
      </c>
      <c r="L5" t="str" cm="1">
        <f t="array" ref="L5">INDEX(QHPSelections2016[],MATCH(1,(QHPSelections2016[State Name]=HIX_RatingAreas[[#This Row],[State Code]])*(QHPSelections2016[County Name]=HIX_RatingAreas[[#This Row],[Subdivision]]),0),MATCH("County Name",QHPSelections2016[#Headers],0))</f>
        <v>Lee County</v>
      </c>
      <c r="M5" t="b">
        <f>L5=HIX_RatingAreas[[#This Row],[Subdivision]]</f>
        <v>1</v>
      </c>
      <c r="N5">
        <v>2</v>
      </c>
      <c r="P5" s="47" t="s">
        <v>2</v>
      </c>
      <c r="Q5" s="48" t="s">
        <v>816</v>
      </c>
      <c r="R5">
        <f>SUM(R6:R18)</f>
        <v>166220</v>
      </c>
      <c r="S5">
        <f>R5/R$5</f>
        <v>1</v>
      </c>
      <c r="U5">
        <f>SUM(S6:S18)</f>
        <v>1</v>
      </c>
      <c r="W5">
        <f>SUM(W6:W18)</f>
        <v>195047</v>
      </c>
    </row>
    <row r="6" spans="2:23">
      <c r="C6" t="s">
        <v>2</v>
      </c>
      <c r="D6" t="s">
        <v>1433</v>
      </c>
      <c r="E6" t="s">
        <v>76</v>
      </c>
      <c r="F6" s="36">
        <v>3</v>
      </c>
      <c r="G6" t="s">
        <v>837</v>
      </c>
      <c r="I6" cm="1">
        <f t="array" ref="I6">_xlfn.IFNA(INDEX(QHPSelections2016[],MATCH(1,(QHPSelections2016[State Name]=HIX_RatingAreas[[#This Row],[State Code]])*(QHPSelections2016[County Name]=HIX_RatingAreas[[#This Row],[Subdivision]]),0),MATCH("Silver",QHPSelections2016[#Headers],0)),0)</f>
        <v>538</v>
      </c>
      <c r="J6" cm="1">
        <f t="array" ref="J6">_xlfn.IFNA(INDEX(QHPSelections2016[],MATCH(1,(QHPSelections2016[State Name]=HIX_RatingAreas[[#This Row],[State Code]])*(QHPSelections2016[County Name]=HIX_RatingAreas[[#This Row],[Subdivision]]),0),MATCH("Total Plan Selections",QHPSelections2016[#Headers],0)),0)</f>
        <v>629</v>
      </c>
      <c r="L6" t="str" cm="1">
        <f t="array" ref="L6">INDEX(QHPSelections2016[],MATCH(1,(QHPSelections2016[State Name]=HIX_RatingAreas[[#This Row],[State Code]])*(QHPSelections2016[County Name]=HIX_RatingAreas[[#This Row],[Subdivision]]),0),MATCH("County Name",QHPSelections2016[#Headers],0))</f>
        <v>Bibb County</v>
      </c>
      <c r="M6" t="b">
        <f>L6=HIX_RatingAreas[[#This Row],[Subdivision]]</f>
        <v>1</v>
      </c>
      <c r="N6">
        <v>3</v>
      </c>
      <c r="P6" s="49" t="s">
        <v>2</v>
      </c>
      <c r="Q6" s="50" t="s">
        <v>72</v>
      </c>
      <c r="R6">
        <f>SUMIFS(HIX_RatingAreas[Silver Selections 2016],HIX_RatingAreas[State],P6,HIX_RatingAreas[Rating Area ID],Q6)</f>
        <v>3403</v>
      </c>
      <c r="S6">
        <f>R6/R$5</f>
        <v>2.0472867284321981E-2</v>
      </c>
      <c r="W6">
        <f>SUMIFS(HIX_RatingAreas[Total Plan Selections 2016],HIX_RatingAreas[State],P6,HIX_RatingAreas[Rating Area ID],Q6)</f>
        <v>3966</v>
      </c>
    </row>
    <row r="7" spans="2:23">
      <c r="C7" t="s">
        <v>2</v>
      </c>
      <c r="D7" t="s">
        <v>1433</v>
      </c>
      <c r="E7" t="s">
        <v>76</v>
      </c>
      <c r="F7" s="36">
        <v>3</v>
      </c>
      <c r="G7" t="s">
        <v>843</v>
      </c>
      <c r="I7" cm="1">
        <f t="array" ref="I7">_xlfn.IFNA(INDEX(QHPSelections2016[],MATCH(1,(QHPSelections2016[State Name]=HIX_RatingAreas[[#This Row],[State Code]])*(QHPSelections2016[County Name]=HIX_RatingAreas[[#This Row],[Subdivision]]),0),MATCH("Silver",QHPSelections2016[#Headers],0)),0)</f>
        <v>1962</v>
      </c>
      <c r="J7" cm="1">
        <f t="array" ref="J7">_xlfn.IFNA(INDEX(QHPSelections2016[],MATCH(1,(QHPSelections2016[State Name]=HIX_RatingAreas[[#This Row],[State Code]])*(QHPSelections2016[County Name]=HIX_RatingAreas[[#This Row],[Subdivision]]),0),MATCH("Total Plan Selections",QHPSelections2016[#Headers],0)),0)</f>
        <v>2264</v>
      </c>
      <c r="L7" t="str" cm="1">
        <f t="array" ref="L7">INDEX(QHPSelections2016[],MATCH(1,(QHPSelections2016[State Name]=HIX_RatingAreas[[#This Row],[State Code]])*(QHPSelections2016[County Name]=HIX_RatingAreas[[#This Row],[Subdivision]]),0),MATCH("County Name",QHPSelections2016[#Headers],0))</f>
        <v>Blount County</v>
      </c>
      <c r="M7" t="b">
        <f>L7=HIX_RatingAreas[[#This Row],[Subdivision]]</f>
        <v>1</v>
      </c>
      <c r="N7">
        <v>4</v>
      </c>
      <c r="P7" s="47" t="s">
        <v>2</v>
      </c>
      <c r="Q7" s="48" t="s">
        <v>74</v>
      </c>
      <c r="R7">
        <f>SUMIFS(HIX_RatingAreas[Silver Selections 2016],HIX_RatingAreas[State],P7,HIX_RatingAreas[Rating Area ID],Q7)</f>
        <v>4591</v>
      </c>
      <c r="S7">
        <f t="shared" ref="S7:S18" si="0">R7/R$5</f>
        <v>2.7620021658043555E-2</v>
      </c>
      <c r="W7">
        <f>SUMIFS(HIX_RatingAreas[Total Plan Selections 2016],HIX_RatingAreas[State],P7,HIX_RatingAreas[Rating Area ID],Q7)</f>
        <v>5455</v>
      </c>
    </row>
    <row r="8" spans="2:23">
      <c r="C8" t="s">
        <v>2</v>
      </c>
      <c r="D8" t="s">
        <v>1433</v>
      </c>
      <c r="E8" t="s">
        <v>76</v>
      </c>
      <c r="F8" s="36">
        <v>3</v>
      </c>
      <c r="G8" t="s">
        <v>879</v>
      </c>
      <c r="I8" cm="1">
        <f t="array" ref="I8">_xlfn.IFNA(INDEX(QHPSelections2016[],MATCH(1,(QHPSelections2016[State Name]=HIX_RatingAreas[[#This Row],[State Code]])*(QHPSelections2016[County Name]=HIX_RatingAreas[[#This Row],[Subdivision]]),0),MATCH("Silver",QHPSelections2016[#Headers],0)),0)</f>
        <v>1698</v>
      </c>
      <c r="J8" cm="1">
        <f t="array" ref="J8">_xlfn.IFNA(INDEX(QHPSelections2016[],MATCH(1,(QHPSelections2016[State Name]=HIX_RatingAreas[[#This Row],[State Code]])*(QHPSelections2016[County Name]=HIX_RatingAreas[[#This Row],[Subdivision]]),0),MATCH("Total Plan Selections",QHPSelections2016[#Headers],0)),0)</f>
        <v>1939</v>
      </c>
      <c r="L8" t="str" cm="1">
        <f t="array" ref="L8">INDEX(QHPSelections2016[],MATCH(1,(QHPSelections2016[State Name]=HIX_RatingAreas[[#This Row],[State Code]])*(QHPSelections2016[County Name]=HIX_RatingAreas[[#This Row],[Subdivision]]),0),MATCH("County Name",QHPSelections2016[#Headers],0))</f>
        <v>Chilton County</v>
      </c>
      <c r="M8" t="b">
        <f>L8=HIX_RatingAreas[[#This Row],[Subdivision]]</f>
        <v>1</v>
      </c>
      <c r="N8">
        <v>5</v>
      </c>
      <c r="P8" s="49" t="s">
        <v>2</v>
      </c>
      <c r="Q8" s="50" t="s">
        <v>76</v>
      </c>
      <c r="R8">
        <f>SUMIFS(HIX_RatingAreas[Silver Selections 2016],HIX_RatingAreas[State],P8,HIX_RatingAreas[Rating Area ID],Q8)</f>
        <v>37850</v>
      </c>
      <c r="S8">
        <f t="shared" si="0"/>
        <v>0.22771026350619661</v>
      </c>
      <c r="W8">
        <f>SUMIFS(HIX_RatingAreas[Total Plan Selections 2016],HIX_RatingAreas[State],P8,HIX_RatingAreas[Rating Area ID],Q8)</f>
        <v>45767</v>
      </c>
    </row>
    <row r="9" spans="2:23">
      <c r="C9" t="s">
        <v>2</v>
      </c>
      <c r="D9" t="s">
        <v>1433</v>
      </c>
      <c r="E9" t="s">
        <v>76</v>
      </c>
      <c r="F9" s="36">
        <v>3</v>
      </c>
      <c r="G9" t="s">
        <v>993</v>
      </c>
      <c r="I9" cm="1">
        <f t="array" ref="I9">_xlfn.IFNA(INDEX(QHPSelections2016[],MATCH(1,(QHPSelections2016[State Name]=HIX_RatingAreas[[#This Row],[State Code]])*(QHPSelections2016[County Name]=HIX_RatingAreas[[#This Row],[Subdivision]]),0),MATCH("Silver",QHPSelections2016[#Headers],0)),0)</f>
        <v>21656</v>
      </c>
      <c r="J9" cm="1">
        <f t="array" ref="J9">_xlfn.IFNA(INDEX(QHPSelections2016[],MATCH(1,(QHPSelections2016[State Name]=HIX_RatingAreas[[#This Row],[State Code]])*(QHPSelections2016[County Name]=HIX_RatingAreas[[#This Row],[Subdivision]]),0),MATCH("Total Plan Selections",QHPSelections2016[#Headers],0)),0)</f>
        <v>26649</v>
      </c>
      <c r="L9" t="str" cm="1">
        <f t="array" ref="L9">INDEX(QHPSelections2016[],MATCH(1,(QHPSelections2016[State Name]=HIX_RatingAreas[[#This Row],[State Code]])*(QHPSelections2016[County Name]=HIX_RatingAreas[[#This Row],[Subdivision]]),0),MATCH("County Name",QHPSelections2016[#Headers],0))</f>
        <v>Jefferson County</v>
      </c>
      <c r="M9" t="b">
        <f>L9=HIX_RatingAreas[[#This Row],[Subdivision]]</f>
        <v>1</v>
      </c>
      <c r="N9">
        <v>6</v>
      </c>
      <c r="P9" s="47" t="s">
        <v>2</v>
      </c>
      <c r="Q9" s="48" t="s">
        <v>84</v>
      </c>
      <c r="R9">
        <f>SUMIFS(HIX_RatingAreas[Silver Selections 2016],HIX_RatingAreas[State],P9,HIX_RatingAreas[Rating Area ID],Q9)</f>
        <v>1696</v>
      </c>
      <c r="S9">
        <f t="shared" si="0"/>
        <v>1.0203344964504873E-2</v>
      </c>
      <c r="W9">
        <f>SUMIFS(HIX_RatingAreas[Total Plan Selections 2016],HIX_RatingAreas[State],P9,HIX_RatingAreas[Rating Area ID],Q9)</f>
        <v>1979</v>
      </c>
    </row>
    <row r="10" spans="2:23">
      <c r="C10" t="s">
        <v>2</v>
      </c>
      <c r="D10" t="s">
        <v>1433</v>
      </c>
      <c r="E10" t="s">
        <v>76</v>
      </c>
      <c r="F10" s="36">
        <v>3</v>
      </c>
      <c r="G10" t="s">
        <v>1126</v>
      </c>
      <c r="I10" cm="1">
        <f t="array" ref="I10">_xlfn.IFNA(INDEX(QHPSelections2016[],MATCH(1,(QHPSelections2016[State Name]=HIX_RatingAreas[[#This Row],[State Code]])*(QHPSelections2016[County Name]=HIX_RatingAreas[[#This Row],[Subdivision]]),0),MATCH("Silver",QHPSelections2016[#Headers],0)),0)</f>
        <v>7088</v>
      </c>
      <c r="J10" cm="1">
        <f t="array" ref="J10">_xlfn.IFNA(INDEX(QHPSelections2016[],MATCH(1,(QHPSelections2016[State Name]=HIX_RatingAreas[[#This Row],[State Code]])*(QHPSelections2016[County Name]=HIX_RatingAreas[[#This Row],[Subdivision]]),0),MATCH("Total Plan Selections",QHPSelections2016[#Headers],0)),0)</f>
        <v>8556</v>
      </c>
      <c r="L10" t="str" cm="1">
        <f t="array" ref="L10">INDEX(QHPSelections2016[],MATCH(1,(QHPSelections2016[State Name]=HIX_RatingAreas[[#This Row],[State Code]])*(QHPSelections2016[County Name]=HIX_RatingAreas[[#This Row],[Subdivision]]),0),MATCH("County Name",QHPSelections2016[#Headers],0))</f>
        <v>Shelby County</v>
      </c>
      <c r="M10" t="b">
        <f>L10=HIX_RatingAreas[[#This Row],[Subdivision]]</f>
        <v>1</v>
      </c>
      <c r="N10">
        <v>7</v>
      </c>
      <c r="P10" s="49" t="s">
        <v>2</v>
      </c>
      <c r="Q10" s="50" t="s">
        <v>86</v>
      </c>
      <c r="R10">
        <f>SUMIFS(HIX_RatingAreas[Silver Selections 2016],HIX_RatingAreas[State],P10,HIX_RatingAreas[Rating Area ID],Q10)</f>
        <v>5825</v>
      </c>
      <c r="S10">
        <f t="shared" si="0"/>
        <v>3.5043917699434483E-2</v>
      </c>
      <c r="W10">
        <f>SUMIFS(HIX_RatingAreas[Total Plan Selections 2016],HIX_RatingAreas[State],P10,HIX_RatingAreas[Rating Area ID],Q10)</f>
        <v>6755</v>
      </c>
    </row>
    <row r="11" spans="2:23">
      <c r="C11" t="s">
        <v>2</v>
      </c>
      <c r="D11" t="s">
        <v>1433</v>
      </c>
      <c r="E11" t="s">
        <v>76</v>
      </c>
      <c r="F11" s="36">
        <v>3</v>
      </c>
      <c r="G11" t="s">
        <v>1123</v>
      </c>
      <c r="I11" cm="1">
        <f t="array" ref="I11">_xlfn.IFNA(INDEX(QHPSelections2016[],MATCH(1,(QHPSelections2016[State Name]=HIX_RatingAreas[[#This Row],[State Code]])*(QHPSelections2016[County Name]=HIX_RatingAreas[[#This Row],[Subdivision]]),0),MATCH("Silver",QHPSelections2016[#Headers],0)),0)</f>
        <v>2797</v>
      </c>
      <c r="J11" cm="1">
        <f t="array" ref="J11">_xlfn.IFNA(INDEX(QHPSelections2016[],MATCH(1,(QHPSelections2016[State Name]=HIX_RatingAreas[[#This Row],[State Code]])*(QHPSelections2016[County Name]=HIX_RatingAreas[[#This Row],[Subdivision]]),0),MATCH("Total Plan Selections",QHPSelections2016[#Headers],0)),0)</f>
        <v>3315</v>
      </c>
      <c r="L11" t="str" cm="1">
        <f t="array" ref="L11">INDEX(QHPSelections2016[],MATCH(1,(QHPSelections2016[State Name]=HIX_RatingAreas[[#This Row],[State Code]])*(QHPSelections2016[County Name]=HIX_RatingAreas[[#This Row],[Subdivision]]),0),MATCH("County Name",QHPSelections2016[#Headers],0))</f>
        <v>St. Clair County</v>
      </c>
      <c r="M11" t="b">
        <f>L11=HIX_RatingAreas[[#This Row],[Subdivision]]</f>
        <v>1</v>
      </c>
      <c r="N11">
        <v>8</v>
      </c>
      <c r="P11" s="47" t="s">
        <v>2</v>
      </c>
      <c r="Q11" s="48" t="s">
        <v>89</v>
      </c>
      <c r="R11">
        <f>SUMIFS(HIX_RatingAreas[Silver Selections 2016],HIX_RatingAreas[State],P11,HIX_RatingAreas[Rating Area ID],Q11)</f>
        <v>4919</v>
      </c>
      <c r="S11">
        <f t="shared" si="0"/>
        <v>2.9593310070990253E-2</v>
      </c>
      <c r="W11">
        <f>SUMIFS(HIX_RatingAreas[Total Plan Selections 2016],HIX_RatingAreas[State],P11,HIX_RatingAreas[Rating Area ID],Q11)</f>
        <v>5753</v>
      </c>
    </row>
    <row r="12" spans="2:23">
      <c r="C12" t="s">
        <v>2</v>
      </c>
      <c r="D12" t="s">
        <v>1433</v>
      </c>
      <c r="E12" t="s">
        <v>76</v>
      </c>
      <c r="F12" s="36">
        <v>3</v>
      </c>
      <c r="G12" t="s">
        <v>1154</v>
      </c>
      <c r="I12" cm="1">
        <f t="array" ref="I12">_xlfn.IFNA(INDEX(QHPSelections2016[],MATCH(1,(QHPSelections2016[State Name]=HIX_RatingAreas[[#This Row],[State Code]])*(QHPSelections2016[County Name]=HIX_RatingAreas[[#This Row],[Subdivision]]),0),MATCH("Silver",QHPSelections2016[#Headers],0)),0)</f>
        <v>2111</v>
      </c>
      <c r="J12" cm="1">
        <f t="array" ref="J12">_xlfn.IFNA(INDEX(QHPSelections2016[],MATCH(1,(QHPSelections2016[State Name]=HIX_RatingAreas[[#This Row],[State Code]])*(QHPSelections2016[County Name]=HIX_RatingAreas[[#This Row],[Subdivision]]),0),MATCH("Total Plan Selections",QHPSelections2016[#Headers],0)),0)</f>
        <v>2415</v>
      </c>
      <c r="L12" t="str" cm="1">
        <f t="array" ref="L12">INDEX(QHPSelections2016[],MATCH(1,(QHPSelections2016[State Name]=HIX_RatingAreas[[#This Row],[State Code]])*(QHPSelections2016[County Name]=HIX_RatingAreas[[#This Row],[Subdivision]]),0),MATCH("County Name",QHPSelections2016[#Headers],0))</f>
        <v>Walker County</v>
      </c>
      <c r="M12" t="b">
        <f>L12=HIX_RatingAreas[[#This Row],[Subdivision]]</f>
        <v>1</v>
      </c>
      <c r="N12">
        <v>9</v>
      </c>
      <c r="P12" s="49" t="s">
        <v>2</v>
      </c>
      <c r="Q12" s="50" t="s">
        <v>93</v>
      </c>
      <c r="R12">
        <f>SUMIFS(HIX_RatingAreas[Silver Selections 2016],HIX_RatingAreas[State],P12,HIX_RatingAreas[Rating Area ID],Q12)</f>
        <v>5493</v>
      </c>
      <c r="S12">
        <f t="shared" si="0"/>
        <v>3.3046564793646975E-2</v>
      </c>
      <c r="W12">
        <f>SUMIFS(HIX_RatingAreas[Total Plan Selections 2016],HIX_RatingAreas[State],P12,HIX_RatingAreas[Rating Area ID],Q12)</f>
        <v>6256</v>
      </c>
    </row>
    <row r="13" spans="2:23">
      <c r="C13" t="s">
        <v>2</v>
      </c>
      <c r="D13" t="s">
        <v>1433</v>
      </c>
      <c r="E13" t="s">
        <v>84</v>
      </c>
      <c r="F13" s="36">
        <v>4</v>
      </c>
      <c r="G13" t="s">
        <v>1119</v>
      </c>
      <c r="I13" cm="1">
        <f t="array" ref="I13">_xlfn.IFNA(INDEX(QHPSelections2016[],MATCH(1,(QHPSelections2016[State Name]=HIX_RatingAreas[[#This Row],[State Code]])*(QHPSelections2016[County Name]=HIX_RatingAreas[[#This Row],[Subdivision]]),0),MATCH("Silver",QHPSelections2016[#Headers],0)),0)</f>
        <v>1696</v>
      </c>
      <c r="J13" cm="1">
        <f t="array" ref="J13">_xlfn.IFNA(INDEX(QHPSelections2016[],MATCH(1,(QHPSelections2016[State Name]=HIX_RatingAreas[[#This Row],[State Code]])*(QHPSelections2016[County Name]=HIX_RatingAreas[[#This Row],[Subdivision]]),0),MATCH("Total Plan Selections",QHPSelections2016[#Headers],0)),0)</f>
        <v>1979</v>
      </c>
      <c r="L13" t="str" cm="1">
        <f t="array" ref="L13">INDEX(QHPSelections2016[],MATCH(1,(QHPSelections2016[State Name]=HIX_RatingAreas[[#This Row],[State Code]])*(QHPSelections2016[County Name]=HIX_RatingAreas[[#This Row],[Subdivision]]),0),MATCH("County Name",QHPSelections2016[#Headers],0))</f>
        <v>Russell County</v>
      </c>
      <c r="M13" t="b">
        <f>L13=HIX_RatingAreas[[#This Row],[Subdivision]]</f>
        <v>1</v>
      </c>
      <c r="N13">
        <v>10</v>
      </c>
      <c r="P13" s="47" t="s">
        <v>2</v>
      </c>
      <c r="Q13" s="48" t="s">
        <v>96</v>
      </c>
      <c r="R13">
        <f>SUMIFS(HIX_RatingAreas[Silver Selections 2016],HIX_RatingAreas[State],P13,HIX_RatingAreas[Rating Area ID],Q13)</f>
        <v>4143</v>
      </c>
      <c r="S13">
        <f t="shared" si="0"/>
        <v>2.4924798459872458E-2</v>
      </c>
      <c r="W13">
        <f>SUMIFS(HIX_RatingAreas[Total Plan Selections 2016],HIX_RatingAreas[State],P13,HIX_RatingAreas[Rating Area ID],Q13)</f>
        <v>4639</v>
      </c>
    </row>
    <row r="14" spans="2:23">
      <c r="C14" t="s">
        <v>2</v>
      </c>
      <c r="D14" t="s">
        <v>1433</v>
      </c>
      <c r="E14" t="s">
        <v>86</v>
      </c>
      <c r="F14" s="36">
        <v>5</v>
      </c>
      <c r="G14" t="s">
        <v>1031</v>
      </c>
      <c r="I14" cm="1">
        <f t="array" ref="I14">_xlfn.IFNA(INDEX(QHPSelections2016[],MATCH(1,(QHPSelections2016[State Name]=HIX_RatingAreas[[#This Row],[State Code]])*(QHPSelections2016[County Name]=HIX_RatingAreas[[#This Row],[Subdivision]]),0),MATCH("Silver",QHPSelections2016[#Headers],0)),0)</f>
        <v>1265</v>
      </c>
      <c r="J14" cm="1">
        <f t="array" ref="J14">_xlfn.IFNA(INDEX(QHPSelections2016[],MATCH(1,(QHPSelections2016[State Name]=HIX_RatingAreas[[#This Row],[State Code]])*(QHPSelections2016[County Name]=HIX_RatingAreas[[#This Row],[Subdivision]]),0),MATCH("Total Plan Selections",QHPSelections2016[#Headers],0)),0)</f>
        <v>1468</v>
      </c>
      <c r="L14" t="str" cm="1">
        <f t="array" ref="L14">INDEX(QHPSelections2016[],MATCH(1,(QHPSelections2016[State Name]=HIX_RatingAreas[[#This Row],[State Code]])*(QHPSelections2016[County Name]=HIX_RatingAreas[[#This Row],[Subdivision]]),0),MATCH("County Name",QHPSelections2016[#Headers],0))</f>
        <v>Lawrence County</v>
      </c>
      <c r="M14" t="b">
        <f>L14=HIX_RatingAreas[[#This Row],[Subdivision]]</f>
        <v>1</v>
      </c>
      <c r="N14">
        <v>11</v>
      </c>
      <c r="P14" s="49" t="s">
        <v>2</v>
      </c>
      <c r="Q14" s="50" t="s">
        <v>98</v>
      </c>
      <c r="R14">
        <f>SUMIFS(HIX_RatingAreas[Silver Selections 2016],HIX_RatingAreas[State],P14,HIX_RatingAreas[Rating Area ID],Q14)</f>
        <v>15486</v>
      </c>
      <c r="S14">
        <f t="shared" si="0"/>
        <v>9.3165684033209004E-2</v>
      </c>
      <c r="W14">
        <f>SUMIFS(HIX_RatingAreas[Total Plan Selections 2016],HIX_RatingAreas[State],P14,HIX_RatingAreas[Rating Area ID],Q14)</f>
        <v>18617</v>
      </c>
    </row>
    <row r="15" spans="2:23">
      <c r="C15" t="s">
        <v>2</v>
      </c>
      <c r="D15" t="s">
        <v>1433</v>
      </c>
      <c r="E15" t="s">
        <v>86</v>
      </c>
      <c r="F15" s="36">
        <v>5</v>
      </c>
      <c r="G15" t="s">
        <v>1092</v>
      </c>
      <c r="I15" cm="1">
        <f t="array" ref="I15">_xlfn.IFNA(INDEX(QHPSelections2016[],MATCH(1,(QHPSelections2016[State Name]=HIX_RatingAreas[[#This Row],[State Code]])*(QHPSelections2016[County Name]=HIX_RatingAreas[[#This Row],[Subdivision]]),0),MATCH("Silver",QHPSelections2016[#Headers],0)),0)</f>
        <v>4560</v>
      </c>
      <c r="J15" cm="1">
        <f t="array" ref="J15">_xlfn.IFNA(INDEX(QHPSelections2016[],MATCH(1,(QHPSelections2016[State Name]=HIX_RatingAreas[[#This Row],[State Code]])*(QHPSelections2016[County Name]=HIX_RatingAreas[[#This Row],[Subdivision]]),0),MATCH("Total Plan Selections",QHPSelections2016[#Headers],0)),0)</f>
        <v>5287</v>
      </c>
      <c r="L15" t="str" cm="1">
        <f t="array" ref="L15">INDEX(QHPSelections2016[],MATCH(1,(QHPSelections2016[State Name]=HIX_RatingAreas[[#This Row],[State Code]])*(QHPSelections2016[County Name]=HIX_RatingAreas[[#This Row],[Subdivision]]),0),MATCH("County Name",QHPSelections2016[#Headers],0))</f>
        <v>Morgan County</v>
      </c>
      <c r="M15" t="b">
        <f>L15=HIX_RatingAreas[[#This Row],[Subdivision]]</f>
        <v>1</v>
      </c>
      <c r="N15">
        <v>12</v>
      </c>
      <c r="P15" s="47" t="s">
        <v>2</v>
      </c>
      <c r="Q15" s="48" t="s">
        <v>101</v>
      </c>
      <c r="R15">
        <f>SUMIFS(HIX_RatingAreas[Silver Selections 2016],HIX_RatingAreas[State],P15,HIX_RatingAreas[Rating Area ID],Q15)</f>
        <v>16554</v>
      </c>
      <c r="S15">
        <f t="shared" si="0"/>
        <v>9.9590903621706167E-2</v>
      </c>
      <c r="W15">
        <f>SUMIFS(HIX_RatingAreas[Total Plan Selections 2016],HIX_RatingAreas[State],P15,HIX_RatingAreas[Rating Area ID],Q15)</f>
        <v>19313</v>
      </c>
    </row>
    <row r="16" spans="2:23">
      <c r="C16" t="s">
        <v>2</v>
      </c>
      <c r="D16" t="s">
        <v>1433</v>
      </c>
      <c r="E16" t="s">
        <v>89</v>
      </c>
      <c r="F16" s="36">
        <v>6</v>
      </c>
      <c r="G16" t="s">
        <v>987</v>
      </c>
      <c r="I16" cm="1">
        <f t="array" ref="I16">_xlfn.IFNA(INDEX(QHPSelections2016[],MATCH(1,(QHPSelections2016[State Name]=HIX_RatingAreas[[#This Row],[State Code]])*(QHPSelections2016[County Name]=HIX_RatingAreas[[#This Row],[Subdivision]]),0),MATCH("Silver",QHPSelections2016[#Headers],0)),0)</f>
        <v>836</v>
      </c>
      <c r="J16" cm="1">
        <f t="array" ref="J16">_xlfn.IFNA(INDEX(QHPSelections2016[],MATCH(1,(QHPSelections2016[State Name]=HIX_RatingAreas[[#This Row],[State Code]])*(QHPSelections2016[County Name]=HIX_RatingAreas[[#This Row],[Subdivision]]),0),MATCH("Total Plan Selections",QHPSelections2016[#Headers],0)),0)</f>
        <v>973</v>
      </c>
      <c r="L16" t="str" cm="1">
        <f t="array" ref="L16">INDEX(QHPSelections2016[],MATCH(1,(QHPSelections2016[State Name]=HIX_RatingAreas[[#This Row],[State Code]])*(QHPSelections2016[County Name]=HIX_RatingAreas[[#This Row],[Subdivision]]),0),MATCH("County Name",QHPSelections2016[#Headers],0))</f>
        <v>Geneva County</v>
      </c>
      <c r="M16" t="b">
        <f>L16=HIX_RatingAreas[[#This Row],[Subdivision]]</f>
        <v>1</v>
      </c>
      <c r="N16">
        <v>13</v>
      </c>
      <c r="P16" s="49" t="s">
        <v>2</v>
      </c>
      <c r="Q16" s="50" t="s">
        <v>103</v>
      </c>
      <c r="R16">
        <f>SUMIFS(HIX_RatingAreas[Silver Selections 2016],HIX_RatingAreas[State],P16,HIX_RatingAreas[Rating Area ID],Q16)</f>
        <v>11565</v>
      </c>
      <c r="S16">
        <f t="shared" si="0"/>
        <v>6.9576464926001683E-2</v>
      </c>
      <c r="W16">
        <f>SUMIFS(HIX_RatingAreas[Total Plan Selections 2016],HIX_RatingAreas[State],P16,HIX_RatingAreas[Rating Area ID],Q16)</f>
        <v>13636</v>
      </c>
    </row>
    <row r="17" spans="3:23">
      <c r="C17" t="s">
        <v>2</v>
      </c>
      <c r="D17" t="s">
        <v>1433</v>
      </c>
      <c r="E17" t="s">
        <v>89</v>
      </c>
      <c r="F17" s="36">
        <v>6</v>
      </c>
      <c r="G17" t="s">
        <v>1004</v>
      </c>
      <c r="I17" cm="1">
        <f t="array" ref="I17">_xlfn.IFNA(INDEX(QHPSelections2016[],MATCH(1,(QHPSelections2016[State Name]=HIX_RatingAreas[[#This Row],[State Code]])*(QHPSelections2016[County Name]=HIX_RatingAreas[[#This Row],[Subdivision]]),0),MATCH("Silver",QHPSelections2016[#Headers],0)),0)</f>
        <v>635</v>
      </c>
      <c r="J17" cm="1">
        <f t="array" ref="J17">_xlfn.IFNA(INDEX(QHPSelections2016[],MATCH(1,(QHPSelections2016[State Name]=HIX_RatingAreas[[#This Row],[State Code]])*(QHPSelections2016[County Name]=HIX_RatingAreas[[#This Row],[Subdivision]]),0),MATCH("Total Plan Selections",QHPSelections2016[#Headers],0)),0)</f>
        <v>722</v>
      </c>
      <c r="L17" t="str" cm="1">
        <f t="array" ref="L17">INDEX(QHPSelections2016[],MATCH(1,(QHPSelections2016[State Name]=HIX_RatingAreas[[#This Row],[State Code]])*(QHPSelections2016[County Name]=HIX_RatingAreas[[#This Row],[Subdivision]]),0),MATCH("County Name",QHPSelections2016[#Headers],0))</f>
        <v>Henry County</v>
      </c>
      <c r="M17" t="b">
        <f>L17=HIX_RatingAreas[[#This Row],[Subdivision]]</f>
        <v>1</v>
      </c>
      <c r="N17">
        <v>14</v>
      </c>
      <c r="P17" s="47" t="s">
        <v>2</v>
      </c>
      <c r="Q17" s="48" t="s">
        <v>108</v>
      </c>
      <c r="R17">
        <f>SUMIFS(HIX_RatingAreas[Silver Selections 2016],HIX_RatingAreas[State],P17,HIX_RatingAreas[Rating Area ID],Q17)</f>
        <v>6441</v>
      </c>
      <c r="S17">
        <f t="shared" si="0"/>
        <v>3.8749849596919746E-2</v>
      </c>
      <c r="W17">
        <f>SUMIFS(HIX_RatingAreas[Total Plan Selections 2016],HIX_RatingAreas[State],P17,HIX_RatingAreas[Rating Area ID],Q17)</f>
        <v>7521</v>
      </c>
    </row>
    <row r="18" spans="3:23">
      <c r="C18" t="s">
        <v>2</v>
      </c>
      <c r="D18" t="s">
        <v>1433</v>
      </c>
      <c r="E18" t="s">
        <v>89</v>
      </c>
      <c r="F18" s="36">
        <v>6</v>
      </c>
      <c r="G18" t="s">
        <v>1009</v>
      </c>
      <c r="I18" cm="1">
        <f t="array" ref="I18">_xlfn.IFNA(INDEX(QHPSelections2016[],MATCH(1,(QHPSelections2016[State Name]=HIX_RatingAreas[[#This Row],[State Code]])*(QHPSelections2016[County Name]=HIX_RatingAreas[[#This Row],[Subdivision]]),0),MATCH("Silver",QHPSelections2016[#Headers],0)),0)</f>
        <v>3448</v>
      </c>
      <c r="J18" cm="1">
        <f t="array" ref="J18">_xlfn.IFNA(INDEX(QHPSelections2016[],MATCH(1,(QHPSelections2016[State Name]=HIX_RatingAreas[[#This Row],[State Code]])*(QHPSelections2016[County Name]=HIX_RatingAreas[[#This Row],[Subdivision]]),0),MATCH("Total Plan Selections",QHPSelections2016[#Headers],0)),0)</f>
        <v>4058</v>
      </c>
      <c r="L18" t="str" cm="1">
        <f t="array" ref="L18">INDEX(QHPSelections2016[],MATCH(1,(QHPSelections2016[State Name]=HIX_RatingAreas[[#This Row],[State Code]])*(QHPSelections2016[County Name]=HIX_RatingAreas[[#This Row],[Subdivision]]),0),MATCH("County Name",QHPSelections2016[#Headers],0))</f>
        <v>Houston County</v>
      </c>
      <c r="M18" t="b">
        <f>L18=HIX_RatingAreas[[#This Row],[Subdivision]]</f>
        <v>1</v>
      </c>
      <c r="N18">
        <v>15</v>
      </c>
      <c r="P18" s="49" t="s">
        <v>2</v>
      </c>
      <c r="Q18" s="50" t="s">
        <v>112</v>
      </c>
      <c r="R18">
        <f>SUMIFS(HIX_RatingAreas[Silver Selections 2016],HIX_RatingAreas[State],P18,HIX_RatingAreas[Rating Area ID],Q18)</f>
        <v>48254</v>
      </c>
      <c r="S18">
        <f t="shared" si="0"/>
        <v>0.29030200938515222</v>
      </c>
      <c r="W18">
        <f>SUMIFS(HIX_RatingAreas[Total Plan Selections 2016],HIX_RatingAreas[State],P18,HIX_RatingAreas[Rating Area ID],Q18)</f>
        <v>55390</v>
      </c>
    </row>
    <row r="19" spans="3:23">
      <c r="C19" t="s">
        <v>2</v>
      </c>
      <c r="D19" t="s">
        <v>1433</v>
      </c>
      <c r="E19" t="s">
        <v>93</v>
      </c>
      <c r="F19" s="36">
        <v>7</v>
      </c>
      <c r="G19" t="s">
        <v>913</v>
      </c>
      <c r="I19" cm="1">
        <f t="array" ref="I19">_xlfn.IFNA(INDEX(QHPSelections2016[],MATCH(1,(QHPSelections2016[State Name]=HIX_RatingAreas[[#This Row],[State Code]])*(QHPSelections2016[County Name]=HIX_RatingAreas[[#This Row],[Subdivision]]),0),MATCH("Silver",QHPSelections2016[#Headers],0)),0)</f>
        <v>2009</v>
      </c>
      <c r="J19" cm="1">
        <f t="array" ref="J19">_xlfn.IFNA(INDEX(QHPSelections2016[],MATCH(1,(QHPSelections2016[State Name]=HIX_RatingAreas[[#This Row],[State Code]])*(QHPSelections2016[County Name]=HIX_RatingAreas[[#This Row],[Subdivision]]),0),MATCH("Total Plan Selections",QHPSelections2016[#Headers],0)),0)</f>
        <v>2250</v>
      </c>
      <c r="L19" t="str" cm="1">
        <f t="array" ref="L19">INDEX(QHPSelections2016[],MATCH(1,(QHPSelections2016[State Name]=HIX_RatingAreas[[#This Row],[State Code]])*(QHPSelections2016[County Name]=HIX_RatingAreas[[#This Row],[Subdivision]]),0),MATCH("County Name",QHPSelections2016[#Headers],0))</f>
        <v>Colbert County</v>
      </c>
      <c r="M19" t="b">
        <f>L19=HIX_RatingAreas[[#This Row],[Subdivision]]</f>
        <v>1</v>
      </c>
      <c r="N19">
        <v>16</v>
      </c>
      <c r="P19" s="47" t="s">
        <v>15</v>
      </c>
      <c r="Q19" s="48" t="s">
        <v>816</v>
      </c>
      <c r="R19">
        <f>SUM(R20:R86)</f>
        <v>1365444</v>
      </c>
      <c r="S19">
        <f>R19/R$19</f>
        <v>1</v>
      </c>
      <c r="U19">
        <f>SUM(S20:S86)</f>
        <v>0.99999999999999989</v>
      </c>
      <c r="W19">
        <f>SUM(W20:W86)</f>
        <v>1742806</v>
      </c>
    </row>
    <row r="20" spans="3:23">
      <c r="C20" t="s">
        <v>2</v>
      </c>
      <c r="D20" t="s">
        <v>1433</v>
      </c>
      <c r="E20" t="s">
        <v>93</v>
      </c>
      <c r="F20" s="36">
        <v>7</v>
      </c>
      <c r="G20" t="s">
        <v>1025</v>
      </c>
      <c r="I20" cm="1">
        <f t="array" ref="I20">_xlfn.IFNA(INDEX(QHPSelections2016[],MATCH(1,(QHPSelections2016[State Name]=HIX_RatingAreas[[#This Row],[State Code]])*(QHPSelections2016[County Name]=HIX_RatingAreas[[#This Row],[Subdivision]]),0),MATCH("Silver",QHPSelections2016[#Headers],0)),0)</f>
        <v>3484</v>
      </c>
      <c r="J20" cm="1">
        <f t="array" ref="J20">_xlfn.IFNA(INDEX(QHPSelections2016[],MATCH(1,(QHPSelections2016[State Name]=HIX_RatingAreas[[#This Row],[State Code]])*(QHPSelections2016[County Name]=HIX_RatingAreas[[#This Row],[Subdivision]]),0),MATCH("Total Plan Selections",QHPSelections2016[#Headers],0)),0)</f>
        <v>4006</v>
      </c>
      <c r="L20" t="str" cm="1">
        <f t="array" ref="L20">INDEX(QHPSelections2016[],MATCH(1,(QHPSelections2016[State Name]=HIX_RatingAreas[[#This Row],[State Code]])*(QHPSelections2016[County Name]=HIX_RatingAreas[[#This Row],[Subdivision]]),0),MATCH("County Name",QHPSelections2016[#Headers],0))</f>
        <v>Lauderdale County</v>
      </c>
      <c r="M20" t="b">
        <f>L20=HIX_RatingAreas[[#This Row],[Subdivision]]</f>
        <v>1</v>
      </c>
      <c r="N20">
        <v>17</v>
      </c>
      <c r="P20" s="49" t="s">
        <v>15</v>
      </c>
      <c r="Q20" s="50" t="s">
        <v>72</v>
      </c>
      <c r="R20">
        <f>SUMIFS(HIX_RatingAreas[Silver Selections 2016],HIX_RatingAreas[State],P20,HIX_RatingAreas[Rating Area ID],Q20)</f>
        <v>11629</v>
      </c>
      <c r="S20">
        <f t="shared" ref="S20:S83" si="1">R20/R$19</f>
        <v>8.5166436704837405E-3</v>
      </c>
      <c r="W20">
        <f>SUMIFS(HIX_RatingAreas[Total Plan Selections 2016],HIX_RatingAreas[State],P20,HIX_RatingAreas[Rating Area ID],Q20)</f>
        <v>14826</v>
      </c>
    </row>
    <row r="21" spans="3:23">
      <c r="C21" t="s">
        <v>2</v>
      </c>
      <c r="D21" t="s">
        <v>1433</v>
      </c>
      <c r="E21" t="s">
        <v>96</v>
      </c>
      <c r="F21" s="36">
        <v>8</v>
      </c>
      <c r="G21" t="s">
        <v>975</v>
      </c>
      <c r="I21" cm="1">
        <f t="array" ref="I21">_xlfn.IFNA(INDEX(QHPSelections2016[],MATCH(1,(QHPSelections2016[State Name]=HIX_RatingAreas[[#This Row],[State Code]])*(QHPSelections2016[County Name]=HIX_RatingAreas[[#This Row],[Subdivision]]),0),MATCH("Silver",QHPSelections2016[#Headers],0)),0)</f>
        <v>4143</v>
      </c>
      <c r="J21" cm="1">
        <f t="array" ref="J21">_xlfn.IFNA(INDEX(QHPSelections2016[],MATCH(1,(QHPSelections2016[State Name]=HIX_RatingAreas[[#This Row],[State Code]])*(QHPSelections2016[County Name]=HIX_RatingAreas[[#This Row],[Subdivision]]),0),MATCH("Total Plan Selections",QHPSelections2016[#Headers],0)),0)</f>
        <v>4639</v>
      </c>
      <c r="L21" t="str" cm="1">
        <f t="array" ref="L21">INDEX(QHPSelections2016[],MATCH(1,(QHPSelections2016[State Name]=HIX_RatingAreas[[#This Row],[State Code]])*(QHPSelections2016[County Name]=HIX_RatingAreas[[#This Row],[Subdivision]]),0),MATCH("County Name",QHPSelections2016[#Headers],0))</f>
        <v>Etowah County</v>
      </c>
      <c r="M21" t="b">
        <f>L21=HIX_RatingAreas[[#This Row],[Subdivision]]</f>
        <v>1</v>
      </c>
      <c r="N21">
        <v>18</v>
      </c>
      <c r="P21" s="47" t="s">
        <v>15</v>
      </c>
      <c r="Q21" s="48" t="s">
        <v>74</v>
      </c>
      <c r="R21">
        <f>SUMIFS(HIX_RatingAreas[Silver Selections 2016],HIX_RatingAreas[State],P21,HIX_RatingAreas[Rating Area ID],Q21)</f>
        <v>850</v>
      </c>
      <c r="S21">
        <f t="shared" si="1"/>
        <v>6.2250813654752591E-4</v>
      </c>
      <c r="W21">
        <f>SUMIFS(HIX_RatingAreas[Total Plan Selections 2016],HIX_RatingAreas[State],P21,HIX_RatingAreas[Rating Area ID],Q21)</f>
        <v>1043</v>
      </c>
    </row>
    <row r="22" spans="3:23">
      <c r="C22" t="s">
        <v>2</v>
      </c>
      <c r="D22" t="s">
        <v>1433</v>
      </c>
      <c r="E22" t="s">
        <v>98</v>
      </c>
      <c r="F22" s="36">
        <v>9</v>
      </c>
      <c r="G22" t="s">
        <v>1043</v>
      </c>
      <c r="I22" cm="1">
        <f t="array" ref="I22">_xlfn.IFNA(INDEX(QHPSelections2016[],MATCH(1,(QHPSelections2016[State Name]=HIX_RatingAreas[[#This Row],[State Code]])*(QHPSelections2016[County Name]=HIX_RatingAreas[[#This Row],[Subdivision]]),0),MATCH("Silver",QHPSelections2016[#Headers],0)),0)</f>
        <v>2728</v>
      </c>
      <c r="J22" cm="1">
        <f t="array" ref="J22">_xlfn.IFNA(INDEX(QHPSelections2016[],MATCH(1,(QHPSelections2016[State Name]=HIX_RatingAreas[[#This Row],[State Code]])*(QHPSelections2016[County Name]=HIX_RatingAreas[[#This Row],[Subdivision]]),0),MATCH("Total Plan Selections",QHPSelections2016[#Headers],0)),0)</f>
        <v>3259</v>
      </c>
      <c r="L22" t="str" cm="1">
        <f t="array" ref="L22">INDEX(QHPSelections2016[],MATCH(1,(QHPSelections2016[State Name]=HIX_RatingAreas[[#This Row],[State Code]])*(QHPSelections2016[County Name]=HIX_RatingAreas[[#This Row],[Subdivision]]),0),MATCH("County Name",QHPSelections2016[#Headers],0))</f>
        <v>Limestone County</v>
      </c>
      <c r="M22" t="b">
        <f>L22=HIX_RatingAreas[[#This Row],[Subdivision]]</f>
        <v>1</v>
      </c>
      <c r="N22">
        <v>19</v>
      </c>
      <c r="P22" s="49" t="s">
        <v>15</v>
      </c>
      <c r="Q22" s="50" t="s">
        <v>76</v>
      </c>
      <c r="R22">
        <f>SUMIFS(HIX_RatingAreas[Silver Selections 2016],HIX_RatingAreas[State],P22,HIX_RatingAreas[Rating Area ID],Q22)</f>
        <v>9276</v>
      </c>
      <c r="S22">
        <f t="shared" si="1"/>
        <v>6.7933946760174715E-3</v>
      </c>
      <c r="W22">
        <f>SUMIFS(HIX_RatingAreas[Total Plan Selections 2016],HIX_RatingAreas[State],P22,HIX_RatingAreas[Rating Area ID],Q22)</f>
        <v>11567</v>
      </c>
    </row>
    <row r="23" spans="3:23">
      <c r="C23" t="s">
        <v>2</v>
      </c>
      <c r="D23" t="s">
        <v>1433</v>
      </c>
      <c r="E23" t="s">
        <v>98</v>
      </c>
      <c r="F23" s="36">
        <v>9</v>
      </c>
      <c r="G23" t="s">
        <v>1029</v>
      </c>
      <c r="I23" cm="1">
        <f t="array" ref="I23">_xlfn.IFNA(INDEX(QHPSelections2016[],MATCH(1,(QHPSelections2016[State Name]=HIX_RatingAreas[[#This Row],[State Code]])*(QHPSelections2016[County Name]=HIX_RatingAreas[[#This Row],[Subdivision]]),0),MATCH("Silver",QHPSelections2016[#Headers],0)),0)</f>
        <v>12758</v>
      </c>
      <c r="J23" cm="1">
        <f t="array" ref="J23">_xlfn.IFNA(INDEX(QHPSelections2016[],MATCH(1,(QHPSelections2016[State Name]=HIX_RatingAreas[[#This Row],[State Code]])*(QHPSelections2016[County Name]=HIX_RatingAreas[[#This Row],[Subdivision]]),0),MATCH("Total Plan Selections",QHPSelections2016[#Headers],0)),0)</f>
        <v>15358</v>
      </c>
      <c r="L23" t="str" cm="1">
        <f t="array" ref="L23">INDEX(QHPSelections2016[],MATCH(1,(QHPSelections2016[State Name]=HIX_RatingAreas[[#This Row],[State Code]])*(QHPSelections2016[County Name]=HIX_RatingAreas[[#This Row],[Subdivision]]),0),MATCH("County Name",QHPSelections2016[#Headers],0))</f>
        <v>Madison County</v>
      </c>
      <c r="M23" t="b">
        <f>L23=HIX_RatingAreas[[#This Row],[Subdivision]]</f>
        <v>1</v>
      </c>
      <c r="N23">
        <v>20</v>
      </c>
      <c r="P23" s="47" t="s">
        <v>15</v>
      </c>
      <c r="Q23" s="48" t="s">
        <v>84</v>
      </c>
      <c r="R23">
        <f>SUMIFS(HIX_RatingAreas[Silver Selections 2016],HIX_RatingAreas[State],P23,HIX_RatingAreas[Rating Area ID],Q23)</f>
        <v>939</v>
      </c>
      <c r="S23">
        <f t="shared" si="1"/>
        <v>6.8768840025661983E-4</v>
      </c>
      <c r="W23">
        <f>SUMIFS(HIX_RatingAreas[Total Plan Selections 2016],HIX_RatingAreas[State],P23,HIX_RatingAreas[Rating Area ID],Q23)</f>
        <v>1163</v>
      </c>
    </row>
    <row r="24" spans="3:23">
      <c r="C24" t="s">
        <v>2</v>
      </c>
      <c r="D24" t="s">
        <v>1433</v>
      </c>
      <c r="E24" t="s">
        <v>101</v>
      </c>
      <c r="F24" s="36">
        <v>10</v>
      </c>
      <c r="G24" t="s">
        <v>1076</v>
      </c>
      <c r="I24" cm="1">
        <f t="array" ref="I24">_xlfn.IFNA(INDEX(QHPSelections2016[],MATCH(1,(QHPSelections2016[State Name]=HIX_RatingAreas[[#This Row],[State Code]])*(QHPSelections2016[County Name]=HIX_RatingAreas[[#This Row],[Subdivision]]),0),MATCH("Silver",QHPSelections2016[#Headers],0)),0)</f>
        <v>16554</v>
      </c>
      <c r="J24" cm="1">
        <f t="array" ref="J24">_xlfn.IFNA(INDEX(QHPSelections2016[],MATCH(1,(QHPSelections2016[State Name]=HIX_RatingAreas[[#This Row],[State Code]])*(QHPSelections2016[County Name]=HIX_RatingAreas[[#This Row],[Subdivision]]),0),MATCH("Total Plan Selections",QHPSelections2016[#Headers],0)),0)</f>
        <v>19313</v>
      </c>
      <c r="L24" t="str" cm="1">
        <f t="array" ref="L24">INDEX(QHPSelections2016[],MATCH(1,(QHPSelections2016[State Name]=HIX_RatingAreas[[#This Row],[State Code]])*(QHPSelections2016[County Name]=HIX_RatingAreas[[#This Row],[Subdivision]]),0),MATCH("County Name",QHPSelections2016[#Headers],0))</f>
        <v>Mobile County</v>
      </c>
      <c r="M24" t="b">
        <f>L24=HIX_RatingAreas[[#This Row],[Subdivision]]</f>
        <v>1</v>
      </c>
      <c r="N24">
        <v>21</v>
      </c>
      <c r="P24" s="49" t="s">
        <v>15</v>
      </c>
      <c r="Q24" s="50" t="s">
        <v>86</v>
      </c>
      <c r="R24">
        <f>SUMIFS(HIX_RatingAreas[Silver Selections 2016],HIX_RatingAreas[State],P24,HIX_RatingAreas[Rating Area ID],Q24)</f>
        <v>28564</v>
      </c>
      <c r="S24">
        <f t="shared" si="1"/>
        <v>2.0919202838051213E-2</v>
      </c>
      <c r="W24">
        <f>SUMIFS(HIX_RatingAreas[Total Plan Selections 2016],HIX_RatingAreas[State],P24,HIX_RatingAreas[Rating Area ID],Q24)</f>
        <v>37779</v>
      </c>
    </row>
    <row r="25" spans="3:23">
      <c r="C25" t="s">
        <v>2</v>
      </c>
      <c r="D25" t="s">
        <v>1433</v>
      </c>
      <c r="E25" t="s">
        <v>103</v>
      </c>
      <c r="F25" s="36">
        <v>11</v>
      </c>
      <c r="G25" t="s">
        <v>817</v>
      </c>
      <c r="I25" cm="1">
        <f t="array" ref="I25">_xlfn.IFNA(INDEX(QHPSelections2016[],MATCH(1,(QHPSelections2016[State Name]=HIX_RatingAreas[[#This Row],[State Code]])*(QHPSelections2016[County Name]=HIX_RatingAreas[[#This Row],[Subdivision]]),0),MATCH("Silver",QHPSelections2016[#Headers],0)),0)</f>
        <v>1594</v>
      </c>
      <c r="J25" cm="1">
        <f t="array" ref="J25">_xlfn.IFNA(INDEX(QHPSelections2016[],MATCH(1,(QHPSelections2016[State Name]=HIX_RatingAreas[[#This Row],[State Code]])*(QHPSelections2016[County Name]=HIX_RatingAreas[[#This Row],[Subdivision]]),0),MATCH("Total Plan Selections",QHPSelections2016[#Headers],0)),0)</f>
        <v>1896</v>
      </c>
      <c r="L25" t="str" cm="1">
        <f t="array" ref="L25">INDEX(QHPSelections2016[],MATCH(1,(QHPSelections2016[State Name]=HIX_RatingAreas[[#This Row],[State Code]])*(QHPSelections2016[County Name]=HIX_RatingAreas[[#This Row],[Subdivision]]),0),MATCH("County Name",QHPSelections2016[#Headers],0))</f>
        <v>Autauga County</v>
      </c>
      <c r="M25" t="b">
        <f>L25=HIX_RatingAreas[[#This Row],[Subdivision]]</f>
        <v>1</v>
      </c>
      <c r="N25">
        <v>22</v>
      </c>
      <c r="P25" s="47" t="s">
        <v>15</v>
      </c>
      <c r="Q25" s="48" t="s">
        <v>89</v>
      </c>
      <c r="R25">
        <f>SUMIFS(HIX_RatingAreas[Silver Selections 2016],HIX_RatingAreas[State],P25,HIX_RatingAreas[Rating Area ID],Q25)</f>
        <v>190594</v>
      </c>
      <c r="S25">
        <f t="shared" si="1"/>
        <v>0.13958390091428136</v>
      </c>
      <c r="W25">
        <f>SUMIFS(HIX_RatingAreas[Total Plan Selections 2016],HIX_RatingAreas[State],P25,HIX_RatingAreas[Rating Area ID],Q25)</f>
        <v>241784</v>
      </c>
    </row>
    <row r="26" spans="3:23">
      <c r="C26" t="s">
        <v>2</v>
      </c>
      <c r="D26" t="s">
        <v>1433</v>
      </c>
      <c r="E26" t="s">
        <v>103</v>
      </c>
      <c r="F26" s="36">
        <v>11</v>
      </c>
      <c r="G26" t="s">
        <v>964</v>
      </c>
      <c r="I26" cm="1">
        <f t="array" ref="I26">_xlfn.IFNA(INDEX(QHPSelections2016[],MATCH(1,(QHPSelections2016[State Name]=HIX_RatingAreas[[#This Row],[State Code]])*(QHPSelections2016[County Name]=HIX_RatingAreas[[#This Row],[Subdivision]]),0),MATCH("Silver",QHPSelections2016[#Headers],0)),0)</f>
        <v>2247</v>
      </c>
      <c r="J26" cm="1">
        <f t="array" ref="J26">_xlfn.IFNA(INDEX(QHPSelections2016[],MATCH(1,(QHPSelections2016[State Name]=HIX_RatingAreas[[#This Row],[State Code]])*(QHPSelections2016[County Name]=HIX_RatingAreas[[#This Row],[Subdivision]]),0),MATCH("Total Plan Selections",QHPSelections2016[#Headers],0)),0)</f>
        <v>2609</v>
      </c>
      <c r="L26" t="str" cm="1">
        <f t="array" ref="L26">INDEX(QHPSelections2016[],MATCH(1,(QHPSelections2016[State Name]=HIX_RatingAreas[[#This Row],[State Code]])*(QHPSelections2016[County Name]=HIX_RatingAreas[[#This Row],[Subdivision]]),0),MATCH("County Name",QHPSelections2016[#Headers],0))</f>
        <v>Elmore County</v>
      </c>
      <c r="M26" t="b">
        <f>L26=HIX_RatingAreas[[#This Row],[Subdivision]]</f>
        <v>1</v>
      </c>
      <c r="N26">
        <v>23</v>
      </c>
      <c r="P26" s="49" t="s">
        <v>15</v>
      </c>
      <c r="Q26" s="50" t="s">
        <v>93</v>
      </c>
      <c r="R26">
        <f>SUMIFS(HIX_RatingAreas[Silver Selections 2016],HIX_RatingAreas[State],P26,HIX_RatingAreas[Rating Area ID],Q26)</f>
        <v>391</v>
      </c>
      <c r="S26">
        <f t="shared" si="1"/>
        <v>2.8635374281186192E-4</v>
      </c>
      <c r="W26">
        <f>SUMIFS(HIX_RatingAreas[Total Plan Selections 2016],HIX_RatingAreas[State],P26,HIX_RatingAreas[Rating Area ID],Q26)</f>
        <v>503</v>
      </c>
    </row>
    <row r="27" spans="3:23">
      <c r="C27" t="s">
        <v>2</v>
      </c>
      <c r="D27" t="s">
        <v>1433</v>
      </c>
      <c r="E27" t="s">
        <v>103</v>
      </c>
      <c r="F27" s="36">
        <v>11</v>
      </c>
      <c r="G27" t="s">
        <v>1049</v>
      </c>
      <c r="I27" cm="1">
        <f t="array" ref="I27">_xlfn.IFNA(INDEX(QHPSelections2016[],MATCH(1,(QHPSelections2016[State Name]=HIX_RatingAreas[[#This Row],[State Code]])*(QHPSelections2016[County Name]=HIX_RatingAreas[[#This Row],[Subdivision]]),0),MATCH("Silver",QHPSelections2016[#Headers],0)),0)</f>
        <v>363</v>
      </c>
      <c r="J27" cm="1">
        <f t="array" ref="J27">_xlfn.IFNA(INDEX(QHPSelections2016[],MATCH(1,(QHPSelections2016[State Name]=HIX_RatingAreas[[#This Row],[State Code]])*(QHPSelections2016[County Name]=HIX_RatingAreas[[#This Row],[Subdivision]]),0),MATCH("Total Plan Selections",QHPSelections2016[#Headers],0)),0)</f>
        <v>415</v>
      </c>
      <c r="L27" t="str" cm="1">
        <f t="array" ref="L27">INDEX(QHPSelections2016[],MATCH(1,(QHPSelections2016[State Name]=HIX_RatingAreas[[#This Row],[State Code]])*(QHPSelections2016[County Name]=HIX_RatingAreas[[#This Row],[Subdivision]]),0),MATCH("County Name",QHPSelections2016[#Headers],0))</f>
        <v>Lowndes County</v>
      </c>
      <c r="M27" t="b">
        <f>L27=HIX_RatingAreas[[#This Row],[Subdivision]]</f>
        <v>1</v>
      </c>
      <c r="N27">
        <v>24</v>
      </c>
      <c r="P27" s="47" t="s">
        <v>15</v>
      </c>
      <c r="Q27" s="48" t="s">
        <v>96</v>
      </c>
      <c r="R27">
        <f>SUMIFS(HIX_RatingAreas[Silver Selections 2016],HIX_RatingAreas[State],P27,HIX_RatingAreas[Rating Area ID],Q27)</f>
        <v>8627</v>
      </c>
      <c r="S27">
        <f t="shared" si="1"/>
        <v>6.3180914047005956E-3</v>
      </c>
      <c r="W27">
        <f>SUMIFS(HIX_RatingAreas[Total Plan Selections 2016],HIX_RatingAreas[State],P27,HIX_RatingAreas[Rating Area ID],Q27)</f>
        <v>11451</v>
      </c>
    </row>
    <row r="28" spans="3:23">
      <c r="C28" t="s">
        <v>2</v>
      </c>
      <c r="D28" t="s">
        <v>1433</v>
      </c>
      <c r="E28" t="s">
        <v>103</v>
      </c>
      <c r="F28" s="36">
        <v>11</v>
      </c>
      <c r="G28" t="s">
        <v>1079</v>
      </c>
      <c r="I28" cm="1">
        <f t="array" ref="I28">_xlfn.IFNA(INDEX(QHPSelections2016[],MATCH(1,(QHPSelections2016[State Name]=HIX_RatingAreas[[#This Row],[State Code]])*(QHPSelections2016[County Name]=HIX_RatingAreas[[#This Row],[Subdivision]]),0),MATCH("Silver",QHPSelections2016[#Headers],0)),0)</f>
        <v>7361</v>
      </c>
      <c r="J28" cm="1">
        <f t="array" ref="J28">_xlfn.IFNA(INDEX(QHPSelections2016[],MATCH(1,(QHPSelections2016[State Name]=HIX_RatingAreas[[#This Row],[State Code]])*(QHPSelections2016[County Name]=HIX_RatingAreas[[#This Row],[Subdivision]]),0),MATCH("Total Plan Selections",QHPSelections2016[#Headers],0)),0)</f>
        <v>8716</v>
      </c>
      <c r="L28" t="str" cm="1">
        <f t="array" ref="L28">INDEX(QHPSelections2016[],MATCH(1,(QHPSelections2016[State Name]=HIX_RatingAreas[[#This Row],[State Code]])*(QHPSelections2016[County Name]=HIX_RatingAreas[[#This Row],[Subdivision]]),0),MATCH("County Name",QHPSelections2016[#Headers],0))</f>
        <v>Montgomery County</v>
      </c>
      <c r="M28" t="b">
        <f>L28=HIX_RatingAreas[[#This Row],[Subdivision]]</f>
        <v>1</v>
      </c>
      <c r="N28">
        <v>25</v>
      </c>
      <c r="P28" s="49" t="s">
        <v>15</v>
      </c>
      <c r="Q28" s="50" t="s">
        <v>98</v>
      </c>
      <c r="R28">
        <f>SUMIFS(HIX_RatingAreas[Silver Selections 2016],HIX_RatingAreas[State],P28,HIX_RatingAreas[Rating Area ID],Q28)</f>
        <v>8033</v>
      </c>
      <c r="S28">
        <f t="shared" si="1"/>
        <v>5.883068071630913E-3</v>
      </c>
      <c r="W28">
        <f>SUMIFS(HIX_RatingAreas[Total Plan Selections 2016],HIX_RatingAreas[State],P28,HIX_RatingAreas[Rating Area ID],Q28)</f>
        <v>10017</v>
      </c>
    </row>
    <row r="29" spans="3:23">
      <c r="C29" t="s">
        <v>2</v>
      </c>
      <c r="D29" t="s">
        <v>1433</v>
      </c>
      <c r="E29" t="s">
        <v>108</v>
      </c>
      <c r="F29" s="36">
        <v>12</v>
      </c>
      <c r="G29" t="s">
        <v>937</v>
      </c>
      <c r="I29" cm="1">
        <f t="array" ref="I29">_xlfn.IFNA(INDEX(QHPSelections2016[],MATCH(1,(QHPSelections2016[State Name]=HIX_RatingAreas[[#This Row],[State Code]])*(QHPSelections2016[County Name]=HIX_RatingAreas[[#This Row],[Subdivision]]),0),MATCH("Silver",QHPSelections2016[#Headers],0)),0)</f>
        <v>281</v>
      </c>
      <c r="J29" cm="1">
        <f t="array" ref="J29">_xlfn.IFNA(INDEX(QHPSelections2016[],MATCH(1,(QHPSelections2016[State Name]=HIX_RatingAreas[[#This Row],[State Code]])*(QHPSelections2016[County Name]=HIX_RatingAreas[[#This Row],[Subdivision]]),0),MATCH("Total Plan Selections",QHPSelections2016[#Headers],0)),0)</f>
        <v>323</v>
      </c>
      <c r="L29" t="str" cm="1">
        <f t="array" ref="L29">INDEX(QHPSelections2016[],MATCH(1,(QHPSelections2016[State Name]=HIX_RatingAreas[[#This Row],[State Code]])*(QHPSelections2016[County Name]=HIX_RatingAreas[[#This Row],[Subdivision]]),0),MATCH("County Name",QHPSelections2016[#Headers],0))</f>
        <v>Greene County</v>
      </c>
      <c r="M29" t="b">
        <f>L29=HIX_RatingAreas[[#This Row],[Subdivision]]</f>
        <v>1</v>
      </c>
      <c r="N29">
        <v>26</v>
      </c>
      <c r="P29" s="47" t="s">
        <v>15</v>
      </c>
      <c r="Q29" s="48" t="s">
        <v>101</v>
      </c>
      <c r="R29">
        <f>SUMIFS(HIX_RatingAreas[Silver Selections 2016],HIX_RatingAreas[State],P29,HIX_RatingAreas[Rating Area ID],Q29)</f>
        <v>7912</v>
      </c>
      <c r="S29">
        <f t="shared" si="1"/>
        <v>5.7944522074870886E-3</v>
      </c>
      <c r="W29">
        <f>SUMIFS(HIX_RatingAreas[Total Plan Selections 2016],HIX_RatingAreas[State],P29,HIX_RatingAreas[Rating Area ID],Q29)</f>
        <v>10449</v>
      </c>
    </row>
    <row r="30" spans="3:23">
      <c r="C30" t="s">
        <v>2</v>
      </c>
      <c r="D30" t="s">
        <v>1433</v>
      </c>
      <c r="E30" t="s">
        <v>108</v>
      </c>
      <c r="F30" s="36">
        <v>12</v>
      </c>
      <c r="G30" t="s">
        <v>998</v>
      </c>
      <c r="I30" cm="1">
        <f t="array" ref="I30">_xlfn.IFNA(INDEX(QHPSelections2016[],MATCH(1,(QHPSelections2016[State Name]=HIX_RatingAreas[[#This Row],[State Code]])*(QHPSelections2016[County Name]=HIX_RatingAreas[[#This Row],[Subdivision]]),0),MATCH("Silver",QHPSelections2016[#Headers],0)),0)</f>
        <v>513</v>
      </c>
      <c r="J30" cm="1">
        <f t="array" ref="J30">_xlfn.IFNA(INDEX(QHPSelections2016[],MATCH(1,(QHPSelections2016[State Name]=HIX_RatingAreas[[#This Row],[State Code]])*(QHPSelections2016[County Name]=HIX_RatingAreas[[#This Row],[Subdivision]]),0),MATCH("Total Plan Selections",QHPSelections2016[#Headers],0)),0)</f>
        <v>593</v>
      </c>
      <c r="L30" t="str" cm="1">
        <f t="array" ref="L30">INDEX(QHPSelections2016[],MATCH(1,(QHPSelections2016[State Name]=HIX_RatingAreas[[#This Row],[State Code]])*(QHPSelections2016[County Name]=HIX_RatingAreas[[#This Row],[Subdivision]]),0),MATCH("County Name",QHPSelections2016[#Headers],0))</f>
        <v>Hale County</v>
      </c>
      <c r="M30" t="b">
        <f>L30=HIX_RatingAreas[[#This Row],[Subdivision]]</f>
        <v>1</v>
      </c>
      <c r="N30">
        <v>27</v>
      </c>
      <c r="P30" s="49" t="s">
        <v>15</v>
      </c>
      <c r="Q30" s="50" t="s">
        <v>103</v>
      </c>
      <c r="R30">
        <f>SUMIFS(HIX_RatingAreas[Silver Selections 2016],HIX_RatingAreas[State],P30,HIX_RatingAreas[Rating Area ID],Q30)</f>
        <v>22222</v>
      </c>
      <c r="S30">
        <f t="shared" si="1"/>
        <v>1.6274559776893086E-2</v>
      </c>
      <c r="W30">
        <f>SUMIFS(HIX_RatingAreas[Total Plan Selections 2016],HIX_RatingAreas[State],P30,HIX_RatingAreas[Rating Area ID],Q30)</f>
        <v>28283</v>
      </c>
    </row>
    <row r="31" spans="3:23">
      <c r="C31" t="s">
        <v>2</v>
      </c>
      <c r="D31" t="s">
        <v>1433</v>
      </c>
      <c r="E31" t="s">
        <v>108</v>
      </c>
      <c r="F31" s="36">
        <v>12</v>
      </c>
      <c r="G31" t="s">
        <v>1148</v>
      </c>
      <c r="I31" cm="1">
        <f t="array" ref="I31">_xlfn.IFNA(INDEX(QHPSelections2016[],MATCH(1,(QHPSelections2016[State Name]=HIX_RatingAreas[[#This Row],[State Code]])*(QHPSelections2016[County Name]=HIX_RatingAreas[[#This Row],[Subdivision]]),0),MATCH("Silver",QHPSelections2016[#Headers],0)),0)</f>
        <v>5647</v>
      </c>
      <c r="J31" cm="1">
        <f t="array" ref="J31">_xlfn.IFNA(INDEX(QHPSelections2016[],MATCH(1,(QHPSelections2016[State Name]=HIX_RatingAreas[[#This Row],[State Code]])*(QHPSelections2016[County Name]=HIX_RatingAreas[[#This Row],[Subdivision]]),0),MATCH("Total Plan Selections",QHPSelections2016[#Headers],0)),0)</f>
        <v>6605</v>
      </c>
      <c r="L31" t="str" cm="1">
        <f t="array" ref="L31">INDEX(QHPSelections2016[],MATCH(1,(QHPSelections2016[State Name]=HIX_RatingAreas[[#This Row],[State Code]])*(QHPSelections2016[County Name]=HIX_RatingAreas[[#This Row],[Subdivision]]),0),MATCH("County Name",QHPSelections2016[#Headers],0))</f>
        <v>Tuscaloosa County</v>
      </c>
      <c r="M31" t="b">
        <f>L31=HIX_RatingAreas[[#This Row],[Subdivision]]</f>
        <v>1</v>
      </c>
      <c r="N31">
        <v>28</v>
      </c>
      <c r="P31" s="47" t="s">
        <v>15</v>
      </c>
      <c r="Q31" s="48" t="s">
        <v>108</v>
      </c>
      <c r="R31">
        <f>SUMIFS(HIX_RatingAreas[Silver Selections 2016],HIX_RatingAreas[State],P31,HIX_RatingAreas[Rating Area ID],Q31)</f>
        <v>2811</v>
      </c>
      <c r="S31">
        <f t="shared" si="1"/>
        <v>2.0586710256883475E-3</v>
      </c>
      <c r="W31">
        <f>SUMIFS(HIX_RatingAreas[Total Plan Selections 2016],HIX_RatingAreas[State],P31,HIX_RatingAreas[Rating Area ID],Q31)</f>
        <v>3489</v>
      </c>
    </row>
    <row r="32" spans="3:23">
      <c r="C32" t="s">
        <v>2</v>
      </c>
      <c r="D32" t="s">
        <v>1433</v>
      </c>
      <c r="E32" t="s">
        <v>112</v>
      </c>
      <c r="F32" s="36">
        <v>13</v>
      </c>
      <c r="G32" t="s">
        <v>823</v>
      </c>
      <c r="I32" cm="1">
        <f t="array" ref="I32">_xlfn.IFNA(INDEX(QHPSelections2016[],MATCH(1,(QHPSelections2016[State Name]=HIX_RatingAreas[[#This Row],[State Code]])*(QHPSelections2016[County Name]=HIX_RatingAreas[[#This Row],[Subdivision]]),0),MATCH("Silver",QHPSelections2016[#Headers],0)),0)</f>
        <v>10108</v>
      </c>
      <c r="J32" cm="1">
        <f t="array" ref="J32">_xlfn.IFNA(INDEX(QHPSelections2016[],MATCH(1,(QHPSelections2016[State Name]=HIX_RatingAreas[[#This Row],[State Code]])*(QHPSelections2016[County Name]=HIX_RatingAreas[[#This Row],[Subdivision]]),0),MATCH("Total Plan Selections",QHPSelections2016[#Headers],0)),0)</f>
        <v>11778</v>
      </c>
      <c r="L32" t="str" cm="1">
        <f t="array" ref="L32">INDEX(QHPSelections2016[],MATCH(1,(QHPSelections2016[State Name]=HIX_RatingAreas[[#This Row],[State Code]])*(QHPSelections2016[County Name]=HIX_RatingAreas[[#This Row],[Subdivision]]),0),MATCH("County Name",QHPSelections2016[#Headers],0))</f>
        <v>Baldwin County</v>
      </c>
      <c r="M32" t="b">
        <f>L32=HIX_RatingAreas[[#This Row],[Subdivision]]</f>
        <v>1</v>
      </c>
      <c r="N32">
        <v>29</v>
      </c>
      <c r="P32" s="49" t="s">
        <v>15</v>
      </c>
      <c r="Q32" s="50" t="s">
        <v>112</v>
      </c>
      <c r="R32">
        <f>SUMIFS(HIX_RatingAreas[Silver Selections 2016],HIX_RatingAreas[State],P32,HIX_RatingAreas[Rating Area ID],Q32)</f>
        <v>1182</v>
      </c>
      <c r="S32">
        <f t="shared" si="1"/>
        <v>8.6565249105785373E-4</v>
      </c>
      <c r="W32">
        <f>SUMIFS(HIX_RatingAreas[Total Plan Selections 2016],HIX_RatingAreas[State],P32,HIX_RatingAreas[Rating Area ID],Q32)</f>
        <v>1432</v>
      </c>
    </row>
    <row r="33" spans="3:23">
      <c r="C33" t="s">
        <v>2</v>
      </c>
      <c r="D33" t="s">
        <v>1433</v>
      </c>
      <c r="E33" t="s">
        <v>112</v>
      </c>
      <c r="F33" s="36">
        <v>13</v>
      </c>
      <c r="G33" t="s">
        <v>830</v>
      </c>
      <c r="I33" cm="1">
        <f t="array" ref="I33">_xlfn.IFNA(INDEX(QHPSelections2016[],MATCH(1,(QHPSelections2016[State Name]=HIX_RatingAreas[[#This Row],[State Code]])*(QHPSelections2016[County Name]=HIX_RatingAreas[[#This Row],[Subdivision]]),0),MATCH("Silver",QHPSelections2016[#Headers],0)),0)</f>
        <v>693</v>
      </c>
      <c r="J33" cm="1">
        <f t="array" ref="J33">_xlfn.IFNA(INDEX(QHPSelections2016[],MATCH(1,(QHPSelections2016[State Name]=HIX_RatingAreas[[#This Row],[State Code]])*(QHPSelections2016[County Name]=HIX_RatingAreas[[#This Row],[Subdivision]]),0),MATCH("Total Plan Selections",QHPSelections2016[#Headers],0)),0)</f>
        <v>801</v>
      </c>
      <c r="L33" t="str" cm="1">
        <f t="array" ref="L33">INDEX(QHPSelections2016[],MATCH(1,(QHPSelections2016[State Name]=HIX_RatingAreas[[#This Row],[State Code]])*(QHPSelections2016[County Name]=HIX_RatingAreas[[#This Row],[Subdivision]]),0),MATCH("County Name",QHPSelections2016[#Headers],0))</f>
        <v>Barbour County</v>
      </c>
      <c r="M33" t="b">
        <f>L33=HIX_RatingAreas[[#This Row],[Subdivision]]</f>
        <v>1</v>
      </c>
      <c r="N33">
        <v>30</v>
      </c>
      <c r="P33" s="47" t="s">
        <v>15</v>
      </c>
      <c r="Q33" s="48" t="s">
        <v>167</v>
      </c>
      <c r="R33">
        <f>SUMIFS(HIX_RatingAreas[Silver Selections 2016],HIX_RatingAreas[State],P33,HIX_RatingAreas[Rating Area ID],Q33)</f>
        <v>578</v>
      </c>
      <c r="S33">
        <f t="shared" si="1"/>
        <v>4.2330553285231762E-4</v>
      </c>
      <c r="W33">
        <f>SUMIFS(HIX_RatingAreas[Total Plan Selections 2016],HIX_RatingAreas[State],P33,HIX_RatingAreas[Rating Area ID],Q33)</f>
        <v>667</v>
      </c>
    </row>
    <row r="34" spans="3:23">
      <c r="C34" t="s">
        <v>2</v>
      </c>
      <c r="D34" t="s">
        <v>1433</v>
      </c>
      <c r="E34" t="s">
        <v>112</v>
      </c>
      <c r="F34" s="36">
        <v>13</v>
      </c>
      <c r="G34" t="s">
        <v>847</v>
      </c>
      <c r="I34" cm="1">
        <f t="array" ref="I34">_xlfn.IFNA(INDEX(QHPSelections2016[],MATCH(1,(QHPSelections2016[State Name]=HIX_RatingAreas[[#This Row],[State Code]])*(QHPSelections2016[County Name]=HIX_RatingAreas[[#This Row],[Subdivision]]),0),MATCH("Silver",QHPSelections2016[#Headers],0)),0)</f>
        <v>293</v>
      </c>
      <c r="J34" cm="1">
        <f t="array" ref="J34">_xlfn.IFNA(INDEX(QHPSelections2016[],MATCH(1,(QHPSelections2016[State Name]=HIX_RatingAreas[[#This Row],[State Code]])*(QHPSelections2016[County Name]=HIX_RatingAreas[[#This Row],[Subdivision]]),0),MATCH("Total Plan Selections",QHPSelections2016[#Headers],0)),0)</f>
        <v>334</v>
      </c>
      <c r="L34" t="str" cm="1">
        <f t="array" ref="L34">INDEX(QHPSelections2016[],MATCH(1,(QHPSelections2016[State Name]=HIX_RatingAreas[[#This Row],[State Code]])*(QHPSelections2016[County Name]=HIX_RatingAreas[[#This Row],[Subdivision]]),0),MATCH("County Name",QHPSelections2016[#Headers],0))</f>
        <v>Bullock County</v>
      </c>
      <c r="M34" t="b">
        <f>L34=HIX_RatingAreas[[#This Row],[Subdivision]]</f>
        <v>1</v>
      </c>
      <c r="N34">
        <v>31</v>
      </c>
      <c r="P34" s="49" t="s">
        <v>15</v>
      </c>
      <c r="Q34" s="50" t="s">
        <v>169</v>
      </c>
      <c r="R34">
        <f>SUMIFS(HIX_RatingAreas[Silver Selections 2016],HIX_RatingAreas[State],P34,HIX_RatingAreas[Rating Area ID],Q34)</f>
        <v>40247</v>
      </c>
      <c r="S34">
        <f t="shared" si="1"/>
        <v>2.9475394084268559E-2</v>
      </c>
      <c r="W34">
        <f>SUMIFS(HIX_RatingAreas[Total Plan Selections 2016],HIX_RatingAreas[State],P34,HIX_RatingAreas[Rating Area ID],Q34)</f>
        <v>56252</v>
      </c>
    </row>
    <row r="35" spans="3:23">
      <c r="C35" t="s">
        <v>2</v>
      </c>
      <c r="D35" t="s">
        <v>1433</v>
      </c>
      <c r="E35" t="s">
        <v>112</v>
      </c>
      <c r="F35" s="36">
        <v>13</v>
      </c>
      <c r="G35" t="s">
        <v>854</v>
      </c>
      <c r="I35" cm="1">
        <f t="array" ref="I35">_xlfn.IFNA(INDEX(QHPSelections2016[],MATCH(1,(QHPSelections2016[State Name]=HIX_RatingAreas[[#This Row],[State Code]])*(QHPSelections2016[County Name]=HIX_RatingAreas[[#This Row],[Subdivision]]),0),MATCH("Silver",QHPSelections2016[#Headers],0)),0)</f>
        <v>723</v>
      </c>
      <c r="J35" cm="1">
        <f t="array" ref="J35">_xlfn.IFNA(INDEX(QHPSelections2016[],MATCH(1,(QHPSelections2016[State Name]=HIX_RatingAreas[[#This Row],[State Code]])*(QHPSelections2016[County Name]=HIX_RatingAreas[[#This Row],[Subdivision]]),0),MATCH("Total Plan Selections",QHPSelections2016[#Headers],0)),0)</f>
        <v>816</v>
      </c>
      <c r="L35" t="str" cm="1">
        <f t="array" ref="L35">INDEX(QHPSelections2016[],MATCH(1,(QHPSelections2016[State Name]=HIX_RatingAreas[[#This Row],[State Code]])*(QHPSelections2016[County Name]=HIX_RatingAreas[[#This Row],[Subdivision]]),0),MATCH("County Name",QHPSelections2016[#Headers],0))</f>
        <v>Butler County</v>
      </c>
      <c r="M35" t="b">
        <f>L35=HIX_RatingAreas[[#This Row],[Subdivision]]</f>
        <v>1</v>
      </c>
      <c r="N35">
        <v>32</v>
      </c>
      <c r="P35" s="47" t="s">
        <v>15</v>
      </c>
      <c r="Q35" s="48" t="s">
        <v>171</v>
      </c>
      <c r="R35">
        <f>SUMIFS(HIX_RatingAreas[Silver Selections 2016],HIX_RatingAreas[State],P35,HIX_RatingAreas[Rating Area ID],Q35)</f>
        <v>10354</v>
      </c>
      <c r="S35">
        <f t="shared" si="1"/>
        <v>7.582881465662451E-3</v>
      </c>
      <c r="W35">
        <f>SUMIFS(HIX_RatingAreas[Total Plan Selections 2016],HIX_RatingAreas[State],P35,HIX_RatingAreas[Rating Area ID],Q35)</f>
        <v>13957</v>
      </c>
    </row>
    <row r="36" spans="3:23">
      <c r="C36" t="s">
        <v>2</v>
      </c>
      <c r="D36" t="s">
        <v>1433</v>
      </c>
      <c r="E36" t="s">
        <v>112</v>
      </c>
      <c r="F36" s="36">
        <v>13</v>
      </c>
      <c r="G36" t="s">
        <v>866</v>
      </c>
      <c r="I36" cm="1">
        <f t="array" ref="I36">_xlfn.IFNA(INDEX(QHPSelections2016[],MATCH(1,(QHPSelections2016[State Name]=HIX_RatingAreas[[#This Row],[State Code]])*(QHPSelections2016[County Name]=HIX_RatingAreas[[#This Row],[Subdivision]]),0),MATCH("Silver",QHPSelections2016[#Headers],0)),0)</f>
        <v>989</v>
      </c>
      <c r="J36" cm="1">
        <f t="array" ref="J36">_xlfn.IFNA(INDEX(QHPSelections2016[],MATCH(1,(QHPSelections2016[State Name]=HIX_RatingAreas[[#This Row],[State Code]])*(QHPSelections2016[County Name]=HIX_RatingAreas[[#This Row],[Subdivision]]),0),MATCH("Total Plan Selections",QHPSelections2016[#Headers],0)),0)</f>
        <v>1128</v>
      </c>
      <c r="L36" t="str" cm="1">
        <f t="array" ref="L36">INDEX(QHPSelections2016[],MATCH(1,(QHPSelections2016[State Name]=HIX_RatingAreas[[#This Row],[State Code]])*(QHPSelections2016[County Name]=HIX_RatingAreas[[#This Row],[Subdivision]]),0),MATCH("County Name",QHPSelections2016[#Headers],0))</f>
        <v>Chambers County</v>
      </c>
      <c r="M36" t="b">
        <f>L36=HIX_RatingAreas[[#This Row],[Subdivision]]</f>
        <v>1</v>
      </c>
      <c r="N36">
        <v>33</v>
      </c>
      <c r="P36" s="49" t="s">
        <v>15</v>
      </c>
      <c r="Q36" s="50" t="s">
        <v>172</v>
      </c>
      <c r="R36">
        <f>SUMIFS(HIX_RatingAreas[Silver Selections 2016],HIX_RatingAreas[State],P36,HIX_RatingAreas[Rating Area ID],Q36)</f>
        <v>5479</v>
      </c>
      <c r="S36">
        <f t="shared" si="1"/>
        <v>4.0126142119339932E-3</v>
      </c>
      <c r="W36">
        <f>SUMIFS(HIX_RatingAreas[Total Plan Selections 2016],HIX_RatingAreas[State],P36,HIX_RatingAreas[Rating Area ID],Q36)</f>
        <v>7473</v>
      </c>
    </row>
    <row r="37" spans="3:23">
      <c r="C37" t="s">
        <v>2</v>
      </c>
      <c r="D37" t="s">
        <v>1433</v>
      </c>
      <c r="E37" t="s">
        <v>112</v>
      </c>
      <c r="F37" s="36">
        <v>13</v>
      </c>
      <c r="G37" t="s">
        <v>872</v>
      </c>
      <c r="I37" cm="1">
        <f t="array" ref="I37">_xlfn.IFNA(INDEX(QHPSelections2016[],MATCH(1,(QHPSelections2016[State Name]=HIX_RatingAreas[[#This Row],[State Code]])*(QHPSelections2016[County Name]=HIX_RatingAreas[[#This Row],[Subdivision]]),0),MATCH("Silver",QHPSelections2016[#Headers],0)),0)</f>
        <v>827</v>
      </c>
      <c r="J37" cm="1">
        <f t="array" ref="J37">_xlfn.IFNA(INDEX(QHPSelections2016[],MATCH(1,(QHPSelections2016[State Name]=HIX_RatingAreas[[#This Row],[State Code]])*(QHPSelections2016[County Name]=HIX_RatingAreas[[#This Row],[Subdivision]]),0),MATCH("Total Plan Selections",QHPSelections2016[#Headers],0)),0)</f>
        <v>926</v>
      </c>
      <c r="L37" t="str" cm="1">
        <f t="array" ref="L37">INDEX(QHPSelections2016[],MATCH(1,(QHPSelections2016[State Name]=HIX_RatingAreas[[#This Row],[State Code]])*(QHPSelections2016[County Name]=HIX_RatingAreas[[#This Row],[Subdivision]]),0),MATCH("County Name",QHPSelections2016[#Headers],0))</f>
        <v>Cherokee County</v>
      </c>
      <c r="M37" t="b">
        <f>L37=HIX_RatingAreas[[#This Row],[Subdivision]]</f>
        <v>1</v>
      </c>
      <c r="N37">
        <v>34</v>
      </c>
      <c r="P37" s="47" t="s">
        <v>15</v>
      </c>
      <c r="Q37" s="48" t="s">
        <v>174</v>
      </c>
      <c r="R37">
        <f>SUMIFS(HIX_RatingAreas[Silver Selections 2016],HIX_RatingAreas[State],P37,HIX_RatingAreas[Rating Area ID],Q37)</f>
        <v>617</v>
      </c>
      <c r="S37">
        <f t="shared" si="1"/>
        <v>4.518676708821453E-4</v>
      </c>
      <c r="W37">
        <f>SUMIFS(HIX_RatingAreas[Total Plan Selections 2016],HIX_RatingAreas[State],P37,HIX_RatingAreas[Rating Area ID],Q37)</f>
        <v>748</v>
      </c>
    </row>
    <row r="38" spans="3:23">
      <c r="C38" t="s">
        <v>2</v>
      </c>
      <c r="D38" t="s">
        <v>1433</v>
      </c>
      <c r="E38" t="s">
        <v>112</v>
      </c>
      <c r="F38" s="36">
        <v>13</v>
      </c>
      <c r="G38" t="s">
        <v>875</v>
      </c>
      <c r="I38" cm="1">
        <f t="array" ref="I38">_xlfn.IFNA(INDEX(QHPSelections2016[],MATCH(1,(QHPSelections2016[State Name]=HIX_RatingAreas[[#This Row],[State Code]])*(QHPSelections2016[County Name]=HIX_RatingAreas[[#This Row],[Subdivision]]),0),MATCH("Silver",QHPSelections2016[#Headers],0)),0)</f>
        <v>574</v>
      </c>
      <c r="J38" cm="1">
        <f t="array" ref="J38">_xlfn.IFNA(INDEX(QHPSelections2016[],MATCH(1,(QHPSelections2016[State Name]=HIX_RatingAreas[[#This Row],[State Code]])*(QHPSelections2016[County Name]=HIX_RatingAreas[[#This Row],[Subdivision]]),0),MATCH("Total Plan Selections",QHPSelections2016[#Headers],0)),0)</f>
        <v>652</v>
      </c>
      <c r="L38" t="str" cm="1">
        <f t="array" ref="L38">INDEX(QHPSelections2016[],MATCH(1,(QHPSelections2016[State Name]=HIX_RatingAreas[[#This Row],[State Code]])*(QHPSelections2016[County Name]=HIX_RatingAreas[[#This Row],[Subdivision]]),0),MATCH("County Name",QHPSelections2016[#Headers],0))</f>
        <v>Choctaw County</v>
      </c>
      <c r="M38" t="b">
        <f>L38=HIX_RatingAreas[[#This Row],[Subdivision]]</f>
        <v>1</v>
      </c>
      <c r="N38">
        <v>35</v>
      </c>
      <c r="P38" s="49" t="s">
        <v>15</v>
      </c>
      <c r="Q38" s="50" t="s">
        <v>175</v>
      </c>
      <c r="R38">
        <f>SUMIFS(HIX_RatingAreas[Silver Selections 2016],HIX_RatingAreas[State],P38,HIX_RatingAreas[Rating Area ID],Q38)</f>
        <v>1388</v>
      </c>
      <c r="S38">
        <f t="shared" si="1"/>
        <v>1.0165191688564306E-3</v>
      </c>
      <c r="W38">
        <f>SUMIFS(HIX_RatingAreas[Total Plan Selections 2016],HIX_RatingAreas[State],P38,HIX_RatingAreas[Rating Area ID],Q38)</f>
        <v>1693</v>
      </c>
    </row>
    <row r="39" spans="3:23">
      <c r="C39" t="s">
        <v>2</v>
      </c>
      <c r="D39" t="s">
        <v>1433</v>
      </c>
      <c r="E39" t="s">
        <v>112</v>
      </c>
      <c r="F39" s="36">
        <v>13</v>
      </c>
      <c r="G39" t="s">
        <v>887</v>
      </c>
      <c r="I39" cm="1">
        <f t="array" ref="I39">_xlfn.IFNA(INDEX(QHPSelections2016[],MATCH(1,(QHPSelections2016[State Name]=HIX_RatingAreas[[#This Row],[State Code]])*(QHPSelections2016[County Name]=HIX_RatingAreas[[#This Row],[Subdivision]]),0),MATCH("Silver",QHPSelections2016[#Headers],0)),0)</f>
        <v>1121</v>
      </c>
      <c r="J39" cm="1">
        <f t="array" ref="J39">_xlfn.IFNA(INDEX(QHPSelections2016[],MATCH(1,(QHPSelections2016[State Name]=HIX_RatingAreas[[#This Row],[State Code]])*(QHPSelections2016[County Name]=HIX_RatingAreas[[#This Row],[Subdivision]]),0),MATCH("Total Plan Selections",QHPSelections2016[#Headers],0)),0)</f>
        <v>1272</v>
      </c>
      <c r="L39" t="str" cm="1">
        <f t="array" ref="L39">INDEX(QHPSelections2016[],MATCH(1,(QHPSelections2016[State Name]=HIX_RatingAreas[[#This Row],[State Code]])*(QHPSelections2016[County Name]=HIX_RatingAreas[[#This Row],[Subdivision]]),0),MATCH("County Name",QHPSelections2016[#Headers],0))</f>
        <v>Clarke County</v>
      </c>
      <c r="M39" t="b">
        <f>L39=HIX_RatingAreas[[#This Row],[Subdivision]]</f>
        <v>1</v>
      </c>
      <c r="N39">
        <v>36</v>
      </c>
      <c r="P39" s="47" t="s">
        <v>15</v>
      </c>
      <c r="Q39" s="48" t="s">
        <v>177</v>
      </c>
      <c r="R39">
        <f>SUMIFS(HIX_RatingAreas[Silver Selections 2016],HIX_RatingAreas[State],P39,HIX_RatingAreas[Rating Area ID],Q39)</f>
        <v>600</v>
      </c>
      <c r="S39">
        <f t="shared" si="1"/>
        <v>4.3941750815119479E-4</v>
      </c>
      <c r="W39">
        <f>SUMIFS(HIX_RatingAreas[Total Plan Selections 2016],HIX_RatingAreas[State],P39,HIX_RatingAreas[Rating Area ID],Q39)</f>
        <v>747</v>
      </c>
    </row>
    <row r="40" spans="3:23">
      <c r="C40" t="s">
        <v>2</v>
      </c>
      <c r="D40" t="s">
        <v>1433</v>
      </c>
      <c r="E40" t="s">
        <v>112</v>
      </c>
      <c r="F40" s="36">
        <v>13</v>
      </c>
      <c r="G40" t="s">
        <v>873</v>
      </c>
      <c r="I40" cm="1">
        <f t="array" ref="I40">_xlfn.IFNA(INDEX(QHPSelections2016[],MATCH(1,(QHPSelections2016[State Name]=HIX_RatingAreas[[#This Row],[State Code]])*(QHPSelections2016[County Name]=HIX_RatingAreas[[#This Row],[Subdivision]]),0),MATCH("Silver",QHPSelections2016[#Headers],0)),0)</f>
        <v>411</v>
      </c>
      <c r="J40" cm="1">
        <f t="array" ref="J40">_xlfn.IFNA(INDEX(QHPSelections2016[],MATCH(1,(QHPSelections2016[State Name]=HIX_RatingAreas[[#This Row],[State Code]])*(QHPSelections2016[County Name]=HIX_RatingAreas[[#This Row],[Subdivision]]),0),MATCH("Total Plan Selections",QHPSelections2016[#Headers],0)),0)</f>
        <v>489</v>
      </c>
      <c r="L40" t="str" cm="1">
        <f t="array" ref="L40">INDEX(QHPSelections2016[],MATCH(1,(QHPSelections2016[State Name]=HIX_RatingAreas[[#This Row],[State Code]])*(QHPSelections2016[County Name]=HIX_RatingAreas[[#This Row],[Subdivision]]),0),MATCH("County Name",QHPSelections2016[#Headers],0))</f>
        <v>Clay County</v>
      </c>
      <c r="M40" t="b">
        <f>L40=HIX_RatingAreas[[#This Row],[Subdivision]]</f>
        <v>1</v>
      </c>
      <c r="N40">
        <v>37</v>
      </c>
      <c r="P40" s="49" t="s">
        <v>15</v>
      </c>
      <c r="Q40" s="50" t="s">
        <v>179</v>
      </c>
      <c r="R40">
        <f>SUMIFS(HIX_RatingAreas[Silver Selections 2016],HIX_RatingAreas[State],P40,HIX_RatingAreas[Rating Area ID],Q40)</f>
        <v>418</v>
      </c>
      <c r="S40">
        <f t="shared" si="1"/>
        <v>3.0612753067866568E-4</v>
      </c>
      <c r="W40">
        <f>SUMIFS(HIX_RatingAreas[Total Plan Selections 2016],HIX_RatingAreas[State],P40,HIX_RatingAreas[Rating Area ID],Q40)</f>
        <v>507</v>
      </c>
    </row>
    <row r="41" spans="3:23">
      <c r="C41" t="s">
        <v>2</v>
      </c>
      <c r="D41" t="s">
        <v>1433</v>
      </c>
      <c r="E41" t="s">
        <v>112</v>
      </c>
      <c r="F41" s="36">
        <v>13</v>
      </c>
      <c r="G41" t="s">
        <v>900</v>
      </c>
      <c r="I41" cm="1">
        <f t="array" ref="I41">_xlfn.IFNA(INDEX(QHPSelections2016[],MATCH(1,(QHPSelections2016[State Name]=HIX_RatingAreas[[#This Row],[State Code]])*(QHPSelections2016[County Name]=HIX_RatingAreas[[#This Row],[Subdivision]]),0),MATCH("Silver",QHPSelections2016[#Headers],0)),0)</f>
        <v>548</v>
      </c>
      <c r="J41" cm="1">
        <f t="array" ref="J41">_xlfn.IFNA(INDEX(QHPSelections2016[],MATCH(1,(QHPSelections2016[State Name]=HIX_RatingAreas[[#This Row],[State Code]])*(QHPSelections2016[County Name]=HIX_RatingAreas[[#This Row],[Subdivision]]),0),MATCH("Total Plan Selections",QHPSelections2016[#Headers],0)),0)</f>
        <v>610</v>
      </c>
      <c r="L41" t="str" cm="1">
        <f t="array" ref="L41">INDEX(QHPSelections2016[],MATCH(1,(QHPSelections2016[State Name]=HIX_RatingAreas[[#This Row],[State Code]])*(QHPSelections2016[County Name]=HIX_RatingAreas[[#This Row],[Subdivision]]),0),MATCH("County Name",QHPSelections2016[#Headers],0))</f>
        <v>Cleburne County</v>
      </c>
      <c r="M41" t="b">
        <f>L41=HIX_RatingAreas[[#This Row],[Subdivision]]</f>
        <v>1</v>
      </c>
      <c r="N41">
        <v>38</v>
      </c>
      <c r="P41" s="47" t="s">
        <v>15</v>
      </c>
      <c r="Q41" s="48" t="s">
        <v>181</v>
      </c>
      <c r="R41">
        <f>SUMIFS(HIX_RatingAreas[Silver Selections 2016],HIX_RatingAreas[State],P41,HIX_RatingAreas[Rating Area ID],Q41)</f>
        <v>640</v>
      </c>
      <c r="S41">
        <f t="shared" si="1"/>
        <v>4.6871200869460779E-4</v>
      </c>
      <c r="W41">
        <f>SUMIFS(HIX_RatingAreas[Total Plan Selections 2016],HIX_RatingAreas[State],P41,HIX_RatingAreas[Rating Area ID],Q41)</f>
        <v>821</v>
      </c>
    </row>
    <row r="42" spans="3:23">
      <c r="C42" t="s">
        <v>2</v>
      </c>
      <c r="D42" t="s">
        <v>1433</v>
      </c>
      <c r="E42" t="s">
        <v>112</v>
      </c>
      <c r="F42" s="36">
        <v>13</v>
      </c>
      <c r="G42" t="s">
        <v>907</v>
      </c>
      <c r="I42" cm="1">
        <f t="array" ref="I42">_xlfn.IFNA(INDEX(QHPSelections2016[],MATCH(1,(QHPSelections2016[State Name]=HIX_RatingAreas[[#This Row],[State Code]])*(QHPSelections2016[County Name]=HIX_RatingAreas[[#This Row],[Subdivision]]),0),MATCH("Silver",QHPSelections2016[#Headers],0)),0)</f>
        <v>1262</v>
      </c>
      <c r="J42" cm="1">
        <f t="array" ref="J42">_xlfn.IFNA(INDEX(QHPSelections2016[],MATCH(1,(QHPSelections2016[State Name]=HIX_RatingAreas[[#This Row],[State Code]])*(QHPSelections2016[County Name]=HIX_RatingAreas[[#This Row],[Subdivision]]),0),MATCH("Total Plan Selections",QHPSelections2016[#Headers],0)),0)</f>
        <v>1488</v>
      </c>
      <c r="L42" t="str" cm="1">
        <f t="array" ref="L42">INDEX(QHPSelections2016[],MATCH(1,(QHPSelections2016[State Name]=HIX_RatingAreas[[#This Row],[State Code]])*(QHPSelections2016[County Name]=HIX_RatingAreas[[#This Row],[Subdivision]]),0),MATCH("County Name",QHPSelections2016[#Headers],0))</f>
        <v>Coffee County</v>
      </c>
      <c r="M42" t="b">
        <f>L42=HIX_RatingAreas[[#This Row],[Subdivision]]</f>
        <v>1</v>
      </c>
      <c r="N42">
        <v>39</v>
      </c>
      <c r="P42" s="49" t="s">
        <v>15</v>
      </c>
      <c r="Q42" s="50" t="s">
        <v>183</v>
      </c>
      <c r="R42">
        <f>SUMIFS(HIX_RatingAreas[Silver Selections 2016],HIX_RatingAreas[State],P42,HIX_RatingAreas[Rating Area ID],Q42)</f>
        <v>450</v>
      </c>
      <c r="S42">
        <f t="shared" si="1"/>
        <v>3.2956313111339608E-4</v>
      </c>
      <c r="W42">
        <f>SUMIFS(HIX_RatingAreas[Total Plan Selections 2016],HIX_RatingAreas[State],P42,HIX_RatingAreas[Rating Area ID],Q42)</f>
        <v>543</v>
      </c>
    </row>
    <row r="43" spans="3:23">
      <c r="C43" t="s">
        <v>2</v>
      </c>
      <c r="D43" t="s">
        <v>1433</v>
      </c>
      <c r="E43" t="s">
        <v>112</v>
      </c>
      <c r="F43" s="36">
        <v>13</v>
      </c>
      <c r="G43" t="s">
        <v>918</v>
      </c>
      <c r="I43" cm="1">
        <f t="array" ref="I43">_xlfn.IFNA(INDEX(QHPSelections2016[],MATCH(1,(QHPSelections2016[State Name]=HIX_RatingAreas[[#This Row],[State Code]])*(QHPSelections2016[County Name]=HIX_RatingAreas[[#This Row],[Subdivision]]),0),MATCH("Silver",QHPSelections2016[#Headers],0)),0)</f>
        <v>475</v>
      </c>
      <c r="J43" cm="1">
        <f t="array" ref="J43">_xlfn.IFNA(INDEX(QHPSelections2016[],MATCH(1,(QHPSelections2016[State Name]=HIX_RatingAreas[[#This Row],[State Code]])*(QHPSelections2016[County Name]=HIX_RatingAreas[[#This Row],[Subdivision]]),0),MATCH("Total Plan Selections",QHPSelections2016[#Headers],0)),0)</f>
        <v>548</v>
      </c>
      <c r="L43" t="str" cm="1">
        <f t="array" ref="L43">INDEX(QHPSelections2016[],MATCH(1,(QHPSelections2016[State Name]=HIX_RatingAreas[[#This Row],[State Code]])*(QHPSelections2016[County Name]=HIX_RatingAreas[[#This Row],[Subdivision]]),0),MATCH("County Name",QHPSelections2016[#Headers],0))</f>
        <v>Conecuh County</v>
      </c>
      <c r="M43" t="b">
        <f>L43=HIX_RatingAreas[[#This Row],[Subdivision]]</f>
        <v>1</v>
      </c>
      <c r="N43">
        <v>40</v>
      </c>
      <c r="P43" s="47" t="s">
        <v>15</v>
      </c>
      <c r="Q43" s="48" t="s">
        <v>185</v>
      </c>
      <c r="R43">
        <f>SUMIFS(HIX_RatingAreas[Silver Selections 2016],HIX_RatingAreas[State],P43,HIX_RatingAreas[Rating Area ID],Q43)</f>
        <v>876</v>
      </c>
      <c r="S43">
        <f t="shared" si="1"/>
        <v>6.4154956190074441E-4</v>
      </c>
      <c r="W43">
        <f>SUMIFS(HIX_RatingAreas[Total Plan Selections 2016],HIX_RatingAreas[State],P43,HIX_RatingAreas[Rating Area ID],Q43)</f>
        <v>1137</v>
      </c>
    </row>
    <row r="44" spans="3:23">
      <c r="C44" t="s">
        <v>2</v>
      </c>
      <c r="D44" t="s">
        <v>1433</v>
      </c>
      <c r="E44" t="s">
        <v>112</v>
      </c>
      <c r="F44" s="36">
        <v>13</v>
      </c>
      <c r="G44" t="s">
        <v>925</v>
      </c>
      <c r="I44" cm="1">
        <f t="array" ref="I44">_xlfn.IFNA(INDEX(QHPSelections2016[],MATCH(1,(QHPSelections2016[State Name]=HIX_RatingAreas[[#This Row],[State Code]])*(QHPSelections2016[County Name]=HIX_RatingAreas[[#This Row],[Subdivision]]),0),MATCH("Silver",QHPSelections2016[#Headers],0)),0)</f>
        <v>341</v>
      </c>
      <c r="J44" cm="1">
        <f t="array" ref="J44">_xlfn.IFNA(INDEX(QHPSelections2016[],MATCH(1,(QHPSelections2016[State Name]=HIX_RatingAreas[[#This Row],[State Code]])*(QHPSelections2016[County Name]=HIX_RatingAreas[[#This Row],[Subdivision]]),0),MATCH("Total Plan Selections",QHPSelections2016[#Headers],0)),0)</f>
        <v>384</v>
      </c>
      <c r="L44" t="str" cm="1">
        <f t="array" ref="L44">INDEX(QHPSelections2016[],MATCH(1,(QHPSelections2016[State Name]=HIX_RatingAreas[[#This Row],[State Code]])*(QHPSelections2016[County Name]=HIX_RatingAreas[[#This Row],[Subdivision]]),0),MATCH("County Name",QHPSelections2016[#Headers],0))</f>
        <v>Coosa County</v>
      </c>
      <c r="M44" t="b">
        <f>L44=HIX_RatingAreas[[#This Row],[Subdivision]]</f>
        <v>1</v>
      </c>
      <c r="N44">
        <v>41</v>
      </c>
      <c r="P44" s="49" t="s">
        <v>15</v>
      </c>
      <c r="Q44" s="50" t="s">
        <v>187</v>
      </c>
      <c r="R44">
        <f>SUMIFS(HIX_RatingAreas[Silver Selections 2016],HIX_RatingAreas[State],P44,HIX_RatingAreas[Rating Area ID],Q44)</f>
        <v>2332</v>
      </c>
      <c r="S44">
        <f t="shared" si="1"/>
        <v>1.7078693816809771E-3</v>
      </c>
      <c r="W44">
        <f>SUMIFS(HIX_RatingAreas[Total Plan Selections 2016],HIX_RatingAreas[State],P44,HIX_RatingAreas[Rating Area ID],Q44)</f>
        <v>2641</v>
      </c>
    </row>
    <row r="45" spans="3:23">
      <c r="C45" t="s">
        <v>2</v>
      </c>
      <c r="D45" t="s">
        <v>1433</v>
      </c>
      <c r="E45" t="s">
        <v>112</v>
      </c>
      <c r="F45" s="36">
        <v>13</v>
      </c>
      <c r="G45" t="s">
        <v>910</v>
      </c>
      <c r="I45" cm="1">
        <f t="array" ref="I45">_xlfn.IFNA(INDEX(QHPSelections2016[],MATCH(1,(QHPSelections2016[State Name]=HIX_RatingAreas[[#This Row],[State Code]])*(QHPSelections2016[County Name]=HIX_RatingAreas[[#This Row],[Subdivision]]),0),MATCH("Silver",QHPSelections2016[#Headers],0)),0)</f>
        <v>1268</v>
      </c>
      <c r="J45" cm="1">
        <f t="array" ref="J45">_xlfn.IFNA(INDEX(QHPSelections2016[],MATCH(1,(QHPSelections2016[State Name]=HIX_RatingAreas[[#This Row],[State Code]])*(QHPSelections2016[County Name]=HIX_RatingAreas[[#This Row],[Subdivision]]),0),MATCH("Total Plan Selections",QHPSelections2016[#Headers],0)),0)</f>
        <v>1452</v>
      </c>
      <c r="L45" t="str" cm="1">
        <f t="array" ref="L45">INDEX(QHPSelections2016[],MATCH(1,(QHPSelections2016[State Name]=HIX_RatingAreas[[#This Row],[State Code]])*(QHPSelections2016[County Name]=HIX_RatingAreas[[#This Row],[Subdivision]]),0),MATCH("County Name",QHPSelections2016[#Headers],0))</f>
        <v>Covington County</v>
      </c>
      <c r="M45" t="b">
        <f>L45=HIX_RatingAreas[[#This Row],[Subdivision]]</f>
        <v>1</v>
      </c>
      <c r="N45">
        <v>42</v>
      </c>
      <c r="P45" s="47" t="s">
        <v>15</v>
      </c>
      <c r="Q45" s="48" t="s">
        <v>189</v>
      </c>
      <c r="R45">
        <f>SUMIFS(HIX_RatingAreas[Silver Selections 2016],HIX_RatingAreas[State],P45,HIX_RatingAreas[Rating Area ID],Q45)</f>
        <v>9962</v>
      </c>
      <c r="S45">
        <f t="shared" si="1"/>
        <v>7.295795360337004E-3</v>
      </c>
      <c r="W45">
        <f>SUMIFS(HIX_RatingAreas[Total Plan Selections 2016],HIX_RatingAreas[State],P45,HIX_RatingAreas[Rating Area ID],Q45)</f>
        <v>12035</v>
      </c>
    </row>
    <row r="46" spans="3:23">
      <c r="C46" t="s">
        <v>2</v>
      </c>
      <c r="D46" t="s">
        <v>1433</v>
      </c>
      <c r="E46" t="s">
        <v>112</v>
      </c>
      <c r="F46" s="36">
        <v>13</v>
      </c>
      <c r="G46" t="s">
        <v>934</v>
      </c>
      <c r="I46" cm="1">
        <f t="array" ref="I46">_xlfn.IFNA(INDEX(QHPSelections2016[],MATCH(1,(QHPSelections2016[State Name]=HIX_RatingAreas[[#This Row],[State Code]])*(QHPSelections2016[County Name]=HIX_RatingAreas[[#This Row],[Subdivision]]),0),MATCH("Silver",QHPSelections2016[#Headers],0)),0)</f>
        <v>500</v>
      </c>
      <c r="J46" cm="1">
        <f t="array" ref="J46">_xlfn.IFNA(INDEX(QHPSelections2016[],MATCH(1,(QHPSelections2016[State Name]=HIX_RatingAreas[[#This Row],[State Code]])*(QHPSelections2016[County Name]=HIX_RatingAreas[[#This Row],[Subdivision]]),0),MATCH("Total Plan Selections",QHPSelections2016[#Headers],0)),0)</f>
        <v>566</v>
      </c>
      <c r="L46" t="str" cm="1">
        <f t="array" ref="L46">INDEX(QHPSelections2016[],MATCH(1,(QHPSelections2016[State Name]=HIX_RatingAreas[[#This Row],[State Code]])*(QHPSelections2016[County Name]=HIX_RatingAreas[[#This Row],[Subdivision]]),0),MATCH("County Name",QHPSelections2016[#Headers],0))</f>
        <v>Crenshaw County</v>
      </c>
      <c r="M46" t="b">
        <f>L46=HIX_RatingAreas[[#This Row],[Subdivision]]</f>
        <v>1</v>
      </c>
      <c r="N46">
        <v>43</v>
      </c>
      <c r="P46" s="49" t="s">
        <v>15</v>
      </c>
      <c r="Q46" s="50" t="s">
        <v>191</v>
      </c>
      <c r="R46">
        <f>SUMIFS(HIX_RatingAreas[Silver Selections 2016],HIX_RatingAreas[State],P46,HIX_RatingAreas[Rating Area ID],Q46)</f>
        <v>4317</v>
      </c>
      <c r="S46">
        <f t="shared" si="1"/>
        <v>3.1616089711478464E-3</v>
      </c>
      <c r="W46">
        <f>SUMIFS(HIX_RatingAreas[Total Plan Selections 2016],HIX_RatingAreas[State],P46,HIX_RatingAreas[Rating Area ID],Q46)</f>
        <v>5310</v>
      </c>
    </row>
    <row r="47" spans="3:23">
      <c r="C47" t="s">
        <v>2</v>
      </c>
      <c r="D47" t="s">
        <v>1433</v>
      </c>
      <c r="E47" t="s">
        <v>112</v>
      </c>
      <c r="F47" s="36">
        <v>13</v>
      </c>
      <c r="G47" t="s">
        <v>941</v>
      </c>
      <c r="I47" cm="1">
        <f t="array" ref="I47">_xlfn.IFNA(INDEX(QHPSelections2016[],MATCH(1,(QHPSelections2016[State Name]=HIX_RatingAreas[[#This Row],[State Code]])*(QHPSelections2016[County Name]=HIX_RatingAreas[[#This Row],[Subdivision]]),0),MATCH("Silver",QHPSelections2016[#Headers],0)),0)</f>
        <v>2981</v>
      </c>
      <c r="J47" cm="1">
        <f t="array" ref="J47">_xlfn.IFNA(INDEX(QHPSelections2016[],MATCH(1,(QHPSelections2016[State Name]=HIX_RatingAreas[[#This Row],[State Code]])*(QHPSelections2016[County Name]=HIX_RatingAreas[[#This Row],[Subdivision]]),0),MATCH("Total Plan Selections",QHPSelections2016[#Headers],0)),0)</f>
        <v>3395</v>
      </c>
      <c r="L47" t="str" cm="1">
        <f t="array" ref="L47">INDEX(QHPSelections2016[],MATCH(1,(QHPSelections2016[State Name]=HIX_RatingAreas[[#This Row],[State Code]])*(QHPSelections2016[County Name]=HIX_RatingAreas[[#This Row],[Subdivision]]),0),MATCH("County Name",QHPSelections2016[#Headers],0))</f>
        <v>Cullman County</v>
      </c>
      <c r="M47" t="b">
        <f>L47=HIX_RatingAreas[[#This Row],[Subdivision]]</f>
        <v>1</v>
      </c>
      <c r="N47">
        <v>44</v>
      </c>
      <c r="P47" s="47" t="s">
        <v>15</v>
      </c>
      <c r="Q47" s="48" t="s">
        <v>193</v>
      </c>
      <c r="R47">
        <f>SUMIFS(HIX_RatingAreas[Silver Selections 2016],HIX_RatingAreas[State],P47,HIX_RatingAreas[Rating Area ID],Q47)</f>
        <v>65078</v>
      </c>
      <c r="S47">
        <f t="shared" si="1"/>
        <v>4.7660687659105756E-2</v>
      </c>
      <c r="W47">
        <f>SUMIFS(HIX_RatingAreas[Total Plan Selections 2016],HIX_RatingAreas[State],P47,HIX_RatingAreas[Rating Area ID],Q47)</f>
        <v>83941</v>
      </c>
    </row>
    <row r="48" spans="3:23">
      <c r="C48" t="s">
        <v>2</v>
      </c>
      <c r="D48" t="s">
        <v>1433</v>
      </c>
      <c r="E48" t="s">
        <v>112</v>
      </c>
      <c r="F48" s="36">
        <v>13</v>
      </c>
      <c r="G48" t="s">
        <v>946</v>
      </c>
      <c r="I48" cm="1">
        <f t="array" ref="I48">_xlfn.IFNA(INDEX(QHPSelections2016[],MATCH(1,(QHPSelections2016[State Name]=HIX_RatingAreas[[#This Row],[State Code]])*(QHPSelections2016[County Name]=HIX_RatingAreas[[#This Row],[Subdivision]]),0),MATCH("Silver",QHPSelections2016[#Headers],0)),0)</f>
        <v>1310</v>
      </c>
      <c r="J48" cm="1">
        <f t="array" ref="J48">_xlfn.IFNA(INDEX(QHPSelections2016[],MATCH(1,(QHPSelections2016[State Name]=HIX_RatingAreas[[#This Row],[State Code]])*(QHPSelections2016[County Name]=HIX_RatingAreas[[#This Row],[Subdivision]]),0),MATCH("Total Plan Selections",QHPSelections2016[#Headers],0)),0)</f>
        <v>1475</v>
      </c>
      <c r="L48" t="str" cm="1">
        <f t="array" ref="L48">INDEX(QHPSelections2016[],MATCH(1,(QHPSelections2016[State Name]=HIX_RatingAreas[[#This Row],[State Code]])*(QHPSelections2016[County Name]=HIX_RatingAreas[[#This Row],[Subdivision]]),0),MATCH("County Name",QHPSelections2016[#Headers],0))</f>
        <v>Dale County</v>
      </c>
      <c r="M48" t="b">
        <f>L48=HIX_RatingAreas[[#This Row],[Subdivision]]</f>
        <v>1</v>
      </c>
      <c r="N48">
        <v>45</v>
      </c>
      <c r="P48" s="49" t="s">
        <v>15</v>
      </c>
      <c r="Q48" s="50" t="s">
        <v>195</v>
      </c>
      <c r="R48">
        <f>SUMIFS(HIX_RatingAreas[Silver Selections 2016],HIX_RatingAreas[State],P48,HIX_RatingAreas[Rating Area ID],Q48)</f>
        <v>649</v>
      </c>
      <c r="S48">
        <f t="shared" si="1"/>
        <v>4.753032713168757E-4</v>
      </c>
      <c r="W48">
        <f>SUMIFS(HIX_RatingAreas[Total Plan Selections 2016],HIX_RatingAreas[State],P48,HIX_RatingAreas[Rating Area ID],Q48)</f>
        <v>789</v>
      </c>
    </row>
    <row r="49" spans="3:23">
      <c r="C49" t="s">
        <v>2</v>
      </c>
      <c r="D49" t="s">
        <v>1433</v>
      </c>
      <c r="E49" t="s">
        <v>112</v>
      </c>
      <c r="F49" s="36">
        <v>13</v>
      </c>
      <c r="G49" t="s">
        <v>953</v>
      </c>
      <c r="I49" cm="1">
        <f t="array" ref="I49">_xlfn.IFNA(INDEX(QHPSelections2016[],MATCH(1,(QHPSelections2016[State Name]=HIX_RatingAreas[[#This Row],[State Code]])*(QHPSelections2016[County Name]=HIX_RatingAreas[[#This Row],[Subdivision]]),0),MATCH("Silver",QHPSelections2016[#Headers],0)),0)</f>
        <v>1455</v>
      </c>
      <c r="J49" cm="1">
        <f t="array" ref="J49">_xlfn.IFNA(INDEX(QHPSelections2016[],MATCH(1,(QHPSelections2016[State Name]=HIX_RatingAreas[[#This Row],[State Code]])*(QHPSelections2016[County Name]=HIX_RatingAreas[[#This Row],[Subdivision]]),0),MATCH("Total Plan Selections",QHPSelections2016[#Headers],0)),0)</f>
        <v>1684</v>
      </c>
      <c r="L49" t="str" cm="1">
        <f t="array" ref="L49">INDEX(QHPSelections2016[],MATCH(1,(QHPSelections2016[State Name]=HIX_RatingAreas[[#This Row],[State Code]])*(QHPSelections2016[County Name]=HIX_RatingAreas[[#This Row],[Subdivision]]),0),MATCH("County Name",QHPSelections2016[#Headers],0))</f>
        <v>Dallas County</v>
      </c>
      <c r="M49" t="b">
        <f>L49=HIX_RatingAreas[[#This Row],[Subdivision]]</f>
        <v>1</v>
      </c>
      <c r="N49">
        <v>46</v>
      </c>
      <c r="P49" s="47" t="s">
        <v>15</v>
      </c>
      <c r="Q49" s="48" t="s">
        <v>197</v>
      </c>
      <c r="R49">
        <f>SUMIFS(HIX_RatingAreas[Silver Selections 2016],HIX_RatingAreas[State],P49,HIX_RatingAreas[Rating Area ID],Q49)</f>
        <v>8006</v>
      </c>
      <c r="S49">
        <f t="shared" si="1"/>
        <v>5.8632942837641092E-3</v>
      </c>
      <c r="W49">
        <f>SUMIFS(HIX_RatingAreas[Total Plan Selections 2016],HIX_RatingAreas[State],P49,HIX_RatingAreas[Rating Area ID],Q49)</f>
        <v>10396</v>
      </c>
    </row>
    <row r="50" spans="3:23">
      <c r="C50" t="s">
        <v>2</v>
      </c>
      <c r="D50" t="s">
        <v>1433</v>
      </c>
      <c r="E50" t="s">
        <v>112</v>
      </c>
      <c r="F50" s="36">
        <v>13</v>
      </c>
      <c r="G50" t="s">
        <v>939</v>
      </c>
      <c r="I50" cm="1">
        <f t="array" ref="I50">_xlfn.IFNA(INDEX(QHPSelections2016[],MATCH(1,(QHPSelections2016[State Name]=HIX_RatingAreas[[#This Row],[State Code]])*(QHPSelections2016[County Name]=HIX_RatingAreas[[#This Row],[Subdivision]]),0),MATCH("Silver",QHPSelections2016[#Headers],0)),0)</f>
        <v>2704</v>
      </c>
      <c r="J50" cm="1">
        <f t="array" ref="J50">_xlfn.IFNA(INDEX(QHPSelections2016[],MATCH(1,(QHPSelections2016[State Name]=HIX_RatingAreas[[#This Row],[State Code]])*(QHPSelections2016[County Name]=HIX_RatingAreas[[#This Row],[Subdivision]]),0),MATCH("Total Plan Selections",QHPSelections2016[#Headers],0)),0)</f>
        <v>3047</v>
      </c>
      <c r="L50" t="str" cm="1">
        <f t="array" ref="L50">INDEX(QHPSelections2016[],MATCH(1,(QHPSelections2016[State Name]=HIX_RatingAreas[[#This Row],[State Code]])*(QHPSelections2016[County Name]=HIX_RatingAreas[[#This Row],[Subdivision]]),0),MATCH("County Name",QHPSelections2016[#Headers],0))</f>
        <v>DeKalb County</v>
      </c>
      <c r="M50" t="b">
        <f>L50=HIX_RatingAreas[[#This Row],[Subdivision]]</f>
        <v>1</v>
      </c>
      <c r="N50">
        <v>47</v>
      </c>
      <c r="P50" s="49" t="s">
        <v>15</v>
      </c>
      <c r="Q50" s="50" t="s">
        <v>199</v>
      </c>
      <c r="R50">
        <f>SUMIFS(HIX_RatingAreas[Silver Selections 2016],HIX_RatingAreas[State],P50,HIX_RatingAreas[Rating Area ID],Q50)</f>
        <v>1556</v>
      </c>
      <c r="S50">
        <f t="shared" si="1"/>
        <v>1.1395560711387651E-3</v>
      </c>
      <c r="W50">
        <f>SUMIFS(HIX_RatingAreas[Total Plan Selections 2016],HIX_RatingAreas[State],P50,HIX_RatingAreas[Rating Area ID],Q50)</f>
        <v>1895</v>
      </c>
    </row>
    <row r="51" spans="3:23">
      <c r="C51" t="s">
        <v>2</v>
      </c>
      <c r="D51" t="s">
        <v>1433</v>
      </c>
      <c r="E51" t="s">
        <v>112</v>
      </c>
      <c r="F51" s="36">
        <v>13</v>
      </c>
      <c r="G51" t="s">
        <v>908</v>
      </c>
      <c r="I51" cm="1">
        <f t="array" ref="I51">_xlfn.IFNA(INDEX(QHPSelections2016[],MATCH(1,(QHPSelections2016[State Name]=HIX_RatingAreas[[#This Row],[State Code]])*(QHPSelections2016[County Name]=HIX_RatingAreas[[#This Row],[Subdivision]]),0),MATCH("Silver",QHPSelections2016[#Headers],0)),0)</f>
        <v>1023</v>
      </c>
      <c r="J51" cm="1">
        <f t="array" ref="J51">_xlfn.IFNA(INDEX(QHPSelections2016[],MATCH(1,(QHPSelections2016[State Name]=HIX_RatingAreas[[#This Row],[State Code]])*(QHPSelections2016[County Name]=HIX_RatingAreas[[#This Row],[Subdivision]]),0),MATCH("Total Plan Selections",QHPSelections2016[#Headers],0)),0)</f>
        <v>1202</v>
      </c>
      <c r="L51" t="str" cm="1">
        <f t="array" ref="L51">INDEX(QHPSelections2016[],MATCH(1,(QHPSelections2016[State Name]=HIX_RatingAreas[[#This Row],[State Code]])*(QHPSelections2016[County Name]=HIX_RatingAreas[[#This Row],[Subdivision]]),0),MATCH("County Name",QHPSelections2016[#Headers],0))</f>
        <v>Escambia County</v>
      </c>
      <c r="M51" t="b">
        <f>L51=HIX_RatingAreas[[#This Row],[Subdivision]]</f>
        <v>1</v>
      </c>
      <c r="N51">
        <v>48</v>
      </c>
      <c r="P51" s="47" t="s">
        <v>15</v>
      </c>
      <c r="Q51" s="48" t="s">
        <v>200</v>
      </c>
      <c r="R51">
        <f>SUMIFS(HIX_RatingAreas[Silver Selections 2016],HIX_RatingAreas[State],P51,HIX_RatingAreas[Rating Area ID],Q51)</f>
        <v>479</v>
      </c>
      <c r="S51">
        <f t="shared" si="1"/>
        <v>3.5080164400737052E-4</v>
      </c>
      <c r="W51">
        <f>SUMIFS(HIX_RatingAreas[Total Plan Selections 2016],HIX_RatingAreas[State],P51,HIX_RatingAreas[Rating Area ID],Q51)</f>
        <v>626</v>
      </c>
    </row>
    <row r="52" spans="3:23">
      <c r="C52" t="s">
        <v>2</v>
      </c>
      <c r="D52" t="s">
        <v>1433</v>
      </c>
      <c r="E52" t="s">
        <v>112</v>
      </c>
      <c r="F52" s="36">
        <v>13</v>
      </c>
      <c r="G52" t="s">
        <v>958</v>
      </c>
      <c r="I52" cm="1">
        <f t="array" ref="I52">_xlfn.IFNA(INDEX(QHPSelections2016[],MATCH(1,(QHPSelections2016[State Name]=HIX_RatingAreas[[#This Row],[State Code]])*(QHPSelections2016[County Name]=HIX_RatingAreas[[#This Row],[Subdivision]]),0),MATCH("Silver",QHPSelections2016[#Headers],0)),0)</f>
        <v>485</v>
      </c>
      <c r="J52" cm="1">
        <f t="array" ref="J52">_xlfn.IFNA(INDEX(QHPSelections2016[],MATCH(1,(QHPSelections2016[State Name]=HIX_RatingAreas[[#This Row],[State Code]])*(QHPSelections2016[County Name]=HIX_RatingAreas[[#This Row],[Subdivision]]),0),MATCH("Total Plan Selections",QHPSelections2016[#Headers],0)),0)</f>
        <v>577</v>
      </c>
      <c r="L52" t="str" cm="1">
        <f t="array" ref="L52">INDEX(QHPSelections2016[],MATCH(1,(QHPSelections2016[State Name]=HIX_RatingAreas[[#This Row],[State Code]])*(QHPSelections2016[County Name]=HIX_RatingAreas[[#This Row],[Subdivision]]),0),MATCH("County Name",QHPSelections2016[#Headers],0))</f>
        <v>Fayette County</v>
      </c>
      <c r="M52" t="b">
        <f>L52=HIX_RatingAreas[[#This Row],[Subdivision]]</f>
        <v>1</v>
      </c>
      <c r="N52">
        <v>49</v>
      </c>
      <c r="P52" s="49" t="s">
        <v>15</v>
      </c>
      <c r="Q52" s="50" t="s">
        <v>201</v>
      </c>
      <c r="R52">
        <f>SUMIFS(HIX_RatingAreas[Silver Selections 2016],HIX_RatingAreas[State],P52,HIX_RatingAreas[Rating Area ID],Q52)</f>
        <v>264</v>
      </c>
      <c r="S52">
        <f t="shared" si="1"/>
        <v>1.9334370358652569E-4</v>
      </c>
      <c r="W52">
        <f>SUMIFS(HIX_RatingAreas[Total Plan Selections 2016],HIX_RatingAreas[State],P52,HIX_RatingAreas[Rating Area ID],Q52)</f>
        <v>320</v>
      </c>
    </row>
    <row r="53" spans="3:23">
      <c r="C53" t="s">
        <v>2</v>
      </c>
      <c r="D53" t="s">
        <v>1433</v>
      </c>
      <c r="E53" t="s">
        <v>112</v>
      </c>
      <c r="F53" s="36">
        <v>13</v>
      </c>
      <c r="G53" t="s">
        <v>919</v>
      </c>
      <c r="I53" cm="1">
        <f t="array" ref="I53">_xlfn.IFNA(INDEX(QHPSelections2016[],MATCH(1,(QHPSelections2016[State Name]=HIX_RatingAreas[[#This Row],[State Code]])*(QHPSelections2016[County Name]=HIX_RatingAreas[[#This Row],[Subdivision]]),0),MATCH("Silver",QHPSelections2016[#Headers],0)),0)</f>
        <v>906</v>
      </c>
      <c r="J53" cm="1">
        <f t="array" ref="J53">_xlfn.IFNA(INDEX(QHPSelections2016[],MATCH(1,(QHPSelections2016[State Name]=HIX_RatingAreas[[#This Row],[State Code]])*(QHPSelections2016[County Name]=HIX_RatingAreas[[#This Row],[Subdivision]]),0),MATCH("Total Plan Selections",QHPSelections2016[#Headers],0)),0)</f>
        <v>1060</v>
      </c>
      <c r="L53" t="str" cm="1">
        <f t="array" ref="L53">INDEX(QHPSelections2016[],MATCH(1,(QHPSelections2016[State Name]=HIX_RatingAreas[[#This Row],[State Code]])*(QHPSelections2016[County Name]=HIX_RatingAreas[[#This Row],[Subdivision]]),0),MATCH("County Name",QHPSelections2016[#Headers],0))</f>
        <v>Franklin County</v>
      </c>
      <c r="M53" t="b">
        <f>L53=HIX_RatingAreas[[#This Row],[Subdivision]]</f>
        <v>1</v>
      </c>
      <c r="N53">
        <v>50</v>
      </c>
      <c r="P53" s="47" t="s">
        <v>15</v>
      </c>
      <c r="Q53" s="48" t="s">
        <v>203</v>
      </c>
      <c r="R53">
        <f>SUMIFS(HIX_RatingAreas[Silver Selections 2016],HIX_RatingAreas[State],P53,HIX_RatingAreas[Rating Area ID],Q53)</f>
        <v>17560</v>
      </c>
      <c r="S53">
        <f t="shared" si="1"/>
        <v>1.28602857385583E-2</v>
      </c>
      <c r="W53">
        <f>SUMIFS(HIX_RatingAreas[Total Plan Selections 2016],HIX_RatingAreas[State],P53,HIX_RatingAreas[Rating Area ID],Q53)</f>
        <v>22323</v>
      </c>
    </row>
    <row r="54" spans="3:23">
      <c r="C54" t="s">
        <v>2</v>
      </c>
      <c r="D54" t="s">
        <v>1433</v>
      </c>
      <c r="E54" t="s">
        <v>112</v>
      </c>
      <c r="F54" s="36">
        <v>13</v>
      </c>
      <c r="G54" t="s">
        <v>984</v>
      </c>
      <c r="I54" cm="1">
        <f t="array" ref="I54">_xlfn.IFNA(INDEX(QHPSelections2016[],MATCH(1,(QHPSelections2016[State Name]=HIX_RatingAreas[[#This Row],[State Code]])*(QHPSelections2016[County Name]=HIX_RatingAreas[[#This Row],[Subdivision]]),0),MATCH("Silver",QHPSelections2016[#Headers],0)),0)</f>
        <v>1799</v>
      </c>
      <c r="J54" cm="1">
        <f t="array" ref="J54">_xlfn.IFNA(INDEX(QHPSelections2016[],MATCH(1,(QHPSelections2016[State Name]=HIX_RatingAreas[[#This Row],[State Code]])*(QHPSelections2016[County Name]=HIX_RatingAreas[[#This Row],[Subdivision]]),0),MATCH("Total Plan Selections",QHPSelections2016[#Headers],0)),0)</f>
        <v>2077</v>
      </c>
      <c r="L54" t="str" cm="1">
        <f t="array" ref="L54">INDEX(QHPSelections2016[],MATCH(1,(QHPSelections2016[State Name]=HIX_RatingAreas[[#This Row],[State Code]])*(QHPSelections2016[County Name]=HIX_RatingAreas[[#This Row],[Subdivision]]),0),MATCH("County Name",QHPSelections2016[#Headers],0))</f>
        <v>Jackson County</v>
      </c>
      <c r="M54" t="b">
        <f>L54=HIX_RatingAreas[[#This Row],[Subdivision]]</f>
        <v>1</v>
      </c>
      <c r="N54">
        <v>51</v>
      </c>
      <c r="P54" s="49" t="s">
        <v>15</v>
      </c>
      <c r="Q54" s="50" t="s">
        <v>205</v>
      </c>
      <c r="R54">
        <f>SUMIFS(HIX_RatingAreas[Silver Selections 2016],HIX_RatingAreas[State],P54,HIX_RatingAreas[Rating Area ID],Q54)</f>
        <v>39711</v>
      </c>
      <c r="S54">
        <f t="shared" si="1"/>
        <v>2.9082847776986828E-2</v>
      </c>
      <c r="W54">
        <f>SUMIFS(HIX_RatingAreas[Total Plan Selections 2016],HIX_RatingAreas[State],P54,HIX_RatingAreas[Rating Area ID],Q54)</f>
        <v>49821</v>
      </c>
    </row>
    <row r="55" spans="3:23">
      <c r="C55" t="s">
        <v>2</v>
      </c>
      <c r="D55" t="s">
        <v>1433</v>
      </c>
      <c r="E55" t="s">
        <v>112</v>
      </c>
      <c r="F55" s="36">
        <v>13</v>
      </c>
      <c r="G55" t="s">
        <v>1020</v>
      </c>
      <c r="I55" cm="1">
        <f t="array" ref="I55">_xlfn.IFNA(INDEX(QHPSelections2016[],MATCH(1,(QHPSelections2016[State Name]=HIX_RatingAreas[[#This Row],[State Code]])*(QHPSelections2016[County Name]=HIX_RatingAreas[[#This Row],[Subdivision]]),0),MATCH("Silver",QHPSelections2016[#Headers],0)),0)</f>
        <v>454</v>
      </c>
      <c r="J55" cm="1">
        <f t="array" ref="J55">_xlfn.IFNA(INDEX(QHPSelections2016[],MATCH(1,(QHPSelections2016[State Name]=HIX_RatingAreas[[#This Row],[State Code]])*(QHPSelections2016[County Name]=HIX_RatingAreas[[#This Row],[Subdivision]]),0),MATCH("Total Plan Selections",QHPSelections2016[#Headers],0)),0)</f>
        <v>507</v>
      </c>
      <c r="L55" t="str" cm="1">
        <f t="array" ref="L55">INDEX(QHPSelections2016[],MATCH(1,(QHPSelections2016[State Name]=HIX_RatingAreas[[#This Row],[State Code]])*(QHPSelections2016[County Name]=HIX_RatingAreas[[#This Row],[Subdivision]]),0),MATCH("County Name",QHPSelections2016[#Headers],0))</f>
        <v>Lamar County</v>
      </c>
      <c r="M55" t="b">
        <f>L55=HIX_RatingAreas[[#This Row],[Subdivision]]</f>
        <v>1</v>
      </c>
      <c r="N55">
        <v>52</v>
      </c>
      <c r="P55" s="47" t="s">
        <v>15</v>
      </c>
      <c r="Q55" s="48" t="s">
        <v>206</v>
      </c>
      <c r="R55">
        <f>SUMIFS(HIX_RatingAreas[Silver Selections 2016],HIX_RatingAreas[State],P55,HIX_RatingAreas[Rating Area ID],Q55)</f>
        <v>9601</v>
      </c>
      <c r="S55">
        <f t="shared" si="1"/>
        <v>7.0314124929327015E-3</v>
      </c>
      <c r="W55">
        <f>SUMIFS(HIX_RatingAreas[Total Plan Selections 2016],HIX_RatingAreas[State],P55,HIX_RatingAreas[Rating Area ID],Q55)</f>
        <v>12296</v>
      </c>
    </row>
    <row r="56" spans="3:23">
      <c r="C56" t="s">
        <v>2</v>
      </c>
      <c r="D56" t="s">
        <v>1433</v>
      </c>
      <c r="E56" t="s">
        <v>112</v>
      </c>
      <c r="F56" s="36">
        <v>13</v>
      </c>
      <c r="G56" t="s">
        <v>1054</v>
      </c>
      <c r="I56" cm="1">
        <f t="array" ref="I56">_xlfn.IFNA(INDEX(QHPSelections2016[],MATCH(1,(QHPSelections2016[State Name]=HIX_RatingAreas[[#This Row],[State Code]])*(QHPSelections2016[County Name]=HIX_RatingAreas[[#This Row],[Subdivision]]),0),MATCH("Silver",QHPSelections2016[#Headers],0)),0)</f>
        <v>602</v>
      </c>
      <c r="J56" cm="1">
        <f t="array" ref="J56">_xlfn.IFNA(INDEX(QHPSelections2016[],MATCH(1,(QHPSelections2016[State Name]=HIX_RatingAreas[[#This Row],[State Code]])*(QHPSelections2016[County Name]=HIX_RatingAreas[[#This Row],[Subdivision]]),0),MATCH("Total Plan Selections",QHPSelections2016[#Headers],0)),0)</f>
        <v>709</v>
      </c>
      <c r="L56" t="str" cm="1">
        <f t="array" ref="L56">INDEX(QHPSelections2016[],MATCH(1,(QHPSelections2016[State Name]=HIX_RatingAreas[[#This Row],[State Code]])*(QHPSelections2016[County Name]=HIX_RatingAreas[[#This Row],[Subdivision]]),0),MATCH("County Name",QHPSelections2016[#Headers],0))</f>
        <v>Macon County</v>
      </c>
      <c r="M56" t="b">
        <f>L56=HIX_RatingAreas[[#This Row],[Subdivision]]</f>
        <v>1</v>
      </c>
      <c r="N56">
        <v>53</v>
      </c>
      <c r="P56" s="49" t="s">
        <v>15</v>
      </c>
      <c r="Q56" s="50" t="s">
        <v>208</v>
      </c>
      <c r="R56">
        <f>SUMIFS(HIX_RatingAreas[Silver Selections 2016],HIX_RatingAreas[State],P56,HIX_RatingAreas[Rating Area ID],Q56)</f>
        <v>1902</v>
      </c>
      <c r="S56">
        <f t="shared" si="1"/>
        <v>1.3929535008392875E-3</v>
      </c>
      <c r="W56">
        <f>SUMIFS(HIX_RatingAreas[Total Plan Selections 2016],HIX_RatingAreas[State],P56,HIX_RatingAreas[Rating Area ID],Q56)</f>
        <v>2353</v>
      </c>
    </row>
    <row r="57" spans="3:23">
      <c r="C57" t="s">
        <v>2</v>
      </c>
      <c r="D57" t="s">
        <v>1433</v>
      </c>
      <c r="E57" t="s">
        <v>112</v>
      </c>
      <c r="F57" s="36">
        <v>13</v>
      </c>
      <c r="G57" t="s">
        <v>1060</v>
      </c>
      <c r="I57" cm="1">
        <f t="array" ref="I57">_xlfn.IFNA(INDEX(QHPSelections2016[],MATCH(1,(QHPSelections2016[State Name]=HIX_RatingAreas[[#This Row],[State Code]])*(QHPSelections2016[County Name]=HIX_RatingAreas[[#This Row],[Subdivision]]),0),MATCH("Silver",QHPSelections2016[#Headers],0)),0)</f>
        <v>670</v>
      </c>
      <c r="J57" cm="1">
        <f t="array" ref="J57">_xlfn.IFNA(INDEX(QHPSelections2016[],MATCH(1,(QHPSelections2016[State Name]=HIX_RatingAreas[[#This Row],[State Code]])*(QHPSelections2016[County Name]=HIX_RatingAreas[[#This Row],[Subdivision]]),0),MATCH("Total Plan Selections",QHPSelections2016[#Headers],0)),0)</f>
        <v>784</v>
      </c>
      <c r="L57" t="str" cm="1">
        <f t="array" ref="L57">INDEX(QHPSelections2016[],MATCH(1,(QHPSelections2016[State Name]=HIX_RatingAreas[[#This Row],[State Code]])*(QHPSelections2016[County Name]=HIX_RatingAreas[[#This Row],[Subdivision]]),0),MATCH("County Name",QHPSelections2016[#Headers],0))</f>
        <v>Marengo County</v>
      </c>
      <c r="M57" t="b">
        <f>L57=HIX_RatingAreas[[#This Row],[Subdivision]]</f>
        <v>1</v>
      </c>
      <c r="N57">
        <v>54</v>
      </c>
      <c r="P57" s="47" t="s">
        <v>15</v>
      </c>
      <c r="Q57" s="48" t="s">
        <v>210</v>
      </c>
      <c r="R57">
        <f>SUMIFS(HIX_RatingAreas[Silver Selections 2016],HIX_RatingAreas[State],P57,HIX_RatingAreas[Rating Area ID],Q57)</f>
        <v>165</v>
      </c>
      <c r="S57">
        <f t="shared" si="1"/>
        <v>1.2083981474157856E-4</v>
      </c>
      <c r="W57">
        <f>SUMIFS(HIX_RatingAreas[Total Plan Selections 2016],HIX_RatingAreas[State],P57,HIX_RatingAreas[Rating Area ID],Q57)</f>
        <v>195</v>
      </c>
    </row>
    <row r="58" spans="3:23">
      <c r="C58" t="s">
        <v>2</v>
      </c>
      <c r="D58" t="s">
        <v>1433</v>
      </c>
      <c r="E58" t="s">
        <v>112</v>
      </c>
      <c r="F58" s="36">
        <v>13</v>
      </c>
      <c r="G58" t="s">
        <v>1038</v>
      </c>
      <c r="I58" cm="1">
        <f t="array" ref="I58">_xlfn.IFNA(INDEX(QHPSelections2016[],MATCH(1,(QHPSelections2016[State Name]=HIX_RatingAreas[[#This Row],[State Code]])*(QHPSelections2016[County Name]=HIX_RatingAreas[[#This Row],[Subdivision]]),0),MATCH("Silver",QHPSelections2016[#Headers],0)),0)</f>
        <v>1038</v>
      </c>
      <c r="J58" cm="1">
        <f t="array" ref="J58">_xlfn.IFNA(INDEX(QHPSelections2016[],MATCH(1,(QHPSelections2016[State Name]=HIX_RatingAreas[[#This Row],[State Code]])*(QHPSelections2016[County Name]=HIX_RatingAreas[[#This Row],[Subdivision]]),0),MATCH("Total Plan Selections",QHPSelections2016[#Headers],0)),0)</f>
        <v>1152</v>
      </c>
      <c r="L58" t="str" cm="1">
        <f t="array" ref="L58">INDEX(QHPSelections2016[],MATCH(1,(QHPSelections2016[State Name]=HIX_RatingAreas[[#This Row],[State Code]])*(QHPSelections2016[County Name]=HIX_RatingAreas[[#This Row],[Subdivision]]),0),MATCH("County Name",QHPSelections2016[#Headers],0))</f>
        <v>Marion County</v>
      </c>
      <c r="M58" t="b">
        <f>L58=HIX_RatingAreas[[#This Row],[Subdivision]]</f>
        <v>1</v>
      </c>
      <c r="N58">
        <v>55</v>
      </c>
      <c r="P58" s="49" t="s">
        <v>15</v>
      </c>
      <c r="Q58" s="50" t="s">
        <v>212</v>
      </c>
      <c r="R58">
        <f>SUMIFS(HIX_RatingAreas[Silver Selections 2016],HIX_RatingAreas[State],P58,HIX_RatingAreas[Rating Area ID],Q58)</f>
        <v>674</v>
      </c>
      <c r="S58">
        <f t="shared" si="1"/>
        <v>4.9361233415650882E-4</v>
      </c>
      <c r="W58">
        <f>SUMIFS(HIX_RatingAreas[Total Plan Selections 2016],HIX_RatingAreas[State],P58,HIX_RatingAreas[Rating Area ID],Q58)</f>
        <v>820</v>
      </c>
    </row>
    <row r="59" spans="3:23">
      <c r="C59" t="s">
        <v>2</v>
      </c>
      <c r="D59" t="s">
        <v>1433</v>
      </c>
      <c r="E59" t="s">
        <v>112</v>
      </c>
      <c r="F59" s="36">
        <v>13</v>
      </c>
      <c r="G59" t="s">
        <v>1068</v>
      </c>
      <c r="I59" cm="1">
        <f t="array" ref="I59">_xlfn.IFNA(INDEX(QHPSelections2016[],MATCH(1,(QHPSelections2016[State Name]=HIX_RatingAreas[[#This Row],[State Code]])*(QHPSelections2016[County Name]=HIX_RatingAreas[[#This Row],[Subdivision]]),0),MATCH("Silver",QHPSelections2016[#Headers],0)),0)</f>
        <v>3355</v>
      </c>
      <c r="J59" cm="1">
        <f t="array" ref="J59">_xlfn.IFNA(INDEX(QHPSelections2016[],MATCH(1,(QHPSelections2016[State Name]=HIX_RatingAreas[[#This Row],[State Code]])*(QHPSelections2016[County Name]=HIX_RatingAreas[[#This Row],[Subdivision]]),0),MATCH("Total Plan Selections",QHPSelections2016[#Headers],0)),0)</f>
        <v>3818</v>
      </c>
      <c r="L59" t="str" cm="1">
        <f t="array" ref="L59">INDEX(QHPSelections2016[],MATCH(1,(QHPSelections2016[State Name]=HIX_RatingAreas[[#This Row],[State Code]])*(QHPSelections2016[County Name]=HIX_RatingAreas[[#This Row],[Subdivision]]),0),MATCH("County Name",QHPSelections2016[#Headers],0))</f>
        <v>Marshall County</v>
      </c>
      <c r="M59" t="b">
        <f>L59=HIX_RatingAreas[[#This Row],[Subdivision]]</f>
        <v>1</v>
      </c>
      <c r="N59">
        <v>56</v>
      </c>
      <c r="P59" s="47" t="s">
        <v>15</v>
      </c>
      <c r="Q59" s="48" t="s">
        <v>213</v>
      </c>
      <c r="R59">
        <f>SUMIFS(HIX_RatingAreas[Silver Selections 2016],HIX_RatingAreas[State],P59,HIX_RatingAreas[Rating Area ID],Q59)</f>
        <v>15266</v>
      </c>
      <c r="S59">
        <f t="shared" si="1"/>
        <v>1.1180246132393566E-2</v>
      </c>
      <c r="W59">
        <f>SUMIFS(HIX_RatingAreas[Total Plan Selections 2016],HIX_RatingAreas[State],P59,HIX_RatingAreas[Rating Area ID],Q59)</f>
        <v>21324</v>
      </c>
    </row>
    <row r="60" spans="3:23">
      <c r="C60" t="s">
        <v>2</v>
      </c>
      <c r="D60" t="s">
        <v>1433</v>
      </c>
      <c r="E60" t="s">
        <v>112</v>
      </c>
      <c r="F60" s="36">
        <v>13</v>
      </c>
      <c r="G60" t="s">
        <v>1055</v>
      </c>
      <c r="I60" cm="1">
        <f t="array" ref="I60">_xlfn.IFNA(INDEX(QHPSelections2016[],MATCH(1,(QHPSelections2016[State Name]=HIX_RatingAreas[[#This Row],[State Code]])*(QHPSelections2016[County Name]=HIX_RatingAreas[[#This Row],[Subdivision]]),0),MATCH("Silver",QHPSelections2016[#Headers],0)),0)</f>
        <v>934</v>
      </c>
      <c r="J60" cm="1">
        <f t="array" ref="J60">_xlfn.IFNA(INDEX(QHPSelections2016[],MATCH(1,(QHPSelections2016[State Name]=HIX_RatingAreas[[#This Row],[State Code]])*(QHPSelections2016[County Name]=HIX_RatingAreas[[#This Row],[Subdivision]]),0),MATCH("Total Plan Selections",QHPSelections2016[#Headers],0)),0)</f>
        <v>1035</v>
      </c>
      <c r="L60" t="str" cm="1">
        <f t="array" ref="L60">INDEX(QHPSelections2016[],MATCH(1,(QHPSelections2016[State Name]=HIX_RatingAreas[[#This Row],[State Code]])*(QHPSelections2016[County Name]=HIX_RatingAreas[[#This Row],[Subdivision]]),0),MATCH("County Name",QHPSelections2016[#Headers],0))</f>
        <v>Monroe County</v>
      </c>
      <c r="M60" t="b">
        <f>L60=HIX_RatingAreas[[#This Row],[Subdivision]]</f>
        <v>1</v>
      </c>
      <c r="N60">
        <v>57</v>
      </c>
      <c r="P60" s="49" t="s">
        <v>15</v>
      </c>
      <c r="Q60" s="50" t="s">
        <v>215</v>
      </c>
      <c r="R60">
        <f>SUMIFS(HIX_RatingAreas[Silver Selections 2016],HIX_RatingAreas[State],P60,HIX_RatingAreas[Rating Area ID],Q60)</f>
        <v>18167</v>
      </c>
      <c r="S60">
        <f t="shared" si="1"/>
        <v>1.3304829784304592E-2</v>
      </c>
      <c r="W60">
        <f>SUMIFS(HIX_RatingAreas[Total Plan Selections 2016],HIX_RatingAreas[State],P60,HIX_RatingAreas[Rating Area ID],Q60)</f>
        <v>22270</v>
      </c>
    </row>
    <row r="61" spans="3:23">
      <c r="C61" t="s">
        <v>2</v>
      </c>
      <c r="D61" t="s">
        <v>1433</v>
      </c>
      <c r="E61" t="s">
        <v>112</v>
      </c>
      <c r="F61" s="36">
        <v>13</v>
      </c>
      <c r="G61" t="s">
        <v>1097</v>
      </c>
      <c r="I61" cm="1">
        <f t="array" ref="I61">_xlfn.IFNA(INDEX(QHPSelections2016[],MATCH(1,(QHPSelections2016[State Name]=HIX_RatingAreas[[#This Row],[State Code]])*(QHPSelections2016[County Name]=HIX_RatingAreas[[#This Row],[Subdivision]]),0),MATCH("Silver",QHPSelections2016[#Headers],0)),0)</f>
        <v>301</v>
      </c>
      <c r="J61" cm="1">
        <f t="array" ref="J61">_xlfn.IFNA(INDEX(QHPSelections2016[],MATCH(1,(QHPSelections2016[State Name]=HIX_RatingAreas[[#This Row],[State Code]])*(QHPSelections2016[County Name]=HIX_RatingAreas[[#This Row],[Subdivision]]),0),MATCH("Total Plan Selections",QHPSelections2016[#Headers],0)),0)</f>
        <v>344</v>
      </c>
      <c r="L61" t="str" cm="1">
        <f t="array" ref="L61">INDEX(QHPSelections2016[],MATCH(1,(QHPSelections2016[State Name]=HIX_RatingAreas[[#This Row],[State Code]])*(QHPSelections2016[County Name]=HIX_RatingAreas[[#This Row],[Subdivision]]),0),MATCH("County Name",QHPSelections2016[#Headers],0))</f>
        <v>Perry County</v>
      </c>
      <c r="M61" t="b">
        <f>L61=HIX_RatingAreas[[#This Row],[Subdivision]]</f>
        <v>1</v>
      </c>
      <c r="N61">
        <v>58</v>
      </c>
      <c r="P61" s="47" t="s">
        <v>15</v>
      </c>
      <c r="Q61" s="48" t="s">
        <v>216</v>
      </c>
      <c r="R61">
        <f>SUMIFS(HIX_RatingAreas[Silver Selections 2016],HIX_RatingAreas[State],P61,HIX_RatingAreas[Rating Area ID],Q61)</f>
        <v>8756</v>
      </c>
      <c r="S61">
        <f t="shared" si="1"/>
        <v>6.4125661689531021E-3</v>
      </c>
      <c r="W61">
        <f>SUMIFS(HIX_RatingAreas[Total Plan Selections 2016],HIX_RatingAreas[State],P61,HIX_RatingAreas[Rating Area ID],Q61)</f>
        <v>11903</v>
      </c>
    </row>
    <row r="62" spans="3:23">
      <c r="C62" t="s">
        <v>2</v>
      </c>
      <c r="D62" t="s">
        <v>1433</v>
      </c>
      <c r="E62" t="s">
        <v>112</v>
      </c>
      <c r="F62" s="36">
        <v>13</v>
      </c>
      <c r="G62" t="s">
        <v>1102</v>
      </c>
      <c r="I62" cm="1">
        <f t="array" ref="I62">_xlfn.IFNA(INDEX(QHPSelections2016[],MATCH(1,(QHPSelections2016[State Name]=HIX_RatingAreas[[#This Row],[State Code]])*(QHPSelections2016[County Name]=HIX_RatingAreas[[#This Row],[Subdivision]]),0),MATCH("Silver",QHPSelections2016[#Headers],0)),0)</f>
        <v>557</v>
      </c>
      <c r="J62" cm="1">
        <f t="array" ref="J62">_xlfn.IFNA(INDEX(QHPSelections2016[],MATCH(1,(QHPSelections2016[State Name]=HIX_RatingAreas[[#This Row],[State Code]])*(QHPSelections2016[County Name]=HIX_RatingAreas[[#This Row],[Subdivision]]),0),MATCH("Total Plan Selections",QHPSelections2016[#Headers],0)),0)</f>
        <v>633</v>
      </c>
      <c r="L62" t="str" cm="1">
        <f t="array" ref="L62">INDEX(QHPSelections2016[],MATCH(1,(QHPSelections2016[State Name]=HIX_RatingAreas[[#This Row],[State Code]])*(QHPSelections2016[County Name]=HIX_RatingAreas[[#This Row],[Subdivision]]),0),MATCH("County Name",QHPSelections2016[#Headers],0))</f>
        <v>Pickens County</v>
      </c>
      <c r="M62" t="b">
        <f>L62=HIX_RatingAreas[[#This Row],[Subdivision]]</f>
        <v>1</v>
      </c>
      <c r="N62">
        <v>59</v>
      </c>
      <c r="P62" s="49" t="s">
        <v>15</v>
      </c>
      <c r="Q62" s="50" t="s">
        <v>218</v>
      </c>
      <c r="R62">
        <f>SUMIFS(HIX_RatingAreas[Silver Selections 2016],HIX_RatingAreas[State],P62,HIX_RatingAreas[Rating Area ID],Q62)</f>
        <v>311075</v>
      </c>
      <c r="S62">
        <f t="shared" si="1"/>
        <v>0.22781966891355485</v>
      </c>
      <c r="W62">
        <f>SUMIFS(HIX_RatingAreas[Total Plan Selections 2016],HIX_RatingAreas[State],P62,HIX_RatingAreas[Rating Area ID],Q62)</f>
        <v>392901</v>
      </c>
    </row>
    <row r="63" spans="3:23">
      <c r="C63" t="s">
        <v>2</v>
      </c>
      <c r="D63" t="s">
        <v>1433</v>
      </c>
      <c r="E63" t="s">
        <v>112</v>
      </c>
      <c r="F63" s="36">
        <v>13</v>
      </c>
      <c r="G63" t="s">
        <v>1109</v>
      </c>
      <c r="I63" cm="1">
        <f t="array" ref="I63">_xlfn.IFNA(INDEX(QHPSelections2016[],MATCH(1,(QHPSelections2016[State Name]=HIX_RatingAreas[[#This Row],[State Code]])*(QHPSelections2016[County Name]=HIX_RatingAreas[[#This Row],[Subdivision]]),0),MATCH("Silver",QHPSelections2016[#Headers],0)),0)</f>
        <v>863</v>
      </c>
      <c r="J63" cm="1">
        <f t="array" ref="J63">_xlfn.IFNA(INDEX(QHPSelections2016[],MATCH(1,(QHPSelections2016[State Name]=HIX_RatingAreas[[#This Row],[State Code]])*(QHPSelections2016[County Name]=HIX_RatingAreas[[#This Row],[Subdivision]]),0),MATCH("Total Plan Selections",QHPSelections2016[#Headers],0)),0)</f>
        <v>1014</v>
      </c>
      <c r="L63" t="str" cm="1">
        <f t="array" ref="L63">INDEX(QHPSelections2016[],MATCH(1,(QHPSelections2016[State Name]=HIX_RatingAreas[[#This Row],[State Code]])*(QHPSelections2016[County Name]=HIX_RatingAreas[[#This Row],[Subdivision]]),0),MATCH("County Name",QHPSelections2016[#Headers],0))</f>
        <v>Pike County</v>
      </c>
      <c r="M63" t="b">
        <f>L63=HIX_RatingAreas[[#This Row],[Subdivision]]</f>
        <v>1</v>
      </c>
      <c r="N63">
        <v>60</v>
      </c>
      <c r="P63" s="47" t="s">
        <v>15</v>
      </c>
      <c r="Q63" s="48" t="s">
        <v>220</v>
      </c>
      <c r="R63">
        <f>SUMIFS(HIX_RatingAreas[Silver Selections 2016],HIX_RatingAreas[State],P63,HIX_RatingAreas[Rating Area ID],Q63)</f>
        <v>5013</v>
      </c>
      <c r="S63">
        <f t="shared" si="1"/>
        <v>3.6713332806032322E-3</v>
      </c>
      <c r="W63">
        <f>SUMIFS(HIX_RatingAreas[Total Plan Selections 2016],HIX_RatingAreas[State],P63,HIX_RatingAreas[Rating Area ID],Q63)</f>
        <v>7149</v>
      </c>
    </row>
    <row r="64" spans="3:23">
      <c r="C64" t="s">
        <v>2</v>
      </c>
      <c r="D64" t="s">
        <v>1433</v>
      </c>
      <c r="E64" t="s">
        <v>112</v>
      </c>
      <c r="F64" s="36">
        <v>13</v>
      </c>
      <c r="G64" t="s">
        <v>1115</v>
      </c>
      <c r="I64" cm="1">
        <f t="array" ref="I64">_xlfn.IFNA(INDEX(QHPSelections2016[],MATCH(1,(QHPSelections2016[State Name]=HIX_RatingAreas[[#This Row],[State Code]])*(QHPSelections2016[County Name]=HIX_RatingAreas[[#This Row],[Subdivision]]),0),MATCH("Silver",QHPSelections2016[#Headers],0)),0)</f>
        <v>769</v>
      </c>
      <c r="J64" cm="1">
        <f t="array" ref="J64">_xlfn.IFNA(INDEX(QHPSelections2016[],MATCH(1,(QHPSelections2016[State Name]=HIX_RatingAreas[[#This Row],[State Code]])*(QHPSelections2016[County Name]=HIX_RatingAreas[[#This Row],[Subdivision]]),0),MATCH("Total Plan Selections",QHPSelections2016[#Headers],0)),0)</f>
        <v>843</v>
      </c>
      <c r="L64" t="str" cm="1">
        <f t="array" ref="L64">INDEX(QHPSelections2016[],MATCH(1,(QHPSelections2016[State Name]=HIX_RatingAreas[[#This Row],[State Code]])*(QHPSelections2016[County Name]=HIX_RatingAreas[[#This Row],[Subdivision]]),0),MATCH("County Name",QHPSelections2016[#Headers],0))</f>
        <v>Randolph County</v>
      </c>
      <c r="M64" t="b">
        <f>L64=HIX_RatingAreas[[#This Row],[Subdivision]]</f>
        <v>1</v>
      </c>
      <c r="N64">
        <v>61</v>
      </c>
      <c r="P64" s="49" t="s">
        <v>15</v>
      </c>
      <c r="Q64" s="50" t="s">
        <v>221</v>
      </c>
      <c r="R64">
        <f>SUMIFS(HIX_RatingAreas[Silver Selections 2016],HIX_RatingAreas[State],P64,HIX_RatingAreas[Rating Area ID],Q64)</f>
        <v>3220</v>
      </c>
      <c r="S64">
        <f t="shared" si="1"/>
        <v>2.3582072937447453E-3</v>
      </c>
      <c r="W64">
        <f>SUMIFS(HIX_RatingAreas[Total Plan Selections 2016],HIX_RatingAreas[State],P64,HIX_RatingAreas[Rating Area ID],Q64)</f>
        <v>4210</v>
      </c>
    </row>
    <row r="65" spans="3:23">
      <c r="C65" t="s">
        <v>2</v>
      </c>
      <c r="D65" t="s">
        <v>1433</v>
      </c>
      <c r="E65" t="s">
        <v>112</v>
      </c>
      <c r="F65" s="36">
        <v>13</v>
      </c>
      <c r="G65" t="s">
        <v>1130</v>
      </c>
      <c r="I65" cm="1">
        <f t="array" ref="I65">_xlfn.IFNA(INDEX(QHPSelections2016[],MATCH(1,(QHPSelections2016[State Name]=HIX_RatingAreas[[#This Row],[State Code]])*(QHPSelections2016[County Name]=HIX_RatingAreas[[#This Row],[Subdivision]]),0),MATCH("Silver",QHPSelections2016[#Headers],0)),0)</f>
        <v>422</v>
      </c>
      <c r="J65" cm="1">
        <f t="array" ref="J65">_xlfn.IFNA(INDEX(QHPSelections2016[],MATCH(1,(QHPSelections2016[State Name]=HIX_RatingAreas[[#This Row],[State Code]])*(QHPSelections2016[County Name]=HIX_RatingAreas[[#This Row],[Subdivision]]),0),MATCH("Total Plan Selections",QHPSelections2016[#Headers],0)),0)</f>
        <v>475</v>
      </c>
      <c r="L65" t="str" cm="1">
        <f t="array" ref="L65">INDEX(QHPSelections2016[],MATCH(1,(QHPSelections2016[State Name]=HIX_RatingAreas[[#This Row],[State Code]])*(QHPSelections2016[County Name]=HIX_RatingAreas[[#This Row],[Subdivision]]),0),MATCH("County Name",QHPSelections2016[#Headers],0))</f>
        <v>Sumter County</v>
      </c>
      <c r="M65" t="b">
        <f>L65=HIX_RatingAreas[[#This Row],[Subdivision]]</f>
        <v>1</v>
      </c>
      <c r="N65">
        <v>62</v>
      </c>
      <c r="P65" s="47" t="s">
        <v>15</v>
      </c>
      <c r="Q65" s="48" t="s">
        <v>223</v>
      </c>
      <c r="R65">
        <f>SUMIFS(HIX_RatingAreas[Silver Selections 2016],HIX_RatingAreas[State],P65,HIX_RatingAreas[Rating Area ID],Q65)</f>
        <v>7300</v>
      </c>
      <c r="S65">
        <f t="shared" si="1"/>
        <v>5.3462463491728701E-3</v>
      </c>
      <c r="W65">
        <f>SUMIFS(HIX_RatingAreas[Total Plan Selections 2016],HIX_RatingAreas[State],P65,HIX_RatingAreas[Rating Area ID],Q65)</f>
        <v>9368</v>
      </c>
    </row>
    <row r="66" spans="3:23">
      <c r="C66" t="s">
        <v>2</v>
      </c>
      <c r="D66" t="s">
        <v>1433</v>
      </c>
      <c r="E66" t="s">
        <v>112</v>
      </c>
      <c r="F66" s="36">
        <v>13</v>
      </c>
      <c r="G66" t="s">
        <v>1136</v>
      </c>
      <c r="I66" cm="1">
        <f t="array" ref="I66">_xlfn.IFNA(INDEX(QHPSelections2016[],MATCH(1,(QHPSelections2016[State Name]=HIX_RatingAreas[[#This Row],[State Code]])*(QHPSelections2016[County Name]=HIX_RatingAreas[[#This Row],[Subdivision]]),0),MATCH("Silver",QHPSelections2016[#Headers],0)),0)</f>
        <v>2206</v>
      </c>
      <c r="J66" cm="1">
        <f t="array" ref="J66">_xlfn.IFNA(INDEX(QHPSelections2016[],MATCH(1,(QHPSelections2016[State Name]=HIX_RatingAreas[[#This Row],[State Code]])*(QHPSelections2016[County Name]=HIX_RatingAreas[[#This Row],[Subdivision]]),0),MATCH("Total Plan Selections",QHPSelections2016[#Headers],0)),0)</f>
        <v>2571</v>
      </c>
      <c r="L66" t="str" cm="1">
        <f t="array" ref="L66">INDEX(QHPSelections2016[],MATCH(1,(QHPSelections2016[State Name]=HIX_RatingAreas[[#This Row],[State Code]])*(QHPSelections2016[County Name]=HIX_RatingAreas[[#This Row],[Subdivision]]),0),MATCH("County Name",QHPSelections2016[#Headers],0))</f>
        <v>Talladega County</v>
      </c>
      <c r="M66" t="b">
        <f>L66=HIX_RatingAreas[[#This Row],[Subdivision]]</f>
        <v>1</v>
      </c>
      <c r="N66">
        <v>63</v>
      </c>
      <c r="P66" s="49" t="s">
        <v>15</v>
      </c>
      <c r="Q66" s="50" t="s">
        <v>225</v>
      </c>
      <c r="R66">
        <f>SUMIFS(HIX_RatingAreas[Silver Selections 2016],HIX_RatingAreas[State],P66,HIX_RatingAreas[Rating Area ID],Q66)</f>
        <v>1492</v>
      </c>
      <c r="S66">
        <f t="shared" si="1"/>
        <v>1.0926848702693043E-3</v>
      </c>
      <c r="W66">
        <f>SUMIFS(HIX_RatingAreas[Total Plan Selections 2016],HIX_RatingAreas[State],P66,HIX_RatingAreas[Rating Area ID],Q66)</f>
        <v>1801</v>
      </c>
    </row>
    <row r="67" spans="3:23">
      <c r="C67" t="s">
        <v>2</v>
      </c>
      <c r="D67" t="s">
        <v>1433</v>
      </c>
      <c r="E67" t="s">
        <v>112</v>
      </c>
      <c r="F67" s="36">
        <v>13</v>
      </c>
      <c r="G67" t="s">
        <v>1143</v>
      </c>
      <c r="I67" cm="1">
        <f t="array" ref="I67">_xlfn.IFNA(INDEX(QHPSelections2016[],MATCH(1,(QHPSelections2016[State Name]=HIX_RatingAreas[[#This Row],[State Code]])*(QHPSelections2016[County Name]=HIX_RatingAreas[[#This Row],[Subdivision]]),0),MATCH("Silver",QHPSelections2016[#Headers],0)),0)</f>
        <v>1383</v>
      </c>
      <c r="J67" cm="1">
        <f t="array" ref="J67">_xlfn.IFNA(INDEX(QHPSelections2016[],MATCH(1,(QHPSelections2016[State Name]=HIX_RatingAreas[[#This Row],[State Code]])*(QHPSelections2016[County Name]=HIX_RatingAreas[[#This Row],[Subdivision]]),0),MATCH("Total Plan Selections",QHPSelections2016[#Headers],0)),0)</f>
        <v>1596</v>
      </c>
      <c r="L67" t="str" cm="1">
        <f t="array" ref="L67">INDEX(QHPSelections2016[],MATCH(1,(QHPSelections2016[State Name]=HIX_RatingAreas[[#This Row],[State Code]])*(QHPSelections2016[County Name]=HIX_RatingAreas[[#This Row],[Subdivision]]),0),MATCH("County Name",QHPSelections2016[#Headers],0))</f>
        <v>Tallapoosa County</v>
      </c>
      <c r="M67" t="b">
        <f>L67=HIX_RatingAreas[[#This Row],[Subdivision]]</f>
        <v>1</v>
      </c>
      <c r="N67">
        <v>64</v>
      </c>
      <c r="P67" s="47" t="s">
        <v>15</v>
      </c>
      <c r="Q67" s="48" t="s">
        <v>227</v>
      </c>
      <c r="R67">
        <f>SUMIFS(HIX_RatingAreas[Silver Selections 2016],HIX_RatingAreas[State],P67,HIX_RatingAreas[Rating Area ID],Q67)</f>
        <v>99478</v>
      </c>
      <c r="S67">
        <f t="shared" si="1"/>
        <v>7.2853958126440924E-2</v>
      </c>
      <c r="W67">
        <f>SUMIFS(HIX_RatingAreas[Total Plan Selections 2016],HIX_RatingAreas[State],P67,HIX_RatingAreas[Rating Area ID],Q67)</f>
        <v>120913</v>
      </c>
    </row>
    <row r="68" spans="3:23">
      <c r="C68" t="s">
        <v>2</v>
      </c>
      <c r="D68" t="s">
        <v>1433</v>
      </c>
      <c r="E68" t="s">
        <v>112</v>
      </c>
      <c r="F68" s="36">
        <v>13</v>
      </c>
      <c r="G68" t="s">
        <v>1160</v>
      </c>
      <c r="I68" cm="1">
        <f t="array" ref="I68">_xlfn.IFNA(INDEX(QHPSelections2016[],MATCH(1,(QHPSelections2016[State Name]=HIX_RatingAreas[[#This Row],[State Code]])*(QHPSelections2016[County Name]=HIX_RatingAreas[[#This Row],[Subdivision]]),0),MATCH("Silver",QHPSelections2016[#Headers],0)),0)</f>
        <v>548</v>
      </c>
      <c r="J68" cm="1">
        <f t="array" ref="J68">_xlfn.IFNA(INDEX(QHPSelections2016[],MATCH(1,(QHPSelections2016[State Name]=HIX_RatingAreas[[#This Row],[State Code]])*(QHPSelections2016[County Name]=HIX_RatingAreas[[#This Row],[Subdivision]]),0),MATCH("Total Plan Selections",QHPSelections2016[#Headers],0)),0)</f>
        <v>620</v>
      </c>
      <c r="L68" t="str" cm="1">
        <f t="array" ref="L68">INDEX(QHPSelections2016[],MATCH(1,(QHPSelections2016[State Name]=HIX_RatingAreas[[#This Row],[State Code]])*(QHPSelections2016[County Name]=HIX_RatingAreas[[#This Row],[Subdivision]]),0),MATCH("County Name",QHPSelections2016[#Headers],0))</f>
        <v>Washington County</v>
      </c>
      <c r="M68" t="b">
        <f>L68=HIX_RatingAreas[[#This Row],[Subdivision]]</f>
        <v>1</v>
      </c>
      <c r="N68">
        <v>65</v>
      </c>
      <c r="P68" s="49" t="s">
        <v>15</v>
      </c>
      <c r="Q68" s="50" t="s">
        <v>229</v>
      </c>
      <c r="R68">
        <f>SUMIFS(HIX_RatingAreas[Silver Selections 2016],HIX_RatingAreas[State],P68,HIX_RatingAreas[Rating Area ID],Q68)</f>
        <v>30801</v>
      </c>
      <c r="S68">
        <f t="shared" si="1"/>
        <v>2.2557497780941585E-2</v>
      </c>
      <c r="W68">
        <f>SUMIFS(HIX_RatingAreas[Total Plan Selections 2016],HIX_RatingAreas[State],P68,HIX_RatingAreas[Rating Area ID],Q68)</f>
        <v>35732</v>
      </c>
    </row>
    <row r="69" spans="3:23">
      <c r="C69" t="s">
        <v>2</v>
      </c>
      <c r="D69" t="s">
        <v>1433</v>
      </c>
      <c r="E69" t="s">
        <v>112</v>
      </c>
      <c r="F69" s="36">
        <v>13</v>
      </c>
      <c r="G69" t="s">
        <v>1166</v>
      </c>
      <c r="I69" cm="1">
        <f t="array" ref="I69">_xlfn.IFNA(INDEX(QHPSelections2016[],MATCH(1,(QHPSelections2016[State Name]=HIX_RatingAreas[[#This Row],[State Code]])*(QHPSelections2016[County Name]=HIX_RatingAreas[[#This Row],[Subdivision]]),0),MATCH("Silver",QHPSelections2016[#Headers],0)),0)</f>
        <v>443</v>
      </c>
      <c r="J69" cm="1">
        <f t="array" ref="J69">_xlfn.IFNA(INDEX(QHPSelections2016[],MATCH(1,(QHPSelections2016[State Name]=HIX_RatingAreas[[#This Row],[State Code]])*(QHPSelections2016[County Name]=HIX_RatingAreas[[#This Row],[Subdivision]]),0),MATCH("Total Plan Selections",QHPSelections2016[#Headers],0)),0)</f>
        <v>501</v>
      </c>
      <c r="L69" t="str" cm="1">
        <f t="array" ref="L69">INDEX(QHPSelections2016[],MATCH(1,(QHPSelections2016[State Name]=HIX_RatingAreas[[#This Row],[State Code]])*(QHPSelections2016[County Name]=HIX_RatingAreas[[#This Row],[Subdivision]]),0),MATCH("County Name",QHPSelections2016[#Headers],0))</f>
        <v>Wilcox County</v>
      </c>
      <c r="M69" t="b">
        <f>L69=HIX_RatingAreas[[#This Row],[Subdivision]]</f>
        <v>1</v>
      </c>
      <c r="N69">
        <v>66</v>
      </c>
      <c r="P69" s="47" t="s">
        <v>15</v>
      </c>
      <c r="Q69" s="48" t="s">
        <v>231</v>
      </c>
      <c r="R69">
        <f>SUMIFS(HIX_RatingAreas[Silver Selections 2016],HIX_RatingAreas[State],P69,HIX_RatingAreas[Rating Area ID],Q69)</f>
        <v>117476</v>
      </c>
      <c r="S69">
        <f t="shared" si="1"/>
        <v>8.603501864594959E-2</v>
      </c>
      <c r="W69">
        <f>SUMIFS(HIX_RatingAreas[Total Plan Selections 2016],HIX_RatingAreas[State],P69,HIX_RatingAreas[Rating Area ID],Q69)</f>
        <v>148961</v>
      </c>
    </row>
    <row r="70" spans="3:23">
      <c r="C70" t="s">
        <v>2</v>
      </c>
      <c r="D70" t="s">
        <v>1433</v>
      </c>
      <c r="E70" t="s">
        <v>112</v>
      </c>
      <c r="F70" s="36">
        <v>13</v>
      </c>
      <c r="G70" t="s">
        <v>1171</v>
      </c>
      <c r="I70" cm="1">
        <f t="array" ref="I70">_xlfn.IFNA(INDEX(QHPSelections2016[],MATCH(1,(QHPSelections2016[State Name]=HIX_RatingAreas[[#This Row],[State Code]])*(QHPSelections2016[County Name]=HIX_RatingAreas[[#This Row],[Subdivision]]),0),MATCH("Silver",QHPSelections2016[#Headers],0)),0)</f>
        <v>913</v>
      </c>
      <c r="J70" cm="1">
        <f t="array" ref="J70">_xlfn.IFNA(INDEX(QHPSelections2016[],MATCH(1,(QHPSelections2016[State Name]=HIX_RatingAreas[[#This Row],[State Code]])*(QHPSelections2016[County Name]=HIX_RatingAreas[[#This Row],[Subdivision]]),0),MATCH("Total Plan Selections",QHPSelections2016[#Headers],0)),0)</f>
        <v>1027</v>
      </c>
      <c r="L70" t="str" cm="1">
        <f t="array" ref="L70">INDEX(QHPSelections2016[],MATCH(1,(QHPSelections2016[State Name]=HIX_RatingAreas[[#This Row],[State Code]])*(QHPSelections2016[County Name]=HIX_RatingAreas[[#This Row],[Subdivision]]),0),MATCH("County Name",QHPSelections2016[#Headers],0))</f>
        <v>Winston County</v>
      </c>
      <c r="M70" t="b">
        <f>L70=HIX_RatingAreas[[#This Row],[Subdivision]]</f>
        <v>1</v>
      </c>
      <c r="N70">
        <v>67</v>
      </c>
      <c r="P70" s="49" t="s">
        <v>15</v>
      </c>
      <c r="Q70" s="50" t="s">
        <v>233</v>
      </c>
      <c r="R70">
        <f>SUMIFS(HIX_RatingAreas[Silver Selections 2016],HIX_RatingAreas[State],P70,HIX_RatingAreas[Rating Area ID],Q70)</f>
        <v>25587</v>
      </c>
      <c r="S70">
        <f t="shared" si="1"/>
        <v>1.8738959635107702E-2</v>
      </c>
      <c r="W70">
        <f>SUMIFS(HIX_RatingAreas[Total Plan Selections 2016],HIX_RatingAreas[State],P70,HIX_RatingAreas[Rating Area ID],Q70)</f>
        <v>32655</v>
      </c>
    </row>
    <row r="71" spans="3:23">
      <c r="C71" t="s">
        <v>15</v>
      </c>
      <c r="D71" t="s">
        <v>1447</v>
      </c>
      <c r="E71" t="s">
        <v>72</v>
      </c>
      <c r="F71" s="36">
        <v>1</v>
      </c>
      <c r="G71" t="s">
        <v>818</v>
      </c>
      <c r="I71" cm="1">
        <f t="array" ref="I71">_xlfn.IFNA(INDEX(QHPSelections2016[],MATCH(1,(QHPSelections2016[State Name]=HIX_RatingAreas[[#This Row],[State Code]])*(QHPSelections2016[County Name]=HIX_RatingAreas[[#This Row],[Subdivision]]),0),MATCH("Silver",QHPSelections2016[#Headers],0)),0)</f>
        <v>11629</v>
      </c>
      <c r="J71" cm="1">
        <f t="array" ref="J71">_xlfn.IFNA(INDEX(QHPSelections2016[],MATCH(1,(QHPSelections2016[State Name]=HIX_RatingAreas[[#This Row],[State Code]])*(QHPSelections2016[County Name]=HIX_RatingAreas[[#This Row],[Subdivision]]),0),MATCH("Total Plan Selections",QHPSelections2016[#Headers],0)),0)</f>
        <v>14826</v>
      </c>
      <c r="L71" t="str" cm="1">
        <f t="array" ref="L71">INDEX(QHPSelections2016[],MATCH(1,(QHPSelections2016[State Name]=HIX_RatingAreas[[#This Row],[State Code]])*(QHPSelections2016[County Name]=HIX_RatingAreas[[#This Row],[Subdivision]]),0),MATCH("County Name",QHPSelections2016[#Headers],0))</f>
        <v>Alachua County</v>
      </c>
      <c r="M71" t="b">
        <f>L71=HIX_RatingAreas[[#This Row],[Subdivision]]</f>
        <v>1</v>
      </c>
      <c r="N71">
        <v>68</v>
      </c>
      <c r="P71" s="47" t="s">
        <v>15</v>
      </c>
      <c r="Q71" s="48" t="s">
        <v>235</v>
      </c>
      <c r="R71">
        <f>SUMIFS(HIX_RatingAreas[Silver Selections 2016],HIX_RatingAreas[State],P71,HIX_RatingAreas[Rating Area ID],Q71)</f>
        <v>50638</v>
      </c>
      <c r="S71">
        <f t="shared" si="1"/>
        <v>3.7085372962933669E-2</v>
      </c>
      <c r="W71">
        <f>SUMIFS(HIX_RatingAreas[Total Plan Selections 2016],HIX_RatingAreas[State],P71,HIX_RatingAreas[Rating Area ID],Q71)</f>
        <v>66221</v>
      </c>
    </row>
    <row r="72" spans="3:23">
      <c r="C72" t="s">
        <v>15</v>
      </c>
      <c r="D72" t="s">
        <v>1447</v>
      </c>
      <c r="E72" t="s">
        <v>74</v>
      </c>
      <c r="F72" s="36">
        <v>2</v>
      </c>
      <c r="G72" t="s">
        <v>824</v>
      </c>
      <c r="I72" cm="1">
        <f t="array" ref="I72">_xlfn.IFNA(INDEX(QHPSelections2016[],MATCH(1,(QHPSelections2016[State Name]=HIX_RatingAreas[[#This Row],[State Code]])*(QHPSelections2016[County Name]=HIX_RatingAreas[[#This Row],[Subdivision]]),0),MATCH("Silver",QHPSelections2016[#Headers],0)),0)</f>
        <v>850</v>
      </c>
      <c r="J72" cm="1">
        <f t="array" ref="J72">_xlfn.IFNA(INDEX(QHPSelections2016[],MATCH(1,(QHPSelections2016[State Name]=HIX_RatingAreas[[#This Row],[State Code]])*(QHPSelections2016[County Name]=HIX_RatingAreas[[#This Row],[Subdivision]]),0),MATCH("Total Plan Selections",QHPSelections2016[#Headers],0)),0)</f>
        <v>1043</v>
      </c>
      <c r="L72" t="str" cm="1">
        <f t="array" ref="L72">INDEX(QHPSelections2016[],MATCH(1,(QHPSelections2016[State Name]=HIX_RatingAreas[[#This Row],[State Code]])*(QHPSelections2016[County Name]=HIX_RatingAreas[[#This Row],[Subdivision]]),0),MATCH("County Name",QHPSelections2016[#Headers],0))</f>
        <v>Baker County</v>
      </c>
      <c r="M72" t="b">
        <f>L72=HIX_RatingAreas[[#This Row],[Subdivision]]</f>
        <v>1</v>
      </c>
      <c r="N72">
        <v>69</v>
      </c>
      <c r="P72" s="49" t="s">
        <v>15</v>
      </c>
      <c r="Q72" s="50" t="s">
        <v>237</v>
      </c>
      <c r="R72">
        <f>SUMIFS(HIX_RatingAreas[Silver Selections 2016],HIX_RatingAreas[State],P72,HIX_RatingAreas[Rating Area ID],Q72)</f>
        <v>26841</v>
      </c>
      <c r="S72">
        <f t="shared" si="1"/>
        <v>1.9657342227143697E-2</v>
      </c>
      <c r="W72">
        <f>SUMIFS(HIX_RatingAreas[Total Plan Selections 2016],HIX_RatingAreas[State],P72,HIX_RatingAreas[Rating Area ID],Q72)</f>
        <v>34156</v>
      </c>
    </row>
    <row r="73" spans="3:23">
      <c r="C73" t="s">
        <v>15</v>
      </c>
      <c r="D73" t="s">
        <v>1447</v>
      </c>
      <c r="E73" t="s">
        <v>76</v>
      </c>
      <c r="F73" s="36">
        <v>3</v>
      </c>
      <c r="G73" t="s">
        <v>831</v>
      </c>
      <c r="I73" cm="1">
        <f t="array" ref="I73">_xlfn.IFNA(INDEX(QHPSelections2016[],MATCH(1,(QHPSelections2016[State Name]=HIX_RatingAreas[[#This Row],[State Code]])*(QHPSelections2016[County Name]=HIX_RatingAreas[[#This Row],[Subdivision]]),0),MATCH("Silver",QHPSelections2016[#Headers],0)),0)</f>
        <v>9276</v>
      </c>
      <c r="J73" cm="1">
        <f t="array" ref="J73">_xlfn.IFNA(INDEX(QHPSelections2016[],MATCH(1,(QHPSelections2016[State Name]=HIX_RatingAreas[[#This Row],[State Code]])*(QHPSelections2016[County Name]=HIX_RatingAreas[[#This Row],[Subdivision]]),0),MATCH("Total Plan Selections",QHPSelections2016[#Headers],0)),0)</f>
        <v>11567</v>
      </c>
      <c r="L73" t="str" cm="1">
        <f t="array" ref="L73">INDEX(QHPSelections2016[],MATCH(1,(QHPSelections2016[State Name]=HIX_RatingAreas[[#This Row],[State Code]])*(QHPSelections2016[County Name]=HIX_RatingAreas[[#This Row],[Subdivision]]),0),MATCH("County Name",QHPSelections2016[#Headers],0))</f>
        <v>Bay County</v>
      </c>
      <c r="M73" t="b">
        <f>L73=HIX_RatingAreas[[#This Row],[Subdivision]]</f>
        <v>1</v>
      </c>
      <c r="N73">
        <v>70</v>
      </c>
      <c r="P73" s="47" t="s">
        <v>15</v>
      </c>
      <c r="Q73" s="48" t="s">
        <v>239</v>
      </c>
      <c r="R73">
        <f>SUMIFS(HIX_RatingAreas[Silver Selections 2016],HIX_RatingAreas[State],P73,HIX_RatingAreas[Rating Area ID],Q73)</f>
        <v>2702</v>
      </c>
      <c r="S73">
        <f t="shared" si="1"/>
        <v>1.9788435117075471E-3</v>
      </c>
      <c r="W73">
        <f>SUMIFS(HIX_RatingAreas[Total Plan Selections 2016],HIX_RatingAreas[State],P73,HIX_RatingAreas[Rating Area ID],Q73)</f>
        <v>3728</v>
      </c>
    </row>
    <row r="74" spans="3:23">
      <c r="C74" t="s">
        <v>15</v>
      </c>
      <c r="D74" t="s">
        <v>1447</v>
      </c>
      <c r="E74" t="s">
        <v>84</v>
      </c>
      <c r="F74" s="36">
        <v>4</v>
      </c>
      <c r="G74" t="s">
        <v>838</v>
      </c>
      <c r="I74" cm="1">
        <f t="array" ref="I74">_xlfn.IFNA(INDEX(QHPSelections2016[],MATCH(1,(QHPSelections2016[State Name]=HIX_RatingAreas[[#This Row],[State Code]])*(QHPSelections2016[County Name]=HIX_RatingAreas[[#This Row],[Subdivision]]),0),MATCH("Silver",QHPSelections2016[#Headers],0)),0)</f>
        <v>939</v>
      </c>
      <c r="J74" cm="1">
        <f t="array" ref="J74">_xlfn.IFNA(INDEX(QHPSelections2016[],MATCH(1,(QHPSelections2016[State Name]=HIX_RatingAreas[[#This Row],[State Code]])*(QHPSelections2016[County Name]=HIX_RatingAreas[[#This Row],[Subdivision]]),0),MATCH("Total Plan Selections",QHPSelections2016[#Headers],0)),0)</f>
        <v>1163</v>
      </c>
      <c r="L74" t="str" cm="1">
        <f t="array" ref="L74">INDEX(QHPSelections2016[],MATCH(1,(QHPSelections2016[State Name]=HIX_RatingAreas[[#This Row],[State Code]])*(QHPSelections2016[County Name]=HIX_RatingAreas[[#This Row],[Subdivision]]),0),MATCH("County Name",QHPSelections2016[#Headers],0))</f>
        <v>Bradford County</v>
      </c>
      <c r="M74" t="b">
        <f>L74=HIX_RatingAreas[[#This Row],[Subdivision]]</f>
        <v>1</v>
      </c>
      <c r="N74">
        <v>71</v>
      </c>
      <c r="P74" s="49" t="s">
        <v>15</v>
      </c>
      <c r="Q74" s="50" t="s">
        <v>241</v>
      </c>
      <c r="R74">
        <f>SUMIFS(HIX_RatingAreas[Silver Selections 2016],HIX_RatingAreas[State],P74,HIX_RatingAreas[Rating Area ID],Q74)</f>
        <v>5065</v>
      </c>
      <c r="S74">
        <f t="shared" si="1"/>
        <v>3.7094161313096694E-3</v>
      </c>
      <c r="W74">
        <f>SUMIFS(HIX_RatingAreas[Total Plan Selections 2016],HIX_RatingAreas[State],P74,HIX_RatingAreas[Rating Area ID],Q74)</f>
        <v>7114</v>
      </c>
    </row>
    <row r="75" spans="3:23">
      <c r="C75" t="s">
        <v>15</v>
      </c>
      <c r="D75" t="s">
        <v>1447</v>
      </c>
      <c r="E75" t="s">
        <v>86</v>
      </c>
      <c r="F75" s="36">
        <v>5</v>
      </c>
      <c r="G75" t="s">
        <v>844</v>
      </c>
      <c r="I75" cm="1">
        <f t="array" ref="I75">_xlfn.IFNA(INDEX(QHPSelections2016[],MATCH(1,(QHPSelections2016[State Name]=HIX_RatingAreas[[#This Row],[State Code]])*(QHPSelections2016[County Name]=HIX_RatingAreas[[#This Row],[Subdivision]]),0),MATCH("Silver",QHPSelections2016[#Headers],0)),0)</f>
        <v>28564</v>
      </c>
      <c r="J75" cm="1">
        <f t="array" ref="J75">_xlfn.IFNA(INDEX(QHPSelections2016[],MATCH(1,(QHPSelections2016[State Name]=HIX_RatingAreas[[#This Row],[State Code]])*(QHPSelections2016[County Name]=HIX_RatingAreas[[#This Row],[Subdivision]]),0),MATCH("Total Plan Selections",QHPSelections2016[#Headers],0)),0)</f>
        <v>37779</v>
      </c>
      <c r="L75" t="str" cm="1">
        <f t="array" ref="L75">INDEX(QHPSelections2016[],MATCH(1,(QHPSelections2016[State Name]=HIX_RatingAreas[[#This Row],[State Code]])*(QHPSelections2016[County Name]=HIX_RatingAreas[[#This Row],[Subdivision]]),0),MATCH("County Name",QHPSelections2016[#Headers],0))</f>
        <v>Brevard County</v>
      </c>
      <c r="M75" t="b">
        <f>L75=HIX_RatingAreas[[#This Row],[Subdivision]]</f>
        <v>1</v>
      </c>
      <c r="N75">
        <v>72</v>
      </c>
      <c r="P75" s="47" t="s">
        <v>15</v>
      </c>
      <c r="Q75" s="48" t="s">
        <v>243</v>
      </c>
      <c r="R75">
        <f>SUMIFS(HIX_RatingAreas[Silver Selections 2016],HIX_RatingAreas[State],P75,HIX_RatingAreas[Rating Area ID],Q75)</f>
        <v>20670</v>
      </c>
      <c r="S75">
        <f t="shared" si="1"/>
        <v>1.513793315580866E-2</v>
      </c>
      <c r="W75">
        <f>SUMIFS(HIX_RatingAreas[Total Plan Selections 2016],HIX_RatingAreas[State],P75,HIX_RatingAreas[Rating Area ID],Q75)</f>
        <v>28425</v>
      </c>
    </row>
    <row r="76" spans="3:23">
      <c r="C76" t="s">
        <v>15</v>
      </c>
      <c r="D76" t="s">
        <v>1447</v>
      </c>
      <c r="E76" t="s">
        <v>89</v>
      </c>
      <c r="F76" s="36">
        <v>6</v>
      </c>
      <c r="G76" t="s">
        <v>848</v>
      </c>
      <c r="I76" cm="1">
        <f t="array" ref="I76">_xlfn.IFNA(INDEX(QHPSelections2016[],MATCH(1,(QHPSelections2016[State Name]=HIX_RatingAreas[[#This Row],[State Code]])*(QHPSelections2016[County Name]=HIX_RatingAreas[[#This Row],[Subdivision]]),0),MATCH("Silver",QHPSelections2016[#Headers],0)),0)</f>
        <v>190594</v>
      </c>
      <c r="J76" cm="1">
        <f t="array" ref="J76">_xlfn.IFNA(INDEX(QHPSelections2016[],MATCH(1,(QHPSelections2016[State Name]=HIX_RatingAreas[[#This Row],[State Code]])*(QHPSelections2016[County Name]=HIX_RatingAreas[[#This Row],[Subdivision]]),0),MATCH("Total Plan Selections",QHPSelections2016[#Headers],0)),0)</f>
        <v>241784</v>
      </c>
      <c r="L76" t="str" cm="1">
        <f t="array" ref="L76">INDEX(QHPSelections2016[],MATCH(1,(QHPSelections2016[State Name]=HIX_RatingAreas[[#This Row],[State Code]])*(QHPSelections2016[County Name]=HIX_RatingAreas[[#This Row],[Subdivision]]),0),MATCH("County Name",QHPSelections2016[#Headers],0))</f>
        <v>Broward County</v>
      </c>
      <c r="M76" t="b">
        <f>L76=HIX_RatingAreas[[#This Row],[Subdivision]]</f>
        <v>1</v>
      </c>
      <c r="N76">
        <v>73</v>
      </c>
      <c r="P76" s="49" t="s">
        <v>15</v>
      </c>
      <c r="Q76" s="50" t="s">
        <v>245</v>
      </c>
      <c r="R76">
        <f>SUMIFS(HIX_RatingAreas[Silver Selections 2016],HIX_RatingAreas[State],P76,HIX_RatingAreas[Rating Area ID],Q76)</f>
        <v>27830</v>
      </c>
      <c r="S76">
        <f t="shared" si="1"/>
        <v>2.0381648753079584E-2</v>
      </c>
      <c r="W76">
        <f>SUMIFS(HIX_RatingAreas[Total Plan Selections 2016],HIX_RatingAreas[State],P76,HIX_RatingAreas[Rating Area ID],Q76)</f>
        <v>37130</v>
      </c>
    </row>
    <row r="77" spans="3:23">
      <c r="C77" t="s">
        <v>15</v>
      </c>
      <c r="D77" t="s">
        <v>1447</v>
      </c>
      <c r="E77" t="s">
        <v>93</v>
      </c>
      <c r="F77" s="36">
        <v>7</v>
      </c>
      <c r="G77" t="s">
        <v>855</v>
      </c>
      <c r="I77" cm="1">
        <f t="array" ref="I77">_xlfn.IFNA(INDEX(QHPSelections2016[],MATCH(1,(QHPSelections2016[State Name]=HIX_RatingAreas[[#This Row],[State Code]])*(QHPSelections2016[County Name]=HIX_RatingAreas[[#This Row],[Subdivision]]),0),MATCH("Silver",QHPSelections2016[#Headers],0)),0)</f>
        <v>391</v>
      </c>
      <c r="J77" cm="1">
        <f t="array" ref="J77">_xlfn.IFNA(INDEX(QHPSelections2016[],MATCH(1,(QHPSelections2016[State Name]=HIX_RatingAreas[[#This Row],[State Code]])*(QHPSelections2016[County Name]=HIX_RatingAreas[[#This Row],[Subdivision]]),0),MATCH("Total Plan Selections",QHPSelections2016[#Headers],0)),0)</f>
        <v>503</v>
      </c>
      <c r="L77" t="str" cm="1">
        <f t="array" ref="L77">INDEX(QHPSelections2016[],MATCH(1,(QHPSelections2016[State Name]=HIX_RatingAreas[[#This Row],[State Code]])*(QHPSelections2016[County Name]=HIX_RatingAreas[[#This Row],[Subdivision]]),0),MATCH("County Name",QHPSelections2016[#Headers],0))</f>
        <v>Calhoun County</v>
      </c>
      <c r="M77" t="b">
        <f>L77=HIX_RatingAreas[[#This Row],[Subdivision]]</f>
        <v>1</v>
      </c>
      <c r="N77">
        <v>74</v>
      </c>
      <c r="P77" s="47" t="s">
        <v>15</v>
      </c>
      <c r="Q77" s="48" t="s">
        <v>247</v>
      </c>
      <c r="R77">
        <f>SUMIFS(HIX_RatingAreas[Silver Selections 2016],HIX_RatingAreas[State],P77,HIX_RatingAreas[Rating Area ID],Q77)</f>
        <v>9295</v>
      </c>
      <c r="S77">
        <f t="shared" si="1"/>
        <v>6.8073095637755923E-3</v>
      </c>
      <c r="W77">
        <f>SUMIFS(HIX_RatingAreas[Total Plan Selections 2016],HIX_RatingAreas[State],P77,HIX_RatingAreas[Rating Area ID],Q77)</f>
        <v>13139</v>
      </c>
    </row>
    <row r="78" spans="3:23">
      <c r="C78" t="s">
        <v>15</v>
      </c>
      <c r="D78" t="s">
        <v>1447</v>
      </c>
      <c r="E78" t="s">
        <v>96</v>
      </c>
      <c r="F78" s="36">
        <v>8</v>
      </c>
      <c r="G78" t="s">
        <v>860</v>
      </c>
      <c r="I78" cm="1">
        <f t="array" ref="I78">_xlfn.IFNA(INDEX(QHPSelections2016[],MATCH(1,(QHPSelections2016[State Name]=HIX_RatingAreas[[#This Row],[State Code]])*(QHPSelections2016[County Name]=HIX_RatingAreas[[#This Row],[Subdivision]]),0),MATCH("Silver",QHPSelections2016[#Headers],0)),0)</f>
        <v>8627</v>
      </c>
      <c r="J78" cm="1">
        <f t="array" ref="J78">_xlfn.IFNA(INDEX(QHPSelections2016[],MATCH(1,(QHPSelections2016[State Name]=HIX_RatingAreas[[#This Row],[State Code]])*(QHPSelections2016[County Name]=HIX_RatingAreas[[#This Row],[Subdivision]]),0),MATCH("Total Plan Selections",QHPSelections2016[#Headers],0)),0)</f>
        <v>11451</v>
      </c>
      <c r="L78" t="str" cm="1">
        <f t="array" ref="L78">INDEX(QHPSelections2016[],MATCH(1,(QHPSelections2016[State Name]=HIX_RatingAreas[[#This Row],[State Code]])*(QHPSelections2016[County Name]=HIX_RatingAreas[[#This Row],[Subdivision]]),0),MATCH("County Name",QHPSelections2016[#Headers],0))</f>
        <v>Charlotte County</v>
      </c>
      <c r="M78" t="b">
        <f>L78=HIX_RatingAreas[[#This Row],[Subdivision]]</f>
        <v>1</v>
      </c>
      <c r="N78">
        <v>75</v>
      </c>
      <c r="P78" s="49" t="s">
        <v>15</v>
      </c>
      <c r="Q78" s="50" t="s">
        <v>249</v>
      </c>
      <c r="R78">
        <f>SUMIFS(HIX_RatingAreas[Silver Selections 2016],HIX_RatingAreas[State],P78,HIX_RatingAreas[Rating Area ID],Q78)</f>
        <v>21277</v>
      </c>
      <c r="S78">
        <f t="shared" si="1"/>
        <v>1.5582477201554952E-2</v>
      </c>
      <c r="W78">
        <f>SUMIFS(HIX_RatingAreas[Total Plan Selections 2016],HIX_RatingAreas[State],P78,HIX_RatingAreas[Rating Area ID],Q78)</f>
        <v>25627</v>
      </c>
    </row>
    <row r="79" spans="3:23">
      <c r="C79" t="s">
        <v>15</v>
      </c>
      <c r="D79" t="s">
        <v>1447</v>
      </c>
      <c r="E79" t="s">
        <v>98</v>
      </c>
      <c r="F79" s="36">
        <v>9</v>
      </c>
      <c r="G79" t="s">
        <v>867</v>
      </c>
      <c r="I79" cm="1">
        <f t="array" ref="I79">_xlfn.IFNA(INDEX(QHPSelections2016[],MATCH(1,(QHPSelections2016[State Name]=HIX_RatingAreas[[#This Row],[State Code]])*(QHPSelections2016[County Name]=HIX_RatingAreas[[#This Row],[Subdivision]]),0),MATCH("Silver",QHPSelections2016[#Headers],0)),0)</f>
        <v>8033</v>
      </c>
      <c r="J79" cm="1">
        <f t="array" ref="J79">_xlfn.IFNA(INDEX(QHPSelections2016[],MATCH(1,(QHPSelections2016[State Name]=HIX_RatingAreas[[#This Row],[State Code]])*(QHPSelections2016[County Name]=HIX_RatingAreas[[#This Row],[Subdivision]]),0),MATCH("Total Plan Selections",QHPSelections2016[#Headers],0)),0)</f>
        <v>10017</v>
      </c>
      <c r="L79" t="str" cm="1">
        <f t="array" ref="L79">INDEX(QHPSelections2016[],MATCH(1,(QHPSelections2016[State Name]=HIX_RatingAreas[[#This Row],[State Code]])*(QHPSelections2016[County Name]=HIX_RatingAreas[[#This Row],[Subdivision]]),0),MATCH("County Name",QHPSelections2016[#Headers],0))</f>
        <v>Citrus County</v>
      </c>
      <c r="M79" t="b">
        <f>L79=HIX_RatingAreas[[#This Row],[Subdivision]]</f>
        <v>1</v>
      </c>
      <c r="N79">
        <v>76</v>
      </c>
      <c r="P79" s="47" t="s">
        <v>15</v>
      </c>
      <c r="Q79" s="48" t="s">
        <v>251</v>
      </c>
      <c r="R79">
        <f>SUMIFS(HIX_RatingAreas[Silver Selections 2016],HIX_RatingAreas[State],P79,HIX_RatingAreas[Rating Area ID],Q79)</f>
        <v>3150</v>
      </c>
      <c r="S79">
        <f t="shared" si="1"/>
        <v>2.3069419177937727E-3</v>
      </c>
      <c r="W79">
        <f>SUMIFS(HIX_RatingAreas[Total Plan Selections 2016],HIX_RatingAreas[State],P79,HIX_RatingAreas[Rating Area ID],Q79)</f>
        <v>4270</v>
      </c>
    </row>
    <row r="80" spans="3:23">
      <c r="C80" t="s">
        <v>15</v>
      </c>
      <c r="D80" t="s">
        <v>1447</v>
      </c>
      <c r="E80" t="s">
        <v>101</v>
      </c>
      <c r="F80" s="36">
        <v>10</v>
      </c>
      <c r="G80" t="s">
        <v>873</v>
      </c>
      <c r="I80" cm="1">
        <f t="array" ref="I80">_xlfn.IFNA(INDEX(QHPSelections2016[],MATCH(1,(QHPSelections2016[State Name]=HIX_RatingAreas[[#This Row],[State Code]])*(QHPSelections2016[County Name]=HIX_RatingAreas[[#This Row],[Subdivision]]),0),MATCH("Silver",QHPSelections2016[#Headers],0)),0)</f>
        <v>7912</v>
      </c>
      <c r="J80" cm="1">
        <f t="array" ref="J80">_xlfn.IFNA(INDEX(QHPSelections2016[],MATCH(1,(QHPSelections2016[State Name]=HIX_RatingAreas[[#This Row],[State Code]])*(QHPSelections2016[County Name]=HIX_RatingAreas[[#This Row],[Subdivision]]),0),MATCH("Total Plan Selections",QHPSelections2016[#Headers],0)),0)</f>
        <v>10449</v>
      </c>
      <c r="L80" t="str" cm="1">
        <f t="array" ref="L80">INDEX(QHPSelections2016[],MATCH(1,(QHPSelections2016[State Name]=HIX_RatingAreas[[#This Row],[State Code]])*(QHPSelections2016[County Name]=HIX_RatingAreas[[#This Row],[Subdivision]]),0),MATCH("County Name",QHPSelections2016[#Headers],0))</f>
        <v>Clay County</v>
      </c>
      <c r="M80" t="b">
        <f>L80=HIX_RatingAreas[[#This Row],[Subdivision]]</f>
        <v>1</v>
      </c>
      <c r="N80">
        <v>77</v>
      </c>
      <c r="P80" s="49" t="s">
        <v>15</v>
      </c>
      <c r="Q80" s="50" t="s">
        <v>252</v>
      </c>
      <c r="R80">
        <f>SUMIFS(HIX_RatingAreas[Silver Selections 2016],HIX_RatingAreas[State],P80,HIX_RatingAreas[Rating Area ID],Q80)</f>
        <v>1700</v>
      </c>
      <c r="S80">
        <f t="shared" si="1"/>
        <v>1.2450162730950518E-3</v>
      </c>
      <c r="W80">
        <f>SUMIFS(HIX_RatingAreas[Total Plan Selections 2016],HIX_RatingAreas[State],P80,HIX_RatingAreas[Rating Area ID],Q80)</f>
        <v>2063</v>
      </c>
    </row>
    <row r="81" spans="3:23">
      <c r="C81" t="s">
        <v>15</v>
      </c>
      <c r="D81" t="s">
        <v>1447</v>
      </c>
      <c r="E81" t="s">
        <v>103</v>
      </c>
      <c r="F81" s="36">
        <v>11</v>
      </c>
      <c r="G81" t="s">
        <v>880</v>
      </c>
      <c r="I81" cm="1">
        <f t="array" ref="I81">_xlfn.IFNA(INDEX(QHPSelections2016[],MATCH(1,(QHPSelections2016[State Name]=HIX_RatingAreas[[#This Row],[State Code]])*(QHPSelections2016[County Name]=HIX_RatingAreas[[#This Row],[Subdivision]]),0),MATCH("Silver",QHPSelections2016[#Headers],0)),0)</f>
        <v>22222</v>
      </c>
      <c r="J81" cm="1">
        <f t="array" ref="J81">_xlfn.IFNA(INDEX(QHPSelections2016[],MATCH(1,(QHPSelections2016[State Name]=HIX_RatingAreas[[#This Row],[State Code]])*(QHPSelections2016[County Name]=HIX_RatingAreas[[#This Row],[Subdivision]]),0),MATCH("Total Plan Selections",QHPSelections2016[#Headers],0)),0)</f>
        <v>28283</v>
      </c>
      <c r="L81" t="str" cm="1">
        <f t="array" ref="L81">INDEX(QHPSelections2016[],MATCH(1,(QHPSelections2016[State Name]=HIX_RatingAreas[[#This Row],[State Code]])*(QHPSelections2016[County Name]=HIX_RatingAreas[[#This Row],[Subdivision]]),0),MATCH("County Name",QHPSelections2016[#Headers],0))</f>
        <v>Collier County</v>
      </c>
      <c r="M81" t="b">
        <f>L81=HIX_RatingAreas[[#This Row],[Subdivision]]</f>
        <v>1</v>
      </c>
      <c r="N81">
        <v>78</v>
      </c>
      <c r="P81" s="47" t="s">
        <v>15</v>
      </c>
      <c r="Q81" s="48" t="s">
        <v>254</v>
      </c>
      <c r="R81">
        <f>SUMIFS(HIX_RatingAreas[Silver Selections 2016],HIX_RatingAreas[State],P81,HIX_RatingAreas[Rating Area ID],Q81)</f>
        <v>512</v>
      </c>
      <c r="S81">
        <f t="shared" si="1"/>
        <v>3.7496960695568619E-4</v>
      </c>
      <c r="W81">
        <f>SUMIFS(HIX_RatingAreas[Total Plan Selections 2016],HIX_RatingAreas[State],P81,HIX_RatingAreas[Rating Area ID],Q81)</f>
        <v>624</v>
      </c>
    </row>
    <row r="82" spans="3:23">
      <c r="C82" t="s">
        <v>15</v>
      </c>
      <c r="D82" t="s">
        <v>1447</v>
      </c>
      <c r="E82" t="s">
        <v>108</v>
      </c>
      <c r="F82" s="36">
        <v>12</v>
      </c>
      <c r="G82" t="s">
        <v>885</v>
      </c>
      <c r="I82" cm="1">
        <f t="array" ref="I82">_xlfn.IFNA(INDEX(QHPSelections2016[],MATCH(1,(QHPSelections2016[State Name]=HIX_RatingAreas[[#This Row],[State Code]])*(QHPSelections2016[County Name]=HIX_RatingAreas[[#This Row],[Subdivision]]),0),MATCH("Silver",QHPSelections2016[#Headers],0)),0)</f>
        <v>2811</v>
      </c>
      <c r="J82" cm="1">
        <f t="array" ref="J82">_xlfn.IFNA(INDEX(QHPSelections2016[],MATCH(1,(QHPSelections2016[State Name]=HIX_RatingAreas[[#This Row],[State Code]])*(QHPSelections2016[County Name]=HIX_RatingAreas[[#This Row],[Subdivision]]),0),MATCH("Total Plan Selections",QHPSelections2016[#Headers],0)),0)</f>
        <v>3489</v>
      </c>
      <c r="L82" t="str" cm="1">
        <f t="array" ref="L82">INDEX(QHPSelections2016[],MATCH(1,(QHPSelections2016[State Name]=HIX_RatingAreas[[#This Row],[State Code]])*(QHPSelections2016[County Name]=HIX_RatingAreas[[#This Row],[Subdivision]]),0),MATCH("County Name",QHPSelections2016[#Headers],0))</f>
        <v>Columbia County</v>
      </c>
      <c r="M82" t="b">
        <f>L82=HIX_RatingAreas[[#This Row],[Subdivision]]</f>
        <v>1</v>
      </c>
      <c r="N82">
        <v>79</v>
      </c>
      <c r="P82" s="49" t="s">
        <v>15</v>
      </c>
      <c r="Q82" s="50" t="s">
        <v>256</v>
      </c>
      <c r="R82">
        <f>SUMIFS(HIX_RatingAreas[Silver Selections 2016],HIX_RatingAreas[State],P82,HIX_RatingAreas[Rating Area ID],Q82)</f>
        <v>264</v>
      </c>
      <c r="S82">
        <f t="shared" si="1"/>
        <v>1.9334370358652569E-4</v>
      </c>
      <c r="W82">
        <f>SUMIFS(HIX_RatingAreas[Total Plan Selections 2016],HIX_RatingAreas[State],P82,HIX_RatingAreas[Rating Area ID],Q82)</f>
        <v>358</v>
      </c>
    </row>
    <row r="83" spans="3:23">
      <c r="C83" t="s">
        <v>15</v>
      </c>
      <c r="D83" t="s">
        <v>1447</v>
      </c>
      <c r="E83" t="s">
        <v>112</v>
      </c>
      <c r="F83" s="36">
        <v>13</v>
      </c>
      <c r="G83" t="s">
        <v>1421</v>
      </c>
      <c r="I83" cm="1">
        <f t="array" ref="I83">_xlfn.IFNA(INDEX(QHPSelections2016[],MATCH(1,(QHPSelections2016[State Name]=HIX_RatingAreas[[#This Row],[State Code]])*(QHPSelections2016[County Name]=HIX_RatingAreas[[#This Row],[Subdivision]]),0),MATCH("Silver",QHPSelections2016[#Headers],0)),0)</f>
        <v>1182</v>
      </c>
      <c r="J83" cm="1">
        <f t="array" ref="J83">_xlfn.IFNA(INDEX(QHPSelections2016[],MATCH(1,(QHPSelections2016[State Name]=HIX_RatingAreas[[#This Row],[State Code]])*(QHPSelections2016[County Name]=HIX_RatingAreas[[#This Row],[Subdivision]]),0),MATCH("Total Plan Selections",QHPSelections2016[#Headers],0)),0)</f>
        <v>1432</v>
      </c>
      <c r="L83" t="str" cm="1">
        <f t="array" ref="L83">INDEX(QHPSelections2016[],MATCH(1,(QHPSelections2016[State Name]=HIX_RatingAreas[[#This Row],[State Code]])*(QHPSelections2016[County Name]=HIX_RatingAreas[[#This Row],[Subdivision]]),0),MATCH("County Name",QHPSelections2016[#Headers],0))</f>
        <v>DeSoto County</v>
      </c>
      <c r="M83" t="b">
        <f>L83=HIX_RatingAreas[[#This Row],[Subdivision]]</f>
        <v>1</v>
      </c>
      <c r="N83">
        <v>80</v>
      </c>
      <c r="P83" s="47" t="s">
        <v>15</v>
      </c>
      <c r="Q83" s="48" t="s">
        <v>258</v>
      </c>
      <c r="R83">
        <f>SUMIFS(HIX_RatingAreas[Silver Selections 2016],HIX_RatingAreas[State],P83,HIX_RatingAreas[Rating Area ID],Q83)</f>
        <v>30069</v>
      </c>
      <c r="S83">
        <f t="shared" si="1"/>
        <v>2.2021408420997125E-2</v>
      </c>
      <c r="W83">
        <f>SUMIFS(HIX_RatingAreas[Total Plan Selections 2016],HIX_RatingAreas[State],P83,HIX_RatingAreas[Rating Area ID],Q83)</f>
        <v>40262</v>
      </c>
    </row>
    <row r="84" spans="3:23">
      <c r="C84" t="s">
        <v>15</v>
      </c>
      <c r="D84" t="s">
        <v>1447</v>
      </c>
      <c r="E84" t="s">
        <v>167</v>
      </c>
      <c r="F84" s="36">
        <v>14</v>
      </c>
      <c r="G84" t="s">
        <v>895</v>
      </c>
      <c r="I84" cm="1">
        <f t="array" ref="I84">_xlfn.IFNA(INDEX(QHPSelections2016[],MATCH(1,(QHPSelections2016[State Name]=HIX_RatingAreas[[#This Row],[State Code]])*(QHPSelections2016[County Name]=HIX_RatingAreas[[#This Row],[Subdivision]]),0),MATCH("Silver",QHPSelections2016[#Headers],0)),0)</f>
        <v>578</v>
      </c>
      <c r="J84" cm="1">
        <f t="array" ref="J84">_xlfn.IFNA(INDEX(QHPSelections2016[],MATCH(1,(QHPSelections2016[State Name]=HIX_RatingAreas[[#This Row],[State Code]])*(QHPSelections2016[County Name]=HIX_RatingAreas[[#This Row],[Subdivision]]),0),MATCH("Total Plan Selections",QHPSelections2016[#Headers],0)),0)</f>
        <v>667</v>
      </c>
      <c r="L84" t="str" cm="1">
        <f t="array" ref="L84">INDEX(QHPSelections2016[],MATCH(1,(QHPSelections2016[State Name]=HIX_RatingAreas[[#This Row],[State Code]])*(QHPSelections2016[County Name]=HIX_RatingAreas[[#This Row],[Subdivision]]),0),MATCH("County Name",QHPSelections2016[#Headers],0))</f>
        <v>Dixie County</v>
      </c>
      <c r="M84" t="b">
        <f>L84=HIX_RatingAreas[[#This Row],[Subdivision]]</f>
        <v>1</v>
      </c>
      <c r="N84">
        <v>81</v>
      </c>
      <c r="P84" s="49" t="s">
        <v>15</v>
      </c>
      <c r="Q84" s="50" t="s">
        <v>260</v>
      </c>
      <c r="R84">
        <f>SUMIFS(HIX_RatingAreas[Silver Selections 2016],HIX_RatingAreas[State],P84,HIX_RatingAreas[Rating Area ID],Q84)</f>
        <v>781</v>
      </c>
      <c r="S84">
        <f t="shared" ref="S84:S86" si="2">R84/R$19</f>
        <v>5.7197512311013858E-4</v>
      </c>
      <c r="W84">
        <f>SUMIFS(HIX_RatingAreas[Total Plan Selections 2016],HIX_RatingAreas[State],P84,HIX_RatingAreas[Rating Area ID],Q84)</f>
        <v>995</v>
      </c>
    </row>
    <row r="85" spans="3:23">
      <c r="C85" t="s">
        <v>15</v>
      </c>
      <c r="D85" t="s">
        <v>1447</v>
      </c>
      <c r="E85" t="s">
        <v>169</v>
      </c>
      <c r="F85" s="36">
        <v>15</v>
      </c>
      <c r="G85" t="s">
        <v>901</v>
      </c>
      <c r="I85" cm="1">
        <f t="array" ref="I85">_xlfn.IFNA(INDEX(QHPSelections2016[],MATCH(1,(QHPSelections2016[State Name]=HIX_RatingAreas[[#This Row],[State Code]])*(QHPSelections2016[County Name]=HIX_RatingAreas[[#This Row],[Subdivision]]),0),MATCH("Silver",QHPSelections2016[#Headers],0)),0)</f>
        <v>40247</v>
      </c>
      <c r="J85" cm="1">
        <f t="array" ref="J85">_xlfn.IFNA(INDEX(QHPSelections2016[],MATCH(1,(QHPSelections2016[State Name]=HIX_RatingAreas[[#This Row],[State Code]])*(QHPSelections2016[County Name]=HIX_RatingAreas[[#This Row],[Subdivision]]),0),MATCH("Total Plan Selections",QHPSelections2016[#Headers],0)),0)</f>
        <v>56252</v>
      </c>
      <c r="L85" t="str" cm="1">
        <f t="array" ref="L85">INDEX(QHPSelections2016[],MATCH(1,(QHPSelections2016[State Name]=HIX_RatingAreas[[#This Row],[State Code]])*(QHPSelections2016[County Name]=HIX_RatingAreas[[#This Row],[Subdivision]]),0),MATCH("County Name",QHPSelections2016[#Headers],0))</f>
        <v>Duval County</v>
      </c>
      <c r="M85" t="b">
        <f>L85=HIX_RatingAreas[[#This Row],[Subdivision]]</f>
        <v>1</v>
      </c>
      <c r="N85">
        <v>82</v>
      </c>
      <c r="P85" s="47" t="s">
        <v>15</v>
      </c>
      <c r="Q85" s="48" t="s">
        <v>262</v>
      </c>
      <c r="R85">
        <f>SUMIFS(HIX_RatingAreas[Silver Selections 2016],HIX_RatingAreas[State],P85,HIX_RatingAreas[Rating Area ID],Q85)</f>
        <v>3279</v>
      </c>
      <c r="S85">
        <f t="shared" si="2"/>
        <v>2.4014166820462797E-3</v>
      </c>
      <c r="W85">
        <f>SUMIFS(HIX_RatingAreas[Total Plan Selections 2016],HIX_RatingAreas[State],P85,HIX_RatingAreas[Rating Area ID],Q85)</f>
        <v>4454</v>
      </c>
    </row>
    <row r="86" spans="3:23">
      <c r="C86" t="s">
        <v>15</v>
      </c>
      <c r="D86" t="s">
        <v>1447</v>
      </c>
      <c r="E86" t="s">
        <v>171</v>
      </c>
      <c r="F86" s="36">
        <v>16</v>
      </c>
      <c r="G86" t="s">
        <v>908</v>
      </c>
      <c r="I86" cm="1">
        <f t="array" ref="I86">_xlfn.IFNA(INDEX(QHPSelections2016[],MATCH(1,(QHPSelections2016[State Name]=HIX_RatingAreas[[#This Row],[State Code]])*(QHPSelections2016[County Name]=HIX_RatingAreas[[#This Row],[Subdivision]]),0),MATCH("Silver",QHPSelections2016[#Headers],0)),0)</f>
        <v>10354</v>
      </c>
      <c r="J86" cm="1">
        <f t="array" ref="J86">_xlfn.IFNA(INDEX(QHPSelections2016[],MATCH(1,(QHPSelections2016[State Name]=HIX_RatingAreas[[#This Row],[State Code]])*(QHPSelections2016[County Name]=HIX_RatingAreas[[#This Row],[Subdivision]]),0),MATCH("Total Plan Selections",QHPSelections2016[#Headers],0)),0)</f>
        <v>13957</v>
      </c>
      <c r="L86" t="str" cm="1">
        <f t="array" ref="L86">INDEX(QHPSelections2016[],MATCH(1,(QHPSelections2016[State Name]=HIX_RatingAreas[[#This Row],[State Code]])*(QHPSelections2016[County Name]=HIX_RatingAreas[[#This Row],[Subdivision]]),0),MATCH("County Name",QHPSelections2016[#Headers],0))</f>
        <v>Escambia County</v>
      </c>
      <c r="M86" t="b">
        <f>L86=HIX_RatingAreas[[#This Row],[Subdivision]]</f>
        <v>1</v>
      </c>
      <c r="N86">
        <v>83</v>
      </c>
      <c r="P86" s="49" t="s">
        <v>15</v>
      </c>
      <c r="Q86" s="50" t="s">
        <v>264</v>
      </c>
      <c r="R86">
        <f>SUMIFS(HIX_RatingAreas[Silver Selections 2016],HIX_RatingAreas[State],P86,HIX_RatingAreas[Rating Area ID],Q86)</f>
        <v>807</v>
      </c>
      <c r="S86">
        <f t="shared" si="2"/>
        <v>5.9101654846335696E-4</v>
      </c>
      <c r="W86">
        <f>SUMIFS(HIX_RatingAreas[Total Plan Selections 2016],HIX_RatingAreas[State],P86,HIX_RatingAreas[Rating Area ID],Q86)</f>
        <v>961</v>
      </c>
    </row>
    <row r="87" spans="3:23">
      <c r="C87" t="s">
        <v>15</v>
      </c>
      <c r="D87" t="s">
        <v>1447</v>
      </c>
      <c r="E87" t="s">
        <v>172</v>
      </c>
      <c r="F87" s="36">
        <v>17</v>
      </c>
      <c r="G87" t="s">
        <v>914</v>
      </c>
      <c r="I87" cm="1">
        <f t="array" ref="I87">_xlfn.IFNA(INDEX(QHPSelections2016[],MATCH(1,(QHPSelections2016[State Name]=HIX_RatingAreas[[#This Row],[State Code]])*(QHPSelections2016[County Name]=HIX_RatingAreas[[#This Row],[Subdivision]]),0),MATCH("Silver",QHPSelections2016[#Headers],0)),0)</f>
        <v>5479</v>
      </c>
      <c r="J87" cm="1">
        <f t="array" ref="J87">_xlfn.IFNA(INDEX(QHPSelections2016[],MATCH(1,(QHPSelections2016[State Name]=HIX_RatingAreas[[#This Row],[State Code]])*(QHPSelections2016[County Name]=HIX_RatingAreas[[#This Row],[Subdivision]]),0),MATCH("Total Plan Selections",QHPSelections2016[#Headers],0)),0)</f>
        <v>7473</v>
      </c>
      <c r="L87" t="str" cm="1">
        <f t="array" ref="L87">INDEX(QHPSelections2016[],MATCH(1,(QHPSelections2016[State Name]=HIX_RatingAreas[[#This Row],[State Code]])*(QHPSelections2016[County Name]=HIX_RatingAreas[[#This Row],[Subdivision]]),0),MATCH("County Name",QHPSelections2016[#Headers],0))</f>
        <v>Flagler County</v>
      </c>
      <c r="M87" t="b">
        <f>L87=HIX_RatingAreas[[#This Row],[Subdivision]]</f>
        <v>1</v>
      </c>
      <c r="N87">
        <v>84</v>
      </c>
      <c r="P87" s="47" t="s">
        <v>16</v>
      </c>
      <c r="Q87" s="48" t="s">
        <v>816</v>
      </c>
      <c r="R87">
        <f>SUM(R88:R103)</f>
        <v>447613</v>
      </c>
      <c r="S87">
        <f>R87/R$87</f>
        <v>1</v>
      </c>
      <c r="U87">
        <f>SUM(S88:S103)</f>
        <v>1</v>
      </c>
      <c r="W87">
        <f>SUM(W88:W103)</f>
        <v>587833</v>
      </c>
    </row>
    <row r="88" spans="3:23">
      <c r="C88" t="s">
        <v>15</v>
      </c>
      <c r="D88" t="s">
        <v>1447</v>
      </c>
      <c r="E88" t="s">
        <v>174</v>
      </c>
      <c r="F88" s="36">
        <v>18</v>
      </c>
      <c r="G88" t="s">
        <v>919</v>
      </c>
      <c r="I88" cm="1">
        <f t="array" ref="I88">_xlfn.IFNA(INDEX(QHPSelections2016[],MATCH(1,(QHPSelections2016[State Name]=HIX_RatingAreas[[#This Row],[State Code]])*(QHPSelections2016[County Name]=HIX_RatingAreas[[#This Row],[Subdivision]]),0),MATCH("Silver",QHPSelections2016[#Headers],0)),0)</f>
        <v>617</v>
      </c>
      <c r="J88" cm="1">
        <f t="array" ref="J88">_xlfn.IFNA(INDEX(QHPSelections2016[],MATCH(1,(QHPSelections2016[State Name]=HIX_RatingAreas[[#This Row],[State Code]])*(QHPSelections2016[County Name]=HIX_RatingAreas[[#This Row],[Subdivision]]),0),MATCH("Total Plan Selections",QHPSelections2016[#Headers],0)),0)</f>
        <v>748</v>
      </c>
      <c r="L88" t="str" cm="1">
        <f t="array" ref="L88">INDEX(QHPSelections2016[],MATCH(1,(QHPSelections2016[State Name]=HIX_RatingAreas[[#This Row],[State Code]])*(QHPSelections2016[County Name]=HIX_RatingAreas[[#This Row],[Subdivision]]),0),MATCH("County Name",QHPSelections2016[#Headers],0))</f>
        <v>Franklin County</v>
      </c>
      <c r="M88" t="b">
        <f>L88=HIX_RatingAreas[[#This Row],[Subdivision]]</f>
        <v>1</v>
      </c>
      <c r="N88">
        <v>85</v>
      </c>
      <c r="P88" s="49" t="s">
        <v>16</v>
      </c>
      <c r="Q88" s="50" t="s">
        <v>72</v>
      </c>
      <c r="R88">
        <f>SUMIFS(HIX_RatingAreas[Silver Selections 2016],HIX_RatingAreas[State],P88,HIX_RatingAreas[Rating Area ID],Q88)</f>
        <v>7906</v>
      </c>
      <c r="S88">
        <f t="shared" ref="S88:S103" si="3">R88/R$87</f>
        <v>1.766257905824898E-2</v>
      </c>
      <c r="W88">
        <f>SUMIFS(HIX_RatingAreas[Total Plan Selections 2016],HIX_RatingAreas[State],P88,HIX_RatingAreas[Rating Area ID],Q88)</f>
        <v>10409</v>
      </c>
    </row>
    <row r="89" spans="3:23">
      <c r="C89" t="s">
        <v>15</v>
      </c>
      <c r="D89" t="s">
        <v>1447</v>
      </c>
      <c r="E89" t="s">
        <v>175</v>
      </c>
      <c r="F89" s="36">
        <v>19</v>
      </c>
      <c r="G89" t="s">
        <v>926</v>
      </c>
      <c r="I89" cm="1">
        <f t="array" ref="I89">_xlfn.IFNA(INDEX(QHPSelections2016[],MATCH(1,(QHPSelections2016[State Name]=HIX_RatingAreas[[#This Row],[State Code]])*(QHPSelections2016[County Name]=HIX_RatingAreas[[#This Row],[Subdivision]]),0),MATCH("Silver",QHPSelections2016[#Headers],0)),0)</f>
        <v>1388</v>
      </c>
      <c r="J89" cm="1">
        <f t="array" ref="J89">_xlfn.IFNA(INDEX(QHPSelections2016[],MATCH(1,(QHPSelections2016[State Name]=HIX_RatingAreas[[#This Row],[State Code]])*(QHPSelections2016[County Name]=HIX_RatingAreas[[#This Row],[Subdivision]]),0),MATCH("Total Plan Selections",QHPSelections2016[#Headers],0)),0)</f>
        <v>1693</v>
      </c>
      <c r="L89" t="str" cm="1">
        <f t="array" ref="L89">INDEX(QHPSelections2016[],MATCH(1,(QHPSelections2016[State Name]=HIX_RatingAreas[[#This Row],[State Code]])*(QHPSelections2016[County Name]=HIX_RatingAreas[[#This Row],[Subdivision]]),0),MATCH("County Name",QHPSelections2016[#Headers],0))</f>
        <v>Gadsden County</v>
      </c>
      <c r="M89" t="b">
        <f>L89=HIX_RatingAreas[[#This Row],[Subdivision]]</f>
        <v>1</v>
      </c>
      <c r="N89">
        <v>86</v>
      </c>
      <c r="P89" s="47" t="s">
        <v>16</v>
      </c>
      <c r="Q89" s="48" t="s">
        <v>74</v>
      </c>
      <c r="R89">
        <f>SUMIFS(HIX_RatingAreas[Silver Selections 2016],HIX_RatingAreas[State],P89,HIX_RatingAreas[Rating Area ID],Q89)</f>
        <v>12240</v>
      </c>
      <c r="S89">
        <f t="shared" si="3"/>
        <v>2.7345050300147673E-2</v>
      </c>
      <c r="W89">
        <f>SUMIFS(HIX_RatingAreas[Total Plan Selections 2016],HIX_RatingAreas[State],P89,HIX_RatingAreas[Rating Area ID],Q89)</f>
        <v>16180</v>
      </c>
    </row>
    <row r="90" spans="3:23">
      <c r="C90" t="s">
        <v>15</v>
      </c>
      <c r="D90" t="s">
        <v>1447</v>
      </c>
      <c r="E90" t="s">
        <v>177</v>
      </c>
      <c r="F90" s="36">
        <v>20</v>
      </c>
      <c r="G90" t="s">
        <v>930</v>
      </c>
      <c r="I90" cm="1">
        <f t="array" ref="I90">_xlfn.IFNA(INDEX(QHPSelections2016[],MATCH(1,(QHPSelections2016[State Name]=HIX_RatingAreas[[#This Row],[State Code]])*(QHPSelections2016[County Name]=HIX_RatingAreas[[#This Row],[Subdivision]]),0),MATCH("Silver",QHPSelections2016[#Headers],0)),0)</f>
        <v>600</v>
      </c>
      <c r="J90" cm="1">
        <f t="array" ref="J90">_xlfn.IFNA(INDEX(QHPSelections2016[],MATCH(1,(QHPSelections2016[State Name]=HIX_RatingAreas[[#This Row],[State Code]])*(QHPSelections2016[County Name]=HIX_RatingAreas[[#This Row],[Subdivision]]),0),MATCH("Total Plan Selections",QHPSelections2016[#Headers],0)),0)</f>
        <v>747</v>
      </c>
      <c r="L90" t="str" cm="1">
        <f t="array" ref="L90">INDEX(QHPSelections2016[],MATCH(1,(QHPSelections2016[State Name]=HIX_RatingAreas[[#This Row],[State Code]])*(QHPSelections2016[County Name]=HIX_RatingAreas[[#This Row],[Subdivision]]),0),MATCH("County Name",QHPSelections2016[#Headers],0))</f>
        <v>Gilchrist County</v>
      </c>
      <c r="M90" t="b">
        <f>L90=HIX_RatingAreas[[#This Row],[Subdivision]]</f>
        <v>1</v>
      </c>
      <c r="N90">
        <v>87</v>
      </c>
      <c r="P90" s="49" t="s">
        <v>16</v>
      </c>
      <c r="Q90" s="50" t="s">
        <v>76</v>
      </c>
      <c r="R90">
        <f>SUMIFS(HIX_RatingAreas[Silver Selections 2016],HIX_RatingAreas[State],P90,HIX_RatingAreas[Rating Area ID],Q90)</f>
        <v>276722</v>
      </c>
      <c r="S90">
        <f t="shared" si="3"/>
        <v>0.6182170759115575</v>
      </c>
      <c r="W90">
        <f>SUMIFS(HIX_RatingAreas[Total Plan Selections 2016],HIX_RatingAreas[State],P90,HIX_RatingAreas[Rating Area ID],Q90)</f>
        <v>369625</v>
      </c>
    </row>
    <row r="91" spans="3:23">
      <c r="C91" t="s">
        <v>15</v>
      </c>
      <c r="D91" t="s">
        <v>1447</v>
      </c>
      <c r="E91" t="s">
        <v>179</v>
      </c>
      <c r="F91" s="36">
        <v>21</v>
      </c>
      <c r="G91" t="s">
        <v>935</v>
      </c>
      <c r="I91" cm="1">
        <f t="array" ref="I91">_xlfn.IFNA(INDEX(QHPSelections2016[],MATCH(1,(QHPSelections2016[State Name]=HIX_RatingAreas[[#This Row],[State Code]])*(QHPSelections2016[County Name]=HIX_RatingAreas[[#This Row],[Subdivision]]),0),MATCH("Silver",QHPSelections2016[#Headers],0)),0)</f>
        <v>418</v>
      </c>
      <c r="J91" cm="1">
        <f t="array" ref="J91">_xlfn.IFNA(INDEX(QHPSelections2016[],MATCH(1,(QHPSelections2016[State Name]=HIX_RatingAreas[[#This Row],[State Code]])*(QHPSelections2016[County Name]=HIX_RatingAreas[[#This Row],[Subdivision]]),0),MATCH("Total Plan Selections",QHPSelections2016[#Headers],0)),0)</f>
        <v>507</v>
      </c>
      <c r="L91" t="str" cm="1">
        <f t="array" ref="L91">INDEX(QHPSelections2016[],MATCH(1,(QHPSelections2016[State Name]=HIX_RatingAreas[[#This Row],[State Code]])*(QHPSelections2016[County Name]=HIX_RatingAreas[[#This Row],[Subdivision]]),0),MATCH("County Name",QHPSelections2016[#Headers],0))</f>
        <v>Glades County</v>
      </c>
      <c r="M91" t="b">
        <f>L91=HIX_RatingAreas[[#This Row],[Subdivision]]</f>
        <v>1</v>
      </c>
      <c r="N91">
        <v>88</v>
      </c>
      <c r="P91" s="47" t="s">
        <v>16</v>
      </c>
      <c r="Q91" s="48" t="s">
        <v>84</v>
      </c>
      <c r="R91">
        <f>SUMIFS(HIX_RatingAreas[Silver Selections 2016],HIX_RatingAreas[State],P91,HIX_RatingAreas[Rating Area ID],Q91)</f>
        <v>6975</v>
      </c>
      <c r="S91">
        <f t="shared" si="3"/>
        <v>1.5582657340157681E-2</v>
      </c>
      <c r="W91">
        <f>SUMIFS(HIX_RatingAreas[Total Plan Selections 2016],HIX_RatingAreas[State],P91,HIX_RatingAreas[Rating Area ID],Q91)</f>
        <v>9072</v>
      </c>
    </row>
    <row r="92" spans="3:23">
      <c r="C92" t="s">
        <v>15</v>
      </c>
      <c r="D92" t="s">
        <v>1447</v>
      </c>
      <c r="E92" t="s">
        <v>181</v>
      </c>
      <c r="F92" s="36">
        <v>22</v>
      </c>
      <c r="G92" t="s">
        <v>942</v>
      </c>
      <c r="I92" cm="1">
        <f t="array" ref="I92">_xlfn.IFNA(INDEX(QHPSelections2016[],MATCH(1,(QHPSelections2016[State Name]=HIX_RatingAreas[[#This Row],[State Code]])*(QHPSelections2016[County Name]=HIX_RatingAreas[[#This Row],[Subdivision]]),0),MATCH("Silver",QHPSelections2016[#Headers],0)),0)</f>
        <v>640</v>
      </c>
      <c r="J92" cm="1">
        <f t="array" ref="J92">_xlfn.IFNA(INDEX(QHPSelections2016[],MATCH(1,(QHPSelections2016[State Name]=HIX_RatingAreas[[#This Row],[State Code]])*(QHPSelections2016[County Name]=HIX_RatingAreas[[#This Row],[Subdivision]]),0),MATCH("Total Plan Selections",QHPSelections2016[#Headers],0)),0)</f>
        <v>821</v>
      </c>
      <c r="L92" t="str" cm="1">
        <f t="array" ref="L92">INDEX(QHPSelections2016[],MATCH(1,(QHPSelections2016[State Name]=HIX_RatingAreas[[#This Row],[State Code]])*(QHPSelections2016[County Name]=HIX_RatingAreas[[#This Row],[Subdivision]]),0),MATCH("County Name",QHPSelections2016[#Headers],0))</f>
        <v>Gulf County</v>
      </c>
      <c r="M92" t="b">
        <f>L92=HIX_RatingAreas[[#This Row],[Subdivision]]</f>
        <v>1</v>
      </c>
      <c r="N92">
        <v>89</v>
      </c>
      <c r="P92" s="49" t="s">
        <v>16</v>
      </c>
      <c r="Q92" s="50" t="s">
        <v>86</v>
      </c>
      <c r="R92">
        <f>SUMIFS(HIX_RatingAreas[Silver Selections 2016],HIX_RatingAreas[State],P92,HIX_RatingAreas[Rating Area ID],Q92)</f>
        <v>18495</v>
      </c>
      <c r="S92">
        <f t="shared" si="3"/>
        <v>4.1319175269708429E-2</v>
      </c>
      <c r="W92">
        <f>SUMIFS(HIX_RatingAreas[Total Plan Selections 2016],HIX_RatingAreas[State],P92,HIX_RatingAreas[Rating Area ID],Q92)</f>
        <v>23119</v>
      </c>
    </row>
    <row r="93" spans="3:23">
      <c r="C93" t="s">
        <v>15</v>
      </c>
      <c r="D93" t="s">
        <v>1447</v>
      </c>
      <c r="E93" t="s">
        <v>183</v>
      </c>
      <c r="F93" s="36">
        <v>23</v>
      </c>
      <c r="G93" t="s">
        <v>947</v>
      </c>
      <c r="I93" cm="1">
        <f t="array" ref="I93">_xlfn.IFNA(INDEX(QHPSelections2016[],MATCH(1,(QHPSelections2016[State Name]=HIX_RatingAreas[[#This Row],[State Code]])*(QHPSelections2016[County Name]=HIX_RatingAreas[[#This Row],[Subdivision]]),0),MATCH("Silver",QHPSelections2016[#Headers],0)),0)</f>
        <v>450</v>
      </c>
      <c r="J93" cm="1">
        <f t="array" ref="J93">_xlfn.IFNA(INDEX(QHPSelections2016[],MATCH(1,(QHPSelections2016[State Name]=HIX_RatingAreas[[#This Row],[State Code]])*(QHPSelections2016[County Name]=HIX_RatingAreas[[#This Row],[Subdivision]]),0),MATCH("Total Plan Selections",QHPSelections2016[#Headers],0)),0)</f>
        <v>543</v>
      </c>
      <c r="L93" t="str" cm="1">
        <f t="array" ref="L93">INDEX(QHPSelections2016[],MATCH(1,(QHPSelections2016[State Name]=HIX_RatingAreas[[#This Row],[State Code]])*(QHPSelections2016[County Name]=HIX_RatingAreas[[#This Row],[Subdivision]]),0),MATCH("County Name",QHPSelections2016[#Headers],0))</f>
        <v>Hamilton County</v>
      </c>
      <c r="M93" t="b">
        <f>L93=HIX_RatingAreas[[#This Row],[Subdivision]]</f>
        <v>1</v>
      </c>
      <c r="N93">
        <v>90</v>
      </c>
      <c r="P93" s="47" t="s">
        <v>16</v>
      </c>
      <c r="Q93" s="48" t="s">
        <v>89</v>
      </c>
      <c r="R93">
        <f>SUMIFS(HIX_RatingAreas[Silver Selections 2016],HIX_RatingAreas[State],P93,HIX_RatingAreas[Rating Area ID],Q93)</f>
        <v>10525</v>
      </c>
      <c r="S93">
        <f t="shared" si="3"/>
        <v>2.3513615556295282E-2</v>
      </c>
      <c r="W93">
        <f>SUMIFS(HIX_RatingAreas[Total Plan Selections 2016],HIX_RatingAreas[State],P93,HIX_RatingAreas[Rating Area ID],Q93)</f>
        <v>13442</v>
      </c>
    </row>
    <row r="94" spans="3:23">
      <c r="C94" t="s">
        <v>15</v>
      </c>
      <c r="D94" t="s">
        <v>1447</v>
      </c>
      <c r="E94" t="s">
        <v>185</v>
      </c>
      <c r="F94" s="36">
        <v>24</v>
      </c>
      <c r="G94" t="s">
        <v>954</v>
      </c>
      <c r="I94" cm="1">
        <f t="array" ref="I94">_xlfn.IFNA(INDEX(QHPSelections2016[],MATCH(1,(QHPSelections2016[State Name]=HIX_RatingAreas[[#This Row],[State Code]])*(QHPSelections2016[County Name]=HIX_RatingAreas[[#This Row],[Subdivision]]),0),MATCH("Silver",QHPSelections2016[#Headers],0)),0)</f>
        <v>876</v>
      </c>
      <c r="J94" cm="1">
        <f t="array" ref="J94">_xlfn.IFNA(INDEX(QHPSelections2016[],MATCH(1,(QHPSelections2016[State Name]=HIX_RatingAreas[[#This Row],[State Code]])*(QHPSelections2016[County Name]=HIX_RatingAreas[[#This Row],[Subdivision]]),0),MATCH("Total Plan Selections",QHPSelections2016[#Headers],0)),0)</f>
        <v>1137</v>
      </c>
      <c r="L94" t="str" cm="1">
        <f t="array" ref="L94">INDEX(QHPSelections2016[],MATCH(1,(QHPSelections2016[State Name]=HIX_RatingAreas[[#This Row],[State Code]])*(QHPSelections2016[County Name]=HIX_RatingAreas[[#This Row],[Subdivision]]),0),MATCH("County Name",QHPSelections2016[#Headers],0))</f>
        <v>Hardee County</v>
      </c>
      <c r="M94" t="b">
        <f>L94=HIX_RatingAreas[[#This Row],[Subdivision]]</f>
        <v>1</v>
      </c>
      <c r="N94">
        <v>91</v>
      </c>
      <c r="P94" s="49" t="s">
        <v>16</v>
      </c>
      <c r="Q94" s="50" t="s">
        <v>93</v>
      </c>
      <c r="R94">
        <f>SUMIFS(HIX_RatingAreas[Silver Selections 2016],HIX_RatingAreas[State],P94,HIX_RatingAreas[Rating Area ID],Q94)</f>
        <v>4784</v>
      </c>
      <c r="S94">
        <f t="shared" si="3"/>
        <v>1.0687803973521769E-2</v>
      </c>
      <c r="W94">
        <f>SUMIFS(HIX_RatingAreas[Total Plan Selections 2016],HIX_RatingAreas[State],P94,HIX_RatingAreas[Rating Area ID],Q94)</f>
        <v>5998</v>
      </c>
    </row>
    <row r="95" spans="3:23">
      <c r="C95" t="s">
        <v>15</v>
      </c>
      <c r="D95" t="s">
        <v>1447</v>
      </c>
      <c r="E95" t="s">
        <v>187</v>
      </c>
      <c r="F95" s="36">
        <v>25</v>
      </c>
      <c r="G95" t="s">
        <v>959</v>
      </c>
      <c r="I95" cm="1">
        <f t="array" ref="I95">_xlfn.IFNA(INDEX(QHPSelections2016[],MATCH(1,(QHPSelections2016[State Name]=HIX_RatingAreas[[#This Row],[State Code]])*(QHPSelections2016[County Name]=HIX_RatingAreas[[#This Row],[Subdivision]]),0),MATCH("Silver",QHPSelections2016[#Headers],0)),0)</f>
        <v>2332</v>
      </c>
      <c r="J95" cm="1">
        <f t="array" ref="J95">_xlfn.IFNA(INDEX(QHPSelections2016[],MATCH(1,(QHPSelections2016[State Name]=HIX_RatingAreas[[#This Row],[State Code]])*(QHPSelections2016[County Name]=HIX_RatingAreas[[#This Row],[Subdivision]]),0),MATCH("Total Plan Selections",QHPSelections2016[#Headers],0)),0)</f>
        <v>2641</v>
      </c>
      <c r="L95" t="str" cm="1">
        <f t="array" ref="L95">INDEX(QHPSelections2016[],MATCH(1,(QHPSelections2016[State Name]=HIX_RatingAreas[[#This Row],[State Code]])*(QHPSelections2016[County Name]=HIX_RatingAreas[[#This Row],[Subdivision]]),0),MATCH("County Name",QHPSelections2016[#Headers],0))</f>
        <v>Hendry County</v>
      </c>
      <c r="M95" t="b">
        <f>L95=HIX_RatingAreas[[#This Row],[Subdivision]]</f>
        <v>1</v>
      </c>
      <c r="N95">
        <v>92</v>
      </c>
      <c r="P95" s="47" t="s">
        <v>16</v>
      </c>
      <c r="Q95" s="48" t="s">
        <v>96</v>
      </c>
      <c r="R95">
        <f>SUMIFS(HIX_RatingAreas[Silver Selections 2016],HIX_RatingAreas[State],P95,HIX_RatingAreas[Rating Area ID],Q95)</f>
        <v>11842</v>
      </c>
      <c r="S95">
        <f t="shared" si="3"/>
        <v>2.6455889350845484E-2</v>
      </c>
      <c r="W95">
        <f>SUMIFS(HIX_RatingAreas[Total Plan Selections 2016],HIX_RatingAreas[State],P95,HIX_RatingAreas[Rating Area ID],Q95)</f>
        <v>14914</v>
      </c>
    </row>
    <row r="96" spans="3:23">
      <c r="C96" t="s">
        <v>15</v>
      </c>
      <c r="D96" t="s">
        <v>1447</v>
      </c>
      <c r="E96" t="s">
        <v>189</v>
      </c>
      <c r="F96" s="36">
        <v>26</v>
      </c>
      <c r="G96" t="s">
        <v>965</v>
      </c>
      <c r="I96" cm="1">
        <f t="array" ref="I96">_xlfn.IFNA(INDEX(QHPSelections2016[],MATCH(1,(QHPSelections2016[State Name]=HIX_RatingAreas[[#This Row],[State Code]])*(QHPSelections2016[County Name]=HIX_RatingAreas[[#This Row],[Subdivision]]),0),MATCH("Silver",QHPSelections2016[#Headers],0)),0)</f>
        <v>9962</v>
      </c>
      <c r="J96" cm="1">
        <f t="array" ref="J96">_xlfn.IFNA(INDEX(QHPSelections2016[],MATCH(1,(QHPSelections2016[State Name]=HIX_RatingAreas[[#This Row],[State Code]])*(QHPSelections2016[County Name]=HIX_RatingAreas[[#This Row],[Subdivision]]),0),MATCH("Total Plan Selections",QHPSelections2016[#Headers],0)),0)</f>
        <v>12035</v>
      </c>
      <c r="L96" t="str" cm="1">
        <f t="array" ref="L96">INDEX(QHPSelections2016[],MATCH(1,(QHPSelections2016[State Name]=HIX_RatingAreas[[#This Row],[State Code]])*(QHPSelections2016[County Name]=HIX_RatingAreas[[#This Row],[Subdivision]]),0),MATCH("County Name",QHPSelections2016[#Headers],0))</f>
        <v>Hernando County</v>
      </c>
      <c r="M96" t="b">
        <f>L96=HIX_RatingAreas[[#This Row],[Subdivision]]</f>
        <v>1</v>
      </c>
      <c r="N96">
        <v>93</v>
      </c>
      <c r="P96" s="49" t="s">
        <v>16</v>
      </c>
      <c r="Q96" s="50" t="s">
        <v>98</v>
      </c>
      <c r="R96">
        <f>SUMIFS(HIX_RatingAreas[Silver Selections 2016],HIX_RatingAreas[State],P96,HIX_RatingAreas[Rating Area ID],Q96)</f>
        <v>5332</v>
      </c>
      <c r="S96">
        <f t="shared" si="3"/>
        <v>1.1912075833364982E-2</v>
      </c>
      <c r="W96">
        <f>SUMIFS(HIX_RatingAreas[Total Plan Selections 2016],HIX_RatingAreas[State],P96,HIX_RatingAreas[Rating Area ID],Q96)</f>
        <v>6412</v>
      </c>
    </row>
    <row r="97" spans="3:23">
      <c r="C97" t="s">
        <v>15</v>
      </c>
      <c r="D97" t="s">
        <v>1447</v>
      </c>
      <c r="E97" t="s">
        <v>191</v>
      </c>
      <c r="F97" s="36">
        <v>27</v>
      </c>
      <c r="G97" t="s">
        <v>969</v>
      </c>
      <c r="I97" cm="1">
        <f t="array" ref="I97">_xlfn.IFNA(INDEX(QHPSelections2016[],MATCH(1,(QHPSelections2016[State Name]=HIX_RatingAreas[[#This Row],[State Code]])*(QHPSelections2016[County Name]=HIX_RatingAreas[[#This Row],[Subdivision]]),0),MATCH("Silver",QHPSelections2016[#Headers],0)),0)</f>
        <v>4317</v>
      </c>
      <c r="J97" cm="1">
        <f t="array" ref="J97">_xlfn.IFNA(INDEX(QHPSelections2016[],MATCH(1,(QHPSelections2016[State Name]=HIX_RatingAreas[[#This Row],[State Code]])*(QHPSelections2016[County Name]=HIX_RatingAreas[[#This Row],[Subdivision]]),0),MATCH("Total Plan Selections",QHPSelections2016[#Headers],0)),0)</f>
        <v>5310</v>
      </c>
      <c r="L97" t="str" cm="1">
        <f t="array" ref="L97">INDEX(QHPSelections2016[],MATCH(1,(QHPSelections2016[State Name]=HIX_RatingAreas[[#This Row],[State Code]])*(QHPSelections2016[County Name]=HIX_RatingAreas[[#This Row],[Subdivision]]),0),MATCH("County Name",QHPSelections2016[#Headers],0))</f>
        <v>Highlands County</v>
      </c>
      <c r="M97" t="b">
        <f>L97=HIX_RatingAreas[[#This Row],[Subdivision]]</f>
        <v>1</v>
      </c>
      <c r="N97">
        <v>94</v>
      </c>
      <c r="P97" s="47" t="s">
        <v>16</v>
      </c>
      <c r="Q97" s="48" t="s">
        <v>101</v>
      </c>
      <c r="R97">
        <f>SUMIFS(HIX_RatingAreas[Silver Selections 2016],HIX_RatingAreas[State],P97,HIX_RatingAreas[Rating Area ID],Q97)</f>
        <v>19412</v>
      </c>
      <c r="S97">
        <f t="shared" si="3"/>
        <v>4.3367819969482566E-2</v>
      </c>
      <c r="W97">
        <f>SUMIFS(HIX_RatingAreas[Total Plan Selections 2016],HIX_RatingAreas[State],P97,HIX_RatingAreas[Rating Area ID],Q97)</f>
        <v>24598</v>
      </c>
    </row>
    <row r="98" spans="3:23">
      <c r="C98" t="s">
        <v>15</v>
      </c>
      <c r="D98" t="s">
        <v>1447</v>
      </c>
      <c r="E98" t="s">
        <v>193</v>
      </c>
      <c r="F98" s="36">
        <v>28</v>
      </c>
      <c r="G98" t="s">
        <v>976</v>
      </c>
      <c r="I98" cm="1">
        <f t="array" ref="I98">_xlfn.IFNA(INDEX(QHPSelections2016[],MATCH(1,(QHPSelections2016[State Name]=HIX_RatingAreas[[#This Row],[State Code]])*(QHPSelections2016[County Name]=HIX_RatingAreas[[#This Row],[Subdivision]]),0),MATCH("Silver",QHPSelections2016[#Headers],0)),0)</f>
        <v>65078</v>
      </c>
      <c r="J98" cm="1">
        <f t="array" ref="J98">_xlfn.IFNA(INDEX(QHPSelections2016[],MATCH(1,(QHPSelections2016[State Name]=HIX_RatingAreas[[#This Row],[State Code]])*(QHPSelections2016[County Name]=HIX_RatingAreas[[#This Row],[Subdivision]]),0),MATCH("Total Plan Selections",QHPSelections2016[#Headers],0)),0)</f>
        <v>83941</v>
      </c>
      <c r="L98" t="str" cm="1">
        <f t="array" ref="L98">INDEX(QHPSelections2016[],MATCH(1,(QHPSelections2016[State Name]=HIX_RatingAreas[[#This Row],[State Code]])*(QHPSelections2016[County Name]=HIX_RatingAreas[[#This Row],[Subdivision]]),0),MATCH("County Name",QHPSelections2016[#Headers],0))</f>
        <v>Hillsborough County</v>
      </c>
      <c r="M98" t="b">
        <f>L98=HIX_RatingAreas[[#This Row],[Subdivision]]</f>
        <v>1</v>
      </c>
      <c r="N98">
        <v>95</v>
      </c>
      <c r="P98" s="49" t="s">
        <v>16</v>
      </c>
      <c r="Q98" s="50" t="s">
        <v>103</v>
      </c>
      <c r="R98">
        <f>SUMIFS(HIX_RatingAreas[Silver Selections 2016],HIX_RatingAreas[State],P98,HIX_RatingAreas[Rating Area ID],Q98)</f>
        <v>6166</v>
      </c>
      <c r="S98">
        <f t="shared" si="3"/>
        <v>1.3775292495973084E-2</v>
      </c>
      <c r="W98">
        <f>SUMIFS(HIX_RatingAreas[Total Plan Selections 2016],HIX_RatingAreas[State],P98,HIX_RatingAreas[Rating Area ID],Q98)</f>
        <v>7544</v>
      </c>
    </row>
    <row r="99" spans="3:23">
      <c r="C99" t="s">
        <v>15</v>
      </c>
      <c r="D99" t="s">
        <v>1447</v>
      </c>
      <c r="E99" t="s">
        <v>195</v>
      </c>
      <c r="F99" s="36">
        <v>29</v>
      </c>
      <c r="G99" t="s">
        <v>967</v>
      </c>
      <c r="I99" cm="1">
        <f t="array" ref="I99">_xlfn.IFNA(INDEX(QHPSelections2016[],MATCH(1,(QHPSelections2016[State Name]=HIX_RatingAreas[[#This Row],[State Code]])*(QHPSelections2016[County Name]=HIX_RatingAreas[[#This Row],[Subdivision]]),0),MATCH("Silver",QHPSelections2016[#Headers],0)),0)</f>
        <v>649</v>
      </c>
      <c r="J99" cm="1">
        <f t="array" ref="J99">_xlfn.IFNA(INDEX(QHPSelections2016[],MATCH(1,(QHPSelections2016[State Name]=HIX_RatingAreas[[#This Row],[State Code]])*(QHPSelections2016[County Name]=HIX_RatingAreas[[#This Row],[Subdivision]]),0),MATCH("Total Plan Selections",QHPSelections2016[#Headers],0)),0)</f>
        <v>789</v>
      </c>
      <c r="L99" t="str" cm="1">
        <f t="array" ref="L99">INDEX(QHPSelections2016[],MATCH(1,(QHPSelections2016[State Name]=HIX_RatingAreas[[#This Row],[State Code]])*(QHPSelections2016[County Name]=HIX_RatingAreas[[#This Row],[Subdivision]]),0),MATCH("County Name",QHPSelections2016[#Headers],0))</f>
        <v>Holmes County</v>
      </c>
      <c r="M99" t="b">
        <f>L99=HIX_RatingAreas[[#This Row],[Subdivision]]</f>
        <v>1</v>
      </c>
      <c r="N99">
        <v>96</v>
      </c>
      <c r="P99" s="47" t="s">
        <v>16</v>
      </c>
      <c r="Q99" s="48" t="s">
        <v>108</v>
      </c>
      <c r="R99">
        <f>SUMIFS(HIX_RatingAreas[Silver Selections 2016],HIX_RatingAreas[State],P99,HIX_RatingAreas[Rating Area ID],Q99)</f>
        <v>15726</v>
      </c>
      <c r="S99">
        <f t="shared" si="3"/>
        <v>3.5133027861121102E-2</v>
      </c>
      <c r="W99">
        <f>SUMIFS(HIX_RatingAreas[Total Plan Selections 2016],HIX_RatingAreas[State],P99,HIX_RatingAreas[Rating Area ID],Q99)</f>
        <v>19821</v>
      </c>
    </row>
    <row r="100" spans="3:23">
      <c r="C100" t="s">
        <v>15</v>
      </c>
      <c r="D100" t="s">
        <v>1447</v>
      </c>
      <c r="E100" t="s">
        <v>197</v>
      </c>
      <c r="F100" s="36">
        <v>30</v>
      </c>
      <c r="G100" t="s">
        <v>982</v>
      </c>
      <c r="I100" cm="1">
        <f t="array" ref="I100">_xlfn.IFNA(INDEX(QHPSelections2016[],MATCH(1,(QHPSelections2016[State Name]=HIX_RatingAreas[[#This Row],[State Code]])*(QHPSelections2016[County Name]=HIX_RatingAreas[[#This Row],[Subdivision]]),0),MATCH("Silver",QHPSelections2016[#Headers],0)),0)</f>
        <v>8006</v>
      </c>
      <c r="J100" cm="1">
        <f t="array" ref="J100">_xlfn.IFNA(INDEX(QHPSelections2016[],MATCH(1,(QHPSelections2016[State Name]=HIX_RatingAreas[[#This Row],[State Code]])*(QHPSelections2016[County Name]=HIX_RatingAreas[[#This Row],[Subdivision]]),0),MATCH("Total Plan Selections",QHPSelections2016[#Headers],0)),0)</f>
        <v>10396</v>
      </c>
      <c r="L100" t="str" cm="1">
        <f t="array" ref="L100">INDEX(QHPSelections2016[],MATCH(1,(QHPSelections2016[State Name]=HIX_RatingAreas[[#This Row],[State Code]])*(QHPSelections2016[County Name]=HIX_RatingAreas[[#This Row],[Subdivision]]),0),MATCH("County Name",QHPSelections2016[#Headers],0))</f>
        <v>Indian River County</v>
      </c>
      <c r="M100" t="b">
        <f>L100=HIX_RatingAreas[[#This Row],[Subdivision]]</f>
        <v>1</v>
      </c>
      <c r="N100">
        <v>97</v>
      </c>
      <c r="P100" s="49" t="s">
        <v>16</v>
      </c>
      <c r="Q100" s="50" t="s">
        <v>112</v>
      </c>
      <c r="R100">
        <f>SUMIFS(HIX_RatingAreas[Silver Selections 2016],HIX_RatingAreas[State],P100,HIX_RatingAreas[Rating Area ID],Q100)</f>
        <v>9919</v>
      </c>
      <c r="S100">
        <f t="shared" si="3"/>
        <v>2.2159767477709539E-2</v>
      </c>
      <c r="W100">
        <f>SUMIFS(HIX_RatingAreas[Total Plan Selections 2016],HIX_RatingAreas[State],P100,HIX_RatingAreas[Rating Area ID],Q100)</f>
        <v>12515</v>
      </c>
    </row>
    <row r="101" spans="3:23">
      <c r="C101" t="s">
        <v>15</v>
      </c>
      <c r="D101" t="s">
        <v>1447</v>
      </c>
      <c r="E101" t="s">
        <v>199</v>
      </c>
      <c r="F101" s="36">
        <v>31</v>
      </c>
      <c r="G101" t="s">
        <v>984</v>
      </c>
      <c r="I101" cm="1">
        <f t="array" ref="I101">_xlfn.IFNA(INDEX(QHPSelections2016[],MATCH(1,(QHPSelections2016[State Name]=HIX_RatingAreas[[#This Row],[State Code]])*(QHPSelections2016[County Name]=HIX_RatingAreas[[#This Row],[Subdivision]]),0),MATCH("Silver",QHPSelections2016[#Headers],0)),0)</f>
        <v>1556</v>
      </c>
      <c r="J101" cm="1">
        <f t="array" ref="J101">_xlfn.IFNA(INDEX(QHPSelections2016[],MATCH(1,(QHPSelections2016[State Name]=HIX_RatingAreas[[#This Row],[State Code]])*(QHPSelections2016[County Name]=HIX_RatingAreas[[#This Row],[Subdivision]]),0),MATCH("Total Plan Selections",QHPSelections2016[#Headers],0)),0)</f>
        <v>1895</v>
      </c>
      <c r="L101" t="str" cm="1">
        <f t="array" ref="L101">INDEX(QHPSelections2016[],MATCH(1,(QHPSelections2016[State Name]=HIX_RatingAreas[[#This Row],[State Code]])*(QHPSelections2016[County Name]=HIX_RatingAreas[[#This Row],[Subdivision]]),0),MATCH("County Name",QHPSelections2016[#Headers],0))</f>
        <v>Jackson County</v>
      </c>
      <c r="M101" t="b">
        <f>L101=HIX_RatingAreas[[#This Row],[Subdivision]]</f>
        <v>1</v>
      </c>
      <c r="N101">
        <v>98</v>
      </c>
      <c r="P101" s="47" t="s">
        <v>16</v>
      </c>
      <c r="Q101" s="48" t="s">
        <v>167</v>
      </c>
      <c r="R101">
        <f>SUMIFS(HIX_RatingAreas[Silver Selections 2016],HIX_RatingAreas[State],P101,HIX_RatingAreas[Rating Area ID],Q101)</f>
        <v>26670</v>
      </c>
      <c r="S101">
        <f t="shared" si="3"/>
        <v>5.9582719894194315E-2</v>
      </c>
      <c r="W101">
        <f>SUMIFS(HIX_RatingAreas[Total Plan Selections 2016],HIX_RatingAreas[State],P101,HIX_RatingAreas[Rating Area ID],Q101)</f>
        <v>34665</v>
      </c>
    </row>
    <row r="102" spans="3:23">
      <c r="C102" t="s">
        <v>15</v>
      </c>
      <c r="D102" t="s">
        <v>1447</v>
      </c>
      <c r="E102" t="s">
        <v>200</v>
      </c>
      <c r="F102" s="36">
        <v>32</v>
      </c>
      <c r="G102" t="s">
        <v>993</v>
      </c>
      <c r="I102" cm="1">
        <f t="array" ref="I102">_xlfn.IFNA(INDEX(QHPSelections2016[],MATCH(1,(QHPSelections2016[State Name]=HIX_RatingAreas[[#This Row],[State Code]])*(QHPSelections2016[County Name]=HIX_RatingAreas[[#This Row],[Subdivision]]),0),MATCH("Silver",QHPSelections2016[#Headers],0)),0)</f>
        <v>479</v>
      </c>
      <c r="J102" cm="1">
        <f t="array" ref="J102">_xlfn.IFNA(INDEX(QHPSelections2016[],MATCH(1,(QHPSelections2016[State Name]=HIX_RatingAreas[[#This Row],[State Code]])*(QHPSelections2016[County Name]=HIX_RatingAreas[[#This Row],[Subdivision]]),0),MATCH("Total Plan Selections",QHPSelections2016[#Headers],0)),0)</f>
        <v>626</v>
      </c>
      <c r="L102" t="str" cm="1">
        <f t="array" ref="L102">INDEX(QHPSelections2016[],MATCH(1,(QHPSelections2016[State Name]=HIX_RatingAreas[[#This Row],[State Code]])*(QHPSelections2016[County Name]=HIX_RatingAreas[[#This Row],[Subdivision]]),0),MATCH("County Name",QHPSelections2016[#Headers],0))</f>
        <v>Jefferson County</v>
      </c>
      <c r="M102" t="b">
        <f>L102=HIX_RatingAreas[[#This Row],[Subdivision]]</f>
        <v>1</v>
      </c>
      <c r="N102">
        <v>99</v>
      </c>
      <c r="P102" s="49" t="s">
        <v>16</v>
      </c>
      <c r="Q102" s="50" t="s">
        <v>169</v>
      </c>
      <c r="R102">
        <f>SUMIFS(HIX_RatingAreas[Silver Selections 2016],HIX_RatingAreas[State],P102,HIX_RatingAreas[Rating Area ID],Q102)</f>
        <v>12438</v>
      </c>
      <c r="S102">
        <f t="shared" si="3"/>
        <v>2.7787396702061824E-2</v>
      </c>
      <c r="W102">
        <f>SUMIFS(HIX_RatingAreas[Total Plan Selections 2016],HIX_RatingAreas[State],P102,HIX_RatingAreas[Rating Area ID],Q102)</f>
        <v>16425</v>
      </c>
    </row>
    <row r="103" spans="3:23">
      <c r="C103" t="s">
        <v>15</v>
      </c>
      <c r="D103" t="s">
        <v>1447</v>
      </c>
      <c r="E103" t="s">
        <v>201</v>
      </c>
      <c r="F103" s="36">
        <v>33</v>
      </c>
      <c r="G103" t="s">
        <v>999</v>
      </c>
      <c r="I103" cm="1">
        <f t="array" ref="I103">_xlfn.IFNA(INDEX(QHPSelections2016[],MATCH(1,(QHPSelections2016[State Name]=HIX_RatingAreas[[#This Row],[State Code]])*(QHPSelections2016[County Name]=HIX_RatingAreas[[#This Row],[Subdivision]]),0),MATCH("Silver",QHPSelections2016[#Headers],0)),0)</f>
        <v>264</v>
      </c>
      <c r="J103" cm="1">
        <f t="array" ref="J103">_xlfn.IFNA(INDEX(QHPSelections2016[],MATCH(1,(QHPSelections2016[State Name]=HIX_RatingAreas[[#This Row],[State Code]])*(QHPSelections2016[County Name]=HIX_RatingAreas[[#This Row],[Subdivision]]),0),MATCH("Total Plan Selections",QHPSelections2016[#Headers],0)),0)</f>
        <v>320</v>
      </c>
      <c r="L103" t="str" cm="1">
        <f t="array" ref="L103">INDEX(QHPSelections2016[],MATCH(1,(QHPSelections2016[State Name]=HIX_RatingAreas[[#This Row],[State Code]])*(QHPSelections2016[County Name]=HIX_RatingAreas[[#This Row],[Subdivision]]),0),MATCH("County Name",QHPSelections2016[#Headers],0))</f>
        <v>Lafayette County</v>
      </c>
      <c r="M103" t="b">
        <f>L103=HIX_RatingAreas[[#This Row],[Subdivision]]</f>
        <v>1</v>
      </c>
      <c r="N103">
        <v>100</v>
      </c>
      <c r="P103" s="47" t="s">
        <v>16</v>
      </c>
      <c r="Q103" s="48" t="s">
        <v>171</v>
      </c>
      <c r="R103">
        <f>SUMIFS(HIX_RatingAreas[Silver Selections 2016],HIX_RatingAreas[State],P103,HIX_RatingAreas[Rating Area ID],Q103)</f>
        <v>2461</v>
      </c>
      <c r="S103">
        <f t="shared" si="3"/>
        <v>5.4980530056097567E-3</v>
      </c>
      <c r="W103">
        <f>SUMIFS(HIX_RatingAreas[Total Plan Selections 2016],HIX_RatingAreas[State],P103,HIX_RatingAreas[Rating Area ID],Q103)</f>
        <v>3094</v>
      </c>
    </row>
    <row r="104" spans="3:23">
      <c r="C104" t="s">
        <v>15</v>
      </c>
      <c r="D104" t="s">
        <v>1447</v>
      </c>
      <c r="E104" t="s">
        <v>203</v>
      </c>
      <c r="F104" s="36">
        <v>34</v>
      </c>
      <c r="G104" t="s">
        <v>1005</v>
      </c>
      <c r="I104" cm="1">
        <f t="array" ref="I104">_xlfn.IFNA(INDEX(QHPSelections2016[],MATCH(1,(QHPSelections2016[State Name]=HIX_RatingAreas[[#This Row],[State Code]])*(QHPSelections2016[County Name]=HIX_RatingAreas[[#This Row],[Subdivision]]),0),MATCH("Silver",QHPSelections2016[#Headers],0)),0)</f>
        <v>17560</v>
      </c>
      <c r="J104" cm="1">
        <f t="array" ref="J104">_xlfn.IFNA(INDEX(QHPSelections2016[],MATCH(1,(QHPSelections2016[State Name]=HIX_RatingAreas[[#This Row],[State Code]])*(QHPSelections2016[County Name]=HIX_RatingAreas[[#This Row],[Subdivision]]),0),MATCH("Total Plan Selections",QHPSelections2016[#Headers],0)),0)</f>
        <v>22323</v>
      </c>
      <c r="L104" t="str" cm="1">
        <f t="array" ref="L104">INDEX(QHPSelections2016[],MATCH(1,(QHPSelections2016[State Name]=HIX_RatingAreas[[#This Row],[State Code]])*(QHPSelections2016[County Name]=HIX_RatingAreas[[#This Row],[Subdivision]]),0),MATCH("County Name",QHPSelections2016[#Headers],0))</f>
        <v>Lake County</v>
      </c>
      <c r="M104" t="b">
        <f>L104=HIX_RatingAreas[[#This Row],[Subdivision]]</f>
        <v>1</v>
      </c>
      <c r="N104">
        <v>101</v>
      </c>
      <c r="P104" s="49" t="s">
        <v>24</v>
      </c>
      <c r="Q104" s="50" t="s">
        <v>816</v>
      </c>
      <c r="R104">
        <f>SUM(R105:R112)</f>
        <v>151153</v>
      </c>
      <c r="S104">
        <f>R104/R$104</f>
        <v>1</v>
      </c>
      <c r="U104">
        <f>SUM(S105:S112)</f>
        <v>0.99999999999999989</v>
      </c>
      <c r="W104">
        <f>SUM(W105:W112)</f>
        <v>214143</v>
      </c>
    </row>
    <row r="105" spans="3:23">
      <c r="C105" t="s">
        <v>15</v>
      </c>
      <c r="D105" t="s">
        <v>1447</v>
      </c>
      <c r="E105" t="s">
        <v>205</v>
      </c>
      <c r="F105" s="36">
        <v>35</v>
      </c>
      <c r="G105" t="s">
        <v>1010</v>
      </c>
      <c r="I105" cm="1">
        <f t="array" ref="I105">_xlfn.IFNA(INDEX(QHPSelections2016[],MATCH(1,(QHPSelections2016[State Name]=HIX_RatingAreas[[#This Row],[State Code]])*(QHPSelections2016[County Name]=HIX_RatingAreas[[#This Row],[Subdivision]]),0),MATCH("Silver",QHPSelections2016[#Headers],0)),0)</f>
        <v>39711</v>
      </c>
      <c r="J105" cm="1">
        <f t="array" ref="J105">_xlfn.IFNA(INDEX(QHPSelections2016[],MATCH(1,(QHPSelections2016[State Name]=HIX_RatingAreas[[#This Row],[State Code]])*(QHPSelections2016[County Name]=HIX_RatingAreas[[#This Row],[Subdivision]]),0),MATCH("Total Plan Selections",QHPSelections2016[#Headers],0)),0)</f>
        <v>49821</v>
      </c>
      <c r="L105" t="str" cm="1">
        <f t="array" ref="L105">INDEX(QHPSelections2016[],MATCH(1,(QHPSelections2016[State Name]=HIX_RatingAreas[[#This Row],[State Code]])*(QHPSelections2016[County Name]=HIX_RatingAreas[[#This Row],[Subdivision]]),0),MATCH("County Name",QHPSelections2016[#Headers],0))</f>
        <v>Lee County</v>
      </c>
      <c r="M105" t="b">
        <f>L105=HIX_RatingAreas[[#This Row],[Subdivision]]</f>
        <v>1</v>
      </c>
      <c r="N105">
        <v>102</v>
      </c>
      <c r="P105" s="47" t="s">
        <v>24</v>
      </c>
      <c r="Q105" s="48" t="s">
        <v>72</v>
      </c>
      <c r="R105">
        <f>SUMIFS(HIX_RatingAreas[Silver Selections 2016],HIX_RatingAreas[State],P105,HIX_RatingAreas[Rating Area ID],Q105)</f>
        <v>53921</v>
      </c>
      <c r="S105">
        <f t="shared" ref="S105:S112" si="4">R105/R$104</f>
        <v>0.35673125905539421</v>
      </c>
      <c r="W105">
        <f>SUMIFS(HIX_RatingAreas[Total Plan Selections 2016],HIX_RatingAreas[State],P105,HIX_RatingAreas[Rating Area ID],Q105)</f>
        <v>74438</v>
      </c>
    </row>
    <row r="106" spans="3:23">
      <c r="C106" t="s">
        <v>15</v>
      </c>
      <c r="D106" t="s">
        <v>1447</v>
      </c>
      <c r="E106" t="s">
        <v>206</v>
      </c>
      <c r="F106" s="36">
        <v>36</v>
      </c>
      <c r="G106" t="s">
        <v>1015</v>
      </c>
      <c r="I106" cm="1">
        <f t="array" ref="I106">_xlfn.IFNA(INDEX(QHPSelections2016[],MATCH(1,(QHPSelections2016[State Name]=HIX_RatingAreas[[#This Row],[State Code]])*(QHPSelections2016[County Name]=HIX_RatingAreas[[#This Row],[Subdivision]]),0),MATCH("Silver",QHPSelections2016[#Headers],0)),0)</f>
        <v>9601</v>
      </c>
      <c r="J106" cm="1">
        <f t="array" ref="J106">_xlfn.IFNA(INDEX(QHPSelections2016[],MATCH(1,(QHPSelections2016[State Name]=HIX_RatingAreas[[#This Row],[State Code]])*(QHPSelections2016[County Name]=HIX_RatingAreas[[#This Row],[Subdivision]]),0),MATCH("Total Plan Selections",QHPSelections2016[#Headers],0)),0)</f>
        <v>12296</v>
      </c>
      <c r="L106" t="str" cm="1">
        <f t="array" ref="L106">INDEX(QHPSelections2016[],MATCH(1,(QHPSelections2016[State Name]=HIX_RatingAreas[[#This Row],[State Code]])*(QHPSelections2016[County Name]=HIX_RatingAreas[[#This Row],[Subdivision]]),0),MATCH("County Name",QHPSelections2016[#Headers],0))</f>
        <v>Leon County</v>
      </c>
      <c r="M106" t="b">
        <f>L106=HIX_RatingAreas[[#This Row],[Subdivision]]</f>
        <v>1</v>
      </c>
      <c r="N106">
        <v>103</v>
      </c>
      <c r="P106" s="49" t="s">
        <v>24</v>
      </c>
      <c r="Q106" s="50" t="s">
        <v>74</v>
      </c>
      <c r="R106">
        <f>SUMIFS(HIX_RatingAreas[Silver Selections 2016],HIX_RatingAreas[State],P106,HIX_RatingAreas[Rating Area ID],Q106)</f>
        <v>5654</v>
      </c>
      <c r="S106">
        <f t="shared" si="4"/>
        <v>3.7405807360753676E-2</v>
      </c>
      <c r="W106">
        <f>SUMIFS(HIX_RatingAreas[Total Plan Selections 2016],HIX_RatingAreas[State],P106,HIX_RatingAreas[Rating Area ID],Q106)</f>
        <v>7816</v>
      </c>
    </row>
    <row r="107" spans="3:23">
      <c r="C107" t="s">
        <v>15</v>
      </c>
      <c r="D107" t="s">
        <v>1447</v>
      </c>
      <c r="E107" t="s">
        <v>208</v>
      </c>
      <c r="F107" s="36">
        <v>37</v>
      </c>
      <c r="G107" t="s">
        <v>1018</v>
      </c>
      <c r="I107" cm="1">
        <f t="array" ref="I107">_xlfn.IFNA(INDEX(QHPSelections2016[],MATCH(1,(QHPSelections2016[State Name]=HIX_RatingAreas[[#This Row],[State Code]])*(QHPSelections2016[County Name]=HIX_RatingAreas[[#This Row],[Subdivision]]),0),MATCH("Silver",QHPSelections2016[#Headers],0)),0)</f>
        <v>1902</v>
      </c>
      <c r="J107" cm="1">
        <f t="array" ref="J107">_xlfn.IFNA(INDEX(QHPSelections2016[],MATCH(1,(QHPSelections2016[State Name]=HIX_RatingAreas[[#This Row],[State Code]])*(QHPSelections2016[County Name]=HIX_RatingAreas[[#This Row],[Subdivision]]),0),MATCH("Total Plan Selections",QHPSelections2016[#Headers],0)),0)</f>
        <v>2353</v>
      </c>
      <c r="L107" t="str" cm="1">
        <f t="array" ref="L107">INDEX(QHPSelections2016[],MATCH(1,(QHPSelections2016[State Name]=HIX_RatingAreas[[#This Row],[State Code]])*(QHPSelections2016[County Name]=HIX_RatingAreas[[#This Row],[Subdivision]]),0),MATCH("County Name",QHPSelections2016[#Headers],0))</f>
        <v>Levy County</v>
      </c>
      <c r="M107" t="b">
        <f>L107=HIX_RatingAreas[[#This Row],[Subdivision]]</f>
        <v>1</v>
      </c>
      <c r="N107">
        <v>104</v>
      </c>
      <c r="P107" s="47" t="s">
        <v>24</v>
      </c>
      <c r="Q107" s="48" t="s">
        <v>76</v>
      </c>
      <c r="R107">
        <f>SUMIFS(HIX_RatingAreas[Silver Selections 2016],HIX_RatingAreas[State],P107,HIX_RatingAreas[Rating Area ID],Q107)</f>
        <v>19551</v>
      </c>
      <c r="S107">
        <f t="shared" si="4"/>
        <v>0.12934576224090821</v>
      </c>
      <c r="W107">
        <f>SUMIFS(HIX_RatingAreas[Total Plan Selections 2016],HIX_RatingAreas[State],P107,HIX_RatingAreas[Rating Area ID],Q107)</f>
        <v>27165</v>
      </c>
    </row>
    <row r="108" spans="3:23">
      <c r="C108" t="s">
        <v>15</v>
      </c>
      <c r="D108" t="s">
        <v>1447</v>
      </c>
      <c r="E108" t="s">
        <v>210</v>
      </c>
      <c r="F108" s="36">
        <v>38</v>
      </c>
      <c r="G108" t="s">
        <v>1023</v>
      </c>
      <c r="I108" cm="1">
        <f t="array" ref="I108">_xlfn.IFNA(INDEX(QHPSelections2016[],MATCH(1,(QHPSelections2016[State Name]=HIX_RatingAreas[[#This Row],[State Code]])*(QHPSelections2016[County Name]=HIX_RatingAreas[[#This Row],[Subdivision]]),0),MATCH("Silver",QHPSelections2016[#Headers],0)),0)</f>
        <v>165</v>
      </c>
      <c r="J108" cm="1">
        <f t="array" ref="J108">_xlfn.IFNA(INDEX(QHPSelections2016[],MATCH(1,(QHPSelections2016[State Name]=HIX_RatingAreas[[#This Row],[State Code]])*(QHPSelections2016[County Name]=HIX_RatingAreas[[#This Row],[Subdivision]]),0),MATCH("Total Plan Selections",QHPSelections2016[#Headers],0)),0)</f>
        <v>195</v>
      </c>
      <c r="L108" t="str" cm="1">
        <f t="array" ref="L108">INDEX(QHPSelections2016[],MATCH(1,(QHPSelections2016[State Name]=HIX_RatingAreas[[#This Row],[State Code]])*(QHPSelections2016[County Name]=HIX_RatingAreas[[#This Row],[Subdivision]]),0),MATCH("County Name",QHPSelections2016[#Headers],0))</f>
        <v>Liberty County</v>
      </c>
      <c r="M108" t="b">
        <f>L108=HIX_RatingAreas[[#This Row],[Subdivision]]</f>
        <v>1</v>
      </c>
      <c r="N108">
        <v>105</v>
      </c>
      <c r="P108" s="49" t="s">
        <v>24</v>
      </c>
      <c r="Q108" s="50" t="s">
        <v>84</v>
      </c>
      <c r="R108">
        <f>SUMIFS(HIX_RatingAreas[Silver Selections 2016],HIX_RatingAreas[State],P108,HIX_RatingAreas[Rating Area ID],Q108)</f>
        <v>6998</v>
      </c>
      <c r="S108">
        <f t="shared" si="4"/>
        <v>4.6297460189344573E-2</v>
      </c>
      <c r="W108">
        <f>SUMIFS(HIX_RatingAreas[Total Plan Selections 2016],HIX_RatingAreas[State],P108,HIX_RatingAreas[Rating Area ID],Q108)</f>
        <v>10070</v>
      </c>
    </row>
    <row r="109" spans="3:23">
      <c r="C109" t="s">
        <v>15</v>
      </c>
      <c r="D109" t="s">
        <v>1447</v>
      </c>
      <c r="E109" t="s">
        <v>212</v>
      </c>
      <c r="F109" s="36">
        <v>39</v>
      </c>
      <c r="G109" t="s">
        <v>1029</v>
      </c>
      <c r="I109" cm="1">
        <f t="array" ref="I109">_xlfn.IFNA(INDEX(QHPSelections2016[],MATCH(1,(QHPSelections2016[State Name]=HIX_RatingAreas[[#This Row],[State Code]])*(QHPSelections2016[County Name]=HIX_RatingAreas[[#This Row],[Subdivision]]),0),MATCH("Silver",QHPSelections2016[#Headers],0)),0)</f>
        <v>674</v>
      </c>
      <c r="J109" cm="1">
        <f t="array" ref="J109">_xlfn.IFNA(INDEX(QHPSelections2016[],MATCH(1,(QHPSelections2016[State Name]=HIX_RatingAreas[[#This Row],[State Code]])*(QHPSelections2016[County Name]=HIX_RatingAreas[[#This Row],[Subdivision]]),0),MATCH("Total Plan Selections",QHPSelections2016[#Headers],0)),0)</f>
        <v>820</v>
      </c>
      <c r="L109" t="str" cm="1">
        <f t="array" ref="L109">INDEX(QHPSelections2016[],MATCH(1,(QHPSelections2016[State Name]=HIX_RatingAreas[[#This Row],[State Code]])*(QHPSelections2016[County Name]=HIX_RatingAreas[[#This Row],[Subdivision]]),0),MATCH("County Name",QHPSelections2016[#Headers],0))</f>
        <v>Madison County</v>
      </c>
      <c r="M109" t="b">
        <f>L109=HIX_RatingAreas[[#This Row],[Subdivision]]</f>
        <v>1</v>
      </c>
      <c r="N109">
        <v>106</v>
      </c>
      <c r="P109" s="47" t="s">
        <v>24</v>
      </c>
      <c r="Q109" s="48" t="s">
        <v>86</v>
      </c>
      <c r="R109">
        <f>SUMIFS(HIX_RatingAreas[Silver Selections 2016],HIX_RatingAreas[State],P109,HIX_RatingAreas[Rating Area ID],Q109)</f>
        <v>31102</v>
      </c>
      <c r="S109">
        <f t="shared" si="4"/>
        <v>0.20576501954972776</v>
      </c>
      <c r="W109">
        <f>SUMIFS(HIX_RatingAreas[Total Plan Selections 2016],HIX_RatingAreas[State],P109,HIX_RatingAreas[Rating Area ID],Q109)</f>
        <v>43832</v>
      </c>
    </row>
    <row r="110" spans="3:23">
      <c r="C110" t="s">
        <v>15</v>
      </c>
      <c r="D110" t="s">
        <v>1447</v>
      </c>
      <c r="E110" t="s">
        <v>213</v>
      </c>
      <c r="F110" s="36">
        <v>40</v>
      </c>
      <c r="G110" t="s">
        <v>1034</v>
      </c>
      <c r="I110" cm="1">
        <f t="array" ref="I110">_xlfn.IFNA(INDEX(QHPSelections2016[],MATCH(1,(QHPSelections2016[State Name]=HIX_RatingAreas[[#This Row],[State Code]])*(QHPSelections2016[County Name]=HIX_RatingAreas[[#This Row],[Subdivision]]),0),MATCH("Silver",QHPSelections2016[#Headers],0)),0)</f>
        <v>15266</v>
      </c>
      <c r="J110" cm="1">
        <f t="array" ref="J110">_xlfn.IFNA(INDEX(QHPSelections2016[],MATCH(1,(QHPSelections2016[State Name]=HIX_RatingAreas[[#This Row],[State Code]])*(QHPSelections2016[County Name]=HIX_RatingAreas[[#This Row],[Subdivision]]),0),MATCH("Total Plan Selections",QHPSelections2016[#Headers],0)),0)</f>
        <v>21324</v>
      </c>
      <c r="L110" t="str" cm="1">
        <f t="array" ref="L110">INDEX(QHPSelections2016[],MATCH(1,(QHPSelections2016[State Name]=HIX_RatingAreas[[#This Row],[State Code]])*(QHPSelections2016[County Name]=HIX_RatingAreas[[#This Row],[Subdivision]]),0),MATCH("County Name",QHPSelections2016[#Headers],0))</f>
        <v>Manatee County</v>
      </c>
      <c r="M110" t="b">
        <f>L110=HIX_RatingAreas[[#This Row],[Subdivision]]</f>
        <v>1</v>
      </c>
      <c r="N110">
        <v>107</v>
      </c>
      <c r="P110" s="49" t="s">
        <v>24</v>
      </c>
      <c r="Q110" s="50" t="s">
        <v>89</v>
      </c>
      <c r="R110">
        <f>SUMIFS(HIX_RatingAreas[Silver Selections 2016],HIX_RatingAreas[State],P110,HIX_RatingAreas[Rating Area ID],Q110)</f>
        <v>7611</v>
      </c>
      <c r="S110">
        <f t="shared" si="4"/>
        <v>5.0352953629765863E-2</v>
      </c>
      <c r="W110">
        <f>SUMIFS(HIX_RatingAreas[Total Plan Selections 2016],HIX_RatingAreas[State],P110,HIX_RatingAreas[Rating Area ID],Q110)</f>
        <v>11606</v>
      </c>
    </row>
    <row r="111" spans="3:23">
      <c r="C111" t="s">
        <v>15</v>
      </c>
      <c r="D111" t="s">
        <v>1447</v>
      </c>
      <c r="E111" t="s">
        <v>215</v>
      </c>
      <c r="F111" s="36">
        <v>41</v>
      </c>
      <c r="G111" t="s">
        <v>1038</v>
      </c>
      <c r="I111" cm="1">
        <f t="array" ref="I111">_xlfn.IFNA(INDEX(QHPSelections2016[],MATCH(1,(QHPSelections2016[State Name]=HIX_RatingAreas[[#This Row],[State Code]])*(QHPSelections2016[County Name]=HIX_RatingAreas[[#This Row],[Subdivision]]),0),MATCH("Silver",QHPSelections2016[#Headers],0)),0)</f>
        <v>18167</v>
      </c>
      <c r="J111" cm="1">
        <f t="array" ref="J111">_xlfn.IFNA(INDEX(QHPSelections2016[],MATCH(1,(QHPSelections2016[State Name]=HIX_RatingAreas[[#This Row],[State Code]])*(QHPSelections2016[County Name]=HIX_RatingAreas[[#This Row],[Subdivision]]),0),MATCH("Total Plan Selections",QHPSelections2016[#Headers],0)),0)</f>
        <v>22270</v>
      </c>
      <c r="L111" t="str" cm="1">
        <f t="array" ref="L111">INDEX(QHPSelections2016[],MATCH(1,(QHPSelections2016[State Name]=HIX_RatingAreas[[#This Row],[State Code]])*(QHPSelections2016[County Name]=HIX_RatingAreas[[#This Row],[Subdivision]]),0),MATCH("County Name",QHPSelections2016[#Headers],0))</f>
        <v>Marion County</v>
      </c>
      <c r="M111" t="b">
        <f>L111=HIX_RatingAreas[[#This Row],[Subdivision]]</f>
        <v>1</v>
      </c>
      <c r="N111">
        <v>108</v>
      </c>
      <c r="P111" s="47" t="s">
        <v>24</v>
      </c>
      <c r="Q111" s="48" t="s">
        <v>93</v>
      </c>
      <c r="R111">
        <f>SUMIFS(HIX_RatingAreas[Silver Selections 2016],HIX_RatingAreas[State],P111,HIX_RatingAreas[Rating Area ID],Q111)</f>
        <v>10838</v>
      </c>
      <c r="S111">
        <f t="shared" si="4"/>
        <v>7.1702182556747138E-2</v>
      </c>
      <c r="W111">
        <f>SUMIFS(HIX_RatingAreas[Total Plan Selections 2016],HIX_RatingAreas[State],P111,HIX_RatingAreas[Rating Area ID],Q111)</f>
        <v>16769</v>
      </c>
    </row>
    <row r="112" spans="3:23">
      <c r="C112" t="s">
        <v>15</v>
      </c>
      <c r="D112" t="s">
        <v>1447</v>
      </c>
      <c r="E112" t="s">
        <v>216</v>
      </c>
      <c r="F112" s="36">
        <v>42</v>
      </c>
      <c r="G112" t="s">
        <v>1044</v>
      </c>
      <c r="I112" cm="1">
        <f t="array" ref="I112">_xlfn.IFNA(INDEX(QHPSelections2016[],MATCH(1,(QHPSelections2016[State Name]=HIX_RatingAreas[[#This Row],[State Code]])*(QHPSelections2016[County Name]=HIX_RatingAreas[[#This Row],[Subdivision]]),0),MATCH("Silver",QHPSelections2016[#Headers],0)),0)</f>
        <v>8756</v>
      </c>
      <c r="J112" cm="1">
        <f t="array" ref="J112">_xlfn.IFNA(INDEX(QHPSelections2016[],MATCH(1,(QHPSelections2016[State Name]=HIX_RatingAreas[[#This Row],[State Code]])*(QHPSelections2016[County Name]=HIX_RatingAreas[[#This Row],[Subdivision]]),0),MATCH("Total Plan Selections",QHPSelections2016[#Headers],0)),0)</f>
        <v>11903</v>
      </c>
      <c r="L112" t="str" cm="1">
        <f t="array" ref="L112">INDEX(QHPSelections2016[],MATCH(1,(QHPSelections2016[State Name]=HIX_RatingAreas[[#This Row],[State Code]])*(QHPSelections2016[County Name]=HIX_RatingAreas[[#This Row],[Subdivision]]),0),MATCH("County Name",QHPSelections2016[#Headers],0))</f>
        <v>Martin County</v>
      </c>
      <c r="M112" t="b">
        <f>L112=HIX_RatingAreas[[#This Row],[Subdivision]]</f>
        <v>1</v>
      </c>
      <c r="N112">
        <v>109</v>
      </c>
      <c r="P112" s="49" t="s">
        <v>24</v>
      </c>
      <c r="Q112" s="50" t="s">
        <v>96</v>
      </c>
      <c r="R112">
        <f>SUMIFS(HIX_RatingAreas[Silver Selections 2016],HIX_RatingAreas[State],P112,HIX_RatingAreas[Rating Area ID],Q112)</f>
        <v>15478</v>
      </c>
      <c r="S112">
        <f t="shared" si="4"/>
        <v>0.10239955541735857</v>
      </c>
      <c r="W112">
        <f>SUMIFS(HIX_RatingAreas[Total Plan Selections 2016],HIX_RatingAreas[State],P112,HIX_RatingAreas[Rating Area ID],Q112)</f>
        <v>22447</v>
      </c>
    </row>
    <row r="113" spans="3:23">
      <c r="C113" t="s">
        <v>15</v>
      </c>
      <c r="D113" t="s">
        <v>1447</v>
      </c>
      <c r="E113" t="s">
        <v>218</v>
      </c>
      <c r="F113" s="36">
        <v>43</v>
      </c>
      <c r="G113" t="s">
        <v>1050</v>
      </c>
      <c r="I113" cm="1">
        <f t="array" ref="I113">_xlfn.IFNA(INDEX(QHPSelections2016[],MATCH(1,(QHPSelections2016[State Name]=HIX_RatingAreas[[#This Row],[State Code]])*(QHPSelections2016[County Name]=HIX_RatingAreas[[#This Row],[Subdivision]]),0),MATCH("Silver",QHPSelections2016[#Headers],0)),0)</f>
        <v>311075</v>
      </c>
      <c r="J113" cm="1">
        <f t="array" ref="J113">_xlfn.IFNA(INDEX(QHPSelections2016[],MATCH(1,(QHPSelections2016[State Name]=HIX_RatingAreas[[#This Row],[State Code]])*(QHPSelections2016[County Name]=HIX_RatingAreas[[#This Row],[Subdivision]]),0),MATCH("Total Plan Selections",QHPSelections2016[#Headers],0)),0)</f>
        <v>392901</v>
      </c>
      <c r="L113" t="str" cm="1">
        <f t="array" ref="L113">INDEX(QHPSelections2016[],MATCH(1,(QHPSelections2016[State Name]=HIX_RatingAreas[[#This Row],[State Code]])*(QHPSelections2016[County Name]=HIX_RatingAreas[[#This Row],[Subdivision]]),0),MATCH("County Name",QHPSelections2016[#Headers],0))</f>
        <v>Miami-Dade County</v>
      </c>
      <c r="M113" t="b">
        <f>L113=HIX_RatingAreas[[#This Row],[Subdivision]]</f>
        <v>1</v>
      </c>
      <c r="N113">
        <v>110</v>
      </c>
      <c r="P113" s="47" t="s">
        <v>30</v>
      </c>
      <c r="Q113" s="48" t="s">
        <v>816</v>
      </c>
      <c r="R113">
        <f>SUM(R114:R119)</f>
        <v>88517</v>
      </c>
      <c r="S113">
        <f>R113/R$113</f>
        <v>1</v>
      </c>
      <c r="U113">
        <f>SUM(S114:S119)</f>
        <v>1</v>
      </c>
      <c r="W113">
        <f>SUM(W114:W119)</f>
        <v>108668</v>
      </c>
    </row>
    <row r="114" spans="3:23">
      <c r="C114" t="s">
        <v>15</v>
      </c>
      <c r="D114" t="s">
        <v>1447</v>
      </c>
      <c r="E114" t="s">
        <v>220</v>
      </c>
      <c r="F114" s="36">
        <v>44</v>
      </c>
      <c r="G114" t="s">
        <v>1055</v>
      </c>
      <c r="I114" cm="1">
        <f t="array" ref="I114">_xlfn.IFNA(INDEX(QHPSelections2016[],MATCH(1,(QHPSelections2016[State Name]=HIX_RatingAreas[[#This Row],[State Code]])*(QHPSelections2016[County Name]=HIX_RatingAreas[[#This Row],[Subdivision]]),0),MATCH("Silver",QHPSelections2016[#Headers],0)),0)</f>
        <v>5013</v>
      </c>
      <c r="J114" cm="1">
        <f t="array" ref="J114">_xlfn.IFNA(INDEX(QHPSelections2016[],MATCH(1,(QHPSelections2016[State Name]=HIX_RatingAreas[[#This Row],[State Code]])*(QHPSelections2016[County Name]=HIX_RatingAreas[[#This Row],[Subdivision]]),0),MATCH("Total Plan Selections",QHPSelections2016[#Headers],0)),0)</f>
        <v>7149</v>
      </c>
      <c r="L114" t="str" cm="1">
        <f t="array" ref="L114">INDEX(QHPSelections2016[],MATCH(1,(QHPSelections2016[State Name]=HIX_RatingAreas[[#This Row],[State Code]])*(QHPSelections2016[County Name]=HIX_RatingAreas[[#This Row],[Subdivision]]),0),MATCH("County Name",QHPSelections2016[#Headers],0))</f>
        <v>Monroe County</v>
      </c>
      <c r="M114" t="b">
        <f>L114=HIX_RatingAreas[[#This Row],[Subdivision]]</f>
        <v>1</v>
      </c>
      <c r="N114">
        <v>111</v>
      </c>
      <c r="P114" s="49" t="s">
        <v>30</v>
      </c>
      <c r="Q114" s="50" t="s">
        <v>72</v>
      </c>
      <c r="R114">
        <f>SUMIFS(HIX_RatingAreas[Silver Selections 2016],HIX_RatingAreas[State],P114,HIX_RatingAreas[Rating Area ID],Q114)</f>
        <v>7941</v>
      </c>
      <c r="S114">
        <f t="shared" ref="S114:S119" si="5">R114/R$113</f>
        <v>8.9711580826281959E-2</v>
      </c>
      <c r="W114">
        <f>SUMIFS(HIX_RatingAreas[Total Plan Selections 2016],HIX_RatingAreas[State],P114,HIX_RatingAreas[Rating Area ID],Q114)</f>
        <v>10004</v>
      </c>
    </row>
    <row r="115" spans="3:23">
      <c r="C115" t="s">
        <v>15</v>
      </c>
      <c r="D115" t="s">
        <v>1447</v>
      </c>
      <c r="E115" t="s">
        <v>221</v>
      </c>
      <c r="F115" s="36">
        <v>45</v>
      </c>
      <c r="G115" t="s">
        <v>1057</v>
      </c>
      <c r="I115" cm="1">
        <f t="array" ref="I115">_xlfn.IFNA(INDEX(QHPSelections2016[],MATCH(1,(QHPSelections2016[State Name]=HIX_RatingAreas[[#This Row],[State Code]])*(QHPSelections2016[County Name]=HIX_RatingAreas[[#This Row],[Subdivision]]),0),MATCH("Silver",QHPSelections2016[#Headers],0)),0)</f>
        <v>3220</v>
      </c>
      <c r="J115" cm="1">
        <f t="array" ref="J115">_xlfn.IFNA(INDEX(QHPSelections2016[],MATCH(1,(QHPSelections2016[State Name]=HIX_RatingAreas[[#This Row],[State Code]])*(QHPSelections2016[County Name]=HIX_RatingAreas[[#This Row],[Subdivision]]),0),MATCH("Total Plan Selections",QHPSelections2016[#Headers],0)),0)</f>
        <v>4210</v>
      </c>
      <c r="L115" t="str" cm="1">
        <f t="array" ref="L115">INDEX(QHPSelections2016[],MATCH(1,(QHPSelections2016[State Name]=HIX_RatingAreas[[#This Row],[State Code]])*(QHPSelections2016[County Name]=HIX_RatingAreas[[#This Row],[Subdivision]]),0),MATCH("County Name",QHPSelections2016[#Headers],0))</f>
        <v>Nassau County</v>
      </c>
      <c r="M115" t="b">
        <f>L115=HIX_RatingAreas[[#This Row],[Subdivision]]</f>
        <v>1</v>
      </c>
      <c r="N115">
        <v>112</v>
      </c>
      <c r="P115" s="47" t="s">
        <v>30</v>
      </c>
      <c r="Q115" s="48" t="s">
        <v>74</v>
      </c>
      <c r="R115">
        <f>SUMIFS(HIX_RatingAreas[Silver Selections 2016],HIX_RatingAreas[State],P115,HIX_RatingAreas[Rating Area ID],Q115)</f>
        <v>4288</v>
      </c>
      <c r="S115">
        <f t="shared" si="5"/>
        <v>4.8442672029101755E-2</v>
      </c>
      <c r="W115">
        <f>SUMIFS(HIX_RatingAreas[Total Plan Selections 2016],HIX_RatingAreas[State],P115,HIX_RatingAreas[Rating Area ID],Q115)</f>
        <v>5186</v>
      </c>
    </row>
    <row r="116" spans="3:23">
      <c r="C116" t="s">
        <v>15</v>
      </c>
      <c r="D116" t="s">
        <v>1447</v>
      </c>
      <c r="E116" t="s">
        <v>223</v>
      </c>
      <c r="F116" s="36">
        <v>46</v>
      </c>
      <c r="G116" t="s">
        <v>1061</v>
      </c>
      <c r="I116" cm="1">
        <f t="array" ref="I116">_xlfn.IFNA(INDEX(QHPSelections2016[],MATCH(1,(QHPSelections2016[State Name]=HIX_RatingAreas[[#This Row],[State Code]])*(QHPSelections2016[County Name]=HIX_RatingAreas[[#This Row],[Subdivision]]),0),MATCH("Silver",QHPSelections2016[#Headers],0)),0)</f>
        <v>7300</v>
      </c>
      <c r="J116" cm="1">
        <f t="array" ref="J116">_xlfn.IFNA(INDEX(QHPSelections2016[],MATCH(1,(QHPSelections2016[State Name]=HIX_RatingAreas[[#This Row],[State Code]])*(QHPSelections2016[County Name]=HIX_RatingAreas[[#This Row],[Subdivision]]),0),MATCH("Total Plan Selections",QHPSelections2016[#Headers],0)),0)</f>
        <v>9368</v>
      </c>
      <c r="L116" t="str" cm="1">
        <f t="array" ref="L116">INDEX(QHPSelections2016[],MATCH(1,(QHPSelections2016[State Name]=HIX_RatingAreas[[#This Row],[State Code]])*(QHPSelections2016[County Name]=HIX_RatingAreas[[#This Row],[Subdivision]]),0),MATCH("County Name",QHPSelections2016[#Headers],0))</f>
        <v>Okaloosa County</v>
      </c>
      <c r="M116" t="b">
        <f>L116=HIX_RatingAreas[[#This Row],[Subdivision]]</f>
        <v>1</v>
      </c>
      <c r="N116">
        <v>113</v>
      </c>
      <c r="P116" s="49" t="s">
        <v>30</v>
      </c>
      <c r="Q116" s="50" t="s">
        <v>76</v>
      </c>
      <c r="R116">
        <f>SUMIFS(HIX_RatingAreas[Silver Selections 2016],HIX_RatingAreas[State],P116,HIX_RatingAreas[Rating Area ID],Q116)</f>
        <v>25001</v>
      </c>
      <c r="S116">
        <f t="shared" si="5"/>
        <v>0.28244292056893028</v>
      </c>
      <c r="W116">
        <f>SUMIFS(HIX_RatingAreas[Total Plan Selections 2016],HIX_RatingAreas[State],P116,HIX_RatingAreas[Rating Area ID],Q116)</f>
        <v>32141</v>
      </c>
    </row>
    <row r="117" spans="3:23">
      <c r="C117" t="s">
        <v>15</v>
      </c>
      <c r="D117" t="s">
        <v>1447</v>
      </c>
      <c r="E117" t="s">
        <v>225</v>
      </c>
      <c r="F117" s="36">
        <v>47</v>
      </c>
      <c r="G117" t="s">
        <v>1066</v>
      </c>
      <c r="I117" cm="1">
        <f t="array" ref="I117">_xlfn.IFNA(INDEX(QHPSelections2016[],MATCH(1,(QHPSelections2016[State Name]=HIX_RatingAreas[[#This Row],[State Code]])*(QHPSelections2016[County Name]=HIX_RatingAreas[[#This Row],[Subdivision]]),0),MATCH("Silver",QHPSelections2016[#Headers],0)),0)</f>
        <v>1492</v>
      </c>
      <c r="J117" cm="1">
        <f t="array" ref="J117">_xlfn.IFNA(INDEX(QHPSelections2016[],MATCH(1,(QHPSelections2016[State Name]=HIX_RatingAreas[[#This Row],[State Code]])*(QHPSelections2016[County Name]=HIX_RatingAreas[[#This Row],[Subdivision]]),0),MATCH("Total Plan Selections",QHPSelections2016[#Headers],0)),0)</f>
        <v>1801</v>
      </c>
      <c r="L117" t="str" cm="1">
        <f t="array" ref="L117">INDEX(QHPSelections2016[],MATCH(1,(QHPSelections2016[State Name]=HIX_RatingAreas[[#This Row],[State Code]])*(QHPSelections2016[County Name]=HIX_RatingAreas[[#This Row],[Subdivision]]),0),MATCH("County Name",QHPSelections2016[#Headers],0))</f>
        <v>Okeechobee County</v>
      </c>
      <c r="M117" t="b">
        <f>L117=HIX_RatingAreas[[#This Row],[Subdivision]]</f>
        <v>1</v>
      </c>
      <c r="N117">
        <v>114</v>
      </c>
      <c r="P117" s="47" t="s">
        <v>30</v>
      </c>
      <c r="Q117" s="48" t="s">
        <v>84</v>
      </c>
      <c r="R117">
        <f>SUMIFS(HIX_RatingAreas[Silver Selections 2016],HIX_RatingAreas[State],P117,HIX_RatingAreas[Rating Area ID],Q117)</f>
        <v>7926</v>
      </c>
      <c r="S117">
        <f t="shared" si="5"/>
        <v>8.9542121852299553E-2</v>
      </c>
      <c r="W117">
        <f>SUMIFS(HIX_RatingAreas[Total Plan Selections 2016],HIX_RatingAreas[State],P117,HIX_RatingAreas[Rating Area ID],Q117)</f>
        <v>9489</v>
      </c>
    </row>
    <row r="118" spans="3:23">
      <c r="C118" t="s">
        <v>15</v>
      </c>
      <c r="D118" t="s">
        <v>1447</v>
      </c>
      <c r="E118" t="s">
        <v>227</v>
      </c>
      <c r="F118" s="36">
        <v>48</v>
      </c>
      <c r="G118" t="s">
        <v>1072</v>
      </c>
      <c r="I118" cm="1">
        <f t="array" ref="I118">_xlfn.IFNA(INDEX(QHPSelections2016[],MATCH(1,(QHPSelections2016[State Name]=HIX_RatingAreas[[#This Row],[State Code]])*(QHPSelections2016[County Name]=HIX_RatingAreas[[#This Row],[Subdivision]]),0),MATCH("Silver",QHPSelections2016[#Headers],0)),0)</f>
        <v>99478</v>
      </c>
      <c r="J118" cm="1">
        <f t="array" ref="J118">_xlfn.IFNA(INDEX(QHPSelections2016[],MATCH(1,(QHPSelections2016[State Name]=HIX_RatingAreas[[#This Row],[State Code]])*(QHPSelections2016[County Name]=HIX_RatingAreas[[#This Row],[Subdivision]]),0),MATCH("Total Plan Selections",QHPSelections2016[#Headers],0)),0)</f>
        <v>120913</v>
      </c>
      <c r="L118" t="str" cm="1">
        <f t="array" ref="L118">INDEX(QHPSelections2016[],MATCH(1,(QHPSelections2016[State Name]=HIX_RatingAreas[[#This Row],[State Code]])*(QHPSelections2016[County Name]=HIX_RatingAreas[[#This Row],[Subdivision]]),0),MATCH("County Name",QHPSelections2016[#Headers],0))</f>
        <v>Orange County</v>
      </c>
      <c r="M118" t="b">
        <f>L118=HIX_RatingAreas[[#This Row],[Subdivision]]</f>
        <v>1</v>
      </c>
      <c r="N118">
        <v>115</v>
      </c>
      <c r="P118" s="49" t="s">
        <v>30</v>
      </c>
      <c r="Q118" s="50" t="s">
        <v>86</v>
      </c>
      <c r="R118">
        <f>SUMIFS(HIX_RatingAreas[Silver Selections 2016],HIX_RatingAreas[State],P118,HIX_RatingAreas[Rating Area ID],Q118)</f>
        <v>9818</v>
      </c>
      <c r="S118">
        <f t="shared" si="5"/>
        <v>0.11091654710394613</v>
      </c>
      <c r="W118">
        <f>SUMIFS(HIX_RatingAreas[Total Plan Selections 2016],HIX_RatingAreas[State],P118,HIX_RatingAreas[Rating Area ID],Q118)</f>
        <v>11679</v>
      </c>
    </row>
    <row r="119" spans="3:23">
      <c r="C119" t="s">
        <v>15</v>
      </c>
      <c r="D119" t="s">
        <v>1447</v>
      </c>
      <c r="E119" t="s">
        <v>229</v>
      </c>
      <c r="F119" s="36">
        <v>49</v>
      </c>
      <c r="G119" t="s">
        <v>1077</v>
      </c>
      <c r="I119" cm="1">
        <f t="array" ref="I119">_xlfn.IFNA(INDEX(QHPSelections2016[],MATCH(1,(QHPSelections2016[State Name]=HIX_RatingAreas[[#This Row],[State Code]])*(QHPSelections2016[County Name]=HIX_RatingAreas[[#This Row],[Subdivision]]),0),MATCH("Silver",QHPSelections2016[#Headers],0)),0)</f>
        <v>30801</v>
      </c>
      <c r="J119" cm="1">
        <f t="array" ref="J119">_xlfn.IFNA(INDEX(QHPSelections2016[],MATCH(1,(QHPSelections2016[State Name]=HIX_RatingAreas[[#This Row],[State Code]])*(QHPSelections2016[County Name]=HIX_RatingAreas[[#This Row],[Subdivision]]),0),MATCH("Total Plan Selections",QHPSelections2016[#Headers],0)),0)</f>
        <v>35732</v>
      </c>
      <c r="L119" t="str" cm="1">
        <f t="array" ref="L119">INDEX(QHPSelections2016[],MATCH(1,(QHPSelections2016[State Name]=HIX_RatingAreas[[#This Row],[State Code]])*(QHPSelections2016[County Name]=HIX_RatingAreas[[#This Row],[Subdivision]]),0),MATCH("County Name",QHPSelections2016[#Headers],0))</f>
        <v>Osceola County</v>
      </c>
      <c r="M119" t="b">
        <f>L119=HIX_RatingAreas[[#This Row],[Subdivision]]</f>
        <v>1</v>
      </c>
      <c r="N119">
        <v>116</v>
      </c>
      <c r="P119" s="47" t="s">
        <v>30</v>
      </c>
      <c r="Q119" s="48" t="s">
        <v>89</v>
      </c>
      <c r="R119">
        <f>SUMIFS(HIX_RatingAreas[Silver Selections 2016],HIX_RatingAreas[State],P119,HIX_RatingAreas[Rating Area ID],Q119)</f>
        <v>33543</v>
      </c>
      <c r="S119">
        <f t="shared" si="5"/>
        <v>0.37894415761944034</v>
      </c>
      <c r="W119">
        <f>SUMIFS(HIX_RatingAreas[Total Plan Selections 2016],HIX_RatingAreas[State],P119,HIX_RatingAreas[Rating Area ID],Q119)</f>
        <v>40169</v>
      </c>
    </row>
    <row r="120" spans="3:23">
      <c r="C120" t="s">
        <v>15</v>
      </c>
      <c r="D120" t="s">
        <v>1447</v>
      </c>
      <c r="E120" t="s">
        <v>231</v>
      </c>
      <c r="F120" s="36">
        <v>50</v>
      </c>
      <c r="G120" t="s">
        <v>1082</v>
      </c>
      <c r="I120" cm="1">
        <f t="array" ref="I120">_xlfn.IFNA(INDEX(QHPSelections2016[],MATCH(1,(QHPSelections2016[State Name]=HIX_RatingAreas[[#This Row],[State Code]])*(QHPSelections2016[County Name]=HIX_RatingAreas[[#This Row],[Subdivision]]),0),MATCH("Silver",QHPSelections2016[#Headers],0)),0)</f>
        <v>117476</v>
      </c>
      <c r="J120" cm="1">
        <f t="array" ref="J120">_xlfn.IFNA(INDEX(QHPSelections2016[],MATCH(1,(QHPSelections2016[State Name]=HIX_RatingAreas[[#This Row],[State Code]])*(QHPSelections2016[County Name]=HIX_RatingAreas[[#This Row],[Subdivision]]),0),MATCH("Total Plan Selections",QHPSelections2016[#Headers],0)),0)</f>
        <v>148961</v>
      </c>
      <c r="L120" t="str" cm="1">
        <f t="array" ref="L120">INDEX(QHPSelections2016[],MATCH(1,(QHPSelections2016[State Name]=HIX_RatingAreas[[#This Row],[State Code]])*(QHPSelections2016[County Name]=HIX_RatingAreas[[#This Row],[Subdivision]]),0),MATCH("County Name",QHPSelections2016[#Headers],0))</f>
        <v>Palm Beach County</v>
      </c>
      <c r="M120" t="b">
        <f>L120=HIX_RatingAreas[[#This Row],[Subdivision]]</f>
        <v>1</v>
      </c>
      <c r="N120">
        <v>117</v>
      </c>
      <c r="P120" s="49" t="s">
        <v>45</v>
      </c>
      <c r="Q120" s="50" t="s">
        <v>816</v>
      </c>
      <c r="R120">
        <f>SUM(R121:R136)</f>
        <v>470335</v>
      </c>
      <c r="S120">
        <f>R120/R$120</f>
        <v>1</v>
      </c>
      <c r="U120">
        <f>SUM(S121:S136)</f>
        <v>0.99999999999999989</v>
      </c>
      <c r="W120">
        <f>SUM(W121:W136)</f>
        <v>613477</v>
      </c>
    </row>
    <row r="121" spans="3:23">
      <c r="C121" t="s">
        <v>15</v>
      </c>
      <c r="D121" t="s">
        <v>1447</v>
      </c>
      <c r="E121" t="s">
        <v>233</v>
      </c>
      <c r="F121" s="36">
        <v>51</v>
      </c>
      <c r="G121" t="s">
        <v>1086</v>
      </c>
      <c r="I121" cm="1">
        <f t="array" ref="I121">_xlfn.IFNA(INDEX(QHPSelections2016[],MATCH(1,(QHPSelections2016[State Name]=HIX_RatingAreas[[#This Row],[State Code]])*(QHPSelections2016[County Name]=HIX_RatingAreas[[#This Row],[Subdivision]]),0),MATCH("Silver",QHPSelections2016[#Headers],0)),0)</f>
        <v>25587</v>
      </c>
      <c r="J121" cm="1">
        <f t="array" ref="J121">_xlfn.IFNA(INDEX(QHPSelections2016[],MATCH(1,(QHPSelections2016[State Name]=HIX_RatingAreas[[#This Row],[State Code]])*(QHPSelections2016[County Name]=HIX_RatingAreas[[#This Row],[Subdivision]]),0),MATCH("Total Plan Selections",QHPSelections2016[#Headers],0)),0)</f>
        <v>32655</v>
      </c>
      <c r="L121" t="str" cm="1">
        <f t="array" ref="L121">INDEX(QHPSelections2016[],MATCH(1,(QHPSelections2016[State Name]=HIX_RatingAreas[[#This Row],[State Code]])*(QHPSelections2016[County Name]=HIX_RatingAreas[[#This Row],[Subdivision]]),0),MATCH("County Name",QHPSelections2016[#Headers],0))</f>
        <v>Pasco County</v>
      </c>
      <c r="M121" t="b">
        <f>L121=HIX_RatingAreas[[#This Row],[Subdivision]]</f>
        <v>1</v>
      </c>
      <c r="N121">
        <v>118</v>
      </c>
      <c r="P121" s="47" t="s">
        <v>45</v>
      </c>
      <c r="Q121" s="48" t="s">
        <v>72</v>
      </c>
      <c r="R121">
        <f>SUMIFS(HIX_RatingAreas[Silver Selections 2016],HIX_RatingAreas[State],P121,HIX_RatingAreas[Rating Area ID],Q121)</f>
        <v>44061</v>
      </c>
      <c r="S121">
        <f>R121/R$120</f>
        <v>9.3680036569679062E-2</v>
      </c>
      <c r="W121">
        <f>SUMIFS(HIX_RatingAreas[Total Plan Selections 2016],HIX_RatingAreas[State],P121,HIX_RatingAreas[Rating Area ID],Q121)</f>
        <v>58634</v>
      </c>
    </row>
    <row r="122" spans="3:23">
      <c r="C122" t="s">
        <v>15</v>
      </c>
      <c r="D122" t="s">
        <v>1447</v>
      </c>
      <c r="E122" t="s">
        <v>235</v>
      </c>
      <c r="F122" s="36">
        <v>52</v>
      </c>
      <c r="G122" t="s">
        <v>1093</v>
      </c>
      <c r="I122" cm="1">
        <f t="array" ref="I122">_xlfn.IFNA(INDEX(QHPSelections2016[],MATCH(1,(QHPSelections2016[State Name]=HIX_RatingAreas[[#This Row],[State Code]])*(QHPSelections2016[County Name]=HIX_RatingAreas[[#This Row],[Subdivision]]),0),MATCH("Silver",QHPSelections2016[#Headers],0)),0)</f>
        <v>50638</v>
      </c>
      <c r="J122" cm="1">
        <f t="array" ref="J122">_xlfn.IFNA(INDEX(QHPSelections2016[],MATCH(1,(QHPSelections2016[State Name]=HIX_RatingAreas[[#This Row],[State Code]])*(QHPSelections2016[County Name]=HIX_RatingAreas[[#This Row],[Subdivision]]),0),MATCH("Total Plan Selections",QHPSelections2016[#Headers],0)),0)</f>
        <v>66221</v>
      </c>
      <c r="L122" t="str" cm="1">
        <f t="array" ref="L122">INDEX(QHPSelections2016[],MATCH(1,(QHPSelections2016[State Name]=HIX_RatingAreas[[#This Row],[State Code]])*(QHPSelections2016[County Name]=HIX_RatingAreas[[#This Row],[Subdivision]]),0),MATCH("County Name",QHPSelections2016[#Headers],0))</f>
        <v>Pinellas County</v>
      </c>
      <c r="M122" t="b">
        <f>L122=HIX_RatingAreas[[#This Row],[Subdivision]]</f>
        <v>1</v>
      </c>
      <c r="N122">
        <v>119</v>
      </c>
      <c r="P122" s="49" t="s">
        <v>45</v>
      </c>
      <c r="Q122" s="50" t="s">
        <v>74</v>
      </c>
      <c r="R122">
        <f>SUMIFS(HIX_RatingAreas[Silver Selections 2016],HIX_RatingAreas[State],P122,HIX_RatingAreas[Rating Area ID],Q122)</f>
        <v>25189</v>
      </c>
      <c r="S122">
        <f t="shared" ref="S122:S136" si="6">R122/R$120</f>
        <v>5.3555444523584253E-2</v>
      </c>
      <c r="W122">
        <f>SUMIFS(HIX_RatingAreas[Total Plan Selections 2016],HIX_RatingAreas[State],P122,HIX_RatingAreas[Rating Area ID],Q122)</f>
        <v>32735</v>
      </c>
    </row>
    <row r="123" spans="3:23">
      <c r="C123" t="s">
        <v>15</v>
      </c>
      <c r="D123" t="s">
        <v>1447</v>
      </c>
      <c r="E123" t="s">
        <v>237</v>
      </c>
      <c r="F123" s="36">
        <v>53</v>
      </c>
      <c r="G123" t="s">
        <v>1098</v>
      </c>
      <c r="I123" cm="1">
        <f t="array" ref="I123">_xlfn.IFNA(INDEX(QHPSelections2016[],MATCH(1,(QHPSelections2016[State Name]=HIX_RatingAreas[[#This Row],[State Code]])*(QHPSelections2016[County Name]=HIX_RatingAreas[[#This Row],[Subdivision]]),0),MATCH("Silver",QHPSelections2016[#Headers],0)),0)</f>
        <v>26841</v>
      </c>
      <c r="J123" cm="1">
        <f t="array" ref="J123">_xlfn.IFNA(INDEX(QHPSelections2016[],MATCH(1,(QHPSelections2016[State Name]=HIX_RatingAreas[[#This Row],[State Code]])*(QHPSelections2016[County Name]=HIX_RatingAreas[[#This Row],[Subdivision]]),0),MATCH("Total Plan Selections",QHPSelections2016[#Headers],0)),0)</f>
        <v>34156</v>
      </c>
      <c r="L123" t="str" cm="1">
        <f t="array" ref="L123">INDEX(QHPSelections2016[],MATCH(1,(QHPSelections2016[State Name]=HIX_RatingAreas[[#This Row],[State Code]])*(QHPSelections2016[County Name]=HIX_RatingAreas[[#This Row],[Subdivision]]),0),MATCH("County Name",QHPSelections2016[#Headers],0))</f>
        <v>Polk County</v>
      </c>
      <c r="M123" t="b">
        <f>L123=HIX_RatingAreas[[#This Row],[Subdivision]]</f>
        <v>1</v>
      </c>
      <c r="N123">
        <v>120</v>
      </c>
      <c r="P123" s="47" t="s">
        <v>45</v>
      </c>
      <c r="Q123" s="48" t="s">
        <v>76</v>
      </c>
      <c r="R123">
        <f>SUMIFS(HIX_RatingAreas[Silver Selections 2016],HIX_RatingAreas[State],P123,HIX_RatingAreas[Rating Area ID],Q123)</f>
        <v>8854</v>
      </c>
      <c r="S123">
        <f t="shared" si="6"/>
        <v>1.8824880138624597E-2</v>
      </c>
      <c r="W123">
        <f>SUMIFS(HIX_RatingAreas[Total Plan Selections 2016],HIX_RatingAreas[State],P123,HIX_RatingAreas[Rating Area ID],Q123)</f>
        <v>10603</v>
      </c>
    </row>
    <row r="124" spans="3:23">
      <c r="C124" t="s">
        <v>15</v>
      </c>
      <c r="D124" t="s">
        <v>1447</v>
      </c>
      <c r="E124" t="s">
        <v>239</v>
      </c>
      <c r="F124" s="36">
        <v>54</v>
      </c>
      <c r="G124" t="s">
        <v>1103</v>
      </c>
      <c r="I124" cm="1">
        <f t="array" ref="I124">_xlfn.IFNA(INDEX(QHPSelections2016[],MATCH(1,(QHPSelections2016[State Name]=HIX_RatingAreas[[#This Row],[State Code]])*(QHPSelections2016[County Name]=HIX_RatingAreas[[#This Row],[Subdivision]]),0),MATCH("Silver",QHPSelections2016[#Headers],0)),0)</f>
        <v>2702</v>
      </c>
      <c r="J124" cm="1">
        <f t="array" ref="J124">_xlfn.IFNA(INDEX(QHPSelections2016[],MATCH(1,(QHPSelections2016[State Name]=HIX_RatingAreas[[#This Row],[State Code]])*(QHPSelections2016[County Name]=HIX_RatingAreas[[#This Row],[Subdivision]]),0),MATCH("Total Plan Selections",QHPSelections2016[#Headers],0)),0)</f>
        <v>3728</v>
      </c>
      <c r="L124" t="str" cm="1">
        <f t="array" ref="L124">INDEX(QHPSelections2016[],MATCH(1,(QHPSelections2016[State Name]=HIX_RatingAreas[[#This Row],[State Code]])*(QHPSelections2016[County Name]=HIX_RatingAreas[[#This Row],[Subdivision]]),0),MATCH("County Name",QHPSelections2016[#Headers],0))</f>
        <v>Putnam County</v>
      </c>
      <c r="M124" t="b">
        <f>L124=HIX_RatingAreas[[#This Row],[Subdivision]]</f>
        <v>1</v>
      </c>
      <c r="N124">
        <v>121</v>
      </c>
      <c r="P124" s="49" t="s">
        <v>45</v>
      </c>
      <c r="Q124" s="50" t="s">
        <v>84</v>
      </c>
      <c r="R124">
        <f>SUMIFS(HIX_RatingAreas[Silver Selections 2016],HIX_RatingAreas[State],P124,HIX_RatingAreas[Rating Area ID],Q124)</f>
        <v>89858</v>
      </c>
      <c r="S124">
        <f t="shared" si="6"/>
        <v>0.19105105935131342</v>
      </c>
      <c r="W124">
        <f>SUMIFS(HIX_RatingAreas[Total Plan Selections 2016],HIX_RatingAreas[State],P124,HIX_RatingAreas[Rating Area ID],Q124)</f>
        <v>121767</v>
      </c>
    </row>
    <row r="125" spans="3:23">
      <c r="C125" t="s">
        <v>15</v>
      </c>
      <c r="D125" t="s">
        <v>1447</v>
      </c>
      <c r="E125" t="s">
        <v>241</v>
      </c>
      <c r="F125" s="36">
        <v>55</v>
      </c>
      <c r="G125" t="s">
        <v>1120</v>
      </c>
      <c r="I125" cm="1">
        <f t="array" ref="I125">_xlfn.IFNA(INDEX(QHPSelections2016[],MATCH(1,(QHPSelections2016[State Name]=HIX_RatingAreas[[#This Row],[State Code]])*(QHPSelections2016[County Name]=HIX_RatingAreas[[#This Row],[Subdivision]]),0),MATCH("Silver",QHPSelections2016[#Headers],0)),0)</f>
        <v>5065</v>
      </c>
      <c r="J125" cm="1">
        <f t="array" ref="J125">_xlfn.IFNA(INDEX(QHPSelections2016[],MATCH(1,(QHPSelections2016[State Name]=HIX_RatingAreas[[#This Row],[State Code]])*(QHPSelections2016[County Name]=HIX_RatingAreas[[#This Row],[Subdivision]]),0),MATCH("Total Plan Selections",QHPSelections2016[#Headers],0)),0)</f>
        <v>7114</v>
      </c>
      <c r="L125" t="str" cm="1">
        <f t="array" ref="L125">INDEX(QHPSelections2016[],MATCH(1,(QHPSelections2016[State Name]=HIX_RatingAreas[[#This Row],[State Code]])*(QHPSelections2016[County Name]=HIX_RatingAreas[[#This Row],[Subdivision]]),0),MATCH("County Name",QHPSelections2016[#Headers],0))</f>
        <v>Santa Rosa County</v>
      </c>
      <c r="M125" t="b">
        <f>L125=HIX_RatingAreas[[#This Row],[Subdivision]]</f>
        <v>1</v>
      </c>
      <c r="N125">
        <v>122</v>
      </c>
      <c r="P125" s="47" t="s">
        <v>45</v>
      </c>
      <c r="Q125" s="48" t="s">
        <v>86</v>
      </c>
      <c r="R125">
        <f>SUMIFS(HIX_RatingAreas[Silver Selections 2016],HIX_RatingAreas[State],P125,HIX_RatingAreas[Rating Area ID],Q125)</f>
        <v>15129</v>
      </c>
      <c r="S125">
        <f t="shared" si="6"/>
        <v>3.2166434562598996E-2</v>
      </c>
      <c r="W125">
        <f>SUMIFS(HIX_RatingAreas[Total Plan Selections 2016],HIX_RatingAreas[State],P125,HIX_RatingAreas[Rating Area ID],Q125)</f>
        <v>20998</v>
      </c>
    </row>
    <row r="126" spans="3:23">
      <c r="C126" t="s">
        <v>15</v>
      </c>
      <c r="D126" t="s">
        <v>1447</v>
      </c>
      <c r="E126" t="s">
        <v>243</v>
      </c>
      <c r="F126" s="36">
        <v>56</v>
      </c>
      <c r="G126" t="s">
        <v>1124</v>
      </c>
      <c r="I126" cm="1">
        <f t="array" ref="I126">_xlfn.IFNA(INDEX(QHPSelections2016[],MATCH(1,(QHPSelections2016[State Name]=HIX_RatingAreas[[#This Row],[State Code]])*(QHPSelections2016[County Name]=HIX_RatingAreas[[#This Row],[Subdivision]]),0),MATCH("Silver",QHPSelections2016[#Headers],0)),0)</f>
        <v>20670</v>
      </c>
      <c r="J126" cm="1">
        <f t="array" ref="J126">_xlfn.IFNA(INDEX(QHPSelections2016[],MATCH(1,(QHPSelections2016[State Name]=HIX_RatingAreas[[#This Row],[State Code]])*(QHPSelections2016[County Name]=HIX_RatingAreas[[#This Row],[Subdivision]]),0),MATCH("Total Plan Selections",QHPSelections2016[#Headers],0)),0)</f>
        <v>28425</v>
      </c>
      <c r="L126" t="str" cm="1">
        <f t="array" ref="L126">INDEX(QHPSelections2016[],MATCH(1,(QHPSelections2016[State Name]=HIX_RatingAreas[[#This Row],[State Code]])*(QHPSelections2016[County Name]=HIX_RatingAreas[[#This Row],[Subdivision]]),0),MATCH("County Name",QHPSelections2016[#Headers],0))</f>
        <v>Sarasota County</v>
      </c>
      <c r="M126" t="b">
        <f>L126=HIX_RatingAreas[[#This Row],[Subdivision]]</f>
        <v>1</v>
      </c>
      <c r="N126">
        <v>123</v>
      </c>
      <c r="P126" s="49" t="s">
        <v>45</v>
      </c>
      <c r="Q126" s="50" t="s">
        <v>89</v>
      </c>
      <c r="R126">
        <f>SUMIFS(HIX_RatingAreas[Silver Selections 2016],HIX_RatingAreas[State],P126,HIX_RatingAreas[Rating Area ID],Q126)</f>
        <v>34493</v>
      </c>
      <c r="S126">
        <f t="shared" si="6"/>
        <v>7.3337089521298651E-2</v>
      </c>
      <c r="W126">
        <f>SUMIFS(HIX_RatingAreas[Total Plan Selections 2016],HIX_RatingAreas[State],P126,HIX_RatingAreas[Rating Area ID],Q126)</f>
        <v>42428</v>
      </c>
    </row>
    <row r="127" spans="3:23">
      <c r="C127" t="s">
        <v>15</v>
      </c>
      <c r="D127" t="s">
        <v>1447</v>
      </c>
      <c r="E127" t="s">
        <v>245</v>
      </c>
      <c r="F127" s="36">
        <v>57</v>
      </c>
      <c r="G127" t="s">
        <v>1127</v>
      </c>
      <c r="I127" cm="1">
        <f t="array" ref="I127">_xlfn.IFNA(INDEX(QHPSelections2016[],MATCH(1,(QHPSelections2016[State Name]=HIX_RatingAreas[[#This Row],[State Code]])*(QHPSelections2016[County Name]=HIX_RatingAreas[[#This Row],[Subdivision]]),0),MATCH("Silver",QHPSelections2016[#Headers],0)),0)</f>
        <v>27830</v>
      </c>
      <c r="J127" cm="1">
        <f t="array" ref="J127">_xlfn.IFNA(INDEX(QHPSelections2016[],MATCH(1,(QHPSelections2016[State Name]=HIX_RatingAreas[[#This Row],[State Code]])*(QHPSelections2016[County Name]=HIX_RatingAreas[[#This Row],[Subdivision]]),0),MATCH("Total Plan Selections",QHPSelections2016[#Headers],0)),0)</f>
        <v>37130</v>
      </c>
      <c r="L127" t="str" cm="1">
        <f t="array" ref="L127">INDEX(QHPSelections2016[],MATCH(1,(QHPSelections2016[State Name]=HIX_RatingAreas[[#This Row],[State Code]])*(QHPSelections2016[County Name]=HIX_RatingAreas[[#This Row],[Subdivision]]),0),MATCH("County Name",QHPSelections2016[#Headers],0))</f>
        <v>Seminole County</v>
      </c>
      <c r="M127" t="b">
        <f>L127=HIX_RatingAreas[[#This Row],[Subdivision]]</f>
        <v>1</v>
      </c>
      <c r="N127">
        <v>124</v>
      </c>
      <c r="P127" s="47" t="s">
        <v>45</v>
      </c>
      <c r="Q127" s="48" t="s">
        <v>93</v>
      </c>
      <c r="R127">
        <f>SUMIFS(HIX_RatingAreas[Silver Selections 2016],HIX_RatingAreas[State],P127,HIX_RatingAreas[Rating Area ID],Q127)</f>
        <v>37680</v>
      </c>
      <c r="S127">
        <f t="shared" si="6"/>
        <v>8.0113110867785733E-2</v>
      </c>
      <c r="W127">
        <f>SUMIFS(HIX_RatingAreas[Total Plan Selections 2016],HIX_RatingAreas[State],P127,HIX_RatingAreas[Rating Area ID],Q127)</f>
        <v>48713</v>
      </c>
    </row>
    <row r="128" spans="3:23">
      <c r="C128" t="s">
        <v>15</v>
      </c>
      <c r="D128" t="s">
        <v>1447</v>
      </c>
      <c r="E128" t="s">
        <v>247</v>
      </c>
      <c r="F128" s="36">
        <v>58</v>
      </c>
      <c r="G128" t="s">
        <v>1110</v>
      </c>
      <c r="I128" cm="1">
        <f t="array" ref="I128">_xlfn.IFNA(INDEX(QHPSelections2016[],MATCH(1,(QHPSelections2016[State Name]=HIX_RatingAreas[[#This Row],[State Code]])*(QHPSelections2016[County Name]=HIX_RatingAreas[[#This Row],[Subdivision]]),0),MATCH("Silver",QHPSelections2016[#Headers],0)),0)</f>
        <v>9295</v>
      </c>
      <c r="J128" cm="1">
        <f t="array" ref="J128">_xlfn.IFNA(INDEX(QHPSelections2016[],MATCH(1,(QHPSelections2016[State Name]=HIX_RatingAreas[[#This Row],[State Code]])*(QHPSelections2016[County Name]=HIX_RatingAreas[[#This Row],[Subdivision]]),0),MATCH("Total Plan Selections",QHPSelections2016[#Headers],0)),0)</f>
        <v>13139</v>
      </c>
      <c r="L128" t="str" cm="1">
        <f t="array" ref="L128">INDEX(QHPSelections2016[],MATCH(1,(QHPSelections2016[State Name]=HIX_RatingAreas[[#This Row],[State Code]])*(QHPSelections2016[County Name]=HIX_RatingAreas[[#This Row],[Subdivision]]),0),MATCH("County Name",QHPSelections2016[#Headers],0))</f>
        <v>St. Johns County</v>
      </c>
      <c r="M128" t="b">
        <f>L128=HIX_RatingAreas[[#This Row],[Subdivision]]</f>
        <v>1</v>
      </c>
      <c r="N128">
        <v>125</v>
      </c>
      <c r="P128" s="49" t="s">
        <v>45</v>
      </c>
      <c r="Q128" s="50" t="s">
        <v>96</v>
      </c>
      <c r="R128">
        <f>SUMIFS(HIX_RatingAreas[Silver Selections 2016],HIX_RatingAreas[State],P128,HIX_RatingAreas[Rating Area ID],Q128)</f>
        <v>5570</v>
      </c>
      <c r="S128">
        <f t="shared" si="6"/>
        <v>1.1842622811400385E-2</v>
      </c>
      <c r="W128">
        <f>SUMIFS(HIX_RatingAreas[Total Plan Selections 2016],HIX_RatingAreas[State],P128,HIX_RatingAreas[Rating Area ID],Q128)</f>
        <v>6771</v>
      </c>
    </row>
    <row r="129" spans="3:23">
      <c r="C129" t="s">
        <v>15</v>
      </c>
      <c r="D129" t="s">
        <v>1447</v>
      </c>
      <c r="E129" t="s">
        <v>249</v>
      </c>
      <c r="F129" s="36">
        <v>59</v>
      </c>
      <c r="G129" t="s">
        <v>1116</v>
      </c>
      <c r="I129" cm="1">
        <f t="array" ref="I129">_xlfn.IFNA(INDEX(QHPSelections2016[],MATCH(1,(QHPSelections2016[State Name]=HIX_RatingAreas[[#This Row],[State Code]])*(QHPSelections2016[County Name]=HIX_RatingAreas[[#This Row],[Subdivision]]),0),MATCH("Silver",QHPSelections2016[#Headers],0)),0)</f>
        <v>21277</v>
      </c>
      <c r="J129" cm="1">
        <f t="array" ref="J129">_xlfn.IFNA(INDEX(QHPSelections2016[],MATCH(1,(QHPSelections2016[State Name]=HIX_RatingAreas[[#This Row],[State Code]])*(QHPSelections2016[County Name]=HIX_RatingAreas[[#This Row],[Subdivision]]),0),MATCH("Total Plan Selections",QHPSelections2016[#Headers],0)),0)</f>
        <v>25627</v>
      </c>
      <c r="L129" t="str" cm="1">
        <f t="array" ref="L129">INDEX(QHPSelections2016[],MATCH(1,(QHPSelections2016[State Name]=HIX_RatingAreas[[#This Row],[State Code]])*(QHPSelections2016[County Name]=HIX_RatingAreas[[#This Row],[Subdivision]]),0),MATCH("County Name",QHPSelections2016[#Headers],0))</f>
        <v>St. Lucie County</v>
      </c>
      <c r="M129" t="b">
        <f>L129=HIX_RatingAreas[[#This Row],[Subdivision]]</f>
        <v>1</v>
      </c>
      <c r="N129">
        <v>126</v>
      </c>
      <c r="P129" s="47" t="s">
        <v>45</v>
      </c>
      <c r="Q129" s="48" t="s">
        <v>98</v>
      </c>
      <c r="R129">
        <f>SUMIFS(HIX_RatingAreas[Silver Selections 2016],HIX_RatingAreas[State],P129,HIX_RatingAreas[Rating Area ID],Q129)</f>
        <v>29949</v>
      </c>
      <c r="S129">
        <f t="shared" si="6"/>
        <v>6.3675890588622996E-2</v>
      </c>
      <c r="W129">
        <f>SUMIFS(HIX_RatingAreas[Total Plan Selections 2016],HIX_RatingAreas[State],P129,HIX_RatingAreas[Rating Area ID],Q129)</f>
        <v>35846</v>
      </c>
    </row>
    <row r="130" spans="3:23">
      <c r="C130" t="s">
        <v>15</v>
      </c>
      <c r="D130" t="s">
        <v>1447</v>
      </c>
      <c r="E130" t="s">
        <v>251</v>
      </c>
      <c r="F130" s="36">
        <v>60</v>
      </c>
      <c r="G130" t="s">
        <v>1130</v>
      </c>
      <c r="I130" cm="1">
        <f t="array" ref="I130">_xlfn.IFNA(INDEX(QHPSelections2016[],MATCH(1,(QHPSelections2016[State Name]=HIX_RatingAreas[[#This Row],[State Code]])*(QHPSelections2016[County Name]=HIX_RatingAreas[[#This Row],[Subdivision]]),0),MATCH("Silver",QHPSelections2016[#Headers],0)),0)</f>
        <v>3150</v>
      </c>
      <c r="J130" cm="1">
        <f t="array" ref="J130">_xlfn.IFNA(INDEX(QHPSelections2016[],MATCH(1,(QHPSelections2016[State Name]=HIX_RatingAreas[[#This Row],[State Code]])*(QHPSelections2016[County Name]=HIX_RatingAreas[[#This Row],[Subdivision]]),0),MATCH("Total Plan Selections",QHPSelections2016[#Headers],0)),0)</f>
        <v>4270</v>
      </c>
      <c r="L130" t="str" cm="1">
        <f t="array" ref="L130">INDEX(QHPSelections2016[],MATCH(1,(QHPSelections2016[State Name]=HIX_RatingAreas[[#This Row],[State Code]])*(QHPSelections2016[County Name]=HIX_RatingAreas[[#This Row],[Subdivision]]),0),MATCH("County Name",QHPSelections2016[#Headers],0))</f>
        <v>Sumter County</v>
      </c>
      <c r="M130" t="b">
        <f>L130=HIX_RatingAreas[[#This Row],[Subdivision]]</f>
        <v>1</v>
      </c>
      <c r="N130">
        <v>127</v>
      </c>
      <c r="P130" s="49" t="s">
        <v>45</v>
      </c>
      <c r="Q130" s="50" t="s">
        <v>101</v>
      </c>
      <c r="R130">
        <f>SUMIFS(HIX_RatingAreas[Silver Selections 2016],HIX_RatingAreas[State],P130,HIX_RatingAreas[Rating Area ID],Q130)</f>
        <v>4206</v>
      </c>
      <c r="S130">
        <f t="shared" si="6"/>
        <v>8.9425622162926429E-3</v>
      </c>
      <c r="W130">
        <f>SUMIFS(HIX_RatingAreas[Total Plan Selections 2016],HIX_RatingAreas[State],P130,HIX_RatingAreas[Rating Area ID],Q130)</f>
        <v>5816</v>
      </c>
    </row>
    <row r="131" spans="3:23">
      <c r="C131" t="s">
        <v>15</v>
      </c>
      <c r="D131" t="s">
        <v>1447</v>
      </c>
      <c r="E131" t="s">
        <v>252</v>
      </c>
      <c r="F131" s="36">
        <v>61</v>
      </c>
      <c r="G131" t="s">
        <v>1137</v>
      </c>
      <c r="I131" cm="1">
        <f t="array" ref="I131">_xlfn.IFNA(INDEX(QHPSelections2016[],MATCH(1,(QHPSelections2016[State Name]=HIX_RatingAreas[[#This Row],[State Code]])*(QHPSelections2016[County Name]=HIX_RatingAreas[[#This Row],[Subdivision]]),0),MATCH("Silver",QHPSelections2016[#Headers],0)),0)</f>
        <v>1700</v>
      </c>
      <c r="J131" cm="1">
        <f t="array" ref="J131">_xlfn.IFNA(INDEX(QHPSelections2016[],MATCH(1,(QHPSelections2016[State Name]=HIX_RatingAreas[[#This Row],[State Code]])*(QHPSelections2016[County Name]=HIX_RatingAreas[[#This Row],[Subdivision]]),0),MATCH("Total Plan Selections",QHPSelections2016[#Headers],0)),0)</f>
        <v>2063</v>
      </c>
      <c r="L131" t="str" cm="1">
        <f t="array" ref="L131">INDEX(QHPSelections2016[],MATCH(1,(QHPSelections2016[State Name]=HIX_RatingAreas[[#This Row],[State Code]])*(QHPSelections2016[County Name]=HIX_RatingAreas[[#This Row],[Subdivision]]),0),MATCH("County Name",QHPSelections2016[#Headers],0))</f>
        <v>Suwannee County</v>
      </c>
      <c r="M131" t="b">
        <f>L131=HIX_RatingAreas[[#This Row],[Subdivision]]</f>
        <v>1</v>
      </c>
      <c r="N131">
        <v>128</v>
      </c>
      <c r="P131" s="47" t="s">
        <v>45</v>
      </c>
      <c r="Q131" s="48" t="s">
        <v>103</v>
      </c>
      <c r="R131">
        <f>SUMIFS(HIX_RatingAreas[Silver Selections 2016],HIX_RatingAreas[State],P131,HIX_RatingAreas[Rating Area ID],Q131)</f>
        <v>30451</v>
      </c>
      <c r="S131">
        <f t="shared" si="6"/>
        <v>6.4743214942540955E-2</v>
      </c>
      <c r="W131">
        <f>SUMIFS(HIX_RatingAreas[Total Plan Selections 2016],HIX_RatingAreas[State],P131,HIX_RatingAreas[Rating Area ID],Q131)</f>
        <v>43613</v>
      </c>
    </row>
    <row r="132" spans="3:23">
      <c r="C132" t="s">
        <v>15</v>
      </c>
      <c r="D132" t="s">
        <v>1447</v>
      </c>
      <c r="E132" t="s">
        <v>254</v>
      </c>
      <c r="F132" s="36">
        <v>62</v>
      </c>
      <c r="G132" t="s">
        <v>1144</v>
      </c>
      <c r="I132" cm="1">
        <f t="array" ref="I132">_xlfn.IFNA(INDEX(QHPSelections2016[],MATCH(1,(QHPSelections2016[State Name]=HIX_RatingAreas[[#This Row],[State Code]])*(QHPSelections2016[County Name]=HIX_RatingAreas[[#This Row],[Subdivision]]),0),MATCH("Silver",QHPSelections2016[#Headers],0)),0)</f>
        <v>512</v>
      </c>
      <c r="J132" cm="1">
        <f t="array" ref="J132">_xlfn.IFNA(INDEX(QHPSelections2016[],MATCH(1,(QHPSelections2016[State Name]=HIX_RatingAreas[[#This Row],[State Code]])*(QHPSelections2016[County Name]=HIX_RatingAreas[[#This Row],[Subdivision]]),0),MATCH("Total Plan Selections",QHPSelections2016[#Headers],0)),0)</f>
        <v>624</v>
      </c>
      <c r="L132" t="str" cm="1">
        <f t="array" ref="L132">INDEX(QHPSelections2016[],MATCH(1,(QHPSelections2016[State Name]=HIX_RatingAreas[[#This Row],[State Code]])*(QHPSelections2016[County Name]=HIX_RatingAreas[[#This Row],[Subdivision]]),0),MATCH("County Name",QHPSelections2016[#Headers],0))</f>
        <v>Taylor County</v>
      </c>
      <c r="M132" t="b">
        <f>L132=HIX_RatingAreas[[#This Row],[Subdivision]]</f>
        <v>1</v>
      </c>
      <c r="N132">
        <v>129</v>
      </c>
      <c r="P132" s="49" t="s">
        <v>45</v>
      </c>
      <c r="Q132" s="50" t="s">
        <v>108</v>
      </c>
      <c r="R132">
        <f>SUMIFS(HIX_RatingAreas[Silver Selections 2016],HIX_RatingAreas[State],P132,HIX_RatingAreas[Rating Area ID],Q132)</f>
        <v>10801</v>
      </c>
      <c r="S132">
        <f t="shared" si="6"/>
        <v>2.2964482762286454E-2</v>
      </c>
      <c r="W132">
        <f>SUMIFS(HIX_RatingAreas[Total Plan Selections 2016],HIX_RatingAreas[State],P132,HIX_RatingAreas[Rating Area ID],Q132)</f>
        <v>12751</v>
      </c>
    </row>
    <row r="133" spans="3:23">
      <c r="C133" t="s">
        <v>15</v>
      </c>
      <c r="D133" t="s">
        <v>1447</v>
      </c>
      <c r="E133" t="s">
        <v>256</v>
      </c>
      <c r="F133" s="36">
        <v>63</v>
      </c>
      <c r="G133" t="s">
        <v>1149</v>
      </c>
      <c r="I133" cm="1">
        <f t="array" ref="I133">_xlfn.IFNA(INDEX(QHPSelections2016[],MATCH(1,(QHPSelections2016[State Name]=HIX_RatingAreas[[#This Row],[State Code]])*(QHPSelections2016[County Name]=HIX_RatingAreas[[#This Row],[Subdivision]]),0),MATCH("Silver",QHPSelections2016[#Headers],0)),0)</f>
        <v>264</v>
      </c>
      <c r="J133" cm="1">
        <f t="array" ref="J133">_xlfn.IFNA(INDEX(QHPSelections2016[],MATCH(1,(QHPSelections2016[State Name]=HIX_RatingAreas[[#This Row],[State Code]])*(QHPSelections2016[County Name]=HIX_RatingAreas[[#This Row],[Subdivision]]),0),MATCH("Total Plan Selections",QHPSelections2016[#Headers],0)),0)</f>
        <v>358</v>
      </c>
      <c r="L133" t="str" cm="1">
        <f t="array" ref="L133">INDEX(QHPSelections2016[],MATCH(1,(QHPSelections2016[State Name]=HIX_RatingAreas[[#This Row],[State Code]])*(QHPSelections2016[County Name]=HIX_RatingAreas[[#This Row],[Subdivision]]),0),MATCH("County Name",QHPSelections2016[#Headers],0))</f>
        <v>Union County</v>
      </c>
      <c r="M133" t="b">
        <f>L133=HIX_RatingAreas[[#This Row],[Subdivision]]</f>
        <v>1</v>
      </c>
      <c r="N133">
        <v>130</v>
      </c>
      <c r="P133" s="47" t="s">
        <v>45</v>
      </c>
      <c r="Q133" s="48" t="s">
        <v>112</v>
      </c>
      <c r="R133">
        <f>SUMIFS(HIX_RatingAreas[Silver Selections 2016],HIX_RatingAreas[State],P133,HIX_RatingAreas[Rating Area ID],Q133)</f>
        <v>56561</v>
      </c>
      <c r="S133">
        <f t="shared" si="6"/>
        <v>0.12025683821106233</v>
      </c>
      <c r="W133">
        <f>SUMIFS(HIX_RatingAreas[Total Plan Selections 2016],HIX_RatingAreas[State],P133,HIX_RatingAreas[Rating Area ID],Q133)</f>
        <v>79616</v>
      </c>
    </row>
    <row r="134" spans="3:23">
      <c r="C134" t="s">
        <v>15</v>
      </c>
      <c r="D134" t="s">
        <v>1447</v>
      </c>
      <c r="E134" t="s">
        <v>258</v>
      </c>
      <c r="F134" s="36">
        <v>64</v>
      </c>
      <c r="G134" t="s">
        <v>1155</v>
      </c>
      <c r="I134" cm="1">
        <f t="array" ref="I134">_xlfn.IFNA(INDEX(QHPSelections2016[],MATCH(1,(QHPSelections2016[State Name]=HIX_RatingAreas[[#This Row],[State Code]])*(QHPSelections2016[County Name]=HIX_RatingAreas[[#This Row],[Subdivision]]),0),MATCH("Silver",QHPSelections2016[#Headers],0)),0)</f>
        <v>30069</v>
      </c>
      <c r="J134" cm="1">
        <f t="array" ref="J134">_xlfn.IFNA(INDEX(QHPSelections2016[],MATCH(1,(QHPSelections2016[State Name]=HIX_RatingAreas[[#This Row],[State Code]])*(QHPSelections2016[County Name]=HIX_RatingAreas[[#This Row],[Subdivision]]),0),MATCH("Total Plan Selections",QHPSelections2016[#Headers],0)),0)</f>
        <v>40262</v>
      </c>
      <c r="L134" t="str" cm="1">
        <f t="array" ref="L134">INDEX(QHPSelections2016[],MATCH(1,(QHPSelections2016[State Name]=HIX_RatingAreas[[#This Row],[State Code]])*(QHPSelections2016[County Name]=HIX_RatingAreas[[#This Row],[Subdivision]]),0),MATCH("County Name",QHPSelections2016[#Headers],0))</f>
        <v>Volusia County</v>
      </c>
      <c r="M134" t="b">
        <f>L134=HIX_RatingAreas[[#This Row],[Subdivision]]</f>
        <v>1</v>
      </c>
      <c r="N134">
        <v>131</v>
      </c>
      <c r="P134" s="49" t="s">
        <v>45</v>
      </c>
      <c r="Q134" s="50" t="s">
        <v>167</v>
      </c>
      <c r="R134">
        <f>SUMIFS(HIX_RatingAreas[Silver Selections 2016],HIX_RatingAreas[State],P134,HIX_RatingAreas[Rating Area ID],Q134)</f>
        <v>22919</v>
      </c>
      <c r="S134">
        <f t="shared" si="6"/>
        <v>4.8729097345509051E-2</v>
      </c>
      <c r="W134">
        <f>SUMIFS(HIX_RatingAreas[Total Plan Selections 2016],HIX_RatingAreas[State],P134,HIX_RatingAreas[Rating Area ID],Q134)</f>
        <v>26879</v>
      </c>
    </row>
    <row r="135" spans="3:23">
      <c r="C135" t="s">
        <v>15</v>
      </c>
      <c r="D135" t="s">
        <v>1447</v>
      </c>
      <c r="E135" t="s">
        <v>260</v>
      </c>
      <c r="F135" s="36">
        <v>65</v>
      </c>
      <c r="G135" t="s">
        <v>1161</v>
      </c>
      <c r="I135" cm="1">
        <f t="array" ref="I135">_xlfn.IFNA(INDEX(QHPSelections2016[],MATCH(1,(QHPSelections2016[State Name]=HIX_RatingAreas[[#This Row],[State Code]])*(QHPSelections2016[County Name]=HIX_RatingAreas[[#This Row],[Subdivision]]),0),MATCH("Silver",QHPSelections2016[#Headers],0)),0)</f>
        <v>781</v>
      </c>
      <c r="J135" cm="1">
        <f t="array" ref="J135">_xlfn.IFNA(INDEX(QHPSelections2016[],MATCH(1,(QHPSelections2016[State Name]=HIX_RatingAreas[[#This Row],[State Code]])*(QHPSelections2016[County Name]=HIX_RatingAreas[[#This Row],[Subdivision]]),0),MATCH("Total Plan Selections",QHPSelections2016[#Headers],0)),0)</f>
        <v>995</v>
      </c>
      <c r="L135" t="str" cm="1">
        <f t="array" ref="L135">INDEX(QHPSelections2016[],MATCH(1,(QHPSelections2016[State Name]=HIX_RatingAreas[[#This Row],[State Code]])*(QHPSelections2016[County Name]=HIX_RatingAreas[[#This Row],[Subdivision]]),0),MATCH("County Name",QHPSelections2016[#Headers],0))</f>
        <v>Wakulla County</v>
      </c>
      <c r="M135" t="b">
        <f>L135=HIX_RatingAreas[[#This Row],[Subdivision]]</f>
        <v>1</v>
      </c>
      <c r="N135">
        <v>132</v>
      </c>
      <c r="P135" s="47" t="s">
        <v>45</v>
      </c>
      <c r="Q135" s="48" t="s">
        <v>169</v>
      </c>
      <c r="R135">
        <f>SUMIFS(HIX_RatingAreas[Silver Selections 2016],HIX_RatingAreas[State],P135,HIX_RatingAreas[Rating Area ID],Q135)</f>
        <v>33808</v>
      </c>
      <c r="S135">
        <f t="shared" si="6"/>
        <v>7.1880680791350848E-2</v>
      </c>
      <c r="W135">
        <f>SUMIFS(HIX_RatingAreas[Total Plan Selections 2016],HIX_RatingAreas[State],P135,HIX_RatingAreas[Rating Area ID],Q135)</f>
        <v>42024</v>
      </c>
    </row>
    <row r="136" spans="3:23">
      <c r="C136" t="s">
        <v>15</v>
      </c>
      <c r="D136" t="s">
        <v>1447</v>
      </c>
      <c r="E136" t="s">
        <v>262</v>
      </c>
      <c r="F136" s="36">
        <v>66</v>
      </c>
      <c r="G136" t="s">
        <v>1167</v>
      </c>
      <c r="I136" cm="1">
        <f t="array" ref="I136">_xlfn.IFNA(INDEX(QHPSelections2016[],MATCH(1,(QHPSelections2016[State Name]=HIX_RatingAreas[[#This Row],[State Code]])*(QHPSelections2016[County Name]=HIX_RatingAreas[[#This Row],[Subdivision]]),0),MATCH("Silver",QHPSelections2016[#Headers],0)),0)</f>
        <v>3279</v>
      </c>
      <c r="J136" cm="1">
        <f t="array" ref="J136">_xlfn.IFNA(INDEX(QHPSelections2016[],MATCH(1,(QHPSelections2016[State Name]=HIX_RatingAreas[[#This Row],[State Code]])*(QHPSelections2016[County Name]=HIX_RatingAreas[[#This Row],[Subdivision]]),0),MATCH("Total Plan Selections",QHPSelections2016[#Headers],0)),0)</f>
        <v>4454</v>
      </c>
      <c r="L136" t="str" cm="1">
        <f t="array" ref="L136">INDEX(QHPSelections2016[],MATCH(1,(QHPSelections2016[State Name]=HIX_RatingAreas[[#This Row],[State Code]])*(QHPSelections2016[County Name]=HIX_RatingAreas[[#This Row],[Subdivision]]),0),MATCH("County Name",QHPSelections2016[#Headers],0))</f>
        <v>Walton County</v>
      </c>
      <c r="M136" t="b">
        <f>L136=HIX_RatingAreas[[#This Row],[Subdivision]]</f>
        <v>1</v>
      </c>
      <c r="N136">
        <v>133</v>
      </c>
      <c r="P136" s="49" t="s">
        <v>45</v>
      </c>
      <c r="Q136" s="50" t="s">
        <v>171</v>
      </c>
      <c r="R136">
        <f>SUMIFS(HIX_RatingAreas[Silver Selections 2016],HIX_RatingAreas[State],P136,HIX_RatingAreas[Rating Area ID],Q136)</f>
        <v>20806</v>
      </c>
      <c r="S136">
        <f t="shared" si="6"/>
        <v>4.4236554796049626E-2</v>
      </c>
      <c r="W136">
        <f>SUMIFS(HIX_RatingAreas[Total Plan Selections 2016],HIX_RatingAreas[State],P136,HIX_RatingAreas[Rating Area ID],Q136)</f>
        <v>24283</v>
      </c>
    </row>
    <row r="137" spans="3:23">
      <c r="C137" t="s">
        <v>15</v>
      </c>
      <c r="D137" t="s">
        <v>1447</v>
      </c>
      <c r="E137" t="s">
        <v>264</v>
      </c>
      <c r="F137" s="36">
        <v>67</v>
      </c>
      <c r="G137" t="s">
        <v>1160</v>
      </c>
      <c r="I137" cm="1">
        <f t="array" ref="I137">_xlfn.IFNA(INDEX(QHPSelections2016[],MATCH(1,(QHPSelections2016[State Name]=HIX_RatingAreas[[#This Row],[State Code]])*(QHPSelections2016[County Name]=HIX_RatingAreas[[#This Row],[Subdivision]]),0),MATCH("Silver",QHPSelections2016[#Headers],0)),0)</f>
        <v>807</v>
      </c>
      <c r="J137" cm="1">
        <f t="array" ref="J137">_xlfn.IFNA(INDEX(QHPSelections2016[],MATCH(1,(QHPSelections2016[State Name]=HIX_RatingAreas[[#This Row],[State Code]])*(QHPSelections2016[County Name]=HIX_RatingAreas[[#This Row],[Subdivision]]),0),MATCH("Total Plan Selections",QHPSelections2016[#Headers],0)),0)</f>
        <v>961</v>
      </c>
      <c r="L137" t="str" cm="1">
        <f t="array" ref="L137">INDEX(QHPSelections2016[],MATCH(1,(QHPSelections2016[State Name]=HIX_RatingAreas[[#This Row],[State Code]])*(QHPSelections2016[County Name]=HIX_RatingAreas[[#This Row],[Subdivision]]),0),MATCH("County Name",QHPSelections2016[#Headers],0))</f>
        <v>Washington County</v>
      </c>
      <c r="M137" t="b">
        <f>L137=HIX_RatingAreas[[#This Row],[Subdivision]]</f>
        <v>1</v>
      </c>
      <c r="N137">
        <v>134</v>
      </c>
      <c r="P137" s="47" t="s">
        <v>54</v>
      </c>
      <c r="Q137" s="48" t="s">
        <v>816</v>
      </c>
      <c r="R137">
        <f>SUM(R138:R145)</f>
        <v>185799</v>
      </c>
      <c r="S137">
        <f>R137/R$137</f>
        <v>1</v>
      </c>
      <c r="U137">
        <f>SUM(S138:S145)</f>
        <v>0.99999999999999989</v>
      </c>
      <c r="W137">
        <f>SUM(W138:W145)</f>
        <v>268860</v>
      </c>
    </row>
    <row r="138" spans="3:23">
      <c r="C138" t="s">
        <v>16</v>
      </c>
      <c r="D138" t="s">
        <v>1515</v>
      </c>
      <c r="E138" t="s">
        <v>72</v>
      </c>
      <c r="F138" s="36">
        <v>1</v>
      </c>
      <c r="G138" t="s">
        <v>824</v>
      </c>
      <c r="I138" cm="1">
        <f t="array" ref="I138">_xlfn.IFNA(INDEX(QHPSelections2016[],MATCH(1,(QHPSelections2016[State Name]=HIX_RatingAreas[[#This Row],[State Code]])*(QHPSelections2016[County Name]=HIX_RatingAreas[[#This Row],[Subdivision]]),0),MATCH("Silver",QHPSelections2016[#Headers],0)),0)</f>
        <v>117</v>
      </c>
      <c r="J138" cm="1">
        <f t="array" ref="J138">_xlfn.IFNA(INDEX(QHPSelections2016[],MATCH(1,(QHPSelections2016[State Name]=HIX_RatingAreas[[#This Row],[State Code]])*(QHPSelections2016[County Name]=HIX_RatingAreas[[#This Row],[Subdivision]]),0),MATCH("Total Plan Selections",QHPSelections2016[#Headers],0)),0)</f>
        <v>154</v>
      </c>
      <c r="L138" t="str" cm="1">
        <f t="array" ref="L138">INDEX(QHPSelections2016[],MATCH(1,(QHPSelections2016[State Name]=HIX_RatingAreas[[#This Row],[State Code]])*(QHPSelections2016[County Name]=HIX_RatingAreas[[#This Row],[Subdivision]]),0),MATCH("County Name",QHPSelections2016[#Headers],0))</f>
        <v>Baker County</v>
      </c>
      <c r="M138" t="b">
        <f>L138=HIX_RatingAreas[[#This Row],[Subdivision]]</f>
        <v>1</v>
      </c>
      <c r="N138">
        <v>135</v>
      </c>
      <c r="P138" s="49" t="s">
        <v>54</v>
      </c>
      <c r="Q138" s="50" t="s">
        <v>72</v>
      </c>
      <c r="R138">
        <f>SUMIFS(HIX_RatingAreas[Silver Selections 2016],HIX_RatingAreas[State],P138,HIX_RatingAreas[Rating Area ID],Q138)</f>
        <v>14518</v>
      </c>
      <c r="S138">
        <f t="shared" ref="S138:S145" si="7">R138/R$137</f>
        <v>7.8138203111965079E-2</v>
      </c>
      <c r="W138">
        <f>SUMIFS(HIX_RatingAreas[Total Plan Selections 2016],HIX_RatingAreas[State],P138,HIX_RatingAreas[Rating Area ID],Q138)</f>
        <v>19932</v>
      </c>
    </row>
    <row r="139" spans="3:23">
      <c r="C139" t="s">
        <v>16</v>
      </c>
      <c r="D139" t="s">
        <v>1515</v>
      </c>
      <c r="E139" t="s">
        <v>72</v>
      </c>
      <c r="F139" s="36">
        <v>1</v>
      </c>
      <c r="G139" t="s">
        <v>855</v>
      </c>
      <c r="I139" cm="1">
        <f t="array" ref="I139">_xlfn.IFNA(INDEX(QHPSelections2016[],MATCH(1,(QHPSelections2016[State Name]=HIX_RatingAreas[[#This Row],[State Code]])*(QHPSelections2016[County Name]=HIX_RatingAreas[[#This Row],[Subdivision]]),0),MATCH("Silver",QHPSelections2016[#Headers],0)),0)</f>
        <v>169</v>
      </c>
      <c r="J139" cm="1">
        <f t="array" ref="J139">_xlfn.IFNA(INDEX(QHPSelections2016[],MATCH(1,(QHPSelections2016[State Name]=HIX_RatingAreas[[#This Row],[State Code]])*(QHPSelections2016[County Name]=HIX_RatingAreas[[#This Row],[Subdivision]]),0),MATCH("Total Plan Selections",QHPSelections2016[#Headers],0)),0)</f>
        <v>215</v>
      </c>
      <c r="L139" t="str" cm="1">
        <f t="array" ref="L139">INDEX(QHPSelections2016[],MATCH(1,(QHPSelections2016[State Name]=HIX_RatingAreas[[#This Row],[State Code]])*(QHPSelections2016[County Name]=HIX_RatingAreas[[#This Row],[Subdivision]]),0),MATCH("County Name",QHPSelections2016[#Headers],0))</f>
        <v>Calhoun County</v>
      </c>
      <c r="M139" t="b">
        <f>L139=HIX_RatingAreas[[#This Row],[Subdivision]]</f>
        <v>1</v>
      </c>
      <c r="N139">
        <v>136</v>
      </c>
      <c r="P139" s="47" t="s">
        <v>54</v>
      </c>
      <c r="Q139" s="48" t="s">
        <v>74</v>
      </c>
      <c r="R139">
        <f>SUMIFS(HIX_RatingAreas[Silver Selections 2016],HIX_RatingAreas[State],P139,HIX_RatingAreas[Rating Area ID],Q139)</f>
        <v>35949</v>
      </c>
      <c r="S139">
        <f t="shared" si="7"/>
        <v>0.19348328031905446</v>
      </c>
      <c r="W139">
        <f>SUMIFS(HIX_RatingAreas[Total Plan Selections 2016],HIX_RatingAreas[State],P139,HIX_RatingAreas[Rating Area ID],Q139)</f>
        <v>49401</v>
      </c>
    </row>
    <row r="140" spans="3:23">
      <c r="C140" t="s">
        <v>16</v>
      </c>
      <c r="D140" t="s">
        <v>1515</v>
      </c>
      <c r="E140" t="s">
        <v>72</v>
      </c>
      <c r="F140" s="36">
        <v>1</v>
      </c>
      <c r="G140" t="s">
        <v>873</v>
      </c>
      <c r="I140" cm="1">
        <f t="array" ref="I140">_xlfn.IFNA(INDEX(QHPSelections2016[],MATCH(1,(QHPSelections2016[State Name]=HIX_RatingAreas[[#This Row],[State Code]])*(QHPSelections2016[County Name]=HIX_RatingAreas[[#This Row],[Subdivision]]),0),MATCH("Silver",QHPSelections2016[#Headers],0)),0)</f>
        <v>106</v>
      </c>
      <c r="J140" cm="1">
        <f t="array" ref="J140">_xlfn.IFNA(INDEX(QHPSelections2016[],MATCH(1,(QHPSelections2016[State Name]=HIX_RatingAreas[[#This Row],[State Code]])*(QHPSelections2016[County Name]=HIX_RatingAreas[[#This Row],[Subdivision]]),0),MATCH("Total Plan Selections",QHPSelections2016[#Headers],0)),0)</f>
        <v>132</v>
      </c>
      <c r="L140" t="str" cm="1">
        <f t="array" ref="L140">INDEX(QHPSelections2016[],MATCH(1,(QHPSelections2016[State Name]=HIX_RatingAreas[[#This Row],[State Code]])*(QHPSelections2016[County Name]=HIX_RatingAreas[[#This Row],[Subdivision]]),0),MATCH("County Name",QHPSelections2016[#Headers],0))</f>
        <v>Clay County</v>
      </c>
      <c r="M140" t="b">
        <f>L140=HIX_RatingAreas[[#This Row],[Subdivision]]</f>
        <v>1</v>
      </c>
      <c r="N140">
        <v>137</v>
      </c>
      <c r="P140" s="49" t="s">
        <v>54</v>
      </c>
      <c r="Q140" s="50" t="s">
        <v>76</v>
      </c>
      <c r="R140">
        <f>SUMIFS(HIX_RatingAreas[Silver Selections 2016],HIX_RatingAreas[State],P140,HIX_RatingAreas[Rating Area ID],Q140)</f>
        <v>19437</v>
      </c>
      <c r="S140">
        <f t="shared" si="7"/>
        <v>0.10461304958584276</v>
      </c>
      <c r="W140">
        <f>SUMIFS(HIX_RatingAreas[Total Plan Selections 2016],HIX_RatingAreas[State],P140,HIX_RatingAreas[Rating Area ID],Q140)</f>
        <v>27160</v>
      </c>
    </row>
    <row r="141" spans="3:23">
      <c r="C141" t="s">
        <v>16</v>
      </c>
      <c r="D141" t="s">
        <v>1515</v>
      </c>
      <c r="E141" t="s">
        <v>72</v>
      </c>
      <c r="F141" s="36">
        <v>1</v>
      </c>
      <c r="G141" t="s">
        <v>1035</v>
      </c>
      <c r="I141" cm="1">
        <f t="array" ref="I141">_xlfn.IFNA(INDEX(QHPSelections2016[],MATCH(1,(QHPSelections2016[State Name]=HIX_RatingAreas[[#This Row],[State Code]])*(QHPSelections2016[County Name]=HIX_RatingAreas[[#This Row],[Subdivision]]),0),MATCH("Silver",QHPSelections2016[#Headers],0)),0)</f>
        <v>787</v>
      </c>
      <c r="J141" cm="1">
        <f t="array" ref="J141">_xlfn.IFNA(INDEX(QHPSelections2016[],MATCH(1,(QHPSelections2016[State Name]=HIX_RatingAreas[[#This Row],[State Code]])*(QHPSelections2016[County Name]=HIX_RatingAreas[[#This Row],[Subdivision]]),0),MATCH("Total Plan Selections",QHPSelections2016[#Headers],0)),0)</f>
        <v>1015</v>
      </c>
      <c r="L141" t="str" cm="1">
        <f t="array" ref="L141">INDEX(QHPSelections2016[],MATCH(1,(QHPSelections2016[State Name]=HIX_RatingAreas[[#This Row],[State Code]])*(QHPSelections2016[County Name]=HIX_RatingAreas[[#This Row],[Subdivision]]),0),MATCH("County Name",QHPSelections2016[#Headers],0))</f>
        <v>Crisp County</v>
      </c>
      <c r="M141" t="b">
        <f>L141=HIX_RatingAreas[[#This Row],[Subdivision]]</f>
        <v>1</v>
      </c>
      <c r="N141">
        <v>138</v>
      </c>
      <c r="P141" s="47" t="s">
        <v>54</v>
      </c>
      <c r="Q141" s="48" t="s">
        <v>84</v>
      </c>
      <c r="R141">
        <f>SUMIFS(HIX_RatingAreas[Silver Selections 2016],HIX_RatingAreas[State],P141,HIX_RatingAreas[Rating Area ID],Q141)</f>
        <v>47757</v>
      </c>
      <c r="S141">
        <f t="shared" si="7"/>
        <v>0.25703582904106048</v>
      </c>
      <c r="W141">
        <f>SUMIFS(HIX_RatingAreas[Total Plan Selections 2016],HIX_RatingAreas[State],P141,HIX_RatingAreas[Rating Area ID],Q141)</f>
        <v>76002</v>
      </c>
    </row>
    <row r="142" spans="3:23">
      <c r="C142" t="s">
        <v>16</v>
      </c>
      <c r="D142" t="s">
        <v>1515</v>
      </c>
      <c r="E142" t="s">
        <v>72</v>
      </c>
      <c r="F142" s="36">
        <v>1</v>
      </c>
      <c r="G142" t="s">
        <v>1067</v>
      </c>
      <c r="I142" cm="1">
        <f t="array" ref="I142">_xlfn.IFNA(INDEX(QHPSelections2016[],MATCH(1,(QHPSelections2016[State Name]=HIX_RatingAreas[[#This Row],[State Code]])*(QHPSelections2016[County Name]=HIX_RatingAreas[[#This Row],[Subdivision]]),0),MATCH("Silver",QHPSelections2016[#Headers],0)),0)</f>
        <v>2729</v>
      </c>
      <c r="J142" cm="1">
        <f t="array" ref="J142">_xlfn.IFNA(INDEX(QHPSelections2016[],MATCH(1,(QHPSelections2016[State Name]=HIX_RatingAreas[[#This Row],[State Code]])*(QHPSelections2016[County Name]=HIX_RatingAreas[[#This Row],[Subdivision]]),0),MATCH("Total Plan Selections",QHPSelections2016[#Headers],0)),0)</f>
        <v>3683</v>
      </c>
      <c r="L142" t="str" cm="1">
        <f t="array" ref="L142">INDEX(QHPSelections2016[],MATCH(1,(QHPSelections2016[State Name]=HIX_RatingAreas[[#This Row],[State Code]])*(QHPSelections2016[County Name]=HIX_RatingAreas[[#This Row],[Subdivision]]),0),MATCH("County Name",QHPSelections2016[#Headers],0))</f>
        <v>Dougherty County</v>
      </c>
      <c r="M142" t="b">
        <f>L142=HIX_RatingAreas[[#This Row],[Subdivision]]</f>
        <v>1</v>
      </c>
      <c r="N142">
        <v>139</v>
      </c>
      <c r="P142" s="49" t="s">
        <v>54</v>
      </c>
      <c r="Q142" s="50" t="s">
        <v>86</v>
      </c>
      <c r="R142">
        <f>SUMIFS(HIX_RatingAreas[Silver Selections 2016],HIX_RatingAreas[State],P142,HIX_RatingAreas[Rating Area ID],Q142)</f>
        <v>12860</v>
      </c>
      <c r="S142">
        <f t="shared" si="7"/>
        <v>6.9214581348661722E-2</v>
      </c>
      <c r="W142">
        <f>SUMIFS(HIX_RatingAreas[Total Plan Selections 2016],HIX_RatingAreas[State],P142,HIX_RatingAreas[Rating Area ID],Q142)</f>
        <v>18577</v>
      </c>
    </row>
    <row r="143" spans="3:23">
      <c r="C143" t="s">
        <v>16</v>
      </c>
      <c r="D143" t="s">
        <v>1515</v>
      </c>
      <c r="E143" t="s">
        <v>72</v>
      </c>
      <c r="F143" s="36">
        <v>1</v>
      </c>
      <c r="G143" t="s">
        <v>1010</v>
      </c>
      <c r="I143" cm="1">
        <f t="array" ref="I143">_xlfn.IFNA(INDEX(QHPSelections2016[],MATCH(1,(QHPSelections2016[State Name]=HIX_RatingAreas[[#This Row],[State Code]])*(QHPSelections2016[County Name]=HIX_RatingAreas[[#This Row],[Subdivision]]),0),MATCH("Silver",QHPSelections2016[#Headers],0)),0)</f>
        <v>957</v>
      </c>
      <c r="J143" cm="1">
        <f t="array" ref="J143">_xlfn.IFNA(INDEX(QHPSelections2016[],MATCH(1,(QHPSelections2016[State Name]=HIX_RatingAreas[[#This Row],[State Code]])*(QHPSelections2016[County Name]=HIX_RatingAreas[[#This Row],[Subdivision]]),0),MATCH("Total Plan Selections",QHPSelections2016[#Headers],0)),0)</f>
        <v>1249</v>
      </c>
      <c r="L143" t="str" cm="1">
        <f t="array" ref="L143">INDEX(QHPSelections2016[],MATCH(1,(QHPSelections2016[State Name]=HIX_RatingAreas[[#This Row],[State Code]])*(QHPSelections2016[County Name]=HIX_RatingAreas[[#This Row],[Subdivision]]),0),MATCH("County Name",QHPSelections2016[#Headers],0))</f>
        <v>Lee County</v>
      </c>
      <c r="M143" t="b">
        <f>L143=HIX_RatingAreas[[#This Row],[Subdivision]]</f>
        <v>1</v>
      </c>
      <c r="N143">
        <v>140</v>
      </c>
      <c r="P143" s="47" t="s">
        <v>54</v>
      </c>
      <c r="Q143" s="48" t="s">
        <v>89</v>
      </c>
      <c r="R143">
        <f>SUMIFS(HIX_RatingAreas[Silver Selections 2016],HIX_RatingAreas[State],P143,HIX_RatingAreas[Rating Area ID],Q143)</f>
        <v>31044</v>
      </c>
      <c r="S143">
        <f t="shared" si="7"/>
        <v>0.16708378408925775</v>
      </c>
      <c r="W143">
        <f>SUMIFS(HIX_RatingAreas[Total Plan Selections 2016],HIX_RatingAreas[State],P143,HIX_RatingAreas[Rating Area ID],Q143)</f>
        <v>44722</v>
      </c>
    </row>
    <row r="144" spans="3:23">
      <c r="C144" t="s">
        <v>16</v>
      </c>
      <c r="D144" t="s">
        <v>1515</v>
      </c>
      <c r="E144" t="s">
        <v>72</v>
      </c>
      <c r="F144" s="36">
        <v>1</v>
      </c>
      <c r="G144" t="s">
        <v>1140</v>
      </c>
      <c r="I144" cm="1">
        <f t="array" ref="I144">_xlfn.IFNA(INDEX(QHPSelections2016[],MATCH(1,(QHPSelections2016[State Name]=HIX_RatingAreas[[#This Row],[State Code]])*(QHPSelections2016[County Name]=HIX_RatingAreas[[#This Row],[Subdivision]]),0),MATCH("Silver",QHPSelections2016[#Headers],0)),0)</f>
        <v>708</v>
      </c>
      <c r="J144" cm="1">
        <f t="array" ref="J144">_xlfn.IFNA(INDEX(QHPSelections2016[],MATCH(1,(QHPSelections2016[State Name]=HIX_RatingAreas[[#This Row],[State Code]])*(QHPSelections2016[County Name]=HIX_RatingAreas[[#This Row],[Subdivision]]),0),MATCH("Total Plan Selections",QHPSelections2016[#Headers],0)),0)</f>
        <v>920</v>
      </c>
      <c r="L144" t="str" cm="1">
        <f t="array" ref="L144">INDEX(QHPSelections2016[],MATCH(1,(QHPSelections2016[State Name]=HIX_RatingAreas[[#This Row],[State Code]])*(QHPSelections2016[County Name]=HIX_RatingAreas[[#This Row],[Subdivision]]),0),MATCH("County Name",QHPSelections2016[#Headers],0))</f>
        <v>Mitchell County</v>
      </c>
      <c r="M144" t="b">
        <f>L144=HIX_RatingAreas[[#This Row],[Subdivision]]</f>
        <v>1</v>
      </c>
      <c r="N144">
        <v>141</v>
      </c>
      <c r="P144" s="49" t="s">
        <v>54</v>
      </c>
      <c r="Q144" s="50" t="s">
        <v>93</v>
      </c>
      <c r="R144">
        <f>SUMIFS(HIX_RatingAreas[Silver Selections 2016],HIX_RatingAreas[State],P144,HIX_RatingAreas[Rating Area ID],Q144)</f>
        <v>10269</v>
      </c>
      <c r="S144">
        <f t="shared" si="7"/>
        <v>5.5269404033390923E-2</v>
      </c>
      <c r="W144">
        <f>SUMIFS(HIX_RatingAreas[Total Plan Selections 2016],HIX_RatingAreas[State],P144,HIX_RatingAreas[Rating Area ID],Q144)</f>
        <v>13960</v>
      </c>
    </row>
    <row r="145" spans="3:23">
      <c r="C145" t="s">
        <v>16</v>
      </c>
      <c r="D145" t="s">
        <v>1515</v>
      </c>
      <c r="E145" t="s">
        <v>72</v>
      </c>
      <c r="F145" s="36">
        <v>1</v>
      </c>
      <c r="G145" t="s">
        <v>1115</v>
      </c>
      <c r="I145" cm="1">
        <f t="array" ref="I145">_xlfn.IFNA(INDEX(QHPSelections2016[],MATCH(1,(QHPSelections2016[State Name]=HIX_RatingAreas[[#This Row],[State Code]])*(QHPSelections2016[County Name]=HIX_RatingAreas[[#This Row],[Subdivision]]),0),MATCH("Silver",QHPSelections2016[#Headers],0)),0)</f>
        <v>241</v>
      </c>
      <c r="J145" cm="1">
        <f t="array" ref="J145">_xlfn.IFNA(INDEX(QHPSelections2016[],MATCH(1,(QHPSelections2016[State Name]=HIX_RatingAreas[[#This Row],[State Code]])*(QHPSelections2016[County Name]=HIX_RatingAreas[[#This Row],[Subdivision]]),0),MATCH("Total Plan Selections",QHPSelections2016[#Headers],0)),0)</f>
        <v>320</v>
      </c>
      <c r="L145" t="str" cm="1">
        <f t="array" ref="L145">INDEX(QHPSelections2016[],MATCH(1,(QHPSelections2016[State Name]=HIX_RatingAreas[[#This Row],[State Code]])*(QHPSelections2016[County Name]=HIX_RatingAreas[[#This Row],[Subdivision]]),0),MATCH("County Name",QHPSelections2016[#Headers],0))</f>
        <v>Randolph County</v>
      </c>
      <c r="M145" t="b">
        <f>L145=HIX_RatingAreas[[#This Row],[Subdivision]]</f>
        <v>1</v>
      </c>
      <c r="N145">
        <v>142</v>
      </c>
      <c r="P145" s="47" t="s">
        <v>54</v>
      </c>
      <c r="Q145" s="48" t="s">
        <v>96</v>
      </c>
      <c r="R145">
        <f>SUMIFS(HIX_RatingAreas[Silver Selections 2016],HIX_RatingAreas[State],P145,HIX_RatingAreas[Rating Area ID],Q145)</f>
        <v>13965</v>
      </c>
      <c r="S145">
        <f t="shared" si="7"/>
        <v>7.5161868470766793E-2</v>
      </c>
      <c r="W145">
        <f>SUMIFS(HIX_RatingAreas[Total Plan Selections 2016],HIX_RatingAreas[State],P145,HIX_RatingAreas[Rating Area ID],Q145)</f>
        <v>19106</v>
      </c>
    </row>
    <row r="146" spans="3:23">
      <c r="C146" t="s">
        <v>16</v>
      </c>
      <c r="D146" t="s">
        <v>1515</v>
      </c>
      <c r="E146" t="s">
        <v>72</v>
      </c>
      <c r="F146" s="36">
        <v>1</v>
      </c>
      <c r="G146" t="s">
        <v>1297</v>
      </c>
      <c r="I146" cm="1">
        <f t="array" ref="I146">_xlfn.IFNA(INDEX(QHPSelections2016[],MATCH(1,(QHPSelections2016[State Name]=HIX_RatingAreas[[#This Row],[State Code]])*(QHPSelections2016[County Name]=HIX_RatingAreas[[#This Row],[Subdivision]]),0),MATCH("Silver",QHPSelections2016[#Headers],0)),0)</f>
        <v>153</v>
      </c>
      <c r="J146" cm="1">
        <f t="array" ref="J146">_xlfn.IFNA(INDEX(QHPSelections2016[],MATCH(1,(QHPSelections2016[State Name]=HIX_RatingAreas[[#This Row],[State Code]])*(QHPSelections2016[County Name]=HIX_RatingAreas[[#This Row],[Subdivision]]),0),MATCH("Total Plan Selections",QHPSelections2016[#Headers],0)),0)</f>
        <v>178</v>
      </c>
      <c r="L146" t="str" cm="1">
        <f t="array" ref="L146">INDEX(QHPSelections2016[],MATCH(1,(QHPSelections2016[State Name]=HIX_RatingAreas[[#This Row],[State Code]])*(QHPSelections2016[County Name]=HIX_RatingAreas[[#This Row],[Subdivision]]),0),MATCH("County Name",QHPSelections2016[#Headers],0))</f>
        <v>Schley County</v>
      </c>
      <c r="M146" t="b">
        <f>L146=HIX_RatingAreas[[#This Row],[Subdivision]]</f>
        <v>1</v>
      </c>
      <c r="N146">
        <v>143</v>
      </c>
      <c r="P146" s="49" t="s">
        <v>55</v>
      </c>
      <c r="Q146" s="50" t="s">
        <v>816</v>
      </c>
      <c r="R146">
        <f>SUM(R147:R172)</f>
        <v>869334</v>
      </c>
      <c r="S146">
        <f>R146/R$146</f>
        <v>1</v>
      </c>
      <c r="U146">
        <f>SUM(S147:S172)</f>
        <v>1.0000000000000002</v>
      </c>
      <c r="W146">
        <f>SUM(W147:W172)</f>
        <v>1306631</v>
      </c>
    </row>
    <row r="147" spans="3:23">
      <c r="C147" t="s">
        <v>16</v>
      </c>
      <c r="D147" t="s">
        <v>1515</v>
      </c>
      <c r="E147" t="s">
        <v>72</v>
      </c>
      <c r="F147" s="36">
        <v>1</v>
      </c>
      <c r="G147" t="s">
        <v>1130</v>
      </c>
      <c r="I147" cm="1">
        <f t="array" ref="I147">_xlfn.IFNA(INDEX(QHPSelections2016[],MATCH(1,(QHPSelections2016[State Name]=HIX_RatingAreas[[#This Row],[State Code]])*(QHPSelections2016[County Name]=HIX_RatingAreas[[#This Row],[Subdivision]]),0),MATCH("Silver",QHPSelections2016[#Headers],0)),0)</f>
        <v>1133</v>
      </c>
      <c r="J147" cm="1">
        <f t="array" ref="J147">_xlfn.IFNA(INDEX(QHPSelections2016[],MATCH(1,(QHPSelections2016[State Name]=HIX_RatingAreas[[#This Row],[State Code]])*(QHPSelections2016[County Name]=HIX_RatingAreas[[#This Row],[Subdivision]]),0),MATCH("Total Plan Selections",QHPSelections2016[#Headers],0)),0)</f>
        <v>1469</v>
      </c>
      <c r="L147" t="str" cm="1">
        <f t="array" ref="L147">INDEX(QHPSelections2016[],MATCH(1,(QHPSelections2016[State Name]=HIX_RatingAreas[[#This Row],[State Code]])*(QHPSelections2016[County Name]=HIX_RatingAreas[[#This Row],[Subdivision]]),0),MATCH("County Name",QHPSelections2016[#Headers],0))</f>
        <v>Sumter County</v>
      </c>
      <c r="M147" t="b">
        <f>L147=HIX_RatingAreas[[#This Row],[Subdivision]]</f>
        <v>1</v>
      </c>
      <c r="N147">
        <v>144</v>
      </c>
      <c r="P147" s="47" t="s">
        <v>55</v>
      </c>
      <c r="Q147" s="48" t="s">
        <v>72</v>
      </c>
      <c r="R147">
        <f>SUMIFS(HIX_RatingAreas[Silver Selections 2016],HIX_RatingAreas[State],P147,HIX_RatingAreas[Rating Area ID],Q147)</f>
        <v>3405</v>
      </c>
      <c r="S147">
        <f t="shared" ref="S147:S172" si="8">R147/R$146</f>
        <v>3.9167914748531631E-3</v>
      </c>
      <c r="W147">
        <f>SUMIFS(HIX_RatingAreas[Total Plan Selections 2016],HIX_RatingAreas[State],P147,HIX_RatingAreas[Rating Area ID],Q147)</f>
        <v>5182</v>
      </c>
    </row>
    <row r="148" spans="3:23">
      <c r="C148" t="s">
        <v>16</v>
      </c>
      <c r="D148" t="s">
        <v>1515</v>
      </c>
      <c r="E148" t="s">
        <v>72</v>
      </c>
      <c r="F148" s="36">
        <v>1</v>
      </c>
      <c r="G148" t="s">
        <v>1314</v>
      </c>
      <c r="I148" cm="1">
        <f t="array" ref="I148">_xlfn.IFNA(INDEX(QHPSelections2016[],MATCH(1,(QHPSelections2016[State Name]=HIX_RatingAreas[[#This Row],[State Code]])*(QHPSelections2016[County Name]=HIX_RatingAreas[[#This Row],[Subdivision]]),0),MATCH("Silver",QHPSelections2016[#Headers],0)),0)</f>
        <v>285</v>
      </c>
      <c r="J148" cm="1">
        <f t="array" ref="J148">_xlfn.IFNA(INDEX(QHPSelections2016[],MATCH(1,(QHPSelections2016[State Name]=HIX_RatingAreas[[#This Row],[State Code]])*(QHPSelections2016[County Name]=HIX_RatingAreas[[#This Row],[Subdivision]]),0),MATCH("Total Plan Selections",QHPSelections2016[#Headers],0)),0)</f>
        <v>389</v>
      </c>
      <c r="L148" t="str" cm="1">
        <f t="array" ref="L148">INDEX(QHPSelections2016[],MATCH(1,(QHPSelections2016[State Name]=HIX_RatingAreas[[#This Row],[State Code]])*(QHPSelections2016[County Name]=HIX_RatingAreas[[#This Row],[Subdivision]]),0),MATCH("County Name",QHPSelections2016[#Headers],0))</f>
        <v>Terrell County</v>
      </c>
      <c r="M148" t="b">
        <f>L148=HIX_RatingAreas[[#This Row],[Subdivision]]</f>
        <v>1</v>
      </c>
      <c r="N148">
        <v>145</v>
      </c>
      <c r="P148" s="49" t="s">
        <v>55</v>
      </c>
      <c r="Q148" s="50" t="s">
        <v>74</v>
      </c>
      <c r="R148">
        <f>SUMIFS(HIX_RatingAreas[Silver Selections 2016],HIX_RatingAreas[State],P148,HIX_RatingAreas[Rating Area ID],Q148)</f>
        <v>4947</v>
      </c>
      <c r="S148">
        <f t="shared" si="8"/>
        <v>5.6905631207338032E-3</v>
      </c>
      <c r="W148">
        <f>SUMIFS(HIX_RatingAreas[Total Plan Selections 2016],HIX_RatingAreas[State],P148,HIX_RatingAreas[Rating Area ID],Q148)</f>
        <v>7445</v>
      </c>
    </row>
    <row r="149" spans="3:23">
      <c r="C149" t="s">
        <v>16</v>
      </c>
      <c r="D149" t="s">
        <v>1515</v>
      </c>
      <c r="E149" t="s">
        <v>72</v>
      </c>
      <c r="F149" s="36">
        <v>1</v>
      </c>
      <c r="G149" t="s">
        <v>1343</v>
      </c>
      <c r="I149" cm="1">
        <f t="array" ref="I149">_xlfn.IFNA(INDEX(QHPSelections2016[],MATCH(1,(QHPSelections2016[State Name]=HIX_RatingAreas[[#This Row],[State Code]])*(QHPSelections2016[County Name]=HIX_RatingAreas[[#This Row],[Subdivision]]),0),MATCH("Silver",QHPSelections2016[#Headers],0)),0)</f>
        <v>521</v>
      </c>
      <c r="J149" cm="1">
        <f t="array" ref="J149">_xlfn.IFNA(INDEX(QHPSelections2016[],MATCH(1,(QHPSelections2016[State Name]=HIX_RatingAreas[[#This Row],[State Code]])*(QHPSelections2016[County Name]=HIX_RatingAreas[[#This Row],[Subdivision]]),0),MATCH("Total Plan Selections",QHPSelections2016[#Headers],0)),0)</f>
        <v>685</v>
      </c>
      <c r="L149" t="str" cm="1">
        <f t="array" ref="L149">INDEX(QHPSelections2016[],MATCH(1,(QHPSelections2016[State Name]=HIX_RatingAreas[[#This Row],[State Code]])*(QHPSelections2016[County Name]=HIX_RatingAreas[[#This Row],[Subdivision]]),0),MATCH("County Name",QHPSelections2016[#Headers],0))</f>
        <v>Worth County</v>
      </c>
      <c r="M149" t="b">
        <f>L149=HIX_RatingAreas[[#This Row],[Subdivision]]</f>
        <v>1</v>
      </c>
      <c r="N149">
        <v>146</v>
      </c>
      <c r="P149" s="47" t="s">
        <v>55</v>
      </c>
      <c r="Q149" s="48" t="s">
        <v>76</v>
      </c>
      <c r="R149">
        <f>SUMIFS(HIX_RatingAreas[Silver Selections 2016],HIX_RatingAreas[State],P149,HIX_RatingAreas[Rating Area ID],Q149)</f>
        <v>72801</v>
      </c>
      <c r="S149">
        <f t="shared" si="8"/>
        <v>8.3743417374679927E-2</v>
      </c>
      <c r="W149">
        <f>SUMIFS(HIX_RatingAreas[Total Plan Selections 2016],HIX_RatingAreas[State],P149,HIX_RatingAreas[Rating Area ID],Q149)</f>
        <v>113735</v>
      </c>
    </row>
    <row r="150" spans="3:23">
      <c r="C150" t="s">
        <v>16</v>
      </c>
      <c r="D150" t="s">
        <v>1515</v>
      </c>
      <c r="E150" t="s">
        <v>74</v>
      </c>
      <c r="F150" s="36">
        <v>2</v>
      </c>
      <c r="G150" t="s">
        <v>856</v>
      </c>
      <c r="I150" cm="1">
        <f t="array" ref="I150">_xlfn.IFNA(INDEX(QHPSelections2016[],MATCH(1,(QHPSelections2016[State Name]=HIX_RatingAreas[[#This Row],[State Code]])*(QHPSelections2016[County Name]=HIX_RatingAreas[[#This Row],[Subdivision]]),0),MATCH("Silver",QHPSelections2016[#Headers],0)),0)</f>
        <v>2529</v>
      </c>
      <c r="J150" cm="1">
        <f t="array" ref="J150">_xlfn.IFNA(INDEX(QHPSelections2016[],MATCH(1,(QHPSelections2016[State Name]=HIX_RatingAreas[[#This Row],[State Code]])*(QHPSelections2016[County Name]=HIX_RatingAreas[[#This Row],[Subdivision]]),0),MATCH("Total Plan Selections",QHPSelections2016[#Headers],0)),0)</f>
        <v>3295</v>
      </c>
      <c r="L150" t="str" cm="1">
        <f t="array" ref="L150">INDEX(QHPSelections2016[],MATCH(1,(QHPSelections2016[State Name]=HIX_RatingAreas[[#This Row],[State Code]])*(QHPSelections2016[County Name]=HIX_RatingAreas[[#This Row],[Subdivision]]),0),MATCH("County Name",QHPSelections2016[#Headers],0))</f>
        <v>Barrow County</v>
      </c>
      <c r="M150" t="b">
        <f>L150=HIX_RatingAreas[[#This Row],[Subdivision]]</f>
        <v>1</v>
      </c>
      <c r="N150">
        <v>147</v>
      </c>
      <c r="P150" s="49" t="s">
        <v>55</v>
      </c>
      <c r="Q150" s="50" t="s">
        <v>84</v>
      </c>
      <c r="R150">
        <f>SUMIFS(HIX_RatingAreas[Silver Selections 2016],HIX_RatingAreas[State],P150,HIX_RatingAreas[Rating Area ID],Q150)</f>
        <v>8367</v>
      </c>
      <c r="S150">
        <f t="shared" si="8"/>
        <v>9.6246091835819145E-3</v>
      </c>
      <c r="W150">
        <f>SUMIFS(HIX_RatingAreas[Total Plan Selections 2016],HIX_RatingAreas[State],P150,HIX_RatingAreas[Rating Area ID],Q150)</f>
        <v>12557</v>
      </c>
    </row>
    <row r="151" spans="3:23">
      <c r="C151" t="s">
        <v>16</v>
      </c>
      <c r="D151" t="s">
        <v>1515</v>
      </c>
      <c r="E151" t="s">
        <v>74</v>
      </c>
      <c r="F151" s="36">
        <v>2</v>
      </c>
      <c r="G151" t="s">
        <v>887</v>
      </c>
      <c r="I151" cm="1">
        <f t="array" ref="I151">_xlfn.IFNA(INDEX(QHPSelections2016[],MATCH(1,(QHPSelections2016[State Name]=HIX_RatingAreas[[#This Row],[State Code]])*(QHPSelections2016[County Name]=HIX_RatingAreas[[#This Row],[Subdivision]]),0),MATCH("Silver",QHPSelections2016[#Headers],0)),0)</f>
        <v>3420</v>
      </c>
      <c r="J151" cm="1">
        <f t="array" ref="J151">_xlfn.IFNA(INDEX(QHPSelections2016[],MATCH(1,(QHPSelections2016[State Name]=HIX_RatingAreas[[#This Row],[State Code]])*(QHPSelections2016[County Name]=HIX_RatingAreas[[#This Row],[Subdivision]]),0),MATCH("Total Plan Selections",QHPSelections2016[#Headers],0)),0)</f>
        <v>4712</v>
      </c>
      <c r="L151" t="str" cm="1">
        <f t="array" ref="L151">INDEX(QHPSelections2016[],MATCH(1,(QHPSelections2016[State Name]=HIX_RatingAreas[[#This Row],[State Code]])*(QHPSelections2016[County Name]=HIX_RatingAreas[[#This Row],[Subdivision]]),0),MATCH("County Name",QHPSelections2016[#Headers],0))</f>
        <v>Clarke County</v>
      </c>
      <c r="M151" t="b">
        <f>L151=HIX_RatingAreas[[#This Row],[Subdivision]]</f>
        <v>1</v>
      </c>
      <c r="N151">
        <v>148</v>
      </c>
      <c r="P151" s="47" t="s">
        <v>55</v>
      </c>
      <c r="Q151" s="48" t="s">
        <v>86</v>
      </c>
      <c r="R151">
        <f>SUMIFS(HIX_RatingAreas[Silver Selections 2016],HIX_RatingAreas[State],P151,HIX_RatingAreas[Rating Area ID],Q151)</f>
        <v>14371</v>
      </c>
      <c r="S151">
        <f t="shared" si="8"/>
        <v>1.6531045605026377E-2</v>
      </c>
      <c r="W151">
        <f>SUMIFS(HIX_RatingAreas[Total Plan Selections 2016],HIX_RatingAreas[State],P151,HIX_RatingAreas[Rating Area ID],Q151)</f>
        <v>20406</v>
      </c>
    </row>
    <row r="152" spans="3:23">
      <c r="C152" t="s">
        <v>16</v>
      </c>
      <c r="D152" t="s">
        <v>1515</v>
      </c>
      <c r="E152" t="s">
        <v>74</v>
      </c>
      <c r="F152" s="36">
        <v>2</v>
      </c>
      <c r="G152" t="s">
        <v>1094</v>
      </c>
      <c r="I152" cm="1">
        <f t="array" ref="I152">_xlfn.IFNA(INDEX(QHPSelections2016[],MATCH(1,(QHPSelections2016[State Name]=HIX_RatingAreas[[#This Row],[State Code]])*(QHPSelections2016[County Name]=HIX_RatingAreas[[#This Row],[Subdivision]]),0),MATCH("Silver",QHPSelections2016[#Headers],0)),0)</f>
        <v>697</v>
      </c>
      <c r="J152" cm="1">
        <f t="array" ref="J152">_xlfn.IFNA(INDEX(QHPSelections2016[],MATCH(1,(QHPSelections2016[State Name]=HIX_RatingAreas[[#This Row],[State Code]])*(QHPSelections2016[County Name]=HIX_RatingAreas[[#This Row],[Subdivision]]),0),MATCH("Total Plan Selections",QHPSelections2016[#Headers],0)),0)</f>
        <v>803</v>
      </c>
      <c r="L152" t="str" cm="1">
        <f t="array" ref="L152">INDEX(QHPSelections2016[],MATCH(1,(QHPSelections2016[State Name]=HIX_RatingAreas[[#This Row],[State Code]])*(QHPSelections2016[County Name]=HIX_RatingAreas[[#This Row],[Subdivision]]),0),MATCH("County Name",QHPSelections2016[#Headers],0))</f>
        <v>Elbert County</v>
      </c>
      <c r="M152" t="b">
        <f>L152=HIX_RatingAreas[[#This Row],[Subdivision]]</f>
        <v>1</v>
      </c>
      <c r="N152">
        <v>149</v>
      </c>
      <c r="P152" s="49" t="s">
        <v>55</v>
      </c>
      <c r="Q152" s="50" t="s">
        <v>89</v>
      </c>
      <c r="R152">
        <f>SUMIFS(HIX_RatingAreas[Silver Selections 2016],HIX_RatingAreas[State],P152,HIX_RatingAreas[Rating Area ID],Q152)</f>
        <v>4966</v>
      </c>
      <c r="S152">
        <f t="shared" si="8"/>
        <v>5.7124189321940706E-3</v>
      </c>
      <c r="W152">
        <f>SUMIFS(HIX_RatingAreas[Total Plan Selections 2016],HIX_RatingAreas[State],P152,HIX_RatingAreas[Rating Area ID],Q152)</f>
        <v>7111</v>
      </c>
    </row>
    <row r="153" spans="3:23">
      <c r="C153" t="s">
        <v>16</v>
      </c>
      <c r="D153" t="s">
        <v>1515</v>
      </c>
      <c r="E153" t="s">
        <v>74</v>
      </c>
      <c r="F153" s="36">
        <v>2</v>
      </c>
      <c r="G153" t="s">
        <v>937</v>
      </c>
      <c r="I153" cm="1">
        <f t="array" ref="I153">_xlfn.IFNA(INDEX(QHPSelections2016[],MATCH(1,(QHPSelections2016[State Name]=HIX_RatingAreas[[#This Row],[State Code]])*(QHPSelections2016[County Name]=HIX_RatingAreas[[#This Row],[Subdivision]]),0),MATCH("Silver",QHPSelections2016[#Headers],0)),0)</f>
        <v>539</v>
      </c>
      <c r="J153" cm="1">
        <f t="array" ref="J153">_xlfn.IFNA(INDEX(QHPSelections2016[],MATCH(1,(QHPSelections2016[State Name]=HIX_RatingAreas[[#This Row],[State Code]])*(QHPSelections2016[County Name]=HIX_RatingAreas[[#This Row],[Subdivision]]),0),MATCH("Total Plan Selections",QHPSelections2016[#Headers],0)),0)</f>
        <v>744</v>
      </c>
      <c r="L153" t="str" cm="1">
        <f t="array" ref="L153">INDEX(QHPSelections2016[],MATCH(1,(QHPSelections2016[State Name]=HIX_RatingAreas[[#This Row],[State Code]])*(QHPSelections2016[County Name]=HIX_RatingAreas[[#This Row],[Subdivision]]),0),MATCH("County Name",QHPSelections2016[#Headers],0))</f>
        <v>Greene County</v>
      </c>
      <c r="M153" t="b">
        <f>L153=HIX_RatingAreas[[#This Row],[Subdivision]]</f>
        <v>1</v>
      </c>
      <c r="N153">
        <v>150</v>
      </c>
      <c r="P153" s="47" t="s">
        <v>55</v>
      </c>
      <c r="Q153" s="48" t="s">
        <v>93</v>
      </c>
      <c r="R153">
        <f>SUMIFS(HIX_RatingAreas[Silver Selections 2016],HIX_RatingAreas[State],P153,HIX_RatingAreas[Rating Area ID],Q153)</f>
        <v>10736</v>
      </c>
      <c r="S153">
        <f t="shared" si="8"/>
        <v>1.2349683780917347E-2</v>
      </c>
      <c r="W153">
        <f>SUMIFS(HIX_RatingAreas[Total Plan Selections 2016],HIX_RatingAreas[State],P153,HIX_RatingAreas[Rating Area ID],Q153)</f>
        <v>16663</v>
      </c>
    </row>
    <row r="154" spans="3:23">
      <c r="C154" t="s">
        <v>16</v>
      </c>
      <c r="D154" t="s">
        <v>1515</v>
      </c>
      <c r="E154" t="s">
        <v>74</v>
      </c>
      <c r="F154" s="36">
        <v>2</v>
      </c>
      <c r="G154" t="s">
        <v>984</v>
      </c>
      <c r="I154" cm="1">
        <f t="array" ref="I154">_xlfn.IFNA(INDEX(QHPSelections2016[],MATCH(1,(QHPSelections2016[State Name]=HIX_RatingAreas[[#This Row],[State Code]])*(QHPSelections2016[County Name]=HIX_RatingAreas[[#This Row],[Subdivision]]),0),MATCH("Silver",QHPSelections2016[#Headers],0)),0)</f>
        <v>1904</v>
      </c>
      <c r="J154" cm="1">
        <f t="array" ref="J154">_xlfn.IFNA(INDEX(QHPSelections2016[],MATCH(1,(QHPSelections2016[State Name]=HIX_RatingAreas[[#This Row],[State Code]])*(QHPSelections2016[County Name]=HIX_RatingAreas[[#This Row],[Subdivision]]),0),MATCH("Total Plan Selections",QHPSelections2016[#Headers],0)),0)</f>
        <v>2429</v>
      </c>
      <c r="L154" t="str" cm="1">
        <f t="array" ref="L154">INDEX(QHPSelections2016[],MATCH(1,(QHPSelections2016[State Name]=HIX_RatingAreas[[#This Row],[State Code]])*(QHPSelections2016[County Name]=HIX_RatingAreas[[#This Row],[Subdivision]]),0),MATCH("County Name",QHPSelections2016[#Headers],0))</f>
        <v>Jackson County</v>
      </c>
      <c r="M154" t="b">
        <f>L154=HIX_RatingAreas[[#This Row],[Subdivision]]</f>
        <v>1</v>
      </c>
      <c r="N154">
        <v>151</v>
      </c>
      <c r="P154" s="49" t="s">
        <v>55</v>
      </c>
      <c r="Q154" s="50" t="s">
        <v>96</v>
      </c>
      <c r="R154">
        <f>SUMIFS(HIX_RatingAreas[Silver Selections 2016],HIX_RatingAreas[State],P154,HIX_RatingAreas[Rating Area ID],Q154)</f>
        <v>225576</v>
      </c>
      <c r="S154">
        <f t="shared" si="8"/>
        <v>0.25948139610322385</v>
      </c>
      <c r="W154">
        <f>SUMIFS(HIX_RatingAreas[Total Plan Selections 2016],HIX_RatingAreas[State],P154,HIX_RatingAreas[Rating Area ID],Q154)</f>
        <v>357388</v>
      </c>
    </row>
    <row r="155" spans="3:23">
      <c r="C155" t="s">
        <v>16</v>
      </c>
      <c r="D155" t="s">
        <v>1515</v>
      </c>
      <c r="E155" t="s">
        <v>74</v>
      </c>
      <c r="F155" s="36">
        <v>2</v>
      </c>
      <c r="G155" t="s">
        <v>1029</v>
      </c>
      <c r="I155" cm="1">
        <f t="array" ref="I155">_xlfn.IFNA(INDEX(QHPSelections2016[],MATCH(1,(QHPSelections2016[State Name]=HIX_RatingAreas[[#This Row],[State Code]])*(QHPSelections2016[County Name]=HIX_RatingAreas[[#This Row],[Subdivision]]),0),MATCH("Silver",QHPSelections2016[#Headers],0)),0)</f>
        <v>817</v>
      </c>
      <c r="J155" cm="1">
        <f t="array" ref="J155">_xlfn.IFNA(INDEX(QHPSelections2016[],MATCH(1,(QHPSelections2016[State Name]=HIX_RatingAreas[[#This Row],[State Code]])*(QHPSelections2016[County Name]=HIX_RatingAreas[[#This Row],[Subdivision]]),0),MATCH("Total Plan Selections",QHPSelections2016[#Headers],0)),0)</f>
        <v>1026</v>
      </c>
      <c r="L155" t="str" cm="1">
        <f t="array" ref="L155">INDEX(QHPSelections2016[],MATCH(1,(QHPSelections2016[State Name]=HIX_RatingAreas[[#This Row],[State Code]])*(QHPSelections2016[County Name]=HIX_RatingAreas[[#This Row],[Subdivision]]),0),MATCH("County Name",QHPSelections2016[#Headers],0))</f>
        <v>Madison County</v>
      </c>
      <c r="M155" t="b">
        <f>L155=HIX_RatingAreas[[#This Row],[Subdivision]]</f>
        <v>1</v>
      </c>
      <c r="N155">
        <v>152</v>
      </c>
      <c r="P155" s="47" t="s">
        <v>55</v>
      </c>
      <c r="Q155" s="48" t="s">
        <v>98</v>
      </c>
      <c r="R155">
        <f>SUMIFS(HIX_RatingAreas[Silver Selections 2016],HIX_RatingAreas[State],P155,HIX_RatingAreas[Rating Area ID],Q155)</f>
        <v>39279</v>
      </c>
      <c r="S155">
        <f t="shared" si="8"/>
        <v>4.5182864123570456E-2</v>
      </c>
      <c r="W155">
        <f>SUMIFS(HIX_RatingAreas[Total Plan Selections 2016],HIX_RatingAreas[State],P155,HIX_RatingAreas[Rating Area ID],Q155)</f>
        <v>62922</v>
      </c>
    </row>
    <row r="156" spans="3:23">
      <c r="C156" t="s">
        <v>16</v>
      </c>
      <c r="D156" t="s">
        <v>1515</v>
      </c>
      <c r="E156" t="s">
        <v>74</v>
      </c>
      <c r="F156" s="36">
        <v>2</v>
      </c>
      <c r="G156" t="s">
        <v>1092</v>
      </c>
      <c r="I156" cm="1">
        <f t="array" ref="I156">_xlfn.IFNA(INDEX(QHPSelections2016[],MATCH(1,(QHPSelections2016[State Name]=HIX_RatingAreas[[#This Row],[State Code]])*(QHPSelections2016[County Name]=HIX_RatingAreas[[#This Row],[Subdivision]]),0),MATCH("Silver",QHPSelections2016[#Headers],0)),0)</f>
        <v>727</v>
      </c>
      <c r="J156" cm="1">
        <f t="array" ref="J156">_xlfn.IFNA(INDEX(QHPSelections2016[],MATCH(1,(QHPSelections2016[State Name]=HIX_RatingAreas[[#This Row],[State Code]])*(QHPSelections2016[County Name]=HIX_RatingAreas[[#This Row],[Subdivision]]),0),MATCH("Total Plan Selections",QHPSelections2016[#Headers],0)),0)</f>
        <v>975</v>
      </c>
      <c r="L156" t="str" cm="1">
        <f t="array" ref="L156">INDEX(QHPSelections2016[],MATCH(1,(QHPSelections2016[State Name]=HIX_RatingAreas[[#This Row],[State Code]])*(QHPSelections2016[County Name]=HIX_RatingAreas[[#This Row],[Subdivision]]),0),MATCH("County Name",QHPSelections2016[#Headers],0))</f>
        <v>Morgan County</v>
      </c>
      <c r="M156" t="b">
        <f>L156=HIX_RatingAreas[[#This Row],[Subdivision]]</f>
        <v>1</v>
      </c>
      <c r="N156">
        <v>153</v>
      </c>
      <c r="P156" s="49" t="s">
        <v>55</v>
      </c>
      <c r="Q156" s="50" t="s">
        <v>101</v>
      </c>
      <c r="R156">
        <f>SUMIFS(HIX_RatingAreas[Silver Selections 2016],HIX_RatingAreas[State],P156,HIX_RatingAreas[Rating Area ID],Q156)</f>
        <v>233006</v>
      </c>
      <c r="S156">
        <f t="shared" si="8"/>
        <v>0.26802816869005469</v>
      </c>
      <c r="W156">
        <f>SUMIFS(HIX_RatingAreas[Total Plan Selections 2016],HIX_RatingAreas[State],P156,HIX_RatingAreas[Rating Area ID],Q156)</f>
        <v>345765</v>
      </c>
    </row>
    <row r="157" spans="3:23">
      <c r="C157" t="s">
        <v>16</v>
      </c>
      <c r="D157" t="s">
        <v>1515</v>
      </c>
      <c r="E157" t="s">
        <v>74</v>
      </c>
      <c r="F157" s="36">
        <v>2</v>
      </c>
      <c r="G157" t="s">
        <v>1278</v>
      </c>
      <c r="I157" cm="1">
        <f t="array" ref="I157">_xlfn.IFNA(INDEX(QHPSelections2016[],MATCH(1,(QHPSelections2016[State Name]=HIX_RatingAreas[[#This Row],[State Code]])*(QHPSelections2016[County Name]=HIX_RatingAreas[[#This Row],[Subdivision]]),0),MATCH("Silver",QHPSelections2016[#Headers],0)),0)</f>
        <v>1100</v>
      </c>
      <c r="J157" cm="1">
        <f t="array" ref="J157">_xlfn.IFNA(INDEX(QHPSelections2016[],MATCH(1,(QHPSelections2016[State Name]=HIX_RatingAreas[[#This Row],[State Code]])*(QHPSelections2016[County Name]=HIX_RatingAreas[[#This Row],[Subdivision]]),0),MATCH("Total Plan Selections",QHPSelections2016[#Headers],0)),0)</f>
        <v>1540</v>
      </c>
      <c r="L157" t="str" cm="1">
        <f t="array" ref="L157">INDEX(QHPSelections2016[],MATCH(1,(QHPSelections2016[State Name]=HIX_RatingAreas[[#This Row],[State Code]])*(QHPSelections2016[County Name]=HIX_RatingAreas[[#This Row],[Subdivision]]),0),MATCH("County Name",QHPSelections2016[#Headers],0))</f>
        <v>Oconee County</v>
      </c>
      <c r="M157" t="b">
        <f>L157=HIX_RatingAreas[[#This Row],[Subdivision]]</f>
        <v>1</v>
      </c>
      <c r="N157">
        <v>154</v>
      </c>
      <c r="P157" s="47" t="s">
        <v>55</v>
      </c>
      <c r="Q157" s="48" t="s">
        <v>103</v>
      </c>
      <c r="R157">
        <f>SUMIFS(HIX_RatingAreas[Silver Selections 2016],HIX_RatingAreas[State],P157,HIX_RatingAreas[Rating Area ID],Q157)</f>
        <v>7429</v>
      </c>
      <c r="S157">
        <f t="shared" si="8"/>
        <v>8.5456222809645078E-3</v>
      </c>
      <c r="W157">
        <f>SUMIFS(HIX_RatingAreas[Total Plan Selections 2016],HIX_RatingAreas[State],P157,HIX_RatingAreas[Rating Area ID],Q157)</f>
        <v>10589</v>
      </c>
    </row>
    <row r="158" spans="3:23">
      <c r="C158" t="s">
        <v>16</v>
      </c>
      <c r="D158" t="s">
        <v>1515</v>
      </c>
      <c r="E158" t="s">
        <v>74</v>
      </c>
      <c r="F158" s="36">
        <v>2</v>
      </c>
      <c r="G158" t="s">
        <v>1280</v>
      </c>
      <c r="I158" cm="1">
        <f t="array" ref="I158">_xlfn.IFNA(INDEX(QHPSelections2016[],MATCH(1,(QHPSelections2016[State Name]=HIX_RatingAreas[[#This Row],[State Code]])*(QHPSelections2016[County Name]=HIX_RatingAreas[[#This Row],[Subdivision]]),0),MATCH("Silver",QHPSelections2016[#Headers],0)),0)</f>
        <v>507</v>
      </c>
      <c r="J158" cm="1">
        <f t="array" ref="J158">_xlfn.IFNA(INDEX(QHPSelections2016[],MATCH(1,(QHPSelections2016[State Name]=HIX_RatingAreas[[#This Row],[State Code]])*(QHPSelections2016[County Name]=HIX_RatingAreas[[#This Row],[Subdivision]]),0),MATCH("Total Plan Selections",QHPSelections2016[#Headers],0)),0)</f>
        <v>656</v>
      </c>
      <c r="L158" t="str" cm="1">
        <f t="array" ref="L158">INDEX(QHPSelections2016[],MATCH(1,(QHPSelections2016[State Name]=HIX_RatingAreas[[#This Row],[State Code]])*(QHPSelections2016[County Name]=HIX_RatingAreas[[#This Row],[Subdivision]]),0),MATCH("County Name",QHPSelections2016[#Headers],0))</f>
        <v>Oglethorpe County</v>
      </c>
      <c r="M158" t="b">
        <f>L158=HIX_RatingAreas[[#This Row],[Subdivision]]</f>
        <v>1</v>
      </c>
      <c r="N158">
        <v>155</v>
      </c>
      <c r="P158" s="49" t="s">
        <v>55</v>
      </c>
      <c r="Q158" s="50" t="s">
        <v>108</v>
      </c>
      <c r="R158">
        <f>SUMIFS(HIX_RatingAreas[Silver Selections 2016],HIX_RatingAreas[State],P158,HIX_RatingAreas[Rating Area ID],Q158)</f>
        <v>11110</v>
      </c>
      <c r="S158">
        <f t="shared" si="8"/>
        <v>1.2779898174924713E-2</v>
      </c>
      <c r="W158">
        <f>SUMIFS(HIX_RatingAreas[Total Plan Selections 2016],HIX_RatingAreas[State],P158,HIX_RatingAreas[Rating Area ID],Q158)</f>
        <v>15805</v>
      </c>
    </row>
    <row r="159" spans="3:23">
      <c r="C159" t="s">
        <v>16</v>
      </c>
      <c r="D159" t="s">
        <v>1515</v>
      </c>
      <c r="E159" t="s">
        <v>76</v>
      </c>
      <c r="F159" s="36">
        <v>3</v>
      </c>
      <c r="G159" t="s">
        <v>861</v>
      </c>
      <c r="I159" cm="1">
        <f t="array" ref="I159">_xlfn.IFNA(INDEX(QHPSelections2016[],MATCH(1,(QHPSelections2016[State Name]=HIX_RatingAreas[[#This Row],[State Code]])*(QHPSelections2016[County Name]=HIX_RatingAreas[[#This Row],[Subdivision]]),0),MATCH("Silver",QHPSelections2016[#Headers],0)),0)</f>
        <v>3975</v>
      </c>
      <c r="J159" cm="1">
        <f t="array" ref="J159">_xlfn.IFNA(INDEX(QHPSelections2016[],MATCH(1,(QHPSelections2016[State Name]=HIX_RatingAreas[[#This Row],[State Code]])*(QHPSelections2016[County Name]=HIX_RatingAreas[[#This Row],[Subdivision]]),0),MATCH("Total Plan Selections",QHPSelections2016[#Headers],0)),0)</f>
        <v>5094</v>
      </c>
      <c r="L159" t="str" cm="1">
        <f t="array" ref="L159">INDEX(QHPSelections2016[],MATCH(1,(QHPSelections2016[State Name]=HIX_RatingAreas[[#This Row],[State Code]])*(QHPSelections2016[County Name]=HIX_RatingAreas[[#This Row],[Subdivision]]),0),MATCH("County Name",QHPSelections2016[#Headers],0))</f>
        <v>Bartow County</v>
      </c>
      <c r="M159" t="b">
        <f>L159=HIX_RatingAreas[[#This Row],[Subdivision]]</f>
        <v>1</v>
      </c>
      <c r="N159">
        <v>156</v>
      </c>
      <c r="P159" s="47" t="s">
        <v>55</v>
      </c>
      <c r="Q159" s="48" t="s">
        <v>112</v>
      </c>
      <c r="R159">
        <f>SUMIFS(HIX_RatingAreas[Silver Selections 2016],HIX_RatingAreas[State],P159,HIX_RatingAreas[Rating Area ID],Q159)</f>
        <v>5518</v>
      </c>
      <c r="S159">
        <f t="shared" si="8"/>
        <v>6.3473877704081517E-3</v>
      </c>
      <c r="W159">
        <f>SUMIFS(HIX_RatingAreas[Total Plan Selections 2016],HIX_RatingAreas[State],P159,HIX_RatingAreas[Rating Area ID],Q159)</f>
        <v>8208</v>
      </c>
    </row>
    <row r="160" spans="3:23">
      <c r="C160" t="s">
        <v>16</v>
      </c>
      <c r="D160" t="s">
        <v>1515</v>
      </c>
      <c r="E160" t="s">
        <v>76</v>
      </c>
      <c r="F160" s="36">
        <v>3</v>
      </c>
      <c r="G160" t="s">
        <v>920</v>
      </c>
      <c r="I160" cm="1">
        <f t="array" ref="I160">_xlfn.IFNA(INDEX(QHPSelections2016[],MATCH(1,(QHPSelections2016[State Name]=HIX_RatingAreas[[#This Row],[State Code]])*(QHPSelections2016[County Name]=HIX_RatingAreas[[#This Row],[Subdivision]]),0),MATCH("Silver",QHPSelections2016[#Headers],0)),0)</f>
        <v>826</v>
      </c>
      <c r="J160" cm="1">
        <f t="array" ref="J160">_xlfn.IFNA(INDEX(QHPSelections2016[],MATCH(1,(QHPSelections2016[State Name]=HIX_RatingAreas[[#This Row],[State Code]])*(QHPSelections2016[County Name]=HIX_RatingAreas[[#This Row],[Subdivision]]),0),MATCH("Total Plan Selections",QHPSelections2016[#Headers],0)),0)</f>
        <v>1029</v>
      </c>
      <c r="L160" t="str" cm="1">
        <f t="array" ref="L160">INDEX(QHPSelections2016[],MATCH(1,(QHPSelections2016[State Name]=HIX_RatingAreas[[#This Row],[State Code]])*(QHPSelections2016[County Name]=HIX_RatingAreas[[#This Row],[Subdivision]]),0),MATCH("County Name",QHPSelections2016[#Headers],0))</f>
        <v>Butts County</v>
      </c>
      <c r="M160" t="b">
        <f>L160=HIX_RatingAreas[[#This Row],[Subdivision]]</f>
        <v>1</v>
      </c>
      <c r="N160">
        <v>157</v>
      </c>
      <c r="P160" s="49" t="s">
        <v>55</v>
      </c>
      <c r="Q160" s="50" t="s">
        <v>167</v>
      </c>
      <c r="R160">
        <f>SUMIFS(HIX_RatingAreas[Silver Selections 2016],HIX_RatingAreas[State],P160,HIX_RatingAreas[Rating Area ID],Q160)</f>
        <v>6272</v>
      </c>
      <c r="S160">
        <f t="shared" si="8"/>
        <v>7.2147183936208635E-3</v>
      </c>
      <c r="W160">
        <f>SUMIFS(HIX_RatingAreas[Total Plan Selections 2016],HIX_RatingAreas[State],P160,HIX_RatingAreas[Rating Area ID],Q160)</f>
        <v>9618</v>
      </c>
    </row>
    <row r="161" spans="3:23">
      <c r="C161" t="s">
        <v>16</v>
      </c>
      <c r="D161" t="s">
        <v>1515</v>
      </c>
      <c r="E161" t="s">
        <v>76</v>
      </c>
      <c r="F161" s="36">
        <v>3</v>
      </c>
      <c r="G161" t="s">
        <v>872</v>
      </c>
      <c r="I161" cm="1">
        <f t="array" ref="I161">_xlfn.IFNA(INDEX(QHPSelections2016[],MATCH(1,(QHPSelections2016[State Name]=HIX_RatingAreas[[#This Row],[State Code]])*(QHPSelections2016[County Name]=HIX_RatingAreas[[#This Row],[Subdivision]]),0),MATCH("Silver",QHPSelections2016[#Headers],0)),0)</f>
        <v>10392</v>
      </c>
      <c r="J161" cm="1">
        <f t="array" ref="J161">_xlfn.IFNA(INDEX(QHPSelections2016[],MATCH(1,(QHPSelections2016[State Name]=HIX_RatingAreas[[#This Row],[State Code]])*(QHPSelections2016[County Name]=HIX_RatingAreas[[#This Row],[Subdivision]]),0),MATCH("Total Plan Selections",QHPSelections2016[#Headers],0)),0)</f>
        <v>14145</v>
      </c>
      <c r="L161" t="str" cm="1">
        <f t="array" ref="L161">INDEX(QHPSelections2016[],MATCH(1,(QHPSelections2016[State Name]=HIX_RatingAreas[[#This Row],[State Code]])*(QHPSelections2016[County Name]=HIX_RatingAreas[[#This Row],[Subdivision]]),0),MATCH("County Name",QHPSelections2016[#Headers],0))</f>
        <v>Cherokee County</v>
      </c>
      <c r="M161" t="b">
        <f>L161=HIX_RatingAreas[[#This Row],[Subdivision]]</f>
        <v>1</v>
      </c>
      <c r="N161">
        <v>158</v>
      </c>
      <c r="P161" s="47" t="s">
        <v>55</v>
      </c>
      <c r="Q161" s="48" t="s">
        <v>169</v>
      </c>
      <c r="R161">
        <f>SUMIFS(HIX_RatingAreas[Silver Selections 2016],HIX_RatingAreas[State],P161,HIX_RatingAreas[Rating Area ID],Q161)</f>
        <v>29528</v>
      </c>
      <c r="S161">
        <f t="shared" si="8"/>
        <v>3.3966231620988017E-2</v>
      </c>
      <c r="W161">
        <f>SUMIFS(HIX_RatingAreas[Total Plan Selections 2016],HIX_RatingAreas[State],P161,HIX_RatingAreas[Rating Area ID],Q161)</f>
        <v>38134</v>
      </c>
    </row>
    <row r="162" spans="3:23">
      <c r="C162" t="s">
        <v>16</v>
      </c>
      <c r="D162" t="s">
        <v>1515</v>
      </c>
      <c r="E162" t="s">
        <v>76</v>
      </c>
      <c r="F162" s="36">
        <v>3</v>
      </c>
      <c r="G162" t="s">
        <v>988</v>
      </c>
      <c r="I162" cm="1">
        <f t="array" ref="I162">_xlfn.IFNA(INDEX(QHPSelections2016[],MATCH(1,(QHPSelections2016[State Name]=HIX_RatingAreas[[#This Row],[State Code]])*(QHPSelections2016[County Name]=HIX_RatingAreas[[#This Row],[Subdivision]]),0),MATCH("Silver",QHPSelections2016[#Headers],0)),0)</f>
        <v>16423</v>
      </c>
      <c r="J162" cm="1">
        <f t="array" ref="J162">_xlfn.IFNA(INDEX(QHPSelections2016[],MATCH(1,(QHPSelections2016[State Name]=HIX_RatingAreas[[#This Row],[State Code]])*(QHPSelections2016[County Name]=HIX_RatingAreas[[#This Row],[Subdivision]]),0),MATCH("Total Plan Selections",QHPSelections2016[#Headers],0)),0)</f>
        <v>21486</v>
      </c>
      <c r="L162" t="str" cm="1">
        <f t="array" ref="L162">INDEX(QHPSelections2016[],MATCH(1,(QHPSelections2016[State Name]=HIX_RatingAreas[[#This Row],[State Code]])*(QHPSelections2016[County Name]=HIX_RatingAreas[[#This Row],[Subdivision]]),0),MATCH("County Name",QHPSelections2016[#Headers],0))</f>
        <v>Clayton County</v>
      </c>
      <c r="M162" t="b">
        <f>L162=HIX_RatingAreas[[#This Row],[Subdivision]]</f>
        <v>1</v>
      </c>
      <c r="N162">
        <v>159</v>
      </c>
      <c r="P162" s="49" t="s">
        <v>55</v>
      </c>
      <c r="Q162" s="50" t="s">
        <v>171</v>
      </c>
      <c r="R162">
        <f>SUMIFS(HIX_RatingAreas[Silver Selections 2016],HIX_RatingAreas[State],P162,HIX_RatingAreas[Rating Area ID],Q162)</f>
        <v>2927</v>
      </c>
      <c r="S162">
        <f t="shared" si="8"/>
        <v>3.3669452707474918E-3</v>
      </c>
      <c r="W162">
        <f>SUMIFS(HIX_RatingAreas[Total Plan Selections 2016],HIX_RatingAreas[State],P162,HIX_RatingAreas[Rating Area ID],Q162)</f>
        <v>4654</v>
      </c>
    </row>
    <row r="163" spans="3:23">
      <c r="C163" t="s">
        <v>16</v>
      </c>
      <c r="D163" t="s">
        <v>1515</v>
      </c>
      <c r="E163" t="s">
        <v>76</v>
      </c>
      <c r="F163" s="36">
        <v>3</v>
      </c>
      <c r="G163" t="s">
        <v>1000</v>
      </c>
      <c r="I163" cm="1">
        <f t="array" ref="I163">_xlfn.IFNA(INDEX(QHPSelections2016[],MATCH(1,(QHPSelections2016[State Name]=HIX_RatingAreas[[#This Row],[State Code]])*(QHPSelections2016[County Name]=HIX_RatingAreas[[#This Row],[Subdivision]]),0),MATCH("Silver",QHPSelections2016[#Headers],0)),0)</f>
        <v>37759</v>
      </c>
      <c r="J163" cm="1">
        <f t="array" ref="J163">_xlfn.IFNA(INDEX(QHPSelections2016[],MATCH(1,(QHPSelections2016[State Name]=HIX_RatingAreas[[#This Row],[State Code]])*(QHPSelections2016[County Name]=HIX_RatingAreas[[#This Row],[Subdivision]]),0),MATCH("Total Plan Selections",QHPSelections2016[#Headers],0)),0)</f>
        <v>51460</v>
      </c>
      <c r="L163" t="str" cm="1">
        <f t="array" ref="L163">INDEX(QHPSelections2016[],MATCH(1,(QHPSelections2016[State Name]=HIX_RatingAreas[[#This Row],[State Code]])*(QHPSelections2016[County Name]=HIX_RatingAreas[[#This Row],[Subdivision]]),0),MATCH("County Name",QHPSelections2016[#Headers],0))</f>
        <v>Cobb County</v>
      </c>
      <c r="M163" t="b">
        <f>L163=HIX_RatingAreas[[#This Row],[Subdivision]]</f>
        <v>1</v>
      </c>
      <c r="N163">
        <v>160</v>
      </c>
      <c r="P163" s="47" t="s">
        <v>55</v>
      </c>
      <c r="Q163" s="48" t="s">
        <v>172</v>
      </c>
      <c r="R163">
        <f>SUMIFS(HIX_RatingAreas[Silver Selections 2016],HIX_RatingAreas[State],P163,HIX_RatingAreas[Rating Area ID],Q163)</f>
        <v>3181</v>
      </c>
      <c r="S163">
        <f t="shared" si="8"/>
        <v>3.6591229607952753E-3</v>
      </c>
      <c r="W163">
        <f>SUMIFS(HIX_RatingAreas[Total Plan Selections 2016],HIX_RatingAreas[State],P163,HIX_RatingAreas[Rating Area ID],Q163)</f>
        <v>4760</v>
      </c>
    </row>
    <row r="164" spans="3:23">
      <c r="C164" t="s">
        <v>16</v>
      </c>
      <c r="D164" t="s">
        <v>1515</v>
      </c>
      <c r="E164" t="s">
        <v>76</v>
      </c>
      <c r="F164" s="36">
        <v>3</v>
      </c>
      <c r="G164" t="s">
        <v>1024</v>
      </c>
      <c r="I164" cm="1">
        <f t="array" ref="I164">_xlfn.IFNA(INDEX(QHPSelections2016[],MATCH(1,(QHPSelections2016[State Name]=HIX_RatingAreas[[#This Row],[State Code]])*(QHPSelections2016[County Name]=HIX_RatingAreas[[#This Row],[Subdivision]]),0),MATCH("Silver",QHPSelections2016[#Headers],0)),0)</f>
        <v>5469</v>
      </c>
      <c r="J164" cm="1">
        <f t="array" ref="J164">_xlfn.IFNA(INDEX(QHPSelections2016[],MATCH(1,(QHPSelections2016[State Name]=HIX_RatingAreas[[#This Row],[State Code]])*(QHPSelections2016[County Name]=HIX_RatingAreas[[#This Row],[Subdivision]]),0),MATCH("Total Plan Selections",QHPSelections2016[#Headers],0)),0)</f>
        <v>7164</v>
      </c>
      <c r="L164" t="str" cm="1">
        <f t="array" ref="L164">INDEX(QHPSelections2016[],MATCH(1,(QHPSelections2016[State Name]=HIX_RatingAreas[[#This Row],[State Code]])*(QHPSelections2016[County Name]=HIX_RatingAreas[[#This Row],[Subdivision]]),0),MATCH("County Name",QHPSelections2016[#Headers],0))</f>
        <v>Coweta County</v>
      </c>
      <c r="M164" t="b">
        <f>L164=HIX_RatingAreas[[#This Row],[Subdivision]]</f>
        <v>1</v>
      </c>
      <c r="N164">
        <v>161</v>
      </c>
      <c r="P164" s="49" t="s">
        <v>55</v>
      </c>
      <c r="Q164" s="50" t="s">
        <v>174</v>
      </c>
      <c r="R164">
        <f>SUMIFS(HIX_RatingAreas[Silver Selections 2016],HIX_RatingAreas[State],P164,HIX_RatingAreas[Rating Area ID],Q164)</f>
        <v>2933</v>
      </c>
      <c r="S164">
        <f t="shared" si="8"/>
        <v>3.3738471059454708E-3</v>
      </c>
      <c r="W164">
        <f>SUMIFS(HIX_RatingAreas[Total Plan Selections 2016],HIX_RatingAreas[State],P164,HIX_RatingAreas[Rating Area ID],Q164)</f>
        <v>4133</v>
      </c>
    </row>
    <row r="165" spans="3:23">
      <c r="C165" t="s">
        <v>16</v>
      </c>
      <c r="D165" t="s">
        <v>1515</v>
      </c>
      <c r="E165" t="s">
        <v>76</v>
      </c>
      <c r="F165" s="36">
        <v>3</v>
      </c>
      <c r="G165" t="s">
        <v>939</v>
      </c>
      <c r="I165" cm="1">
        <f t="array" ref="I165">_xlfn.IFNA(INDEX(QHPSelections2016[],MATCH(1,(QHPSelections2016[State Name]=HIX_RatingAreas[[#This Row],[State Code]])*(QHPSelections2016[County Name]=HIX_RatingAreas[[#This Row],[Subdivision]]),0),MATCH("Silver",QHPSelections2016[#Headers],0)),0)</f>
        <v>38407</v>
      </c>
      <c r="J165" cm="1">
        <f t="array" ref="J165">_xlfn.IFNA(INDEX(QHPSelections2016[],MATCH(1,(QHPSelections2016[State Name]=HIX_RatingAreas[[#This Row],[State Code]])*(QHPSelections2016[County Name]=HIX_RatingAreas[[#This Row],[Subdivision]]),0),MATCH("Total Plan Selections",QHPSelections2016[#Headers],0)),0)</f>
        <v>52318</v>
      </c>
      <c r="L165" t="str" cm="1">
        <f t="array" ref="L165">INDEX(QHPSelections2016[],MATCH(1,(QHPSelections2016[State Name]=HIX_RatingAreas[[#This Row],[State Code]])*(QHPSelections2016[County Name]=HIX_RatingAreas[[#This Row],[Subdivision]]),0),MATCH("County Name",QHPSelections2016[#Headers],0))</f>
        <v>DeKalb County</v>
      </c>
      <c r="M165" t="b">
        <f>L165=HIX_RatingAreas[[#This Row],[Subdivision]]</f>
        <v>1</v>
      </c>
      <c r="N165">
        <v>162</v>
      </c>
      <c r="P165" s="47" t="s">
        <v>55</v>
      </c>
      <c r="Q165" s="48" t="s">
        <v>175</v>
      </c>
      <c r="R165">
        <f>SUMIFS(HIX_RatingAreas[Silver Selections 2016],HIX_RatingAreas[State],P165,HIX_RatingAreas[Rating Area ID],Q165)</f>
        <v>82020</v>
      </c>
      <c r="S165">
        <f t="shared" si="8"/>
        <v>9.4348087156374882E-2</v>
      </c>
      <c r="W165">
        <f>SUMIFS(HIX_RatingAreas[Total Plan Selections 2016],HIX_RatingAreas[State],P165,HIX_RatingAreas[Rating Area ID],Q165)</f>
        <v>111787</v>
      </c>
    </row>
    <row r="166" spans="3:23">
      <c r="C166" t="s">
        <v>16</v>
      </c>
      <c r="D166" t="s">
        <v>1515</v>
      </c>
      <c r="E166" t="s">
        <v>76</v>
      </c>
      <c r="F166" s="36">
        <v>3</v>
      </c>
      <c r="G166" t="s">
        <v>1073</v>
      </c>
      <c r="I166" cm="1">
        <f t="array" ref="I166">_xlfn.IFNA(INDEX(QHPSelections2016[],MATCH(1,(QHPSelections2016[State Name]=HIX_RatingAreas[[#This Row],[State Code]])*(QHPSelections2016[County Name]=HIX_RatingAreas[[#This Row],[Subdivision]]),0),MATCH("Silver",QHPSelections2016[#Headers],0)),0)</f>
        <v>7774</v>
      </c>
      <c r="J166" cm="1">
        <f t="array" ref="J166">_xlfn.IFNA(INDEX(QHPSelections2016[],MATCH(1,(QHPSelections2016[State Name]=HIX_RatingAreas[[#This Row],[State Code]])*(QHPSelections2016[County Name]=HIX_RatingAreas[[#This Row],[Subdivision]]),0),MATCH("Total Plan Selections",QHPSelections2016[#Headers],0)),0)</f>
        <v>9974</v>
      </c>
      <c r="L166" t="str" cm="1">
        <f t="array" ref="L166">INDEX(QHPSelections2016[],MATCH(1,(QHPSelections2016[State Name]=HIX_RatingAreas[[#This Row],[State Code]])*(QHPSelections2016[County Name]=HIX_RatingAreas[[#This Row],[Subdivision]]),0),MATCH("County Name",QHPSelections2016[#Headers],0))</f>
        <v>Douglas County</v>
      </c>
      <c r="M166" t="b">
        <f>L166=HIX_RatingAreas[[#This Row],[Subdivision]]</f>
        <v>1</v>
      </c>
      <c r="N166">
        <v>163</v>
      </c>
      <c r="P166" s="49" t="s">
        <v>55</v>
      </c>
      <c r="Q166" s="50" t="s">
        <v>177</v>
      </c>
      <c r="R166">
        <f>SUMIFS(HIX_RatingAreas[Silver Selections 2016],HIX_RatingAreas[State],P166,HIX_RatingAreas[Rating Area ID],Q166)</f>
        <v>2910</v>
      </c>
      <c r="S166">
        <f t="shared" si="8"/>
        <v>3.347390071019884E-3</v>
      </c>
      <c r="W166">
        <f>SUMIFS(HIX_RatingAreas[Total Plan Selections 2016],HIX_RatingAreas[State],P166,HIX_RatingAreas[Rating Area ID],Q166)</f>
        <v>4366</v>
      </c>
    </row>
    <row r="167" spans="3:23">
      <c r="C167" t="s">
        <v>16</v>
      </c>
      <c r="D167" t="s">
        <v>1515</v>
      </c>
      <c r="E167" t="s">
        <v>76</v>
      </c>
      <c r="F167" s="36">
        <v>3</v>
      </c>
      <c r="G167" t="s">
        <v>958</v>
      </c>
      <c r="I167" cm="1">
        <f t="array" ref="I167">_xlfn.IFNA(INDEX(QHPSelections2016[],MATCH(1,(QHPSelections2016[State Name]=HIX_RatingAreas[[#This Row],[State Code]])*(QHPSelections2016[County Name]=HIX_RatingAreas[[#This Row],[Subdivision]]),0),MATCH("Silver",QHPSelections2016[#Headers],0)),0)</f>
        <v>4291</v>
      </c>
      <c r="J167" cm="1">
        <f t="array" ref="J167">_xlfn.IFNA(INDEX(QHPSelections2016[],MATCH(1,(QHPSelections2016[State Name]=HIX_RatingAreas[[#This Row],[State Code]])*(QHPSelections2016[County Name]=HIX_RatingAreas[[#This Row],[Subdivision]]),0),MATCH("Total Plan Selections",QHPSelections2016[#Headers],0)),0)</f>
        <v>5975</v>
      </c>
      <c r="L167" t="str" cm="1">
        <f t="array" ref="L167">INDEX(QHPSelections2016[],MATCH(1,(QHPSelections2016[State Name]=HIX_RatingAreas[[#This Row],[State Code]])*(QHPSelections2016[County Name]=HIX_RatingAreas[[#This Row],[Subdivision]]),0),MATCH("County Name",QHPSelections2016[#Headers],0))</f>
        <v>Fayette County</v>
      </c>
      <c r="M167" t="b">
        <f>L167=HIX_RatingAreas[[#This Row],[Subdivision]]</f>
        <v>1</v>
      </c>
      <c r="N167">
        <v>164</v>
      </c>
      <c r="P167" s="47" t="s">
        <v>55</v>
      </c>
      <c r="Q167" s="48" t="s">
        <v>179</v>
      </c>
      <c r="R167">
        <f>SUMIFS(HIX_RatingAreas[Silver Selections 2016],HIX_RatingAreas[State],P167,HIX_RatingAreas[Rating Area ID],Q167)</f>
        <v>1852</v>
      </c>
      <c r="S167">
        <f t="shared" si="8"/>
        <v>2.1303664644428955E-3</v>
      </c>
      <c r="W167">
        <f>SUMIFS(HIX_RatingAreas[Total Plan Selections 2016],HIX_RatingAreas[State],P167,HIX_RatingAreas[Rating Area ID],Q167)</f>
        <v>2834</v>
      </c>
    </row>
    <row r="168" spans="3:23">
      <c r="C168" t="s">
        <v>16</v>
      </c>
      <c r="D168" t="s">
        <v>1515</v>
      </c>
      <c r="E168" t="s">
        <v>76</v>
      </c>
      <c r="F168" s="36">
        <v>3</v>
      </c>
      <c r="G168" t="s">
        <v>1007</v>
      </c>
      <c r="I168" cm="1">
        <f t="array" ref="I168">_xlfn.IFNA(INDEX(QHPSelections2016[],MATCH(1,(QHPSelections2016[State Name]=HIX_RatingAreas[[#This Row],[State Code]])*(QHPSelections2016[County Name]=HIX_RatingAreas[[#This Row],[Subdivision]]),0),MATCH("Silver",QHPSelections2016[#Headers],0)),0)</f>
        <v>8499</v>
      </c>
      <c r="J168" cm="1">
        <f t="array" ref="J168">_xlfn.IFNA(INDEX(QHPSelections2016[],MATCH(1,(QHPSelections2016[State Name]=HIX_RatingAreas[[#This Row],[State Code]])*(QHPSelections2016[County Name]=HIX_RatingAreas[[#This Row],[Subdivision]]),0),MATCH("Total Plan Selections",QHPSelections2016[#Headers],0)),0)</f>
        <v>11723</v>
      </c>
      <c r="L168" t="str" cm="1">
        <f t="array" ref="L168">INDEX(QHPSelections2016[],MATCH(1,(QHPSelections2016[State Name]=HIX_RatingAreas[[#This Row],[State Code]])*(QHPSelections2016[County Name]=HIX_RatingAreas[[#This Row],[Subdivision]]),0),MATCH("County Name",QHPSelections2016[#Headers],0))</f>
        <v>Forsyth County</v>
      </c>
      <c r="M168" t="b">
        <f>L168=HIX_RatingAreas[[#This Row],[Subdivision]]</f>
        <v>1</v>
      </c>
      <c r="N168">
        <v>165</v>
      </c>
      <c r="P168" s="49" t="s">
        <v>55</v>
      </c>
      <c r="Q168" s="50" t="s">
        <v>181</v>
      </c>
      <c r="R168">
        <f>SUMIFS(HIX_RatingAreas[Silver Selections 2016],HIX_RatingAreas[State],P168,HIX_RatingAreas[Rating Area ID],Q168)</f>
        <v>6261</v>
      </c>
      <c r="S168">
        <f t="shared" si="8"/>
        <v>7.2020650290912352E-3</v>
      </c>
      <c r="W168">
        <f>SUMIFS(HIX_RatingAreas[Total Plan Selections 2016],HIX_RatingAreas[State],P168,HIX_RatingAreas[Rating Area ID],Q168)</f>
        <v>9261</v>
      </c>
    </row>
    <row r="169" spans="3:23">
      <c r="C169" t="s">
        <v>16</v>
      </c>
      <c r="D169" t="s">
        <v>1515</v>
      </c>
      <c r="E169" t="s">
        <v>76</v>
      </c>
      <c r="F169" s="36">
        <v>3</v>
      </c>
      <c r="G169" t="s">
        <v>1131</v>
      </c>
      <c r="I169" cm="1">
        <f t="array" ref="I169">_xlfn.IFNA(INDEX(QHPSelections2016[],MATCH(1,(QHPSelections2016[State Name]=HIX_RatingAreas[[#This Row],[State Code]])*(QHPSelections2016[County Name]=HIX_RatingAreas[[#This Row],[Subdivision]]),0),MATCH("Silver",QHPSelections2016[#Headers],0)),0)</f>
        <v>43349</v>
      </c>
      <c r="J169" cm="1">
        <f t="array" ref="J169">_xlfn.IFNA(INDEX(QHPSelections2016[],MATCH(1,(QHPSelections2016[State Name]=HIX_RatingAreas[[#This Row],[State Code]])*(QHPSelections2016[County Name]=HIX_RatingAreas[[#This Row],[Subdivision]]),0),MATCH("Total Plan Selections",QHPSelections2016[#Headers],0)),0)</f>
        <v>63392</v>
      </c>
      <c r="L169" t="str" cm="1">
        <f t="array" ref="L169">INDEX(QHPSelections2016[],MATCH(1,(QHPSelections2016[State Name]=HIX_RatingAreas[[#This Row],[State Code]])*(QHPSelections2016[County Name]=HIX_RatingAreas[[#This Row],[Subdivision]]),0),MATCH("County Name",QHPSelections2016[#Headers],0))</f>
        <v>Fulton County</v>
      </c>
      <c r="M169" t="b">
        <f>L169=HIX_RatingAreas[[#This Row],[Subdivision]]</f>
        <v>1</v>
      </c>
      <c r="N169">
        <v>166</v>
      </c>
      <c r="P169" s="47" t="s">
        <v>55</v>
      </c>
      <c r="Q169" s="48" t="s">
        <v>183</v>
      </c>
      <c r="R169">
        <f>SUMIFS(HIX_RatingAreas[Silver Selections 2016],HIX_RatingAreas[State],P169,HIX_RatingAreas[Rating Area ID],Q169)</f>
        <v>2546</v>
      </c>
      <c r="S169">
        <f t="shared" si="8"/>
        <v>2.9286787356758164E-3</v>
      </c>
      <c r="W169">
        <f>SUMIFS(HIX_RatingAreas[Total Plan Selections 2016],HIX_RatingAreas[State],P169,HIX_RatingAreas[Rating Area ID],Q169)</f>
        <v>3951</v>
      </c>
    </row>
    <row r="170" spans="3:23">
      <c r="C170" t="s">
        <v>16</v>
      </c>
      <c r="D170" t="s">
        <v>1515</v>
      </c>
      <c r="E170" t="s">
        <v>76</v>
      </c>
      <c r="F170" s="36">
        <v>3</v>
      </c>
      <c r="G170" t="s">
        <v>1172</v>
      </c>
      <c r="I170" cm="1">
        <f t="array" ref="I170">_xlfn.IFNA(INDEX(QHPSelections2016[],MATCH(1,(QHPSelections2016[State Name]=HIX_RatingAreas[[#This Row],[State Code]])*(QHPSelections2016[County Name]=HIX_RatingAreas[[#This Row],[Subdivision]]),0),MATCH("Silver",QHPSelections2016[#Headers],0)),0)</f>
        <v>64975</v>
      </c>
      <c r="J170" cm="1">
        <f t="array" ref="J170">_xlfn.IFNA(INDEX(QHPSelections2016[],MATCH(1,(QHPSelections2016[State Name]=HIX_RatingAreas[[#This Row],[State Code]])*(QHPSelections2016[County Name]=HIX_RatingAreas[[#This Row],[Subdivision]]),0),MATCH("Total Plan Selections",QHPSelections2016[#Headers],0)),0)</f>
        <v>81633</v>
      </c>
      <c r="L170" t="str" cm="1">
        <f t="array" ref="L170">INDEX(QHPSelections2016[],MATCH(1,(QHPSelections2016[State Name]=HIX_RatingAreas[[#This Row],[State Code]])*(QHPSelections2016[County Name]=HIX_RatingAreas[[#This Row],[Subdivision]]),0),MATCH("County Name",QHPSelections2016[#Headers],0))</f>
        <v>Gwinnett County</v>
      </c>
      <c r="M170" t="b">
        <f>L170=HIX_RatingAreas[[#This Row],[Subdivision]]</f>
        <v>1</v>
      </c>
      <c r="N170">
        <v>167</v>
      </c>
      <c r="P170" s="49" t="s">
        <v>55</v>
      </c>
      <c r="Q170" s="50" t="s">
        <v>185</v>
      </c>
      <c r="R170">
        <f>SUMIFS(HIX_RatingAreas[Silver Selections 2016],HIX_RatingAreas[State],P170,HIX_RatingAreas[Rating Area ID],Q170)</f>
        <v>5441</v>
      </c>
      <c r="S170">
        <f t="shared" si="8"/>
        <v>6.2588142187007525E-3</v>
      </c>
      <c r="W170">
        <f>SUMIFS(HIX_RatingAreas[Total Plan Selections 2016],HIX_RatingAreas[State],P170,HIX_RatingAreas[Rating Area ID],Q170)</f>
        <v>7858</v>
      </c>
    </row>
    <row r="171" spans="3:23">
      <c r="C171" t="s">
        <v>16</v>
      </c>
      <c r="D171" t="s">
        <v>1515</v>
      </c>
      <c r="E171" t="s">
        <v>76</v>
      </c>
      <c r="F171" s="36">
        <v>3</v>
      </c>
      <c r="G171" t="s">
        <v>1004</v>
      </c>
      <c r="I171" cm="1">
        <f t="array" ref="I171">_xlfn.IFNA(INDEX(QHPSelections2016[],MATCH(1,(QHPSelections2016[State Name]=HIX_RatingAreas[[#This Row],[State Code]])*(QHPSelections2016[County Name]=HIX_RatingAreas[[#This Row],[Subdivision]]),0),MATCH("Silver",QHPSelections2016[#Headers],0)),0)</f>
        <v>10182</v>
      </c>
      <c r="J171" cm="1">
        <f t="array" ref="J171">_xlfn.IFNA(INDEX(QHPSelections2016[],MATCH(1,(QHPSelections2016[State Name]=HIX_RatingAreas[[#This Row],[State Code]])*(QHPSelections2016[County Name]=HIX_RatingAreas[[#This Row],[Subdivision]]),0),MATCH("Total Plan Selections",QHPSelections2016[#Headers],0)),0)</f>
        <v>13086</v>
      </c>
      <c r="L171" t="str" cm="1">
        <f t="array" ref="L171">INDEX(QHPSelections2016[],MATCH(1,(QHPSelections2016[State Name]=HIX_RatingAreas[[#This Row],[State Code]])*(QHPSelections2016[County Name]=HIX_RatingAreas[[#This Row],[Subdivision]]),0),MATCH("County Name",QHPSelections2016[#Headers],0))</f>
        <v>Henry County</v>
      </c>
      <c r="M171" t="b">
        <f>L171=HIX_RatingAreas[[#This Row],[Subdivision]]</f>
        <v>1</v>
      </c>
      <c r="N171">
        <v>168</v>
      </c>
      <c r="P171" s="47" t="s">
        <v>55</v>
      </c>
      <c r="Q171" s="48" t="s">
        <v>187</v>
      </c>
      <c r="R171">
        <f>SUMIFS(HIX_RatingAreas[Silver Selections 2016],HIX_RatingAreas[State],P171,HIX_RatingAreas[Rating Area ID],Q171)</f>
        <v>2417</v>
      </c>
      <c r="S171">
        <f t="shared" si="8"/>
        <v>2.7802892789192644E-3</v>
      </c>
      <c r="W171">
        <f>SUMIFS(HIX_RatingAreas[Total Plan Selections 2016],HIX_RatingAreas[State],P171,HIX_RatingAreas[Rating Area ID],Q171)</f>
        <v>3893</v>
      </c>
    </row>
    <row r="172" spans="3:23">
      <c r="C172" t="s">
        <v>16</v>
      </c>
      <c r="D172" t="s">
        <v>1515</v>
      </c>
      <c r="E172" t="s">
        <v>76</v>
      </c>
      <c r="F172" s="36">
        <v>3</v>
      </c>
      <c r="G172" t="s">
        <v>989</v>
      </c>
      <c r="I172" cm="1">
        <f t="array" ref="I172">_xlfn.IFNA(INDEX(QHPSelections2016[],MATCH(1,(QHPSelections2016[State Name]=HIX_RatingAreas[[#This Row],[State Code]])*(QHPSelections2016[County Name]=HIX_RatingAreas[[#This Row],[Subdivision]]),0),MATCH("Silver",QHPSelections2016[#Headers],0)),0)</f>
        <v>504</v>
      </c>
      <c r="J172" cm="1">
        <f t="array" ref="J172">_xlfn.IFNA(INDEX(QHPSelections2016[],MATCH(1,(QHPSelections2016[State Name]=HIX_RatingAreas[[#This Row],[State Code]])*(QHPSelections2016[County Name]=HIX_RatingAreas[[#This Row],[Subdivision]]),0),MATCH("Total Plan Selections",QHPSelections2016[#Headers],0)),0)</f>
        <v>609</v>
      </c>
      <c r="L172" t="str" cm="1">
        <f t="array" ref="L172">INDEX(QHPSelections2016[],MATCH(1,(QHPSelections2016[State Name]=HIX_RatingAreas[[#This Row],[State Code]])*(QHPSelections2016[County Name]=HIX_RatingAreas[[#This Row],[Subdivision]]),0),MATCH("County Name",QHPSelections2016[#Headers],0))</f>
        <v>Jasper County</v>
      </c>
      <c r="M172" t="b">
        <f>L172=HIX_RatingAreas[[#This Row],[Subdivision]]</f>
        <v>1</v>
      </c>
      <c r="N172">
        <v>169</v>
      </c>
      <c r="P172" s="49" t="s">
        <v>55</v>
      </c>
      <c r="Q172" s="50" t="s">
        <v>189</v>
      </c>
      <c r="R172">
        <f>SUMIFS(HIX_RatingAreas[Silver Selections 2016],HIX_RatingAreas[State],P172,HIX_RatingAreas[Rating Area ID],Q172)</f>
        <v>79535</v>
      </c>
      <c r="S172">
        <f t="shared" si="8"/>
        <v>9.1489577078545187E-2</v>
      </c>
      <c r="W172">
        <f>SUMIFS(HIX_RatingAreas[Total Plan Selections 2016],HIX_RatingAreas[State],P172,HIX_RatingAreas[Rating Area ID],Q172)</f>
        <v>117606</v>
      </c>
    </row>
    <row r="173" spans="3:23">
      <c r="C173" t="s">
        <v>16</v>
      </c>
      <c r="D173" t="s">
        <v>1515</v>
      </c>
      <c r="E173" t="s">
        <v>76</v>
      </c>
      <c r="F173" s="36">
        <v>3</v>
      </c>
      <c r="G173" t="s">
        <v>1020</v>
      </c>
      <c r="I173" cm="1">
        <f t="array" ref="I173">_xlfn.IFNA(INDEX(QHPSelections2016[],MATCH(1,(QHPSelections2016[State Name]=HIX_RatingAreas[[#This Row],[State Code]])*(QHPSelections2016[County Name]=HIX_RatingAreas[[#This Row],[Subdivision]]),0),MATCH("Silver",QHPSelections2016[#Headers],0)),0)</f>
        <v>738</v>
      </c>
      <c r="J173" cm="1">
        <f t="array" ref="J173">_xlfn.IFNA(INDEX(QHPSelections2016[],MATCH(1,(QHPSelections2016[State Name]=HIX_RatingAreas[[#This Row],[State Code]])*(QHPSelections2016[County Name]=HIX_RatingAreas[[#This Row],[Subdivision]]),0),MATCH("Total Plan Selections",QHPSelections2016[#Headers],0)),0)</f>
        <v>902</v>
      </c>
      <c r="L173" t="str" cm="1">
        <f t="array" ref="L173">INDEX(QHPSelections2016[],MATCH(1,(QHPSelections2016[State Name]=HIX_RatingAreas[[#This Row],[State Code]])*(QHPSelections2016[County Name]=HIX_RatingAreas[[#This Row],[Subdivision]]),0),MATCH("County Name",QHPSelections2016[#Headers],0))</f>
        <v>Lamar County</v>
      </c>
      <c r="M173" t="b">
        <f>L173=HIX_RatingAreas[[#This Row],[Subdivision]]</f>
        <v>1</v>
      </c>
      <c r="N173">
        <v>170</v>
      </c>
    </row>
    <row r="174" spans="3:23">
      <c r="C174" t="s">
        <v>16</v>
      </c>
      <c r="D174" t="s">
        <v>1515</v>
      </c>
      <c r="E174" t="s">
        <v>76</v>
      </c>
      <c r="F174" s="36">
        <v>3</v>
      </c>
      <c r="G174" t="s">
        <v>1088</v>
      </c>
      <c r="I174" cm="1">
        <f t="array" ref="I174">_xlfn.IFNA(INDEX(QHPSelections2016[],MATCH(1,(QHPSelections2016[State Name]=HIX_RatingAreas[[#This Row],[State Code]])*(QHPSelections2016[County Name]=HIX_RatingAreas[[#This Row],[Subdivision]]),0),MATCH("Silver",QHPSelections2016[#Headers],0)),0)</f>
        <v>5328</v>
      </c>
      <c r="J174" cm="1">
        <f t="array" ref="J174">_xlfn.IFNA(INDEX(QHPSelections2016[],MATCH(1,(QHPSelections2016[State Name]=HIX_RatingAreas[[#This Row],[State Code]])*(QHPSelections2016[County Name]=HIX_RatingAreas[[#This Row],[Subdivision]]),0),MATCH("Total Plan Selections",QHPSelections2016[#Headers],0)),0)</f>
        <v>6595</v>
      </c>
      <c r="L174" t="str" cm="1">
        <f t="array" ref="L174">INDEX(QHPSelections2016[],MATCH(1,(QHPSelections2016[State Name]=HIX_RatingAreas[[#This Row],[State Code]])*(QHPSelections2016[County Name]=HIX_RatingAreas[[#This Row],[Subdivision]]),0),MATCH("County Name",QHPSelections2016[#Headers],0))</f>
        <v>Newton County</v>
      </c>
      <c r="M174" t="b">
        <f>L174=HIX_RatingAreas[[#This Row],[Subdivision]]</f>
        <v>1</v>
      </c>
      <c r="N174">
        <v>171</v>
      </c>
    </row>
    <row r="175" spans="3:23">
      <c r="C175" t="s">
        <v>16</v>
      </c>
      <c r="D175" t="s">
        <v>1515</v>
      </c>
      <c r="E175" t="s">
        <v>76</v>
      </c>
      <c r="F175" s="36">
        <v>3</v>
      </c>
      <c r="G175" t="s">
        <v>1282</v>
      </c>
      <c r="I175" cm="1">
        <f t="array" ref="I175">_xlfn.IFNA(INDEX(QHPSelections2016[],MATCH(1,(QHPSelections2016[State Name]=HIX_RatingAreas[[#This Row],[State Code]])*(QHPSelections2016[County Name]=HIX_RatingAreas[[#This Row],[Subdivision]]),0),MATCH("Silver",QHPSelections2016[#Headers],0)),0)</f>
        <v>6723</v>
      </c>
      <c r="J175" cm="1">
        <f t="array" ref="J175">_xlfn.IFNA(INDEX(QHPSelections2016[],MATCH(1,(QHPSelections2016[State Name]=HIX_RatingAreas[[#This Row],[State Code]])*(QHPSelections2016[County Name]=HIX_RatingAreas[[#This Row],[Subdivision]]),0),MATCH("Total Plan Selections",QHPSelections2016[#Headers],0)),0)</f>
        <v>8659</v>
      </c>
      <c r="L175" t="str" cm="1">
        <f t="array" ref="L175">INDEX(QHPSelections2016[],MATCH(1,(QHPSelections2016[State Name]=HIX_RatingAreas[[#This Row],[State Code]])*(QHPSelections2016[County Name]=HIX_RatingAreas[[#This Row],[Subdivision]]),0),MATCH("County Name",QHPSelections2016[#Headers],0))</f>
        <v>Paulding County</v>
      </c>
      <c r="M175" t="b">
        <f>L175=HIX_RatingAreas[[#This Row],[Subdivision]]</f>
        <v>1</v>
      </c>
      <c r="N175">
        <v>172</v>
      </c>
    </row>
    <row r="176" spans="3:23">
      <c r="C176" t="s">
        <v>16</v>
      </c>
      <c r="D176" t="s">
        <v>1515</v>
      </c>
      <c r="E176" t="s">
        <v>76</v>
      </c>
      <c r="F176" s="36">
        <v>3</v>
      </c>
      <c r="G176" t="s">
        <v>1109</v>
      </c>
      <c r="I176" cm="1">
        <f t="array" ref="I176">_xlfn.IFNA(INDEX(QHPSelections2016[],MATCH(1,(QHPSelections2016[State Name]=HIX_RatingAreas[[#This Row],[State Code]])*(QHPSelections2016[County Name]=HIX_RatingAreas[[#This Row],[Subdivision]]),0),MATCH("Silver",QHPSelections2016[#Headers],0)),0)</f>
        <v>485</v>
      </c>
      <c r="J176" cm="1">
        <f t="array" ref="J176">_xlfn.IFNA(INDEX(QHPSelections2016[],MATCH(1,(QHPSelections2016[State Name]=HIX_RatingAreas[[#This Row],[State Code]])*(QHPSelections2016[County Name]=HIX_RatingAreas[[#This Row],[Subdivision]]),0),MATCH("Total Plan Selections",QHPSelections2016[#Headers],0)),0)</f>
        <v>640</v>
      </c>
      <c r="L176" t="str" cm="1">
        <f t="array" ref="L176">INDEX(QHPSelections2016[],MATCH(1,(QHPSelections2016[State Name]=HIX_RatingAreas[[#This Row],[State Code]])*(QHPSelections2016[County Name]=HIX_RatingAreas[[#This Row],[Subdivision]]),0),MATCH("County Name",QHPSelections2016[#Headers],0))</f>
        <v>Pike County</v>
      </c>
      <c r="M176" t="b">
        <f>L176=HIX_RatingAreas[[#This Row],[Subdivision]]</f>
        <v>1</v>
      </c>
      <c r="N176">
        <v>173</v>
      </c>
    </row>
    <row r="177" spans="3:15">
      <c r="C177" t="s">
        <v>16</v>
      </c>
      <c r="D177" t="s">
        <v>1515</v>
      </c>
      <c r="E177" t="s">
        <v>76</v>
      </c>
      <c r="F177" s="36">
        <v>3</v>
      </c>
      <c r="G177" t="s">
        <v>1296</v>
      </c>
      <c r="I177" cm="1">
        <f t="array" ref="I177">_xlfn.IFNA(INDEX(QHPSelections2016[],MATCH(1,(QHPSelections2016[State Name]=HIX_RatingAreas[[#This Row],[State Code]])*(QHPSelections2016[County Name]=HIX_RatingAreas[[#This Row],[Subdivision]]),0),MATCH("Silver",QHPSelections2016[#Headers],0)),0)</f>
        <v>5210</v>
      </c>
      <c r="J177" cm="1">
        <f t="array" ref="J177">_xlfn.IFNA(INDEX(QHPSelections2016[],MATCH(1,(QHPSelections2016[State Name]=HIX_RatingAreas[[#This Row],[State Code]])*(QHPSelections2016[County Name]=HIX_RatingAreas[[#This Row],[Subdivision]]),0),MATCH("Total Plan Selections",QHPSelections2016[#Headers],0)),0)</f>
        <v>6608</v>
      </c>
      <c r="L177" t="str" cm="1">
        <f t="array" ref="L177">INDEX(QHPSelections2016[],MATCH(1,(QHPSelections2016[State Name]=HIX_RatingAreas[[#This Row],[State Code]])*(QHPSelections2016[County Name]=HIX_RatingAreas[[#This Row],[Subdivision]]),0),MATCH("County Name",QHPSelections2016[#Headers],0))</f>
        <v>Rockdale County</v>
      </c>
      <c r="M177" t="b">
        <f>L177=HIX_RatingAreas[[#This Row],[Subdivision]]</f>
        <v>1</v>
      </c>
      <c r="N177">
        <v>174</v>
      </c>
    </row>
    <row r="178" spans="3:15">
      <c r="C178" t="s">
        <v>16</v>
      </c>
      <c r="D178" t="s">
        <v>1515</v>
      </c>
      <c r="E178" t="s">
        <v>76</v>
      </c>
      <c r="F178" s="36">
        <v>3</v>
      </c>
      <c r="G178" t="s">
        <v>1301</v>
      </c>
      <c r="I178" cm="1">
        <f t="array" ref="I178">_xlfn.IFNA(INDEX(QHPSelections2016[],MATCH(1,(QHPSelections2016[State Name]=HIX_RatingAreas[[#This Row],[State Code]])*(QHPSelections2016[County Name]=HIX_RatingAreas[[#This Row],[Subdivision]]),0),MATCH("Silver",QHPSelections2016[#Headers],0)),0)</f>
        <v>2096</v>
      </c>
      <c r="J178" cm="1">
        <f t="array" ref="J178">_xlfn.IFNA(INDEX(QHPSelections2016[],MATCH(1,(QHPSelections2016[State Name]=HIX_RatingAreas[[#This Row],[State Code]])*(QHPSelections2016[County Name]=HIX_RatingAreas[[#This Row],[Subdivision]]),0),MATCH("Total Plan Selections",QHPSelections2016[#Headers],0)),0)</f>
        <v>2806</v>
      </c>
      <c r="L178" t="str" cm="1">
        <f t="array" ref="L178">INDEX(QHPSelections2016[],MATCH(1,(QHPSelections2016[State Name]=HIX_RatingAreas[[#This Row],[State Code]])*(QHPSelections2016[County Name]=HIX_RatingAreas[[#This Row],[Subdivision]]),0),MATCH("County Name",QHPSelections2016[#Headers],0))</f>
        <v>Spalding County</v>
      </c>
      <c r="M178" t="b">
        <f>L178=HIX_RatingAreas[[#This Row],[Subdivision]]</f>
        <v>1</v>
      </c>
      <c r="N178">
        <v>175</v>
      </c>
    </row>
    <row r="179" spans="3:15">
      <c r="C179" t="s">
        <v>16</v>
      </c>
      <c r="D179" t="s">
        <v>1515</v>
      </c>
      <c r="E179" t="s">
        <v>76</v>
      </c>
      <c r="F179" s="36">
        <v>3</v>
      </c>
      <c r="G179" t="s">
        <v>1167</v>
      </c>
      <c r="I179" cm="1">
        <f t="array" ref="I179">_xlfn.IFNA(INDEX(QHPSelections2016[],MATCH(1,(QHPSelections2016[State Name]=HIX_RatingAreas[[#This Row],[State Code]])*(QHPSelections2016[County Name]=HIX_RatingAreas[[#This Row],[Subdivision]]),0),MATCH("Silver",QHPSelections2016[#Headers],0)),0)</f>
        <v>3317</v>
      </c>
      <c r="J179" cm="1">
        <f t="array" ref="J179">_xlfn.IFNA(INDEX(QHPSelections2016[],MATCH(1,(QHPSelections2016[State Name]=HIX_RatingAreas[[#This Row],[State Code]])*(QHPSelections2016[County Name]=HIX_RatingAreas[[#This Row],[Subdivision]]),0),MATCH("Total Plan Selections",QHPSelections2016[#Headers],0)),0)</f>
        <v>4327</v>
      </c>
      <c r="L179" t="str" cm="1">
        <f t="array" ref="L179">INDEX(QHPSelections2016[],MATCH(1,(QHPSelections2016[State Name]=HIX_RatingAreas[[#This Row],[State Code]])*(QHPSelections2016[County Name]=HIX_RatingAreas[[#This Row],[Subdivision]]),0),MATCH("County Name",QHPSelections2016[#Headers],0))</f>
        <v>Walton County</v>
      </c>
      <c r="M179" t="b">
        <f>L179=HIX_RatingAreas[[#This Row],[Subdivision]]</f>
        <v>1</v>
      </c>
      <c r="N179">
        <v>176</v>
      </c>
    </row>
    <row r="180" spans="3:15">
      <c r="C180" t="s">
        <v>16</v>
      </c>
      <c r="D180" t="s">
        <v>1515</v>
      </c>
      <c r="E180" t="s">
        <v>84</v>
      </c>
      <c r="F180" s="36">
        <v>4</v>
      </c>
      <c r="G180" t="s">
        <v>862</v>
      </c>
      <c r="I180" cm="1">
        <f t="array" ref="I180">_xlfn.IFNA(INDEX(QHPSelections2016[],MATCH(1,(QHPSelections2016[State Name]=HIX_RatingAreas[[#This Row],[State Code]])*(QHPSelections2016[County Name]=HIX_RatingAreas[[#This Row],[Subdivision]]),0),MATCH("Silver",QHPSelections2016[#Headers],0)),0)</f>
        <v>5070</v>
      </c>
      <c r="J180" cm="1">
        <f t="array" ref="J180">_xlfn.IFNA(INDEX(QHPSelections2016[],MATCH(1,(QHPSelections2016[State Name]=HIX_RatingAreas[[#This Row],[State Code]])*(QHPSelections2016[County Name]=HIX_RatingAreas[[#This Row],[Subdivision]]),0),MATCH("Total Plan Selections",QHPSelections2016[#Headers],0)),0)</f>
        <v>6642</v>
      </c>
      <c r="L180" t="str" cm="1">
        <f t="array" ref="L180">INDEX(QHPSelections2016[],MATCH(1,(QHPSelections2016[State Name]=HIX_RatingAreas[[#This Row],[State Code]])*(QHPSelections2016[County Name]=HIX_RatingAreas[[#This Row],[Subdivision]]),0),MATCH("County Name",QHPSelections2016[#Headers],0))</f>
        <v>Carroll County</v>
      </c>
      <c r="M180" t="b">
        <f>L180=HIX_RatingAreas[[#This Row],[Subdivision]]</f>
        <v>1</v>
      </c>
      <c r="N180">
        <v>177</v>
      </c>
    </row>
    <row r="181" spans="3:15">
      <c r="C181" t="s">
        <v>16</v>
      </c>
      <c r="D181" t="s">
        <v>1515</v>
      </c>
      <c r="E181" t="s">
        <v>84</v>
      </c>
      <c r="F181" s="36">
        <v>4</v>
      </c>
      <c r="G181" t="s">
        <v>1201</v>
      </c>
      <c r="I181" cm="1">
        <f t="array" ref="I181">_xlfn.IFNA(INDEX(QHPSelections2016[],MATCH(1,(QHPSelections2016[State Name]=HIX_RatingAreas[[#This Row],[State Code]])*(QHPSelections2016[County Name]=HIX_RatingAreas[[#This Row],[Subdivision]]),0),MATCH("Silver",QHPSelections2016[#Headers],0)),0)</f>
        <v>406</v>
      </c>
      <c r="J181" cm="1">
        <f t="array" ref="J181">_xlfn.IFNA(INDEX(QHPSelections2016[],MATCH(1,(QHPSelections2016[State Name]=HIX_RatingAreas[[#This Row],[State Code]])*(QHPSelections2016[County Name]=HIX_RatingAreas[[#This Row],[Subdivision]]),0),MATCH("Total Plan Selections",QHPSelections2016[#Headers],0)),0)</f>
        <v>550</v>
      </c>
      <c r="L181" t="str" cm="1">
        <f t="array" ref="L181">INDEX(QHPSelections2016[],MATCH(1,(QHPSelections2016[State Name]=HIX_RatingAreas[[#This Row],[State Code]])*(QHPSelections2016[County Name]=HIX_RatingAreas[[#This Row],[Subdivision]]),0),MATCH("County Name",QHPSelections2016[#Headers],0))</f>
        <v>Heard County</v>
      </c>
      <c r="M181" t="b">
        <f>L181=HIX_RatingAreas[[#This Row],[Subdivision]]</f>
        <v>1</v>
      </c>
      <c r="N181">
        <v>178</v>
      </c>
    </row>
    <row r="182" spans="3:15">
      <c r="C182" t="s">
        <v>16</v>
      </c>
      <c r="D182" t="s">
        <v>1515</v>
      </c>
      <c r="E182" t="s">
        <v>84</v>
      </c>
      <c r="F182" s="36">
        <v>4</v>
      </c>
      <c r="G182" t="s">
        <v>1422</v>
      </c>
      <c r="I182" cm="1">
        <f t="array" ref="I182">_xlfn.IFNA(INDEX(QHPSelections2016[],MATCH(1,(QHPSelections2016[State Name]=HIX_RatingAreas[[#This Row],[State Code]])*(QHPSelections2016[County Name]=HIX_RatingAreas[[#This Row],[Subdivision]]),0),MATCH("Silver",QHPSelections2016[#Headers],0)),0)</f>
        <v>1499</v>
      </c>
      <c r="J182" cm="1">
        <f t="array" ref="J182">_xlfn.IFNA(INDEX(QHPSelections2016[],MATCH(1,(QHPSelections2016[State Name]=HIX_RatingAreas[[#This Row],[State Code]])*(QHPSelections2016[County Name]=HIX_RatingAreas[[#This Row],[Subdivision]]),0),MATCH("Total Plan Selections",QHPSelections2016[#Headers],0)),0)</f>
        <v>1880</v>
      </c>
      <c r="L182" t="str" cm="1">
        <f t="array" ref="L182">INDEX(QHPSelections2016[],MATCH(1,(QHPSelections2016[State Name]=HIX_RatingAreas[[#This Row],[State Code]])*(QHPSelections2016[County Name]=HIX_RatingAreas[[#This Row],[Subdivision]]),0),MATCH("County Name",QHPSelections2016[#Headers],0))</f>
        <v>Heralson County</v>
      </c>
      <c r="M182" t="b">
        <f>L182=HIX_RatingAreas[[#This Row],[Subdivision]]</f>
        <v>1</v>
      </c>
      <c r="N182">
        <v>179</v>
      </c>
      <c r="O182" s="46" t="s">
        <v>1422</v>
      </c>
    </row>
    <row r="183" spans="3:15">
      <c r="C183" t="s">
        <v>16</v>
      </c>
      <c r="D183" t="s">
        <v>1515</v>
      </c>
      <c r="E183" t="s">
        <v>86</v>
      </c>
      <c r="F183" s="36">
        <v>5</v>
      </c>
      <c r="G183" t="s">
        <v>888</v>
      </c>
      <c r="I183" cm="1">
        <f t="array" ref="I183">_xlfn.IFNA(INDEX(QHPSelections2016[],MATCH(1,(QHPSelections2016[State Name]=HIX_RatingAreas[[#This Row],[State Code]])*(QHPSelections2016[County Name]=HIX_RatingAreas[[#This Row],[Subdivision]]),0),MATCH("Silver",QHPSelections2016[#Headers],0)),0)</f>
        <v>1108</v>
      </c>
      <c r="J183" cm="1">
        <f t="array" ref="J183">_xlfn.IFNA(INDEX(QHPSelections2016[],MATCH(1,(QHPSelections2016[State Name]=HIX_RatingAreas[[#This Row],[State Code]])*(QHPSelections2016[County Name]=HIX_RatingAreas[[#This Row],[Subdivision]]),0),MATCH("Total Plan Selections",QHPSelections2016[#Headers],0)),0)</f>
        <v>1302</v>
      </c>
      <c r="L183" t="str" cm="1">
        <f t="array" ref="L183">INDEX(QHPSelections2016[],MATCH(1,(QHPSelections2016[State Name]=HIX_RatingAreas[[#This Row],[State Code]])*(QHPSelections2016[County Name]=HIX_RatingAreas[[#This Row],[Subdivision]]),0),MATCH("County Name",QHPSelections2016[#Headers],0))</f>
        <v>Burke County</v>
      </c>
      <c r="M183" t="b">
        <f>L183=HIX_RatingAreas[[#This Row],[Subdivision]]</f>
        <v>1</v>
      </c>
      <c r="N183">
        <v>180</v>
      </c>
    </row>
    <row r="184" spans="3:15">
      <c r="C184" t="s">
        <v>16</v>
      </c>
      <c r="D184" t="s">
        <v>1515</v>
      </c>
      <c r="E184" t="s">
        <v>86</v>
      </c>
      <c r="F184" s="36">
        <v>5</v>
      </c>
      <c r="G184" t="s">
        <v>885</v>
      </c>
      <c r="I184" cm="1">
        <f t="array" ref="I184">_xlfn.IFNA(INDEX(QHPSelections2016[],MATCH(1,(QHPSelections2016[State Name]=HIX_RatingAreas[[#This Row],[State Code]])*(QHPSelections2016[County Name]=HIX_RatingAreas[[#This Row],[Subdivision]]),0),MATCH("Silver",QHPSelections2016[#Headers],0)),0)</f>
        <v>4994</v>
      </c>
      <c r="J184" cm="1">
        <f t="array" ref="J184">_xlfn.IFNA(INDEX(QHPSelections2016[],MATCH(1,(QHPSelections2016[State Name]=HIX_RatingAreas[[#This Row],[State Code]])*(QHPSelections2016[County Name]=HIX_RatingAreas[[#This Row],[Subdivision]]),0),MATCH("Total Plan Selections",QHPSelections2016[#Headers],0)),0)</f>
        <v>6491</v>
      </c>
      <c r="L184" t="str" cm="1">
        <f t="array" ref="L184">INDEX(QHPSelections2016[],MATCH(1,(QHPSelections2016[State Name]=HIX_RatingAreas[[#This Row],[State Code]])*(QHPSelections2016[County Name]=HIX_RatingAreas[[#This Row],[Subdivision]]),0),MATCH("County Name",QHPSelections2016[#Headers],0))</f>
        <v>Columbia County</v>
      </c>
      <c r="M184" t="b">
        <f>L184=HIX_RatingAreas[[#This Row],[Subdivision]]</f>
        <v>1</v>
      </c>
      <c r="N184">
        <v>181</v>
      </c>
    </row>
    <row r="185" spans="3:15">
      <c r="C185" t="s">
        <v>16</v>
      </c>
      <c r="D185" t="s">
        <v>1515</v>
      </c>
      <c r="E185" t="s">
        <v>86</v>
      </c>
      <c r="F185" s="36">
        <v>5</v>
      </c>
      <c r="G185" t="s">
        <v>1099</v>
      </c>
      <c r="I185" cm="1">
        <f t="array" ref="I185">_xlfn.IFNA(INDEX(QHPSelections2016[],MATCH(1,(QHPSelections2016[State Name]=HIX_RatingAreas[[#This Row],[State Code]])*(QHPSelections2016[County Name]=HIX_RatingAreas[[#This Row],[Subdivision]]),0),MATCH("Silver",QHPSelections2016[#Headers],0)),0)</f>
        <v>1136</v>
      </c>
      <c r="J185" cm="1">
        <f t="array" ref="J185">_xlfn.IFNA(INDEX(QHPSelections2016[],MATCH(1,(QHPSelections2016[State Name]=HIX_RatingAreas[[#This Row],[State Code]])*(QHPSelections2016[County Name]=HIX_RatingAreas[[#This Row],[Subdivision]]),0),MATCH("Total Plan Selections",QHPSelections2016[#Headers],0)),0)</f>
        <v>1371</v>
      </c>
      <c r="L185" t="str" cm="1">
        <f t="array" ref="L185">INDEX(QHPSelections2016[],MATCH(1,(QHPSelections2016[State Name]=HIX_RatingAreas[[#This Row],[State Code]])*(QHPSelections2016[County Name]=HIX_RatingAreas[[#This Row],[Subdivision]]),0),MATCH("County Name",QHPSelections2016[#Headers],0))</f>
        <v>Emanuel County</v>
      </c>
      <c r="M185" t="b">
        <f>L185=HIX_RatingAreas[[#This Row],[Subdivision]]</f>
        <v>1</v>
      </c>
      <c r="N185">
        <v>182</v>
      </c>
    </row>
    <row r="186" spans="3:15">
      <c r="C186" t="s">
        <v>16</v>
      </c>
      <c r="D186" t="s">
        <v>1515</v>
      </c>
      <c r="E186" t="s">
        <v>86</v>
      </c>
      <c r="F186" s="36">
        <v>5</v>
      </c>
      <c r="G186" t="s">
        <v>1145</v>
      </c>
      <c r="I186" cm="1">
        <f t="array" ref="I186">_xlfn.IFNA(INDEX(QHPSelections2016[],MATCH(1,(QHPSelections2016[State Name]=HIX_RatingAreas[[#This Row],[State Code]])*(QHPSelections2016[County Name]=HIX_RatingAreas[[#This Row],[Subdivision]]),0),MATCH("Silver",QHPSelections2016[#Headers],0)),0)</f>
        <v>97</v>
      </c>
      <c r="J186" cm="1">
        <f t="array" ref="J186">_xlfn.IFNA(INDEX(QHPSelections2016[],MATCH(1,(QHPSelections2016[State Name]=HIX_RatingAreas[[#This Row],[State Code]])*(QHPSelections2016[County Name]=HIX_RatingAreas[[#This Row],[Subdivision]]),0),MATCH("Total Plan Selections",QHPSelections2016[#Headers],0)),0)</f>
        <v>113</v>
      </c>
      <c r="L186" t="str" cm="1">
        <f t="array" ref="L186">INDEX(QHPSelections2016[],MATCH(1,(QHPSelections2016[State Name]=HIX_RatingAreas[[#This Row],[State Code]])*(QHPSelections2016[County Name]=HIX_RatingAreas[[#This Row],[Subdivision]]),0),MATCH("County Name",QHPSelections2016[#Headers],0))</f>
        <v>Glascock County</v>
      </c>
      <c r="M186" t="b">
        <f>L186=HIX_RatingAreas[[#This Row],[Subdivision]]</f>
        <v>1</v>
      </c>
      <c r="N186">
        <v>183</v>
      </c>
    </row>
    <row r="187" spans="3:15">
      <c r="C187" t="s">
        <v>16</v>
      </c>
      <c r="D187" t="s">
        <v>1515</v>
      </c>
      <c r="E187" t="s">
        <v>86</v>
      </c>
      <c r="F187" s="36">
        <v>5</v>
      </c>
      <c r="G187" t="s">
        <v>993</v>
      </c>
      <c r="I187" cm="1">
        <f t="array" ref="I187">_xlfn.IFNA(INDEX(QHPSelections2016[],MATCH(1,(QHPSelections2016[State Name]=HIX_RatingAreas[[#This Row],[State Code]])*(QHPSelections2016[County Name]=HIX_RatingAreas[[#This Row],[Subdivision]]),0),MATCH("Silver",QHPSelections2016[#Headers],0)),0)</f>
        <v>685</v>
      </c>
      <c r="J187" cm="1">
        <f t="array" ref="J187">_xlfn.IFNA(INDEX(QHPSelections2016[],MATCH(1,(QHPSelections2016[State Name]=HIX_RatingAreas[[#This Row],[State Code]])*(QHPSelections2016[County Name]=HIX_RatingAreas[[#This Row],[Subdivision]]),0),MATCH("Total Plan Selections",QHPSelections2016[#Headers],0)),0)</f>
        <v>837</v>
      </c>
      <c r="L187" t="str" cm="1">
        <f t="array" ref="L187">INDEX(QHPSelections2016[],MATCH(1,(QHPSelections2016[State Name]=HIX_RatingAreas[[#This Row],[State Code]])*(QHPSelections2016[County Name]=HIX_RatingAreas[[#This Row],[Subdivision]]),0),MATCH("County Name",QHPSelections2016[#Headers],0))</f>
        <v>Jefferson County</v>
      </c>
      <c r="M187" t="b">
        <f>L187=HIX_RatingAreas[[#This Row],[Subdivision]]</f>
        <v>1</v>
      </c>
      <c r="N187">
        <v>184</v>
      </c>
    </row>
    <row r="188" spans="3:15">
      <c r="C188" t="s">
        <v>16</v>
      </c>
      <c r="D188" t="s">
        <v>1515</v>
      </c>
      <c r="E188" t="s">
        <v>86</v>
      </c>
      <c r="F188" s="36">
        <v>5</v>
      </c>
      <c r="G188" t="s">
        <v>1224</v>
      </c>
      <c r="I188" cm="1">
        <f t="array" ref="I188">_xlfn.IFNA(INDEX(QHPSelections2016[],MATCH(1,(QHPSelections2016[State Name]=HIX_RatingAreas[[#This Row],[State Code]])*(QHPSelections2016[County Name]=HIX_RatingAreas[[#This Row],[Subdivision]]),0),MATCH("Silver",QHPSelections2016[#Headers],0)),0)</f>
        <v>335</v>
      </c>
      <c r="J188" cm="1">
        <f t="array" ref="J188">_xlfn.IFNA(INDEX(QHPSelections2016[],MATCH(1,(QHPSelections2016[State Name]=HIX_RatingAreas[[#This Row],[State Code]])*(QHPSelections2016[County Name]=HIX_RatingAreas[[#This Row],[Subdivision]]),0),MATCH("Total Plan Selections",QHPSelections2016[#Headers],0)),0)</f>
        <v>388</v>
      </c>
      <c r="L188" t="str" cm="1">
        <f t="array" ref="L188">INDEX(QHPSelections2016[],MATCH(1,(QHPSelections2016[State Name]=HIX_RatingAreas[[#This Row],[State Code]])*(QHPSelections2016[County Name]=HIX_RatingAreas[[#This Row],[Subdivision]]),0),MATCH("County Name",QHPSelections2016[#Headers],0))</f>
        <v>Jenkins County</v>
      </c>
      <c r="M188" t="b">
        <f>L188=HIX_RatingAreas[[#This Row],[Subdivision]]</f>
        <v>1</v>
      </c>
      <c r="N188">
        <v>185</v>
      </c>
    </row>
    <row r="189" spans="3:15">
      <c r="C189" t="s">
        <v>16</v>
      </c>
      <c r="D189" t="s">
        <v>1515</v>
      </c>
      <c r="E189" t="s">
        <v>86</v>
      </c>
      <c r="F189" s="36">
        <v>5</v>
      </c>
      <c r="G189" t="s">
        <v>1051</v>
      </c>
      <c r="I189" cm="1">
        <f t="array" ref="I189">_xlfn.IFNA(INDEX(QHPSelections2016[],MATCH(1,(QHPSelections2016[State Name]=HIX_RatingAreas[[#This Row],[State Code]])*(QHPSelections2016[County Name]=HIX_RatingAreas[[#This Row],[Subdivision]]),0),MATCH("Silver",QHPSelections2016[#Headers],0)),0)</f>
        <v>364</v>
      </c>
      <c r="J189" cm="1">
        <f t="array" ref="J189">_xlfn.IFNA(INDEX(QHPSelections2016[],MATCH(1,(QHPSelections2016[State Name]=HIX_RatingAreas[[#This Row],[State Code]])*(QHPSelections2016[County Name]=HIX_RatingAreas[[#This Row],[Subdivision]]),0),MATCH("Total Plan Selections",QHPSelections2016[#Headers],0)),0)</f>
        <v>440</v>
      </c>
      <c r="L189" t="str" cm="1">
        <f t="array" ref="L189">INDEX(QHPSelections2016[],MATCH(1,(QHPSelections2016[State Name]=HIX_RatingAreas[[#This Row],[State Code]])*(QHPSelections2016[County Name]=HIX_RatingAreas[[#This Row],[Subdivision]]),0),MATCH("County Name",QHPSelections2016[#Headers],0))</f>
        <v>Lincoln County</v>
      </c>
      <c r="M189" t="b">
        <f>L189=HIX_RatingAreas[[#This Row],[Subdivision]]</f>
        <v>1</v>
      </c>
      <c r="N189">
        <v>186</v>
      </c>
    </row>
    <row r="190" spans="3:15">
      <c r="C190" t="s">
        <v>16</v>
      </c>
      <c r="D190" t="s">
        <v>1515</v>
      </c>
      <c r="E190" t="s">
        <v>86</v>
      </c>
      <c r="F190" s="36">
        <v>5</v>
      </c>
      <c r="G190" t="s">
        <v>1260</v>
      </c>
      <c r="I190" cm="1">
        <f t="array" ref="I190">_xlfn.IFNA(INDEX(QHPSelections2016[],MATCH(1,(QHPSelections2016[State Name]=HIX_RatingAreas[[#This Row],[State Code]])*(QHPSelections2016[County Name]=HIX_RatingAreas[[#This Row],[Subdivision]]),0),MATCH("Silver",QHPSelections2016[#Headers],0)),0)</f>
        <v>834</v>
      </c>
      <c r="J190" cm="1">
        <f t="array" ref="J190">_xlfn.IFNA(INDEX(QHPSelections2016[],MATCH(1,(QHPSelections2016[State Name]=HIX_RatingAreas[[#This Row],[State Code]])*(QHPSelections2016[County Name]=HIX_RatingAreas[[#This Row],[Subdivision]]),0),MATCH("Total Plan Selections",QHPSelections2016[#Headers],0)),0)</f>
        <v>1019</v>
      </c>
      <c r="L190" t="str" cm="1">
        <f t="array" ref="L190">INDEX(QHPSelections2016[],MATCH(1,(QHPSelections2016[State Name]=HIX_RatingAreas[[#This Row],[State Code]])*(QHPSelections2016[County Name]=HIX_RatingAreas[[#This Row],[Subdivision]]),0),MATCH("County Name",QHPSelections2016[#Headers],0))</f>
        <v>McDuffie County</v>
      </c>
      <c r="M190" t="b">
        <f>L190=HIX_RatingAreas[[#This Row],[Subdivision]]</f>
        <v>1</v>
      </c>
      <c r="N190">
        <v>187</v>
      </c>
    </row>
    <row r="191" spans="3:15">
      <c r="C191" t="s">
        <v>16</v>
      </c>
      <c r="D191" t="s">
        <v>1515</v>
      </c>
      <c r="E191" t="s">
        <v>86</v>
      </c>
      <c r="F191" s="36">
        <v>5</v>
      </c>
      <c r="G191" t="s">
        <v>1210</v>
      </c>
      <c r="I191" cm="1">
        <f t="array" ref="I191">_xlfn.IFNA(INDEX(QHPSelections2016[],MATCH(1,(QHPSelections2016[State Name]=HIX_RatingAreas[[#This Row],[State Code]])*(QHPSelections2016[County Name]=HIX_RatingAreas[[#This Row],[Subdivision]]),0),MATCH("Silver",QHPSelections2016[#Headers],0)),0)</f>
        <v>8181</v>
      </c>
      <c r="J191" cm="1">
        <f t="array" ref="J191">_xlfn.IFNA(INDEX(QHPSelections2016[],MATCH(1,(QHPSelections2016[State Name]=HIX_RatingAreas[[#This Row],[State Code]])*(QHPSelections2016[County Name]=HIX_RatingAreas[[#This Row],[Subdivision]]),0),MATCH("Total Plan Selections",QHPSelections2016[#Headers],0)),0)</f>
        <v>10259</v>
      </c>
      <c r="L191" t="str" cm="1">
        <f t="array" ref="L191">INDEX(QHPSelections2016[],MATCH(1,(QHPSelections2016[State Name]=HIX_RatingAreas[[#This Row],[State Code]])*(QHPSelections2016[County Name]=HIX_RatingAreas[[#This Row],[Subdivision]]),0),MATCH("County Name",QHPSelections2016[#Headers],0))</f>
        <v>Richmond County</v>
      </c>
      <c r="M191" t="b">
        <f>L191=HIX_RatingAreas[[#This Row],[Subdivision]]</f>
        <v>1</v>
      </c>
      <c r="N191">
        <v>188</v>
      </c>
    </row>
    <row r="192" spans="3:15">
      <c r="C192" t="s">
        <v>16</v>
      </c>
      <c r="D192" t="s">
        <v>1515</v>
      </c>
      <c r="E192" t="s">
        <v>86</v>
      </c>
      <c r="F192" s="36">
        <v>5</v>
      </c>
      <c r="G192" t="s">
        <v>1307</v>
      </c>
      <c r="I192" cm="1">
        <f t="array" ref="I192">_xlfn.IFNA(INDEX(QHPSelections2016[],MATCH(1,(QHPSelections2016[State Name]=HIX_RatingAreas[[#This Row],[State Code]])*(QHPSelections2016[County Name]=HIX_RatingAreas[[#This Row],[Subdivision]]),0),MATCH("Silver",QHPSelections2016[#Headers],0)),0)</f>
        <v>68</v>
      </c>
      <c r="J192" cm="1">
        <f t="array" ref="J192">_xlfn.IFNA(INDEX(QHPSelections2016[],MATCH(1,(QHPSelections2016[State Name]=HIX_RatingAreas[[#This Row],[State Code]])*(QHPSelections2016[County Name]=HIX_RatingAreas[[#This Row],[Subdivision]]),0),MATCH("Total Plan Selections",QHPSelections2016[#Headers],0)),0)</f>
        <v>78</v>
      </c>
      <c r="L192" t="str" cm="1">
        <f t="array" ref="L192">INDEX(QHPSelections2016[],MATCH(1,(QHPSelections2016[State Name]=HIX_RatingAreas[[#This Row],[State Code]])*(QHPSelections2016[County Name]=HIX_RatingAreas[[#This Row],[Subdivision]]),0),MATCH("County Name",QHPSelections2016[#Headers],0))</f>
        <v>Taliaferro County</v>
      </c>
      <c r="M192" t="b">
        <f>L192=HIX_RatingAreas[[#This Row],[Subdivision]]</f>
        <v>1</v>
      </c>
      <c r="N192">
        <v>189</v>
      </c>
    </row>
    <row r="193" spans="3:14">
      <c r="C193" t="s">
        <v>16</v>
      </c>
      <c r="D193" t="s">
        <v>1515</v>
      </c>
      <c r="E193" t="s">
        <v>86</v>
      </c>
      <c r="F193" s="36">
        <v>5</v>
      </c>
      <c r="G193" t="s">
        <v>1205</v>
      </c>
      <c r="I193" cm="1">
        <f t="array" ref="I193">_xlfn.IFNA(INDEX(QHPSelections2016[],MATCH(1,(QHPSelections2016[State Name]=HIX_RatingAreas[[#This Row],[State Code]])*(QHPSelections2016[County Name]=HIX_RatingAreas[[#This Row],[Subdivision]]),0),MATCH("Silver",QHPSelections2016[#Headers],0)),0)</f>
        <v>272</v>
      </c>
      <c r="J193" cm="1">
        <f t="array" ref="J193">_xlfn.IFNA(INDEX(QHPSelections2016[],MATCH(1,(QHPSelections2016[State Name]=HIX_RatingAreas[[#This Row],[State Code]])*(QHPSelections2016[County Name]=HIX_RatingAreas[[#This Row],[Subdivision]]),0),MATCH("Total Plan Selections",QHPSelections2016[#Headers],0)),0)</f>
        <v>323</v>
      </c>
      <c r="L193" t="str" cm="1">
        <f t="array" ref="L193">INDEX(QHPSelections2016[],MATCH(1,(QHPSelections2016[State Name]=HIX_RatingAreas[[#This Row],[State Code]])*(QHPSelections2016[County Name]=HIX_RatingAreas[[#This Row],[Subdivision]]),0),MATCH("County Name",QHPSelections2016[#Headers],0))</f>
        <v>Warren County</v>
      </c>
      <c r="M193" t="b">
        <f>L193=HIX_RatingAreas[[#This Row],[Subdivision]]</f>
        <v>1</v>
      </c>
      <c r="N193">
        <v>190</v>
      </c>
    </row>
    <row r="194" spans="3:14">
      <c r="C194" t="s">
        <v>16</v>
      </c>
      <c r="D194" t="s">
        <v>1515</v>
      </c>
      <c r="E194" t="s">
        <v>86</v>
      </c>
      <c r="F194" s="36">
        <v>5</v>
      </c>
      <c r="G194" t="s">
        <v>1266</v>
      </c>
      <c r="I194" cm="1">
        <f t="array" ref="I194">_xlfn.IFNA(INDEX(QHPSelections2016[],MATCH(1,(QHPSelections2016[State Name]=HIX_RatingAreas[[#This Row],[State Code]])*(QHPSelections2016[County Name]=HIX_RatingAreas[[#This Row],[Subdivision]]),0),MATCH("Silver",QHPSelections2016[#Headers],0)),0)</f>
        <v>421</v>
      </c>
      <c r="J194" cm="1">
        <f t="array" ref="J194">_xlfn.IFNA(INDEX(QHPSelections2016[],MATCH(1,(QHPSelections2016[State Name]=HIX_RatingAreas[[#This Row],[State Code]])*(QHPSelections2016[County Name]=HIX_RatingAreas[[#This Row],[Subdivision]]),0),MATCH("Total Plan Selections",QHPSelections2016[#Headers],0)),0)</f>
        <v>498</v>
      </c>
      <c r="L194" t="str" cm="1">
        <f t="array" ref="L194">INDEX(QHPSelections2016[],MATCH(1,(QHPSelections2016[State Name]=HIX_RatingAreas[[#This Row],[State Code]])*(QHPSelections2016[County Name]=HIX_RatingAreas[[#This Row],[Subdivision]]),0),MATCH("County Name",QHPSelections2016[#Headers],0))</f>
        <v>Wilkes County</v>
      </c>
      <c r="M194" t="b">
        <f>L194=HIX_RatingAreas[[#This Row],[Subdivision]]</f>
        <v>1</v>
      </c>
      <c r="N194">
        <v>191</v>
      </c>
    </row>
    <row r="195" spans="3:14">
      <c r="C195" t="s">
        <v>16</v>
      </c>
      <c r="D195" t="s">
        <v>1515</v>
      </c>
      <c r="E195" t="s">
        <v>89</v>
      </c>
      <c r="F195" s="36">
        <v>6</v>
      </c>
      <c r="G195" t="s">
        <v>832</v>
      </c>
      <c r="I195" cm="1">
        <f t="array" ref="I195">_xlfn.IFNA(INDEX(QHPSelections2016[],MATCH(1,(QHPSelections2016[State Name]=HIX_RatingAreas[[#This Row],[State Code]])*(QHPSelections2016[County Name]=HIX_RatingAreas[[#This Row],[Subdivision]]),0),MATCH("Silver",QHPSelections2016[#Headers],0)),0)</f>
        <v>286</v>
      </c>
      <c r="J195" cm="1">
        <f t="array" ref="J195">_xlfn.IFNA(INDEX(QHPSelections2016[],MATCH(1,(QHPSelections2016[State Name]=HIX_RatingAreas[[#This Row],[State Code]])*(QHPSelections2016[County Name]=HIX_RatingAreas[[#This Row],[Subdivision]]),0),MATCH("Total Plan Selections",QHPSelections2016[#Headers],0)),0)</f>
        <v>355</v>
      </c>
      <c r="L195" t="str" cm="1">
        <f t="array" ref="L195">INDEX(QHPSelections2016[],MATCH(1,(QHPSelections2016[State Name]=HIX_RatingAreas[[#This Row],[State Code]])*(QHPSelections2016[County Name]=HIX_RatingAreas[[#This Row],[Subdivision]]),0),MATCH("County Name",QHPSelections2016[#Headers],0))</f>
        <v>Bacon County</v>
      </c>
      <c r="M195" t="b">
        <f>L195=HIX_RatingAreas[[#This Row],[Subdivision]]</f>
        <v>1</v>
      </c>
      <c r="N195">
        <v>192</v>
      </c>
    </row>
    <row r="196" spans="3:14">
      <c r="C196" t="s">
        <v>16</v>
      </c>
      <c r="D196" t="s">
        <v>1515</v>
      </c>
      <c r="E196" t="s">
        <v>89</v>
      </c>
      <c r="F196" s="36">
        <v>6</v>
      </c>
      <c r="G196" t="s">
        <v>892</v>
      </c>
      <c r="I196" cm="1">
        <f t="array" ref="I196">_xlfn.IFNA(INDEX(QHPSelections2016[],MATCH(1,(QHPSelections2016[State Name]=HIX_RatingAreas[[#This Row],[State Code]])*(QHPSelections2016[County Name]=HIX_RatingAreas[[#This Row],[Subdivision]]),0),MATCH("Silver",QHPSelections2016[#Headers],0)),0)</f>
        <v>608</v>
      </c>
      <c r="J196" cm="1">
        <f t="array" ref="J196">_xlfn.IFNA(INDEX(QHPSelections2016[],MATCH(1,(QHPSelections2016[State Name]=HIX_RatingAreas[[#This Row],[State Code]])*(QHPSelections2016[County Name]=HIX_RatingAreas[[#This Row],[Subdivision]]),0),MATCH("Total Plan Selections",QHPSelections2016[#Headers],0)),0)</f>
        <v>790</v>
      </c>
      <c r="L196" t="str" cm="1">
        <f t="array" ref="L196">INDEX(QHPSelections2016[],MATCH(1,(QHPSelections2016[State Name]=HIX_RatingAreas[[#This Row],[State Code]])*(QHPSelections2016[County Name]=HIX_RatingAreas[[#This Row],[Subdivision]]),0),MATCH("County Name",QHPSelections2016[#Headers],0))</f>
        <v>Brantley County</v>
      </c>
      <c r="M196" t="b">
        <f>L196=HIX_RatingAreas[[#This Row],[Subdivision]]</f>
        <v>1</v>
      </c>
      <c r="N196">
        <v>193</v>
      </c>
    </row>
    <row r="197" spans="3:14">
      <c r="C197" t="s">
        <v>16</v>
      </c>
      <c r="D197" t="s">
        <v>1515</v>
      </c>
      <c r="E197" t="s">
        <v>89</v>
      </c>
      <c r="F197" s="36">
        <v>6</v>
      </c>
      <c r="G197" t="s">
        <v>904</v>
      </c>
      <c r="I197" cm="1">
        <f t="array" ref="I197">_xlfn.IFNA(INDEX(QHPSelections2016[],MATCH(1,(QHPSelections2016[State Name]=HIX_RatingAreas[[#This Row],[State Code]])*(QHPSelections2016[County Name]=HIX_RatingAreas[[#This Row],[Subdivision]]),0),MATCH("Silver",QHPSelections2016[#Headers],0)),0)</f>
        <v>1667</v>
      </c>
      <c r="J197" cm="1">
        <f t="array" ref="J197">_xlfn.IFNA(INDEX(QHPSelections2016[],MATCH(1,(QHPSelections2016[State Name]=HIX_RatingAreas[[#This Row],[State Code]])*(QHPSelections2016[County Name]=HIX_RatingAreas[[#This Row],[Subdivision]]),0),MATCH("Total Plan Selections",QHPSelections2016[#Headers],0)),0)</f>
        <v>2120</v>
      </c>
      <c r="L197" t="str" cm="1">
        <f t="array" ref="L197">INDEX(QHPSelections2016[],MATCH(1,(QHPSelections2016[State Name]=HIX_RatingAreas[[#This Row],[State Code]])*(QHPSelections2016[County Name]=HIX_RatingAreas[[#This Row],[Subdivision]]),0),MATCH("County Name",QHPSelections2016[#Headers],0))</f>
        <v>Camden County</v>
      </c>
      <c r="M197" t="b">
        <f>L197=HIX_RatingAreas[[#This Row],[Subdivision]]</f>
        <v>1</v>
      </c>
      <c r="N197">
        <v>194</v>
      </c>
    </row>
    <row r="198" spans="3:14">
      <c r="C198" t="s">
        <v>16</v>
      </c>
      <c r="D198" t="s">
        <v>1515</v>
      </c>
      <c r="E198" t="s">
        <v>89</v>
      </c>
      <c r="F198" s="36">
        <v>6</v>
      </c>
      <c r="G198" t="s">
        <v>955</v>
      </c>
      <c r="I198" cm="1">
        <f t="array" ref="I198">_xlfn.IFNA(INDEX(QHPSelections2016[],MATCH(1,(QHPSelections2016[State Name]=HIX_RatingAreas[[#This Row],[State Code]])*(QHPSelections2016[County Name]=HIX_RatingAreas[[#This Row],[Subdivision]]),0),MATCH("Silver",QHPSelections2016[#Headers],0)),0)</f>
        <v>226</v>
      </c>
      <c r="J198" cm="1">
        <f t="array" ref="J198">_xlfn.IFNA(INDEX(QHPSelections2016[],MATCH(1,(QHPSelections2016[State Name]=HIX_RatingAreas[[#This Row],[State Code]])*(QHPSelections2016[County Name]=HIX_RatingAreas[[#This Row],[Subdivision]]),0),MATCH("Total Plan Selections",QHPSelections2016[#Headers],0)),0)</f>
        <v>308</v>
      </c>
      <c r="L198" t="str" cm="1">
        <f t="array" ref="L198">INDEX(QHPSelections2016[],MATCH(1,(QHPSelections2016[State Name]=HIX_RatingAreas[[#This Row],[State Code]])*(QHPSelections2016[County Name]=HIX_RatingAreas[[#This Row],[Subdivision]]),0),MATCH("County Name",QHPSelections2016[#Headers],0))</f>
        <v>Charlton County</v>
      </c>
      <c r="M198" t="b">
        <f>L198=HIX_RatingAreas[[#This Row],[Subdivision]]</f>
        <v>1</v>
      </c>
      <c r="N198">
        <v>195</v>
      </c>
    </row>
    <row r="199" spans="3:14">
      <c r="C199" t="s">
        <v>16</v>
      </c>
      <c r="D199" t="s">
        <v>1515</v>
      </c>
      <c r="E199" t="s">
        <v>89</v>
      </c>
      <c r="F199" s="36">
        <v>6</v>
      </c>
      <c r="G199" t="s">
        <v>1150</v>
      </c>
      <c r="I199" cm="1">
        <f t="array" ref="I199">_xlfn.IFNA(INDEX(QHPSelections2016[],MATCH(1,(QHPSelections2016[State Name]=HIX_RatingAreas[[#This Row],[State Code]])*(QHPSelections2016[County Name]=HIX_RatingAreas[[#This Row],[Subdivision]]),0),MATCH("Silver",QHPSelections2016[#Headers],0)),0)</f>
        <v>4569</v>
      </c>
      <c r="J199" cm="1">
        <f t="array" ref="J199">_xlfn.IFNA(INDEX(QHPSelections2016[],MATCH(1,(QHPSelections2016[State Name]=HIX_RatingAreas[[#This Row],[State Code]])*(QHPSelections2016[County Name]=HIX_RatingAreas[[#This Row],[Subdivision]]),0),MATCH("Total Plan Selections",QHPSelections2016[#Headers],0)),0)</f>
        <v>5970</v>
      </c>
      <c r="L199" t="str" cm="1">
        <f t="array" ref="L199">INDEX(QHPSelections2016[],MATCH(1,(QHPSelections2016[State Name]=HIX_RatingAreas[[#This Row],[State Code]])*(QHPSelections2016[County Name]=HIX_RatingAreas[[#This Row],[Subdivision]]),0),MATCH("County Name",QHPSelections2016[#Headers],0))</f>
        <v>Glynn County</v>
      </c>
      <c r="M199" t="b">
        <f>L199=HIX_RatingAreas[[#This Row],[Subdivision]]</f>
        <v>1</v>
      </c>
      <c r="N199">
        <v>196</v>
      </c>
    </row>
    <row r="200" spans="3:14">
      <c r="C200" t="s">
        <v>16</v>
      </c>
      <c r="D200" t="s">
        <v>1515</v>
      </c>
      <c r="E200" t="s">
        <v>89</v>
      </c>
      <c r="F200" s="36">
        <v>6</v>
      </c>
      <c r="G200" t="s">
        <v>1263</v>
      </c>
      <c r="I200" cm="1">
        <f t="array" ref="I200">_xlfn.IFNA(INDEX(QHPSelections2016[],MATCH(1,(QHPSelections2016[State Name]=HIX_RatingAreas[[#This Row],[State Code]])*(QHPSelections2016[County Name]=HIX_RatingAreas[[#This Row],[Subdivision]]),0),MATCH("Silver",QHPSelections2016[#Headers],0)),0)</f>
        <v>899</v>
      </c>
      <c r="J200" cm="1">
        <f t="array" ref="J200">_xlfn.IFNA(INDEX(QHPSelections2016[],MATCH(1,(QHPSelections2016[State Name]=HIX_RatingAreas[[#This Row],[State Code]])*(QHPSelections2016[County Name]=HIX_RatingAreas[[#This Row],[Subdivision]]),0),MATCH("Total Plan Selections",QHPSelections2016[#Headers],0)),0)</f>
        <v>1020</v>
      </c>
      <c r="L200" t="str" cm="1">
        <f t="array" ref="L200">INDEX(QHPSelections2016[],MATCH(1,(QHPSelections2016[State Name]=HIX_RatingAreas[[#This Row],[State Code]])*(QHPSelections2016[County Name]=HIX_RatingAreas[[#This Row],[Subdivision]]),0),MATCH("County Name",QHPSelections2016[#Headers],0))</f>
        <v>McIntosh County</v>
      </c>
      <c r="M200" t="b">
        <f>L200=HIX_RatingAreas[[#This Row],[Subdivision]]</f>
        <v>1</v>
      </c>
      <c r="N200">
        <v>197</v>
      </c>
    </row>
    <row r="201" spans="3:14">
      <c r="C201" t="s">
        <v>16</v>
      </c>
      <c r="D201" t="s">
        <v>1515</v>
      </c>
      <c r="E201" t="s">
        <v>89</v>
      </c>
      <c r="F201" s="36">
        <v>6</v>
      </c>
      <c r="G201" t="s">
        <v>1287</v>
      </c>
      <c r="I201" cm="1">
        <f t="array" ref="I201">_xlfn.IFNA(INDEX(QHPSelections2016[],MATCH(1,(QHPSelections2016[State Name]=HIX_RatingAreas[[#This Row],[State Code]])*(QHPSelections2016[County Name]=HIX_RatingAreas[[#This Row],[Subdivision]]),0),MATCH("Silver",QHPSelections2016[#Headers],0)),0)</f>
        <v>431</v>
      </c>
      <c r="J201" cm="1">
        <f t="array" ref="J201">_xlfn.IFNA(INDEX(QHPSelections2016[],MATCH(1,(QHPSelections2016[State Name]=HIX_RatingAreas[[#This Row],[State Code]])*(QHPSelections2016[County Name]=HIX_RatingAreas[[#This Row],[Subdivision]]),0),MATCH("Total Plan Selections",QHPSelections2016[#Headers],0)),0)</f>
        <v>531</v>
      </c>
      <c r="L201" t="str" cm="1">
        <f t="array" ref="L201">INDEX(QHPSelections2016[],MATCH(1,(QHPSelections2016[State Name]=HIX_RatingAreas[[#This Row],[State Code]])*(QHPSelections2016[County Name]=HIX_RatingAreas[[#This Row],[Subdivision]]),0),MATCH("County Name",QHPSelections2016[#Headers],0))</f>
        <v>Pierce County</v>
      </c>
      <c r="M201" t="b">
        <f>L201=HIX_RatingAreas[[#This Row],[Subdivision]]</f>
        <v>1</v>
      </c>
      <c r="N201">
        <v>198</v>
      </c>
    </row>
    <row r="202" spans="3:14">
      <c r="C202" t="s">
        <v>16</v>
      </c>
      <c r="D202" t="s">
        <v>1515</v>
      </c>
      <c r="E202" t="s">
        <v>89</v>
      </c>
      <c r="F202" s="36">
        <v>6</v>
      </c>
      <c r="G202" t="s">
        <v>1331</v>
      </c>
      <c r="I202" cm="1">
        <f t="array" ref="I202">_xlfn.IFNA(INDEX(QHPSelections2016[],MATCH(1,(QHPSelections2016[State Name]=HIX_RatingAreas[[#This Row],[State Code]])*(QHPSelections2016[County Name]=HIX_RatingAreas[[#This Row],[Subdivision]]),0),MATCH("Silver",QHPSelections2016[#Headers],0)),0)</f>
        <v>745</v>
      </c>
      <c r="J202" cm="1">
        <f t="array" ref="J202">_xlfn.IFNA(INDEX(QHPSelections2016[],MATCH(1,(QHPSelections2016[State Name]=HIX_RatingAreas[[#This Row],[State Code]])*(QHPSelections2016[County Name]=HIX_RatingAreas[[#This Row],[Subdivision]]),0),MATCH("Total Plan Selections",QHPSelections2016[#Headers],0)),0)</f>
        <v>951</v>
      </c>
      <c r="L202" t="str" cm="1">
        <f t="array" ref="L202">INDEX(QHPSelections2016[],MATCH(1,(QHPSelections2016[State Name]=HIX_RatingAreas[[#This Row],[State Code]])*(QHPSelections2016[County Name]=HIX_RatingAreas[[#This Row],[Subdivision]]),0),MATCH("County Name",QHPSelections2016[#Headers],0))</f>
        <v>Ware County</v>
      </c>
      <c r="M202" t="b">
        <f>L202=HIX_RatingAreas[[#This Row],[Subdivision]]</f>
        <v>1</v>
      </c>
      <c r="N202">
        <v>199</v>
      </c>
    </row>
    <row r="203" spans="3:14">
      <c r="C203" t="s">
        <v>16</v>
      </c>
      <c r="D203" t="s">
        <v>1515</v>
      </c>
      <c r="E203" t="s">
        <v>89</v>
      </c>
      <c r="F203" s="36">
        <v>6</v>
      </c>
      <c r="G203" t="s">
        <v>1209</v>
      </c>
      <c r="I203" cm="1">
        <f t="array" ref="I203">_xlfn.IFNA(INDEX(QHPSelections2016[],MATCH(1,(QHPSelections2016[State Name]=HIX_RatingAreas[[#This Row],[State Code]])*(QHPSelections2016[County Name]=HIX_RatingAreas[[#This Row],[Subdivision]]),0),MATCH("Silver",QHPSelections2016[#Headers],0)),0)</f>
        <v>1094</v>
      </c>
      <c r="J203" cm="1">
        <f t="array" ref="J203">_xlfn.IFNA(INDEX(QHPSelections2016[],MATCH(1,(QHPSelections2016[State Name]=HIX_RatingAreas[[#This Row],[State Code]])*(QHPSelections2016[County Name]=HIX_RatingAreas[[#This Row],[Subdivision]]),0),MATCH("Total Plan Selections",QHPSelections2016[#Headers],0)),0)</f>
        <v>1397</v>
      </c>
      <c r="L203" t="str" cm="1">
        <f t="array" ref="L203">INDEX(QHPSelections2016[],MATCH(1,(QHPSelections2016[State Name]=HIX_RatingAreas[[#This Row],[State Code]])*(QHPSelections2016[County Name]=HIX_RatingAreas[[#This Row],[Subdivision]]),0),MATCH("County Name",QHPSelections2016[#Headers],0))</f>
        <v>Wayne County</v>
      </c>
      <c r="M203" t="b">
        <f>L203=HIX_RatingAreas[[#This Row],[Subdivision]]</f>
        <v>1</v>
      </c>
      <c r="N203">
        <v>200</v>
      </c>
    </row>
    <row r="204" spans="3:14">
      <c r="C204" t="s">
        <v>16</v>
      </c>
      <c r="D204" t="s">
        <v>1515</v>
      </c>
      <c r="E204" t="s">
        <v>93</v>
      </c>
      <c r="F204" s="36">
        <v>7</v>
      </c>
      <c r="G204" t="s">
        <v>948</v>
      </c>
      <c r="I204" cm="1">
        <f t="array" ref="I204">_xlfn.IFNA(INDEX(QHPSelections2016[],MATCH(1,(QHPSelections2016[State Name]=HIX_RatingAreas[[#This Row],[State Code]])*(QHPSelections2016[County Name]=HIX_RatingAreas[[#This Row],[Subdivision]]),0),MATCH("Silver",QHPSelections2016[#Headers],0)),0)</f>
        <v>2117</v>
      </c>
      <c r="J204" cm="1">
        <f t="array" ref="J204">_xlfn.IFNA(INDEX(QHPSelections2016[],MATCH(1,(QHPSelections2016[State Name]=HIX_RatingAreas[[#This Row],[State Code]])*(QHPSelections2016[County Name]=HIX_RatingAreas[[#This Row],[Subdivision]]),0),MATCH("Total Plan Selections",QHPSelections2016[#Headers],0)),0)</f>
        <v>2633</v>
      </c>
      <c r="L204" t="str" cm="1">
        <f t="array" ref="L204">INDEX(QHPSelections2016[],MATCH(1,(QHPSelections2016[State Name]=HIX_RatingAreas[[#This Row],[State Code]])*(QHPSelections2016[County Name]=HIX_RatingAreas[[#This Row],[Subdivision]]),0),MATCH("County Name",QHPSelections2016[#Headers],0))</f>
        <v>Catoosa County</v>
      </c>
      <c r="M204" t="b">
        <f>L204=HIX_RatingAreas[[#This Row],[Subdivision]]</f>
        <v>1</v>
      </c>
      <c r="N204">
        <v>201</v>
      </c>
    </row>
    <row r="205" spans="3:14">
      <c r="C205" t="s">
        <v>16</v>
      </c>
      <c r="D205" t="s">
        <v>1515</v>
      </c>
      <c r="E205" t="s">
        <v>93</v>
      </c>
      <c r="F205" s="36">
        <v>7</v>
      </c>
      <c r="G205" t="s">
        <v>1039</v>
      </c>
      <c r="I205" cm="1">
        <f t="array" ref="I205">_xlfn.IFNA(INDEX(QHPSelections2016[],MATCH(1,(QHPSelections2016[State Name]=HIX_RatingAreas[[#This Row],[State Code]])*(QHPSelections2016[County Name]=HIX_RatingAreas[[#This Row],[Subdivision]]),0),MATCH("Silver",QHPSelections2016[#Headers],0)),0)</f>
        <v>529</v>
      </c>
      <c r="J205" cm="1">
        <f t="array" ref="J205">_xlfn.IFNA(INDEX(QHPSelections2016[],MATCH(1,(QHPSelections2016[State Name]=HIX_RatingAreas[[#This Row],[State Code]])*(QHPSelections2016[County Name]=HIX_RatingAreas[[#This Row],[Subdivision]]),0),MATCH("Total Plan Selections",QHPSelections2016[#Headers],0)),0)</f>
        <v>685</v>
      </c>
      <c r="L205" t="str" cm="1">
        <f t="array" ref="L205">INDEX(QHPSelections2016[],MATCH(1,(QHPSelections2016[State Name]=HIX_RatingAreas[[#This Row],[State Code]])*(QHPSelections2016[County Name]=HIX_RatingAreas[[#This Row],[Subdivision]]),0),MATCH("County Name",QHPSelections2016[#Headers],0))</f>
        <v>Dade County</v>
      </c>
      <c r="M205" t="b">
        <f>L205=HIX_RatingAreas[[#This Row],[Subdivision]]</f>
        <v>1</v>
      </c>
      <c r="N205">
        <v>202</v>
      </c>
    </row>
    <row r="206" spans="3:14">
      <c r="C206" t="s">
        <v>16</v>
      </c>
      <c r="D206" t="s">
        <v>1515</v>
      </c>
      <c r="E206" t="s">
        <v>93</v>
      </c>
      <c r="F206" s="36">
        <v>7</v>
      </c>
      <c r="G206" t="s">
        <v>1154</v>
      </c>
      <c r="I206" cm="1">
        <f t="array" ref="I206">_xlfn.IFNA(INDEX(QHPSelections2016[],MATCH(1,(QHPSelections2016[State Name]=HIX_RatingAreas[[#This Row],[State Code]])*(QHPSelections2016[County Name]=HIX_RatingAreas[[#This Row],[Subdivision]]),0),MATCH("Silver",QHPSelections2016[#Headers],0)),0)</f>
        <v>2138</v>
      </c>
      <c r="J206" cm="1">
        <f t="array" ref="J206">_xlfn.IFNA(INDEX(QHPSelections2016[],MATCH(1,(QHPSelections2016[State Name]=HIX_RatingAreas[[#This Row],[State Code]])*(QHPSelections2016[County Name]=HIX_RatingAreas[[#This Row],[Subdivision]]),0),MATCH("Total Plan Selections",QHPSelections2016[#Headers],0)),0)</f>
        <v>2680</v>
      </c>
      <c r="L206" t="str" cm="1">
        <f t="array" ref="L206">INDEX(QHPSelections2016[],MATCH(1,(QHPSelections2016[State Name]=HIX_RatingAreas[[#This Row],[State Code]])*(QHPSelections2016[County Name]=HIX_RatingAreas[[#This Row],[Subdivision]]),0),MATCH("County Name",QHPSelections2016[#Headers],0))</f>
        <v>Walker County</v>
      </c>
      <c r="M206" t="b">
        <f>L206=HIX_RatingAreas[[#This Row],[Subdivision]]</f>
        <v>1</v>
      </c>
      <c r="N206">
        <v>203</v>
      </c>
    </row>
    <row r="207" spans="3:14">
      <c r="C207" t="s">
        <v>16</v>
      </c>
      <c r="D207" t="s">
        <v>1515</v>
      </c>
      <c r="E207" t="s">
        <v>96</v>
      </c>
      <c r="F207" s="36">
        <v>8</v>
      </c>
      <c r="G207" t="s">
        <v>966</v>
      </c>
      <c r="I207" cm="1">
        <f t="array" ref="I207">_xlfn.IFNA(INDEX(QHPSelections2016[],MATCH(1,(QHPSelections2016[State Name]=HIX_RatingAreas[[#This Row],[State Code]])*(QHPSelections2016[County Name]=HIX_RatingAreas[[#This Row],[Subdivision]]),0),MATCH("Silver",QHPSelections2016[#Headers],0)),0)</f>
        <v>99</v>
      </c>
      <c r="J207" cm="1">
        <f t="array" ref="J207">_xlfn.IFNA(INDEX(QHPSelections2016[],MATCH(1,(QHPSelections2016[State Name]=HIX_RatingAreas[[#This Row],[State Code]])*(QHPSelections2016[County Name]=HIX_RatingAreas[[#This Row],[Subdivision]]),0),MATCH("Total Plan Selections",QHPSelections2016[#Headers],0)),0)</f>
        <v>120</v>
      </c>
      <c r="L207" t="str" cm="1">
        <f t="array" ref="L207">INDEX(QHPSelections2016[],MATCH(1,(QHPSelections2016[State Name]=HIX_RatingAreas[[#This Row],[State Code]])*(QHPSelections2016[County Name]=HIX_RatingAreas[[#This Row],[Subdivision]]),0),MATCH("County Name",QHPSelections2016[#Headers],0))</f>
        <v>Chattahoochee County</v>
      </c>
      <c r="M207" t="b">
        <f>L207=HIX_RatingAreas[[#This Row],[Subdivision]]</f>
        <v>1</v>
      </c>
      <c r="N207">
        <v>204</v>
      </c>
    </row>
    <row r="208" spans="3:14">
      <c r="C208" t="s">
        <v>16</v>
      </c>
      <c r="D208" t="s">
        <v>1515</v>
      </c>
      <c r="E208" t="s">
        <v>96</v>
      </c>
      <c r="F208" s="36">
        <v>8</v>
      </c>
      <c r="G208" t="s">
        <v>1192</v>
      </c>
      <c r="I208" cm="1">
        <f t="array" ref="I208">_xlfn.IFNA(INDEX(QHPSelections2016[],MATCH(1,(QHPSelections2016[State Name]=HIX_RatingAreas[[#This Row],[State Code]])*(QHPSelections2016[County Name]=HIX_RatingAreas[[#This Row],[Subdivision]]),0),MATCH("Silver",QHPSelections2016[#Headers],0)),0)</f>
        <v>912</v>
      </c>
      <c r="J208" cm="1">
        <f t="array" ref="J208">_xlfn.IFNA(INDEX(QHPSelections2016[],MATCH(1,(QHPSelections2016[State Name]=HIX_RatingAreas[[#This Row],[State Code]])*(QHPSelections2016[County Name]=HIX_RatingAreas[[#This Row],[Subdivision]]),0),MATCH("Total Plan Selections",QHPSelections2016[#Headers],0)),0)</f>
        <v>1195</v>
      </c>
      <c r="L208" t="str" cm="1">
        <f t="array" ref="L208">INDEX(QHPSelections2016[],MATCH(1,(QHPSelections2016[State Name]=HIX_RatingAreas[[#This Row],[State Code]])*(QHPSelections2016[County Name]=HIX_RatingAreas[[#This Row],[Subdivision]]),0),MATCH("County Name",QHPSelections2016[#Headers],0))</f>
        <v>Harris County</v>
      </c>
      <c r="M208" t="b">
        <f>L208=HIX_RatingAreas[[#This Row],[Subdivision]]</f>
        <v>1</v>
      </c>
      <c r="N208">
        <v>205</v>
      </c>
    </row>
    <row r="209" spans="3:14">
      <c r="C209" t="s">
        <v>16</v>
      </c>
      <c r="D209" t="s">
        <v>1515</v>
      </c>
      <c r="E209" t="s">
        <v>96</v>
      </c>
      <c r="F209" s="36">
        <v>8</v>
      </c>
      <c r="G209" t="s">
        <v>1054</v>
      </c>
      <c r="I209" cm="1">
        <f t="array" ref="I209">_xlfn.IFNA(INDEX(QHPSelections2016[],MATCH(1,(QHPSelections2016[State Name]=HIX_RatingAreas[[#This Row],[State Code]])*(QHPSelections2016[County Name]=HIX_RatingAreas[[#This Row],[Subdivision]]),0),MATCH("Silver",QHPSelections2016[#Headers],0)),0)</f>
        <v>319</v>
      </c>
      <c r="J209" cm="1">
        <f t="array" ref="J209">_xlfn.IFNA(INDEX(QHPSelections2016[],MATCH(1,(QHPSelections2016[State Name]=HIX_RatingAreas[[#This Row],[State Code]])*(QHPSelections2016[County Name]=HIX_RatingAreas[[#This Row],[Subdivision]]),0),MATCH("Total Plan Selections",QHPSelections2016[#Headers],0)),0)</f>
        <v>415</v>
      </c>
      <c r="L209" t="str" cm="1">
        <f t="array" ref="L209">INDEX(QHPSelections2016[],MATCH(1,(QHPSelections2016[State Name]=HIX_RatingAreas[[#This Row],[State Code]])*(QHPSelections2016[County Name]=HIX_RatingAreas[[#This Row],[Subdivision]]),0),MATCH("County Name",QHPSelections2016[#Headers],0))</f>
        <v>Macon County</v>
      </c>
      <c r="M209" t="b">
        <f>L209=HIX_RatingAreas[[#This Row],[Subdivision]]</f>
        <v>1</v>
      </c>
      <c r="N209">
        <v>206</v>
      </c>
    </row>
    <row r="210" spans="3:14">
      <c r="C210" t="s">
        <v>16</v>
      </c>
      <c r="D210" t="s">
        <v>1515</v>
      </c>
      <c r="E210" t="s">
        <v>96</v>
      </c>
      <c r="F210" s="36">
        <v>8</v>
      </c>
      <c r="G210" t="s">
        <v>1038</v>
      </c>
      <c r="I210" cm="1">
        <f t="array" ref="I210">_xlfn.IFNA(INDEX(QHPSelections2016[],MATCH(1,(QHPSelections2016[State Name]=HIX_RatingAreas[[#This Row],[State Code]])*(QHPSelections2016[County Name]=HIX_RatingAreas[[#This Row],[Subdivision]]),0),MATCH("Silver",QHPSelections2016[#Headers],0)),0)</f>
        <v>229</v>
      </c>
      <c r="J210" cm="1">
        <f t="array" ref="J210">_xlfn.IFNA(INDEX(QHPSelections2016[],MATCH(1,(QHPSelections2016[State Name]=HIX_RatingAreas[[#This Row],[State Code]])*(QHPSelections2016[County Name]=HIX_RatingAreas[[#This Row],[Subdivision]]),0),MATCH("Total Plan Selections",QHPSelections2016[#Headers],0)),0)</f>
        <v>278</v>
      </c>
      <c r="L210" t="str" cm="1">
        <f t="array" ref="L210">INDEX(QHPSelections2016[],MATCH(1,(QHPSelections2016[State Name]=HIX_RatingAreas[[#This Row],[State Code]])*(QHPSelections2016[County Name]=HIX_RatingAreas[[#This Row],[Subdivision]]),0),MATCH("County Name",QHPSelections2016[#Headers],0))</f>
        <v>Marion County</v>
      </c>
      <c r="M210" t="b">
        <f>L210=HIX_RatingAreas[[#This Row],[Subdivision]]</f>
        <v>1</v>
      </c>
      <c r="N210">
        <v>207</v>
      </c>
    </row>
    <row r="211" spans="3:14">
      <c r="C211" t="s">
        <v>16</v>
      </c>
      <c r="D211" t="s">
        <v>1515</v>
      </c>
      <c r="E211" t="s">
        <v>96</v>
      </c>
      <c r="F211" s="36">
        <v>8</v>
      </c>
      <c r="G211" t="s">
        <v>1268</v>
      </c>
      <c r="I211" cm="1">
        <f t="array" ref="I211">_xlfn.IFNA(INDEX(QHPSelections2016[],MATCH(1,(QHPSelections2016[State Name]=HIX_RatingAreas[[#This Row],[State Code]])*(QHPSelections2016[County Name]=HIX_RatingAreas[[#This Row],[Subdivision]]),0),MATCH("Silver",QHPSelections2016[#Headers],0)),0)</f>
        <v>675</v>
      </c>
      <c r="J211" cm="1">
        <f t="array" ref="J211">_xlfn.IFNA(INDEX(QHPSelections2016[],MATCH(1,(QHPSelections2016[State Name]=HIX_RatingAreas[[#This Row],[State Code]])*(QHPSelections2016[County Name]=HIX_RatingAreas[[#This Row],[Subdivision]]),0),MATCH("Total Plan Selections",QHPSelections2016[#Headers],0)),0)</f>
        <v>903</v>
      </c>
      <c r="L211" t="str" cm="1">
        <f t="array" ref="L211">INDEX(QHPSelections2016[],MATCH(1,(QHPSelections2016[State Name]=HIX_RatingAreas[[#This Row],[State Code]])*(QHPSelections2016[County Name]=HIX_RatingAreas[[#This Row],[Subdivision]]),0),MATCH("County Name",QHPSelections2016[#Headers],0))</f>
        <v>Meriwether County</v>
      </c>
      <c r="M211" t="b">
        <f>L211=HIX_RatingAreas[[#This Row],[Subdivision]]</f>
        <v>1</v>
      </c>
      <c r="N211">
        <v>208</v>
      </c>
    </row>
    <row r="212" spans="3:14">
      <c r="C212" t="s">
        <v>16</v>
      </c>
      <c r="D212" t="s">
        <v>1515</v>
      </c>
      <c r="E212" t="s">
        <v>96</v>
      </c>
      <c r="F212" s="36">
        <v>8</v>
      </c>
      <c r="G212" t="s">
        <v>1276</v>
      </c>
      <c r="I212" cm="1">
        <f t="array" ref="I212">_xlfn.IFNA(INDEX(QHPSelections2016[],MATCH(1,(QHPSelections2016[State Name]=HIX_RatingAreas[[#This Row],[State Code]])*(QHPSelections2016[County Name]=HIX_RatingAreas[[#This Row],[Subdivision]]),0),MATCH("Silver",QHPSelections2016[#Headers],0)),0)</f>
        <v>5405</v>
      </c>
      <c r="J212" cm="1">
        <f t="array" ref="J212">_xlfn.IFNA(INDEX(QHPSelections2016[],MATCH(1,(QHPSelections2016[State Name]=HIX_RatingAreas[[#This Row],[State Code]])*(QHPSelections2016[County Name]=HIX_RatingAreas[[#This Row],[Subdivision]]),0),MATCH("Total Plan Selections",QHPSelections2016[#Headers],0)),0)</f>
        <v>6840</v>
      </c>
      <c r="L212" t="str" cm="1">
        <f t="array" ref="L212">INDEX(QHPSelections2016[],MATCH(1,(QHPSelections2016[State Name]=HIX_RatingAreas[[#This Row],[State Code]])*(QHPSelections2016[County Name]=HIX_RatingAreas[[#This Row],[Subdivision]]),0),MATCH("County Name",QHPSelections2016[#Headers],0))</f>
        <v>Muscogee County</v>
      </c>
      <c r="M212" t="b">
        <f>L212=HIX_RatingAreas[[#This Row],[Subdivision]]</f>
        <v>1</v>
      </c>
      <c r="N212">
        <v>209</v>
      </c>
    </row>
    <row r="213" spans="3:14">
      <c r="C213" t="s">
        <v>16</v>
      </c>
      <c r="D213" t="s">
        <v>1515</v>
      </c>
      <c r="E213" t="s">
        <v>96</v>
      </c>
      <c r="F213" s="36">
        <v>8</v>
      </c>
      <c r="G213" t="s">
        <v>1132</v>
      </c>
      <c r="I213" cm="1">
        <f t="array" ref="I213">_xlfn.IFNA(INDEX(QHPSelections2016[],MATCH(1,(QHPSelections2016[State Name]=HIX_RatingAreas[[#This Row],[State Code]])*(QHPSelections2016[County Name]=HIX_RatingAreas[[#This Row],[Subdivision]]),0),MATCH("Silver",QHPSelections2016[#Headers],0)),0)</f>
        <v>63</v>
      </c>
      <c r="J213" cm="1">
        <f t="array" ref="J213">_xlfn.IFNA(INDEX(QHPSelections2016[],MATCH(1,(QHPSelections2016[State Name]=HIX_RatingAreas[[#This Row],[State Code]])*(QHPSelections2016[County Name]=HIX_RatingAreas[[#This Row],[Subdivision]]),0),MATCH("Total Plan Selections",QHPSelections2016[#Headers],0)),0)</f>
        <v>84</v>
      </c>
      <c r="L213" t="str" cm="1">
        <f t="array" ref="L213">INDEX(QHPSelections2016[],MATCH(1,(QHPSelections2016[State Name]=HIX_RatingAreas[[#This Row],[State Code]])*(QHPSelections2016[County Name]=HIX_RatingAreas[[#This Row],[Subdivision]]),0),MATCH("County Name",QHPSelections2016[#Headers],0))</f>
        <v>Quitman County</v>
      </c>
      <c r="M213" t="b">
        <f>L213=HIX_RatingAreas[[#This Row],[Subdivision]]</f>
        <v>1</v>
      </c>
      <c r="N213">
        <v>210</v>
      </c>
    </row>
    <row r="214" spans="3:14">
      <c r="C214" t="s">
        <v>16</v>
      </c>
      <c r="D214" t="s">
        <v>1515</v>
      </c>
      <c r="E214" t="s">
        <v>96</v>
      </c>
      <c r="F214" s="36">
        <v>8</v>
      </c>
      <c r="G214" t="s">
        <v>1222</v>
      </c>
      <c r="I214" cm="1">
        <f t="array" ref="I214">_xlfn.IFNA(INDEX(QHPSelections2016[],MATCH(1,(QHPSelections2016[State Name]=HIX_RatingAreas[[#This Row],[State Code]])*(QHPSelections2016[County Name]=HIX_RatingAreas[[#This Row],[Subdivision]]),0),MATCH("Silver",QHPSelections2016[#Headers],0)),0)</f>
        <v>156</v>
      </c>
      <c r="J214" cm="1">
        <f t="array" ref="J214">_xlfn.IFNA(INDEX(QHPSelections2016[],MATCH(1,(QHPSelections2016[State Name]=HIX_RatingAreas[[#This Row],[State Code]])*(QHPSelections2016[County Name]=HIX_RatingAreas[[#This Row],[Subdivision]]),0),MATCH("Total Plan Selections",QHPSelections2016[#Headers],0)),0)</f>
        <v>182</v>
      </c>
      <c r="L214" t="str" cm="1">
        <f t="array" ref="L214">INDEX(QHPSelections2016[],MATCH(1,(QHPSelections2016[State Name]=HIX_RatingAreas[[#This Row],[State Code]])*(QHPSelections2016[County Name]=HIX_RatingAreas[[#This Row],[Subdivision]]),0),MATCH("County Name",QHPSelections2016[#Headers],0))</f>
        <v>Stewart County</v>
      </c>
      <c r="M214" t="b">
        <f>L214=HIX_RatingAreas[[#This Row],[Subdivision]]</f>
        <v>1</v>
      </c>
      <c r="N214">
        <v>211</v>
      </c>
    </row>
    <row r="215" spans="3:14">
      <c r="C215" t="s">
        <v>16</v>
      </c>
      <c r="D215" t="s">
        <v>1515</v>
      </c>
      <c r="E215" t="s">
        <v>96</v>
      </c>
      <c r="F215" s="36">
        <v>8</v>
      </c>
      <c r="G215" t="s">
        <v>1305</v>
      </c>
      <c r="I215" cm="1">
        <f t="array" ref="I215">_xlfn.IFNA(INDEX(QHPSelections2016[],MATCH(1,(QHPSelections2016[State Name]=HIX_RatingAreas[[#This Row],[State Code]])*(QHPSelections2016[County Name]=HIX_RatingAreas[[#This Row],[Subdivision]]),0),MATCH("Silver",QHPSelections2016[#Headers],0)),0)</f>
        <v>223</v>
      </c>
      <c r="J215" cm="1">
        <f t="array" ref="J215">_xlfn.IFNA(INDEX(QHPSelections2016[],MATCH(1,(QHPSelections2016[State Name]=HIX_RatingAreas[[#This Row],[State Code]])*(QHPSelections2016[County Name]=HIX_RatingAreas[[#This Row],[Subdivision]]),0),MATCH("Total Plan Selections",QHPSelections2016[#Headers],0)),0)</f>
        <v>286</v>
      </c>
      <c r="L215" t="str" cm="1">
        <f t="array" ref="L215">INDEX(QHPSelections2016[],MATCH(1,(QHPSelections2016[State Name]=HIX_RatingAreas[[#This Row],[State Code]])*(QHPSelections2016[County Name]=HIX_RatingAreas[[#This Row],[Subdivision]]),0),MATCH("County Name",QHPSelections2016[#Headers],0))</f>
        <v>Talbot County</v>
      </c>
      <c r="M215" t="b">
        <f>L215=HIX_RatingAreas[[#This Row],[Subdivision]]</f>
        <v>1</v>
      </c>
      <c r="N215">
        <v>212</v>
      </c>
    </row>
    <row r="216" spans="3:14">
      <c r="C216" t="s">
        <v>16</v>
      </c>
      <c r="D216" t="s">
        <v>1515</v>
      </c>
      <c r="E216" t="s">
        <v>96</v>
      </c>
      <c r="F216" s="36">
        <v>8</v>
      </c>
      <c r="G216" t="s">
        <v>1144</v>
      </c>
      <c r="I216" cm="1">
        <f t="array" ref="I216">_xlfn.IFNA(INDEX(QHPSelections2016[],MATCH(1,(QHPSelections2016[State Name]=HIX_RatingAreas[[#This Row],[State Code]])*(QHPSelections2016[County Name]=HIX_RatingAreas[[#This Row],[Subdivision]]),0),MATCH("Silver",QHPSelections2016[#Headers],0)),0)</f>
        <v>196</v>
      </c>
      <c r="J216" cm="1">
        <f t="array" ref="J216">_xlfn.IFNA(INDEX(QHPSelections2016[],MATCH(1,(QHPSelections2016[State Name]=HIX_RatingAreas[[#This Row],[State Code]])*(QHPSelections2016[County Name]=HIX_RatingAreas[[#This Row],[Subdivision]]),0),MATCH("Total Plan Selections",QHPSelections2016[#Headers],0)),0)</f>
        <v>237</v>
      </c>
      <c r="L216" t="str" cm="1">
        <f t="array" ref="L216">INDEX(QHPSelections2016[],MATCH(1,(QHPSelections2016[State Name]=HIX_RatingAreas[[#This Row],[State Code]])*(QHPSelections2016[County Name]=HIX_RatingAreas[[#This Row],[Subdivision]]),0),MATCH("County Name",QHPSelections2016[#Headers],0))</f>
        <v>Taylor County</v>
      </c>
      <c r="M216" t="b">
        <f>L216=HIX_RatingAreas[[#This Row],[Subdivision]]</f>
        <v>1</v>
      </c>
      <c r="N216">
        <v>213</v>
      </c>
    </row>
    <row r="217" spans="3:14">
      <c r="C217" t="s">
        <v>16</v>
      </c>
      <c r="D217" t="s">
        <v>1515</v>
      </c>
      <c r="E217" t="s">
        <v>96</v>
      </c>
      <c r="F217" s="36">
        <v>8</v>
      </c>
      <c r="G217" t="s">
        <v>1324</v>
      </c>
      <c r="I217" cm="1">
        <f t="array" ref="I217">_xlfn.IFNA(INDEX(QHPSelections2016[],MATCH(1,(QHPSelections2016[State Name]=HIX_RatingAreas[[#This Row],[State Code]])*(QHPSelections2016[County Name]=HIX_RatingAreas[[#This Row],[Subdivision]]),0),MATCH("Silver",QHPSelections2016[#Headers],0)),0)</f>
        <v>2624</v>
      </c>
      <c r="J217" cm="1">
        <f t="array" ref="J217">_xlfn.IFNA(INDEX(QHPSelections2016[],MATCH(1,(QHPSelections2016[State Name]=HIX_RatingAreas[[#This Row],[State Code]])*(QHPSelections2016[County Name]=HIX_RatingAreas[[#This Row],[Subdivision]]),0),MATCH("Total Plan Selections",QHPSelections2016[#Headers],0)),0)</f>
        <v>3173</v>
      </c>
      <c r="L217" t="str" cm="1">
        <f t="array" ref="L217">INDEX(QHPSelections2016[],MATCH(1,(QHPSelections2016[State Name]=HIX_RatingAreas[[#This Row],[State Code]])*(QHPSelections2016[County Name]=HIX_RatingAreas[[#This Row],[Subdivision]]),0),MATCH("County Name",QHPSelections2016[#Headers],0))</f>
        <v>Troup County</v>
      </c>
      <c r="M217" t="b">
        <f>L217=HIX_RatingAreas[[#This Row],[Subdivision]]</f>
        <v>1</v>
      </c>
      <c r="N217">
        <v>214</v>
      </c>
    </row>
    <row r="218" spans="3:14">
      <c r="C218" t="s">
        <v>16</v>
      </c>
      <c r="D218" t="s">
        <v>1515</v>
      </c>
      <c r="E218" t="s">
        <v>96</v>
      </c>
      <c r="F218" s="36">
        <v>8</v>
      </c>
      <c r="G218" t="s">
        <v>1330</v>
      </c>
      <c r="I218" cm="1">
        <f t="array" ref="I218">_xlfn.IFNA(INDEX(QHPSelections2016[],MATCH(1,(QHPSelections2016[State Name]=HIX_RatingAreas[[#This Row],[State Code]])*(QHPSelections2016[County Name]=HIX_RatingAreas[[#This Row],[Subdivision]]),0),MATCH("Silver",QHPSelections2016[#Headers],0)),0)</f>
        <v>818</v>
      </c>
      <c r="J218" cm="1">
        <f t="array" ref="J218">_xlfn.IFNA(INDEX(QHPSelections2016[],MATCH(1,(QHPSelections2016[State Name]=HIX_RatingAreas[[#This Row],[State Code]])*(QHPSelections2016[County Name]=HIX_RatingAreas[[#This Row],[Subdivision]]),0),MATCH("Total Plan Selections",QHPSelections2016[#Headers],0)),0)</f>
        <v>1056</v>
      </c>
      <c r="L218" t="str" cm="1">
        <f t="array" ref="L218">INDEX(QHPSelections2016[],MATCH(1,(QHPSelections2016[State Name]=HIX_RatingAreas[[#This Row],[State Code]])*(QHPSelections2016[County Name]=HIX_RatingAreas[[#This Row],[Subdivision]]),0),MATCH("County Name",QHPSelections2016[#Headers],0))</f>
        <v>Upson County</v>
      </c>
      <c r="M218" t="b">
        <f>L218=HIX_RatingAreas[[#This Row],[Subdivision]]</f>
        <v>1</v>
      </c>
      <c r="N218">
        <v>215</v>
      </c>
    </row>
    <row r="219" spans="3:14">
      <c r="C219" t="s">
        <v>16</v>
      </c>
      <c r="D219" t="s">
        <v>1515</v>
      </c>
      <c r="E219" t="s">
        <v>96</v>
      </c>
      <c r="F219" s="36">
        <v>8</v>
      </c>
      <c r="G219" t="s">
        <v>1212</v>
      </c>
      <c r="I219" cm="1">
        <f t="array" ref="I219">_xlfn.IFNA(INDEX(QHPSelections2016[],MATCH(1,(QHPSelections2016[State Name]=HIX_RatingAreas[[#This Row],[State Code]])*(QHPSelections2016[County Name]=HIX_RatingAreas[[#This Row],[Subdivision]]),0),MATCH("Silver",QHPSelections2016[#Headers],0)),0)</f>
        <v>123</v>
      </c>
      <c r="J219" cm="1">
        <f t="array" ref="J219">_xlfn.IFNA(INDEX(QHPSelections2016[],MATCH(1,(QHPSelections2016[State Name]=HIX_RatingAreas[[#This Row],[State Code]])*(QHPSelections2016[County Name]=HIX_RatingAreas[[#This Row],[Subdivision]]),0),MATCH("Total Plan Selections",QHPSelections2016[#Headers],0)),0)</f>
        <v>145</v>
      </c>
      <c r="L219" t="str" cm="1">
        <f t="array" ref="L219">INDEX(QHPSelections2016[],MATCH(1,(QHPSelections2016[State Name]=HIX_RatingAreas[[#This Row],[State Code]])*(QHPSelections2016[County Name]=HIX_RatingAreas[[#This Row],[Subdivision]]),0),MATCH("County Name",QHPSelections2016[#Headers],0))</f>
        <v>Webster County</v>
      </c>
      <c r="M219" t="b">
        <f>L219=HIX_RatingAreas[[#This Row],[Subdivision]]</f>
        <v>1</v>
      </c>
      <c r="N219">
        <v>216</v>
      </c>
    </row>
    <row r="220" spans="3:14">
      <c r="C220" t="s">
        <v>16</v>
      </c>
      <c r="D220" t="s">
        <v>1515</v>
      </c>
      <c r="E220" t="s">
        <v>98</v>
      </c>
      <c r="F220" s="36">
        <v>9</v>
      </c>
      <c r="G220" t="s">
        <v>1111</v>
      </c>
      <c r="I220" cm="1">
        <f t="array" ref="I220">_xlfn.IFNA(INDEX(QHPSelections2016[],MATCH(1,(QHPSelections2016[State Name]=HIX_RatingAreas[[#This Row],[State Code]])*(QHPSelections2016[County Name]=HIX_RatingAreas[[#This Row],[Subdivision]]),0),MATCH("Silver",QHPSelections2016[#Headers],0)),0)</f>
        <v>1308</v>
      </c>
      <c r="J220" cm="1">
        <f t="array" ref="J220">_xlfn.IFNA(INDEX(QHPSelections2016[],MATCH(1,(QHPSelections2016[State Name]=HIX_RatingAreas[[#This Row],[State Code]])*(QHPSelections2016[County Name]=HIX_RatingAreas[[#This Row],[Subdivision]]),0),MATCH("Total Plan Selections",QHPSelections2016[#Headers],0)),0)</f>
        <v>1596</v>
      </c>
      <c r="L220" t="str" cm="1">
        <f t="array" ref="L220">INDEX(QHPSelections2016[],MATCH(1,(QHPSelections2016[State Name]=HIX_RatingAreas[[#This Row],[State Code]])*(QHPSelections2016[County Name]=HIX_RatingAreas[[#This Row],[Subdivision]]),0),MATCH("County Name",QHPSelections2016[#Headers],0))</f>
        <v>Fannin County</v>
      </c>
      <c r="M220" t="b">
        <f>L220=HIX_RatingAreas[[#This Row],[Subdivision]]</f>
        <v>1</v>
      </c>
      <c r="N220">
        <v>217</v>
      </c>
    </row>
    <row r="221" spans="3:14">
      <c r="C221" t="s">
        <v>16</v>
      </c>
      <c r="D221" t="s">
        <v>1515</v>
      </c>
      <c r="E221" t="s">
        <v>98</v>
      </c>
      <c r="F221" s="36">
        <v>9</v>
      </c>
      <c r="G221" t="s">
        <v>1274</v>
      </c>
      <c r="I221" cm="1">
        <f t="array" ref="I221">_xlfn.IFNA(INDEX(QHPSelections2016[],MATCH(1,(QHPSelections2016[State Name]=HIX_RatingAreas[[#This Row],[State Code]])*(QHPSelections2016[County Name]=HIX_RatingAreas[[#This Row],[Subdivision]]),0),MATCH("Silver",QHPSelections2016[#Headers],0)),0)</f>
        <v>1062</v>
      </c>
      <c r="J221" cm="1">
        <f t="array" ref="J221">_xlfn.IFNA(INDEX(QHPSelections2016[],MATCH(1,(QHPSelections2016[State Name]=HIX_RatingAreas[[#This Row],[State Code]])*(QHPSelections2016[County Name]=HIX_RatingAreas[[#This Row],[Subdivision]]),0),MATCH("Total Plan Selections",QHPSelections2016[#Headers],0)),0)</f>
        <v>1248</v>
      </c>
      <c r="L221" t="str" cm="1">
        <f t="array" ref="L221">INDEX(QHPSelections2016[],MATCH(1,(QHPSelections2016[State Name]=HIX_RatingAreas[[#This Row],[State Code]])*(QHPSelections2016[County Name]=HIX_RatingAreas[[#This Row],[Subdivision]]),0),MATCH("County Name",QHPSelections2016[#Headers],0))</f>
        <v>Murray County</v>
      </c>
      <c r="M221" t="b">
        <f>L221=HIX_RatingAreas[[#This Row],[Subdivision]]</f>
        <v>1</v>
      </c>
      <c r="N221">
        <v>218</v>
      </c>
    </row>
    <row r="222" spans="3:14">
      <c r="C222" t="s">
        <v>16</v>
      </c>
      <c r="D222" t="s">
        <v>1515</v>
      </c>
      <c r="E222" t="s">
        <v>98</v>
      </c>
      <c r="F222" s="36">
        <v>9</v>
      </c>
      <c r="G222" t="s">
        <v>1340</v>
      </c>
      <c r="I222" cm="1">
        <f t="array" ref="I222">_xlfn.IFNA(INDEX(QHPSelections2016[],MATCH(1,(QHPSelections2016[State Name]=HIX_RatingAreas[[#This Row],[State Code]])*(QHPSelections2016[County Name]=HIX_RatingAreas[[#This Row],[Subdivision]]),0),MATCH("Silver",QHPSelections2016[#Headers],0)),0)</f>
        <v>2962</v>
      </c>
      <c r="J222" cm="1">
        <f t="array" ref="J222">_xlfn.IFNA(INDEX(QHPSelections2016[],MATCH(1,(QHPSelections2016[State Name]=HIX_RatingAreas[[#This Row],[State Code]])*(QHPSelections2016[County Name]=HIX_RatingAreas[[#This Row],[Subdivision]]),0),MATCH("Total Plan Selections",QHPSelections2016[#Headers],0)),0)</f>
        <v>3568</v>
      </c>
      <c r="L222" t="str" cm="1">
        <f t="array" ref="L222">INDEX(QHPSelections2016[],MATCH(1,(QHPSelections2016[State Name]=HIX_RatingAreas[[#This Row],[State Code]])*(QHPSelections2016[County Name]=HIX_RatingAreas[[#This Row],[Subdivision]]),0),MATCH("County Name",QHPSelections2016[#Headers],0))</f>
        <v>Whitfield County</v>
      </c>
      <c r="M222" t="b">
        <f>L222=HIX_RatingAreas[[#This Row],[Subdivision]]</f>
        <v>1</v>
      </c>
      <c r="N222">
        <v>219</v>
      </c>
    </row>
    <row r="223" spans="3:14">
      <c r="C223" t="s">
        <v>16</v>
      </c>
      <c r="D223" t="s">
        <v>1515</v>
      </c>
      <c r="E223" t="s">
        <v>101</v>
      </c>
      <c r="F223" s="36">
        <v>10</v>
      </c>
      <c r="G223" t="s">
        <v>849</v>
      </c>
      <c r="I223" cm="1">
        <f t="array" ref="I223">_xlfn.IFNA(INDEX(QHPSelections2016[],MATCH(1,(QHPSelections2016[State Name]=HIX_RatingAreas[[#This Row],[State Code]])*(QHPSelections2016[County Name]=HIX_RatingAreas[[#This Row],[Subdivision]]),0),MATCH("Silver",QHPSelections2016[#Headers],0)),0)</f>
        <v>794</v>
      </c>
      <c r="J223" cm="1">
        <f t="array" ref="J223">_xlfn.IFNA(INDEX(QHPSelections2016[],MATCH(1,(QHPSelections2016[State Name]=HIX_RatingAreas[[#This Row],[State Code]])*(QHPSelections2016[County Name]=HIX_RatingAreas[[#This Row],[Subdivision]]),0),MATCH("Total Plan Selections",QHPSelections2016[#Headers],0)),0)</f>
        <v>1017</v>
      </c>
      <c r="L223" t="str" cm="1">
        <f t="array" ref="L223">INDEX(QHPSelections2016[],MATCH(1,(QHPSelections2016[State Name]=HIX_RatingAreas[[#This Row],[State Code]])*(QHPSelections2016[County Name]=HIX_RatingAreas[[#This Row],[Subdivision]]),0),MATCH("County Name",QHPSelections2016[#Headers],0))</f>
        <v>Banks County</v>
      </c>
      <c r="M223" t="b">
        <f>L223=HIX_RatingAreas[[#This Row],[Subdivision]]</f>
        <v>1</v>
      </c>
      <c r="N223">
        <v>220</v>
      </c>
    </row>
    <row r="224" spans="3:14">
      <c r="C224" t="s">
        <v>16</v>
      </c>
      <c r="D224" t="s">
        <v>1515</v>
      </c>
      <c r="E224" t="s">
        <v>101</v>
      </c>
      <c r="F224" s="36">
        <v>10</v>
      </c>
      <c r="G224" t="s">
        <v>1045</v>
      </c>
      <c r="I224" cm="1">
        <f t="array" ref="I224">_xlfn.IFNA(INDEX(QHPSelections2016[],MATCH(1,(QHPSelections2016[State Name]=HIX_RatingAreas[[#This Row],[State Code]])*(QHPSelections2016[County Name]=HIX_RatingAreas[[#This Row],[Subdivision]]),0),MATCH("Silver",QHPSelections2016[#Headers],0)),0)</f>
        <v>1107</v>
      </c>
      <c r="J224" cm="1">
        <f t="array" ref="J224">_xlfn.IFNA(INDEX(QHPSelections2016[],MATCH(1,(QHPSelections2016[State Name]=HIX_RatingAreas[[#This Row],[State Code]])*(QHPSelections2016[County Name]=HIX_RatingAreas[[#This Row],[Subdivision]]),0),MATCH("Total Plan Selections",QHPSelections2016[#Headers],0)),0)</f>
        <v>1497</v>
      </c>
      <c r="L224" t="str" cm="1">
        <f t="array" ref="L224">INDEX(QHPSelections2016[],MATCH(1,(QHPSelections2016[State Name]=HIX_RatingAreas[[#This Row],[State Code]])*(QHPSelections2016[County Name]=HIX_RatingAreas[[#This Row],[Subdivision]]),0),MATCH("County Name",QHPSelections2016[#Headers],0))</f>
        <v>Dawson County</v>
      </c>
      <c r="M224" t="b">
        <f>L224=HIX_RatingAreas[[#This Row],[Subdivision]]</f>
        <v>1</v>
      </c>
      <c r="N224">
        <v>221</v>
      </c>
    </row>
    <row r="225" spans="3:14">
      <c r="C225" t="s">
        <v>16</v>
      </c>
      <c r="D225" t="s">
        <v>1515</v>
      </c>
      <c r="E225" t="s">
        <v>101</v>
      </c>
      <c r="F225" s="36">
        <v>10</v>
      </c>
      <c r="G225" t="s">
        <v>919</v>
      </c>
      <c r="I225" cm="1">
        <f t="array" ref="I225">_xlfn.IFNA(INDEX(QHPSelections2016[],MATCH(1,(QHPSelections2016[State Name]=HIX_RatingAreas[[#This Row],[State Code]])*(QHPSelections2016[County Name]=HIX_RatingAreas[[#This Row],[Subdivision]]),0),MATCH("Silver",QHPSelections2016[#Headers],0)),0)</f>
        <v>757</v>
      </c>
      <c r="J225" cm="1">
        <f t="array" ref="J225">_xlfn.IFNA(INDEX(QHPSelections2016[],MATCH(1,(QHPSelections2016[State Name]=HIX_RatingAreas[[#This Row],[State Code]])*(QHPSelections2016[County Name]=HIX_RatingAreas[[#This Row],[Subdivision]]),0),MATCH("Total Plan Selections",QHPSelections2016[#Headers],0)),0)</f>
        <v>942</v>
      </c>
      <c r="L225" t="str" cm="1">
        <f t="array" ref="L225">INDEX(QHPSelections2016[],MATCH(1,(QHPSelections2016[State Name]=HIX_RatingAreas[[#This Row],[State Code]])*(QHPSelections2016[County Name]=HIX_RatingAreas[[#This Row],[Subdivision]]),0),MATCH("County Name",QHPSelections2016[#Headers],0))</f>
        <v>Franklin County</v>
      </c>
      <c r="M225" t="b">
        <f>L225=HIX_RatingAreas[[#This Row],[Subdivision]]</f>
        <v>1</v>
      </c>
      <c r="N225">
        <v>222</v>
      </c>
    </row>
    <row r="226" spans="3:14">
      <c r="C226" t="s">
        <v>16</v>
      </c>
      <c r="D226" t="s">
        <v>1515</v>
      </c>
      <c r="E226" t="s">
        <v>101</v>
      </c>
      <c r="F226" s="36">
        <v>10</v>
      </c>
      <c r="G226" t="s">
        <v>1177</v>
      </c>
      <c r="I226" cm="1">
        <f t="array" ref="I226">_xlfn.IFNA(INDEX(QHPSelections2016[],MATCH(1,(QHPSelections2016[State Name]=HIX_RatingAreas[[#This Row],[State Code]])*(QHPSelections2016[County Name]=HIX_RatingAreas[[#This Row],[Subdivision]]),0),MATCH("Silver",QHPSelections2016[#Headers],0)),0)</f>
        <v>1670</v>
      </c>
      <c r="J226" cm="1">
        <f t="array" ref="J226">_xlfn.IFNA(INDEX(QHPSelections2016[],MATCH(1,(QHPSelections2016[State Name]=HIX_RatingAreas[[#This Row],[State Code]])*(QHPSelections2016[County Name]=HIX_RatingAreas[[#This Row],[Subdivision]]),0),MATCH("Total Plan Selections",QHPSelections2016[#Headers],0)),0)</f>
        <v>2025</v>
      </c>
      <c r="L226" t="str" cm="1">
        <f t="array" ref="L226">INDEX(QHPSelections2016[],MATCH(1,(QHPSelections2016[State Name]=HIX_RatingAreas[[#This Row],[State Code]])*(QHPSelections2016[County Name]=HIX_RatingAreas[[#This Row],[Subdivision]]),0),MATCH("County Name",QHPSelections2016[#Headers],0))</f>
        <v>Habersham County</v>
      </c>
      <c r="M226" t="b">
        <f>L226=HIX_RatingAreas[[#This Row],[Subdivision]]</f>
        <v>1</v>
      </c>
      <c r="N226">
        <v>223</v>
      </c>
    </row>
    <row r="227" spans="3:14">
      <c r="C227" t="s">
        <v>16</v>
      </c>
      <c r="D227" t="s">
        <v>1515</v>
      </c>
      <c r="E227" t="s">
        <v>101</v>
      </c>
      <c r="F227" s="36">
        <v>10</v>
      </c>
      <c r="G227" t="s">
        <v>1180</v>
      </c>
      <c r="I227" cm="1">
        <f t="array" ref="I227">_xlfn.IFNA(INDEX(QHPSelections2016[],MATCH(1,(QHPSelections2016[State Name]=HIX_RatingAreas[[#This Row],[State Code]])*(QHPSelections2016[County Name]=HIX_RatingAreas[[#This Row],[Subdivision]]),0),MATCH("Silver",QHPSelections2016[#Headers],0)),0)</f>
        <v>8005</v>
      </c>
      <c r="J227" cm="1">
        <f t="array" ref="J227">_xlfn.IFNA(INDEX(QHPSelections2016[],MATCH(1,(QHPSelections2016[State Name]=HIX_RatingAreas[[#This Row],[State Code]])*(QHPSelections2016[County Name]=HIX_RatingAreas[[#This Row],[Subdivision]]),0),MATCH("Total Plan Selections",QHPSelections2016[#Headers],0)),0)</f>
        <v>10352</v>
      </c>
      <c r="L227" t="str" cm="1">
        <f t="array" ref="L227">INDEX(QHPSelections2016[],MATCH(1,(QHPSelections2016[State Name]=HIX_RatingAreas[[#This Row],[State Code]])*(QHPSelections2016[County Name]=HIX_RatingAreas[[#This Row],[Subdivision]]),0),MATCH("County Name",QHPSelections2016[#Headers],0))</f>
        <v>Hall County</v>
      </c>
      <c r="M227" t="b">
        <f>L227=HIX_RatingAreas[[#This Row],[Subdivision]]</f>
        <v>1</v>
      </c>
      <c r="N227">
        <v>224</v>
      </c>
    </row>
    <row r="228" spans="3:14">
      <c r="C228" t="s">
        <v>16</v>
      </c>
      <c r="D228" t="s">
        <v>1515</v>
      </c>
      <c r="E228" t="s">
        <v>101</v>
      </c>
      <c r="F228" s="36">
        <v>10</v>
      </c>
      <c r="G228" t="s">
        <v>1197</v>
      </c>
      <c r="I228" cm="1">
        <f t="array" ref="I228">_xlfn.IFNA(INDEX(QHPSelections2016[],MATCH(1,(QHPSelections2016[State Name]=HIX_RatingAreas[[#This Row],[State Code]])*(QHPSelections2016[County Name]=HIX_RatingAreas[[#This Row],[Subdivision]]),0),MATCH("Silver",QHPSelections2016[#Headers],0)),0)</f>
        <v>904</v>
      </c>
      <c r="J228" cm="1">
        <f t="array" ref="J228">_xlfn.IFNA(INDEX(QHPSelections2016[],MATCH(1,(QHPSelections2016[State Name]=HIX_RatingAreas[[#This Row],[State Code]])*(QHPSelections2016[County Name]=HIX_RatingAreas[[#This Row],[Subdivision]]),0),MATCH("Total Plan Selections",QHPSelections2016[#Headers],0)),0)</f>
        <v>1127</v>
      </c>
      <c r="L228" t="str" cm="1">
        <f t="array" ref="L228">INDEX(QHPSelections2016[],MATCH(1,(QHPSelections2016[State Name]=HIX_RatingAreas[[#This Row],[State Code]])*(QHPSelections2016[County Name]=HIX_RatingAreas[[#This Row],[Subdivision]]),0),MATCH("County Name",QHPSelections2016[#Headers],0))</f>
        <v>Hart County</v>
      </c>
      <c r="M228" t="b">
        <f>L228=HIX_RatingAreas[[#This Row],[Subdivision]]</f>
        <v>1</v>
      </c>
      <c r="N228">
        <v>225</v>
      </c>
    </row>
    <row r="229" spans="3:14">
      <c r="C229" t="s">
        <v>16</v>
      </c>
      <c r="D229" t="s">
        <v>1515</v>
      </c>
      <c r="E229" t="s">
        <v>101</v>
      </c>
      <c r="F229" s="36">
        <v>10</v>
      </c>
      <c r="G229" t="s">
        <v>1257</v>
      </c>
      <c r="I229" cm="1">
        <f t="array" ref="I229">_xlfn.IFNA(INDEX(QHPSelections2016[],MATCH(1,(QHPSelections2016[State Name]=HIX_RatingAreas[[#This Row],[State Code]])*(QHPSelections2016[County Name]=HIX_RatingAreas[[#This Row],[Subdivision]]),0),MATCH("Silver",QHPSelections2016[#Headers],0)),0)</f>
        <v>1189</v>
      </c>
      <c r="J229" cm="1">
        <f t="array" ref="J229">_xlfn.IFNA(INDEX(QHPSelections2016[],MATCH(1,(QHPSelections2016[State Name]=HIX_RatingAreas[[#This Row],[State Code]])*(QHPSelections2016[County Name]=HIX_RatingAreas[[#This Row],[Subdivision]]),0),MATCH("Total Plan Selections",QHPSelections2016[#Headers],0)),0)</f>
        <v>1503</v>
      </c>
      <c r="L229" t="str" cm="1">
        <f t="array" ref="L229">INDEX(QHPSelections2016[],MATCH(1,(QHPSelections2016[State Name]=HIX_RatingAreas[[#This Row],[State Code]])*(QHPSelections2016[County Name]=HIX_RatingAreas[[#This Row],[Subdivision]]),0),MATCH("County Name",QHPSelections2016[#Headers],0))</f>
        <v>Lumpkin County</v>
      </c>
      <c r="M229" t="b">
        <f>L229=HIX_RatingAreas[[#This Row],[Subdivision]]</f>
        <v>1</v>
      </c>
      <c r="N229">
        <v>226</v>
      </c>
    </row>
    <row r="230" spans="3:14">
      <c r="C230" t="s">
        <v>16</v>
      </c>
      <c r="D230" t="s">
        <v>1515</v>
      </c>
      <c r="E230" t="s">
        <v>101</v>
      </c>
      <c r="F230" s="36">
        <v>10</v>
      </c>
      <c r="G230" t="s">
        <v>1294</v>
      </c>
      <c r="I230" cm="1">
        <f t="array" ref="I230">_xlfn.IFNA(INDEX(QHPSelections2016[],MATCH(1,(QHPSelections2016[State Name]=HIX_RatingAreas[[#This Row],[State Code]])*(QHPSelections2016[County Name]=HIX_RatingAreas[[#This Row],[Subdivision]]),0),MATCH("Silver",QHPSelections2016[#Headers],0)),0)</f>
        <v>962</v>
      </c>
      <c r="J230" cm="1">
        <f t="array" ref="J230">_xlfn.IFNA(INDEX(QHPSelections2016[],MATCH(1,(QHPSelections2016[State Name]=HIX_RatingAreas[[#This Row],[State Code]])*(QHPSelections2016[County Name]=HIX_RatingAreas[[#This Row],[Subdivision]]),0),MATCH("Total Plan Selections",QHPSelections2016[#Headers],0)),0)</f>
        <v>1184</v>
      </c>
      <c r="L230" t="str" cm="1">
        <f t="array" ref="L230">INDEX(QHPSelections2016[],MATCH(1,(QHPSelections2016[State Name]=HIX_RatingAreas[[#This Row],[State Code]])*(QHPSelections2016[County Name]=HIX_RatingAreas[[#This Row],[Subdivision]]),0),MATCH("County Name",QHPSelections2016[#Headers],0))</f>
        <v>Rabun County</v>
      </c>
      <c r="M230" t="b">
        <f>L230=HIX_RatingAreas[[#This Row],[Subdivision]]</f>
        <v>1</v>
      </c>
      <c r="N230">
        <v>227</v>
      </c>
    </row>
    <row r="231" spans="3:14">
      <c r="C231" t="s">
        <v>16</v>
      </c>
      <c r="D231" t="s">
        <v>1515</v>
      </c>
      <c r="E231" t="s">
        <v>101</v>
      </c>
      <c r="F231" s="36">
        <v>10</v>
      </c>
      <c r="G231" t="s">
        <v>1302</v>
      </c>
      <c r="I231" cm="1">
        <f t="array" ref="I231">_xlfn.IFNA(INDEX(QHPSelections2016[],MATCH(1,(QHPSelections2016[State Name]=HIX_RatingAreas[[#This Row],[State Code]])*(QHPSelections2016[County Name]=HIX_RatingAreas[[#This Row],[Subdivision]]),0),MATCH("Silver",QHPSelections2016[#Headers],0)),0)</f>
        <v>696</v>
      </c>
      <c r="J231" cm="1">
        <f t="array" ref="J231">_xlfn.IFNA(INDEX(QHPSelections2016[],MATCH(1,(QHPSelections2016[State Name]=HIX_RatingAreas[[#This Row],[State Code]])*(QHPSelections2016[County Name]=HIX_RatingAreas[[#This Row],[Subdivision]]),0),MATCH("Total Plan Selections",QHPSelections2016[#Headers],0)),0)</f>
        <v>870</v>
      </c>
      <c r="L231" t="str" cm="1">
        <f t="array" ref="L231">INDEX(QHPSelections2016[],MATCH(1,(QHPSelections2016[State Name]=HIX_RatingAreas[[#This Row],[State Code]])*(QHPSelections2016[County Name]=HIX_RatingAreas[[#This Row],[Subdivision]]),0),MATCH("County Name",QHPSelections2016[#Headers],0))</f>
        <v>Stephens County</v>
      </c>
      <c r="M231" t="b">
        <f>L231=HIX_RatingAreas[[#This Row],[Subdivision]]</f>
        <v>1</v>
      </c>
      <c r="N231">
        <v>228</v>
      </c>
    </row>
    <row r="232" spans="3:14">
      <c r="C232" t="s">
        <v>16</v>
      </c>
      <c r="D232" t="s">
        <v>1515</v>
      </c>
      <c r="E232" t="s">
        <v>101</v>
      </c>
      <c r="F232" s="36">
        <v>10</v>
      </c>
      <c r="G232" t="s">
        <v>1321</v>
      </c>
      <c r="I232" cm="1">
        <f t="array" ref="I232">_xlfn.IFNA(INDEX(QHPSelections2016[],MATCH(1,(QHPSelections2016[State Name]=HIX_RatingAreas[[#This Row],[State Code]])*(QHPSelections2016[County Name]=HIX_RatingAreas[[#This Row],[Subdivision]]),0),MATCH("Silver",QHPSelections2016[#Headers],0)),0)</f>
        <v>592</v>
      </c>
      <c r="J232" cm="1">
        <f t="array" ref="J232">_xlfn.IFNA(INDEX(QHPSelections2016[],MATCH(1,(QHPSelections2016[State Name]=HIX_RatingAreas[[#This Row],[State Code]])*(QHPSelections2016[County Name]=HIX_RatingAreas[[#This Row],[Subdivision]]),0),MATCH("Total Plan Selections",QHPSelections2016[#Headers],0)),0)</f>
        <v>759</v>
      </c>
      <c r="L232" t="str" cm="1">
        <f t="array" ref="L232">INDEX(QHPSelections2016[],MATCH(1,(QHPSelections2016[State Name]=HIX_RatingAreas[[#This Row],[State Code]])*(QHPSelections2016[County Name]=HIX_RatingAreas[[#This Row],[Subdivision]]),0),MATCH("County Name",QHPSelections2016[#Headers],0))</f>
        <v>Towns County</v>
      </c>
      <c r="M232" t="b">
        <f>L232=HIX_RatingAreas[[#This Row],[Subdivision]]</f>
        <v>1</v>
      </c>
      <c r="N232">
        <v>229</v>
      </c>
    </row>
    <row r="233" spans="3:14">
      <c r="C233" t="s">
        <v>16</v>
      </c>
      <c r="D233" t="s">
        <v>1515</v>
      </c>
      <c r="E233" t="s">
        <v>101</v>
      </c>
      <c r="F233" s="36">
        <v>10</v>
      </c>
      <c r="G233" t="s">
        <v>1149</v>
      </c>
      <c r="I233" cm="1">
        <f t="array" ref="I233">_xlfn.IFNA(INDEX(QHPSelections2016[],MATCH(1,(QHPSelections2016[State Name]=HIX_RatingAreas[[#This Row],[State Code]])*(QHPSelections2016[County Name]=HIX_RatingAreas[[#This Row],[Subdivision]]),0),MATCH("Silver",QHPSelections2016[#Headers],0)),0)</f>
        <v>1007</v>
      </c>
      <c r="J233" cm="1">
        <f t="array" ref="J233">_xlfn.IFNA(INDEX(QHPSelections2016[],MATCH(1,(QHPSelections2016[State Name]=HIX_RatingAreas[[#This Row],[State Code]])*(QHPSelections2016[County Name]=HIX_RatingAreas[[#This Row],[Subdivision]]),0),MATCH("Total Plan Selections",QHPSelections2016[#Headers],0)),0)</f>
        <v>1331</v>
      </c>
      <c r="L233" t="str" cm="1">
        <f t="array" ref="L233">INDEX(QHPSelections2016[],MATCH(1,(QHPSelections2016[State Name]=HIX_RatingAreas[[#This Row],[State Code]])*(QHPSelections2016[County Name]=HIX_RatingAreas[[#This Row],[Subdivision]]),0),MATCH("County Name",QHPSelections2016[#Headers],0))</f>
        <v>Union County</v>
      </c>
      <c r="M233" t="b">
        <f>L233=HIX_RatingAreas[[#This Row],[Subdivision]]</f>
        <v>1</v>
      </c>
      <c r="N233">
        <v>230</v>
      </c>
    </row>
    <row r="234" spans="3:14">
      <c r="C234" t="s">
        <v>16</v>
      </c>
      <c r="D234" t="s">
        <v>1515</v>
      </c>
      <c r="E234" t="s">
        <v>101</v>
      </c>
      <c r="F234" s="36">
        <v>10</v>
      </c>
      <c r="G234" t="s">
        <v>1258</v>
      </c>
      <c r="I234" cm="1">
        <f t="array" ref="I234">_xlfn.IFNA(INDEX(QHPSelections2016[],MATCH(1,(QHPSelections2016[State Name]=HIX_RatingAreas[[#This Row],[State Code]])*(QHPSelections2016[County Name]=HIX_RatingAreas[[#This Row],[Subdivision]]),0),MATCH("Silver",QHPSelections2016[#Headers],0)),0)</f>
        <v>1729</v>
      </c>
      <c r="J234" cm="1">
        <f t="array" ref="J234">_xlfn.IFNA(INDEX(QHPSelections2016[],MATCH(1,(QHPSelections2016[State Name]=HIX_RatingAreas[[#This Row],[State Code]])*(QHPSelections2016[County Name]=HIX_RatingAreas[[#This Row],[Subdivision]]),0),MATCH("Total Plan Selections",QHPSelections2016[#Headers],0)),0)</f>
        <v>1991</v>
      </c>
      <c r="L234" t="str" cm="1">
        <f t="array" ref="L234">INDEX(QHPSelections2016[],MATCH(1,(QHPSelections2016[State Name]=HIX_RatingAreas[[#This Row],[State Code]])*(QHPSelections2016[County Name]=HIX_RatingAreas[[#This Row],[Subdivision]]),0),MATCH("County Name",QHPSelections2016[#Headers],0))</f>
        <v>White County</v>
      </c>
      <c r="M234" t="b">
        <f>L234=HIX_RatingAreas[[#This Row],[Subdivision]]</f>
        <v>1</v>
      </c>
      <c r="N234">
        <v>231</v>
      </c>
    </row>
    <row r="235" spans="3:14">
      <c r="C235" t="s">
        <v>16</v>
      </c>
      <c r="D235" t="s">
        <v>1515</v>
      </c>
      <c r="E235" t="s">
        <v>103</v>
      </c>
      <c r="F235" s="36">
        <v>11</v>
      </c>
      <c r="G235" t="s">
        <v>825</v>
      </c>
      <c r="I235" cm="1">
        <f t="array" ref="I235">_xlfn.IFNA(INDEX(QHPSelections2016[],MATCH(1,(QHPSelections2016[State Name]=HIX_RatingAreas[[#This Row],[State Code]])*(QHPSelections2016[County Name]=HIX_RatingAreas[[#This Row],[Subdivision]]),0),MATCH("Silver",QHPSelections2016[#Headers],0)),0)</f>
        <v>192</v>
      </c>
      <c r="J235" cm="1">
        <f t="array" ref="J235">_xlfn.IFNA(INDEX(QHPSelections2016[],MATCH(1,(QHPSelections2016[State Name]=HIX_RatingAreas[[#This Row],[State Code]])*(QHPSelections2016[County Name]=HIX_RatingAreas[[#This Row],[Subdivision]]),0),MATCH("Total Plan Selections",QHPSelections2016[#Headers],0)),0)</f>
        <v>245</v>
      </c>
      <c r="L235" t="str" cm="1">
        <f t="array" ref="L235">INDEX(QHPSelections2016[],MATCH(1,(QHPSelections2016[State Name]=HIX_RatingAreas[[#This Row],[State Code]])*(QHPSelections2016[County Name]=HIX_RatingAreas[[#This Row],[Subdivision]]),0),MATCH("County Name",QHPSelections2016[#Headers],0))</f>
        <v>Atkinson County</v>
      </c>
      <c r="M235" t="b">
        <f>L235=HIX_RatingAreas[[#This Row],[Subdivision]]</f>
        <v>1</v>
      </c>
      <c r="N235">
        <v>232</v>
      </c>
    </row>
    <row r="236" spans="3:14">
      <c r="C236" t="s">
        <v>16</v>
      </c>
      <c r="D236" t="s">
        <v>1515</v>
      </c>
      <c r="E236" t="s">
        <v>103</v>
      </c>
      <c r="F236" s="36">
        <v>11</v>
      </c>
      <c r="G236" t="s">
        <v>907</v>
      </c>
      <c r="I236" cm="1">
        <f t="array" ref="I236">_xlfn.IFNA(INDEX(QHPSelections2016[],MATCH(1,(QHPSelections2016[State Name]=HIX_RatingAreas[[#This Row],[State Code]])*(QHPSelections2016[County Name]=HIX_RatingAreas[[#This Row],[Subdivision]]),0),MATCH("Silver",QHPSelections2016[#Headers],0)),0)</f>
        <v>1300</v>
      </c>
      <c r="J236" cm="1">
        <f t="array" ref="J236">_xlfn.IFNA(INDEX(QHPSelections2016[],MATCH(1,(QHPSelections2016[State Name]=HIX_RatingAreas[[#This Row],[State Code]])*(QHPSelections2016[County Name]=HIX_RatingAreas[[#This Row],[Subdivision]]),0),MATCH("Total Plan Selections",QHPSelections2016[#Headers],0)),0)</f>
        <v>1633</v>
      </c>
      <c r="L236" t="str" cm="1">
        <f t="array" ref="L236">INDEX(QHPSelections2016[],MATCH(1,(QHPSelections2016[State Name]=HIX_RatingAreas[[#This Row],[State Code]])*(QHPSelections2016[County Name]=HIX_RatingAreas[[#This Row],[Subdivision]]),0),MATCH("County Name",QHPSelections2016[#Headers],0))</f>
        <v>Coffee County</v>
      </c>
      <c r="M236" t="b">
        <f>L236=HIX_RatingAreas[[#This Row],[Subdivision]]</f>
        <v>1</v>
      </c>
      <c r="N236">
        <v>233</v>
      </c>
    </row>
    <row r="237" spans="3:14">
      <c r="C237" t="s">
        <v>16</v>
      </c>
      <c r="D237" t="s">
        <v>1515</v>
      </c>
      <c r="E237" t="s">
        <v>103</v>
      </c>
      <c r="F237" s="36">
        <v>11</v>
      </c>
      <c r="G237" t="s">
        <v>1219</v>
      </c>
      <c r="I237" cm="1">
        <f t="array" ref="I237">_xlfn.IFNA(INDEX(QHPSelections2016[],MATCH(1,(QHPSelections2016[State Name]=HIX_RatingAreas[[#This Row],[State Code]])*(QHPSelections2016[County Name]=HIX_RatingAreas[[#This Row],[Subdivision]]),0),MATCH("Silver",QHPSelections2016[#Headers],0)),0)</f>
        <v>464</v>
      </c>
      <c r="J237" cm="1">
        <f t="array" ref="J237">_xlfn.IFNA(INDEX(QHPSelections2016[],MATCH(1,(QHPSelections2016[State Name]=HIX_RatingAreas[[#This Row],[State Code]])*(QHPSelections2016[County Name]=HIX_RatingAreas[[#This Row],[Subdivision]]),0),MATCH("Total Plan Selections",QHPSelections2016[#Headers],0)),0)</f>
        <v>590</v>
      </c>
      <c r="L237" t="str" cm="1">
        <f t="array" ref="L237">INDEX(QHPSelections2016[],MATCH(1,(QHPSelections2016[State Name]=HIX_RatingAreas[[#This Row],[State Code]])*(QHPSelections2016[County Name]=HIX_RatingAreas[[#This Row],[Subdivision]]),0),MATCH("County Name",QHPSelections2016[#Headers],0))</f>
        <v>Jeff Davis County</v>
      </c>
      <c r="M237" t="b">
        <f>L237=HIX_RatingAreas[[#This Row],[Subdivision]]</f>
        <v>1</v>
      </c>
      <c r="N237">
        <v>234</v>
      </c>
    </row>
    <row r="238" spans="3:14">
      <c r="C238" t="s">
        <v>16</v>
      </c>
      <c r="D238" t="s">
        <v>1515</v>
      </c>
      <c r="E238" t="s">
        <v>103</v>
      </c>
      <c r="F238" s="36">
        <v>11</v>
      </c>
      <c r="G238" t="s">
        <v>1064</v>
      </c>
      <c r="I238" cm="1">
        <f t="array" ref="I238">_xlfn.IFNA(INDEX(QHPSelections2016[],MATCH(1,(QHPSelections2016[State Name]=HIX_RatingAreas[[#This Row],[State Code]])*(QHPSelections2016[County Name]=HIX_RatingAreas[[#This Row],[Subdivision]]),0),MATCH("Silver",QHPSelections2016[#Headers],0)),0)</f>
        <v>364</v>
      </c>
      <c r="J238" cm="1">
        <f t="array" ref="J238">_xlfn.IFNA(INDEX(QHPSelections2016[],MATCH(1,(QHPSelections2016[State Name]=HIX_RatingAreas[[#This Row],[State Code]])*(QHPSelections2016[County Name]=HIX_RatingAreas[[#This Row],[Subdivision]]),0),MATCH("Total Plan Selections",QHPSelections2016[#Headers],0)),0)</f>
        <v>417</v>
      </c>
      <c r="L238" t="str" cm="1">
        <f t="array" ref="L238">INDEX(QHPSelections2016[],MATCH(1,(QHPSelections2016[State Name]=HIX_RatingAreas[[#This Row],[State Code]])*(QHPSelections2016[County Name]=HIX_RatingAreas[[#This Row],[Subdivision]]),0),MATCH("County Name",QHPSelections2016[#Headers],0))</f>
        <v>Johnson County</v>
      </c>
      <c r="M238" t="b">
        <f>L238=HIX_RatingAreas[[#This Row],[Subdivision]]</f>
        <v>1</v>
      </c>
      <c r="N238">
        <v>235</v>
      </c>
    </row>
    <row r="239" spans="3:14">
      <c r="C239" t="s">
        <v>16</v>
      </c>
      <c r="D239" t="s">
        <v>1515</v>
      </c>
      <c r="E239" t="s">
        <v>103</v>
      </c>
      <c r="F239" s="36">
        <v>11</v>
      </c>
      <c r="G239" t="s">
        <v>1242</v>
      </c>
      <c r="I239" cm="1">
        <f t="array" ref="I239">_xlfn.IFNA(INDEX(QHPSelections2016[],MATCH(1,(QHPSelections2016[State Name]=HIX_RatingAreas[[#This Row],[State Code]])*(QHPSelections2016[County Name]=HIX_RatingAreas[[#This Row],[Subdivision]]),0),MATCH("Silver",QHPSelections2016[#Headers],0)),0)</f>
        <v>2266</v>
      </c>
      <c r="J239" cm="1">
        <f t="array" ref="J239">_xlfn.IFNA(INDEX(QHPSelections2016[],MATCH(1,(QHPSelections2016[State Name]=HIX_RatingAreas[[#This Row],[State Code]])*(QHPSelections2016[County Name]=HIX_RatingAreas[[#This Row],[Subdivision]]),0),MATCH("Total Plan Selections",QHPSelections2016[#Headers],0)),0)</f>
        <v>2683</v>
      </c>
      <c r="L239" t="str" cm="1">
        <f t="array" ref="L239">INDEX(QHPSelections2016[],MATCH(1,(QHPSelections2016[State Name]=HIX_RatingAreas[[#This Row],[State Code]])*(QHPSelections2016[County Name]=HIX_RatingAreas[[#This Row],[Subdivision]]),0),MATCH("County Name",QHPSelections2016[#Headers],0))</f>
        <v>Laurens County</v>
      </c>
      <c r="M239" t="b">
        <f>L239=HIX_RatingAreas[[#This Row],[Subdivision]]</f>
        <v>1</v>
      </c>
      <c r="N239">
        <v>236</v>
      </c>
    </row>
    <row r="240" spans="3:14">
      <c r="C240" t="s">
        <v>16</v>
      </c>
      <c r="D240" t="s">
        <v>1515</v>
      </c>
      <c r="E240" t="s">
        <v>103</v>
      </c>
      <c r="F240" s="36">
        <v>11</v>
      </c>
      <c r="G240" t="s">
        <v>1079</v>
      </c>
      <c r="I240" cm="1">
        <f t="array" ref="I240">_xlfn.IFNA(INDEX(QHPSelections2016[],MATCH(1,(QHPSelections2016[State Name]=HIX_RatingAreas[[#This Row],[State Code]])*(QHPSelections2016[County Name]=HIX_RatingAreas[[#This Row],[Subdivision]]),0),MATCH("Silver",QHPSelections2016[#Headers],0)),0)</f>
        <v>227</v>
      </c>
      <c r="J240" cm="1">
        <f t="array" ref="J240">_xlfn.IFNA(INDEX(QHPSelections2016[],MATCH(1,(QHPSelections2016[State Name]=HIX_RatingAreas[[#This Row],[State Code]])*(QHPSelections2016[County Name]=HIX_RatingAreas[[#This Row],[Subdivision]]),0),MATCH("Total Plan Selections",QHPSelections2016[#Headers],0)),0)</f>
        <v>272</v>
      </c>
      <c r="L240" t="str" cm="1">
        <f t="array" ref="L240">INDEX(QHPSelections2016[],MATCH(1,(QHPSelections2016[State Name]=HIX_RatingAreas[[#This Row],[State Code]])*(QHPSelections2016[County Name]=HIX_RatingAreas[[#This Row],[Subdivision]]),0),MATCH("County Name",QHPSelections2016[#Headers],0))</f>
        <v>Montgomery County</v>
      </c>
      <c r="M240" t="b">
        <f>L240=HIX_RatingAreas[[#This Row],[Subdivision]]</f>
        <v>1</v>
      </c>
      <c r="N240">
        <v>237</v>
      </c>
    </row>
    <row r="241" spans="3:14">
      <c r="C241" t="s">
        <v>16</v>
      </c>
      <c r="D241" t="s">
        <v>1515</v>
      </c>
      <c r="E241" t="s">
        <v>103</v>
      </c>
      <c r="F241" s="36">
        <v>11</v>
      </c>
      <c r="G241" t="s">
        <v>1312</v>
      </c>
      <c r="I241" cm="1">
        <f t="array" ref="I241">_xlfn.IFNA(INDEX(QHPSelections2016[],MATCH(1,(QHPSelections2016[State Name]=HIX_RatingAreas[[#This Row],[State Code]])*(QHPSelections2016[County Name]=HIX_RatingAreas[[#This Row],[Subdivision]]),0),MATCH("Silver",QHPSelections2016[#Headers],0)),0)</f>
        <v>281</v>
      </c>
      <c r="J241" cm="1">
        <f t="array" ref="J241">_xlfn.IFNA(INDEX(QHPSelections2016[],MATCH(1,(QHPSelections2016[State Name]=HIX_RatingAreas[[#This Row],[State Code]])*(QHPSelections2016[County Name]=HIX_RatingAreas[[#This Row],[Subdivision]]),0),MATCH("Total Plan Selections",QHPSelections2016[#Headers],0)),0)</f>
        <v>363</v>
      </c>
      <c r="L241" t="str" cm="1">
        <f t="array" ref="L241">INDEX(QHPSelections2016[],MATCH(1,(QHPSelections2016[State Name]=HIX_RatingAreas[[#This Row],[State Code]])*(QHPSelections2016[County Name]=HIX_RatingAreas[[#This Row],[Subdivision]]),0),MATCH("County Name",QHPSelections2016[#Headers],0))</f>
        <v>Telfair County</v>
      </c>
      <c r="M241" t="b">
        <f>L241=HIX_RatingAreas[[#This Row],[Subdivision]]</f>
        <v>1</v>
      </c>
      <c r="N241">
        <v>238</v>
      </c>
    </row>
    <row r="242" spans="3:14">
      <c r="C242" t="s">
        <v>16</v>
      </c>
      <c r="D242" t="s">
        <v>1515</v>
      </c>
      <c r="E242" t="s">
        <v>103</v>
      </c>
      <c r="F242" s="36">
        <v>11</v>
      </c>
      <c r="G242" t="s">
        <v>1320</v>
      </c>
      <c r="I242" cm="1">
        <f t="array" ref="I242">_xlfn.IFNA(INDEX(QHPSelections2016[],MATCH(1,(QHPSelections2016[State Name]=HIX_RatingAreas[[#This Row],[State Code]])*(QHPSelections2016[County Name]=HIX_RatingAreas[[#This Row],[Subdivision]]),0),MATCH("Silver",QHPSelections2016[#Headers],0)),0)</f>
        <v>713</v>
      </c>
      <c r="J242" cm="1">
        <f t="array" ref="J242">_xlfn.IFNA(INDEX(QHPSelections2016[],MATCH(1,(QHPSelections2016[State Name]=HIX_RatingAreas[[#This Row],[State Code]])*(QHPSelections2016[County Name]=HIX_RatingAreas[[#This Row],[Subdivision]]),0),MATCH("Total Plan Selections",QHPSelections2016[#Headers],0)),0)</f>
        <v>900</v>
      </c>
      <c r="L242" t="str" cm="1">
        <f t="array" ref="L242">INDEX(QHPSelections2016[],MATCH(1,(QHPSelections2016[State Name]=HIX_RatingAreas[[#This Row],[State Code]])*(QHPSelections2016[County Name]=HIX_RatingAreas[[#This Row],[Subdivision]]),0),MATCH("County Name",QHPSelections2016[#Headers],0))</f>
        <v>Toombs County</v>
      </c>
      <c r="M242" t="b">
        <f>L242=HIX_RatingAreas[[#This Row],[Subdivision]]</f>
        <v>1</v>
      </c>
      <c r="N242">
        <v>239</v>
      </c>
    </row>
    <row r="243" spans="3:14">
      <c r="C243" t="s">
        <v>16</v>
      </c>
      <c r="D243" t="s">
        <v>1515</v>
      </c>
      <c r="E243" t="s">
        <v>103</v>
      </c>
      <c r="F243" s="36">
        <v>11</v>
      </c>
      <c r="G243" t="s">
        <v>1322</v>
      </c>
      <c r="I243" cm="1">
        <f t="array" ref="I243">_xlfn.IFNA(INDEX(QHPSelections2016[],MATCH(1,(QHPSelections2016[State Name]=HIX_RatingAreas[[#This Row],[State Code]])*(QHPSelections2016[County Name]=HIX_RatingAreas[[#This Row],[Subdivision]]),0),MATCH("Silver",QHPSelections2016[#Headers],0)),0)</f>
        <v>222</v>
      </c>
      <c r="J243" cm="1">
        <f t="array" ref="J243">_xlfn.IFNA(INDEX(QHPSelections2016[],MATCH(1,(QHPSelections2016[State Name]=HIX_RatingAreas[[#This Row],[State Code]])*(QHPSelections2016[County Name]=HIX_RatingAreas[[#This Row],[Subdivision]]),0),MATCH("Total Plan Selections",QHPSelections2016[#Headers],0)),0)</f>
        <v>263</v>
      </c>
      <c r="L243" t="str" cm="1">
        <f t="array" ref="L243">INDEX(QHPSelections2016[],MATCH(1,(QHPSelections2016[State Name]=HIX_RatingAreas[[#This Row],[State Code]])*(QHPSelections2016[County Name]=HIX_RatingAreas[[#This Row],[Subdivision]]),0),MATCH("County Name",QHPSelections2016[#Headers],0))</f>
        <v>Treutlen County</v>
      </c>
      <c r="M243" t="b">
        <f>L243=HIX_RatingAreas[[#This Row],[Subdivision]]</f>
        <v>1</v>
      </c>
      <c r="N243">
        <v>240</v>
      </c>
    </row>
    <row r="244" spans="3:14">
      <c r="C244" t="s">
        <v>16</v>
      </c>
      <c r="D244" t="s">
        <v>1515</v>
      </c>
      <c r="E244" t="s">
        <v>103</v>
      </c>
      <c r="F244" s="36">
        <v>11</v>
      </c>
      <c r="G244" t="s">
        <v>1337</v>
      </c>
      <c r="I244" cm="1">
        <f t="array" ref="I244">_xlfn.IFNA(INDEX(QHPSelections2016[],MATCH(1,(QHPSelections2016[State Name]=HIX_RatingAreas[[#This Row],[State Code]])*(QHPSelections2016[County Name]=HIX_RatingAreas[[#This Row],[Subdivision]]),0),MATCH("Silver",QHPSelections2016[#Headers],0)),0)</f>
        <v>137</v>
      </c>
      <c r="J244" cm="1">
        <f t="array" ref="J244">_xlfn.IFNA(INDEX(QHPSelections2016[],MATCH(1,(QHPSelections2016[State Name]=HIX_RatingAreas[[#This Row],[State Code]])*(QHPSelections2016[County Name]=HIX_RatingAreas[[#This Row],[Subdivision]]),0),MATCH("Total Plan Selections",QHPSelections2016[#Headers],0)),0)</f>
        <v>178</v>
      </c>
      <c r="L244" t="str" cm="1">
        <f t="array" ref="L244">INDEX(QHPSelections2016[],MATCH(1,(QHPSelections2016[State Name]=HIX_RatingAreas[[#This Row],[State Code]])*(QHPSelections2016[County Name]=HIX_RatingAreas[[#This Row],[Subdivision]]),0),MATCH("County Name",QHPSelections2016[#Headers],0))</f>
        <v>Wheeler County</v>
      </c>
      <c r="M244" t="b">
        <f>L244=HIX_RatingAreas[[#This Row],[Subdivision]]</f>
        <v>1</v>
      </c>
      <c r="N244">
        <v>241</v>
      </c>
    </row>
    <row r="245" spans="3:14">
      <c r="C245" t="s">
        <v>16</v>
      </c>
      <c r="D245" t="s">
        <v>1515</v>
      </c>
      <c r="E245" t="s">
        <v>108</v>
      </c>
      <c r="F245" s="36">
        <v>12</v>
      </c>
      <c r="G245" t="s">
        <v>837</v>
      </c>
      <c r="I245" cm="1">
        <f t="array" ref="I245">_xlfn.IFNA(INDEX(QHPSelections2016[],MATCH(1,(QHPSelections2016[State Name]=HIX_RatingAreas[[#This Row],[State Code]])*(QHPSelections2016[County Name]=HIX_RatingAreas[[#This Row],[Subdivision]]),0),MATCH("Silver",QHPSelections2016[#Headers],0)),0)</f>
        <v>5395</v>
      </c>
      <c r="J245" cm="1">
        <f t="array" ref="J245">_xlfn.IFNA(INDEX(QHPSelections2016[],MATCH(1,(QHPSelections2016[State Name]=HIX_RatingAreas[[#This Row],[State Code]])*(QHPSelections2016[County Name]=HIX_RatingAreas[[#This Row],[Subdivision]]),0),MATCH("Total Plan Selections",QHPSelections2016[#Headers],0)),0)</f>
        <v>6931</v>
      </c>
      <c r="L245" t="str" cm="1">
        <f t="array" ref="L245">INDEX(QHPSelections2016[],MATCH(1,(QHPSelections2016[State Name]=HIX_RatingAreas[[#This Row],[State Code]])*(QHPSelections2016[County Name]=HIX_RatingAreas[[#This Row],[Subdivision]]),0),MATCH("County Name",QHPSelections2016[#Headers],0))</f>
        <v>Bibb County</v>
      </c>
      <c r="M245" t="b">
        <f>L245=HIX_RatingAreas[[#This Row],[Subdivision]]</f>
        <v>1</v>
      </c>
      <c r="N245">
        <v>242</v>
      </c>
    </row>
    <row r="246" spans="3:14">
      <c r="C246" t="s">
        <v>16</v>
      </c>
      <c r="D246" t="s">
        <v>1515</v>
      </c>
      <c r="E246" t="s">
        <v>108</v>
      </c>
      <c r="F246" s="36">
        <v>12</v>
      </c>
      <c r="G246" t="s">
        <v>886</v>
      </c>
      <c r="I246" cm="1">
        <f t="array" ref="I246">_xlfn.IFNA(INDEX(QHPSelections2016[],MATCH(1,(QHPSelections2016[State Name]=HIX_RatingAreas[[#This Row],[State Code]])*(QHPSelections2016[County Name]=HIX_RatingAreas[[#This Row],[Subdivision]]),0),MATCH("Silver",QHPSelections2016[#Headers],0)),0)</f>
        <v>369</v>
      </c>
      <c r="J246" cm="1">
        <f t="array" ref="J246">_xlfn.IFNA(INDEX(QHPSelections2016[],MATCH(1,(QHPSelections2016[State Name]=HIX_RatingAreas[[#This Row],[State Code]])*(QHPSelections2016[County Name]=HIX_RatingAreas[[#This Row],[Subdivision]]),0),MATCH("Total Plan Selections",QHPSelections2016[#Headers],0)),0)</f>
        <v>439</v>
      </c>
      <c r="L246" t="str" cm="1">
        <f t="array" ref="L246">INDEX(QHPSelections2016[],MATCH(1,(QHPSelections2016[State Name]=HIX_RatingAreas[[#This Row],[State Code]])*(QHPSelections2016[County Name]=HIX_RatingAreas[[#This Row],[Subdivision]]),0),MATCH("County Name",QHPSelections2016[#Headers],0))</f>
        <v>Bleckley County</v>
      </c>
      <c r="M246" t="b">
        <f>L246=HIX_RatingAreas[[#This Row],[Subdivision]]</f>
        <v>1</v>
      </c>
      <c r="N246">
        <v>243</v>
      </c>
    </row>
    <row r="247" spans="3:14">
      <c r="C247" t="s">
        <v>16</v>
      </c>
      <c r="D247" t="s">
        <v>1515</v>
      </c>
      <c r="E247" t="s">
        <v>108</v>
      </c>
      <c r="F247" s="36">
        <v>12</v>
      </c>
      <c r="G247" t="s">
        <v>1030</v>
      </c>
      <c r="I247" cm="1">
        <f t="array" ref="I247">_xlfn.IFNA(INDEX(QHPSelections2016[],MATCH(1,(QHPSelections2016[State Name]=HIX_RatingAreas[[#This Row],[State Code]])*(QHPSelections2016[County Name]=HIX_RatingAreas[[#This Row],[Subdivision]]),0),MATCH("Silver",QHPSelections2016[#Headers],0)),0)</f>
        <v>516</v>
      </c>
      <c r="J247" cm="1">
        <f t="array" ref="J247">_xlfn.IFNA(INDEX(QHPSelections2016[],MATCH(1,(QHPSelections2016[State Name]=HIX_RatingAreas[[#This Row],[State Code]])*(QHPSelections2016[County Name]=HIX_RatingAreas[[#This Row],[Subdivision]]),0),MATCH("Total Plan Selections",QHPSelections2016[#Headers],0)),0)</f>
        <v>658</v>
      </c>
      <c r="L247" t="str" cm="1">
        <f t="array" ref="L247">INDEX(QHPSelections2016[],MATCH(1,(QHPSelections2016[State Name]=HIX_RatingAreas[[#This Row],[State Code]])*(QHPSelections2016[County Name]=HIX_RatingAreas[[#This Row],[Subdivision]]),0),MATCH("County Name",QHPSelections2016[#Headers],0))</f>
        <v>Crawford County</v>
      </c>
      <c r="M247" t="b">
        <f>L247=HIX_RatingAreas[[#This Row],[Subdivision]]</f>
        <v>1</v>
      </c>
      <c r="N247">
        <v>244</v>
      </c>
    </row>
    <row r="248" spans="3:14">
      <c r="C248" t="s">
        <v>16</v>
      </c>
      <c r="D248" t="s">
        <v>1515</v>
      </c>
      <c r="E248" t="s">
        <v>108</v>
      </c>
      <c r="F248" s="36">
        <v>12</v>
      </c>
      <c r="G248" t="s">
        <v>1058</v>
      </c>
      <c r="I248" cm="1">
        <f t="array" ref="I248">_xlfn.IFNA(INDEX(QHPSelections2016[],MATCH(1,(QHPSelections2016[State Name]=HIX_RatingAreas[[#This Row],[State Code]])*(QHPSelections2016[County Name]=HIX_RatingAreas[[#This Row],[Subdivision]]),0),MATCH("Silver",QHPSelections2016[#Headers],0)),0)</f>
        <v>690</v>
      </c>
      <c r="J248" cm="1">
        <f t="array" ref="J248">_xlfn.IFNA(INDEX(QHPSelections2016[],MATCH(1,(QHPSelections2016[State Name]=HIX_RatingAreas[[#This Row],[State Code]])*(QHPSelections2016[County Name]=HIX_RatingAreas[[#This Row],[Subdivision]]),0),MATCH("Total Plan Selections",QHPSelections2016[#Headers],0)),0)</f>
        <v>835</v>
      </c>
      <c r="L248" t="str" cm="1">
        <f t="array" ref="L248">INDEX(QHPSelections2016[],MATCH(1,(QHPSelections2016[State Name]=HIX_RatingAreas[[#This Row],[State Code]])*(QHPSelections2016[County Name]=HIX_RatingAreas[[#This Row],[Subdivision]]),0),MATCH("County Name",QHPSelections2016[#Headers],0))</f>
        <v>Dodge County</v>
      </c>
      <c r="M248" t="b">
        <f>L248=HIX_RatingAreas[[#This Row],[Subdivision]]</f>
        <v>1</v>
      </c>
      <c r="N248">
        <v>245</v>
      </c>
    </row>
    <row r="249" spans="3:14">
      <c r="C249" t="s">
        <v>16</v>
      </c>
      <c r="D249" t="s">
        <v>1515</v>
      </c>
      <c r="E249" t="s">
        <v>108</v>
      </c>
      <c r="F249" s="36">
        <v>12</v>
      </c>
      <c r="G249" t="s">
        <v>1062</v>
      </c>
      <c r="I249" cm="1">
        <f t="array" ref="I249">_xlfn.IFNA(INDEX(QHPSelections2016[],MATCH(1,(QHPSelections2016[State Name]=HIX_RatingAreas[[#This Row],[State Code]])*(QHPSelections2016[County Name]=HIX_RatingAreas[[#This Row],[Subdivision]]),0),MATCH("Silver",QHPSelections2016[#Headers],0)),0)</f>
        <v>297</v>
      </c>
      <c r="J249" cm="1">
        <f t="array" ref="J249">_xlfn.IFNA(INDEX(QHPSelections2016[],MATCH(1,(QHPSelections2016[State Name]=HIX_RatingAreas[[#This Row],[State Code]])*(QHPSelections2016[County Name]=HIX_RatingAreas[[#This Row],[Subdivision]]),0),MATCH("Total Plan Selections",QHPSelections2016[#Headers],0)),0)</f>
        <v>369</v>
      </c>
      <c r="L249" t="str" cm="1">
        <f t="array" ref="L249">INDEX(QHPSelections2016[],MATCH(1,(QHPSelections2016[State Name]=HIX_RatingAreas[[#This Row],[State Code]])*(QHPSelections2016[County Name]=HIX_RatingAreas[[#This Row],[Subdivision]]),0),MATCH("County Name",QHPSelections2016[#Headers],0))</f>
        <v>Dooly County</v>
      </c>
      <c r="M249" t="b">
        <f>L249=HIX_RatingAreas[[#This Row],[Subdivision]]</f>
        <v>1</v>
      </c>
      <c r="N249">
        <v>246</v>
      </c>
    </row>
    <row r="250" spans="3:14">
      <c r="C250" t="s">
        <v>16</v>
      </c>
      <c r="D250" t="s">
        <v>1515</v>
      </c>
      <c r="E250" t="s">
        <v>108</v>
      </c>
      <c r="F250" s="36">
        <v>12</v>
      </c>
      <c r="G250" t="s">
        <v>1009</v>
      </c>
      <c r="I250" cm="1">
        <f t="array" ref="I250">_xlfn.IFNA(INDEX(QHPSelections2016[],MATCH(1,(QHPSelections2016[State Name]=HIX_RatingAreas[[#This Row],[State Code]])*(QHPSelections2016[County Name]=HIX_RatingAreas[[#This Row],[Subdivision]]),0),MATCH("Silver",QHPSelections2016[#Headers],0)),0)</f>
        <v>4164</v>
      </c>
      <c r="J250" cm="1">
        <f t="array" ref="J250">_xlfn.IFNA(INDEX(QHPSelections2016[],MATCH(1,(QHPSelections2016[State Name]=HIX_RatingAreas[[#This Row],[State Code]])*(QHPSelections2016[County Name]=HIX_RatingAreas[[#This Row],[Subdivision]]),0),MATCH("Total Plan Selections",QHPSelections2016[#Headers],0)),0)</f>
        <v>5232</v>
      </c>
      <c r="L250" t="str" cm="1">
        <f t="array" ref="L250">INDEX(QHPSelections2016[],MATCH(1,(QHPSelections2016[State Name]=HIX_RatingAreas[[#This Row],[State Code]])*(QHPSelections2016[County Name]=HIX_RatingAreas[[#This Row],[Subdivision]]),0),MATCH("County Name",QHPSelections2016[#Headers],0))</f>
        <v>Houston County</v>
      </c>
      <c r="M250" t="b">
        <f>L250=HIX_RatingAreas[[#This Row],[Subdivision]]</f>
        <v>1</v>
      </c>
      <c r="N250">
        <v>247</v>
      </c>
    </row>
    <row r="251" spans="3:14">
      <c r="C251" t="s">
        <v>16</v>
      </c>
      <c r="D251" t="s">
        <v>1515</v>
      </c>
      <c r="E251" t="s">
        <v>108</v>
      </c>
      <c r="F251" s="36">
        <v>12</v>
      </c>
      <c r="G251" t="s">
        <v>1006</v>
      </c>
      <c r="I251" cm="1">
        <f t="array" ref="I251">_xlfn.IFNA(INDEX(QHPSelections2016[],MATCH(1,(QHPSelections2016[State Name]=HIX_RatingAreas[[#This Row],[State Code]])*(QHPSelections2016[County Name]=HIX_RatingAreas[[#This Row],[Subdivision]]),0),MATCH("Silver",QHPSelections2016[#Headers],0)),0)</f>
        <v>881</v>
      </c>
      <c r="J251" cm="1">
        <f t="array" ref="J251">_xlfn.IFNA(INDEX(QHPSelections2016[],MATCH(1,(QHPSelections2016[State Name]=HIX_RatingAreas[[#This Row],[State Code]])*(QHPSelections2016[County Name]=HIX_RatingAreas[[#This Row],[Subdivision]]),0),MATCH("Total Plan Selections",QHPSelections2016[#Headers],0)),0)</f>
        <v>1089</v>
      </c>
      <c r="L251" t="str" cm="1">
        <f t="array" ref="L251">INDEX(QHPSelections2016[],MATCH(1,(QHPSelections2016[State Name]=HIX_RatingAreas[[#This Row],[State Code]])*(QHPSelections2016[County Name]=HIX_RatingAreas[[#This Row],[Subdivision]]),0),MATCH("County Name",QHPSelections2016[#Headers],0))</f>
        <v>Jones County</v>
      </c>
      <c r="M251" t="b">
        <f>L251=HIX_RatingAreas[[#This Row],[Subdivision]]</f>
        <v>1</v>
      </c>
      <c r="N251">
        <v>248</v>
      </c>
    </row>
    <row r="252" spans="3:14">
      <c r="C252" t="s">
        <v>16</v>
      </c>
      <c r="D252" t="s">
        <v>1515</v>
      </c>
      <c r="E252" t="s">
        <v>108</v>
      </c>
      <c r="F252" s="36">
        <v>12</v>
      </c>
      <c r="G252" t="s">
        <v>1055</v>
      </c>
      <c r="I252" cm="1">
        <f t="array" ref="I252">_xlfn.IFNA(INDEX(QHPSelections2016[],MATCH(1,(QHPSelections2016[State Name]=HIX_RatingAreas[[#This Row],[State Code]])*(QHPSelections2016[County Name]=HIX_RatingAreas[[#This Row],[Subdivision]]),0),MATCH("Silver",QHPSelections2016[#Headers],0)),0)</f>
        <v>938</v>
      </c>
      <c r="J252" cm="1">
        <f t="array" ref="J252">_xlfn.IFNA(INDEX(QHPSelections2016[],MATCH(1,(QHPSelections2016[State Name]=HIX_RatingAreas[[#This Row],[State Code]])*(QHPSelections2016[County Name]=HIX_RatingAreas[[#This Row],[Subdivision]]),0),MATCH("Total Plan Selections",QHPSelections2016[#Headers],0)),0)</f>
        <v>1175</v>
      </c>
      <c r="L252" t="str" cm="1">
        <f t="array" ref="L252">INDEX(QHPSelections2016[],MATCH(1,(QHPSelections2016[State Name]=HIX_RatingAreas[[#This Row],[State Code]])*(QHPSelections2016[County Name]=HIX_RatingAreas[[#This Row],[Subdivision]]),0),MATCH("County Name",QHPSelections2016[#Headers],0))</f>
        <v>Monroe County</v>
      </c>
      <c r="M252" t="b">
        <f>L252=HIX_RatingAreas[[#This Row],[Subdivision]]</f>
        <v>1</v>
      </c>
      <c r="N252">
        <v>249</v>
      </c>
    </row>
    <row r="253" spans="3:14">
      <c r="C253" t="s">
        <v>16</v>
      </c>
      <c r="D253" t="s">
        <v>1515</v>
      </c>
      <c r="E253" t="s">
        <v>108</v>
      </c>
      <c r="F253" s="36">
        <v>12</v>
      </c>
      <c r="G253" t="s">
        <v>1284</v>
      </c>
      <c r="I253" cm="1">
        <f t="array" ref="I253">_xlfn.IFNA(INDEX(QHPSelections2016[],MATCH(1,(QHPSelections2016[State Name]=HIX_RatingAreas[[#This Row],[State Code]])*(QHPSelections2016[County Name]=HIX_RatingAreas[[#This Row],[Subdivision]]),0),MATCH("Silver",QHPSelections2016[#Headers],0)),0)</f>
        <v>979</v>
      </c>
      <c r="J253" cm="1">
        <f t="array" ref="J253">_xlfn.IFNA(INDEX(QHPSelections2016[],MATCH(1,(QHPSelections2016[State Name]=HIX_RatingAreas[[#This Row],[State Code]])*(QHPSelections2016[County Name]=HIX_RatingAreas[[#This Row],[Subdivision]]),0),MATCH("Total Plan Selections",QHPSelections2016[#Headers],0)),0)</f>
        <v>1212</v>
      </c>
      <c r="L253" t="str" cm="1">
        <f t="array" ref="L253">INDEX(QHPSelections2016[],MATCH(1,(QHPSelections2016[State Name]=HIX_RatingAreas[[#This Row],[State Code]])*(QHPSelections2016[County Name]=HIX_RatingAreas[[#This Row],[Subdivision]]),0),MATCH("County Name",QHPSelections2016[#Headers],0))</f>
        <v>Peach County</v>
      </c>
      <c r="M253" t="b">
        <f>L253=HIX_RatingAreas[[#This Row],[Subdivision]]</f>
        <v>1</v>
      </c>
      <c r="N253">
        <v>250</v>
      </c>
    </row>
    <row r="254" spans="3:14">
      <c r="C254" t="s">
        <v>16</v>
      </c>
      <c r="D254" t="s">
        <v>1515</v>
      </c>
      <c r="E254" t="s">
        <v>108</v>
      </c>
      <c r="F254" s="36">
        <v>12</v>
      </c>
      <c r="G254" t="s">
        <v>1290</v>
      </c>
      <c r="I254" cm="1">
        <f t="array" ref="I254">_xlfn.IFNA(INDEX(QHPSelections2016[],MATCH(1,(QHPSelections2016[State Name]=HIX_RatingAreas[[#This Row],[State Code]])*(QHPSelections2016[County Name]=HIX_RatingAreas[[#This Row],[Subdivision]]),0),MATCH("Silver",QHPSelections2016[#Headers],0)),0)</f>
        <v>258</v>
      </c>
      <c r="J254" cm="1">
        <f t="array" ref="J254">_xlfn.IFNA(INDEX(QHPSelections2016[],MATCH(1,(QHPSelections2016[State Name]=HIX_RatingAreas[[#This Row],[State Code]])*(QHPSelections2016[County Name]=HIX_RatingAreas[[#This Row],[Subdivision]]),0),MATCH("Total Plan Selections",QHPSelections2016[#Headers],0)),0)</f>
        <v>321</v>
      </c>
      <c r="L254" t="str" cm="1">
        <f t="array" ref="L254">INDEX(QHPSelections2016[],MATCH(1,(QHPSelections2016[State Name]=HIX_RatingAreas[[#This Row],[State Code]])*(QHPSelections2016[County Name]=HIX_RatingAreas[[#This Row],[Subdivision]]),0),MATCH("County Name",QHPSelections2016[#Headers],0))</f>
        <v>Pulaski County</v>
      </c>
      <c r="M254" t="b">
        <f>L254=HIX_RatingAreas[[#This Row],[Subdivision]]</f>
        <v>1</v>
      </c>
      <c r="N254">
        <v>251</v>
      </c>
    </row>
    <row r="255" spans="3:14">
      <c r="C255" t="s">
        <v>16</v>
      </c>
      <c r="D255" t="s">
        <v>1515</v>
      </c>
      <c r="E255" t="s">
        <v>108</v>
      </c>
      <c r="F255" s="36">
        <v>12</v>
      </c>
      <c r="G255" t="s">
        <v>1103</v>
      </c>
      <c r="I255" cm="1">
        <f t="array" ref="I255">_xlfn.IFNA(INDEX(QHPSelections2016[],MATCH(1,(QHPSelections2016[State Name]=HIX_RatingAreas[[#This Row],[State Code]])*(QHPSelections2016[County Name]=HIX_RatingAreas[[#This Row],[Subdivision]]),0),MATCH("Silver",QHPSelections2016[#Headers],0)),0)</f>
        <v>713</v>
      </c>
      <c r="J255" cm="1">
        <f t="array" ref="J255">_xlfn.IFNA(INDEX(QHPSelections2016[],MATCH(1,(QHPSelections2016[State Name]=HIX_RatingAreas[[#This Row],[State Code]])*(QHPSelections2016[County Name]=HIX_RatingAreas[[#This Row],[Subdivision]]),0),MATCH("Total Plan Selections",QHPSelections2016[#Headers],0)),0)</f>
        <v>916</v>
      </c>
      <c r="L255" t="str" cm="1">
        <f t="array" ref="L255">INDEX(QHPSelections2016[],MATCH(1,(QHPSelections2016[State Name]=HIX_RatingAreas[[#This Row],[State Code]])*(QHPSelections2016[County Name]=HIX_RatingAreas[[#This Row],[Subdivision]]),0),MATCH("County Name",QHPSelections2016[#Headers],0))</f>
        <v>Putnam County</v>
      </c>
      <c r="M255" t="b">
        <f>L255=HIX_RatingAreas[[#This Row],[Subdivision]]</f>
        <v>1</v>
      </c>
      <c r="N255">
        <v>252</v>
      </c>
    </row>
    <row r="256" spans="3:14">
      <c r="C256" t="s">
        <v>16</v>
      </c>
      <c r="D256" t="s">
        <v>1515</v>
      </c>
      <c r="E256" t="s">
        <v>108</v>
      </c>
      <c r="F256" s="36">
        <v>12</v>
      </c>
      <c r="G256" t="s">
        <v>1328</v>
      </c>
      <c r="I256" cm="1">
        <f t="array" ref="I256">_xlfn.IFNA(INDEX(QHPSelections2016[],MATCH(1,(QHPSelections2016[State Name]=HIX_RatingAreas[[#This Row],[State Code]])*(QHPSelections2016[County Name]=HIX_RatingAreas[[#This Row],[Subdivision]]),0),MATCH("Silver",QHPSelections2016[#Headers],0)),0)</f>
        <v>291</v>
      </c>
      <c r="J256" cm="1">
        <f t="array" ref="J256">_xlfn.IFNA(INDEX(QHPSelections2016[],MATCH(1,(QHPSelections2016[State Name]=HIX_RatingAreas[[#This Row],[State Code]])*(QHPSelections2016[County Name]=HIX_RatingAreas[[#This Row],[Subdivision]]),0),MATCH("Total Plan Selections",QHPSelections2016[#Headers],0)),0)</f>
        <v>350</v>
      </c>
      <c r="L256" t="str" cm="1">
        <f t="array" ref="L256">INDEX(QHPSelections2016[],MATCH(1,(QHPSelections2016[State Name]=HIX_RatingAreas[[#This Row],[State Code]])*(QHPSelections2016[County Name]=HIX_RatingAreas[[#This Row],[Subdivision]]),0),MATCH("County Name",QHPSelections2016[#Headers],0))</f>
        <v>Twiggs County</v>
      </c>
      <c r="M256" t="b">
        <f>L256=HIX_RatingAreas[[#This Row],[Subdivision]]</f>
        <v>1</v>
      </c>
      <c r="N256">
        <v>253</v>
      </c>
    </row>
    <row r="257" spans="3:14">
      <c r="C257" t="s">
        <v>16</v>
      </c>
      <c r="D257" t="s">
        <v>1515</v>
      </c>
      <c r="E257" t="s">
        <v>108</v>
      </c>
      <c r="F257" s="36">
        <v>12</v>
      </c>
      <c r="G257" t="s">
        <v>1166</v>
      </c>
      <c r="I257" cm="1">
        <f t="array" ref="I257">_xlfn.IFNA(INDEX(QHPSelections2016[],MATCH(1,(QHPSelections2016[State Name]=HIX_RatingAreas[[#This Row],[State Code]])*(QHPSelections2016[County Name]=HIX_RatingAreas[[#This Row],[Subdivision]]),0),MATCH("Silver",QHPSelections2016[#Headers],0)),0)</f>
        <v>235</v>
      </c>
      <c r="J257" cm="1">
        <f t="array" ref="J257">_xlfn.IFNA(INDEX(QHPSelections2016[],MATCH(1,(QHPSelections2016[State Name]=HIX_RatingAreas[[#This Row],[State Code]])*(QHPSelections2016[County Name]=HIX_RatingAreas[[#This Row],[Subdivision]]),0),MATCH("Total Plan Selections",QHPSelections2016[#Headers],0)),0)</f>
        <v>294</v>
      </c>
      <c r="L257" t="str" cm="1">
        <f t="array" ref="L257">INDEX(QHPSelections2016[],MATCH(1,(QHPSelections2016[State Name]=HIX_RatingAreas[[#This Row],[State Code]])*(QHPSelections2016[County Name]=HIX_RatingAreas[[#This Row],[Subdivision]]),0),MATCH("County Name",QHPSelections2016[#Headers],0))</f>
        <v>Wilcox County</v>
      </c>
      <c r="M257" t="b">
        <f>L257=HIX_RatingAreas[[#This Row],[Subdivision]]</f>
        <v>1</v>
      </c>
      <c r="N257">
        <v>254</v>
      </c>
    </row>
    <row r="258" spans="3:14">
      <c r="C258" t="s">
        <v>16</v>
      </c>
      <c r="D258" t="s">
        <v>1515</v>
      </c>
      <c r="E258" t="s">
        <v>112</v>
      </c>
      <c r="F258" s="36">
        <v>13</v>
      </c>
      <c r="G258" t="s">
        <v>970</v>
      </c>
      <c r="I258" cm="1">
        <f t="array" ref="I258">_xlfn.IFNA(INDEX(QHPSelections2016[],MATCH(1,(QHPSelections2016[State Name]=HIX_RatingAreas[[#This Row],[State Code]])*(QHPSelections2016[County Name]=HIX_RatingAreas[[#This Row],[Subdivision]]),0),MATCH("Silver",QHPSelections2016[#Headers],0)),0)</f>
        <v>726</v>
      </c>
      <c r="J258" cm="1">
        <f t="array" ref="J258">_xlfn.IFNA(INDEX(QHPSelections2016[],MATCH(1,(QHPSelections2016[State Name]=HIX_RatingAreas[[#This Row],[State Code]])*(QHPSelections2016[County Name]=HIX_RatingAreas[[#This Row],[Subdivision]]),0),MATCH("Total Plan Selections",QHPSelections2016[#Headers],0)),0)</f>
        <v>869</v>
      </c>
      <c r="L258" t="str" cm="1">
        <f t="array" ref="L258">INDEX(QHPSelections2016[],MATCH(1,(QHPSelections2016[State Name]=HIX_RatingAreas[[#This Row],[State Code]])*(QHPSelections2016[County Name]=HIX_RatingAreas[[#This Row],[Subdivision]]),0),MATCH("County Name",QHPSelections2016[#Headers],0))</f>
        <v>Chattooga County</v>
      </c>
      <c r="M258" t="b">
        <f>L258=HIX_RatingAreas[[#This Row],[Subdivision]]</f>
        <v>1</v>
      </c>
      <c r="N258">
        <v>255</v>
      </c>
    </row>
    <row r="259" spans="3:14">
      <c r="C259" t="s">
        <v>16</v>
      </c>
      <c r="D259" t="s">
        <v>1515</v>
      </c>
      <c r="E259" t="s">
        <v>112</v>
      </c>
      <c r="F259" s="36">
        <v>13</v>
      </c>
      <c r="G259" t="s">
        <v>1121</v>
      </c>
      <c r="I259" cm="1">
        <f t="array" ref="I259">_xlfn.IFNA(INDEX(QHPSelections2016[],MATCH(1,(QHPSelections2016[State Name]=HIX_RatingAreas[[#This Row],[State Code]])*(QHPSelections2016[County Name]=HIX_RatingAreas[[#This Row],[Subdivision]]),0),MATCH("Silver",QHPSelections2016[#Headers],0)),0)</f>
        <v>3598</v>
      </c>
      <c r="J259" cm="1">
        <f t="array" ref="J259">_xlfn.IFNA(INDEX(QHPSelections2016[],MATCH(1,(QHPSelections2016[State Name]=HIX_RatingAreas[[#This Row],[State Code]])*(QHPSelections2016[County Name]=HIX_RatingAreas[[#This Row],[Subdivision]]),0),MATCH("Total Plan Selections",QHPSelections2016[#Headers],0)),0)</f>
        <v>4549</v>
      </c>
      <c r="L259" t="str" cm="1">
        <f t="array" ref="L259">INDEX(QHPSelections2016[],MATCH(1,(QHPSelections2016[State Name]=HIX_RatingAreas[[#This Row],[State Code]])*(QHPSelections2016[County Name]=HIX_RatingAreas[[#This Row],[Subdivision]]),0),MATCH("County Name",QHPSelections2016[#Headers],0))</f>
        <v>Floyd County</v>
      </c>
      <c r="M259" t="b">
        <f>L259=HIX_RatingAreas[[#This Row],[Subdivision]]</f>
        <v>1</v>
      </c>
      <c r="N259">
        <v>256</v>
      </c>
    </row>
    <row r="260" spans="3:14">
      <c r="C260" t="s">
        <v>16</v>
      </c>
      <c r="D260" t="s">
        <v>1515</v>
      </c>
      <c r="E260" t="s">
        <v>112</v>
      </c>
      <c r="F260" s="36">
        <v>13</v>
      </c>
      <c r="G260" t="s">
        <v>1138</v>
      </c>
      <c r="I260" cm="1">
        <f t="array" ref="I260">_xlfn.IFNA(INDEX(QHPSelections2016[],MATCH(1,(QHPSelections2016[State Name]=HIX_RatingAreas[[#This Row],[State Code]])*(QHPSelections2016[County Name]=HIX_RatingAreas[[#This Row],[Subdivision]]),0),MATCH("Silver",QHPSelections2016[#Headers],0)),0)</f>
        <v>1237</v>
      </c>
      <c r="J260" cm="1">
        <f t="array" ref="J260">_xlfn.IFNA(INDEX(QHPSelections2016[],MATCH(1,(QHPSelections2016[State Name]=HIX_RatingAreas[[#This Row],[State Code]])*(QHPSelections2016[County Name]=HIX_RatingAreas[[#This Row],[Subdivision]]),0),MATCH("Total Plan Selections",QHPSelections2016[#Headers],0)),0)</f>
        <v>1537</v>
      </c>
      <c r="L260" t="str" cm="1">
        <f t="array" ref="L260">INDEX(QHPSelections2016[],MATCH(1,(QHPSelections2016[State Name]=HIX_RatingAreas[[#This Row],[State Code]])*(QHPSelections2016[County Name]=HIX_RatingAreas[[#This Row],[Subdivision]]),0),MATCH("County Name",QHPSelections2016[#Headers],0))</f>
        <v>Gilmer County</v>
      </c>
      <c r="M260" t="b">
        <f>L260=HIX_RatingAreas[[#This Row],[Subdivision]]</f>
        <v>1</v>
      </c>
      <c r="N260">
        <v>257</v>
      </c>
    </row>
    <row r="261" spans="3:14">
      <c r="C261" t="s">
        <v>16</v>
      </c>
      <c r="D261" t="s">
        <v>1515</v>
      </c>
      <c r="E261" t="s">
        <v>112</v>
      </c>
      <c r="F261" s="36">
        <v>13</v>
      </c>
      <c r="G261" t="s">
        <v>1156</v>
      </c>
      <c r="I261" cm="1">
        <f t="array" ref="I261">_xlfn.IFNA(INDEX(QHPSelections2016[],MATCH(1,(QHPSelections2016[State Name]=HIX_RatingAreas[[#This Row],[State Code]])*(QHPSelections2016[County Name]=HIX_RatingAreas[[#This Row],[Subdivision]]),0),MATCH("Silver",QHPSelections2016[#Headers],0)),0)</f>
        <v>1576</v>
      </c>
      <c r="J261" cm="1">
        <f t="array" ref="J261">_xlfn.IFNA(INDEX(QHPSelections2016[],MATCH(1,(QHPSelections2016[State Name]=HIX_RatingAreas[[#This Row],[State Code]])*(QHPSelections2016[County Name]=HIX_RatingAreas[[#This Row],[Subdivision]]),0),MATCH("Total Plan Selections",QHPSelections2016[#Headers],0)),0)</f>
        <v>2005</v>
      </c>
      <c r="L261" t="str" cm="1">
        <f t="array" ref="L261">INDEX(QHPSelections2016[],MATCH(1,(QHPSelections2016[State Name]=HIX_RatingAreas[[#This Row],[State Code]])*(QHPSelections2016[County Name]=HIX_RatingAreas[[#This Row],[Subdivision]]),0),MATCH("County Name",QHPSelections2016[#Headers],0))</f>
        <v>Gordon County</v>
      </c>
      <c r="M261" t="b">
        <f>L261=HIX_RatingAreas[[#This Row],[Subdivision]]</f>
        <v>1</v>
      </c>
      <c r="N261">
        <v>258</v>
      </c>
    </row>
    <row r="262" spans="3:14">
      <c r="C262" t="s">
        <v>16</v>
      </c>
      <c r="D262" t="s">
        <v>1515</v>
      </c>
      <c r="E262" t="s">
        <v>112</v>
      </c>
      <c r="F262" s="36">
        <v>13</v>
      </c>
      <c r="G262" t="s">
        <v>1102</v>
      </c>
      <c r="I262" cm="1">
        <f t="array" ref="I262">_xlfn.IFNA(INDEX(QHPSelections2016[],MATCH(1,(QHPSelections2016[State Name]=HIX_RatingAreas[[#This Row],[State Code]])*(QHPSelections2016[County Name]=HIX_RatingAreas[[#This Row],[Subdivision]]),0),MATCH("Silver",QHPSelections2016[#Headers],0)),0)</f>
        <v>1146</v>
      </c>
      <c r="J262" cm="1">
        <f t="array" ref="J262">_xlfn.IFNA(INDEX(QHPSelections2016[],MATCH(1,(QHPSelections2016[State Name]=HIX_RatingAreas[[#This Row],[State Code]])*(QHPSelections2016[County Name]=HIX_RatingAreas[[#This Row],[Subdivision]]),0),MATCH("Total Plan Selections",QHPSelections2016[#Headers],0)),0)</f>
        <v>1549</v>
      </c>
      <c r="L262" t="str" cm="1">
        <f t="array" ref="L262">INDEX(QHPSelections2016[],MATCH(1,(QHPSelections2016[State Name]=HIX_RatingAreas[[#This Row],[State Code]])*(QHPSelections2016[County Name]=HIX_RatingAreas[[#This Row],[Subdivision]]),0),MATCH("County Name",QHPSelections2016[#Headers],0))</f>
        <v>Pickens County</v>
      </c>
      <c r="M262" t="b">
        <f>L262=HIX_RatingAreas[[#This Row],[Subdivision]]</f>
        <v>1</v>
      </c>
      <c r="N262">
        <v>259</v>
      </c>
    </row>
    <row r="263" spans="3:14">
      <c r="C263" t="s">
        <v>16</v>
      </c>
      <c r="D263" t="s">
        <v>1515</v>
      </c>
      <c r="E263" t="s">
        <v>112</v>
      </c>
      <c r="F263" s="36">
        <v>13</v>
      </c>
      <c r="G263" t="s">
        <v>1098</v>
      </c>
      <c r="I263" cm="1">
        <f t="array" ref="I263">_xlfn.IFNA(INDEX(QHPSelections2016[],MATCH(1,(QHPSelections2016[State Name]=HIX_RatingAreas[[#This Row],[State Code]])*(QHPSelections2016[County Name]=HIX_RatingAreas[[#This Row],[Subdivision]]),0),MATCH("Silver",QHPSelections2016[#Headers],0)),0)</f>
        <v>1636</v>
      </c>
      <c r="J263" cm="1">
        <f t="array" ref="J263">_xlfn.IFNA(INDEX(QHPSelections2016[],MATCH(1,(QHPSelections2016[State Name]=HIX_RatingAreas[[#This Row],[State Code]])*(QHPSelections2016[County Name]=HIX_RatingAreas[[#This Row],[Subdivision]]),0),MATCH("Total Plan Selections",QHPSelections2016[#Headers],0)),0)</f>
        <v>2006</v>
      </c>
      <c r="L263" t="str" cm="1">
        <f t="array" ref="L263">INDEX(QHPSelections2016[],MATCH(1,(QHPSelections2016[State Name]=HIX_RatingAreas[[#This Row],[State Code]])*(QHPSelections2016[County Name]=HIX_RatingAreas[[#This Row],[Subdivision]]),0),MATCH("County Name",QHPSelections2016[#Headers],0))</f>
        <v>Polk County</v>
      </c>
      <c r="M263" t="b">
        <f>L263=HIX_RatingAreas[[#This Row],[Subdivision]]</f>
        <v>1</v>
      </c>
      <c r="N263">
        <v>260</v>
      </c>
    </row>
    <row r="264" spans="3:14">
      <c r="C264" t="s">
        <v>16</v>
      </c>
      <c r="D264" t="s">
        <v>1515</v>
      </c>
      <c r="E264" t="s">
        <v>167</v>
      </c>
      <c r="F264" s="36">
        <v>14</v>
      </c>
      <c r="G264" t="s">
        <v>819</v>
      </c>
      <c r="I264" cm="1">
        <f t="array" ref="I264">_xlfn.IFNA(INDEX(QHPSelections2016[],MATCH(1,(QHPSelections2016[State Name]=HIX_RatingAreas[[#This Row],[State Code]])*(QHPSelections2016[County Name]=HIX_RatingAreas[[#This Row],[Subdivision]]),0),MATCH("Silver",QHPSelections2016[#Headers],0)),0)</f>
        <v>622</v>
      </c>
      <c r="J264" cm="1">
        <f t="array" ref="J264">_xlfn.IFNA(INDEX(QHPSelections2016[],MATCH(1,(QHPSelections2016[State Name]=HIX_RatingAreas[[#This Row],[State Code]])*(QHPSelections2016[County Name]=HIX_RatingAreas[[#This Row],[Subdivision]]),0),MATCH("Total Plan Selections",QHPSelections2016[#Headers],0)),0)</f>
        <v>743</v>
      </c>
      <c r="L264" t="str" cm="1">
        <f t="array" ref="L264">INDEX(QHPSelections2016[],MATCH(1,(QHPSelections2016[State Name]=HIX_RatingAreas[[#This Row],[State Code]])*(QHPSelections2016[County Name]=HIX_RatingAreas[[#This Row],[Subdivision]]),0),MATCH("County Name",QHPSelections2016[#Headers],0))</f>
        <v>Appling County</v>
      </c>
      <c r="M264" t="b">
        <f>L264=HIX_RatingAreas[[#This Row],[Subdivision]]</f>
        <v>1</v>
      </c>
      <c r="N264">
        <v>261</v>
      </c>
    </row>
    <row r="265" spans="3:14">
      <c r="C265" t="s">
        <v>16</v>
      </c>
      <c r="D265" t="s">
        <v>1515</v>
      </c>
      <c r="E265" t="s">
        <v>167</v>
      </c>
      <c r="F265" s="36">
        <v>14</v>
      </c>
      <c r="G265" t="s">
        <v>902</v>
      </c>
      <c r="I265" cm="1">
        <f t="array" ref="I265">_xlfn.IFNA(INDEX(QHPSelections2016[],MATCH(1,(QHPSelections2016[State Name]=HIX_RatingAreas[[#This Row],[State Code]])*(QHPSelections2016[County Name]=HIX_RatingAreas[[#This Row],[Subdivision]]),0),MATCH("Silver",QHPSelections2016[#Headers],0)),0)</f>
        <v>1765</v>
      </c>
      <c r="J265" cm="1">
        <f t="array" ref="J265">_xlfn.IFNA(INDEX(QHPSelections2016[],MATCH(1,(QHPSelections2016[State Name]=HIX_RatingAreas[[#This Row],[State Code]])*(QHPSelections2016[County Name]=HIX_RatingAreas[[#This Row],[Subdivision]]),0),MATCH("Total Plan Selections",QHPSelections2016[#Headers],0)),0)</f>
        <v>2218</v>
      </c>
      <c r="L265" t="str" cm="1">
        <f t="array" ref="L265">INDEX(QHPSelections2016[],MATCH(1,(QHPSelections2016[State Name]=HIX_RatingAreas[[#This Row],[State Code]])*(QHPSelections2016[County Name]=HIX_RatingAreas[[#This Row],[Subdivision]]),0),MATCH("County Name",QHPSelections2016[#Headers],0))</f>
        <v>Bryan County</v>
      </c>
      <c r="M265" t="b">
        <f>L265=HIX_RatingAreas[[#This Row],[Subdivision]]</f>
        <v>1</v>
      </c>
      <c r="N265">
        <v>262</v>
      </c>
    </row>
    <row r="266" spans="3:14">
      <c r="C266" t="s">
        <v>16</v>
      </c>
      <c r="D266" t="s">
        <v>1515</v>
      </c>
      <c r="E266" t="s">
        <v>167</v>
      </c>
      <c r="F266" s="36">
        <v>14</v>
      </c>
      <c r="G266" t="s">
        <v>909</v>
      </c>
      <c r="I266" cm="1">
        <f t="array" ref="I266">_xlfn.IFNA(INDEX(QHPSelections2016[],MATCH(1,(QHPSelections2016[State Name]=HIX_RatingAreas[[#This Row],[State Code]])*(QHPSelections2016[County Name]=HIX_RatingAreas[[#This Row],[Subdivision]]),0),MATCH("Silver",QHPSelections2016[#Headers],0)),0)</f>
        <v>3117</v>
      </c>
      <c r="J266" cm="1">
        <f t="array" ref="J266">_xlfn.IFNA(INDEX(QHPSelections2016[],MATCH(1,(QHPSelections2016[State Name]=HIX_RatingAreas[[#This Row],[State Code]])*(QHPSelections2016[County Name]=HIX_RatingAreas[[#This Row],[Subdivision]]),0),MATCH("Total Plan Selections",QHPSelections2016[#Headers],0)),0)</f>
        <v>4022</v>
      </c>
      <c r="L266" t="str" cm="1">
        <f t="array" ref="L266">INDEX(QHPSelections2016[],MATCH(1,(QHPSelections2016[State Name]=HIX_RatingAreas[[#This Row],[State Code]])*(QHPSelections2016[County Name]=HIX_RatingAreas[[#This Row],[Subdivision]]),0),MATCH("County Name",QHPSelections2016[#Headers],0))</f>
        <v>Bulloch County</v>
      </c>
      <c r="M266" t="b">
        <f>L266=HIX_RatingAreas[[#This Row],[Subdivision]]</f>
        <v>1</v>
      </c>
      <c r="N266">
        <v>263</v>
      </c>
    </row>
    <row r="267" spans="3:14">
      <c r="C267" t="s">
        <v>16</v>
      </c>
      <c r="D267" t="s">
        <v>1515</v>
      </c>
      <c r="E267" t="s">
        <v>167</v>
      </c>
      <c r="F267" s="36">
        <v>14</v>
      </c>
      <c r="G267" t="s">
        <v>936</v>
      </c>
      <c r="I267" cm="1">
        <f t="array" ref="I267">_xlfn.IFNA(INDEX(QHPSelections2016[],MATCH(1,(QHPSelections2016[State Name]=HIX_RatingAreas[[#This Row],[State Code]])*(QHPSelections2016[County Name]=HIX_RatingAreas[[#This Row],[Subdivision]]),0),MATCH("Silver",QHPSelections2016[#Headers],0)),0)</f>
        <v>638</v>
      </c>
      <c r="J267" cm="1">
        <f t="array" ref="J267">_xlfn.IFNA(INDEX(QHPSelections2016[],MATCH(1,(QHPSelections2016[State Name]=HIX_RatingAreas[[#This Row],[State Code]])*(QHPSelections2016[County Name]=HIX_RatingAreas[[#This Row],[Subdivision]]),0),MATCH("Total Plan Selections",QHPSelections2016[#Headers],0)),0)</f>
        <v>752</v>
      </c>
      <c r="L267" t="str" cm="1">
        <f t="array" ref="L267">INDEX(QHPSelections2016[],MATCH(1,(QHPSelections2016[State Name]=HIX_RatingAreas[[#This Row],[State Code]])*(QHPSelections2016[County Name]=HIX_RatingAreas[[#This Row],[Subdivision]]),0),MATCH("County Name",QHPSelections2016[#Headers],0))</f>
        <v>Candler County</v>
      </c>
      <c r="M267" t="b">
        <f>L267=HIX_RatingAreas[[#This Row],[Subdivision]]</f>
        <v>1</v>
      </c>
      <c r="N267">
        <v>264</v>
      </c>
    </row>
    <row r="268" spans="3:14">
      <c r="C268" t="s">
        <v>16</v>
      </c>
      <c r="D268" t="s">
        <v>1515</v>
      </c>
      <c r="E268" t="s">
        <v>167</v>
      </c>
      <c r="F268" s="36">
        <v>14</v>
      </c>
      <c r="G268" t="s">
        <v>927</v>
      </c>
      <c r="I268" cm="1">
        <f t="array" ref="I268">_xlfn.IFNA(INDEX(QHPSelections2016[],MATCH(1,(QHPSelections2016[State Name]=HIX_RatingAreas[[#This Row],[State Code]])*(QHPSelections2016[County Name]=HIX_RatingAreas[[#This Row],[Subdivision]]),0),MATCH("Silver",QHPSelections2016[#Headers],0)),0)</f>
        <v>14236</v>
      </c>
      <c r="J268" cm="1">
        <f t="array" ref="J268">_xlfn.IFNA(INDEX(QHPSelections2016[],MATCH(1,(QHPSelections2016[State Name]=HIX_RatingAreas[[#This Row],[State Code]])*(QHPSelections2016[County Name]=HIX_RatingAreas[[#This Row],[Subdivision]]),0),MATCH("Total Plan Selections",QHPSelections2016[#Headers],0)),0)</f>
        <v>18939</v>
      </c>
      <c r="L268" t="str" cm="1">
        <f t="array" ref="L268">INDEX(QHPSelections2016[],MATCH(1,(QHPSelections2016[State Name]=HIX_RatingAreas[[#This Row],[State Code]])*(QHPSelections2016[County Name]=HIX_RatingAreas[[#This Row],[Subdivision]]),0),MATCH("County Name",QHPSelections2016[#Headers],0))</f>
        <v>Chatham County</v>
      </c>
      <c r="M268" t="b">
        <f>L268=HIX_RatingAreas[[#This Row],[Subdivision]]</f>
        <v>1</v>
      </c>
      <c r="N268">
        <v>265</v>
      </c>
    </row>
    <row r="269" spans="3:14">
      <c r="C269" t="s">
        <v>16</v>
      </c>
      <c r="D269" t="s">
        <v>1515</v>
      </c>
      <c r="E269" t="s">
        <v>167</v>
      </c>
      <c r="F269" s="36">
        <v>14</v>
      </c>
      <c r="G269" t="s">
        <v>1087</v>
      </c>
      <c r="I269" cm="1">
        <f t="array" ref="I269">_xlfn.IFNA(INDEX(QHPSelections2016[],MATCH(1,(QHPSelections2016[State Name]=HIX_RatingAreas[[#This Row],[State Code]])*(QHPSelections2016[County Name]=HIX_RatingAreas[[#This Row],[Subdivision]]),0),MATCH("Silver",QHPSelections2016[#Headers],0)),0)</f>
        <v>2421</v>
      </c>
      <c r="J269" cm="1">
        <f t="array" ref="J269">_xlfn.IFNA(INDEX(QHPSelections2016[],MATCH(1,(QHPSelections2016[State Name]=HIX_RatingAreas[[#This Row],[State Code]])*(QHPSelections2016[County Name]=HIX_RatingAreas[[#This Row],[Subdivision]]),0),MATCH("Total Plan Selections",QHPSelections2016[#Headers],0)),0)</f>
        <v>3066</v>
      </c>
      <c r="L269" t="str" cm="1">
        <f t="array" ref="L269">INDEX(QHPSelections2016[],MATCH(1,(QHPSelections2016[State Name]=HIX_RatingAreas[[#This Row],[State Code]])*(QHPSelections2016[County Name]=HIX_RatingAreas[[#This Row],[Subdivision]]),0),MATCH("County Name",QHPSelections2016[#Headers],0))</f>
        <v>Effingham County</v>
      </c>
      <c r="M269" t="b">
        <f>L269=HIX_RatingAreas[[#This Row],[Subdivision]]</f>
        <v>1</v>
      </c>
      <c r="N269">
        <v>266</v>
      </c>
    </row>
    <row r="270" spans="3:14">
      <c r="C270" t="s">
        <v>16</v>
      </c>
      <c r="D270" t="s">
        <v>1515</v>
      </c>
      <c r="E270" t="s">
        <v>167</v>
      </c>
      <c r="F270" s="36">
        <v>14</v>
      </c>
      <c r="G270" t="s">
        <v>1104</v>
      </c>
      <c r="I270" cm="1">
        <f t="array" ref="I270">_xlfn.IFNA(INDEX(QHPSelections2016[],MATCH(1,(QHPSelections2016[State Name]=HIX_RatingAreas[[#This Row],[State Code]])*(QHPSelections2016[County Name]=HIX_RatingAreas[[#This Row],[Subdivision]]),0),MATCH("Silver",QHPSelections2016[#Headers],0)),0)</f>
        <v>477</v>
      </c>
      <c r="J270" cm="1">
        <f t="array" ref="J270">_xlfn.IFNA(INDEX(QHPSelections2016[],MATCH(1,(QHPSelections2016[State Name]=HIX_RatingAreas[[#This Row],[State Code]])*(QHPSelections2016[County Name]=HIX_RatingAreas[[#This Row],[Subdivision]]),0),MATCH("Total Plan Selections",QHPSelections2016[#Headers],0)),0)</f>
        <v>584</v>
      </c>
      <c r="L270" t="str" cm="1">
        <f t="array" ref="L270">INDEX(QHPSelections2016[],MATCH(1,(QHPSelections2016[State Name]=HIX_RatingAreas[[#This Row],[State Code]])*(QHPSelections2016[County Name]=HIX_RatingAreas[[#This Row],[Subdivision]]),0),MATCH("County Name",QHPSelections2016[#Headers],0))</f>
        <v>Evans County</v>
      </c>
      <c r="M270" t="b">
        <f>L270=HIX_RatingAreas[[#This Row],[Subdivision]]</f>
        <v>1</v>
      </c>
      <c r="N270">
        <v>267</v>
      </c>
    </row>
    <row r="271" spans="3:14">
      <c r="C271" t="s">
        <v>16</v>
      </c>
      <c r="D271" t="s">
        <v>1515</v>
      </c>
      <c r="E271" t="s">
        <v>167</v>
      </c>
      <c r="F271" s="36">
        <v>14</v>
      </c>
      <c r="G271" t="s">
        <v>1023</v>
      </c>
      <c r="I271" cm="1">
        <f t="array" ref="I271">_xlfn.IFNA(INDEX(QHPSelections2016[],MATCH(1,(QHPSelections2016[State Name]=HIX_RatingAreas[[#This Row],[State Code]])*(QHPSelections2016[County Name]=HIX_RatingAreas[[#This Row],[Subdivision]]),0),MATCH("Silver",QHPSelections2016[#Headers],0)),0)</f>
        <v>1626</v>
      </c>
      <c r="J271" cm="1">
        <f t="array" ref="J271">_xlfn.IFNA(INDEX(QHPSelections2016[],MATCH(1,(QHPSelections2016[State Name]=HIX_RatingAreas[[#This Row],[State Code]])*(QHPSelections2016[County Name]=HIX_RatingAreas[[#This Row],[Subdivision]]),0),MATCH("Total Plan Selections",QHPSelections2016[#Headers],0)),0)</f>
        <v>2154</v>
      </c>
      <c r="L271" t="str" cm="1">
        <f t="array" ref="L271">INDEX(QHPSelections2016[],MATCH(1,(QHPSelections2016[State Name]=HIX_RatingAreas[[#This Row],[State Code]])*(QHPSelections2016[County Name]=HIX_RatingAreas[[#This Row],[Subdivision]]),0),MATCH("County Name",QHPSelections2016[#Headers],0))</f>
        <v>Liberty County</v>
      </c>
      <c r="M271" t="b">
        <f>L271=HIX_RatingAreas[[#This Row],[Subdivision]]</f>
        <v>1</v>
      </c>
      <c r="N271">
        <v>268</v>
      </c>
    </row>
    <row r="272" spans="3:14">
      <c r="C272" t="s">
        <v>16</v>
      </c>
      <c r="D272" t="s">
        <v>1515</v>
      </c>
      <c r="E272" t="s">
        <v>167</v>
      </c>
      <c r="F272" s="36">
        <v>14</v>
      </c>
      <c r="G272" t="s">
        <v>1251</v>
      </c>
      <c r="I272" cm="1">
        <f t="array" ref="I272">_xlfn.IFNA(INDEX(QHPSelections2016[],MATCH(1,(QHPSelections2016[State Name]=HIX_RatingAreas[[#This Row],[State Code]])*(QHPSelections2016[County Name]=HIX_RatingAreas[[#This Row],[Subdivision]]),0),MATCH("Silver",QHPSelections2016[#Headers],0)),0)</f>
        <v>375</v>
      </c>
      <c r="J272" cm="1">
        <f t="array" ref="J272">_xlfn.IFNA(INDEX(QHPSelections2016[],MATCH(1,(QHPSelections2016[State Name]=HIX_RatingAreas[[#This Row],[State Code]])*(QHPSelections2016[County Name]=HIX_RatingAreas[[#This Row],[Subdivision]]),0),MATCH("Total Plan Selections",QHPSelections2016[#Headers],0)),0)</f>
        <v>482</v>
      </c>
      <c r="L272" t="str" cm="1">
        <f t="array" ref="L272">INDEX(QHPSelections2016[],MATCH(1,(QHPSelections2016[State Name]=HIX_RatingAreas[[#This Row],[State Code]])*(QHPSelections2016[County Name]=HIX_RatingAreas[[#This Row],[Subdivision]]),0),MATCH("County Name",QHPSelections2016[#Headers],0))</f>
        <v>Long County</v>
      </c>
      <c r="M272" t="b">
        <f>L272=HIX_RatingAreas[[#This Row],[Subdivision]]</f>
        <v>1</v>
      </c>
      <c r="N272">
        <v>269</v>
      </c>
    </row>
    <row r="273" spans="3:14">
      <c r="C273" t="s">
        <v>16</v>
      </c>
      <c r="D273" t="s">
        <v>1515</v>
      </c>
      <c r="E273" t="s">
        <v>167</v>
      </c>
      <c r="F273" s="36">
        <v>14</v>
      </c>
      <c r="G273" t="s">
        <v>1298</v>
      </c>
      <c r="I273" cm="1">
        <f t="array" ref="I273">_xlfn.IFNA(INDEX(QHPSelections2016[],MATCH(1,(QHPSelections2016[State Name]=HIX_RatingAreas[[#This Row],[State Code]])*(QHPSelections2016[County Name]=HIX_RatingAreas[[#This Row],[Subdivision]]),0),MATCH("Silver",QHPSelections2016[#Headers],0)),0)</f>
        <v>685</v>
      </c>
      <c r="J273" cm="1">
        <f t="array" ref="J273">_xlfn.IFNA(INDEX(QHPSelections2016[],MATCH(1,(QHPSelections2016[State Name]=HIX_RatingAreas[[#This Row],[State Code]])*(QHPSelections2016[County Name]=HIX_RatingAreas[[#This Row],[Subdivision]]),0),MATCH("Total Plan Selections",QHPSelections2016[#Headers],0)),0)</f>
        <v>856</v>
      </c>
      <c r="L273" t="str" cm="1">
        <f t="array" ref="L273">INDEX(QHPSelections2016[],MATCH(1,(QHPSelections2016[State Name]=HIX_RatingAreas[[#This Row],[State Code]])*(QHPSelections2016[County Name]=HIX_RatingAreas[[#This Row],[Subdivision]]),0),MATCH("County Name",QHPSelections2016[#Headers],0))</f>
        <v>Screven County</v>
      </c>
      <c r="M273" t="b">
        <f>L273=HIX_RatingAreas[[#This Row],[Subdivision]]</f>
        <v>1</v>
      </c>
      <c r="N273">
        <v>270</v>
      </c>
    </row>
    <row r="274" spans="3:14">
      <c r="C274" t="s">
        <v>16</v>
      </c>
      <c r="D274" t="s">
        <v>1515</v>
      </c>
      <c r="E274" t="s">
        <v>167</v>
      </c>
      <c r="F274" s="36">
        <v>14</v>
      </c>
      <c r="G274" t="s">
        <v>1309</v>
      </c>
      <c r="I274" cm="1">
        <f t="array" ref="I274">_xlfn.IFNA(INDEX(QHPSelections2016[],MATCH(1,(QHPSelections2016[State Name]=HIX_RatingAreas[[#This Row],[State Code]])*(QHPSelections2016[County Name]=HIX_RatingAreas[[#This Row],[Subdivision]]),0),MATCH("Silver",QHPSelections2016[#Headers],0)),0)</f>
        <v>708</v>
      </c>
      <c r="J274" cm="1">
        <f t="array" ref="J274">_xlfn.IFNA(INDEX(QHPSelections2016[],MATCH(1,(QHPSelections2016[State Name]=HIX_RatingAreas[[#This Row],[State Code]])*(QHPSelections2016[County Name]=HIX_RatingAreas[[#This Row],[Subdivision]]),0),MATCH("Total Plan Selections",QHPSelections2016[#Headers],0)),0)</f>
        <v>849</v>
      </c>
      <c r="L274" t="str" cm="1">
        <f t="array" ref="L274">INDEX(QHPSelections2016[],MATCH(1,(QHPSelections2016[State Name]=HIX_RatingAreas[[#This Row],[State Code]])*(QHPSelections2016[County Name]=HIX_RatingAreas[[#This Row],[Subdivision]]),0),MATCH("County Name",QHPSelections2016[#Headers],0))</f>
        <v>Tattnall County</v>
      </c>
      <c r="M274" t="b">
        <f>L274=HIX_RatingAreas[[#This Row],[Subdivision]]</f>
        <v>1</v>
      </c>
      <c r="N274">
        <v>271</v>
      </c>
    </row>
    <row r="275" spans="3:14">
      <c r="C275" t="s">
        <v>16</v>
      </c>
      <c r="D275" t="s">
        <v>1515</v>
      </c>
      <c r="E275" t="s">
        <v>169</v>
      </c>
      <c r="F275" s="36">
        <v>15</v>
      </c>
      <c r="G275" t="s">
        <v>868</v>
      </c>
      <c r="I275" cm="1">
        <f t="array" ref="I275">_xlfn.IFNA(INDEX(QHPSelections2016[],MATCH(1,(QHPSelections2016[State Name]=HIX_RatingAreas[[#This Row],[State Code]])*(QHPSelections2016[County Name]=HIX_RatingAreas[[#This Row],[Subdivision]]),0),MATCH("Silver",QHPSelections2016[#Headers],0)),0)</f>
        <v>427</v>
      </c>
      <c r="J275" cm="1">
        <f t="array" ref="J275">_xlfn.IFNA(INDEX(QHPSelections2016[],MATCH(1,(QHPSelections2016[State Name]=HIX_RatingAreas[[#This Row],[State Code]])*(QHPSelections2016[County Name]=HIX_RatingAreas[[#This Row],[Subdivision]]),0),MATCH("Total Plan Selections",QHPSelections2016[#Headers],0)),0)</f>
        <v>591</v>
      </c>
      <c r="L275" t="str" cm="1">
        <f t="array" ref="L275">INDEX(QHPSelections2016[],MATCH(1,(QHPSelections2016[State Name]=HIX_RatingAreas[[#This Row],[State Code]])*(QHPSelections2016[County Name]=HIX_RatingAreas[[#This Row],[Subdivision]]),0),MATCH("County Name",QHPSelections2016[#Headers],0))</f>
        <v>Ben Hill County</v>
      </c>
      <c r="M275" t="b">
        <f>L275=HIX_RatingAreas[[#This Row],[Subdivision]]</f>
        <v>1</v>
      </c>
      <c r="N275">
        <v>272</v>
      </c>
    </row>
    <row r="276" spans="3:14">
      <c r="C276" t="s">
        <v>16</v>
      </c>
      <c r="D276" t="s">
        <v>1515</v>
      </c>
      <c r="E276" t="s">
        <v>169</v>
      </c>
      <c r="F276" s="36">
        <v>15</v>
      </c>
      <c r="G276" t="s">
        <v>874</v>
      </c>
      <c r="I276" cm="1">
        <f t="array" ref="I276">_xlfn.IFNA(INDEX(QHPSelections2016[],MATCH(1,(QHPSelections2016[State Name]=HIX_RatingAreas[[#This Row],[State Code]])*(QHPSelections2016[County Name]=HIX_RatingAreas[[#This Row],[Subdivision]]),0),MATCH("Silver",QHPSelections2016[#Headers],0)),0)</f>
        <v>494</v>
      </c>
      <c r="J276" cm="1">
        <f t="array" ref="J276">_xlfn.IFNA(INDEX(QHPSelections2016[],MATCH(1,(QHPSelections2016[State Name]=HIX_RatingAreas[[#This Row],[State Code]])*(QHPSelections2016[County Name]=HIX_RatingAreas[[#This Row],[Subdivision]]),0),MATCH("Total Plan Selections",QHPSelections2016[#Headers],0)),0)</f>
        <v>612</v>
      </c>
      <c r="L276" t="str" cm="1">
        <f t="array" ref="L276">INDEX(QHPSelections2016[],MATCH(1,(QHPSelections2016[State Name]=HIX_RatingAreas[[#This Row],[State Code]])*(QHPSelections2016[County Name]=HIX_RatingAreas[[#This Row],[Subdivision]]),0),MATCH("County Name",QHPSelections2016[#Headers],0))</f>
        <v>Berrien County</v>
      </c>
      <c r="M276" t="b">
        <f>L276=HIX_RatingAreas[[#This Row],[Subdivision]]</f>
        <v>1</v>
      </c>
      <c r="N276">
        <v>273</v>
      </c>
    </row>
    <row r="277" spans="3:14">
      <c r="C277" t="s">
        <v>16</v>
      </c>
      <c r="D277" t="s">
        <v>1515</v>
      </c>
      <c r="E277" t="s">
        <v>169</v>
      </c>
      <c r="F277" s="36">
        <v>15</v>
      </c>
      <c r="G277" t="s">
        <v>896</v>
      </c>
      <c r="I277" cm="1">
        <f t="array" ref="I277">_xlfn.IFNA(INDEX(QHPSelections2016[],MATCH(1,(QHPSelections2016[State Name]=HIX_RatingAreas[[#This Row],[State Code]])*(QHPSelections2016[County Name]=HIX_RatingAreas[[#This Row],[Subdivision]]),0),MATCH("Silver",QHPSelections2016[#Headers],0)),0)</f>
        <v>510</v>
      </c>
      <c r="J277" cm="1">
        <f t="array" ref="J277">_xlfn.IFNA(INDEX(QHPSelections2016[],MATCH(1,(QHPSelections2016[State Name]=HIX_RatingAreas[[#This Row],[State Code]])*(QHPSelections2016[County Name]=HIX_RatingAreas[[#This Row],[Subdivision]]),0),MATCH("Total Plan Selections",QHPSelections2016[#Headers],0)),0)</f>
        <v>644</v>
      </c>
      <c r="L277" t="str" cm="1">
        <f t="array" ref="L277">INDEX(QHPSelections2016[],MATCH(1,(QHPSelections2016[State Name]=HIX_RatingAreas[[#This Row],[State Code]])*(QHPSelections2016[County Name]=HIX_RatingAreas[[#This Row],[Subdivision]]),0),MATCH("County Name",QHPSelections2016[#Headers],0))</f>
        <v>Brooks County</v>
      </c>
      <c r="M277" t="b">
        <f>L277=HIX_RatingAreas[[#This Row],[Subdivision]]</f>
        <v>1</v>
      </c>
      <c r="N277">
        <v>274</v>
      </c>
    </row>
    <row r="278" spans="3:14">
      <c r="C278" t="s">
        <v>16</v>
      </c>
      <c r="D278" t="s">
        <v>1515</v>
      </c>
      <c r="E278" t="s">
        <v>169</v>
      </c>
      <c r="F278" s="36">
        <v>15</v>
      </c>
      <c r="G278" t="s">
        <v>994</v>
      </c>
      <c r="I278" cm="1">
        <f t="array" ref="I278">_xlfn.IFNA(INDEX(QHPSelections2016[],MATCH(1,(QHPSelections2016[State Name]=HIX_RatingAreas[[#This Row],[State Code]])*(QHPSelections2016[County Name]=HIX_RatingAreas[[#This Row],[Subdivision]]),0),MATCH("Silver",QHPSelections2016[#Headers],0)),0)</f>
        <v>109</v>
      </c>
      <c r="J278" cm="1">
        <f t="array" ref="J278">_xlfn.IFNA(INDEX(QHPSelections2016[],MATCH(1,(QHPSelections2016[State Name]=HIX_RatingAreas[[#This Row],[State Code]])*(QHPSelections2016[County Name]=HIX_RatingAreas[[#This Row],[Subdivision]]),0),MATCH("Total Plan Selections",QHPSelections2016[#Headers],0)),0)</f>
        <v>165</v>
      </c>
      <c r="L278" t="str" cm="1">
        <f t="array" ref="L278">INDEX(QHPSelections2016[],MATCH(1,(QHPSelections2016[State Name]=HIX_RatingAreas[[#This Row],[State Code]])*(QHPSelections2016[County Name]=HIX_RatingAreas[[#This Row],[Subdivision]]),0),MATCH("County Name",QHPSelections2016[#Headers],0))</f>
        <v>Clinch County</v>
      </c>
      <c r="M278" t="b">
        <f>L278=HIX_RatingAreas[[#This Row],[Subdivision]]</f>
        <v>1</v>
      </c>
      <c r="N278">
        <v>275</v>
      </c>
    </row>
    <row r="279" spans="3:14">
      <c r="C279" t="s">
        <v>16</v>
      </c>
      <c r="D279" t="s">
        <v>1515</v>
      </c>
      <c r="E279" t="s">
        <v>169</v>
      </c>
      <c r="F279" s="36">
        <v>15</v>
      </c>
      <c r="G279" t="s">
        <v>1011</v>
      </c>
      <c r="I279" cm="1">
        <f t="array" ref="I279">_xlfn.IFNA(INDEX(QHPSelections2016[],MATCH(1,(QHPSelections2016[State Name]=HIX_RatingAreas[[#This Row],[State Code]])*(QHPSelections2016[County Name]=HIX_RatingAreas[[#This Row],[Subdivision]]),0),MATCH("Silver",QHPSelections2016[#Headers],0)),0)</f>
        <v>1423</v>
      </c>
      <c r="J279" cm="1">
        <f t="array" ref="J279">_xlfn.IFNA(INDEX(QHPSelections2016[],MATCH(1,(QHPSelections2016[State Name]=HIX_RatingAreas[[#This Row],[State Code]])*(QHPSelections2016[County Name]=HIX_RatingAreas[[#This Row],[Subdivision]]),0),MATCH("Total Plan Selections",QHPSelections2016[#Headers],0)),0)</f>
        <v>1968</v>
      </c>
      <c r="L279" t="str" cm="1">
        <f t="array" ref="L279">INDEX(QHPSelections2016[],MATCH(1,(QHPSelections2016[State Name]=HIX_RatingAreas[[#This Row],[State Code]])*(QHPSelections2016[County Name]=HIX_RatingAreas[[#This Row],[Subdivision]]),0),MATCH("County Name",QHPSelections2016[#Headers],0))</f>
        <v>Colquitt County</v>
      </c>
      <c r="M279" t="b">
        <f>L279=HIX_RatingAreas[[#This Row],[Subdivision]]</f>
        <v>1</v>
      </c>
      <c r="N279">
        <v>276</v>
      </c>
    </row>
    <row r="280" spans="3:14">
      <c r="C280" t="s">
        <v>16</v>
      </c>
      <c r="D280" t="s">
        <v>1515</v>
      </c>
      <c r="E280" t="s">
        <v>169</v>
      </c>
      <c r="F280" s="36">
        <v>15</v>
      </c>
      <c r="G280" t="s">
        <v>1019</v>
      </c>
      <c r="I280" cm="1">
        <f t="array" ref="I280">_xlfn.IFNA(INDEX(QHPSelections2016[],MATCH(1,(QHPSelections2016[State Name]=HIX_RatingAreas[[#This Row],[State Code]])*(QHPSelections2016[County Name]=HIX_RatingAreas[[#This Row],[Subdivision]]),0),MATCH("Silver",QHPSelections2016[#Headers],0)),0)</f>
        <v>535</v>
      </c>
      <c r="J280" cm="1">
        <f t="array" ref="J280">_xlfn.IFNA(INDEX(QHPSelections2016[],MATCH(1,(QHPSelections2016[State Name]=HIX_RatingAreas[[#This Row],[State Code]])*(QHPSelections2016[County Name]=HIX_RatingAreas[[#This Row],[Subdivision]]),0),MATCH("Total Plan Selections",QHPSelections2016[#Headers],0)),0)</f>
        <v>672</v>
      </c>
      <c r="L280" t="str" cm="1">
        <f t="array" ref="L280">INDEX(QHPSelections2016[],MATCH(1,(QHPSelections2016[State Name]=HIX_RatingAreas[[#This Row],[State Code]])*(QHPSelections2016[County Name]=HIX_RatingAreas[[#This Row],[Subdivision]]),0),MATCH("County Name",QHPSelections2016[#Headers],0))</f>
        <v>Cook County</v>
      </c>
      <c r="M280" t="b">
        <f>L280=HIX_RatingAreas[[#This Row],[Subdivision]]</f>
        <v>1</v>
      </c>
      <c r="N280">
        <v>277</v>
      </c>
    </row>
    <row r="281" spans="3:14">
      <c r="C281" t="s">
        <v>16</v>
      </c>
      <c r="D281" t="s">
        <v>1515</v>
      </c>
      <c r="E281" t="s">
        <v>169</v>
      </c>
      <c r="F281" s="36">
        <v>15</v>
      </c>
      <c r="G281" t="s">
        <v>932</v>
      </c>
      <c r="I281" cm="1">
        <f t="array" ref="I281">_xlfn.IFNA(INDEX(QHPSelections2016[],MATCH(1,(QHPSelections2016[State Name]=HIX_RatingAreas[[#This Row],[State Code]])*(QHPSelections2016[County Name]=HIX_RatingAreas[[#This Row],[Subdivision]]),0),MATCH("Silver",QHPSelections2016[#Headers],0)),0)</f>
        <v>1086</v>
      </c>
      <c r="J281" cm="1">
        <f t="array" ref="J281">_xlfn.IFNA(INDEX(QHPSelections2016[],MATCH(1,(QHPSelections2016[State Name]=HIX_RatingAreas[[#This Row],[State Code]])*(QHPSelections2016[County Name]=HIX_RatingAreas[[#This Row],[Subdivision]]),0),MATCH("Total Plan Selections",QHPSelections2016[#Headers],0)),0)</f>
        <v>1503</v>
      </c>
      <c r="L281" t="str" cm="1">
        <f t="array" ref="L281">INDEX(QHPSelections2016[],MATCH(1,(QHPSelections2016[State Name]=HIX_RatingAreas[[#This Row],[State Code]])*(QHPSelections2016[County Name]=HIX_RatingAreas[[#This Row],[Subdivision]]),0),MATCH("County Name",QHPSelections2016[#Headers],0))</f>
        <v>Decatur County</v>
      </c>
      <c r="M281" t="b">
        <f>L281=HIX_RatingAreas[[#This Row],[Subdivision]]</f>
        <v>1</v>
      </c>
      <c r="N281">
        <v>278</v>
      </c>
    </row>
    <row r="282" spans="3:14">
      <c r="C282" t="s">
        <v>16</v>
      </c>
      <c r="D282" t="s">
        <v>1515</v>
      </c>
      <c r="E282" t="s">
        <v>169</v>
      </c>
      <c r="F282" s="36">
        <v>15</v>
      </c>
      <c r="G282" t="s">
        <v>1078</v>
      </c>
      <c r="I282" cm="1">
        <f t="array" ref="I282">_xlfn.IFNA(INDEX(QHPSelections2016[],MATCH(1,(QHPSelections2016[State Name]=HIX_RatingAreas[[#This Row],[State Code]])*(QHPSelections2016[County Name]=HIX_RatingAreas[[#This Row],[Subdivision]]),0),MATCH("Silver",QHPSelections2016[#Headers],0)),0)</f>
        <v>345</v>
      </c>
      <c r="J282" cm="1">
        <f t="array" ref="J282">_xlfn.IFNA(INDEX(QHPSelections2016[],MATCH(1,(QHPSelections2016[State Name]=HIX_RatingAreas[[#This Row],[State Code]])*(QHPSelections2016[County Name]=HIX_RatingAreas[[#This Row],[Subdivision]]),0),MATCH("Total Plan Selections",QHPSelections2016[#Headers],0)),0)</f>
        <v>429</v>
      </c>
      <c r="L282" t="str" cm="1">
        <f t="array" ref="L282">INDEX(QHPSelections2016[],MATCH(1,(QHPSelections2016[State Name]=HIX_RatingAreas[[#This Row],[State Code]])*(QHPSelections2016[County Name]=HIX_RatingAreas[[#This Row],[Subdivision]]),0),MATCH("County Name",QHPSelections2016[#Headers],0))</f>
        <v>Early County</v>
      </c>
      <c r="M282" t="b">
        <f>L282=HIX_RatingAreas[[#This Row],[Subdivision]]</f>
        <v>1</v>
      </c>
      <c r="N282">
        <v>279</v>
      </c>
    </row>
    <row r="283" spans="3:14">
      <c r="C283" t="s">
        <v>16</v>
      </c>
      <c r="D283" t="s">
        <v>1515</v>
      </c>
      <c r="E283" t="s">
        <v>169</v>
      </c>
      <c r="F283" s="36">
        <v>15</v>
      </c>
      <c r="G283" t="s">
        <v>1083</v>
      </c>
      <c r="I283" cm="1">
        <f t="array" ref="I283">_xlfn.IFNA(INDEX(QHPSelections2016[],MATCH(1,(QHPSelections2016[State Name]=HIX_RatingAreas[[#This Row],[State Code]])*(QHPSelections2016[County Name]=HIX_RatingAreas[[#This Row],[Subdivision]]),0),MATCH("Silver",QHPSelections2016[#Headers],0)),0)</f>
        <v>58</v>
      </c>
      <c r="J283" cm="1">
        <f t="array" ref="J283">_xlfn.IFNA(INDEX(QHPSelections2016[],MATCH(1,(QHPSelections2016[State Name]=HIX_RatingAreas[[#This Row],[State Code]])*(QHPSelections2016[County Name]=HIX_RatingAreas[[#This Row],[Subdivision]]),0),MATCH("Total Plan Selections",QHPSelections2016[#Headers],0)),0)</f>
        <v>76</v>
      </c>
      <c r="L283" t="str" cm="1">
        <f t="array" ref="L283">INDEX(QHPSelections2016[],MATCH(1,(QHPSelections2016[State Name]=HIX_RatingAreas[[#This Row],[State Code]])*(QHPSelections2016[County Name]=HIX_RatingAreas[[#This Row],[Subdivision]]),0),MATCH("County Name",QHPSelections2016[#Headers],0))</f>
        <v>Echols County</v>
      </c>
      <c r="M283" t="b">
        <f>L283=HIX_RatingAreas[[#This Row],[Subdivision]]</f>
        <v>1</v>
      </c>
      <c r="N283">
        <v>280</v>
      </c>
    </row>
    <row r="284" spans="3:14">
      <c r="C284" t="s">
        <v>16</v>
      </c>
      <c r="D284" t="s">
        <v>1515</v>
      </c>
      <c r="E284" t="s">
        <v>169</v>
      </c>
      <c r="F284" s="36">
        <v>15</v>
      </c>
      <c r="G284" t="s">
        <v>1162</v>
      </c>
      <c r="I284" cm="1">
        <f t="array" ref="I284">_xlfn.IFNA(INDEX(QHPSelections2016[],MATCH(1,(QHPSelections2016[State Name]=HIX_RatingAreas[[#This Row],[State Code]])*(QHPSelections2016[County Name]=HIX_RatingAreas[[#This Row],[Subdivision]]),0),MATCH("Silver",QHPSelections2016[#Headers],0)),0)</f>
        <v>768</v>
      </c>
      <c r="J284" cm="1">
        <f t="array" ref="J284">_xlfn.IFNA(INDEX(QHPSelections2016[],MATCH(1,(QHPSelections2016[State Name]=HIX_RatingAreas[[#This Row],[State Code]])*(QHPSelections2016[County Name]=HIX_RatingAreas[[#This Row],[Subdivision]]),0),MATCH("Total Plan Selections",QHPSelections2016[#Headers],0)),0)</f>
        <v>1014</v>
      </c>
      <c r="L284" t="str" cm="1">
        <f t="array" ref="L284">INDEX(QHPSelections2016[],MATCH(1,(QHPSelections2016[State Name]=HIX_RatingAreas[[#This Row],[State Code]])*(QHPSelections2016[County Name]=HIX_RatingAreas[[#This Row],[Subdivision]]),0),MATCH("County Name",QHPSelections2016[#Headers],0))</f>
        <v>Grady County</v>
      </c>
      <c r="M284" t="b">
        <f>L284=HIX_RatingAreas[[#This Row],[Subdivision]]</f>
        <v>1</v>
      </c>
      <c r="N284">
        <v>281</v>
      </c>
    </row>
    <row r="285" spans="3:14">
      <c r="C285" t="s">
        <v>16</v>
      </c>
      <c r="D285" t="s">
        <v>1515</v>
      </c>
      <c r="E285" t="s">
        <v>169</v>
      </c>
      <c r="F285" s="36">
        <v>15</v>
      </c>
      <c r="G285" t="s">
        <v>1208</v>
      </c>
      <c r="I285" cm="1">
        <f t="array" ref="I285">_xlfn.IFNA(INDEX(QHPSelections2016[],MATCH(1,(QHPSelections2016[State Name]=HIX_RatingAreas[[#This Row],[State Code]])*(QHPSelections2016[County Name]=HIX_RatingAreas[[#This Row],[Subdivision]]),0),MATCH("Silver",QHPSelections2016[#Headers],0)),0)</f>
        <v>239</v>
      </c>
      <c r="J285" cm="1">
        <f t="array" ref="J285">_xlfn.IFNA(INDEX(QHPSelections2016[],MATCH(1,(QHPSelections2016[State Name]=HIX_RatingAreas[[#This Row],[State Code]])*(QHPSelections2016[County Name]=HIX_RatingAreas[[#This Row],[Subdivision]]),0),MATCH("Total Plan Selections",QHPSelections2016[#Headers],0)),0)</f>
        <v>323</v>
      </c>
      <c r="L285" t="str" cm="1">
        <f t="array" ref="L285">INDEX(QHPSelections2016[],MATCH(1,(QHPSelections2016[State Name]=HIX_RatingAreas[[#This Row],[State Code]])*(QHPSelections2016[County Name]=HIX_RatingAreas[[#This Row],[Subdivision]]),0),MATCH("County Name",QHPSelections2016[#Headers],0))</f>
        <v>Irwin County</v>
      </c>
      <c r="M285" t="b">
        <f>L285=HIX_RatingAreas[[#This Row],[Subdivision]]</f>
        <v>1</v>
      </c>
      <c r="N285">
        <v>282</v>
      </c>
    </row>
    <row r="286" spans="3:14">
      <c r="C286" t="s">
        <v>16</v>
      </c>
      <c r="D286" t="s">
        <v>1515</v>
      </c>
      <c r="E286" t="s">
        <v>169</v>
      </c>
      <c r="F286" s="36">
        <v>15</v>
      </c>
      <c r="G286" t="s">
        <v>1238</v>
      </c>
      <c r="I286" cm="1">
        <f t="array" ref="I286">_xlfn.IFNA(INDEX(QHPSelections2016[],MATCH(1,(QHPSelections2016[State Name]=HIX_RatingAreas[[#This Row],[State Code]])*(QHPSelections2016[County Name]=HIX_RatingAreas[[#This Row],[Subdivision]]),0),MATCH("Silver",QHPSelections2016[#Headers],0)),0)</f>
        <v>215</v>
      </c>
      <c r="J286" cm="1">
        <f t="array" ref="J286">_xlfn.IFNA(INDEX(QHPSelections2016[],MATCH(1,(QHPSelections2016[State Name]=HIX_RatingAreas[[#This Row],[State Code]])*(QHPSelections2016[County Name]=HIX_RatingAreas[[#This Row],[Subdivision]]),0),MATCH("Total Plan Selections",QHPSelections2016[#Headers],0)),0)</f>
        <v>259</v>
      </c>
      <c r="L286" t="str" cm="1">
        <f t="array" ref="L286">INDEX(QHPSelections2016[],MATCH(1,(QHPSelections2016[State Name]=HIX_RatingAreas[[#This Row],[State Code]])*(QHPSelections2016[County Name]=HIX_RatingAreas[[#This Row],[Subdivision]]),0),MATCH("County Name",QHPSelections2016[#Headers],0))</f>
        <v>Lanier County</v>
      </c>
      <c r="M286" t="b">
        <f>L286=HIX_RatingAreas[[#This Row],[Subdivision]]</f>
        <v>1</v>
      </c>
      <c r="N286">
        <v>283</v>
      </c>
    </row>
    <row r="287" spans="3:14">
      <c r="C287" t="s">
        <v>16</v>
      </c>
      <c r="D287" t="s">
        <v>1515</v>
      </c>
      <c r="E287" t="s">
        <v>169</v>
      </c>
      <c r="F287" s="36">
        <v>15</v>
      </c>
      <c r="G287" t="s">
        <v>1049</v>
      </c>
      <c r="I287" cm="1">
        <f t="array" ref="I287">_xlfn.IFNA(INDEX(QHPSelections2016[],MATCH(1,(QHPSelections2016[State Name]=HIX_RatingAreas[[#This Row],[State Code]])*(QHPSelections2016[County Name]=HIX_RatingAreas[[#This Row],[Subdivision]]),0),MATCH("Silver",QHPSelections2016[#Headers],0)),0)</f>
        <v>2681</v>
      </c>
      <c r="J287" cm="1">
        <f t="array" ref="J287">_xlfn.IFNA(INDEX(QHPSelections2016[],MATCH(1,(QHPSelections2016[State Name]=HIX_RatingAreas[[#This Row],[State Code]])*(QHPSelections2016[County Name]=HIX_RatingAreas[[#This Row],[Subdivision]]),0),MATCH("Total Plan Selections",QHPSelections2016[#Headers],0)),0)</f>
        <v>3486</v>
      </c>
      <c r="L287" t="str" cm="1">
        <f t="array" ref="L287">INDEX(QHPSelections2016[],MATCH(1,(QHPSelections2016[State Name]=HIX_RatingAreas[[#This Row],[State Code]])*(QHPSelections2016[County Name]=HIX_RatingAreas[[#This Row],[Subdivision]]),0),MATCH("County Name",QHPSelections2016[#Headers],0))</f>
        <v>Lowndes County</v>
      </c>
      <c r="M287" t="b">
        <f>L287=HIX_RatingAreas[[#This Row],[Subdivision]]</f>
        <v>1</v>
      </c>
      <c r="N287">
        <v>284</v>
      </c>
    </row>
    <row r="288" spans="3:14">
      <c r="C288" t="s">
        <v>16</v>
      </c>
      <c r="D288" t="s">
        <v>1515</v>
      </c>
      <c r="E288" t="s">
        <v>169</v>
      </c>
      <c r="F288" s="36">
        <v>15</v>
      </c>
      <c r="G288" t="s">
        <v>1270</v>
      </c>
      <c r="I288" cm="1">
        <f t="array" ref="I288">_xlfn.IFNA(INDEX(QHPSelections2016[],MATCH(1,(QHPSelections2016[State Name]=HIX_RatingAreas[[#This Row],[State Code]])*(QHPSelections2016[County Name]=HIX_RatingAreas[[#This Row],[Subdivision]]),0),MATCH("Silver",QHPSelections2016[#Headers],0)),0)</f>
        <v>275</v>
      </c>
      <c r="J288" cm="1">
        <f t="array" ref="J288">_xlfn.IFNA(INDEX(QHPSelections2016[],MATCH(1,(QHPSelections2016[State Name]=HIX_RatingAreas[[#This Row],[State Code]])*(QHPSelections2016[County Name]=HIX_RatingAreas[[#This Row],[Subdivision]]),0),MATCH("Total Plan Selections",QHPSelections2016[#Headers],0)),0)</f>
        <v>341</v>
      </c>
      <c r="L288" t="str" cm="1">
        <f t="array" ref="L288">INDEX(QHPSelections2016[],MATCH(1,(QHPSelections2016[State Name]=HIX_RatingAreas[[#This Row],[State Code]])*(QHPSelections2016[County Name]=HIX_RatingAreas[[#This Row],[Subdivision]]),0),MATCH("County Name",QHPSelections2016[#Headers],0))</f>
        <v>Miller County</v>
      </c>
      <c r="M288" t="b">
        <f>L288=HIX_RatingAreas[[#This Row],[Subdivision]]</f>
        <v>1</v>
      </c>
      <c r="N288">
        <v>285</v>
      </c>
    </row>
    <row r="289" spans="3:14">
      <c r="C289" t="s">
        <v>16</v>
      </c>
      <c r="D289" t="s">
        <v>1515</v>
      </c>
      <c r="E289" t="s">
        <v>169</v>
      </c>
      <c r="F289" s="36">
        <v>15</v>
      </c>
      <c r="G289" t="s">
        <v>1127</v>
      </c>
      <c r="I289" cm="1">
        <f t="array" ref="I289">_xlfn.IFNA(INDEX(QHPSelections2016[],MATCH(1,(QHPSelections2016[State Name]=HIX_RatingAreas[[#This Row],[State Code]])*(QHPSelections2016[County Name]=HIX_RatingAreas[[#This Row],[Subdivision]]),0),MATCH("Silver",QHPSelections2016[#Headers],0)),0)</f>
        <v>298</v>
      </c>
      <c r="J289" cm="1">
        <f t="array" ref="J289">_xlfn.IFNA(INDEX(QHPSelections2016[],MATCH(1,(QHPSelections2016[State Name]=HIX_RatingAreas[[#This Row],[State Code]])*(QHPSelections2016[County Name]=HIX_RatingAreas[[#This Row],[Subdivision]]),0),MATCH("Total Plan Selections",QHPSelections2016[#Headers],0)),0)</f>
        <v>398</v>
      </c>
      <c r="L289" t="str" cm="1">
        <f t="array" ref="L289">INDEX(QHPSelections2016[],MATCH(1,(QHPSelections2016[State Name]=HIX_RatingAreas[[#This Row],[State Code]])*(QHPSelections2016[County Name]=HIX_RatingAreas[[#This Row],[Subdivision]]),0),MATCH("County Name",QHPSelections2016[#Headers],0))</f>
        <v>Seminole County</v>
      </c>
      <c r="M289" t="b">
        <f>L289=HIX_RatingAreas[[#This Row],[Subdivision]]</f>
        <v>1</v>
      </c>
      <c r="N289">
        <v>286</v>
      </c>
    </row>
    <row r="290" spans="3:14">
      <c r="C290" t="s">
        <v>16</v>
      </c>
      <c r="D290" t="s">
        <v>1515</v>
      </c>
      <c r="E290" t="s">
        <v>169</v>
      </c>
      <c r="F290" s="36">
        <v>15</v>
      </c>
      <c r="G290" t="s">
        <v>1316</v>
      </c>
      <c r="I290" cm="1">
        <f t="array" ref="I290">_xlfn.IFNA(INDEX(QHPSelections2016[],MATCH(1,(QHPSelections2016[State Name]=HIX_RatingAreas[[#This Row],[State Code]])*(QHPSelections2016[County Name]=HIX_RatingAreas[[#This Row],[Subdivision]]),0),MATCH("Silver",QHPSelections2016[#Headers],0)),0)</f>
        <v>1662</v>
      </c>
      <c r="J290" cm="1">
        <f t="array" ref="J290">_xlfn.IFNA(INDEX(QHPSelections2016[],MATCH(1,(QHPSelections2016[State Name]=HIX_RatingAreas[[#This Row],[State Code]])*(QHPSelections2016[County Name]=HIX_RatingAreas[[#This Row],[Subdivision]]),0),MATCH("Total Plan Selections",QHPSelections2016[#Headers],0)),0)</f>
        <v>2204</v>
      </c>
      <c r="L290" t="str" cm="1">
        <f t="array" ref="L290">INDEX(QHPSelections2016[],MATCH(1,(QHPSelections2016[State Name]=HIX_RatingAreas[[#This Row],[State Code]])*(QHPSelections2016[County Name]=HIX_RatingAreas[[#This Row],[Subdivision]]),0),MATCH("County Name",QHPSelections2016[#Headers],0))</f>
        <v>Thomas County</v>
      </c>
      <c r="M290" t="b">
        <f>L290=HIX_RatingAreas[[#This Row],[Subdivision]]</f>
        <v>1</v>
      </c>
      <c r="N290">
        <v>287</v>
      </c>
    </row>
    <row r="291" spans="3:14">
      <c r="C291" t="s">
        <v>16</v>
      </c>
      <c r="D291" t="s">
        <v>1515</v>
      </c>
      <c r="E291" t="s">
        <v>169</v>
      </c>
      <c r="F291" s="36">
        <v>15</v>
      </c>
      <c r="G291" t="s">
        <v>1318</v>
      </c>
      <c r="I291" cm="1">
        <f t="array" ref="I291">_xlfn.IFNA(INDEX(QHPSelections2016[],MATCH(1,(QHPSelections2016[State Name]=HIX_RatingAreas[[#This Row],[State Code]])*(QHPSelections2016[County Name]=HIX_RatingAreas[[#This Row],[Subdivision]]),0),MATCH("Silver",QHPSelections2016[#Headers],0)),0)</f>
        <v>1074</v>
      </c>
      <c r="J291" cm="1">
        <f t="array" ref="J291">_xlfn.IFNA(INDEX(QHPSelections2016[],MATCH(1,(QHPSelections2016[State Name]=HIX_RatingAreas[[#This Row],[State Code]])*(QHPSelections2016[County Name]=HIX_RatingAreas[[#This Row],[Subdivision]]),0),MATCH("Total Plan Selections",QHPSelections2016[#Headers],0)),0)</f>
        <v>1407</v>
      </c>
      <c r="L291" t="str" cm="1">
        <f t="array" ref="L291">INDEX(QHPSelections2016[],MATCH(1,(QHPSelections2016[State Name]=HIX_RatingAreas[[#This Row],[State Code]])*(QHPSelections2016[County Name]=HIX_RatingAreas[[#This Row],[Subdivision]]),0),MATCH("County Name",QHPSelections2016[#Headers],0))</f>
        <v>Tift County</v>
      </c>
      <c r="M291" t="b">
        <f>L291=HIX_RatingAreas[[#This Row],[Subdivision]]</f>
        <v>1</v>
      </c>
      <c r="N291">
        <v>288</v>
      </c>
    </row>
    <row r="292" spans="3:14">
      <c r="C292" t="s">
        <v>16</v>
      </c>
      <c r="D292" t="s">
        <v>1515</v>
      </c>
      <c r="E292" t="s">
        <v>169</v>
      </c>
      <c r="F292" s="36">
        <v>15</v>
      </c>
      <c r="G292" t="s">
        <v>1326</v>
      </c>
      <c r="I292" cm="1">
        <f t="array" ref="I292">_xlfn.IFNA(INDEX(QHPSelections2016[],MATCH(1,(QHPSelections2016[State Name]=HIX_RatingAreas[[#This Row],[State Code]])*(QHPSelections2016[County Name]=HIX_RatingAreas[[#This Row],[Subdivision]]),0),MATCH("Silver",QHPSelections2016[#Headers],0)),0)</f>
        <v>239</v>
      </c>
      <c r="J292" cm="1">
        <f t="array" ref="J292">_xlfn.IFNA(INDEX(QHPSelections2016[],MATCH(1,(QHPSelections2016[State Name]=HIX_RatingAreas[[#This Row],[State Code]])*(QHPSelections2016[County Name]=HIX_RatingAreas[[#This Row],[Subdivision]]),0),MATCH("Total Plan Selections",QHPSelections2016[#Headers],0)),0)</f>
        <v>333</v>
      </c>
      <c r="L292" t="str" cm="1">
        <f t="array" ref="L292">INDEX(QHPSelections2016[],MATCH(1,(QHPSelections2016[State Name]=HIX_RatingAreas[[#This Row],[State Code]])*(QHPSelections2016[County Name]=HIX_RatingAreas[[#This Row],[Subdivision]]),0),MATCH("County Name",QHPSelections2016[#Headers],0))</f>
        <v>Turner County</v>
      </c>
      <c r="M292" t="b">
        <f>L292=HIX_RatingAreas[[#This Row],[Subdivision]]</f>
        <v>1</v>
      </c>
      <c r="N292">
        <v>289</v>
      </c>
    </row>
    <row r="293" spans="3:14">
      <c r="C293" t="s">
        <v>16</v>
      </c>
      <c r="D293" t="s">
        <v>1515</v>
      </c>
      <c r="E293" t="s">
        <v>171</v>
      </c>
      <c r="F293" s="36">
        <v>16</v>
      </c>
      <c r="G293" t="s">
        <v>823</v>
      </c>
      <c r="I293" cm="1">
        <f t="array" ref="I293">_xlfn.IFNA(INDEX(QHPSelections2016[],MATCH(1,(QHPSelections2016[State Name]=HIX_RatingAreas[[#This Row],[State Code]])*(QHPSelections2016[County Name]=HIX_RatingAreas[[#This Row],[Subdivision]]),0),MATCH("Silver",QHPSelections2016[#Headers],0)),0)</f>
        <v>1162</v>
      </c>
      <c r="J293" cm="1">
        <f t="array" ref="J293">_xlfn.IFNA(INDEX(QHPSelections2016[],MATCH(1,(QHPSelections2016[State Name]=HIX_RatingAreas[[#This Row],[State Code]])*(QHPSelections2016[County Name]=HIX_RatingAreas[[#This Row],[Subdivision]]),0),MATCH("Total Plan Selections",QHPSelections2016[#Headers],0)),0)</f>
        <v>1452</v>
      </c>
      <c r="L293" t="str" cm="1">
        <f t="array" ref="L293">INDEX(QHPSelections2016[],MATCH(1,(QHPSelections2016[State Name]=HIX_RatingAreas[[#This Row],[State Code]])*(QHPSelections2016[County Name]=HIX_RatingAreas[[#This Row],[Subdivision]]),0),MATCH("County Name",QHPSelections2016[#Headers],0))</f>
        <v>Baldwin County</v>
      </c>
      <c r="M293" t="b">
        <f>L293=HIX_RatingAreas[[#This Row],[Subdivision]]</f>
        <v>1</v>
      </c>
      <c r="N293">
        <v>290</v>
      </c>
    </row>
    <row r="294" spans="3:14">
      <c r="C294" t="s">
        <v>16</v>
      </c>
      <c r="D294" t="s">
        <v>1515</v>
      </c>
      <c r="E294" t="s">
        <v>171</v>
      </c>
      <c r="F294" s="36">
        <v>16</v>
      </c>
      <c r="G294" t="s">
        <v>949</v>
      </c>
      <c r="I294" cm="1">
        <f t="array" ref="I294">_xlfn.IFNA(INDEX(QHPSelections2016[],MATCH(1,(QHPSelections2016[State Name]=HIX_RatingAreas[[#This Row],[State Code]])*(QHPSelections2016[County Name]=HIX_RatingAreas[[#This Row],[Subdivision]]),0),MATCH("Silver",QHPSelections2016[#Headers],0)),0)</f>
        <v>295</v>
      </c>
      <c r="J294" cm="1">
        <f t="array" ref="J294">_xlfn.IFNA(INDEX(QHPSelections2016[],MATCH(1,(QHPSelections2016[State Name]=HIX_RatingAreas[[#This Row],[State Code]])*(QHPSelections2016[County Name]=HIX_RatingAreas[[#This Row],[Subdivision]]),0),MATCH("Total Plan Selections",QHPSelections2016[#Headers],0)),0)</f>
        <v>374</v>
      </c>
      <c r="L294" t="str" cm="1">
        <f t="array" ref="L294">INDEX(QHPSelections2016[],MATCH(1,(QHPSelections2016[State Name]=HIX_RatingAreas[[#This Row],[State Code]])*(QHPSelections2016[County Name]=HIX_RatingAreas[[#This Row],[Subdivision]]),0),MATCH("County Name",QHPSelections2016[#Headers],0))</f>
        <v>Hancock County</v>
      </c>
      <c r="M294" t="b">
        <f>L294=HIX_RatingAreas[[#This Row],[Subdivision]]</f>
        <v>1</v>
      </c>
      <c r="N294">
        <v>291</v>
      </c>
    </row>
    <row r="295" spans="3:14">
      <c r="C295" t="s">
        <v>16</v>
      </c>
      <c r="D295" t="s">
        <v>1515</v>
      </c>
      <c r="E295" t="s">
        <v>171</v>
      </c>
      <c r="F295" s="36">
        <v>16</v>
      </c>
      <c r="G295" t="s">
        <v>1160</v>
      </c>
      <c r="I295" cm="1">
        <f t="array" ref="I295">_xlfn.IFNA(INDEX(QHPSelections2016[],MATCH(1,(QHPSelections2016[State Name]=HIX_RatingAreas[[#This Row],[State Code]])*(QHPSelections2016[County Name]=HIX_RatingAreas[[#This Row],[Subdivision]]),0),MATCH("Silver",QHPSelections2016[#Headers],0)),0)</f>
        <v>673</v>
      </c>
      <c r="J295" cm="1">
        <f t="array" ref="J295">_xlfn.IFNA(INDEX(QHPSelections2016[],MATCH(1,(QHPSelections2016[State Name]=HIX_RatingAreas[[#This Row],[State Code]])*(QHPSelections2016[County Name]=HIX_RatingAreas[[#This Row],[Subdivision]]),0),MATCH("Total Plan Selections",QHPSelections2016[#Headers],0)),0)</f>
        <v>858</v>
      </c>
      <c r="L295" t="str" cm="1">
        <f t="array" ref="L295">INDEX(QHPSelections2016[],MATCH(1,(QHPSelections2016[State Name]=HIX_RatingAreas[[#This Row],[State Code]])*(QHPSelections2016[County Name]=HIX_RatingAreas[[#This Row],[Subdivision]]),0),MATCH("County Name",QHPSelections2016[#Headers],0))</f>
        <v>Washington County</v>
      </c>
      <c r="M295" t="b">
        <f>L295=HIX_RatingAreas[[#This Row],[Subdivision]]</f>
        <v>1</v>
      </c>
      <c r="N295">
        <v>292</v>
      </c>
    </row>
    <row r="296" spans="3:14">
      <c r="C296" t="s">
        <v>16</v>
      </c>
      <c r="D296" t="s">
        <v>1515</v>
      </c>
      <c r="E296" t="s">
        <v>171</v>
      </c>
      <c r="F296" s="36">
        <v>16</v>
      </c>
      <c r="G296" t="s">
        <v>1216</v>
      </c>
      <c r="I296" cm="1">
        <f t="array" ref="I296">_xlfn.IFNA(INDEX(QHPSelections2016[],MATCH(1,(QHPSelections2016[State Name]=HIX_RatingAreas[[#This Row],[State Code]])*(QHPSelections2016[County Name]=HIX_RatingAreas[[#This Row],[Subdivision]]),0),MATCH("Silver",QHPSelections2016[#Headers],0)),0)</f>
        <v>331</v>
      </c>
      <c r="J296" cm="1">
        <f t="array" ref="J296">_xlfn.IFNA(INDEX(QHPSelections2016[],MATCH(1,(QHPSelections2016[State Name]=HIX_RatingAreas[[#This Row],[State Code]])*(QHPSelections2016[County Name]=HIX_RatingAreas[[#This Row],[Subdivision]]),0),MATCH("Total Plan Selections",QHPSelections2016[#Headers],0)),0)</f>
        <v>410</v>
      </c>
      <c r="L296" t="str" cm="1">
        <f t="array" ref="L296">INDEX(QHPSelections2016[],MATCH(1,(QHPSelections2016[State Name]=HIX_RatingAreas[[#This Row],[State Code]])*(QHPSelections2016[County Name]=HIX_RatingAreas[[#This Row],[Subdivision]]),0),MATCH("County Name",QHPSelections2016[#Headers],0))</f>
        <v>Wilkinson County</v>
      </c>
      <c r="M296" t="b">
        <f>L296=HIX_RatingAreas[[#This Row],[Subdivision]]</f>
        <v>1</v>
      </c>
      <c r="N296">
        <v>293</v>
      </c>
    </row>
    <row r="297" spans="3:14">
      <c r="C297" t="s">
        <v>24</v>
      </c>
      <c r="D297" t="s">
        <v>1532</v>
      </c>
      <c r="E297" t="s">
        <v>72</v>
      </c>
      <c r="F297" s="36">
        <v>1</v>
      </c>
      <c r="G297" t="s">
        <v>387</v>
      </c>
      <c r="I297" cm="1">
        <f t="array" ref="I297">_xlfn.IFNA(INDEX(QHPSelections2016[],MATCH(1,(QHPSelections2016[State Name]=HIX_RatingAreas[[#This Row],[State Code]])*(QHPSelections2016[County Name]=HIX_RatingAreas[[#This Row],[Subdivision]]),0),MATCH("Silver",QHPSelections2016[#Headers],0)),0)</f>
        <v>21377</v>
      </c>
      <c r="J297" cm="1">
        <f t="array" ref="J297">_xlfn.IFNA(INDEX(QHPSelections2016[],MATCH(1,(QHPSelections2016[State Name]=HIX_RatingAreas[[#This Row],[State Code]])*(QHPSelections2016[County Name]=HIX_RatingAreas[[#This Row],[Subdivision]]),0),MATCH("Total Plan Selections",QHPSelections2016[#Headers],0)),0)</f>
        <v>27964</v>
      </c>
      <c r="L297" t="str" cm="1">
        <f t="array" ref="L297">INDEX(QHPSelections2016[],MATCH(1,(QHPSelections2016[State Name]=HIX_RatingAreas[[#This Row],[State Code]])*(QHPSelections2016[County Name]=HIX_RatingAreas[[#This Row],[Subdivision]]),0),MATCH("County Name",QHPSelections2016[#Headers],0))</f>
        <v>Jefferson Parish</v>
      </c>
      <c r="M297" t="b">
        <f>L297=HIX_RatingAreas[[#This Row],[Subdivision]]</f>
        <v>1</v>
      </c>
      <c r="N297">
        <v>294</v>
      </c>
    </row>
    <row r="298" spans="3:14">
      <c r="C298" t="s">
        <v>24</v>
      </c>
      <c r="D298" t="s">
        <v>1532</v>
      </c>
      <c r="E298" t="s">
        <v>72</v>
      </c>
      <c r="F298" s="36">
        <v>1</v>
      </c>
      <c r="G298" t="s">
        <v>384</v>
      </c>
      <c r="I298" cm="1">
        <f t="array" ref="I298">_xlfn.IFNA(INDEX(QHPSelections2016[],MATCH(1,(QHPSelections2016[State Name]=HIX_RatingAreas[[#This Row],[State Code]])*(QHPSelections2016[County Name]=HIX_RatingAreas[[#This Row],[Subdivision]]),0),MATCH("Silver",QHPSelections2016[#Headers],0)),0)</f>
        <v>16734</v>
      </c>
      <c r="J298" cm="1">
        <f t="array" ref="J298">_xlfn.IFNA(INDEX(QHPSelections2016[],MATCH(1,(QHPSelections2016[State Name]=HIX_RatingAreas[[#This Row],[State Code]])*(QHPSelections2016[County Name]=HIX_RatingAreas[[#This Row],[Subdivision]]),0),MATCH("Total Plan Selections",QHPSelections2016[#Headers],0)),0)</f>
        <v>24475</v>
      </c>
      <c r="L298" t="str" cm="1">
        <f t="array" ref="L298">INDEX(QHPSelections2016[],MATCH(1,(QHPSelections2016[State Name]=HIX_RatingAreas[[#This Row],[State Code]])*(QHPSelections2016[County Name]=HIX_RatingAreas[[#This Row],[Subdivision]]),0),MATCH("County Name",QHPSelections2016[#Headers],0))</f>
        <v>Orleans Parish</v>
      </c>
      <c r="M298" t="b">
        <f>L298=HIX_RatingAreas[[#This Row],[Subdivision]]</f>
        <v>1</v>
      </c>
      <c r="N298">
        <v>295</v>
      </c>
    </row>
    <row r="299" spans="3:14">
      <c r="C299" t="s">
        <v>24</v>
      </c>
      <c r="D299" t="s">
        <v>1532</v>
      </c>
      <c r="E299" t="s">
        <v>72</v>
      </c>
      <c r="F299" s="36">
        <v>1</v>
      </c>
      <c r="G299" t="s">
        <v>386</v>
      </c>
      <c r="I299" cm="1">
        <f t="array" ref="I299">_xlfn.IFNA(INDEX(QHPSelections2016[],MATCH(1,(QHPSelections2016[State Name]=HIX_RatingAreas[[#This Row],[State Code]])*(QHPSelections2016[County Name]=HIX_RatingAreas[[#This Row],[Subdivision]]),0),MATCH("Silver",QHPSelections2016[#Headers],0)),0)</f>
        <v>933</v>
      </c>
      <c r="J299" cm="1">
        <f t="array" ref="J299">_xlfn.IFNA(INDEX(QHPSelections2016[],MATCH(1,(QHPSelections2016[State Name]=HIX_RatingAreas[[#This Row],[State Code]])*(QHPSelections2016[County Name]=HIX_RatingAreas[[#This Row],[Subdivision]]),0),MATCH("Total Plan Selections",QHPSelections2016[#Headers],0)),0)</f>
        <v>1203</v>
      </c>
      <c r="L299" t="str" cm="1">
        <f t="array" ref="L299">INDEX(QHPSelections2016[],MATCH(1,(QHPSelections2016[State Name]=HIX_RatingAreas[[#This Row],[State Code]])*(QHPSelections2016[County Name]=HIX_RatingAreas[[#This Row],[Subdivision]]),0),MATCH("County Name",QHPSelections2016[#Headers],0))</f>
        <v>Plaquemines Parish</v>
      </c>
      <c r="M299" t="b">
        <f>L299=HIX_RatingAreas[[#This Row],[Subdivision]]</f>
        <v>1</v>
      </c>
      <c r="N299">
        <v>296</v>
      </c>
    </row>
    <row r="300" spans="3:14">
      <c r="C300" t="s">
        <v>24</v>
      </c>
      <c r="D300" t="s">
        <v>1532</v>
      </c>
      <c r="E300" t="s">
        <v>72</v>
      </c>
      <c r="F300" s="36">
        <v>1</v>
      </c>
      <c r="G300" t="s">
        <v>385</v>
      </c>
      <c r="I300" cm="1">
        <f t="array" ref="I300">_xlfn.IFNA(INDEX(QHPSelections2016[],MATCH(1,(QHPSelections2016[State Name]=HIX_RatingAreas[[#This Row],[State Code]])*(QHPSelections2016[County Name]=HIX_RatingAreas[[#This Row],[Subdivision]]),0),MATCH("Silver",QHPSelections2016[#Headers],0)),0)</f>
        <v>1375</v>
      </c>
      <c r="J300" cm="1">
        <f t="array" ref="J300">_xlfn.IFNA(INDEX(QHPSelections2016[],MATCH(1,(QHPSelections2016[State Name]=HIX_RatingAreas[[#This Row],[State Code]])*(QHPSelections2016[County Name]=HIX_RatingAreas[[#This Row],[Subdivision]]),0),MATCH("Total Plan Selections",QHPSelections2016[#Headers],0)),0)</f>
        <v>2069</v>
      </c>
      <c r="L300" t="str" cm="1">
        <f t="array" ref="L300">INDEX(QHPSelections2016[],MATCH(1,(QHPSelections2016[State Name]=HIX_RatingAreas[[#This Row],[State Code]])*(QHPSelections2016[County Name]=HIX_RatingAreas[[#This Row],[Subdivision]]),0),MATCH("County Name",QHPSelections2016[#Headers],0))</f>
        <v>St. Bernard Parish</v>
      </c>
      <c r="M300" t="b">
        <f>L300=HIX_RatingAreas[[#This Row],[Subdivision]]</f>
        <v>1</v>
      </c>
      <c r="N300">
        <v>297</v>
      </c>
    </row>
    <row r="301" spans="3:14">
      <c r="C301" t="s">
        <v>24</v>
      </c>
      <c r="D301" t="s">
        <v>1532</v>
      </c>
      <c r="E301" t="s">
        <v>72</v>
      </c>
      <c r="F301" s="36">
        <v>1</v>
      </c>
      <c r="G301" t="s">
        <v>388</v>
      </c>
      <c r="I301" cm="1">
        <f t="array" ref="I301">_xlfn.IFNA(INDEX(QHPSelections2016[],MATCH(1,(QHPSelections2016[State Name]=HIX_RatingAreas[[#This Row],[State Code]])*(QHPSelections2016[County Name]=HIX_RatingAreas[[#This Row],[Subdivision]]),0),MATCH("Silver",QHPSelections2016[#Headers],0)),0)</f>
        <v>1387</v>
      </c>
      <c r="J301" cm="1">
        <f t="array" ref="J301">_xlfn.IFNA(INDEX(QHPSelections2016[],MATCH(1,(QHPSelections2016[State Name]=HIX_RatingAreas[[#This Row],[State Code]])*(QHPSelections2016[County Name]=HIX_RatingAreas[[#This Row],[Subdivision]]),0),MATCH("Total Plan Selections",QHPSelections2016[#Headers],0)),0)</f>
        <v>2017</v>
      </c>
      <c r="L301" t="str" cm="1">
        <f t="array" ref="L301">INDEX(QHPSelections2016[],MATCH(1,(QHPSelections2016[State Name]=HIX_RatingAreas[[#This Row],[State Code]])*(QHPSelections2016[County Name]=HIX_RatingAreas[[#This Row],[Subdivision]]),0),MATCH("County Name",QHPSelections2016[#Headers],0))</f>
        <v>St. Charles Parish</v>
      </c>
      <c r="M301" t="b">
        <f>L301=HIX_RatingAreas[[#This Row],[Subdivision]]</f>
        <v>1</v>
      </c>
      <c r="N301">
        <v>298</v>
      </c>
    </row>
    <row r="302" spans="3:14">
      <c r="C302" t="s">
        <v>24</v>
      </c>
      <c r="D302" t="s">
        <v>1532</v>
      </c>
      <c r="E302" t="s">
        <v>72</v>
      </c>
      <c r="F302" s="36">
        <v>1</v>
      </c>
      <c r="G302" t="s">
        <v>390</v>
      </c>
      <c r="I302" cm="1">
        <f t="array" ref="I302">_xlfn.IFNA(INDEX(QHPSelections2016[],MATCH(1,(QHPSelections2016[State Name]=HIX_RatingAreas[[#This Row],[State Code]])*(QHPSelections2016[County Name]=HIX_RatingAreas[[#This Row],[Subdivision]]),0),MATCH("Silver",QHPSelections2016[#Headers],0)),0)</f>
        <v>522</v>
      </c>
      <c r="J302" cm="1">
        <f t="array" ref="J302">_xlfn.IFNA(INDEX(QHPSelections2016[],MATCH(1,(QHPSelections2016[State Name]=HIX_RatingAreas[[#This Row],[State Code]])*(QHPSelections2016[County Name]=HIX_RatingAreas[[#This Row],[Subdivision]]),0),MATCH("Total Plan Selections",QHPSelections2016[#Headers],0)),0)</f>
        <v>716</v>
      </c>
      <c r="L302" t="str" cm="1">
        <f t="array" ref="L302">INDEX(QHPSelections2016[],MATCH(1,(QHPSelections2016[State Name]=HIX_RatingAreas[[#This Row],[State Code]])*(QHPSelections2016[County Name]=HIX_RatingAreas[[#This Row],[Subdivision]]),0),MATCH("County Name",QHPSelections2016[#Headers],0))</f>
        <v>St. James Parish</v>
      </c>
      <c r="M302" t="b">
        <f>L302=HIX_RatingAreas[[#This Row],[Subdivision]]</f>
        <v>1</v>
      </c>
      <c r="N302">
        <v>299</v>
      </c>
    </row>
    <row r="303" spans="3:14">
      <c r="C303" t="s">
        <v>24</v>
      </c>
      <c r="D303" t="s">
        <v>1532</v>
      </c>
      <c r="E303" t="s">
        <v>72</v>
      </c>
      <c r="F303" s="36">
        <v>1</v>
      </c>
      <c r="G303" t="s">
        <v>389</v>
      </c>
      <c r="I303" cm="1">
        <f t="array" ref="I303">_xlfn.IFNA(INDEX(QHPSelections2016[],MATCH(1,(QHPSelections2016[State Name]=HIX_RatingAreas[[#This Row],[State Code]])*(QHPSelections2016[County Name]=HIX_RatingAreas[[#This Row],[Subdivision]]),0),MATCH("Silver",QHPSelections2016[#Headers],0)),0)</f>
        <v>1394</v>
      </c>
      <c r="J303" cm="1">
        <f t="array" ref="J303">_xlfn.IFNA(INDEX(QHPSelections2016[],MATCH(1,(QHPSelections2016[State Name]=HIX_RatingAreas[[#This Row],[State Code]])*(QHPSelections2016[County Name]=HIX_RatingAreas[[#This Row],[Subdivision]]),0),MATCH("Total Plan Selections",QHPSelections2016[#Headers],0)),0)</f>
        <v>1970</v>
      </c>
      <c r="L303" t="str" cm="1">
        <f t="array" ref="L303">INDEX(QHPSelections2016[],MATCH(1,(QHPSelections2016[State Name]=HIX_RatingAreas[[#This Row],[State Code]])*(QHPSelections2016[County Name]=HIX_RatingAreas[[#This Row],[Subdivision]]),0),MATCH("County Name",QHPSelections2016[#Headers],0))</f>
        <v>St. John the Baptist Parish</v>
      </c>
      <c r="M303" t="b">
        <f>L303=HIX_RatingAreas[[#This Row],[Subdivision]]</f>
        <v>1</v>
      </c>
      <c r="N303">
        <v>300</v>
      </c>
    </row>
    <row r="304" spans="3:14">
      <c r="C304" t="s">
        <v>24</v>
      </c>
      <c r="D304" t="s">
        <v>1532</v>
      </c>
      <c r="E304" t="s">
        <v>72</v>
      </c>
      <c r="F304" s="36">
        <v>1</v>
      </c>
      <c r="G304" t="s">
        <v>391</v>
      </c>
      <c r="I304" cm="1">
        <f t="array" ref="I304">_xlfn.IFNA(INDEX(QHPSelections2016[],MATCH(1,(QHPSelections2016[State Name]=HIX_RatingAreas[[#This Row],[State Code]])*(QHPSelections2016[County Name]=HIX_RatingAreas[[#This Row],[Subdivision]]),0),MATCH("Silver",QHPSelections2016[#Headers],0)),0)</f>
        <v>10199</v>
      </c>
      <c r="J304" cm="1">
        <f t="array" ref="J304">_xlfn.IFNA(INDEX(QHPSelections2016[],MATCH(1,(QHPSelections2016[State Name]=HIX_RatingAreas[[#This Row],[State Code]])*(QHPSelections2016[County Name]=HIX_RatingAreas[[#This Row],[Subdivision]]),0),MATCH("Total Plan Selections",QHPSelections2016[#Headers],0)),0)</f>
        <v>14024</v>
      </c>
      <c r="L304" t="str" cm="1">
        <f t="array" ref="L304">INDEX(QHPSelections2016[],MATCH(1,(QHPSelections2016[State Name]=HIX_RatingAreas[[#This Row],[State Code]])*(QHPSelections2016[County Name]=HIX_RatingAreas[[#This Row],[Subdivision]]),0),MATCH("County Name",QHPSelections2016[#Headers],0))</f>
        <v>St. Tammany Parish</v>
      </c>
      <c r="M304" t="b">
        <f>L304=HIX_RatingAreas[[#This Row],[Subdivision]]</f>
        <v>1</v>
      </c>
      <c r="N304">
        <v>301</v>
      </c>
    </row>
    <row r="305" spans="3:14">
      <c r="C305" t="s">
        <v>24</v>
      </c>
      <c r="D305" t="s">
        <v>1532</v>
      </c>
      <c r="E305" t="s">
        <v>74</v>
      </c>
      <c r="F305" s="36">
        <v>2</v>
      </c>
      <c r="G305" t="s">
        <v>394</v>
      </c>
      <c r="I305" cm="1">
        <f t="array" ref="I305">_xlfn.IFNA(INDEX(QHPSelections2016[],MATCH(1,(QHPSelections2016[State Name]=HIX_RatingAreas[[#This Row],[State Code]])*(QHPSelections2016[County Name]=HIX_RatingAreas[[#This Row],[Subdivision]]),0),MATCH("Silver",QHPSelections2016[#Headers],0)),0)</f>
        <v>599</v>
      </c>
      <c r="J305" cm="1">
        <f t="array" ref="J305">_xlfn.IFNA(INDEX(QHPSelections2016[],MATCH(1,(QHPSelections2016[State Name]=HIX_RatingAreas[[#This Row],[State Code]])*(QHPSelections2016[County Name]=HIX_RatingAreas[[#This Row],[Subdivision]]),0),MATCH("Total Plan Selections",QHPSelections2016[#Headers],0)),0)</f>
        <v>820</v>
      </c>
      <c r="L305" t="str" cm="1">
        <f t="array" ref="L305">INDEX(QHPSelections2016[],MATCH(1,(QHPSelections2016[State Name]=HIX_RatingAreas[[#This Row],[State Code]])*(QHPSelections2016[County Name]=HIX_RatingAreas[[#This Row],[Subdivision]]),0),MATCH("County Name",QHPSelections2016[#Headers],0))</f>
        <v>Assumption Parish</v>
      </c>
      <c r="M305" t="b">
        <f>L305=HIX_RatingAreas[[#This Row],[Subdivision]]</f>
        <v>1</v>
      </c>
      <c r="N305">
        <v>302</v>
      </c>
    </row>
    <row r="306" spans="3:14">
      <c r="C306" t="s">
        <v>24</v>
      </c>
      <c r="D306" t="s">
        <v>1532</v>
      </c>
      <c r="E306" t="s">
        <v>74</v>
      </c>
      <c r="F306" s="36">
        <v>2</v>
      </c>
      <c r="G306" t="s">
        <v>392</v>
      </c>
      <c r="I306" cm="1">
        <f t="array" ref="I306">_xlfn.IFNA(INDEX(QHPSelections2016[],MATCH(1,(QHPSelections2016[State Name]=HIX_RatingAreas[[#This Row],[State Code]])*(QHPSelections2016[County Name]=HIX_RatingAreas[[#This Row],[Subdivision]]),0),MATCH("Silver",QHPSelections2016[#Headers],0)),0)</f>
        <v>2525</v>
      </c>
      <c r="J306" cm="1">
        <f t="array" ref="J306">_xlfn.IFNA(INDEX(QHPSelections2016[],MATCH(1,(QHPSelections2016[State Name]=HIX_RatingAreas[[#This Row],[State Code]])*(QHPSelections2016[County Name]=HIX_RatingAreas[[#This Row],[Subdivision]]),0),MATCH("Total Plan Selections",QHPSelections2016[#Headers],0)),0)</f>
        <v>3372</v>
      </c>
      <c r="L306" t="str" cm="1">
        <f t="array" ref="L306">INDEX(QHPSelections2016[],MATCH(1,(QHPSelections2016[State Name]=HIX_RatingAreas[[#This Row],[State Code]])*(QHPSelections2016[County Name]=HIX_RatingAreas[[#This Row],[Subdivision]]),0),MATCH("County Name",QHPSelections2016[#Headers],0))</f>
        <v>Lafourche Parish</v>
      </c>
      <c r="M306" t="b">
        <f>L306=HIX_RatingAreas[[#This Row],[Subdivision]]</f>
        <v>1</v>
      </c>
      <c r="N306">
        <v>303</v>
      </c>
    </row>
    <row r="307" spans="3:14">
      <c r="C307" t="s">
        <v>24</v>
      </c>
      <c r="D307" t="s">
        <v>1532</v>
      </c>
      <c r="E307" t="s">
        <v>74</v>
      </c>
      <c r="F307" s="36">
        <v>2</v>
      </c>
      <c r="G307" t="s">
        <v>393</v>
      </c>
      <c r="I307" cm="1">
        <f t="array" ref="I307">_xlfn.IFNA(INDEX(QHPSelections2016[],MATCH(1,(QHPSelections2016[State Name]=HIX_RatingAreas[[#This Row],[State Code]])*(QHPSelections2016[County Name]=HIX_RatingAreas[[#This Row],[Subdivision]]),0),MATCH("Silver",QHPSelections2016[#Headers],0)),0)</f>
        <v>2530</v>
      </c>
      <c r="J307" cm="1">
        <f t="array" ref="J307">_xlfn.IFNA(INDEX(QHPSelections2016[],MATCH(1,(QHPSelections2016[State Name]=HIX_RatingAreas[[#This Row],[State Code]])*(QHPSelections2016[County Name]=HIX_RatingAreas[[#This Row],[Subdivision]]),0),MATCH("Total Plan Selections",QHPSelections2016[#Headers],0)),0)</f>
        <v>3624</v>
      </c>
      <c r="L307" t="str" cm="1">
        <f t="array" ref="L307">INDEX(QHPSelections2016[],MATCH(1,(QHPSelections2016[State Name]=HIX_RatingAreas[[#This Row],[State Code]])*(QHPSelections2016[County Name]=HIX_RatingAreas[[#This Row],[Subdivision]]),0),MATCH("County Name",QHPSelections2016[#Headers],0))</f>
        <v>Terrebonne Parish</v>
      </c>
      <c r="M307" t="b">
        <f>L307=HIX_RatingAreas[[#This Row],[Subdivision]]</f>
        <v>1</v>
      </c>
      <c r="N307">
        <v>304</v>
      </c>
    </row>
    <row r="308" spans="3:14">
      <c r="C308" t="s">
        <v>24</v>
      </c>
      <c r="D308" t="s">
        <v>1532</v>
      </c>
      <c r="E308" t="s">
        <v>76</v>
      </c>
      <c r="F308" s="36">
        <v>3</v>
      </c>
      <c r="G308" t="s">
        <v>400</v>
      </c>
      <c r="I308" cm="1">
        <f t="array" ref="I308">_xlfn.IFNA(INDEX(QHPSelections2016[],MATCH(1,(QHPSelections2016[State Name]=HIX_RatingAreas[[#This Row],[State Code]])*(QHPSelections2016[County Name]=HIX_RatingAreas[[#This Row],[Subdivision]]),0),MATCH("Silver",QHPSelections2016[#Headers],0)),0)</f>
        <v>1655</v>
      </c>
      <c r="J308" cm="1">
        <f t="array" ref="J308">_xlfn.IFNA(INDEX(QHPSelections2016[],MATCH(1,(QHPSelections2016[State Name]=HIX_RatingAreas[[#This Row],[State Code]])*(QHPSelections2016[County Name]=HIX_RatingAreas[[#This Row],[Subdivision]]),0),MATCH("Total Plan Selections",QHPSelections2016[#Headers],0)),0)</f>
        <v>2201</v>
      </c>
      <c r="L308" t="str" cm="1">
        <f t="array" ref="L308">INDEX(QHPSelections2016[],MATCH(1,(QHPSelections2016[State Name]=HIX_RatingAreas[[#This Row],[State Code]])*(QHPSelections2016[County Name]=HIX_RatingAreas[[#This Row],[Subdivision]]),0),MATCH("County Name",QHPSelections2016[#Headers],0))</f>
        <v>Acadia Parish</v>
      </c>
      <c r="M308" t="b">
        <f>L308=HIX_RatingAreas[[#This Row],[Subdivision]]</f>
        <v>1</v>
      </c>
      <c r="N308">
        <v>305</v>
      </c>
    </row>
    <row r="309" spans="3:14">
      <c r="C309" t="s">
        <v>24</v>
      </c>
      <c r="D309" t="s">
        <v>1532</v>
      </c>
      <c r="E309" t="s">
        <v>76</v>
      </c>
      <c r="F309" s="36">
        <v>3</v>
      </c>
      <c r="G309" t="s">
        <v>402</v>
      </c>
      <c r="I309" cm="1">
        <f t="array" ref="I309">_xlfn.IFNA(INDEX(QHPSelections2016[],MATCH(1,(QHPSelections2016[State Name]=HIX_RatingAreas[[#This Row],[State Code]])*(QHPSelections2016[County Name]=HIX_RatingAreas[[#This Row],[Subdivision]]),0),MATCH("Silver",QHPSelections2016[#Headers],0)),0)</f>
        <v>699</v>
      </c>
      <c r="J309" cm="1">
        <f t="array" ref="J309">_xlfn.IFNA(INDEX(QHPSelections2016[],MATCH(1,(QHPSelections2016[State Name]=HIX_RatingAreas[[#This Row],[State Code]])*(QHPSelections2016[County Name]=HIX_RatingAreas[[#This Row],[Subdivision]]),0),MATCH("Total Plan Selections",QHPSelections2016[#Headers],0)),0)</f>
        <v>987</v>
      </c>
      <c r="L309" t="str" cm="1">
        <f t="array" ref="L309">INDEX(QHPSelections2016[],MATCH(1,(QHPSelections2016[State Name]=HIX_RatingAreas[[#This Row],[State Code]])*(QHPSelections2016[County Name]=HIX_RatingAreas[[#This Row],[Subdivision]]),0),MATCH("County Name",QHPSelections2016[#Headers],0))</f>
        <v>Evangeline Parish</v>
      </c>
      <c r="M309" t="b">
        <f>L309=HIX_RatingAreas[[#This Row],[Subdivision]]</f>
        <v>1</v>
      </c>
      <c r="N309">
        <v>306</v>
      </c>
    </row>
    <row r="310" spans="3:14">
      <c r="C310" t="s">
        <v>24</v>
      </c>
      <c r="D310" t="s">
        <v>1532</v>
      </c>
      <c r="E310" t="s">
        <v>76</v>
      </c>
      <c r="F310" s="36">
        <v>3</v>
      </c>
      <c r="G310" t="s">
        <v>398</v>
      </c>
      <c r="I310" cm="1">
        <f t="array" ref="I310">_xlfn.IFNA(INDEX(QHPSelections2016[],MATCH(1,(QHPSelections2016[State Name]=HIX_RatingAreas[[#This Row],[State Code]])*(QHPSelections2016[County Name]=HIX_RatingAreas[[#This Row],[Subdivision]]),0),MATCH("Silver",QHPSelections2016[#Headers],0)),0)</f>
        <v>1976</v>
      </c>
      <c r="J310" cm="1">
        <f t="array" ref="J310">_xlfn.IFNA(INDEX(QHPSelections2016[],MATCH(1,(QHPSelections2016[State Name]=HIX_RatingAreas[[#This Row],[State Code]])*(QHPSelections2016[County Name]=HIX_RatingAreas[[#This Row],[Subdivision]]),0),MATCH("Total Plan Selections",QHPSelections2016[#Headers],0)),0)</f>
        <v>2733</v>
      </c>
      <c r="L310" t="str" cm="1">
        <f t="array" ref="L310">INDEX(QHPSelections2016[],MATCH(1,(QHPSelections2016[State Name]=HIX_RatingAreas[[#This Row],[State Code]])*(QHPSelections2016[County Name]=HIX_RatingAreas[[#This Row],[Subdivision]]),0),MATCH("County Name",QHPSelections2016[#Headers],0))</f>
        <v>Iberia Parish</v>
      </c>
      <c r="M310" t="b">
        <f>L310=HIX_RatingAreas[[#This Row],[Subdivision]]</f>
        <v>1</v>
      </c>
      <c r="N310">
        <v>307</v>
      </c>
    </row>
    <row r="311" spans="3:14">
      <c r="C311" t="s">
        <v>24</v>
      </c>
      <c r="D311" t="s">
        <v>1532</v>
      </c>
      <c r="E311" t="s">
        <v>76</v>
      </c>
      <c r="F311" s="36">
        <v>3</v>
      </c>
      <c r="G311" t="s">
        <v>395</v>
      </c>
      <c r="I311" cm="1">
        <f t="array" ref="I311">_xlfn.IFNA(INDEX(QHPSelections2016[],MATCH(1,(QHPSelections2016[State Name]=HIX_RatingAreas[[#This Row],[State Code]])*(QHPSelections2016[County Name]=HIX_RatingAreas[[#This Row],[Subdivision]]),0),MATCH("Silver",QHPSelections2016[#Headers],0)),0)</f>
        <v>8207</v>
      </c>
      <c r="J311" cm="1">
        <f t="array" ref="J311">_xlfn.IFNA(INDEX(QHPSelections2016[],MATCH(1,(QHPSelections2016[State Name]=HIX_RatingAreas[[#This Row],[State Code]])*(QHPSelections2016[County Name]=HIX_RatingAreas[[#This Row],[Subdivision]]),0),MATCH("Total Plan Selections",QHPSelections2016[#Headers],0)),0)</f>
        <v>11276</v>
      </c>
      <c r="L311" t="str" cm="1">
        <f t="array" ref="L311">INDEX(QHPSelections2016[],MATCH(1,(QHPSelections2016[State Name]=HIX_RatingAreas[[#This Row],[State Code]])*(QHPSelections2016[County Name]=HIX_RatingAreas[[#This Row],[Subdivision]]),0),MATCH("County Name",QHPSelections2016[#Headers],0))</f>
        <v>Lafayette Parish</v>
      </c>
      <c r="M311" t="b">
        <f>L311=HIX_RatingAreas[[#This Row],[Subdivision]]</f>
        <v>1</v>
      </c>
      <c r="N311">
        <v>308</v>
      </c>
    </row>
    <row r="312" spans="3:14">
      <c r="C312" t="s">
        <v>24</v>
      </c>
      <c r="D312" t="s">
        <v>1532</v>
      </c>
      <c r="E312" t="s">
        <v>76</v>
      </c>
      <c r="F312" s="36">
        <v>3</v>
      </c>
      <c r="G312" s="37" t="s">
        <v>401</v>
      </c>
      <c r="I312" cm="1">
        <f t="array" ref="I312">_xlfn.IFNA(INDEX(QHPSelections2016[],MATCH(1,(QHPSelections2016[State Name]=HIX_RatingAreas[[#This Row],[State Code]])*(QHPSelections2016[County Name]=HIX_RatingAreas[[#This Row],[Subdivision]]),0),MATCH("Silver",QHPSelections2016[#Headers],0)),0)</f>
        <v>2477</v>
      </c>
      <c r="J312" cm="1">
        <f t="array" ref="J312">_xlfn.IFNA(INDEX(QHPSelections2016[],MATCH(1,(QHPSelections2016[State Name]=HIX_RatingAreas[[#This Row],[State Code]])*(QHPSelections2016[County Name]=HIX_RatingAreas[[#This Row],[Subdivision]]),0),MATCH("Total Plan Selections",QHPSelections2016[#Headers],0)),0)</f>
        <v>3521</v>
      </c>
      <c r="L312" t="str" cm="1">
        <f t="array" ref="L312">INDEX(QHPSelections2016[],MATCH(1,(QHPSelections2016[State Name]=HIX_RatingAreas[[#This Row],[State Code]])*(QHPSelections2016[County Name]=HIX_RatingAreas[[#This Row],[Subdivision]]),0),MATCH("County Name",QHPSelections2016[#Headers],0))</f>
        <v>St. Landry Parish</v>
      </c>
      <c r="M312" t="b">
        <f>L312=HIX_RatingAreas[[#This Row],[Subdivision]]</f>
        <v>1</v>
      </c>
      <c r="N312">
        <v>309</v>
      </c>
    </row>
    <row r="313" spans="3:14">
      <c r="C313" t="s">
        <v>24</v>
      </c>
      <c r="D313" t="s">
        <v>1532</v>
      </c>
      <c r="E313" t="s">
        <v>76</v>
      </c>
      <c r="F313" s="36">
        <v>3</v>
      </c>
      <c r="G313" t="s">
        <v>396</v>
      </c>
      <c r="I313" cm="1">
        <f t="array" ref="I313">_xlfn.IFNA(INDEX(QHPSelections2016[],MATCH(1,(QHPSelections2016[State Name]=HIX_RatingAreas[[#This Row],[State Code]])*(QHPSelections2016[County Name]=HIX_RatingAreas[[#This Row],[Subdivision]]),0),MATCH("Silver",QHPSelections2016[#Headers],0)),0)</f>
        <v>1567</v>
      </c>
      <c r="J313" cm="1">
        <f t="array" ref="J313">_xlfn.IFNA(INDEX(QHPSelections2016[],MATCH(1,(QHPSelections2016[State Name]=HIX_RatingAreas[[#This Row],[State Code]])*(QHPSelections2016[County Name]=HIX_RatingAreas[[#This Row],[Subdivision]]),0),MATCH("Total Plan Selections",QHPSelections2016[#Headers],0)),0)</f>
        <v>2282</v>
      </c>
      <c r="L313" t="str" cm="1">
        <f t="array" ref="L313">INDEX(QHPSelections2016[],MATCH(1,(QHPSelections2016[State Name]=HIX_RatingAreas[[#This Row],[State Code]])*(QHPSelections2016[County Name]=HIX_RatingAreas[[#This Row],[Subdivision]]),0),MATCH("County Name",QHPSelections2016[#Headers],0))</f>
        <v>St. Martin Parish</v>
      </c>
      <c r="M313" t="b">
        <f>L313=HIX_RatingAreas[[#This Row],[Subdivision]]</f>
        <v>1</v>
      </c>
      <c r="N313">
        <v>310</v>
      </c>
    </row>
    <row r="314" spans="3:14">
      <c r="C314" t="s">
        <v>24</v>
      </c>
      <c r="D314" t="s">
        <v>1532</v>
      </c>
      <c r="E314" t="s">
        <v>76</v>
      </c>
      <c r="F314" s="36">
        <v>3</v>
      </c>
      <c r="G314" t="s">
        <v>397</v>
      </c>
      <c r="I314" cm="1">
        <f t="array" ref="I314">_xlfn.IFNA(INDEX(QHPSelections2016[],MATCH(1,(QHPSelections2016[State Name]=HIX_RatingAreas[[#This Row],[State Code]])*(QHPSelections2016[County Name]=HIX_RatingAreas[[#This Row],[Subdivision]]),0),MATCH("Silver",QHPSelections2016[#Headers],0)),0)</f>
        <v>1376</v>
      </c>
      <c r="J314" cm="1">
        <f t="array" ref="J314">_xlfn.IFNA(INDEX(QHPSelections2016[],MATCH(1,(QHPSelections2016[State Name]=HIX_RatingAreas[[#This Row],[State Code]])*(QHPSelections2016[County Name]=HIX_RatingAreas[[#This Row],[Subdivision]]),0),MATCH("Total Plan Selections",QHPSelections2016[#Headers],0)),0)</f>
        <v>1848</v>
      </c>
      <c r="L314" t="str" cm="1">
        <f t="array" ref="L314">INDEX(QHPSelections2016[],MATCH(1,(QHPSelections2016[State Name]=HIX_RatingAreas[[#This Row],[State Code]])*(QHPSelections2016[County Name]=HIX_RatingAreas[[#This Row],[Subdivision]]),0),MATCH("County Name",QHPSelections2016[#Headers],0))</f>
        <v>St. Mary Parish</v>
      </c>
      <c r="M314" t="b">
        <f>L314=HIX_RatingAreas[[#This Row],[Subdivision]]</f>
        <v>1</v>
      </c>
      <c r="N314">
        <v>311</v>
      </c>
    </row>
    <row r="315" spans="3:14">
      <c r="C315" t="s">
        <v>24</v>
      </c>
      <c r="D315" t="s">
        <v>1532</v>
      </c>
      <c r="E315" t="s">
        <v>76</v>
      </c>
      <c r="F315" s="36">
        <v>3</v>
      </c>
      <c r="G315" s="38" t="s">
        <v>1122</v>
      </c>
      <c r="H315" t="s">
        <v>5193</v>
      </c>
      <c r="I315" cm="1">
        <f t="array" ref="I315">_xlfn.IFNA(INDEX(QHPSelections2016[],MATCH(1,(QHPSelections2016[State Name]=HIX_RatingAreas[[#This Row],[State Code]])*(QHPSelections2016[County Name]=HIX_RatingAreas[[#This Row],[Subdivision]]),0),MATCH("Silver",QHPSelections2016[#Headers],0)),0)</f>
        <v>1594</v>
      </c>
      <c r="J315" cm="1">
        <f t="array" ref="J315">_xlfn.IFNA(INDEX(QHPSelections2016[],MATCH(1,(QHPSelections2016[State Name]=HIX_RatingAreas[[#This Row],[State Code]])*(QHPSelections2016[County Name]=HIX_RatingAreas[[#This Row],[Subdivision]]),0),MATCH("Total Plan Selections",QHPSelections2016[#Headers],0)),0)</f>
        <v>2317</v>
      </c>
      <c r="L315" t="str" cm="1">
        <f t="array" ref="L315">INDEX(QHPSelections2016[],MATCH(1,(QHPSelections2016[State Name]=HIX_RatingAreas[[#This Row],[State Code]])*(QHPSelections2016[County Name]=HIX_RatingAreas[[#This Row],[Subdivision]]),0),MATCH("County Name",QHPSelections2016[#Headers],0))</f>
        <v>Vermilion Parish</v>
      </c>
      <c r="M315" t="b">
        <f>L315=HIX_RatingAreas[[#This Row],[Subdivision]]</f>
        <v>1</v>
      </c>
      <c r="N315">
        <v>312</v>
      </c>
    </row>
    <row r="316" spans="3:14">
      <c r="C316" t="s">
        <v>24</v>
      </c>
      <c r="D316" t="s">
        <v>1532</v>
      </c>
      <c r="E316" t="s">
        <v>84</v>
      </c>
      <c r="F316" s="36">
        <v>4</v>
      </c>
      <c r="G316" t="s">
        <v>406</v>
      </c>
      <c r="I316" cm="1">
        <f t="array" ref="I316">_xlfn.IFNA(INDEX(QHPSelections2016[],MATCH(1,(QHPSelections2016[State Name]=HIX_RatingAreas[[#This Row],[State Code]])*(QHPSelections2016[County Name]=HIX_RatingAreas[[#This Row],[Subdivision]]),0),MATCH("Silver",QHPSelections2016[#Headers],0)),0)</f>
        <v>372</v>
      </c>
      <c r="J316" cm="1">
        <f t="array" ref="J316">_xlfn.IFNA(INDEX(QHPSelections2016[],MATCH(1,(QHPSelections2016[State Name]=HIX_RatingAreas[[#This Row],[State Code]])*(QHPSelections2016[County Name]=HIX_RatingAreas[[#This Row],[Subdivision]]),0),MATCH("Total Plan Selections",QHPSelections2016[#Headers],0)),0)</f>
        <v>564</v>
      </c>
      <c r="L316" t="str" cm="1">
        <f t="array" ref="L316">INDEX(QHPSelections2016[],MATCH(1,(QHPSelections2016[State Name]=HIX_RatingAreas[[#This Row],[State Code]])*(QHPSelections2016[County Name]=HIX_RatingAreas[[#This Row],[Subdivision]]),0),MATCH("County Name",QHPSelections2016[#Headers],0))</f>
        <v>Allen Parish</v>
      </c>
      <c r="M316" t="b">
        <f>L316=HIX_RatingAreas[[#This Row],[Subdivision]]</f>
        <v>1</v>
      </c>
      <c r="N316">
        <v>313</v>
      </c>
    </row>
    <row r="317" spans="3:14">
      <c r="C317" t="s">
        <v>24</v>
      </c>
      <c r="D317" t="s">
        <v>1532</v>
      </c>
      <c r="E317" t="s">
        <v>84</v>
      </c>
      <c r="F317" s="36">
        <v>4</v>
      </c>
      <c r="G317" t="s">
        <v>407</v>
      </c>
      <c r="I317" cm="1">
        <f t="array" ref="I317">_xlfn.IFNA(INDEX(QHPSelections2016[],MATCH(1,(QHPSelections2016[State Name]=HIX_RatingAreas[[#This Row],[State Code]])*(QHPSelections2016[County Name]=HIX_RatingAreas[[#This Row],[Subdivision]]),0),MATCH("Silver",QHPSelections2016[#Headers],0)),0)</f>
        <v>717</v>
      </c>
      <c r="J317" cm="1">
        <f t="array" ref="J317">_xlfn.IFNA(INDEX(QHPSelections2016[],MATCH(1,(QHPSelections2016[State Name]=HIX_RatingAreas[[#This Row],[State Code]])*(QHPSelections2016[County Name]=HIX_RatingAreas[[#This Row],[Subdivision]]),0),MATCH("Total Plan Selections",QHPSelections2016[#Headers],0)),0)</f>
        <v>1023</v>
      </c>
      <c r="L317" t="str" cm="1">
        <f t="array" ref="L317">INDEX(QHPSelections2016[],MATCH(1,(QHPSelections2016[State Name]=HIX_RatingAreas[[#This Row],[State Code]])*(QHPSelections2016[County Name]=HIX_RatingAreas[[#This Row],[Subdivision]]),0),MATCH("County Name",QHPSelections2016[#Headers],0))</f>
        <v>Beauregard Parish</v>
      </c>
      <c r="M317" t="b">
        <f>L317=HIX_RatingAreas[[#This Row],[Subdivision]]</f>
        <v>1</v>
      </c>
      <c r="N317">
        <v>314</v>
      </c>
    </row>
    <row r="318" spans="3:14">
      <c r="C318" t="s">
        <v>24</v>
      </c>
      <c r="D318" t="s">
        <v>1532</v>
      </c>
      <c r="E318" t="s">
        <v>84</v>
      </c>
      <c r="F318" s="36">
        <v>4</v>
      </c>
      <c r="G318" t="s">
        <v>405</v>
      </c>
      <c r="I318" cm="1">
        <f t="array" ref="I318">_xlfn.IFNA(INDEX(QHPSelections2016[],MATCH(1,(QHPSelections2016[State Name]=HIX_RatingAreas[[#This Row],[State Code]])*(QHPSelections2016[County Name]=HIX_RatingAreas[[#This Row],[Subdivision]]),0),MATCH("Silver",QHPSelections2016[#Headers],0)),0)</f>
        <v>4485</v>
      </c>
      <c r="J318" cm="1">
        <f t="array" ref="J318">_xlfn.IFNA(INDEX(QHPSelections2016[],MATCH(1,(QHPSelections2016[State Name]=HIX_RatingAreas[[#This Row],[State Code]])*(QHPSelections2016[County Name]=HIX_RatingAreas[[#This Row],[Subdivision]]),0),MATCH("Total Plan Selections",QHPSelections2016[#Headers],0)),0)</f>
        <v>6742</v>
      </c>
      <c r="L318" t="str" cm="1">
        <f t="array" ref="L318">INDEX(QHPSelections2016[],MATCH(1,(QHPSelections2016[State Name]=HIX_RatingAreas[[#This Row],[State Code]])*(QHPSelections2016[County Name]=HIX_RatingAreas[[#This Row],[Subdivision]]),0),MATCH("County Name",QHPSelections2016[#Headers],0))</f>
        <v>Calcasieu Parish</v>
      </c>
      <c r="M318" t="b">
        <f>L318=HIX_RatingAreas[[#This Row],[Subdivision]]</f>
        <v>1</v>
      </c>
      <c r="N318">
        <v>315</v>
      </c>
    </row>
    <row r="319" spans="3:14">
      <c r="C319" t="s">
        <v>24</v>
      </c>
      <c r="D319" t="s">
        <v>1532</v>
      </c>
      <c r="E319" t="s">
        <v>84</v>
      </c>
      <c r="F319" s="36">
        <v>4</v>
      </c>
      <c r="G319" t="s">
        <v>403</v>
      </c>
      <c r="I319" cm="1">
        <f t="array" ref="I319">_xlfn.IFNA(INDEX(QHPSelections2016[],MATCH(1,(QHPSelections2016[State Name]=HIX_RatingAreas[[#This Row],[State Code]])*(QHPSelections2016[County Name]=HIX_RatingAreas[[#This Row],[Subdivision]]),0),MATCH("Silver",QHPSelections2016[#Headers],0)),0)</f>
        <v>164</v>
      </c>
      <c r="J319" cm="1">
        <f t="array" ref="J319">_xlfn.IFNA(INDEX(QHPSelections2016[],MATCH(1,(QHPSelections2016[State Name]=HIX_RatingAreas[[#This Row],[State Code]])*(QHPSelections2016[County Name]=HIX_RatingAreas[[#This Row],[Subdivision]]),0),MATCH("Total Plan Selections",QHPSelections2016[#Headers],0)),0)</f>
        <v>216</v>
      </c>
      <c r="L319" t="str" cm="1">
        <f t="array" ref="L319">INDEX(QHPSelections2016[],MATCH(1,(QHPSelections2016[State Name]=HIX_RatingAreas[[#This Row],[State Code]])*(QHPSelections2016[County Name]=HIX_RatingAreas[[#This Row],[Subdivision]]),0),MATCH("County Name",QHPSelections2016[#Headers],0))</f>
        <v>Cameron Parish</v>
      </c>
      <c r="M319" t="b">
        <f>L319=HIX_RatingAreas[[#This Row],[Subdivision]]</f>
        <v>1</v>
      </c>
      <c r="N319">
        <v>316</v>
      </c>
    </row>
    <row r="320" spans="3:14">
      <c r="C320" t="s">
        <v>24</v>
      </c>
      <c r="D320" t="s">
        <v>1532</v>
      </c>
      <c r="E320" t="s">
        <v>84</v>
      </c>
      <c r="F320" s="36">
        <v>4</v>
      </c>
      <c r="G320" t="s">
        <v>404</v>
      </c>
      <c r="I320" cm="1">
        <f t="array" ref="I320">_xlfn.IFNA(INDEX(QHPSelections2016[],MATCH(1,(QHPSelections2016[State Name]=HIX_RatingAreas[[#This Row],[State Code]])*(QHPSelections2016[County Name]=HIX_RatingAreas[[#This Row],[Subdivision]]),0),MATCH("Silver",QHPSelections2016[#Headers],0)),0)</f>
        <v>1260</v>
      </c>
      <c r="J320" cm="1">
        <f t="array" ref="J320">_xlfn.IFNA(INDEX(QHPSelections2016[],MATCH(1,(QHPSelections2016[State Name]=HIX_RatingAreas[[#This Row],[State Code]])*(QHPSelections2016[County Name]=HIX_RatingAreas[[#This Row],[Subdivision]]),0),MATCH("Total Plan Selections",QHPSelections2016[#Headers],0)),0)</f>
        <v>1525</v>
      </c>
      <c r="L320" t="str" cm="1">
        <f t="array" ref="L320">INDEX(QHPSelections2016[],MATCH(1,(QHPSelections2016[State Name]=HIX_RatingAreas[[#This Row],[State Code]])*(QHPSelections2016[County Name]=HIX_RatingAreas[[#This Row],[Subdivision]]),0),MATCH("County Name",QHPSelections2016[#Headers],0))</f>
        <v>Jefferson Davis Parish</v>
      </c>
      <c r="M320" t="b">
        <f>L320=HIX_RatingAreas[[#This Row],[Subdivision]]</f>
        <v>1</v>
      </c>
      <c r="N320">
        <v>317</v>
      </c>
    </row>
    <row r="321" spans="3:14">
      <c r="C321" t="s">
        <v>24</v>
      </c>
      <c r="D321" t="s">
        <v>1532</v>
      </c>
      <c r="E321" t="s">
        <v>86</v>
      </c>
      <c r="F321" s="36">
        <v>5</v>
      </c>
      <c r="G321" t="s">
        <v>414</v>
      </c>
      <c r="I321" cm="1">
        <f t="array" ref="I321">_xlfn.IFNA(INDEX(QHPSelections2016[],MATCH(1,(QHPSelections2016[State Name]=HIX_RatingAreas[[#This Row],[State Code]])*(QHPSelections2016[County Name]=HIX_RatingAreas[[#This Row],[Subdivision]]),0),MATCH("Silver",QHPSelections2016[#Headers],0)),0)</f>
        <v>2767</v>
      </c>
      <c r="J321" cm="1">
        <f t="array" ref="J321">_xlfn.IFNA(INDEX(QHPSelections2016[],MATCH(1,(QHPSelections2016[State Name]=HIX_RatingAreas[[#This Row],[State Code]])*(QHPSelections2016[County Name]=HIX_RatingAreas[[#This Row],[Subdivision]]),0),MATCH("Total Plan Selections",QHPSelections2016[#Headers],0)),0)</f>
        <v>4057</v>
      </c>
      <c r="L321" t="str" cm="1">
        <f t="array" ref="L321">INDEX(QHPSelections2016[],MATCH(1,(QHPSelections2016[State Name]=HIX_RatingAreas[[#This Row],[State Code]])*(QHPSelections2016[County Name]=HIX_RatingAreas[[#This Row],[Subdivision]]),0),MATCH("County Name",QHPSelections2016[#Headers],0))</f>
        <v>Ascension Parish</v>
      </c>
      <c r="M321" t="b">
        <f>L321=HIX_RatingAreas[[#This Row],[Subdivision]]</f>
        <v>1</v>
      </c>
      <c r="N321">
        <v>318</v>
      </c>
    </row>
    <row r="322" spans="3:14">
      <c r="C322" t="s">
        <v>24</v>
      </c>
      <c r="D322" t="s">
        <v>1532</v>
      </c>
      <c r="E322" t="s">
        <v>86</v>
      </c>
      <c r="F322" s="36">
        <v>5</v>
      </c>
      <c r="G322" t="s">
        <v>408</v>
      </c>
      <c r="I322" cm="1">
        <f t="array" ref="I322">_xlfn.IFNA(INDEX(QHPSelections2016[],MATCH(1,(QHPSelections2016[State Name]=HIX_RatingAreas[[#This Row],[State Code]])*(QHPSelections2016[County Name]=HIX_RatingAreas[[#This Row],[Subdivision]]),0),MATCH("Silver",QHPSelections2016[#Headers],0)),0)</f>
        <v>16572</v>
      </c>
      <c r="J322" cm="1">
        <f t="array" ref="J322">_xlfn.IFNA(INDEX(QHPSelections2016[],MATCH(1,(QHPSelections2016[State Name]=HIX_RatingAreas[[#This Row],[State Code]])*(QHPSelections2016[County Name]=HIX_RatingAreas[[#This Row],[Subdivision]]),0),MATCH("Total Plan Selections",QHPSelections2016[#Headers],0)),0)</f>
        <v>22895</v>
      </c>
      <c r="L322" t="str" cm="1">
        <f t="array" ref="L322">INDEX(QHPSelections2016[],MATCH(1,(QHPSelections2016[State Name]=HIX_RatingAreas[[#This Row],[State Code]])*(QHPSelections2016[County Name]=HIX_RatingAreas[[#This Row],[Subdivision]]),0),MATCH("County Name",QHPSelections2016[#Headers],0))</f>
        <v>East Baton Rouge Parish</v>
      </c>
      <c r="M322" t="b">
        <f>L322=HIX_RatingAreas[[#This Row],[Subdivision]]</f>
        <v>1</v>
      </c>
      <c r="N322">
        <v>319</v>
      </c>
    </row>
    <row r="323" spans="3:14">
      <c r="C323" t="s">
        <v>24</v>
      </c>
      <c r="D323" t="s">
        <v>1532</v>
      </c>
      <c r="E323" t="s">
        <v>86</v>
      </c>
      <c r="F323" s="36">
        <v>5</v>
      </c>
      <c r="G323" t="s">
        <v>413</v>
      </c>
      <c r="I323" cm="1">
        <f t="array" ref="I323">_xlfn.IFNA(INDEX(QHPSelections2016[],MATCH(1,(QHPSelections2016[State Name]=HIX_RatingAreas[[#This Row],[State Code]])*(QHPSelections2016[County Name]=HIX_RatingAreas[[#This Row],[Subdivision]]),0),MATCH("Silver",QHPSelections2016[#Headers],0)),0)</f>
        <v>520</v>
      </c>
      <c r="J323" cm="1">
        <f t="array" ref="J323">_xlfn.IFNA(INDEX(QHPSelections2016[],MATCH(1,(QHPSelections2016[State Name]=HIX_RatingAreas[[#This Row],[State Code]])*(QHPSelections2016[County Name]=HIX_RatingAreas[[#This Row],[Subdivision]]),0),MATCH("Total Plan Selections",QHPSelections2016[#Headers],0)),0)</f>
        <v>764</v>
      </c>
      <c r="L323" t="str" cm="1">
        <f t="array" ref="L323">INDEX(QHPSelections2016[],MATCH(1,(QHPSelections2016[State Name]=HIX_RatingAreas[[#This Row],[State Code]])*(QHPSelections2016[County Name]=HIX_RatingAreas[[#This Row],[Subdivision]]),0),MATCH("County Name",QHPSelections2016[#Headers],0))</f>
        <v>East Feliciana Parish</v>
      </c>
      <c r="M323" t="b">
        <f>L323=HIX_RatingAreas[[#This Row],[Subdivision]]</f>
        <v>1</v>
      </c>
      <c r="N323">
        <v>320</v>
      </c>
    </row>
    <row r="324" spans="3:14">
      <c r="C324" t="s">
        <v>24</v>
      </c>
      <c r="D324" t="s">
        <v>1532</v>
      </c>
      <c r="E324" t="s">
        <v>86</v>
      </c>
      <c r="F324" s="36">
        <v>5</v>
      </c>
      <c r="G324" t="s">
        <v>410</v>
      </c>
      <c r="I324" cm="1">
        <f t="array" ref="I324">_xlfn.IFNA(INDEX(QHPSelections2016[],MATCH(1,(QHPSelections2016[State Name]=HIX_RatingAreas[[#This Row],[State Code]])*(QHPSelections2016[County Name]=HIX_RatingAreas[[#This Row],[Subdivision]]),0),MATCH("Silver",QHPSelections2016[#Headers],0)),0)</f>
        <v>964</v>
      </c>
      <c r="J324" cm="1">
        <f t="array" ref="J324">_xlfn.IFNA(INDEX(QHPSelections2016[],MATCH(1,(QHPSelections2016[State Name]=HIX_RatingAreas[[#This Row],[State Code]])*(QHPSelections2016[County Name]=HIX_RatingAreas[[#This Row],[Subdivision]]),0),MATCH("Total Plan Selections",QHPSelections2016[#Headers],0)),0)</f>
        <v>1347</v>
      </c>
      <c r="L324" t="str" cm="1">
        <f t="array" ref="L324">INDEX(QHPSelections2016[],MATCH(1,(QHPSelections2016[State Name]=HIX_RatingAreas[[#This Row],[State Code]])*(QHPSelections2016[County Name]=HIX_RatingAreas[[#This Row],[Subdivision]]),0),MATCH("County Name",QHPSelections2016[#Headers],0))</f>
        <v>Iberville Parish</v>
      </c>
      <c r="M324" t="b">
        <f>L324=HIX_RatingAreas[[#This Row],[Subdivision]]</f>
        <v>1</v>
      </c>
      <c r="N324">
        <v>321</v>
      </c>
    </row>
    <row r="325" spans="3:14">
      <c r="C325" t="s">
        <v>24</v>
      </c>
      <c r="D325" t="s">
        <v>1532</v>
      </c>
      <c r="E325" t="s">
        <v>86</v>
      </c>
      <c r="F325" s="36">
        <v>5</v>
      </c>
      <c r="G325" t="s">
        <v>415</v>
      </c>
      <c r="I325" cm="1">
        <f t="array" ref="I325">_xlfn.IFNA(INDEX(QHPSelections2016[],MATCH(1,(QHPSelections2016[State Name]=HIX_RatingAreas[[#This Row],[State Code]])*(QHPSelections2016[County Name]=HIX_RatingAreas[[#This Row],[Subdivision]]),0),MATCH("Silver",QHPSelections2016[#Headers],0)),0)</f>
        <v>3490</v>
      </c>
      <c r="J325" cm="1">
        <f t="array" ref="J325">_xlfn.IFNA(INDEX(QHPSelections2016[],MATCH(1,(QHPSelections2016[State Name]=HIX_RatingAreas[[#This Row],[State Code]])*(QHPSelections2016[County Name]=HIX_RatingAreas[[#This Row],[Subdivision]]),0),MATCH("Total Plan Selections",QHPSelections2016[#Headers],0)),0)</f>
        <v>5050</v>
      </c>
      <c r="L325" t="str" cm="1">
        <f t="array" ref="L325">INDEX(QHPSelections2016[],MATCH(1,(QHPSelections2016[State Name]=HIX_RatingAreas[[#This Row],[State Code]])*(QHPSelections2016[County Name]=HIX_RatingAreas[[#This Row],[Subdivision]]),0),MATCH("County Name",QHPSelections2016[#Headers],0))</f>
        <v>Livingston Parish</v>
      </c>
      <c r="M325" t="b">
        <f>L325=HIX_RatingAreas[[#This Row],[Subdivision]]</f>
        <v>1</v>
      </c>
      <c r="N325">
        <v>322</v>
      </c>
    </row>
    <row r="326" spans="3:14">
      <c r="C326" t="s">
        <v>24</v>
      </c>
      <c r="D326" t="s">
        <v>1532</v>
      </c>
      <c r="E326" t="s">
        <v>86</v>
      </c>
      <c r="F326" s="36">
        <v>5</v>
      </c>
      <c r="G326" t="s">
        <v>411</v>
      </c>
      <c r="I326" cm="1">
        <f t="array" ref="I326">_xlfn.IFNA(INDEX(QHPSelections2016[],MATCH(1,(QHPSelections2016[State Name]=HIX_RatingAreas[[#This Row],[State Code]])*(QHPSelections2016[County Name]=HIX_RatingAreas[[#This Row],[Subdivision]]),0),MATCH("Silver",QHPSelections2016[#Headers],0)),0)</f>
        <v>728</v>
      </c>
      <c r="J326" cm="1">
        <f t="array" ref="J326">_xlfn.IFNA(INDEX(QHPSelections2016[],MATCH(1,(QHPSelections2016[State Name]=HIX_RatingAreas[[#This Row],[State Code]])*(QHPSelections2016[County Name]=HIX_RatingAreas[[#This Row],[Subdivision]]),0),MATCH("Total Plan Selections",QHPSelections2016[#Headers],0)),0)</f>
        <v>1021</v>
      </c>
      <c r="L326" t="str" cm="1">
        <f t="array" ref="L326">INDEX(QHPSelections2016[],MATCH(1,(QHPSelections2016[State Name]=HIX_RatingAreas[[#This Row],[State Code]])*(QHPSelections2016[County Name]=HIX_RatingAreas[[#This Row],[Subdivision]]),0),MATCH("County Name",QHPSelections2016[#Headers],0))</f>
        <v>Pointe Coupee Parish</v>
      </c>
      <c r="M326" t="b">
        <f>L326=HIX_RatingAreas[[#This Row],[Subdivision]]</f>
        <v>1</v>
      </c>
      <c r="N326">
        <v>323</v>
      </c>
    </row>
    <row r="327" spans="3:14">
      <c r="C327" t="s">
        <v>24</v>
      </c>
      <c r="D327" t="s">
        <v>1532</v>
      </c>
      <c r="E327" t="s">
        <v>86</v>
      </c>
      <c r="F327" s="36">
        <v>5</v>
      </c>
      <c r="G327" t="s">
        <v>416</v>
      </c>
      <c r="I327" cm="1">
        <f t="array" ref="I327">_xlfn.IFNA(INDEX(QHPSelections2016[],MATCH(1,(QHPSelections2016[State Name]=HIX_RatingAreas[[#This Row],[State Code]])*(QHPSelections2016[County Name]=HIX_RatingAreas[[#This Row],[Subdivision]]),0),MATCH("Silver",QHPSelections2016[#Headers],0)),0)</f>
        <v>332</v>
      </c>
      <c r="J327" cm="1">
        <f t="array" ref="J327">_xlfn.IFNA(INDEX(QHPSelections2016[],MATCH(1,(QHPSelections2016[State Name]=HIX_RatingAreas[[#This Row],[State Code]])*(QHPSelections2016[County Name]=HIX_RatingAreas[[#This Row],[Subdivision]]),0),MATCH("Total Plan Selections",QHPSelections2016[#Headers],0)),0)</f>
        <v>512</v>
      </c>
      <c r="L327" t="str" cm="1">
        <f t="array" ref="L327">INDEX(QHPSelections2016[],MATCH(1,(QHPSelections2016[State Name]=HIX_RatingAreas[[#This Row],[State Code]])*(QHPSelections2016[County Name]=HIX_RatingAreas[[#This Row],[Subdivision]]),0),MATCH("County Name",QHPSelections2016[#Headers],0))</f>
        <v>St. Helena Parish</v>
      </c>
      <c r="M327" t="b">
        <f>L327=HIX_RatingAreas[[#This Row],[Subdivision]]</f>
        <v>1</v>
      </c>
      <c r="N327">
        <v>324</v>
      </c>
    </row>
    <row r="328" spans="3:14">
      <c r="C328" t="s">
        <v>24</v>
      </c>
      <c r="D328" t="s">
        <v>1532</v>
      </c>
      <c r="E328" t="s">
        <v>86</v>
      </c>
      <c r="F328" s="36">
        <v>5</v>
      </c>
      <c r="G328" t="s">
        <v>417</v>
      </c>
      <c r="I328" cm="1">
        <f t="array" ref="I328">_xlfn.IFNA(INDEX(QHPSelections2016[],MATCH(1,(QHPSelections2016[State Name]=HIX_RatingAreas[[#This Row],[State Code]])*(QHPSelections2016[County Name]=HIX_RatingAreas[[#This Row],[Subdivision]]),0),MATCH("Silver",QHPSelections2016[#Headers],0)),0)</f>
        <v>3434</v>
      </c>
      <c r="J328" cm="1">
        <f t="array" ref="J328">_xlfn.IFNA(INDEX(QHPSelections2016[],MATCH(1,(QHPSelections2016[State Name]=HIX_RatingAreas[[#This Row],[State Code]])*(QHPSelections2016[County Name]=HIX_RatingAreas[[#This Row],[Subdivision]]),0),MATCH("Total Plan Selections",QHPSelections2016[#Headers],0)),0)</f>
        <v>5055</v>
      </c>
      <c r="L328" t="str" cm="1">
        <f t="array" ref="L328">INDEX(QHPSelections2016[],MATCH(1,(QHPSelections2016[State Name]=HIX_RatingAreas[[#This Row],[State Code]])*(QHPSelections2016[County Name]=HIX_RatingAreas[[#This Row],[Subdivision]]),0),MATCH("County Name",QHPSelections2016[#Headers],0))</f>
        <v>Tangipahoa Parish</v>
      </c>
      <c r="M328" t="b">
        <f>L328=HIX_RatingAreas[[#This Row],[Subdivision]]</f>
        <v>1</v>
      </c>
      <c r="N328">
        <v>325</v>
      </c>
    </row>
    <row r="329" spans="3:14">
      <c r="C329" t="s">
        <v>24</v>
      </c>
      <c r="D329" t="s">
        <v>1532</v>
      </c>
      <c r="E329" t="s">
        <v>86</v>
      </c>
      <c r="F329" s="36">
        <v>5</v>
      </c>
      <c r="G329" t="s">
        <v>418</v>
      </c>
      <c r="I329" cm="1">
        <f t="array" ref="I329">_xlfn.IFNA(INDEX(QHPSelections2016[],MATCH(1,(QHPSelections2016[State Name]=HIX_RatingAreas[[#This Row],[State Code]])*(QHPSelections2016[County Name]=HIX_RatingAreas[[#This Row],[Subdivision]]),0),MATCH("Silver",QHPSelections2016[#Headers],0)),0)</f>
        <v>1195</v>
      </c>
      <c r="J329" cm="1">
        <f t="array" ref="J329">_xlfn.IFNA(INDEX(QHPSelections2016[],MATCH(1,(QHPSelections2016[State Name]=HIX_RatingAreas[[#This Row],[State Code]])*(QHPSelections2016[County Name]=HIX_RatingAreas[[#This Row],[Subdivision]]),0),MATCH("Total Plan Selections",QHPSelections2016[#Headers],0)),0)</f>
        <v>1618</v>
      </c>
      <c r="L329" t="str" cm="1">
        <f t="array" ref="L329">INDEX(QHPSelections2016[],MATCH(1,(QHPSelections2016[State Name]=HIX_RatingAreas[[#This Row],[State Code]])*(QHPSelections2016[County Name]=HIX_RatingAreas[[#This Row],[Subdivision]]),0),MATCH("County Name",QHPSelections2016[#Headers],0))</f>
        <v>Washington Parish</v>
      </c>
      <c r="M329" t="b">
        <f>L329=HIX_RatingAreas[[#This Row],[Subdivision]]</f>
        <v>1</v>
      </c>
      <c r="N329">
        <v>326</v>
      </c>
    </row>
    <row r="330" spans="3:14">
      <c r="C330" t="s">
        <v>24</v>
      </c>
      <c r="D330" t="s">
        <v>1532</v>
      </c>
      <c r="E330" t="s">
        <v>86</v>
      </c>
      <c r="F330" s="36">
        <v>5</v>
      </c>
      <c r="G330" t="s">
        <v>409</v>
      </c>
      <c r="I330" cm="1">
        <f t="array" ref="I330">_xlfn.IFNA(INDEX(QHPSelections2016[],MATCH(1,(QHPSelections2016[State Name]=HIX_RatingAreas[[#This Row],[State Code]])*(QHPSelections2016[County Name]=HIX_RatingAreas[[#This Row],[Subdivision]]),0),MATCH("Silver",QHPSelections2016[#Headers],0)),0)</f>
        <v>804</v>
      </c>
      <c r="J330" cm="1">
        <f t="array" ref="J330">_xlfn.IFNA(INDEX(QHPSelections2016[],MATCH(1,(QHPSelections2016[State Name]=HIX_RatingAreas[[#This Row],[State Code]])*(QHPSelections2016[County Name]=HIX_RatingAreas[[#This Row],[Subdivision]]),0),MATCH("Total Plan Selections",QHPSelections2016[#Headers],0)),0)</f>
        <v>1087</v>
      </c>
      <c r="L330" t="str" cm="1">
        <f t="array" ref="L330">INDEX(QHPSelections2016[],MATCH(1,(QHPSelections2016[State Name]=HIX_RatingAreas[[#This Row],[State Code]])*(QHPSelections2016[County Name]=HIX_RatingAreas[[#This Row],[Subdivision]]),0),MATCH("County Name",QHPSelections2016[#Headers],0))</f>
        <v>West Baton Rouge Parish</v>
      </c>
      <c r="M330" t="b">
        <f>L330=HIX_RatingAreas[[#This Row],[Subdivision]]</f>
        <v>1</v>
      </c>
      <c r="N330">
        <v>327</v>
      </c>
    </row>
    <row r="331" spans="3:14">
      <c r="C331" t="s">
        <v>24</v>
      </c>
      <c r="D331" t="s">
        <v>1532</v>
      </c>
      <c r="E331" t="s">
        <v>86</v>
      </c>
      <c r="F331" s="36">
        <v>5</v>
      </c>
      <c r="G331" t="s">
        <v>412</v>
      </c>
      <c r="I331" cm="1">
        <f t="array" ref="I331">_xlfn.IFNA(INDEX(QHPSelections2016[],MATCH(1,(QHPSelections2016[State Name]=HIX_RatingAreas[[#This Row],[State Code]])*(QHPSelections2016[County Name]=HIX_RatingAreas[[#This Row],[Subdivision]]),0),MATCH("Silver",QHPSelections2016[#Headers],0)),0)</f>
        <v>296</v>
      </c>
      <c r="J331" cm="1">
        <f t="array" ref="J331">_xlfn.IFNA(INDEX(QHPSelections2016[],MATCH(1,(QHPSelections2016[State Name]=HIX_RatingAreas[[#This Row],[State Code]])*(QHPSelections2016[County Name]=HIX_RatingAreas[[#This Row],[Subdivision]]),0),MATCH("Total Plan Selections",QHPSelections2016[#Headers],0)),0)</f>
        <v>426</v>
      </c>
      <c r="L331" t="str" cm="1">
        <f t="array" ref="L331">INDEX(QHPSelections2016[],MATCH(1,(QHPSelections2016[State Name]=HIX_RatingAreas[[#This Row],[State Code]])*(QHPSelections2016[County Name]=HIX_RatingAreas[[#This Row],[Subdivision]]),0),MATCH("County Name",QHPSelections2016[#Headers],0))</f>
        <v>West Feliciana Parish</v>
      </c>
      <c r="M331" t="b">
        <f>L331=HIX_RatingAreas[[#This Row],[Subdivision]]</f>
        <v>1</v>
      </c>
      <c r="N331">
        <v>328</v>
      </c>
    </row>
    <row r="332" spans="3:14">
      <c r="C332" t="s">
        <v>24</v>
      </c>
      <c r="D332" t="s">
        <v>1532</v>
      </c>
      <c r="E332" t="s">
        <v>89</v>
      </c>
      <c r="F332" s="36">
        <v>6</v>
      </c>
      <c r="G332" t="s">
        <v>421</v>
      </c>
      <c r="I332" cm="1">
        <f t="array" ref="I332">_xlfn.IFNA(INDEX(QHPSelections2016[],MATCH(1,(QHPSelections2016[State Name]=HIX_RatingAreas[[#This Row],[State Code]])*(QHPSelections2016[County Name]=HIX_RatingAreas[[#This Row],[Subdivision]]),0),MATCH("Silver",QHPSelections2016[#Headers],0)),0)</f>
        <v>1256</v>
      </c>
      <c r="J332" cm="1">
        <f t="array" ref="J332">_xlfn.IFNA(INDEX(QHPSelections2016[],MATCH(1,(QHPSelections2016[State Name]=HIX_RatingAreas[[#This Row],[State Code]])*(QHPSelections2016[County Name]=HIX_RatingAreas[[#This Row],[Subdivision]]),0),MATCH("Total Plan Selections",QHPSelections2016[#Headers],0)),0)</f>
        <v>1827</v>
      </c>
      <c r="L332" t="str" cm="1">
        <f t="array" ref="L332">INDEX(QHPSelections2016[],MATCH(1,(QHPSelections2016[State Name]=HIX_RatingAreas[[#This Row],[State Code]])*(QHPSelections2016[County Name]=HIX_RatingAreas[[#This Row],[Subdivision]]),0),MATCH("County Name",QHPSelections2016[#Headers],0))</f>
        <v>Avoyelles Parish</v>
      </c>
      <c r="M332" t="b">
        <f>L332=HIX_RatingAreas[[#This Row],[Subdivision]]</f>
        <v>1</v>
      </c>
      <c r="N332">
        <v>329</v>
      </c>
    </row>
    <row r="333" spans="3:14">
      <c r="C333" t="s">
        <v>24</v>
      </c>
      <c r="D333" t="s">
        <v>1532</v>
      </c>
      <c r="E333" t="s">
        <v>89</v>
      </c>
      <c r="F333" s="36">
        <v>6</v>
      </c>
      <c r="G333" t="s">
        <v>423</v>
      </c>
      <c r="I333" cm="1">
        <f t="array" ref="I333">_xlfn.IFNA(INDEX(QHPSelections2016[],MATCH(1,(QHPSelections2016[State Name]=HIX_RatingAreas[[#This Row],[State Code]])*(QHPSelections2016[County Name]=HIX_RatingAreas[[#This Row],[Subdivision]]),0),MATCH("Silver",QHPSelections2016[#Headers],0)),0)</f>
        <v>374</v>
      </c>
      <c r="J333" cm="1">
        <f t="array" ref="J333">_xlfn.IFNA(INDEX(QHPSelections2016[],MATCH(1,(QHPSelections2016[State Name]=HIX_RatingAreas[[#This Row],[State Code]])*(QHPSelections2016[County Name]=HIX_RatingAreas[[#This Row],[Subdivision]]),0),MATCH("Total Plan Selections",QHPSelections2016[#Headers],0)),0)</f>
        <v>591</v>
      </c>
      <c r="L333" t="str" cm="1">
        <f t="array" ref="L333">INDEX(QHPSelections2016[],MATCH(1,(QHPSelections2016[State Name]=HIX_RatingAreas[[#This Row],[State Code]])*(QHPSelections2016[County Name]=HIX_RatingAreas[[#This Row],[Subdivision]]),0),MATCH("County Name",QHPSelections2016[#Headers],0))</f>
        <v>Catahoula Parish</v>
      </c>
      <c r="M333" t="b">
        <f>L333=HIX_RatingAreas[[#This Row],[Subdivision]]</f>
        <v>1</v>
      </c>
      <c r="N333">
        <v>330</v>
      </c>
    </row>
    <row r="334" spans="3:14">
      <c r="C334" t="s">
        <v>24</v>
      </c>
      <c r="D334" t="s">
        <v>1532</v>
      </c>
      <c r="E334" t="s">
        <v>89</v>
      </c>
      <c r="F334" s="36">
        <v>6</v>
      </c>
      <c r="G334" t="s">
        <v>422</v>
      </c>
      <c r="I334" cm="1">
        <f t="array" ref="I334">_xlfn.IFNA(INDEX(QHPSelections2016[],MATCH(1,(QHPSelections2016[State Name]=HIX_RatingAreas[[#This Row],[State Code]])*(QHPSelections2016[County Name]=HIX_RatingAreas[[#This Row],[Subdivision]]),0),MATCH("Silver",QHPSelections2016[#Headers],0)),0)</f>
        <v>630</v>
      </c>
      <c r="J334" cm="1">
        <f t="array" ref="J334">_xlfn.IFNA(INDEX(QHPSelections2016[],MATCH(1,(QHPSelections2016[State Name]=HIX_RatingAreas[[#This Row],[State Code]])*(QHPSelections2016[County Name]=HIX_RatingAreas[[#This Row],[Subdivision]]),0),MATCH("Total Plan Selections",QHPSelections2016[#Headers],0)),0)</f>
        <v>915</v>
      </c>
      <c r="L334" t="str" cm="1">
        <f t="array" ref="L334">INDEX(QHPSelections2016[],MATCH(1,(QHPSelections2016[State Name]=HIX_RatingAreas[[#This Row],[State Code]])*(QHPSelections2016[County Name]=HIX_RatingAreas[[#This Row],[Subdivision]]),0),MATCH("County Name",QHPSelections2016[#Headers],0))</f>
        <v>Concordia Parish</v>
      </c>
      <c r="M334" t="b">
        <f>L334=HIX_RatingAreas[[#This Row],[Subdivision]]</f>
        <v>1</v>
      </c>
      <c r="N334">
        <v>331</v>
      </c>
    </row>
    <row r="335" spans="3:14">
      <c r="C335" t="s">
        <v>24</v>
      </c>
      <c r="D335" t="s">
        <v>1532</v>
      </c>
      <c r="E335" t="s">
        <v>89</v>
      </c>
      <c r="F335" s="36">
        <v>6</v>
      </c>
      <c r="G335" t="s">
        <v>425</v>
      </c>
      <c r="I335" cm="1">
        <f t="array" ref="I335">_xlfn.IFNA(INDEX(QHPSelections2016[],MATCH(1,(QHPSelections2016[State Name]=HIX_RatingAreas[[#This Row],[State Code]])*(QHPSelections2016[County Name]=HIX_RatingAreas[[#This Row],[Subdivision]]),0),MATCH("Silver",QHPSelections2016[#Headers],0)),0)</f>
        <v>416</v>
      </c>
      <c r="J335" cm="1">
        <f t="array" ref="J335">_xlfn.IFNA(INDEX(QHPSelections2016[],MATCH(1,(QHPSelections2016[State Name]=HIX_RatingAreas[[#This Row],[State Code]])*(QHPSelections2016[County Name]=HIX_RatingAreas[[#This Row],[Subdivision]]),0),MATCH("Total Plan Selections",QHPSelections2016[#Headers],0)),0)</f>
        <v>636</v>
      </c>
      <c r="L335" t="str" cm="1">
        <f t="array" ref="L335">INDEX(QHPSelections2016[],MATCH(1,(QHPSelections2016[State Name]=HIX_RatingAreas[[#This Row],[State Code]])*(QHPSelections2016[County Name]=HIX_RatingAreas[[#This Row],[Subdivision]]),0),MATCH("County Name",QHPSelections2016[#Headers],0))</f>
        <v>Grant Parish</v>
      </c>
      <c r="M335" t="b">
        <f>L335=HIX_RatingAreas[[#This Row],[Subdivision]]</f>
        <v>1</v>
      </c>
      <c r="N335">
        <v>332</v>
      </c>
    </row>
    <row r="336" spans="3:14">
      <c r="C336" t="s">
        <v>24</v>
      </c>
      <c r="D336" t="s">
        <v>1532</v>
      </c>
      <c r="E336" t="s">
        <v>89</v>
      </c>
      <c r="F336" s="36">
        <v>6</v>
      </c>
      <c r="G336" s="38" t="s">
        <v>983</v>
      </c>
      <c r="H336" t="s">
        <v>5193</v>
      </c>
      <c r="I336" cm="1">
        <f t="array" ref="I336">_xlfn.IFNA(INDEX(QHPSelections2016[],MATCH(1,(QHPSelections2016[State Name]=HIX_RatingAreas[[#This Row],[State Code]])*(QHPSelections2016[County Name]=HIX_RatingAreas[[#This Row],[Subdivision]]),0),MATCH("Silver",QHPSelections2016[#Headers],0)),0)</f>
        <v>289</v>
      </c>
      <c r="J336" cm="1">
        <f t="array" ref="J336">_xlfn.IFNA(INDEX(QHPSelections2016[],MATCH(1,(QHPSelections2016[State Name]=HIX_RatingAreas[[#This Row],[State Code]])*(QHPSelections2016[County Name]=HIX_RatingAreas[[#This Row],[Subdivision]]),0),MATCH("Total Plan Selections",QHPSelections2016[#Headers],0)),0)</f>
        <v>452</v>
      </c>
      <c r="L336" t="str" cm="1">
        <f t="array" ref="L336">INDEX(QHPSelections2016[],MATCH(1,(QHPSelections2016[State Name]=HIX_RatingAreas[[#This Row],[State Code]])*(QHPSelections2016[County Name]=HIX_RatingAreas[[#This Row],[Subdivision]]),0),MATCH("County Name",QHPSelections2016[#Headers],0))</f>
        <v>LaSalle Parish</v>
      </c>
      <c r="M336" t="b">
        <f>L336=HIX_RatingAreas[[#This Row],[Subdivision]]</f>
        <v>1</v>
      </c>
      <c r="N336">
        <v>333</v>
      </c>
    </row>
    <row r="337" spans="3:14">
      <c r="C337" t="s">
        <v>24</v>
      </c>
      <c r="D337" t="s">
        <v>1532</v>
      </c>
      <c r="E337" t="s">
        <v>89</v>
      </c>
      <c r="F337" s="36">
        <v>6</v>
      </c>
      <c r="G337" s="37" t="s">
        <v>419</v>
      </c>
      <c r="I337" cm="1">
        <f t="array" ref="I337">_xlfn.IFNA(INDEX(QHPSelections2016[],MATCH(1,(QHPSelections2016[State Name]=HIX_RatingAreas[[#This Row],[State Code]])*(QHPSelections2016[County Name]=HIX_RatingAreas[[#This Row],[Subdivision]]),0),MATCH("Silver",QHPSelections2016[#Headers],0)),0)</f>
        <v>3480</v>
      </c>
      <c r="J337" cm="1">
        <f t="array" ref="J337">_xlfn.IFNA(INDEX(QHPSelections2016[],MATCH(1,(QHPSelections2016[State Name]=HIX_RatingAreas[[#This Row],[State Code]])*(QHPSelections2016[County Name]=HIX_RatingAreas[[#This Row],[Subdivision]]),0),MATCH("Total Plan Selections",QHPSelections2016[#Headers],0)),0)</f>
        <v>5414</v>
      </c>
      <c r="L337" t="str" cm="1">
        <f t="array" ref="L337">INDEX(QHPSelections2016[],MATCH(1,(QHPSelections2016[State Name]=HIX_RatingAreas[[#This Row],[State Code]])*(QHPSelections2016[County Name]=HIX_RatingAreas[[#This Row],[Subdivision]]),0),MATCH("County Name",QHPSelections2016[#Headers],0))</f>
        <v>Rapides Parish</v>
      </c>
      <c r="M337" t="b">
        <f>L337=HIX_RatingAreas[[#This Row],[Subdivision]]</f>
        <v>1</v>
      </c>
      <c r="N337">
        <v>334</v>
      </c>
    </row>
    <row r="338" spans="3:14">
      <c r="C338" t="s">
        <v>24</v>
      </c>
      <c r="D338" t="s">
        <v>1532</v>
      </c>
      <c r="E338" t="s">
        <v>89</v>
      </c>
      <c r="F338" s="36">
        <v>6</v>
      </c>
      <c r="G338" t="s">
        <v>420</v>
      </c>
      <c r="I338" cm="1">
        <f t="array" ref="I338">_xlfn.IFNA(INDEX(QHPSelections2016[],MATCH(1,(QHPSelections2016[State Name]=HIX_RatingAreas[[#This Row],[State Code]])*(QHPSelections2016[County Name]=HIX_RatingAreas[[#This Row],[Subdivision]]),0),MATCH("Silver",QHPSelections2016[#Headers],0)),0)</f>
        <v>758</v>
      </c>
      <c r="J338" cm="1">
        <f t="array" ref="J338">_xlfn.IFNA(INDEX(QHPSelections2016[],MATCH(1,(QHPSelections2016[State Name]=HIX_RatingAreas[[#This Row],[State Code]])*(QHPSelections2016[County Name]=HIX_RatingAreas[[#This Row],[Subdivision]]),0),MATCH("Total Plan Selections",QHPSelections2016[#Headers],0)),0)</f>
        <v>1157</v>
      </c>
      <c r="L338" t="str" cm="1">
        <f t="array" ref="L338">INDEX(QHPSelections2016[],MATCH(1,(QHPSelections2016[State Name]=HIX_RatingAreas[[#This Row],[State Code]])*(QHPSelections2016[County Name]=HIX_RatingAreas[[#This Row],[Subdivision]]),0),MATCH("County Name",QHPSelections2016[#Headers],0))</f>
        <v>Vernon Parish</v>
      </c>
      <c r="M338" t="b">
        <f>L338=HIX_RatingAreas[[#This Row],[Subdivision]]</f>
        <v>1</v>
      </c>
      <c r="N338">
        <v>335</v>
      </c>
    </row>
    <row r="339" spans="3:14">
      <c r="C339" t="s">
        <v>24</v>
      </c>
      <c r="D339" t="s">
        <v>1532</v>
      </c>
      <c r="E339" t="s">
        <v>89</v>
      </c>
      <c r="F339" s="36">
        <v>6</v>
      </c>
      <c r="G339" t="s">
        <v>426</v>
      </c>
      <c r="I339" cm="1">
        <f t="array" ref="I339">_xlfn.IFNA(INDEX(QHPSelections2016[],MATCH(1,(QHPSelections2016[State Name]=HIX_RatingAreas[[#This Row],[State Code]])*(QHPSelections2016[County Name]=HIX_RatingAreas[[#This Row],[Subdivision]]),0),MATCH("Silver",QHPSelections2016[#Headers],0)),0)</f>
        <v>408</v>
      </c>
      <c r="J339" cm="1">
        <f t="array" ref="J339">_xlfn.IFNA(INDEX(QHPSelections2016[],MATCH(1,(QHPSelections2016[State Name]=HIX_RatingAreas[[#This Row],[State Code]])*(QHPSelections2016[County Name]=HIX_RatingAreas[[#This Row],[Subdivision]]),0),MATCH("Total Plan Selections",QHPSelections2016[#Headers],0)),0)</f>
        <v>614</v>
      </c>
      <c r="L339" t="str" cm="1">
        <f t="array" ref="L339">INDEX(QHPSelections2016[],MATCH(1,(QHPSelections2016[State Name]=HIX_RatingAreas[[#This Row],[State Code]])*(QHPSelections2016[County Name]=HIX_RatingAreas[[#This Row],[Subdivision]]),0),MATCH("County Name",QHPSelections2016[#Headers],0))</f>
        <v>Winn Parish</v>
      </c>
      <c r="M339" t="b">
        <f>L339=HIX_RatingAreas[[#This Row],[Subdivision]]</f>
        <v>1</v>
      </c>
      <c r="N339">
        <v>336</v>
      </c>
    </row>
    <row r="340" spans="3:14">
      <c r="C340" t="s">
        <v>24</v>
      </c>
      <c r="D340" t="s">
        <v>1532</v>
      </c>
      <c r="E340" t="s">
        <v>93</v>
      </c>
      <c r="F340" s="36">
        <v>7</v>
      </c>
      <c r="G340" t="s">
        <v>435</v>
      </c>
      <c r="I340" cm="1">
        <f t="array" ref="I340">_xlfn.IFNA(INDEX(QHPSelections2016[],MATCH(1,(QHPSelections2016[State Name]=HIX_RatingAreas[[#This Row],[State Code]])*(QHPSelections2016[County Name]=HIX_RatingAreas[[#This Row],[Subdivision]]),0),MATCH("Silver",QHPSelections2016[#Headers],0)),0)</f>
        <v>258</v>
      </c>
      <c r="J340" cm="1">
        <f t="array" ref="J340">_xlfn.IFNA(INDEX(QHPSelections2016[],MATCH(1,(QHPSelections2016[State Name]=HIX_RatingAreas[[#This Row],[State Code]])*(QHPSelections2016[County Name]=HIX_RatingAreas[[#This Row],[Subdivision]]),0),MATCH("Total Plan Selections",QHPSelections2016[#Headers],0)),0)</f>
        <v>386</v>
      </c>
      <c r="L340" t="str" cm="1">
        <f t="array" ref="L340">INDEX(QHPSelections2016[],MATCH(1,(QHPSelections2016[State Name]=HIX_RatingAreas[[#This Row],[State Code]])*(QHPSelections2016[County Name]=HIX_RatingAreas[[#This Row],[Subdivision]]),0),MATCH("County Name",QHPSelections2016[#Headers],0))</f>
        <v>Caldwell Parish</v>
      </c>
      <c r="M340" t="b">
        <f>L340=HIX_RatingAreas[[#This Row],[Subdivision]]</f>
        <v>1</v>
      </c>
      <c r="N340">
        <v>337</v>
      </c>
    </row>
    <row r="341" spans="3:14">
      <c r="C341" t="s">
        <v>24</v>
      </c>
      <c r="D341" t="s">
        <v>1532</v>
      </c>
      <c r="E341" t="s">
        <v>93</v>
      </c>
      <c r="F341" s="36">
        <v>7</v>
      </c>
      <c r="G341" t="s">
        <v>428</v>
      </c>
      <c r="I341" cm="1">
        <f t="array" ref="I341">_xlfn.IFNA(INDEX(QHPSelections2016[],MATCH(1,(QHPSelections2016[State Name]=HIX_RatingAreas[[#This Row],[State Code]])*(QHPSelections2016[County Name]=HIX_RatingAreas[[#This Row],[Subdivision]]),0),MATCH("Silver",QHPSelections2016[#Headers],0)),0)</f>
        <v>199</v>
      </c>
      <c r="J341" cm="1">
        <f t="array" ref="J341">_xlfn.IFNA(INDEX(QHPSelections2016[],MATCH(1,(QHPSelections2016[State Name]=HIX_RatingAreas[[#This Row],[State Code]])*(QHPSelections2016[County Name]=HIX_RatingAreas[[#This Row],[Subdivision]]),0),MATCH("Total Plan Selections",QHPSelections2016[#Headers],0)),0)</f>
        <v>360</v>
      </c>
      <c r="L341" t="str" cm="1">
        <f t="array" ref="L341">INDEX(QHPSelections2016[],MATCH(1,(QHPSelections2016[State Name]=HIX_RatingAreas[[#This Row],[State Code]])*(QHPSelections2016[County Name]=HIX_RatingAreas[[#This Row],[Subdivision]]),0),MATCH("County Name",QHPSelections2016[#Headers],0))</f>
        <v>East Carroll Parish</v>
      </c>
      <c r="M341" t="b">
        <f>L341=HIX_RatingAreas[[#This Row],[Subdivision]]</f>
        <v>1</v>
      </c>
      <c r="N341">
        <v>338</v>
      </c>
    </row>
    <row r="342" spans="3:14">
      <c r="C342" t="s">
        <v>24</v>
      </c>
      <c r="D342" t="s">
        <v>1532</v>
      </c>
      <c r="E342" t="s">
        <v>93</v>
      </c>
      <c r="F342" s="36">
        <v>7</v>
      </c>
      <c r="G342" t="s">
        <v>432</v>
      </c>
      <c r="I342" cm="1">
        <f t="array" ref="I342">_xlfn.IFNA(INDEX(QHPSelections2016[],MATCH(1,(QHPSelections2016[State Name]=HIX_RatingAreas[[#This Row],[State Code]])*(QHPSelections2016[County Name]=HIX_RatingAreas[[#This Row],[Subdivision]]),0),MATCH("Silver",QHPSelections2016[#Headers],0)),0)</f>
        <v>683</v>
      </c>
      <c r="J342" cm="1">
        <f t="array" ref="J342">_xlfn.IFNA(INDEX(QHPSelections2016[],MATCH(1,(QHPSelections2016[State Name]=HIX_RatingAreas[[#This Row],[State Code]])*(QHPSelections2016[County Name]=HIX_RatingAreas[[#This Row],[Subdivision]]),0),MATCH("Total Plan Selections",QHPSelections2016[#Headers],0)),0)</f>
        <v>1069</v>
      </c>
      <c r="L342" t="str" cm="1">
        <f t="array" ref="L342">INDEX(QHPSelections2016[],MATCH(1,(QHPSelections2016[State Name]=HIX_RatingAreas[[#This Row],[State Code]])*(QHPSelections2016[County Name]=HIX_RatingAreas[[#This Row],[Subdivision]]),0),MATCH("County Name",QHPSelections2016[#Headers],0))</f>
        <v>Franklin Parish</v>
      </c>
      <c r="M342" t="b">
        <f>L342=HIX_RatingAreas[[#This Row],[Subdivision]]</f>
        <v>1</v>
      </c>
      <c r="N342">
        <v>339</v>
      </c>
    </row>
    <row r="343" spans="3:14">
      <c r="C343" t="s">
        <v>24</v>
      </c>
      <c r="D343" t="s">
        <v>1532</v>
      </c>
      <c r="E343" t="s">
        <v>93</v>
      </c>
      <c r="F343" s="36">
        <v>7</v>
      </c>
      <c r="G343" t="s">
        <v>436</v>
      </c>
      <c r="I343" cm="1">
        <f t="array" ref="I343">_xlfn.IFNA(INDEX(QHPSelections2016[],MATCH(1,(QHPSelections2016[State Name]=HIX_RatingAreas[[#This Row],[State Code]])*(QHPSelections2016[County Name]=HIX_RatingAreas[[#This Row],[Subdivision]]),0),MATCH("Silver",QHPSelections2016[#Headers],0)),0)</f>
        <v>477</v>
      </c>
      <c r="J343" cm="1">
        <f t="array" ref="J343">_xlfn.IFNA(INDEX(QHPSelections2016[],MATCH(1,(QHPSelections2016[State Name]=HIX_RatingAreas[[#This Row],[State Code]])*(QHPSelections2016[County Name]=HIX_RatingAreas[[#This Row],[Subdivision]]),0),MATCH("Total Plan Selections",QHPSelections2016[#Headers],0)),0)</f>
        <v>671</v>
      </c>
      <c r="L343" t="str" cm="1">
        <f t="array" ref="L343">INDEX(QHPSelections2016[],MATCH(1,(QHPSelections2016[State Name]=HIX_RatingAreas[[#This Row],[State Code]])*(QHPSelections2016[County Name]=HIX_RatingAreas[[#This Row],[Subdivision]]),0),MATCH("County Name",QHPSelections2016[#Headers],0))</f>
        <v>Jackson Parish</v>
      </c>
      <c r="M343" t="b">
        <f>L343=HIX_RatingAreas[[#This Row],[Subdivision]]</f>
        <v>1</v>
      </c>
      <c r="N343">
        <v>340</v>
      </c>
    </row>
    <row r="344" spans="3:14">
      <c r="C344" t="s">
        <v>24</v>
      </c>
      <c r="D344" t="s">
        <v>1532</v>
      </c>
      <c r="E344" t="s">
        <v>93</v>
      </c>
      <c r="F344" s="36">
        <v>7</v>
      </c>
      <c r="G344" t="s">
        <v>437</v>
      </c>
      <c r="I344" cm="1">
        <f t="array" ref="I344">_xlfn.IFNA(INDEX(QHPSelections2016[],MATCH(1,(QHPSelections2016[State Name]=HIX_RatingAreas[[#This Row],[State Code]])*(QHPSelections2016[County Name]=HIX_RatingAreas[[#This Row],[Subdivision]]),0),MATCH("Silver",QHPSelections2016[#Headers],0)),0)</f>
        <v>1154</v>
      </c>
      <c r="J344" cm="1">
        <f t="array" ref="J344">_xlfn.IFNA(INDEX(QHPSelections2016[],MATCH(1,(QHPSelections2016[State Name]=HIX_RatingAreas[[#This Row],[State Code]])*(QHPSelections2016[County Name]=HIX_RatingAreas[[#This Row],[Subdivision]]),0),MATCH("Total Plan Selections",QHPSelections2016[#Headers],0)),0)</f>
        <v>1839</v>
      </c>
      <c r="L344" t="str" cm="1">
        <f t="array" ref="L344">INDEX(QHPSelections2016[],MATCH(1,(QHPSelections2016[State Name]=HIX_RatingAreas[[#This Row],[State Code]])*(QHPSelections2016[County Name]=HIX_RatingAreas[[#This Row],[Subdivision]]),0),MATCH("County Name",QHPSelections2016[#Headers],0))</f>
        <v>Lincoln Parish</v>
      </c>
      <c r="M344" t="b">
        <f>L344=HIX_RatingAreas[[#This Row],[Subdivision]]</f>
        <v>1</v>
      </c>
      <c r="N344">
        <v>341</v>
      </c>
    </row>
    <row r="345" spans="3:14">
      <c r="C345" t="s">
        <v>24</v>
      </c>
      <c r="D345" t="s">
        <v>1532</v>
      </c>
      <c r="E345" t="s">
        <v>93</v>
      </c>
      <c r="F345" s="36">
        <v>7</v>
      </c>
      <c r="G345" t="s">
        <v>430</v>
      </c>
      <c r="I345" cm="1">
        <f t="array" ref="I345">_xlfn.IFNA(INDEX(QHPSelections2016[],MATCH(1,(QHPSelections2016[State Name]=HIX_RatingAreas[[#This Row],[State Code]])*(QHPSelections2016[County Name]=HIX_RatingAreas[[#This Row],[Subdivision]]),0),MATCH("Silver",QHPSelections2016[#Headers],0)),0)</f>
        <v>288</v>
      </c>
      <c r="J345" cm="1">
        <f t="array" ref="J345">_xlfn.IFNA(INDEX(QHPSelections2016[],MATCH(1,(QHPSelections2016[State Name]=HIX_RatingAreas[[#This Row],[State Code]])*(QHPSelections2016[County Name]=HIX_RatingAreas[[#This Row],[Subdivision]]),0),MATCH("Total Plan Selections",QHPSelections2016[#Headers],0)),0)</f>
        <v>400</v>
      </c>
      <c r="L345" t="str" cm="1">
        <f t="array" ref="L345">INDEX(QHPSelections2016[],MATCH(1,(QHPSelections2016[State Name]=HIX_RatingAreas[[#This Row],[State Code]])*(QHPSelections2016[County Name]=HIX_RatingAreas[[#This Row],[Subdivision]]),0),MATCH("County Name",QHPSelections2016[#Headers],0))</f>
        <v>Madison Parish</v>
      </c>
      <c r="M345" t="b">
        <f>L345=HIX_RatingAreas[[#This Row],[Subdivision]]</f>
        <v>1</v>
      </c>
      <c r="N345">
        <v>342</v>
      </c>
    </row>
    <row r="346" spans="3:14">
      <c r="C346" t="s">
        <v>24</v>
      </c>
      <c r="D346" t="s">
        <v>1532</v>
      </c>
      <c r="E346" t="s">
        <v>93</v>
      </c>
      <c r="F346" s="36">
        <v>7</v>
      </c>
      <c r="G346" t="s">
        <v>434</v>
      </c>
      <c r="I346" cm="1">
        <f t="array" ref="I346">_xlfn.IFNA(INDEX(QHPSelections2016[],MATCH(1,(QHPSelections2016[State Name]=HIX_RatingAreas[[#This Row],[State Code]])*(QHPSelections2016[County Name]=HIX_RatingAreas[[#This Row],[Subdivision]]),0),MATCH("Silver",QHPSelections2016[#Headers],0)),0)</f>
        <v>887</v>
      </c>
      <c r="J346" cm="1">
        <f t="array" ref="J346">_xlfn.IFNA(INDEX(QHPSelections2016[],MATCH(1,(QHPSelections2016[State Name]=HIX_RatingAreas[[#This Row],[State Code]])*(QHPSelections2016[County Name]=HIX_RatingAreas[[#This Row],[Subdivision]]),0),MATCH("Total Plan Selections",QHPSelections2016[#Headers],0)),0)</f>
        <v>1332</v>
      </c>
      <c r="L346" t="str" cm="1">
        <f t="array" ref="L346">INDEX(QHPSelections2016[],MATCH(1,(QHPSelections2016[State Name]=HIX_RatingAreas[[#This Row],[State Code]])*(QHPSelections2016[County Name]=HIX_RatingAreas[[#This Row],[Subdivision]]),0),MATCH("County Name",QHPSelections2016[#Headers],0))</f>
        <v>Morehouse Parish</v>
      </c>
      <c r="M346" t="b">
        <f>L346=HIX_RatingAreas[[#This Row],[Subdivision]]</f>
        <v>1</v>
      </c>
      <c r="N346">
        <v>343</v>
      </c>
    </row>
    <row r="347" spans="3:14">
      <c r="C347" t="s">
        <v>24</v>
      </c>
      <c r="D347" t="s">
        <v>1532</v>
      </c>
      <c r="E347" t="s">
        <v>93</v>
      </c>
      <c r="F347" s="36">
        <v>7</v>
      </c>
      <c r="G347" t="s">
        <v>427</v>
      </c>
      <c r="I347" cm="1">
        <f t="array" ref="I347">_xlfn.IFNA(INDEX(QHPSelections2016[],MATCH(1,(QHPSelections2016[State Name]=HIX_RatingAreas[[#This Row],[State Code]])*(QHPSelections2016[County Name]=HIX_RatingAreas[[#This Row],[Subdivision]]),0),MATCH("Silver",QHPSelections2016[#Headers],0)),0)</f>
        <v>5117</v>
      </c>
      <c r="J347" cm="1">
        <f t="array" ref="J347">_xlfn.IFNA(INDEX(QHPSelections2016[],MATCH(1,(QHPSelections2016[State Name]=HIX_RatingAreas[[#This Row],[State Code]])*(QHPSelections2016[County Name]=HIX_RatingAreas[[#This Row],[Subdivision]]),0),MATCH("Total Plan Selections",QHPSelections2016[#Headers],0)),0)</f>
        <v>7949</v>
      </c>
      <c r="L347" t="str" cm="1">
        <f t="array" ref="L347">INDEX(QHPSelections2016[],MATCH(1,(QHPSelections2016[State Name]=HIX_RatingAreas[[#This Row],[State Code]])*(QHPSelections2016[County Name]=HIX_RatingAreas[[#This Row],[Subdivision]]),0),MATCH("County Name",QHPSelections2016[#Headers],0))</f>
        <v>Ouachita Parish</v>
      </c>
      <c r="M347" t="b">
        <f>L347=HIX_RatingAreas[[#This Row],[Subdivision]]</f>
        <v>1</v>
      </c>
      <c r="N347">
        <v>344</v>
      </c>
    </row>
    <row r="348" spans="3:14">
      <c r="C348" t="s">
        <v>24</v>
      </c>
      <c r="D348" t="s">
        <v>1532</v>
      </c>
      <c r="E348" t="s">
        <v>93</v>
      </c>
      <c r="F348" s="36">
        <v>7</v>
      </c>
      <c r="G348" t="s">
        <v>433</v>
      </c>
      <c r="I348" cm="1">
        <f t="array" ref="I348">_xlfn.IFNA(INDEX(QHPSelections2016[],MATCH(1,(QHPSelections2016[State Name]=HIX_RatingAreas[[#This Row],[State Code]])*(QHPSelections2016[County Name]=HIX_RatingAreas[[#This Row],[Subdivision]]),0),MATCH("Silver",QHPSelections2016[#Headers],0)),0)</f>
        <v>698</v>
      </c>
      <c r="J348" cm="1">
        <f t="array" ref="J348">_xlfn.IFNA(INDEX(QHPSelections2016[],MATCH(1,(QHPSelections2016[State Name]=HIX_RatingAreas[[#This Row],[State Code]])*(QHPSelections2016[County Name]=HIX_RatingAreas[[#This Row],[Subdivision]]),0),MATCH("Total Plan Selections",QHPSelections2016[#Headers],0)),0)</f>
        <v>1089</v>
      </c>
      <c r="L348" t="str" cm="1">
        <f t="array" ref="L348">INDEX(QHPSelections2016[],MATCH(1,(QHPSelections2016[State Name]=HIX_RatingAreas[[#This Row],[State Code]])*(QHPSelections2016[County Name]=HIX_RatingAreas[[#This Row],[Subdivision]]),0),MATCH("County Name",QHPSelections2016[#Headers],0))</f>
        <v>Richland Parish</v>
      </c>
      <c r="M348" t="b">
        <f>L348=HIX_RatingAreas[[#This Row],[Subdivision]]</f>
        <v>1</v>
      </c>
      <c r="N348">
        <v>345</v>
      </c>
    </row>
    <row r="349" spans="3:14">
      <c r="C349" t="s">
        <v>24</v>
      </c>
      <c r="D349" t="s">
        <v>1532</v>
      </c>
      <c r="E349" t="s">
        <v>93</v>
      </c>
      <c r="F349" s="36">
        <v>7</v>
      </c>
      <c r="G349" t="s">
        <v>431</v>
      </c>
      <c r="I349" cm="1">
        <f t="array" ref="I349">_xlfn.IFNA(INDEX(QHPSelections2016[],MATCH(1,(QHPSelections2016[State Name]=HIX_RatingAreas[[#This Row],[State Code]])*(QHPSelections2016[County Name]=HIX_RatingAreas[[#This Row],[Subdivision]]),0),MATCH("Silver",QHPSelections2016[#Headers],0)),0)</f>
        <v>179</v>
      </c>
      <c r="J349" cm="1">
        <f t="array" ref="J349">_xlfn.IFNA(INDEX(QHPSelections2016[],MATCH(1,(QHPSelections2016[State Name]=HIX_RatingAreas[[#This Row],[State Code]])*(QHPSelections2016[County Name]=HIX_RatingAreas[[#This Row],[Subdivision]]),0),MATCH("Total Plan Selections",QHPSelections2016[#Headers],0)),0)</f>
        <v>277</v>
      </c>
      <c r="L349" t="str" cm="1">
        <f t="array" ref="L349">INDEX(QHPSelections2016[],MATCH(1,(QHPSelections2016[State Name]=HIX_RatingAreas[[#This Row],[State Code]])*(QHPSelections2016[County Name]=HIX_RatingAreas[[#This Row],[Subdivision]]),0),MATCH("County Name",QHPSelections2016[#Headers],0))</f>
        <v>Tensas Parish</v>
      </c>
      <c r="M349" t="b">
        <f>L349=HIX_RatingAreas[[#This Row],[Subdivision]]</f>
        <v>1</v>
      </c>
      <c r="N349">
        <v>346</v>
      </c>
    </row>
    <row r="350" spans="3:14">
      <c r="C350" t="s">
        <v>24</v>
      </c>
      <c r="D350" t="s">
        <v>1532</v>
      </c>
      <c r="E350" t="s">
        <v>93</v>
      </c>
      <c r="F350" s="36">
        <v>7</v>
      </c>
      <c r="G350" t="s">
        <v>438</v>
      </c>
      <c r="I350" cm="1">
        <f t="array" ref="I350">_xlfn.IFNA(INDEX(QHPSelections2016[],MATCH(1,(QHPSelections2016[State Name]=HIX_RatingAreas[[#This Row],[State Code]])*(QHPSelections2016[County Name]=HIX_RatingAreas[[#This Row],[Subdivision]]),0),MATCH("Silver",QHPSelections2016[#Headers],0)),0)</f>
        <v>637</v>
      </c>
      <c r="J350" cm="1">
        <f t="array" ref="J350">_xlfn.IFNA(INDEX(QHPSelections2016[],MATCH(1,(QHPSelections2016[State Name]=HIX_RatingAreas[[#This Row],[State Code]])*(QHPSelections2016[County Name]=HIX_RatingAreas[[#This Row],[Subdivision]]),0),MATCH("Total Plan Selections",QHPSelections2016[#Headers],0)),0)</f>
        <v>988</v>
      </c>
      <c r="L350" t="str" cm="1">
        <f t="array" ref="L350">INDEX(QHPSelections2016[],MATCH(1,(QHPSelections2016[State Name]=HIX_RatingAreas[[#This Row],[State Code]])*(QHPSelections2016[County Name]=HIX_RatingAreas[[#This Row],[Subdivision]]),0),MATCH("County Name",QHPSelections2016[#Headers],0))</f>
        <v>Union Parish</v>
      </c>
      <c r="M350" t="b">
        <f>L350=HIX_RatingAreas[[#This Row],[Subdivision]]</f>
        <v>1</v>
      </c>
      <c r="N350">
        <v>347</v>
      </c>
    </row>
    <row r="351" spans="3:14">
      <c r="C351" t="s">
        <v>24</v>
      </c>
      <c r="D351" t="s">
        <v>1532</v>
      </c>
      <c r="E351" t="s">
        <v>93</v>
      </c>
      <c r="F351" s="36">
        <v>7</v>
      </c>
      <c r="G351" t="s">
        <v>429</v>
      </c>
      <c r="I351" cm="1">
        <f t="array" ref="I351">_xlfn.IFNA(INDEX(QHPSelections2016[],MATCH(1,(QHPSelections2016[State Name]=HIX_RatingAreas[[#This Row],[State Code]])*(QHPSelections2016[County Name]=HIX_RatingAreas[[#This Row],[Subdivision]]),0),MATCH("Silver",QHPSelections2016[#Headers],0)),0)</f>
        <v>261</v>
      </c>
      <c r="J351" cm="1">
        <f t="array" ref="J351">_xlfn.IFNA(INDEX(QHPSelections2016[],MATCH(1,(QHPSelections2016[State Name]=HIX_RatingAreas[[#This Row],[State Code]])*(QHPSelections2016[County Name]=HIX_RatingAreas[[#This Row],[Subdivision]]),0),MATCH("Total Plan Selections",QHPSelections2016[#Headers],0)),0)</f>
        <v>409</v>
      </c>
      <c r="L351" t="str" cm="1">
        <f t="array" ref="L351">INDEX(QHPSelections2016[],MATCH(1,(QHPSelections2016[State Name]=HIX_RatingAreas[[#This Row],[State Code]])*(QHPSelections2016[County Name]=HIX_RatingAreas[[#This Row],[Subdivision]]),0),MATCH("County Name",QHPSelections2016[#Headers],0))</f>
        <v>West Carroll Parish</v>
      </c>
      <c r="M351" t="b">
        <f>L351=HIX_RatingAreas[[#This Row],[Subdivision]]</f>
        <v>1</v>
      </c>
      <c r="N351">
        <v>348</v>
      </c>
    </row>
    <row r="352" spans="3:14">
      <c r="C352" t="s">
        <v>24</v>
      </c>
      <c r="D352" t="s">
        <v>1532</v>
      </c>
      <c r="E352" t="s">
        <v>96</v>
      </c>
      <c r="F352" s="36">
        <v>8</v>
      </c>
      <c r="G352" t="s">
        <v>443</v>
      </c>
      <c r="I352" cm="1">
        <f t="array" ref="I352">_xlfn.IFNA(INDEX(QHPSelections2016[],MATCH(1,(QHPSelections2016[State Name]=HIX_RatingAreas[[#This Row],[State Code]])*(QHPSelections2016[County Name]=HIX_RatingAreas[[#This Row],[Subdivision]]),0),MATCH("Silver",QHPSelections2016[#Headers],0)),0)</f>
        <v>392</v>
      </c>
      <c r="J352" cm="1">
        <f t="array" ref="J352">_xlfn.IFNA(INDEX(QHPSelections2016[],MATCH(1,(QHPSelections2016[State Name]=HIX_RatingAreas[[#This Row],[State Code]])*(QHPSelections2016[County Name]=HIX_RatingAreas[[#This Row],[Subdivision]]),0),MATCH("Total Plan Selections",QHPSelections2016[#Headers],0)),0)</f>
        <v>583</v>
      </c>
      <c r="L352" t="str" cm="1">
        <f t="array" ref="L352">INDEX(QHPSelections2016[],MATCH(1,(QHPSelections2016[State Name]=HIX_RatingAreas[[#This Row],[State Code]])*(QHPSelections2016[County Name]=HIX_RatingAreas[[#This Row],[Subdivision]]),0),MATCH("County Name",QHPSelections2016[#Headers],0))</f>
        <v>Bienville Parish</v>
      </c>
      <c r="M352" t="b">
        <f>L352=HIX_RatingAreas[[#This Row],[Subdivision]]</f>
        <v>1</v>
      </c>
      <c r="N352">
        <v>349</v>
      </c>
    </row>
    <row r="353" spans="3:14">
      <c r="C353" t="s">
        <v>24</v>
      </c>
      <c r="D353" t="s">
        <v>1532</v>
      </c>
      <c r="E353" t="s">
        <v>96</v>
      </c>
      <c r="F353" s="36">
        <v>8</v>
      </c>
      <c r="G353" t="s">
        <v>439</v>
      </c>
      <c r="I353" cm="1">
        <f t="array" ref="I353">_xlfn.IFNA(INDEX(QHPSelections2016[],MATCH(1,(QHPSelections2016[State Name]=HIX_RatingAreas[[#This Row],[State Code]])*(QHPSelections2016[County Name]=HIX_RatingAreas[[#This Row],[Subdivision]]),0),MATCH("Silver",QHPSelections2016[#Headers],0)),0)</f>
        <v>3042</v>
      </c>
      <c r="J353" cm="1">
        <f t="array" ref="J353">_xlfn.IFNA(INDEX(QHPSelections2016[],MATCH(1,(QHPSelections2016[State Name]=HIX_RatingAreas[[#This Row],[State Code]])*(QHPSelections2016[County Name]=HIX_RatingAreas[[#This Row],[Subdivision]]),0),MATCH("Total Plan Selections",QHPSelections2016[#Headers],0)),0)</f>
        <v>4454</v>
      </c>
      <c r="L353" t="str" cm="1">
        <f t="array" ref="L353">INDEX(QHPSelections2016[],MATCH(1,(QHPSelections2016[State Name]=HIX_RatingAreas[[#This Row],[State Code]])*(QHPSelections2016[County Name]=HIX_RatingAreas[[#This Row],[Subdivision]]),0),MATCH("County Name",QHPSelections2016[#Headers],0))</f>
        <v>Bossier Parish</v>
      </c>
      <c r="M353" t="b">
        <f>L353=HIX_RatingAreas[[#This Row],[Subdivision]]</f>
        <v>1</v>
      </c>
      <c r="N353">
        <v>350</v>
      </c>
    </row>
    <row r="354" spans="3:14">
      <c r="C354" t="s">
        <v>24</v>
      </c>
      <c r="D354" t="s">
        <v>1532</v>
      </c>
      <c r="E354" t="s">
        <v>96</v>
      </c>
      <c r="F354" s="36">
        <v>8</v>
      </c>
      <c r="G354" t="s">
        <v>440</v>
      </c>
      <c r="I354" cm="1">
        <f t="array" ref="I354">_xlfn.IFNA(INDEX(QHPSelections2016[],MATCH(1,(QHPSelections2016[State Name]=HIX_RatingAreas[[#This Row],[State Code]])*(QHPSelections2016[County Name]=HIX_RatingAreas[[#This Row],[Subdivision]]),0),MATCH("Silver",QHPSelections2016[#Headers],0)),0)</f>
        <v>7766</v>
      </c>
      <c r="J354" cm="1">
        <f t="array" ref="J354">_xlfn.IFNA(INDEX(QHPSelections2016[],MATCH(1,(QHPSelections2016[State Name]=HIX_RatingAreas[[#This Row],[State Code]])*(QHPSelections2016[County Name]=HIX_RatingAreas[[#This Row],[Subdivision]]),0),MATCH("Total Plan Selections",QHPSelections2016[#Headers],0)),0)</f>
        <v>11259</v>
      </c>
      <c r="L354" t="str" cm="1">
        <f t="array" ref="L354">INDEX(QHPSelections2016[],MATCH(1,(QHPSelections2016[State Name]=HIX_RatingAreas[[#This Row],[State Code]])*(QHPSelections2016[County Name]=HIX_RatingAreas[[#This Row],[Subdivision]]),0),MATCH("County Name",QHPSelections2016[#Headers],0))</f>
        <v>Caddo Parish</v>
      </c>
      <c r="M354" t="b">
        <f>L354=HIX_RatingAreas[[#This Row],[Subdivision]]</f>
        <v>1</v>
      </c>
      <c r="N354">
        <v>351</v>
      </c>
    </row>
    <row r="355" spans="3:14">
      <c r="C355" t="s">
        <v>24</v>
      </c>
      <c r="D355" t="s">
        <v>1532</v>
      </c>
      <c r="E355" t="s">
        <v>96</v>
      </c>
      <c r="F355" s="36">
        <v>8</v>
      </c>
      <c r="G355" t="s">
        <v>442</v>
      </c>
      <c r="I355" cm="1">
        <f t="array" ref="I355">_xlfn.IFNA(INDEX(QHPSelections2016[],MATCH(1,(QHPSelections2016[State Name]=HIX_RatingAreas[[#This Row],[State Code]])*(QHPSelections2016[County Name]=HIX_RatingAreas[[#This Row],[Subdivision]]),0),MATCH("Silver",QHPSelections2016[#Headers],0)),0)</f>
        <v>413</v>
      </c>
      <c r="J355" cm="1">
        <f t="array" ref="J355">_xlfn.IFNA(INDEX(QHPSelections2016[],MATCH(1,(QHPSelections2016[State Name]=HIX_RatingAreas[[#This Row],[State Code]])*(QHPSelections2016[County Name]=HIX_RatingAreas[[#This Row],[Subdivision]]),0),MATCH("Total Plan Selections",QHPSelections2016[#Headers],0)),0)</f>
        <v>630</v>
      </c>
      <c r="L355" t="str" cm="1">
        <f t="array" ref="L355">INDEX(QHPSelections2016[],MATCH(1,(QHPSelections2016[State Name]=HIX_RatingAreas[[#This Row],[State Code]])*(QHPSelections2016[County Name]=HIX_RatingAreas[[#This Row],[Subdivision]]),0),MATCH("County Name",QHPSelections2016[#Headers],0))</f>
        <v>Claiborne Parish</v>
      </c>
      <c r="M355" t="b">
        <f>L355=HIX_RatingAreas[[#This Row],[Subdivision]]</f>
        <v>1</v>
      </c>
      <c r="N355">
        <v>352</v>
      </c>
    </row>
    <row r="356" spans="3:14">
      <c r="C356" t="s">
        <v>24</v>
      </c>
      <c r="D356" t="s">
        <v>1532</v>
      </c>
      <c r="E356" t="s">
        <v>96</v>
      </c>
      <c r="F356" s="36">
        <v>8</v>
      </c>
      <c r="G356" t="s">
        <v>445</v>
      </c>
      <c r="I356" cm="1">
        <f t="array" ref="I356">_xlfn.IFNA(INDEX(QHPSelections2016[],MATCH(1,(QHPSelections2016[State Name]=HIX_RatingAreas[[#This Row],[State Code]])*(QHPSelections2016[County Name]=HIX_RatingAreas[[#This Row],[Subdivision]]),0),MATCH("Silver",QHPSelections2016[#Headers],0)),0)</f>
        <v>683</v>
      </c>
      <c r="J356" cm="1">
        <f t="array" ref="J356">_xlfn.IFNA(INDEX(QHPSelections2016[],MATCH(1,(QHPSelections2016[State Name]=HIX_RatingAreas[[#This Row],[State Code]])*(QHPSelections2016[County Name]=HIX_RatingAreas[[#This Row],[Subdivision]]),0),MATCH("Total Plan Selections",QHPSelections2016[#Headers],0)),0)</f>
        <v>1029</v>
      </c>
      <c r="L356" t="str" cm="1">
        <f t="array" ref="L356">INDEX(QHPSelections2016[],MATCH(1,(QHPSelections2016[State Name]=HIX_RatingAreas[[#This Row],[State Code]])*(QHPSelections2016[County Name]=HIX_RatingAreas[[#This Row],[Subdivision]]),0),MATCH("County Name",QHPSelections2016[#Headers],0))</f>
        <v>De Soto Parish</v>
      </c>
      <c r="M356" t="b">
        <f>L356=HIX_RatingAreas[[#This Row],[Subdivision]]</f>
        <v>1</v>
      </c>
      <c r="N356">
        <v>353</v>
      </c>
    </row>
    <row r="357" spans="3:14">
      <c r="C357" t="s">
        <v>24</v>
      </c>
      <c r="D357" t="s">
        <v>1532</v>
      </c>
      <c r="E357" t="s">
        <v>96</v>
      </c>
      <c r="F357" s="36">
        <v>8</v>
      </c>
      <c r="G357" t="s">
        <v>446</v>
      </c>
      <c r="I357" cm="1">
        <f t="array" ref="I357">_xlfn.IFNA(INDEX(QHPSelections2016[],MATCH(1,(QHPSelections2016[State Name]=HIX_RatingAreas[[#This Row],[State Code]])*(QHPSelections2016[County Name]=HIX_RatingAreas[[#This Row],[Subdivision]]),0),MATCH("Silver",QHPSelections2016[#Headers],0)),0)</f>
        <v>1105</v>
      </c>
      <c r="J357" cm="1">
        <f t="array" ref="J357">_xlfn.IFNA(INDEX(QHPSelections2016[],MATCH(1,(QHPSelections2016[State Name]=HIX_RatingAreas[[#This Row],[State Code]])*(QHPSelections2016[County Name]=HIX_RatingAreas[[#This Row],[Subdivision]]),0),MATCH("Total Plan Selections",QHPSelections2016[#Headers],0)),0)</f>
        <v>1542</v>
      </c>
      <c r="L357" t="str" cm="1">
        <f t="array" ref="L357">INDEX(QHPSelections2016[],MATCH(1,(QHPSelections2016[State Name]=HIX_RatingAreas[[#This Row],[State Code]])*(QHPSelections2016[County Name]=HIX_RatingAreas[[#This Row],[Subdivision]]),0),MATCH("County Name",QHPSelections2016[#Headers],0))</f>
        <v>Natchitoches Parish</v>
      </c>
      <c r="M357" t="b">
        <f>L357=HIX_RatingAreas[[#This Row],[Subdivision]]</f>
        <v>1</v>
      </c>
      <c r="N357">
        <v>354</v>
      </c>
    </row>
    <row r="358" spans="3:14">
      <c r="C358" t="s">
        <v>24</v>
      </c>
      <c r="D358" t="s">
        <v>1532</v>
      </c>
      <c r="E358" t="s">
        <v>96</v>
      </c>
      <c r="F358" s="36">
        <v>8</v>
      </c>
      <c r="G358" t="s">
        <v>444</v>
      </c>
      <c r="I358" cm="1">
        <f t="array" ref="I358">_xlfn.IFNA(INDEX(QHPSelections2016[],MATCH(1,(QHPSelections2016[State Name]=HIX_RatingAreas[[#This Row],[State Code]])*(QHPSelections2016[County Name]=HIX_RatingAreas[[#This Row],[Subdivision]]),0),MATCH("Silver",QHPSelections2016[#Headers],0)),0)</f>
        <v>251</v>
      </c>
      <c r="J358" cm="1">
        <f t="array" ref="J358">_xlfn.IFNA(INDEX(QHPSelections2016[],MATCH(1,(QHPSelections2016[State Name]=HIX_RatingAreas[[#This Row],[State Code]])*(QHPSelections2016[County Name]=HIX_RatingAreas[[#This Row],[Subdivision]]),0),MATCH("Total Plan Selections",QHPSelections2016[#Headers],0)),0)</f>
        <v>329</v>
      </c>
      <c r="L358" t="str" cm="1">
        <f t="array" ref="L358">INDEX(QHPSelections2016[],MATCH(1,(QHPSelections2016[State Name]=HIX_RatingAreas[[#This Row],[State Code]])*(QHPSelections2016[County Name]=HIX_RatingAreas[[#This Row],[Subdivision]]),0),MATCH("County Name",QHPSelections2016[#Headers],0))</f>
        <v>Red River Parish</v>
      </c>
      <c r="M358" t="b">
        <f>L358=HIX_RatingAreas[[#This Row],[Subdivision]]</f>
        <v>1</v>
      </c>
      <c r="N358">
        <v>355</v>
      </c>
    </row>
    <row r="359" spans="3:14">
      <c r="C359" t="s">
        <v>24</v>
      </c>
      <c r="D359" t="s">
        <v>1532</v>
      </c>
      <c r="E359" t="s">
        <v>96</v>
      </c>
      <c r="F359" s="36">
        <v>8</v>
      </c>
      <c r="G359" t="s">
        <v>447</v>
      </c>
      <c r="I359" cm="1">
        <f t="array" ref="I359">_xlfn.IFNA(INDEX(QHPSelections2016[],MATCH(1,(QHPSelections2016[State Name]=HIX_RatingAreas[[#This Row],[State Code]])*(QHPSelections2016[County Name]=HIX_RatingAreas[[#This Row],[Subdivision]]),0),MATCH("Silver",QHPSelections2016[#Headers],0)),0)</f>
        <v>572</v>
      </c>
      <c r="J359" cm="1">
        <f t="array" ref="J359">_xlfn.IFNA(INDEX(QHPSelections2016[],MATCH(1,(QHPSelections2016[State Name]=HIX_RatingAreas[[#This Row],[State Code]])*(QHPSelections2016[County Name]=HIX_RatingAreas[[#This Row],[Subdivision]]),0),MATCH("Total Plan Selections",QHPSelections2016[#Headers],0)),0)</f>
        <v>836</v>
      </c>
      <c r="L359" t="str" cm="1">
        <f t="array" ref="L359">INDEX(QHPSelections2016[],MATCH(1,(QHPSelections2016[State Name]=HIX_RatingAreas[[#This Row],[State Code]])*(QHPSelections2016[County Name]=HIX_RatingAreas[[#This Row],[Subdivision]]),0),MATCH("County Name",QHPSelections2016[#Headers],0))</f>
        <v>Sabine Parish</v>
      </c>
      <c r="M359" t="b">
        <f>L359=HIX_RatingAreas[[#This Row],[Subdivision]]</f>
        <v>1</v>
      </c>
      <c r="N359">
        <v>356</v>
      </c>
    </row>
    <row r="360" spans="3:14">
      <c r="C360" t="s">
        <v>24</v>
      </c>
      <c r="D360" t="s">
        <v>1532</v>
      </c>
      <c r="E360" t="s">
        <v>96</v>
      </c>
      <c r="F360" s="36">
        <v>8</v>
      </c>
      <c r="G360" t="s">
        <v>441</v>
      </c>
      <c r="I360" cm="1">
        <f t="array" ref="I360">_xlfn.IFNA(INDEX(QHPSelections2016[],MATCH(1,(QHPSelections2016[State Name]=HIX_RatingAreas[[#This Row],[State Code]])*(QHPSelections2016[County Name]=HIX_RatingAreas[[#This Row],[Subdivision]]),0),MATCH("Silver",QHPSelections2016[#Headers],0)),0)</f>
        <v>1254</v>
      </c>
      <c r="J360" cm="1">
        <f t="array" ref="J360">_xlfn.IFNA(INDEX(QHPSelections2016[],MATCH(1,(QHPSelections2016[State Name]=HIX_RatingAreas[[#This Row],[State Code]])*(QHPSelections2016[County Name]=HIX_RatingAreas[[#This Row],[Subdivision]]),0),MATCH("Total Plan Selections",QHPSelections2016[#Headers],0)),0)</f>
        <v>1785</v>
      </c>
      <c r="L360" t="str" cm="1">
        <f t="array" ref="L360">INDEX(QHPSelections2016[],MATCH(1,(QHPSelections2016[State Name]=HIX_RatingAreas[[#This Row],[State Code]])*(QHPSelections2016[County Name]=HIX_RatingAreas[[#This Row],[Subdivision]]),0),MATCH("County Name",QHPSelections2016[#Headers],0))</f>
        <v>Webster Parish</v>
      </c>
      <c r="M360" t="b">
        <f>L360=HIX_RatingAreas[[#This Row],[Subdivision]]</f>
        <v>1</v>
      </c>
      <c r="N360">
        <v>357</v>
      </c>
    </row>
    <row r="361" spans="3:14">
      <c r="C361" t="s">
        <v>30</v>
      </c>
      <c r="D361" t="s">
        <v>1541</v>
      </c>
      <c r="E361" t="s">
        <v>72</v>
      </c>
      <c r="F361" s="36">
        <v>1</v>
      </c>
      <c r="G361" t="s">
        <v>891</v>
      </c>
      <c r="I361" cm="1">
        <f t="array" ref="I361">_xlfn.IFNA(INDEX(QHPSelections2016[],MATCH(1,(QHPSelections2016[State Name]=HIX_RatingAreas[[#This Row],[State Code]])*(QHPSelections2016[County Name]=HIX_RatingAreas[[#This Row],[Subdivision]]),0),MATCH("Silver",QHPSelections2016[#Headers],0)),0)</f>
        <v>5578</v>
      </c>
      <c r="J361" cm="1">
        <f t="array" ref="J361">_xlfn.IFNA(INDEX(QHPSelections2016[],MATCH(1,(QHPSelections2016[State Name]=HIX_RatingAreas[[#This Row],[State Code]])*(QHPSelections2016[County Name]=HIX_RatingAreas[[#This Row],[Subdivision]]),0),MATCH("Total Plan Selections",QHPSelections2016[#Headers],0)),0)</f>
        <v>7077</v>
      </c>
      <c r="L361" t="str" cm="1">
        <f t="array" ref="L361">INDEX(QHPSelections2016[],MATCH(1,(QHPSelections2016[State Name]=HIX_RatingAreas[[#This Row],[State Code]])*(QHPSelections2016[County Name]=HIX_RatingAreas[[#This Row],[Subdivision]]),0),MATCH("County Name",QHPSelections2016[#Headers],0))</f>
        <v>DeSoto County</v>
      </c>
      <c r="M361" t="b">
        <f>L361=HIX_RatingAreas[[#This Row],[Subdivision]]</f>
        <v>1</v>
      </c>
      <c r="N361">
        <v>358</v>
      </c>
    </row>
    <row r="362" spans="3:14">
      <c r="C362" t="s">
        <v>30</v>
      </c>
      <c r="D362" t="s">
        <v>1541</v>
      </c>
      <c r="E362" t="s">
        <v>72</v>
      </c>
      <c r="F362" s="36">
        <v>1</v>
      </c>
      <c r="G362" t="s">
        <v>1068</v>
      </c>
      <c r="I362" cm="1">
        <f t="array" ref="I362">_xlfn.IFNA(INDEX(QHPSelections2016[],MATCH(1,(QHPSelections2016[State Name]=HIX_RatingAreas[[#This Row],[State Code]])*(QHPSelections2016[County Name]=HIX_RatingAreas[[#This Row],[Subdivision]]),0),MATCH("Silver",QHPSelections2016[#Headers],0)),0)</f>
        <v>1241</v>
      </c>
      <c r="J362" cm="1">
        <f t="array" ref="J362">_xlfn.IFNA(INDEX(QHPSelections2016[],MATCH(1,(QHPSelections2016[State Name]=HIX_RatingAreas[[#This Row],[State Code]])*(QHPSelections2016[County Name]=HIX_RatingAreas[[#This Row],[Subdivision]]),0),MATCH("Total Plan Selections",QHPSelections2016[#Headers],0)),0)</f>
        <v>1531</v>
      </c>
      <c r="L362" t="str" cm="1">
        <f t="array" ref="L362">INDEX(QHPSelections2016[],MATCH(1,(QHPSelections2016[State Name]=HIX_RatingAreas[[#This Row],[State Code]])*(QHPSelections2016[County Name]=HIX_RatingAreas[[#This Row],[Subdivision]]),0),MATCH("County Name",QHPSelections2016[#Headers],0))</f>
        <v>Marshall County</v>
      </c>
      <c r="M362" t="b">
        <f>L362=HIX_RatingAreas[[#This Row],[Subdivision]]</f>
        <v>1</v>
      </c>
      <c r="N362">
        <v>359</v>
      </c>
    </row>
    <row r="363" spans="3:14">
      <c r="C363" t="s">
        <v>30</v>
      </c>
      <c r="D363" t="s">
        <v>1541</v>
      </c>
      <c r="E363" t="s">
        <v>72</v>
      </c>
      <c r="F363" s="36">
        <v>1</v>
      </c>
      <c r="G363" t="s">
        <v>1181</v>
      </c>
      <c r="I363" cm="1">
        <f t="array" ref="I363">_xlfn.IFNA(INDEX(QHPSelections2016[],MATCH(1,(QHPSelections2016[State Name]=HIX_RatingAreas[[#This Row],[State Code]])*(QHPSelections2016[County Name]=HIX_RatingAreas[[#This Row],[Subdivision]]),0),MATCH("Silver",QHPSelections2016[#Headers],0)),0)</f>
        <v>792</v>
      </c>
      <c r="J363" cm="1">
        <f t="array" ref="J363">_xlfn.IFNA(INDEX(QHPSelections2016[],MATCH(1,(QHPSelections2016[State Name]=HIX_RatingAreas[[#This Row],[State Code]])*(QHPSelections2016[County Name]=HIX_RatingAreas[[#This Row],[Subdivision]]),0),MATCH("Total Plan Selections",QHPSelections2016[#Headers],0)),0)</f>
        <v>958</v>
      </c>
      <c r="L363" t="str" cm="1">
        <f t="array" ref="L363">INDEX(QHPSelections2016[],MATCH(1,(QHPSelections2016[State Name]=HIX_RatingAreas[[#This Row],[State Code]])*(QHPSelections2016[County Name]=HIX_RatingAreas[[#This Row],[Subdivision]]),0),MATCH("County Name",QHPSelections2016[#Headers],0))</f>
        <v>Tate County</v>
      </c>
      <c r="M363" t="b">
        <f>L363=HIX_RatingAreas[[#This Row],[Subdivision]]</f>
        <v>1</v>
      </c>
      <c r="N363">
        <v>360</v>
      </c>
    </row>
    <row r="364" spans="3:14">
      <c r="C364" t="s">
        <v>30</v>
      </c>
      <c r="D364" t="s">
        <v>1541</v>
      </c>
      <c r="E364" t="s">
        <v>72</v>
      </c>
      <c r="F364" s="36">
        <v>1</v>
      </c>
      <c r="G364" t="s">
        <v>1193</v>
      </c>
      <c r="I364" cm="1">
        <f t="array" ref="I364">_xlfn.IFNA(INDEX(QHPSelections2016[],MATCH(1,(QHPSelections2016[State Name]=HIX_RatingAreas[[#This Row],[State Code]])*(QHPSelections2016[County Name]=HIX_RatingAreas[[#This Row],[Subdivision]]),0),MATCH("Silver",QHPSelections2016[#Headers],0)),0)</f>
        <v>330</v>
      </c>
      <c r="J364" cm="1">
        <f t="array" ref="J364">_xlfn.IFNA(INDEX(QHPSelections2016[],MATCH(1,(QHPSelections2016[State Name]=HIX_RatingAreas[[#This Row],[State Code]])*(QHPSelections2016[County Name]=HIX_RatingAreas[[#This Row],[Subdivision]]),0),MATCH("Total Plan Selections",QHPSelections2016[#Headers],0)),0)</f>
        <v>438</v>
      </c>
      <c r="L364" t="str" cm="1">
        <f t="array" ref="L364">INDEX(QHPSelections2016[],MATCH(1,(QHPSelections2016[State Name]=HIX_RatingAreas[[#This Row],[State Code]])*(QHPSelections2016[County Name]=HIX_RatingAreas[[#This Row],[Subdivision]]),0),MATCH("County Name",QHPSelections2016[#Headers],0))</f>
        <v>Tunica County</v>
      </c>
      <c r="M364" t="b">
        <f>L364=HIX_RatingAreas[[#This Row],[Subdivision]]</f>
        <v>1</v>
      </c>
      <c r="N364">
        <v>361</v>
      </c>
    </row>
    <row r="365" spans="3:14">
      <c r="C365" t="s">
        <v>30</v>
      </c>
      <c r="D365" t="s">
        <v>1541</v>
      </c>
      <c r="E365" t="s">
        <v>74</v>
      </c>
      <c r="F365" s="36">
        <v>2</v>
      </c>
      <c r="G365" t="s">
        <v>835</v>
      </c>
      <c r="I365" cm="1">
        <f t="array" ref="I365">_xlfn.IFNA(INDEX(QHPSelections2016[],MATCH(1,(QHPSelections2016[State Name]=HIX_RatingAreas[[#This Row],[State Code]])*(QHPSelections2016[County Name]=HIX_RatingAreas[[#This Row],[Subdivision]]),0),MATCH("Silver",QHPSelections2016[#Headers],0)),0)</f>
        <v>220</v>
      </c>
      <c r="J365" cm="1">
        <f t="array" ref="J365">_xlfn.IFNA(INDEX(QHPSelections2016[],MATCH(1,(QHPSelections2016[State Name]=HIX_RatingAreas[[#This Row],[State Code]])*(QHPSelections2016[County Name]=HIX_RatingAreas[[#This Row],[Subdivision]]),0),MATCH("Total Plan Selections",QHPSelections2016[#Headers],0)),0)</f>
        <v>261</v>
      </c>
      <c r="L365" t="str" cm="1">
        <f t="array" ref="L365">INDEX(QHPSelections2016[],MATCH(1,(QHPSelections2016[State Name]=HIX_RatingAreas[[#This Row],[State Code]])*(QHPSelections2016[County Name]=HIX_RatingAreas[[#This Row],[Subdivision]]),0),MATCH("County Name",QHPSelections2016[#Headers],0))</f>
        <v>Benton County</v>
      </c>
      <c r="M365" t="b">
        <f>L365=HIX_RatingAreas[[#This Row],[Subdivision]]</f>
        <v>1</v>
      </c>
      <c r="N365">
        <v>362</v>
      </c>
    </row>
    <row r="366" spans="3:14">
      <c r="C366" t="s">
        <v>30</v>
      </c>
      <c r="D366" t="s">
        <v>1541</v>
      </c>
      <c r="E366" t="s">
        <v>74</v>
      </c>
      <c r="F366" s="36">
        <v>2</v>
      </c>
      <c r="G366" t="s">
        <v>980</v>
      </c>
      <c r="I366" cm="1">
        <f t="array" ref="I366">_xlfn.IFNA(INDEX(QHPSelections2016[],MATCH(1,(QHPSelections2016[State Name]=HIX_RatingAreas[[#This Row],[State Code]])*(QHPSelections2016[County Name]=HIX_RatingAreas[[#This Row],[Subdivision]]),0),MATCH("Silver",QHPSelections2016[#Headers],0)),0)</f>
        <v>416</v>
      </c>
      <c r="J366" cm="1">
        <f t="array" ref="J366">_xlfn.IFNA(INDEX(QHPSelections2016[],MATCH(1,(QHPSelections2016[State Name]=HIX_RatingAreas[[#This Row],[State Code]])*(QHPSelections2016[County Name]=HIX_RatingAreas[[#This Row],[Subdivision]]),0),MATCH("Total Plan Selections",QHPSelections2016[#Headers],0)),0)</f>
        <v>498</v>
      </c>
      <c r="L366" t="str" cm="1">
        <f t="array" ref="L366">INDEX(QHPSelections2016[],MATCH(1,(QHPSelections2016[State Name]=HIX_RatingAreas[[#This Row],[State Code]])*(QHPSelections2016[County Name]=HIX_RatingAreas[[#This Row],[Subdivision]]),0),MATCH("County Name",QHPSelections2016[#Headers],0))</f>
        <v>Itawamba County</v>
      </c>
      <c r="M366" t="b">
        <f>L366=HIX_RatingAreas[[#This Row],[Subdivision]]</f>
        <v>1</v>
      </c>
      <c r="N366">
        <v>363</v>
      </c>
    </row>
    <row r="367" spans="3:14">
      <c r="C367" t="s">
        <v>30</v>
      </c>
      <c r="D367" t="s">
        <v>1541</v>
      </c>
      <c r="E367" t="s">
        <v>74</v>
      </c>
      <c r="F367" s="36">
        <v>2</v>
      </c>
      <c r="G367" t="s">
        <v>1010</v>
      </c>
      <c r="I367" cm="1">
        <f t="array" ref="I367">_xlfn.IFNA(INDEX(QHPSelections2016[],MATCH(1,(QHPSelections2016[State Name]=HIX_RatingAreas[[#This Row],[State Code]])*(QHPSelections2016[County Name]=HIX_RatingAreas[[#This Row],[Subdivision]]),0),MATCH("Silver",QHPSelections2016[#Headers],0)),0)</f>
        <v>2114</v>
      </c>
      <c r="J367" cm="1">
        <f t="array" ref="J367">_xlfn.IFNA(INDEX(QHPSelections2016[],MATCH(1,(QHPSelections2016[State Name]=HIX_RatingAreas[[#This Row],[State Code]])*(QHPSelections2016[County Name]=HIX_RatingAreas[[#This Row],[Subdivision]]),0),MATCH("Total Plan Selections",QHPSelections2016[#Headers],0)),0)</f>
        <v>2582</v>
      </c>
      <c r="L367" t="str" cm="1">
        <f t="array" ref="L367">INDEX(QHPSelections2016[],MATCH(1,(QHPSelections2016[State Name]=HIX_RatingAreas[[#This Row],[State Code]])*(QHPSelections2016[County Name]=HIX_RatingAreas[[#This Row],[Subdivision]]),0),MATCH("County Name",QHPSelections2016[#Headers],0))</f>
        <v>Lee County</v>
      </c>
      <c r="M367" t="b">
        <f>L367=HIX_RatingAreas[[#This Row],[Subdivision]]</f>
        <v>1</v>
      </c>
      <c r="N367">
        <v>364</v>
      </c>
    </row>
    <row r="368" spans="3:14">
      <c r="C368" t="s">
        <v>30</v>
      </c>
      <c r="D368" t="s">
        <v>1541</v>
      </c>
      <c r="E368" t="s">
        <v>74</v>
      </c>
      <c r="F368" s="36">
        <v>2</v>
      </c>
      <c r="G368" t="s">
        <v>1125</v>
      </c>
      <c r="I368" cm="1">
        <f t="array" ref="I368">_xlfn.IFNA(INDEX(QHPSelections2016[],MATCH(1,(QHPSelections2016[State Name]=HIX_RatingAreas[[#This Row],[State Code]])*(QHPSelections2016[County Name]=HIX_RatingAreas[[#This Row],[Subdivision]]),0),MATCH("Silver",QHPSelections2016[#Headers],0)),0)</f>
        <v>516</v>
      </c>
      <c r="J368" cm="1">
        <f t="array" ref="J368">_xlfn.IFNA(INDEX(QHPSelections2016[],MATCH(1,(QHPSelections2016[State Name]=HIX_RatingAreas[[#This Row],[State Code]])*(QHPSelections2016[County Name]=HIX_RatingAreas[[#This Row],[Subdivision]]),0),MATCH("Total Plan Selections",QHPSelections2016[#Headers],0)),0)</f>
        <v>645</v>
      </c>
      <c r="L368" t="str" cm="1">
        <f t="array" ref="L368">INDEX(QHPSelections2016[],MATCH(1,(QHPSelections2016[State Name]=HIX_RatingAreas[[#This Row],[State Code]])*(QHPSelections2016[County Name]=HIX_RatingAreas[[#This Row],[Subdivision]]),0),MATCH("County Name",QHPSelections2016[#Headers],0))</f>
        <v>Pontotoc County</v>
      </c>
      <c r="M368" t="b">
        <f>L368=HIX_RatingAreas[[#This Row],[Subdivision]]</f>
        <v>1</v>
      </c>
      <c r="N368">
        <v>365</v>
      </c>
    </row>
    <row r="369" spans="3:14">
      <c r="C369" t="s">
        <v>30</v>
      </c>
      <c r="D369" t="s">
        <v>1541</v>
      </c>
      <c r="E369" t="s">
        <v>74</v>
      </c>
      <c r="F369" s="36">
        <v>2</v>
      </c>
      <c r="G369" t="s">
        <v>1185</v>
      </c>
      <c r="I369" cm="1">
        <f t="array" ref="I369">_xlfn.IFNA(INDEX(QHPSelections2016[],MATCH(1,(QHPSelections2016[State Name]=HIX_RatingAreas[[#This Row],[State Code]])*(QHPSelections2016[County Name]=HIX_RatingAreas[[#This Row],[Subdivision]]),0),MATCH("Silver",QHPSelections2016[#Headers],0)),0)</f>
        <v>502</v>
      </c>
      <c r="J369" cm="1">
        <f t="array" ref="J369">_xlfn.IFNA(INDEX(QHPSelections2016[],MATCH(1,(QHPSelections2016[State Name]=HIX_RatingAreas[[#This Row],[State Code]])*(QHPSelections2016[County Name]=HIX_RatingAreas[[#This Row],[Subdivision]]),0),MATCH("Total Plan Selections",QHPSelections2016[#Headers],0)),0)</f>
        <v>572</v>
      </c>
      <c r="L369" t="str" cm="1">
        <f t="array" ref="L369">INDEX(QHPSelections2016[],MATCH(1,(QHPSelections2016[State Name]=HIX_RatingAreas[[#This Row],[State Code]])*(QHPSelections2016[County Name]=HIX_RatingAreas[[#This Row],[Subdivision]]),0),MATCH("County Name",QHPSelections2016[#Headers],0))</f>
        <v>Tippah County</v>
      </c>
      <c r="M369" t="b">
        <f>L369=HIX_RatingAreas[[#This Row],[Subdivision]]</f>
        <v>1</v>
      </c>
      <c r="N369">
        <v>366</v>
      </c>
    </row>
    <row r="370" spans="3:14">
      <c r="C370" t="s">
        <v>30</v>
      </c>
      <c r="D370" t="s">
        <v>1541</v>
      </c>
      <c r="E370" t="s">
        <v>74</v>
      </c>
      <c r="F370" s="36">
        <v>2</v>
      </c>
      <c r="G370" t="s">
        <v>1149</v>
      </c>
      <c r="I370" cm="1">
        <f t="array" ref="I370">_xlfn.IFNA(INDEX(QHPSelections2016[],MATCH(1,(QHPSelections2016[State Name]=HIX_RatingAreas[[#This Row],[State Code]])*(QHPSelections2016[County Name]=HIX_RatingAreas[[#This Row],[Subdivision]]),0),MATCH("Silver",QHPSelections2016[#Headers],0)),0)</f>
        <v>520</v>
      </c>
      <c r="J370" cm="1">
        <f t="array" ref="J370">_xlfn.IFNA(INDEX(QHPSelections2016[],MATCH(1,(QHPSelections2016[State Name]=HIX_RatingAreas[[#This Row],[State Code]])*(QHPSelections2016[County Name]=HIX_RatingAreas[[#This Row],[Subdivision]]),0),MATCH("Total Plan Selections",QHPSelections2016[#Headers],0)),0)</f>
        <v>628</v>
      </c>
      <c r="L370" t="str" cm="1">
        <f t="array" ref="L370">INDEX(QHPSelections2016[],MATCH(1,(QHPSelections2016[State Name]=HIX_RatingAreas[[#This Row],[State Code]])*(QHPSelections2016[County Name]=HIX_RatingAreas[[#This Row],[Subdivision]]),0),MATCH("County Name",QHPSelections2016[#Headers],0))</f>
        <v>Union County</v>
      </c>
      <c r="M370" t="b">
        <f>L370=HIX_RatingAreas[[#This Row],[Subdivision]]</f>
        <v>1</v>
      </c>
      <c r="N370">
        <v>367</v>
      </c>
    </row>
    <row r="371" spans="3:14">
      <c r="C371" t="s">
        <v>30</v>
      </c>
      <c r="D371" t="s">
        <v>1541</v>
      </c>
      <c r="E371" t="s">
        <v>76</v>
      </c>
      <c r="F371" s="36">
        <v>3</v>
      </c>
      <c r="G371" t="s">
        <v>903</v>
      </c>
      <c r="I371" cm="1">
        <f t="array" ref="I371">_xlfn.IFNA(INDEX(QHPSelections2016[],MATCH(1,(QHPSelections2016[State Name]=HIX_RatingAreas[[#This Row],[State Code]])*(QHPSelections2016[County Name]=HIX_RatingAreas[[#This Row],[Subdivision]]),0),MATCH("Silver",QHPSelections2016[#Headers],0)),0)</f>
        <v>1027</v>
      </c>
      <c r="J371" cm="1">
        <f t="array" ref="J371">_xlfn.IFNA(INDEX(QHPSelections2016[],MATCH(1,(QHPSelections2016[State Name]=HIX_RatingAreas[[#This Row],[State Code]])*(QHPSelections2016[County Name]=HIX_RatingAreas[[#This Row],[Subdivision]]),0),MATCH("Total Plan Selections",QHPSelections2016[#Headers],0)),0)</f>
        <v>1259</v>
      </c>
      <c r="L371" t="str" cm="1">
        <f t="array" ref="L371">INDEX(QHPSelections2016[],MATCH(1,(QHPSelections2016[State Name]=HIX_RatingAreas[[#This Row],[State Code]])*(QHPSelections2016[County Name]=HIX_RatingAreas[[#This Row],[Subdivision]]),0),MATCH("County Name",QHPSelections2016[#Headers],0))</f>
        <v>Copiah County</v>
      </c>
      <c r="M371" t="b">
        <f>L371=HIX_RatingAreas[[#This Row],[Subdivision]]</f>
        <v>1</v>
      </c>
      <c r="N371">
        <v>368</v>
      </c>
    </row>
    <row r="372" spans="3:14">
      <c r="C372" t="s">
        <v>30</v>
      </c>
      <c r="D372" t="s">
        <v>1541</v>
      </c>
      <c r="E372" t="s">
        <v>76</v>
      </c>
      <c r="F372" s="36">
        <v>3</v>
      </c>
      <c r="G372" t="s">
        <v>960</v>
      </c>
      <c r="I372" cm="1">
        <f t="array" ref="I372">_xlfn.IFNA(INDEX(QHPSelections2016[],MATCH(1,(QHPSelections2016[State Name]=HIX_RatingAreas[[#This Row],[State Code]])*(QHPSelections2016[County Name]=HIX_RatingAreas[[#This Row],[Subdivision]]),0),MATCH("Silver",QHPSelections2016[#Headers],0)),0)</f>
        <v>13484</v>
      </c>
      <c r="J372" cm="1">
        <f t="array" ref="J372">_xlfn.IFNA(INDEX(QHPSelections2016[],MATCH(1,(QHPSelections2016[State Name]=HIX_RatingAreas[[#This Row],[State Code]])*(QHPSelections2016[County Name]=HIX_RatingAreas[[#This Row],[Subdivision]]),0),MATCH("Total Plan Selections",QHPSelections2016[#Headers],0)),0)</f>
        <v>17452</v>
      </c>
      <c r="L372" t="str" cm="1">
        <f t="array" ref="L372">INDEX(QHPSelections2016[],MATCH(1,(QHPSelections2016[State Name]=HIX_RatingAreas[[#This Row],[State Code]])*(QHPSelections2016[County Name]=HIX_RatingAreas[[#This Row],[Subdivision]]),0),MATCH("County Name",QHPSelections2016[#Headers],0))</f>
        <v>Hinds County</v>
      </c>
      <c r="M372" t="b">
        <f>L372=HIX_RatingAreas[[#This Row],[Subdivision]]</f>
        <v>1</v>
      </c>
      <c r="N372">
        <v>369</v>
      </c>
    </row>
    <row r="373" spans="3:14">
      <c r="C373" t="s">
        <v>30</v>
      </c>
      <c r="D373" t="s">
        <v>1541</v>
      </c>
      <c r="E373" t="s">
        <v>76</v>
      </c>
      <c r="F373" s="36">
        <v>3</v>
      </c>
      <c r="G373" t="s">
        <v>1029</v>
      </c>
      <c r="I373" cm="1">
        <f t="array" ref="I373">_xlfn.IFNA(INDEX(QHPSelections2016[],MATCH(1,(QHPSelections2016[State Name]=HIX_RatingAreas[[#This Row],[State Code]])*(QHPSelections2016[County Name]=HIX_RatingAreas[[#This Row],[Subdivision]]),0),MATCH("Silver",QHPSelections2016[#Headers],0)),0)</f>
        <v>3937</v>
      </c>
      <c r="J373" cm="1">
        <f t="array" ref="J373">_xlfn.IFNA(INDEX(QHPSelections2016[],MATCH(1,(QHPSelections2016[State Name]=HIX_RatingAreas[[#This Row],[State Code]])*(QHPSelections2016[County Name]=HIX_RatingAreas[[#This Row],[Subdivision]]),0),MATCH("Total Plan Selections",QHPSelections2016[#Headers],0)),0)</f>
        <v>5173</v>
      </c>
      <c r="L373" t="str" cm="1">
        <f t="array" ref="L373">INDEX(QHPSelections2016[],MATCH(1,(QHPSelections2016[State Name]=HIX_RatingAreas[[#This Row],[State Code]])*(QHPSelections2016[County Name]=HIX_RatingAreas[[#This Row],[Subdivision]]),0),MATCH("County Name",QHPSelections2016[#Headers],0))</f>
        <v>Madison County</v>
      </c>
      <c r="M373" t="b">
        <f>L373=HIX_RatingAreas[[#This Row],[Subdivision]]</f>
        <v>1</v>
      </c>
      <c r="N373">
        <v>370</v>
      </c>
    </row>
    <row r="374" spans="3:14">
      <c r="C374" t="s">
        <v>30</v>
      </c>
      <c r="D374" t="s">
        <v>1541</v>
      </c>
      <c r="E374" t="s">
        <v>76</v>
      </c>
      <c r="F374" s="36">
        <v>3</v>
      </c>
      <c r="G374" t="s">
        <v>1139</v>
      </c>
      <c r="I374" cm="1">
        <f t="array" ref="I374">_xlfn.IFNA(INDEX(QHPSelections2016[],MATCH(1,(QHPSelections2016[State Name]=HIX_RatingAreas[[#This Row],[State Code]])*(QHPSelections2016[County Name]=HIX_RatingAreas[[#This Row],[Subdivision]]),0),MATCH("Silver",QHPSelections2016[#Headers],0)),0)</f>
        <v>4464</v>
      </c>
      <c r="J374" cm="1">
        <f t="array" ref="J374">_xlfn.IFNA(INDEX(QHPSelections2016[],MATCH(1,(QHPSelections2016[State Name]=HIX_RatingAreas[[#This Row],[State Code]])*(QHPSelections2016[County Name]=HIX_RatingAreas[[#This Row],[Subdivision]]),0),MATCH("Total Plan Selections",QHPSelections2016[#Headers],0)),0)</f>
        <v>5667</v>
      </c>
      <c r="L374" t="str" cm="1">
        <f t="array" ref="L374">INDEX(QHPSelections2016[],MATCH(1,(QHPSelections2016[State Name]=HIX_RatingAreas[[#This Row],[State Code]])*(QHPSelections2016[County Name]=HIX_RatingAreas[[#This Row],[Subdivision]]),0),MATCH("County Name",QHPSelections2016[#Headers],0))</f>
        <v>Rankin County</v>
      </c>
      <c r="M374" t="b">
        <f>L374=HIX_RatingAreas[[#This Row],[Subdivision]]</f>
        <v>1</v>
      </c>
      <c r="N374">
        <v>371</v>
      </c>
    </row>
    <row r="375" spans="3:14">
      <c r="C375" t="s">
        <v>30</v>
      </c>
      <c r="D375" t="s">
        <v>1541</v>
      </c>
      <c r="E375" t="s">
        <v>76</v>
      </c>
      <c r="F375" s="36">
        <v>3</v>
      </c>
      <c r="G375" t="s">
        <v>1157</v>
      </c>
      <c r="I375" cm="1">
        <f t="array" ref="I375">_xlfn.IFNA(INDEX(QHPSelections2016[],MATCH(1,(QHPSelections2016[State Name]=HIX_RatingAreas[[#This Row],[State Code]])*(QHPSelections2016[County Name]=HIX_RatingAreas[[#This Row],[Subdivision]]),0),MATCH("Silver",QHPSelections2016[#Headers],0)),0)</f>
        <v>803</v>
      </c>
      <c r="J375" cm="1">
        <f t="array" ref="J375">_xlfn.IFNA(INDEX(QHPSelections2016[],MATCH(1,(QHPSelections2016[State Name]=HIX_RatingAreas[[#This Row],[State Code]])*(QHPSelections2016[County Name]=HIX_RatingAreas[[#This Row],[Subdivision]]),0),MATCH("Total Plan Selections",QHPSelections2016[#Headers],0)),0)</f>
        <v>951</v>
      </c>
      <c r="L375" t="str" cm="1">
        <f t="array" ref="L375">INDEX(QHPSelections2016[],MATCH(1,(QHPSelections2016[State Name]=HIX_RatingAreas[[#This Row],[State Code]])*(QHPSelections2016[County Name]=HIX_RatingAreas[[#This Row],[Subdivision]]),0),MATCH("County Name",QHPSelections2016[#Headers],0))</f>
        <v>Simpson County</v>
      </c>
      <c r="M375" t="b">
        <f>L375=HIX_RatingAreas[[#This Row],[Subdivision]]</f>
        <v>1</v>
      </c>
      <c r="N375">
        <v>372</v>
      </c>
    </row>
    <row r="376" spans="3:14">
      <c r="C376" t="s">
        <v>30</v>
      </c>
      <c r="D376" t="s">
        <v>1541</v>
      </c>
      <c r="E376" t="s">
        <v>76</v>
      </c>
      <c r="F376" s="36">
        <v>3</v>
      </c>
      <c r="G376" t="s">
        <v>1205</v>
      </c>
      <c r="I376" cm="1">
        <f t="array" ref="I376">_xlfn.IFNA(INDEX(QHPSelections2016[],MATCH(1,(QHPSelections2016[State Name]=HIX_RatingAreas[[#This Row],[State Code]])*(QHPSelections2016[County Name]=HIX_RatingAreas[[#This Row],[Subdivision]]),0),MATCH("Silver",QHPSelections2016[#Headers],0)),0)</f>
        <v>1286</v>
      </c>
      <c r="J376" cm="1">
        <f t="array" ref="J376">_xlfn.IFNA(INDEX(QHPSelections2016[],MATCH(1,(QHPSelections2016[State Name]=HIX_RatingAreas[[#This Row],[State Code]])*(QHPSelections2016[County Name]=HIX_RatingAreas[[#This Row],[Subdivision]]),0),MATCH("Total Plan Selections",QHPSelections2016[#Headers],0)),0)</f>
        <v>1639</v>
      </c>
      <c r="L376" t="str" cm="1">
        <f t="array" ref="L376">INDEX(QHPSelections2016[],MATCH(1,(QHPSelections2016[State Name]=HIX_RatingAreas[[#This Row],[State Code]])*(QHPSelections2016[County Name]=HIX_RatingAreas[[#This Row],[Subdivision]]),0),MATCH("County Name",QHPSelections2016[#Headers],0))</f>
        <v>Warren County</v>
      </c>
      <c r="M376" t="b">
        <f>L376=HIX_RatingAreas[[#This Row],[Subdivision]]</f>
        <v>1</v>
      </c>
      <c r="N376">
        <v>373</v>
      </c>
    </row>
    <row r="377" spans="3:14">
      <c r="C377" t="s">
        <v>30</v>
      </c>
      <c r="D377" t="s">
        <v>1541</v>
      </c>
      <c r="E377" t="s">
        <v>84</v>
      </c>
      <c r="F377" s="36">
        <v>4</v>
      </c>
      <c r="G377" t="s">
        <v>921</v>
      </c>
      <c r="I377" cm="1">
        <f t="array" ref="I377">_xlfn.IFNA(INDEX(QHPSelections2016[],MATCH(1,(QHPSelections2016[State Name]=HIX_RatingAreas[[#This Row],[State Code]])*(QHPSelections2016[County Name]=HIX_RatingAreas[[#This Row],[Subdivision]]),0),MATCH("Silver",QHPSelections2016[#Headers],0)),0)</f>
        <v>2171</v>
      </c>
      <c r="J377" cm="1">
        <f t="array" ref="J377">_xlfn.IFNA(INDEX(QHPSelections2016[],MATCH(1,(QHPSelections2016[State Name]=HIX_RatingAreas[[#This Row],[State Code]])*(QHPSelections2016[County Name]=HIX_RatingAreas[[#This Row],[Subdivision]]),0),MATCH("Total Plan Selections",QHPSelections2016[#Headers],0)),0)</f>
        <v>2637</v>
      </c>
      <c r="L377" t="str" cm="1">
        <f t="array" ref="L377">INDEX(QHPSelections2016[],MATCH(1,(QHPSelections2016[State Name]=HIX_RatingAreas[[#This Row],[State Code]])*(QHPSelections2016[County Name]=HIX_RatingAreas[[#This Row],[Subdivision]]),0),MATCH("County Name",QHPSelections2016[#Headers],0))</f>
        <v>Forrest County</v>
      </c>
      <c r="M377" t="b">
        <f>L377=HIX_RatingAreas[[#This Row],[Subdivision]]</f>
        <v>1</v>
      </c>
      <c r="N377">
        <v>374</v>
      </c>
    </row>
    <row r="378" spans="3:14">
      <c r="C378" t="s">
        <v>30</v>
      </c>
      <c r="D378" t="s">
        <v>1541</v>
      </c>
      <c r="E378" t="s">
        <v>84</v>
      </c>
      <c r="F378" s="36">
        <v>4</v>
      </c>
      <c r="G378" t="s">
        <v>937</v>
      </c>
      <c r="I378" cm="1">
        <f t="array" ref="I378">_xlfn.IFNA(INDEX(QHPSelections2016[],MATCH(1,(QHPSelections2016[State Name]=HIX_RatingAreas[[#This Row],[State Code]])*(QHPSelections2016[County Name]=HIX_RatingAreas[[#This Row],[Subdivision]]),0),MATCH("Silver",QHPSelections2016[#Headers],0)),0)</f>
        <v>318</v>
      </c>
      <c r="J378" cm="1">
        <f t="array" ref="J378">_xlfn.IFNA(INDEX(QHPSelections2016[],MATCH(1,(QHPSelections2016[State Name]=HIX_RatingAreas[[#This Row],[State Code]])*(QHPSelections2016[County Name]=HIX_RatingAreas[[#This Row],[Subdivision]]),0),MATCH("Total Plan Selections",QHPSelections2016[#Headers],0)),0)</f>
        <v>363</v>
      </c>
      <c r="L378" t="str" cm="1">
        <f t="array" ref="L378">INDEX(QHPSelections2016[],MATCH(1,(QHPSelections2016[State Name]=HIX_RatingAreas[[#This Row],[State Code]])*(QHPSelections2016[County Name]=HIX_RatingAreas[[#This Row],[Subdivision]]),0),MATCH("County Name",QHPSelections2016[#Headers],0))</f>
        <v>Greene County</v>
      </c>
      <c r="M378" t="b">
        <f>L378=HIX_RatingAreas[[#This Row],[Subdivision]]</f>
        <v>1</v>
      </c>
      <c r="N378">
        <v>375</v>
      </c>
    </row>
    <row r="379" spans="3:14">
      <c r="C379" t="s">
        <v>30</v>
      </c>
      <c r="D379" t="s">
        <v>1541</v>
      </c>
      <c r="E379" t="s">
        <v>84</v>
      </c>
      <c r="F379" s="36">
        <v>4</v>
      </c>
      <c r="G379" t="s">
        <v>1006</v>
      </c>
      <c r="I379" cm="1">
        <f t="array" ref="I379">_xlfn.IFNA(INDEX(QHPSelections2016[],MATCH(1,(QHPSelections2016[State Name]=HIX_RatingAreas[[#This Row],[State Code]])*(QHPSelections2016[County Name]=HIX_RatingAreas[[#This Row],[Subdivision]]),0),MATCH("Silver",QHPSelections2016[#Headers],0)),0)</f>
        <v>1868</v>
      </c>
      <c r="J379" cm="1">
        <f t="array" ref="J379">_xlfn.IFNA(INDEX(QHPSelections2016[],MATCH(1,(QHPSelections2016[State Name]=HIX_RatingAreas[[#This Row],[State Code]])*(QHPSelections2016[County Name]=HIX_RatingAreas[[#This Row],[Subdivision]]),0),MATCH("Total Plan Selections",QHPSelections2016[#Headers],0)),0)</f>
        <v>2169</v>
      </c>
      <c r="L379" t="str" cm="1">
        <f t="array" ref="L379">INDEX(QHPSelections2016[],MATCH(1,(QHPSelections2016[State Name]=HIX_RatingAreas[[#This Row],[State Code]])*(QHPSelections2016[County Name]=HIX_RatingAreas[[#This Row],[Subdivision]]),0),MATCH("County Name",QHPSelections2016[#Headers],0))</f>
        <v>Jones County</v>
      </c>
      <c r="M379" t="b">
        <f>L379=HIX_RatingAreas[[#This Row],[Subdivision]]</f>
        <v>1</v>
      </c>
      <c r="N379">
        <v>376</v>
      </c>
    </row>
    <row r="380" spans="3:14">
      <c r="C380" t="s">
        <v>30</v>
      </c>
      <c r="D380" t="s">
        <v>1541</v>
      </c>
      <c r="E380" t="s">
        <v>84</v>
      </c>
      <c r="F380" s="36">
        <v>4</v>
      </c>
      <c r="G380" t="s">
        <v>1020</v>
      </c>
      <c r="I380" cm="1">
        <f t="array" ref="I380">_xlfn.IFNA(INDEX(QHPSelections2016[],MATCH(1,(QHPSelections2016[State Name]=HIX_RatingAreas[[#This Row],[State Code]])*(QHPSelections2016[County Name]=HIX_RatingAreas[[#This Row],[Subdivision]]),0),MATCH("Silver",QHPSelections2016[#Headers],0)),0)</f>
        <v>1460</v>
      </c>
      <c r="J380" cm="1">
        <f t="array" ref="J380">_xlfn.IFNA(INDEX(QHPSelections2016[],MATCH(1,(QHPSelections2016[State Name]=HIX_RatingAreas[[#This Row],[State Code]])*(QHPSelections2016[County Name]=HIX_RatingAreas[[#This Row],[Subdivision]]),0),MATCH("Total Plan Selections",QHPSelections2016[#Headers],0)),0)</f>
        <v>1812</v>
      </c>
      <c r="L380" t="str" cm="1">
        <f t="array" ref="L380">INDEX(QHPSelections2016[],MATCH(1,(QHPSelections2016[State Name]=HIX_RatingAreas[[#This Row],[State Code]])*(QHPSelections2016[County Name]=HIX_RatingAreas[[#This Row],[Subdivision]]),0),MATCH("County Name",QHPSelections2016[#Headers],0))</f>
        <v>Lamar County</v>
      </c>
      <c r="M380" t="b">
        <f>L380=HIX_RatingAreas[[#This Row],[Subdivision]]</f>
        <v>1</v>
      </c>
      <c r="N380">
        <v>377</v>
      </c>
    </row>
    <row r="381" spans="3:14">
      <c r="C381" t="s">
        <v>30</v>
      </c>
      <c r="D381" t="s">
        <v>1541</v>
      </c>
      <c r="E381" t="s">
        <v>84</v>
      </c>
      <c r="F381" s="36">
        <v>4</v>
      </c>
      <c r="G381" t="s">
        <v>1112</v>
      </c>
      <c r="I381" cm="1">
        <f t="array" ref="I381">_xlfn.IFNA(INDEX(QHPSelections2016[],MATCH(1,(QHPSelections2016[State Name]=HIX_RatingAreas[[#This Row],[State Code]])*(QHPSelections2016[County Name]=HIX_RatingAreas[[#This Row],[Subdivision]]),0),MATCH("Silver",QHPSelections2016[#Headers],0)),0)</f>
        <v>1766</v>
      </c>
      <c r="J381" cm="1">
        <f t="array" ref="J381">_xlfn.IFNA(INDEX(QHPSelections2016[],MATCH(1,(QHPSelections2016[State Name]=HIX_RatingAreas[[#This Row],[State Code]])*(QHPSelections2016[County Name]=HIX_RatingAreas[[#This Row],[Subdivision]]),0),MATCH("Total Plan Selections",QHPSelections2016[#Headers],0)),0)</f>
        <v>2098</v>
      </c>
      <c r="L381" t="str" cm="1">
        <f t="array" ref="L381">INDEX(QHPSelections2016[],MATCH(1,(QHPSelections2016[State Name]=HIX_RatingAreas[[#This Row],[State Code]])*(QHPSelections2016[County Name]=HIX_RatingAreas[[#This Row],[Subdivision]]),0),MATCH("County Name",QHPSelections2016[#Headers],0))</f>
        <v>Pearl River County</v>
      </c>
      <c r="M381" t="b">
        <f>L381=HIX_RatingAreas[[#This Row],[Subdivision]]</f>
        <v>1</v>
      </c>
      <c r="N381">
        <v>378</v>
      </c>
    </row>
    <row r="382" spans="3:14">
      <c r="C382" t="s">
        <v>30</v>
      </c>
      <c r="D382" t="s">
        <v>1541</v>
      </c>
      <c r="E382" t="s">
        <v>84</v>
      </c>
      <c r="F382" s="36">
        <v>4</v>
      </c>
      <c r="G382" t="s">
        <v>1097</v>
      </c>
      <c r="I382" cm="1">
        <f t="array" ref="I382">_xlfn.IFNA(INDEX(QHPSelections2016[],MATCH(1,(QHPSelections2016[State Name]=HIX_RatingAreas[[#This Row],[State Code]])*(QHPSelections2016[County Name]=HIX_RatingAreas[[#This Row],[Subdivision]]),0),MATCH("Silver",QHPSelections2016[#Headers],0)),0)</f>
        <v>343</v>
      </c>
      <c r="J382" cm="1">
        <f t="array" ref="J382">_xlfn.IFNA(INDEX(QHPSelections2016[],MATCH(1,(QHPSelections2016[State Name]=HIX_RatingAreas[[#This Row],[State Code]])*(QHPSelections2016[County Name]=HIX_RatingAreas[[#This Row],[Subdivision]]),0),MATCH("Total Plan Selections",QHPSelections2016[#Headers],0)),0)</f>
        <v>410</v>
      </c>
      <c r="L382" t="str" cm="1">
        <f t="array" ref="L382">INDEX(QHPSelections2016[],MATCH(1,(QHPSelections2016[State Name]=HIX_RatingAreas[[#This Row],[State Code]])*(QHPSelections2016[County Name]=HIX_RatingAreas[[#This Row],[Subdivision]]),0),MATCH("County Name",QHPSelections2016[#Headers],0))</f>
        <v>Perry County</v>
      </c>
      <c r="M382" t="b">
        <f>L382=HIX_RatingAreas[[#This Row],[Subdivision]]</f>
        <v>1</v>
      </c>
      <c r="N382">
        <v>379</v>
      </c>
    </row>
    <row r="383" spans="3:14">
      <c r="C383" t="s">
        <v>30</v>
      </c>
      <c r="D383" t="s">
        <v>1541</v>
      </c>
      <c r="E383" t="s">
        <v>86</v>
      </c>
      <c r="F383" s="36">
        <v>5</v>
      </c>
      <c r="G383" t="s">
        <v>931</v>
      </c>
      <c r="I383" cm="1">
        <f t="array" ref="I383">_xlfn.IFNA(INDEX(QHPSelections2016[],MATCH(1,(QHPSelections2016[State Name]=HIX_RatingAreas[[#This Row],[State Code]])*(QHPSelections2016[County Name]=HIX_RatingAreas[[#This Row],[Subdivision]]),0),MATCH("Silver",QHPSelections2016[#Headers],0)),0)</f>
        <v>340</v>
      </c>
      <c r="J383" cm="1">
        <f t="array" ref="J383">_xlfn.IFNA(INDEX(QHPSelections2016[],MATCH(1,(QHPSelections2016[State Name]=HIX_RatingAreas[[#This Row],[State Code]])*(QHPSelections2016[County Name]=HIX_RatingAreas[[#This Row],[Subdivision]]),0),MATCH("Total Plan Selections",QHPSelections2016[#Headers],0)),0)</f>
        <v>421</v>
      </c>
      <c r="L383" t="str" cm="1">
        <f t="array" ref="L383">INDEX(QHPSelections2016[],MATCH(1,(QHPSelections2016[State Name]=HIX_RatingAreas[[#This Row],[State Code]])*(QHPSelections2016[County Name]=HIX_RatingAreas[[#This Row],[Subdivision]]),0),MATCH("County Name",QHPSelections2016[#Headers],0))</f>
        <v>George County</v>
      </c>
      <c r="M383" t="b">
        <f>L383=HIX_RatingAreas[[#This Row],[Subdivision]]</f>
        <v>1</v>
      </c>
      <c r="N383">
        <v>380</v>
      </c>
    </row>
    <row r="384" spans="3:14">
      <c r="C384" t="s">
        <v>30</v>
      </c>
      <c r="D384" t="s">
        <v>1541</v>
      </c>
      <c r="E384" t="s">
        <v>86</v>
      </c>
      <c r="F384" s="36">
        <v>5</v>
      </c>
      <c r="G384" t="s">
        <v>949</v>
      </c>
      <c r="I384" cm="1">
        <f t="array" ref="I384">_xlfn.IFNA(INDEX(QHPSelections2016[],MATCH(1,(QHPSelections2016[State Name]=HIX_RatingAreas[[#This Row],[State Code]])*(QHPSelections2016[County Name]=HIX_RatingAreas[[#This Row],[Subdivision]]),0),MATCH("Silver",QHPSelections2016[#Headers],0)),0)</f>
        <v>1556</v>
      </c>
      <c r="J384" cm="1">
        <f t="array" ref="J384">_xlfn.IFNA(INDEX(QHPSelections2016[],MATCH(1,(QHPSelections2016[State Name]=HIX_RatingAreas[[#This Row],[State Code]])*(QHPSelections2016[County Name]=HIX_RatingAreas[[#This Row],[Subdivision]]),0),MATCH("Total Plan Selections",QHPSelections2016[#Headers],0)),0)</f>
        <v>1802</v>
      </c>
      <c r="L384" t="str" cm="1">
        <f t="array" ref="L384">INDEX(QHPSelections2016[],MATCH(1,(QHPSelections2016[State Name]=HIX_RatingAreas[[#This Row],[State Code]])*(QHPSelections2016[County Name]=HIX_RatingAreas[[#This Row],[Subdivision]]),0),MATCH("County Name",QHPSelections2016[#Headers],0))</f>
        <v>Hancock County</v>
      </c>
      <c r="M384" t="b">
        <f>L384=HIX_RatingAreas[[#This Row],[Subdivision]]</f>
        <v>1</v>
      </c>
      <c r="N384">
        <v>381</v>
      </c>
    </row>
    <row r="385" spans="3:14">
      <c r="C385" t="s">
        <v>30</v>
      </c>
      <c r="D385" t="s">
        <v>1541</v>
      </c>
      <c r="E385" t="s">
        <v>86</v>
      </c>
      <c r="F385" s="36">
        <v>5</v>
      </c>
      <c r="G385" t="s">
        <v>956</v>
      </c>
      <c r="I385" cm="1">
        <f t="array" ref="I385">_xlfn.IFNA(INDEX(QHPSelections2016[],MATCH(1,(QHPSelections2016[State Name]=HIX_RatingAreas[[#This Row],[State Code]])*(QHPSelections2016[County Name]=HIX_RatingAreas[[#This Row],[Subdivision]]),0),MATCH("Silver",QHPSelections2016[#Headers],0)),0)</f>
        <v>4166</v>
      </c>
      <c r="J385" cm="1">
        <f t="array" ref="J385">_xlfn.IFNA(INDEX(QHPSelections2016[],MATCH(1,(QHPSelections2016[State Name]=HIX_RatingAreas[[#This Row],[State Code]])*(QHPSelections2016[County Name]=HIX_RatingAreas[[#This Row],[Subdivision]]),0),MATCH("Total Plan Selections",QHPSelections2016[#Headers],0)),0)</f>
        <v>5020</v>
      </c>
      <c r="L385" t="str" cm="1">
        <f t="array" ref="L385">INDEX(QHPSelections2016[],MATCH(1,(QHPSelections2016[State Name]=HIX_RatingAreas[[#This Row],[State Code]])*(QHPSelections2016[County Name]=HIX_RatingAreas[[#This Row],[Subdivision]]),0),MATCH("County Name",QHPSelections2016[#Headers],0))</f>
        <v>Harrison County</v>
      </c>
      <c r="M385" t="b">
        <f>L385=HIX_RatingAreas[[#This Row],[Subdivision]]</f>
        <v>1</v>
      </c>
      <c r="N385">
        <v>382</v>
      </c>
    </row>
    <row r="386" spans="3:14">
      <c r="C386" t="s">
        <v>30</v>
      </c>
      <c r="D386" t="s">
        <v>1541</v>
      </c>
      <c r="E386" t="s">
        <v>86</v>
      </c>
      <c r="F386" s="36">
        <v>5</v>
      </c>
      <c r="G386" t="s">
        <v>984</v>
      </c>
      <c r="I386" cm="1">
        <f t="array" ref="I386">_xlfn.IFNA(INDEX(QHPSelections2016[],MATCH(1,(QHPSelections2016[State Name]=HIX_RatingAreas[[#This Row],[State Code]])*(QHPSelections2016[County Name]=HIX_RatingAreas[[#This Row],[Subdivision]]),0),MATCH("Silver",QHPSelections2016[#Headers],0)),0)</f>
        <v>3382</v>
      </c>
      <c r="J386" cm="1">
        <f t="array" ref="J386">_xlfn.IFNA(INDEX(QHPSelections2016[],MATCH(1,(QHPSelections2016[State Name]=HIX_RatingAreas[[#This Row],[State Code]])*(QHPSelections2016[County Name]=HIX_RatingAreas[[#This Row],[Subdivision]]),0),MATCH("Total Plan Selections",QHPSelections2016[#Headers],0)),0)</f>
        <v>3998</v>
      </c>
      <c r="L386" t="str" cm="1">
        <f t="array" ref="L386">INDEX(QHPSelections2016[],MATCH(1,(QHPSelections2016[State Name]=HIX_RatingAreas[[#This Row],[State Code]])*(QHPSelections2016[County Name]=HIX_RatingAreas[[#This Row],[Subdivision]]),0),MATCH("County Name",QHPSelections2016[#Headers],0))</f>
        <v>Jackson County</v>
      </c>
      <c r="M386" t="b">
        <f>L386=HIX_RatingAreas[[#This Row],[Subdivision]]</f>
        <v>1</v>
      </c>
      <c r="N386">
        <v>383</v>
      </c>
    </row>
    <row r="387" spans="3:14">
      <c r="C387" t="s">
        <v>30</v>
      </c>
      <c r="D387" t="s">
        <v>1541</v>
      </c>
      <c r="E387" t="s">
        <v>86</v>
      </c>
      <c r="F387" s="36">
        <v>5</v>
      </c>
      <c r="G387" t="s">
        <v>1168</v>
      </c>
      <c r="I387" cm="1">
        <f t="array" ref="I387">_xlfn.IFNA(INDEX(QHPSelections2016[],MATCH(1,(QHPSelections2016[State Name]=HIX_RatingAreas[[#This Row],[State Code]])*(QHPSelections2016[County Name]=HIX_RatingAreas[[#This Row],[Subdivision]]),0),MATCH("Silver",QHPSelections2016[#Headers],0)),0)</f>
        <v>374</v>
      </c>
      <c r="J387" cm="1">
        <f t="array" ref="J387">_xlfn.IFNA(INDEX(QHPSelections2016[],MATCH(1,(QHPSelections2016[State Name]=HIX_RatingAreas[[#This Row],[State Code]])*(QHPSelections2016[County Name]=HIX_RatingAreas[[#This Row],[Subdivision]]),0),MATCH("Total Plan Selections",QHPSelections2016[#Headers],0)),0)</f>
        <v>438</v>
      </c>
      <c r="L387" t="str" cm="1">
        <f t="array" ref="L387">INDEX(QHPSelections2016[],MATCH(1,(QHPSelections2016[State Name]=HIX_RatingAreas[[#This Row],[State Code]])*(QHPSelections2016[County Name]=HIX_RatingAreas[[#This Row],[Subdivision]]),0),MATCH("County Name",QHPSelections2016[#Headers],0))</f>
        <v>Stone County</v>
      </c>
      <c r="M387" t="b">
        <f>L387=HIX_RatingAreas[[#This Row],[Subdivision]]</f>
        <v>1</v>
      </c>
      <c r="N387">
        <v>384</v>
      </c>
    </row>
    <row r="388" spans="3:14">
      <c r="C388" t="s">
        <v>30</v>
      </c>
      <c r="D388" t="s">
        <v>1541</v>
      </c>
      <c r="E388" t="s">
        <v>89</v>
      </c>
      <c r="F388" s="36">
        <v>6</v>
      </c>
      <c r="G388" t="s">
        <v>820</v>
      </c>
      <c r="I388" cm="1">
        <f t="array" ref="I388">_xlfn.IFNA(INDEX(QHPSelections2016[],MATCH(1,(QHPSelections2016[State Name]=HIX_RatingAreas[[#This Row],[State Code]])*(QHPSelections2016[County Name]=HIX_RatingAreas[[#This Row],[Subdivision]]),0),MATCH("Silver",QHPSelections2016[#Headers],0)),0)</f>
        <v>1214</v>
      </c>
      <c r="J388" cm="1">
        <f t="array" ref="J388">_xlfn.IFNA(INDEX(QHPSelections2016[],MATCH(1,(QHPSelections2016[State Name]=HIX_RatingAreas[[#This Row],[State Code]])*(QHPSelections2016[County Name]=HIX_RatingAreas[[#This Row],[Subdivision]]),0),MATCH("Total Plan Selections",QHPSelections2016[#Headers],0)),0)</f>
        <v>1472</v>
      </c>
      <c r="L388" t="str" cm="1">
        <f t="array" ref="L388">INDEX(QHPSelections2016[],MATCH(1,(QHPSelections2016[State Name]=HIX_RatingAreas[[#This Row],[State Code]])*(QHPSelections2016[County Name]=HIX_RatingAreas[[#This Row],[Subdivision]]),0),MATCH("County Name",QHPSelections2016[#Headers],0))</f>
        <v>Adams County</v>
      </c>
      <c r="M388" t="b">
        <f>L388=HIX_RatingAreas[[#This Row],[Subdivision]]</f>
        <v>1</v>
      </c>
      <c r="N388">
        <v>385</v>
      </c>
    </row>
    <row r="389" spans="3:14">
      <c r="C389" t="s">
        <v>30</v>
      </c>
      <c r="D389" t="s">
        <v>1541</v>
      </c>
      <c r="E389" t="s">
        <v>89</v>
      </c>
      <c r="F389" s="36">
        <v>6</v>
      </c>
      <c r="G389" t="s">
        <v>826</v>
      </c>
      <c r="I389" cm="1">
        <f t="array" ref="I389">_xlfn.IFNA(INDEX(QHPSelections2016[],MATCH(1,(QHPSelections2016[State Name]=HIX_RatingAreas[[#This Row],[State Code]])*(QHPSelections2016[County Name]=HIX_RatingAreas[[#This Row],[Subdivision]]),0),MATCH("Silver",QHPSelections2016[#Headers],0)),0)</f>
        <v>982</v>
      </c>
      <c r="J389" cm="1">
        <f t="array" ref="J389">_xlfn.IFNA(INDEX(QHPSelections2016[],MATCH(1,(QHPSelections2016[State Name]=HIX_RatingAreas[[#This Row],[State Code]])*(QHPSelections2016[County Name]=HIX_RatingAreas[[#This Row],[Subdivision]]),0),MATCH("Total Plan Selections",QHPSelections2016[#Headers],0)),0)</f>
        <v>1084</v>
      </c>
      <c r="L389" t="str" cm="1">
        <f t="array" ref="L389">INDEX(QHPSelections2016[],MATCH(1,(QHPSelections2016[State Name]=HIX_RatingAreas[[#This Row],[State Code]])*(QHPSelections2016[County Name]=HIX_RatingAreas[[#This Row],[Subdivision]]),0),MATCH("County Name",QHPSelections2016[#Headers],0))</f>
        <v>Alcorn County</v>
      </c>
      <c r="M389" t="b">
        <f>L389=HIX_RatingAreas[[#This Row],[Subdivision]]</f>
        <v>1</v>
      </c>
      <c r="N389">
        <v>386</v>
      </c>
    </row>
    <row r="390" spans="3:14">
      <c r="C390" t="s">
        <v>30</v>
      </c>
      <c r="D390" t="s">
        <v>1541</v>
      </c>
      <c r="E390" t="s">
        <v>89</v>
      </c>
      <c r="F390" s="36">
        <v>6</v>
      </c>
      <c r="G390" t="s">
        <v>833</v>
      </c>
      <c r="I390" cm="1">
        <f t="array" ref="I390">_xlfn.IFNA(INDEX(QHPSelections2016[],MATCH(1,(QHPSelections2016[State Name]=HIX_RatingAreas[[#This Row],[State Code]])*(QHPSelections2016[County Name]=HIX_RatingAreas[[#This Row],[Subdivision]]),0),MATCH("Silver",QHPSelections2016[#Headers],0)),0)</f>
        <v>388</v>
      </c>
      <c r="J390" cm="1">
        <f t="array" ref="J390">_xlfn.IFNA(INDEX(QHPSelections2016[],MATCH(1,(QHPSelections2016[State Name]=HIX_RatingAreas[[#This Row],[State Code]])*(QHPSelections2016[County Name]=HIX_RatingAreas[[#This Row],[Subdivision]]),0),MATCH("Total Plan Selections",QHPSelections2016[#Headers],0)),0)</f>
        <v>447</v>
      </c>
      <c r="L390" t="str" cm="1">
        <f t="array" ref="L390">INDEX(QHPSelections2016[],MATCH(1,(QHPSelections2016[State Name]=HIX_RatingAreas[[#This Row],[State Code]])*(QHPSelections2016[County Name]=HIX_RatingAreas[[#This Row],[Subdivision]]),0),MATCH("County Name",QHPSelections2016[#Headers],0))</f>
        <v>Amite County</v>
      </c>
      <c r="M390" t="b">
        <f>L390=HIX_RatingAreas[[#This Row],[Subdivision]]</f>
        <v>1</v>
      </c>
      <c r="N390">
        <v>387</v>
      </c>
    </row>
    <row r="391" spans="3:14">
      <c r="C391" t="s">
        <v>30</v>
      </c>
      <c r="D391" t="s">
        <v>1541</v>
      </c>
      <c r="E391" t="s">
        <v>89</v>
      </c>
      <c r="F391" s="36">
        <v>6</v>
      </c>
      <c r="G391" t="s">
        <v>839</v>
      </c>
      <c r="I391" cm="1">
        <f t="array" ref="I391">_xlfn.IFNA(INDEX(QHPSelections2016[],MATCH(1,(QHPSelections2016[State Name]=HIX_RatingAreas[[#This Row],[State Code]])*(QHPSelections2016[County Name]=HIX_RatingAreas[[#This Row],[Subdivision]]),0),MATCH("Silver",QHPSelections2016[#Headers],0)),0)</f>
        <v>488</v>
      </c>
      <c r="J391" cm="1">
        <f t="array" ref="J391">_xlfn.IFNA(INDEX(QHPSelections2016[],MATCH(1,(QHPSelections2016[State Name]=HIX_RatingAreas[[#This Row],[State Code]])*(QHPSelections2016[County Name]=HIX_RatingAreas[[#This Row],[Subdivision]]),0),MATCH("Total Plan Selections",QHPSelections2016[#Headers],0)),0)</f>
        <v>584</v>
      </c>
      <c r="L391" t="str" cm="1">
        <f t="array" ref="L391">INDEX(QHPSelections2016[],MATCH(1,(QHPSelections2016[State Name]=HIX_RatingAreas[[#This Row],[State Code]])*(QHPSelections2016[County Name]=HIX_RatingAreas[[#This Row],[Subdivision]]),0),MATCH("County Name",QHPSelections2016[#Headers],0))</f>
        <v>Attala County</v>
      </c>
      <c r="M391" t="b">
        <f>L391=HIX_RatingAreas[[#This Row],[Subdivision]]</f>
        <v>1</v>
      </c>
      <c r="N391">
        <v>388</v>
      </c>
    </row>
    <row r="392" spans="3:14">
      <c r="C392" t="s">
        <v>30</v>
      </c>
      <c r="D392" t="s">
        <v>1541</v>
      </c>
      <c r="E392" t="s">
        <v>89</v>
      </c>
      <c r="F392" s="36">
        <v>6</v>
      </c>
      <c r="G392" t="s">
        <v>850</v>
      </c>
      <c r="I392" cm="1">
        <f t="array" ref="I392">_xlfn.IFNA(INDEX(QHPSelections2016[],MATCH(1,(QHPSelections2016[State Name]=HIX_RatingAreas[[#This Row],[State Code]])*(QHPSelections2016[County Name]=HIX_RatingAreas[[#This Row],[Subdivision]]),0),MATCH("Silver",QHPSelections2016[#Headers],0)),0)</f>
        <v>1114</v>
      </c>
      <c r="J392" cm="1">
        <f t="array" ref="J392">_xlfn.IFNA(INDEX(QHPSelections2016[],MATCH(1,(QHPSelections2016[State Name]=HIX_RatingAreas[[#This Row],[State Code]])*(QHPSelections2016[County Name]=HIX_RatingAreas[[#This Row],[Subdivision]]),0),MATCH("Total Plan Selections",QHPSelections2016[#Headers],0)),0)</f>
        <v>1315</v>
      </c>
      <c r="L392" t="str" cm="1">
        <f t="array" ref="L392">INDEX(QHPSelections2016[],MATCH(1,(QHPSelections2016[State Name]=HIX_RatingAreas[[#This Row],[State Code]])*(QHPSelections2016[County Name]=HIX_RatingAreas[[#This Row],[Subdivision]]),0),MATCH("County Name",QHPSelections2016[#Headers],0))</f>
        <v>Bolivar County</v>
      </c>
      <c r="M392" t="b">
        <f>L392=HIX_RatingAreas[[#This Row],[Subdivision]]</f>
        <v>1</v>
      </c>
      <c r="N392">
        <v>389</v>
      </c>
    </row>
    <row r="393" spans="3:14">
      <c r="C393" t="s">
        <v>30</v>
      </c>
      <c r="D393" t="s">
        <v>1541</v>
      </c>
      <c r="E393" t="s">
        <v>89</v>
      </c>
      <c r="F393" s="36">
        <v>6</v>
      </c>
      <c r="G393" t="s">
        <v>855</v>
      </c>
      <c r="I393" cm="1">
        <f t="array" ref="I393">_xlfn.IFNA(INDEX(QHPSelections2016[],MATCH(1,(QHPSelections2016[State Name]=HIX_RatingAreas[[#This Row],[State Code]])*(QHPSelections2016[County Name]=HIX_RatingAreas[[#This Row],[Subdivision]]),0),MATCH("Silver",QHPSelections2016[#Headers],0)),0)</f>
        <v>309</v>
      </c>
      <c r="J393" cm="1">
        <f t="array" ref="J393">_xlfn.IFNA(INDEX(QHPSelections2016[],MATCH(1,(QHPSelections2016[State Name]=HIX_RatingAreas[[#This Row],[State Code]])*(QHPSelections2016[County Name]=HIX_RatingAreas[[#This Row],[Subdivision]]),0),MATCH("Total Plan Selections",QHPSelections2016[#Headers],0)),0)</f>
        <v>349</v>
      </c>
      <c r="L393" t="str" cm="1">
        <f t="array" ref="L393">INDEX(QHPSelections2016[],MATCH(1,(QHPSelections2016[State Name]=HIX_RatingAreas[[#This Row],[State Code]])*(QHPSelections2016[County Name]=HIX_RatingAreas[[#This Row],[Subdivision]]),0),MATCH("County Name",QHPSelections2016[#Headers],0))</f>
        <v>Calhoun County</v>
      </c>
      <c r="M393" t="b">
        <f>L393=HIX_RatingAreas[[#This Row],[Subdivision]]</f>
        <v>1</v>
      </c>
      <c r="N393">
        <v>390</v>
      </c>
    </row>
    <row r="394" spans="3:14">
      <c r="C394" t="s">
        <v>30</v>
      </c>
      <c r="D394" t="s">
        <v>1541</v>
      </c>
      <c r="E394" t="s">
        <v>89</v>
      </c>
      <c r="F394" s="36">
        <v>6</v>
      </c>
      <c r="G394" t="s">
        <v>862</v>
      </c>
      <c r="I394" cm="1">
        <f t="array" ref="I394">_xlfn.IFNA(INDEX(QHPSelections2016[],MATCH(1,(QHPSelections2016[State Name]=HIX_RatingAreas[[#This Row],[State Code]])*(QHPSelections2016[County Name]=HIX_RatingAreas[[#This Row],[Subdivision]]),0),MATCH("Silver",QHPSelections2016[#Headers],0)),0)</f>
        <v>238</v>
      </c>
      <c r="J394" cm="1">
        <f t="array" ref="J394">_xlfn.IFNA(INDEX(QHPSelections2016[],MATCH(1,(QHPSelections2016[State Name]=HIX_RatingAreas[[#This Row],[State Code]])*(QHPSelections2016[County Name]=HIX_RatingAreas[[#This Row],[Subdivision]]),0),MATCH("Total Plan Selections",QHPSelections2016[#Headers],0)),0)</f>
        <v>294</v>
      </c>
      <c r="L394" t="str" cm="1">
        <f t="array" ref="L394">INDEX(QHPSelections2016[],MATCH(1,(QHPSelections2016[State Name]=HIX_RatingAreas[[#This Row],[State Code]])*(QHPSelections2016[County Name]=HIX_RatingAreas[[#This Row],[Subdivision]]),0),MATCH("County Name",QHPSelections2016[#Headers],0))</f>
        <v>Carroll County</v>
      </c>
      <c r="M394" t="b">
        <f>L394=HIX_RatingAreas[[#This Row],[Subdivision]]</f>
        <v>1</v>
      </c>
      <c r="N394">
        <v>391</v>
      </c>
    </row>
    <row r="395" spans="3:14">
      <c r="C395" t="s">
        <v>30</v>
      </c>
      <c r="D395" t="s">
        <v>1541</v>
      </c>
      <c r="E395" t="s">
        <v>89</v>
      </c>
      <c r="F395" s="36">
        <v>6</v>
      </c>
      <c r="G395" t="s">
        <v>869</v>
      </c>
      <c r="I395" cm="1">
        <f t="array" ref="I395">_xlfn.IFNA(INDEX(QHPSelections2016[],MATCH(1,(QHPSelections2016[State Name]=HIX_RatingAreas[[#This Row],[State Code]])*(QHPSelections2016[County Name]=HIX_RatingAreas[[#This Row],[Subdivision]]),0),MATCH("Silver",QHPSelections2016[#Headers],0)),0)</f>
        <v>539</v>
      </c>
      <c r="J395" cm="1">
        <f t="array" ref="J395">_xlfn.IFNA(INDEX(QHPSelections2016[],MATCH(1,(QHPSelections2016[State Name]=HIX_RatingAreas[[#This Row],[State Code]])*(QHPSelections2016[County Name]=HIX_RatingAreas[[#This Row],[Subdivision]]),0),MATCH("Total Plan Selections",QHPSelections2016[#Headers],0)),0)</f>
        <v>628</v>
      </c>
      <c r="L395" t="str" cm="1">
        <f t="array" ref="L395">INDEX(QHPSelections2016[],MATCH(1,(QHPSelections2016[State Name]=HIX_RatingAreas[[#This Row],[State Code]])*(QHPSelections2016[County Name]=HIX_RatingAreas[[#This Row],[Subdivision]]),0),MATCH("County Name",QHPSelections2016[#Headers],0))</f>
        <v>Chickasaw County</v>
      </c>
      <c r="M395" t="b">
        <f>L395=HIX_RatingAreas[[#This Row],[Subdivision]]</f>
        <v>1</v>
      </c>
      <c r="N395">
        <v>392</v>
      </c>
    </row>
    <row r="396" spans="3:14">
      <c r="C396" t="s">
        <v>30</v>
      </c>
      <c r="D396" t="s">
        <v>1541</v>
      </c>
      <c r="E396" t="s">
        <v>89</v>
      </c>
      <c r="F396" s="36">
        <v>6</v>
      </c>
      <c r="G396" t="s">
        <v>875</v>
      </c>
      <c r="I396" t="str" cm="1">
        <f t="array" ref="I396">_xlfn.IFNA(INDEX(QHPSelections2016[],MATCH(1,(QHPSelections2016[State Name]=HIX_RatingAreas[[#This Row],[State Code]])*(QHPSelections2016[County Name]=HIX_RatingAreas[[#This Row],[Subdivision]]),0),MATCH("Silver",QHPSelections2016[#Headers],0)),0)</f>
        <v>.</v>
      </c>
      <c r="J396" cm="1">
        <f t="array" ref="J396">_xlfn.IFNA(INDEX(QHPSelections2016[],MATCH(1,(QHPSelections2016[State Name]=HIX_RatingAreas[[#This Row],[State Code]])*(QHPSelections2016[County Name]=HIX_RatingAreas[[#This Row],[Subdivision]]),0),MATCH("Total Plan Selections",QHPSelections2016[#Headers],0)),0)</f>
        <v>168</v>
      </c>
      <c r="L396" t="str" cm="1">
        <f t="array" ref="L396">INDEX(QHPSelections2016[],MATCH(1,(QHPSelections2016[State Name]=HIX_RatingAreas[[#This Row],[State Code]])*(QHPSelections2016[County Name]=HIX_RatingAreas[[#This Row],[Subdivision]]),0),MATCH("County Name",QHPSelections2016[#Headers],0))</f>
        <v>Choctaw County</v>
      </c>
      <c r="M396" t="b">
        <f>L396=HIX_RatingAreas[[#This Row],[Subdivision]]</f>
        <v>1</v>
      </c>
      <c r="N396">
        <v>393</v>
      </c>
    </row>
    <row r="397" spans="3:14">
      <c r="C397" t="s">
        <v>30</v>
      </c>
      <c r="D397" t="s">
        <v>1541</v>
      </c>
      <c r="E397" t="s">
        <v>89</v>
      </c>
      <c r="F397" s="36">
        <v>6</v>
      </c>
      <c r="G397" t="s">
        <v>881</v>
      </c>
      <c r="I397" cm="1">
        <f t="array" ref="I397">_xlfn.IFNA(INDEX(QHPSelections2016[],MATCH(1,(QHPSelections2016[State Name]=HIX_RatingAreas[[#This Row],[State Code]])*(QHPSelections2016[County Name]=HIX_RatingAreas[[#This Row],[Subdivision]]),0),MATCH("Silver",QHPSelections2016[#Headers],0)),0)</f>
        <v>287</v>
      </c>
      <c r="J397" cm="1">
        <f t="array" ref="J397">_xlfn.IFNA(INDEX(QHPSelections2016[],MATCH(1,(QHPSelections2016[State Name]=HIX_RatingAreas[[#This Row],[State Code]])*(QHPSelections2016[County Name]=HIX_RatingAreas[[#This Row],[Subdivision]]),0),MATCH("Total Plan Selections",QHPSelections2016[#Headers],0)),0)</f>
        <v>352</v>
      </c>
      <c r="L397" t="str" cm="1">
        <f t="array" ref="L397">INDEX(QHPSelections2016[],MATCH(1,(QHPSelections2016[State Name]=HIX_RatingAreas[[#This Row],[State Code]])*(QHPSelections2016[County Name]=HIX_RatingAreas[[#This Row],[Subdivision]]),0),MATCH("County Name",QHPSelections2016[#Headers],0))</f>
        <v>Claiborne County</v>
      </c>
      <c r="M397" t="b">
        <f>L397=HIX_RatingAreas[[#This Row],[Subdivision]]</f>
        <v>1</v>
      </c>
      <c r="N397">
        <v>394</v>
      </c>
    </row>
    <row r="398" spans="3:14">
      <c r="C398" t="s">
        <v>30</v>
      </c>
      <c r="D398" t="s">
        <v>1541</v>
      </c>
      <c r="E398" t="s">
        <v>89</v>
      </c>
      <c r="F398" s="36">
        <v>6</v>
      </c>
      <c r="G398" t="s">
        <v>887</v>
      </c>
      <c r="I398" cm="1">
        <f t="array" ref="I398">_xlfn.IFNA(INDEX(QHPSelections2016[],MATCH(1,(QHPSelections2016[State Name]=HIX_RatingAreas[[#This Row],[State Code]])*(QHPSelections2016[County Name]=HIX_RatingAreas[[#This Row],[Subdivision]]),0),MATCH("Silver",QHPSelections2016[#Headers],0)),0)</f>
        <v>409</v>
      </c>
      <c r="J398" cm="1">
        <f t="array" ref="J398">_xlfn.IFNA(INDEX(QHPSelections2016[],MATCH(1,(QHPSelections2016[State Name]=HIX_RatingAreas[[#This Row],[State Code]])*(QHPSelections2016[County Name]=HIX_RatingAreas[[#This Row],[Subdivision]]),0),MATCH("Total Plan Selections",QHPSelections2016[#Headers],0)),0)</f>
        <v>486</v>
      </c>
      <c r="L398" t="str" cm="1">
        <f t="array" ref="L398">INDEX(QHPSelections2016[],MATCH(1,(QHPSelections2016[State Name]=HIX_RatingAreas[[#This Row],[State Code]])*(QHPSelections2016[County Name]=HIX_RatingAreas[[#This Row],[Subdivision]]),0),MATCH("County Name",QHPSelections2016[#Headers],0))</f>
        <v>Clarke County</v>
      </c>
      <c r="M398" t="b">
        <f>L398=HIX_RatingAreas[[#This Row],[Subdivision]]</f>
        <v>1</v>
      </c>
      <c r="N398">
        <v>395</v>
      </c>
    </row>
    <row r="399" spans="3:14">
      <c r="C399" t="s">
        <v>30</v>
      </c>
      <c r="D399" t="s">
        <v>1541</v>
      </c>
      <c r="E399" t="s">
        <v>89</v>
      </c>
      <c r="F399" s="36">
        <v>6</v>
      </c>
      <c r="G399" t="s">
        <v>873</v>
      </c>
      <c r="I399" cm="1">
        <f t="array" ref="I399">_xlfn.IFNA(INDEX(QHPSelections2016[],MATCH(1,(QHPSelections2016[State Name]=HIX_RatingAreas[[#This Row],[State Code]])*(QHPSelections2016[County Name]=HIX_RatingAreas[[#This Row],[Subdivision]]),0),MATCH("Silver",QHPSelections2016[#Headers],0)),0)</f>
        <v>541</v>
      </c>
      <c r="J399" cm="1">
        <f t="array" ref="J399">_xlfn.IFNA(INDEX(QHPSelections2016[],MATCH(1,(QHPSelections2016[State Name]=HIX_RatingAreas[[#This Row],[State Code]])*(QHPSelections2016[County Name]=HIX_RatingAreas[[#This Row],[Subdivision]]),0),MATCH("Total Plan Selections",QHPSelections2016[#Headers],0)),0)</f>
        <v>611</v>
      </c>
      <c r="L399" t="str" cm="1">
        <f t="array" ref="L399">INDEX(QHPSelections2016[],MATCH(1,(QHPSelections2016[State Name]=HIX_RatingAreas[[#This Row],[State Code]])*(QHPSelections2016[County Name]=HIX_RatingAreas[[#This Row],[Subdivision]]),0),MATCH("County Name",QHPSelections2016[#Headers],0))</f>
        <v>Clay County</v>
      </c>
      <c r="M399" t="b">
        <f>L399=HIX_RatingAreas[[#This Row],[Subdivision]]</f>
        <v>1</v>
      </c>
      <c r="N399">
        <v>396</v>
      </c>
    </row>
    <row r="400" spans="3:14">
      <c r="C400" t="s">
        <v>30</v>
      </c>
      <c r="D400" t="s">
        <v>1541</v>
      </c>
      <c r="E400" t="s">
        <v>89</v>
      </c>
      <c r="F400" s="36">
        <v>6</v>
      </c>
      <c r="G400" t="s">
        <v>897</v>
      </c>
      <c r="I400" cm="1">
        <f t="array" ref="I400">_xlfn.IFNA(INDEX(QHPSelections2016[],MATCH(1,(QHPSelections2016[State Name]=HIX_RatingAreas[[#This Row],[State Code]])*(QHPSelections2016[County Name]=HIX_RatingAreas[[#This Row],[Subdivision]]),0),MATCH("Silver",QHPSelections2016[#Headers],0)),0)</f>
        <v>584</v>
      </c>
      <c r="J400" cm="1">
        <f t="array" ref="J400">_xlfn.IFNA(INDEX(QHPSelections2016[],MATCH(1,(QHPSelections2016[State Name]=HIX_RatingAreas[[#This Row],[State Code]])*(QHPSelections2016[County Name]=HIX_RatingAreas[[#This Row],[Subdivision]]),0),MATCH("Total Plan Selections",QHPSelections2016[#Headers],0)),0)</f>
        <v>760</v>
      </c>
      <c r="L400" t="str" cm="1">
        <f t="array" ref="L400">INDEX(QHPSelections2016[],MATCH(1,(QHPSelections2016[State Name]=HIX_RatingAreas[[#This Row],[State Code]])*(QHPSelections2016[County Name]=HIX_RatingAreas[[#This Row],[Subdivision]]),0),MATCH("County Name",QHPSelections2016[#Headers],0))</f>
        <v>Coahoma County</v>
      </c>
      <c r="M400" t="b">
        <f>L400=HIX_RatingAreas[[#This Row],[Subdivision]]</f>
        <v>1</v>
      </c>
      <c r="N400">
        <v>397</v>
      </c>
    </row>
    <row r="401" spans="3:14">
      <c r="C401" t="s">
        <v>30</v>
      </c>
      <c r="D401" t="s">
        <v>1541</v>
      </c>
      <c r="E401" t="s">
        <v>89</v>
      </c>
      <c r="F401" s="36">
        <v>6</v>
      </c>
      <c r="G401" t="s">
        <v>910</v>
      </c>
      <c r="I401" cm="1">
        <f t="array" ref="I401">_xlfn.IFNA(INDEX(QHPSelections2016[],MATCH(1,(QHPSelections2016[State Name]=HIX_RatingAreas[[#This Row],[State Code]])*(QHPSelections2016[County Name]=HIX_RatingAreas[[#This Row],[Subdivision]]),0),MATCH("Silver",QHPSelections2016[#Headers],0)),0)</f>
        <v>801</v>
      </c>
      <c r="J401" cm="1">
        <f t="array" ref="J401">_xlfn.IFNA(INDEX(QHPSelections2016[],MATCH(1,(QHPSelections2016[State Name]=HIX_RatingAreas[[#This Row],[State Code]])*(QHPSelections2016[County Name]=HIX_RatingAreas[[#This Row],[Subdivision]]),0),MATCH("Total Plan Selections",QHPSelections2016[#Headers],0)),0)</f>
        <v>888</v>
      </c>
      <c r="L401" t="str" cm="1">
        <f t="array" ref="L401">INDEX(QHPSelections2016[],MATCH(1,(QHPSelections2016[State Name]=HIX_RatingAreas[[#This Row],[State Code]])*(QHPSelections2016[County Name]=HIX_RatingAreas[[#This Row],[Subdivision]]),0),MATCH("County Name",QHPSelections2016[#Headers],0))</f>
        <v>Covington County</v>
      </c>
      <c r="M401" t="b">
        <f>L401=HIX_RatingAreas[[#This Row],[Subdivision]]</f>
        <v>1</v>
      </c>
      <c r="N401">
        <v>398</v>
      </c>
    </row>
    <row r="402" spans="3:14">
      <c r="C402" t="s">
        <v>30</v>
      </c>
      <c r="D402" t="s">
        <v>1541</v>
      </c>
      <c r="E402" t="s">
        <v>89</v>
      </c>
      <c r="F402" s="36">
        <v>6</v>
      </c>
      <c r="G402" t="s">
        <v>919</v>
      </c>
      <c r="I402" cm="1">
        <f t="array" ref="I402">_xlfn.IFNA(INDEX(QHPSelections2016[],MATCH(1,(QHPSelections2016[State Name]=HIX_RatingAreas[[#This Row],[State Code]])*(QHPSelections2016[County Name]=HIX_RatingAreas[[#This Row],[Subdivision]]),0),MATCH("Silver",QHPSelections2016[#Headers],0)),0)</f>
        <v>251</v>
      </c>
      <c r="J402" cm="1">
        <f t="array" ref="J402">_xlfn.IFNA(INDEX(QHPSelections2016[],MATCH(1,(QHPSelections2016[State Name]=HIX_RatingAreas[[#This Row],[State Code]])*(QHPSelections2016[County Name]=HIX_RatingAreas[[#This Row],[Subdivision]]),0),MATCH("Total Plan Selections",QHPSelections2016[#Headers],0)),0)</f>
        <v>302</v>
      </c>
      <c r="L402" t="str" cm="1">
        <f t="array" ref="L402">INDEX(QHPSelections2016[],MATCH(1,(QHPSelections2016[State Name]=HIX_RatingAreas[[#This Row],[State Code]])*(QHPSelections2016[County Name]=HIX_RatingAreas[[#This Row],[Subdivision]]),0),MATCH("County Name",QHPSelections2016[#Headers],0))</f>
        <v>Franklin County</v>
      </c>
      <c r="M402" t="b">
        <f>L402=HIX_RatingAreas[[#This Row],[Subdivision]]</f>
        <v>1</v>
      </c>
      <c r="N402">
        <v>399</v>
      </c>
    </row>
    <row r="403" spans="3:14">
      <c r="C403" t="s">
        <v>30</v>
      </c>
      <c r="D403" t="s">
        <v>1541</v>
      </c>
      <c r="E403" t="s">
        <v>89</v>
      </c>
      <c r="F403" s="36">
        <v>6</v>
      </c>
      <c r="G403" t="s">
        <v>943</v>
      </c>
      <c r="I403" cm="1">
        <f t="array" ref="I403">_xlfn.IFNA(INDEX(QHPSelections2016[],MATCH(1,(QHPSelections2016[State Name]=HIX_RatingAreas[[#This Row],[State Code]])*(QHPSelections2016[County Name]=HIX_RatingAreas[[#This Row],[Subdivision]]),0),MATCH("Silver",QHPSelections2016[#Headers],0)),0)</f>
        <v>654</v>
      </c>
      <c r="J403" cm="1">
        <f t="array" ref="J403">_xlfn.IFNA(INDEX(QHPSelections2016[],MATCH(1,(QHPSelections2016[State Name]=HIX_RatingAreas[[#This Row],[State Code]])*(QHPSelections2016[County Name]=HIX_RatingAreas[[#This Row],[Subdivision]]),0),MATCH("Total Plan Selections",QHPSelections2016[#Headers],0)),0)</f>
        <v>758</v>
      </c>
      <c r="L403" t="str" cm="1">
        <f t="array" ref="L403">INDEX(QHPSelections2016[],MATCH(1,(QHPSelections2016[State Name]=HIX_RatingAreas[[#This Row],[State Code]])*(QHPSelections2016[County Name]=HIX_RatingAreas[[#This Row],[Subdivision]]),0),MATCH("County Name",QHPSelections2016[#Headers],0))</f>
        <v>Grenada County</v>
      </c>
      <c r="M403" t="b">
        <f>L403=HIX_RatingAreas[[#This Row],[Subdivision]]</f>
        <v>1</v>
      </c>
      <c r="N403">
        <v>400</v>
      </c>
    </row>
    <row r="404" spans="3:14">
      <c r="C404" t="s">
        <v>30</v>
      </c>
      <c r="D404" t="s">
        <v>1541</v>
      </c>
      <c r="E404" t="s">
        <v>89</v>
      </c>
      <c r="F404" s="36">
        <v>6</v>
      </c>
      <c r="G404" t="s">
        <v>967</v>
      </c>
      <c r="I404" cm="1">
        <f t="array" ref="I404">_xlfn.IFNA(INDEX(QHPSelections2016[],MATCH(1,(QHPSelections2016[State Name]=HIX_RatingAreas[[#This Row],[State Code]])*(QHPSelections2016[County Name]=HIX_RatingAreas[[#This Row],[Subdivision]]),0),MATCH("Silver",QHPSelections2016[#Headers],0)),0)</f>
        <v>645</v>
      </c>
      <c r="J404" cm="1">
        <f t="array" ref="J404">_xlfn.IFNA(INDEX(QHPSelections2016[],MATCH(1,(QHPSelections2016[State Name]=HIX_RatingAreas[[#This Row],[State Code]])*(QHPSelections2016[County Name]=HIX_RatingAreas[[#This Row],[Subdivision]]),0),MATCH("Total Plan Selections",QHPSelections2016[#Headers],0)),0)</f>
        <v>794</v>
      </c>
      <c r="L404" t="str" cm="1">
        <f t="array" ref="L404">INDEX(QHPSelections2016[],MATCH(1,(QHPSelections2016[State Name]=HIX_RatingAreas[[#This Row],[State Code]])*(QHPSelections2016[County Name]=HIX_RatingAreas[[#This Row],[Subdivision]]),0),MATCH("County Name",QHPSelections2016[#Headers],0))</f>
        <v>Holmes County</v>
      </c>
      <c r="M404" t="b">
        <f>L404=HIX_RatingAreas[[#This Row],[Subdivision]]</f>
        <v>1</v>
      </c>
      <c r="N404">
        <v>401</v>
      </c>
    </row>
    <row r="405" spans="3:14">
      <c r="C405" t="s">
        <v>30</v>
      </c>
      <c r="D405" t="s">
        <v>1541</v>
      </c>
      <c r="E405" t="s">
        <v>89</v>
      </c>
      <c r="F405" s="36">
        <v>6</v>
      </c>
      <c r="G405" t="s">
        <v>971</v>
      </c>
      <c r="I405" cm="1">
        <f t="array" ref="I405">_xlfn.IFNA(INDEX(QHPSelections2016[],MATCH(1,(QHPSelections2016[State Name]=HIX_RatingAreas[[#This Row],[State Code]])*(QHPSelections2016[County Name]=HIX_RatingAreas[[#This Row],[Subdivision]]),0),MATCH("Silver",QHPSelections2016[#Headers],0)),0)</f>
        <v>245</v>
      </c>
      <c r="J405" cm="1">
        <f t="array" ref="J405">_xlfn.IFNA(INDEX(QHPSelections2016[],MATCH(1,(QHPSelections2016[State Name]=HIX_RatingAreas[[#This Row],[State Code]])*(QHPSelections2016[County Name]=HIX_RatingAreas[[#This Row],[Subdivision]]),0),MATCH("Total Plan Selections",QHPSelections2016[#Headers],0)),0)</f>
        <v>337</v>
      </c>
      <c r="L405" t="str" cm="1">
        <f t="array" ref="L405">INDEX(QHPSelections2016[],MATCH(1,(QHPSelections2016[State Name]=HIX_RatingAreas[[#This Row],[State Code]])*(QHPSelections2016[County Name]=HIX_RatingAreas[[#This Row],[Subdivision]]),0),MATCH("County Name",QHPSelections2016[#Headers],0))</f>
        <v>Humphreys County</v>
      </c>
      <c r="M405" t="b">
        <f>L405=HIX_RatingAreas[[#This Row],[Subdivision]]</f>
        <v>1</v>
      </c>
      <c r="N405">
        <v>402</v>
      </c>
    </row>
    <row r="406" spans="3:14">
      <c r="C406" t="s">
        <v>30</v>
      </c>
      <c r="D406" t="s">
        <v>1541</v>
      </c>
      <c r="E406" t="s">
        <v>89</v>
      </c>
      <c r="F406" s="36">
        <v>6</v>
      </c>
      <c r="G406" t="s">
        <v>977</v>
      </c>
      <c r="I406" t="str" cm="1">
        <f t="array" ref="I406">_xlfn.IFNA(INDEX(QHPSelections2016[],MATCH(1,(QHPSelections2016[State Name]=HIX_RatingAreas[[#This Row],[State Code]])*(QHPSelections2016[County Name]=HIX_RatingAreas[[#This Row],[Subdivision]]),0),MATCH("Silver",QHPSelections2016[#Headers],0)),0)</f>
        <v>.</v>
      </c>
      <c r="J406" cm="1">
        <f t="array" ref="J406">_xlfn.IFNA(INDEX(QHPSelections2016[],MATCH(1,(QHPSelections2016[State Name]=HIX_RatingAreas[[#This Row],[State Code]])*(QHPSelections2016[County Name]=HIX_RatingAreas[[#This Row],[Subdivision]]),0),MATCH("Total Plan Selections",QHPSelections2016[#Headers],0)),0)</f>
        <v>13</v>
      </c>
      <c r="L406" t="str" cm="1">
        <f t="array" ref="L406">INDEX(QHPSelections2016[],MATCH(1,(QHPSelections2016[State Name]=HIX_RatingAreas[[#This Row],[State Code]])*(QHPSelections2016[County Name]=HIX_RatingAreas[[#This Row],[Subdivision]]),0),MATCH("County Name",QHPSelections2016[#Headers],0))</f>
        <v>Issaquena County</v>
      </c>
      <c r="M406" t="b">
        <f>L406=HIX_RatingAreas[[#This Row],[Subdivision]]</f>
        <v>1</v>
      </c>
      <c r="N406">
        <v>403</v>
      </c>
    </row>
    <row r="407" spans="3:14">
      <c r="C407" t="s">
        <v>30</v>
      </c>
      <c r="D407" t="s">
        <v>1541</v>
      </c>
      <c r="E407" t="s">
        <v>89</v>
      </c>
      <c r="F407" s="36">
        <v>6</v>
      </c>
      <c r="G407" t="s">
        <v>989</v>
      </c>
      <c r="I407" cm="1">
        <f t="array" ref="I407">_xlfn.IFNA(INDEX(QHPSelections2016[],MATCH(1,(QHPSelections2016[State Name]=HIX_RatingAreas[[#This Row],[State Code]])*(QHPSelections2016[County Name]=HIX_RatingAreas[[#This Row],[Subdivision]]),0),MATCH("Silver",QHPSelections2016[#Headers],0)),0)</f>
        <v>525</v>
      </c>
      <c r="J407" cm="1">
        <f t="array" ref="J407">_xlfn.IFNA(INDEX(QHPSelections2016[],MATCH(1,(QHPSelections2016[State Name]=HIX_RatingAreas[[#This Row],[State Code]])*(QHPSelections2016[County Name]=HIX_RatingAreas[[#This Row],[Subdivision]]),0),MATCH("Total Plan Selections",QHPSelections2016[#Headers],0)),0)</f>
        <v>585</v>
      </c>
      <c r="L407" t="str" cm="1">
        <f t="array" ref="L407">INDEX(QHPSelections2016[],MATCH(1,(QHPSelections2016[State Name]=HIX_RatingAreas[[#This Row],[State Code]])*(QHPSelections2016[County Name]=HIX_RatingAreas[[#This Row],[Subdivision]]),0),MATCH("County Name",QHPSelections2016[#Headers],0))</f>
        <v>Jasper County</v>
      </c>
      <c r="M407" t="b">
        <f>L407=HIX_RatingAreas[[#This Row],[Subdivision]]</f>
        <v>1</v>
      </c>
      <c r="N407">
        <v>404</v>
      </c>
    </row>
    <row r="408" spans="3:14">
      <c r="C408" t="s">
        <v>30</v>
      </c>
      <c r="D408" t="s">
        <v>1541</v>
      </c>
      <c r="E408" t="s">
        <v>89</v>
      </c>
      <c r="F408" s="36">
        <v>6</v>
      </c>
      <c r="G408" t="s">
        <v>993</v>
      </c>
      <c r="I408" cm="1">
        <f t="array" ref="I408">_xlfn.IFNA(INDEX(QHPSelections2016[],MATCH(1,(QHPSelections2016[State Name]=HIX_RatingAreas[[#This Row],[State Code]])*(QHPSelections2016[County Name]=HIX_RatingAreas[[#This Row],[Subdivision]]),0),MATCH("Silver",QHPSelections2016[#Headers],0)),0)</f>
        <v>382</v>
      </c>
      <c r="J408" cm="1">
        <f t="array" ref="J408">_xlfn.IFNA(INDEX(QHPSelections2016[],MATCH(1,(QHPSelections2016[State Name]=HIX_RatingAreas[[#This Row],[State Code]])*(QHPSelections2016[County Name]=HIX_RatingAreas[[#This Row],[Subdivision]]),0),MATCH("Total Plan Selections",QHPSelections2016[#Headers],0)),0)</f>
        <v>438</v>
      </c>
      <c r="L408" t="str" cm="1">
        <f t="array" ref="L408">INDEX(QHPSelections2016[],MATCH(1,(QHPSelections2016[State Name]=HIX_RatingAreas[[#This Row],[State Code]])*(QHPSelections2016[County Name]=HIX_RatingAreas[[#This Row],[Subdivision]]),0),MATCH("County Name",QHPSelections2016[#Headers],0))</f>
        <v>Jefferson County</v>
      </c>
      <c r="M408" t="b">
        <f>L408=HIX_RatingAreas[[#This Row],[Subdivision]]</f>
        <v>1</v>
      </c>
      <c r="N408">
        <v>405</v>
      </c>
    </row>
    <row r="409" spans="3:14">
      <c r="C409" t="s">
        <v>30</v>
      </c>
      <c r="D409" t="s">
        <v>1541</v>
      </c>
      <c r="E409" t="s">
        <v>89</v>
      </c>
      <c r="F409" s="36">
        <v>6</v>
      </c>
      <c r="G409" t="s">
        <v>1001</v>
      </c>
      <c r="I409" cm="1">
        <f t="array" ref="I409">_xlfn.IFNA(INDEX(QHPSelections2016[],MATCH(1,(QHPSelections2016[State Name]=HIX_RatingAreas[[#This Row],[State Code]])*(QHPSelections2016[County Name]=HIX_RatingAreas[[#This Row],[Subdivision]]),0),MATCH("Silver",QHPSelections2016[#Headers],0)),0)</f>
        <v>431</v>
      </c>
      <c r="J409" cm="1">
        <f t="array" ref="J409">_xlfn.IFNA(INDEX(QHPSelections2016[],MATCH(1,(QHPSelections2016[State Name]=HIX_RatingAreas[[#This Row],[State Code]])*(QHPSelections2016[County Name]=HIX_RatingAreas[[#This Row],[Subdivision]]),0),MATCH("Total Plan Selections",QHPSelections2016[#Headers],0)),0)</f>
        <v>505</v>
      </c>
      <c r="L409" t="str" cm="1">
        <f t="array" ref="L409">INDEX(QHPSelections2016[],MATCH(1,(QHPSelections2016[State Name]=HIX_RatingAreas[[#This Row],[State Code]])*(QHPSelections2016[County Name]=HIX_RatingAreas[[#This Row],[Subdivision]]),0),MATCH("County Name",QHPSelections2016[#Headers],0))</f>
        <v>Jefferson Davis County</v>
      </c>
      <c r="M409" t="b">
        <f>L409=HIX_RatingAreas[[#This Row],[Subdivision]]</f>
        <v>1</v>
      </c>
      <c r="N409">
        <v>406</v>
      </c>
    </row>
    <row r="410" spans="3:14">
      <c r="C410" t="s">
        <v>30</v>
      </c>
      <c r="D410" t="s">
        <v>1541</v>
      </c>
      <c r="E410" t="s">
        <v>89</v>
      </c>
      <c r="F410" s="36">
        <v>6</v>
      </c>
      <c r="G410" t="s">
        <v>1012</v>
      </c>
      <c r="I410" cm="1">
        <f t="array" ref="I410">_xlfn.IFNA(INDEX(QHPSelections2016[],MATCH(1,(QHPSelections2016[State Name]=HIX_RatingAreas[[#This Row],[State Code]])*(QHPSelections2016[County Name]=HIX_RatingAreas[[#This Row],[Subdivision]]),0),MATCH("Silver",QHPSelections2016[#Headers],0)),0)</f>
        <v>260</v>
      </c>
      <c r="J410" cm="1">
        <f t="array" ref="J410">_xlfn.IFNA(INDEX(QHPSelections2016[],MATCH(1,(QHPSelections2016[State Name]=HIX_RatingAreas[[#This Row],[State Code]])*(QHPSelections2016[County Name]=HIX_RatingAreas[[#This Row],[Subdivision]]),0),MATCH("Total Plan Selections",QHPSelections2016[#Headers],0)),0)</f>
        <v>312</v>
      </c>
      <c r="L410" t="str" cm="1">
        <f t="array" ref="L410">INDEX(QHPSelections2016[],MATCH(1,(QHPSelections2016[State Name]=HIX_RatingAreas[[#This Row],[State Code]])*(QHPSelections2016[County Name]=HIX_RatingAreas[[#This Row],[Subdivision]]),0),MATCH("County Name",QHPSelections2016[#Headers],0))</f>
        <v>Kemper County</v>
      </c>
      <c r="M410" t="b">
        <f>L410=HIX_RatingAreas[[#This Row],[Subdivision]]</f>
        <v>1</v>
      </c>
      <c r="N410">
        <v>407</v>
      </c>
    </row>
    <row r="411" spans="3:14">
      <c r="C411" t="s">
        <v>30</v>
      </c>
      <c r="D411" t="s">
        <v>1541</v>
      </c>
      <c r="E411" t="s">
        <v>89</v>
      </c>
      <c r="F411" s="36">
        <v>6</v>
      </c>
      <c r="G411" t="s">
        <v>999</v>
      </c>
      <c r="I411" cm="1">
        <f t="array" ref="I411">_xlfn.IFNA(INDEX(QHPSelections2016[],MATCH(1,(QHPSelections2016[State Name]=HIX_RatingAreas[[#This Row],[State Code]])*(QHPSelections2016[County Name]=HIX_RatingAreas[[#This Row],[Subdivision]]),0),MATCH("Silver",QHPSelections2016[#Headers],0)),0)</f>
        <v>916</v>
      </c>
      <c r="J411" cm="1">
        <f t="array" ref="J411">_xlfn.IFNA(INDEX(QHPSelections2016[],MATCH(1,(QHPSelections2016[State Name]=HIX_RatingAreas[[#This Row],[State Code]])*(QHPSelections2016[County Name]=HIX_RatingAreas[[#This Row],[Subdivision]]),0),MATCH("Total Plan Selections",QHPSelections2016[#Headers],0)),0)</f>
        <v>1181</v>
      </c>
      <c r="L411" t="str" cm="1">
        <f t="array" ref="L411">INDEX(QHPSelections2016[],MATCH(1,(QHPSelections2016[State Name]=HIX_RatingAreas[[#This Row],[State Code]])*(QHPSelections2016[County Name]=HIX_RatingAreas[[#This Row],[Subdivision]]),0),MATCH("County Name",QHPSelections2016[#Headers],0))</f>
        <v>Lafayette County</v>
      </c>
      <c r="M411" t="b">
        <f>L411=HIX_RatingAreas[[#This Row],[Subdivision]]</f>
        <v>1</v>
      </c>
      <c r="N411">
        <v>408</v>
      </c>
    </row>
    <row r="412" spans="3:14">
      <c r="C412" t="s">
        <v>30</v>
      </c>
      <c r="D412" t="s">
        <v>1541</v>
      </c>
      <c r="E412" t="s">
        <v>89</v>
      </c>
      <c r="F412" s="36">
        <v>6</v>
      </c>
      <c r="G412" t="s">
        <v>1025</v>
      </c>
      <c r="I412" cm="1">
        <f t="array" ref="I412">_xlfn.IFNA(INDEX(QHPSelections2016[],MATCH(1,(QHPSelections2016[State Name]=HIX_RatingAreas[[#This Row],[State Code]])*(QHPSelections2016[County Name]=HIX_RatingAreas[[#This Row],[Subdivision]]),0),MATCH("Silver",QHPSelections2016[#Headers],0)),0)</f>
        <v>1851</v>
      </c>
      <c r="J412" cm="1">
        <f t="array" ref="J412">_xlfn.IFNA(INDEX(QHPSelections2016[],MATCH(1,(QHPSelections2016[State Name]=HIX_RatingAreas[[#This Row],[State Code]])*(QHPSelections2016[County Name]=HIX_RatingAreas[[#This Row],[Subdivision]]),0),MATCH("Total Plan Selections",QHPSelections2016[#Headers],0)),0)</f>
        <v>2163</v>
      </c>
      <c r="L412" t="str" cm="1">
        <f t="array" ref="L412">INDEX(QHPSelections2016[],MATCH(1,(QHPSelections2016[State Name]=HIX_RatingAreas[[#This Row],[State Code]])*(QHPSelections2016[County Name]=HIX_RatingAreas[[#This Row],[Subdivision]]),0),MATCH("County Name",QHPSelections2016[#Headers],0))</f>
        <v>Lauderdale County</v>
      </c>
      <c r="M412" t="b">
        <f>L412=HIX_RatingAreas[[#This Row],[Subdivision]]</f>
        <v>1</v>
      </c>
      <c r="N412">
        <v>409</v>
      </c>
    </row>
    <row r="413" spans="3:14">
      <c r="C413" t="s">
        <v>30</v>
      </c>
      <c r="D413" t="s">
        <v>1541</v>
      </c>
      <c r="E413" t="s">
        <v>89</v>
      </c>
      <c r="F413" s="36">
        <v>6</v>
      </c>
      <c r="G413" t="s">
        <v>1031</v>
      </c>
      <c r="I413" cm="1">
        <f t="array" ref="I413">_xlfn.IFNA(INDEX(QHPSelections2016[],MATCH(1,(QHPSelections2016[State Name]=HIX_RatingAreas[[#This Row],[State Code]])*(QHPSelections2016[County Name]=HIX_RatingAreas[[#This Row],[Subdivision]]),0),MATCH("Silver",QHPSelections2016[#Headers],0)),0)</f>
        <v>484</v>
      </c>
      <c r="J413" cm="1">
        <f t="array" ref="J413">_xlfn.IFNA(INDEX(QHPSelections2016[],MATCH(1,(QHPSelections2016[State Name]=HIX_RatingAreas[[#This Row],[State Code]])*(QHPSelections2016[County Name]=HIX_RatingAreas[[#This Row],[Subdivision]]),0),MATCH("Total Plan Selections",QHPSelections2016[#Headers],0)),0)</f>
        <v>570</v>
      </c>
      <c r="L413" t="str" cm="1">
        <f t="array" ref="L413">INDEX(QHPSelections2016[],MATCH(1,(QHPSelections2016[State Name]=HIX_RatingAreas[[#This Row],[State Code]])*(QHPSelections2016[County Name]=HIX_RatingAreas[[#This Row],[Subdivision]]),0),MATCH("County Name",QHPSelections2016[#Headers],0))</f>
        <v>Lawrence County</v>
      </c>
      <c r="M413" t="b">
        <f>L413=HIX_RatingAreas[[#This Row],[Subdivision]]</f>
        <v>1</v>
      </c>
      <c r="N413">
        <v>410</v>
      </c>
    </row>
    <row r="414" spans="3:14">
      <c r="C414" t="s">
        <v>30</v>
      </c>
      <c r="D414" t="s">
        <v>1541</v>
      </c>
      <c r="E414" t="s">
        <v>89</v>
      </c>
      <c r="F414" s="36">
        <v>6</v>
      </c>
      <c r="G414" t="s">
        <v>1036</v>
      </c>
      <c r="I414" cm="1">
        <f t="array" ref="I414">_xlfn.IFNA(INDEX(QHPSelections2016[],MATCH(1,(QHPSelections2016[State Name]=HIX_RatingAreas[[#This Row],[State Code]])*(QHPSelections2016[County Name]=HIX_RatingAreas[[#This Row],[Subdivision]]),0),MATCH("Silver",QHPSelections2016[#Headers],0)),0)</f>
        <v>505</v>
      </c>
      <c r="J414" cm="1">
        <f t="array" ref="J414">_xlfn.IFNA(INDEX(QHPSelections2016[],MATCH(1,(QHPSelections2016[State Name]=HIX_RatingAreas[[#This Row],[State Code]])*(QHPSelections2016[County Name]=HIX_RatingAreas[[#This Row],[Subdivision]]),0),MATCH("Total Plan Selections",QHPSelections2016[#Headers],0)),0)</f>
        <v>606</v>
      </c>
      <c r="L414" t="str" cm="1">
        <f t="array" ref="L414">INDEX(QHPSelections2016[],MATCH(1,(QHPSelections2016[State Name]=HIX_RatingAreas[[#This Row],[State Code]])*(QHPSelections2016[County Name]=HIX_RatingAreas[[#This Row],[Subdivision]]),0),MATCH("County Name",QHPSelections2016[#Headers],0))</f>
        <v>Leake County</v>
      </c>
      <c r="M414" t="b">
        <f>L414=HIX_RatingAreas[[#This Row],[Subdivision]]</f>
        <v>1</v>
      </c>
      <c r="N414">
        <v>411</v>
      </c>
    </row>
    <row r="415" spans="3:14">
      <c r="C415" t="s">
        <v>30</v>
      </c>
      <c r="D415" t="s">
        <v>1541</v>
      </c>
      <c r="E415" t="s">
        <v>89</v>
      </c>
      <c r="F415" s="36">
        <v>6</v>
      </c>
      <c r="G415" t="s">
        <v>1046</v>
      </c>
      <c r="I415" cm="1">
        <f t="array" ref="I415">_xlfn.IFNA(INDEX(QHPSelections2016[],MATCH(1,(QHPSelections2016[State Name]=HIX_RatingAreas[[#This Row],[State Code]])*(QHPSelections2016[County Name]=HIX_RatingAreas[[#This Row],[Subdivision]]),0),MATCH("Silver",QHPSelections2016[#Headers],0)),0)</f>
        <v>740</v>
      </c>
      <c r="J415" cm="1">
        <f t="array" ref="J415">_xlfn.IFNA(INDEX(QHPSelections2016[],MATCH(1,(QHPSelections2016[State Name]=HIX_RatingAreas[[#This Row],[State Code]])*(QHPSelections2016[County Name]=HIX_RatingAreas[[#This Row],[Subdivision]]),0),MATCH("Total Plan Selections",QHPSelections2016[#Headers],0)),0)</f>
        <v>934</v>
      </c>
      <c r="L415" t="str" cm="1">
        <f t="array" ref="L415">INDEX(QHPSelections2016[],MATCH(1,(QHPSelections2016[State Name]=HIX_RatingAreas[[#This Row],[State Code]])*(QHPSelections2016[County Name]=HIX_RatingAreas[[#This Row],[Subdivision]]),0),MATCH("County Name",QHPSelections2016[#Headers],0))</f>
        <v>Leflore County</v>
      </c>
      <c r="M415" t="b">
        <f>L415=HIX_RatingAreas[[#This Row],[Subdivision]]</f>
        <v>1</v>
      </c>
      <c r="N415">
        <v>412</v>
      </c>
    </row>
    <row r="416" spans="3:14">
      <c r="C416" t="s">
        <v>30</v>
      </c>
      <c r="D416" t="s">
        <v>1541</v>
      </c>
      <c r="E416" t="s">
        <v>89</v>
      </c>
      <c r="F416" s="36">
        <v>6</v>
      </c>
      <c r="G416" t="s">
        <v>1051</v>
      </c>
      <c r="I416" cm="1">
        <f t="array" ref="I416">_xlfn.IFNA(INDEX(QHPSelections2016[],MATCH(1,(QHPSelections2016[State Name]=HIX_RatingAreas[[#This Row],[State Code]])*(QHPSelections2016[County Name]=HIX_RatingAreas[[#This Row],[Subdivision]]),0),MATCH("Silver",QHPSelections2016[#Headers],0)),0)</f>
        <v>1017</v>
      </c>
      <c r="J416" cm="1">
        <f t="array" ref="J416">_xlfn.IFNA(INDEX(QHPSelections2016[],MATCH(1,(QHPSelections2016[State Name]=HIX_RatingAreas[[#This Row],[State Code]])*(QHPSelections2016[County Name]=HIX_RatingAreas[[#This Row],[Subdivision]]),0),MATCH("Total Plan Selections",QHPSelections2016[#Headers],0)),0)</f>
        <v>1193</v>
      </c>
      <c r="L416" t="str" cm="1">
        <f t="array" ref="L416">INDEX(QHPSelections2016[],MATCH(1,(QHPSelections2016[State Name]=HIX_RatingAreas[[#This Row],[State Code]])*(QHPSelections2016[County Name]=HIX_RatingAreas[[#This Row],[Subdivision]]),0),MATCH("County Name",QHPSelections2016[#Headers],0))</f>
        <v>Lincoln County</v>
      </c>
      <c r="M416" t="b">
        <f>L416=HIX_RatingAreas[[#This Row],[Subdivision]]</f>
        <v>1</v>
      </c>
      <c r="N416">
        <v>413</v>
      </c>
    </row>
    <row r="417" spans="3:14">
      <c r="C417" t="s">
        <v>30</v>
      </c>
      <c r="D417" t="s">
        <v>1541</v>
      </c>
      <c r="E417" t="s">
        <v>89</v>
      </c>
      <c r="F417" s="36">
        <v>6</v>
      </c>
      <c r="G417" t="s">
        <v>1049</v>
      </c>
      <c r="I417" cm="1">
        <f t="array" ref="I417">_xlfn.IFNA(INDEX(QHPSelections2016[],MATCH(1,(QHPSelections2016[State Name]=HIX_RatingAreas[[#This Row],[State Code]])*(QHPSelections2016[County Name]=HIX_RatingAreas[[#This Row],[Subdivision]]),0),MATCH("Silver",QHPSelections2016[#Headers],0)),0)</f>
        <v>1696</v>
      </c>
      <c r="J417" cm="1">
        <f t="array" ref="J417">_xlfn.IFNA(INDEX(QHPSelections2016[],MATCH(1,(QHPSelections2016[State Name]=HIX_RatingAreas[[#This Row],[State Code]])*(QHPSelections2016[County Name]=HIX_RatingAreas[[#This Row],[Subdivision]]),0),MATCH("Total Plan Selections",QHPSelections2016[#Headers],0)),0)</f>
        <v>1973</v>
      </c>
      <c r="L417" t="str" cm="1">
        <f t="array" ref="L417">INDEX(QHPSelections2016[],MATCH(1,(QHPSelections2016[State Name]=HIX_RatingAreas[[#This Row],[State Code]])*(QHPSelections2016[County Name]=HIX_RatingAreas[[#This Row],[Subdivision]]),0),MATCH("County Name",QHPSelections2016[#Headers],0))</f>
        <v>Lowndes County</v>
      </c>
      <c r="M417" t="b">
        <f>L417=HIX_RatingAreas[[#This Row],[Subdivision]]</f>
        <v>1</v>
      </c>
      <c r="N417">
        <v>414</v>
      </c>
    </row>
    <row r="418" spans="3:14">
      <c r="C418" t="s">
        <v>30</v>
      </c>
      <c r="D418" t="s">
        <v>1541</v>
      </c>
      <c r="E418" t="s">
        <v>89</v>
      </c>
      <c r="F418" s="36">
        <v>6</v>
      </c>
      <c r="G418" t="s">
        <v>1038</v>
      </c>
      <c r="I418" cm="1">
        <f t="array" ref="I418">_xlfn.IFNA(INDEX(QHPSelections2016[],MATCH(1,(QHPSelections2016[State Name]=HIX_RatingAreas[[#This Row],[State Code]])*(QHPSelections2016[County Name]=HIX_RatingAreas[[#This Row],[Subdivision]]),0),MATCH("Silver",QHPSelections2016[#Headers],0)),0)</f>
        <v>951</v>
      </c>
      <c r="J418" cm="1">
        <f t="array" ref="J418">_xlfn.IFNA(INDEX(QHPSelections2016[],MATCH(1,(QHPSelections2016[State Name]=HIX_RatingAreas[[#This Row],[State Code]])*(QHPSelections2016[County Name]=HIX_RatingAreas[[#This Row],[Subdivision]]),0),MATCH("Total Plan Selections",QHPSelections2016[#Headers],0)),0)</f>
        <v>1049</v>
      </c>
      <c r="L418" t="str" cm="1">
        <f t="array" ref="L418">INDEX(QHPSelections2016[],MATCH(1,(QHPSelections2016[State Name]=HIX_RatingAreas[[#This Row],[State Code]])*(QHPSelections2016[County Name]=HIX_RatingAreas[[#This Row],[Subdivision]]),0),MATCH("County Name",QHPSelections2016[#Headers],0))</f>
        <v>Marion County</v>
      </c>
      <c r="M418" t="b">
        <f>L418=HIX_RatingAreas[[#This Row],[Subdivision]]</f>
        <v>1</v>
      </c>
      <c r="N418">
        <v>415</v>
      </c>
    </row>
    <row r="419" spans="3:14">
      <c r="C419" t="s">
        <v>30</v>
      </c>
      <c r="D419" t="s">
        <v>1541</v>
      </c>
      <c r="E419" t="s">
        <v>89</v>
      </c>
      <c r="F419" s="36">
        <v>6</v>
      </c>
      <c r="G419" t="s">
        <v>1055</v>
      </c>
      <c r="I419" cm="1">
        <f t="array" ref="I419">_xlfn.IFNA(INDEX(QHPSelections2016[],MATCH(1,(QHPSelections2016[State Name]=HIX_RatingAreas[[#This Row],[State Code]])*(QHPSelections2016[County Name]=HIX_RatingAreas[[#This Row],[Subdivision]]),0),MATCH("Silver",QHPSelections2016[#Headers],0)),0)</f>
        <v>804</v>
      </c>
      <c r="J419" cm="1">
        <f t="array" ref="J419">_xlfn.IFNA(INDEX(QHPSelections2016[],MATCH(1,(QHPSelections2016[State Name]=HIX_RatingAreas[[#This Row],[State Code]])*(QHPSelections2016[County Name]=HIX_RatingAreas[[#This Row],[Subdivision]]),0),MATCH("Total Plan Selections",QHPSelections2016[#Headers],0)),0)</f>
        <v>970</v>
      </c>
      <c r="L419" t="str" cm="1">
        <f t="array" ref="L419">INDEX(QHPSelections2016[],MATCH(1,(QHPSelections2016[State Name]=HIX_RatingAreas[[#This Row],[State Code]])*(QHPSelections2016[County Name]=HIX_RatingAreas[[#This Row],[Subdivision]]),0),MATCH("County Name",QHPSelections2016[#Headers],0))</f>
        <v>Monroe County</v>
      </c>
      <c r="M419" t="b">
        <f>L419=HIX_RatingAreas[[#This Row],[Subdivision]]</f>
        <v>1</v>
      </c>
      <c r="N419">
        <v>416</v>
      </c>
    </row>
    <row r="420" spans="3:14">
      <c r="C420" t="s">
        <v>30</v>
      </c>
      <c r="D420" t="s">
        <v>1541</v>
      </c>
      <c r="E420" t="s">
        <v>89</v>
      </c>
      <c r="F420" s="36">
        <v>6</v>
      </c>
      <c r="G420" t="s">
        <v>1079</v>
      </c>
      <c r="I420" cm="1">
        <f t="array" ref="I420">_xlfn.IFNA(INDEX(QHPSelections2016[],MATCH(1,(QHPSelections2016[State Name]=HIX_RatingAreas[[#This Row],[State Code]])*(QHPSelections2016[County Name]=HIX_RatingAreas[[#This Row],[Subdivision]]),0),MATCH("Silver",QHPSelections2016[#Headers],0)),0)</f>
        <v>290</v>
      </c>
      <c r="J420" cm="1">
        <f t="array" ref="J420">_xlfn.IFNA(INDEX(QHPSelections2016[],MATCH(1,(QHPSelections2016[State Name]=HIX_RatingAreas[[#This Row],[State Code]])*(QHPSelections2016[County Name]=HIX_RatingAreas[[#This Row],[Subdivision]]),0),MATCH("Total Plan Selections",QHPSelections2016[#Headers],0)),0)</f>
        <v>353</v>
      </c>
      <c r="L420" t="str" cm="1">
        <f t="array" ref="L420">INDEX(QHPSelections2016[],MATCH(1,(QHPSelections2016[State Name]=HIX_RatingAreas[[#This Row],[State Code]])*(QHPSelections2016[County Name]=HIX_RatingAreas[[#This Row],[Subdivision]]),0),MATCH("County Name",QHPSelections2016[#Headers],0))</f>
        <v>Montgomery County</v>
      </c>
      <c r="M420" t="b">
        <f>L420=HIX_RatingAreas[[#This Row],[Subdivision]]</f>
        <v>1</v>
      </c>
      <c r="N420">
        <v>417</v>
      </c>
    </row>
    <row r="421" spans="3:14">
      <c r="C421" t="s">
        <v>30</v>
      </c>
      <c r="D421" t="s">
        <v>1541</v>
      </c>
      <c r="E421" t="s">
        <v>89</v>
      </c>
      <c r="F421" s="36">
        <v>6</v>
      </c>
      <c r="G421" t="s">
        <v>1084</v>
      </c>
      <c r="I421" cm="1">
        <f t="array" ref="I421">_xlfn.IFNA(INDEX(QHPSelections2016[],MATCH(1,(QHPSelections2016[State Name]=HIX_RatingAreas[[#This Row],[State Code]])*(QHPSelections2016[County Name]=HIX_RatingAreas[[#This Row],[Subdivision]]),0),MATCH("Silver",QHPSelections2016[#Headers],0)),0)</f>
        <v>425</v>
      </c>
      <c r="J421" cm="1">
        <f t="array" ref="J421">_xlfn.IFNA(INDEX(QHPSelections2016[],MATCH(1,(QHPSelections2016[State Name]=HIX_RatingAreas[[#This Row],[State Code]])*(QHPSelections2016[County Name]=HIX_RatingAreas[[#This Row],[Subdivision]]),0),MATCH("Total Plan Selections",QHPSelections2016[#Headers],0)),0)</f>
        <v>498</v>
      </c>
      <c r="L421" t="str" cm="1">
        <f t="array" ref="L421">INDEX(QHPSelections2016[],MATCH(1,(QHPSelections2016[State Name]=HIX_RatingAreas[[#This Row],[State Code]])*(QHPSelections2016[County Name]=HIX_RatingAreas[[#This Row],[Subdivision]]),0),MATCH("County Name",QHPSelections2016[#Headers],0))</f>
        <v>Neshoba County</v>
      </c>
      <c r="M421" t="b">
        <f>L421=HIX_RatingAreas[[#This Row],[Subdivision]]</f>
        <v>1</v>
      </c>
      <c r="N421">
        <v>418</v>
      </c>
    </row>
    <row r="422" spans="3:14">
      <c r="C422" t="s">
        <v>30</v>
      </c>
      <c r="D422" t="s">
        <v>1541</v>
      </c>
      <c r="E422" t="s">
        <v>89</v>
      </c>
      <c r="F422" s="36">
        <v>6</v>
      </c>
      <c r="G422" t="s">
        <v>1088</v>
      </c>
      <c r="I422" cm="1">
        <f t="array" ref="I422">_xlfn.IFNA(INDEX(QHPSelections2016[],MATCH(1,(QHPSelections2016[State Name]=HIX_RatingAreas[[#This Row],[State Code]])*(QHPSelections2016[County Name]=HIX_RatingAreas[[#This Row],[Subdivision]]),0),MATCH("Silver",QHPSelections2016[#Headers],0)),0)</f>
        <v>501</v>
      </c>
      <c r="J422" cm="1">
        <f t="array" ref="J422">_xlfn.IFNA(INDEX(QHPSelections2016[],MATCH(1,(QHPSelections2016[State Name]=HIX_RatingAreas[[#This Row],[State Code]])*(QHPSelections2016[County Name]=HIX_RatingAreas[[#This Row],[Subdivision]]),0),MATCH("Total Plan Selections",QHPSelections2016[#Headers],0)),0)</f>
        <v>578</v>
      </c>
      <c r="L422" t="str" cm="1">
        <f t="array" ref="L422">INDEX(QHPSelections2016[],MATCH(1,(QHPSelections2016[State Name]=HIX_RatingAreas[[#This Row],[State Code]])*(QHPSelections2016[County Name]=HIX_RatingAreas[[#This Row],[Subdivision]]),0),MATCH("County Name",QHPSelections2016[#Headers],0))</f>
        <v>Newton County</v>
      </c>
      <c r="M422" t="b">
        <f>L422=HIX_RatingAreas[[#This Row],[Subdivision]]</f>
        <v>1</v>
      </c>
      <c r="N422">
        <v>419</v>
      </c>
    </row>
    <row r="423" spans="3:14">
      <c r="C423" t="s">
        <v>30</v>
      </c>
      <c r="D423" t="s">
        <v>1541</v>
      </c>
      <c r="E423" t="s">
        <v>89</v>
      </c>
      <c r="F423" s="36">
        <v>6</v>
      </c>
      <c r="G423" t="s">
        <v>1095</v>
      </c>
      <c r="I423" cm="1">
        <f t="array" ref="I423">_xlfn.IFNA(INDEX(QHPSelections2016[],MATCH(1,(QHPSelections2016[State Name]=HIX_RatingAreas[[#This Row],[State Code]])*(QHPSelections2016[County Name]=HIX_RatingAreas[[#This Row],[Subdivision]]),0),MATCH("Silver",QHPSelections2016[#Headers],0)),0)</f>
        <v>350</v>
      </c>
      <c r="J423" cm="1">
        <f t="array" ref="J423">_xlfn.IFNA(INDEX(QHPSelections2016[],MATCH(1,(QHPSelections2016[State Name]=HIX_RatingAreas[[#This Row],[State Code]])*(QHPSelections2016[County Name]=HIX_RatingAreas[[#This Row],[Subdivision]]),0),MATCH("Total Plan Selections",QHPSelections2016[#Headers],0)),0)</f>
        <v>411</v>
      </c>
      <c r="L423" t="str" cm="1">
        <f t="array" ref="L423">INDEX(QHPSelections2016[],MATCH(1,(QHPSelections2016[State Name]=HIX_RatingAreas[[#This Row],[State Code]])*(QHPSelections2016[County Name]=HIX_RatingAreas[[#This Row],[Subdivision]]),0),MATCH("County Name",QHPSelections2016[#Headers],0))</f>
        <v>Noxubee County</v>
      </c>
      <c r="M423" t="b">
        <f>L423=HIX_RatingAreas[[#This Row],[Subdivision]]</f>
        <v>1</v>
      </c>
      <c r="N423">
        <v>420</v>
      </c>
    </row>
    <row r="424" spans="3:14">
      <c r="C424" t="s">
        <v>30</v>
      </c>
      <c r="D424" t="s">
        <v>1541</v>
      </c>
      <c r="E424" t="s">
        <v>89</v>
      </c>
      <c r="F424" s="36">
        <v>6</v>
      </c>
      <c r="G424" t="s">
        <v>1100</v>
      </c>
      <c r="I424" cm="1">
        <f t="array" ref="I424">_xlfn.IFNA(INDEX(QHPSelections2016[],MATCH(1,(QHPSelections2016[State Name]=HIX_RatingAreas[[#This Row],[State Code]])*(QHPSelections2016[County Name]=HIX_RatingAreas[[#This Row],[Subdivision]]),0),MATCH("Silver",QHPSelections2016[#Headers],0)),0)</f>
        <v>894</v>
      </c>
      <c r="J424" cm="1">
        <f t="array" ref="J424">_xlfn.IFNA(INDEX(QHPSelections2016[],MATCH(1,(QHPSelections2016[State Name]=HIX_RatingAreas[[#This Row],[State Code]])*(QHPSelections2016[County Name]=HIX_RatingAreas[[#This Row],[Subdivision]]),0),MATCH("Total Plan Selections",QHPSelections2016[#Headers],0)),0)</f>
        <v>1097</v>
      </c>
      <c r="L424" t="str" cm="1">
        <f t="array" ref="L424">INDEX(QHPSelections2016[],MATCH(1,(QHPSelections2016[State Name]=HIX_RatingAreas[[#This Row],[State Code]])*(QHPSelections2016[County Name]=HIX_RatingAreas[[#This Row],[Subdivision]]),0),MATCH("County Name",QHPSelections2016[#Headers],0))</f>
        <v>Oktibbeha County</v>
      </c>
      <c r="M424" t="b">
        <f>L424=HIX_RatingAreas[[#This Row],[Subdivision]]</f>
        <v>1</v>
      </c>
      <c r="N424">
        <v>421</v>
      </c>
    </row>
    <row r="425" spans="3:14">
      <c r="C425" t="s">
        <v>30</v>
      </c>
      <c r="D425" t="s">
        <v>1541</v>
      </c>
      <c r="E425" t="s">
        <v>89</v>
      </c>
      <c r="F425" s="36">
        <v>6</v>
      </c>
      <c r="G425" t="s">
        <v>1105</v>
      </c>
      <c r="I425" cm="1">
        <f t="array" ref="I425">_xlfn.IFNA(INDEX(QHPSelections2016[],MATCH(1,(QHPSelections2016[State Name]=HIX_RatingAreas[[#This Row],[State Code]])*(QHPSelections2016[County Name]=HIX_RatingAreas[[#This Row],[Subdivision]]),0),MATCH("Silver",QHPSelections2016[#Headers],0)),0)</f>
        <v>860</v>
      </c>
      <c r="J425" cm="1">
        <f t="array" ref="J425">_xlfn.IFNA(INDEX(QHPSelections2016[],MATCH(1,(QHPSelections2016[State Name]=HIX_RatingAreas[[#This Row],[State Code]])*(QHPSelections2016[County Name]=HIX_RatingAreas[[#This Row],[Subdivision]]),0),MATCH("Total Plan Selections",QHPSelections2016[#Headers],0)),0)</f>
        <v>1046</v>
      </c>
      <c r="L425" t="str" cm="1">
        <f t="array" ref="L425">INDEX(QHPSelections2016[],MATCH(1,(QHPSelections2016[State Name]=HIX_RatingAreas[[#This Row],[State Code]])*(QHPSelections2016[County Name]=HIX_RatingAreas[[#This Row],[Subdivision]]),0),MATCH("County Name",QHPSelections2016[#Headers],0))</f>
        <v>Panola County</v>
      </c>
      <c r="M425" t="b">
        <f>L425=HIX_RatingAreas[[#This Row],[Subdivision]]</f>
        <v>1</v>
      </c>
      <c r="N425">
        <v>422</v>
      </c>
    </row>
    <row r="426" spans="3:14">
      <c r="C426" t="s">
        <v>30</v>
      </c>
      <c r="D426" t="s">
        <v>1541</v>
      </c>
      <c r="E426" t="s">
        <v>89</v>
      </c>
      <c r="F426" s="36">
        <v>6</v>
      </c>
      <c r="G426" t="s">
        <v>1109</v>
      </c>
      <c r="I426" cm="1">
        <f t="array" ref="I426">_xlfn.IFNA(INDEX(QHPSelections2016[],MATCH(1,(QHPSelections2016[State Name]=HIX_RatingAreas[[#This Row],[State Code]])*(QHPSelections2016[County Name]=HIX_RatingAreas[[#This Row],[Subdivision]]),0),MATCH("Silver",QHPSelections2016[#Headers],0)),0)</f>
        <v>1265</v>
      </c>
      <c r="J426" cm="1">
        <f t="array" ref="J426">_xlfn.IFNA(INDEX(QHPSelections2016[],MATCH(1,(QHPSelections2016[State Name]=HIX_RatingAreas[[#This Row],[State Code]])*(QHPSelections2016[County Name]=HIX_RatingAreas[[#This Row],[Subdivision]]),0),MATCH("Total Plan Selections",QHPSelections2016[#Headers],0)),0)</f>
        <v>1527</v>
      </c>
      <c r="L426" t="str" cm="1">
        <f t="array" ref="L426">INDEX(QHPSelections2016[],MATCH(1,(QHPSelections2016[State Name]=HIX_RatingAreas[[#This Row],[State Code]])*(QHPSelections2016[County Name]=HIX_RatingAreas[[#This Row],[Subdivision]]),0),MATCH("County Name",QHPSelections2016[#Headers],0))</f>
        <v>Pike County</v>
      </c>
      <c r="M426" t="b">
        <f>L426=HIX_RatingAreas[[#This Row],[Subdivision]]</f>
        <v>1</v>
      </c>
      <c r="N426">
        <v>423</v>
      </c>
    </row>
    <row r="427" spans="3:14">
      <c r="C427" t="s">
        <v>30</v>
      </c>
      <c r="D427" t="s">
        <v>1541</v>
      </c>
      <c r="E427" t="s">
        <v>89</v>
      </c>
      <c r="F427" s="36">
        <v>6</v>
      </c>
      <c r="G427" t="s">
        <v>1128</v>
      </c>
      <c r="I427" cm="1">
        <f t="array" ref="I427">_xlfn.IFNA(INDEX(QHPSelections2016[],MATCH(1,(QHPSelections2016[State Name]=HIX_RatingAreas[[#This Row],[State Code]])*(QHPSelections2016[County Name]=HIX_RatingAreas[[#This Row],[Subdivision]]),0),MATCH("Silver",QHPSelections2016[#Headers],0)),0)</f>
        <v>506</v>
      </c>
      <c r="J427" cm="1">
        <f t="array" ref="J427">_xlfn.IFNA(INDEX(QHPSelections2016[],MATCH(1,(QHPSelections2016[State Name]=HIX_RatingAreas[[#This Row],[State Code]])*(QHPSelections2016[County Name]=HIX_RatingAreas[[#This Row],[Subdivision]]),0),MATCH("Total Plan Selections",QHPSelections2016[#Headers],0)),0)</f>
        <v>589</v>
      </c>
      <c r="L427" t="str" cm="1">
        <f t="array" ref="L427">INDEX(QHPSelections2016[],MATCH(1,(QHPSelections2016[State Name]=HIX_RatingAreas[[#This Row],[State Code]])*(QHPSelections2016[County Name]=HIX_RatingAreas[[#This Row],[Subdivision]]),0),MATCH("County Name",QHPSelections2016[#Headers],0))</f>
        <v>Prentiss County</v>
      </c>
      <c r="M427" t="b">
        <f>L427=HIX_RatingAreas[[#This Row],[Subdivision]]</f>
        <v>1</v>
      </c>
      <c r="N427">
        <v>424</v>
      </c>
    </row>
    <row r="428" spans="3:14">
      <c r="C428" t="s">
        <v>30</v>
      </c>
      <c r="D428" t="s">
        <v>1541</v>
      </c>
      <c r="E428" t="s">
        <v>89</v>
      </c>
      <c r="F428" s="36">
        <v>6</v>
      </c>
      <c r="G428" t="s">
        <v>1132</v>
      </c>
      <c r="I428" cm="1">
        <f t="array" ref="I428">_xlfn.IFNA(INDEX(QHPSelections2016[],MATCH(1,(QHPSelections2016[State Name]=HIX_RatingAreas[[#This Row],[State Code]])*(QHPSelections2016[County Name]=HIX_RatingAreas[[#This Row],[Subdivision]]),0),MATCH("Silver",QHPSelections2016[#Headers],0)),0)</f>
        <v>186</v>
      </c>
      <c r="J428" cm="1">
        <f t="array" ref="J428">_xlfn.IFNA(INDEX(QHPSelections2016[],MATCH(1,(QHPSelections2016[State Name]=HIX_RatingAreas[[#This Row],[State Code]])*(QHPSelections2016[County Name]=HIX_RatingAreas[[#This Row],[Subdivision]]),0),MATCH("Total Plan Selections",QHPSelections2016[#Headers],0)),0)</f>
        <v>248</v>
      </c>
      <c r="L428" t="str" cm="1">
        <f t="array" ref="L428">INDEX(QHPSelections2016[],MATCH(1,(QHPSelections2016[State Name]=HIX_RatingAreas[[#This Row],[State Code]])*(QHPSelections2016[County Name]=HIX_RatingAreas[[#This Row],[Subdivision]]),0),MATCH("County Name",QHPSelections2016[#Headers],0))</f>
        <v>Quitman County</v>
      </c>
      <c r="M428" t="b">
        <f>L428=HIX_RatingAreas[[#This Row],[Subdivision]]</f>
        <v>1</v>
      </c>
      <c r="N428">
        <v>425</v>
      </c>
    </row>
    <row r="429" spans="3:14">
      <c r="C429" t="s">
        <v>30</v>
      </c>
      <c r="D429" t="s">
        <v>1541</v>
      </c>
      <c r="E429" t="s">
        <v>89</v>
      </c>
      <c r="F429" s="36">
        <v>6</v>
      </c>
      <c r="G429" t="s">
        <v>1146</v>
      </c>
      <c r="I429" cm="1">
        <f t="array" ref="I429">_xlfn.IFNA(INDEX(QHPSelections2016[],MATCH(1,(QHPSelections2016[State Name]=HIX_RatingAreas[[#This Row],[State Code]])*(QHPSelections2016[County Name]=HIX_RatingAreas[[#This Row],[Subdivision]]),0),MATCH("Silver",QHPSelections2016[#Headers],0)),0)</f>
        <v>591</v>
      </c>
      <c r="J429" cm="1">
        <f t="array" ref="J429">_xlfn.IFNA(INDEX(QHPSelections2016[],MATCH(1,(QHPSelections2016[State Name]=HIX_RatingAreas[[#This Row],[State Code]])*(QHPSelections2016[County Name]=HIX_RatingAreas[[#This Row],[Subdivision]]),0),MATCH("Total Plan Selections",QHPSelections2016[#Headers],0)),0)</f>
        <v>750</v>
      </c>
      <c r="L429" t="str" cm="1">
        <f t="array" ref="L429">INDEX(QHPSelections2016[],MATCH(1,(QHPSelections2016[State Name]=HIX_RatingAreas[[#This Row],[State Code]])*(QHPSelections2016[County Name]=HIX_RatingAreas[[#This Row],[Subdivision]]),0),MATCH("County Name",QHPSelections2016[#Headers],0))</f>
        <v>Scott County</v>
      </c>
      <c r="M429" t="b">
        <f>L429=HIX_RatingAreas[[#This Row],[Subdivision]]</f>
        <v>1</v>
      </c>
      <c r="N429">
        <v>426</v>
      </c>
    </row>
    <row r="430" spans="3:14">
      <c r="C430" t="s">
        <v>30</v>
      </c>
      <c r="D430" t="s">
        <v>1541</v>
      </c>
      <c r="E430" t="s">
        <v>89</v>
      </c>
      <c r="F430" s="36">
        <v>6</v>
      </c>
      <c r="G430" t="s">
        <v>1151</v>
      </c>
      <c r="I430" cm="1">
        <f t="array" ref="I430">_xlfn.IFNA(INDEX(QHPSelections2016[],MATCH(1,(QHPSelections2016[State Name]=HIX_RatingAreas[[#This Row],[State Code]])*(QHPSelections2016[County Name]=HIX_RatingAreas[[#This Row],[Subdivision]]),0),MATCH("Silver",QHPSelections2016[#Headers],0)),0)</f>
        <v>165</v>
      </c>
      <c r="J430" cm="1">
        <f t="array" ref="J430">_xlfn.IFNA(INDEX(QHPSelections2016[],MATCH(1,(QHPSelections2016[State Name]=HIX_RatingAreas[[#This Row],[State Code]])*(QHPSelections2016[County Name]=HIX_RatingAreas[[#This Row],[Subdivision]]),0),MATCH("Total Plan Selections",QHPSelections2016[#Headers],0)),0)</f>
        <v>203</v>
      </c>
      <c r="L430" t="str" cm="1">
        <f t="array" ref="L430">INDEX(QHPSelections2016[],MATCH(1,(QHPSelections2016[State Name]=HIX_RatingAreas[[#This Row],[State Code]])*(QHPSelections2016[County Name]=HIX_RatingAreas[[#This Row],[Subdivision]]),0),MATCH("County Name",QHPSelections2016[#Headers],0))</f>
        <v>Sharkey County</v>
      </c>
      <c r="M430" t="b">
        <f>L430=HIX_RatingAreas[[#This Row],[Subdivision]]</f>
        <v>1</v>
      </c>
      <c r="N430">
        <v>427</v>
      </c>
    </row>
    <row r="431" spans="3:14">
      <c r="C431" t="s">
        <v>30</v>
      </c>
      <c r="D431" t="s">
        <v>1541</v>
      </c>
      <c r="E431" t="s">
        <v>89</v>
      </c>
      <c r="F431" s="36">
        <v>6</v>
      </c>
      <c r="G431" t="s">
        <v>1163</v>
      </c>
      <c r="I431" cm="1">
        <f t="array" ref="I431">_xlfn.IFNA(INDEX(QHPSelections2016[],MATCH(1,(QHPSelections2016[State Name]=HIX_RatingAreas[[#This Row],[State Code]])*(QHPSelections2016[County Name]=HIX_RatingAreas[[#This Row],[Subdivision]]),0),MATCH("Silver",QHPSelections2016[#Headers],0)),0)</f>
        <v>456</v>
      </c>
      <c r="J431" cm="1">
        <f t="array" ref="J431">_xlfn.IFNA(INDEX(QHPSelections2016[],MATCH(1,(QHPSelections2016[State Name]=HIX_RatingAreas[[#This Row],[State Code]])*(QHPSelections2016[County Name]=HIX_RatingAreas[[#This Row],[Subdivision]]),0),MATCH("Total Plan Selections",QHPSelections2016[#Headers],0)),0)</f>
        <v>539</v>
      </c>
      <c r="L431" t="str" cm="1">
        <f t="array" ref="L431">INDEX(QHPSelections2016[],MATCH(1,(QHPSelections2016[State Name]=HIX_RatingAreas[[#This Row],[State Code]])*(QHPSelections2016[County Name]=HIX_RatingAreas[[#This Row],[Subdivision]]),0),MATCH("County Name",QHPSelections2016[#Headers],0))</f>
        <v>Smith County</v>
      </c>
      <c r="M431" t="b">
        <f>L431=HIX_RatingAreas[[#This Row],[Subdivision]]</f>
        <v>1</v>
      </c>
      <c r="N431">
        <v>428</v>
      </c>
    </row>
    <row r="432" spans="3:14">
      <c r="C432" t="s">
        <v>30</v>
      </c>
      <c r="D432" t="s">
        <v>1541</v>
      </c>
      <c r="E432" t="s">
        <v>89</v>
      </c>
      <c r="F432" s="36">
        <v>6</v>
      </c>
      <c r="G432" t="s">
        <v>1173</v>
      </c>
      <c r="I432" cm="1">
        <f t="array" ref="I432">_xlfn.IFNA(INDEX(QHPSelections2016[],MATCH(1,(QHPSelections2016[State Name]=HIX_RatingAreas[[#This Row],[State Code]])*(QHPSelections2016[County Name]=HIX_RatingAreas[[#This Row],[Subdivision]]),0),MATCH("Silver",QHPSelections2016[#Headers],0)),0)</f>
        <v>924</v>
      </c>
      <c r="J432" cm="1">
        <f t="array" ref="J432">_xlfn.IFNA(INDEX(QHPSelections2016[],MATCH(1,(QHPSelections2016[State Name]=HIX_RatingAreas[[#This Row],[State Code]])*(QHPSelections2016[County Name]=HIX_RatingAreas[[#This Row],[Subdivision]]),0),MATCH("Total Plan Selections",QHPSelections2016[#Headers],0)),0)</f>
        <v>1130</v>
      </c>
      <c r="L432" t="str" cm="1">
        <f t="array" ref="L432">INDEX(QHPSelections2016[],MATCH(1,(QHPSelections2016[State Name]=HIX_RatingAreas[[#This Row],[State Code]])*(QHPSelections2016[County Name]=HIX_RatingAreas[[#This Row],[Subdivision]]),0),MATCH("County Name",QHPSelections2016[#Headers],0))</f>
        <v>Sunflower County</v>
      </c>
      <c r="M432" t="b">
        <f>L432=HIX_RatingAreas[[#This Row],[Subdivision]]</f>
        <v>1</v>
      </c>
      <c r="N432">
        <v>429</v>
      </c>
    </row>
    <row r="433" spans="3:14">
      <c r="C433" t="s">
        <v>30</v>
      </c>
      <c r="D433" t="s">
        <v>1541</v>
      </c>
      <c r="E433" t="s">
        <v>89</v>
      </c>
      <c r="F433" s="36">
        <v>6</v>
      </c>
      <c r="G433" t="s">
        <v>1178</v>
      </c>
      <c r="I433" cm="1">
        <f t="array" ref="I433">_xlfn.IFNA(INDEX(QHPSelections2016[],MATCH(1,(QHPSelections2016[State Name]=HIX_RatingAreas[[#This Row],[State Code]])*(QHPSelections2016[County Name]=HIX_RatingAreas[[#This Row],[Subdivision]]),0),MATCH("Silver",QHPSelections2016[#Headers],0)),0)</f>
        <v>325</v>
      </c>
      <c r="J433" cm="1">
        <f t="array" ref="J433">_xlfn.IFNA(INDEX(QHPSelections2016[],MATCH(1,(QHPSelections2016[State Name]=HIX_RatingAreas[[#This Row],[State Code]])*(QHPSelections2016[County Name]=HIX_RatingAreas[[#This Row],[Subdivision]]),0),MATCH("Total Plan Selections",QHPSelections2016[#Headers],0)),0)</f>
        <v>390</v>
      </c>
      <c r="L433" t="str" cm="1">
        <f t="array" ref="L433">INDEX(QHPSelections2016[],MATCH(1,(QHPSelections2016[State Name]=HIX_RatingAreas[[#This Row],[State Code]])*(QHPSelections2016[County Name]=HIX_RatingAreas[[#This Row],[Subdivision]]),0),MATCH("County Name",QHPSelections2016[#Headers],0))</f>
        <v>Tallahatchie County</v>
      </c>
      <c r="M433" t="b">
        <f>L433=HIX_RatingAreas[[#This Row],[Subdivision]]</f>
        <v>1</v>
      </c>
      <c r="N433">
        <v>430</v>
      </c>
    </row>
    <row r="434" spans="3:14">
      <c r="C434" t="s">
        <v>30</v>
      </c>
      <c r="D434" t="s">
        <v>1541</v>
      </c>
      <c r="E434" t="s">
        <v>89</v>
      </c>
      <c r="F434" s="36">
        <v>6</v>
      </c>
      <c r="G434" t="s">
        <v>1189</v>
      </c>
      <c r="I434" cm="1">
        <f t="array" ref="I434">_xlfn.IFNA(INDEX(QHPSelections2016[],MATCH(1,(QHPSelections2016[State Name]=HIX_RatingAreas[[#This Row],[State Code]])*(QHPSelections2016[County Name]=HIX_RatingAreas[[#This Row],[Subdivision]]),0),MATCH("Silver",QHPSelections2016[#Headers],0)),0)</f>
        <v>486</v>
      </c>
      <c r="J434" cm="1">
        <f t="array" ref="J434">_xlfn.IFNA(INDEX(QHPSelections2016[],MATCH(1,(QHPSelections2016[State Name]=HIX_RatingAreas[[#This Row],[State Code]])*(QHPSelections2016[County Name]=HIX_RatingAreas[[#This Row],[Subdivision]]),0),MATCH("Total Plan Selections",QHPSelections2016[#Headers],0)),0)</f>
        <v>540</v>
      </c>
      <c r="L434" t="str" cm="1">
        <f t="array" ref="L434">INDEX(QHPSelections2016[],MATCH(1,(QHPSelections2016[State Name]=HIX_RatingAreas[[#This Row],[State Code]])*(QHPSelections2016[County Name]=HIX_RatingAreas[[#This Row],[Subdivision]]),0),MATCH("County Name",QHPSelections2016[#Headers],0))</f>
        <v>Tishomingo County</v>
      </c>
      <c r="M434" t="b">
        <f>L434=HIX_RatingAreas[[#This Row],[Subdivision]]</f>
        <v>1</v>
      </c>
      <c r="N434">
        <v>431</v>
      </c>
    </row>
    <row r="435" spans="3:14">
      <c r="C435" t="s">
        <v>30</v>
      </c>
      <c r="D435" t="s">
        <v>1541</v>
      </c>
      <c r="E435" t="s">
        <v>89</v>
      </c>
      <c r="F435" s="36">
        <v>6</v>
      </c>
      <c r="G435" t="s">
        <v>1202</v>
      </c>
      <c r="I435" cm="1">
        <f t="array" ref="I435">_xlfn.IFNA(INDEX(QHPSelections2016[],MATCH(1,(QHPSelections2016[State Name]=HIX_RatingAreas[[#This Row],[State Code]])*(QHPSelections2016[County Name]=HIX_RatingAreas[[#This Row],[Subdivision]]),0),MATCH("Silver",QHPSelections2016[#Headers],0)),0)</f>
        <v>654</v>
      </c>
      <c r="J435" cm="1">
        <f t="array" ref="J435">_xlfn.IFNA(INDEX(QHPSelections2016[],MATCH(1,(QHPSelections2016[State Name]=HIX_RatingAreas[[#This Row],[State Code]])*(QHPSelections2016[County Name]=HIX_RatingAreas[[#This Row],[Subdivision]]),0),MATCH("Total Plan Selections",QHPSelections2016[#Headers],0)),0)</f>
        <v>746</v>
      </c>
      <c r="L435" t="str" cm="1">
        <f t="array" ref="L435">INDEX(QHPSelections2016[],MATCH(1,(QHPSelections2016[State Name]=HIX_RatingAreas[[#This Row],[State Code]])*(QHPSelections2016[County Name]=HIX_RatingAreas[[#This Row],[Subdivision]]),0),MATCH("County Name",QHPSelections2016[#Headers],0))</f>
        <v>Walthall County</v>
      </c>
      <c r="M435" t="b">
        <f>L435=HIX_RatingAreas[[#This Row],[Subdivision]]</f>
        <v>1</v>
      </c>
      <c r="N435">
        <v>432</v>
      </c>
    </row>
    <row r="436" spans="3:14">
      <c r="C436" t="s">
        <v>30</v>
      </c>
      <c r="D436" t="s">
        <v>1541</v>
      </c>
      <c r="E436" t="s">
        <v>89</v>
      </c>
      <c r="F436" s="36">
        <v>6</v>
      </c>
      <c r="G436" t="s">
        <v>1160</v>
      </c>
      <c r="I436" cm="1">
        <f t="array" ref="I436">_xlfn.IFNA(INDEX(QHPSelections2016[],MATCH(1,(QHPSelections2016[State Name]=HIX_RatingAreas[[#This Row],[State Code]])*(QHPSelections2016[County Name]=HIX_RatingAreas[[#This Row],[Subdivision]]),0),MATCH("Silver",QHPSelections2016[#Headers],0)),0)</f>
        <v>1645</v>
      </c>
      <c r="J436" cm="1">
        <f t="array" ref="J436">_xlfn.IFNA(INDEX(QHPSelections2016[],MATCH(1,(QHPSelections2016[State Name]=HIX_RatingAreas[[#This Row],[State Code]])*(QHPSelections2016[County Name]=HIX_RatingAreas[[#This Row],[Subdivision]]),0),MATCH("Total Plan Selections",QHPSelections2016[#Headers],0)),0)</f>
        <v>2129</v>
      </c>
      <c r="L436" t="str" cm="1">
        <f t="array" ref="L436">INDEX(QHPSelections2016[],MATCH(1,(QHPSelections2016[State Name]=HIX_RatingAreas[[#This Row],[State Code]])*(QHPSelections2016[County Name]=HIX_RatingAreas[[#This Row],[Subdivision]]),0),MATCH("County Name",QHPSelections2016[#Headers],0))</f>
        <v>Washington County</v>
      </c>
      <c r="M436" t="b">
        <f>L436=HIX_RatingAreas[[#This Row],[Subdivision]]</f>
        <v>1</v>
      </c>
      <c r="N436">
        <v>433</v>
      </c>
    </row>
    <row r="437" spans="3:14">
      <c r="C437" t="s">
        <v>30</v>
      </c>
      <c r="D437" t="s">
        <v>1541</v>
      </c>
      <c r="E437" t="s">
        <v>89</v>
      </c>
      <c r="F437" s="36">
        <v>6</v>
      </c>
      <c r="G437" t="s">
        <v>1209</v>
      </c>
      <c r="I437" cm="1">
        <f t="array" ref="I437">_xlfn.IFNA(INDEX(QHPSelections2016[],MATCH(1,(QHPSelections2016[State Name]=HIX_RatingAreas[[#This Row],[State Code]])*(QHPSelections2016[County Name]=HIX_RatingAreas[[#This Row],[Subdivision]]),0),MATCH("Silver",QHPSelections2016[#Headers],0)),0)</f>
        <v>819</v>
      </c>
      <c r="J437" cm="1">
        <f t="array" ref="J437">_xlfn.IFNA(INDEX(QHPSelections2016[],MATCH(1,(QHPSelections2016[State Name]=HIX_RatingAreas[[#This Row],[State Code]])*(QHPSelections2016[County Name]=HIX_RatingAreas[[#This Row],[Subdivision]]),0),MATCH("Total Plan Selections",QHPSelections2016[#Headers],0)),0)</f>
        <v>896</v>
      </c>
      <c r="L437" t="str" cm="1">
        <f t="array" ref="L437">INDEX(QHPSelections2016[],MATCH(1,(QHPSelections2016[State Name]=HIX_RatingAreas[[#This Row],[State Code]])*(QHPSelections2016[County Name]=HIX_RatingAreas[[#This Row],[Subdivision]]),0),MATCH("County Name",QHPSelections2016[#Headers],0))</f>
        <v>Wayne County</v>
      </c>
      <c r="M437" t="b">
        <f>L437=HIX_RatingAreas[[#This Row],[Subdivision]]</f>
        <v>1</v>
      </c>
      <c r="N437">
        <v>434</v>
      </c>
    </row>
    <row r="438" spans="3:14">
      <c r="C438" t="s">
        <v>30</v>
      </c>
      <c r="D438" t="s">
        <v>1541</v>
      </c>
      <c r="E438" t="s">
        <v>89</v>
      </c>
      <c r="F438" s="36">
        <v>6</v>
      </c>
      <c r="G438" t="s">
        <v>1212</v>
      </c>
      <c r="I438" cm="1">
        <f t="array" ref="I438">_xlfn.IFNA(INDEX(QHPSelections2016[],MATCH(1,(QHPSelections2016[State Name]=HIX_RatingAreas[[#This Row],[State Code]])*(QHPSelections2016[County Name]=HIX_RatingAreas[[#This Row],[Subdivision]]),0),MATCH("Silver",QHPSelections2016[#Headers],0)),0)</f>
        <v>206</v>
      </c>
      <c r="J438" cm="1">
        <f t="array" ref="J438">_xlfn.IFNA(INDEX(QHPSelections2016[],MATCH(1,(QHPSelections2016[State Name]=HIX_RatingAreas[[#This Row],[State Code]])*(QHPSelections2016[County Name]=HIX_RatingAreas[[#This Row],[Subdivision]]),0),MATCH("Total Plan Selections",QHPSelections2016[#Headers],0)),0)</f>
        <v>252</v>
      </c>
      <c r="L438" t="str" cm="1">
        <f t="array" ref="L438">INDEX(QHPSelections2016[],MATCH(1,(QHPSelections2016[State Name]=HIX_RatingAreas[[#This Row],[State Code]])*(QHPSelections2016[County Name]=HIX_RatingAreas[[#This Row],[Subdivision]]),0),MATCH("County Name",QHPSelections2016[#Headers],0))</f>
        <v>Webster County</v>
      </c>
      <c r="M438" t="b">
        <f>L438=HIX_RatingAreas[[#This Row],[Subdivision]]</f>
        <v>1</v>
      </c>
      <c r="N438">
        <v>435</v>
      </c>
    </row>
    <row r="439" spans="3:14">
      <c r="C439" t="s">
        <v>30</v>
      </c>
      <c r="D439" t="s">
        <v>1541</v>
      </c>
      <c r="E439" t="s">
        <v>89</v>
      </c>
      <c r="F439" s="36">
        <v>6</v>
      </c>
      <c r="G439" t="s">
        <v>1216</v>
      </c>
      <c r="I439" cm="1">
        <f t="array" ref="I439">_xlfn.IFNA(INDEX(QHPSelections2016[],MATCH(1,(QHPSelections2016[State Name]=HIX_RatingAreas[[#This Row],[State Code]])*(QHPSelections2016[County Name]=HIX_RatingAreas[[#This Row],[Subdivision]]),0),MATCH("Silver",QHPSelections2016[#Headers],0)),0)</f>
        <v>295</v>
      </c>
      <c r="J439" cm="1">
        <f t="array" ref="J439">_xlfn.IFNA(INDEX(QHPSelections2016[],MATCH(1,(QHPSelections2016[State Name]=HIX_RatingAreas[[#This Row],[State Code]])*(QHPSelections2016[County Name]=HIX_RatingAreas[[#This Row],[Subdivision]]),0),MATCH("Total Plan Selections",QHPSelections2016[#Headers],0)),0)</f>
        <v>364</v>
      </c>
      <c r="L439" t="str" cm="1">
        <f t="array" ref="L439">INDEX(QHPSelections2016[],MATCH(1,(QHPSelections2016[State Name]=HIX_RatingAreas[[#This Row],[State Code]])*(QHPSelections2016[County Name]=HIX_RatingAreas[[#This Row],[Subdivision]]),0),MATCH("County Name",QHPSelections2016[#Headers],0))</f>
        <v>Wilkinson County</v>
      </c>
      <c r="M439" t="b">
        <f>L439=HIX_RatingAreas[[#This Row],[Subdivision]]</f>
        <v>1</v>
      </c>
      <c r="N439">
        <v>436</v>
      </c>
    </row>
    <row r="440" spans="3:14">
      <c r="C440" t="s">
        <v>30</v>
      </c>
      <c r="D440" t="s">
        <v>1541</v>
      </c>
      <c r="E440" t="s">
        <v>89</v>
      </c>
      <c r="F440" s="36">
        <v>6</v>
      </c>
      <c r="G440" t="s">
        <v>1171</v>
      </c>
      <c r="I440" cm="1">
        <f t="array" ref="I440">_xlfn.IFNA(INDEX(QHPSelections2016[],MATCH(1,(QHPSelections2016[State Name]=HIX_RatingAreas[[#This Row],[State Code]])*(QHPSelections2016[County Name]=HIX_RatingAreas[[#This Row],[Subdivision]]),0),MATCH("Silver",QHPSelections2016[#Headers],0)),0)</f>
        <v>608</v>
      </c>
      <c r="J440" cm="1">
        <f t="array" ref="J440">_xlfn.IFNA(INDEX(QHPSelections2016[],MATCH(1,(QHPSelections2016[State Name]=HIX_RatingAreas[[#This Row],[State Code]])*(QHPSelections2016[County Name]=HIX_RatingAreas[[#This Row],[Subdivision]]),0),MATCH("Total Plan Selections",QHPSelections2016[#Headers],0)),0)</f>
        <v>695</v>
      </c>
      <c r="L440" t="str" cm="1">
        <f t="array" ref="L440">INDEX(QHPSelections2016[],MATCH(1,(QHPSelections2016[State Name]=HIX_RatingAreas[[#This Row],[State Code]])*(QHPSelections2016[County Name]=HIX_RatingAreas[[#This Row],[Subdivision]]),0),MATCH("County Name",QHPSelections2016[#Headers],0))</f>
        <v>Winston County</v>
      </c>
      <c r="M440" t="b">
        <f>L440=HIX_RatingAreas[[#This Row],[Subdivision]]</f>
        <v>1</v>
      </c>
      <c r="N440">
        <v>437</v>
      </c>
    </row>
    <row r="441" spans="3:14">
      <c r="C441" t="s">
        <v>30</v>
      </c>
      <c r="D441" t="s">
        <v>1541</v>
      </c>
      <c r="E441" t="s">
        <v>89</v>
      </c>
      <c r="F441" s="36">
        <v>6</v>
      </c>
      <c r="G441" t="s">
        <v>1221</v>
      </c>
      <c r="I441" cm="1">
        <f t="array" ref="I441">_xlfn.IFNA(INDEX(QHPSelections2016[],MATCH(1,(QHPSelections2016[State Name]=HIX_RatingAreas[[#This Row],[State Code]])*(QHPSelections2016[County Name]=HIX_RatingAreas[[#This Row],[Subdivision]]),0),MATCH("Silver",QHPSelections2016[#Headers],0)),0)</f>
        <v>236</v>
      </c>
      <c r="J441" cm="1">
        <f t="array" ref="J441">_xlfn.IFNA(INDEX(QHPSelections2016[],MATCH(1,(QHPSelections2016[State Name]=HIX_RatingAreas[[#This Row],[State Code]])*(QHPSelections2016[County Name]=HIX_RatingAreas[[#This Row],[Subdivision]]),0),MATCH("Total Plan Selections",QHPSelections2016[#Headers],0)),0)</f>
        <v>307</v>
      </c>
      <c r="L441" t="str" cm="1">
        <f t="array" ref="L441">INDEX(QHPSelections2016[],MATCH(1,(QHPSelections2016[State Name]=HIX_RatingAreas[[#This Row],[State Code]])*(QHPSelections2016[County Name]=HIX_RatingAreas[[#This Row],[Subdivision]]),0),MATCH("County Name",QHPSelections2016[#Headers],0))</f>
        <v>Yalobusha County</v>
      </c>
      <c r="M441" t="b">
        <f>L441=HIX_RatingAreas[[#This Row],[Subdivision]]</f>
        <v>1</v>
      </c>
      <c r="N441">
        <v>438</v>
      </c>
    </row>
    <row r="442" spans="3:14">
      <c r="C442" t="s">
        <v>30</v>
      </c>
      <c r="D442" t="s">
        <v>1541</v>
      </c>
      <c r="E442" t="s">
        <v>89</v>
      </c>
      <c r="F442" s="36">
        <v>6</v>
      </c>
      <c r="G442" t="s">
        <v>1225</v>
      </c>
      <c r="I442" cm="1">
        <f t="array" ref="I442">_xlfn.IFNA(INDEX(QHPSelections2016[],MATCH(1,(QHPSelections2016[State Name]=HIX_RatingAreas[[#This Row],[State Code]])*(QHPSelections2016[County Name]=HIX_RatingAreas[[#This Row],[Subdivision]]),0),MATCH("Silver",QHPSelections2016[#Headers],0)),0)</f>
        <v>605</v>
      </c>
      <c r="J442" cm="1">
        <f t="array" ref="J442">_xlfn.IFNA(INDEX(QHPSelections2016[],MATCH(1,(QHPSelections2016[State Name]=HIX_RatingAreas[[#This Row],[State Code]])*(QHPSelections2016[County Name]=HIX_RatingAreas[[#This Row],[Subdivision]]),0),MATCH("Total Plan Selections",QHPSelections2016[#Headers],0)),0)</f>
        <v>760</v>
      </c>
      <c r="L442" t="str" cm="1">
        <f t="array" ref="L442">INDEX(QHPSelections2016[],MATCH(1,(QHPSelections2016[State Name]=HIX_RatingAreas[[#This Row],[State Code]])*(QHPSelections2016[County Name]=HIX_RatingAreas[[#This Row],[Subdivision]]),0),MATCH("County Name",QHPSelections2016[#Headers],0))</f>
        <v>Yazoo County</v>
      </c>
      <c r="M442" t="b">
        <f>L442=HIX_RatingAreas[[#This Row],[Subdivision]]</f>
        <v>1</v>
      </c>
      <c r="N442">
        <v>439</v>
      </c>
    </row>
    <row r="443" spans="3:14">
      <c r="C443" t="s">
        <v>45</v>
      </c>
      <c r="D443" t="s">
        <v>1548</v>
      </c>
      <c r="E443" t="s">
        <v>72</v>
      </c>
      <c r="F443" s="36">
        <v>1</v>
      </c>
      <c r="G443" t="s">
        <v>851</v>
      </c>
      <c r="I443" cm="1">
        <f t="array" ref="I443">_xlfn.IFNA(INDEX(QHPSelections2016[],MATCH(1,(QHPSelections2016[State Name]=HIX_RatingAreas[[#This Row],[State Code]])*(QHPSelections2016[County Name]=HIX_RatingAreas[[#This Row],[Subdivision]]),0),MATCH("Silver",QHPSelections2016[#Headers],0)),0)</f>
        <v>1230</v>
      </c>
      <c r="J443" cm="1">
        <f t="array" ref="J443">_xlfn.IFNA(INDEX(QHPSelections2016[],MATCH(1,(QHPSelections2016[State Name]=HIX_RatingAreas[[#This Row],[State Code]])*(QHPSelections2016[County Name]=HIX_RatingAreas[[#This Row],[Subdivision]]),0),MATCH("Total Plan Selections",QHPSelections2016[#Headers],0)),0)</f>
        <v>1477</v>
      </c>
      <c r="L443" t="str" cm="1">
        <f t="array" ref="L443">INDEX(QHPSelections2016[],MATCH(1,(QHPSelections2016[State Name]=HIX_RatingAreas[[#This Row],[State Code]])*(QHPSelections2016[County Name]=HIX_RatingAreas[[#This Row],[Subdivision]]),0),MATCH("County Name",QHPSelections2016[#Headers],0))</f>
        <v>Avery County</v>
      </c>
      <c r="M443" t="b">
        <f>L443=HIX_RatingAreas[[#This Row],[Subdivision]]</f>
        <v>1</v>
      </c>
      <c r="N443">
        <v>440</v>
      </c>
    </row>
    <row r="444" spans="3:14">
      <c r="C444" t="s">
        <v>45</v>
      </c>
      <c r="D444" t="s">
        <v>1548</v>
      </c>
      <c r="E444" t="s">
        <v>72</v>
      </c>
      <c r="F444" s="36">
        <v>1</v>
      </c>
      <c r="G444" t="s">
        <v>882</v>
      </c>
      <c r="I444" cm="1">
        <f t="array" ref="I444">_xlfn.IFNA(INDEX(QHPSelections2016[],MATCH(1,(QHPSelections2016[State Name]=HIX_RatingAreas[[#This Row],[State Code]])*(QHPSelections2016[County Name]=HIX_RatingAreas[[#This Row],[Subdivision]]),0),MATCH("Silver",QHPSelections2016[#Headers],0)),0)</f>
        <v>16794</v>
      </c>
      <c r="J444" cm="1">
        <f t="array" ref="J444">_xlfn.IFNA(INDEX(QHPSelections2016[],MATCH(1,(QHPSelections2016[State Name]=HIX_RatingAreas[[#This Row],[State Code]])*(QHPSelections2016[County Name]=HIX_RatingAreas[[#This Row],[Subdivision]]),0),MATCH("Total Plan Selections",QHPSelections2016[#Headers],0)),0)</f>
        <v>23291</v>
      </c>
      <c r="L444" t="str" cm="1">
        <f t="array" ref="L444">INDEX(QHPSelections2016[],MATCH(1,(QHPSelections2016[State Name]=HIX_RatingAreas[[#This Row],[State Code]])*(QHPSelections2016[County Name]=HIX_RatingAreas[[#This Row],[Subdivision]]),0),MATCH("County Name",QHPSelections2016[#Headers],0))</f>
        <v>Buncombe County</v>
      </c>
      <c r="M444" t="b">
        <f>L444=HIX_RatingAreas[[#This Row],[Subdivision]]</f>
        <v>1</v>
      </c>
      <c r="N444">
        <v>441</v>
      </c>
    </row>
    <row r="445" spans="3:14">
      <c r="C445" t="s">
        <v>45</v>
      </c>
      <c r="D445" t="s">
        <v>1548</v>
      </c>
      <c r="E445" t="s">
        <v>72</v>
      </c>
      <c r="F445" s="36">
        <v>1</v>
      </c>
      <c r="G445" t="s">
        <v>872</v>
      </c>
      <c r="I445" cm="1">
        <f t="array" ref="I445">_xlfn.IFNA(INDEX(QHPSelections2016[],MATCH(1,(QHPSelections2016[State Name]=HIX_RatingAreas[[#This Row],[State Code]])*(QHPSelections2016[County Name]=HIX_RatingAreas[[#This Row],[Subdivision]]),0),MATCH("Silver",QHPSelections2016[#Headers],0)),0)</f>
        <v>1311</v>
      </c>
      <c r="J445" cm="1">
        <f t="array" ref="J445">_xlfn.IFNA(INDEX(QHPSelections2016[],MATCH(1,(QHPSelections2016[State Name]=HIX_RatingAreas[[#This Row],[State Code]])*(QHPSelections2016[County Name]=HIX_RatingAreas[[#This Row],[Subdivision]]),0),MATCH("Total Plan Selections",QHPSelections2016[#Headers],0)),0)</f>
        <v>1679</v>
      </c>
      <c r="L445" t="str" cm="1">
        <f t="array" ref="L445">INDEX(QHPSelections2016[],MATCH(1,(QHPSelections2016[State Name]=HIX_RatingAreas[[#This Row],[State Code]])*(QHPSelections2016[County Name]=HIX_RatingAreas[[#This Row],[Subdivision]]),0),MATCH("County Name",QHPSelections2016[#Headers],0))</f>
        <v>Cherokee County</v>
      </c>
      <c r="M445" t="b">
        <f>L445=HIX_RatingAreas[[#This Row],[Subdivision]]</f>
        <v>1</v>
      </c>
      <c r="N445">
        <v>442</v>
      </c>
    </row>
    <row r="446" spans="3:14">
      <c r="C446" t="s">
        <v>45</v>
      </c>
      <c r="D446" t="s">
        <v>1548</v>
      </c>
      <c r="E446" t="s">
        <v>72</v>
      </c>
      <c r="F446" s="36">
        <v>1</v>
      </c>
      <c r="G446" t="s">
        <v>873</v>
      </c>
      <c r="I446" cm="1">
        <f t="array" ref="I446">_xlfn.IFNA(INDEX(QHPSelections2016[],MATCH(1,(QHPSelections2016[State Name]=HIX_RatingAreas[[#This Row],[State Code]])*(QHPSelections2016[County Name]=HIX_RatingAreas[[#This Row],[Subdivision]]),0),MATCH("Silver",QHPSelections2016[#Headers],0)),0)</f>
        <v>617</v>
      </c>
      <c r="J446" cm="1">
        <f t="array" ref="J446">_xlfn.IFNA(INDEX(QHPSelections2016[],MATCH(1,(QHPSelections2016[State Name]=HIX_RatingAreas[[#This Row],[State Code]])*(QHPSelections2016[County Name]=HIX_RatingAreas[[#This Row],[Subdivision]]),0),MATCH("Total Plan Selections",QHPSelections2016[#Headers],0)),0)</f>
        <v>803</v>
      </c>
      <c r="L446" t="str" cm="1">
        <f t="array" ref="L446">INDEX(QHPSelections2016[],MATCH(1,(QHPSelections2016[State Name]=HIX_RatingAreas[[#This Row],[State Code]])*(QHPSelections2016[County Name]=HIX_RatingAreas[[#This Row],[Subdivision]]),0),MATCH("County Name",QHPSelections2016[#Headers],0))</f>
        <v>Clay County</v>
      </c>
      <c r="M446" t="b">
        <f>L446=HIX_RatingAreas[[#This Row],[Subdivision]]</f>
        <v>1</v>
      </c>
      <c r="N446">
        <v>443</v>
      </c>
    </row>
    <row r="447" spans="3:14">
      <c r="C447" t="s">
        <v>45</v>
      </c>
      <c r="D447" t="s">
        <v>1548</v>
      </c>
      <c r="E447" t="s">
        <v>72</v>
      </c>
      <c r="F447" s="36">
        <v>1</v>
      </c>
      <c r="G447" t="s">
        <v>1026</v>
      </c>
      <c r="I447" cm="1">
        <f t="array" ref="I447">_xlfn.IFNA(INDEX(QHPSelections2016[],MATCH(1,(QHPSelections2016[State Name]=HIX_RatingAreas[[#This Row],[State Code]])*(QHPSelections2016[County Name]=HIX_RatingAreas[[#This Row],[Subdivision]]),0),MATCH("Silver",QHPSelections2016[#Headers],0)),0)</f>
        <v>373</v>
      </c>
      <c r="J447" cm="1">
        <f t="array" ref="J447">_xlfn.IFNA(INDEX(QHPSelections2016[],MATCH(1,(QHPSelections2016[State Name]=HIX_RatingAreas[[#This Row],[State Code]])*(QHPSelections2016[County Name]=HIX_RatingAreas[[#This Row],[Subdivision]]),0),MATCH("Total Plan Selections",QHPSelections2016[#Headers],0)),0)</f>
        <v>427</v>
      </c>
      <c r="L447" t="str" cm="1">
        <f t="array" ref="L447">INDEX(QHPSelections2016[],MATCH(1,(QHPSelections2016[State Name]=HIX_RatingAreas[[#This Row],[State Code]])*(QHPSelections2016[County Name]=HIX_RatingAreas[[#This Row],[Subdivision]]),0),MATCH("County Name",QHPSelections2016[#Headers],0))</f>
        <v>Graham County</v>
      </c>
      <c r="M447" t="b">
        <f>L447=HIX_RatingAreas[[#This Row],[Subdivision]]</f>
        <v>1</v>
      </c>
      <c r="N447">
        <v>444</v>
      </c>
    </row>
    <row r="448" spans="3:14">
      <c r="C448" t="s">
        <v>45</v>
      </c>
      <c r="D448" t="s">
        <v>1548</v>
      </c>
      <c r="E448" t="s">
        <v>72</v>
      </c>
      <c r="F448" s="36">
        <v>1</v>
      </c>
      <c r="G448" t="s">
        <v>1027</v>
      </c>
      <c r="I448" cm="1">
        <f t="array" ref="I448">_xlfn.IFNA(INDEX(QHPSelections2016[],MATCH(1,(QHPSelections2016[State Name]=HIX_RatingAreas[[#This Row],[State Code]])*(QHPSelections2016[County Name]=HIX_RatingAreas[[#This Row],[Subdivision]]),0),MATCH("Silver",QHPSelections2016[#Headers],0)),0)</f>
        <v>3077</v>
      </c>
      <c r="J448" cm="1">
        <f t="array" ref="J448">_xlfn.IFNA(INDEX(QHPSelections2016[],MATCH(1,(QHPSelections2016[State Name]=HIX_RatingAreas[[#This Row],[State Code]])*(QHPSelections2016[County Name]=HIX_RatingAreas[[#This Row],[Subdivision]]),0),MATCH("Total Plan Selections",QHPSelections2016[#Headers],0)),0)</f>
        <v>4016</v>
      </c>
      <c r="L448" t="str" cm="1">
        <f t="array" ref="L448">INDEX(QHPSelections2016[],MATCH(1,(QHPSelections2016[State Name]=HIX_RatingAreas[[#This Row],[State Code]])*(QHPSelections2016[County Name]=HIX_RatingAreas[[#This Row],[Subdivision]]),0),MATCH("County Name",QHPSelections2016[#Headers],0))</f>
        <v>Haywood County</v>
      </c>
      <c r="M448" t="b">
        <f>L448=HIX_RatingAreas[[#This Row],[Subdivision]]</f>
        <v>1</v>
      </c>
      <c r="N448">
        <v>445</v>
      </c>
    </row>
    <row r="449" spans="3:14">
      <c r="C449" t="s">
        <v>45</v>
      </c>
      <c r="D449" t="s">
        <v>1548</v>
      </c>
      <c r="E449" t="s">
        <v>72</v>
      </c>
      <c r="F449" s="36">
        <v>1</v>
      </c>
      <c r="G449" t="s">
        <v>1033</v>
      </c>
      <c r="I449" cm="1">
        <f t="array" ref="I449">_xlfn.IFNA(INDEX(QHPSelections2016[],MATCH(1,(QHPSelections2016[State Name]=HIX_RatingAreas[[#This Row],[State Code]])*(QHPSelections2016[County Name]=HIX_RatingAreas[[#This Row],[Subdivision]]),0),MATCH("Silver",QHPSelections2016[#Headers],0)),0)</f>
        <v>5406</v>
      </c>
      <c r="J449" cm="1">
        <f t="array" ref="J449">_xlfn.IFNA(INDEX(QHPSelections2016[],MATCH(1,(QHPSelections2016[State Name]=HIX_RatingAreas[[#This Row],[State Code]])*(QHPSelections2016[County Name]=HIX_RatingAreas[[#This Row],[Subdivision]]),0),MATCH("Total Plan Selections",QHPSelections2016[#Headers],0)),0)</f>
        <v>7164</v>
      </c>
      <c r="L449" t="str" cm="1">
        <f t="array" ref="L449">INDEX(QHPSelections2016[],MATCH(1,(QHPSelections2016[State Name]=HIX_RatingAreas[[#This Row],[State Code]])*(QHPSelections2016[County Name]=HIX_RatingAreas[[#This Row],[Subdivision]]),0),MATCH("County Name",QHPSelections2016[#Headers],0))</f>
        <v>Henderson County</v>
      </c>
      <c r="M449" t="b">
        <f>L449=HIX_RatingAreas[[#This Row],[Subdivision]]</f>
        <v>1</v>
      </c>
      <c r="N449">
        <v>446</v>
      </c>
    </row>
    <row r="450" spans="3:14">
      <c r="C450" t="s">
        <v>45</v>
      </c>
      <c r="D450" t="s">
        <v>1548</v>
      </c>
      <c r="E450" t="s">
        <v>72</v>
      </c>
      <c r="F450" s="36">
        <v>1</v>
      </c>
      <c r="G450" t="s">
        <v>984</v>
      </c>
      <c r="I450" cm="1">
        <f t="array" ref="I450">_xlfn.IFNA(INDEX(QHPSelections2016[],MATCH(1,(QHPSelections2016[State Name]=HIX_RatingAreas[[#This Row],[State Code]])*(QHPSelections2016[County Name]=HIX_RatingAreas[[#This Row],[Subdivision]]),0),MATCH("Silver",QHPSelections2016[#Headers],0)),0)</f>
        <v>1504</v>
      </c>
      <c r="J450" cm="1">
        <f t="array" ref="J450">_xlfn.IFNA(INDEX(QHPSelections2016[],MATCH(1,(QHPSelections2016[State Name]=HIX_RatingAreas[[#This Row],[State Code]])*(QHPSelections2016[County Name]=HIX_RatingAreas[[#This Row],[Subdivision]]),0),MATCH("Total Plan Selections",QHPSelections2016[#Headers],0)),0)</f>
        <v>1996</v>
      </c>
      <c r="L450" t="str" cm="1">
        <f t="array" ref="L450">INDEX(QHPSelections2016[],MATCH(1,(QHPSelections2016[State Name]=HIX_RatingAreas[[#This Row],[State Code]])*(QHPSelections2016[County Name]=HIX_RatingAreas[[#This Row],[Subdivision]]),0),MATCH("County Name",QHPSelections2016[#Headers],0))</f>
        <v>Jackson County</v>
      </c>
      <c r="M450" t="b">
        <f>L450=HIX_RatingAreas[[#This Row],[Subdivision]]</f>
        <v>1</v>
      </c>
      <c r="N450">
        <v>447</v>
      </c>
    </row>
    <row r="451" spans="3:14">
      <c r="C451" t="s">
        <v>45</v>
      </c>
      <c r="D451" t="s">
        <v>1548</v>
      </c>
      <c r="E451" t="s">
        <v>72</v>
      </c>
      <c r="F451" s="36">
        <v>1</v>
      </c>
      <c r="G451" t="s">
        <v>1054</v>
      </c>
      <c r="I451" cm="1">
        <f t="array" ref="I451">_xlfn.IFNA(INDEX(QHPSelections2016[],MATCH(1,(QHPSelections2016[State Name]=HIX_RatingAreas[[#This Row],[State Code]])*(QHPSelections2016[County Name]=HIX_RatingAreas[[#This Row],[Subdivision]]),0),MATCH("Silver",QHPSelections2016[#Headers],0)),0)</f>
        <v>2042</v>
      </c>
      <c r="J451" cm="1">
        <f t="array" ref="J451">_xlfn.IFNA(INDEX(QHPSelections2016[],MATCH(1,(QHPSelections2016[State Name]=HIX_RatingAreas[[#This Row],[State Code]])*(QHPSelections2016[County Name]=HIX_RatingAreas[[#This Row],[Subdivision]]),0),MATCH("Total Plan Selections",QHPSelections2016[#Headers],0)),0)</f>
        <v>2673</v>
      </c>
      <c r="L451" t="str" cm="1">
        <f t="array" ref="L451">INDEX(QHPSelections2016[],MATCH(1,(QHPSelections2016[State Name]=HIX_RatingAreas[[#This Row],[State Code]])*(QHPSelections2016[County Name]=HIX_RatingAreas[[#This Row],[Subdivision]]),0),MATCH("County Name",QHPSelections2016[#Headers],0))</f>
        <v>Macon County</v>
      </c>
      <c r="M451" t="b">
        <f>L451=HIX_RatingAreas[[#This Row],[Subdivision]]</f>
        <v>1</v>
      </c>
      <c r="N451">
        <v>448</v>
      </c>
    </row>
    <row r="452" spans="3:14">
      <c r="C452" t="s">
        <v>45</v>
      </c>
      <c r="D452" t="s">
        <v>1548</v>
      </c>
      <c r="E452" t="s">
        <v>72</v>
      </c>
      <c r="F452" s="36">
        <v>1</v>
      </c>
      <c r="G452" t="s">
        <v>1029</v>
      </c>
      <c r="I452" cm="1">
        <f t="array" ref="I452">_xlfn.IFNA(INDEX(QHPSelections2016[],MATCH(1,(QHPSelections2016[State Name]=HIX_RatingAreas[[#This Row],[State Code]])*(QHPSelections2016[County Name]=HIX_RatingAreas[[#This Row],[Subdivision]]),0),MATCH("Silver",QHPSelections2016[#Headers],0)),0)</f>
        <v>1276</v>
      </c>
      <c r="J452" cm="1">
        <f t="array" ref="J452">_xlfn.IFNA(INDEX(QHPSelections2016[],MATCH(1,(QHPSelections2016[State Name]=HIX_RatingAreas[[#This Row],[State Code]])*(QHPSelections2016[County Name]=HIX_RatingAreas[[#This Row],[Subdivision]]),0),MATCH("Total Plan Selections",QHPSelections2016[#Headers],0)),0)</f>
        <v>1658</v>
      </c>
      <c r="L452" t="str" cm="1">
        <f t="array" ref="L452">INDEX(QHPSelections2016[],MATCH(1,(QHPSelections2016[State Name]=HIX_RatingAreas[[#This Row],[State Code]])*(QHPSelections2016[County Name]=HIX_RatingAreas[[#This Row],[Subdivision]]),0),MATCH("County Name",QHPSelections2016[#Headers],0))</f>
        <v>Madison County</v>
      </c>
      <c r="M452" t="b">
        <f>L452=HIX_RatingAreas[[#This Row],[Subdivision]]</f>
        <v>1</v>
      </c>
      <c r="N452">
        <v>449</v>
      </c>
    </row>
    <row r="453" spans="3:14">
      <c r="C453" t="s">
        <v>45</v>
      </c>
      <c r="D453" t="s">
        <v>1548</v>
      </c>
      <c r="E453" t="s">
        <v>72</v>
      </c>
      <c r="F453" s="36">
        <v>1</v>
      </c>
      <c r="G453" t="s">
        <v>1117</v>
      </c>
      <c r="I453" cm="1">
        <f t="array" ref="I453">_xlfn.IFNA(INDEX(QHPSelections2016[],MATCH(1,(QHPSelections2016[State Name]=HIX_RatingAreas[[#This Row],[State Code]])*(QHPSelections2016[County Name]=HIX_RatingAreas[[#This Row],[Subdivision]]),0),MATCH("Silver",QHPSelections2016[#Headers],0)),0)</f>
        <v>1902</v>
      </c>
      <c r="J453" cm="1">
        <f t="array" ref="J453">_xlfn.IFNA(INDEX(QHPSelections2016[],MATCH(1,(QHPSelections2016[State Name]=HIX_RatingAreas[[#This Row],[State Code]])*(QHPSelections2016[County Name]=HIX_RatingAreas[[#This Row],[Subdivision]]),0),MATCH("Total Plan Selections",QHPSelections2016[#Headers],0)),0)</f>
        <v>2357</v>
      </c>
      <c r="L453" t="str" cm="1">
        <f t="array" ref="L453">INDEX(QHPSelections2016[],MATCH(1,(QHPSelections2016[State Name]=HIX_RatingAreas[[#This Row],[State Code]])*(QHPSelections2016[County Name]=HIX_RatingAreas[[#This Row],[Subdivision]]),0),MATCH("County Name",QHPSelections2016[#Headers],0))</f>
        <v>McDowell County</v>
      </c>
      <c r="M453" t="b">
        <f>L453=HIX_RatingAreas[[#This Row],[Subdivision]]</f>
        <v>1</v>
      </c>
      <c r="N453">
        <v>450</v>
      </c>
    </row>
    <row r="454" spans="3:14">
      <c r="C454" t="s">
        <v>45</v>
      </c>
      <c r="D454" t="s">
        <v>1548</v>
      </c>
      <c r="E454" t="s">
        <v>72</v>
      </c>
      <c r="F454" s="36">
        <v>1</v>
      </c>
      <c r="G454" t="s">
        <v>1140</v>
      </c>
      <c r="I454" cm="1">
        <f t="array" ref="I454">_xlfn.IFNA(INDEX(QHPSelections2016[],MATCH(1,(QHPSelections2016[State Name]=HIX_RatingAreas[[#This Row],[State Code]])*(QHPSelections2016[County Name]=HIX_RatingAreas[[#This Row],[Subdivision]]),0),MATCH("Silver",QHPSelections2016[#Headers],0)),0)</f>
        <v>914</v>
      </c>
      <c r="J454" cm="1">
        <f t="array" ref="J454">_xlfn.IFNA(INDEX(QHPSelections2016[],MATCH(1,(QHPSelections2016[State Name]=HIX_RatingAreas[[#This Row],[State Code]])*(QHPSelections2016[County Name]=HIX_RatingAreas[[#This Row],[Subdivision]]),0),MATCH("Total Plan Selections",QHPSelections2016[#Headers],0)),0)</f>
        <v>1152</v>
      </c>
      <c r="L454" t="str" cm="1">
        <f t="array" ref="L454">INDEX(QHPSelections2016[],MATCH(1,(QHPSelections2016[State Name]=HIX_RatingAreas[[#This Row],[State Code]])*(QHPSelections2016[County Name]=HIX_RatingAreas[[#This Row],[Subdivision]]),0),MATCH("County Name",QHPSelections2016[#Headers],0))</f>
        <v>Mitchell County</v>
      </c>
      <c r="M454" t="b">
        <f>L454=HIX_RatingAreas[[#This Row],[Subdivision]]</f>
        <v>1</v>
      </c>
      <c r="N454">
        <v>451</v>
      </c>
    </row>
    <row r="455" spans="3:14">
      <c r="C455" t="s">
        <v>45</v>
      </c>
      <c r="D455" t="s">
        <v>1548</v>
      </c>
      <c r="E455" t="s">
        <v>72</v>
      </c>
      <c r="F455" s="36">
        <v>1</v>
      </c>
      <c r="G455" t="s">
        <v>1098</v>
      </c>
      <c r="I455" cm="1">
        <f t="array" ref="I455">_xlfn.IFNA(INDEX(QHPSelections2016[],MATCH(1,(QHPSelections2016[State Name]=HIX_RatingAreas[[#This Row],[State Code]])*(QHPSelections2016[County Name]=HIX_RatingAreas[[#This Row],[Subdivision]]),0),MATCH("Silver",QHPSelections2016[#Headers],0)),0)</f>
        <v>1080</v>
      </c>
      <c r="J455" cm="1">
        <f t="array" ref="J455">_xlfn.IFNA(INDEX(QHPSelections2016[],MATCH(1,(QHPSelections2016[State Name]=HIX_RatingAreas[[#This Row],[State Code]])*(QHPSelections2016[County Name]=HIX_RatingAreas[[#This Row],[Subdivision]]),0),MATCH("Total Plan Selections",QHPSelections2016[#Headers],0)),0)</f>
        <v>1444</v>
      </c>
      <c r="L455" t="str" cm="1">
        <f t="array" ref="L455">INDEX(QHPSelections2016[],MATCH(1,(QHPSelections2016[State Name]=HIX_RatingAreas[[#This Row],[State Code]])*(QHPSelections2016[County Name]=HIX_RatingAreas[[#This Row],[Subdivision]]),0),MATCH("County Name",QHPSelections2016[#Headers],0))</f>
        <v>Polk County</v>
      </c>
      <c r="M455" t="b">
        <f>L455=HIX_RatingAreas[[#This Row],[Subdivision]]</f>
        <v>1</v>
      </c>
      <c r="N455">
        <v>452</v>
      </c>
    </row>
    <row r="456" spans="3:14">
      <c r="C456" t="s">
        <v>45</v>
      </c>
      <c r="D456" t="s">
        <v>1548</v>
      </c>
      <c r="E456" t="s">
        <v>72</v>
      </c>
      <c r="F456" s="36">
        <v>1</v>
      </c>
      <c r="G456" t="s">
        <v>1206</v>
      </c>
      <c r="I456" cm="1">
        <f t="array" ref="I456">_xlfn.IFNA(INDEX(QHPSelections2016[],MATCH(1,(QHPSelections2016[State Name]=HIX_RatingAreas[[#This Row],[State Code]])*(QHPSelections2016[County Name]=HIX_RatingAreas[[#This Row],[Subdivision]]),0),MATCH("Silver",QHPSelections2016[#Headers],0)),0)</f>
        <v>2919</v>
      </c>
      <c r="J456" cm="1">
        <f t="array" ref="J456">_xlfn.IFNA(INDEX(QHPSelections2016[],MATCH(1,(QHPSelections2016[State Name]=HIX_RatingAreas[[#This Row],[State Code]])*(QHPSelections2016[County Name]=HIX_RatingAreas[[#This Row],[Subdivision]]),0),MATCH("Total Plan Selections",QHPSelections2016[#Headers],0)),0)</f>
        <v>3765</v>
      </c>
      <c r="L456" t="str" cm="1">
        <f t="array" ref="L456">INDEX(QHPSelections2016[],MATCH(1,(QHPSelections2016[State Name]=HIX_RatingAreas[[#This Row],[State Code]])*(QHPSelections2016[County Name]=HIX_RatingAreas[[#This Row],[Subdivision]]),0),MATCH("County Name",QHPSelections2016[#Headers],0))</f>
        <v>Rutherford County</v>
      </c>
      <c r="M456" t="b">
        <f>L456=HIX_RatingAreas[[#This Row],[Subdivision]]</f>
        <v>1</v>
      </c>
      <c r="N456">
        <v>453</v>
      </c>
    </row>
    <row r="457" spans="3:14">
      <c r="C457" t="s">
        <v>45</v>
      </c>
      <c r="D457" t="s">
        <v>1548</v>
      </c>
      <c r="E457" t="s">
        <v>72</v>
      </c>
      <c r="F457" s="36">
        <v>1</v>
      </c>
      <c r="G457" t="s">
        <v>1243</v>
      </c>
      <c r="I457" cm="1">
        <f t="array" ref="I457">_xlfn.IFNA(INDEX(QHPSelections2016[],MATCH(1,(QHPSelections2016[State Name]=HIX_RatingAreas[[#This Row],[State Code]])*(QHPSelections2016[County Name]=HIX_RatingAreas[[#This Row],[Subdivision]]),0),MATCH("Silver",QHPSelections2016[#Headers],0)),0)</f>
        <v>651</v>
      </c>
      <c r="J457" cm="1">
        <f t="array" ref="J457">_xlfn.IFNA(INDEX(QHPSelections2016[],MATCH(1,(QHPSelections2016[State Name]=HIX_RatingAreas[[#This Row],[State Code]])*(QHPSelections2016[County Name]=HIX_RatingAreas[[#This Row],[Subdivision]]),0),MATCH("Total Plan Selections",QHPSelections2016[#Headers],0)),0)</f>
        <v>819</v>
      </c>
      <c r="L457" t="str" cm="1">
        <f t="array" ref="L457">INDEX(QHPSelections2016[],MATCH(1,(QHPSelections2016[State Name]=HIX_RatingAreas[[#This Row],[State Code]])*(QHPSelections2016[County Name]=HIX_RatingAreas[[#This Row],[Subdivision]]),0),MATCH("County Name",QHPSelections2016[#Headers],0))</f>
        <v>Swain County</v>
      </c>
      <c r="M457" t="b">
        <f>L457=HIX_RatingAreas[[#This Row],[Subdivision]]</f>
        <v>1</v>
      </c>
      <c r="N457">
        <v>454</v>
      </c>
    </row>
    <row r="458" spans="3:14">
      <c r="C458" t="s">
        <v>45</v>
      </c>
      <c r="D458" t="s">
        <v>1548</v>
      </c>
      <c r="E458" t="s">
        <v>72</v>
      </c>
      <c r="F458" s="36">
        <v>1</v>
      </c>
      <c r="G458" t="s">
        <v>1245</v>
      </c>
      <c r="I458" cm="1">
        <f t="array" ref="I458">_xlfn.IFNA(INDEX(QHPSelections2016[],MATCH(1,(QHPSelections2016[State Name]=HIX_RatingAreas[[#This Row],[State Code]])*(QHPSelections2016[County Name]=HIX_RatingAreas[[#This Row],[Subdivision]]),0),MATCH("Silver",QHPSelections2016[#Headers],0)),0)</f>
        <v>1969</v>
      </c>
      <c r="J458" cm="1">
        <f t="array" ref="J458">_xlfn.IFNA(INDEX(QHPSelections2016[],MATCH(1,(QHPSelections2016[State Name]=HIX_RatingAreas[[#This Row],[State Code]])*(QHPSelections2016[County Name]=HIX_RatingAreas[[#This Row],[Subdivision]]),0),MATCH("Total Plan Selections",QHPSelections2016[#Headers],0)),0)</f>
        <v>2644</v>
      </c>
      <c r="L458" t="str" cm="1">
        <f t="array" ref="L458">INDEX(QHPSelections2016[],MATCH(1,(QHPSelections2016[State Name]=HIX_RatingAreas[[#This Row],[State Code]])*(QHPSelections2016[County Name]=HIX_RatingAreas[[#This Row],[Subdivision]]),0),MATCH("County Name",QHPSelections2016[#Headers],0))</f>
        <v>Transylvania County</v>
      </c>
      <c r="M458" t="b">
        <f>L458=HIX_RatingAreas[[#This Row],[Subdivision]]</f>
        <v>1</v>
      </c>
      <c r="N458">
        <v>455</v>
      </c>
    </row>
    <row r="459" spans="3:14">
      <c r="C459" t="s">
        <v>45</v>
      </c>
      <c r="D459" t="s">
        <v>1548</v>
      </c>
      <c r="E459" t="s">
        <v>72</v>
      </c>
      <c r="F459" s="36">
        <v>1</v>
      </c>
      <c r="G459" t="s">
        <v>1271</v>
      </c>
      <c r="I459" cm="1">
        <f t="array" ref="I459">_xlfn.IFNA(INDEX(QHPSelections2016[],MATCH(1,(QHPSelections2016[State Name]=HIX_RatingAreas[[#This Row],[State Code]])*(QHPSelections2016[County Name]=HIX_RatingAreas[[#This Row],[Subdivision]]),0),MATCH("Silver",QHPSelections2016[#Headers],0)),0)</f>
        <v>996</v>
      </c>
      <c r="J459" cm="1">
        <f t="array" ref="J459">_xlfn.IFNA(INDEX(QHPSelections2016[],MATCH(1,(QHPSelections2016[State Name]=HIX_RatingAreas[[#This Row],[State Code]])*(QHPSelections2016[County Name]=HIX_RatingAreas[[#This Row],[Subdivision]]),0),MATCH("Total Plan Selections",QHPSelections2016[#Headers],0)),0)</f>
        <v>1269</v>
      </c>
      <c r="L459" t="str" cm="1">
        <f t="array" ref="L459">INDEX(QHPSelections2016[],MATCH(1,(QHPSelections2016[State Name]=HIX_RatingAreas[[#This Row],[State Code]])*(QHPSelections2016[County Name]=HIX_RatingAreas[[#This Row],[Subdivision]]),0),MATCH("County Name",QHPSelections2016[#Headers],0))</f>
        <v>Yancey County</v>
      </c>
      <c r="M459" t="b">
        <f>L459=HIX_RatingAreas[[#This Row],[Subdivision]]</f>
        <v>1</v>
      </c>
      <c r="N459">
        <v>456</v>
      </c>
    </row>
    <row r="460" spans="3:14">
      <c r="C460" t="s">
        <v>45</v>
      </c>
      <c r="D460" t="s">
        <v>1548</v>
      </c>
      <c r="E460" t="s">
        <v>74</v>
      </c>
      <c r="F460" s="36">
        <v>2</v>
      </c>
      <c r="G460" t="s">
        <v>827</v>
      </c>
      <c r="I460" cm="1">
        <f t="array" ref="I460">_xlfn.IFNA(INDEX(QHPSelections2016[],MATCH(1,(QHPSelections2016[State Name]=HIX_RatingAreas[[#This Row],[State Code]])*(QHPSelections2016[County Name]=HIX_RatingAreas[[#This Row],[Subdivision]]),0),MATCH("Silver",QHPSelections2016[#Headers],0)),0)</f>
        <v>1769</v>
      </c>
      <c r="J460" cm="1">
        <f t="array" ref="J460">_xlfn.IFNA(INDEX(QHPSelections2016[],MATCH(1,(QHPSelections2016[State Name]=HIX_RatingAreas[[#This Row],[State Code]])*(QHPSelections2016[County Name]=HIX_RatingAreas[[#This Row],[Subdivision]]),0),MATCH("Total Plan Selections",QHPSelections2016[#Headers],0)),0)</f>
        <v>2235</v>
      </c>
      <c r="L460" t="str" cm="1">
        <f t="array" ref="L460">INDEX(QHPSelections2016[],MATCH(1,(QHPSelections2016[State Name]=HIX_RatingAreas[[#This Row],[State Code]])*(QHPSelections2016[County Name]=HIX_RatingAreas[[#This Row],[Subdivision]]),0),MATCH("County Name",QHPSelections2016[#Headers],0))</f>
        <v>Alexander County</v>
      </c>
      <c r="M460" t="b">
        <f>L460=HIX_RatingAreas[[#This Row],[Subdivision]]</f>
        <v>1</v>
      </c>
      <c r="N460">
        <v>457</v>
      </c>
    </row>
    <row r="461" spans="3:14">
      <c r="C461" t="s">
        <v>45</v>
      </c>
      <c r="D461" t="s">
        <v>1548</v>
      </c>
      <c r="E461" t="s">
        <v>74</v>
      </c>
      <c r="F461" s="36">
        <v>2</v>
      </c>
      <c r="G461" t="s">
        <v>888</v>
      </c>
      <c r="I461" cm="1">
        <f t="array" ref="I461">_xlfn.IFNA(INDEX(QHPSelections2016[],MATCH(1,(QHPSelections2016[State Name]=HIX_RatingAreas[[#This Row],[State Code]])*(QHPSelections2016[County Name]=HIX_RatingAreas[[#This Row],[Subdivision]]),0),MATCH("Silver",QHPSelections2016[#Headers],0)),0)</f>
        <v>3366</v>
      </c>
      <c r="J461" cm="1">
        <f t="array" ref="J461">_xlfn.IFNA(INDEX(QHPSelections2016[],MATCH(1,(QHPSelections2016[State Name]=HIX_RatingAreas[[#This Row],[State Code]])*(QHPSelections2016[County Name]=HIX_RatingAreas[[#This Row],[Subdivision]]),0),MATCH("Total Plan Selections",QHPSelections2016[#Headers],0)),0)</f>
        <v>4340</v>
      </c>
      <c r="L461" t="str" cm="1">
        <f t="array" ref="L461">INDEX(QHPSelections2016[],MATCH(1,(QHPSelections2016[State Name]=HIX_RatingAreas[[#This Row],[State Code]])*(QHPSelections2016[County Name]=HIX_RatingAreas[[#This Row],[Subdivision]]),0),MATCH("County Name",QHPSelections2016[#Headers],0))</f>
        <v>Burke County</v>
      </c>
      <c r="M461" t="b">
        <f>L461=HIX_RatingAreas[[#This Row],[Subdivision]]</f>
        <v>1</v>
      </c>
      <c r="N461">
        <v>458</v>
      </c>
    </row>
    <row r="462" spans="3:14">
      <c r="C462" t="s">
        <v>45</v>
      </c>
      <c r="D462" t="s">
        <v>1548</v>
      </c>
      <c r="E462" t="s">
        <v>74</v>
      </c>
      <c r="F462" s="36">
        <v>2</v>
      </c>
      <c r="G462" t="s">
        <v>898</v>
      </c>
      <c r="I462" cm="1">
        <f t="array" ref="I462">_xlfn.IFNA(INDEX(QHPSelections2016[],MATCH(1,(QHPSelections2016[State Name]=HIX_RatingAreas[[#This Row],[State Code]])*(QHPSelections2016[County Name]=HIX_RatingAreas[[#This Row],[Subdivision]]),0),MATCH("Silver",QHPSelections2016[#Headers],0)),0)</f>
        <v>3680</v>
      </c>
      <c r="J462" cm="1">
        <f t="array" ref="J462">_xlfn.IFNA(INDEX(QHPSelections2016[],MATCH(1,(QHPSelections2016[State Name]=HIX_RatingAreas[[#This Row],[State Code]])*(QHPSelections2016[County Name]=HIX_RatingAreas[[#This Row],[Subdivision]]),0),MATCH("Total Plan Selections",QHPSelections2016[#Headers],0)),0)</f>
        <v>4667</v>
      </c>
      <c r="L462" t="str" cm="1">
        <f t="array" ref="L462">INDEX(QHPSelections2016[],MATCH(1,(QHPSelections2016[State Name]=HIX_RatingAreas[[#This Row],[State Code]])*(QHPSelections2016[County Name]=HIX_RatingAreas[[#This Row],[Subdivision]]),0),MATCH("County Name",QHPSelections2016[#Headers],0))</f>
        <v>Caldwell County</v>
      </c>
      <c r="M462" t="b">
        <f>L462=HIX_RatingAreas[[#This Row],[Subdivision]]</f>
        <v>1</v>
      </c>
      <c r="N462">
        <v>459</v>
      </c>
    </row>
    <row r="463" spans="3:14">
      <c r="C463" t="s">
        <v>45</v>
      </c>
      <c r="D463" t="s">
        <v>1548</v>
      </c>
      <c r="E463" t="s">
        <v>74</v>
      </c>
      <c r="F463" s="36">
        <v>2</v>
      </c>
      <c r="G463" t="s">
        <v>922</v>
      </c>
      <c r="I463" cm="1">
        <f t="array" ref="I463">_xlfn.IFNA(INDEX(QHPSelections2016[],MATCH(1,(QHPSelections2016[State Name]=HIX_RatingAreas[[#This Row],[State Code]])*(QHPSelections2016[County Name]=HIX_RatingAreas[[#This Row],[Subdivision]]),0),MATCH("Silver",QHPSelections2016[#Headers],0)),0)</f>
        <v>7731</v>
      </c>
      <c r="J463" cm="1">
        <f t="array" ref="J463">_xlfn.IFNA(INDEX(QHPSelections2016[],MATCH(1,(QHPSelections2016[State Name]=HIX_RatingAreas[[#This Row],[State Code]])*(QHPSelections2016[County Name]=HIX_RatingAreas[[#This Row],[Subdivision]]),0),MATCH("Total Plan Selections",QHPSelections2016[#Headers],0)),0)</f>
        <v>9756</v>
      </c>
      <c r="L463" t="str" cm="1">
        <f t="array" ref="L463">INDEX(QHPSelections2016[],MATCH(1,(QHPSelections2016[State Name]=HIX_RatingAreas[[#This Row],[State Code]])*(QHPSelections2016[County Name]=HIX_RatingAreas[[#This Row],[Subdivision]]),0),MATCH("County Name",QHPSelections2016[#Headers],0))</f>
        <v>Catawba County</v>
      </c>
      <c r="M463" t="b">
        <f>L463=HIX_RatingAreas[[#This Row],[Subdivision]]</f>
        <v>1</v>
      </c>
      <c r="N463">
        <v>460</v>
      </c>
    </row>
    <row r="464" spans="3:14">
      <c r="C464" t="s">
        <v>45</v>
      </c>
      <c r="D464" t="s">
        <v>1548</v>
      </c>
      <c r="E464" t="s">
        <v>74</v>
      </c>
      <c r="F464" s="36">
        <v>2</v>
      </c>
      <c r="G464" t="s">
        <v>1080</v>
      </c>
      <c r="I464" cm="1">
        <f t="array" ref="I464">_xlfn.IFNA(INDEX(QHPSelections2016[],MATCH(1,(QHPSelections2016[State Name]=HIX_RatingAreas[[#This Row],[State Code]])*(QHPSelections2016[County Name]=HIX_RatingAreas[[#This Row],[Subdivision]]),0),MATCH("Silver",QHPSelections2016[#Headers],0)),0)</f>
        <v>8643</v>
      </c>
      <c r="J464" cm="1">
        <f t="array" ref="J464">_xlfn.IFNA(INDEX(QHPSelections2016[],MATCH(1,(QHPSelections2016[State Name]=HIX_RatingAreas[[#This Row],[State Code]])*(QHPSelections2016[County Name]=HIX_RatingAreas[[#This Row],[Subdivision]]),0),MATCH("Total Plan Selections",QHPSelections2016[#Headers],0)),0)</f>
        <v>11737</v>
      </c>
      <c r="L464" t="str" cm="1">
        <f t="array" ref="L464">INDEX(QHPSelections2016[],MATCH(1,(QHPSelections2016[State Name]=HIX_RatingAreas[[#This Row],[State Code]])*(QHPSelections2016[County Name]=HIX_RatingAreas[[#This Row],[Subdivision]]),0),MATCH("County Name",QHPSelections2016[#Headers],0))</f>
        <v>Iredell County</v>
      </c>
      <c r="M464" t="b">
        <f>L464=HIX_RatingAreas[[#This Row],[Subdivision]]</f>
        <v>1</v>
      </c>
      <c r="N464">
        <v>461</v>
      </c>
    </row>
    <row r="465" spans="3:14">
      <c r="C465" t="s">
        <v>45</v>
      </c>
      <c r="D465" t="s">
        <v>1548</v>
      </c>
      <c r="E465" t="s">
        <v>76</v>
      </c>
      <c r="F465" s="36">
        <v>3</v>
      </c>
      <c r="G465" t="s">
        <v>834</v>
      </c>
      <c r="I465" cm="1">
        <f t="array" ref="I465">_xlfn.IFNA(INDEX(QHPSelections2016[],MATCH(1,(QHPSelections2016[State Name]=HIX_RatingAreas[[#This Row],[State Code]])*(QHPSelections2016[County Name]=HIX_RatingAreas[[#This Row],[Subdivision]]),0),MATCH("Silver",QHPSelections2016[#Headers],0)),0)</f>
        <v>650</v>
      </c>
      <c r="J465" cm="1">
        <f t="array" ref="J465">_xlfn.IFNA(INDEX(QHPSelections2016[],MATCH(1,(QHPSelections2016[State Name]=HIX_RatingAreas[[#This Row],[State Code]])*(QHPSelections2016[County Name]=HIX_RatingAreas[[#This Row],[Subdivision]]),0),MATCH("Total Plan Selections",QHPSelections2016[#Headers],0)),0)</f>
        <v>785</v>
      </c>
      <c r="L465" t="str" cm="1">
        <f t="array" ref="L465">INDEX(QHPSelections2016[],MATCH(1,(QHPSelections2016[State Name]=HIX_RatingAreas[[#This Row],[State Code]])*(QHPSelections2016[County Name]=HIX_RatingAreas[[#This Row],[Subdivision]]),0),MATCH("County Name",QHPSelections2016[#Headers],0))</f>
        <v>Alleghany County</v>
      </c>
      <c r="M465" t="b">
        <f>L465=HIX_RatingAreas[[#This Row],[Subdivision]]</f>
        <v>1</v>
      </c>
      <c r="N465">
        <v>462</v>
      </c>
    </row>
    <row r="466" spans="3:14">
      <c r="C466" t="s">
        <v>45</v>
      </c>
      <c r="D466" t="s">
        <v>1548</v>
      </c>
      <c r="E466" t="s">
        <v>76</v>
      </c>
      <c r="F466" s="36">
        <v>3</v>
      </c>
      <c r="G466" t="s">
        <v>845</v>
      </c>
      <c r="I466" cm="1">
        <f t="array" ref="I466">_xlfn.IFNA(INDEX(QHPSelections2016[],MATCH(1,(QHPSelections2016[State Name]=HIX_RatingAreas[[#This Row],[State Code]])*(QHPSelections2016[County Name]=HIX_RatingAreas[[#This Row],[Subdivision]]),0),MATCH("Silver",QHPSelections2016[#Headers],0)),0)</f>
        <v>1705</v>
      </c>
      <c r="J466" cm="1">
        <f t="array" ref="J466">_xlfn.IFNA(INDEX(QHPSelections2016[],MATCH(1,(QHPSelections2016[State Name]=HIX_RatingAreas[[#This Row],[State Code]])*(QHPSelections2016[County Name]=HIX_RatingAreas[[#This Row],[Subdivision]]),0),MATCH("Total Plan Selections",QHPSelections2016[#Headers],0)),0)</f>
        <v>2002</v>
      </c>
      <c r="L466" t="str" cm="1">
        <f t="array" ref="L466">INDEX(QHPSelections2016[],MATCH(1,(QHPSelections2016[State Name]=HIX_RatingAreas[[#This Row],[State Code]])*(QHPSelections2016[County Name]=HIX_RatingAreas[[#This Row],[Subdivision]]),0),MATCH("County Name",QHPSelections2016[#Headers],0))</f>
        <v>Ashe County</v>
      </c>
      <c r="M466" t="b">
        <f>L466=HIX_RatingAreas[[#This Row],[Subdivision]]</f>
        <v>1</v>
      </c>
      <c r="N466">
        <v>463</v>
      </c>
    </row>
    <row r="467" spans="3:14">
      <c r="C467" t="s">
        <v>45</v>
      </c>
      <c r="D467" t="s">
        <v>1548</v>
      </c>
      <c r="E467" t="s">
        <v>76</v>
      </c>
      <c r="F467" s="36">
        <v>3</v>
      </c>
      <c r="G467" t="s">
        <v>1264</v>
      </c>
      <c r="I467" cm="1">
        <f t="array" ref="I467">_xlfn.IFNA(INDEX(QHPSelections2016[],MATCH(1,(QHPSelections2016[State Name]=HIX_RatingAreas[[#This Row],[State Code]])*(QHPSelections2016[County Name]=HIX_RatingAreas[[#This Row],[Subdivision]]),0),MATCH("Silver",QHPSelections2016[#Headers],0)),0)</f>
        <v>2850</v>
      </c>
      <c r="J467" cm="1">
        <f t="array" ref="J467">_xlfn.IFNA(INDEX(QHPSelections2016[],MATCH(1,(QHPSelections2016[State Name]=HIX_RatingAreas[[#This Row],[State Code]])*(QHPSelections2016[County Name]=HIX_RatingAreas[[#This Row],[Subdivision]]),0),MATCH("Total Plan Selections",QHPSelections2016[#Headers],0)),0)</f>
        <v>3639</v>
      </c>
      <c r="L467" t="str" cm="1">
        <f t="array" ref="L467">INDEX(QHPSelections2016[],MATCH(1,(QHPSelections2016[State Name]=HIX_RatingAreas[[#This Row],[State Code]])*(QHPSelections2016[County Name]=HIX_RatingAreas[[#This Row],[Subdivision]]),0),MATCH("County Name",QHPSelections2016[#Headers],0))</f>
        <v>Watauga County</v>
      </c>
      <c r="M467" t="b">
        <f>L467=HIX_RatingAreas[[#This Row],[Subdivision]]</f>
        <v>1</v>
      </c>
      <c r="N467">
        <v>464</v>
      </c>
    </row>
    <row r="468" spans="3:14">
      <c r="C468" t="s">
        <v>45</v>
      </c>
      <c r="D468" t="s">
        <v>1548</v>
      </c>
      <c r="E468" t="s">
        <v>76</v>
      </c>
      <c r="F468" s="36">
        <v>3</v>
      </c>
      <c r="G468" t="s">
        <v>1266</v>
      </c>
      <c r="I468" cm="1">
        <f t="array" ref="I468">_xlfn.IFNA(INDEX(QHPSelections2016[],MATCH(1,(QHPSelections2016[State Name]=HIX_RatingAreas[[#This Row],[State Code]])*(QHPSelections2016[County Name]=HIX_RatingAreas[[#This Row],[Subdivision]]),0),MATCH("Silver",QHPSelections2016[#Headers],0)),0)</f>
        <v>3649</v>
      </c>
      <c r="J468" cm="1">
        <f t="array" ref="J468">_xlfn.IFNA(INDEX(QHPSelections2016[],MATCH(1,(QHPSelections2016[State Name]=HIX_RatingAreas[[#This Row],[State Code]])*(QHPSelections2016[County Name]=HIX_RatingAreas[[#This Row],[Subdivision]]),0),MATCH("Total Plan Selections",QHPSelections2016[#Headers],0)),0)</f>
        <v>4177</v>
      </c>
      <c r="L468" t="str" cm="1">
        <f t="array" ref="L468">INDEX(QHPSelections2016[],MATCH(1,(QHPSelections2016[State Name]=HIX_RatingAreas[[#This Row],[State Code]])*(QHPSelections2016[County Name]=HIX_RatingAreas[[#This Row],[Subdivision]]),0),MATCH("County Name",QHPSelections2016[#Headers],0))</f>
        <v>Wilkes County</v>
      </c>
      <c r="M468" t="b">
        <f>L468=HIX_RatingAreas[[#This Row],[Subdivision]]</f>
        <v>1</v>
      </c>
      <c r="N468">
        <v>465</v>
      </c>
    </row>
    <row r="469" spans="3:14">
      <c r="C469" t="s">
        <v>45</v>
      </c>
      <c r="D469" t="s">
        <v>1548</v>
      </c>
      <c r="E469" t="s">
        <v>84</v>
      </c>
      <c r="F469" s="36">
        <v>4</v>
      </c>
      <c r="G469" t="s">
        <v>840</v>
      </c>
      <c r="I469" cm="1">
        <f t="array" ref="I469">_xlfn.IFNA(INDEX(QHPSelections2016[],MATCH(1,(QHPSelections2016[State Name]=HIX_RatingAreas[[#This Row],[State Code]])*(QHPSelections2016[County Name]=HIX_RatingAreas[[#This Row],[Subdivision]]),0),MATCH("Silver",QHPSelections2016[#Headers],0)),0)</f>
        <v>965</v>
      </c>
      <c r="J469" cm="1">
        <f t="array" ref="J469">_xlfn.IFNA(INDEX(QHPSelections2016[],MATCH(1,(QHPSelections2016[State Name]=HIX_RatingAreas[[#This Row],[State Code]])*(QHPSelections2016[County Name]=HIX_RatingAreas[[#This Row],[Subdivision]]),0),MATCH("Total Plan Selections",QHPSelections2016[#Headers],0)),0)</f>
        <v>1214</v>
      </c>
      <c r="L469" t="str" cm="1">
        <f t="array" ref="L469">INDEX(QHPSelections2016[],MATCH(1,(QHPSelections2016[State Name]=HIX_RatingAreas[[#This Row],[State Code]])*(QHPSelections2016[County Name]=HIX_RatingAreas[[#This Row],[Subdivision]]),0),MATCH("County Name",QHPSelections2016[#Headers],0))</f>
        <v>Anson County</v>
      </c>
      <c r="M469" t="b">
        <f>L469=HIX_RatingAreas[[#This Row],[Subdivision]]</f>
        <v>1</v>
      </c>
      <c r="N469">
        <v>466</v>
      </c>
    </row>
    <row r="470" spans="3:14">
      <c r="C470" t="s">
        <v>45</v>
      </c>
      <c r="D470" t="s">
        <v>1548</v>
      </c>
      <c r="E470" t="s">
        <v>84</v>
      </c>
      <c r="F470" s="36">
        <v>4</v>
      </c>
      <c r="G470" t="s">
        <v>893</v>
      </c>
      <c r="I470" cm="1">
        <f t="array" ref="I470">_xlfn.IFNA(INDEX(QHPSelections2016[],MATCH(1,(QHPSelections2016[State Name]=HIX_RatingAreas[[#This Row],[State Code]])*(QHPSelections2016[County Name]=HIX_RatingAreas[[#This Row],[Subdivision]]),0),MATCH("Silver",QHPSelections2016[#Headers],0)),0)</f>
        <v>10018</v>
      </c>
      <c r="J470" cm="1">
        <f t="array" ref="J470">_xlfn.IFNA(INDEX(QHPSelections2016[],MATCH(1,(QHPSelections2016[State Name]=HIX_RatingAreas[[#This Row],[State Code]])*(QHPSelections2016[County Name]=HIX_RatingAreas[[#This Row],[Subdivision]]),0),MATCH("Total Plan Selections",QHPSelections2016[#Headers],0)),0)</f>
        <v>13475</v>
      </c>
      <c r="L470" t="str" cm="1">
        <f t="array" ref="L470">INDEX(QHPSelections2016[],MATCH(1,(QHPSelections2016[State Name]=HIX_RatingAreas[[#This Row],[State Code]])*(QHPSelections2016[County Name]=HIX_RatingAreas[[#This Row],[Subdivision]]),0),MATCH("County Name",QHPSelections2016[#Headers],0))</f>
        <v>Cabarrus County</v>
      </c>
      <c r="M470" t="b">
        <f>L470=HIX_RatingAreas[[#This Row],[Subdivision]]</f>
        <v>1</v>
      </c>
      <c r="N470">
        <v>467</v>
      </c>
    </row>
    <row r="471" spans="3:14">
      <c r="C471" t="s">
        <v>45</v>
      </c>
      <c r="D471" t="s">
        <v>1548</v>
      </c>
      <c r="E471" t="s">
        <v>84</v>
      </c>
      <c r="F471" s="36">
        <v>4</v>
      </c>
      <c r="G471" t="s">
        <v>1133</v>
      </c>
      <c r="I471" cm="1">
        <f t="array" ref="I471">_xlfn.IFNA(INDEX(QHPSelections2016[],MATCH(1,(QHPSelections2016[State Name]=HIX_RatingAreas[[#This Row],[State Code]])*(QHPSelections2016[County Name]=HIX_RatingAreas[[#This Row],[Subdivision]]),0),MATCH("Silver",QHPSelections2016[#Headers],0)),0)</f>
        <v>58286</v>
      </c>
      <c r="J471" cm="1">
        <f t="array" ref="J471">_xlfn.IFNA(INDEX(QHPSelections2016[],MATCH(1,(QHPSelections2016[State Name]=HIX_RatingAreas[[#This Row],[State Code]])*(QHPSelections2016[County Name]=HIX_RatingAreas[[#This Row],[Subdivision]]),0),MATCH("Total Plan Selections",QHPSelections2016[#Headers],0)),0)</f>
        <v>79597</v>
      </c>
      <c r="L471" t="str" cm="1">
        <f t="array" ref="L471">INDEX(QHPSelections2016[],MATCH(1,(QHPSelections2016[State Name]=HIX_RatingAreas[[#This Row],[State Code]])*(QHPSelections2016[County Name]=HIX_RatingAreas[[#This Row],[Subdivision]]),0),MATCH("County Name",QHPSelections2016[#Headers],0))</f>
        <v>Mecklenburg County</v>
      </c>
      <c r="M471" t="b">
        <f>L471=HIX_RatingAreas[[#This Row],[Subdivision]]</f>
        <v>1</v>
      </c>
      <c r="N471">
        <v>468</v>
      </c>
    </row>
    <row r="472" spans="3:14">
      <c r="C472" t="s">
        <v>45</v>
      </c>
      <c r="D472" t="s">
        <v>1548</v>
      </c>
      <c r="E472" t="s">
        <v>84</v>
      </c>
      <c r="F472" s="36">
        <v>4</v>
      </c>
      <c r="G472" t="s">
        <v>1220</v>
      </c>
      <c r="I472" cm="1">
        <f t="array" ref="I472">_xlfn.IFNA(INDEX(QHPSelections2016[],MATCH(1,(QHPSelections2016[State Name]=HIX_RatingAreas[[#This Row],[State Code]])*(QHPSelections2016[County Name]=HIX_RatingAreas[[#This Row],[Subdivision]]),0),MATCH("Silver",QHPSelections2016[#Headers],0)),0)</f>
        <v>6369</v>
      </c>
      <c r="J472" cm="1">
        <f t="array" ref="J472">_xlfn.IFNA(INDEX(QHPSelections2016[],MATCH(1,(QHPSelections2016[State Name]=HIX_RatingAreas[[#This Row],[State Code]])*(QHPSelections2016[County Name]=HIX_RatingAreas[[#This Row],[Subdivision]]),0),MATCH("Total Plan Selections",QHPSelections2016[#Headers],0)),0)</f>
        <v>7993</v>
      </c>
      <c r="L472" t="str" cm="1">
        <f t="array" ref="L472">INDEX(QHPSelections2016[],MATCH(1,(QHPSelections2016[State Name]=HIX_RatingAreas[[#This Row],[State Code]])*(QHPSelections2016[County Name]=HIX_RatingAreas[[#This Row],[Subdivision]]),0),MATCH("County Name",QHPSelections2016[#Headers],0))</f>
        <v>Rowan County</v>
      </c>
      <c r="M472" t="b">
        <f>L472=HIX_RatingAreas[[#This Row],[Subdivision]]</f>
        <v>1</v>
      </c>
      <c r="N472">
        <v>469</v>
      </c>
    </row>
    <row r="473" spans="3:14">
      <c r="C473" t="s">
        <v>45</v>
      </c>
      <c r="D473" t="s">
        <v>1548</v>
      </c>
      <c r="E473" t="s">
        <v>84</v>
      </c>
      <c r="F473" s="36">
        <v>4</v>
      </c>
      <c r="G473" t="s">
        <v>1232</v>
      </c>
      <c r="I473" cm="1">
        <f t="array" ref="I473">_xlfn.IFNA(INDEX(QHPSelections2016[],MATCH(1,(QHPSelections2016[State Name]=HIX_RatingAreas[[#This Row],[State Code]])*(QHPSelections2016[County Name]=HIX_RatingAreas[[#This Row],[Subdivision]]),0),MATCH("Silver",QHPSelections2016[#Headers],0)),0)</f>
        <v>2625</v>
      </c>
      <c r="J473" cm="1">
        <f t="array" ref="J473">_xlfn.IFNA(INDEX(QHPSelections2016[],MATCH(1,(QHPSelections2016[State Name]=HIX_RatingAreas[[#This Row],[State Code]])*(QHPSelections2016[County Name]=HIX_RatingAreas[[#This Row],[Subdivision]]),0),MATCH("Total Plan Selections",QHPSelections2016[#Headers],0)),0)</f>
        <v>3483</v>
      </c>
      <c r="L473" t="str" cm="1">
        <f t="array" ref="L473">INDEX(QHPSelections2016[],MATCH(1,(QHPSelections2016[State Name]=HIX_RatingAreas[[#This Row],[State Code]])*(QHPSelections2016[County Name]=HIX_RatingAreas[[#This Row],[Subdivision]]),0),MATCH("County Name",QHPSelections2016[#Headers],0))</f>
        <v>Stanly County</v>
      </c>
      <c r="M473" t="b">
        <f>L473=HIX_RatingAreas[[#This Row],[Subdivision]]</f>
        <v>1</v>
      </c>
      <c r="N473">
        <v>470</v>
      </c>
    </row>
    <row r="474" spans="3:14">
      <c r="C474" t="s">
        <v>45</v>
      </c>
      <c r="D474" t="s">
        <v>1548</v>
      </c>
      <c r="E474" t="s">
        <v>84</v>
      </c>
      <c r="F474" s="36">
        <v>4</v>
      </c>
      <c r="G474" t="s">
        <v>1149</v>
      </c>
      <c r="I474" cm="1">
        <f t="array" ref="I474">_xlfn.IFNA(INDEX(QHPSelections2016[],MATCH(1,(QHPSelections2016[State Name]=HIX_RatingAreas[[#This Row],[State Code]])*(QHPSelections2016[County Name]=HIX_RatingAreas[[#This Row],[Subdivision]]),0),MATCH("Silver",QHPSelections2016[#Headers],0)),0)</f>
        <v>11595</v>
      </c>
      <c r="J474" cm="1">
        <f t="array" ref="J474">_xlfn.IFNA(INDEX(QHPSelections2016[],MATCH(1,(QHPSelections2016[State Name]=HIX_RatingAreas[[#This Row],[State Code]])*(QHPSelections2016[County Name]=HIX_RatingAreas[[#This Row],[Subdivision]]),0),MATCH("Total Plan Selections",QHPSelections2016[#Headers],0)),0)</f>
        <v>16005</v>
      </c>
      <c r="L474" t="str" cm="1">
        <f t="array" ref="L474">INDEX(QHPSelections2016[],MATCH(1,(QHPSelections2016[State Name]=HIX_RatingAreas[[#This Row],[State Code]])*(QHPSelections2016[County Name]=HIX_RatingAreas[[#This Row],[Subdivision]]),0),MATCH("County Name",QHPSelections2016[#Headers],0))</f>
        <v>Union County</v>
      </c>
      <c r="M474" t="b">
        <f>L474=HIX_RatingAreas[[#This Row],[Subdivision]]</f>
        <v>1</v>
      </c>
      <c r="N474">
        <v>471</v>
      </c>
    </row>
    <row r="475" spans="3:14">
      <c r="C475" t="s">
        <v>45</v>
      </c>
      <c r="D475" t="s">
        <v>1548</v>
      </c>
      <c r="E475" t="s">
        <v>86</v>
      </c>
      <c r="F475" s="36">
        <v>5</v>
      </c>
      <c r="G475" t="s">
        <v>950</v>
      </c>
      <c r="I475" cm="1">
        <f t="array" ref="I475">_xlfn.IFNA(INDEX(QHPSelections2016[],MATCH(1,(QHPSelections2016[State Name]=HIX_RatingAreas[[#This Row],[State Code]])*(QHPSelections2016[County Name]=HIX_RatingAreas[[#This Row],[Subdivision]]),0),MATCH("Silver",QHPSelections2016[#Headers],0)),0)</f>
        <v>3477</v>
      </c>
      <c r="J475" cm="1">
        <f t="array" ref="J475">_xlfn.IFNA(INDEX(QHPSelections2016[],MATCH(1,(QHPSelections2016[State Name]=HIX_RatingAreas[[#This Row],[State Code]])*(QHPSelections2016[County Name]=HIX_RatingAreas[[#This Row],[Subdivision]]),0),MATCH("Total Plan Selections",QHPSelections2016[#Headers],0)),0)</f>
        <v>4896</v>
      </c>
      <c r="L475" t="str" cm="1">
        <f t="array" ref="L475">INDEX(QHPSelections2016[],MATCH(1,(QHPSelections2016[State Name]=HIX_RatingAreas[[#This Row],[State Code]])*(QHPSelections2016[County Name]=HIX_RatingAreas[[#This Row],[Subdivision]]),0),MATCH("County Name",QHPSelections2016[#Headers],0))</f>
        <v>Cleveland County</v>
      </c>
      <c r="M475" t="b">
        <f>L475=HIX_RatingAreas[[#This Row],[Subdivision]]</f>
        <v>1</v>
      </c>
      <c r="N475">
        <v>472</v>
      </c>
    </row>
    <row r="476" spans="3:14">
      <c r="C476" t="s">
        <v>45</v>
      </c>
      <c r="D476" t="s">
        <v>1548</v>
      </c>
      <c r="E476" t="s">
        <v>86</v>
      </c>
      <c r="F476" s="36">
        <v>5</v>
      </c>
      <c r="G476" t="s">
        <v>1016</v>
      </c>
      <c r="I476" cm="1">
        <f t="array" ref="I476">_xlfn.IFNA(INDEX(QHPSelections2016[],MATCH(1,(QHPSelections2016[State Name]=HIX_RatingAreas[[#This Row],[State Code]])*(QHPSelections2016[County Name]=HIX_RatingAreas[[#This Row],[Subdivision]]),0),MATCH("Silver",QHPSelections2016[#Headers],0)),0)</f>
        <v>8251</v>
      </c>
      <c r="J476" cm="1">
        <f t="array" ref="J476">_xlfn.IFNA(INDEX(QHPSelections2016[],MATCH(1,(QHPSelections2016[State Name]=HIX_RatingAreas[[#This Row],[State Code]])*(QHPSelections2016[County Name]=HIX_RatingAreas[[#This Row],[Subdivision]]),0),MATCH("Total Plan Selections",QHPSelections2016[#Headers],0)),0)</f>
        <v>11451</v>
      </c>
      <c r="L476" t="str" cm="1">
        <f t="array" ref="L476">INDEX(QHPSelections2016[],MATCH(1,(QHPSelections2016[State Name]=HIX_RatingAreas[[#This Row],[State Code]])*(QHPSelections2016[County Name]=HIX_RatingAreas[[#This Row],[Subdivision]]),0),MATCH("County Name",QHPSelections2016[#Headers],0))</f>
        <v>Gaston County</v>
      </c>
      <c r="M476" t="b">
        <f>L476=HIX_RatingAreas[[#This Row],[Subdivision]]</f>
        <v>1</v>
      </c>
      <c r="N476">
        <v>473</v>
      </c>
    </row>
    <row r="477" spans="3:14">
      <c r="C477" t="s">
        <v>45</v>
      </c>
      <c r="D477" t="s">
        <v>1548</v>
      </c>
      <c r="E477" t="s">
        <v>86</v>
      </c>
      <c r="F477" s="36">
        <v>5</v>
      </c>
      <c r="G477" t="s">
        <v>1051</v>
      </c>
      <c r="I477" cm="1">
        <f t="array" ref="I477">_xlfn.IFNA(INDEX(QHPSelections2016[],MATCH(1,(QHPSelections2016[State Name]=HIX_RatingAreas[[#This Row],[State Code]])*(QHPSelections2016[County Name]=HIX_RatingAreas[[#This Row],[Subdivision]]),0),MATCH("Silver",QHPSelections2016[#Headers],0)),0)</f>
        <v>3401</v>
      </c>
      <c r="J477" cm="1">
        <f t="array" ref="J477">_xlfn.IFNA(INDEX(QHPSelections2016[],MATCH(1,(QHPSelections2016[State Name]=HIX_RatingAreas[[#This Row],[State Code]])*(QHPSelections2016[County Name]=HIX_RatingAreas[[#This Row],[Subdivision]]),0),MATCH("Total Plan Selections",QHPSelections2016[#Headers],0)),0)</f>
        <v>4651</v>
      </c>
      <c r="L477" t="str" cm="1">
        <f t="array" ref="L477">INDEX(QHPSelections2016[],MATCH(1,(QHPSelections2016[State Name]=HIX_RatingAreas[[#This Row],[State Code]])*(QHPSelections2016[County Name]=HIX_RatingAreas[[#This Row],[Subdivision]]),0),MATCH("County Name",QHPSelections2016[#Headers],0))</f>
        <v>Lincoln County</v>
      </c>
      <c r="M477" t="b">
        <f>L477=HIX_RatingAreas[[#This Row],[Subdivision]]</f>
        <v>1</v>
      </c>
      <c r="N477">
        <v>474</v>
      </c>
    </row>
    <row r="478" spans="3:14">
      <c r="C478" t="s">
        <v>45</v>
      </c>
      <c r="D478" t="s">
        <v>1548</v>
      </c>
      <c r="E478" t="s">
        <v>89</v>
      </c>
      <c r="F478" s="36">
        <v>6</v>
      </c>
      <c r="G478" t="s">
        <v>928</v>
      </c>
      <c r="I478" cm="1">
        <f t="array" ref="I478">_xlfn.IFNA(INDEX(QHPSelections2016[],MATCH(1,(QHPSelections2016[State Name]=HIX_RatingAreas[[#This Row],[State Code]])*(QHPSelections2016[County Name]=HIX_RatingAreas[[#This Row],[Subdivision]]),0),MATCH("Silver",QHPSelections2016[#Headers],0)),0)</f>
        <v>7796</v>
      </c>
      <c r="J478" cm="1">
        <f t="array" ref="J478">_xlfn.IFNA(INDEX(QHPSelections2016[],MATCH(1,(QHPSelections2016[State Name]=HIX_RatingAreas[[#This Row],[State Code]])*(QHPSelections2016[County Name]=HIX_RatingAreas[[#This Row],[Subdivision]]),0),MATCH("Total Plan Selections",QHPSelections2016[#Headers],0)),0)</f>
        <v>9581</v>
      </c>
      <c r="L478" t="str" cm="1">
        <f t="array" ref="L478">INDEX(QHPSelections2016[],MATCH(1,(QHPSelections2016[State Name]=HIX_RatingAreas[[#This Row],[State Code]])*(QHPSelections2016[County Name]=HIX_RatingAreas[[#This Row],[Subdivision]]),0),MATCH("County Name",QHPSelections2016[#Headers],0))</f>
        <v>Davidson County</v>
      </c>
      <c r="M478" t="b">
        <f>L478=HIX_RatingAreas[[#This Row],[Subdivision]]</f>
        <v>1</v>
      </c>
      <c r="N478">
        <v>475</v>
      </c>
    </row>
    <row r="479" spans="3:14">
      <c r="C479" t="s">
        <v>45</v>
      </c>
      <c r="D479" t="s">
        <v>1548</v>
      </c>
      <c r="E479" t="s">
        <v>89</v>
      </c>
      <c r="F479" s="36">
        <v>6</v>
      </c>
      <c r="G479" t="s">
        <v>985</v>
      </c>
      <c r="I479" cm="1">
        <f t="array" ref="I479">_xlfn.IFNA(INDEX(QHPSelections2016[],MATCH(1,(QHPSelections2016[State Name]=HIX_RatingAreas[[#This Row],[State Code]])*(QHPSelections2016[County Name]=HIX_RatingAreas[[#This Row],[Subdivision]]),0),MATCH("Silver",QHPSelections2016[#Headers],0)),0)</f>
        <v>1984</v>
      </c>
      <c r="J479" cm="1">
        <f t="array" ref="J479">_xlfn.IFNA(INDEX(QHPSelections2016[],MATCH(1,(QHPSelections2016[State Name]=HIX_RatingAreas[[#This Row],[State Code]])*(QHPSelections2016[County Name]=HIX_RatingAreas[[#This Row],[Subdivision]]),0),MATCH("Total Plan Selections",QHPSelections2016[#Headers],0)),0)</f>
        <v>2381</v>
      </c>
      <c r="L479" t="str" cm="1">
        <f t="array" ref="L479">INDEX(QHPSelections2016[],MATCH(1,(QHPSelections2016[State Name]=HIX_RatingAreas[[#This Row],[State Code]])*(QHPSelections2016[County Name]=HIX_RatingAreas[[#This Row],[Subdivision]]),0),MATCH("County Name",QHPSelections2016[#Headers],0))</f>
        <v>Davie County</v>
      </c>
      <c r="M479" t="b">
        <f>L479=HIX_RatingAreas[[#This Row],[Subdivision]]</f>
        <v>1</v>
      </c>
      <c r="N479">
        <v>476</v>
      </c>
    </row>
    <row r="480" spans="3:14">
      <c r="C480" t="s">
        <v>45</v>
      </c>
      <c r="D480" t="s">
        <v>1548</v>
      </c>
      <c r="E480" t="s">
        <v>89</v>
      </c>
      <c r="F480" s="36">
        <v>6</v>
      </c>
      <c r="G480" t="s">
        <v>1007</v>
      </c>
      <c r="I480" cm="1">
        <f t="array" ref="I480">_xlfn.IFNA(INDEX(QHPSelections2016[],MATCH(1,(QHPSelections2016[State Name]=HIX_RatingAreas[[#This Row],[State Code]])*(QHPSelections2016[County Name]=HIX_RatingAreas[[#This Row],[Subdivision]]),0),MATCH("Silver",QHPSelections2016[#Headers],0)),0)</f>
        <v>17379</v>
      </c>
      <c r="J480" cm="1">
        <f t="array" ref="J480">_xlfn.IFNA(INDEX(QHPSelections2016[],MATCH(1,(QHPSelections2016[State Name]=HIX_RatingAreas[[#This Row],[State Code]])*(QHPSelections2016[County Name]=HIX_RatingAreas[[#This Row],[Subdivision]]),0),MATCH("Total Plan Selections",QHPSelections2016[#Headers],0)),0)</f>
        <v>21687</v>
      </c>
      <c r="L480" t="str" cm="1">
        <f t="array" ref="L480">INDEX(QHPSelections2016[],MATCH(1,(QHPSelections2016[State Name]=HIX_RatingAreas[[#This Row],[State Code]])*(QHPSelections2016[County Name]=HIX_RatingAreas[[#This Row],[Subdivision]]),0),MATCH("County Name",QHPSelections2016[#Headers],0))</f>
        <v>Forsyth County</v>
      </c>
      <c r="M480" t="b">
        <f>L480=HIX_RatingAreas[[#This Row],[Subdivision]]</f>
        <v>1</v>
      </c>
      <c r="N480">
        <v>477</v>
      </c>
    </row>
    <row r="481" spans="3:14">
      <c r="C481" t="s">
        <v>45</v>
      </c>
      <c r="D481" t="s">
        <v>1548</v>
      </c>
      <c r="E481" t="s">
        <v>89</v>
      </c>
      <c r="F481" s="36">
        <v>6</v>
      </c>
      <c r="G481" t="s">
        <v>1235</v>
      </c>
      <c r="I481" cm="1">
        <f t="array" ref="I481">_xlfn.IFNA(INDEX(QHPSelections2016[],MATCH(1,(QHPSelections2016[State Name]=HIX_RatingAreas[[#This Row],[State Code]])*(QHPSelections2016[County Name]=HIX_RatingAreas[[#This Row],[Subdivision]]),0),MATCH("Silver",QHPSelections2016[#Headers],0)),0)</f>
        <v>2222</v>
      </c>
      <c r="J481" cm="1">
        <f t="array" ref="J481">_xlfn.IFNA(INDEX(QHPSelections2016[],MATCH(1,(QHPSelections2016[State Name]=HIX_RatingAreas[[#This Row],[State Code]])*(QHPSelections2016[County Name]=HIX_RatingAreas[[#This Row],[Subdivision]]),0),MATCH("Total Plan Selections",QHPSelections2016[#Headers],0)),0)</f>
        <v>2635</v>
      </c>
      <c r="L481" t="str" cm="1">
        <f t="array" ref="L481">INDEX(QHPSelections2016[],MATCH(1,(QHPSelections2016[State Name]=HIX_RatingAreas[[#This Row],[State Code]])*(QHPSelections2016[County Name]=HIX_RatingAreas[[#This Row],[Subdivision]]),0),MATCH("County Name",QHPSelections2016[#Headers],0))</f>
        <v>Stokes County</v>
      </c>
      <c r="M481" t="b">
        <f>L481=HIX_RatingAreas[[#This Row],[Subdivision]]</f>
        <v>1</v>
      </c>
      <c r="N481">
        <v>478</v>
      </c>
    </row>
    <row r="482" spans="3:14">
      <c r="C482" t="s">
        <v>45</v>
      </c>
      <c r="D482" t="s">
        <v>1548</v>
      </c>
      <c r="E482" t="s">
        <v>89</v>
      </c>
      <c r="F482" s="36">
        <v>6</v>
      </c>
      <c r="G482" t="s">
        <v>1239</v>
      </c>
      <c r="I482" cm="1">
        <f t="array" ref="I482">_xlfn.IFNA(INDEX(QHPSelections2016[],MATCH(1,(QHPSelections2016[State Name]=HIX_RatingAreas[[#This Row],[State Code]])*(QHPSelections2016[County Name]=HIX_RatingAreas[[#This Row],[Subdivision]]),0),MATCH("Silver",QHPSelections2016[#Headers],0)),0)</f>
        <v>3425</v>
      </c>
      <c r="J482" cm="1">
        <f t="array" ref="J482">_xlfn.IFNA(INDEX(QHPSelections2016[],MATCH(1,(QHPSelections2016[State Name]=HIX_RatingAreas[[#This Row],[State Code]])*(QHPSelections2016[County Name]=HIX_RatingAreas[[#This Row],[Subdivision]]),0),MATCH("Total Plan Selections",QHPSelections2016[#Headers],0)),0)</f>
        <v>4138</v>
      </c>
      <c r="L482" t="str" cm="1">
        <f t="array" ref="L482">INDEX(QHPSelections2016[],MATCH(1,(QHPSelections2016[State Name]=HIX_RatingAreas[[#This Row],[State Code]])*(QHPSelections2016[County Name]=HIX_RatingAreas[[#This Row],[Subdivision]]),0),MATCH("County Name",QHPSelections2016[#Headers],0))</f>
        <v>Surry County</v>
      </c>
      <c r="M482" t="b">
        <f>L482=HIX_RatingAreas[[#This Row],[Subdivision]]</f>
        <v>1</v>
      </c>
      <c r="N482">
        <v>479</v>
      </c>
    </row>
    <row r="483" spans="3:14">
      <c r="C483" t="s">
        <v>45</v>
      </c>
      <c r="D483" t="s">
        <v>1548</v>
      </c>
      <c r="E483" t="s">
        <v>89</v>
      </c>
      <c r="F483" s="36">
        <v>6</v>
      </c>
      <c r="G483" t="s">
        <v>1269</v>
      </c>
      <c r="I483" cm="1">
        <f t="array" ref="I483">_xlfn.IFNA(INDEX(QHPSelections2016[],MATCH(1,(QHPSelections2016[State Name]=HIX_RatingAreas[[#This Row],[State Code]])*(QHPSelections2016[County Name]=HIX_RatingAreas[[#This Row],[Subdivision]]),0),MATCH("Silver",QHPSelections2016[#Headers],0)),0)</f>
        <v>1687</v>
      </c>
      <c r="J483" cm="1">
        <f t="array" ref="J483">_xlfn.IFNA(INDEX(QHPSelections2016[],MATCH(1,(QHPSelections2016[State Name]=HIX_RatingAreas[[#This Row],[State Code]])*(QHPSelections2016[County Name]=HIX_RatingAreas[[#This Row],[Subdivision]]),0),MATCH("Total Plan Selections",QHPSelections2016[#Headers],0)),0)</f>
        <v>2006</v>
      </c>
      <c r="L483" t="str" cm="1">
        <f t="array" ref="L483">INDEX(QHPSelections2016[],MATCH(1,(QHPSelections2016[State Name]=HIX_RatingAreas[[#This Row],[State Code]])*(QHPSelections2016[County Name]=HIX_RatingAreas[[#This Row],[Subdivision]]),0),MATCH("County Name",QHPSelections2016[#Headers],0))</f>
        <v>Yadkin County</v>
      </c>
      <c r="M483" t="b">
        <f>L483=HIX_RatingAreas[[#This Row],[Subdivision]]</f>
        <v>1</v>
      </c>
      <c r="N483">
        <v>480</v>
      </c>
    </row>
    <row r="484" spans="3:14">
      <c r="C484" t="s">
        <v>45</v>
      </c>
      <c r="D484" t="s">
        <v>1548</v>
      </c>
      <c r="E484" t="s">
        <v>93</v>
      </c>
      <c r="F484" s="36">
        <v>7</v>
      </c>
      <c r="G484" t="s">
        <v>1040</v>
      </c>
      <c r="I484" cm="1">
        <f t="array" ref="I484">_xlfn.IFNA(INDEX(QHPSelections2016[],MATCH(1,(QHPSelections2016[State Name]=HIX_RatingAreas[[#This Row],[State Code]])*(QHPSelections2016[County Name]=HIX_RatingAreas[[#This Row],[Subdivision]]),0),MATCH("Silver",QHPSelections2016[#Headers],0)),0)</f>
        <v>26340</v>
      </c>
      <c r="J484" cm="1">
        <f t="array" ref="J484">_xlfn.IFNA(INDEX(QHPSelections2016[],MATCH(1,(QHPSelections2016[State Name]=HIX_RatingAreas[[#This Row],[State Code]])*(QHPSelections2016[County Name]=HIX_RatingAreas[[#This Row],[Subdivision]]),0),MATCH("Total Plan Selections",QHPSelections2016[#Headers],0)),0)</f>
        <v>34887</v>
      </c>
      <c r="L484" t="str" cm="1">
        <f t="array" ref="L484">INDEX(QHPSelections2016[],MATCH(1,(QHPSelections2016[State Name]=HIX_RatingAreas[[#This Row],[State Code]])*(QHPSelections2016[County Name]=HIX_RatingAreas[[#This Row],[Subdivision]]),0),MATCH("County Name",QHPSelections2016[#Headers],0))</f>
        <v>Guilford County</v>
      </c>
      <c r="M484" t="b">
        <f>L484=HIX_RatingAreas[[#This Row],[Subdivision]]</f>
        <v>1</v>
      </c>
      <c r="N484">
        <v>481</v>
      </c>
    </row>
    <row r="485" spans="3:14">
      <c r="C485" t="s">
        <v>45</v>
      </c>
      <c r="D485" t="s">
        <v>1548</v>
      </c>
      <c r="E485" t="s">
        <v>93</v>
      </c>
      <c r="F485" s="36">
        <v>7</v>
      </c>
      <c r="G485" t="s">
        <v>1115</v>
      </c>
      <c r="I485" cm="1">
        <f t="array" ref="I485">_xlfn.IFNA(INDEX(QHPSelections2016[],MATCH(1,(QHPSelections2016[State Name]=HIX_RatingAreas[[#This Row],[State Code]])*(QHPSelections2016[County Name]=HIX_RatingAreas[[#This Row],[Subdivision]]),0),MATCH("Silver",QHPSelections2016[#Headers],0)),0)</f>
        <v>6589</v>
      </c>
      <c r="J485" cm="1">
        <f t="array" ref="J485">_xlfn.IFNA(INDEX(QHPSelections2016[],MATCH(1,(QHPSelections2016[State Name]=HIX_RatingAreas[[#This Row],[State Code]])*(QHPSelections2016[County Name]=HIX_RatingAreas[[#This Row],[Subdivision]]),0),MATCH("Total Plan Selections",QHPSelections2016[#Headers],0)),0)</f>
        <v>8274</v>
      </c>
      <c r="L485" t="str" cm="1">
        <f t="array" ref="L485">INDEX(QHPSelections2016[],MATCH(1,(QHPSelections2016[State Name]=HIX_RatingAreas[[#This Row],[State Code]])*(QHPSelections2016[County Name]=HIX_RatingAreas[[#This Row],[Subdivision]]),0),MATCH("County Name",QHPSelections2016[#Headers],0))</f>
        <v>Randolph County</v>
      </c>
      <c r="M485" t="b">
        <f>L485=HIX_RatingAreas[[#This Row],[Subdivision]]</f>
        <v>1</v>
      </c>
      <c r="N485">
        <v>482</v>
      </c>
    </row>
    <row r="486" spans="3:14">
      <c r="C486" t="s">
        <v>45</v>
      </c>
      <c r="D486" t="s">
        <v>1548</v>
      </c>
      <c r="E486" t="s">
        <v>93</v>
      </c>
      <c r="F486" s="36">
        <v>7</v>
      </c>
      <c r="G486" t="s">
        <v>1217</v>
      </c>
      <c r="I486" cm="1">
        <f t="array" ref="I486">_xlfn.IFNA(INDEX(QHPSelections2016[],MATCH(1,(QHPSelections2016[State Name]=HIX_RatingAreas[[#This Row],[State Code]])*(QHPSelections2016[County Name]=HIX_RatingAreas[[#This Row],[Subdivision]]),0),MATCH("Silver",QHPSelections2016[#Headers],0)),0)</f>
        <v>4751</v>
      </c>
      <c r="J486" cm="1">
        <f t="array" ref="J486">_xlfn.IFNA(INDEX(QHPSelections2016[],MATCH(1,(QHPSelections2016[State Name]=HIX_RatingAreas[[#This Row],[State Code]])*(QHPSelections2016[County Name]=HIX_RatingAreas[[#This Row],[Subdivision]]),0),MATCH("Total Plan Selections",QHPSelections2016[#Headers],0)),0)</f>
        <v>5552</v>
      </c>
      <c r="L486" t="str" cm="1">
        <f t="array" ref="L486">INDEX(QHPSelections2016[],MATCH(1,(QHPSelections2016[State Name]=HIX_RatingAreas[[#This Row],[State Code]])*(QHPSelections2016[County Name]=HIX_RatingAreas[[#This Row],[Subdivision]]),0),MATCH("County Name",QHPSelections2016[#Headers],0))</f>
        <v>Rockingham County</v>
      </c>
      <c r="M486" t="b">
        <f>L486=HIX_RatingAreas[[#This Row],[Subdivision]]</f>
        <v>1</v>
      </c>
      <c r="N486">
        <v>483</v>
      </c>
    </row>
    <row r="487" spans="3:14">
      <c r="C487" t="s">
        <v>45</v>
      </c>
      <c r="D487" t="s">
        <v>1548</v>
      </c>
      <c r="E487" t="s">
        <v>96</v>
      </c>
      <c r="F487" s="36">
        <v>8</v>
      </c>
      <c r="G487" t="s">
        <v>1079</v>
      </c>
      <c r="I487" cm="1">
        <f t="array" ref="I487">_xlfn.IFNA(INDEX(QHPSelections2016[],MATCH(1,(QHPSelections2016[State Name]=HIX_RatingAreas[[#This Row],[State Code]])*(QHPSelections2016[County Name]=HIX_RatingAreas[[#This Row],[Subdivision]]),0),MATCH("Silver",QHPSelections2016[#Headers],0)),0)</f>
        <v>1030</v>
      </c>
      <c r="J487" cm="1">
        <f t="array" ref="J487">_xlfn.IFNA(INDEX(QHPSelections2016[],MATCH(1,(QHPSelections2016[State Name]=HIX_RatingAreas[[#This Row],[State Code]])*(QHPSelections2016[County Name]=HIX_RatingAreas[[#This Row],[Subdivision]]),0),MATCH("Total Plan Selections",QHPSelections2016[#Headers],0)),0)</f>
        <v>1235</v>
      </c>
      <c r="L487" t="str" cm="1">
        <f t="array" ref="L487">INDEX(QHPSelections2016[],MATCH(1,(QHPSelections2016[State Name]=HIX_RatingAreas[[#This Row],[State Code]])*(QHPSelections2016[County Name]=HIX_RatingAreas[[#This Row],[Subdivision]]),0),MATCH("County Name",QHPSelections2016[#Headers],0))</f>
        <v>Montgomery County</v>
      </c>
      <c r="M487" t="b">
        <f>L487=HIX_RatingAreas[[#This Row],[Subdivision]]</f>
        <v>1</v>
      </c>
      <c r="N487">
        <v>484</v>
      </c>
    </row>
    <row r="488" spans="3:14">
      <c r="C488" t="s">
        <v>45</v>
      </c>
      <c r="D488" t="s">
        <v>1548</v>
      </c>
      <c r="E488" t="s">
        <v>96</v>
      </c>
      <c r="F488" s="36">
        <v>8</v>
      </c>
      <c r="G488" t="s">
        <v>1152</v>
      </c>
      <c r="I488" cm="1">
        <f t="array" ref="I488">_xlfn.IFNA(INDEX(QHPSelections2016[],MATCH(1,(QHPSelections2016[State Name]=HIX_RatingAreas[[#This Row],[State Code]])*(QHPSelections2016[County Name]=HIX_RatingAreas[[#This Row],[Subdivision]]),0),MATCH("Silver",QHPSelections2016[#Headers],0)),0)</f>
        <v>4540</v>
      </c>
      <c r="J488" cm="1">
        <f t="array" ref="J488">_xlfn.IFNA(INDEX(QHPSelections2016[],MATCH(1,(QHPSelections2016[State Name]=HIX_RatingAreas[[#This Row],[State Code]])*(QHPSelections2016[County Name]=HIX_RatingAreas[[#This Row],[Subdivision]]),0),MATCH("Total Plan Selections",QHPSelections2016[#Headers],0)),0)</f>
        <v>5536</v>
      </c>
      <c r="L488" t="str" cm="1">
        <f t="array" ref="L488">INDEX(QHPSelections2016[],MATCH(1,(QHPSelections2016[State Name]=HIX_RatingAreas[[#This Row],[State Code]])*(QHPSelections2016[County Name]=HIX_RatingAreas[[#This Row],[Subdivision]]),0),MATCH("County Name",QHPSelections2016[#Headers],0))</f>
        <v>Moore County</v>
      </c>
      <c r="M488" t="b">
        <f>L488=HIX_RatingAreas[[#This Row],[Subdivision]]</f>
        <v>1</v>
      </c>
      <c r="N488">
        <v>485</v>
      </c>
    </row>
    <row r="489" spans="3:14">
      <c r="C489" t="s">
        <v>45</v>
      </c>
      <c r="D489" t="s">
        <v>1548</v>
      </c>
      <c r="E489" t="s">
        <v>98</v>
      </c>
      <c r="F489" s="36">
        <v>9</v>
      </c>
      <c r="G489" t="s">
        <v>870</v>
      </c>
      <c r="I489" cm="1">
        <f t="array" ref="I489">_xlfn.IFNA(INDEX(QHPSelections2016[],MATCH(1,(QHPSelections2016[State Name]=HIX_RatingAreas[[#This Row],[State Code]])*(QHPSelections2016[County Name]=HIX_RatingAreas[[#This Row],[Subdivision]]),0),MATCH("Silver",QHPSelections2016[#Headers],0)),0)</f>
        <v>1455</v>
      </c>
      <c r="J489" cm="1">
        <f t="array" ref="J489">_xlfn.IFNA(INDEX(QHPSelections2016[],MATCH(1,(QHPSelections2016[State Name]=HIX_RatingAreas[[#This Row],[State Code]])*(QHPSelections2016[County Name]=HIX_RatingAreas[[#This Row],[Subdivision]]),0),MATCH("Total Plan Selections",QHPSelections2016[#Headers],0)),0)</f>
        <v>1715</v>
      </c>
      <c r="L489" t="str" cm="1">
        <f t="array" ref="L489">INDEX(QHPSelections2016[],MATCH(1,(QHPSelections2016[State Name]=HIX_RatingAreas[[#This Row],[State Code]])*(QHPSelections2016[County Name]=HIX_RatingAreas[[#This Row],[Subdivision]]),0),MATCH("County Name",QHPSelections2016[#Headers],0))</f>
        <v>Bladen County</v>
      </c>
      <c r="M489" t="b">
        <f>L489=HIX_RatingAreas[[#This Row],[Subdivision]]</f>
        <v>1</v>
      </c>
      <c r="N489">
        <v>486</v>
      </c>
    </row>
    <row r="490" spans="3:14">
      <c r="C490" t="s">
        <v>45</v>
      </c>
      <c r="D490" t="s">
        <v>1548</v>
      </c>
      <c r="E490" t="s">
        <v>98</v>
      </c>
      <c r="F490" s="36">
        <v>9</v>
      </c>
      <c r="G490" t="s">
        <v>923</v>
      </c>
      <c r="I490" cm="1">
        <f t="array" ref="I490">_xlfn.IFNA(INDEX(QHPSelections2016[],MATCH(1,(QHPSelections2016[State Name]=HIX_RatingAreas[[#This Row],[State Code]])*(QHPSelections2016[County Name]=HIX_RatingAreas[[#This Row],[Subdivision]]),0),MATCH("Silver",QHPSelections2016[#Headers],0)),0)</f>
        <v>10108</v>
      </c>
      <c r="J490" cm="1">
        <f t="array" ref="J490">_xlfn.IFNA(INDEX(QHPSelections2016[],MATCH(1,(QHPSelections2016[State Name]=HIX_RatingAreas[[#This Row],[State Code]])*(QHPSelections2016[County Name]=HIX_RatingAreas[[#This Row],[Subdivision]]),0),MATCH("Total Plan Selections",QHPSelections2016[#Headers],0)),0)</f>
        <v>12611</v>
      </c>
      <c r="L490" t="str" cm="1">
        <f t="array" ref="L490">INDEX(QHPSelections2016[],MATCH(1,(QHPSelections2016[State Name]=HIX_RatingAreas[[#This Row],[State Code]])*(QHPSelections2016[County Name]=HIX_RatingAreas[[#This Row],[Subdivision]]),0),MATCH("County Name",QHPSelections2016[#Headers],0))</f>
        <v>Cumberland County</v>
      </c>
      <c r="M490" t="b">
        <f>L490=HIX_RatingAreas[[#This Row],[Subdivision]]</f>
        <v>1</v>
      </c>
      <c r="N490">
        <v>487</v>
      </c>
    </row>
    <row r="491" spans="3:14">
      <c r="C491" t="s">
        <v>45</v>
      </c>
      <c r="D491" t="s">
        <v>1548</v>
      </c>
      <c r="E491" t="s">
        <v>98</v>
      </c>
      <c r="F491" s="36">
        <v>9</v>
      </c>
      <c r="G491" t="s">
        <v>1052</v>
      </c>
      <c r="I491" cm="1">
        <f t="array" ref="I491">_xlfn.IFNA(INDEX(QHPSelections2016[],MATCH(1,(QHPSelections2016[State Name]=HIX_RatingAreas[[#This Row],[State Code]])*(QHPSelections2016[County Name]=HIX_RatingAreas[[#This Row],[Subdivision]]),0),MATCH("Silver",QHPSelections2016[#Headers],0)),0)</f>
        <v>4214</v>
      </c>
      <c r="J491" cm="1">
        <f t="array" ref="J491">_xlfn.IFNA(INDEX(QHPSelections2016[],MATCH(1,(QHPSelections2016[State Name]=HIX_RatingAreas[[#This Row],[State Code]])*(QHPSelections2016[County Name]=HIX_RatingAreas[[#This Row],[Subdivision]]),0),MATCH("Total Plan Selections",QHPSelections2016[#Headers],0)),0)</f>
        <v>5240</v>
      </c>
      <c r="L491" t="str" cm="1">
        <f t="array" ref="L491">INDEX(QHPSelections2016[],MATCH(1,(QHPSelections2016[State Name]=HIX_RatingAreas[[#This Row],[State Code]])*(QHPSelections2016[County Name]=HIX_RatingAreas[[#This Row],[Subdivision]]),0),MATCH("County Name",QHPSelections2016[#Headers],0))</f>
        <v>Harnett County</v>
      </c>
      <c r="M491" t="b">
        <f>L491=HIX_RatingAreas[[#This Row],[Subdivision]]</f>
        <v>1</v>
      </c>
      <c r="N491">
        <v>488</v>
      </c>
    </row>
    <row r="492" spans="3:14">
      <c r="C492" t="s">
        <v>45</v>
      </c>
      <c r="D492" t="s">
        <v>1548</v>
      </c>
      <c r="E492" t="s">
        <v>98</v>
      </c>
      <c r="F492" s="36">
        <v>9</v>
      </c>
      <c r="G492" t="s">
        <v>1069</v>
      </c>
      <c r="I492" cm="1">
        <f t="array" ref="I492">_xlfn.IFNA(INDEX(QHPSelections2016[],MATCH(1,(QHPSelections2016[State Name]=HIX_RatingAreas[[#This Row],[State Code]])*(QHPSelections2016[County Name]=HIX_RatingAreas[[#This Row],[Subdivision]]),0),MATCH("Silver",QHPSelections2016[#Headers],0)),0)</f>
        <v>1648</v>
      </c>
      <c r="J492" cm="1">
        <f t="array" ref="J492">_xlfn.IFNA(INDEX(QHPSelections2016[],MATCH(1,(QHPSelections2016[State Name]=HIX_RatingAreas[[#This Row],[State Code]])*(QHPSelections2016[County Name]=HIX_RatingAreas[[#This Row],[Subdivision]]),0),MATCH("Total Plan Selections",QHPSelections2016[#Headers],0)),0)</f>
        <v>1947</v>
      </c>
      <c r="L492" t="str" cm="1">
        <f t="array" ref="L492">INDEX(QHPSelections2016[],MATCH(1,(QHPSelections2016[State Name]=HIX_RatingAreas[[#This Row],[State Code]])*(QHPSelections2016[County Name]=HIX_RatingAreas[[#This Row],[Subdivision]]),0),MATCH("County Name",QHPSelections2016[#Headers],0))</f>
        <v>Hoke County</v>
      </c>
      <c r="M492" t="b">
        <f>L492=HIX_RatingAreas[[#This Row],[Subdivision]]</f>
        <v>1</v>
      </c>
      <c r="N492">
        <v>489</v>
      </c>
    </row>
    <row r="493" spans="3:14">
      <c r="C493" t="s">
        <v>45</v>
      </c>
      <c r="D493" t="s">
        <v>1548</v>
      </c>
      <c r="E493" t="s">
        <v>98</v>
      </c>
      <c r="F493" s="36">
        <v>9</v>
      </c>
      <c r="G493" t="s">
        <v>1210</v>
      </c>
      <c r="I493" cm="1">
        <f t="array" ref="I493">_xlfn.IFNA(INDEX(QHPSelections2016[],MATCH(1,(QHPSelections2016[State Name]=HIX_RatingAreas[[#This Row],[State Code]])*(QHPSelections2016[County Name]=HIX_RatingAreas[[#This Row],[Subdivision]]),0),MATCH("Silver",QHPSelections2016[#Headers],0)),0)</f>
        <v>1545</v>
      </c>
      <c r="J493" cm="1">
        <f t="array" ref="J493">_xlfn.IFNA(INDEX(QHPSelections2016[],MATCH(1,(QHPSelections2016[State Name]=HIX_RatingAreas[[#This Row],[State Code]])*(QHPSelections2016[County Name]=HIX_RatingAreas[[#This Row],[Subdivision]]),0),MATCH("Total Plan Selections",QHPSelections2016[#Headers],0)),0)</f>
        <v>1829</v>
      </c>
      <c r="L493" t="str" cm="1">
        <f t="array" ref="L493">INDEX(QHPSelections2016[],MATCH(1,(QHPSelections2016[State Name]=HIX_RatingAreas[[#This Row],[State Code]])*(QHPSelections2016[County Name]=HIX_RatingAreas[[#This Row],[Subdivision]]),0),MATCH("County Name",QHPSelections2016[#Headers],0))</f>
        <v>Richmond County</v>
      </c>
      <c r="M493" t="b">
        <f>L493=HIX_RatingAreas[[#This Row],[Subdivision]]</f>
        <v>1</v>
      </c>
      <c r="N493">
        <v>490</v>
      </c>
    </row>
    <row r="494" spans="3:14">
      <c r="C494" t="s">
        <v>45</v>
      </c>
      <c r="D494" t="s">
        <v>1548</v>
      </c>
      <c r="E494" t="s">
        <v>98</v>
      </c>
      <c r="F494" s="36">
        <v>9</v>
      </c>
      <c r="G494" t="s">
        <v>1213</v>
      </c>
      <c r="I494" cm="1">
        <f t="array" ref="I494">_xlfn.IFNA(INDEX(QHPSelections2016[],MATCH(1,(QHPSelections2016[State Name]=HIX_RatingAreas[[#This Row],[State Code]])*(QHPSelections2016[County Name]=HIX_RatingAreas[[#This Row],[Subdivision]]),0),MATCH("Silver",QHPSelections2016[#Headers],0)),0)</f>
        <v>7091</v>
      </c>
      <c r="J494" cm="1">
        <f t="array" ref="J494">_xlfn.IFNA(INDEX(QHPSelections2016[],MATCH(1,(QHPSelections2016[State Name]=HIX_RatingAreas[[#This Row],[State Code]])*(QHPSelections2016[County Name]=HIX_RatingAreas[[#This Row],[Subdivision]]),0),MATCH("Total Plan Selections",QHPSelections2016[#Headers],0)),0)</f>
        <v>7977</v>
      </c>
      <c r="L494" t="str" cm="1">
        <f t="array" ref="L494">INDEX(QHPSelections2016[],MATCH(1,(QHPSelections2016[State Name]=HIX_RatingAreas[[#This Row],[State Code]])*(QHPSelections2016[County Name]=HIX_RatingAreas[[#This Row],[Subdivision]]),0),MATCH("County Name",QHPSelections2016[#Headers],0))</f>
        <v>Robeson County</v>
      </c>
      <c r="M494" t="b">
        <f>L494=HIX_RatingAreas[[#This Row],[Subdivision]]</f>
        <v>1</v>
      </c>
      <c r="N494">
        <v>491</v>
      </c>
    </row>
    <row r="495" spans="3:14">
      <c r="C495" t="s">
        <v>45</v>
      </c>
      <c r="D495" t="s">
        <v>1548</v>
      </c>
      <c r="E495" t="s">
        <v>98</v>
      </c>
      <c r="F495" s="36">
        <v>9</v>
      </c>
      <c r="G495" t="s">
        <v>1226</v>
      </c>
      <c r="I495" cm="1">
        <f t="array" ref="I495">_xlfn.IFNA(INDEX(QHPSelections2016[],MATCH(1,(QHPSelections2016[State Name]=HIX_RatingAreas[[#This Row],[State Code]])*(QHPSelections2016[County Name]=HIX_RatingAreas[[#This Row],[Subdivision]]),0),MATCH("Silver",QHPSelections2016[#Headers],0)),0)</f>
        <v>2559</v>
      </c>
      <c r="J495" cm="1">
        <f t="array" ref="J495">_xlfn.IFNA(INDEX(QHPSelections2016[],MATCH(1,(QHPSelections2016[State Name]=HIX_RatingAreas[[#This Row],[State Code]])*(QHPSelections2016[County Name]=HIX_RatingAreas[[#This Row],[Subdivision]]),0),MATCH("Total Plan Selections",QHPSelections2016[#Headers],0)),0)</f>
        <v>2999</v>
      </c>
      <c r="L495" t="str" cm="1">
        <f t="array" ref="L495">INDEX(QHPSelections2016[],MATCH(1,(QHPSelections2016[State Name]=HIX_RatingAreas[[#This Row],[State Code]])*(QHPSelections2016[County Name]=HIX_RatingAreas[[#This Row],[Subdivision]]),0),MATCH("County Name",QHPSelections2016[#Headers],0))</f>
        <v>Sampson County</v>
      </c>
      <c r="M495" t="b">
        <f>L495=HIX_RatingAreas[[#This Row],[Subdivision]]</f>
        <v>1</v>
      </c>
      <c r="N495">
        <v>492</v>
      </c>
    </row>
    <row r="496" spans="3:14">
      <c r="C496" t="s">
        <v>45</v>
      </c>
      <c r="D496" t="s">
        <v>1548</v>
      </c>
      <c r="E496" t="s">
        <v>98</v>
      </c>
      <c r="F496" s="36">
        <v>9</v>
      </c>
      <c r="G496" t="s">
        <v>1229</v>
      </c>
      <c r="I496" cm="1">
        <f t="array" ref="I496">_xlfn.IFNA(INDEX(QHPSelections2016[],MATCH(1,(QHPSelections2016[State Name]=HIX_RatingAreas[[#This Row],[State Code]])*(QHPSelections2016[County Name]=HIX_RatingAreas[[#This Row],[Subdivision]]),0),MATCH("Silver",QHPSelections2016[#Headers],0)),0)</f>
        <v>1329</v>
      </c>
      <c r="J496" cm="1">
        <f t="array" ref="J496">_xlfn.IFNA(INDEX(QHPSelections2016[],MATCH(1,(QHPSelections2016[State Name]=HIX_RatingAreas[[#This Row],[State Code]])*(QHPSelections2016[County Name]=HIX_RatingAreas[[#This Row],[Subdivision]]),0),MATCH("Total Plan Selections",QHPSelections2016[#Headers],0)),0)</f>
        <v>1528</v>
      </c>
      <c r="L496" t="str" cm="1">
        <f t="array" ref="L496">INDEX(QHPSelections2016[],MATCH(1,(QHPSelections2016[State Name]=HIX_RatingAreas[[#This Row],[State Code]])*(QHPSelections2016[County Name]=HIX_RatingAreas[[#This Row],[Subdivision]]),0),MATCH("County Name",QHPSelections2016[#Headers],0))</f>
        <v>Scotland County</v>
      </c>
      <c r="M496" t="b">
        <f>L496=HIX_RatingAreas[[#This Row],[Subdivision]]</f>
        <v>1</v>
      </c>
      <c r="N496">
        <v>493</v>
      </c>
    </row>
    <row r="497" spans="3:14">
      <c r="C497" t="s">
        <v>45</v>
      </c>
      <c r="D497" t="s">
        <v>1548</v>
      </c>
      <c r="E497" t="s">
        <v>101</v>
      </c>
      <c r="F497" s="36">
        <v>10</v>
      </c>
      <c r="G497" t="s">
        <v>1032</v>
      </c>
      <c r="I497" cm="1">
        <f t="array" ref="I497">_xlfn.IFNA(INDEX(QHPSelections2016[],MATCH(1,(QHPSelections2016[State Name]=HIX_RatingAreas[[#This Row],[State Code]])*(QHPSelections2016[County Name]=HIX_RatingAreas[[#This Row],[Subdivision]]),0),MATCH("Silver",QHPSelections2016[#Headers],0)),0)</f>
        <v>1884</v>
      </c>
      <c r="J497" cm="1">
        <f t="array" ref="J497">_xlfn.IFNA(INDEX(QHPSelections2016[],MATCH(1,(QHPSelections2016[State Name]=HIX_RatingAreas[[#This Row],[State Code]])*(QHPSelections2016[County Name]=HIX_RatingAreas[[#This Row],[Subdivision]]),0),MATCH("Total Plan Selections",QHPSelections2016[#Headers],0)),0)</f>
        <v>2630</v>
      </c>
      <c r="L497" t="str" cm="1">
        <f t="array" ref="L497">INDEX(QHPSelections2016[],MATCH(1,(QHPSelections2016[State Name]=HIX_RatingAreas[[#This Row],[State Code]])*(QHPSelections2016[County Name]=HIX_RatingAreas[[#This Row],[Subdivision]]),0),MATCH("County Name",QHPSelections2016[#Headers],0))</f>
        <v>Granville County</v>
      </c>
      <c r="M497" t="b">
        <f>L497=HIX_RatingAreas[[#This Row],[Subdivision]]</f>
        <v>1</v>
      </c>
      <c r="N497">
        <v>494</v>
      </c>
    </row>
    <row r="498" spans="3:14">
      <c r="C498" t="s">
        <v>45</v>
      </c>
      <c r="D498" t="s">
        <v>1548</v>
      </c>
      <c r="E498" t="s">
        <v>101</v>
      </c>
      <c r="F498" s="36">
        <v>10</v>
      </c>
      <c r="G498" t="s">
        <v>1252</v>
      </c>
      <c r="I498" cm="1">
        <f t="array" ref="I498">_xlfn.IFNA(INDEX(QHPSelections2016[],MATCH(1,(QHPSelections2016[State Name]=HIX_RatingAreas[[#This Row],[State Code]])*(QHPSelections2016[County Name]=HIX_RatingAreas[[#This Row],[Subdivision]]),0),MATCH("Silver",QHPSelections2016[#Headers],0)),0)</f>
        <v>1660</v>
      </c>
      <c r="J498" cm="1">
        <f t="array" ref="J498">_xlfn.IFNA(INDEX(QHPSelections2016[],MATCH(1,(QHPSelections2016[State Name]=HIX_RatingAreas[[#This Row],[State Code]])*(QHPSelections2016[County Name]=HIX_RatingAreas[[#This Row],[Subdivision]]),0),MATCH("Total Plan Selections",QHPSelections2016[#Headers],0)),0)</f>
        <v>2335</v>
      </c>
      <c r="L498" t="str" cm="1">
        <f t="array" ref="L498">INDEX(QHPSelections2016[],MATCH(1,(QHPSelections2016[State Name]=HIX_RatingAreas[[#This Row],[State Code]])*(QHPSelections2016[County Name]=HIX_RatingAreas[[#This Row],[Subdivision]]),0),MATCH("County Name",QHPSelections2016[#Headers],0))</f>
        <v>Vance County</v>
      </c>
      <c r="M498" t="b">
        <f>L498=HIX_RatingAreas[[#This Row],[Subdivision]]</f>
        <v>1</v>
      </c>
      <c r="N498">
        <v>495</v>
      </c>
    </row>
    <row r="499" spans="3:14">
      <c r="C499" t="s">
        <v>45</v>
      </c>
      <c r="D499" t="s">
        <v>1548</v>
      </c>
      <c r="E499" t="s">
        <v>101</v>
      </c>
      <c r="F499" s="36">
        <v>10</v>
      </c>
      <c r="G499" t="s">
        <v>1205</v>
      </c>
      <c r="I499" cm="1">
        <f t="array" ref="I499">_xlfn.IFNA(INDEX(QHPSelections2016[],MATCH(1,(QHPSelections2016[State Name]=HIX_RatingAreas[[#This Row],[State Code]])*(QHPSelections2016[County Name]=HIX_RatingAreas[[#This Row],[Subdivision]]),0),MATCH("Silver",QHPSelections2016[#Headers],0)),0)</f>
        <v>662</v>
      </c>
      <c r="J499" cm="1">
        <f t="array" ref="J499">_xlfn.IFNA(INDEX(QHPSelections2016[],MATCH(1,(QHPSelections2016[State Name]=HIX_RatingAreas[[#This Row],[State Code]])*(QHPSelections2016[County Name]=HIX_RatingAreas[[#This Row],[Subdivision]]),0),MATCH("Total Plan Selections",QHPSelections2016[#Headers],0)),0)</f>
        <v>851</v>
      </c>
      <c r="L499" t="str" cm="1">
        <f t="array" ref="L499">INDEX(QHPSelections2016[],MATCH(1,(QHPSelections2016[State Name]=HIX_RatingAreas[[#This Row],[State Code]])*(QHPSelections2016[County Name]=HIX_RatingAreas[[#This Row],[Subdivision]]),0),MATCH("County Name",QHPSelections2016[#Headers],0))</f>
        <v>Warren County</v>
      </c>
      <c r="M499" t="b">
        <f>L499=HIX_RatingAreas[[#This Row],[Subdivision]]</f>
        <v>1</v>
      </c>
      <c r="N499">
        <v>496</v>
      </c>
    </row>
    <row r="500" spans="3:14">
      <c r="C500" t="s">
        <v>45</v>
      </c>
      <c r="D500" t="s">
        <v>1548</v>
      </c>
      <c r="E500" t="s">
        <v>103</v>
      </c>
      <c r="F500" s="36">
        <v>11</v>
      </c>
      <c r="G500" t="s">
        <v>821</v>
      </c>
      <c r="I500" cm="1">
        <f t="array" ref="I500">_xlfn.IFNA(INDEX(QHPSelections2016[],MATCH(1,(QHPSelections2016[State Name]=HIX_RatingAreas[[#This Row],[State Code]])*(QHPSelections2016[County Name]=HIX_RatingAreas[[#This Row],[Subdivision]]),0),MATCH("Silver",QHPSelections2016[#Headers],0)),0)</f>
        <v>5958</v>
      </c>
      <c r="J500" cm="1">
        <f t="array" ref="J500">_xlfn.IFNA(INDEX(QHPSelections2016[],MATCH(1,(QHPSelections2016[State Name]=HIX_RatingAreas[[#This Row],[State Code]])*(QHPSelections2016[County Name]=HIX_RatingAreas[[#This Row],[Subdivision]]),0),MATCH("Total Plan Selections",QHPSelections2016[#Headers],0)),0)</f>
        <v>8028</v>
      </c>
      <c r="L500" t="str" cm="1">
        <f t="array" ref="L500">INDEX(QHPSelections2016[],MATCH(1,(QHPSelections2016[State Name]=HIX_RatingAreas[[#This Row],[State Code]])*(QHPSelections2016[County Name]=HIX_RatingAreas[[#This Row],[Subdivision]]),0),MATCH("County Name",QHPSelections2016[#Headers],0))</f>
        <v>Alamance County</v>
      </c>
      <c r="M500" t="b">
        <f>L500=HIX_RatingAreas[[#This Row],[Subdivision]]</f>
        <v>1</v>
      </c>
      <c r="N500">
        <v>497</v>
      </c>
    </row>
    <row r="501" spans="3:14">
      <c r="C501" t="s">
        <v>45</v>
      </c>
      <c r="D501" t="s">
        <v>1548</v>
      </c>
      <c r="E501" t="s">
        <v>103</v>
      </c>
      <c r="F501" s="36">
        <v>11</v>
      </c>
      <c r="G501" t="s">
        <v>915</v>
      </c>
      <c r="I501" cm="1">
        <f t="array" ref="I501">_xlfn.IFNA(INDEX(QHPSelections2016[],MATCH(1,(QHPSelections2016[State Name]=HIX_RatingAreas[[#This Row],[State Code]])*(QHPSelections2016[County Name]=HIX_RatingAreas[[#This Row],[Subdivision]]),0),MATCH("Silver",QHPSelections2016[#Headers],0)),0)</f>
        <v>906</v>
      </c>
      <c r="J501" cm="1">
        <f t="array" ref="J501">_xlfn.IFNA(INDEX(QHPSelections2016[],MATCH(1,(QHPSelections2016[State Name]=HIX_RatingAreas[[#This Row],[State Code]])*(QHPSelections2016[County Name]=HIX_RatingAreas[[#This Row],[Subdivision]]),0),MATCH("Total Plan Selections",QHPSelections2016[#Headers],0)),0)</f>
        <v>1086</v>
      </c>
      <c r="L501" t="str" cm="1">
        <f t="array" ref="L501">INDEX(QHPSelections2016[],MATCH(1,(QHPSelections2016[State Name]=HIX_RatingAreas[[#This Row],[State Code]])*(QHPSelections2016[County Name]=HIX_RatingAreas[[#This Row],[Subdivision]]),0),MATCH("County Name",QHPSelections2016[#Headers],0))</f>
        <v>Caswell County</v>
      </c>
      <c r="M501" t="b">
        <f>L501=HIX_RatingAreas[[#This Row],[Subdivision]]</f>
        <v>1</v>
      </c>
      <c r="N501">
        <v>498</v>
      </c>
    </row>
    <row r="502" spans="3:14">
      <c r="C502" t="s">
        <v>45</v>
      </c>
      <c r="D502" t="s">
        <v>1548</v>
      </c>
      <c r="E502" t="s">
        <v>103</v>
      </c>
      <c r="F502" s="36">
        <v>11</v>
      </c>
      <c r="G502" t="s">
        <v>927</v>
      </c>
      <c r="I502" cm="1">
        <f t="array" ref="I502">_xlfn.IFNA(INDEX(QHPSelections2016[],MATCH(1,(QHPSelections2016[State Name]=HIX_RatingAreas[[#This Row],[State Code]])*(QHPSelections2016[County Name]=HIX_RatingAreas[[#This Row],[Subdivision]]),0),MATCH("Silver",QHPSelections2016[#Headers],0)),0)</f>
        <v>2960</v>
      </c>
      <c r="J502" cm="1">
        <f t="array" ref="J502">_xlfn.IFNA(INDEX(QHPSelections2016[],MATCH(1,(QHPSelections2016[State Name]=HIX_RatingAreas[[#This Row],[State Code]])*(QHPSelections2016[County Name]=HIX_RatingAreas[[#This Row],[Subdivision]]),0),MATCH("Total Plan Selections",QHPSelections2016[#Headers],0)),0)</f>
        <v>4103</v>
      </c>
      <c r="L502" t="str" cm="1">
        <f t="array" ref="L502">INDEX(QHPSelections2016[],MATCH(1,(QHPSelections2016[State Name]=HIX_RatingAreas[[#This Row],[State Code]])*(QHPSelections2016[County Name]=HIX_RatingAreas[[#This Row],[Subdivision]]),0),MATCH("County Name",QHPSelections2016[#Headers],0))</f>
        <v>Chatham County</v>
      </c>
      <c r="M502" t="b">
        <f>L502=HIX_RatingAreas[[#This Row],[Subdivision]]</f>
        <v>1</v>
      </c>
      <c r="N502">
        <v>499</v>
      </c>
    </row>
    <row r="503" spans="3:14">
      <c r="C503" t="s">
        <v>45</v>
      </c>
      <c r="D503" t="s">
        <v>1548</v>
      </c>
      <c r="E503" t="s">
        <v>103</v>
      </c>
      <c r="F503" s="36">
        <v>11</v>
      </c>
      <c r="G503" t="s">
        <v>995</v>
      </c>
      <c r="I503" cm="1">
        <f t="array" ref="I503">_xlfn.IFNA(INDEX(QHPSelections2016[],MATCH(1,(QHPSelections2016[State Name]=HIX_RatingAreas[[#This Row],[State Code]])*(QHPSelections2016[County Name]=HIX_RatingAreas[[#This Row],[Subdivision]]),0),MATCH("Silver",QHPSelections2016[#Headers],0)),0)</f>
        <v>11417</v>
      </c>
      <c r="J503" cm="1">
        <f t="array" ref="J503">_xlfn.IFNA(INDEX(QHPSelections2016[],MATCH(1,(QHPSelections2016[State Name]=HIX_RatingAreas[[#This Row],[State Code]])*(QHPSelections2016[County Name]=HIX_RatingAreas[[#This Row],[Subdivision]]),0),MATCH("Total Plan Selections",QHPSelections2016[#Headers],0)),0)</f>
        <v>17258</v>
      </c>
      <c r="L503" t="str" cm="1">
        <f t="array" ref="L503">INDEX(QHPSelections2016[],MATCH(1,(QHPSelections2016[State Name]=HIX_RatingAreas[[#This Row],[State Code]])*(QHPSelections2016[County Name]=HIX_RatingAreas[[#This Row],[Subdivision]]),0),MATCH("County Name",QHPSelections2016[#Headers],0))</f>
        <v>Durham County</v>
      </c>
      <c r="M503" t="b">
        <f>L503=HIX_RatingAreas[[#This Row],[Subdivision]]</f>
        <v>1</v>
      </c>
      <c r="N503">
        <v>500</v>
      </c>
    </row>
    <row r="504" spans="3:14">
      <c r="C504" t="s">
        <v>45</v>
      </c>
      <c r="D504" t="s">
        <v>1548</v>
      </c>
      <c r="E504" t="s">
        <v>103</v>
      </c>
      <c r="F504" s="36">
        <v>11</v>
      </c>
      <c r="G504" t="s">
        <v>1010</v>
      </c>
      <c r="I504" cm="1">
        <f t="array" ref="I504">_xlfn.IFNA(INDEX(QHPSelections2016[],MATCH(1,(QHPSelections2016[State Name]=HIX_RatingAreas[[#This Row],[State Code]])*(QHPSelections2016[County Name]=HIX_RatingAreas[[#This Row],[Subdivision]]),0),MATCH("Silver",QHPSelections2016[#Headers],0)),0)</f>
        <v>2355</v>
      </c>
      <c r="J504" cm="1">
        <f t="array" ref="J504">_xlfn.IFNA(INDEX(QHPSelections2016[],MATCH(1,(QHPSelections2016[State Name]=HIX_RatingAreas[[#This Row],[State Code]])*(QHPSelections2016[County Name]=HIX_RatingAreas[[#This Row],[Subdivision]]),0),MATCH("Total Plan Selections",QHPSelections2016[#Headers],0)),0)</f>
        <v>2882</v>
      </c>
      <c r="L504" t="str" cm="1">
        <f t="array" ref="L504">INDEX(QHPSelections2016[],MATCH(1,(QHPSelections2016[State Name]=HIX_RatingAreas[[#This Row],[State Code]])*(QHPSelections2016[County Name]=HIX_RatingAreas[[#This Row],[Subdivision]]),0),MATCH("County Name",QHPSelections2016[#Headers],0))</f>
        <v>Lee County</v>
      </c>
      <c r="M504" t="b">
        <f>L504=HIX_RatingAreas[[#This Row],[Subdivision]]</f>
        <v>1</v>
      </c>
      <c r="N504">
        <v>501</v>
      </c>
    </row>
    <row r="505" spans="3:14">
      <c r="C505" t="s">
        <v>45</v>
      </c>
      <c r="D505" t="s">
        <v>1548</v>
      </c>
      <c r="E505" t="s">
        <v>103</v>
      </c>
      <c r="F505" s="36">
        <v>11</v>
      </c>
      <c r="G505" t="s">
        <v>1072</v>
      </c>
      <c r="I505" cm="1">
        <f t="array" ref="I505">_xlfn.IFNA(INDEX(QHPSelections2016[],MATCH(1,(QHPSelections2016[State Name]=HIX_RatingAreas[[#This Row],[State Code]])*(QHPSelections2016[County Name]=HIX_RatingAreas[[#This Row],[Subdivision]]),0),MATCH("Silver",QHPSelections2016[#Headers],0)),0)</f>
        <v>5211</v>
      </c>
      <c r="J505" cm="1">
        <f t="array" ref="J505">_xlfn.IFNA(INDEX(QHPSelections2016[],MATCH(1,(QHPSelections2016[State Name]=HIX_RatingAreas[[#This Row],[State Code]])*(QHPSelections2016[County Name]=HIX_RatingAreas[[#This Row],[Subdivision]]),0),MATCH("Total Plan Selections",QHPSelections2016[#Headers],0)),0)</f>
        <v>8081</v>
      </c>
      <c r="L505" t="str" cm="1">
        <f t="array" ref="L505">INDEX(QHPSelections2016[],MATCH(1,(QHPSelections2016[State Name]=HIX_RatingAreas[[#This Row],[State Code]])*(QHPSelections2016[County Name]=HIX_RatingAreas[[#This Row],[Subdivision]]),0),MATCH("County Name",QHPSelections2016[#Headers],0))</f>
        <v>Orange County</v>
      </c>
      <c r="M505" t="b">
        <f>L505=HIX_RatingAreas[[#This Row],[Subdivision]]</f>
        <v>1</v>
      </c>
      <c r="N505">
        <v>502</v>
      </c>
    </row>
    <row r="506" spans="3:14">
      <c r="C506" t="s">
        <v>45</v>
      </c>
      <c r="D506" t="s">
        <v>1548</v>
      </c>
      <c r="E506" t="s">
        <v>103</v>
      </c>
      <c r="F506" s="36">
        <v>11</v>
      </c>
      <c r="G506" t="s">
        <v>1198</v>
      </c>
      <c r="I506" cm="1">
        <f t="array" ref="I506">_xlfn.IFNA(INDEX(QHPSelections2016[],MATCH(1,(QHPSelections2016[State Name]=HIX_RatingAreas[[#This Row],[State Code]])*(QHPSelections2016[County Name]=HIX_RatingAreas[[#This Row],[Subdivision]]),0),MATCH("Silver",QHPSelections2016[#Headers],0)),0)</f>
        <v>1644</v>
      </c>
      <c r="J506" cm="1">
        <f t="array" ref="J506">_xlfn.IFNA(INDEX(QHPSelections2016[],MATCH(1,(QHPSelections2016[State Name]=HIX_RatingAreas[[#This Row],[State Code]])*(QHPSelections2016[County Name]=HIX_RatingAreas[[#This Row],[Subdivision]]),0),MATCH("Total Plan Selections",QHPSelections2016[#Headers],0)),0)</f>
        <v>2175</v>
      </c>
      <c r="L506" t="str" cm="1">
        <f t="array" ref="L506">INDEX(QHPSelections2016[],MATCH(1,(QHPSelections2016[State Name]=HIX_RatingAreas[[#This Row],[State Code]])*(QHPSelections2016[County Name]=HIX_RatingAreas[[#This Row],[Subdivision]]),0),MATCH("County Name",QHPSelections2016[#Headers],0))</f>
        <v>Person County</v>
      </c>
      <c r="M506" t="b">
        <f>L506=HIX_RatingAreas[[#This Row],[Subdivision]]</f>
        <v>1</v>
      </c>
      <c r="N506">
        <v>503</v>
      </c>
    </row>
    <row r="507" spans="3:14">
      <c r="C507" t="s">
        <v>45</v>
      </c>
      <c r="D507" t="s">
        <v>1548</v>
      </c>
      <c r="E507" t="s">
        <v>108</v>
      </c>
      <c r="F507" s="36">
        <v>12</v>
      </c>
      <c r="G507" t="s">
        <v>863</v>
      </c>
      <c r="I507" cm="1">
        <f t="array" ref="I507">_xlfn.IFNA(INDEX(QHPSelections2016[],MATCH(1,(QHPSelections2016[State Name]=HIX_RatingAreas[[#This Row],[State Code]])*(QHPSelections2016[County Name]=HIX_RatingAreas[[#This Row],[Subdivision]]),0),MATCH("Silver",QHPSelections2016[#Headers],0)),0)</f>
        <v>864</v>
      </c>
      <c r="J507" cm="1">
        <f t="array" ref="J507">_xlfn.IFNA(INDEX(QHPSelections2016[],MATCH(1,(QHPSelections2016[State Name]=HIX_RatingAreas[[#This Row],[State Code]])*(QHPSelections2016[County Name]=HIX_RatingAreas[[#This Row],[Subdivision]]),0),MATCH("Total Plan Selections",QHPSelections2016[#Headers],0)),0)</f>
        <v>969</v>
      </c>
      <c r="L507" t="str" cm="1">
        <f t="array" ref="L507">INDEX(QHPSelections2016[],MATCH(1,(QHPSelections2016[State Name]=HIX_RatingAreas[[#This Row],[State Code]])*(QHPSelections2016[County Name]=HIX_RatingAreas[[#This Row],[Subdivision]]),0),MATCH("County Name",QHPSelections2016[#Headers],0))</f>
        <v>Bertie County</v>
      </c>
      <c r="M507" t="b">
        <f>L507=HIX_RatingAreas[[#This Row],[Subdivision]]</f>
        <v>1</v>
      </c>
      <c r="N507">
        <v>504</v>
      </c>
    </row>
    <row r="508" spans="3:14">
      <c r="C508" t="s">
        <v>45</v>
      </c>
      <c r="D508" t="s">
        <v>1548</v>
      </c>
      <c r="E508" t="s">
        <v>108</v>
      </c>
      <c r="F508" s="36">
        <v>12</v>
      </c>
      <c r="G508" t="s">
        <v>904</v>
      </c>
      <c r="I508" cm="1">
        <f t="array" ref="I508">_xlfn.IFNA(INDEX(QHPSelections2016[],MATCH(1,(QHPSelections2016[State Name]=HIX_RatingAreas[[#This Row],[State Code]])*(QHPSelections2016[County Name]=HIX_RatingAreas[[#This Row],[Subdivision]]),0),MATCH("Silver",QHPSelections2016[#Headers],0)),0)</f>
        <v>337</v>
      </c>
      <c r="J508" cm="1">
        <f t="array" ref="J508">_xlfn.IFNA(INDEX(QHPSelections2016[],MATCH(1,(QHPSelections2016[State Name]=HIX_RatingAreas[[#This Row],[State Code]])*(QHPSelections2016[County Name]=HIX_RatingAreas[[#This Row],[Subdivision]]),0),MATCH("Total Plan Selections",QHPSelections2016[#Headers],0)),0)</f>
        <v>418</v>
      </c>
      <c r="L508" t="str" cm="1">
        <f t="array" ref="L508">INDEX(QHPSelections2016[],MATCH(1,(QHPSelections2016[State Name]=HIX_RatingAreas[[#This Row],[State Code]])*(QHPSelections2016[County Name]=HIX_RatingAreas[[#This Row],[Subdivision]]),0),MATCH("County Name",QHPSelections2016[#Headers],0))</f>
        <v>Camden County</v>
      </c>
      <c r="M508" t="b">
        <f>L508=HIX_RatingAreas[[#This Row],[Subdivision]]</f>
        <v>1</v>
      </c>
      <c r="N508">
        <v>505</v>
      </c>
    </row>
    <row r="509" spans="3:14">
      <c r="C509" t="s">
        <v>45</v>
      </c>
      <c r="D509" t="s">
        <v>1548</v>
      </c>
      <c r="E509" t="s">
        <v>108</v>
      </c>
      <c r="F509" s="36">
        <v>12</v>
      </c>
      <c r="G509" t="s">
        <v>938</v>
      </c>
      <c r="I509" cm="1">
        <f t="array" ref="I509">_xlfn.IFNA(INDEX(QHPSelections2016[],MATCH(1,(QHPSelections2016[State Name]=HIX_RatingAreas[[#This Row],[State Code]])*(QHPSelections2016[County Name]=HIX_RatingAreas[[#This Row],[Subdivision]]),0),MATCH("Silver",QHPSelections2016[#Headers],0)),0)</f>
        <v>601</v>
      </c>
      <c r="J509" cm="1">
        <f t="array" ref="J509">_xlfn.IFNA(INDEX(QHPSelections2016[],MATCH(1,(QHPSelections2016[State Name]=HIX_RatingAreas[[#This Row],[State Code]])*(QHPSelections2016[County Name]=HIX_RatingAreas[[#This Row],[Subdivision]]),0),MATCH("Total Plan Selections",QHPSelections2016[#Headers],0)),0)</f>
        <v>745</v>
      </c>
      <c r="L509" t="str" cm="1">
        <f t="array" ref="L509">INDEX(QHPSelections2016[],MATCH(1,(QHPSelections2016[State Name]=HIX_RatingAreas[[#This Row],[State Code]])*(QHPSelections2016[County Name]=HIX_RatingAreas[[#This Row],[Subdivision]]),0),MATCH("County Name",QHPSelections2016[#Headers],0))</f>
        <v>Chowan County</v>
      </c>
      <c r="M509" t="b">
        <f>L509=HIX_RatingAreas[[#This Row],[Subdivision]]</f>
        <v>1</v>
      </c>
      <c r="N509">
        <v>506</v>
      </c>
    </row>
    <row r="510" spans="3:14">
      <c r="C510" t="s">
        <v>45</v>
      </c>
      <c r="D510" t="s">
        <v>1548</v>
      </c>
      <c r="E510" t="s">
        <v>108</v>
      </c>
      <c r="F510" s="36">
        <v>12</v>
      </c>
      <c r="G510" t="s">
        <v>972</v>
      </c>
      <c r="I510" cm="1">
        <f t="array" ref="I510">_xlfn.IFNA(INDEX(QHPSelections2016[],MATCH(1,(QHPSelections2016[State Name]=HIX_RatingAreas[[#This Row],[State Code]])*(QHPSelections2016[County Name]=HIX_RatingAreas[[#This Row],[Subdivision]]),0),MATCH("Silver",QHPSelections2016[#Headers],0)),0)</f>
        <v>1222</v>
      </c>
      <c r="J510" cm="1">
        <f t="array" ref="J510">_xlfn.IFNA(INDEX(QHPSelections2016[],MATCH(1,(QHPSelections2016[State Name]=HIX_RatingAreas[[#This Row],[State Code]])*(QHPSelections2016[County Name]=HIX_RatingAreas[[#This Row],[Subdivision]]),0),MATCH("Total Plan Selections",QHPSelections2016[#Headers],0)),0)</f>
        <v>1558</v>
      </c>
      <c r="L510" t="str" cm="1">
        <f t="array" ref="L510">INDEX(QHPSelections2016[],MATCH(1,(QHPSelections2016[State Name]=HIX_RatingAreas[[#This Row],[State Code]])*(QHPSelections2016[County Name]=HIX_RatingAreas[[#This Row],[Subdivision]]),0),MATCH("County Name",QHPSelections2016[#Headers],0))</f>
        <v>Currituck County</v>
      </c>
      <c r="M510" t="b">
        <f>L510=HIX_RatingAreas[[#This Row],[Subdivision]]</f>
        <v>1</v>
      </c>
      <c r="N510">
        <v>507</v>
      </c>
    </row>
    <row r="511" spans="3:14">
      <c r="C511" t="s">
        <v>45</v>
      </c>
      <c r="D511" t="s">
        <v>1548</v>
      </c>
      <c r="E511" t="s">
        <v>108</v>
      </c>
      <c r="F511" s="36">
        <v>12</v>
      </c>
      <c r="G511" t="s">
        <v>1021</v>
      </c>
      <c r="I511" cm="1">
        <f t="array" ref="I511">_xlfn.IFNA(INDEX(QHPSelections2016[],MATCH(1,(QHPSelections2016[State Name]=HIX_RatingAreas[[#This Row],[State Code]])*(QHPSelections2016[County Name]=HIX_RatingAreas[[#This Row],[Subdivision]]),0),MATCH("Silver",QHPSelections2016[#Headers],0)),0)</f>
        <v>341</v>
      </c>
      <c r="J511" cm="1">
        <f t="array" ref="J511">_xlfn.IFNA(INDEX(QHPSelections2016[],MATCH(1,(QHPSelections2016[State Name]=HIX_RatingAreas[[#This Row],[State Code]])*(QHPSelections2016[County Name]=HIX_RatingAreas[[#This Row],[Subdivision]]),0),MATCH("Total Plan Selections",QHPSelections2016[#Headers],0)),0)</f>
        <v>415</v>
      </c>
      <c r="L511" t="str" cm="1">
        <f t="array" ref="L511">INDEX(QHPSelections2016[],MATCH(1,(QHPSelections2016[State Name]=HIX_RatingAreas[[#This Row],[State Code]])*(QHPSelections2016[County Name]=HIX_RatingAreas[[#This Row],[Subdivision]]),0),MATCH("County Name",QHPSelections2016[#Headers],0))</f>
        <v>Gates County</v>
      </c>
      <c r="M511" t="b">
        <f>L511=HIX_RatingAreas[[#This Row],[Subdivision]]</f>
        <v>1</v>
      </c>
      <c r="N511">
        <v>508</v>
      </c>
    </row>
    <row r="512" spans="3:14">
      <c r="C512" t="s">
        <v>45</v>
      </c>
      <c r="D512" t="s">
        <v>1548</v>
      </c>
      <c r="E512" t="s">
        <v>108</v>
      </c>
      <c r="F512" s="36">
        <v>12</v>
      </c>
      <c r="G512" t="s">
        <v>1047</v>
      </c>
      <c r="I512" cm="1">
        <f t="array" ref="I512">_xlfn.IFNA(INDEX(QHPSelections2016[],MATCH(1,(QHPSelections2016[State Name]=HIX_RatingAreas[[#This Row],[State Code]])*(QHPSelections2016[County Name]=HIX_RatingAreas[[#This Row],[Subdivision]]),0),MATCH("Silver",QHPSelections2016[#Headers],0)),0)</f>
        <v>2417</v>
      </c>
      <c r="J512" cm="1">
        <f t="array" ref="J512">_xlfn.IFNA(INDEX(QHPSelections2016[],MATCH(1,(QHPSelections2016[State Name]=HIX_RatingAreas[[#This Row],[State Code]])*(QHPSelections2016[County Name]=HIX_RatingAreas[[#This Row],[Subdivision]]),0),MATCH("Total Plan Selections",QHPSelections2016[#Headers],0)),0)</f>
        <v>2757</v>
      </c>
      <c r="L512" t="str" cm="1">
        <f t="array" ref="L512">INDEX(QHPSelections2016[],MATCH(1,(QHPSelections2016[State Name]=HIX_RatingAreas[[#This Row],[State Code]])*(QHPSelections2016[County Name]=HIX_RatingAreas[[#This Row],[Subdivision]]),0),MATCH("County Name",QHPSelections2016[#Headers],0))</f>
        <v>Halifax County</v>
      </c>
      <c r="M512" t="b">
        <f>L512=HIX_RatingAreas[[#This Row],[Subdivision]]</f>
        <v>1</v>
      </c>
      <c r="N512">
        <v>509</v>
      </c>
    </row>
    <row r="513" spans="3:14">
      <c r="C513" t="s">
        <v>45</v>
      </c>
      <c r="D513" t="s">
        <v>1548</v>
      </c>
      <c r="E513" t="s">
        <v>108</v>
      </c>
      <c r="F513" s="36">
        <v>12</v>
      </c>
      <c r="G513" t="s">
        <v>1063</v>
      </c>
      <c r="I513" cm="1">
        <f t="array" ref="I513">_xlfn.IFNA(INDEX(QHPSelections2016[],MATCH(1,(QHPSelections2016[State Name]=HIX_RatingAreas[[#This Row],[State Code]])*(QHPSelections2016[County Name]=HIX_RatingAreas[[#This Row],[Subdivision]]),0),MATCH("Silver",QHPSelections2016[#Headers],0)),0)</f>
        <v>883</v>
      </c>
      <c r="J513" cm="1">
        <f t="array" ref="J513">_xlfn.IFNA(INDEX(QHPSelections2016[],MATCH(1,(QHPSelections2016[State Name]=HIX_RatingAreas[[#This Row],[State Code]])*(QHPSelections2016[County Name]=HIX_RatingAreas[[#This Row],[Subdivision]]),0),MATCH("Total Plan Selections",QHPSelections2016[#Headers],0)),0)</f>
        <v>1030</v>
      </c>
      <c r="L513" t="str" cm="1">
        <f t="array" ref="L513">INDEX(QHPSelections2016[],MATCH(1,(QHPSelections2016[State Name]=HIX_RatingAreas[[#This Row],[State Code]])*(QHPSelections2016[County Name]=HIX_RatingAreas[[#This Row],[Subdivision]]),0),MATCH("County Name",QHPSelections2016[#Headers],0))</f>
        <v>Hertford County</v>
      </c>
      <c r="M513" t="b">
        <f>L513=HIX_RatingAreas[[#This Row],[Subdivision]]</f>
        <v>1</v>
      </c>
      <c r="N513">
        <v>510</v>
      </c>
    </row>
    <row r="514" spans="3:14">
      <c r="C514" t="s">
        <v>45</v>
      </c>
      <c r="D514" t="s">
        <v>1548</v>
      </c>
      <c r="E514" t="s">
        <v>108</v>
      </c>
      <c r="F514" s="36">
        <v>12</v>
      </c>
      <c r="G514" t="s">
        <v>1044</v>
      </c>
      <c r="I514" cm="1">
        <f t="array" ref="I514">_xlfn.IFNA(INDEX(QHPSelections2016[],MATCH(1,(QHPSelections2016[State Name]=HIX_RatingAreas[[#This Row],[State Code]])*(QHPSelections2016[County Name]=HIX_RatingAreas[[#This Row],[Subdivision]]),0),MATCH("Silver",QHPSelections2016[#Headers],0)),0)</f>
        <v>1384</v>
      </c>
      <c r="J514" cm="1">
        <f t="array" ref="J514">_xlfn.IFNA(INDEX(QHPSelections2016[],MATCH(1,(QHPSelections2016[State Name]=HIX_RatingAreas[[#This Row],[State Code]])*(QHPSelections2016[County Name]=HIX_RatingAreas[[#This Row],[Subdivision]]),0),MATCH("Total Plan Selections",QHPSelections2016[#Headers],0)),0)</f>
        <v>1522</v>
      </c>
      <c r="L514" t="str" cm="1">
        <f t="array" ref="L514">INDEX(QHPSelections2016[],MATCH(1,(QHPSelections2016[State Name]=HIX_RatingAreas[[#This Row],[State Code]])*(QHPSelections2016[County Name]=HIX_RatingAreas[[#This Row],[Subdivision]]),0),MATCH("County Name",QHPSelections2016[#Headers],0))</f>
        <v>Martin County</v>
      </c>
      <c r="M514" t="b">
        <f>L514=HIX_RatingAreas[[#This Row],[Subdivision]]</f>
        <v>1</v>
      </c>
      <c r="N514">
        <v>511</v>
      </c>
    </row>
    <row r="515" spans="3:14">
      <c r="C515" t="s">
        <v>45</v>
      </c>
      <c r="D515" t="s">
        <v>1548</v>
      </c>
      <c r="E515" t="s">
        <v>108</v>
      </c>
      <c r="F515" s="36">
        <v>12</v>
      </c>
      <c r="G515" t="s">
        <v>1169</v>
      </c>
      <c r="I515" cm="1">
        <f t="array" ref="I515">_xlfn.IFNA(INDEX(QHPSelections2016[],MATCH(1,(QHPSelections2016[State Name]=HIX_RatingAreas[[#This Row],[State Code]])*(QHPSelections2016[County Name]=HIX_RatingAreas[[#This Row],[Subdivision]]),0),MATCH("Silver",QHPSelections2016[#Headers],0)),0)</f>
        <v>771</v>
      </c>
      <c r="J515" cm="1">
        <f t="array" ref="J515">_xlfn.IFNA(INDEX(QHPSelections2016[],MATCH(1,(QHPSelections2016[State Name]=HIX_RatingAreas[[#This Row],[State Code]])*(QHPSelections2016[County Name]=HIX_RatingAreas[[#This Row],[Subdivision]]),0),MATCH("Total Plan Selections",QHPSelections2016[#Headers],0)),0)</f>
        <v>880</v>
      </c>
      <c r="L515" t="str" cm="1">
        <f t="array" ref="L515">INDEX(QHPSelections2016[],MATCH(1,(QHPSelections2016[State Name]=HIX_RatingAreas[[#This Row],[State Code]])*(QHPSelections2016[County Name]=HIX_RatingAreas[[#This Row],[Subdivision]]),0),MATCH("County Name",QHPSelections2016[#Headers],0))</f>
        <v>Northampton County</v>
      </c>
      <c r="M515" t="b">
        <f>L515=HIX_RatingAreas[[#This Row],[Subdivision]]</f>
        <v>1</v>
      </c>
      <c r="N515">
        <v>512</v>
      </c>
    </row>
    <row r="516" spans="3:14">
      <c r="C516" t="s">
        <v>45</v>
      </c>
      <c r="D516" t="s">
        <v>1548</v>
      </c>
      <c r="E516" t="s">
        <v>108</v>
      </c>
      <c r="F516" s="36">
        <v>12</v>
      </c>
      <c r="G516" t="s">
        <v>1186</v>
      </c>
      <c r="I516" cm="1">
        <f t="array" ref="I516">_xlfn.IFNA(INDEX(QHPSelections2016[],MATCH(1,(QHPSelections2016[State Name]=HIX_RatingAreas[[#This Row],[State Code]])*(QHPSelections2016[County Name]=HIX_RatingAreas[[#This Row],[Subdivision]]),0),MATCH("Silver",QHPSelections2016[#Headers],0)),0)</f>
        <v>1477</v>
      </c>
      <c r="J516" cm="1">
        <f t="array" ref="J516">_xlfn.IFNA(INDEX(QHPSelections2016[],MATCH(1,(QHPSelections2016[State Name]=HIX_RatingAreas[[#This Row],[State Code]])*(QHPSelections2016[County Name]=HIX_RatingAreas[[#This Row],[Subdivision]]),0),MATCH("Total Plan Selections",QHPSelections2016[#Headers],0)),0)</f>
        <v>1833</v>
      </c>
      <c r="L516" t="str" cm="1">
        <f t="array" ref="L516">INDEX(QHPSelections2016[],MATCH(1,(QHPSelections2016[State Name]=HIX_RatingAreas[[#This Row],[State Code]])*(QHPSelections2016[County Name]=HIX_RatingAreas[[#This Row],[Subdivision]]),0),MATCH("County Name",QHPSelections2016[#Headers],0))</f>
        <v>Pasquotank County</v>
      </c>
      <c r="M516" t="b">
        <f>L516=HIX_RatingAreas[[#This Row],[Subdivision]]</f>
        <v>1</v>
      </c>
      <c r="N516">
        <v>513</v>
      </c>
    </row>
    <row r="517" spans="3:14">
      <c r="C517" t="s">
        <v>45</v>
      </c>
      <c r="D517" t="s">
        <v>1548</v>
      </c>
      <c r="E517" t="s">
        <v>108</v>
      </c>
      <c r="F517" s="36">
        <v>12</v>
      </c>
      <c r="G517" t="s">
        <v>1194</v>
      </c>
      <c r="I517" cm="1">
        <f t="array" ref="I517">_xlfn.IFNA(INDEX(QHPSelections2016[],MATCH(1,(QHPSelections2016[State Name]=HIX_RatingAreas[[#This Row],[State Code]])*(QHPSelections2016[County Name]=HIX_RatingAreas[[#This Row],[Subdivision]]),0),MATCH("Silver",QHPSelections2016[#Headers],0)),0)</f>
        <v>504</v>
      </c>
      <c r="J517" cm="1">
        <f t="array" ref="J517">_xlfn.IFNA(INDEX(QHPSelections2016[],MATCH(1,(QHPSelections2016[State Name]=HIX_RatingAreas[[#This Row],[State Code]])*(QHPSelections2016[County Name]=HIX_RatingAreas[[#This Row],[Subdivision]]),0),MATCH("Total Plan Selections",QHPSelections2016[#Headers],0)),0)</f>
        <v>624</v>
      </c>
      <c r="L517" t="str" cm="1">
        <f t="array" ref="L517">INDEX(QHPSelections2016[],MATCH(1,(QHPSelections2016[State Name]=HIX_RatingAreas[[#This Row],[State Code]])*(QHPSelections2016[County Name]=HIX_RatingAreas[[#This Row],[Subdivision]]),0),MATCH("County Name",QHPSelections2016[#Headers],0))</f>
        <v>Perquimans County</v>
      </c>
      <c r="M517" t="b">
        <f>L517=HIX_RatingAreas[[#This Row],[Subdivision]]</f>
        <v>1</v>
      </c>
      <c r="N517">
        <v>514</v>
      </c>
    </row>
    <row r="518" spans="3:14">
      <c r="C518" t="s">
        <v>45</v>
      </c>
      <c r="D518" t="s">
        <v>1548</v>
      </c>
      <c r="E518" t="s">
        <v>112</v>
      </c>
      <c r="F518" s="36">
        <v>13</v>
      </c>
      <c r="G518" t="s">
        <v>919</v>
      </c>
      <c r="I518" cm="1">
        <f t="array" ref="I518">_xlfn.IFNA(INDEX(QHPSelections2016[],MATCH(1,(QHPSelections2016[State Name]=HIX_RatingAreas[[#This Row],[State Code]])*(QHPSelections2016[County Name]=HIX_RatingAreas[[#This Row],[Subdivision]]),0),MATCH("Silver",QHPSelections2016[#Headers],0)),0)</f>
        <v>3010</v>
      </c>
      <c r="J518" cm="1">
        <f t="array" ref="J518">_xlfn.IFNA(INDEX(QHPSelections2016[],MATCH(1,(QHPSelections2016[State Name]=HIX_RatingAreas[[#This Row],[State Code]])*(QHPSelections2016[County Name]=HIX_RatingAreas[[#This Row],[Subdivision]]),0),MATCH("Total Plan Selections",QHPSelections2016[#Headers],0)),0)</f>
        <v>3783</v>
      </c>
      <c r="L518" t="str" cm="1">
        <f t="array" ref="L518">INDEX(QHPSelections2016[],MATCH(1,(QHPSelections2016[State Name]=HIX_RatingAreas[[#This Row],[State Code]])*(QHPSelections2016[County Name]=HIX_RatingAreas[[#This Row],[Subdivision]]),0),MATCH("County Name",QHPSelections2016[#Headers],0))</f>
        <v>Franklin County</v>
      </c>
      <c r="M518" t="b">
        <f>L518=HIX_RatingAreas[[#This Row],[Subdivision]]</f>
        <v>1</v>
      </c>
      <c r="N518">
        <v>515</v>
      </c>
    </row>
    <row r="519" spans="3:14">
      <c r="C519" t="s">
        <v>45</v>
      </c>
      <c r="D519" t="s">
        <v>1548</v>
      </c>
      <c r="E519" t="s">
        <v>112</v>
      </c>
      <c r="F519" s="36">
        <v>13</v>
      </c>
      <c r="G519" t="s">
        <v>1089</v>
      </c>
      <c r="I519" cm="1">
        <f t="array" ref="I519">_xlfn.IFNA(INDEX(QHPSelections2016[],MATCH(1,(QHPSelections2016[State Name]=HIX_RatingAreas[[#This Row],[State Code]])*(QHPSelections2016[County Name]=HIX_RatingAreas[[#This Row],[Subdivision]]),0),MATCH("Silver",QHPSelections2016[#Headers],0)),0)</f>
        <v>7852</v>
      </c>
      <c r="J519" cm="1">
        <f t="array" ref="J519">_xlfn.IFNA(INDEX(QHPSelections2016[],MATCH(1,(QHPSelections2016[State Name]=HIX_RatingAreas[[#This Row],[State Code]])*(QHPSelections2016[County Name]=HIX_RatingAreas[[#This Row],[Subdivision]]),0),MATCH("Total Plan Selections",QHPSelections2016[#Headers],0)),0)</f>
        <v>9942</v>
      </c>
      <c r="L519" t="str" cm="1">
        <f t="array" ref="L519">INDEX(QHPSelections2016[],MATCH(1,(QHPSelections2016[State Name]=HIX_RatingAreas[[#This Row],[State Code]])*(QHPSelections2016[County Name]=HIX_RatingAreas[[#This Row],[Subdivision]]),0),MATCH("County Name",QHPSelections2016[#Headers],0))</f>
        <v>Johnston County</v>
      </c>
      <c r="M519" t="b">
        <f>L519=HIX_RatingAreas[[#This Row],[Subdivision]]</f>
        <v>1</v>
      </c>
      <c r="N519">
        <v>516</v>
      </c>
    </row>
    <row r="520" spans="3:14">
      <c r="C520" t="s">
        <v>45</v>
      </c>
      <c r="D520" t="s">
        <v>1548</v>
      </c>
      <c r="E520" t="s">
        <v>112</v>
      </c>
      <c r="F520" s="36">
        <v>13</v>
      </c>
      <c r="G520" t="s">
        <v>1254</v>
      </c>
      <c r="I520" cm="1">
        <f t="array" ref="I520">_xlfn.IFNA(INDEX(QHPSelections2016[],MATCH(1,(QHPSelections2016[State Name]=HIX_RatingAreas[[#This Row],[State Code]])*(QHPSelections2016[County Name]=HIX_RatingAreas[[#This Row],[Subdivision]]),0),MATCH("Silver",QHPSelections2016[#Headers],0)),0)</f>
        <v>45699</v>
      </c>
      <c r="J520" cm="1">
        <f t="array" ref="J520">_xlfn.IFNA(INDEX(QHPSelections2016[],MATCH(1,(QHPSelections2016[State Name]=HIX_RatingAreas[[#This Row],[State Code]])*(QHPSelections2016[County Name]=HIX_RatingAreas[[#This Row],[Subdivision]]),0),MATCH("Total Plan Selections",QHPSelections2016[#Headers],0)),0)</f>
        <v>65891</v>
      </c>
      <c r="L520" t="str" cm="1">
        <f t="array" ref="L520">INDEX(QHPSelections2016[],MATCH(1,(QHPSelections2016[State Name]=HIX_RatingAreas[[#This Row],[State Code]])*(QHPSelections2016[County Name]=HIX_RatingAreas[[#This Row],[Subdivision]]),0),MATCH("County Name",QHPSelections2016[#Headers],0))</f>
        <v>Wake County</v>
      </c>
      <c r="M520" t="b">
        <f>L520=HIX_RatingAreas[[#This Row],[Subdivision]]</f>
        <v>1</v>
      </c>
      <c r="N520">
        <v>517</v>
      </c>
    </row>
    <row r="521" spans="3:14">
      <c r="C521" t="s">
        <v>45</v>
      </c>
      <c r="D521" t="s">
        <v>1548</v>
      </c>
      <c r="E521" t="s">
        <v>167</v>
      </c>
      <c r="F521" s="36">
        <v>14</v>
      </c>
      <c r="G521" t="s">
        <v>1002</v>
      </c>
      <c r="I521" cm="1">
        <f t="array" ref="I521">_xlfn.IFNA(INDEX(QHPSelections2016[],MATCH(1,(QHPSelections2016[State Name]=HIX_RatingAreas[[#This Row],[State Code]])*(QHPSelections2016[County Name]=HIX_RatingAreas[[#This Row],[Subdivision]]),0),MATCH("Silver",QHPSelections2016[#Headers],0)),0)</f>
        <v>2749</v>
      </c>
      <c r="J521" cm="1">
        <f t="array" ref="J521">_xlfn.IFNA(INDEX(QHPSelections2016[],MATCH(1,(QHPSelections2016[State Name]=HIX_RatingAreas[[#This Row],[State Code]])*(QHPSelections2016[County Name]=HIX_RatingAreas[[#This Row],[Subdivision]]),0),MATCH("Total Plan Selections",QHPSelections2016[#Headers],0)),0)</f>
        <v>3064</v>
      </c>
      <c r="L521" t="str" cm="1">
        <f t="array" ref="L521">INDEX(QHPSelections2016[],MATCH(1,(QHPSelections2016[State Name]=HIX_RatingAreas[[#This Row],[State Code]])*(QHPSelections2016[County Name]=HIX_RatingAreas[[#This Row],[Subdivision]]),0),MATCH("County Name",QHPSelections2016[#Headers],0))</f>
        <v>Edgecombe County</v>
      </c>
      <c r="M521" t="b">
        <f>L521=HIX_RatingAreas[[#This Row],[Subdivision]]</f>
        <v>1</v>
      </c>
      <c r="N521">
        <v>518</v>
      </c>
    </row>
    <row r="522" spans="3:14">
      <c r="C522" t="s">
        <v>45</v>
      </c>
      <c r="D522" t="s">
        <v>1548</v>
      </c>
      <c r="E522" t="s">
        <v>167</v>
      </c>
      <c r="F522" s="36">
        <v>14</v>
      </c>
      <c r="G522" t="s">
        <v>937</v>
      </c>
      <c r="I522" cm="1">
        <f t="array" ref="I522">_xlfn.IFNA(INDEX(QHPSelections2016[],MATCH(1,(QHPSelections2016[State Name]=HIX_RatingAreas[[#This Row],[State Code]])*(QHPSelections2016[County Name]=HIX_RatingAreas[[#This Row],[Subdivision]]),0),MATCH("Silver",QHPSelections2016[#Headers],0)),0)</f>
        <v>758</v>
      </c>
      <c r="J522" cm="1">
        <f t="array" ref="J522">_xlfn.IFNA(INDEX(QHPSelections2016[],MATCH(1,(QHPSelections2016[State Name]=HIX_RatingAreas[[#This Row],[State Code]])*(QHPSelections2016[County Name]=HIX_RatingAreas[[#This Row],[Subdivision]]),0),MATCH("Total Plan Selections",QHPSelections2016[#Headers],0)),0)</f>
        <v>894</v>
      </c>
      <c r="L522" t="str" cm="1">
        <f t="array" ref="L522">INDEX(QHPSelections2016[],MATCH(1,(QHPSelections2016[State Name]=HIX_RatingAreas[[#This Row],[State Code]])*(QHPSelections2016[County Name]=HIX_RatingAreas[[#This Row],[Subdivision]]),0),MATCH("County Name",QHPSelections2016[#Headers],0))</f>
        <v>Greene County</v>
      </c>
      <c r="M522" t="b">
        <f>L522=HIX_RatingAreas[[#This Row],[Subdivision]]</f>
        <v>1</v>
      </c>
      <c r="N522">
        <v>519</v>
      </c>
    </row>
    <row r="523" spans="3:14">
      <c r="C523" t="s">
        <v>45</v>
      </c>
      <c r="D523" t="s">
        <v>1548</v>
      </c>
      <c r="E523" t="s">
        <v>167</v>
      </c>
      <c r="F523" s="36">
        <v>14</v>
      </c>
      <c r="G523" t="s">
        <v>1158</v>
      </c>
      <c r="I523" cm="1">
        <f t="array" ref="I523">_xlfn.IFNA(INDEX(QHPSelections2016[],MATCH(1,(QHPSelections2016[State Name]=HIX_RatingAreas[[#This Row],[State Code]])*(QHPSelections2016[County Name]=HIX_RatingAreas[[#This Row],[Subdivision]]),0),MATCH("Silver",QHPSelections2016[#Headers],0)),0)</f>
        <v>3925</v>
      </c>
      <c r="J523" cm="1">
        <f t="array" ref="J523">_xlfn.IFNA(INDEX(QHPSelections2016[],MATCH(1,(QHPSelections2016[State Name]=HIX_RatingAreas[[#This Row],[State Code]])*(QHPSelections2016[County Name]=HIX_RatingAreas[[#This Row],[Subdivision]]),0),MATCH("Total Plan Selections",QHPSelections2016[#Headers],0)),0)</f>
        <v>4738</v>
      </c>
      <c r="L523" t="str" cm="1">
        <f t="array" ref="L523">INDEX(QHPSelections2016[],MATCH(1,(QHPSelections2016[State Name]=HIX_RatingAreas[[#This Row],[State Code]])*(QHPSelections2016[County Name]=HIX_RatingAreas[[#This Row],[Subdivision]]),0),MATCH("County Name",QHPSelections2016[#Headers],0))</f>
        <v>Nash County</v>
      </c>
      <c r="M523" t="b">
        <f>L523=HIX_RatingAreas[[#This Row],[Subdivision]]</f>
        <v>1</v>
      </c>
      <c r="N523">
        <v>520</v>
      </c>
    </row>
    <row r="524" spans="3:14">
      <c r="C524" t="s">
        <v>45</v>
      </c>
      <c r="D524" t="s">
        <v>1548</v>
      </c>
      <c r="E524" t="s">
        <v>167</v>
      </c>
      <c r="F524" s="36">
        <v>14</v>
      </c>
      <c r="G524" t="s">
        <v>1203</v>
      </c>
      <c r="I524" cm="1">
        <f t="array" ref="I524">_xlfn.IFNA(INDEX(QHPSelections2016[],MATCH(1,(QHPSelections2016[State Name]=HIX_RatingAreas[[#This Row],[State Code]])*(QHPSelections2016[County Name]=HIX_RatingAreas[[#This Row],[Subdivision]]),0),MATCH("Silver",QHPSelections2016[#Headers],0)),0)</f>
        <v>8390</v>
      </c>
      <c r="J524" cm="1">
        <f t="array" ref="J524">_xlfn.IFNA(INDEX(QHPSelections2016[],MATCH(1,(QHPSelections2016[State Name]=HIX_RatingAreas[[#This Row],[State Code]])*(QHPSelections2016[County Name]=HIX_RatingAreas[[#This Row],[Subdivision]]),0),MATCH("Total Plan Selections",QHPSelections2016[#Headers],0)),0)</f>
        <v>9560</v>
      </c>
      <c r="L524" t="str" cm="1">
        <f t="array" ref="L524">INDEX(QHPSelections2016[],MATCH(1,(QHPSelections2016[State Name]=HIX_RatingAreas[[#This Row],[State Code]])*(QHPSelections2016[County Name]=HIX_RatingAreas[[#This Row],[Subdivision]]),0),MATCH("County Name",QHPSelections2016[#Headers],0))</f>
        <v>Pitt County</v>
      </c>
      <c r="M524" t="b">
        <f>L524=HIX_RatingAreas[[#This Row],[Subdivision]]</f>
        <v>1</v>
      </c>
      <c r="N524">
        <v>521</v>
      </c>
    </row>
    <row r="525" spans="3:14">
      <c r="C525" t="s">
        <v>45</v>
      </c>
      <c r="D525" t="s">
        <v>1548</v>
      </c>
      <c r="E525" t="s">
        <v>167</v>
      </c>
      <c r="F525" s="36">
        <v>14</v>
      </c>
      <c r="G525" t="s">
        <v>1209</v>
      </c>
      <c r="I525" cm="1">
        <f t="array" ref="I525">_xlfn.IFNA(INDEX(QHPSelections2016[],MATCH(1,(QHPSelections2016[State Name]=HIX_RatingAreas[[#This Row],[State Code]])*(QHPSelections2016[County Name]=HIX_RatingAreas[[#This Row],[Subdivision]]),0),MATCH("Silver",QHPSelections2016[#Headers],0)),0)</f>
        <v>3640</v>
      </c>
      <c r="J525" cm="1">
        <f t="array" ref="J525">_xlfn.IFNA(INDEX(QHPSelections2016[],MATCH(1,(QHPSelections2016[State Name]=HIX_RatingAreas[[#This Row],[State Code]])*(QHPSelections2016[County Name]=HIX_RatingAreas[[#This Row],[Subdivision]]),0),MATCH("Total Plan Selections",QHPSelections2016[#Headers],0)),0)</f>
        <v>4457</v>
      </c>
      <c r="L525" t="str" cm="1">
        <f t="array" ref="L525">INDEX(QHPSelections2016[],MATCH(1,(QHPSelections2016[State Name]=HIX_RatingAreas[[#This Row],[State Code]])*(QHPSelections2016[County Name]=HIX_RatingAreas[[#This Row],[Subdivision]]),0),MATCH("County Name",QHPSelections2016[#Headers],0))</f>
        <v>Wayne County</v>
      </c>
      <c r="M525" t="b">
        <f>L525=HIX_RatingAreas[[#This Row],[Subdivision]]</f>
        <v>1</v>
      </c>
      <c r="N525">
        <v>522</v>
      </c>
    </row>
    <row r="526" spans="3:14">
      <c r="C526" t="s">
        <v>45</v>
      </c>
      <c r="D526" t="s">
        <v>1548</v>
      </c>
      <c r="E526" t="s">
        <v>167</v>
      </c>
      <c r="F526" s="36">
        <v>14</v>
      </c>
      <c r="G526" t="s">
        <v>1265</v>
      </c>
      <c r="I526" cm="1">
        <f t="array" ref="I526">_xlfn.IFNA(INDEX(QHPSelections2016[],MATCH(1,(QHPSelections2016[State Name]=HIX_RatingAreas[[#This Row],[State Code]])*(QHPSelections2016[County Name]=HIX_RatingAreas[[#This Row],[Subdivision]]),0),MATCH("Silver",QHPSelections2016[#Headers],0)),0)</f>
        <v>3457</v>
      </c>
      <c r="J526" cm="1">
        <f t="array" ref="J526">_xlfn.IFNA(INDEX(QHPSelections2016[],MATCH(1,(QHPSelections2016[State Name]=HIX_RatingAreas[[#This Row],[State Code]])*(QHPSelections2016[County Name]=HIX_RatingAreas[[#This Row],[Subdivision]]),0),MATCH("Total Plan Selections",QHPSelections2016[#Headers],0)),0)</f>
        <v>4166</v>
      </c>
      <c r="L526" t="str" cm="1">
        <f t="array" ref="L526">INDEX(QHPSelections2016[],MATCH(1,(QHPSelections2016[State Name]=HIX_RatingAreas[[#This Row],[State Code]])*(QHPSelections2016[County Name]=HIX_RatingAreas[[#This Row],[Subdivision]]),0),MATCH("County Name",QHPSelections2016[#Headers],0))</f>
        <v>Wilson County</v>
      </c>
      <c r="M526" t="b">
        <f>L526=HIX_RatingAreas[[#This Row],[Subdivision]]</f>
        <v>1</v>
      </c>
      <c r="N526">
        <v>523</v>
      </c>
    </row>
    <row r="527" spans="3:14">
      <c r="C527" t="s">
        <v>45</v>
      </c>
      <c r="D527" t="s">
        <v>1548</v>
      </c>
      <c r="E527" t="s">
        <v>169</v>
      </c>
      <c r="F527" s="36">
        <v>15</v>
      </c>
      <c r="G527" t="s">
        <v>876</v>
      </c>
      <c r="I527" cm="1">
        <f t="array" ref="I527">_xlfn.IFNA(INDEX(QHPSelections2016[],MATCH(1,(QHPSelections2016[State Name]=HIX_RatingAreas[[#This Row],[State Code]])*(QHPSelections2016[County Name]=HIX_RatingAreas[[#This Row],[Subdivision]]),0),MATCH("Silver",QHPSelections2016[#Headers],0)),0)</f>
        <v>6597</v>
      </c>
      <c r="J527" cm="1">
        <f t="array" ref="J527">_xlfn.IFNA(INDEX(QHPSelections2016[],MATCH(1,(QHPSelections2016[State Name]=HIX_RatingAreas[[#This Row],[State Code]])*(QHPSelections2016[County Name]=HIX_RatingAreas[[#This Row],[Subdivision]]),0),MATCH("Total Plan Selections",QHPSelections2016[#Headers],0)),0)</f>
        <v>8365</v>
      </c>
      <c r="L527" t="str" cm="1">
        <f t="array" ref="L527">INDEX(QHPSelections2016[],MATCH(1,(QHPSelections2016[State Name]=HIX_RatingAreas[[#This Row],[State Code]])*(QHPSelections2016[County Name]=HIX_RatingAreas[[#This Row],[Subdivision]]),0),MATCH("County Name",QHPSelections2016[#Headers],0))</f>
        <v>Brunswick County</v>
      </c>
      <c r="M527" t="b">
        <f>L527=HIX_RatingAreas[[#This Row],[Subdivision]]</f>
        <v>1</v>
      </c>
      <c r="N527">
        <v>524</v>
      </c>
    </row>
    <row r="528" spans="3:14">
      <c r="C528" t="s">
        <v>45</v>
      </c>
      <c r="D528" t="s">
        <v>1548</v>
      </c>
      <c r="E528" t="s">
        <v>169</v>
      </c>
      <c r="F528" s="36">
        <v>15</v>
      </c>
      <c r="G528" t="s">
        <v>957</v>
      </c>
      <c r="I528" cm="1">
        <f t="array" ref="I528">_xlfn.IFNA(INDEX(QHPSelections2016[],MATCH(1,(QHPSelections2016[State Name]=HIX_RatingAreas[[#This Row],[State Code]])*(QHPSelections2016[County Name]=HIX_RatingAreas[[#This Row],[Subdivision]]),0),MATCH("Silver",QHPSelections2016[#Headers],0)),0)</f>
        <v>2435</v>
      </c>
      <c r="J528" cm="1">
        <f t="array" ref="J528">_xlfn.IFNA(INDEX(QHPSelections2016[],MATCH(1,(QHPSelections2016[State Name]=HIX_RatingAreas[[#This Row],[State Code]])*(QHPSelections2016[County Name]=HIX_RatingAreas[[#This Row],[Subdivision]]),0),MATCH("Total Plan Selections",QHPSelections2016[#Headers],0)),0)</f>
        <v>3028</v>
      </c>
      <c r="L528" t="str" cm="1">
        <f t="array" ref="L528">INDEX(QHPSelections2016[],MATCH(1,(QHPSelections2016[State Name]=HIX_RatingAreas[[#This Row],[State Code]])*(QHPSelections2016[County Name]=HIX_RatingAreas[[#This Row],[Subdivision]]),0),MATCH("County Name",QHPSelections2016[#Headers],0))</f>
        <v>Columbus County</v>
      </c>
      <c r="M528" t="b">
        <f>L528=HIX_RatingAreas[[#This Row],[Subdivision]]</f>
        <v>1</v>
      </c>
      <c r="N528">
        <v>525</v>
      </c>
    </row>
    <row r="529" spans="3:14">
      <c r="C529" t="s">
        <v>45</v>
      </c>
      <c r="D529" t="s">
        <v>1548</v>
      </c>
      <c r="E529" t="s">
        <v>169</v>
      </c>
      <c r="F529" s="36">
        <v>15</v>
      </c>
      <c r="G529" t="s">
        <v>990</v>
      </c>
      <c r="I529" cm="1">
        <f t="array" ref="I529">_xlfn.IFNA(INDEX(QHPSelections2016[],MATCH(1,(QHPSelections2016[State Name]=HIX_RatingAreas[[#This Row],[State Code]])*(QHPSelections2016[County Name]=HIX_RatingAreas[[#This Row],[Subdivision]]),0),MATCH("Silver",QHPSelections2016[#Headers],0)),0)</f>
        <v>2339</v>
      </c>
      <c r="J529" cm="1">
        <f t="array" ref="J529">_xlfn.IFNA(INDEX(QHPSelections2016[],MATCH(1,(QHPSelections2016[State Name]=HIX_RatingAreas[[#This Row],[State Code]])*(QHPSelections2016[County Name]=HIX_RatingAreas[[#This Row],[Subdivision]]),0),MATCH("Total Plan Selections",QHPSelections2016[#Headers],0)),0)</f>
        <v>2748</v>
      </c>
      <c r="L529" t="str" cm="1">
        <f t="array" ref="L529">INDEX(QHPSelections2016[],MATCH(1,(QHPSelections2016[State Name]=HIX_RatingAreas[[#This Row],[State Code]])*(QHPSelections2016[County Name]=HIX_RatingAreas[[#This Row],[Subdivision]]),0),MATCH("County Name",QHPSelections2016[#Headers],0))</f>
        <v>Duplin County</v>
      </c>
      <c r="M529" t="b">
        <f>L529=HIX_RatingAreas[[#This Row],[Subdivision]]</f>
        <v>1</v>
      </c>
      <c r="N529">
        <v>526</v>
      </c>
    </row>
    <row r="530" spans="3:14">
      <c r="C530" t="s">
        <v>45</v>
      </c>
      <c r="D530" t="s">
        <v>1548</v>
      </c>
      <c r="E530" t="s">
        <v>169</v>
      </c>
      <c r="F530" s="36">
        <v>15</v>
      </c>
      <c r="G530" t="s">
        <v>1164</v>
      </c>
      <c r="I530" cm="1">
        <f t="array" ref="I530">_xlfn.IFNA(INDEX(QHPSelections2016[],MATCH(1,(QHPSelections2016[State Name]=HIX_RatingAreas[[#This Row],[State Code]])*(QHPSelections2016[County Name]=HIX_RatingAreas[[#This Row],[Subdivision]]),0),MATCH("Silver",QHPSelections2016[#Headers],0)),0)</f>
        <v>14167</v>
      </c>
      <c r="J530" cm="1">
        <f t="array" ref="J530">_xlfn.IFNA(INDEX(QHPSelections2016[],MATCH(1,(QHPSelections2016[State Name]=HIX_RatingAreas[[#This Row],[State Code]])*(QHPSelections2016[County Name]=HIX_RatingAreas[[#This Row],[Subdivision]]),0),MATCH("Total Plan Selections",QHPSelections2016[#Headers],0)),0)</f>
        <v>17670</v>
      </c>
      <c r="L530" t="str" cm="1">
        <f t="array" ref="L530">INDEX(QHPSelections2016[],MATCH(1,(QHPSelections2016[State Name]=HIX_RatingAreas[[#This Row],[State Code]])*(QHPSelections2016[County Name]=HIX_RatingAreas[[#This Row],[Subdivision]]),0),MATCH("County Name",QHPSelections2016[#Headers],0))</f>
        <v>New Hanover County</v>
      </c>
      <c r="M530" t="b">
        <f>L530=HIX_RatingAreas[[#This Row],[Subdivision]]</f>
        <v>1</v>
      </c>
      <c r="N530">
        <v>527</v>
      </c>
    </row>
    <row r="531" spans="3:14">
      <c r="C531" t="s">
        <v>45</v>
      </c>
      <c r="D531" t="s">
        <v>1548</v>
      </c>
      <c r="E531" t="s">
        <v>169</v>
      </c>
      <c r="F531" s="36">
        <v>15</v>
      </c>
      <c r="G531" t="s">
        <v>1174</v>
      </c>
      <c r="I531" cm="1">
        <f t="array" ref="I531">_xlfn.IFNA(INDEX(QHPSelections2016[],MATCH(1,(QHPSelections2016[State Name]=HIX_RatingAreas[[#This Row],[State Code]])*(QHPSelections2016[County Name]=HIX_RatingAreas[[#This Row],[Subdivision]]),0),MATCH("Silver",QHPSelections2016[#Headers],0)),0)</f>
        <v>5241</v>
      </c>
      <c r="J531" cm="1">
        <f t="array" ref="J531">_xlfn.IFNA(INDEX(QHPSelections2016[],MATCH(1,(QHPSelections2016[State Name]=HIX_RatingAreas[[#This Row],[State Code]])*(QHPSelections2016[County Name]=HIX_RatingAreas[[#This Row],[Subdivision]]),0),MATCH("Total Plan Selections",QHPSelections2016[#Headers],0)),0)</f>
        <v>6385</v>
      </c>
      <c r="L531" t="str" cm="1">
        <f t="array" ref="L531">INDEX(QHPSelections2016[],MATCH(1,(QHPSelections2016[State Name]=HIX_RatingAreas[[#This Row],[State Code]])*(QHPSelections2016[County Name]=HIX_RatingAreas[[#This Row],[Subdivision]]),0),MATCH("County Name",QHPSelections2016[#Headers],0))</f>
        <v>Onslow County</v>
      </c>
      <c r="M531" t="b">
        <f>L531=HIX_RatingAreas[[#This Row],[Subdivision]]</f>
        <v>1</v>
      </c>
      <c r="N531">
        <v>528</v>
      </c>
    </row>
    <row r="532" spans="3:14">
      <c r="C532" t="s">
        <v>45</v>
      </c>
      <c r="D532" t="s">
        <v>1548</v>
      </c>
      <c r="E532" t="s">
        <v>169</v>
      </c>
      <c r="F532" s="36">
        <v>15</v>
      </c>
      <c r="G532" t="s">
        <v>1190</v>
      </c>
      <c r="I532" cm="1">
        <f t="array" ref="I532">_xlfn.IFNA(INDEX(QHPSelections2016[],MATCH(1,(QHPSelections2016[State Name]=HIX_RatingAreas[[#This Row],[State Code]])*(QHPSelections2016[County Name]=HIX_RatingAreas[[#This Row],[Subdivision]]),0),MATCH("Silver",QHPSelections2016[#Headers],0)),0)</f>
        <v>3029</v>
      </c>
      <c r="J532" cm="1">
        <f t="array" ref="J532">_xlfn.IFNA(INDEX(QHPSelections2016[],MATCH(1,(QHPSelections2016[State Name]=HIX_RatingAreas[[#This Row],[State Code]])*(QHPSelections2016[County Name]=HIX_RatingAreas[[#This Row],[Subdivision]]),0),MATCH("Total Plan Selections",QHPSelections2016[#Headers],0)),0)</f>
        <v>3828</v>
      </c>
      <c r="L532" t="str" cm="1">
        <f t="array" ref="L532">INDEX(QHPSelections2016[],MATCH(1,(QHPSelections2016[State Name]=HIX_RatingAreas[[#This Row],[State Code]])*(QHPSelections2016[County Name]=HIX_RatingAreas[[#This Row],[Subdivision]]),0),MATCH("County Name",QHPSelections2016[#Headers],0))</f>
        <v>Pender County</v>
      </c>
      <c r="M532" t="b">
        <f>L532=HIX_RatingAreas[[#This Row],[Subdivision]]</f>
        <v>1</v>
      </c>
      <c r="N532">
        <v>529</v>
      </c>
    </row>
    <row r="533" spans="3:14">
      <c r="C533" t="s">
        <v>45</v>
      </c>
      <c r="D533" t="s">
        <v>1548</v>
      </c>
      <c r="E533" t="s">
        <v>171</v>
      </c>
      <c r="F533" s="36">
        <v>16</v>
      </c>
      <c r="G533" t="s">
        <v>857</v>
      </c>
      <c r="I533" cm="1">
        <f t="array" ref="I533">_xlfn.IFNA(INDEX(QHPSelections2016[],MATCH(1,(QHPSelections2016[State Name]=HIX_RatingAreas[[#This Row],[State Code]])*(QHPSelections2016[County Name]=HIX_RatingAreas[[#This Row],[Subdivision]]),0),MATCH("Silver",QHPSelections2016[#Headers],0)),0)</f>
        <v>3399</v>
      </c>
      <c r="J533" cm="1">
        <f t="array" ref="J533">_xlfn.IFNA(INDEX(QHPSelections2016[],MATCH(1,(QHPSelections2016[State Name]=HIX_RatingAreas[[#This Row],[State Code]])*(QHPSelections2016[County Name]=HIX_RatingAreas[[#This Row],[Subdivision]]),0),MATCH("Total Plan Selections",QHPSelections2016[#Headers],0)),0)</f>
        <v>3779</v>
      </c>
      <c r="L533" t="str" cm="1">
        <f t="array" ref="L533">INDEX(QHPSelections2016[],MATCH(1,(QHPSelections2016[State Name]=HIX_RatingAreas[[#This Row],[State Code]])*(QHPSelections2016[County Name]=HIX_RatingAreas[[#This Row],[Subdivision]]),0),MATCH("County Name",QHPSelections2016[#Headers],0))</f>
        <v>Beaufort County</v>
      </c>
      <c r="M533" t="b">
        <f>L533=HIX_RatingAreas[[#This Row],[Subdivision]]</f>
        <v>1</v>
      </c>
      <c r="N533">
        <v>530</v>
      </c>
    </row>
    <row r="534" spans="3:14">
      <c r="C534" t="s">
        <v>45</v>
      </c>
      <c r="D534" t="s">
        <v>1548</v>
      </c>
      <c r="E534" t="s">
        <v>171</v>
      </c>
      <c r="F534" s="36">
        <v>16</v>
      </c>
      <c r="G534" t="s">
        <v>911</v>
      </c>
      <c r="I534" cm="1">
        <f t="array" ref="I534">_xlfn.IFNA(INDEX(QHPSelections2016[],MATCH(1,(QHPSelections2016[State Name]=HIX_RatingAreas[[#This Row],[State Code]])*(QHPSelections2016[County Name]=HIX_RatingAreas[[#This Row],[Subdivision]]),0),MATCH("Silver",QHPSelections2016[#Headers],0)),0)</f>
        <v>4595</v>
      </c>
      <c r="J534" cm="1">
        <f t="array" ref="J534">_xlfn.IFNA(INDEX(QHPSelections2016[],MATCH(1,(QHPSelections2016[State Name]=HIX_RatingAreas[[#This Row],[State Code]])*(QHPSelections2016[County Name]=HIX_RatingAreas[[#This Row],[Subdivision]]),0),MATCH("Total Plan Selections",QHPSelections2016[#Headers],0)),0)</f>
        <v>5406</v>
      </c>
      <c r="L534" t="str" cm="1">
        <f t="array" ref="L534">INDEX(QHPSelections2016[],MATCH(1,(QHPSelections2016[State Name]=HIX_RatingAreas[[#This Row],[State Code]])*(QHPSelections2016[County Name]=HIX_RatingAreas[[#This Row],[Subdivision]]),0),MATCH("County Name",QHPSelections2016[#Headers],0))</f>
        <v>Carteret County</v>
      </c>
      <c r="M534" t="b">
        <f>L534=HIX_RatingAreas[[#This Row],[Subdivision]]</f>
        <v>1</v>
      </c>
      <c r="N534">
        <v>531</v>
      </c>
    </row>
    <row r="535" spans="3:14">
      <c r="C535" t="s">
        <v>45</v>
      </c>
      <c r="D535" t="s">
        <v>1548</v>
      </c>
      <c r="E535" t="s">
        <v>171</v>
      </c>
      <c r="F535" s="36">
        <v>16</v>
      </c>
      <c r="G535" t="s">
        <v>961</v>
      </c>
      <c r="I535" cm="1">
        <f t="array" ref="I535">_xlfn.IFNA(INDEX(QHPSelections2016[],MATCH(1,(QHPSelections2016[State Name]=HIX_RatingAreas[[#This Row],[State Code]])*(QHPSelections2016[County Name]=HIX_RatingAreas[[#This Row],[Subdivision]]),0),MATCH("Silver",QHPSelections2016[#Headers],0)),0)</f>
        <v>4312</v>
      </c>
      <c r="J535" cm="1">
        <f t="array" ref="J535">_xlfn.IFNA(INDEX(QHPSelections2016[],MATCH(1,(QHPSelections2016[State Name]=HIX_RatingAreas[[#This Row],[State Code]])*(QHPSelections2016[County Name]=HIX_RatingAreas[[#This Row],[Subdivision]]),0),MATCH("Total Plan Selections",QHPSelections2016[#Headers],0)),0)</f>
        <v>4990</v>
      </c>
      <c r="L535" t="str" cm="1">
        <f t="array" ref="L535">INDEX(QHPSelections2016[],MATCH(1,(QHPSelections2016[State Name]=HIX_RatingAreas[[#This Row],[State Code]])*(QHPSelections2016[County Name]=HIX_RatingAreas[[#This Row],[Subdivision]]),0),MATCH("County Name",QHPSelections2016[#Headers],0))</f>
        <v>Craven County</v>
      </c>
      <c r="M535" t="b">
        <f>L535=HIX_RatingAreas[[#This Row],[Subdivision]]</f>
        <v>1</v>
      </c>
      <c r="N535">
        <v>532</v>
      </c>
    </row>
    <row r="536" spans="3:14">
      <c r="C536" t="s">
        <v>45</v>
      </c>
      <c r="D536" t="s">
        <v>1548</v>
      </c>
      <c r="E536" t="s">
        <v>171</v>
      </c>
      <c r="F536" s="36">
        <v>16</v>
      </c>
      <c r="G536" t="s">
        <v>978</v>
      </c>
      <c r="I536" cm="1">
        <f t="array" ref="I536">_xlfn.IFNA(INDEX(QHPSelections2016[],MATCH(1,(QHPSelections2016[State Name]=HIX_RatingAreas[[#This Row],[State Code]])*(QHPSelections2016[County Name]=HIX_RatingAreas[[#This Row],[Subdivision]]),0),MATCH("Silver",QHPSelections2016[#Headers],0)),0)</f>
        <v>3627</v>
      </c>
      <c r="J536" cm="1">
        <f t="array" ref="J536">_xlfn.IFNA(INDEX(QHPSelections2016[],MATCH(1,(QHPSelections2016[State Name]=HIX_RatingAreas[[#This Row],[State Code]])*(QHPSelections2016[County Name]=HIX_RatingAreas[[#This Row],[Subdivision]]),0),MATCH("Total Plan Selections",QHPSelections2016[#Headers],0)),0)</f>
        <v>4437</v>
      </c>
      <c r="L536" t="str" cm="1">
        <f t="array" ref="L536">INDEX(QHPSelections2016[],MATCH(1,(QHPSelections2016[State Name]=HIX_RatingAreas[[#This Row],[State Code]])*(QHPSelections2016[County Name]=HIX_RatingAreas[[#This Row],[Subdivision]]),0),MATCH("County Name",QHPSelections2016[#Headers],0))</f>
        <v>Dare County</v>
      </c>
      <c r="M536" t="b">
        <f>L536=HIX_RatingAreas[[#This Row],[Subdivision]]</f>
        <v>1</v>
      </c>
      <c r="N536">
        <v>533</v>
      </c>
    </row>
    <row r="537" spans="3:14">
      <c r="C537" t="s">
        <v>45</v>
      </c>
      <c r="D537" t="s">
        <v>1548</v>
      </c>
      <c r="E537" t="s">
        <v>171</v>
      </c>
      <c r="F537" s="36">
        <v>16</v>
      </c>
      <c r="G537" t="s">
        <v>1074</v>
      </c>
      <c r="I537" cm="1">
        <f t="array" ref="I537">_xlfn.IFNA(INDEX(QHPSelections2016[],MATCH(1,(QHPSelections2016[State Name]=HIX_RatingAreas[[#This Row],[State Code]])*(QHPSelections2016[County Name]=HIX_RatingAreas[[#This Row],[Subdivision]]),0),MATCH("Silver",QHPSelections2016[#Headers],0)),0)</f>
        <v>325</v>
      </c>
      <c r="J537" cm="1">
        <f t="array" ref="J537">_xlfn.IFNA(INDEX(QHPSelections2016[],MATCH(1,(QHPSelections2016[State Name]=HIX_RatingAreas[[#This Row],[State Code]])*(QHPSelections2016[County Name]=HIX_RatingAreas[[#This Row],[Subdivision]]),0),MATCH("Total Plan Selections",QHPSelections2016[#Headers],0)),0)</f>
        <v>383</v>
      </c>
      <c r="L537" t="str" cm="1">
        <f t="array" ref="L537">INDEX(QHPSelections2016[],MATCH(1,(QHPSelections2016[State Name]=HIX_RatingAreas[[#This Row],[State Code]])*(QHPSelections2016[County Name]=HIX_RatingAreas[[#This Row],[Subdivision]]),0),MATCH("County Name",QHPSelections2016[#Headers],0))</f>
        <v>Hyde County</v>
      </c>
      <c r="M537" t="b">
        <f>L537=HIX_RatingAreas[[#This Row],[Subdivision]]</f>
        <v>1</v>
      </c>
      <c r="N537">
        <v>534</v>
      </c>
    </row>
    <row r="538" spans="3:14">
      <c r="C538" t="s">
        <v>45</v>
      </c>
      <c r="D538" t="s">
        <v>1548</v>
      </c>
      <c r="E538" t="s">
        <v>171</v>
      </c>
      <c r="F538" s="36">
        <v>16</v>
      </c>
      <c r="G538" t="s">
        <v>1006</v>
      </c>
      <c r="I538" cm="1">
        <f t="array" ref="I538">_xlfn.IFNA(INDEX(QHPSelections2016[],MATCH(1,(QHPSelections2016[State Name]=HIX_RatingAreas[[#This Row],[State Code]])*(QHPSelections2016[County Name]=HIX_RatingAreas[[#This Row],[Subdivision]]),0),MATCH("Silver",QHPSelections2016[#Headers],0)),0)</f>
        <v>510</v>
      </c>
      <c r="J538" cm="1">
        <f t="array" ref="J538">_xlfn.IFNA(INDEX(QHPSelections2016[],MATCH(1,(QHPSelections2016[State Name]=HIX_RatingAreas[[#This Row],[State Code]])*(QHPSelections2016[County Name]=HIX_RatingAreas[[#This Row],[Subdivision]]),0),MATCH("Total Plan Selections",QHPSelections2016[#Headers],0)),0)</f>
        <v>591</v>
      </c>
      <c r="L538" t="str" cm="1">
        <f t="array" ref="L538">INDEX(QHPSelections2016[],MATCH(1,(QHPSelections2016[State Name]=HIX_RatingAreas[[#This Row],[State Code]])*(QHPSelections2016[County Name]=HIX_RatingAreas[[#This Row],[Subdivision]]),0),MATCH("County Name",QHPSelections2016[#Headers],0))</f>
        <v>Jones County</v>
      </c>
      <c r="M538" t="b">
        <f>L538=HIX_RatingAreas[[#This Row],[Subdivision]]</f>
        <v>1</v>
      </c>
      <c r="N538">
        <v>535</v>
      </c>
    </row>
    <row r="539" spans="3:14">
      <c r="C539" t="s">
        <v>45</v>
      </c>
      <c r="D539" t="s">
        <v>1548</v>
      </c>
      <c r="E539" t="s">
        <v>171</v>
      </c>
      <c r="F539" s="36">
        <v>16</v>
      </c>
      <c r="G539" t="s">
        <v>1106</v>
      </c>
      <c r="I539" cm="1">
        <f t="array" ref="I539">_xlfn.IFNA(INDEX(QHPSelections2016[],MATCH(1,(QHPSelections2016[State Name]=HIX_RatingAreas[[#This Row],[State Code]])*(QHPSelections2016[County Name]=HIX_RatingAreas[[#This Row],[Subdivision]]),0),MATCH("Silver",QHPSelections2016[#Headers],0)),0)</f>
        <v>2308</v>
      </c>
      <c r="J539" cm="1">
        <f t="array" ref="J539">_xlfn.IFNA(INDEX(QHPSelections2016[],MATCH(1,(QHPSelections2016[State Name]=HIX_RatingAreas[[#This Row],[State Code]])*(QHPSelections2016[County Name]=HIX_RatingAreas[[#This Row],[Subdivision]]),0),MATCH("Total Plan Selections",QHPSelections2016[#Headers],0)),0)</f>
        <v>2740</v>
      </c>
      <c r="L539" t="str" cm="1">
        <f t="array" ref="L539">INDEX(QHPSelections2016[],MATCH(1,(QHPSelections2016[State Name]=HIX_RatingAreas[[#This Row],[State Code]])*(QHPSelections2016[County Name]=HIX_RatingAreas[[#This Row],[Subdivision]]),0),MATCH("County Name",QHPSelections2016[#Headers],0))</f>
        <v>Lenoir County</v>
      </c>
      <c r="M539" t="b">
        <f>L539=HIX_RatingAreas[[#This Row],[Subdivision]]</f>
        <v>1</v>
      </c>
      <c r="N539">
        <v>536</v>
      </c>
    </row>
    <row r="540" spans="3:14">
      <c r="C540" t="s">
        <v>45</v>
      </c>
      <c r="D540" t="s">
        <v>1548</v>
      </c>
      <c r="E540" t="s">
        <v>171</v>
      </c>
      <c r="F540" s="36">
        <v>16</v>
      </c>
      <c r="G540" t="s">
        <v>1182</v>
      </c>
      <c r="I540" cm="1">
        <f t="array" ref="I540">_xlfn.IFNA(INDEX(QHPSelections2016[],MATCH(1,(QHPSelections2016[State Name]=HIX_RatingAreas[[#This Row],[State Code]])*(QHPSelections2016[County Name]=HIX_RatingAreas[[#This Row],[Subdivision]]),0),MATCH("Silver",QHPSelections2016[#Headers],0)),0)</f>
        <v>654</v>
      </c>
      <c r="J540" cm="1">
        <f t="array" ref="J540">_xlfn.IFNA(INDEX(QHPSelections2016[],MATCH(1,(QHPSelections2016[State Name]=HIX_RatingAreas[[#This Row],[State Code]])*(QHPSelections2016[County Name]=HIX_RatingAreas[[#This Row],[Subdivision]]),0),MATCH("Total Plan Selections",QHPSelections2016[#Headers],0)),0)</f>
        <v>771</v>
      </c>
      <c r="L540" t="str" cm="1">
        <f t="array" ref="L540">INDEX(QHPSelections2016[],MATCH(1,(QHPSelections2016[State Name]=HIX_RatingAreas[[#This Row],[State Code]])*(QHPSelections2016[County Name]=HIX_RatingAreas[[#This Row],[Subdivision]]),0),MATCH("County Name",QHPSelections2016[#Headers],0))</f>
        <v>Pamlico County</v>
      </c>
      <c r="M540" t="b">
        <f>L540=HIX_RatingAreas[[#This Row],[Subdivision]]</f>
        <v>1</v>
      </c>
      <c r="N540">
        <v>537</v>
      </c>
    </row>
    <row r="541" spans="3:14">
      <c r="C541" t="s">
        <v>45</v>
      </c>
      <c r="D541" t="s">
        <v>1548</v>
      </c>
      <c r="E541" t="s">
        <v>171</v>
      </c>
      <c r="F541" s="36">
        <v>16</v>
      </c>
      <c r="G541" t="s">
        <v>1248</v>
      </c>
      <c r="I541" cm="1">
        <f t="array" ref="I541">_xlfn.IFNA(INDEX(QHPSelections2016[],MATCH(1,(QHPSelections2016[State Name]=HIX_RatingAreas[[#This Row],[State Code]])*(QHPSelections2016[County Name]=HIX_RatingAreas[[#This Row],[Subdivision]]),0),MATCH("Silver",QHPSelections2016[#Headers],0)),0)</f>
        <v>376</v>
      </c>
      <c r="J541" cm="1">
        <f t="array" ref="J541">_xlfn.IFNA(INDEX(QHPSelections2016[],MATCH(1,(QHPSelections2016[State Name]=HIX_RatingAreas[[#This Row],[State Code]])*(QHPSelections2016[County Name]=HIX_RatingAreas[[#This Row],[Subdivision]]),0),MATCH("Total Plan Selections",QHPSelections2016[#Headers],0)),0)</f>
        <v>408</v>
      </c>
      <c r="L541" t="str" cm="1">
        <f t="array" ref="L541">INDEX(QHPSelections2016[],MATCH(1,(QHPSelections2016[State Name]=HIX_RatingAreas[[#This Row],[State Code]])*(QHPSelections2016[County Name]=HIX_RatingAreas[[#This Row],[Subdivision]]),0),MATCH("County Name",QHPSelections2016[#Headers],0))</f>
        <v>Tyrrell County</v>
      </c>
      <c r="M541" t="b">
        <f>L541=HIX_RatingAreas[[#This Row],[Subdivision]]</f>
        <v>1</v>
      </c>
      <c r="N541">
        <v>538</v>
      </c>
    </row>
    <row r="542" spans="3:14">
      <c r="C542" t="s">
        <v>45</v>
      </c>
      <c r="D542" t="s">
        <v>1548</v>
      </c>
      <c r="E542" t="s">
        <v>171</v>
      </c>
      <c r="F542" s="36">
        <v>16</v>
      </c>
      <c r="G542" t="s">
        <v>1160</v>
      </c>
      <c r="I542" cm="1">
        <f t="array" ref="I542">_xlfn.IFNA(INDEX(QHPSelections2016[],MATCH(1,(QHPSelections2016[State Name]=HIX_RatingAreas[[#This Row],[State Code]])*(QHPSelections2016[County Name]=HIX_RatingAreas[[#This Row],[Subdivision]]),0),MATCH("Silver",QHPSelections2016[#Headers],0)),0)</f>
        <v>700</v>
      </c>
      <c r="J542" cm="1">
        <f t="array" ref="J542">_xlfn.IFNA(INDEX(QHPSelections2016[],MATCH(1,(QHPSelections2016[State Name]=HIX_RatingAreas[[#This Row],[State Code]])*(QHPSelections2016[County Name]=HIX_RatingAreas[[#This Row],[Subdivision]]),0),MATCH("Total Plan Selections",QHPSelections2016[#Headers],0)),0)</f>
        <v>778</v>
      </c>
      <c r="L542" t="str" cm="1">
        <f t="array" ref="L542">INDEX(QHPSelections2016[],MATCH(1,(QHPSelections2016[State Name]=HIX_RatingAreas[[#This Row],[State Code]])*(QHPSelections2016[County Name]=HIX_RatingAreas[[#This Row],[Subdivision]]),0),MATCH("County Name",QHPSelections2016[#Headers],0))</f>
        <v>Washington County</v>
      </c>
      <c r="M542" t="b">
        <f>L542=HIX_RatingAreas[[#This Row],[Subdivision]]</f>
        <v>1</v>
      </c>
      <c r="N542">
        <v>539</v>
      </c>
    </row>
    <row r="543" spans="3:14">
      <c r="C543" t="s">
        <v>54</v>
      </c>
      <c r="D543" t="s">
        <v>1565</v>
      </c>
      <c r="E543" t="s">
        <v>72</v>
      </c>
      <c r="F543" s="36">
        <v>1</v>
      </c>
      <c r="G543" t="s">
        <v>877</v>
      </c>
      <c r="I543" cm="1">
        <f t="array" ref="I543">_xlfn.IFNA(INDEX(QHPSelections2016[],MATCH(1,(QHPSelections2016[State Name]=HIX_RatingAreas[[#This Row],[State Code]])*(QHPSelections2016[County Name]=HIX_RatingAreas[[#This Row],[Subdivision]]),0),MATCH("Silver",QHPSelections2016[#Headers],0)),0)</f>
        <v>1617</v>
      </c>
      <c r="J543" cm="1">
        <f t="array" ref="J543">_xlfn.IFNA(INDEX(QHPSelections2016[],MATCH(1,(QHPSelections2016[State Name]=HIX_RatingAreas[[#This Row],[State Code]])*(QHPSelections2016[County Name]=HIX_RatingAreas[[#This Row],[Subdivision]]),0),MATCH("Total Plan Selections",QHPSelections2016[#Headers],0)),0)</f>
        <v>2211</v>
      </c>
      <c r="L543" t="str" cm="1">
        <f t="array" ref="L543">INDEX(QHPSelections2016[],MATCH(1,(QHPSelections2016[State Name]=HIX_RatingAreas[[#This Row],[State Code]])*(QHPSelections2016[County Name]=HIX_RatingAreas[[#This Row],[Subdivision]]),0),MATCH("County Name",QHPSelections2016[#Headers],0))</f>
        <v>Carter County</v>
      </c>
      <c r="M543" t="b">
        <f>L543=HIX_RatingAreas[[#This Row],[Subdivision]]</f>
        <v>1</v>
      </c>
      <c r="N543">
        <v>540</v>
      </c>
    </row>
    <row r="544" spans="3:14">
      <c r="C544" t="s">
        <v>54</v>
      </c>
      <c r="D544" t="s">
        <v>1565</v>
      </c>
      <c r="E544" t="s">
        <v>72</v>
      </c>
      <c r="F544" s="36">
        <v>1</v>
      </c>
      <c r="G544" t="s">
        <v>937</v>
      </c>
      <c r="I544" cm="1">
        <f t="array" ref="I544">_xlfn.IFNA(INDEX(QHPSelections2016[],MATCH(1,(QHPSelections2016[State Name]=HIX_RatingAreas[[#This Row],[State Code]])*(QHPSelections2016[County Name]=HIX_RatingAreas[[#This Row],[Subdivision]]),0),MATCH("Silver",QHPSelections2016[#Headers],0)),0)</f>
        <v>1872</v>
      </c>
      <c r="J544" cm="1">
        <f t="array" ref="J544">_xlfn.IFNA(INDEX(QHPSelections2016[],MATCH(1,(QHPSelections2016[State Name]=HIX_RatingAreas[[#This Row],[State Code]])*(QHPSelections2016[County Name]=HIX_RatingAreas[[#This Row],[Subdivision]]),0),MATCH("Total Plan Selections",QHPSelections2016[#Headers],0)),0)</f>
        <v>2515</v>
      </c>
      <c r="L544" t="str" cm="1">
        <f t="array" ref="L544">INDEX(QHPSelections2016[],MATCH(1,(QHPSelections2016[State Name]=HIX_RatingAreas[[#This Row],[State Code]])*(QHPSelections2016[County Name]=HIX_RatingAreas[[#This Row],[Subdivision]]),0),MATCH("County Name",QHPSelections2016[#Headers],0))</f>
        <v>Greene County</v>
      </c>
      <c r="M544" t="b">
        <f>L544=HIX_RatingAreas[[#This Row],[Subdivision]]</f>
        <v>1</v>
      </c>
      <c r="N544">
        <v>541</v>
      </c>
    </row>
    <row r="545" spans="3:14">
      <c r="C545" t="s">
        <v>54</v>
      </c>
      <c r="D545" t="s">
        <v>1565</v>
      </c>
      <c r="E545" t="s">
        <v>72</v>
      </c>
      <c r="F545" s="36">
        <v>1</v>
      </c>
      <c r="G545" t="s">
        <v>949</v>
      </c>
      <c r="I545" cm="1">
        <f t="array" ref="I545">_xlfn.IFNA(INDEX(QHPSelections2016[],MATCH(1,(QHPSelections2016[State Name]=HIX_RatingAreas[[#This Row],[State Code]])*(QHPSelections2016[County Name]=HIX_RatingAreas[[#This Row],[Subdivision]]),0),MATCH("Silver",QHPSelections2016[#Headers],0)),0)</f>
        <v>255</v>
      </c>
      <c r="J545" cm="1">
        <f t="array" ref="J545">_xlfn.IFNA(INDEX(QHPSelections2016[],MATCH(1,(QHPSelections2016[State Name]=HIX_RatingAreas[[#This Row],[State Code]])*(QHPSelections2016[County Name]=HIX_RatingAreas[[#This Row],[Subdivision]]),0),MATCH("Total Plan Selections",QHPSelections2016[#Headers],0)),0)</f>
        <v>305</v>
      </c>
      <c r="L545" t="str" cm="1">
        <f t="array" ref="L545">INDEX(QHPSelections2016[],MATCH(1,(QHPSelections2016[State Name]=HIX_RatingAreas[[#This Row],[State Code]])*(QHPSelections2016[County Name]=HIX_RatingAreas[[#This Row],[Subdivision]]),0),MATCH("County Name",QHPSelections2016[#Headers],0))</f>
        <v>Hancock County</v>
      </c>
      <c r="M545" t="b">
        <f>L545=HIX_RatingAreas[[#This Row],[Subdivision]]</f>
        <v>1</v>
      </c>
      <c r="N545">
        <v>542</v>
      </c>
    </row>
    <row r="546" spans="3:14">
      <c r="C546" t="s">
        <v>54</v>
      </c>
      <c r="D546" t="s">
        <v>1565</v>
      </c>
      <c r="E546" t="s">
        <v>72</v>
      </c>
      <c r="F546" s="36">
        <v>1</v>
      </c>
      <c r="G546" t="s">
        <v>1022</v>
      </c>
      <c r="I546" cm="1">
        <f t="array" ref="I546">_xlfn.IFNA(INDEX(QHPSelections2016[],MATCH(1,(QHPSelections2016[State Name]=HIX_RatingAreas[[#This Row],[State Code]])*(QHPSelections2016[County Name]=HIX_RatingAreas[[#This Row],[Subdivision]]),0),MATCH("Silver",QHPSelections2016[#Headers],0)),0)</f>
        <v>1515</v>
      </c>
      <c r="J546" cm="1">
        <f t="array" ref="J546">_xlfn.IFNA(INDEX(QHPSelections2016[],MATCH(1,(QHPSelections2016[State Name]=HIX_RatingAreas[[#This Row],[State Code]])*(QHPSelections2016[County Name]=HIX_RatingAreas[[#This Row],[Subdivision]]),0),MATCH("Total Plan Selections",QHPSelections2016[#Headers],0)),0)</f>
        <v>1931</v>
      </c>
      <c r="L546" t="str" cm="1">
        <f t="array" ref="L546">INDEX(QHPSelections2016[],MATCH(1,(QHPSelections2016[State Name]=HIX_RatingAreas[[#This Row],[State Code]])*(QHPSelections2016[County Name]=HIX_RatingAreas[[#This Row],[Subdivision]]),0),MATCH("County Name",QHPSelections2016[#Headers],0))</f>
        <v>Hawkins County</v>
      </c>
      <c r="M546" t="b">
        <f>L546=HIX_RatingAreas[[#This Row],[Subdivision]]</f>
        <v>1</v>
      </c>
      <c r="N546">
        <v>543</v>
      </c>
    </row>
    <row r="547" spans="3:14">
      <c r="C547" t="s">
        <v>54</v>
      </c>
      <c r="D547" t="s">
        <v>1565</v>
      </c>
      <c r="E547" t="s">
        <v>72</v>
      </c>
      <c r="F547" s="36">
        <v>1</v>
      </c>
      <c r="G547" t="s">
        <v>1064</v>
      </c>
      <c r="I547" cm="1">
        <f t="array" ref="I547">_xlfn.IFNA(INDEX(QHPSelections2016[],MATCH(1,(QHPSelections2016[State Name]=HIX_RatingAreas[[#This Row],[State Code]])*(QHPSelections2016[County Name]=HIX_RatingAreas[[#This Row],[Subdivision]]),0),MATCH("Silver",QHPSelections2016[#Headers],0)),0)</f>
        <v>386</v>
      </c>
      <c r="J547" cm="1">
        <f t="array" ref="J547">_xlfn.IFNA(INDEX(QHPSelections2016[],MATCH(1,(QHPSelections2016[State Name]=HIX_RatingAreas[[#This Row],[State Code]])*(QHPSelections2016[County Name]=HIX_RatingAreas[[#This Row],[Subdivision]]),0),MATCH("Total Plan Selections",QHPSelections2016[#Headers],0)),0)</f>
        <v>544</v>
      </c>
      <c r="L547" t="str" cm="1">
        <f t="array" ref="L547">INDEX(QHPSelections2016[],MATCH(1,(QHPSelections2016[State Name]=HIX_RatingAreas[[#This Row],[State Code]])*(QHPSelections2016[County Name]=HIX_RatingAreas[[#This Row],[Subdivision]]),0),MATCH("County Name",QHPSelections2016[#Headers],0))</f>
        <v>Johnson County</v>
      </c>
      <c r="M547" t="b">
        <f>L547=HIX_RatingAreas[[#This Row],[Subdivision]]</f>
        <v>1</v>
      </c>
      <c r="N547">
        <v>544</v>
      </c>
    </row>
    <row r="548" spans="3:14">
      <c r="C548" t="s">
        <v>54</v>
      </c>
      <c r="D548" t="s">
        <v>1565</v>
      </c>
      <c r="E548" t="s">
        <v>72</v>
      </c>
      <c r="F548" s="36">
        <v>1</v>
      </c>
      <c r="G548" t="s">
        <v>1227</v>
      </c>
      <c r="I548" cm="1">
        <f t="array" ref="I548">_xlfn.IFNA(INDEX(QHPSelections2016[],MATCH(1,(QHPSelections2016[State Name]=HIX_RatingAreas[[#This Row],[State Code]])*(QHPSelections2016[County Name]=HIX_RatingAreas[[#This Row],[Subdivision]]),0),MATCH("Silver",QHPSelections2016[#Headers],0)),0)</f>
        <v>4530</v>
      </c>
      <c r="J548" cm="1">
        <f t="array" ref="J548">_xlfn.IFNA(INDEX(QHPSelections2016[],MATCH(1,(QHPSelections2016[State Name]=HIX_RatingAreas[[#This Row],[State Code]])*(QHPSelections2016[County Name]=HIX_RatingAreas[[#This Row],[Subdivision]]),0),MATCH("Total Plan Selections",QHPSelections2016[#Headers],0)),0)</f>
        <v>6287</v>
      </c>
      <c r="L548" t="str" cm="1">
        <f t="array" ref="L548">INDEX(QHPSelections2016[],MATCH(1,(QHPSelections2016[State Name]=HIX_RatingAreas[[#This Row],[State Code]])*(QHPSelections2016[County Name]=HIX_RatingAreas[[#This Row],[Subdivision]]),0),MATCH("County Name",QHPSelections2016[#Headers],0))</f>
        <v>Sullivan County</v>
      </c>
      <c r="M548" t="b">
        <f>L548=HIX_RatingAreas[[#This Row],[Subdivision]]</f>
        <v>1</v>
      </c>
      <c r="N548">
        <v>545</v>
      </c>
    </row>
    <row r="549" spans="3:14">
      <c r="C549" t="s">
        <v>54</v>
      </c>
      <c r="D549" t="s">
        <v>1565</v>
      </c>
      <c r="E549" t="s">
        <v>72</v>
      </c>
      <c r="F549" s="36">
        <v>1</v>
      </c>
      <c r="G549" t="s">
        <v>1240</v>
      </c>
      <c r="I549" cm="1">
        <f t="array" ref="I549">_xlfn.IFNA(INDEX(QHPSelections2016[],MATCH(1,(QHPSelections2016[State Name]=HIX_RatingAreas[[#This Row],[State Code]])*(QHPSelections2016[County Name]=HIX_RatingAreas[[#This Row],[Subdivision]]),0),MATCH("Silver",QHPSelections2016[#Headers],0)),0)</f>
        <v>491</v>
      </c>
      <c r="J549" cm="1">
        <f t="array" ref="J549">_xlfn.IFNA(INDEX(QHPSelections2016[],MATCH(1,(QHPSelections2016[State Name]=HIX_RatingAreas[[#This Row],[State Code]])*(QHPSelections2016[County Name]=HIX_RatingAreas[[#This Row],[Subdivision]]),0),MATCH("Total Plan Selections",QHPSelections2016[#Headers],0)),0)</f>
        <v>652</v>
      </c>
      <c r="L549" t="str" cm="1">
        <f t="array" ref="L549">INDEX(QHPSelections2016[],MATCH(1,(QHPSelections2016[State Name]=HIX_RatingAreas[[#This Row],[State Code]])*(QHPSelections2016[County Name]=HIX_RatingAreas[[#This Row],[Subdivision]]),0),MATCH("County Name",QHPSelections2016[#Headers],0))</f>
        <v>Unicoi County</v>
      </c>
      <c r="M549" t="b">
        <f>L549=HIX_RatingAreas[[#This Row],[Subdivision]]</f>
        <v>1</v>
      </c>
      <c r="N549">
        <v>546</v>
      </c>
    </row>
    <row r="550" spans="3:14">
      <c r="C550" t="s">
        <v>54</v>
      </c>
      <c r="D550" t="s">
        <v>1565</v>
      </c>
      <c r="E550" t="s">
        <v>72</v>
      </c>
      <c r="F550" s="36">
        <v>1</v>
      </c>
      <c r="G550" t="s">
        <v>1160</v>
      </c>
      <c r="I550" cm="1">
        <f t="array" ref="I550">_xlfn.IFNA(INDEX(QHPSelections2016[],MATCH(1,(QHPSelections2016[State Name]=HIX_RatingAreas[[#This Row],[State Code]])*(QHPSelections2016[County Name]=HIX_RatingAreas[[#This Row],[Subdivision]]),0),MATCH("Silver",QHPSelections2016[#Headers],0)),0)</f>
        <v>3852</v>
      </c>
      <c r="J550" cm="1">
        <f t="array" ref="J550">_xlfn.IFNA(INDEX(QHPSelections2016[],MATCH(1,(QHPSelections2016[State Name]=HIX_RatingAreas[[#This Row],[State Code]])*(QHPSelections2016[County Name]=HIX_RatingAreas[[#This Row],[Subdivision]]),0),MATCH("Total Plan Selections",QHPSelections2016[#Headers],0)),0)</f>
        <v>5487</v>
      </c>
      <c r="L550" t="str" cm="1">
        <f t="array" ref="L550">INDEX(QHPSelections2016[],MATCH(1,(QHPSelections2016[State Name]=HIX_RatingAreas[[#This Row],[State Code]])*(QHPSelections2016[County Name]=HIX_RatingAreas[[#This Row],[Subdivision]]),0),MATCH("County Name",QHPSelections2016[#Headers],0))</f>
        <v>Washington County</v>
      </c>
      <c r="M550" t="b">
        <f>L550=HIX_RatingAreas[[#This Row],[Subdivision]]</f>
        <v>1</v>
      </c>
      <c r="N550">
        <v>547</v>
      </c>
    </row>
    <row r="551" spans="3:14">
      <c r="C551" t="s">
        <v>54</v>
      </c>
      <c r="D551" t="s">
        <v>1565</v>
      </c>
      <c r="E551" t="s">
        <v>74</v>
      </c>
      <c r="F551" s="36">
        <v>2</v>
      </c>
      <c r="G551" t="s">
        <v>822</v>
      </c>
      <c r="I551" cm="1">
        <f t="array" ref="I551">_xlfn.IFNA(INDEX(QHPSelections2016[],MATCH(1,(QHPSelections2016[State Name]=HIX_RatingAreas[[#This Row],[State Code]])*(QHPSelections2016[County Name]=HIX_RatingAreas[[#This Row],[Subdivision]]),0),MATCH("Silver",QHPSelections2016[#Headers],0)),0)</f>
        <v>2092</v>
      </c>
      <c r="J551" cm="1">
        <f t="array" ref="J551">_xlfn.IFNA(INDEX(QHPSelections2016[],MATCH(1,(QHPSelections2016[State Name]=HIX_RatingAreas[[#This Row],[State Code]])*(QHPSelections2016[County Name]=HIX_RatingAreas[[#This Row],[Subdivision]]),0),MATCH("Total Plan Selections",QHPSelections2016[#Headers],0)),0)</f>
        <v>2756</v>
      </c>
      <c r="L551" t="str" cm="1">
        <f t="array" ref="L551">INDEX(QHPSelections2016[],MATCH(1,(QHPSelections2016[State Name]=HIX_RatingAreas[[#This Row],[State Code]])*(QHPSelections2016[County Name]=HIX_RatingAreas[[#This Row],[Subdivision]]),0),MATCH("County Name",QHPSelections2016[#Headers],0))</f>
        <v>Anderson County</v>
      </c>
      <c r="M551" t="b">
        <f>L551=HIX_RatingAreas[[#This Row],[Subdivision]]</f>
        <v>1</v>
      </c>
      <c r="N551">
        <v>548</v>
      </c>
    </row>
    <row r="552" spans="3:14">
      <c r="C552" t="s">
        <v>54</v>
      </c>
      <c r="D552" t="s">
        <v>1565</v>
      </c>
      <c r="E552" t="s">
        <v>74</v>
      </c>
      <c r="F552" s="36">
        <v>2</v>
      </c>
      <c r="G552" t="s">
        <v>843</v>
      </c>
      <c r="I552" cm="1">
        <f t="array" ref="I552">_xlfn.IFNA(INDEX(QHPSelections2016[],MATCH(1,(QHPSelections2016[State Name]=HIX_RatingAreas[[#This Row],[State Code]])*(QHPSelections2016[County Name]=HIX_RatingAreas[[#This Row],[Subdivision]]),0),MATCH("Silver",QHPSelections2016[#Headers],0)),0)</f>
        <v>3571</v>
      </c>
      <c r="J552" cm="1">
        <f t="array" ref="J552">_xlfn.IFNA(INDEX(QHPSelections2016[],MATCH(1,(QHPSelections2016[State Name]=HIX_RatingAreas[[#This Row],[State Code]])*(QHPSelections2016[County Name]=HIX_RatingAreas[[#This Row],[Subdivision]]),0),MATCH("Total Plan Selections",QHPSelections2016[#Headers],0)),0)</f>
        <v>5124</v>
      </c>
      <c r="L552" t="str" cm="1">
        <f t="array" ref="L552">INDEX(QHPSelections2016[],MATCH(1,(QHPSelections2016[State Name]=HIX_RatingAreas[[#This Row],[State Code]])*(QHPSelections2016[County Name]=HIX_RatingAreas[[#This Row],[Subdivision]]),0),MATCH("County Name",QHPSelections2016[#Headers],0))</f>
        <v>Blount County</v>
      </c>
      <c r="M552" t="b">
        <f>L552=HIX_RatingAreas[[#This Row],[Subdivision]]</f>
        <v>1</v>
      </c>
      <c r="N552">
        <v>549</v>
      </c>
    </row>
    <row r="553" spans="3:14">
      <c r="C553" t="s">
        <v>54</v>
      </c>
      <c r="D553" t="s">
        <v>1565</v>
      </c>
      <c r="E553" t="s">
        <v>74</v>
      </c>
      <c r="F553" s="36">
        <v>2</v>
      </c>
      <c r="G553" t="s">
        <v>858</v>
      </c>
      <c r="I553" cm="1">
        <f t="array" ref="I553">_xlfn.IFNA(INDEX(QHPSelections2016[],MATCH(1,(QHPSelections2016[State Name]=HIX_RatingAreas[[#This Row],[State Code]])*(QHPSelections2016[County Name]=HIX_RatingAreas[[#This Row],[Subdivision]]),0),MATCH("Silver",QHPSelections2016[#Headers],0)),0)</f>
        <v>975</v>
      </c>
      <c r="J553" cm="1">
        <f t="array" ref="J553">_xlfn.IFNA(INDEX(QHPSelections2016[],MATCH(1,(QHPSelections2016[State Name]=HIX_RatingAreas[[#This Row],[State Code]])*(QHPSelections2016[County Name]=HIX_RatingAreas[[#This Row],[Subdivision]]),0),MATCH("Total Plan Selections",QHPSelections2016[#Headers],0)),0)</f>
        <v>1325</v>
      </c>
      <c r="L553" t="str" cm="1">
        <f t="array" ref="L553">INDEX(QHPSelections2016[],MATCH(1,(QHPSelections2016[State Name]=HIX_RatingAreas[[#This Row],[State Code]])*(QHPSelections2016[County Name]=HIX_RatingAreas[[#This Row],[Subdivision]]),0),MATCH("County Name",QHPSelections2016[#Headers],0))</f>
        <v>Campbell County</v>
      </c>
      <c r="M553" t="b">
        <f>L553=HIX_RatingAreas[[#This Row],[Subdivision]]</f>
        <v>1</v>
      </c>
      <c r="N553">
        <v>550</v>
      </c>
    </row>
    <row r="554" spans="3:14">
      <c r="C554" t="s">
        <v>54</v>
      </c>
      <c r="D554" t="s">
        <v>1565</v>
      </c>
      <c r="E554" t="s">
        <v>74</v>
      </c>
      <c r="F554" s="36">
        <v>2</v>
      </c>
      <c r="G554" t="s">
        <v>881</v>
      </c>
      <c r="I554" cm="1">
        <f t="array" ref="I554">_xlfn.IFNA(INDEX(QHPSelections2016[],MATCH(1,(QHPSelections2016[State Name]=HIX_RatingAreas[[#This Row],[State Code]])*(QHPSelections2016[County Name]=HIX_RatingAreas[[#This Row],[Subdivision]]),0),MATCH("Silver",QHPSelections2016[#Headers],0)),0)</f>
        <v>873</v>
      </c>
      <c r="J554" cm="1">
        <f t="array" ref="J554">_xlfn.IFNA(INDEX(QHPSelections2016[],MATCH(1,(QHPSelections2016[State Name]=HIX_RatingAreas[[#This Row],[State Code]])*(QHPSelections2016[County Name]=HIX_RatingAreas[[#This Row],[Subdivision]]),0),MATCH("Total Plan Selections",QHPSelections2016[#Headers],0)),0)</f>
        <v>1146</v>
      </c>
      <c r="L554" t="str" cm="1">
        <f t="array" ref="L554">INDEX(QHPSelections2016[],MATCH(1,(QHPSelections2016[State Name]=HIX_RatingAreas[[#This Row],[State Code]])*(QHPSelections2016[County Name]=HIX_RatingAreas[[#This Row],[Subdivision]]),0),MATCH("County Name",QHPSelections2016[#Headers],0))</f>
        <v>Claiborne County</v>
      </c>
      <c r="M554" t="b">
        <f>L554=HIX_RatingAreas[[#This Row],[Subdivision]]</f>
        <v>1</v>
      </c>
      <c r="N554">
        <v>551</v>
      </c>
    </row>
    <row r="555" spans="3:14">
      <c r="C555" t="s">
        <v>54</v>
      </c>
      <c r="D555" t="s">
        <v>1565</v>
      </c>
      <c r="E555" t="s">
        <v>74</v>
      </c>
      <c r="F555" s="36">
        <v>2</v>
      </c>
      <c r="G555" t="s">
        <v>905</v>
      </c>
      <c r="I555" cm="1">
        <f t="array" ref="I555">_xlfn.IFNA(INDEX(QHPSelections2016[],MATCH(1,(QHPSelections2016[State Name]=HIX_RatingAreas[[#This Row],[State Code]])*(QHPSelections2016[County Name]=HIX_RatingAreas[[#This Row],[Subdivision]]),0),MATCH("Silver",QHPSelections2016[#Headers],0)),0)</f>
        <v>1119</v>
      </c>
      <c r="J555" cm="1">
        <f t="array" ref="J555">_xlfn.IFNA(INDEX(QHPSelections2016[],MATCH(1,(QHPSelections2016[State Name]=HIX_RatingAreas[[#This Row],[State Code]])*(QHPSelections2016[County Name]=HIX_RatingAreas[[#This Row],[Subdivision]]),0),MATCH("Total Plan Selections",QHPSelections2016[#Headers],0)),0)</f>
        <v>1444</v>
      </c>
      <c r="L555" t="str" cm="1">
        <f t="array" ref="L555">INDEX(QHPSelections2016[],MATCH(1,(QHPSelections2016[State Name]=HIX_RatingAreas[[#This Row],[State Code]])*(QHPSelections2016[County Name]=HIX_RatingAreas[[#This Row],[Subdivision]]),0),MATCH("County Name",QHPSelections2016[#Headers],0))</f>
        <v>Cocke County</v>
      </c>
      <c r="M555" t="b">
        <f>L555=HIX_RatingAreas[[#This Row],[Subdivision]]</f>
        <v>1</v>
      </c>
      <c r="N555">
        <v>552</v>
      </c>
    </row>
    <row r="556" spans="3:14">
      <c r="C556" t="s">
        <v>54</v>
      </c>
      <c r="D556" t="s">
        <v>1565</v>
      </c>
      <c r="E556" t="s">
        <v>74</v>
      </c>
      <c r="F556" s="36">
        <v>2</v>
      </c>
      <c r="G556" t="s">
        <v>981</v>
      </c>
      <c r="I556" cm="1">
        <f t="array" ref="I556">_xlfn.IFNA(INDEX(QHPSelections2016[],MATCH(1,(QHPSelections2016[State Name]=HIX_RatingAreas[[#This Row],[State Code]])*(QHPSelections2016[County Name]=HIX_RatingAreas[[#This Row],[Subdivision]]),0),MATCH("Silver",QHPSelections2016[#Headers],0)),0)</f>
        <v>753</v>
      </c>
      <c r="J556" cm="1">
        <f t="array" ref="J556">_xlfn.IFNA(INDEX(QHPSelections2016[],MATCH(1,(QHPSelections2016[State Name]=HIX_RatingAreas[[#This Row],[State Code]])*(QHPSelections2016[County Name]=HIX_RatingAreas[[#This Row],[Subdivision]]),0),MATCH("Total Plan Selections",QHPSelections2016[#Headers],0)),0)</f>
        <v>969</v>
      </c>
      <c r="L556" t="str" cm="1">
        <f t="array" ref="L556">INDEX(QHPSelections2016[],MATCH(1,(QHPSelections2016[State Name]=HIX_RatingAreas[[#This Row],[State Code]])*(QHPSelections2016[County Name]=HIX_RatingAreas[[#This Row],[Subdivision]]),0),MATCH("County Name",QHPSelections2016[#Headers],0))</f>
        <v>Grainger County</v>
      </c>
      <c r="M556" t="b">
        <f>L556=HIX_RatingAreas[[#This Row],[Subdivision]]</f>
        <v>1</v>
      </c>
      <c r="N556">
        <v>553</v>
      </c>
    </row>
    <row r="557" spans="3:14">
      <c r="C557" t="s">
        <v>54</v>
      </c>
      <c r="D557" t="s">
        <v>1565</v>
      </c>
      <c r="E557" t="s">
        <v>74</v>
      </c>
      <c r="F557" s="36">
        <v>2</v>
      </c>
      <c r="G557" t="s">
        <v>996</v>
      </c>
      <c r="I557" cm="1">
        <f t="array" ref="I557">_xlfn.IFNA(INDEX(QHPSelections2016[],MATCH(1,(QHPSelections2016[State Name]=HIX_RatingAreas[[#This Row],[State Code]])*(QHPSelections2016[County Name]=HIX_RatingAreas[[#This Row],[Subdivision]]),0),MATCH("Silver",QHPSelections2016[#Headers],0)),0)</f>
        <v>1801</v>
      </c>
      <c r="J557" cm="1">
        <f t="array" ref="J557">_xlfn.IFNA(INDEX(QHPSelections2016[],MATCH(1,(QHPSelections2016[State Name]=HIX_RatingAreas[[#This Row],[State Code]])*(QHPSelections2016[County Name]=HIX_RatingAreas[[#This Row],[Subdivision]]),0),MATCH("Total Plan Selections",QHPSelections2016[#Headers],0)),0)</f>
        <v>2366</v>
      </c>
      <c r="L557" t="str" cm="1">
        <f t="array" ref="L557">INDEX(QHPSelections2016[],MATCH(1,(QHPSelections2016[State Name]=HIX_RatingAreas[[#This Row],[State Code]])*(QHPSelections2016[County Name]=HIX_RatingAreas[[#This Row],[Subdivision]]),0),MATCH("County Name",QHPSelections2016[#Headers],0))</f>
        <v>Hamblen County</v>
      </c>
      <c r="M557" t="b">
        <f>L557=HIX_RatingAreas[[#This Row],[Subdivision]]</f>
        <v>1</v>
      </c>
      <c r="N557">
        <v>554</v>
      </c>
    </row>
    <row r="558" spans="3:14">
      <c r="C558" t="s">
        <v>54</v>
      </c>
      <c r="D558" t="s">
        <v>1565</v>
      </c>
      <c r="E558" t="s">
        <v>74</v>
      </c>
      <c r="F558" s="36">
        <v>2</v>
      </c>
      <c r="G558" t="s">
        <v>993</v>
      </c>
      <c r="I558" cm="1">
        <f t="array" ref="I558">_xlfn.IFNA(INDEX(QHPSelections2016[],MATCH(1,(QHPSelections2016[State Name]=HIX_RatingAreas[[#This Row],[State Code]])*(QHPSelections2016[County Name]=HIX_RatingAreas[[#This Row],[Subdivision]]),0),MATCH("Silver",QHPSelections2016[#Headers],0)),0)</f>
        <v>1525</v>
      </c>
      <c r="J558" cm="1">
        <f t="array" ref="J558">_xlfn.IFNA(INDEX(QHPSelections2016[],MATCH(1,(QHPSelections2016[State Name]=HIX_RatingAreas[[#This Row],[State Code]])*(QHPSelections2016[County Name]=HIX_RatingAreas[[#This Row],[Subdivision]]),0),MATCH("Total Plan Selections",QHPSelections2016[#Headers],0)),0)</f>
        <v>2076</v>
      </c>
      <c r="L558" t="str" cm="1">
        <f t="array" ref="L558">INDEX(QHPSelections2016[],MATCH(1,(QHPSelections2016[State Name]=HIX_RatingAreas[[#This Row],[State Code]])*(QHPSelections2016[County Name]=HIX_RatingAreas[[#This Row],[Subdivision]]),0),MATCH("County Name",QHPSelections2016[#Headers],0))</f>
        <v>Jefferson County</v>
      </c>
      <c r="M558" t="b">
        <f>L558=HIX_RatingAreas[[#This Row],[Subdivision]]</f>
        <v>1</v>
      </c>
      <c r="N558">
        <v>555</v>
      </c>
    </row>
    <row r="559" spans="3:14">
      <c r="C559" t="s">
        <v>54</v>
      </c>
      <c r="D559" t="s">
        <v>1565</v>
      </c>
      <c r="E559" t="s">
        <v>74</v>
      </c>
      <c r="F559" s="36">
        <v>2</v>
      </c>
      <c r="G559" t="s">
        <v>1070</v>
      </c>
      <c r="I559" cm="1">
        <f t="array" ref="I559">_xlfn.IFNA(INDEX(QHPSelections2016[],MATCH(1,(QHPSelections2016[State Name]=HIX_RatingAreas[[#This Row],[State Code]])*(QHPSelections2016[County Name]=HIX_RatingAreas[[#This Row],[Subdivision]]),0),MATCH("Silver",QHPSelections2016[#Headers],0)),0)</f>
        <v>13735</v>
      </c>
      <c r="J559" cm="1">
        <f t="array" ref="J559">_xlfn.IFNA(INDEX(QHPSelections2016[],MATCH(1,(QHPSelections2016[State Name]=HIX_RatingAreas[[#This Row],[State Code]])*(QHPSelections2016[County Name]=HIX_RatingAreas[[#This Row],[Subdivision]]),0),MATCH("Total Plan Selections",QHPSelections2016[#Headers],0)),0)</f>
        <v>19462</v>
      </c>
      <c r="L559" t="str" cm="1">
        <f t="array" ref="L559">INDEX(QHPSelections2016[],MATCH(1,(QHPSelections2016[State Name]=HIX_RatingAreas[[#This Row],[State Code]])*(QHPSelections2016[County Name]=HIX_RatingAreas[[#This Row],[Subdivision]]),0),MATCH("County Name",QHPSelections2016[#Headers],0))</f>
        <v>Knox County</v>
      </c>
      <c r="M559" t="b">
        <f>L559=HIX_RatingAreas[[#This Row],[Subdivision]]</f>
        <v>1</v>
      </c>
      <c r="N559">
        <v>556</v>
      </c>
    </row>
    <row r="560" spans="3:14">
      <c r="C560" t="s">
        <v>54</v>
      </c>
      <c r="D560" t="s">
        <v>1565</v>
      </c>
      <c r="E560" t="s">
        <v>74</v>
      </c>
      <c r="F560" s="36">
        <v>2</v>
      </c>
      <c r="G560" t="s">
        <v>1101</v>
      </c>
      <c r="I560" cm="1">
        <f t="array" ref="I560">_xlfn.IFNA(INDEX(QHPSelections2016[],MATCH(1,(QHPSelections2016[State Name]=HIX_RatingAreas[[#This Row],[State Code]])*(QHPSelections2016[County Name]=HIX_RatingAreas[[#This Row],[Subdivision]]),0),MATCH("Silver",QHPSelections2016[#Headers],0)),0)</f>
        <v>1397</v>
      </c>
      <c r="J560" cm="1">
        <f t="array" ref="J560">_xlfn.IFNA(INDEX(QHPSelections2016[],MATCH(1,(QHPSelections2016[State Name]=HIX_RatingAreas[[#This Row],[State Code]])*(QHPSelections2016[County Name]=HIX_RatingAreas[[#This Row],[Subdivision]]),0),MATCH("Total Plan Selections",QHPSelections2016[#Headers],0)),0)</f>
        <v>1934</v>
      </c>
      <c r="L560" t="str" cm="1">
        <f t="array" ref="L560">INDEX(QHPSelections2016[],MATCH(1,(QHPSelections2016[State Name]=HIX_RatingAreas[[#This Row],[State Code]])*(QHPSelections2016[County Name]=HIX_RatingAreas[[#This Row],[Subdivision]]),0),MATCH("County Name",QHPSelections2016[#Headers],0))</f>
        <v>Loudon County</v>
      </c>
      <c r="M560" t="b">
        <f>L560=HIX_RatingAreas[[#This Row],[Subdivision]]</f>
        <v>1</v>
      </c>
      <c r="N560">
        <v>557</v>
      </c>
    </row>
    <row r="561" spans="3:14">
      <c r="C561" t="s">
        <v>54</v>
      </c>
      <c r="D561" t="s">
        <v>1565</v>
      </c>
      <c r="E561" t="s">
        <v>74</v>
      </c>
      <c r="F561" s="36">
        <v>2</v>
      </c>
      <c r="G561" t="s">
        <v>1055</v>
      </c>
      <c r="I561" cm="1">
        <f t="array" ref="I561">_xlfn.IFNA(INDEX(QHPSelections2016[],MATCH(1,(QHPSelections2016[State Name]=HIX_RatingAreas[[#This Row],[State Code]])*(QHPSelections2016[County Name]=HIX_RatingAreas[[#This Row],[Subdivision]]),0),MATCH("Silver",QHPSelections2016[#Headers],0)),0)</f>
        <v>1201</v>
      </c>
      <c r="J561" cm="1">
        <f t="array" ref="J561">_xlfn.IFNA(INDEX(QHPSelections2016[],MATCH(1,(QHPSelections2016[State Name]=HIX_RatingAreas[[#This Row],[State Code]])*(QHPSelections2016[County Name]=HIX_RatingAreas[[#This Row],[Subdivision]]),0),MATCH("Total Plan Selections",QHPSelections2016[#Headers],0)),0)</f>
        <v>1543</v>
      </c>
      <c r="L561" t="str" cm="1">
        <f t="array" ref="L561">INDEX(QHPSelections2016[],MATCH(1,(QHPSelections2016[State Name]=HIX_RatingAreas[[#This Row],[State Code]])*(QHPSelections2016[County Name]=HIX_RatingAreas[[#This Row],[Subdivision]]),0),MATCH("County Name",QHPSelections2016[#Headers],0))</f>
        <v>Monroe County</v>
      </c>
      <c r="M561" t="b">
        <f>L561=HIX_RatingAreas[[#This Row],[Subdivision]]</f>
        <v>1</v>
      </c>
      <c r="N561">
        <v>558</v>
      </c>
    </row>
    <row r="562" spans="3:14">
      <c r="C562" t="s">
        <v>54</v>
      </c>
      <c r="D562" t="s">
        <v>1565</v>
      </c>
      <c r="E562" t="s">
        <v>74</v>
      </c>
      <c r="F562" s="36">
        <v>2</v>
      </c>
      <c r="G562" t="s">
        <v>1092</v>
      </c>
      <c r="I562" cm="1">
        <f t="array" ref="I562">_xlfn.IFNA(INDEX(QHPSelections2016[],MATCH(1,(QHPSelections2016[State Name]=HIX_RatingAreas[[#This Row],[State Code]])*(QHPSelections2016[County Name]=HIX_RatingAreas[[#This Row],[Subdivision]]),0),MATCH("Silver",QHPSelections2016[#Headers],0)),0)</f>
        <v>392</v>
      </c>
      <c r="J562" cm="1">
        <f t="array" ref="J562">_xlfn.IFNA(INDEX(QHPSelections2016[],MATCH(1,(QHPSelections2016[State Name]=HIX_RatingAreas[[#This Row],[State Code]])*(QHPSelections2016[County Name]=HIX_RatingAreas[[#This Row],[Subdivision]]),0),MATCH("Total Plan Selections",QHPSelections2016[#Headers],0)),0)</f>
        <v>506</v>
      </c>
      <c r="L562" t="str" cm="1">
        <f t="array" ref="L562">INDEX(QHPSelections2016[],MATCH(1,(QHPSelections2016[State Name]=HIX_RatingAreas[[#This Row],[State Code]])*(QHPSelections2016[County Name]=HIX_RatingAreas[[#This Row],[Subdivision]]),0),MATCH("County Name",QHPSelections2016[#Headers],0))</f>
        <v>Morgan County</v>
      </c>
      <c r="M562" t="b">
        <f>L562=HIX_RatingAreas[[#This Row],[Subdivision]]</f>
        <v>1</v>
      </c>
      <c r="N562">
        <v>559</v>
      </c>
    </row>
    <row r="563" spans="3:14">
      <c r="C563" t="s">
        <v>54</v>
      </c>
      <c r="D563" t="s">
        <v>1565</v>
      </c>
      <c r="E563" t="s">
        <v>74</v>
      </c>
      <c r="F563" s="36">
        <v>2</v>
      </c>
      <c r="G563" t="s">
        <v>1199</v>
      </c>
      <c r="I563" cm="1">
        <f t="array" ref="I563">_xlfn.IFNA(INDEX(QHPSelections2016[],MATCH(1,(QHPSelections2016[State Name]=HIX_RatingAreas[[#This Row],[State Code]])*(QHPSelections2016[County Name]=HIX_RatingAreas[[#This Row],[Subdivision]]),0),MATCH("Silver",QHPSelections2016[#Headers],0)),0)</f>
        <v>1245</v>
      </c>
      <c r="J563" cm="1">
        <f t="array" ref="J563">_xlfn.IFNA(INDEX(QHPSelections2016[],MATCH(1,(QHPSelections2016[State Name]=HIX_RatingAreas[[#This Row],[State Code]])*(QHPSelections2016[County Name]=HIX_RatingAreas[[#This Row],[Subdivision]]),0),MATCH("Total Plan Selections",QHPSelections2016[#Headers],0)),0)</f>
        <v>1670</v>
      </c>
      <c r="L563" t="str" cm="1">
        <f t="array" ref="L563">INDEX(QHPSelections2016[],MATCH(1,(QHPSelections2016[State Name]=HIX_RatingAreas[[#This Row],[State Code]])*(QHPSelections2016[County Name]=HIX_RatingAreas[[#This Row],[Subdivision]]),0),MATCH("County Name",QHPSelections2016[#Headers],0))</f>
        <v>Roane County</v>
      </c>
      <c r="M563" t="b">
        <f>L563=HIX_RatingAreas[[#This Row],[Subdivision]]</f>
        <v>1</v>
      </c>
      <c r="N563">
        <v>560</v>
      </c>
    </row>
    <row r="564" spans="3:14">
      <c r="C564" t="s">
        <v>54</v>
      </c>
      <c r="D564" t="s">
        <v>1565</v>
      </c>
      <c r="E564" t="s">
        <v>74</v>
      </c>
      <c r="F564" s="36">
        <v>2</v>
      </c>
      <c r="G564" t="s">
        <v>1146</v>
      </c>
      <c r="I564" cm="1">
        <f t="array" ref="I564">_xlfn.IFNA(INDEX(QHPSelections2016[],MATCH(1,(QHPSelections2016[State Name]=HIX_RatingAreas[[#This Row],[State Code]])*(QHPSelections2016[County Name]=HIX_RatingAreas[[#This Row],[Subdivision]]),0),MATCH("Silver",QHPSelections2016[#Headers],0)),0)</f>
        <v>580</v>
      </c>
      <c r="J564" cm="1">
        <f t="array" ref="J564">_xlfn.IFNA(INDEX(QHPSelections2016[],MATCH(1,(QHPSelections2016[State Name]=HIX_RatingAreas[[#This Row],[State Code]])*(QHPSelections2016[County Name]=HIX_RatingAreas[[#This Row],[Subdivision]]),0),MATCH("Total Plan Selections",QHPSelections2016[#Headers],0)),0)</f>
        <v>744</v>
      </c>
      <c r="L564" t="str" cm="1">
        <f t="array" ref="L564">INDEX(QHPSelections2016[],MATCH(1,(QHPSelections2016[State Name]=HIX_RatingAreas[[#This Row],[State Code]])*(QHPSelections2016[County Name]=HIX_RatingAreas[[#This Row],[Subdivision]]),0),MATCH("County Name",QHPSelections2016[#Headers],0))</f>
        <v>Scott County</v>
      </c>
      <c r="M564" t="b">
        <f>L564=HIX_RatingAreas[[#This Row],[Subdivision]]</f>
        <v>1</v>
      </c>
      <c r="N564">
        <v>561</v>
      </c>
    </row>
    <row r="565" spans="3:14">
      <c r="C565" t="s">
        <v>54</v>
      </c>
      <c r="D565" t="s">
        <v>1565</v>
      </c>
      <c r="E565" t="s">
        <v>74</v>
      </c>
      <c r="F565" s="36">
        <v>2</v>
      </c>
      <c r="G565" t="s">
        <v>1214</v>
      </c>
      <c r="I565" cm="1">
        <f t="array" ref="I565">_xlfn.IFNA(INDEX(QHPSelections2016[],MATCH(1,(QHPSelections2016[State Name]=HIX_RatingAreas[[#This Row],[State Code]])*(QHPSelections2016[County Name]=HIX_RatingAreas[[#This Row],[Subdivision]]),0),MATCH("Silver",QHPSelections2016[#Headers],0)),0)</f>
        <v>4188</v>
      </c>
      <c r="J565" cm="1">
        <f t="array" ref="J565">_xlfn.IFNA(INDEX(QHPSelections2016[],MATCH(1,(QHPSelections2016[State Name]=HIX_RatingAreas[[#This Row],[State Code]])*(QHPSelections2016[County Name]=HIX_RatingAreas[[#This Row],[Subdivision]]),0),MATCH("Total Plan Selections",QHPSelections2016[#Headers],0)),0)</f>
        <v>5661</v>
      </c>
      <c r="L565" t="str" cm="1">
        <f t="array" ref="L565">INDEX(QHPSelections2016[],MATCH(1,(QHPSelections2016[State Name]=HIX_RatingAreas[[#This Row],[State Code]])*(QHPSelections2016[County Name]=HIX_RatingAreas[[#This Row],[Subdivision]]),0),MATCH("County Name",QHPSelections2016[#Headers],0))</f>
        <v>Sevier County</v>
      </c>
      <c r="M565" t="b">
        <f>L565=HIX_RatingAreas[[#This Row],[Subdivision]]</f>
        <v>1</v>
      </c>
      <c r="N565">
        <v>562</v>
      </c>
    </row>
    <row r="566" spans="3:14">
      <c r="C566" t="s">
        <v>54</v>
      </c>
      <c r="D566" t="s">
        <v>1565</v>
      </c>
      <c r="E566" t="s">
        <v>74</v>
      </c>
      <c r="F566" s="36">
        <v>2</v>
      </c>
      <c r="G566" t="s">
        <v>1149</v>
      </c>
      <c r="I566" cm="1">
        <f t="array" ref="I566">_xlfn.IFNA(INDEX(QHPSelections2016[],MATCH(1,(QHPSelections2016[State Name]=HIX_RatingAreas[[#This Row],[State Code]])*(QHPSelections2016[County Name]=HIX_RatingAreas[[#This Row],[Subdivision]]),0),MATCH("Silver",QHPSelections2016[#Headers],0)),0)</f>
        <v>502</v>
      </c>
      <c r="J566" cm="1">
        <f t="array" ref="J566">_xlfn.IFNA(INDEX(QHPSelections2016[],MATCH(1,(QHPSelections2016[State Name]=HIX_RatingAreas[[#This Row],[State Code]])*(QHPSelections2016[County Name]=HIX_RatingAreas[[#This Row],[Subdivision]]),0),MATCH("Total Plan Selections",QHPSelections2016[#Headers],0)),0)</f>
        <v>675</v>
      </c>
      <c r="L566" t="str" cm="1">
        <f t="array" ref="L566">INDEX(QHPSelections2016[],MATCH(1,(QHPSelections2016[State Name]=HIX_RatingAreas[[#This Row],[State Code]])*(QHPSelections2016[County Name]=HIX_RatingAreas[[#This Row],[Subdivision]]),0),MATCH("County Name",QHPSelections2016[#Headers],0))</f>
        <v>Union County</v>
      </c>
      <c r="M566" t="b">
        <f>L566=HIX_RatingAreas[[#This Row],[Subdivision]]</f>
        <v>1</v>
      </c>
      <c r="N566">
        <v>563</v>
      </c>
    </row>
    <row r="567" spans="3:14">
      <c r="C567" t="s">
        <v>54</v>
      </c>
      <c r="D567" t="s">
        <v>1565</v>
      </c>
      <c r="E567" t="s">
        <v>76</v>
      </c>
      <c r="F567" s="36">
        <v>3</v>
      </c>
      <c r="G567" t="s">
        <v>841</v>
      </c>
      <c r="I567" cm="1">
        <f t="array" ref="I567">_xlfn.IFNA(INDEX(QHPSelections2016[],MATCH(1,(QHPSelections2016[State Name]=HIX_RatingAreas[[#This Row],[State Code]])*(QHPSelections2016[County Name]=HIX_RatingAreas[[#This Row],[Subdivision]]),0),MATCH("Silver",QHPSelections2016[#Headers],0)),0)</f>
        <v>306</v>
      </c>
      <c r="J567" cm="1">
        <f t="array" ref="J567">_xlfn.IFNA(INDEX(QHPSelections2016[],MATCH(1,(QHPSelections2016[State Name]=HIX_RatingAreas[[#This Row],[State Code]])*(QHPSelections2016[County Name]=HIX_RatingAreas[[#This Row],[Subdivision]]),0),MATCH("Total Plan Selections",QHPSelections2016[#Headers],0)),0)</f>
        <v>380</v>
      </c>
      <c r="L567" t="str" cm="1">
        <f t="array" ref="L567">INDEX(QHPSelections2016[],MATCH(1,(QHPSelections2016[State Name]=HIX_RatingAreas[[#This Row],[State Code]])*(QHPSelections2016[County Name]=HIX_RatingAreas[[#This Row],[Subdivision]]),0),MATCH("County Name",QHPSelections2016[#Headers],0))</f>
        <v>Bledsoe County</v>
      </c>
      <c r="M567" t="b">
        <f>L567=HIX_RatingAreas[[#This Row],[Subdivision]]</f>
        <v>1</v>
      </c>
      <c r="N567">
        <v>564</v>
      </c>
    </row>
    <row r="568" spans="3:14">
      <c r="C568" t="s">
        <v>54</v>
      </c>
      <c r="D568" t="s">
        <v>1565</v>
      </c>
      <c r="E568" t="s">
        <v>76</v>
      </c>
      <c r="F568" s="36">
        <v>3</v>
      </c>
      <c r="G568" t="s">
        <v>852</v>
      </c>
      <c r="I568" cm="1">
        <f t="array" ref="I568">_xlfn.IFNA(INDEX(QHPSelections2016[],MATCH(1,(QHPSelections2016[State Name]=HIX_RatingAreas[[#This Row],[State Code]])*(QHPSelections2016[County Name]=HIX_RatingAreas[[#This Row],[Subdivision]]),0),MATCH("Silver",QHPSelections2016[#Headers],0)),0)</f>
        <v>2863</v>
      </c>
      <c r="J568" cm="1">
        <f t="array" ref="J568">_xlfn.IFNA(INDEX(QHPSelections2016[],MATCH(1,(QHPSelections2016[State Name]=HIX_RatingAreas[[#This Row],[State Code]])*(QHPSelections2016[County Name]=HIX_RatingAreas[[#This Row],[Subdivision]]),0),MATCH("Total Plan Selections",QHPSelections2016[#Headers],0)),0)</f>
        <v>3896</v>
      </c>
      <c r="L568" t="str" cm="1">
        <f t="array" ref="L568">INDEX(QHPSelections2016[],MATCH(1,(QHPSelections2016[State Name]=HIX_RatingAreas[[#This Row],[State Code]])*(QHPSelections2016[County Name]=HIX_RatingAreas[[#This Row],[Subdivision]]),0),MATCH("County Name",QHPSelections2016[#Headers],0))</f>
        <v>Bradley County</v>
      </c>
      <c r="M568" t="b">
        <f>L568=HIX_RatingAreas[[#This Row],[Subdivision]]</f>
        <v>1</v>
      </c>
      <c r="N568">
        <v>565</v>
      </c>
    </row>
    <row r="569" spans="3:14">
      <c r="C569" t="s">
        <v>54</v>
      </c>
      <c r="D569" t="s">
        <v>1565</v>
      </c>
      <c r="E569" t="s">
        <v>76</v>
      </c>
      <c r="F569" s="36">
        <v>3</v>
      </c>
      <c r="G569" t="s">
        <v>919</v>
      </c>
      <c r="I569" cm="1">
        <f t="array" ref="I569">_xlfn.IFNA(INDEX(QHPSelections2016[],MATCH(1,(QHPSelections2016[State Name]=HIX_RatingAreas[[#This Row],[State Code]])*(QHPSelections2016[County Name]=HIX_RatingAreas[[#This Row],[Subdivision]]),0),MATCH("Silver",QHPSelections2016[#Headers],0)),0)</f>
        <v>1025</v>
      </c>
      <c r="J569" cm="1">
        <f t="array" ref="J569">_xlfn.IFNA(INDEX(QHPSelections2016[],MATCH(1,(QHPSelections2016[State Name]=HIX_RatingAreas[[#This Row],[State Code]])*(QHPSelections2016[County Name]=HIX_RatingAreas[[#This Row],[Subdivision]]),0),MATCH("Total Plan Selections",QHPSelections2016[#Headers],0)),0)</f>
        <v>1433</v>
      </c>
      <c r="L569" t="str" cm="1">
        <f t="array" ref="L569">INDEX(QHPSelections2016[],MATCH(1,(QHPSelections2016[State Name]=HIX_RatingAreas[[#This Row],[State Code]])*(QHPSelections2016[County Name]=HIX_RatingAreas[[#This Row],[Subdivision]]),0),MATCH("County Name",QHPSelections2016[#Headers],0))</f>
        <v>Franklin County</v>
      </c>
      <c r="M569" t="b">
        <f>L569=HIX_RatingAreas[[#This Row],[Subdivision]]</f>
        <v>1</v>
      </c>
      <c r="N569">
        <v>566</v>
      </c>
    </row>
    <row r="570" spans="3:14">
      <c r="C570" t="s">
        <v>54</v>
      </c>
      <c r="D570" t="s">
        <v>1565</v>
      </c>
      <c r="E570" t="s">
        <v>76</v>
      </c>
      <c r="F570" s="36">
        <v>3</v>
      </c>
      <c r="G570" t="s">
        <v>991</v>
      </c>
      <c r="I570" cm="1">
        <f t="array" ref="I570">_xlfn.IFNA(INDEX(QHPSelections2016[],MATCH(1,(QHPSelections2016[State Name]=HIX_RatingAreas[[#This Row],[State Code]])*(QHPSelections2016[County Name]=HIX_RatingAreas[[#This Row],[Subdivision]]),0),MATCH("Silver",QHPSelections2016[#Headers],0)),0)</f>
        <v>381</v>
      </c>
      <c r="J570" cm="1">
        <f t="array" ref="J570">_xlfn.IFNA(INDEX(QHPSelections2016[],MATCH(1,(QHPSelections2016[State Name]=HIX_RatingAreas[[#This Row],[State Code]])*(QHPSelections2016[County Name]=HIX_RatingAreas[[#This Row],[Subdivision]]),0),MATCH("Total Plan Selections",QHPSelections2016[#Headers],0)),0)</f>
        <v>504</v>
      </c>
      <c r="L570" t="str" cm="1">
        <f t="array" ref="L570">INDEX(QHPSelections2016[],MATCH(1,(QHPSelections2016[State Name]=HIX_RatingAreas[[#This Row],[State Code]])*(QHPSelections2016[County Name]=HIX_RatingAreas[[#This Row],[Subdivision]]),0),MATCH("County Name",QHPSelections2016[#Headers],0))</f>
        <v>Grundy County</v>
      </c>
      <c r="M570" t="b">
        <f>L570=HIX_RatingAreas[[#This Row],[Subdivision]]</f>
        <v>1</v>
      </c>
      <c r="N570">
        <v>567</v>
      </c>
    </row>
    <row r="571" spans="3:14">
      <c r="C571" t="s">
        <v>54</v>
      </c>
      <c r="D571" t="s">
        <v>1565</v>
      </c>
      <c r="E571" t="s">
        <v>76</v>
      </c>
      <c r="F571" s="36">
        <v>3</v>
      </c>
      <c r="G571" t="s">
        <v>947</v>
      </c>
      <c r="I571" cm="1">
        <f t="array" ref="I571">_xlfn.IFNA(INDEX(QHPSelections2016[],MATCH(1,(QHPSelections2016[State Name]=HIX_RatingAreas[[#This Row],[State Code]])*(QHPSelections2016[County Name]=HIX_RatingAreas[[#This Row],[Subdivision]]),0),MATCH("Silver",QHPSelections2016[#Headers],0)),0)</f>
        <v>10957</v>
      </c>
      <c r="J571" cm="1">
        <f t="array" ref="J571">_xlfn.IFNA(INDEX(QHPSelections2016[],MATCH(1,(QHPSelections2016[State Name]=HIX_RatingAreas[[#This Row],[State Code]])*(QHPSelections2016[County Name]=HIX_RatingAreas[[#This Row],[Subdivision]]),0),MATCH("Total Plan Selections",QHPSelections2016[#Headers],0)),0)</f>
        <v>15805</v>
      </c>
      <c r="L571" t="str" cm="1">
        <f t="array" ref="L571">INDEX(QHPSelections2016[],MATCH(1,(QHPSelections2016[State Name]=HIX_RatingAreas[[#This Row],[State Code]])*(QHPSelections2016[County Name]=HIX_RatingAreas[[#This Row],[Subdivision]]),0),MATCH("County Name",QHPSelections2016[#Headers],0))</f>
        <v>Hamilton County</v>
      </c>
      <c r="M571" t="b">
        <f>L571=HIX_RatingAreas[[#This Row],[Subdivision]]</f>
        <v>1</v>
      </c>
      <c r="N571">
        <v>568</v>
      </c>
    </row>
    <row r="572" spans="3:14">
      <c r="C572" t="s">
        <v>54</v>
      </c>
      <c r="D572" t="s">
        <v>1565</v>
      </c>
      <c r="E572" t="s">
        <v>76</v>
      </c>
      <c r="F572" s="36">
        <v>3</v>
      </c>
      <c r="G572" t="s">
        <v>1038</v>
      </c>
      <c r="I572" cm="1">
        <f t="array" ref="I572">_xlfn.IFNA(INDEX(QHPSelections2016[],MATCH(1,(QHPSelections2016[State Name]=HIX_RatingAreas[[#This Row],[State Code]])*(QHPSelections2016[County Name]=HIX_RatingAreas[[#This Row],[Subdivision]]),0),MATCH("Silver",QHPSelections2016[#Headers],0)),0)</f>
        <v>770</v>
      </c>
      <c r="J572" cm="1">
        <f t="array" ref="J572">_xlfn.IFNA(INDEX(QHPSelections2016[],MATCH(1,(QHPSelections2016[State Name]=HIX_RatingAreas[[#This Row],[State Code]])*(QHPSelections2016[County Name]=HIX_RatingAreas[[#This Row],[Subdivision]]),0),MATCH("Total Plan Selections",QHPSelections2016[#Headers],0)),0)</f>
        <v>993</v>
      </c>
      <c r="L572" t="str" cm="1">
        <f t="array" ref="L572">INDEX(QHPSelections2016[],MATCH(1,(QHPSelections2016[State Name]=HIX_RatingAreas[[#This Row],[State Code]])*(QHPSelections2016[County Name]=HIX_RatingAreas[[#This Row],[Subdivision]]),0),MATCH("County Name",QHPSelections2016[#Headers],0))</f>
        <v>Marion County</v>
      </c>
      <c r="M572" t="b">
        <f>L572=HIX_RatingAreas[[#This Row],[Subdivision]]</f>
        <v>1</v>
      </c>
      <c r="N572">
        <v>569</v>
      </c>
    </row>
    <row r="573" spans="3:14">
      <c r="C573" t="s">
        <v>54</v>
      </c>
      <c r="D573" t="s">
        <v>1565</v>
      </c>
      <c r="E573" t="s">
        <v>76</v>
      </c>
      <c r="F573" s="36">
        <v>3</v>
      </c>
      <c r="G573" t="s">
        <v>1107</v>
      </c>
      <c r="I573" cm="1">
        <f t="array" ref="I573">_xlfn.IFNA(INDEX(QHPSelections2016[],MATCH(1,(QHPSelections2016[State Name]=HIX_RatingAreas[[#This Row],[State Code]])*(QHPSelections2016[County Name]=HIX_RatingAreas[[#This Row],[Subdivision]]),0),MATCH("Silver",QHPSelections2016[#Headers],0)),0)</f>
        <v>1257</v>
      </c>
      <c r="J573" cm="1">
        <f t="array" ref="J573">_xlfn.IFNA(INDEX(QHPSelections2016[],MATCH(1,(QHPSelections2016[State Name]=HIX_RatingAreas[[#This Row],[State Code]])*(QHPSelections2016[County Name]=HIX_RatingAreas[[#This Row],[Subdivision]]),0),MATCH("Total Plan Selections",QHPSelections2016[#Headers],0)),0)</f>
        <v>1619</v>
      </c>
      <c r="L573" t="str" cm="1">
        <f t="array" ref="L573">INDEX(QHPSelections2016[],MATCH(1,(QHPSelections2016[State Name]=HIX_RatingAreas[[#This Row],[State Code]])*(QHPSelections2016[County Name]=HIX_RatingAreas[[#This Row],[Subdivision]]),0),MATCH("County Name",QHPSelections2016[#Headers],0))</f>
        <v>McMinn County</v>
      </c>
      <c r="M573" t="b">
        <f>L573=HIX_RatingAreas[[#This Row],[Subdivision]]</f>
        <v>1</v>
      </c>
      <c r="N573">
        <v>570</v>
      </c>
    </row>
    <row r="574" spans="3:14">
      <c r="C574" t="s">
        <v>54</v>
      </c>
      <c r="D574" t="s">
        <v>1565</v>
      </c>
      <c r="E574" t="s">
        <v>76</v>
      </c>
      <c r="F574" s="36">
        <v>3</v>
      </c>
      <c r="G574" t="s">
        <v>1141</v>
      </c>
      <c r="I574" cm="1">
        <f t="array" ref="I574">_xlfn.IFNA(INDEX(QHPSelections2016[],MATCH(1,(QHPSelections2016[State Name]=HIX_RatingAreas[[#This Row],[State Code]])*(QHPSelections2016[County Name]=HIX_RatingAreas[[#This Row],[Subdivision]]),0),MATCH("Silver",QHPSelections2016[#Headers],0)),0)</f>
        <v>311</v>
      </c>
      <c r="J574" cm="1">
        <f t="array" ref="J574">_xlfn.IFNA(INDEX(QHPSelections2016[],MATCH(1,(QHPSelections2016[State Name]=HIX_RatingAreas[[#This Row],[State Code]])*(QHPSelections2016[County Name]=HIX_RatingAreas[[#This Row],[Subdivision]]),0),MATCH("Total Plan Selections",QHPSelections2016[#Headers],0)),0)</f>
        <v>387</v>
      </c>
      <c r="L574" t="str" cm="1">
        <f t="array" ref="L574">INDEX(QHPSelections2016[],MATCH(1,(QHPSelections2016[State Name]=HIX_RatingAreas[[#This Row],[State Code]])*(QHPSelections2016[County Name]=HIX_RatingAreas[[#This Row],[Subdivision]]),0),MATCH("County Name",QHPSelections2016[#Headers],0))</f>
        <v>Meigs County</v>
      </c>
      <c r="M574" t="b">
        <f>L574=HIX_RatingAreas[[#This Row],[Subdivision]]</f>
        <v>1</v>
      </c>
      <c r="N574">
        <v>571</v>
      </c>
    </row>
    <row r="575" spans="3:14">
      <c r="C575" t="s">
        <v>54</v>
      </c>
      <c r="D575" t="s">
        <v>1565</v>
      </c>
      <c r="E575" t="s">
        <v>76</v>
      </c>
      <c r="F575" s="36">
        <v>3</v>
      </c>
      <c r="G575" t="s">
        <v>1098</v>
      </c>
      <c r="I575" cm="1">
        <f t="array" ref="I575">_xlfn.IFNA(INDEX(QHPSelections2016[],MATCH(1,(QHPSelections2016[State Name]=HIX_RatingAreas[[#This Row],[State Code]])*(QHPSelections2016[County Name]=HIX_RatingAreas[[#This Row],[Subdivision]]),0),MATCH("Silver",QHPSelections2016[#Headers],0)),0)</f>
        <v>462</v>
      </c>
      <c r="J575" cm="1">
        <f t="array" ref="J575">_xlfn.IFNA(INDEX(QHPSelections2016[],MATCH(1,(QHPSelections2016[State Name]=HIX_RatingAreas[[#This Row],[State Code]])*(QHPSelections2016[County Name]=HIX_RatingAreas[[#This Row],[Subdivision]]),0),MATCH("Total Plan Selections",QHPSelections2016[#Headers],0)),0)</f>
        <v>659</v>
      </c>
      <c r="L575" t="str" cm="1">
        <f t="array" ref="L575">INDEX(QHPSelections2016[],MATCH(1,(QHPSelections2016[State Name]=HIX_RatingAreas[[#This Row],[State Code]])*(QHPSelections2016[County Name]=HIX_RatingAreas[[#This Row],[Subdivision]]),0),MATCH("County Name",QHPSelections2016[#Headers],0))</f>
        <v>Polk County</v>
      </c>
      <c r="M575" t="b">
        <f>L575=HIX_RatingAreas[[#This Row],[Subdivision]]</f>
        <v>1</v>
      </c>
      <c r="N575">
        <v>572</v>
      </c>
    </row>
    <row r="576" spans="3:14">
      <c r="C576" t="s">
        <v>54</v>
      </c>
      <c r="D576" t="s">
        <v>1565</v>
      </c>
      <c r="E576" t="s">
        <v>76</v>
      </c>
      <c r="F576" s="36">
        <v>3</v>
      </c>
      <c r="G576" t="s">
        <v>1195</v>
      </c>
      <c r="I576" cm="1">
        <f t="array" ref="I576">_xlfn.IFNA(INDEX(QHPSelections2016[],MATCH(1,(QHPSelections2016[State Name]=HIX_RatingAreas[[#This Row],[State Code]])*(QHPSelections2016[County Name]=HIX_RatingAreas[[#This Row],[Subdivision]]),0),MATCH("Silver",QHPSelections2016[#Headers],0)),0)</f>
        <v>682</v>
      </c>
      <c r="J576" cm="1">
        <f t="array" ref="J576">_xlfn.IFNA(INDEX(QHPSelections2016[],MATCH(1,(QHPSelections2016[State Name]=HIX_RatingAreas[[#This Row],[State Code]])*(QHPSelections2016[County Name]=HIX_RatingAreas[[#This Row],[Subdivision]]),0),MATCH("Total Plan Selections",QHPSelections2016[#Headers],0)),0)</f>
        <v>933</v>
      </c>
      <c r="L576" t="str" cm="1">
        <f t="array" ref="L576">INDEX(QHPSelections2016[],MATCH(1,(QHPSelections2016[State Name]=HIX_RatingAreas[[#This Row],[State Code]])*(QHPSelections2016[County Name]=HIX_RatingAreas[[#This Row],[Subdivision]]),0),MATCH("County Name",QHPSelections2016[#Headers],0))</f>
        <v>Rhea County</v>
      </c>
      <c r="M576" t="b">
        <f>L576=HIX_RatingAreas[[#This Row],[Subdivision]]</f>
        <v>1</v>
      </c>
      <c r="N576">
        <v>573</v>
      </c>
    </row>
    <row r="577" spans="3:14">
      <c r="C577" t="s">
        <v>54</v>
      </c>
      <c r="D577" t="s">
        <v>1565</v>
      </c>
      <c r="E577" t="s">
        <v>76</v>
      </c>
      <c r="F577" s="36">
        <v>3</v>
      </c>
      <c r="G577" t="s">
        <v>1211</v>
      </c>
      <c r="I577" cm="1">
        <f t="array" ref="I577">_xlfn.IFNA(INDEX(QHPSelections2016[],MATCH(1,(QHPSelections2016[State Name]=HIX_RatingAreas[[#This Row],[State Code]])*(QHPSelections2016[County Name]=HIX_RatingAreas[[#This Row],[Subdivision]]),0),MATCH("Silver",QHPSelections2016[#Headers],0)),0)</f>
        <v>423</v>
      </c>
      <c r="J577" cm="1">
        <f t="array" ref="J577">_xlfn.IFNA(INDEX(QHPSelections2016[],MATCH(1,(QHPSelections2016[State Name]=HIX_RatingAreas[[#This Row],[State Code]])*(QHPSelections2016[County Name]=HIX_RatingAreas[[#This Row],[Subdivision]]),0),MATCH("Total Plan Selections",QHPSelections2016[#Headers],0)),0)</f>
        <v>551</v>
      </c>
      <c r="L577" t="str" cm="1">
        <f t="array" ref="L577">INDEX(QHPSelections2016[],MATCH(1,(QHPSelections2016[State Name]=HIX_RatingAreas[[#This Row],[State Code]])*(QHPSelections2016[County Name]=HIX_RatingAreas[[#This Row],[Subdivision]]),0),MATCH("County Name",QHPSelections2016[#Headers],0))</f>
        <v>Sequatchie County</v>
      </c>
      <c r="M577" t="b">
        <f>L577=HIX_RatingAreas[[#This Row],[Subdivision]]</f>
        <v>1</v>
      </c>
      <c r="N577">
        <v>574</v>
      </c>
    </row>
    <row r="578" spans="3:14">
      <c r="C578" t="s">
        <v>54</v>
      </c>
      <c r="D578" t="s">
        <v>1565</v>
      </c>
      <c r="E578" t="s">
        <v>84</v>
      </c>
      <c r="F578" s="36">
        <v>4</v>
      </c>
      <c r="G578" t="s">
        <v>883</v>
      </c>
      <c r="I578" cm="1">
        <f t="array" ref="I578">_xlfn.IFNA(INDEX(QHPSelections2016[],MATCH(1,(QHPSelections2016[State Name]=HIX_RatingAreas[[#This Row],[State Code]])*(QHPSelections2016[County Name]=HIX_RatingAreas[[#This Row],[Subdivision]]),0),MATCH("Silver",QHPSelections2016[#Headers],0)),0)</f>
        <v>1138</v>
      </c>
      <c r="J578" cm="1">
        <f t="array" ref="J578">_xlfn.IFNA(INDEX(QHPSelections2016[],MATCH(1,(QHPSelections2016[State Name]=HIX_RatingAreas[[#This Row],[State Code]])*(QHPSelections2016[County Name]=HIX_RatingAreas[[#This Row],[Subdivision]]),0),MATCH("Total Plan Selections",QHPSelections2016[#Headers],0)),0)</f>
        <v>1709</v>
      </c>
      <c r="L578" t="str" cm="1">
        <f t="array" ref="L578">INDEX(QHPSelections2016[],MATCH(1,(QHPSelections2016[State Name]=HIX_RatingAreas[[#This Row],[State Code]])*(QHPSelections2016[County Name]=HIX_RatingAreas[[#This Row],[Subdivision]]),0),MATCH("County Name",QHPSelections2016[#Headers],0))</f>
        <v>Cheatham County</v>
      </c>
      <c r="M578" t="b">
        <f>L578=HIX_RatingAreas[[#This Row],[Subdivision]]</f>
        <v>1</v>
      </c>
      <c r="N578">
        <v>575</v>
      </c>
    </row>
    <row r="579" spans="3:14">
      <c r="C579" t="s">
        <v>54</v>
      </c>
      <c r="D579" t="s">
        <v>1565</v>
      </c>
      <c r="E579" t="s">
        <v>84</v>
      </c>
      <c r="F579" s="36">
        <v>4</v>
      </c>
      <c r="G579" t="s">
        <v>928</v>
      </c>
      <c r="I579" cm="1">
        <f t="array" ref="I579">_xlfn.IFNA(INDEX(QHPSelections2016[],MATCH(1,(QHPSelections2016[State Name]=HIX_RatingAreas[[#This Row],[State Code]])*(QHPSelections2016[County Name]=HIX_RatingAreas[[#This Row],[Subdivision]]),0),MATCH("Silver",QHPSelections2016[#Headers],0)),0)</f>
        <v>22665</v>
      </c>
      <c r="J579" cm="1">
        <f t="array" ref="J579">_xlfn.IFNA(INDEX(QHPSelections2016[],MATCH(1,(QHPSelections2016[State Name]=HIX_RatingAreas[[#This Row],[State Code]])*(QHPSelections2016[County Name]=HIX_RatingAreas[[#This Row],[Subdivision]]),0),MATCH("Total Plan Selections",QHPSelections2016[#Headers],0)),0)</f>
        <v>35588</v>
      </c>
      <c r="L579" t="str" cm="1">
        <f t="array" ref="L579">INDEX(QHPSelections2016[],MATCH(1,(QHPSelections2016[State Name]=HIX_RatingAreas[[#This Row],[State Code]])*(QHPSelections2016[County Name]=HIX_RatingAreas[[#This Row],[Subdivision]]),0),MATCH("County Name",QHPSelections2016[#Headers],0))</f>
        <v>Davidson County</v>
      </c>
      <c r="M579" t="b">
        <f>L579=HIX_RatingAreas[[#This Row],[Subdivision]]</f>
        <v>1</v>
      </c>
      <c r="N579">
        <v>576</v>
      </c>
    </row>
    <row r="580" spans="3:14">
      <c r="C580" t="s">
        <v>54</v>
      </c>
      <c r="D580" t="s">
        <v>1565</v>
      </c>
      <c r="E580" t="s">
        <v>84</v>
      </c>
      <c r="F580" s="36">
        <v>4</v>
      </c>
      <c r="G580" t="s">
        <v>1079</v>
      </c>
      <c r="I580" cm="1">
        <f t="array" ref="I580">_xlfn.IFNA(INDEX(QHPSelections2016[],MATCH(1,(QHPSelections2016[State Name]=HIX_RatingAreas[[#This Row],[State Code]])*(QHPSelections2016[County Name]=HIX_RatingAreas[[#This Row],[Subdivision]]),0),MATCH("Silver",QHPSelections2016[#Headers],0)),0)</f>
        <v>3087</v>
      </c>
      <c r="J580" cm="1">
        <f t="array" ref="J580">_xlfn.IFNA(INDEX(QHPSelections2016[],MATCH(1,(QHPSelections2016[State Name]=HIX_RatingAreas[[#This Row],[State Code]])*(QHPSelections2016[County Name]=HIX_RatingAreas[[#This Row],[Subdivision]]),0),MATCH("Total Plan Selections",QHPSelections2016[#Headers],0)),0)</f>
        <v>4606</v>
      </c>
      <c r="L580" t="str" cm="1">
        <f t="array" ref="L580">INDEX(QHPSelections2016[],MATCH(1,(QHPSelections2016[State Name]=HIX_RatingAreas[[#This Row],[State Code]])*(QHPSelections2016[County Name]=HIX_RatingAreas[[#This Row],[Subdivision]]),0),MATCH("County Name",QHPSelections2016[#Headers],0))</f>
        <v>Montgomery County</v>
      </c>
      <c r="M580" t="b">
        <f>L580=HIX_RatingAreas[[#This Row],[Subdivision]]</f>
        <v>1</v>
      </c>
      <c r="N580">
        <v>577</v>
      </c>
    </row>
    <row r="581" spans="3:14">
      <c r="C581" t="s">
        <v>54</v>
      </c>
      <c r="D581" t="s">
        <v>1565</v>
      </c>
      <c r="E581" t="s">
        <v>84</v>
      </c>
      <c r="F581" s="36">
        <v>4</v>
      </c>
      <c r="G581" t="s">
        <v>1204</v>
      </c>
      <c r="I581" cm="1">
        <f t="array" ref="I581">_xlfn.IFNA(INDEX(QHPSelections2016[],MATCH(1,(QHPSelections2016[State Name]=HIX_RatingAreas[[#This Row],[State Code]])*(QHPSelections2016[County Name]=HIX_RatingAreas[[#This Row],[Subdivision]]),0),MATCH("Silver",QHPSelections2016[#Headers],0)),0)</f>
        <v>1535</v>
      </c>
      <c r="J581" cm="1">
        <f t="array" ref="J581">_xlfn.IFNA(INDEX(QHPSelections2016[],MATCH(1,(QHPSelections2016[State Name]=HIX_RatingAreas[[#This Row],[State Code]])*(QHPSelections2016[County Name]=HIX_RatingAreas[[#This Row],[Subdivision]]),0),MATCH("Total Plan Selections",QHPSelections2016[#Headers],0)),0)</f>
        <v>2416</v>
      </c>
      <c r="L581" t="str" cm="1">
        <f t="array" ref="L581">INDEX(QHPSelections2016[],MATCH(1,(QHPSelections2016[State Name]=HIX_RatingAreas[[#This Row],[State Code]])*(QHPSelections2016[County Name]=HIX_RatingAreas[[#This Row],[Subdivision]]),0),MATCH("County Name",QHPSelections2016[#Headers],0))</f>
        <v>Robertson County</v>
      </c>
      <c r="M581" t="b">
        <f>L581=HIX_RatingAreas[[#This Row],[Subdivision]]</f>
        <v>1</v>
      </c>
      <c r="N581">
        <v>578</v>
      </c>
    </row>
    <row r="582" spans="3:14">
      <c r="C582" t="s">
        <v>54</v>
      </c>
      <c r="D582" t="s">
        <v>1565</v>
      </c>
      <c r="E582" t="s">
        <v>84</v>
      </c>
      <c r="F582" s="36">
        <v>4</v>
      </c>
      <c r="G582" t="s">
        <v>1206</v>
      </c>
      <c r="I582" cm="1">
        <f t="array" ref="I582">_xlfn.IFNA(INDEX(QHPSelections2016[],MATCH(1,(QHPSelections2016[State Name]=HIX_RatingAreas[[#This Row],[State Code]])*(QHPSelections2016[County Name]=HIX_RatingAreas[[#This Row],[Subdivision]]),0),MATCH("Silver",QHPSelections2016[#Headers],0)),0)</f>
        <v>6463</v>
      </c>
      <c r="J582" cm="1">
        <f t="array" ref="J582">_xlfn.IFNA(INDEX(QHPSelections2016[],MATCH(1,(QHPSelections2016[State Name]=HIX_RatingAreas[[#This Row],[State Code]])*(QHPSelections2016[County Name]=HIX_RatingAreas[[#This Row],[Subdivision]]),0),MATCH("Total Plan Selections",QHPSelections2016[#Headers],0)),0)</f>
        <v>10065</v>
      </c>
      <c r="L582" t="str" cm="1">
        <f t="array" ref="L582">INDEX(QHPSelections2016[],MATCH(1,(QHPSelections2016[State Name]=HIX_RatingAreas[[#This Row],[State Code]])*(QHPSelections2016[County Name]=HIX_RatingAreas[[#This Row],[Subdivision]]),0),MATCH("County Name",QHPSelections2016[#Headers],0))</f>
        <v>Rutherford County</v>
      </c>
      <c r="M582" t="b">
        <f>L582=HIX_RatingAreas[[#This Row],[Subdivision]]</f>
        <v>1</v>
      </c>
      <c r="N582">
        <v>579</v>
      </c>
    </row>
    <row r="583" spans="3:14">
      <c r="C583" t="s">
        <v>54</v>
      </c>
      <c r="D583" t="s">
        <v>1565</v>
      </c>
      <c r="E583" t="s">
        <v>84</v>
      </c>
      <c r="F583" s="36">
        <v>4</v>
      </c>
      <c r="G583" t="s">
        <v>1230</v>
      </c>
      <c r="I583" cm="1">
        <f t="array" ref="I583">_xlfn.IFNA(INDEX(QHPSelections2016[],MATCH(1,(QHPSelections2016[State Name]=HIX_RatingAreas[[#This Row],[State Code]])*(QHPSelections2016[County Name]=HIX_RatingAreas[[#This Row],[Subdivision]]),0),MATCH("Silver",QHPSelections2016[#Headers],0)),0)</f>
        <v>4241</v>
      </c>
      <c r="J583" cm="1">
        <f t="array" ref="J583">_xlfn.IFNA(INDEX(QHPSelections2016[],MATCH(1,(QHPSelections2016[State Name]=HIX_RatingAreas[[#This Row],[State Code]])*(QHPSelections2016[County Name]=HIX_RatingAreas[[#This Row],[Subdivision]]),0),MATCH("Total Plan Selections",QHPSelections2016[#Headers],0)),0)</f>
        <v>6604</v>
      </c>
      <c r="L583" t="str" cm="1">
        <f t="array" ref="L583">INDEX(QHPSelections2016[],MATCH(1,(QHPSelections2016[State Name]=HIX_RatingAreas[[#This Row],[State Code]])*(QHPSelections2016[County Name]=HIX_RatingAreas[[#This Row],[Subdivision]]),0),MATCH("County Name",QHPSelections2016[#Headers],0))</f>
        <v>Sumner County</v>
      </c>
      <c r="M583" t="b">
        <f>L583=HIX_RatingAreas[[#This Row],[Subdivision]]</f>
        <v>1</v>
      </c>
      <c r="N583">
        <v>580</v>
      </c>
    </row>
    <row r="584" spans="3:14">
      <c r="C584" t="s">
        <v>54</v>
      </c>
      <c r="D584" t="s">
        <v>1565</v>
      </c>
      <c r="E584" t="s">
        <v>84</v>
      </c>
      <c r="F584" s="36">
        <v>4</v>
      </c>
      <c r="G584" t="s">
        <v>1236</v>
      </c>
      <c r="I584" cm="1">
        <f t="array" ref="I584">_xlfn.IFNA(INDEX(QHPSelections2016[],MATCH(1,(QHPSelections2016[State Name]=HIX_RatingAreas[[#This Row],[State Code]])*(QHPSelections2016[County Name]=HIX_RatingAreas[[#This Row],[Subdivision]]),0),MATCH("Silver",QHPSelections2016[#Headers],0)),0)</f>
        <v>196</v>
      </c>
      <c r="J584" cm="1">
        <f t="array" ref="J584">_xlfn.IFNA(INDEX(QHPSelections2016[],MATCH(1,(QHPSelections2016[State Name]=HIX_RatingAreas[[#This Row],[State Code]])*(QHPSelections2016[County Name]=HIX_RatingAreas[[#This Row],[Subdivision]]),0),MATCH("Total Plan Selections",QHPSelections2016[#Headers],0)),0)</f>
        <v>283</v>
      </c>
      <c r="L584" t="str" cm="1">
        <f t="array" ref="L584">INDEX(QHPSelections2016[],MATCH(1,(QHPSelections2016[State Name]=HIX_RatingAreas[[#This Row],[State Code]])*(QHPSelections2016[County Name]=HIX_RatingAreas[[#This Row],[Subdivision]]),0),MATCH("County Name",QHPSelections2016[#Headers],0))</f>
        <v>Trousdale County</v>
      </c>
      <c r="M584" t="b">
        <f>L584=HIX_RatingAreas[[#This Row],[Subdivision]]</f>
        <v>1</v>
      </c>
      <c r="N584">
        <v>581</v>
      </c>
    </row>
    <row r="585" spans="3:14">
      <c r="C585" t="s">
        <v>54</v>
      </c>
      <c r="D585" t="s">
        <v>1565</v>
      </c>
      <c r="E585" t="s">
        <v>84</v>
      </c>
      <c r="F585" s="36">
        <v>4</v>
      </c>
      <c r="G585" t="s">
        <v>1261</v>
      </c>
      <c r="I585" cm="1">
        <f t="array" ref="I585">_xlfn.IFNA(INDEX(QHPSelections2016[],MATCH(1,(QHPSelections2016[State Name]=HIX_RatingAreas[[#This Row],[State Code]])*(QHPSelections2016[County Name]=HIX_RatingAreas[[#This Row],[Subdivision]]),0),MATCH("Silver",QHPSelections2016[#Headers],0)),0)</f>
        <v>5353</v>
      </c>
      <c r="J585" cm="1">
        <f t="array" ref="J585">_xlfn.IFNA(INDEX(QHPSelections2016[],MATCH(1,(QHPSelections2016[State Name]=HIX_RatingAreas[[#This Row],[State Code]])*(QHPSelections2016[County Name]=HIX_RatingAreas[[#This Row],[Subdivision]]),0),MATCH("Total Plan Selections",QHPSelections2016[#Headers],0)),0)</f>
        <v>9839</v>
      </c>
      <c r="L585" t="str" cm="1">
        <f t="array" ref="L585">INDEX(QHPSelections2016[],MATCH(1,(QHPSelections2016[State Name]=HIX_RatingAreas[[#This Row],[State Code]])*(QHPSelections2016[County Name]=HIX_RatingAreas[[#This Row],[Subdivision]]),0),MATCH("County Name",QHPSelections2016[#Headers],0))</f>
        <v>Williamson County</v>
      </c>
      <c r="M585" t="b">
        <f>L585=HIX_RatingAreas[[#This Row],[Subdivision]]</f>
        <v>1</v>
      </c>
      <c r="N585">
        <v>582</v>
      </c>
    </row>
    <row r="586" spans="3:14">
      <c r="C586" t="s">
        <v>54</v>
      </c>
      <c r="D586" t="s">
        <v>1565</v>
      </c>
      <c r="E586" t="s">
        <v>84</v>
      </c>
      <c r="F586" s="36">
        <v>4</v>
      </c>
      <c r="G586" t="s">
        <v>1265</v>
      </c>
      <c r="I586" cm="1">
        <f t="array" ref="I586">_xlfn.IFNA(INDEX(QHPSelections2016[],MATCH(1,(QHPSelections2016[State Name]=HIX_RatingAreas[[#This Row],[State Code]])*(QHPSelections2016[County Name]=HIX_RatingAreas[[#This Row],[Subdivision]]),0),MATCH("Silver",QHPSelections2016[#Headers],0)),0)</f>
        <v>3079</v>
      </c>
      <c r="J586" cm="1">
        <f t="array" ref="J586">_xlfn.IFNA(INDEX(QHPSelections2016[],MATCH(1,(QHPSelections2016[State Name]=HIX_RatingAreas[[#This Row],[State Code]])*(QHPSelections2016[County Name]=HIX_RatingAreas[[#This Row],[Subdivision]]),0),MATCH("Total Plan Selections",QHPSelections2016[#Headers],0)),0)</f>
        <v>4892</v>
      </c>
      <c r="L586" t="str" cm="1">
        <f t="array" ref="L586">INDEX(QHPSelections2016[],MATCH(1,(QHPSelections2016[State Name]=HIX_RatingAreas[[#This Row],[State Code]])*(QHPSelections2016[County Name]=HIX_RatingAreas[[#This Row],[Subdivision]]),0),MATCH("County Name",QHPSelections2016[#Headers],0))</f>
        <v>Wilson County</v>
      </c>
      <c r="M586" t="b">
        <f>L586=HIX_RatingAreas[[#This Row],[Subdivision]]</f>
        <v>1</v>
      </c>
      <c r="N586">
        <v>583</v>
      </c>
    </row>
    <row r="587" spans="3:14">
      <c r="C587" t="s">
        <v>54</v>
      </c>
      <c r="D587" t="s">
        <v>1565</v>
      </c>
      <c r="E587" t="s">
        <v>86</v>
      </c>
      <c r="F587" s="36">
        <v>5</v>
      </c>
      <c r="G587" t="s">
        <v>835</v>
      </c>
      <c r="I587" cm="1">
        <f t="array" ref="I587">_xlfn.IFNA(INDEX(QHPSelections2016[],MATCH(1,(QHPSelections2016[State Name]=HIX_RatingAreas[[#This Row],[State Code]])*(QHPSelections2016[County Name]=HIX_RatingAreas[[#This Row],[Subdivision]]),0),MATCH("Silver",QHPSelections2016[#Headers],0)),0)</f>
        <v>454</v>
      </c>
      <c r="J587" cm="1">
        <f t="array" ref="J587">_xlfn.IFNA(INDEX(QHPSelections2016[],MATCH(1,(QHPSelections2016[State Name]=HIX_RatingAreas[[#This Row],[State Code]])*(QHPSelections2016[County Name]=HIX_RatingAreas[[#This Row],[Subdivision]]),0),MATCH("Total Plan Selections",QHPSelections2016[#Headers],0)),0)</f>
        <v>636</v>
      </c>
      <c r="L587" t="str" cm="1">
        <f t="array" ref="L587">INDEX(QHPSelections2016[],MATCH(1,(QHPSelections2016[State Name]=HIX_RatingAreas[[#This Row],[State Code]])*(QHPSelections2016[County Name]=HIX_RatingAreas[[#This Row],[Subdivision]]),0),MATCH("County Name",QHPSelections2016[#Headers],0))</f>
        <v>Benton County</v>
      </c>
      <c r="M587" t="b">
        <f>L587=HIX_RatingAreas[[#This Row],[Subdivision]]</f>
        <v>1</v>
      </c>
      <c r="N587">
        <v>584</v>
      </c>
    </row>
    <row r="588" spans="3:14">
      <c r="C588" t="s">
        <v>54</v>
      </c>
      <c r="D588" t="s">
        <v>1565</v>
      </c>
      <c r="E588" t="s">
        <v>86</v>
      </c>
      <c r="F588" s="36">
        <v>5</v>
      </c>
      <c r="G588" t="s">
        <v>862</v>
      </c>
      <c r="I588" cm="1">
        <f t="array" ref="I588">_xlfn.IFNA(INDEX(QHPSelections2016[],MATCH(1,(QHPSelections2016[State Name]=HIX_RatingAreas[[#This Row],[State Code]])*(QHPSelections2016[County Name]=HIX_RatingAreas[[#This Row],[Subdivision]]),0),MATCH("Silver",QHPSelections2016[#Headers],0)),0)</f>
        <v>683</v>
      </c>
      <c r="J588" cm="1">
        <f t="array" ref="J588">_xlfn.IFNA(INDEX(QHPSelections2016[],MATCH(1,(QHPSelections2016[State Name]=HIX_RatingAreas[[#This Row],[State Code]])*(QHPSelections2016[County Name]=HIX_RatingAreas[[#This Row],[Subdivision]]),0),MATCH("Total Plan Selections",QHPSelections2016[#Headers],0)),0)</f>
        <v>973</v>
      </c>
      <c r="L588" t="str" cm="1">
        <f t="array" ref="L588">INDEX(QHPSelections2016[],MATCH(1,(QHPSelections2016[State Name]=HIX_RatingAreas[[#This Row],[State Code]])*(QHPSelections2016[County Name]=HIX_RatingAreas[[#This Row],[Subdivision]]),0),MATCH("County Name",QHPSelections2016[#Headers],0))</f>
        <v>Carroll County</v>
      </c>
      <c r="M588" t="b">
        <f>L588=HIX_RatingAreas[[#This Row],[Subdivision]]</f>
        <v>1</v>
      </c>
      <c r="N588">
        <v>585</v>
      </c>
    </row>
    <row r="589" spans="3:14">
      <c r="C589" t="s">
        <v>54</v>
      </c>
      <c r="D589" t="s">
        <v>1565</v>
      </c>
      <c r="E589" t="s">
        <v>86</v>
      </c>
      <c r="F589" s="36">
        <v>5</v>
      </c>
      <c r="G589" t="s">
        <v>889</v>
      </c>
      <c r="I589" cm="1">
        <f t="array" ref="I589">_xlfn.IFNA(INDEX(QHPSelections2016[],MATCH(1,(QHPSelections2016[State Name]=HIX_RatingAreas[[#This Row],[State Code]])*(QHPSelections2016[County Name]=HIX_RatingAreas[[#This Row],[Subdivision]]),0),MATCH("Silver",QHPSelections2016[#Headers],0)),0)</f>
        <v>401</v>
      </c>
      <c r="J589" cm="1">
        <f t="array" ref="J589">_xlfn.IFNA(INDEX(QHPSelections2016[],MATCH(1,(QHPSelections2016[State Name]=HIX_RatingAreas[[#This Row],[State Code]])*(QHPSelections2016[County Name]=HIX_RatingAreas[[#This Row],[Subdivision]]),0),MATCH("Total Plan Selections",QHPSelections2016[#Headers],0)),0)</f>
        <v>571</v>
      </c>
      <c r="L589" t="str" cm="1">
        <f t="array" ref="L589">INDEX(QHPSelections2016[],MATCH(1,(QHPSelections2016[State Name]=HIX_RatingAreas[[#This Row],[State Code]])*(QHPSelections2016[County Name]=HIX_RatingAreas[[#This Row],[Subdivision]]),0),MATCH("County Name",QHPSelections2016[#Headers],0))</f>
        <v>Chester County</v>
      </c>
      <c r="M589" t="b">
        <f>L589=HIX_RatingAreas[[#This Row],[Subdivision]]</f>
        <v>1</v>
      </c>
      <c r="N589">
        <v>586</v>
      </c>
    </row>
    <row r="590" spans="3:14">
      <c r="C590" t="s">
        <v>54</v>
      </c>
      <c r="D590" t="s">
        <v>1565</v>
      </c>
      <c r="E590" t="s">
        <v>86</v>
      </c>
      <c r="F590" s="36">
        <v>5</v>
      </c>
      <c r="G590" t="s">
        <v>916</v>
      </c>
      <c r="I590" cm="1">
        <f t="array" ref="I590">_xlfn.IFNA(INDEX(QHPSelections2016[],MATCH(1,(QHPSelections2016[State Name]=HIX_RatingAreas[[#This Row],[State Code]])*(QHPSelections2016[County Name]=HIX_RatingAreas[[#This Row],[Subdivision]]),0),MATCH("Silver",QHPSelections2016[#Headers],0)),0)</f>
        <v>383</v>
      </c>
      <c r="J590" cm="1">
        <f t="array" ref="J590">_xlfn.IFNA(INDEX(QHPSelections2016[],MATCH(1,(QHPSelections2016[State Name]=HIX_RatingAreas[[#This Row],[State Code]])*(QHPSelections2016[County Name]=HIX_RatingAreas[[#This Row],[Subdivision]]),0),MATCH("Total Plan Selections",QHPSelections2016[#Headers],0)),0)</f>
        <v>570</v>
      </c>
      <c r="L590" t="str" cm="1">
        <f t="array" ref="L590">INDEX(QHPSelections2016[],MATCH(1,(QHPSelections2016[State Name]=HIX_RatingAreas[[#This Row],[State Code]])*(QHPSelections2016[County Name]=HIX_RatingAreas[[#This Row],[Subdivision]]),0),MATCH("County Name",QHPSelections2016[#Headers],0))</f>
        <v>Crockett County</v>
      </c>
      <c r="M590" t="b">
        <f>L590=HIX_RatingAreas[[#This Row],[Subdivision]]</f>
        <v>1</v>
      </c>
      <c r="N590">
        <v>587</v>
      </c>
    </row>
    <row r="591" spans="3:14">
      <c r="C591" t="s">
        <v>54</v>
      </c>
      <c r="D591" t="s">
        <v>1565</v>
      </c>
      <c r="E591" t="s">
        <v>86</v>
      </c>
      <c r="F591" s="36">
        <v>5</v>
      </c>
      <c r="G591" t="s">
        <v>932</v>
      </c>
      <c r="I591" cm="1">
        <f t="array" ref="I591">_xlfn.IFNA(INDEX(QHPSelections2016[],MATCH(1,(QHPSelections2016[State Name]=HIX_RatingAreas[[#This Row],[State Code]])*(QHPSelections2016[County Name]=HIX_RatingAreas[[#This Row],[Subdivision]]),0),MATCH("Silver",QHPSelections2016[#Headers],0)),0)</f>
        <v>411</v>
      </c>
      <c r="J591" cm="1">
        <f t="array" ref="J591">_xlfn.IFNA(INDEX(QHPSelections2016[],MATCH(1,(QHPSelections2016[State Name]=HIX_RatingAreas[[#This Row],[State Code]])*(QHPSelections2016[County Name]=HIX_RatingAreas[[#This Row],[Subdivision]]),0),MATCH("Total Plan Selections",QHPSelections2016[#Headers],0)),0)</f>
        <v>560</v>
      </c>
      <c r="L591" t="str" cm="1">
        <f t="array" ref="L591">INDEX(QHPSelections2016[],MATCH(1,(QHPSelections2016[State Name]=HIX_RatingAreas[[#This Row],[State Code]])*(QHPSelections2016[County Name]=HIX_RatingAreas[[#This Row],[Subdivision]]),0),MATCH("County Name",QHPSelections2016[#Headers],0))</f>
        <v>Decatur County</v>
      </c>
      <c r="M591" t="b">
        <f>L591=HIX_RatingAreas[[#This Row],[Subdivision]]</f>
        <v>1</v>
      </c>
      <c r="N591">
        <v>588</v>
      </c>
    </row>
    <row r="592" spans="3:14">
      <c r="C592" t="s">
        <v>54</v>
      </c>
      <c r="D592" t="s">
        <v>1565</v>
      </c>
      <c r="E592" t="s">
        <v>86</v>
      </c>
      <c r="F592" s="36">
        <v>5</v>
      </c>
      <c r="G592" t="s">
        <v>951</v>
      </c>
      <c r="I592" cm="1">
        <f t="array" ref="I592">_xlfn.IFNA(INDEX(QHPSelections2016[],MATCH(1,(QHPSelections2016[State Name]=HIX_RatingAreas[[#This Row],[State Code]])*(QHPSelections2016[County Name]=HIX_RatingAreas[[#This Row],[Subdivision]]),0),MATCH("Silver",QHPSelections2016[#Headers],0)),0)</f>
        <v>946</v>
      </c>
      <c r="J592" cm="1">
        <f t="array" ref="J592">_xlfn.IFNA(INDEX(QHPSelections2016[],MATCH(1,(QHPSelections2016[State Name]=HIX_RatingAreas[[#This Row],[State Code]])*(QHPSelections2016[County Name]=HIX_RatingAreas[[#This Row],[Subdivision]]),0),MATCH("Total Plan Selections",QHPSelections2016[#Headers],0)),0)</f>
        <v>1372</v>
      </c>
      <c r="L592" t="str" cm="1">
        <f t="array" ref="L592">INDEX(QHPSelections2016[],MATCH(1,(QHPSelections2016[State Name]=HIX_RatingAreas[[#This Row],[State Code]])*(QHPSelections2016[County Name]=HIX_RatingAreas[[#This Row],[Subdivision]]),0),MATCH("County Name",QHPSelections2016[#Headers],0))</f>
        <v>Dyer County</v>
      </c>
      <c r="M592" t="b">
        <f>L592=HIX_RatingAreas[[#This Row],[Subdivision]]</f>
        <v>1</v>
      </c>
      <c r="N592">
        <v>589</v>
      </c>
    </row>
    <row r="593" spans="3:14">
      <c r="C593" t="s">
        <v>54</v>
      </c>
      <c r="D593" t="s">
        <v>1565</v>
      </c>
      <c r="E593" t="s">
        <v>86</v>
      </c>
      <c r="F593" s="36">
        <v>5</v>
      </c>
      <c r="G593" t="s">
        <v>973</v>
      </c>
      <c r="I593" cm="1">
        <f t="array" ref="I593">_xlfn.IFNA(INDEX(QHPSelections2016[],MATCH(1,(QHPSelections2016[State Name]=HIX_RatingAreas[[#This Row],[State Code]])*(QHPSelections2016[County Name]=HIX_RatingAreas[[#This Row],[Subdivision]]),0),MATCH("Silver",QHPSelections2016[#Headers],0)),0)</f>
        <v>1364</v>
      </c>
      <c r="J593" cm="1">
        <f t="array" ref="J593">_xlfn.IFNA(INDEX(QHPSelections2016[],MATCH(1,(QHPSelections2016[State Name]=HIX_RatingAreas[[#This Row],[State Code]])*(QHPSelections2016[County Name]=HIX_RatingAreas[[#This Row],[Subdivision]]),0),MATCH("Total Plan Selections",QHPSelections2016[#Headers],0)),0)</f>
        <v>1960</v>
      </c>
      <c r="L593" t="str" cm="1">
        <f t="array" ref="L593">INDEX(QHPSelections2016[],MATCH(1,(QHPSelections2016[State Name]=HIX_RatingAreas[[#This Row],[State Code]])*(QHPSelections2016[County Name]=HIX_RatingAreas[[#This Row],[Subdivision]]),0),MATCH("County Name",QHPSelections2016[#Headers],0))</f>
        <v>Gibson County</v>
      </c>
      <c r="M593" t="b">
        <f>L593=HIX_RatingAreas[[#This Row],[Subdivision]]</f>
        <v>1</v>
      </c>
      <c r="N593">
        <v>590</v>
      </c>
    </row>
    <row r="594" spans="3:14">
      <c r="C594" t="s">
        <v>54</v>
      </c>
      <c r="D594" t="s">
        <v>1565</v>
      </c>
      <c r="E594" t="s">
        <v>86</v>
      </c>
      <c r="F594" s="36">
        <v>5</v>
      </c>
      <c r="G594" t="s">
        <v>1013</v>
      </c>
      <c r="I594" cm="1">
        <f t="array" ref="I594">_xlfn.IFNA(INDEX(QHPSelections2016[],MATCH(1,(QHPSelections2016[State Name]=HIX_RatingAreas[[#This Row],[State Code]])*(QHPSelections2016[County Name]=HIX_RatingAreas[[#This Row],[Subdivision]]),0),MATCH("Silver",QHPSelections2016[#Headers],0)),0)</f>
        <v>621</v>
      </c>
      <c r="J594" cm="1">
        <f t="array" ref="J594">_xlfn.IFNA(INDEX(QHPSelections2016[],MATCH(1,(QHPSelections2016[State Name]=HIX_RatingAreas[[#This Row],[State Code]])*(QHPSelections2016[County Name]=HIX_RatingAreas[[#This Row],[Subdivision]]),0),MATCH("Total Plan Selections",QHPSelections2016[#Headers],0)),0)</f>
        <v>919</v>
      </c>
      <c r="L594" t="str" cm="1">
        <f t="array" ref="L594">INDEX(QHPSelections2016[],MATCH(1,(QHPSelections2016[State Name]=HIX_RatingAreas[[#This Row],[State Code]])*(QHPSelections2016[County Name]=HIX_RatingAreas[[#This Row],[Subdivision]]),0),MATCH("County Name",QHPSelections2016[#Headers],0))</f>
        <v>Hardeman County</v>
      </c>
      <c r="M594" t="b">
        <f>L594=HIX_RatingAreas[[#This Row],[Subdivision]]</f>
        <v>1</v>
      </c>
      <c r="N594">
        <v>591</v>
      </c>
    </row>
    <row r="595" spans="3:14">
      <c r="C595" t="s">
        <v>54</v>
      </c>
      <c r="D595" t="s">
        <v>1565</v>
      </c>
      <c r="E595" t="s">
        <v>86</v>
      </c>
      <c r="F595" s="36">
        <v>5</v>
      </c>
      <c r="G595" t="s">
        <v>1017</v>
      </c>
      <c r="I595" cm="1">
        <f t="array" ref="I595">_xlfn.IFNA(INDEX(QHPSelections2016[],MATCH(1,(QHPSelections2016[State Name]=HIX_RatingAreas[[#This Row],[State Code]])*(QHPSelections2016[County Name]=HIX_RatingAreas[[#This Row],[Subdivision]]),0),MATCH("Silver",QHPSelections2016[#Headers],0)),0)</f>
        <v>778</v>
      </c>
      <c r="J595" cm="1">
        <f t="array" ref="J595">_xlfn.IFNA(INDEX(QHPSelections2016[],MATCH(1,(QHPSelections2016[State Name]=HIX_RatingAreas[[#This Row],[State Code]])*(QHPSelections2016[County Name]=HIX_RatingAreas[[#This Row],[Subdivision]]),0),MATCH("Total Plan Selections",QHPSelections2016[#Headers],0)),0)</f>
        <v>1081</v>
      </c>
      <c r="L595" t="str" cm="1">
        <f t="array" ref="L595">INDEX(QHPSelections2016[],MATCH(1,(QHPSelections2016[State Name]=HIX_RatingAreas[[#This Row],[State Code]])*(QHPSelections2016[County Name]=HIX_RatingAreas[[#This Row],[Subdivision]]),0),MATCH("County Name",QHPSelections2016[#Headers],0))</f>
        <v>Hardin County</v>
      </c>
      <c r="M595" t="b">
        <f>L595=HIX_RatingAreas[[#This Row],[Subdivision]]</f>
        <v>1</v>
      </c>
      <c r="N595">
        <v>592</v>
      </c>
    </row>
    <row r="596" spans="3:14">
      <c r="C596" t="s">
        <v>54</v>
      </c>
      <c r="D596" t="s">
        <v>1565</v>
      </c>
      <c r="E596" t="s">
        <v>86</v>
      </c>
      <c r="F596" s="36">
        <v>5</v>
      </c>
      <c r="G596" t="s">
        <v>1033</v>
      </c>
      <c r="I596" cm="1">
        <f t="array" ref="I596">_xlfn.IFNA(INDEX(QHPSelections2016[],MATCH(1,(QHPSelections2016[State Name]=HIX_RatingAreas[[#This Row],[State Code]])*(QHPSelections2016[County Name]=HIX_RatingAreas[[#This Row],[Subdivision]]),0),MATCH("Silver",QHPSelections2016[#Headers],0)),0)</f>
        <v>847</v>
      </c>
      <c r="J596" cm="1">
        <f t="array" ref="J596">_xlfn.IFNA(INDEX(QHPSelections2016[],MATCH(1,(QHPSelections2016[State Name]=HIX_RatingAreas[[#This Row],[State Code]])*(QHPSelections2016[County Name]=HIX_RatingAreas[[#This Row],[Subdivision]]),0),MATCH("Total Plan Selections",QHPSelections2016[#Headers],0)),0)</f>
        <v>1203</v>
      </c>
      <c r="L596" t="str" cm="1">
        <f t="array" ref="L596">INDEX(QHPSelections2016[],MATCH(1,(QHPSelections2016[State Name]=HIX_RatingAreas[[#This Row],[State Code]])*(QHPSelections2016[County Name]=HIX_RatingAreas[[#This Row],[Subdivision]]),0),MATCH("County Name",QHPSelections2016[#Headers],0))</f>
        <v>Henderson County</v>
      </c>
      <c r="M596" t="b">
        <f>L596=HIX_RatingAreas[[#This Row],[Subdivision]]</f>
        <v>1</v>
      </c>
      <c r="N596">
        <v>593</v>
      </c>
    </row>
    <row r="597" spans="3:14">
      <c r="C597" t="s">
        <v>54</v>
      </c>
      <c r="D597" t="s">
        <v>1565</v>
      </c>
      <c r="E597" t="s">
        <v>86</v>
      </c>
      <c r="F597" s="36">
        <v>5</v>
      </c>
      <c r="G597" t="s">
        <v>1004</v>
      </c>
      <c r="I597" cm="1">
        <f t="array" ref="I597">_xlfn.IFNA(INDEX(QHPSelections2016[],MATCH(1,(QHPSelections2016[State Name]=HIX_RatingAreas[[#This Row],[State Code]])*(QHPSelections2016[County Name]=HIX_RatingAreas[[#This Row],[Subdivision]]),0),MATCH("Silver",QHPSelections2016[#Headers],0)),0)</f>
        <v>904</v>
      </c>
      <c r="J597" cm="1">
        <f t="array" ref="J597">_xlfn.IFNA(INDEX(QHPSelections2016[],MATCH(1,(QHPSelections2016[State Name]=HIX_RatingAreas[[#This Row],[State Code]])*(QHPSelections2016[County Name]=HIX_RatingAreas[[#This Row],[Subdivision]]),0),MATCH("Total Plan Selections",QHPSelections2016[#Headers],0)),0)</f>
        <v>1253</v>
      </c>
      <c r="L597" t="str" cm="1">
        <f t="array" ref="L597">INDEX(QHPSelections2016[],MATCH(1,(QHPSelections2016[State Name]=HIX_RatingAreas[[#This Row],[State Code]])*(QHPSelections2016[County Name]=HIX_RatingAreas[[#This Row],[Subdivision]]),0),MATCH("County Name",QHPSelections2016[#Headers],0))</f>
        <v>Henry County</v>
      </c>
      <c r="M597" t="b">
        <f>L597=HIX_RatingAreas[[#This Row],[Subdivision]]</f>
        <v>1</v>
      </c>
      <c r="N597">
        <v>594</v>
      </c>
    </row>
    <row r="598" spans="3:14">
      <c r="C598" t="s">
        <v>54</v>
      </c>
      <c r="D598" t="s">
        <v>1565</v>
      </c>
      <c r="E598" t="s">
        <v>86</v>
      </c>
      <c r="F598" s="36">
        <v>5</v>
      </c>
      <c r="G598" t="s">
        <v>1005</v>
      </c>
      <c r="I598" cm="1">
        <f t="array" ref="I598">_xlfn.IFNA(INDEX(QHPSelections2016[],MATCH(1,(QHPSelections2016[State Name]=HIX_RatingAreas[[#This Row],[State Code]])*(QHPSelections2016[County Name]=HIX_RatingAreas[[#This Row],[Subdivision]]),0),MATCH("Silver",QHPSelections2016[#Headers],0)),0)</f>
        <v>131</v>
      </c>
      <c r="J598" cm="1">
        <f t="array" ref="J598">_xlfn.IFNA(INDEX(QHPSelections2016[],MATCH(1,(QHPSelections2016[State Name]=HIX_RatingAreas[[#This Row],[State Code]])*(QHPSelections2016[County Name]=HIX_RatingAreas[[#This Row],[Subdivision]]),0),MATCH("Total Plan Selections",QHPSelections2016[#Headers],0)),0)</f>
        <v>166</v>
      </c>
      <c r="L598" t="str" cm="1">
        <f t="array" ref="L598">INDEX(QHPSelections2016[],MATCH(1,(QHPSelections2016[State Name]=HIX_RatingAreas[[#This Row],[State Code]])*(QHPSelections2016[County Name]=HIX_RatingAreas[[#This Row],[Subdivision]]),0),MATCH("County Name",QHPSelections2016[#Headers],0))</f>
        <v>Lake County</v>
      </c>
      <c r="M598" t="b">
        <f>L598=HIX_RatingAreas[[#This Row],[Subdivision]]</f>
        <v>1</v>
      </c>
      <c r="N598">
        <v>595</v>
      </c>
    </row>
    <row r="599" spans="3:14">
      <c r="C599" t="s">
        <v>54</v>
      </c>
      <c r="D599" t="s">
        <v>1565</v>
      </c>
      <c r="E599" t="s">
        <v>86</v>
      </c>
      <c r="F599" s="36">
        <v>5</v>
      </c>
      <c r="G599" t="s">
        <v>1029</v>
      </c>
      <c r="I599" cm="1">
        <f t="array" ref="I599">_xlfn.IFNA(INDEX(QHPSelections2016[],MATCH(1,(QHPSelections2016[State Name]=HIX_RatingAreas[[#This Row],[State Code]])*(QHPSelections2016[County Name]=HIX_RatingAreas[[#This Row],[Subdivision]]),0),MATCH("Silver",QHPSelections2016[#Headers],0)),0)</f>
        <v>2803</v>
      </c>
      <c r="J599" cm="1">
        <f t="array" ref="J599">_xlfn.IFNA(INDEX(QHPSelections2016[],MATCH(1,(QHPSelections2016[State Name]=HIX_RatingAreas[[#This Row],[State Code]])*(QHPSelections2016[County Name]=HIX_RatingAreas[[#This Row],[Subdivision]]),0),MATCH("Total Plan Selections",QHPSelections2016[#Headers],0)),0)</f>
        <v>4305</v>
      </c>
      <c r="L599" t="str" cm="1">
        <f t="array" ref="L599">INDEX(QHPSelections2016[],MATCH(1,(QHPSelections2016[State Name]=HIX_RatingAreas[[#This Row],[State Code]])*(QHPSelections2016[County Name]=HIX_RatingAreas[[#This Row],[Subdivision]]),0),MATCH("County Name",QHPSelections2016[#Headers],0))</f>
        <v>Madison County</v>
      </c>
      <c r="M599" t="b">
        <f>L599=HIX_RatingAreas[[#This Row],[Subdivision]]</f>
        <v>1</v>
      </c>
      <c r="N599">
        <v>596</v>
      </c>
    </row>
    <row r="600" spans="3:14">
      <c r="C600" t="s">
        <v>54</v>
      </c>
      <c r="D600" t="s">
        <v>1565</v>
      </c>
      <c r="E600" t="s">
        <v>86</v>
      </c>
      <c r="F600" s="36">
        <v>5</v>
      </c>
      <c r="G600" t="s">
        <v>1113</v>
      </c>
      <c r="I600" cm="1">
        <f t="array" ref="I600">_xlfn.IFNA(INDEX(QHPSelections2016[],MATCH(1,(QHPSelections2016[State Name]=HIX_RatingAreas[[#This Row],[State Code]])*(QHPSelections2016[County Name]=HIX_RatingAreas[[#This Row],[Subdivision]]),0),MATCH("Silver",QHPSelections2016[#Headers],0)),0)</f>
        <v>736</v>
      </c>
      <c r="J600" cm="1">
        <f t="array" ref="J600">_xlfn.IFNA(INDEX(QHPSelections2016[],MATCH(1,(QHPSelections2016[State Name]=HIX_RatingAreas[[#This Row],[State Code]])*(QHPSelections2016[County Name]=HIX_RatingAreas[[#This Row],[Subdivision]]),0),MATCH("Total Plan Selections",QHPSelections2016[#Headers],0)),0)</f>
        <v>1009</v>
      </c>
      <c r="L600" t="str" cm="1">
        <f t="array" ref="L600">INDEX(QHPSelections2016[],MATCH(1,(QHPSelections2016[State Name]=HIX_RatingAreas[[#This Row],[State Code]])*(QHPSelections2016[County Name]=HIX_RatingAreas[[#This Row],[Subdivision]]),0),MATCH("County Name",QHPSelections2016[#Headers],0))</f>
        <v>McNairy County</v>
      </c>
      <c r="M600" t="b">
        <f>L600=HIX_RatingAreas[[#This Row],[Subdivision]]</f>
        <v>1</v>
      </c>
      <c r="N600">
        <v>597</v>
      </c>
    </row>
    <row r="601" spans="3:14">
      <c r="C601" t="s">
        <v>54</v>
      </c>
      <c r="D601" t="s">
        <v>1565</v>
      </c>
      <c r="E601" t="s">
        <v>86</v>
      </c>
      <c r="F601" s="36">
        <v>5</v>
      </c>
      <c r="G601" t="s">
        <v>1170</v>
      </c>
      <c r="I601" cm="1">
        <f t="array" ref="I601">_xlfn.IFNA(INDEX(QHPSelections2016[],MATCH(1,(QHPSelections2016[State Name]=HIX_RatingAreas[[#This Row],[State Code]])*(QHPSelections2016[County Name]=HIX_RatingAreas[[#This Row],[Subdivision]]),0),MATCH("Silver",QHPSelections2016[#Headers],0)),0)</f>
        <v>731</v>
      </c>
      <c r="J601" cm="1">
        <f t="array" ref="J601">_xlfn.IFNA(INDEX(QHPSelections2016[],MATCH(1,(QHPSelections2016[State Name]=HIX_RatingAreas[[#This Row],[State Code]])*(QHPSelections2016[County Name]=HIX_RatingAreas[[#This Row],[Subdivision]]),0),MATCH("Total Plan Selections",QHPSelections2016[#Headers],0)),0)</f>
        <v>1040</v>
      </c>
      <c r="L601" t="str" cm="1">
        <f t="array" ref="L601">INDEX(QHPSelections2016[],MATCH(1,(QHPSelections2016[State Name]=HIX_RatingAreas[[#This Row],[State Code]])*(QHPSelections2016[County Name]=HIX_RatingAreas[[#This Row],[Subdivision]]),0),MATCH("County Name",QHPSelections2016[#Headers],0))</f>
        <v>Obion County</v>
      </c>
      <c r="M601" t="b">
        <f>L601=HIX_RatingAreas[[#This Row],[Subdivision]]</f>
        <v>1</v>
      </c>
      <c r="N601">
        <v>598</v>
      </c>
    </row>
    <row r="602" spans="3:14">
      <c r="C602" t="s">
        <v>54</v>
      </c>
      <c r="D602" t="s">
        <v>1565</v>
      </c>
      <c r="E602" t="s">
        <v>86</v>
      </c>
      <c r="F602" s="36">
        <v>5</v>
      </c>
      <c r="G602" t="s">
        <v>1255</v>
      </c>
      <c r="I602" cm="1">
        <f t="array" ref="I602">_xlfn.IFNA(INDEX(QHPSelections2016[],MATCH(1,(QHPSelections2016[State Name]=HIX_RatingAreas[[#This Row],[State Code]])*(QHPSelections2016[County Name]=HIX_RatingAreas[[#This Row],[Subdivision]]),0),MATCH("Silver",QHPSelections2016[#Headers],0)),0)</f>
        <v>667</v>
      </c>
      <c r="J602" cm="1">
        <f t="array" ref="J602">_xlfn.IFNA(INDEX(QHPSelections2016[],MATCH(1,(QHPSelections2016[State Name]=HIX_RatingAreas[[#This Row],[State Code]])*(QHPSelections2016[County Name]=HIX_RatingAreas[[#This Row],[Subdivision]]),0),MATCH("Total Plan Selections",QHPSelections2016[#Headers],0)),0)</f>
        <v>959</v>
      </c>
      <c r="L602" t="str" cm="1">
        <f t="array" ref="L602">INDEX(QHPSelections2016[],MATCH(1,(QHPSelections2016[State Name]=HIX_RatingAreas[[#This Row],[State Code]])*(QHPSelections2016[County Name]=HIX_RatingAreas[[#This Row],[Subdivision]]),0),MATCH("County Name",QHPSelections2016[#Headers],0))</f>
        <v>Weakley County</v>
      </c>
      <c r="M602" t="b">
        <f>L602=HIX_RatingAreas[[#This Row],[Subdivision]]</f>
        <v>1</v>
      </c>
      <c r="N602">
        <v>599</v>
      </c>
    </row>
    <row r="603" spans="3:14">
      <c r="C603" t="s">
        <v>54</v>
      </c>
      <c r="D603" t="s">
        <v>1565</v>
      </c>
      <c r="E603" t="s">
        <v>89</v>
      </c>
      <c r="F603" s="36">
        <v>6</v>
      </c>
      <c r="G603" t="s">
        <v>958</v>
      </c>
      <c r="I603" cm="1">
        <f t="array" ref="I603">_xlfn.IFNA(INDEX(QHPSelections2016[],MATCH(1,(QHPSelections2016[State Name]=HIX_RatingAreas[[#This Row],[State Code]])*(QHPSelections2016[County Name]=HIX_RatingAreas[[#This Row],[Subdivision]]),0),MATCH("Silver",QHPSelections2016[#Headers],0)),0)</f>
        <v>1154</v>
      </c>
      <c r="J603" cm="1">
        <f t="array" ref="J603">_xlfn.IFNA(INDEX(QHPSelections2016[],MATCH(1,(QHPSelections2016[State Name]=HIX_RatingAreas[[#This Row],[State Code]])*(QHPSelections2016[County Name]=HIX_RatingAreas[[#This Row],[Subdivision]]),0),MATCH("Total Plan Selections",QHPSelections2016[#Headers],0)),0)</f>
        <v>1624</v>
      </c>
      <c r="L603" t="str" cm="1">
        <f t="array" ref="L603">INDEX(QHPSelections2016[],MATCH(1,(QHPSelections2016[State Name]=HIX_RatingAreas[[#This Row],[State Code]])*(QHPSelections2016[County Name]=HIX_RatingAreas[[#This Row],[Subdivision]]),0),MATCH("County Name",QHPSelections2016[#Headers],0))</f>
        <v>Fayette County</v>
      </c>
      <c r="M603" t="b">
        <f>L603=HIX_RatingAreas[[#This Row],[Subdivision]]</f>
        <v>1</v>
      </c>
      <c r="N603">
        <v>600</v>
      </c>
    </row>
    <row r="604" spans="3:14">
      <c r="C604" t="s">
        <v>54</v>
      </c>
      <c r="D604" t="s">
        <v>1565</v>
      </c>
      <c r="E604" t="s">
        <v>89</v>
      </c>
      <c r="F604" s="36">
        <v>6</v>
      </c>
      <c r="G604" t="s">
        <v>1027</v>
      </c>
      <c r="I604" cm="1">
        <f t="array" ref="I604">_xlfn.IFNA(INDEX(QHPSelections2016[],MATCH(1,(QHPSelections2016[State Name]=HIX_RatingAreas[[#This Row],[State Code]])*(QHPSelections2016[County Name]=HIX_RatingAreas[[#This Row],[Subdivision]]),0),MATCH("Silver",QHPSelections2016[#Headers],0)),0)</f>
        <v>452</v>
      </c>
      <c r="J604" cm="1">
        <f t="array" ref="J604">_xlfn.IFNA(INDEX(QHPSelections2016[],MATCH(1,(QHPSelections2016[State Name]=HIX_RatingAreas[[#This Row],[State Code]])*(QHPSelections2016[County Name]=HIX_RatingAreas[[#This Row],[Subdivision]]),0),MATCH("Total Plan Selections",QHPSelections2016[#Headers],0)),0)</f>
        <v>664</v>
      </c>
      <c r="L604" t="str" cm="1">
        <f t="array" ref="L604">INDEX(QHPSelections2016[],MATCH(1,(QHPSelections2016[State Name]=HIX_RatingAreas[[#This Row],[State Code]])*(QHPSelections2016[County Name]=HIX_RatingAreas[[#This Row],[Subdivision]]),0),MATCH("County Name",QHPSelections2016[#Headers],0))</f>
        <v>Haywood County</v>
      </c>
      <c r="M604" t="b">
        <f>L604=HIX_RatingAreas[[#This Row],[Subdivision]]</f>
        <v>1</v>
      </c>
      <c r="N604">
        <v>601</v>
      </c>
    </row>
    <row r="605" spans="3:14">
      <c r="C605" t="s">
        <v>54</v>
      </c>
      <c r="D605" t="s">
        <v>1565</v>
      </c>
      <c r="E605" t="s">
        <v>89</v>
      </c>
      <c r="F605" s="36">
        <v>6</v>
      </c>
      <c r="G605" t="s">
        <v>1025</v>
      </c>
      <c r="I605" cm="1">
        <f t="array" ref="I605">_xlfn.IFNA(INDEX(QHPSelections2016[],MATCH(1,(QHPSelections2016[State Name]=HIX_RatingAreas[[#This Row],[State Code]])*(QHPSelections2016[County Name]=HIX_RatingAreas[[#This Row],[Subdivision]]),0),MATCH("Silver",QHPSelections2016[#Headers],0)),0)</f>
        <v>568</v>
      </c>
      <c r="J605" cm="1">
        <f t="array" ref="J605">_xlfn.IFNA(INDEX(QHPSelections2016[],MATCH(1,(QHPSelections2016[State Name]=HIX_RatingAreas[[#This Row],[State Code]])*(QHPSelections2016[County Name]=HIX_RatingAreas[[#This Row],[Subdivision]]),0),MATCH("Total Plan Selections",QHPSelections2016[#Headers],0)),0)</f>
        <v>779</v>
      </c>
      <c r="L605" t="str" cm="1">
        <f t="array" ref="L605">INDEX(QHPSelections2016[],MATCH(1,(QHPSelections2016[State Name]=HIX_RatingAreas[[#This Row],[State Code]])*(QHPSelections2016[County Name]=HIX_RatingAreas[[#This Row],[Subdivision]]),0),MATCH("County Name",QHPSelections2016[#Headers],0))</f>
        <v>Lauderdale County</v>
      </c>
      <c r="M605" t="b">
        <f>L605=HIX_RatingAreas[[#This Row],[Subdivision]]</f>
        <v>1</v>
      </c>
      <c r="N605">
        <v>602</v>
      </c>
    </row>
    <row r="606" spans="3:14">
      <c r="C606" t="s">
        <v>54</v>
      </c>
      <c r="D606" t="s">
        <v>1565</v>
      </c>
      <c r="E606" t="s">
        <v>89</v>
      </c>
      <c r="F606" s="36">
        <v>6</v>
      </c>
      <c r="G606" t="s">
        <v>1126</v>
      </c>
      <c r="I606" cm="1">
        <f t="array" ref="I606">_xlfn.IFNA(INDEX(QHPSelections2016[],MATCH(1,(QHPSelections2016[State Name]=HIX_RatingAreas[[#This Row],[State Code]])*(QHPSelections2016[County Name]=HIX_RatingAreas[[#This Row],[Subdivision]]),0),MATCH("Silver",QHPSelections2016[#Headers],0)),0)</f>
        <v>27522</v>
      </c>
      <c r="J606" cm="1">
        <f t="array" ref="J606">_xlfn.IFNA(INDEX(QHPSelections2016[],MATCH(1,(QHPSelections2016[State Name]=HIX_RatingAreas[[#This Row],[State Code]])*(QHPSelections2016[County Name]=HIX_RatingAreas[[#This Row],[Subdivision]]),0),MATCH("Total Plan Selections",QHPSelections2016[#Headers],0)),0)</f>
        <v>39792</v>
      </c>
      <c r="L606" t="str" cm="1">
        <f t="array" ref="L606">INDEX(QHPSelections2016[],MATCH(1,(QHPSelections2016[State Name]=HIX_RatingAreas[[#This Row],[State Code]])*(QHPSelections2016[County Name]=HIX_RatingAreas[[#This Row],[Subdivision]]),0),MATCH("County Name",QHPSelections2016[#Headers],0))</f>
        <v>Shelby County</v>
      </c>
      <c r="M606" t="b">
        <f>L606=HIX_RatingAreas[[#This Row],[Subdivision]]</f>
        <v>1</v>
      </c>
      <c r="N606">
        <v>603</v>
      </c>
    </row>
    <row r="607" spans="3:14">
      <c r="C607" t="s">
        <v>54</v>
      </c>
      <c r="D607" t="s">
        <v>1565</v>
      </c>
      <c r="E607" t="s">
        <v>89</v>
      </c>
      <c r="F607" s="36">
        <v>6</v>
      </c>
      <c r="G607" t="s">
        <v>1233</v>
      </c>
      <c r="I607" cm="1">
        <f t="array" ref="I607">_xlfn.IFNA(INDEX(QHPSelections2016[],MATCH(1,(QHPSelections2016[State Name]=HIX_RatingAreas[[#This Row],[State Code]])*(QHPSelections2016[County Name]=HIX_RatingAreas[[#This Row],[Subdivision]]),0),MATCH("Silver",QHPSelections2016[#Headers],0)),0)</f>
        <v>1348</v>
      </c>
      <c r="J607" cm="1">
        <f t="array" ref="J607">_xlfn.IFNA(INDEX(QHPSelections2016[],MATCH(1,(QHPSelections2016[State Name]=HIX_RatingAreas[[#This Row],[State Code]])*(QHPSelections2016[County Name]=HIX_RatingAreas[[#This Row],[Subdivision]]),0),MATCH("Total Plan Selections",QHPSelections2016[#Headers],0)),0)</f>
        <v>1863</v>
      </c>
      <c r="L607" t="str" cm="1">
        <f t="array" ref="L607">INDEX(QHPSelections2016[],MATCH(1,(QHPSelections2016[State Name]=HIX_RatingAreas[[#This Row],[State Code]])*(QHPSelections2016[County Name]=HIX_RatingAreas[[#This Row],[Subdivision]]),0),MATCH("County Name",QHPSelections2016[#Headers],0))</f>
        <v>Tipton County</v>
      </c>
      <c r="M607" t="b">
        <f>L607=HIX_RatingAreas[[#This Row],[Subdivision]]</f>
        <v>1</v>
      </c>
      <c r="N607">
        <v>604</v>
      </c>
    </row>
    <row r="608" spans="3:14">
      <c r="C608" t="s">
        <v>54</v>
      </c>
      <c r="D608" t="s">
        <v>1565</v>
      </c>
      <c r="E608" t="s">
        <v>93</v>
      </c>
      <c r="F608" s="36">
        <v>7</v>
      </c>
      <c r="G608" t="s">
        <v>864</v>
      </c>
      <c r="I608" cm="1">
        <f t="array" ref="I608">_xlfn.IFNA(INDEX(QHPSelections2016[],MATCH(1,(QHPSelections2016[State Name]=HIX_RatingAreas[[#This Row],[State Code]])*(QHPSelections2016[County Name]=HIX_RatingAreas[[#This Row],[Subdivision]]),0),MATCH("Silver",QHPSelections2016[#Headers],0)),0)</f>
        <v>359</v>
      </c>
      <c r="J608" cm="1">
        <f t="array" ref="J608">_xlfn.IFNA(INDEX(QHPSelections2016[],MATCH(1,(QHPSelections2016[State Name]=HIX_RatingAreas[[#This Row],[State Code]])*(QHPSelections2016[County Name]=HIX_RatingAreas[[#This Row],[Subdivision]]),0),MATCH("Total Plan Selections",QHPSelections2016[#Headers],0)),0)</f>
        <v>521</v>
      </c>
      <c r="L608" t="str" cm="1">
        <f t="array" ref="L608">INDEX(QHPSelections2016[],MATCH(1,(QHPSelections2016[State Name]=HIX_RatingAreas[[#This Row],[State Code]])*(QHPSelections2016[County Name]=HIX_RatingAreas[[#This Row],[Subdivision]]),0),MATCH("County Name",QHPSelections2016[#Headers],0))</f>
        <v>Cannon County</v>
      </c>
      <c r="M608" t="b">
        <f>L608=HIX_RatingAreas[[#This Row],[Subdivision]]</f>
        <v>1</v>
      </c>
      <c r="N608">
        <v>605</v>
      </c>
    </row>
    <row r="609" spans="3:14">
      <c r="C609" t="s">
        <v>54</v>
      </c>
      <c r="D609" t="s">
        <v>1565</v>
      </c>
      <c r="E609" t="s">
        <v>93</v>
      </c>
      <c r="F609" s="36">
        <v>7</v>
      </c>
      <c r="G609" t="s">
        <v>873</v>
      </c>
      <c r="I609" cm="1">
        <f t="array" ref="I609">_xlfn.IFNA(INDEX(QHPSelections2016[],MATCH(1,(QHPSelections2016[State Name]=HIX_RatingAreas[[#This Row],[State Code]])*(QHPSelections2016[County Name]=HIX_RatingAreas[[#This Row],[Subdivision]]),0),MATCH("Silver",QHPSelections2016[#Headers],0)),0)</f>
        <v>312</v>
      </c>
      <c r="J609" cm="1">
        <f t="array" ref="J609">_xlfn.IFNA(INDEX(QHPSelections2016[],MATCH(1,(QHPSelections2016[State Name]=HIX_RatingAreas[[#This Row],[State Code]])*(QHPSelections2016[County Name]=HIX_RatingAreas[[#This Row],[Subdivision]]),0),MATCH("Total Plan Selections",QHPSelections2016[#Headers],0)),0)</f>
        <v>410</v>
      </c>
      <c r="L609" t="str" cm="1">
        <f t="array" ref="L609">INDEX(QHPSelections2016[],MATCH(1,(QHPSelections2016[State Name]=HIX_RatingAreas[[#This Row],[State Code]])*(QHPSelections2016[County Name]=HIX_RatingAreas[[#This Row],[Subdivision]]),0),MATCH("County Name",QHPSelections2016[#Headers],0))</f>
        <v>Clay County</v>
      </c>
      <c r="M609" t="b">
        <f>L609=HIX_RatingAreas[[#This Row],[Subdivision]]</f>
        <v>1</v>
      </c>
      <c r="N609">
        <v>606</v>
      </c>
    </row>
    <row r="610" spans="3:14">
      <c r="C610" t="s">
        <v>54</v>
      </c>
      <c r="D610" t="s">
        <v>1565</v>
      </c>
      <c r="E610" t="s">
        <v>93</v>
      </c>
      <c r="F610" s="36">
        <v>7</v>
      </c>
      <c r="G610" t="s">
        <v>923</v>
      </c>
      <c r="I610" cm="1">
        <f t="array" ref="I610">_xlfn.IFNA(INDEX(QHPSelections2016[],MATCH(1,(QHPSelections2016[State Name]=HIX_RatingAreas[[#This Row],[State Code]])*(QHPSelections2016[County Name]=HIX_RatingAreas[[#This Row],[Subdivision]]),0),MATCH("Silver",QHPSelections2016[#Headers],0)),0)</f>
        <v>1463</v>
      </c>
      <c r="J610" cm="1">
        <f t="array" ref="J610">_xlfn.IFNA(INDEX(QHPSelections2016[],MATCH(1,(QHPSelections2016[State Name]=HIX_RatingAreas[[#This Row],[State Code]])*(QHPSelections2016[County Name]=HIX_RatingAreas[[#This Row],[Subdivision]]),0),MATCH("Total Plan Selections",QHPSelections2016[#Headers],0)),0)</f>
        <v>2098</v>
      </c>
      <c r="L610" t="str" cm="1">
        <f t="array" ref="L610">INDEX(QHPSelections2016[],MATCH(1,(QHPSelections2016[State Name]=HIX_RatingAreas[[#This Row],[State Code]])*(QHPSelections2016[County Name]=HIX_RatingAreas[[#This Row],[Subdivision]]),0),MATCH("County Name",QHPSelections2016[#Headers],0))</f>
        <v>Cumberland County</v>
      </c>
      <c r="M610" t="b">
        <f>L610=HIX_RatingAreas[[#This Row],[Subdivision]]</f>
        <v>1</v>
      </c>
      <c r="N610">
        <v>607</v>
      </c>
    </row>
    <row r="611" spans="3:14">
      <c r="C611" t="s">
        <v>54</v>
      </c>
      <c r="D611" t="s">
        <v>1565</v>
      </c>
      <c r="E611" t="s">
        <v>93</v>
      </c>
      <c r="F611" s="36">
        <v>7</v>
      </c>
      <c r="G611" t="s">
        <v>939</v>
      </c>
      <c r="I611" cm="1">
        <f t="array" ref="I611">_xlfn.IFNA(INDEX(QHPSelections2016[],MATCH(1,(QHPSelections2016[State Name]=HIX_RatingAreas[[#This Row],[State Code]])*(QHPSelections2016[County Name]=HIX_RatingAreas[[#This Row],[Subdivision]]),0),MATCH("Silver",QHPSelections2016[#Headers],0)),0)</f>
        <v>551</v>
      </c>
      <c r="J611" cm="1">
        <f t="array" ref="J611">_xlfn.IFNA(INDEX(QHPSelections2016[],MATCH(1,(QHPSelections2016[State Name]=HIX_RatingAreas[[#This Row],[State Code]])*(QHPSelections2016[County Name]=HIX_RatingAreas[[#This Row],[Subdivision]]),0),MATCH("Total Plan Selections",QHPSelections2016[#Headers],0)),0)</f>
        <v>743</v>
      </c>
      <c r="L611" t="str" cm="1">
        <f t="array" ref="L611">INDEX(QHPSelections2016[],MATCH(1,(QHPSelections2016[State Name]=HIX_RatingAreas[[#This Row],[State Code]])*(QHPSelections2016[County Name]=HIX_RatingAreas[[#This Row],[Subdivision]]),0),MATCH("County Name",QHPSelections2016[#Headers],0))</f>
        <v>DeKalb County</v>
      </c>
      <c r="M611" t="b">
        <f>L611=HIX_RatingAreas[[#This Row],[Subdivision]]</f>
        <v>1</v>
      </c>
      <c r="N611">
        <v>608</v>
      </c>
    </row>
    <row r="612" spans="3:14">
      <c r="C612" t="s">
        <v>54</v>
      </c>
      <c r="D612" t="s">
        <v>1565</v>
      </c>
      <c r="E612" t="s">
        <v>93</v>
      </c>
      <c r="F612" s="36">
        <v>7</v>
      </c>
      <c r="G612" t="s">
        <v>962</v>
      </c>
      <c r="I612" cm="1">
        <f t="array" ref="I612">_xlfn.IFNA(INDEX(QHPSelections2016[],MATCH(1,(QHPSelections2016[State Name]=HIX_RatingAreas[[#This Row],[State Code]])*(QHPSelections2016[County Name]=HIX_RatingAreas[[#This Row],[Subdivision]]),0),MATCH("Silver",QHPSelections2016[#Headers],0)),0)</f>
        <v>514</v>
      </c>
      <c r="J612" cm="1">
        <f t="array" ref="J612">_xlfn.IFNA(INDEX(QHPSelections2016[],MATCH(1,(QHPSelections2016[State Name]=HIX_RatingAreas[[#This Row],[State Code]])*(QHPSelections2016[County Name]=HIX_RatingAreas[[#This Row],[Subdivision]]),0),MATCH("Total Plan Selections",QHPSelections2016[#Headers],0)),0)</f>
        <v>716</v>
      </c>
      <c r="L612" t="str" cm="1">
        <f t="array" ref="L612">INDEX(QHPSelections2016[],MATCH(1,(QHPSelections2016[State Name]=HIX_RatingAreas[[#This Row],[State Code]])*(QHPSelections2016[County Name]=HIX_RatingAreas[[#This Row],[Subdivision]]),0),MATCH("County Name",QHPSelections2016[#Headers],0))</f>
        <v>Fentress County</v>
      </c>
      <c r="M612" t="b">
        <f>L612=HIX_RatingAreas[[#This Row],[Subdivision]]</f>
        <v>1</v>
      </c>
      <c r="N612">
        <v>609</v>
      </c>
    </row>
    <row r="613" spans="3:14">
      <c r="C613" t="s">
        <v>54</v>
      </c>
      <c r="D613" t="s">
        <v>1565</v>
      </c>
      <c r="E613" t="s">
        <v>93</v>
      </c>
      <c r="F613" s="36">
        <v>7</v>
      </c>
      <c r="G613" t="s">
        <v>984</v>
      </c>
      <c r="I613" cm="1">
        <f t="array" ref="I613">_xlfn.IFNA(INDEX(QHPSelections2016[],MATCH(1,(QHPSelections2016[State Name]=HIX_RatingAreas[[#This Row],[State Code]])*(QHPSelections2016[County Name]=HIX_RatingAreas[[#This Row],[Subdivision]]),0),MATCH("Silver",QHPSelections2016[#Headers],0)),0)</f>
        <v>398</v>
      </c>
      <c r="J613" cm="1">
        <f t="array" ref="J613">_xlfn.IFNA(INDEX(QHPSelections2016[],MATCH(1,(QHPSelections2016[State Name]=HIX_RatingAreas[[#This Row],[State Code]])*(QHPSelections2016[County Name]=HIX_RatingAreas[[#This Row],[Subdivision]]),0),MATCH("Total Plan Selections",QHPSelections2016[#Headers],0)),0)</f>
        <v>514</v>
      </c>
      <c r="L613" t="str" cm="1">
        <f t="array" ref="L613">INDEX(QHPSelections2016[],MATCH(1,(QHPSelections2016[State Name]=HIX_RatingAreas[[#This Row],[State Code]])*(QHPSelections2016[County Name]=HIX_RatingAreas[[#This Row],[Subdivision]]),0),MATCH("County Name",QHPSelections2016[#Headers],0))</f>
        <v>Jackson County</v>
      </c>
      <c r="M613" t="b">
        <f>L613=HIX_RatingAreas[[#This Row],[Subdivision]]</f>
        <v>1</v>
      </c>
      <c r="N613">
        <v>610</v>
      </c>
    </row>
    <row r="614" spans="3:14">
      <c r="C614" t="s">
        <v>54</v>
      </c>
      <c r="D614" t="s">
        <v>1565</v>
      </c>
      <c r="E614" t="s">
        <v>93</v>
      </c>
      <c r="F614" s="36">
        <v>7</v>
      </c>
      <c r="G614" t="s">
        <v>1054</v>
      </c>
      <c r="I614" cm="1">
        <f t="array" ref="I614">_xlfn.IFNA(INDEX(QHPSelections2016[],MATCH(1,(QHPSelections2016[State Name]=HIX_RatingAreas[[#This Row],[State Code]])*(QHPSelections2016[County Name]=HIX_RatingAreas[[#This Row],[Subdivision]]),0),MATCH("Silver",QHPSelections2016[#Headers],0)),0)</f>
        <v>685</v>
      </c>
      <c r="J614" cm="1">
        <f t="array" ref="J614">_xlfn.IFNA(INDEX(QHPSelections2016[],MATCH(1,(QHPSelections2016[State Name]=HIX_RatingAreas[[#This Row],[State Code]])*(QHPSelections2016[County Name]=HIX_RatingAreas[[#This Row],[Subdivision]]),0),MATCH("Total Plan Selections",QHPSelections2016[#Headers],0)),0)</f>
        <v>905</v>
      </c>
      <c r="L614" t="str" cm="1">
        <f t="array" ref="L614">INDEX(QHPSelections2016[],MATCH(1,(QHPSelections2016[State Name]=HIX_RatingAreas[[#This Row],[State Code]])*(QHPSelections2016[County Name]=HIX_RatingAreas[[#This Row],[Subdivision]]),0),MATCH("County Name",QHPSelections2016[#Headers],0))</f>
        <v>Macon County</v>
      </c>
      <c r="M614" t="b">
        <f>L614=HIX_RatingAreas[[#This Row],[Subdivision]]</f>
        <v>1</v>
      </c>
      <c r="N614">
        <v>611</v>
      </c>
    </row>
    <row r="615" spans="3:14">
      <c r="C615" t="s">
        <v>54</v>
      </c>
      <c r="D615" t="s">
        <v>1565</v>
      </c>
      <c r="E615" t="s">
        <v>93</v>
      </c>
      <c r="F615" s="36">
        <v>7</v>
      </c>
      <c r="G615" t="s">
        <v>1175</v>
      </c>
      <c r="I615" cm="1">
        <f t="array" ref="I615">_xlfn.IFNA(INDEX(QHPSelections2016[],MATCH(1,(QHPSelections2016[State Name]=HIX_RatingAreas[[#This Row],[State Code]])*(QHPSelections2016[County Name]=HIX_RatingAreas[[#This Row],[Subdivision]]),0),MATCH("Silver",QHPSelections2016[#Headers],0)),0)</f>
        <v>705</v>
      </c>
      <c r="J615" cm="1">
        <f t="array" ref="J615">_xlfn.IFNA(INDEX(QHPSelections2016[],MATCH(1,(QHPSelections2016[State Name]=HIX_RatingAreas[[#This Row],[State Code]])*(QHPSelections2016[County Name]=HIX_RatingAreas[[#This Row],[Subdivision]]),0),MATCH("Total Plan Selections",QHPSelections2016[#Headers],0)),0)</f>
        <v>884</v>
      </c>
      <c r="L615" t="str" cm="1">
        <f t="array" ref="L615">INDEX(QHPSelections2016[],MATCH(1,(QHPSelections2016[State Name]=HIX_RatingAreas[[#This Row],[State Code]])*(QHPSelections2016[County Name]=HIX_RatingAreas[[#This Row],[Subdivision]]),0),MATCH("County Name",QHPSelections2016[#Headers],0))</f>
        <v>Overton County</v>
      </c>
      <c r="M615" t="b">
        <f>L615=HIX_RatingAreas[[#This Row],[Subdivision]]</f>
        <v>1</v>
      </c>
      <c r="N615">
        <v>612</v>
      </c>
    </row>
    <row r="616" spans="3:14">
      <c r="C616" t="s">
        <v>54</v>
      </c>
      <c r="D616" t="s">
        <v>1565</v>
      </c>
      <c r="E616" t="s">
        <v>93</v>
      </c>
      <c r="F616" s="36">
        <v>7</v>
      </c>
      <c r="G616" t="s">
        <v>1183</v>
      </c>
      <c r="I616" cm="1">
        <f t="array" ref="I616">_xlfn.IFNA(INDEX(QHPSelections2016[],MATCH(1,(QHPSelections2016[State Name]=HIX_RatingAreas[[#This Row],[State Code]])*(QHPSelections2016[County Name]=HIX_RatingAreas[[#This Row],[Subdivision]]),0),MATCH("Silver",QHPSelections2016[#Headers],0)),0)</f>
        <v>190</v>
      </c>
      <c r="J616" cm="1">
        <f t="array" ref="J616">_xlfn.IFNA(INDEX(QHPSelections2016[],MATCH(1,(QHPSelections2016[State Name]=HIX_RatingAreas[[#This Row],[State Code]])*(QHPSelections2016[County Name]=HIX_RatingAreas[[#This Row],[Subdivision]]),0),MATCH("Total Plan Selections",QHPSelections2016[#Headers],0)),0)</f>
        <v>259</v>
      </c>
      <c r="L616" t="str" cm="1">
        <f t="array" ref="L616">INDEX(QHPSelections2016[],MATCH(1,(QHPSelections2016[State Name]=HIX_RatingAreas[[#This Row],[State Code]])*(QHPSelections2016[County Name]=HIX_RatingAreas[[#This Row],[Subdivision]]),0),MATCH("County Name",QHPSelections2016[#Headers],0))</f>
        <v>Pickett County</v>
      </c>
      <c r="M616" t="b">
        <f>L616=HIX_RatingAreas[[#This Row],[Subdivision]]</f>
        <v>1</v>
      </c>
      <c r="N616">
        <v>613</v>
      </c>
    </row>
    <row r="617" spans="3:14">
      <c r="C617" t="s">
        <v>54</v>
      </c>
      <c r="D617" t="s">
        <v>1565</v>
      </c>
      <c r="E617" t="s">
        <v>93</v>
      </c>
      <c r="F617" s="36">
        <v>7</v>
      </c>
      <c r="G617" t="s">
        <v>1103</v>
      </c>
      <c r="I617" cm="1">
        <f t="array" ref="I617">_xlfn.IFNA(INDEX(QHPSelections2016[],MATCH(1,(QHPSelections2016[State Name]=HIX_RatingAreas[[#This Row],[State Code]])*(QHPSelections2016[County Name]=HIX_RatingAreas[[#This Row],[Subdivision]]),0),MATCH("Silver",QHPSelections2016[#Headers],0)),0)</f>
        <v>2344</v>
      </c>
      <c r="J617" cm="1">
        <f t="array" ref="J617">_xlfn.IFNA(INDEX(QHPSelections2016[],MATCH(1,(QHPSelections2016[State Name]=HIX_RatingAreas[[#This Row],[State Code]])*(QHPSelections2016[County Name]=HIX_RatingAreas[[#This Row],[Subdivision]]),0),MATCH("Total Plan Selections",QHPSelections2016[#Headers],0)),0)</f>
        <v>3253</v>
      </c>
      <c r="L617" t="str" cm="1">
        <f t="array" ref="L617">INDEX(QHPSelections2016[],MATCH(1,(QHPSelections2016[State Name]=HIX_RatingAreas[[#This Row],[State Code]])*(QHPSelections2016[County Name]=HIX_RatingAreas[[#This Row],[Subdivision]]),0),MATCH("County Name",QHPSelections2016[#Headers],0))</f>
        <v>Putnam County</v>
      </c>
      <c r="M617" t="b">
        <f>L617=HIX_RatingAreas[[#This Row],[Subdivision]]</f>
        <v>1</v>
      </c>
      <c r="N617">
        <v>614</v>
      </c>
    </row>
    <row r="618" spans="3:14">
      <c r="C618" t="s">
        <v>54</v>
      </c>
      <c r="D618" t="s">
        <v>1565</v>
      </c>
      <c r="E618" t="s">
        <v>93</v>
      </c>
      <c r="F618" s="36">
        <v>7</v>
      </c>
      <c r="G618" t="s">
        <v>1163</v>
      </c>
      <c r="I618" cm="1">
        <f t="array" ref="I618">_xlfn.IFNA(INDEX(QHPSelections2016[],MATCH(1,(QHPSelections2016[State Name]=HIX_RatingAreas[[#This Row],[State Code]])*(QHPSelections2016[County Name]=HIX_RatingAreas[[#This Row],[Subdivision]]),0),MATCH("Silver",QHPSelections2016[#Headers],0)),0)</f>
        <v>507</v>
      </c>
      <c r="J618" cm="1">
        <f t="array" ref="J618">_xlfn.IFNA(INDEX(QHPSelections2016[],MATCH(1,(QHPSelections2016[State Name]=HIX_RatingAreas[[#This Row],[State Code]])*(QHPSelections2016[County Name]=HIX_RatingAreas[[#This Row],[Subdivision]]),0),MATCH("Total Plan Selections",QHPSelections2016[#Headers],0)),0)</f>
        <v>699</v>
      </c>
      <c r="L618" t="str" cm="1">
        <f t="array" ref="L618">INDEX(QHPSelections2016[],MATCH(1,(QHPSelections2016[State Name]=HIX_RatingAreas[[#This Row],[State Code]])*(QHPSelections2016[County Name]=HIX_RatingAreas[[#This Row],[Subdivision]]),0),MATCH("County Name",QHPSelections2016[#Headers],0))</f>
        <v>Smith County</v>
      </c>
      <c r="M618" t="b">
        <f>L618=HIX_RatingAreas[[#This Row],[Subdivision]]</f>
        <v>1</v>
      </c>
      <c r="N618">
        <v>615</v>
      </c>
    </row>
    <row r="619" spans="3:14">
      <c r="C619" t="s">
        <v>54</v>
      </c>
      <c r="D619" t="s">
        <v>1565</v>
      </c>
      <c r="E619" t="s">
        <v>93</v>
      </c>
      <c r="F619" s="36">
        <v>7</v>
      </c>
      <c r="G619" t="s">
        <v>1246</v>
      </c>
      <c r="I619" cm="1">
        <f t="array" ref="I619">_xlfn.IFNA(INDEX(QHPSelections2016[],MATCH(1,(QHPSelections2016[State Name]=HIX_RatingAreas[[#This Row],[State Code]])*(QHPSelections2016[County Name]=HIX_RatingAreas[[#This Row],[Subdivision]]),0),MATCH("Silver",QHPSelections2016[#Headers],0)),0)</f>
        <v>184</v>
      </c>
      <c r="J619" cm="1">
        <f t="array" ref="J619">_xlfn.IFNA(INDEX(QHPSelections2016[],MATCH(1,(QHPSelections2016[State Name]=HIX_RatingAreas[[#This Row],[State Code]])*(QHPSelections2016[County Name]=HIX_RatingAreas[[#This Row],[Subdivision]]),0),MATCH("Total Plan Selections",QHPSelections2016[#Headers],0)),0)</f>
        <v>241</v>
      </c>
      <c r="L619" t="str" cm="1">
        <f t="array" ref="L619">INDEX(QHPSelections2016[],MATCH(1,(QHPSelections2016[State Name]=HIX_RatingAreas[[#This Row],[State Code]])*(QHPSelections2016[County Name]=HIX_RatingAreas[[#This Row],[Subdivision]]),0),MATCH("County Name",QHPSelections2016[#Headers],0))</f>
        <v>Van Buren County</v>
      </c>
      <c r="M619" t="b">
        <f>L619=HIX_RatingAreas[[#This Row],[Subdivision]]</f>
        <v>1</v>
      </c>
      <c r="N619">
        <v>616</v>
      </c>
    </row>
    <row r="620" spans="3:14">
      <c r="C620" t="s">
        <v>54</v>
      </c>
      <c r="D620" t="s">
        <v>1565</v>
      </c>
      <c r="E620" t="s">
        <v>93</v>
      </c>
      <c r="F620" s="36">
        <v>7</v>
      </c>
      <c r="G620" t="s">
        <v>1205</v>
      </c>
      <c r="I620" cm="1">
        <f t="array" ref="I620">_xlfn.IFNA(INDEX(QHPSelections2016[],MATCH(1,(QHPSelections2016[State Name]=HIX_RatingAreas[[#This Row],[State Code]])*(QHPSelections2016[County Name]=HIX_RatingAreas[[#This Row],[Subdivision]]),0),MATCH("Silver",QHPSelections2016[#Headers],0)),0)</f>
        <v>1093</v>
      </c>
      <c r="J620" cm="1">
        <f t="array" ref="J620">_xlfn.IFNA(INDEX(QHPSelections2016[],MATCH(1,(QHPSelections2016[State Name]=HIX_RatingAreas[[#This Row],[State Code]])*(QHPSelections2016[County Name]=HIX_RatingAreas[[#This Row],[Subdivision]]),0),MATCH("Total Plan Selections",QHPSelections2016[#Headers],0)),0)</f>
        <v>1511</v>
      </c>
      <c r="L620" t="str" cm="1">
        <f t="array" ref="L620">INDEX(QHPSelections2016[],MATCH(1,(QHPSelections2016[State Name]=HIX_RatingAreas[[#This Row],[State Code]])*(QHPSelections2016[County Name]=HIX_RatingAreas[[#This Row],[Subdivision]]),0),MATCH("County Name",QHPSelections2016[#Headers],0))</f>
        <v>Warren County</v>
      </c>
      <c r="M620" t="b">
        <f>L620=HIX_RatingAreas[[#This Row],[Subdivision]]</f>
        <v>1</v>
      </c>
      <c r="N620">
        <v>617</v>
      </c>
    </row>
    <row r="621" spans="3:14">
      <c r="C621" t="s">
        <v>54</v>
      </c>
      <c r="D621" t="s">
        <v>1565</v>
      </c>
      <c r="E621" t="s">
        <v>93</v>
      </c>
      <c r="F621" s="36">
        <v>7</v>
      </c>
      <c r="G621" t="s">
        <v>1258</v>
      </c>
      <c r="I621" cm="1">
        <f t="array" ref="I621">_xlfn.IFNA(INDEX(QHPSelections2016[],MATCH(1,(QHPSelections2016[State Name]=HIX_RatingAreas[[#This Row],[State Code]])*(QHPSelections2016[County Name]=HIX_RatingAreas[[#This Row],[Subdivision]]),0),MATCH("Silver",QHPSelections2016[#Headers],0)),0)</f>
        <v>964</v>
      </c>
      <c r="J621" cm="1">
        <f t="array" ref="J621">_xlfn.IFNA(INDEX(QHPSelections2016[],MATCH(1,(QHPSelections2016[State Name]=HIX_RatingAreas[[#This Row],[State Code]])*(QHPSelections2016[County Name]=HIX_RatingAreas[[#This Row],[Subdivision]]),0),MATCH("Total Plan Selections",QHPSelections2016[#Headers],0)),0)</f>
        <v>1206</v>
      </c>
      <c r="L621" t="str" cm="1">
        <f t="array" ref="L621">INDEX(QHPSelections2016[],MATCH(1,(QHPSelections2016[State Name]=HIX_RatingAreas[[#This Row],[State Code]])*(QHPSelections2016[County Name]=HIX_RatingAreas[[#This Row],[Subdivision]]),0),MATCH("County Name",QHPSelections2016[#Headers],0))</f>
        <v>White County</v>
      </c>
      <c r="M621" t="b">
        <f>L621=HIX_RatingAreas[[#This Row],[Subdivision]]</f>
        <v>1</v>
      </c>
      <c r="N621">
        <v>618</v>
      </c>
    </row>
    <row r="622" spans="3:14">
      <c r="C622" t="s">
        <v>54</v>
      </c>
      <c r="D622" t="s">
        <v>1565</v>
      </c>
      <c r="E622" t="s">
        <v>96</v>
      </c>
      <c r="F622" s="36">
        <v>8</v>
      </c>
      <c r="G622" t="s">
        <v>828</v>
      </c>
      <c r="I622" cm="1">
        <f t="array" ref="I622">_xlfn.IFNA(INDEX(QHPSelections2016[],MATCH(1,(QHPSelections2016[State Name]=HIX_RatingAreas[[#This Row],[State Code]])*(QHPSelections2016[County Name]=HIX_RatingAreas[[#This Row],[Subdivision]]),0),MATCH("Silver",QHPSelections2016[#Headers],0)),0)</f>
        <v>1143</v>
      </c>
      <c r="J622" cm="1">
        <f t="array" ref="J622">_xlfn.IFNA(INDEX(QHPSelections2016[],MATCH(1,(QHPSelections2016[State Name]=HIX_RatingAreas[[#This Row],[State Code]])*(QHPSelections2016[County Name]=HIX_RatingAreas[[#This Row],[Subdivision]]),0),MATCH("Total Plan Selections",QHPSelections2016[#Headers],0)),0)</f>
        <v>1594</v>
      </c>
      <c r="L622" t="str" cm="1">
        <f t="array" ref="L622">INDEX(QHPSelections2016[],MATCH(1,(QHPSelections2016[State Name]=HIX_RatingAreas[[#This Row],[State Code]])*(QHPSelections2016[County Name]=HIX_RatingAreas[[#This Row],[Subdivision]]),0),MATCH("County Name",QHPSelections2016[#Headers],0))</f>
        <v>Bedford County</v>
      </c>
      <c r="M622" t="b">
        <f>L622=HIX_RatingAreas[[#This Row],[Subdivision]]</f>
        <v>1</v>
      </c>
      <c r="N622">
        <v>619</v>
      </c>
    </row>
    <row r="623" spans="3:14">
      <c r="C623" t="s">
        <v>54</v>
      </c>
      <c r="D623" t="s">
        <v>1565</v>
      </c>
      <c r="E623" t="s">
        <v>96</v>
      </c>
      <c r="F623" s="36">
        <v>8</v>
      </c>
      <c r="G623" t="s">
        <v>907</v>
      </c>
      <c r="I623" cm="1">
        <f t="array" ref="I623">_xlfn.IFNA(INDEX(QHPSelections2016[],MATCH(1,(QHPSelections2016[State Name]=HIX_RatingAreas[[#This Row],[State Code]])*(QHPSelections2016[County Name]=HIX_RatingAreas[[#This Row],[Subdivision]]),0),MATCH("Silver",QHPSelections2016[#Headers],0)),0)</f>
        <v>1387</v>
      </c>
      <c r="J623" cm="1">
        <f t="array" ref="J623">_xlfn.IFNA(INDEX(QHPSelections2016[],MATCH(1,(QHPSelections2016[State Name]=HIX_RatingAreas[[#This Row],[State Code]])*(QHPSelections2016[County Name]=HIX_RatingAreas[[#This Row],[Subdivision]]),0),MATCH("Total Plan Selections",QHPSelections2016[#Headers],0)),0)</f>
        <v>1904</v>
      </c>
      <c r="L623" t="str" cm="1">
        <f t="array" ref="L623">INDEX(QHPSelections2016[],MATCH(1,(QHPSelections2016[State Name]=HIX_RatingAreas[[#This Row],[State Code]])*(QHPSelections2016[County Name]=HIX_RatingAreas[[#This Row],[Subdivision]]),0),MATCH("County Name",QHPSelections2016[#Headers],0))</f>
        <v>Coffee County</v>
      </c>
      <c r="M623" t="b">
        <f>L623=HIX_RatingAreas[[#This Row],[Subdivision]]</f>
        <v>1</v>
      </c>
      <c r="N623">
        <v>620</v>
      </c>
    </row>
    <row r="624" spans="3:14">
      <c r="C624" t="s">
        <v>54</v>
      </c>
      <c r="D624" t="s">
        <v>1565</v>
      </c>
      <c r="E624" t="s">
        <v>96</v>
      </c>
      <c r="F624" s="36">
        <v>8</v>
      </c>
      <c r="G624" t="s">
        <v>944</v>
      </c>
      <c r="I624" cm="1">
        <f t="array" ref="I624">_xlfn.IFNA(INDEX(QHPSelections2016[],MATCH(1,(QHPSelections2016[State Name]=HIX_RatingAreas[[#This Row],[State Code]])*(QHPSelections2016[County Name]=HIX_RatingAreas[[#This Row],[Subdivision]]),0),MATCH("Silver",QHPSelections2016[#Headers],0)),0)</f>
        <v>1514</v>
      </c>
      <c r="J624" cm="1">
        <f t="array" ref="J624">_xlfn.IFNA(INDEX(QHPSelections2016[],MATCH(1,(QHPSelections2016[State Name]=HIX_RatingAreas[[#This Row],[State Code]])*(QHPSelections2016[County Name]=HIX_RatingAreas[[#This Row],[Subdivision]]),0),MATCH("Total Plan Selections",QHPSelections2016[#Headers],0)),0)</f>
        <v>2127</v>
      </c>
      <c r="L624" t="str" cm="1">
        <f t="array" ref="L624">INDEX(QHPSelections2016[],MATCH(1,(QHPSelections2016[State Name]=HIX_RatingAreas[[#This Row],[State Code]])*(QHPSelections2016[County Name]=HIX_RatingAreas[[#This Row],[Subdivision]]),0),MATCH("County Name",QHPSelections2016[#Headers],0))</f>
        <v>Dickson County</v>
      </c>
      <c r="M624" t="b">
        <f>L624=HIX_RatingAreas[[#This Row],[Subdivision]]</f>
        <v>1</v>
      </c>
      <c r="N624">
        <v>621</v>
      </c>
    </row>
    <row r="625" spans="3:14">
      <c r="C625" t="s">
        <v>54</v>
      </c>
      <c r="D625" t="s">
        <v>1565</v>
      </c>
      <c r="E625" t="s">
        <v>96</v>
      </c>
      <c r="F625" s="36">
        <v>8</v>
      </c>
      <c r="G625" t="s">
        <v>979</v>
      </c>
      <c r="I625" cm="1">
        <f t="array" ref="I625">_xlfn.IFNA(INDEX(QHPSelections2016[],MATCH(1,(QHPSelections2016[State Name]=HIX_RatingAreas[[#This Row],[State Code]])*(QHPSelections2016[County Name]=HIX_RatingAreas[[#This Row],[Subdivision]]),0),MATCH("Silver",QHPSelections2016[#Headers],0)),0)</f>
        <v>889</v>
      </c>
      <c r="J625" cm="1">
        <f t="array" ref="J625">_xlfn.IFNA(INDEX(QHPSelections2016[],MATCH(1,(QHPSelections2016[State Name]=HIX_RatingAreas[[#This Row],[State Code]])*(QHPSelections2016[County Name]=HIX_RatingAreas[[#This Row],[Subdivision]]),0),MATCH("Total Plan Selections",QHPSelections2016[#Headers],0)),0)</f>
        <v>1190</v>
      </c>
      <c r="L625" t="str" cm="1">
        <f t="array" ref="L625">INDEX(QHPSelections2016[],MATCH(1,(QHPSelections2016[State Name]=HIX_RatingAreas[[#This Row],[State Code]])*(QHPSelections2016[County Name]=HIX_RatingAreas[[#This Row],[Subdivision]]),0),MATCH("County Name",QHPSelections2016[#Headers],0))</f>
        <v>Giles County</v>
      </c>
      <c r="M625" t="b">
        <f>L625=HIX_RatingAreas[[#This Row],[Subdivision]]</f>
        <v>1</v>
      </c>
      <c r="N625">
        <v>622</v>
      </c>
    </row>
    <row r="626" spans="3:14">
      <c r="C626" t="s">
        <v>54</v>
      </c>
      <c r="D626" t="s">
        <v>1565</v>
      </c>
      <c r="E626" t="s">
        <v>96</v>
      </c>
      <c r="F626" s="36">
        <v>8</v>
      </c>
      <c r="G626" t="s">
        <v>1041</v>
      </c>
      <c r="I626" cm="1">
        <f t="array" ref="I626">_xlfn.IFNA(INDEX(QHPSelections2016[],MATCH(1,(QHPSelections2016[State Name]=HIX_RatingAreas[[#This Row],[State Code]])*(QHPSelections2016[County Name]=HIX_RatingAreas[[#This Row],[Subdivision]]),0),MATCH("Silver",QHPSelections2016[#Headers],0)),0)</f>
        <v>794</v>
      </c>
      <c r="J626" cm="1">
        <f t="array" ref="J626">_xlfn.IFNA(INDEX(QHPSelections2016[],MATCH(1,(QHPSelections2016[State Name]=HIX_RatingAreas[[#This Row],[State Code]])*(QHPSelections2016[County Name]=HIX_RatingAreas[[#This Row],[Subdivision]]),0),MATCH("Total Plan Selections",QHPSelections2016[#Headers],0)),0)</f>
        <v>1084</v>
      </c>
      <c r="L626" t="str" cm="1">
        <f t="array" ref="L626">INDEX(QHPSelections2016[],MATCH(1,(QHPSelections2016[State Name]=HIX_RatingAreas[[#This Row],[State Code]])*(QHPSelections2016[County Name]=HIX_RatingAreas[[#This Row],[Subdivision]]),0),MATCH("County Name",QHPSelections2016[#Headers],0))</f>
        <v>Hickman County</v>
      </c>
      <c r="M626" t="b">
        <f>L626=HIX_RatingAreas[[#This Row],[Subdivision]]</f>
        <v>1</v>
      </c>
      <c r="N626">
        <v>623</v>
      </c>
    </row>
    <row r="627" spans="3:14">
      <c r="C627" t="s">
        <v>54</v>
      </c>
      <c r="D627" t="s">
        <v>1565</v>
      </c>
      <c r="E627" t="s">
        <v>96</v>
      </c>
      <c r="F627" s="36">
        <v>8</v>
      </c>
      <c r="G627" t="s">
        <v>1009</v>
      </c>
      <c r="I627" cm="1">
        <f t="array" ref="I627">_xlfn.IFNA(INDEX(QHPSelections2016[],MATCH(1,(QHPSelections2016[State Name]=HIX_RatingAreas[[#This Row],[State Code]])*(QHPSelections2016[County Name]=HIX_RatingAreas[[#This Row],[Subdivision]]),0),MATCH("Silver",QHPSelections2016[#Headers],0)),0)</f>
        <v>179</v>
      </c>
      <c r="J627" cm="1">
        <f t="array" ref="J627">_xlfn.IFNA(INDEX(QHPSelections2016[],MATCH(1,(QHPSelections2016[State Name]=HIX_RatingAreas[[#This Row],[State Code]])*(QHPSelections2016[County Name]=HIX_RatingAreas[[#This Row],[Subdivision]]),0),MATCH("Total Plan Selections",QHPSelections2016[#Headers],0)),0)</f>
        <v>230</v>
      </c>
      <c r="L627" t="str" cm="1">
        <f t="array" ref="L627">INDEX(QHPSelections2016[],MATCH(1,(QHPSelections2016[State Name]=HIX_RatingAreas[[#This Row],[State Code]])*(QHPSelections2016[County Name]=HIX_RatingAreas[[#This Row],[Subdivision]]),0),MATCH("County Name",QHPSelections2016[#Headers],0))</f>
        <v>Houston County</v>
      </c>
      <c r="M627" t="b">
        <f>L627=HIX_RatingAreas[[#This Row],[Subdivision]]</f>
        <v>1</v>
      </c>
      <c r="N627">
        <v>624</v>
      </c>
    </row>
    <row r="628" spans="3:14">
      <c r="C628" t="s">
        <v>54</v>
      </c>
      <c r="D628" t="s">
        <v>1565</v>
      </c>
      <c r="E628" t="s">
        <v>96</v>
      </c>
      <c r="F628" s="36">
        <v>8</v>
      </c>
      <c r="G628" t="s">
        <v>971</v>
      </c>
      <c r="I628" cm="1">
        <f t="array" ref="I628">_xlfn.IFNA(INDEX(QHPSelections2016[],MATCH(1,(QHPSelections2016[State Name]=HIX_RatingAreas[[#This Row],[State Code]])*(QHPSelections2016[County Name]=HIX_RatingAreas[[#This Row],[Subdivision]]),0),MATCH("Silver",QHPSelections2016[#Headers],0)),0)</f>
        <v>475</v>
      </c>
      <c r="J628" cm="1">
        <f t="array" ref="J628">_xlfn.IFNA(INDEX(QHPSelections2016[],MATCH(1,(QHPSelections2016[State Name]=HIX_RatingAreas[[#This Row],[State Code]])*(QHPSelections2016[County Name]=HIX_RatingAreas[[#This Row],[Subdivision]]),0),MATCH("Total Plan Selections",QHPSelections2016[#Headers],0)),0)</f>
        <v>628</v>
      </c>
      <c r="L628" t="str" cm="1">
        <f t="array" ref="L628">INDEX(QHPSelections2016[],MATCH(1,(QHPSelections2016[State Name]=HIX_RatingAreas[[#This Row],[State Code]])*(QHPSelections2016[County Name]=HIX_RatingAreas[[#This Row],[Subdivision]]),0),MATCH("County Name",QHPSelections2016[#Headers],0))</f>
        <v>Humphreys County</v>
      </c>
      <c r="M628" t="b">
        <f>L628=HIX_RatingAreas[[#This Row],[Subdivision]]</f>
        <v>1</v>
      </c>
      <c r="N628">
        <v>625</v>
      </c>
    </row>
    <row r="629" spans="3:14">
      <c r="C629" t="s">
        <v>54</v>
      </c>
      <c r="D629" t="s">
        <v>1565</v>
      </c>
      <c r="E629" t="s">
        <v>96</v>
      </c>
      <c r="F629" s="36">
        <v>8</v>
      </c>
      <c r="G629" t="s">
        <v>1031</v>
      </c>
      <c r="I629" cm="1">
        <f t="array" ref="I629">_xlfn.IFNA(INDEX(QHPSelections2016[],MATCH(1,(QHPSelections2016[State Name]=HIX_RatingAreas[[#This Row],[State Code]])*(QHPSelections2016[County Name]=HIX_RatingAreas[[#This Row],[Subdivision]]),0),MATCH("Silver",QHPSelections2016[#Headers],0)),0)</f>
        <v>1514</v>
      </c>
      <c r="J629" cm="1">
        <f t="array" ref="J629">_xlfn.IFNA(INDEX(QHPSelections2016[],MATCH(1,(QHPSelections2016[State Name]=HIX_RatingAreas[[#This Row],[State Code]])*(QHPSelections2016[County Name]=HIX_RatingAreas[[#This Row],[Subdivision]]),0),MATCH("Total Plan Selections",QHPSelections2016[#Headers],0)),0)</f>
        <v>1952</v>
      </c>
      <c r="L629" t="str" cm="1">
        <f t="array" ref="L629">INDEX(QHPSelections2016[],MATCH(1,(QHPSelections2016[State Name]=HIX_RatingAreas[[#This Row],[State Code]])*(QHPSelections2016[County Name]=HIX_RatingAreas[[#This Row],[Subdivision]]),0),MATCH("County Name",QHPSelections2016[#Headers],0))</f>
        <v>Lawrence County</v>
      </c>
      <c r="M629" t="b">
        <f>L629=HIX_RatingAreas[[#This Row],[Subdivision]]</f>
        <v>1</v>
      </c>
      <c r="N629">
        <v>626</v>
      </c>
    </row>
    <row r="630" spans="3:14">
      <c r="C630" t="s">
        <v>54</v>
      </c>
      <c r="D630" t="s">
        <v>1565</v>
      </c>
      <c r="E630" t="s">
        <v>96</v>
      </c>
      <c r="F630" s="36">
        <v>8</v>
      </c>
      <c r="G630" t="s">
        <v>1090</v>
      </c>
      <c r="I630" cm="1">
        <f t="array" ref="I630">_xlfn.IFNA(INDEX(QHPSelections2016[],MATCH(1,(QHPSelections2016[State Name]=HIX_RatingAreas[[#This Row],[State Code]])*(QHPSelections2016[County Name]=HIX_RatingAreas[[#This Row],[Subdivision]]),0),MATCH("Silver",QHPSelections2016[#Headers],0)),0)</f>
        <v>418</v>
      </c>
      <c r="J630" cm="1">
        <f t="array" ref="J630">_xlfn.IFNA(INDEX(QHPSelections2016[],MATCH(1,(QHPSelections2016[State Name]=HIX_RatingAreas[[#This Row],[State Code]])*(QHPSelections2016[County Name]=HIX_RatingAreas[[#This Row],[Subdivision]]),0),MATCH("Total Plan Selections",QHPSelections2016[#Headers],0)),0)</f>
        <v>584</v>
      </c>
      <c r="L630" t="str" cm="1">
        <f t="array" ref="L630">INDEX(QHPSelections2016[],MATCH(1,(QHPSelections2016[State Name]=HIX_RatingAreas[[#This Row],[State Code]])*(QHPSelections2016[County Name]=HIX_RatingAreas[[#This Row],[Subdivision]]),0),MATCH("County Name",QHPSelections2016[#Headers],0))</f>
        <v>Lewis County</v>
      </c>
      <c r="M630" t="b">
        <f>L630=HIX_RatingAreas[[#This Row],[Subdivision]]</f>
        <v>1</v>
      </c>
      <c r="N630">
        <v>627</v>
      </c>
    </row>
    <row r="631" spans="3:14">
      <c r="C631" t="s">
        <v>54</v>
      </c>
      <c r="D631" t="s">
        <v>1565</v>
      </c>
      <c r="E631" t="s">
        <v>96</v>
      </c>
      <c r="F631" s="36">
        <v>8</v>
      </c>
      <c r="G631" t="s">
        <v>1051</v>
      </c>
      <c r="I631" cm="1">
        <f t="array" ref="I631">_xlfn.IFNA(INDEX(QHPSelections2016[],MATCH(1,(QHPSelections2016[State Name]=HIX_RatingAreas[[#This Row],[State Code]])*(QHPSelections2016[County Name]=HIX_RatingAreas[[#This Row],[Subdivision]]),0),MATCH("Silver",QHPSelections2016[#Headers],0)),0)</f>
        <v>1113</v>
      </c>
      <c r="J631" cm="1">
        <f t="array" ref="J631">_xlfn.IFNA(INDEX(QHPSelections2016[],MATCH(1,(QHPSelections2016[State Name]=HIX_RatingAreas[[#This Row],[State Code]])*(QHPSelections2016[County Name]=HIX_RatingAreas[[#This Row],[Subdivision]]),0),MATCH("Total Plan Selections",QHPSelections2016[#Headers],0)),0)</f>
        <v>1469</v>
      </c>
      <c r="L631" t="str" cm="1">
        <f t="array" ref="L631">INDEX(QHPSelections2016[],MATCH(1,(QHPSelections2016[State Name]=HIX_RatingAreas[[#This Row],[State Code]])*(QHPSelections2016[County Name]=HIX_RatingAreas[[#This Row],[Subdivision]]),0),MATCH("County Name",QHPSelections2016[#Headers],0))</f>
        <v>Lincoln County</v>
      </c>
      <c r="M631" t="b">
        <f>L631=HIX_RatingAreas[[#This Row],[Subdivision]]</f>
        <v>1</v>
      </c>
      <c r="N631">
        <v>628</v>
      </c>
    </row>
    <row r="632" spans="3:14">
      <c r="C632" t="s">
        <v>54</v>
      </c>
      <c r="D632" t="s">
        <v>1565</v>
      </c>
      <c r="E632" t="s">
        <v>96</v>
      </c>
      <c r="F632" s="36">
        <v>8</v>
      </c>
      <c r="G632" t="s">
        <v>1068</v>
      </c>
      <c r="I632" cm="1">
        <f t="array" ref="I632">_xlfn.IFNA(INDEX(QHPSelections2016[],MATCH(1,(QHPSelections2016[State Name]=HIX_RatingAreas[[#This Row],[State Code]])*(QHPSelections2016[County Name]=HIX_RatingAreas[[#This Row],[Subdivision]]),0),MATCH("Silver",QHPSelections2016[#Headers],0)),0)</f>
        <v>794</v>
      </c>
      <c r="J632" cm="1">
        <f t="array" ref="J632">_xlfn.IFNA(INDEX(QHPSelections2016[],MATCH(1,(QHPSelections2016[State Name]=HIX_RatingAreas[[#This Row],[State Code]])*(QHPSelections2016[County Name]=HIX_RatingAreas[[#This Row],[Subdivision]]),0),MATCH("Total Plan Selections",QHPSelections2016[#Headers],0)),0)</f>
        <v>1089</v>
      </c>
      <c r="L632" t="str" cm="1">
        <f t="array" ref="L632">INDEX(QHPSelections2016[],MATCH(1,(QHPSelections2016[State Name]=HIX_RatingAreas[[#This Row],[State Code]])*(QHPSelections2016[County Name]=HIX_RatingAreas[[#This Row],[Subdivision]]),0),MATCH("County Name",QHPSelections2016[#Headers],0))</f>
        <v>Marshall County</v>
      </c>
      <c r="M632" t="b">
        <f>L632=HIX_RatingAreas[[#This Row],[Subdivision]]</f>
        <v>1</v>
      </c>
      <c r="N632">
        <v>629</v>
      </c>
    </row>
    <row r="633" spans="3:14">
      <c r="C633" t="s">
        <v>54</v>
      </c>
      <c r="D633" t="s">
        <v>1565</v>
      </c>
      <c r="E633" t="s">
        <v>96</v>
      </c>
      <c r="F633" s="36">
        <v>8</v>
      </c>
      <c r="G633" t="s">
        <v>1134</v>
      </c>
      <c r="I633" cm="1">
        <f t="array" ref="I633">_xlfn.IFNA(INDEX(QHPSelections2016[],MATCH(1,(QHPSelections2016[State Name]=HIX_RatingAreas[[#This Row],[State Code]])*(QHPSelections2016[County Name]=HIX_RatingAreas[[#This Row],[Subdivision]]),0),MATCH("Silver",QHPSelections2016[#Headers],0)),0)</f>
        <v>2435</v>
      </c>
      <c r="J633" cm="1">
        <f t="array" ref="J633">_xlfn.IFNA(INDEX(QHPSelections2016[],MATCH(1,(QHPSelections2016[State Name]=HIX_RatingAreas[[#This Row],[State Code]])*(QHPSelections2016[County Name]=HIX_RatingAreas[[#This Row],[Subdivision]]),0),MATCH("Total Plan Selections",QHPSelections2016[#Headers],0)),0)</f>
        <v>3517</v>
      </c>
      <c r="L633" t="str" cm="1">
        <f t="array" ref="L633">INDEX(QHPSelections2016[],MATCH(1,(QHPSelections2016[State Name]=HIX_RatingAreas[[#This Row],[State Code]])*(QHPSelections2016[County Name]=HIX_RatingAreas[[#This Row],[Subdivision]]),0),MATCH("County Name",QHPSelections2016[#Headers],0))</f>
        <v>Maury County</v>
      </c>
      <c r="M633" t="b">
        <f>L633=HIX_RatingAreas[[#This Row],[Subdivision]]</f>
        <v>1</v>
      </c>
      <c r="N633">
        <v>630</v>
      </c>
    </row>
    <row r="634" spans="3:14">
      <c r="C634" t="s">
        <v>54</v>
      </c>
      <c r="D634" t="s">
        <v>1565</v>
      </c>
      <c r="E634" t="s">
        <v>96</v>
      </c>
      <c r="F634" s="36">
        <v>8</v>
      </c>
      <c r="G634" t="s">
        <v>1152</v>
      </c>
      <c r="I634" cm="1">
        <f t="array" ref="I634">_xlfn.IFNA(INDEX(QHPSelections2016[],MATCH(1,(QHPSelections2016[State Name]=HIX_RatingAreas[[#This Row],[State Code]])*(QHPSelections2016[County Name]=HIX_RatingAreas[[#This Row],[Subdivision]]),0),MATCH("Silver",QHPSelections2016[#Headers],0)),0)</f>
        <v>136</v>
      </c>
      <c r="J634" cm="1">
        <f t="array" ref="J634">_xlfn.IFNA(INDEX(QHPSelections2016[],MATCH(1,(QHPSelections2016[State Name]=HIX_RatingAreas[[#This Row],[State Code]])*(QHPSelections2016[County Name]=HIX_RatingAreas[[#This Row],[Subdivision]]),0),MATCH("Total Plan Selections",QHPSelections2016[#Headers],0)),0)</f>
        <v>182</v>
      </c>
      <c r="L634" t="str" cm="1">
        <f t="array" ref="L634">INDEX(QHPSelections2016[],MATCH(1,(QHPSelections2016[State Name]=HIX_RatingAreas[[#This Row],[State Code]])*(QHPSelections2016[County Name]=HIX_RatingAreas[[#This Row],[Subdivision]]),0),MATCH("County Name",QHPSelections2016[#Headers],0))</f>
        <v>Moore County</v>
      </c>
      <c r="M634" t="b">
        <f>L634=HIX_RatingAreas[[#This Row],[Subdivision]]</f>
        <v>1</v>
      </c>
      <c r="N634">
        <v>631</v>
      </c>
    </row>
    <row r="635" spans="3:14">
      <c r="C635" t="s">
        <v>54</v>
      </c>
      <c r="D635" t="s">
        <v>1565</v>
      </c>
      <c r="E635" t="s">
        <v>96</v>
      </c>
      <c r="F635" s="36">
        <v>8</v>
      </c>
      <c r="G635" t="s">
        <v>1097</v>
      </c>
      <c r="I635" cm="1">
        <f t="array" ref="I635">_xlfn.IFNA(INDEX(QHPSelections2016[],MATCH(1,(QHPSelections2016[State Name]=HIX_RatingAreas[[#This Row],[State Code]])*(QHPSelections2016[County Name]=HIX_RatingAreas[[#This Row],[Subdivision]]),0),MATCH("Silver",QHPSelections2016[#Headers],0)),0)</f>
        <v>231</v>
      </c>
      <c r="J635" cm="1">
        <f t="array" ref="J635">_xlfn.IFNA(INDEX(QHPSelections2016[],MATCH(1,(QHPSelections2016[State Name]=HIX_RatingAreas[[#This Row],[State Code]])*(QHPSelections2016[County Name]=HIX_RatingAreas[[#This Row],[Subdivision]]),0),MATCH("Total Plan Selections",QHPSelections2016[#Headers],0)),0)</f>
        <v>310</v>
      </c>
      <c r="L635" t="str" cm="1">
        <f t="array" ref="L635">INDEX(QHPSelections2016[],MATCH(1,(QHPSelections2016[State Name]=HIX_RatingAreas[[#This Row],[State Code]])*(QHPSelections2016[County Name]=HIX_RatingAreas[[#This Row],[Subdivision]]),0),MATCH("County Name",QHPSelections2016[#Headers],0))</f>
        <v>Perry County</v>
      </c>
      <c r="M635" t="b">
        <f>L635=HIX_RatingAreas[[#This Row],[Subdivision]]</f>
        <v>1</v>
      </c>
      <c r="N635">
        <v>632</v>
      </c>
    </row>
    <row r="636" spans="3:14">
      <c r="C636" t="s">
        <v>54</v>
      </c>
      <c r="D636" t="s">
        <v>1565</v>
      </c>
      <c r="E636" t="s">
        <v>96</v>
      </c>
      <c r="F636" s="36">
        <v>8</v>
      </c>
      <c r="G636" t="s">
        <v>1222</v>
      </c>
      <c r="I636" cm="1">
        <f t="array" ref="I636">_xlfn.IFNA(INDEX(QHPSelections2016[],MATCH(1,(QHPSelections2016[State Name]=HIX_RatingAreas[[#This Row],[State Code]])*(QHPSelections2016[County Name]=HIX_RatingAreas[[#This Row],[Subdivision]]),0),MATCH("Silver",QHPSelections2016[#Headers],0)),0)</f>
        <v>326</v>
      </c>
      <c r="J636" cm="1">
        <f t="array" ref="J636">_xlfn.IFNA(INDEX(QHPSelections2016[],MATCH(1,(QHPSelections2016[State Name]=HIX_RatingAreas[[#This Row],[State Code]])*(QHPSelections2016[County Name]=HIX_RatingAreas[[#This Row],[Subdivision]]),0),MATCH("Total Plan Selections",QHPSelections2016[#Headers],0)),0)</f>
        <v>432</v>
      </c>
      <c r="L636" t="str" cm="1">
        <f t="array" ref="L636">INDEX(QHPSelections2016[],MATCH(1,(QHPSelections2016[State Name]=HIX_RatingAreas[[#This Row],[State Code]])*(QHPSelections2016[County Name]=HIX_RatingAreas[[#This Row],[Subdivision]]),0),MATCH("County Name",QHPSelections2016[#Headers],0))</f>
        <v>Stewart County</v>
      </c>
      <c r="M636" t="b">
        <f>L636=HIX_RatingAreas[[#This Row],[Subdivision]]</f>
        <v>1</v>
      </c>
      <c r="N636">
        <v>633</v>
      </c>
    </row>
    <row r="637" spans="3:14">
      <c r="C637" t="s">
        <v>54</v>
      </c>
      <c r="D637" t="s">
        <v>1565</v>
      </c>
      <c r="E637" t="s">
        <v>96</v>
      </c>
      <c r="F637" s="36">
        <v>8</v>
      </c>
      <c r="G637" t="s">
        <v>1209</v>
      </c>
      <c r="I637" cm="1">
        <f t="array" ref="I637">_xlfn.IFNA(INDEX(QHPSelections2016[],MATCH(1,(QHPSelections2016[State Name]=HIX_RatingAreas[[#This Row],[State Code]])*(QHPSelections2016[County Name]=HIX_RatingAreas[[#This Row],[Subdivision]]),0),MATCH("Silver",QHPSelections2016[#Headers],0)),0)</f>
        <v>617</v>
      </c>
      <c r="J637" cm="1">
        <f t="array" ref="J637">_xlfn.IFNA(INDEX(QHPSelections2016[],MATCH(1,(QHPSelections2016[State Name]=HIX_RatingAreas[[#This Row],[State Code]])*(QHPSelections2016[County Name]=HIX_RatingAreas[[#This Row],[Subdivision]]),0),MATCH("Total Plan Selections",QHPSelections2016[#Headers],0)),0)</f>
        <v>814</v>
      </c>
      <c r="L637" t="str" cm="1">
        <f t="array" ref="L637">INDEX(QHPSelections2016[],MATCH(1,(QHPSelections2016[State Name]=HIX_RatingAreas[[#This Row],[State Code]])*(QHPSelections2016[County Name]=HIX_RatingAreas[[#This Row],[Subdivision]]),0),MATCH("County Name",QHPSelections2016[#Headers],0))</f>
        <v>Wayne County</v>
      </c>
      <c r="M637" t="b">
        <f>L637=HIX_RatingAreas[[#This Row],[Subdivision]]</f>
        <v>1</v>
      </c>
      <c r="N637">
        <v>634</v>
      </c>
    </row>
    <row r="638" spans="3:14">
      <c r="C638" t="s">
        <v>55</v>
      </c>
      <c r="D638" t="s">
        <v>1574</v>
      </c>
      <c r="E638" t="s">
        <v>72</v>
      </c>
      <c r="F638" s="36">
        <v>1</v>
      </c>
      <c r="G638" t="s">
        <v>986</v>
      </c>
      <c r="I638" cm="1">
        <f t="array" ref="I638">_xlfn.IFNA(INDEX(QHPSelections2016[],MATCH(1,(QHPSelections2016[State Name]=HIX_RatingAreas[[#This Row],[State Code]])*(QHPSelections2016[County Name]=HIX_RatingAreas[[#This Row],[Subdivision]]),0),MATCH("Silver",QHPSelections2016[#Headers],0)),0)</f>
        <v>323</v>
      </c>
      <c r="J638" cm="1">
        <f t="array" ref="J638">_xlfn.IFNA(INDEX(QHPSelections2016[],MATCH(1,(QHPSelections2016[State Name]=HIX_RatingAreas[[#This Row],[State Code]])*(QHPSelections2016[County Name]=HIX_RatingAreas[[#This Row],[Subdivision]]),0),MATCH("Total Plan Selections",QHPSelections2016[#Headers],0)),0)</f>
        <v>507</v>
      </c>
      <c r="L638" t="str" cm="1">
        <f t="array" ref="L638">INDEX(QHPSelections2016[],MATCH(1,(QHPSelections2016[State Name]=HIX_RatingAreas[[#This Row],[State Code]])*(QHPSelections2016[County Name]=HIX_RatingAreas[[#This Row],[Subdivision]]),0),MATCH("County Name",QHPSelections2016[#Headers],0))</f>
        <v>Callahan County</v>
      </c>
      <c r="M638" t="b">
        <f>L638=HIX_RatingAreas[[#This Row],[Subdivision]]</f>
        <v>1</v>
      </c>
      <c r="N638">
        <v>635</v>
      </c>
    </row>
    <row r="639" spans="3:14">
      <c r="C639" t="s">
        <v>55</v>
      </c>
      <c r="D639" t="s">
        <v>1574</v>
      </c>
      <c r="E639" t="s">
        <v>72</v>
      </c>
      <c r="F639" s="36">
        <v>1</v>
      </c>
      <c r="G639" t="s">
        <v>1006</v>
      </c>
      <c r="I639" cm="1">
        <f t="array" ref="I639">_xlfn.IFNA(INDEX(QHPSelections2016[],MATCH(1,(QHPSelections2016[State Name]=HIX_RatingAreas[[#This Row],[State Code]])*(QHPSelections2016[County Name]=HIX_RatingAreas[[#This Row],[Subdivision]]),0),MATCH("Silver",QHPSelections2016[#Headers],0)),0)</f>
        <v>353</v>
      </c>
      <c r="J639" cm="1">
        <f t="array" ref="J639">_xlfn.IFNA(INDEX(QHPSelections2016[],MATCH(1,(QHPSelections2016[State Name]=HIX_RatingAreas[[#This Row],[State Code]])*(QHPSelections2016[County Name]=HIX_RatingAreas[[#This Row],[Subdivision]]),0),MATCH("Total Plan Selections",QHPSelections2016[#Headers],0)),0)</f>
        <v>548</v>
      </c>
      <c r="L639" t="str" cm="1">
        <f t="array" ref="L639">INDEX(QHPSelections2016[],MATCH(1,(QHPSelections2016[State Name]=HIX_RatingAreas[[#This Row],[State Code]])*(QHPSelections2016[County Name]=HIX_RatingAreas[[#This Row],[Subdivision]]),0),MATCH("County Name",QHPSelections2016[#Headers],0))</f>
        <v>Jones County</v>
      </c>
      <c r="M639" t="b">
        <f>L639=HIX_RatingAreas[[#This Row],[Subdivision]]</f>
        <v>1</v>
      </c>
      <c r="N639">
        <v>636</v>
      </c>
    </row>
    <row r="640" spans="3:14">
      <c r="C640" t="s">
        <v>55</v>
      </c>
      <c r="D640" t="s">
        <v>1574</v>
      </c>
      <c r="E640" t="s">
        <v>72</v>
      </c>
      <c r="F640" s="36">
        <v>1</v>
      </c>
      <c r="G640" t="s">
        <v>1144</v>
      </c>
      <c r="I640" cm="1">
        <f t="array" ref="I640">_xlfn.IFNA(INDEX(QHPSelections2016[],MATCH(1,(QHPSelections2016[State Name]=HIX_RatingAreas[[#This Row],[State Code]])*(QHPSelections2016[County Name]=HIX_RatingAreas[[#This Row],[Subdivision]]),0),MATCH("Silver",QHPSelections2016[#Headers],0)),0)</f>
        <v>2729</v>
      </c>
      <c r="J640" cm="1">
        <f t="array" ref="J640">_xlfn.IFNA(INDEX(QHPSelections2016[],MATCH(1,(QHPSelections2016[State Name]=HIX_RatingAreas[[#This Row],[State Code]])*(QHPSelections2016[County Name]=HIX_RatingAreas[[#This Row],[Subdivision]]),0),MATCH("Total Plan Selections",QHPSelections2016[#Headers],0)),0)</f>
        <v>4127</v>
      </c>
      <c r="L640" t="str" cm="1">
        <f t="array" ref="L640">INDEX(QHPSelections2016[],MATCH(1,(QHPSelections2016[State Name]=HIX_RatingAreas[[#This Row],[State Code]])*(QHPSelections2016[County Name]=HIX_RatingAreas[[#This Row],[Subdivision]]),0),MATCH("County Name",QHPSelections2016[#Headers],0))</f>
        <v>Taylor County</v>
      </c>
      <c r="M640" t="b">
        <f>L640=HIX_RatingAreas[[#This Row],[Subdivision]]</f>
        <v>1</v>
      </c>
      <c r="N640">
        <v>637</v>
      </c>
    </row>
    <row r="641" spans="3:14">
      <c r="C641" t="s">
        <v>55</v>
      </c>
      <c r="D641" t="s">
        <v>1574</v>
      </c>
      <c r="E641" t="s">
        <v>74</v>
      </c>
      <c r="F641" s="36">
        <v>2</v>
      </c>
      <c r="G641" t="s">
        <v>853</v>
      </c>
      <c r="I641" cm="1">
        <f t="array" ref="I641">_xlfn.IFNA(INDEX(QHPSelections2016[],MATCH(1,(QHPSelections2016[State Name]=HIX_RatingAreas[[#This Row],[State Code]])*(QHPSelections2016[County Name]=HIX_RatingAreas[[#This Row],[Subdivision]]),0),MATCH("Silver",QHPSelections2016[#Headers],0)),0)</f>
        <v>34</v>
      </c>
      <c r="J641" cm="1">
        <f t="array" ref="J641">_xlfn.IFNA(INDEX(QHPSelections2016[],MATCH(1,(QHPSelections2016[State Name]=HIX_RatingAreas[[#This Row],[State Code]])*(QHPSelections2016[County Name]=HIX_RatingAreas[[#This Row],[Subdivision]]),0),MATCH("Total Plan Selections",QHPSelections2016[#Headers],0)),0)</f>
        <v>49</v>
      </c>
      <c r="L641" t="str" cm="1">
        <f t="array" ref="L641">INDEX(QHPSelections2016[],MATCH(1,(QHPSelections2016[State Name]=HIX_RatingAreas[[#This Row],[State Code]])*(QHPSelections2016[County Name]=HIX_RatingAreas[[#This Row],[Subdivision]]),0),MATCH("County Name",QHPSelections2016[#Headers],0))</f>
        <v>Armstrong County</v>
      </c>
      <c r="M641" t="b">
        <f>L641=HIX_RatingAreas[[#This Row],[Subdivision]]</f>
        <v>1</v>
      </c>
      <c r="N641">
        <v>638</v>
      </c>
    </row>
    <row r="642" spans="3:14">
      <c r="C642" t="s">
        <v>55</v>
      </c>
      <c r="D642" t="s">
        <v>1574</v>
      </c>
      <c r="E642" t="s">
        <v>74</v>
      </c>
      <c r="F642" s="36">
        <v>2</v>
      </c>
      <c r="G642" t="s">
        <v>1003</v>
      </c>
      <c r="I642" cm="1">
        <f t="array" ref="I642">_xlfn.IFNA(INDEX(QHPSelections2016[],MATCH(1,(QHPSelections2016[State Name]=HIX_RatingAreas[[#This Row],[State Code]])*(QHPSelections2016[County Name]=HIX_RatingAreas[[#This Row],[Subdivision]]),0),MATCH("Silver",QHPSelections2016[#Headers],0)),0)</f>
        <v>110</v>
      </c>
      <c r="J642" cm="1">
        <f t="array" ref="J642">_xlfn.IFNA(INDEX(QHPSelections2016[],MATCH(1,(QHPSelections2016[State Name]=HIX_RatingAreas[[#This Row],[State Code]])*(QHPSelections2016[County Name]=HIX_RatingAreas[[#This Row],[Subdivision]]),0),MATCH("Total Plan Selections",QHPSelections2016[#Headers],0)),0)</f>
        <v>177</v>
      </c>
      <c r="L642" t="str" cm="1">
        <f t="array" ref="L642">INDEX(QHPSelections2016[],MATCH(1,(QHPSelections2016[State Name]=HIX_RatingAreas[[#This Row],[State Code]])*(QHPSelections2016[County Name]=HIX_RatingAreas[[#This Row],[Subdivision]]),0),MATCH("County Name",QHPSelections2016[#Headers],0))</f>
        <v>Carson County</v>
      </c>
      <c r="M642" t="b">
        <f>L642=HIX_RatingAreas[[#This Row],[Subdivision]]</f>
        <v>1</v>
      </c>
      <c r="N642">
        <v>639</v>
      </c>
    </row>
    <row r="643" spans="3:14">
      <c r="C643" t="s">
        <v>55</v>
      </c>
      <c r="D643" t="s">
        <v>1574</v>
      </c>
      <c r="E643" t="s">
        <v>74</v>
      </c>
      <c r="F643" s="36">
        <v>2</v>
      </c>
      <c r="G643" t="s">
        <v>1365</v>
      </c>
      <c r="I643" cm="1">
        <f t="array" ref="I643">_xlfn.IFNA(INDEX(QHPSelections2016[],MATCH(1,(QHPSelections2016[State Name]=HIX_RatingAreas[[#This Row],[State Code]])*(QHPSelections2016[County Name]=HIX_RatingAreas[[#This Row],[Subdivision]]),0),MATCH("Silver",QHPSelections2016[#Headers],0)),0)</f>
        <v>2238</v>
      </c>
      <c r="J643" cm="1">
        <f t="array" ref="J643">_xlfn.IFNA(INDEX(QHPSelections2016[],MATCH(1,(QHPSelections2016[State Name]=HIX_RatingAreas[[#This Row],[State Code]])*(QHPSelections2016[County Name]=HIX_RatingAreas[[#This Row],[Subdivision]]),0),MATCH("Total Plan Selections",QHPSelections2016[#Headers],0)),0)</f>
        <v>3223</v>
      </c>
      <c r="L643" t="str" cm="1">
        <f t="array" ref="L643">INDEX(QHPSelections2016[],MATCH(1,(QHPSelections2016[State Name]=HIX_RatingAreas[[#This Row],[State Code]])*(QHPSelections2016[County Name]=HIX_RatingAreas[[#This Row],[Subdivision]]),0),MATCH("County Name",QHPSelections2016[#Headers],0))</f>
        <v>Potter County</v>
      </c>
      <c r="M643" t="b">
        <f>L643=HIX_RatingAreas[[#This Row],[Subdivision]]</f>
        <v>1</v>
      </c>
      <c r="N643">
        <v>640</v>
      </c>
    </row>
    <row r="644" spans="3:14">
      <c r="C644" t="s">
        <v>55</v>
      </c>
      <c r="D644" t="s">
        <v>1574</v>
      </c>
      <c r="E644" t="s">
        <v>74</v>
      </c>
      <c r="F644" s="36">
        <v>2</v>
      </c>
      <c r="G644" t="s">
        <v>1368</v>
      </c>
      <c r="I644" cm="1">
        <f t="array" ref="I644">_xlfn.IFNA(INDEX(QHPSelections2016[],MATCH(1,(QHPSelections2016[State Name]=HIX_RatingAreas[[#This Row],[State Code]])*(QHPSelections2016[County Name]=HIX_RatingAreas[[#This Row],[Subdivision]]),0),MATCH("Silver",QHPSelections2016[#Headers],0)),0)</f>
        <v>2565</v>
      </c>
      <c r="J644" cm="1">
        <f t="array" ref="J644">_xlfn.IFNA(INDEX(QHPSelections2016[],MATCH(1,(QHPSelections2016[State Name]=HIX_RatingAreas[[#This Row],[State Code]])*(QHPSelections2016[County Name]=HIX_RatingAreas[[#This Row],[Subdivision]]),0),MATCH("Total Plan Selections",QHPSelections2016[#Headers],0)),0)</f>
        <v>3996</v>
      </c>
      <c r="L644" t="str" cm="1">
        <f t="array" ref="L644">INDEX(QHPSelections2016[],MATCH(1,(QHPSelections2016[State Name]=HIX_RatingAreas[[#This Row],[State Code]])*(QHPSelections2016[County Name]=HIX_RatingAreas[[#This Row],[Subdivision]]),0),MATCH("County Name",QHPSelections2016[#Headers],0))</f>
        <v>Randall County</v>
      </c>
      <c r="M644" t="b">
        <f>L644=HIX_RatingAreas[[#This Row],[Subdivision]]</f>
        <v>1</v>
      </c>
      <c r="N644">
        <v>641</v>
      </c>
    </row>
    <row r="645" spans="3:14">
      <c r="C645" t="s">
        <v>55</v>
      </c>
      <c r="D645" t="s">
        <v>1574</v>
      </c>
      <c r="E645" t="s">
        <v>76</v>
      </c>
      <c r="F645" s="36">
        <v>3</v>
      </c>
      <c r="G645" t="s">
        <v>884</v>
      </c>
      <c r="I645" cm="1">
        <f t="array" ref="I645">_xlfn.IFNA(INDEX(QHPSelections2016[],MATCH(1,(QHPSelections2016[State Name]=HIX_RatingAreas[[#This Row],[State Code]])*(QHPSelections2016[County Name]=HIX_RatingAreas[[#This Row],[Subdivision]]),0),MATCH("Silver",QHPSelections2016[#Headers],0)),0)</f>
        <v>2391</v>
      </c>
      <c r="J645" cm="1">
        <f t="array" ref="J645">_xlfn.IFNA(INDEX(QHPSelections2016[],MATCH(1,(QHPSelections2016[State Name]=HIX_RatingAreas[[#This Row],[State Code]])*(QHPSelections2016[County Name]=HIX_RatingAreas[[#This Row],[Subdivision]]),0),MATCH("Total Plan Selections",QHPSelections2016[#Headers],0)),0)</f>
        <v>3623</v>
      </c>
      <c r="L645" t="str" cm="1">
        <f t="array" ref="L645">INDEX(QHPSelections2016[],MATCH(1,(QHPSelections2016[State Name]=HIX_RatingAreas[[#This Row],[State Code]])*(QHPSelections2016[County Name]=HIX_RatingAreas[[#This Row],[Subdivision]]),0),MATCH("County Name",QHPSelections2016[#Headers],0))</f>
        <v>Bastrop County</v>
      </c>
      <c r="M645" t="b">
        <f>L645=HIX_RatingAreas[[#This Row],[Subdivision]]</f>
        <v>1</v>
      </c>
      <c r="N645">
        <v>642</v>
      </c>
    </row>
    <row r="646" spans="3:14">
      <c r="C646" t="s">
        <v>55</v>
      </c>
      <c r="D646" t="s">
        <v>1574</v>
      </c>
      <c r="E646" t="s">
        <v>76</v>
      </c>
      <c r="F646" s="36">
        <v>3</v>
      </c>
      <c r="G646" t="s">
        <v>898</v>
      </c>
      <c r="I646" cm="1">
        <f t="array" ref="I646">_xlfn.IFNA(INDEX(QHPSelections2016[],MATCH(1,(QHPSelections2016[State Name]=HIX_RatingAreas[[#This Row],[State Code]])*(QHPSelections2016[County Name]=HIX_RatingAreas[[#This Row],[Subdivision]]),0),MATCH("Silver",QHPSelections2016[#Headers],0)),0)</f>
        <v>1044</v>
      </c>
      <c r="J646" cm="1">
        <f t="array" ref="J646">_xlfn.IFNA(INDEX(QHPSelections2016[],MATCH(1,(QHPSelections2016[State Name]=HIX_RatingAreas[[#This Row],[State Code]])*(QHPSelections2016[County Name]=HIX_RatingAreas[[#This Row],[Subdivision]]),0),MATCH("Total Plan Selections",QHPSelections2016[#Headers],0)),0)</f>
        <v>1525</v>
      </c>
      <c r="L646" t="str" cm="1">
        <f t="array" ref="L646">INDEX(QHPSelections2016[],MATCH(1,(QHPSelections2016[State Name]=HIX_RatingAreas[[#This Row],[State Code]])*(QHPSelections2016[County Name]=HIX_RatingAreas[[#This Row],[Subdivision]]),0),MATCH("County Name",QHPSelections2016[#Headers],0))</f>
        <v>Caldwell County</v>
      </c>
      <c r="M646" t="b">
        <f>L646=HIX_RatingAreas[[#This Row],[Subdivision]]</f>
        <v>1</v>
      </c>
      <c r="N646">
        <v>643</v>
      </c>
    </row>
    <row r="647" spans="3:14">
      <c r="C647" t="s">
        <v>55</v>
      </c>
      <c r="D647" t="s">
        <v>1574</v>
      </c>
      <c r="E647" t="s">
        <v>76</v>
      </c>
      <c r="F647" s="36">
        <v>3</v>
      </c>
      <c r="G647" t="s">
        <v>1275</v>
      </c>
      <c r="I647" cm="1">
        <f t="array" ref="I647">_xlfn.IFNA(INDEX(QHPSelections2016[],MATCH(1,(QHPSelections2016[State Name]=HIX_RatingAreas[[#This Row],[State Code]])*(QHPSelections2016[County Name]=HIX_RatingAreas[[#This Row],[Subdivision]]),0),MATCH("Silver",QHPSelections2016[#Headers],0)),0)</f>
        <v>6468</v>
      </c>
      <c r="J647" cm="1">
        <f t="array" ref="J647">_xlfn.IFNA(INDEX(QHPSelections2016[],MATCH(1,(QHPSelections2016[State Name]=HIX_RatingAreas[[#This Row],[State Code]])*(QHPSelections2016[County Name]=HIX_RatingAreas[[#This Row],[Subdivision]]),0),MATCH("Total Plan Selections",QHPSelections2016[#Headers],0)),0)</f>
        <v>10037</v>
      </c>
      <c r="L647" t="str" cm="1">
        <f t="array" ref="L647">INDEX(QHPSelections2016[],MATCH(1,(QHPSelections2016[State Name]=HIX_RatingAreas[[#This Row],[State Code]])*(QHPSelections2016[County Name]=HIX_RatingAreas[[#This Row],[Subdivision]]),0),MATCH("County Name",QHPSelections2016[#Headers],0))</f>
        <v>Hays County</v>
      </c>
      <c r="M647" t="b">
        <f>L647=HIX_RatingAreas[[#This Row],[Subdivision]]</f>
        <v>1</v>
      </c>
      <c r="N647">
        <v>644</v>
      </c>
    </row>
    <row r="648" spans="3:14">
      <c r="C648" t="s">
        <v>55</v>
      </c>
      <c r="D648" t="s">
        <v>1574</v>
      </c>
      <c r="E648" t="s">
        <v>76</v>
      </c>
      <c r="F648" s="36">
        <v>3</v>
      </c>
      <c r="G648" t="s">
        <v>1398</v>
      </c>
      <c r="I648" cm="1">
        <f t="array" ref="I648">_xlfn.IFNA(INDEX(QHPSelections2016[],MATCH(1,(QHPSelections2016[State Name]=HIX_RatingAreas[[#This Row],[State Code]])*(QHPSelections2016[County Name]=HIX_RatingAreas[[#This Row],[Subdivision]]),0),MATCH("Silver",QHPSelections2016[#Headers],0)),0)</f>
        <v>46599</v>
      </c>
      <c r="J648" cm="1">
        <f t="array" ref="J648">_xlfn.IFNA(INDEX(QHPSelections2016[],MATCH(1,(QHPSelections2016[State Name]=HIX_RatingAreas[[#This Row],[State Code]])*(QHPSelections2016[County Name]=HIX_RatingAreas[[#This Row],[Subdivision]]),0),MATCH("Total Plan Selections",QHPSelections2016[#Headers],0)),0)</f>
        <v>73093</v>
      </c>
      <c r="L648" t="str" cm="1">
        <f t="array" ref="L648">INDEX(QHPSelections2016[],MATCH(1,(QHPSelections2016[State Name]=HIX_RatingAreas[[#This Row],[State Code]])*(QHPSelections2016[County Name]=HIX_RatingAreas[[#This Row],[Subdivision]]),0),MATCH("County Name",QHPSelections2016[#Headers],0))</f>
        <v>Travis County</v>
      </c>
      <c r="M648" t="b">
        <f>L648=HIX_RatingAreas[[#This Row],[Subdivision]]</f>
        <v>1</v>
      </c>
      <c r="N648">
        <v>645</v>
      </c>
    </row>
    <row r="649" spans="3:14">
      <c r="C649" t="s">
        <v>55</v>
      </c>
      <c r="D649" t="s">
        <v>1574</v>
      </c>
      <c r="E649" t="s">
        <v>76</v>
      </c>
      <c r="F649" s="36">
        <v>3</v>
      </c>
      <c r="G649" t="s">
        <v>1261</v>
      </c>
      <c r="I649" cm="1">
        <f t="array" ref="I649">_xlfn.IFNA(INDEX(QHPSelections2016[],MATCH(1,(QHPSelections2016[State Name]=HIX_RatingAreas[[#This Row],[State Code]])*(QHPSelections2016[County Name]=HIX_RatingAreas[[#This Row],[Subdivision]]),0),MATCH("Silver",QHPSelections2016[#Headers],0)),0)</f>
        <v>16299</v>
      </c>
      <c r="J649" cm="1">
        <f t="array" ref="J649">_xlfn.IFNA(INDEX(QHPSelections2016[],MATCH(1,(QHPSelections2016[State Name]=HIX_RatingAreas[[#This Row],[State Code]])*(QHPSelections2016[County Name]=HIX_RatingAreas[[#This Row],[Subdivision]]),0),MATCH("Total Plan Selections",QHPSelections2016[#Headers],0)),0)</f>
        <v>25457</v>
      </c>
      <c r="L649" t="str" cm="1">
        <f t="array" ref="L649">INDEX(QHPSelections2016[],MATCH(1,(QHPSelections2016[State Name]=HIX_RatingAreas[[#This Row],[State Code]])*(QHPSelections2016[County Name]=HIX_RatingAreas[[#This Row],[Subdivision]]),0),MATCH("County Name",QHPSelections2016[#Headers],0))</f>
        <v>Williamson County</v>
      </c>
      <c r="M649" t="b">
        <f>L649=HIX_RatingAreas[[#This Row],[Subdivision]]</f>
        <v>1</v>
      </c>
      <c r="N649">
        <v>646</v>
      </c>
    </row>
    <row r="650" spans="3:14">
      <c r="C650" t="s">
        <v>55</v>
      </c>
      <c r="D650" t="s">
        <v>1574</v>
      </c>
      <c r="E650" t="s">
        <v>84</v>
      </c>
      <c r="F650" s="36">
        <v>4</v>
      </c>
      <c r="G650" t="s">
        <v>1017</v>
      </c>
      <c r="I650" cm="1">
        <f t="array" ref="I650">_xlfn.IFNA(INDEX(QHPSelections2016[],MATCH(1,(QHPSelections2016[State Name]=HIX_RatingAreas[[#This Row],[State Code]])*(QHPSelections2016[County Name]=HIX_RatingAreas[[#This Row],[Subdivision]]),0),MATCH("Silver",QHPSelections2016[#Headers],0)),0)</f>
        <v>1059</v>
      </c>
      <c r="J650" cm="1">
        <f t="array" ref="J650">_xlfn.IFNA(INDEX(QHPSelections2016[],MATCH(1,(QHPSelections2016[State Name]=HIX_RatingAreas[[#This Row],[State Code]])*(QHPSelections2016[County Name]=HIX_RatingAreas[[#This Row],[Subdivision]]),0),MATCH("Total Plan Selections",QHPSelections2016[#Headers],0)),0)</f>
        <v>1800</v>
      </c>
      <c r="L650" t="str" cm="1">
        <f t="array" ref="L650">INDEX(QHPSelections2016[],MATCH(1,(QHPSelections2016[State Name]=HIX_RatingAreas[[#This Row],[State Code]])*(QHPSelections2016[County Name]=HIX_RatingAreas[[#This Row],[Subdivision]]),0),MATCH("County Name",QHPSelections2016[#Headers],0))</f>
        <v>Hardin County</v>
      </c>
      <c r="M650" t="b">
        <f>L650=HIX_RatingAreas[[#This Row],[Subdivision]]</f>
        <v>1</v>
      </c>
      <c r="N650">
        <v>647</v>
      </c>
    </row>
    <row r="651" spans="3:14">
      <c r="C651" t="s">
        <v>55</v>
      </c>
      <c r="D651" t="s">
        <v>1574</v>
      </c>
      <c r="E651" t="s">
        <v>84</v>
      </c>
      <c r="F651" s="36">
        <v>4</v>
      </c>
      <c r="G651" t="s">
        <v>993</v>
      </c>
      <c r="I651" cm="1">
        <f t="array" ref="I651">_xlfn.IFNA(INDEX(QHPSelections2016[],MATCH(1,(QHPSelections2016[State Name]=HIX_RatingAreas[[#This Row],[State Code]])*(QHPSelections2016[County Name]=HIX_RatingAreas[[#This Row],[Subdivision]]),0),MATCH("Silver",QHPSelections2016[#Headers],0)),0)</f>
        <v>5707</v>
      </c>
      <c r="J651" cm="1">
        <f t="array" ref="J651">_xlfn.IFNA(INDEX(QHPSelections2016[],MATCH(1,(QHPSelections2016[State Name]=HIX_RatingAreas[[#This Row],[State Code]])*(QHPSelections2016[County Name]=HIX_RatingAreas[[#This Row],[Subdivision]]),0),MATCH("Total Plan Selections",QHPSelections2016[#Headers],0)),0)</f>
        <v>8390</v>
      </c>
      <c r="L651" t="str" cm="1">
        <f t="array" ref="L651">INDEX(QHPSelections2016[],MATCH(1,(QHPSelections2016[State Name]=HIX_RatingAreas[[#This Row],[State Code]])*(QHPSelections2016[County Name]=HIX_RatingAreas[[#This Row],[Subdivision]]),0),MATCH("County Name",QHPSelections2016[#Headers],0))</f>
        <v>Jefferson County</v>
      </c>
      <c r="M651" t="b">
        <f>L651=HIX_RatingAreas[[#This Row],[Subdivision]]</f>
        <v>1</v>
      </c>
      <c r="N651">
        <v>648</v>
      </c>
    </row>
    <row r="652" spans="3:14">
      <c r="C652" t="s">
        <v>55</v>
      </c>
      <c r="D652" t="s">
        <v>1574</v>
      </c>
      <c r="E652" t="s">
        <v>84</v>
      </c>
      <c r="F652" s="36">
        <v>4</v>
      </c>
      <c r="G652" t="s">
        <v>1072</v>
      </c>
      <c r="I652" cm="1">
        <f t="array" ref="I652">_xlfn.IFNA(INDEX(QHPSelections2016[],MATCH(1,(QHPSelections2016[State Name]=HIX_RatingAreas[[#This Row],[State Code]])*(QHPSelections2016[County Name]=HIX_RatingAreas[[#This Row],[Subdivision]]),0),MATCH("Silver",QHPSelections2016[#Headers],0)),0)</f>
        <v>1601</v>
      </c>
      <c r="J652" cm="1">
        <f t="array" ref="J652">_xlfn.IFNA(INDEX(QHPSelections2016[],MATCH(1,(QHPSelections2016[State Name]=HIX_RatingAreas[[#This Row],[State Code]])*(QHPSelections2016[County Name]=HIX_RatingAreas[[#This Row],[Subdivision]]),0),MATCH("Total Plan Selections",QHPSelections2016[#Headers],0)),0)</f>
        <v>2367</v>
      </c>
      <c r="L652" t="str" cm="1">
        <f t="array" ref="L652">INDEX(QHPSelections2016[],MATCH(1,(QHPSelections2016[State Name]=HIX_RatingAreas[[#This Row],[State Code]])*(QHPSelections2016[County Name]=HIX_RatingAreas[[#This Row],[Subdivision]]),0),MATCH("County Name",QHPSelections2016[#Headers],0))</f>
        <v>Orange County</v>
      </c>
      <c r="M652" t="b">
        <f>L652=HIX_RatingAreas[[#This Row],[Subdivision]]</f>
        <v>1</v>
      </c>
      <c r="N652">
        <v>649</v>
      </c>
    </row>
    <row r="653" spans="3:14">
      <c r="C653" t="s">
        <v>55</v>
      </c>
      <c r="D653" t="s">
        <v>1574</v>
      </c>
      <c r="E653" t="s">
        <v>86</v>
      </c>
      <c r="F653" s="36">
        <v>5</v>
      </c>
      <c r="G653" t="s">
        <v>992</v>
      </c>
      <c r="I653" cm="1">
        <f t="array" ref="I653">_xlfn.IFNA(INDEX(QHPSelections2016[],MATCH(1,(QHPSelections2016[State Name]=HIX_RatingAreas[[#This Row],[State Code]])*(QHPSelections2016[County Name]=HIX_RatingAreas[[#This Row],[Subdivision]]),0),MATCH("Silver",QHPSelections2016[#Headers],0)),0)</f>
        <v>14371</v>
      </c>
      <c r="J653" cm="1">
        <f t="array" ref="J653">_xlfn.IFNA(INDEX(QHPSelections2016[],MATCH(1,(QHPSelections2016[State Name]=HIX_RatingAreas[[#This Row],[State Code]])*(QHPSelections2016[County Name]=HIX_RatingAreas[[#This Row],[Subdivision]]),0),MATCH("Total Plan Selections",QHPSelections2016[#Headers],0)),0)</f>
        <v>20406</v>
      </c>
      <c r="L653" t="str" cm="1">
        <f t="array" ref="L653">INDEX(QHPSelections2016[],MATCH(1,(QHPSelections2016[State Name]=HIX_RatingAreas[[#This Row],[State Code]])*(QHPSelections2016[County Name]=HIX_RatingAreas[[#This Row],[Subdivision]]),0),MATCH("County Name",QHPSelections2016[#Headers],0))</f>
        <v>Cameron County</v>
      </c>
      <c r="M653" t="b">
        <f>L653=HIX_RatingAreas[[#This Row],[Subdivision]]</f>
        <v>1</v>
      </c>
      <c r="N653">
        <v>650</v>
      </c>
    </row>
    <row r="654" spans="3:14">
      <c r="C654" t="s">
        <v>55</v>
      </c>
      <c r="D654" t="s">
        <v>1574</v>
      </c>
      <c r="E654" t="s">
        <v>89</v>
      </c>
      <c r="F654" s="36">
        <v>6</v>
      </c>
      <c r="G654" t="s">
        <v>940</v>
      </c>
      <c r="I654" cm="1">
        <f t="array" ref="I654">_xlfn.IFNA(INDEX(QHPSelections2016[],MATCH(1,(QHPSelections2016[State Name]=HIX_RatingAreas[[#This Row],[State Code]])*(QHPSelections2016[County Name]=HIX_RatingAreas[[#This Row],[Subdivision]]),0),MATCH("Silver",QHPSelections2016[#Headers],0)),0)</f>
        <v>4038</v>
      </c>
      <c r="J654" cm="1">
        <f t="array" ref="J654">_xlfn.IFNA(INDEX(QHPSelections2016[],MATCH(1,(QHPSelections2016[State Name]=HIX_RatingAreas[[#This Row],[State Code]])*(QHPSelections2016[County Name]=HIX_RatingAreas[[#This Row],[Subdivision]]),0),MATCH("Total Plan Selections",QHPSelections2016[#Headers],0)),0)</f>
        <v>5790</v>
      </c>
      <c r="L654" t="str" cm="1">
        <f t="array" ref="L654">INDEX(QHPSelections2016[],MATCH(1,(QHPSelections2016[State Name]=HIX_RatingAreas[[#This Row],[State Code]])*(QHPSelections2016[County Name]=HIX_RatingAreas[[#This Row],[Subdivision]]),0),MATCH("County Name",QHPSelections2016[#Headers],0))</f>
        <v>Brazos County</v>
      </c>
      <c r="M654" t="b">
        <f>L654=HIX_RatingAreas[[#This Row],[Subdivision]]</f>
        <v>1</v>
      </c>
      <c r="N654">
        <v>651</v>
      </c>
    </row>
    <row r="655" spans="3:14">
      <c r="C655" t="s">
        <v>55</v>
      </c>
      <c r="D655" t="s">
        <v>1574</v>
      </c>
      <c r="E655" t="s">
        <v>89</v>
      </c>
      <c r="F655" s="36">
        <v>6</v>
      </c>
      <c r="G655" t="s">
        <v>968</v>
      </c>
      <c r="I655" cm="1">
        <f t="array" ref="I655">_xlfn.IFNA(INDEX(QHPSelections2016[],MATCH(1,(QHPSelections2016[State Name]=HIX_RatingAreas[[#This Row],[State Code]])*(QHPSelections2016[County Name]=HIX_RatingAreas[[#This Row],[Subdivision]]),0),MATCH("Silver",QHPSelections2016[#Headers],0)),0)</f>
        <v>484</v>
      </c>
      <c r="J655" cm="1">
        <f t="array" ref="J655">_xlfn.IFNA(INDEX(QHPSelections2016[],MATCH(1,(QHPSelections2016[State Name]=HIX_RatingAreas[[#This Row],[State Code]])*(QHPSelections2016[County Name]=HIX_RatingAreas[[#This Row],[Subdivision]]),0),MATCH("Total Plan Selections",QHPSelections2016[#Headers],0)),0)</f>
        <v>694</v>
      </c>
      <c r="L655" t="str" cm="1">
        <f t="array" ref="L655">INDEX(QHPSelections2016[],MATCH(1,(QHPSelections2016[State Name]=HIX_RatingAreas[[#This Row],[State Code]])*(QHPSelections2016[County Name]=HIX_RatingAreas[[#This Row],[Subdivision]]),0),MATCH("County Name",QHPSelections2016[#Headers],0))</f>
        <v>Burleson County</v>
      </c>
      <c r="M655" t="b">
        <f>L655=HIX_RatingAreas[[#This Row],[Subdivision]]</f>
        <v>1</v>
      </c>
      <c r="N655">
        <v>652</v>
      </c>
    </row>
    <row r="656" spans="3:14">
      <c r="C656" t="s">
        <v>55</v>
      </c>
      <c r="D656" t="s">
        <v>1574</v>
      </c>
      <c r="E656" t="s">
        <v>89</v>
      </c>
      <c r="F656" s="36">
        <v>6</v>
      </c>
      <c r="G656" t="s">
        <v>1204</v>
      </c>
      <c r="I656" cm="1">
        <f t="array" ref="I656">_xlfn.IFNA(INDEX(QHPSelections2016[],MATCH(1,(QHPSelections2016[State Name]=HIX_RatingAreas[[#This Row],[State Code]])*(QHPSelections2016[County Name]=HIX_RatingAreas[[#This Row],[Subdivision]]),0),MATCH("Silver",QHPSelections2016[#Headers],0)),0)</f>
        <v>444</v>
      </c>
      <c r="J656" cm="1">
        <f t="array" ref="J656">_xlfn.IFNA(INDEX(QHPSelections2016[],MATCH(1,(QHPSelections2016[State Name]=HIX_RatingAreas[[#This Row],[State Code]])*(QHPSelections2016[County Name]=HIX_RatingAreas[[#This Row],[Subdivision]]),0),MATCH("Total Plan Selections",QHPSelections2016[#Headers],0)),0)</f>
        <v>627</v>
      </c>
      <c r="L656" t="str" cm="1">
        <f t="array" ref="L656">INDEX(QHPSelections2016[],MATCH(1,(QHPSelections2016[State Name]=HIX_RatingAreas[[#This Row],[State Code]])*(QHPSelections2016[County Name]=HIX_RatingAreas[[#This Row],[Subdivision]]),0),MATCH("County Name",QHPSelections2016[#Headers],0))</f>
        <v>Robertson County</v>
      </c>
      <c r="M656" t="b">
        <f>L656=HIX_RatingAreas[[#This Row],[Subdivision]]</f>
        <v>1</v>
      </c>
      <c r="N656">
        <v>653</v>
      </c>
    </row>
    <row r="657" spans="3:14">
      <c r="C657" t="s">
        <v>55</v>
      </c>
      <c r="D657" t="s">
        <v>1574</v>
      </c>
      <c r="E657" t="s">
        <v>93</v>
      </c>
      <c r="F657" s="36">
        <v>7</v>
      </c>
      <c r="G657" t="s">
        <v>842</v>
      </c>
      <c r="I657" cm="1">
        <f t="array" ref="I657">_xlfn.IFNA(INDEX(QHPSelections2016[],MATCH(1,(QHPSelections2016[State Name]=HIX_RatingAreas[[#This Row],[State Code]])*(QHPSelections2016[County Name]=HIX_RatingAreas[[#This Row],[Subdivision]]),0),MATCH("Silver",QHPSelections2016[#Headers],0)),0)</f>
        <v>904</v>
      </c>
      <c r="J657" cm="1">
        <f t="array" ref="J657">_xlfn.IFNA(INDEX(QHPSelections2016[],MATCH(1,(QHPSelections2016[State Name]=HIX_RatingAreas[[#This Row],[State Code]])*(QHPSelections2016[County Name]=HIX_RatingAreas[[#This Row],[Subdivision]]),0),MATCH("Total Plan Selections",QHPSelections2016[#Headers],0)),0)</f>
        <v>1345</v>
      </c>
      <c r="L657" t="str" cm="1">
        <f t="array" ref="L657">INDEX(QHPSelections2016[],MATCH(1,(QHPSelections2016[State Name]=HIX_RatingAreas[[#This Row],[State Code]])*(QHPSelections2016[County Name]=HIX_RatingAreas[[#This Row],[Subdivision]]),0),MATCH("County Name",QHPSelections2016[#Headers],0))</f>
        <v>Aransas County</v>
      </c>
      <c r="M657" t="b">
        <f>L657=HIX_RatingAreas[[#This Row],[Subdivision]]</f>
        <v>1</v>
      </c>
      <c r="N657">
        <v>654</v>
      </c>
    </row>
    <row r="658" spans="3:14">
      <c r="C658" t="s">
        <v>55</v>
      </c>
      <c r="D658" t="s">
        <v>1574</v>
      </c>
      <c r="E658" t="s">
        <v>93</v>
      </c>
      <c r="F658" s="36">
        <v>7</v>
      </c>
      <c r="G658" t="s">
        <v>1358</v>
      </c>
      <c r="I658" cm="1">
        <f t="array" ref="I658">_xlfn.IFNA(INDEX(QHPSelections2016[],MATCH(1,(QHPSelections2016[State Name]=HIX_RatingAreas[[#This Row],[State Code]])*(QHPSelections2016[County Name]=HIX_RatingAreas[[#This Row],[Subdivision]]),0),MATCH("Silver",QHPSelections2016[#Headers],0)),0)</f>
        <v>8275</v>
      </c>
      <c r="J658" cm="1">
        <f t="array" ref="J658">_xlfn.IFNA(INDEX(QHPSelections2016[],MATCH(1,(QHPSelections2016[State Name]=HIX_RatingAreas[[#This Row],[State Code]])*(QHPSelections2016[County Name]=HIX_RatingAreas[[#This Row],[Subdivision]]),0),MATCH("Total Plan Selections",QHPSelections2016[#Headers],0)),0)</f>
        <v>12798</v>
      </c>
      <c r="L658" t="str" cm="1">
        <f t="array" ref="L658">INDEX(QHPSelections2016[],MATCH(1,(QHPSelections2016[State Name]=HIX_RatingAreas[[#This Row],[State Code]])*(QHPSelections2016[County Name]=HIX_RatingAreas[[#This Row],[Subdivision]]),0),MATCH("County Name",QHPSelections2016[#Headers],0))</f>
        <v>Nueces County</v>
      </c>
      <c r="M658" t="b">
        <f>L658=HIX_RatingAreas[[#This Row],[Subdivision]]</f>
        <v>1</v>
      </c>
      <c r="N658">
        <v>655</v>
      </c>
    </row>
    <row r="659" spans="3:14">
      <c r="C659" t="s">
        <v>55</v>
      </c>
      <c r="D659" t="s">
        <v>1574</v>
      </c>
      <c r="E659" t="s">
        <v>93</v>
      </c>
      <c r="F659" s="36">
        <v>7</v>
      </c>
      <c r="G659" t="s">
        <v>1381</v>
      </c>
      <c r="I659" cm="1">
        <f t="array" ref="I659">_xlfn.IFNA(INDEX(QHPSelections2016[],MATCH(1,(QHPSelections2016[State Name]=HIX_RatingAreas[[#This Row],[State Code]])*(QHPSelections2016[County Name]=HIX_RatingAreas[[#This Row],[Subdivision]]),0),MATCH("Silver",QHPSelections2016[#Headers],0)),0)</f>
        <v>1557</v>
      </c>
      <c r="J659" cm="1">
        <f t="array" ref="J659">_xlfn.IFNA(INDEX(QHPSelections2016[],MATCH(1,(QHPSelections2016[State Name]=HIX_RatingAreas[[#This Row],[State Code]])*(QHPSelections2016[County Name]=HIX_RatingAreas[[#This Row],[Subdivision]]),0),MATCH("Total Plan Selections",QHPSelections2016[#Headers],0)),0)</f>
        <v>2520</v>
      </c>
      <c r="L659" t="str" cm="1">
        <f t="array" ref="L659">INDEX(QHPSelections2016[],MATCH(1,(QHPSelections2016[State Name]=HIX_RatingAreas[[#This Row],[State Code]])*(QHPSelections2016[County Name]=HIX_RatingAreas[[#This Row],[Subdivision]]),0),MATCH("County Name",QHPSelections2016[#Headers],0))</f>
        <v>San Patricio County</v>
      </c>
      <c r="M659" t="b">
        <f>L659=HIX_RatingAreas[[#This Row],[Subdivision]]</f>
        <v>1</v>
      </c>
      <c r="N659">
        <v>656</v>
      </c>
    </row>
    <row r="660" spans="3:14">
      <c r="C660" t="s">
        <v>55</v>
      </c>
      <c r="D660" t="s">
        <v>1574</v>
      </c>
      <c r="E660" t="s">
        <v>96</v>
      </c>
      <c r="F660" s="36">
        <v>8</v>
      </c>
      <c r="G660" t="s">
        <v>1053</v>
      </c>
      <c r="I660" cm="1">
        <f t="array" ref="I660">_xlfn.IFNA(INDEX(QHPSelections2016[],MATCH(1,(QHPSelections2016[State Name]=HIX_RatingAreas[[#This Row],[State Code]])*(QHPSelections2016[County Name]=HIX_RatingAreas[[#This Row],[Subdivision]]),0),MATCH("Silver",QHPSelections2016[#Headers],0)),0)</f>
        <v>30346</v>
      </c>
      <c r="J660" cm="1">
        <f t="array" ref="J660">_xlfn.IFNA(INDEX(QHPSelections2016[],MATCH(1,(QHPSelections2016[State Name]=HIX_RatingAreas[[#This Row],[State Code]])*(QHPSelections2016[County Name]=HIX_RatingAreas[[#This Row],[Subdivision]]),0),MATCH("Total Plan Selections",QHPSelections2016[#Headers],0)),0)</f>
        <v>49542</v>
      </c>
      <c r="L660" t="str" cm="1">
        <f t="array" ref="L660">INDEX(QHPSelections2016[],MATCH(1,(QHPSelections2016[State Name]=HIX_RatingAreas[[#This Row],[State Code]])*(QHPSelections2016[County Name]=HIX_RatingAreas[[#This Row],[Subdivision]]),0),MATCH("County Name",QHPSelections2016[#Headers],0))</f>
        <v>Collin County</v>
      </c>
      <c r="M660" t="b">
        <f>L660=HIX_RatingAreas[[#This Row],[Subdivision]]</f>
        <v>1</v>
      </c>
      <c r="N660">
        <v>657</v>
      </c>
    </row>
    <row r="661" spans="3:14">
      <c r="C661" t="s">
        <v>55</v>
      </c>
      <c r="D661" t="s">
        <v>1574</v>
      </c>
      <c r="E661" t="s">
        <v>96</v>
      </c>
      <c r="F661" s="36">
        <v>8</v>
      </c>
      <c r="G661" t="s">
        <v>953</v>
      </c>
      <c r="I661" cm="1">
        <f t="array" ref="I661">_xlfn.IFNA(INDEX(QHPSelections2016[],MATCH(1,(QHPSelections2016[State Name]=HIX_RatingAreas[[#This Row],[State Code]])*(QHPSelections2016[County Name]=HIX_RatingAreas[[#This Row],[Subdivision]]),0),MATCH("Silver",QHPSelections2016[#Headers],0)),0)</f>
        <v>88201</v>
      </c>
      <c r="J661" cm="1">
        <f t="array" ref="J661">_xlfn.IFNA(INDEX(QHPSelections2016[],MATCH(1,(QHPSelections2016[State Name]=HIX_RatingAreas[[#This Row],[State Code]])*(QHPSelections2016[County Name]=HIX_RatingAreas[[#This Row],[Subdivision]]),0),MATCH("Total Plan Selections",QHPSelections2016[#Headers],0)),0)</f>
        <v>132637</v>
      </c>
      <c r="L661" t="str" cm="1">
        <f t="array" ref="L661">INDEX(QHPSelections2016[],MATCH(1,(QHPSelections2016[State Name]=HIX_RatingAreas[[#This Row],[State Code]])*(QHPSelections2016[County Name]=HIX_RatingAreas[[#This Row],[Subdivision]]),0),MATCH("County Name",QHPSelections2016[#Headers],0))</f>
        <v>Dallas County</v>
      </c>
      <c r="M661" t="b">
        <f>L661=HIX_RatingAreas[[#This Row],[Subdivision]]</f>
        <v>1</v>
      </c>
      <c r="N661">
        <v>658</v>
      </c>
    </row>
    <row r="662" spans="3:14">
      <c r="C662" t="s">
        <v>55</v>
      </c>
      <c r="D662" t="s">
        <v>1574</v>
      </c>
      <c r="E662" t="s">
        <v>96</v>
      </c>
      <c r="F662" s="36">
        <v>8</v>
      </c>
      <c r="G662" t="s">
        <v>1135</v>
      </c>
      <c r="I662" cm="1">
        <f t="array" ref="I662">_xlfn.IFNA(INDEX(QHPSelections2016[],MATCH(1,(QHPSelections2016[State Name]=HIX_RatingAreas[[#This Row],[State Code]])*(QHPSelections2016[County Name]=HIX_RatingAreas[[#This Row],[Subdivision]]),0),MATCH("Silver",QHPSelections2016[#Headers],0)),0)</f>
        <v>88</v>
      </c>
      <c r="J662" cm="1">
        <f t="array" ref="J662">_xlfn.IFNA(INDEX(QHPSelections2016[],MATCH(1,(QHPSelections2016[State Name]=HIX_RatingAreas[[#This Row],[State Code]])*(QHPSelections2016[County Name]=HIX_RatingAreas[[#This Row],[Subdivision]]),0),MATCH("Total Plan Selections",QHPSelections2016[#Headers],0)),0)</f>
        <v>159</v>
      </c>
      <c r="L662" t="str" cm="1">
        <f t="array" ref="L662">INDEX(QHPSelections2016[],MATCH(1,(QHPSelections2016[State Name]=HIX_RatingAreas[[#This Row],[State Code]])*(QHPSelections2016[County Name]=HIX_RatingAreas[[#This Row],[Subdivision]]),0),MATCH("County Name",QHPSelections2016[#Headers],0))</f>
        <v>Delta County</v>
      </c>
      <c r="M662" t="b">
        <f>L662=HIX_RatingAreas[[#This Row],[Subdivision]]</f>
        <v>1</v>
      </c>
      <c r="N662">
        <v>659</v>
      </c>
    </row>
    <row r="663" spans="3:14">
      <c r="C663" t="s">
        <v>55</v>
      </c>
      <c r="D663" t="s">
        <v>1574</v>
      </c>
      <c r="E663" t="s">
        <v>96</v>
      </c>
      <c r="F663" s="36">
        <v>8</v>
      </c>
      <c r="G663" t="s">
        <v>1142</v>
      </c>
      <c r="I663" cm="1">
        <f t="array" ref="I663">_xlfn.IFNA(INDEX(QHPSelections2016[],MATCH(1,(QHPSelections2016[State Name]=HIX_RatingAreas[[#This Row],[State Code]])*(QHPSelections2016[County Name]=HIX_RatingAreas[[#This Row],[Subdivision]]),0),MATCH("Silver",QHPSelections2016[#Headers],0)),0)</f>
        <v>23871</v>
      </c>
      <c r="J663" cm="1">
        <f t="array" ref="J663">_xlfn.IFNA(INDEX(QHPSelections2016[],MATCH(1,(QHPSelections2016[State Name]=HIX_RatingAreas[[#This Row],[State Code]])*(QHPSelections2016[County Name]=HIX_RatingAreas[[#This Row],[Subdivision]]),0),MATCH("Total Plan Selections",QHPSelections2016[#Headers],0)),0)</f>
        <v>38884</v>
      </c>
      <c r="L663" t="str" cm="1">
        <f t="array" ref="L663">INDEX(QHPSelections2016[],MATCH(1,(QHPSelections2016[State Name]=HIX_RatingAreas[[#This Row],[State Code]])*(QHPSelections2016[County Name]=HIX_RatingAreas[[#This Row],[Subdivision]]),0),MATCH("County Name",QHPSelections2016[#Headers],0))</f>
        <v>Denton County</v>
      </c>
      <c r="M663" t="b">
        <f>L663=HIX_RatingAreas[[#This Row],[Subdivision]]</f>
        <v>1</v>
      </c>
      <c r="N663">
        <v>660</v>
      </c>
    </row>
    <row r="664" spans="3:14">
      <c r="C664" t="s">
        <v>55</v>
      </c>
      <c r="D664" t="s">
        <v>1574</v>
      </c>
      <c r="E664" t="s">
        <v>96</v>
      </c>
      <c r="F664" s="36">
        <v>8</v>
      </c>
      <c r="G664" t="s">
        <v>1187</v>
      </c>
      <c r="I664" cm="1">
        <f t="array" ref="I664">_xlfn.IFNA(INDEX(QHPSelections2016[],MATCH(1,(QHPSelections2016[State Name]=HIX_RatingAreas[[#This Row],[State Code]])*(QHPSelections2016[County Name]=HIX_RatingAreas[[#This Row],[Subdivision]]),0),MATCH("Silver",QHPSelections2016[#Headers],0)),0)</f>
        <v>4781</v>
      </c>
      <c r="J664" cm="1">
        <f t="array" ref="J664">_xlfn.IFNA(INDEX(QHPSelections2016[],MATCH(1,(QHPSelections2016[State Name]=HIX_RatingAreas[[#This Row],[State Code]])*(QHPSelections2016[County Name]=HIX_RatingAreas[[#This Row],[Subdivision]]),0),MATCH("Total Plan Selections",QHPSelections2016[#Headers],0)),0)</f>
        <v>7262</v>
      </c>
      <c r="L664" t="str" cm="1">
        <f t="array" ref="L664">INDEX(QHPSelections2016[],MATCH(1,(QHPSelections2016[State Name]=HIX_RatingAreas[[#This Row],[State Code]])*(QHPSelections2016[County Name]=HIX_RatingAreas[[#This Row],[Subdivision]]),0),MATCH("County Name",QHPSelections2016[#Headers],0))</f>
        <v>Ellis County</v>
      </c>
      <c r="M664" t="b">
        <f>L664=HIX_RatingAreas[[#This Row],[Subdivision]]</f>
        <v>1</v>
      </c>
      <c r="N664">
        <v>661</v>
      </c>
    </row>
    <row r="665" spans="3:14">
      <c r="C665" t="s">
        <v>55</v>
      </c>
      <c r="D665" t="s">
        <v>1574</v>
      </c>
      <c r="E665" t="s">
        <v>96</v>
      </c>
      <c r="F665" s="36">
        <v>8</v>
      </c>
      <c r="G665" t="s">
        <v>1291</v>
      </c>
      <c r="I665" cm="1">
        <f t="array" ref="I665">_xlfn.IFNA(INDEX(QHPSelections2016[],MATCH(1,(QHPSelections2016[State Name]=HIX_RatingAreas[[#This Row],[State Code]])*(QHPSelections2016[County Name]=HIX_RatingAreas[[#This Row],[Subdivision]]),0),MATCH("Silver",QHPSelections2016[#Headers],0)),0)</f>
        <v>2197</v>
      </c>
      <c r="J665" cm="1">
        <f t="array" ref="J665">_xlfn.IFNA(INDEX(QHPSelections2016[],MATCH(1,(QHPSelections2016[State Name]=HIX_RatingAreas[[#This Row],[State Code]])*(QHPSelections2016[County Name]=HIX_RatingAreas[[#This Row],[Subdivision]]),0),MATCH("Total Plan Selections",QHPSelections2016[#Headers],0)),0)</f>
        <v>3494</v>
      </c>
      <c r="L665" t="str" cm="1">
        <f t="array" ref="L665">INDEX(QHPSelections2016[],MATCH(1,(QHPSelections2016[State Name]=HIX_RatingAreas[[#This Row],[State Code]])*(QHPSelections2016[County Name]=HIX_RatingAreas[[#This Row],[Subdivision]]),0),MATCH("County Name",QHPSelections2016[#Headers],0))</f>
        <v>Hunt County</v>
      </c>
      <c r="M665" t="b">
        <f>L665=HIX_RatingAreas[[#This Row],[Subdivision]]</f>
        <v>1</v>
      </c>
      <c r="N665">
        <v>662</v>
      </c>
    </row>
    <row r="666" spans="3:14">
      <c r="C666" t="s">
        <v>55</v>
      </c>
      <c r="D666" t="s">
        <v>1574</v>
      </c>
      <c r="E666" t="s">
        <v>96</v>
      </c>
      <c r="F666" s="36">
        <v>8</v>
      </c>
      <c r="G666" t="s">
        <v>1064</v>
      </c>
      <c r="I666" cm="1">
        <f t="array" ref="I666">_xlfn.IFNA(INDEX(QHPSelections2016[],MATCH(1,(QHPSelections2016[State Name]=HIX_RatingAreas[[#This Row],[State Code]])*(QHPSelections2016[County Name]=HIX_RatingAreas[[#This Row],[Subdivision]]),0),MATCH("Silver",QHPSelections2016[#Headers],0)),0)</f>
        <v>4239</v>
      </c>
      <c r="J666" cm="1">
        <f t="array" ref="J666">_xlfn.IFNA(INDEX(QHPSelections2016[],MATCH(1,(QHPSelections2016[State Name]=HIX_RatingAreas[[#This Row],[State Code]])*(QHPSelections2016[County Name]=HIX_RatingAreas[[#This Row],[Subdivision]]),0),MATCH("Total Plan Selections",QHPSelections2016[#Headers],0)),0)</f>
        <v>6770</v>
      </c>
      <c r="L666" t="str" cm="1">
        <f t="array" ref="L666">INDEX(QHPSelections2016[],MATCH(1,(QHPSelections2016[State Name]=HIX_RatingAreas[[#This Row],[State Code]])*(QHPSelections2016[County Name]=HIX_RatingAreas[[#This Row],[Subdivision]]),0),MATCH("County Name",QHPSelections2016[#Headers],0))</f>
        <v>Johnson County</v>
      </c>
      <c r="M666" t="b">
        <f>L666=HIX_RatingAreas[[#This Row],[Subdivision]]</f>
        <v>1</v>
      </c>
      <c r="N666">
        <v>663</v>
      </c>
    </row>
    <row r="667" spans="3:14">
      <c r="C667" t="s">
        <v>55</v>
      </c>
      <c r="D667" t="s">
        <v>1574</v>
      </c>
      <c r="E667" t="s">
        <v>96</v>
      </c>
      <c r="F667" s="36">
        <v>8</v>
      </c>
      <c r="G667" t="s">
        <v>1304</v>
      </c>
      <c r="I667" cm="1">
        <f t="array" ref="I667">_xlfn.IFNA(INDEX(QHPSelections2016[],MATCH(1,(QHPSelections2016[State Name]=HIX_RatingAreas[[#This Row],[State Code]])*(QHPSelections2016[County Name]=HIX_RatingAreas[[#This Row],[Subdivision]]),0),MATCH("Silver",QHPSelections2016[#Headers],0)),0)</f>
        <v>3160</v>
      </c>
      <c r="J667" cm="1">
        <f t="array" ref="J667">_xlfn.IFNA(INDEX(QHPSelections2016[],MATCH(1,(QHPSelections2016[State Name]=HIX_RatingAreas[[#This Row],[State Code]])*(QHPSelections2016[County Name]=HIX_RatingAreas[[#This Row],[Subdivision]]),0),MATCH("Total Plan Selections",QHPSelections2016[#Headers],0)),0)</f>
        <v>4781</v>
      </c>
      <c r="L667" t="str" cm="1">
        <f t="array" ref="L667">INDEX(QHPSelections2016[],MATCH(1,(QHPSelections2016[State Name]=HIX_RatingAreas[[#This Row],[State Code]])*(QHPSelections2016[County Name]=HIX_RatingAreas[[#This Row],[Subdivision]]),0),MATCH("County Name",QHPSelections2016[#Headers],0))</f>
        <v>Kaufman County</v>
      </c>
      <c r="M667" t="b">
        <f>L667=HIX_RatingAreas[[#This Row],[Subdivision]]</f>
        <v>1</v>
      </c>
      <c r="N667">
        <v>664</v>
      </c>
    </row>
    <row r="668" spans="3:14">
      <c r="C668" t="s">
        <v>55</v>
      </c>
      <c r="D668" t="s">
        <v>1574</v>
      </c>
      <c r="E668" t="s">
        <v>96</v>
      </c>
      <c r="F668" s="36">
        <v>8</v>
      </c>
      <c r="G668" t="s">
        <v>1362</v>
      </c>
      <c r="I668" cm="1">
        <f t="array" ref="I668">_xlfn.IFNA(INDEX(QHPSelections2016[],MATCH(1,(QHPSelections2016[State Name]=HIX_RatingAreas[[#This Row],[State Code]])*(QHPSelections2016[County Name]=HIX_RatingAreas[[#This Row],[Subdivision]]),0),MATCH("Silver",QHPSelections2016[#Headers],0)),0)</f>
        <v>3410</v>
      </c>
      <c r="J668" cm="1">
        <f t="array" ref="J668">_xlfn.IFNA(INDEX(QHPSelections2016[],MATCH(1,(QHPSelections2016[State Name]=HIX_RatingAreas[[#This Row],[State Code]])*(QHPSelections2016[County Name]=HIX_RatingAreas[[#This Row],[Subdivision]]),0),MATCH("Total Plan Selections",QHPSelections2016[#Headers],0)),0)</f>
        <v>5580</v>
      </c>
      <c r="L668" t="str" cm="1">
        <f t="array" ref="L668">INDEX(QHPSelections2016[],MATCH(1,(QHPSelections2016[State Name]=HIX_RatingAreas[[#This Row],[State Code]])*(QHPSelections2016[County Name]=HIX_RatingAreas[[#This Row],[Subdivision]]),0),MATCH("County Name",QHPSelections2016[#Headers],0))</f>
        <v>Parker County</v>
      </c>
      <c r="M668" t="b">
        <f>L668=HIX_RatingAreas[[#This Row],[Subdivision]]</f>
        <v>1</v>
      </c>
      <c r="N668">
        <v>665</v>
      </c>
    </row>
    <row r="669" spans="3:14">
      <c r="C669" t="s">
        <v>55</v>
      </c>
      <c r="D669" t="s">
        <v>1574</v>
      </c>
      <c r="E669" t="s">
        <v>96</v>
      </c>
      <c r="F669" s="36">
        <v>8</v>
      </c>
      <c r="G669" t="s">
        <v>1375</v>
      </c>
      <c r="I669" cm="1">
        <f t="array" ref="I669">_xlfn.IFNA(INDEX(QHPSelections2016[],MATCH(1,(QHPSelections2016[State Name]=HIX_RatingAreas[[#This Row],[State Code]])*(QHPSelections2016[County Name]=HIX_RatingAreas[[#This Row],[Subdivision]]),0),MATCH("Silver",QHPSelections2016[#Headers],0)),0)</f>
        <v>2809</v>
      </c>
      <c r="J669" cm="1">
        <f t="array" ref="J669">_xlfn.IFNA(INDEX(QHPSelections2016[],MATCH(1,(QHPSelections2016[State Name]=HIX_RatingAreas[[#This Row],[State Code]])*(QHPSelections2016[County Name]=HIX_RatingAreas[[#This Row],[Subdivision]]),0),MATCH("Total Plan Selections",QHPSelections2016[#Headers],0)),0)</f>
        <v>4552</v>
      </c>
      <c r="L669" t="str" cm="1">
        <f t="array" ref="L669">INDEX(QHPSelections2016[],MATCH(1,(QHPSelections2016[State Name]=HIX_RatingAreas[[#This Row],[State Code]])*(QHPSelections2016[County Name]=HIX_RatingAreas[[#This Row],[Subdivision]]),0),MATCH("County Name",QHPSelections2016[#Headers],0))</f>
        <v>Rockwall County</v>
      </c>
      <c r="M669" t="b">
        <f>L669=HIX_RatingAreas[[#This Row],[Subdivision]]</f>
        <v>1</v>
      </c>
      <c r="N669">
        <v>666</v>
      </c>
    </row>
    <row r="670" spans="3:14">
      <c r="C670" t="s">
        <v>55</v>
      </c>
      <c r="D670" t="s">
        <v>1574</v>
      </c>
      <c r="E670" t="s">
        <v>96</v>
      </c>
      <c r="F670" s="36">
        <v>8</v>
      </c>
      <c r="G670" t="s">
        <v>1393</v>
      </c>
      <c r="I670" cm="1">
        <f t="array" ref="I670">_xlfn.IFNA(INDEX(QHPSelections2016[],MATCH(1,(QHPSelections2016[State Name]=HIX_RatingAreas[[#This Row],[State Code]])*(QHPSelections2016[County Name]=HIX_RatingAreas[[#This Row],[Subdivision]]),0),MATCH("Silver",QHPSelections2016[#Headers],0)),0)</f>
        <v>60579</v>
      </c>
      <c r="J670" cm="1">
        <f t="array" ref="J670">_xlfn.IFNA(INDEX(QHPSelections2016[],MATCH(1,(QHPSelections2016[State Name]=HIX_RatingAreas[[#This Row],[State Code]])*(QHPSelections2016[County Name]=HIX_RatingAreas[[#This Row],[Subdivision]]),0),MATCH("Total Plan Selections",QHPSelections2016[#Headers],0)),0)</f>
        <v>100833</v>
      </c>
      <c r="L670" t="str" cm="1">
        <f t="array" ref="L670">INDEX(QHPSelections2016[],MATCH(1,(QHPSelections2016[State Name]=HIX_RatingAreas[[#This Row],[State Code]])*(QHPSelections2016[County Name]=HIX_RatingAreas[[#This Row],[Subdivision]]),0),MATCH("County Name",QHPSelections2016[#Headers],0))</f>
        <v>Tarrant County</v>
      </c>
      <c r="M670" t="b">
        <f>L670=HIX_RatingAreas[[#This Row],[Subdivision]]</f>
        <v>1</v>
      </c>
      <c r="N670">
        <v>667</v>
      </c>
    </row>
    <row r="671" spans="3:14">
      <c r="C671" t="s">
        <v>55</v>
      </c>
      <c r="D671" t="s">
        <v>1574</v>
      </c>
      <c r="E671" t="s">
        <v>96</v>
      </c>
      <c r="F671" s="36">
        <v>8</v>
      </c>
      <c r="G671" t="s">
        <v>1415</v>
      </c>
      <c r="I671" cm="1">
        <f t="array" ref="I671">_xlfn.IFNA(INDEX(QHPSelections2016[],MATCH(1,(QHPSelections2016[State Name]=HIX_RatingAreas[[#This Row],[State Code]])*(QHPSelections2016[County Name]=HIX_RatingAreas[[#This Row],[Subdivision]]),0),MATCH("Silver",QHPSelections2016[#Headers],0)),0)</f>
        <v>1895</v>
      </c>
      <c r="J671" cm="1">
        <f t="array" ref="J671">_xlfn.IFNA(INDEX(QHPSelections2016[],MATCH(1,(QHPSelections2016[State Name]=HIX_RatingAreas[[#This Row],[State Code]])*(QHPSelections2016[County Name]=HIX_RatingAreas[[#This Row],[Subdivision]]),0),MATCH("Total Plan Selections",QHPSelections2016[#Headers],0)),0)</f>
        <v>2894</v>
      </c>
      <c r="L671" t="str" cm="1">
        <f t="array" ref="L671">INDEX(QHPSelections2016[],MATCH(1,(QHPSelections2016[State Name]=HIX_RatingAreas[[#This Row],[State Code]])*(QHPSelections2016[County Name]=HIX_RatingAreas[[#This Row],[Subdivision]]),0),MATCH("County Name",QHPSelections2016[#Headers],0))</f>
        <v>Wise County</v>
      </c>
      <c r="M671" t="b">
        <f>L671=HIX_RatingAreas[[#This Row],[Subdivision]]</f>
        <v>1</v>
      </c>
      <c r="N671">
        <v>668</v>
      </c>
    </row>
    <row r="672" spans="3:14">
      <c r="C672" t="s">
        <v>55</v>
      </c>
      <c r="D672" t="s">
        <v>1574</v>
      </c>
      <c r="E672" t="s">
        <v>98</v>
      </c>
      <c r="F672" s="36">
        <v>9</v>
      </c>
      <c r="G672" t="s">
        <v>1191</v>
      </c>
      <c r="I672" cm="1">
        <f t="array" ref="I672">_xlfn.IFNA(INDEX(QHPSelections2016[],MATCH(1,(QHPSelections2016[State Name]=HIX_RatingAreas[[#This Row],[State Code]])*(QHPSelections2016[County Name]=HIX_RatingAreas[[#This Row],[Subdivision]]),0),MATCH("Silver",QHPSelections2016[#Headers],0)),0)</f>
        <v>39279</v>
      </c>
      <c r="J672" cm="1">
        <f t="array" ref="J672">_xlfn.IFNA(INDEX(QHPSelections2016[],MATCH(1,(QHPSelections2016[State Name]=HIX_RatingAreas[[#This Row],[State Code]])*(QHPSelections2016[County Name]=HIX_RatingAreas[[#This Row],[Subdivision]]),0),MATCH("Total Plan Selections",QHPSelections2016[#Headers],0)),0)</f>
        <v>62922</v>
      </c>
      <c r="L672" t="str" cm="1">
        <f t="array" ref="L672">INDEX(QHPSelections2016[],MATCH(1,(QHPSelections2016[State Name]=HIX_RatingAreas[[#This Row],[State Code]])*(QHPSelections2016[County Name]=HIX_RatingAreas[[#This Row],[Subdivision]]),0),MATCH("County Name",QHPSelections2016[#Headers],0))</f>
        <v>El Paso County</v>
      </c>
      <c r="M672" t="b">
        <f>L672=HIX_RatingAreas[[#This Row],[Subdivision]]</f>
        <v>1</v>
      </c>
      <c r="N672">
        <v>669</v>
      </c>
    </row>
    <row r="673" spans="3:14">
      <c r="C673" t="s">
        <v>55</v>
      </c>
      <c r="D673" t="s">
        <v>1574</v>
      </c>
      <c r="E673" t="s">
        <v>101</v>
      </c>
      <c r="F673" s="36">
        <v>10</v>
      </c>
      <c r="G673" t="s">
        <v>865</v>
      </c>
      <c r="I673" cm="1">
        <f t="array" ref="I673">_xlfn.IFNA(INDEX(QHPSelections2016[],MATCH(1,(QHPSelections2016[State Name]=HIX_RatingAreas[[#This Row],[State Code]])*(QHPSelections2016[County Name]=HIX_RatingAreas[[#This Row],[Subdivision]]),0),MATCH("Silver",QHPSelections2016[#Headers],0)),0)</f>
        <v>892</v>
      </c>
      <c r="J673" cm="1">
        <f t="array" ref="J673">_xlfn.IFNA(INDEX(QHPSelections2016[],MATCH(1,(QHPSelections2016[State Name]=HIX_RatingAreas[[#This Row],[State Code]])*(QHPSelections2016[County Name]=HIX_RatingAreas[[#This Row],[Subdivision]]),0),MATCH("Total Plan Selections",QHPSelections2016[#Headers],0)),0)</f>
        <v>1344</v>
      </c>
      <c r="L673" t="str" cm="1">
        <f t="array" ref="L673">INDEX(QHPSelections2016[],MATCH(1,(QHPSelections2016[State Name]=HIX_RatingAreas[[#This Row],[State Code]])*(QHPSelections2016[County Name]=HIX_RatingAreas[[#This Row],[Subdivision]]),0),MATCH("County Name",QHPSelections2016[#Headers],0))</f>
        <v>Austin County</v>
      </c>
      <c r="M673" t="b">
        <f>L673=HIX_RatingAreas[[#This Row],[Subdivision]]</f>
        <v>1</v>
      </c>
      <c r="N673">
        <v>670</v>
      </c>
    </row>
    <row r="674" spans="3:14">
      <c r="C674" t="s">
        <v>55</v>
      </c>
      <c r="D674" t="s">
        <v>1574</v>
      </c>
      <c r="E674" t="s">
        <v>101</v>
      </c>
      <c r="F674" s="36">
        <v>10</v>
      </c>
      <c r="G674" t="s">
        <v>933</v>
      </c>
      <c r="I674" cm="1">
        <f t="array" ref="I674">_xlfn.IFNA(INDEX(QHPSelections2016[],MATCH(1,(QHPSelections2016[State Name]=HIX_RatingAreas[[#This Row],[State Code]])*(QHPSelections2016[County Name]=HIX_RatingAreas[[#This Row],[Subdivision]]),0),MATCH("Silver",QHPSelections2016[#Headers],0)),0)</f>
        <v>8867</v>
      </c>
      <c r="J674" cm="1">
        <f t="array" ref="J674">_xlfn.IFNA(INDEX(QHPSelections2016[],MATCH(1,(QHPSelections2016[State Name]=HIX_RatingAreas[[#This Row],[State Code]])*(QHPSelections2016[County Name]=HIX_RatingAreas[[#This Row],[Subdivision]]),0),MATCH("Total Plan Selections",QHPSelections2016[#Headers],0)),0)</f>
        <v>13453</v>
      </c>
      <c r="L674" t="str" cm="1">
        <f t="array" ref="L674">INDEX(QHPSelections2016[],MATCH(1,(QHPSelections2016[State Name]=HIX_RatingAreas[[#This Row],[State Code]])*(QHPSelections2016[County Name]=HIX_RatingAreas[[#This Row],[Subdivision]]),0),MATCH("County Name",QHPSelections2016[#Headers],0))</f>
        <v>Brazoria County</v>
      </c>
      <c r="M674" t="b">
        <f>L674=HIX_RatingAreas[[#This Row],[Subdivision]]</f>
        <v>1</v>
      </c>
      <c r="N674">
        <v>671</v>
      </c>
    </row>
    <row r="675" spans="3:14">
      <c r="C675" t="s">
        <v>55</v>
      </c>
      <c r="D675" t="s">
        <v>1574</v>
      </c>
      <c r="E675" t="s">
        <v>101</v>
      </c>
      <c r="F675" s="36">
        <v>10</v>
      </c>
      <c r="G675" t="s">
        <v>866</v>
      </c>
      <c r="I675" cm="1">
        <f t="array" ref="I675">_xlfn.IFNA(INDEX(QHPSelections2016[],MATCH(1,(QHPSelections2016[State Name]=HIX_RatingAreas[[#This Row],[State Code]])*(QHPSelections2016[County Name]=HIX_RatingAreas[[#This Row],[Subdivision]]),0),MATCH("Silver",QHPSelections2016[#Headers],0)),0)</f>
        <v>673</v>
      </c>
      <c r="J675" cm="1">
        <f t="array" ref="J675">_xlfn.IFNA(INDEX(QHPSelections2016[],MATCH(1,(QHPSelections2016[State Name]=HIX_RatingAreas[[#This Row],[State Code]])*(QHPSelections2016[County Name]=HIX_RatingAreas[[#This Row],[Subdivision]]),0),MATCH("Total Plan Selections",QHPSelections2016[#Headers],0)),0)</f>
        <v>1004</v>
      </c>
      <c r="L675" t="str" cm="1">
        <f t="array" ref="L675">INDEX(QHPSelections2016[],MATCH(1,(QHPSelections2016[State Name]=HIX_RatingAreas[[#This Row],[State Code]])*(QHPSelections2016[County Name]=HIX_RatingAreas[[#This Row],[Subdivision]]),0),MATCH("County Name",QHPSelections2016[#Headers],0))</f>
        <v>Chambers County</v>
      </c>
      <c r="M675" t="b">
        <f>L675=HIX_RatingAreas[[#This Row],[Subdivision]]</f>
        <v>1</v>
      </c>
      <c r="N675">
        <v>672</v>
      </c>
    </row>
    <row r="676" spans="3:14">
      <c r="C676" t="s">
        <v>55</v>
      </c>
      <c r="D676" t="s">
        <v>1574</v>
      </c>
      <c r="E676" t="s">
        <v>101</v>
      </c>
      <c r="F676" s="36">
        <v>10</v>
      </c>
      <c r="G676" t="s">
        <v>1218</v>
      </c>
      <c r="I676" cm="1">
        <f t="array" ref="I676">_xlfn.IFNA(INDEX(QHPSelections2016[],MATCH(1,(QHPSelections2016[State Name]=HIX_RatingAreas[[#This Row],[State Code]])*(QHPSelections2016[County Name]=HIX_RatingAreas[[#This Row],[Subdivision]]),0),MATCH("Silver",QHPSelections2016[#Headers],0)),0)</f>
        <v>31461</v>
      </c>
      <c r="J676" cm="1">
        <f t="array" ref="J676">_xlfn.IFNA(INDEX(QHPSelections2016[],MATCH(1,(QHPSelections2016[State Name]=HIX_RatingAreas[[#This Row],[State Code]])*(QHPSelections2016[County Name]=HIX_RatingAreas[[#This Row],[Subdivision]]),0),MATCH("Total Plan Selections",QHPSelections2016[#Headers],0)),0)</f>
        <v>47509</v>
      </c>
      <c r="L676" t="str" cm="1">
        <f t="array" ref="L676">INDEX(QHPSelections2016[],MATCH(1,(QHPSelections2016[State Name]=HIX_RatingAreas[[#This Row],[State Code]])*(QHPSelections2016[County Name]=HIX_RatingAreas[[#This Row],[Subdivision]]),0),MATCH("County Name",QHPSelections2016[#Headers],0))</f>
        <v>Fort Bend County</v>
      </c>
      <c r="M676" t="b">
        <f>L676=HIX_RatingAreas[[#This Row],[Subdivision]]</f>
        <v>1</v>
      </c>
      <c r="N676">
        <v>673</v>
      </c>
    </row>
    <row r="677" spans="3:14">
      <c r="C677" t="s">
        <v>55</v>
      </c>
      <c r="D677" t="s">
        <v>1574</v>
      </c>
      <c r="E677" t="s">
        <v>101</v>
      </c>
      <c r="F677" s="36">
        <v>10</v>
      </c>
      <c r="G677" t="s">
        <v>1234</v>
      </c>
      <c r="I677" cm="1">
        <f t="array" ref="I677">_xlfn.IFNA(INDEX(QHPSelections2016[],MATCH(1,(QHPSelections2016[State Name]=HIX_RatingAreas[[#This Row],[State Code]])*(QHPSelections2016[County Name]=HIX_RatingAreas[[#This Row],[Subdivision]]),0),MATCH("Silver",QHPSelections2016[#Headers],0)),0)</f>
        <v>9206</v>
      </c>
      <c r="J677" cm="1">
        <f t="array" ref="J677">_xlfn.IFNA(INDEX(QHPSelections2016[],MATCH(1,(QHPSelections2016[State Name]=HIX_RatingAreas[[#This Row],[State Code]])*(QHPSelections2016[County Name]=HIX_RatingAreas[[#This Row],[Subdivision]]),0),MATCH("Total Plan Selections",QHPSelections2016[#Headers],0)),0)</f>
        <v>14080</v>
      </c>
      <c r="L677" t="str" cm="1">
        <f t="array" ref="L677">INDEX(QHPSelections2016[],MATCH(1,(QHPSelections2016[State Name]=HIX_RatingAreas[[#This Row],[State Code]])*(QHPSelections2016[County Name]=HIX_RatingAreas[[#This Row],[Subdivision]]),0),MATCH("County Name",QHPSelections2016[#Headers],0))</f>
        <v>Galveston County</v>
      </c>
      <c r="M677" t="b">
        <f>L677=HIX_RatingAreas[[#This Row],[Subdivision]]</f>
        <v>1</v>
      </c>
      <c r="N677">
        <v>674</v>
      </c>
    </row>
    <row r="678" spans="3:14">
      <c r="C678" t="s">
        <v>55</v>
      </c>
      <c r="D678" t="s">
        <v>1574</v>
      </c>
      <c r="E678" t="s">
        <v>101</v>
      </c>
      <c r="F678" s="36">
        <v>10</v>
      </c>
      <c r="G678" t="s">
        <v>1192</v>
      </c>
      <c r="I678" cm="1">
        <f t="array" ref="I678">_xlfn.IFNA(INDEX(QHPSelections2016[],MATCH(1,(QHPSelections2016[State Name]=HIX_RatingAreas[[#This Row],[State Code]])*(QHPSelections2016[County Name]=HIX_RatingAreas[[#This Row],[Subdivision]]),0),MATCH("Silver",QHPSelections2016[#Headers],0)),0)</f>
        <v>163078</v>
      </c>
      <c r="J678" cm="1">
        <f t="array" ref="J678">_xlfn.IFNA(INDEX(QHPSelections2016[],MATCH(1,(QHPSelections2016[State Name]=HIX_RatingAreas[[#This Row],[State Code]])*(QHPSelections2016[County Name]=HIX_RatingAreas[[#This Row],[Subdivision]]),0),MATCH("Total Plan Selections",QHPSelections2016[#Headers],0)),0)</f>
        <v>239656</v>
      </c>
      <c r="L678" t="str" cm="1">
        <f t="array" ref="L678">INDEX(QHPSelections2016[],MATCH(1,(QHPSelections2016[State Name]=HIX_RatingAreas[[#This Row],[State Code]])*(QHPSelections2016[County Name]=HIX_RatingAreas[[#This Row],[Subdivision]]),0),MATCH("County Name",QHPSelections2016[#Headers],0))</f>
        <v>Harris County</v>
      </c>
      <c r="M678" t="b">
        <f>L678=HIX_RatingAreas[[#This Row],[Subdivision]]</f>
        <v>1</v>
      </c>
      <c r="N678">
        <v>675</v>
      </c>
    </row>
    <row r="679" spans="3:14">
      <c r="C679" t="s">
        <v>55</v>
      </c>
      <c r="D679" t="s">
        <v>1574</v>
      </c>
      <c r="E679" t="s">
        <v>101</v>
      </c>
      <c r="F679" s="36">
        <v>10</v>
      </c>
      <c r="G679" t="s">
        <v>1023</v>
      </c>
      <c r="I679" cm="1">
        <f t="array" ref="I679">_xlfn.IFNA(INDEX(QHPSelections2016[],MATCH(1,(QHPSelections2016[State Name]=HIX_RatingAreas[[#This Row],[State Code]])*(QHPSelections2016[County Name]=HIX_RatingAreas[[#This Row],[Subdivision]]),0),MATCH("Silver",QHPSelections2016[#Headers],0)),0)</f>
        <v>1872</v>
      </c>
      <c r="J679" cm="1">
        <f t="array" ref="J679">_xlfn.IFNA(INDEX(QHPSelections2016[],MATCH(1,(QHPSelections2016[State Name]=HIX_RatingAreas[[#This Row],[State Code]])*(QHPSelections2016[County Name]=HIX_RatingAreas[[#This Row],[Subdivision]]),0),MATCH("Total Plan Selections",QHPSelections2016[#Headers],0)),0)</f>
        <v>2792</v>
      </c>
      <c r="L679" t="str" cm="1">
        <f t="array" ref="L679">INDEX(QHPSelections2016[],MATCH(1,(QHPSelections2016[State Name]=HIX_RatingAreas[[#This Row],[State Code]])*(QHPSelections2016[County Name]=HIX_RatingAreas[[#This Row],[Subdivision]]),0),MATCH("County Name",QHPSelections2016[#Headers],0))</f>
        <v>Liberty County</v>
      </c>
      <c r="M679" t="b">
        <f>L679=HIX_RatingAreas[[#This Row],[Subdivision]]</f>
        <v>1</v>
      </c>
      <c r="N679">
        <v>676</v>
      </c>
    </row>
    <row r="680" spans="3:14">
      <c r="C680" t="s">
        <v>55</v>
      </c>
      <c r="D680" t="s">
        <v>1574</v>
      </c>
      <c r="E680" t="s">
        <v>101</v>
      </c>
      <c r="F680" s="36">
        <v>10</v>
      </c>
      <c r="G680" t="s">
        <v>1079</v>
      </c>
      <c r="I680" cm="1">
        <f t="array" ref="I680">_xlfn.IFNA(INDEX(QHPSelections2016[],MATCH(1,(QHPSelections2016[State Name]=HIX_RatingAreas[[#This Row],[State Code]])*(QHPSelections2016[County Name]=HIX_RatingAreas[[#This Row],[Subdivision]]),0),MATCH("Silver",QHPSelections2016[#Headers],0)),0)</f>
        <v>15006</v>
      </c>
      <c r="J680" cm="1">
        <f t="array" ref="J680">_xlfn.IFNA(INDEX(QHPSelections2016[],MATCH(1,(QHPSelections2016[State Name]=HIX_RatingAreas[[#This Row],[State Code]])*(QHPSelections2016[County Name]=HIX_RatingAreas[[#This Row],[Subdivision]]),0),MATCH("Total Plan Selections",QHPSelections2016[#Headers],0)),0)</f>
        <v>23072</v>
      </c>
      <c r="L680" t="str" cm="1">
        <f t="array" ref="L680">INDEX(QHPSelections2016[],MATCH(1,(QHPSelections2016[State Name]=HIX_RatingAreas[[#This Row],[State Code]])*(QHPSelections2016[County Name]=HIX_RatingAreas[[#This Row],[Subdivision]]),0),MATCH("County Name",QHPSelections2016[#Headers],0))</f>
        <v>Montgomery County</v>
      </c>
      <c r="M680" t="b">
        <f>L680=HIX_RatingAreas[[#This Row],[Subdivision]]</f>
        <v>1</v>
      </c>
      <c r="N680">
        <v>677</v>
      </c>
    </row>
    <row r="681" spans="3:14">
      <c r="C681" t="s">
        <v>55</v>
      </c>
      <c r="D681" t="s">
        <v>1574</v>
      </c>
      <c r="E681" t="s">
        <v>101</v>
      </c>
      <c r="F681" s="36">
        <v>10</v>
      </c>
      <c r="G681" t="s">
        <v>1380</v>
      </c>
      <c r="I681" cm="1">
        <f t="array" ref="I681">_xlfn.IFNA(INDEX(QHPSelections2016[],MATCH(1,(QHPSelections2016[State Name]=HIX_RatingAreas[[#This Row],[State Code]])*(QHPSelections2016[County Name]=HIX_RatingAreas[[#This Row],[Subdivision]]),0),MATCH("Silver",QHPSelections2016[#Headers],0)),0)</f>
        <v>674</v>
      </c>
      <c r="J681" cm="1">
        <f t="array" ref="J681">_xlfn.IFNA(INDEX(QHPSelections2016[],MATCH(1,(QHPSelections2016[State Name]=HIX_RatingAreas[[#This Row],[State Code]])*(QHPSelections2016[County Name]=HIX_RatingAreas[[#This Row],[Subdivision]]),0),MATCH("Total Plan Selections",QHPSelections2016[#Headers],0)),0)</f>
        <v>989</v>
      </c>
      <c r="L681" t="str" cm="1">
        <f t="array" ref="L681">INDEX(QHPSelections2016[],MATCH(1,(QHPSelections2016[State Name]=HIX_RatingAreas[[#This Row],[State Code]])*(QHPSelections2016[County Name]=HIX_RatingAreas[[#This Row],[Subdivision]]),0),MATCH("County Name",QHPSelections2016[#Headers],0))</f>
        <v>San Jacinto County</v>
      </c>
      <c r="M681" t="b">
        <f>L681=HIX_RatingAreas[[#This Row],[Subdivision]]</f>
        <v>1</v>
      </c>
      <c r="N681">
        <v>678</v>
      </c>
    </row>
    <row r="682" spans="3:14">
      <c r="C682" t="s">
        <v>55</v>
      </c>
      <c r="D682" t="s">
        <v>1574</v>
      </c>
      <c r="E682" t="s">
        <v>101</v>
      </c>
      <c r="F682" s="36">
        <v>10</v>
      </c>
      <c r="G682" t="s">
        <v>1407</v>
      </c>
      <c r="I682" cm="1">
        <f t="array" ref="I682">_xlfn.IFNA(INDEX(QHPSelections2016[],MATCH(1,(QHPSelections2016[State Name]=HIX_RatingAreas[[#This Row],[State Code]])*(QHPSelections2016[County Name]=HIX_RatingAreas[[#This Row],[Subdivision]]),0),MATCH("Silver",QHPSelections2016[#Headers],0)),0)</f>
        <v>1277</v>
      </c>
      <c r="J682" cm="1">
        <f t="array" ref="J682">_xlfn.IFNA(INDEX(QHPSelections2016[],MATCH(1,(QHPSelections2016[State Name]=HIX_RatingAreas[[#This Row],[State Code]])*(QHPSelections2016[County Name]=HIX_RatingAreas[[#This Row],[Subdivision]]),0),MATCH("Total Plan Selections",QHPSelections2016[#Headers],0)),0)</f>
        <v>1866</v>
      </c>
      <c r="L682" t="str" cm="1">
        <f t="array" ref="L682">INDEX(QHPSelections2016[],MATCH(1,(QHPSelections2016[State Name]=HIX_RatingAreas[[#This Row],[State Code]])*(QHPSelections2016[County Name]=HIX_RatingAreas[[#This Row],[Subdivision]]),0),MATCH("County Name",QHPSelections2016[#Headers],0))</f>
        <v>Waller County</v>
      </c>
      <c r="M682" t="b">
        <f>L682=HIX_RatingAreas[[#This Row],[Subdivision]]</f>
        <v>1</v>
      </c>
      <c r="N682">
        <v>679</v>
      </c>
    </row>
    <row r="683" spans="3:14">
      <c r="C683" t="s">
        <v>55</v>
      </c>
      <c r="D683" t="s">
        <v>1574</v>
      </c>
      <c r="E683" t="s">
        <v>103</v>
      </c>
      <c r="F683" s="36">
        <v>11</v>
      </c>
      <c r="G683" t="s">
        <v>899</v>
      </c>
      <c r="I683" cm="1">
        <f t="array" ref="I683">_xlfn.IFNA(INDEX(QHPSelections2016[],MATCH(1,(QHPSelections2016[State Name]=HIX_RatingAreas[[#This Row],[State Code]])*(QHPSelections2016[County Name]=HIX_RatingAreas[[#This Row],[Subdivision]]),0),MATCH("Silver",QHPSelections2016[#Headers],0)),0)</f>
        <v>6008</v>
      </c>
      <c r="J683" cm="1">
        <f t="array" ref="J683">_xlfn.IFNA(INDEX(QHPSelections2016[],MATCH(1,(QHPSelections2016[State Name]=HIX_RatingAreas[[#This Row],[State Code]])*(QHPSelections2016[County Name]=HIX_RatingAreas[[#This Row],[Subdivision]]),0),MATCH("Total Plan Selections",QHPSelections2016[#Headers],0)),0)</f>
        <v>8521</v>
      </c>
      <c r="L683" t="str" cm="1">
        <f t="array" ref="L683">INDEX(QHPSelections2016[],MATCH(1,(QHPSelections2016[State Name]=HIX_RatingAreas[[#This Row],[State Code]])*(QHPSelections2016[County Name]=HIX_RatingAreas[[#This Row],[Subdivision]]),0),MATCH("County Name",QHPSelections2016[#Headers],0))</f>
        <v>Bell County</v>
      </c>
      <c r="M683" t="b">
        <f>L683=HIX_RatingAreas[[#This Row],[Subdivision]]</f>
        <v>1</v>
      </c>
      <c r="N683">
        <v>680</v>
      </c>
    </row>
    <row r="684" spans="3:14">
      <c r="C684" t="s">
        <v>55</v>
      </c>
      <c r="D684" t="s">
        <v>1574</v>
      </c>
      <c r="E684" t="s">
        <v>103</v>
      </c>
      <c r="F684" s="36">
        <v>11</v>
      </c>
      <c r="G684" t="s">
        <v>1085</v>
      </c>
      <c r="I684" cm="1">
        <f t="array" ref="I684">_xlfn.IFNA(INDEX(QHPSelections2016[],MATCH(1,(QHPSelections2016[State Name]=HIX_RatingAreas[[#This Row],[State Code]])*(QHPSelections2016[County Name]=HIX_RatingAreas[[#This Row],[Subdivision]]),0),MATCH("Silver",QHPSelections2016[#Headers],0)),0)</f>
        <v>991</v>
      </c>
      <c r="J684" cm="1">
        <f t="array" ref="J684">_xlfn.IFNA(INDEX(QHPSelections2016[],MATCH(1,(QHPSelections2016[State Name]=HIX_RatingAreas[[#This Row],[State Code]])*(QHPSelections2016[County Name]=HIX_RatingAreas[[#This Row],[Subdivision]]),0),MATCH("Total Plan Selections",QHPSelections2016[#Headers],0)),0)</f>
        <v>1419</v>
      </c>
      <c r="L684" t="str" cm="1">
        <f t="array" ref="L684">INDEX(QHPSelections2016[],MATCH(1,(QHPSelections2016[State Name]=HIX_RatingAreas[[#This Row],[State Code]])*(QHPSelections2016[County Name]=HIX_RatingAreas[[#This Row],[Subdivision]]),0),MATCH("County Name",QHPSelections2016[#Headers],0))</f>
        <v>Coryell County</v>
      </c>
      <c r="M684" t="b">
        <f>L684=HIX_RatingAreas[[#This Row],[Subdivision]]</f>
        <v>1</v>
      </c>
      <c r="N684">
        <v>681</v>
      </c>
    </row>
    <row r="685" spans="3:14">
      <c r="C685" t="s">
        <v>55</v>
      </c>
      <c r="D685" t="s">
        <v>1574</v>
      </c>
      <c r="E685" t="s">
        <v>103</v>
      </c>
      <c r="F685" s="36">
        <v>11</v>
      </c>
      <c r="G685" t="s">
        <v>1325</v>
      </c>
      <c r="I685" cm="1">
        <f t="array" ref="I685">_xlfn.IFNA(INDEX(QHPSelections2016[],MATCH(1,(QHPSelections2016[State Name]=HIX_RatingAreas[[#This Row],[State Code]])*(QHPSelections2016[County Name]=HIX_RatingAreas[[#This Row],[Subdivision]]),0),MATCH("Silver",QHPSelections2016[#Headers],0)),0)</f>
        <v>430</v>
      </c>
      <c r="J685" cm="1">
        <f t="array" ref="J685">_xlfn.IFNA(INDEX(QHPSelections2016[],MATCH(1,(QHPSelections2016[State Name]=HIX_RatingAreas[[#This Row],[State Code]])*(QHPSelections2016[County Name]=HIX_RatingAreas[[#This Row],[Subdivision]]),0),MATCH("Total Plan Selections",QHPSelections2016[#Headers],0)),0)</f>
        <v>649</v>
      </c>
      <c r="L685" t="str" cm="1">
        <f t="array" ref="L685">INDEX(QHPSelections2016[],MATCH(1,(QHPSelections2016[State Name]=HIX_RatingAreas[[#This Row],[State Code]])*(QHPSelections2016[County Name]=HIX_RatingAreas[[#This Row],[Subdivision]]),0),MATCH("County Name",QHPSelections2016[#Headers],0))</f>
        <v>Lampasas County</v>
      </c>
      <c r="M685" t="b">
        <f>L685=HIX_RatingAreas[[#This Row],[Subdivision]]</f>
        <v>1</v>
      </c>
      <c r="N685">
        <v>682</v>
      </c>
    </row>
    <row r="686" spans="3:14">
      <c r="C686" t="s">
        <v>55</v>
      </c>
      <c r="D686" t="s">
        <v>1574</v>
      </c>
      <c r="E686" t="s">
        <v>108</v>
      </c>
      <c r="F686" s="36">
        <v>12</v>
      </c>
      <c r="G686" t="s">
        <v>1409</v>
      </c>
      <c r="I686" cm="1">
        <f t="array" ref="I686">_xlfn.IFNA(INDEX(QHPSelections2016[],MATCH(1,(QHPSelections2016[State Name]=HIX_RatingAreas[[#This Row],[State Code]])*(QHPSelections2016[County Name]=HIX_RatingAreas[[#This Row],[Subdivision]]),0),MATCH("Silver",QHPSelections2016[#Headers],0)),0)</f>
        <v>11110</v>
      </c>
      <c r="J686" cm="1">
        <f t="array" ref="J686">_xlfn.IFNA(INDEX(QHPSelections2016[],MATCH(1,(QHPSelections2016[State Name]=HIX_RatingAreas[[#This Row],[State Code]])*(QHPSelections2016[County Name]=HIX_RatingAreas[[#This Row],[Subdivision]]),0),MATCH("Total Plan Selections",QHPSelections2016[#Headers],0)),0)</f>
        <v>15805</v>
      </c>
      <c r="L686" t="str" cm="1">
        <f t="array" ref="L686">INDEX(QHPSelections2016[],MATCH(1,(QHPSelections2016[State Name]=HIX_RatingAreas[[#This Row],[State Code]])*(QHPSelections2016[County Name]=HIX_RatingAreas[[#This Row],[Subdivision]]),0),MATCH("County Name",QHPSelections2016[#Headers],0))</f>
        <v>Webb County</v>
      </c>
      <c r="M686" t="b">
        <f>L686=HIX_RatingAreas[[#This Row],[Subdivision]]</f>
        <v>1</v>
      </c>
      <c r="N686">
        <v>683</v>
      </c>
    </row>
    <row r="687" spans="3:14">
      <c r="C687" t="s">
        <v>55</v>
      </c>
      <c r="D687" t="s">
        <v>1574</v>
      </c>
      <c r="E687" t="s">
        <v>112</v>
      </c>
      <c r="F687" s="36">
        <v>13</v>
      </c>
      <c r="G687" t="s">
        <v>1256</v>
      </c>
      <c r="I687" cm="1">
        <f t="array" ref="I687">_xlfn.IFNA(INDEX(QHPSelections2016[],MATCH(1,(QHPSelections2016[State Name]=HIX_RatingAreas[[#This Row],[State Code]])*(QHPSelections2016[County Name]=HIX_RatingAreas[[#This Row],[Subdivision]]),0),MATCH("Silver",QHPSelections2016[#Headers],0)),0)</f>
        <v>3284</v>
      </c>
      <c r="J687" cm="1">
        <f t="array" ref="J687">_xlfn.IFNA(INDEX(QHPSelections2016[],MATCH(1,(QHPSelections2016[State Name]=HIX_RatingAreas[[#This Row],[State Code]])*(QHPSelections2016[County Name]=HIX_RatingAreas[[#This Row],[Subdivision]]),0),MATCH("Total Plan Selections",QHPSelections2016[#Headers],0)),0)</f>
        <v>4892</v>
      </c>
      <c r="L687" t="str" cm="1">
        <f t="array" ref="L687">INDEX(QHPSelections2016[],MATCH(1,(QHPSelections2016[State Name]=HIX_RatingAreas[[#This Row],[State Code]])*(QHPSelections2016[County Name]=HIX_RatingAreas[[#This Row],[Subdivision]]),0),MATCH("County Name",QHPSelections2016[#Headers],0))</f>
        <v>Gregg County</v>
      </c>
      <c r="M687" t="b">
        <f>L687=HIX_RatingAreas[[#This Row],[Subdivision]]</f>
        <v>1</v>
      </c>
      <c r="N687">
        <v>684</v>
      </c>
    </row>
    <row r="688" spans="3:14">
      <c r="C688" t="s">
        <v>55</v>
      </c>
      <c r="D688" t="s">
        <v>1574</v>
      </c>
      <c r="E688" t="s">
        <v>112</v>
      </c>
      <c r="F688" s="36">
        <v>13</v>
      </c>
      <c r="G688" t="s">
        <v>1377</v>
      </c>
      <c r="I688" cm="1">
        <f t="array" ref="I688">_xlfn.IFNA(INDEX(QHPSelections2016[],MATCH(1,(QHPSelections2016[State Name]=HIX_RatingAreas[[#This Row],[State Code]])*(QHPSelections2016[County Name]=HIX_RatingAreas[[#This Row],[Subdivision]]),0),MATCH("Silver",QHPSelections2016[#Headers],0)),0)</f>
        <v>1151</v>
      </c>
      <c r="J688" cm="1">
        <f t="array" ref="J688">_xlfn.IFNA(INDEX(QHPSelections2016[],MATCH(1,(QHPSelections2016[State Name]=HIX_RatingAreas[[#This Row],[State Code]])*(QHPSelections2016[County Name]=HIX_RatingAreas[[#This Row],[Subdivision]]),0),MATCH("Total Plan Selections",QHPSelections2016[#Headers],0)),0)</f>
        <v>1705</v>
      </c>
      <c r="L688" t="str" cm="1">
        <f t="array" ref="L688">INDEX(QHPSelections2016[],MATCH(1,(QHPSelections2016[State Name]=HIX_RatingAreas[[#This Row],[State Code]])*(QHPSelections2016[County Name]=HIX_RatingAreas[[#This Row],[Subdivision]]),0),MATCH("County Name",QHPSelections2016[#Headers],0))</f>
        <v>Rusk County</v>
      </c>
      <c r="M688" t="b">
        <f>L688=HIX_RatingAreas[[#This Row],[Subdivision]]</f>
        <v>1</v>
      </c>
      <c r="N688">
        <v>685</v>
      </c>
    </row>
    <row r="689" spans="3:14">
      <c r="C689" t="s">
        <v>55</v>
      </c>
      <c r="D689" t="s">
        <v>1574</v>
      </c>
      <c r="E689" t="s">
        <v>112</v>
      </c>
      <c r="F689" s="36">
        <v>13</v>
      </c>
      <c r="G689" t="s">
        <v>1401</v>
      </c>
      <c r="I689" cm="1">
        <f t="array" ref="I689">_xlfn.IFNA(INDEX(QHPSelections2016[],MATCH(1,(QHPSelections2016[State Name]=HIX_RatingAreas[[#This Row],[State Code]])*(QHPSelections2016[County Name]=HIX_RatingAreas[[#This Row],[Subdivision]]),0),MATCH("Silver",QHPSelections2016[#Headers],0)),0)</f>
        <v>1083</v>
      </c>
      <c r="J689" cm="1">
        <f t="array" ref="J689">_xlfn.IFNA(INDEX(QHPSelections2016[],MATCH(1,(QHPSelections2016[State Name]=HIX_RatingAreas[[#This Row],[State Code]])*(QHPSelections2016[County Name]=HIX_RatingAreas[[#This Row],[Subdivision]]),0),MATCH("Total Plan Selections",QHPSelections2016[#Headers],0)),0)</f>
        <v>1611</v>
      </c>
      <c r="L689" t="str" cm="1">
        <f t="array" ref="L689">INDEX(QHPSelections2016[],MATCH(1,(QHPSelections2016[State Name]=HIX_RatingAreas[[#This Row],[State Code]])*(QHPSelections2016[County Name]=HIX_RatingAreas[[#This Row],[Subdivision]]),0),MATCH("County Name",QHPSelections2016[#Headers],0))</f>
        <v>Upshur County</v>
      </c>
      <c r="M689" t="b">
        <f>L689=HIX_RatingAreas[[#This Row],[Subdivision]]</f>
        <v>1</v>
      </c>
      <c r="N689">
        <v>686</v>
      </c>
    </row>
    <row r="690" spans="3:14">
      <c r="C690" t="s">
        <v>55</v>
      </c>
      <c r="D690" t="s">
        <v>1574</v>
      </c>
      <c r="E690" t="s">
        <v>167</v>
      </c>
      <c r="F690" s="36">
        <v>14</v>
      </c>
      <c r="G690" t="s">
        <v>1108</v>
      </c>
      <c r="I690" cm="1">
        <f t="array" ref="I690">_xlfn.IFNA(INDEX(QHPSelections2016[],MATCH(1,(QHPSelections2016[State Name]=HIX_RatingAreas[[#This Row],[State Code]])*(QHPSelections2016[County Name]=HIX_RatingAreas[[#This Row],[Subdivision]]),0),MATCH("Silver",QHPSelections2016[#Headers],0)),0)</f>
        <v>155</v>
      </c>
      <c r="J690" cm="1">
        <f t="array" ref="J690">_xlfn.IFNA(INDEX(QHPSelections2016[],MATCH(1,(QHPSelections2016[State Name]=HIX_RatingAreas[[#This Row],[State Code]])*(QHPSelections2016[County Name]=HIX_RatingAreas[[#This Row],[Subdivision]]),0),MATCH("Total Plan Selections",QHPSelections2016[#Headers],0)),0)</f>
        <v>223</v>
      </c>
      <c r="L690" t="str" cm="1">
        <f t="array" ref="L690">INDEX(QHPSelections2016[],MATCH(1,(QHPSelections2016[State Name]=HIX_RatingAreas[[#This Row],[State Code]])*(QHPSelections2016[County Name]=HIX_RatingAreas[[#This Row],[Subdivision]]),0),MATCH("County Name",QHPSelections2016[#Headers],0))</f>
        <v>Crosby County</v>
      </c>
      <c r="M690" t="b">
        <f>L690=HIX_RatingAreas[[#This Row],[Subdivision]]</f>
        <v>1</v>
      </c>
      <c r="N690">
        <v>687</v>
      </c>
    </row>
    <row r="691" spans="3:14">
      <c r="C691" t="s">
        <v>55</v>
      </c>
      <c r="D691" t="s">
        <v>1574</v>
      </c>
      <c r="E691" t="s">
        <v>167</v>
      </c>
      <c r="F691" s="36">
        <v>14</v>
      </c>
      <c r="G691" t="s">
        <v>1336</v>
      </c>
      <c r="I691" cm="1">
        <f t="array" ref="I691">_xlfn.IFNA(INDEX(QHPSelections2016[],MATCH(1,(QHPSelections2016[State Name]=HIX_RatingAreas[[#This Row],[State Code]])*(QHPSelections2016[County Name]=HIX_RatingAreas[[#This Row],[Subdivision]]),0),MATCH("Silver",QHPSelections2016[#Headers],0)),0)</f>
        <v>6117</v>
      </c>
      <c r="J691" cm="1">
        <f t="array" ref="J691">_xlfn.IFNA(INDEX(QHPSelections2016[],MATCH(1,(QHPSelections2016[State Name]=HIX_RatingAreas[[#This Row],[State Code]])*(QHPSelections2016[County Name]=HIX_RatingAreas[[#This Row],[Subdivision]]),0),MATCH("Total Plan Selections",QHPSelections2016[#Headers],0)),0)</f>
        <v>9395</v>
      </c>
      <c r="L691" t="str" cm="1">
        <f t="array" ref="L691">INDEX(QHPSelections2016[],MATCH(1,(QHPSelections2016[State Name]=HIX_RatingAreas[[#This Row],[State Code]])*(QHPSelections2016[County Name]=HIX_RatingAreas[[#This Row],[Subdivision]]),0),MATCH("County Name",QHPSelections2016[#Headers],0))</f>
        <v>Lubbock County</v>
      </c>
      <c r="M691" t="b">
        <f>L691=HIX_RatingAreas[[#This Row],[Subdivision]]</f>
        <v>1</v>
      </c>
      <c r="N691">
        <v>688</v>
      </c>
    </row>
    <row r="692" spans="3:14">
      <c r="C692" t="s">
        <v>55</v>
      </c>
      <c r="D692" t="s">
        <v>1574</v>
      </c>
      <c r="E692" t="s">
        <v>169</v>
      </c>
      <c r="F692" s="36">
        <v>15</v>
      </c>
      <c r="G692" t="s">
        <v>1279</v>
      </c>
      <c r="I692" cm="1">
        <f t="array" ref="I692">_xlfn.IFNA(INDEX(QHPSelections2016[],MATCH(1,(QHPSelections2016[State Name]=HIX_RatingAreas[[#This Row],[State Code]])*(QHPSelections2016[County Name]=HIX_RatingAreas[[#This Row],[Subdivision]]),0),MATCH("Silver",QHPSelections2016[#Headers],0)),0)</f>
        <v>29528</v>
      </c>
      <c r="J692" cm="1">
        <f t="array" ref="J692">_xlfn.IFNA(INDEX(QHPSelections2016[],MATCH(1,(QHPSelections2016[State Name]=HIX_RatingAreas[[#This Row],[State Code]])*(QHPSelections2016[County Name]=HIX_RatingAreas[[#This Row],[Subdivision]]),0),MATCH("Total Plan Selections",QHPSelections2016[#Headers],0)),0)</f>
        <v>38134</v>
      </c>
      <c r="L692" t="str" cm="1">
        <f t="array" ref="L692">INDEX(QHPSelections2016[],MATCH(1,(QHPSelections2016[State Name]=HIX_RatingAreas[[#This Row],[State Code]])*(QHPSelections2016[County Name]=HIX_RatingAreas[[#This Row],[Subdivision]]),0),MATCH("County Name",QHPSelections2016[#Headers],0))</f>
        <v>Hidalgo County</v>
      </c>
      <c r="M692" t="b">
        <f>L692=HIX_RatingAreas[[#This Row],[Subdivision]]</f>
        <v>1</v>
      </c>
      <c r="N692">
        <v>689</v>
      </c>
    </row>
    <row r="693" spans="3:14">
      <c r="C693" t="s">
        <v>55</v>
      </c>
      <c r="D693" t="s">
        <v>1574</v>
      </c>
      <c r="E693" t="s">
        <v>171</v>
      </c>
      <c r="F693" s="36">
        <v>16</v>
      </c>
      <c r="G693" t="s">
        <v>1349</v>
      </c>
      <c r="I693" cm="1">
        <f t="array" ref="I693">_xlfn.IFNA(INDEX(QHPSelections2016[],MATCH(1,(QHPSelections2016[State Name]=HIX_RatingAreas[[#This Row],[State Code]])*(QHPSelections2016[County Name]=HIX_RatingAreas[[#This Row],[Subdivision]]),0),MATCH("Silver",QHPSelections2016[#Headers],0)),0)</f>
        <v>2927</v>
      </c>
      <c r="J693" cm="1">
        <f t="array" ref="J693">_xlfn.IFNA(INDEX(QHPSelections2016[],MATCH(1,(QHPSelections2016[State Name]=HIX_RatingAreas[[#This Row],[State Code]])*(QHPSelections2016[County Name]=HIX_RatingAreas[[#This Row],[Subdivision]]),0),MATCH("Total Plan Selections",QHPSelections2016[#Headers],0)),0)</f>
        <v>4654</v>
      </c>
      <c r="L693" t="str" cm="1">
        <f t="array" ref="L693">INDEX(QHPSelections2016[],MATCH(1,(QHPSelections2016[State Name]=HIX_RatingAreas[[#This Row],[State Code]])*(QHPSelections2016[County Name]=HIX_RatingAreas[[#This Row],[Subdivision]]),0),MATCH("County Name",QHPSelections2016[#Headers],0))</f>
        <v>Midland County</v>
      </c>
      <c r="M693" t="b">
        <f>L693=HIX_RatingAreas[[#This Row],[Subdivision]]</f>
        <v>1</v>
      </c>
      <c r="N693">
        <v>690</v>
      </c>
    </row>
    <row r="694" spans="3:14">
      <c r="C694" t="s">
        <v>55</v>
      </c>
      <c r="D694" t="s">
        <v>1574</v>
      </c>
      <c r="E694" t="s">
        <v>172</v>
      </c>
      <c r="F694" s="36">
        <v>17</v>
      </c>
      <c r="G694" t="s">
        <v>1179</v>
      </c>
      <c r="I694" cm="1">
        <f t="array" ref="I694">_xlfn.IFNA(INDEX(QHPSelections2016[],MATCH(1,(QHPSelections2016[State Name]=HIX_RatingAreas[[#This Row],[State Code]])*(QHPSelections2016[County Name]=HIX_RatingAreas[[#This Row],[Subdivision]]),0),MATCH("Silver",QHPSelections2016[#Headers],0)),0)</f>
        <v>3181</v>
      </c>
      <c r="J694" cm="1">
        <f t="array" ref="J694">_xlfn.IFNA(INDEX(QHPSelections2016[],MATCH(1,(QHPSelections2016[State Name]=HIX_RatingAreas[[#This Row],[State Code]])*(QHPSelections2016[County Name]=HIX_RatingAreas[[#This Row],[Subdivision]]),0),MATCH("Total Plan Selections",QHPSelections2016[#Headers],0)),0)</f>
        <v>4760</v>
      </c>
      <c r="L694" t="str" cm="1">
        <f t="array" ref="L694">INDEX(QHPSelections2016[],MATCH(1,(QHPSelections2016[State Name]=HIX_RatingAreas[[#This Row],[State Code]])*(QHPSelections2016[County Name]=HIX_RatingAreas[[#This Row],[Subdivision]]),0),MATCH("County Name",QHPSelections2016[#Headers],0))</f>
        <v>Ector County</v>
      </c>
      <c r="M694" t="b">
        <f>L694=HIX_RatingAreas[[#This Row],[Subdivision]]</f>
        <v>1</v>
      </c>
      <c r="N694">
        <v>691</v>
      </c>
    </row>
    <row r="695" spans="3:14">
      <c r="C695" t="s">
        <v>55</v>
      </c>
      <c r="D695" t="s">
        <v>1574</v>
      </c>
      <c r="E695" t="s">
        <v>174</v>
      </c>
      <c r="F695" s="36">
        <v>18</v>
      </c>
      <c r="G695" t="s">
        <v>1293</v>
      </c>
      <c r="I695" cm="1">
        <f t="array" ref="I695">_xlfn.IFNA(INDEX(QHPSelections2016[],MATCH(1,(QHPSelections2016[State Name]=HIX_RatingAreas[[#This Row],[State Code]])*(QHPSelections2016[County Name]=HIX_RatingAreas[[#This Row],[Subdivision]]),0),MATCH("Silver",QHPSelections2016[#Headers],0)),0)</f>
        <v>42</v>
      </c>
      <c r="J695" cm="1">
        <f t="array" ref="J695">_xlfn.IFNA(INDEX(QHPSelections2016[],MATCH(1,(QHPSelections2016[State Name]=HIX_RatingAreas[[#This Row],[State Code]])*(QHPSelections2016[County Name]=HIX_RatingAreas[[#This Row],[Subdivision]]),0),MATCH("Total Plan Selections",QHPSelections2016[#Headers],0)),0)</f>
        <v>65</v>
      </c>
      <c r="L695" t="str" cm="1">
        <f t="array" ref="L695">INDEX(QHPSelections2016[],MATCH(1,(QHPSelections2016[State Name]=HIX_RatingAreas[[#This Row],[State Code]])*(QHPSelections2016[County Name]=HIX_RatingAreas[[#This Row],[Subdivision]]),0),MATCH("County Name",QHPSelections2016[#Headers],0))</f>
        <v>Irion County</v>
      </c>
      <c r="M695" t="b">
        <f>L695=HIX_RatingAreas[[#This Row],[Subdivision]]</f>
        <v>1</v>
      </c>
      <c r="N695">
        <v>692</v>
      </c>
    </row>
    <row r="696" spans="3:14">
      <c r="C696" t="s">
        <v>55</v>
      </c>
      <c r="D696" t="s">
        <v>1574</v>
      </c>
      <c r="E696" t="s">
        <v>174</v>
      </c>
      <c r="F696" s="36">
        <v>18</v>
      </c>
      <c r="G696" t="s">
        <v>1397</v>
      </c>
      <c r="I696" cm="1">
        <f t="array" ref="I696">_xlfn.IFNA(INDEX(QHPSelections2016[],MATCH(1,(QHPSelections2016[State Name]=HIX_RatingAreas[[#This Row],[State Code]])*(QHPSelections2016[County Name]=HIX_RatingAreas[[#This Row],[Subdivision]]),0),MATCH("Silver",QHPSelections2016[#Headers],0)),0)</f>
        <v>2891</v>
      </c>
      <c r="J696" cm="1">
        <f t="array" ref="J696">_xlfn.IFNA(INDEX(QHPSelections2016[],MATCH(1,(QHPSelections2016[State Name]=HIX_RatingAreas[[#This Row],[State Code]])*(QHPSelections2016[County Name]=HIX_RatingAreas[[#This Row],[Subdivision]]),0),MATCH("Total Plan Selections",QHPSelections2016[#Headers],0)),0)</f>
        <v>4068</v>
      </c>
      <c r="L696" t="str" cm="1">
        <f t="array" ref="L696">INDEX(QHPSelections2016[],MATCH(1,(QHPSelections2016[State Name]=HIX_RatingAreas[[#This Row],[State Code]])*(QHPSelections2016[County Name]=HIX_RatingAreas[[#This Row],[Subdivision]]),0),MATCH("County Name",QHPSelections2016[#Headers],0))</f>
        <v>Tom Green County</v>
      </c>
      <c r="M696" t="b">
        <f>L696=HIX_RatingAreas[[#This Row],[Subdivision]]</f>
        <v>1</v>
      </c>
      <c r="N696">
        <v>693</v>
      </c>
    </row>
    <row r="697" spans="3:14">
      <c r="C697" t="s">
        <v>55</v>
      </c>
      <c r="D697" t="s">
        <v>1574</v>
      </c>
      <c r="E697" t="s">
        <v>175</v>
      </c>
      <c r="F697" s="36">
        <v>19</v>
      </c>
      <c r="G697" t="s">
        <v>859</v>
      </c>
      <c r="I697" cm="1">
        <f t="array" ref="I697">_xlfn.IFNA(INDEX(QHPSelections2016[],MATCH(1,(QHPSelections2016[State Name]=HIX_RatingAreas[[#This Row],[State Code]])*(QHPSelections2016[County Name]=HIX_RatingAreas[[#This Row],[Subdivision]]),0),MATCH("Silver",QHPSelections2016[#Headers],0)),0)</f>
        <v>1443</v>
      </c>
      <c r="J697" cm="1">
        <f t="array" ref="J697">_xlfn.IFNA(INDEX(QHPSelections2016[],MATCH(1,(QHPSelections2016[State Name]=HIX_RatingAreas[[#This Row],[State Code]])*(QHPSelections2016[County Name]=HIX_RatingAreas[[#This Row],[Subdivision]]),0),MATCH("Total Plan Selections",QHPSelections2016[#Headers],0)),0)</f>
        <v>2094</v>
      </c>
      <c r="L697" t="str" cm="1">
        <f t="array" ref="L697">INDEX(QHPSelections2016[],MATCH(1,(QHPSelections2016[State Name]=HIX_RatingAreas[[#This Row],[State Code]])*(QHPSelections2016[County Name]=HIX_RatingAreas[[#This Row],[Subdivision]]),0),MATCH("County Name",QHPSelections2016[#Headers],0))</f>
        <v>Atascosa County</v>
      </c>
      <c r="M697" t="b">
        <f>L697=HIX_RatingAreas[[#This Row],[Subdivision]]</f>
        <v>1</v>
      </c>
      <c r="N697">
        <v>694</v>
      </c>
    </row>
    <row r="698" spans="3:14">
      <c r="C698" t="s">
        <v>55</v>
      </c>
      <c r="D698" t="s">
        <v>1574</v>
      </c>
      <c r="E698" t="s">
        <v>175</v>
      </c>
      <c r="F698" s="36">
        <v>19</v>
      </c>
      <c r="G698" t="s">
        <v>878</v>
      </c>
      <c r="I698" cm="1">
        <f t="array" ref="I698">_xlfn.IFNA(INDEX(QHPSelections2016[],MATCH(1,(QHPSelections2016[State Name]=HIX_RatingAreas[[#This Row],[State Code]])*(QHPSelections2016[County Name]=HIX_RatingAreas[[#This Row],[Subdivision]]),0),MATCH("Silver",QHPSelections2016[#Headers],0)),0)</f>
        <v>602</v>
      </c>
      <c r="J698" cm="1">
        <f t="array" ref="J698">_xlfn.IFNA(INDEX(QHPSelections2016[],MATCH(1,(QHPSelections2016[State Name]=HIX_RatingAreas[[#This Row],[State Code]])*(QHPSelections2016[County Name]=HIX_RatingAreas[[#This Row],[Subdivision]]),0),MATCH("Total Plan Selections",QHPSelections2016[#Headers],0)),0)</f>
        <v>932</v>
      </c>
      <c r="L698" t="str" cm="1">
        <f t="array" ref="L698">INDEX(QHPSelections2016[],MATCH(1,(QHPSelections2016[State Name]=HIX_RatingAreas[[#This Row],[State Code]])*(QHPSelections2016[County Name]=HIX_RatingAreas[[#This Row],[Subdivision]]),0),MATCH("County Name",QHPSelections2016[#Headers],0))</f>
        <v>Bandera County</v>
      </c>
      <c r="M698" t="b">
        <f>L698=HIX_RatingAreas[[#This Row],[Subdivision]]</f>
        <v>1</v>
      </c>
      <c r="N698">
        <v>695</v>
      </c>
    </row>
    <row r="699" spans="3:14">
      <c r="C699" t="s">
        <v>55</v>
      </c>
      <c r="D699" t="s">
        <v>1574</v>
      </c>
      <c r="E699" t="s">
        <v>175</v>
      </c>
      <c r="F699" s="36">
        <v>19</v>
      </c>
      <c r="G699" t="s">
        <v>906</v>
      </c>
      <c r="I699" cm="1">
        <f t="array" ref="I699">_xlfn.IFNA(INDEX(QHPSelections2016[],MATCH(1,(QHPSelections2016[State Name]=HIX_RatingAreas[[#This Row],[State Code]])*(QHPSelections2016[County Name]=HIX_RatingAreas[[#This Row],[Subdivision]]),0),MATCH("Silver",QHPSelections2016[#Headers],0)),0)</f>
        <v>69673</v>
      </c>
      <c r="J699" cm="1">
        <f t="array" ref="J699">_xlfn.IFNA(INDEX(QHPSelections2016[],MATCH(1,(QHPSelections2016[State Name]=HIX_RatingAreas[[#This Row],[State Code]])*(QHPSelections2016[County Name]=HIX_RatingAreas[[#This Row],[Subdivision]]),0),MATCH("Total Plan Selections",QHPSelections2016[#Headers],0)),0)</f>
        <v>92692</v>
      </c>
      <c r="L699" t="str" cm="1">
        <f t="array" ref="L699">INDEX(QHPSelections2016[],MATCH(1,(QHPSelections2016[State Name]=HIX_RatingAreas[[#This Row],[State Code]])*(QHPSelections2016[County Name]=HIX_RatingAreas[[#This Row],[Subdivision]]),0),MATCH("County Name",QHPSelections2016[#Headers],0))</f>
        <v>Bexar County</v>
      </c>
      <c r="M699" t="b">
        <f>L699=HIX_RatingAreas[[#This Row],[Subdivision]]</f>
        <v>1</v>
      </c>
      <c r="N699">
        <v>696</v>
      </c>
    </row>
    <row r="700" spans="3:14">
      <c r="C700" t="s">
        <v>55</v>
      </c>
      <c r="D700" t="s">
        <v>1574</v>
      </c>
      <c r="E700" t="s">
        <v>175</v>
      </c>
      <c r="F700" s="36">
        <v>19</v>
      </c>
      <c r="G700" t="s">
        <v>1065</v>
      </c>
      <c r="I700" cm="1">
        <f t="array" ref="I700">_xlfn.IFNA(INDEX(QHPSelections2016[],MATCH(1,(QHPSelections2016[State Name]=HIX_RatingAreas[[#This Row],[State Code]])*(QHPSelections2016[County Name]=HIX_RatingAreas[[#This Row],[Subdivision]]),0),MATCH("Silver",QHPSelections2016[#Headers],0)),0)</f>
        <v>3644</v>
      </c>
      <c r="J700" cm="1">
        <f t="array" ref="J700">_xlfn.IFNA(INDEX(QHPSelections2016[],MATCH(1,(QHPSelections2016[State Name]=HIX_RatingAreas[[#This Row],[State Code]])*(QHPSelections2016[County Name]=HIX_RatingAreas[[#This Row],[Subdivision]]),0),MATCH("Total Plan Selections",QHPSelections2016[#Headers],0)),0)</f>
        <v>5740</v>
      </c>
      <c r="L700" t="str" cm="1">
        <f t="array" ref="L700">INDEX(QHPSelections2016[],MATCH(1,(QHPSelections2016[State Name]=HIX_RatingAreas[[#This Row],[State Code]])*(QHPSelections2016[County Name]=HIX_RatingAreas[[#This Row],[Subdivision]]),0),MATCH("County Name",QHPSelections2016[#Headers],0))</f>
        <v>Comal County</v>
      </c>
      <c r="M700" t="b">
        <f>L700=HIX_RatingAreas[[#This Row],[Subdivision]]</f>
        <v>1</v>
      </c>
      <c r="N700">
        <v>697</v>
      </c>
    </row>
    <row r="701" spans="3:14">
      <c r="C701" t="s">
        <v>55</v>
      </c>
      <c r="D701" t="s">
        <v>1574</v>
      </c>
      <c r="E701" t="s">
        <v>175</v>
      </c>
      <c r="F701" s="36">
        <v>19</v>
      </c>
      <c r="G701" t="s">
        <v>1262</v>
      </c>
      <c r="I701" cm="1">
        <f t="array" ref="I701">_xlfn.IFNA(INDEX(QHPSelections2016[],MATCH(1,(QHPSelections2016[State Name]=HIX_RatingAreas[[#This Row],[State Code]])*(QHPSelections2016[County Name]=HIX_RatingAreas[[#This Row],[Subdivision]]),0),MATCH("Silver",QHPSelections2016[#Headers],0)),0)</f>
        <v>3089</v>
      </c>
      <c r="J701" cm="1">
        <f t="array" ref="J701">_xlfn.IFNA(INDEX(QHPSelections2016[],MATCH(1,(QHPSelections2016[State Name]=HIX_RatingAreas[[#This Row],[State Code]])*(QHPSelections2016[County Name]=HIX_RatingAreas[[#This Row],[Subdivision]]),0),MATCH("Total Plan Selections",QHPSelections2016[#Headers],0)),0)</f>
        <v>4856</v>
      </c>
      <c r="L701" t="str" cm="1">
        <f t="array" ref="L701">INDEX(QHPSelections2016[],MATCH(1,(QHPSelections2016[State Name]=HIX_RatingAreas[[#This Row],[State Code]])*(QHPSelections2016[County Name]=HIX_RatingAreas[[#This Row],[Subdivision]]),0),MATCH("County Name",QHPSelections2016[#Headers],0))</f>
        <v>Guadalupe County</v>
      </c>
      <c r="M701" t="b">
        <f>L701=HIX_RatingAreas[[#This Row],[Subdivision]]</f>
        <v>1</v>
      </c>
      <c r="N701">
        <v>698</v>
      </c>
    </row>
    <row r="702" spans="3:14">
      <c r="C702" t="s">
        <v>55</v>
      </c>
      <c r="D702" t="s">
        <v>1574</v>
      </c>
      <c r="E702" t="s">
        <v>175</v>
      </c>
      <c r="F702" s="36">
        <v>19</v>
      </c>
      <c r="G702" t="s">
        <v>1306</v>
      </c>
      <c r="I702" cm="1">
        <f t="array" ref="I702">_xlfn.IFNA(INDEX(QHPSelections2016[],MATCH(1,(QHPSelections2016[State Name]=HIX_RatingAreas[[#This Row],[State Code]])*(QHPSelections2016[County Name]=HIX_RatingAreas[[#This Row],[Subdivision]]),0),MATCH("Silver",QHPSelections2016[#Headers],0)),0)</f>
        <v>970</v>
      </c>
      <c r="J702" cm="1">
        <f t="array" ref="J702">_xlfn.IFNA(INDEX(QHPSelections2016[],MATCH(1,(QHPSelections2016[State Name]=HIX_RatingAreas[[#This Row],[State Code]])*(QHPSelections2016[County Name]=HIX_RatingAreas[[#This Row],[Subdivision]]),0),MATCH("Total Plan Selections",QHPSelections2016[#Headers],0)),0)</f>
        <v>1587</v>
      </c>
      <c r="L702" t="str" cm="1">
        <f t="array" ref="L702">INDEX(QHPSelections2016[],MATCH(1,(QHPSelections2016[State Name]=HIX_RatingAreas[[#This Row],[State Code]])*(QHPSelections2016[County Name]=HIX_RatingAreas[[#This Row],[Subdivision]]),0),MATCH("County Name",QHPSelections2016[#Headers],0))</f>
        <v>Kendall County</v>
      </c>
      <c r="M702" t="b">
        <f>L702=HIX_RatingAreas[[#This Row],[Subdivision]]</f>
        <v>1</v>
      </c>
      <c r="N702">
        <v>699</v>
      </c>
    </row>
    <row r="703" spans="3:14">
      <c r="C703" t="s">
        <v>55</v>
      </c>
      <c r="D703" t="s">
        <v>1574</v>
      </c>
      <c r="E703" t="s">
        <v>175</v>
      </c>
      <c r="F703" s="36">
        <v>19</v>
      </c>
      <c r="G703" t="s">
        <v>1347</v>
      </c>
      <c r="I703" cm="1">
        <f t="array" ref="I703">_xlfn.IFNA(INDEX(QHPSelections2016[],MATCH(1,(QHPSelections2016[State Name]=HIX_RatingAreas[[#This Row],[State Code]])*(QHPSelections2016[County Name]=HIX_RatingAreas[[#This Row],[Subdivision]]),0),MATCH("Silver",QHPSelections2016[#Headers],0)),0)</f>
        <v>1395</v>
      </c>
      <c r="J703" cm="1">
        <f t="array" ref="J703">_xlfn.IFNA(INDEX(QHPSelections2016[],MATCH(1,(QHPSelections2016[State Name]=HIX_RatingAreas[[#This Row],[State Code]])*(QHPSelections2016[County Name]=HIX_RatingAreas[[#This Row],[Subdivision]]),0),MATCH("Total Plan Selections",QHPSelections2016[#Headers],0)),0)</f>
        <v>2053</v>
      </c>
      <c r="L703" t="str" cm="1">
        <f t="array" ref="L703">INDEX(QHPSelections2016[],MATCH(1,(QHPSelections2016[State Name]=HIX_RatingAreas[[#This Row],[State Code]])*(QHPSelections2016[County Name]=HIX_RatingAreas[[#This Row],[Subdivision]]),0),MATCH("County Name",QHPSelections2016[#Headers],0))</f>
        <v>Medina County</v>
      </c>
      <c r="M703" t="b">
        <f>L703=HIX_RatingAreas[[#This Row],[Subdivision]]</f>
        <v>1</v>
      </c>
      <c r="N703">
        <v>700</v>
      </c>
    </row>
    <row r="704" spans="3:14">
      <c r="C704" t="s">
        <v>55</v>
      </c>
      <c r="D704" t="s">
        <v>1574</v>
      </c>
      <c r="E704" t="s">
        <v>175</v>
      </c>
      <c r="F704" s="36">
        <v>19</v>
      </c>
      <c r="G704" t="s">
        <v>1265</v>
      </c>
      <c r="I704" cm="1">
        <f t="array" ref="I704">_xlfn.IFNA(INDEX(QHPSelections2016[],MATCH(1,(QHPSelections2016[State Name]=HIX_RatingAreas[[#This Row],[State Code]])*(QHPSelections2016[County Name]=HIX_RatingAreas[[#This Row],[Subdivision]]),0),MATCH("Silver",QHPSelections2016[#Headers],0)),0)</f>
        <v>1204</v>
      </c>
      <c r="J704" cm="1">
        <f t="array" ref="J704">_xlfn.IFNA(INDEX(QHPSelections2016[],MATCH(1,(QHPSelections2016[State Name]=HIX_RatingAreas[[#This Row],[State Code]])*(QHPSelections2016[County Name]=HIX_RatingAreas[[#This Row],[Subdivision]]),0),MATCH("Total Plan Selections",QHPSelections2016[#Headers],0)),0)</f>
        <v>1833</v>
      </c>
      <c r="L704" t="str" cm="1">
        <f t="array" ref="L704">INDEX(QHPSelections2016[],MATCH(1,(QHPSelections2016[State Name]=HIX_RatingAreas[[#This Row],[State Code]])*(QHPSelections2016[County Name]=HIX_RatingAreas[[#This Row],[Subdivision]]),0),MATCH("County Name",QHPSelections2016[#Headers],0))</f>
        <v>Wilson County</v>
      </c>
      <c r="M704" t="b">
        <f>L704=HIX_RatingAreas[[#This Row],[Subdivision]]</f>
        <v>1</v>
      </c>
      <c r="N704">
        <v>701</v>
      </c>
    </row>
    <row r="705" spans="3:14">
      <c r="C705" t="s">
        <v>55</v>
      </c>
      <c r="D705" t="s">
        <v>1574</v>
      </c>
      <c r="E705" t="s">
        <v>177</v>
      </c>
      <c r="F705" s="36">
        <v>20</v>
      </c>
      <c r="G705" t="s">
        <v>1253</v>
      </c>
      <c r="I705" cm="1">
        <f t="array" ref="I705">_xlfn.IFNA(INDEX(QHPSelections2016[],MATCH(1,(QHPSelections2016[State Name]=HIX_RatingAreas[[#This Row],[State Code]])*(QHPSelections2016[County Name]=HIX_RatingAreas[[#This Row],[Subdivision]]),0),MATCH("Silver",QHPSelections2016[#Headers],0)),0)</f>
        <v>2910</v>
      </c>
      <c r="J705" cm="1">
        <f t="array" ref="J705">_xlfn.IFNA(INDEX(QHPSelections2016[],MATCH(1,(QHPSelections2016[State Name]=HIX_RatingAreas[[#This Row],[State Code]])*(QHPSelections2016[County Name]=HIX_RatingAreas[[#This Row],[Subdivision]]),0),MATCH("Total Plan Selections",QHPSelections2016[#Headers],0)),0)</f>
        <v>4366</v>
      </c>
      <c r="L705" t="str" cm="1">
        <f t="array" ref="L705">INDEX(QHPSelections2016[],MATCH(1,(QHPSelections2016[State Name]=HIX_RatingAreas[[#This Row],[State Code]])*(QHPSelections2016[County Name]=HIX_RatingAreas[[#This Row],[Subdivision]]),0),MATCH("County Name",QHPSelections2016[#Headers],0))</f>
        <v>Grayson County</v>
      </c>
      <c r="M705" t="b">
        <f>L705=HIX_RatingAreas[[#This Row],[Subdivision]]</f>
        <v>1</v>
      </c>
      <c r="N705">
        <v>702</v>
      </c>
    </row>
    <row r="706" spans="3:14">
      <c r="C706" t="s">
        <v>55</v>
      </c>
      <c r="D706" t="s">
        <v>1574</v>
      </c>
      <c r="E706" t="s">
        <v>179</v>
      </c>
      <c r="F706" s="36">
        <v>21</v>
      </c>
      <c r="G706" t="s">
        <v>929</v>
      </c>
      <c r="I706" cm="1">
        <f t="array" ref="I706">_xlfn.IFNA(INDEX(QHPSelections2016[],MATCH(1,(QHPSelections2016[State Name]=HIX_RatingAreas[[#This Row],[State Code]])*(QHPSelections2016[County Name]=HIX_RatingAreas[[#This Row],[Subdivision]]),0),MATCH("Silver",QHPSelections2016[#Headers],0)),0)</f>
        <v>1852</v>
      </c>
      <c r="J706" cm="1">
        <f t="array" ref="J706">_xlfn.IFNA(INDEX(QHPSelections2016[],MATCH(1,(QHPSelections2016[State Name]=HIX_RatingAreas[[#This Row],[State Code]])*(QHPSelections2016[County Name]=HIX_RatingAreas[[#This Row],[Subdivision]]),0),MATCH("Total Plan Selections",QHPSelections2016[#Headers],0)),0)</f>
        <v>2834</v>
      </c>
      <c r="L706" t="str" cm="1">
        <f t="array" ref="L706">INDEX(QHPSelections2016[],MATCH(1,(QHPSelections2016[State Name]=HIX_RatingAreas[[#This Row],[State Code]])*(QHPSelections2016[County Name]=HIX_RatingAreas[[#This Row],[Subdivision]]),0),MATCH("County Name",QHPSelections2016[#Headers],0))</f>
        <v>Bowie County</v>
      </c>
      <c r="M706" t="b">
        <f>L706=HIX_RatingAreas[[#This Row],[Subdivision]]</f>
        <v>1</v>
      </c>
      <c r="N706">
        <v>703</v>
      </c>
    </row>
    <row r="707" spans="3:14">
      <c r="C707" t="s">
        <v>55</v>
      </c>
      <c r="D707" t="s">
        <v>1574</v>
      </c>
      <c r="E707" t="s">
        <v>181</v>
      </c>
      <c r="F707" s="36">
        <v>22</v>
      </c>
      <c r="G707" t="s">
        <v>1163</v>
      </c>
      <c r="I707" cm="1">
        <f t="array" ref="I707">_xlfn.IFNA(INDEX(QHPSelections2016[],MATCH(1,(QHPSelections2016[State Name]=HIX_RatingAreas[[#This Row],[State Code]])*(QHPSelections2016[County Name]=HIX_RatingAreas[[#This Row],[Subdivision]]),0),MATCH("Silver",QHPSelections2016[#Headers],0)),0)</f>
        <v>6261</v>
      </c>
      <c r="J707" cm="1">
        <f t="array" ref="J707">_xlfn.IFNA(INDEX(QHPSelections2016[],MATCH(1,(QHPSelections2016[State Name]=HIX_RatingAreas[[#This Row],[State Code]])*(QHPSelections2016[County Name]=HIX_RatingAreas[[#This Row],[Subdivision]]),0),MATCH("Total Plan Selections",QHPSelections2016[#Headers],0)),0)</f>
        <v>9261</v>
      </c>
      <c r="L707" t="str" cm="1">
        <f t="array" ref="L707">INDEX(QHPSelections2016[],MATCH(1,(QHPSelections2016[State Name]=HIX_RatingAreas[[#This Row],[State Code]])*(QHPSelections2016[County Name]=HIX_RatingAreas[[#This Row],[Subdivision]]),0),MATCH("County Name",QHPSelections2016[#Headers],0))</f>
        <v>Smith County</v>
      </c>
      <c r="M707" t="b">
        <f>L707=HIX_RatingAreas[[#This Row],[Subdivision]]</f>
        <v>1</v>
      </c>
      <c r="N707">
        <v>704</v>
      </c>
    </row>
    <row r="708" spans="3:14">
      <c r="C708" t="s">
        <v>55</v>
      </c>
      <c r="D708" t="s">
        <v>1574</v>
      </c>
      <c r="E708" t="s">
        <v>183</v>
      </c>
      <c r="F708" s="36">
        <v>23</v>
      </c>
      <c r="G708" t="s">
        <v>855</v>
      </c>
      <c r="I708" cm="1">
        <f t="array" ref="I708">_xlfn.IFNA(INDEX(QHPSelections2016[],MATCH(1,(QHPSelections2016[State Name]=HIX_RatingAreas[[#This Row],[State Code]])*(QHPSelections2016[County Name]=HIX_RatingAreas[[#This Row],[Subdivision]]),0),MATCH("Silver",QHPSelections2016[#Headers],0)),0)</f>
        <v>510</v>
      </c>
      <c r="J708" cm="1">
        <f t="array" ref="J708">_xlfn.IFNA(INDEX(QHPSelections2016[],MATCH(1,(QHPSelections2016[State Name]=HIX_RatingAreas[[#This Row],[State Code]])*(QHPSelections2016[County Name]=HIX_RatingAreas[[#This Row],[Subdivision]]),0),MATCH("Total Plan Selections",QHPSelections2016[#Headers],0)),0)</f>
        <v>791</v>
      </c>
      <c r="L708" t="str" cm="1">
        <f t="array" ref="L708">INDEX(QHPSelections2016[],MATCH(1,(QHPSelections2016[State Name]=HIX_RatingAreas[[#This Row],[State Code]])*(QHPSelections2016[County Name]=HIX_RatingAreas[[#This Row],[Subdivision]]),0),MATCH("County Name",QHPSelections2016[#Headers],0))</f>
        <v>Calhoun County</v>
      </c>
      <c r="M708" t="b">
        <f>L708=HIX_RatingAreas[[#This Row],[Subdivision]]</f>
        <v>1</v>
      </c>
      <c r="N708">
        <v>705</v>
      </c>
    </row>
    <row r="709" spans="3:14">
      <c r="C709" t="s">
        <v>55</v>
      </c>
      <c r="D709" t="s">
        <v>1574</v>
      </c>
      <c r="E709" t="s">
        <v>183</v>
      </c>
      <c r="F709" s="36">
        <v>23</v>
      </c>
      <c r="G709" t="s">
        <v>1247</v>
      </c>
      <c r="I709" cm="1">
        <f t="array" ref="I709">_xlfn.IFNA(INDEX(QHPSelections2016[],MATCH(1,(QHPSelections2016[State Name]=HIX_RatingAreas[[#This Row],[State Code]])*(QHPSelections2016[County Name]=HIX_RatingAreas[[#This Row],[Subdivision]]),0),MATCH("Silver",QHPSelections2016[#Headers],0)),0)</f>
        <v>195</v>
      </c>
      <c r="J709" cm="1">
        <f t="array" ref="J709">_xlfn.IFNA(INDEX(QHPSelections2016[],MATCH(1,(QHPSelections2016[State Name]=HIX_RatingAreas[[#This Row],[State Code]])*(QHPSelections2016[County Name]=HIX_RatingAreas[[#This Row],[Subdivision]]),0),MATCH("Total Plan Selections",QHPSelections2016[#Headers],0)),0)</f>
        <v>291</v>
      </c>
      <c r="L709" t="str" cm="1">
        <f t="array" ref="L709">INDEX(QHPSelections2016[],MATCH(1,(QHPSelections2016[State Name]=HIX_RatingAreas[[#This Row],[State Code]])*(QHPSelections2016[County Name]=HIX_RatingAreas[[#This Row],[Subdivision]]),0),MATCH("County Name",QHPSelections2016[#Headers],0))</f>
        <v>Goliad County</v>
      </c>
      <c r="M709" t="b">
        <f>L709=HIX_RatingAreas[[#This Row],[Subdivision]]</f>
        <v>1</v>
      </c>
      <c r="N709">
        <v>706</v>
      </c>
    </row>
    <row r="710" spans="3:14">
      <c r="C710" t="s">
        <v>55</v>
      </c>
      <c r="D710" t="s">
        <v>1574</v>
      </c>
      <c r="E710" t="s">
        <v>183</v>
      </c>
      <c r="F710" s="36">
        <v>23</v>
      </c>
      <c r="G710" t="s">
        <v>1406</v>
      </c>
      <c r="I710" cm="1">
        <f t="array" ref="I710">_xlfn.IFNA(INDEX(QHPSelections2016[],MATCH(1,(QHPSelections2016[State Name]=HIX_RatingAreas[[#This Row],[State Code]])*(QHPSelections2016[County Name]=HIX_RatingAreas[[#This Row],[Subdivision]]),0),MATCH("Silver",QHPSelections2016[#Headers],0)),0)</f>
        <v>1841</v>
      </c>
      <c r="J710" cm="1">
        <f t="array" ref="J710">_xlfn.IFNA(INDEX(QHPSelections2016[],MATCH(1,(QHPSelections2016[State Name]=HIX_RatingAreas[[#This Row],[State Code]])*(QHPSelections2016[County Name]=HIX_RatingAreas[[#This Row],[Subdivision]]),0),MATCH("Total Plan Selections",QHPSelections2016[#Headers],0)),0)</f>
        <v>2869</v>
      </c>
      <c r="L710" t="str" cm="1">
        <f t="array" ref="L710">INDEX(QHPSelections2016[],MATCH(1,(QHPSelections2016[State Name]=HIX_RatingAreas[[#This Row],[State Code]])*(QHPSelections2016[County Name]=HIX_RatingAreas[[#This Row],[Subdivision]]),0),MATCH("County Name",QHPSelections2016[#Headers],0))</f>
        <v>Victoria County</v>
      </c>
      <c r="M710" t="b">
        <f>L710=HIX_RatingAreas[[#This Row],[Subdivision]]</f>
        <v>1</v>
      </c>
      <c r="N710">
        <v>707</v>
      </c>
    </row>
    <row r="711" spans="3:14">
      <c r="C711" t="s">
        <v>55</v>
      </c>
      <c r="D711" t="s">
        <v>1574</v>
      </c>
      <c r="E711" t="s">
        <v>185</v>
      </c>
      <c r="F711" s="36">
        <v>24</v>
      </c>
      <c r="G711" t="s">
        <v>1341</v>
      </c>
      <c r="I711" cm="1">
        <f t="array" ref="I711">_xlfn.IFNA(INDEX(QHPSelections2016[],MATCH(1,(QHPSelections2016[State Name]=HIX_RatingAreas[[#This Row],[State Code]])*(QHPSelections2016[County Name]=HIX_RatingAreas[[#This Row],[Subdivision]]),0),MATCH("Silver",QHPSelections2016[#Headers],0)),0)</f>
        <v>5441</v>
      </c>
      <c r="J711" cm="1">
        <f t="array" ref="J711">_xlfn.IFNA(INDEX(QHPSelections2016[],MATCH(1,(QHPSelections2016[State Name]=HIX_RatingAreas[[#This Row],[State Code]])*(QHPSelections2016[County Name]=HIX_RatingAreas[[#This Row],[Subdivision]]),0),MATCH("Total Plan Selections",QHPSelections2016[#Headers],0)),0)</f>
        <v>7858</v>
      </c>
      <c r="L711" t="str" cm="1">
        <f t="array" ref="L711">INDEX(QHPSelections2016[],MATCH(1,(QHPSelections2016[State Name]=HIX_RatingAreas[[#This Row],[State Code]])*(QHPSelections2016[County Name]=HIX_RatingAreas[[#This Row],[Subdivision]]),0),MATCH("County Name",QHPSelections2016[#Headers],0))</f>
        <v>McLennan County</v>
      </c>
      <c r="M711" t="b">
        <f>L711=HIX_RatingAreas[[#This Row],[Subdivision]]</f>
        <v>1</v>
      </c>
      <c r="N711">
        <v>708</v>
      </c>
    </row>
    <row r="712" spans="3:14">
      <c r="C712" t="s">
        <v>55</v>
      </c>
      <c r="D712" t="s">
        <v>1574</v>
      </c>
      <c r="E712" t="s">
        <v>187</v>
      </c>
      <c r="F712" s="36">
        <v>25</v>
      </c>
      <c r="G712" t="s">
        <v>846</v>
      </c>
      <c r="I712" cm="1">
        <f t="array" ref="I712">_xlfn.IFNA(INDEX(QHPSelections2016[],MATCH(1,(QHPSelections2016[State Name]=HIX_RatingAreas[[#This Row],[State Code]])*(QHPSelections2016[County Name]=HIX_RatingAreas[[#This Row],[Subdivision]]),0),MATCH("Silver",QHPSelections2016[#Headers],0)),0)</f>
        <v>145</v>
      </c>
      <c r="J712" cm="1">
        <f t="array" ref="J712">_xlfn.IFNA(INDEX(QHPSelections2016[],MATCH(1,(QHPSelections2016[State Name]=HIX_RatingAreas[[#This Row],[State Code]])*(QHPSelections2016[County Name]=HIX_RatingAreas[[#This Row],[Subdivision]]),0),MATCH("Total Plan Selections",QHPSelections2016[#Headers],0)),0)</f>
        <v>266</v>
      </c>
      <c r="L712" t="str" cm="1">
        <f t="array" ref="L712">INDEX(QHPSelections2016[],MATCH(1,(QHPSelections2016[State Name]=HIX_RatingAreas[[#This Row],[State Code]])*(QHPSelections2016[County Name]=HIX_RatingAreas[[#This Row],[Subdivision]]),0),MATCH("County Name",QHPSelections2016[#Headers],0))</f>
        <v>Archer County</v>
      </c>
      <c r="M712" t="b">
        <f>L712=HIX_RatingAreas[[#This Row],[Subdivision]]</f>
        <v>1</v>
      </c>
      <c r="N712">
        <v>709</v>
      </c>
    </row>
    <row r="713" spans="3:14">
      <c r="C713" t="s">
        <v>55</v>
      </c>
      <c r="D713" t="s">
        <v>1574</v>
      </c>
      <c r="E713" t="s">
        <v>187</v>
      </c>
      <c r="F713" s="36">
        <v>25</v>
      </c>
      <c r="G713" t="s">
        <v>873</v>
      </c>
      <c r="I713" cm="1">
        <f t="array" ref="I713">_xlfn.IFNA(INDEX(QHPSelections2016[],MATCH(1,(QHPSelections2016[State Name]=HIX_RatingAreas[[#This Row],[State Code]])*(QHPSelections2016[County Name]=HIX_RatingAreas[[#This Row],[Subdivision]]),0),MATCH("Silver",QHPSelections2016[#Headers],0)),0)</f>
        <v>170</v>
      </c>
      <c r="J713" cm="1">
        <f t="array" ref="J713">_xlfn.IFNA(INDEX(QHPSelections2016[],MATCH(1,(QHPSelections2016[State Name]=HIX_RatingAreas[[#This Row],[State Code]])*(QHPSelections2016[County Name]=HIX_RatingAreas[[#This Row],[Subdivision]]),0),MATCH("Total Plan Selections",QHPSelections2016[#Headers],0)),0)</f>
        <v>287</v>
      </c>
      <c r="L713" t="str" cm="1">
        <f t="array" ref="L713">INDEX(QHPSelections2016[],MATCH(1,(QHPSelections2016[State Name]=HIX_RatingAreas[[#This Row],[State Code]])*(QHPSelections2016[County Name]=HIX_RatingAreas[[#This Row],[Subdivision]]),0),MATCH("County Name",QHPSelections2016[#Headers],0))</f>
        <v>Clay County</v>
      </c>
      <c r="M713" t="b">
        <f>L713=HIX_RatingAreas[[#This Row],[Subdivision]]</f>
        <v>1</v>
      </c>
      <c r="N713">
        <v>710</v>
      </c>
    </row>
    <row r="714" spans="3:14">
      <c r="C714" t="s">
        <v>55</v>
      </c>
      <c r="D714" t="s">
        <v>1574</v>
      </c>
      <c r="E714" t="s">
        <v>187</v>
      </c>
      <c r="F714" s="36">
        <v>25</v>
      </c>
      <c r="G714" t="s">
        <v>1411</v>
      </c>
      <c r="I714" cm="1">
        <f t="array" ref="I714">_xlfn.IFNA(INDEX(QHPSelections2016[],MATCH(1,(QHPSelections2016[State Name]=HIX_RatingAreas[[#This Row],[State Code]])*(QHPSelections2016[County Name]=HIX_RatingAreas[[#This Row],[Subdivision]]),0),MATCH("Silver",QHPSelections2016[#Headers],0)),0)</f>
        <v>2102</v>
      </c>
      <c r="J714" cm="1">
        <f t="array" ref="J714">_xlfn.IFNA(INDEX(QHPSelections2016[],MATCH(1,(QHPSelections2016[State Name]=HIX_RatingAreas[[#This Row],[State Code]])*(QHPSelections2016[County Name]=HIX_RatingAreas[[#This Row],[Subdivision]]),0),MATCH("Total Plan Selections",QHPSelections2016[#Headers],0)),0)</f>
        <v>3340</v>
      </c>
      <c r="L714" t="str" cm="1">
        <f t="array" ref="L714">INDEX(QHPSelections2016[],MATCH(1,(QHPSelections2016[State Name]=HIX_RatingAreas[[#This Row],[State Code]])*(QHPSelections2016[County Name]=HIX_RatingAreas[[#This Row],[Subdivision]]),0),MATCH("County Name",QHPSelections2016[#Headers],0))</f>
        <v>Wichita County</v>
      </c>
      <c r="M714" t="b">
        <f>L714=HIX_RatingAreas[[#This Row],[Subdivision]]</f>
        <v>1</v>
      </c>
      <c r="N714">
        <v>711</v>
      </c>
    </row>
    <row r="715" spans="3:14">
      <c r="C715" t="s">
        <v>55</v>
      </c>
      <c r="D715" t="s">
        <v>1574</v>
      </c>
      <c r="E715" t="s">
        <v>189</v>
      </c>
      <c r="F715" s="36">
        <v>26</v>
      </c>
      <c r="G715" t="s">
        <v>822</v>
      </c>
      <c r="I715" cm="1">
        <f t="array" ref="I715">_xlfn.IFNA(INDEX(QHPSelections2016[],MATCH(1,(QHPSelections2016[State Name]=HIX_RatingAreas[[#This Row],[State Code]])*(QHPSelections2016[County Name]=HIX_RatingAreas[[#This Row],[Subdivision]]),0),MATCH("Silver",QHPSelections2016[#Headers],0)),0)</f>
        <v>887</v>
      </c>
      <c r="J715" cm="1">
        <f t="array" ref="J715">_xlfn.IFNA(INDEX(QHPSelections2016[],MATCH(1,(QHPSelections2016[State Name]=HIX_RatingAreas[[#This Row],[State Code]])*(QHPSelections2016[County Name]=HIX_RatingAreas[[#This Row],[Subdivision]]),0),MATCH("Total Plan Selections",QHPSelections2016[#Headers],0)),0)</f>
        <v>1328</v>
      </c>
      <c r="L715" t="str" cm="1">
        <f t="array" ref="L715">INDEX(QHPSelections2016[],MATCH(1,(QHPSelections2016[State Name]=HIX_RatingAreas[[#This Row],[State Code]])*(QHPSelections2016[County Name]=HIX_RatingAreas[[#This Row],[Subdivision]]),0),MATCH("County Name",QHPSelections2016[#Headers],0))</f>
        <v>Anderson County</v>
      </c>
      <c r="M715" t="b">
        <f>L715=HIX_RatingAreas[[#This Row],[Subdivision]]</f>
        <v>1</v>
      </c>
      <c r="N715">
        <v>712</v>
      </c>
    </row>
    <row r="716" spans="3:14">
      <c r="C716" t="s">
        <v>55</v>
      </c>
      <c r="D716" t="s">
        <v>1574</v>
      </c>
      <c r="E716" t="s">
        <v>189</v>
      </c>
      <c r="F716" s="36">
        <v>26</v>
      </c>
      <c r="G716" t="s">
        <v>829</v>
      </c>
      <c r="I716" cm="1">
        <f t="array" ref="I716">_xlfn.IFNA(INDEX(QHPSelections2016[],MATCH(1,(QHPSelections2016[State Name]=HIX_RatingAreas[[#This Row],[State Code]])*(QHPSelections2016[County Name]=HIX_RatingAreas[[#This Row],[Subdivision]]),0),MATCH("Silver",QHPSelections2016[#Headers],0)),0)</f>
        <v>266</v>
      </c>
      <c r="J716" cm="1">
        <f t="array" ref="J716">_xlfn.IFNA(INDEX(QHPSelections2016[],MATCH(1,(QHPSelections2016[State Name]=HIX_RatingAreas[[#This Row],[State Code]])*(QHPSelections2016[County Name]=HIX_RatingAreas[[#This Row],[Subdivision]]),0),MATCH("Total Plan Selections",QHPSelections2016[#Headers],0)),0)</f>
        <v>428</v>
      </c>
      <c r="L716" t="str" cm="1">
        <f t="array" ref="L716">INDEX(QHPSelections2016[],MATCH(1,(QHPSelections2016[State Name]=HIX_RatingAreas[[#This Row],[State Code]])*(QHPSelections2016[County Name]=HIX_RatingAreas[[#This Row],[Subdivision]]),0),MATCH("County Name",QHPSelections2016[#Headers],0))</f>
        <v>Andrews County</v>
      </c>
      <c r="M716" t="b">
        <f>L716=HIX_RatingAreas[[#This Row],[Subdivision]]</f>
        <v>1</v>
      </c>
      <c r="N716">
        <v>713</v>
      </c>
    </row>
    <row r="717" spans="3:14">
      <c r="C717" t="s">
        <v>55</v>
      </c>
      <c r="D717" t="s">
        <v>1574</v>
      </c>
      <c r="E717" t="s">
        <v>189</v>
      </c>
      <c r="F717" s="36">
        <v>26</v>
      </c>
      <c r="G717" t="s">
        <v>836</v>
      </c>
      <c r="I717" cm="1">
        <f t="array" ref="I717">_xlfn.IFNA(INDEX(QHPSelections2016[],MATCH(1,(QHPSelections2016[State Name]=HIX_RatingAreas[[#This Row],[State Code]])*(QHPSelections2016[County Name]=HIX_RatingAreas[[#This Row],[Subdivision]]),0),MATCH("Silver",QHPSelections2016[#Headers],0)),0)</f>
        <v>1857</v>
      </c>
      <c r="J717" cm="1">
        <f t="array" ref="J717">_xlfn.IFNA(INDEX(QHPSelections2016[],MATCH(1,(QHPSelections2016[State Name]=HIX_RatingAreas[[#This Row],[State Code]])*(QHPSelections2016[County Name]=HIX_RatingAreas[[#This Row],[Subdivision]]),0),MATCH("Total Plan Selections",QHPSelections2016[#Headers],0)),0)</f>
        <v>2846</v>
      </c>
      <c r="L717" t="str" cm="1">
        <f t="array" ref="L717">INDEX(QHPSelections2016[],MATCH(1,(QHPSelections2016[State Name]=HIX_RatingAreas[[#This Row],[State Code]])*(QHPSelections2016[County Name]=HIX_RatingAreas[[#This Row],[Subdivision]]),0),MATCH("County Name",QHPSelections2016[#Headers],0))</f>
        <v>Angelina County</v>
      </c>
      <c r="M717" t="b">
        <f>L717=HIX_RatingAreas[[#This Row],[Subdivision]]</f>
        <v>1</v>
      </c>
      <c r="N717">
        <v>714</v>
      </c>
    </row>
    <row r="718" spans="3:14">
      <c r="C718" t="s">
        <v>55</v>
      </c>
      <c r="D718" t="s">
        <v>1574</v>
      </c>
      <c r="E718" t="s">
        <v>189</v>
      </c>
      <c r="F718" s="36">
        <v>26</v>
      </c>
      <c r="G718" t="s">
        <v>871</v>
      </c>
      <c r="I718" cm="1">
        <f t="array" ref="I718">_xlfn.IFNA(INDEX(QHPSelections2016[],MATCH(1,(QHPSelections2016[State Name]=HIX_RatingAreas[[#This Row],[State Code]])*(QHPSelections2016[County Name]=HIX_RatingAreas[[#This Row],[Subdivision]]),0),MATCH("Silver",QHPSelections2016[#Headers],0)),0)</f>
        <v>192</v>
      </c>
      <c r="J718" cm="1">
        <f t="array" ref="J718">_xlfn.IFNA(INDEX(QHPSelections2016[],MATCH(1,(QHPSelections2016[State Name]=HIX_RatingAreas[[#This Row],[State Code]])*(QHPSelections2016[County Name]=HIX_RatingAreas[[#This Row],[Subdivision]]),0),MATCH("Total Plan Selections",QHPSelections2016[#Headers],0)),0)</f>
        <v>287</v>
      </c>
      <c r="L718" t="str" cm="1">
        <f t="array" ref="L718">INDEX(QHPSelections2016[],MATCH(1,(QHPSelections2016[State Name]=HIX_RatingAreas[[#This Row],[State Code]])*(QHPSelections2016[County Name]=HIX_RatingAreas[[#This Row],[Subdivision]]),0),MATCH("County Name",QHPSelections2016[#Headers],0))</f>
        <v>Bailey County</v>
      </c>
      <c r="M718" t="b">
        <f>L718=HIX_RatingAreas[[#This Row],[Subdivision]]</f>
        <v>1</v>
      </c>
      <c r="N718">
        <v>715</v>
      </c>
    </row>
    <row r="719" spans="3:14">
      <c r="C719" t="s">
        <v>55</v>
      </c>
      <c r="D719" t="s">
        <v>1574</v>
      </c>
      <c r="E719" t="s">
        <v>189</v>
      </c>
      <c r="F719" s="36">
        <v>26</v>
      </c>
      <c r="G719" t="s">
        <v>890</v>
      </c>
      <c r="I719" cm="1">
        <f t="array" ref="I719">_xlfn.IFNA(INDEX(QHPSelections2016[],MATCH(1,(QHPSelections2016[State Name]=HIX_RatingAreas[[#This Row],[State Code]])*(QHPSelections2016[County Name]=HIX_RatingAreas[[#This Row],[Subdivision]]),0),MATCH("Silver",QHPSelections2016[#Headers],0)),0)</f>
        <v>79</v>
      </c>
      <c r="J719" cm="1">
        <f t="array" ref="J719">_xlfn.IFNA(INDEX(QHPSelections2016[],MATCH(1,(QHPSelections2016[State Name]=HIX_RatingAreas[[#This Row],[State Code]])*(QHPSelections2016[County Name]=HIX_RatingAreas[[#This Row],[Subdivision]]),0),MATCH("Total Plan Selections",QHPSelections2016[#Headers],0)),0)</f>
        <v>103</v>
      </c>
      <c r="L719" t="str" cm="1">
        <f t="array" ref="L719">INDEX(QHPSelections2016[],MATCH(1,(QHPSelections2016[State Name]=HIX_RatingAreas[[#This Row],[State Code]])*(QHPSelections2016[County Name]=HIX_RatingAreas[[#This Row],[Subdivision]]),0),MATCH("County Name",QHPSelections2016[#Headers],0))</f>
        <v>Baylor County</v>
      </c>
      <c r="M719" t="b">
        <f>L719=HIX_RatingAreas[[#This Row],[Subdivision]]</f>
        <v>1</v>
      </c>
      <c r="N719">
        <v>716</v>
      </c>
    </row>
    <row r="720" spans="3:14">
      <c r="C720" t="s">
        <v>55</v>
      </c>
      <c r="D720" t="s">
        <v>1574</v>
      </c>
      <c r="E720" t="s">
        <v>189</v>
      </c>
      <c r="F720" s="36">
        <v>26</v>
      </c>
      <c r="G720" t="s">
        <v>894</v>
      </c>
      <c r="I720" cm="1">
        <f t="array" ref="I720">_xlfn.IFNA(INDEX(QHPSelections2016[],MATCH(1,(QHPSelections2016[State Name]=HIX_RatingAreas[[#This Row],[State Code]])*(QHPSelections2016[County Name]=HIX_RatingAreas[[#This Row],[Subdivision]]),0),MATCH("Silver",QHPSelections2016[#Headers],0)),0)</f>
        <v>531</v>
      </c>
      <c r="J720" cm="1">
        <f t="array" ref="J720">_xlfn.IFNA(INDEX(QHPSelections2016[],MATCH(1,(QHPSelections2016[State Name]=HIX_RatingAreas[[#This Row],[State Code]])*(QHPSelections2016[County Name]=HIX_RatingAreas[[#This Row],[Subdivision]]),0),MATCH("Total Plan Selections",QHPSelections2016[#Headers],0)),0)</f>
        <v>835</v>
      </c>
      <c r="L720" t="str" cm="1">
        <f t="array" ref="L720">INDEX(QHPSelections2016[],MATCH(1,(QHPSelections2016[State Name]=HIX_RatingAreas[[#This Row],[State Code]])*(QHPSelections2016[County Name]=HIX_RatingAreas[[#This Row],[Subdivision]]),0),MATCH("County Name",QHPSelections2016[#Headers],0))</f>
        <v>Bee County</v>
      </c>
      <c r="M720" t="b">
        <f>L720=HIX_RatingAreas[[#This Row],[Subdivision]]</f>
        <v>1</v>
      </c>
      <c r="N720">
        <v>717</v>
      </c>
    </row>
    <row r="721" spans="3:14">
      <c r="C721" t="s">
        <v>55</v>
      </c>
      <c r="D721" t="s">
        <v>1574</v>
      </c>
      <c r="E721" t="s">
        <v>189</v>
      </c>
      <c r="F721" s="36">
        <v>26</v>
      </c>
      <c r="G721" t="s">
        <v>912</v>
      </c>
      <c r="I721" cm="1">
        <f t="array" ref="I721">_xlfn.IFNA(INDEX(QHPSelections2016[],MATCH(1,(QHPSelections2016[State Name]=HIX_RatingAreas[[#This Row],[State Code]])*(QHPSelections2016[County Name]=HIX_RatingAreas[[#This Row],[Subdivision]]),0),MATCH("Silver",QHPSelections2016[#Headers],0)),0)</f>
        <v>476</v>
      </c>
      <c r="J721" cm="1">
        <f t="array" ref="J721">_xlfn.IFNA(INDEX(QHPSelections2016[],MATCH(1,(QHPSelections2016[State Name]=HIX_RatingAreas[[#This Row],[State Code]])*(QHPSelections2016[County Name]=HIX_RatingAreas[[#This Row],[Subdivision]]),0),MATCH("Total Plan Selections",QHPSelections2016[#Headers],0)),0)</f>
        <v>670</v>
      </c>
      <c r="L721" t="str" cm="1">
        <f t="array" ref="L721">INDEX(QHPSelections2016[],MATCH(1,(QHPSelections2016[State Name]=HIX_RatingAreas[[#This Row],[State Code]])*(QHPSelections2016[County Name]=HIX_RatingAreas[[#This Row],[Subdivision]]),0),MATCH("County Name",QHPSelections2016[#Headers],0))</f>
        <v>Blanco County</v>
      </c>
      <c r="M721" t="b">
        <f>L721=HIX_RatingAreas[[#This Row],[Subdivision]]</f>
        <v>1</v>
      </c>
      <c r="N721">
        <v>718</v>
      </c>
    </row>
    <row r="722" spans="3:14">
      <c r="C722" t="s">
        <v>55</v>
      </c>
      <c r="D722" t="s">
        <v>1574</v>
      </c>
      <c r="E722" t="s">
        <v>189</v>
      </c>
      <c r="F722" s="36">
        <v>26</v>
      </c>
      <c r="G722" t="s">
        <v>917</v>
      </c>
      <c r="I722" cm="1">
        <f t="array" ref="I722">_xlfn.IFNA(INDEX(QHPSelections2016[],MATCH(1,(QHPSelections2016[State Name]=HIX_RatingAreas[[#This Row],[State Code]])*(QHPSelections2016[County Name]=HIX_RatingAreas[[#This Row],[Subdivision]]),0),MATCH("Silver",QHPSelections2016[#Headers],0)),0)</f>
        <v>11</v>
      </c>
      <c r="J722" cm="1">
        <f t="array" ref="J722">_xlfn.IFNA(INDEX(QHPSelections2016[],MATCH(1,(QHPSelections2016[State Name]=HIX_RatingAreas[[#This Row],[State Code]])*(QHPSelections2016[County Name]=HIX_RatingAreas[[#This Row],[Subdivision]]),0),MATCH("Total Plan Selections",QHPSelections2016[#Headers],0)),0)</f>
        <v>24</v>
      </c>
      <c r="L722" t="str" cm="1">
        <f t="array" ref="L722">INDEX(QHPSelections2016[],MATCH(1,(QHPSelections2016[State Name]=HIX_RatingAreas[[#This Row],[State Code]])*(QHPSelections2016[County Name]=HIX_RatingAreas[[#This Row],[Subdivision]]),0),MATCH("County Name",QHPSelections2016[#Headers],0))</f>
        <v>Borden County</v>
      </c>
      <c r="M722" t="b">
        <f>L722=HIX_RatingAreas[[#This Row],[Subdivision]]</f>
        <v>1</v>
      </c>
      <c r="N722">
        <v>719</v>
      </c>
    </row>
    <row r="723" spans="3:14">
      <c r="C723" t="s">
        <v>55</v>
      </c>
      <c r="D723" t="s">
        <v>1574</v>
      </c>
      <c r="E723" t="s">
        <v>189</v>
      </c>
      <c r="F723" s="36">
        <v>26</v>
      </c>
      <c r="G723" t="s">
        <v>924</v>
      </c>
      <c r="I723" cm="1">
        <f t="array" ref="I723">_xlfn.IFNA(INDEX(QHPSelections2016[],MATCH(1,(QHPSelections2016[State Name]=HIX_RatingAreas[[#This Row],[State Code]])*(QHPSelections2016[County Name]=HIX_RatingAreas[[#This Row],[Subdivision]]),0),MATCH("Silver",QHPSelections2016[#Headers],0)),0)</f>
        <v>569</v>
      </c>
      <c r="J723" cm="1">
        <f t="array" ref="J723">_xlfn.IFNA(INDEX(QHPSelections2016[],MATCH(1,(QHPSelections2016[State Name]=HIX_RatingAreas[[#This Row],[State Code]])*(QHPSelections2016[County Name]=HIX_RatingAreas[[#This Row],[Subdivision]]),0),MATCH("Total Plan Selections",QHPSelections2016[#Headers],0)),0)</f>
        <v>799</v>
      </c>
      <c r="L723" t="str" cm="1">
        <f t="array" ref="L723">INDEX(QHPSelections2016[],MATCH(1,(QHPSelections2016[State Name]=HIX_RatingAreas[[#This Row],[State Code]])*(QHPSelections2016[County Name]=HIX_RatingAreas[[#This Row],[Subdivision]]),0),MATCH("County Name",QHPSelections2016[#Headers],0))</f>
        <v>Bosque County</v>
      </c>
      <c r="M723" t="b">
        <f>L723=HIX_RatingAreas[[#This Row],[Subdivision]]</f>
        <v>1</v>
      </c>
      <c r="N723">
        <v>720</v>
      </c>
    </row>
    <row r="724" spans="3:14">
      <c r="C724" t="s">
        <v>55</v>
      </c>
      <c r="D724" t="s">
        <v>1574</v>
      </c>
      <c r="E724" t="s">
        <v>189</v>
      </c>
      <c r="F724" s="36">
        <v>26</v>
      </c>
      <c r="G724" t="s">
        <v>945</v>
      </c>
      <c r="I724" cm="1">
        <f t="array" ref="I724">_xlfn.IFNA(INDEX(QHPSelections2016[],MATCH(1,(QHPSelections2016[State Name]=HIX_RatingAreas[[#This Row],[State Code]])*(QHPSelections2016[County Name]=HIX_RatingAreas[[#This Row],[Subdivision]]),0),MATCH("Silver",QHPSelections2016[#Headers],0)),0)</f>
        <v>359</v>
      </c>
      <c r="J724" cm="1">
        <f t="array" ref="J724">_xlfn.IFNA(INDEX(QHPSelections2016[],MATCH(1,(QHPSelections2016[State Name]=HIX_RatingAreas[[#This Row],[State Code]])*(QHPSelections2016[County Name]=HIX_RatingAreas[[#This Row],[Subdivision]]),0),MATCH("Total Plan Selections",QHPSelections2016[#Headers],0)),0)</f>
        <v>544</v>
      </c>
      <c r="L724" t="str" cm="1">
        <f t="array" ref="L724">INDEX(QHPSelections2016[],MATCH(1,(QHPSelections2016[State Name]=HIX_RatingAreas[[#This Row],[State Code]])*(QHPSelections2016[County Name]=HIX_RatingAreas[[#This Row],[Subdivision]]),0),MATCH("County Name",QHPSelections2016[#Headers],0))</f>
        <v>Brewster County</v>
      </c>
      <c r="M724" t="b">
        <f>L724=HIX_RatingAreas[[#This Row],[Subdivision]]</f>
        <v>1</v>
      </c>
      <c r="N724">
        <v>721</v>
      </c>
    </row>
    <row r="725" spans="3:14">
      <c r="C725" t="s">
        <v>55</v>
      </c>
      <c r="D725" t="s">
        <v>1574</v>
      </c>
      <c r="E725" t="s">
        <v>189</v>
      </c>
      <c r="F725" s="36">
        <v>26</v>
      </c>
      <c r="G725" t="s">
        <v>952</v>
      </c>
      <c r="I725" cm="1">
        <f t="array" ref="I725">_xlfn.IFNA(INDEX(QHPSelections2016[],MATCH(1,(QHPSelections2016[State Name]=HIX_RatingAreas[[#This Row],[State Code]])*(QHPSelections2016[County Name]=HIX_RatingAreas[[#This Row],[Subdivision]]),0),MATCH("Silver",QHPSelections2016[#Headers],0)),0)</f>
        <v>55</v>
      </c>
      <c r="J725" cm="1">
        <f t="array" ref="J725">_xlfn.IFNA(INDEX(QHPSelections2016[],MATCH(1,(QHPSelections2016[State Name]=HIX_RatingAreas[[#This Row],[State Code]])*(QHPSelections2016[County Name]=HIX_RatingAreas[[#This Row],[Subdivision]]),0),MATCH("Total Plan Selections",QHPSelections2016[#Headers],0)),0)</f>
        <v>76</v>
      </c>
      <c r="L725" t="str" cm="1">
        <f t="array" ref="L725">INDEX(QHPSelections2016[],MATCH(1,(QHPSelections2016[State Name]=HIX_RatingAreas[[#This Row],[State Code]])*(QHPSelections2016[County Name]=HIX_RatingAreas[[#This Row],[Subdivision]]),0),MATCH("County Name",QHPSelections2016[#Headers],0))</f>
        <v>Briscoe County</v>
      </c>
      <c r="M725" t="b">
        <f>L725=HIX_RatingAreas[[#This Row],[Subdivision]]</f>
        <v>1</v>
      </c>
      <c r="N725">
        <v>722</v>
      </c>
    </row>
    <row r="726" spans="3:14">
      <c r="C726" t="s">
        <v>55</v>
      </c>
      <c r="D726" t="s">
        <v>1574</v>
      </c>
      <c r="E726" t="s">
        <v>189</v>
      </c>
      <c r="F726" s="36">
        <v>26</v>
      </c>
      <c r="G726" t="s">
        <v>896</v>
      </c>
      <c r="I726" cm="1">
        <f t="array" ref="I726">_xlfn.IFNA(INDEX(QHPSelections2016[],MATCH(1,(QHPSelections2016[State Name]=HIX_RatingAreas[[#This Row],[State Code]])*(QHPSelections2016[County Name]=HIX_RatingAreas[[#This Row],[Subdivision]]),0),MATCH("Silver",QHPSelections2016[#Headers],0)),0)</f>
        <v>170</v>
      </c>
      <c r="J726" cm="1">
        <f t="array" ref="J726">_xlfn.IFNA(INDEX(QHPSelections2016[],MATCH(1,(QHPSelections2016[State Name]=HIX_RatingAreas[[#This Row],[State Code]])*(QHPSelections2016[County Name]=HIX_RatingAreas[[#This Row],[Subdivision]]),0),MATCH("Total Plan Selections",QHPSelections2016[#Headers],0)),0)</f>
        <v>287</v>
      </c>
      <c r="L726" t="str" cm="1">
        <f t="array" ref="L726">INDEX(QHPSelections2016[],MATCH(1,(QHPSelections2016[State Name]=HIX_RatingAreas[[#This Row],[State Code]])*(QHPSelections2016[County Name]=HIX_RatingAreas[[#This Row],[Subdivision]]),0),MATCH("County Name",QHPSelections2016[#Headers],0))</f>
        <v>Brooks County</v>
      </c>
      <c r="M726" t="b">
        <f>L726=HIX_RatingAreas[[#This Row],[Subdivision]]</f>
        <v>1</v>
      </c>
      <c r="N726">
        <v>723</v>
      </c>
    </row>
    <row r="727" spans="3:14">
      <c r="C727" t="s">
        <v>55</v>
      </c>
      <c r="D727" t="s">
        <v>1574</v>
      </c>
      <c r="E727" t="s">
        <v>189</v>
      </c>
      <c r="F727" s="36">
        <v>26</v>
      </c>
      <c r="G727" t="s">
        <v>963</v>
      </c>
      <c r="I727" cm="1">
        <f t="array" ref="I727">_xlfn.IFNA(INDEX(QHPSelections2016[],MATCH(1,(QHPSelections2016[State Name]=HIX_RatingAreas[[#This Row],[State Code]])*(QHPSelections2016[County Name]=HIX_RatingAreas[[#This Row],[Subdivision]]),0),MATCH("Silver",QHPSelections2016[#Headers],0)),0)</f>
        <v>745</v>
      </c>
      <c r="J727" cm="1">
        <f t="array" ref="J727">_xlfn.IFNA(INDEX(QHPSelections2016[],MATCH(1,(QHPSelections2016[State Name]=HIX_RatingAreas[[#This Row],[State Code]])*(QHPSelections2016[County Name]=HIX_RatingAreas[[#This Row],[Subdivision]]),0),MATCH("Total Plan Selections",QHPSelections2016[#Headers],0)),0)</f>
        <v>1126</v>
      </c>
      <c r="L727" t="str" cm="1">
        <f t="array" ref="L727">INDEX(QHPSelections2016[],MATCH(1,(QHPSelections2016[State Name]=HIX_RatingAreas[[#This Row],[State Code]])*(QHPSelections2016[County Name]=HIX_RatingAreas[[#This Row],[Subdivision]]),0),MATCH("County Name",QHPSelections2016[#Headers],0))</f>
        <v>Brown County</v>
      </c>
      <c r="M727" t="b">
        <f>L727=HIX_RatingAreas[[#This Row],[Subdivision]]</f>
        <v>1</v>
      </c>
      <c r="N727">
        <v>724</v>
      </c>
    </row>
    <row r="728" spans="3:14">
      <c r="C728" t="s">
        <v>55</v>
      </c>
      <c r="D728" t="s">
        <v>1574</v>
      </c>
      <c r="E728" t="s">
        <v>189</v>
      </c>
      <c r="F728" s="36">
        <v>26</v>
      </c>
      <c r="G728" t="s">
        <v>974</v>
      </c>
      <c r="I728" cm="1">
        <f t="array" ref="I728">_xlfn.IFNA(INDEX(QHPSelections2016[],MATCH(1,(QHPSelections2016[State Name]=HIX_RatingAreas[[#This Row],[State Code]])*(QHPSelections2016[County Name]=HIX_RatingAreas[[#This Row],[Subdivision]]),0),MATCH("Silver",QHPSelections2016[#Headers],0)),0)</f>
        <v>1534</v>
      </c>
      <c r="J728" cm="1">
        <f t="array" ref="J728">_xlfn.IFNA(INDEX(QHPSelections2016[],MATCH(1,(QHPSelections2016[State Name]=HIX_RatingAreas[[#This Row],[State Code]])*(QHPSelections2016[County Name]=HIX_RatingAreas[[#This Row],[Subdivision]]),0),MATCH("Total Plan Selections",QHPSelections2016[#Headers],0)),0)</f>
        <v>2315</v>
      </c>
      <c r="L728" t="str" cm="1">
        <f t="array" ref="L728">INDEX(QHPSelections2016[],MATCH(1,(QHPSelections2016[State Name]=HIX_RatingAreas[[#This Row],[State Code]])*(QHPSelections2016[County Name]=HIX_RatingAreas[[#This Row],[Subdivision]]),0),MATCH("County Name",QHPSelections2016[#Headers],0))</f>
        <v>Burnet County</v>
      </c>
      <c r="M728" t="b">
        <f>L728=HIX_RatingAreas[[#This Row],[Subdivision]]</f>
        <v>1</v>
      </c>
      <c r="N728">
        <v>725</v>
      </c>
    </row>
    <row r="729" spans="3:14">
      <c r="C729" t="s">
        <v>55</v>
      </c>
      <c r="D729" t="s">
        <v>1574</v>
      </c>
      <c r="E729" t="s">
        <v>189</v>
      </c>
      <c r="F729" s="36">
        <v>26</v>
      </c>
      <c r="G729" t="s">
        <v>997</v>
      </c>
      <c r="I729" cm="1">
        <f t="array" ref="I729">_xlfn.IFNA(INDEX(QHPSelections2016[],MATCH(1,(QHPSelections2016[State Name]=HIX_RatingAreas[[#This Row],[State Code]])*(QHPSelections2016[County Name]=HIX_RatingAreas[[#This Row],[Subdivision]]),0),MATCH("Silver",QHPSelections2016[#Headers],0)),0)</f>
        <v>324</v>
      </c>
      <c r="J729" cm="1">
        <f t="array" ref="J729">_xlfn.IFNA(INDEX(QHPSelections2016[],MATCH(1,(QHPSelections2016[State Name]=HIX_RatingAreas[[#This Row],[State Code]])*(QHPSelections2016[County Name]=HIX_RatingAreas[[#This Row],[Subdivision]]),0),MATCH("Total Plan Selections",QHPSelections2016[#Headers],0)),0)</f>
        <v>466</v>
      </c>
      <c r="L729" t="str" cm="1">
        <f t="array" ref="L729">INDEX(QHPSelections2016[],MATCH(1,(QHPSelections2016[State Name]=HIX_RatingAreas[[#This Row],[State Code]])*(QHPSelections2016[County Name]=HIX_RatingAreas[[#This Row],[Subdivision]]),0),MATCH("County Name",QHPSelections2016[#Headers],0))</f>
        <v>Camp County</v>
      </c>
      <c r="M729" t="b">
        <f>L729=HIX_RatingAreas[[#This Row],[Subdivision]]</f>
        <v>1</v>
      </c>
      <c r="N729">
        <v>726</v>
      </c>
    </row>
    <row r="730" spans="3:14">
      <c r="C730" t="s">
        <v>55</v>
      </c>
      <c r="D730" t="s">
        <v>1574</v>
      </c>
      <c r="E730" t="s">
        <v>189</v>
      </c>
      <c r="F730" s="36">
        <v>26</v>
      </c>
      <c r="G730" t="s">
        <v>1008</v>
      </c>
      <c r="I730" cm="1">
        <f t="array" ref="I730">_xlfn.IFNA(INDEX(QHPSelections2016[],MATCH(1,(QHPSelections2016[State Name]=HIX_RatingAreas[[#This Row],[State Code]])*(QHPSelections2016[County Name]=HIX_RatingAreas[[#This Row],[Subdivision]]),0),MATCH("Silver",QHPSelections2016[#Headers],0)),0)</f>
        <v>667</v>
      </c>
      <c r="J730" cm="1">
        <f t="array" ref="J730">_xlfn.IFNA(INDEX(QHPSelections2016[],MATCH(1,(QHPSelections2016[State Name]=HIX_RatingAreas[[#This Row],[State Code]])*(QHPSelections2016[County Name]=HIX_RatingAreas[[#This Row],[Subdivision]]),0),MATCH("Total Plan Selections",QHPSelections2016[#Headers],0)),0)</f>
        <v>1020</v>
      </c>
      <c r="L730" t="str" cm="1">
        <f t="array" ref="L730">INDEX(QHPSelections2016[],MATCH(1,(QHPSelections2016[State Name]=HIX_RatingAreas[[#This Row],[State Code]])*(QHPSelections2016[County Name]=HIX_RatingAreas[[#This Row],[Subdivision]]),0),MATCH("County Name",QHPSelections2016[#Headers],0))</f>
        <v>Cass County</v>
      </c>
      <c r="M730" t="b">
        <f>L730=HIX_RatingAreas[[#This Row],[Subdivision]]</f>
        <v>1</v>
      </c>
      <c r="N730">
        <v>727</v>
      </c>
    </row>
    <row r="731" spans="3:14">
      <c r="C731" t="s">
        <v>55</v>
      </c>
      <c r="D731" t="s">
        <v>1574</v>
      </c>
      <c r="E731" t="s">
        <v>189</v>
      </c>
      <c r="F731" s="36">
        <v>26</v>
      </c>
      <c r="G731" t="s">
        <v>1014</v>
      </c>
      <c r="I731" cm="1">
        <f t="array" ref="I731">_xlfn.IFNA(INDEX(QHPSelections2016[],MATCH(1,(QHPSelections2016[State Name]=HIX_RatingAreas[[#This Row],[State Code]])*(QHPSelections2016[County Name]=HIX_RatingAreas[[#This Row],[Subdivision]]),0),MATCH("Silver",QHPSelections2016[#Headers],0)),0)</f>
        <v>183</v>
      </c>
      <c r="J731" cm="1">
        <f t="array" ref="J731">_xlfn.IFNA(INDEX(QHPSelections2016[],MATCH(1,(QHPSelections2016[State Name]=HIX_RatingAreas[[#This Row],[State Code]])*(QHPSelections2016[County Name]=HIX_RatingAreas[[#This Row],[Subdivision]]),0),MATCH("Total Plan Selections",QHPSelections2016[#Headers],0)),0)</f>
        <v>282</v>
      </c>
      <c r="L731" t="str" cm="1">
        <f t="array" ref="L731">INDEX(QHPSelections2016[],MATCH(1,(QHPSelections2016[State Name]=HIX_RatingAreas[[#This Row],[State Code]])*(QHPSelections2016[County Name]=HIX_RatingAreas[[#This Row],[Subdivision]]),0),MATCH("County Name",QHPSelections2016[#Headers],0))</f>
        <v>Castro County</v>
      </c>
      <c r="M731" t="b">
        <f>L731=HIX_RatingAreas[[#This Row],[Subdivision]]</f>
        <v>1</v>
      </c>
      <c r="N731">
        <v>728</v>
      </c>
    </row>
    <row r="732" spans="3:14">
      <c r="C732" t="s">
        <v>55</v>
      </c>
      <c r="D732" t="s">
        <v>1574</v>
      </c>
      <c r="E732" t="s">
        <v>189</v>
      </c>
      <c r="F732" s="36">
        <v>26</v>
      </c>
      <c r="G732" t="s">
        <v>872</v>
      </c>
      <c r="I732" cm="1">
        <f t="array" ref="I732">_xlfn.IFNA(INDEX(QHPSelections2016[],MATCH(1,(QHPSelections2016[State Name]=HIX_RatingAreas[[#This Row],[State Code]])*(QHPSelections2016[County Name]=HIX_RatingAreas[[#This Row],[Subdivision]]),0),MATCH("Silver",QHPSelections2016[#Headers],0)),0)</f>
        <v>1113</v>
      </c>
      <c r="J732" cm="1">
        <f t="array" ref="J732">_xlfn.IFNA(INDEX(QHPSelections2016[],MATCH(1,(QHPSelections2016[State Name]=HIX_RatingAreas[[#This Row],[State Code]])*(QHPSelections2016[County Name]=HIX_RatingAreas[[#This Row],[Subdivision]]),0),MATCH("Total Plan Selections",QHPSelections2016[#Headers],0)),0)</f>
        <v>1603</v>
      </c>
      <c r="L732" t="str" cm="1">
        <f t="array" ref="L732">INDEX(QHPSelections2016[],MATCH(1,(QHPSelections2016[State Name]=HIX_RatingAreas[[#This Row],[State Code]])*(QHPSelections2016[County Name]=HIX_RatingAreas[[#This Row],[Subdivision]]),0),MATCH("County Name",QHPSelections2016[#Headers],0))</f>
        <v>Cherokee County</v>
      </c>
      <c r="M732" t="b">
        <f>L732=HIX_RatingAreas[[#This Row],[Subdivision]]</f>
        <v>1</v>
      </c>
      <c r="N732">
        <v>729</v>
      </c>
    </row>
    <row r="733" spans="3:14">
      <c r="C733" t="s">
        <v>55</v>
      </c>
      <c r="D733" t="s">
        <v>1574</v>
      </c>
      <c r="E733" t="s">
        <v>189</v>
      </c>
      <c r="F733" s="36">
        <v>26</v>
      </c>
      <c r="G733" t="s">
        <v>1028</v>
      </c>
      <c r="I733" cm="1">
        <f t="array" ref="I733">_xlfn.IFNA(INDEX(QHPSelections2016[],MATCH(1,(QHPSelections2016[State Name]=HIX_RatingAreas[[#This Row],[State Code]])*(QHPSelections2016[County Name]=HIX_RatingAreas[[#This Row],[Subdivision]]),0),MATCH("Silver",QHPSelections2016[#Headers],0)),0)</f>
        <v>114</v>
      </c>
      <c r="J733" cm="1">
        <f t="array" ref="J733">_xlfn.IFNA(INDEX(QHPSelections2016[],MATCH(1,(QHPSelections2016[State Name]=HIX_RatingAreas[[#This Row],[State Code]])*(QHPSelections2016[County Name]=HIX_RatingAreas[[#This Row],[Subdivision]]),0),MATCH("Total Plan Selections",QHPSelections2016[#Headers],0)),0)</f>
        <v>165</v>
      </c>
      <c r="L733" t="str" cm="1">
        <f t="array" ref="L733">INDEX(QHPSelections2016[],MATCH(1,(QHPSelections2016[State Name]=HIX_RatingAreas[[#This Row],[State Code]])*(QHPSelections2016[County Name]=HIX_RatingAreas[[#This Row],[Subdivision]]),0),MATCH("County Name",QHPSelections2016[#Headers],0))</f>
        <v>Childress County</v>
      </c>
      <c r="M733" t="b">
        <f>L733=HIX_RatingAreas[[#This Row],[Subdivision]]</f>
        <v>1</v>
      </c>
      <c r="N733">
        <v>730</v>
      </c>
    </row>
    <row r="734" spans="3:14">
      <c r="C734" t="s">
        <v>55</v>
      </c>
      <c r="D734" t="s">
        <v>1574</v>
      </c>
      <c r="E734" t="s">
        <v>189</v>
      </c>
      <c r="F734" s="36">
        <v>26</v>
      </c>
      <c r="G734" t="s">
        <v>1037</v>
      </c>
      <c r="I734" cm="1">
        <f t="array" ref="I734">_xlfn.IFNA(INDEX(QHPSelections2016[],MATCH(1,(QHPSelections2016[State Name]=HIX_RatingAreas[[#This Row],[State Code]])*(QHPSelections2016[County Name]=HIX_RatingAreas[[#This Row],[Subdivision]]),0),MATCH("Silver",QHPSelections2016[#Headers],0)),0)</f>
        <v>64</v>
      </c>
      <c r="J734" cm="1">
        <f t="array" ref="J734">_xlfn.IFNA(INDEX(QHPSelections2016[],MATCH(1,(QHPSelections2016[State Name]=HIX_RatingAreas[[#This Row],[State Code]])*(QHPSelections2016[County Name]=HIX_RatingAreas[[#This Row],[Subdivision]]),0),MATCH("Total Plan Selections",QHPSelections2016[#Headers],0)),0)</f>
        <v>95</v>
      </c>
      <c r="L734" t="str" cm="1">
        <f t="array" ref="L734">INDEX(QHPSelections2016[],MATCH(1,(QHPSelections2016[State Name]=HIX_RatingAreas[[#This Row],[State Code]])*(QHPSelections2016[County Name]=HIX_RatingAreas[[#This Row],[Subdivision]]),0),MATCH("County Name",QHPSelections2016[#Headers],0))</f>
        <v>Cochran County</v>
      </c>
      <c r="M734" t="b">
        <f>L734=HIX_RatingAreas[[#This Row],[Subdivision]]</f>
        <v>1</v>
      </c>
      <c r="N734">
        <v>731</v>
      </c>
    </row>
    <row r="735" spans="3:14">
      <c r="C735" t="s">
        <v>55</v>
      </c>
      <c r="D735" t="s">
        <v>1574</v>
      </c>
      <c r="E735" t="s">
        <v>189</v>
      </c>
      <c r="F735" s="36">
        <v>26</v>
      </c>
      <c r="G735" t="s">
        <v>1042</v>
      </c>
      <c r="I735" cm="1">
        <f t="array" ref="I735">_xlfn.IFNA(INDEX(QHPSelections2016[],MATCH(1,(QHPSelections2016[State Name]=HIX_RatingAreas[[#This Row],[State Code]])*(QHPSelections2016[County Name]=HIX_RatingAreas[[#This Row],[Subdivision]]),0),MATCH("Silver",QHPSelections2016[#Headers],0)),0)</f>
        <v>67</v>
      </c>
      <c r="J735" cm="1">
        <f t="array" ref="J735">_xlfn.IFNA(INDEX(QHPSelections2016[],MATCH(1,(QHPSelections2016[State Name]=HIX_RatingAreas[[#This Row],[State Code]])*(QHPSelections2016[County Name]=HIX_RatingAreas[[#This Row],[Subdivision]]),0),MATCH("Total Plan Selections",QHPSelections2016[#Headers],0)),0)</f>
        <v>105</v>
      </c>
      <c r="L735" t="str" cm="1">
        <f t="array" ref="L735">INDEX(QHPSelections2016[],MATCH(1,(QHPSelections2016[State Name]=HIX_RatingAreas[[#This Row],[State Code]])*(QHPSelections2016[County Name]=HIX_RatingAreas[[#This Row],[Subdivision]]),0),MATCH("County Name",QHPSelections2016[#Headers],0))</f>
        <v>Coke County</v>
      </c>
      <c r="M735" t="b">
        <f>L735=HIX_RatingAreas[[#This Row],[Subdivision]]</f>
        <v>1</v>
      </c>
      <c r="N735">
        <v>732</v>
      </c>
    </row>
    <row r="736" spans="3:14">
      <c r="C736" t="s">
        <v>55</v>
      </c>
      <c r="D736" t="s">
        <v>1574</v>
      </c>
      <c r="E736" t="s">
        <v>189</v>
      </c>
      <c r="F736" s="36">
        <v>26</v>
      </c>
      <c r="G736" t="s">
        <v>1048</v>
      </c>
      <c r="I736" cm="1">
        <f t="array" ref="I736">_xlfn.IFNA(INDEX(QHPSelections2016[],MATCH(1,(QHPSelections2016[State Name]=HIX_RatingAreas[[#This Row],[State Code]])*(QHPSelections2016[County Name]=HIX_RatingAreas[[#This Row],[Subdivision]]),0),MATCH("Silver",QHPSelections2016[#Headers],0)),0)</f>
        <v>229</v>
      </c>
      <c r="J736" cm="1">
        <f t="array" ref="J736">_xlfn.IFNA(INDEX(QHPSelections2016[],MATCH(1,(QHPSelections2016[State Name]=HIX_RatingAreas[[#This Row],[State Code]])*(QHPSelections2016[County Name]=HIX_RatingAreas[[#This Row],[Subdivision]]),0),MATCH("Total Plan Selections",QHPSelections2016[#Headers],0)),0)</f>
        <v>338</v>
      </c>
      <c r="L736" t="str" cm="1">
        <f t="array" ref="L736">INDEX(QHPSelections2016[],MATCH(1,(QHPSelections2016[State Name]=HIX_RatingAreas[[#This Row],[State Code]])*(QHPSelections2016[County Name]=HIX_RatingAreas[[#This Row],[Subdivision]]),0),MATCH("County Name",QHPSelections2016[#Headers],0))</f>
        <v>Coleman County</v>
      </c>
      <c r="M736" t="b">
        <f>L736=HIX_RatingAreas[[#This Row],[Subdivision]]</f>
        <v>1</v>
      </c>
      <c r="N736">
        <v>733</v>
      </c>
    </row>
    <row r="737" spans="3:14">
      <c r="C737" t="s">
        <v>55</v>
      </c>
      <c r="D737" t="s">
        <v>1574</v>
      </c>
      <c r="E737" t="s">
        <v>189</v>
      </c>
      <c r="F737" s="36">
        <v>26</v>
      </c>
      <c r="G737" t="s">
        <v>1056</v>
      </c>
      <c r="I737" cm="1">
        <f t="array" ref="I737">_xlfn.IFNA(INDEX(QHPSelections2016[],MATCH(1,(QHPSelections2016[State Name]=HIX_RatingAreas[[#This Row],[State Code]])*(QHPSelections2016[County Name]=HIX_RatingAreas[[#This Row],[Subdivision]]),0),MATCH("Silver",QHPSelections2016[#Headers],0)),0)</f>
        <v>63</v>
      </c>
      <c r="J737" cm="1">
        <f t="array" ref="J737">_xlfn.IFNA(INDEX(QHPSelections2016[],MATCH(1,(QHPSelections2016[State Name]=HIX_RatingAreas[[#This Row],[State Code]])*(QHPSelections2016[County Name]=HIX_RatingAreas[[#This Row],[Subdivision]]),0),MATCH("Total Plan Selections",QHPSelections2016[#Headers],0)),0)</f>
        <v>103</v>
      </c>
      <c r="L737" t="str" cm="1">
        <f t="array" ref="L737">INDEX(QHPSelections2016[],MATCH(1,(QHPSelections2016[State Name]=HIX_RatingAreas[[#This Row],[State Code]])*(QHPSelections2016[County Name]=HIX_RatingAreas[[#This Row],[Subdivision]]),0),MATCH("County Name",QHPSelections2016[#Headers],0))</f>
        <v>Collingsworth County</v>
      </c>
      <c r="M737" t="b">
        <f>L737=HIX_RatingAreas[[#This Row],[Subdivision]]</f>
        <v>1</v>
      </c>
      <c r="N737">
        <v>734</v>
      </c>
    </row>
    <row r="738" spans="3:14">
      <c r="C738" t="s">
        <v>55</v>
      </c>
      <c r="D738" t="s">
        <v>1574</v>
      </c>
      <c r="E738" t="s">
        <v>189</v>
      </c>
      <c r="F738" s="36">
        <v>26</v>
      </c>
      <c r="G738" t="s">
        <v>1059</v>
      </c>
      <c r="I738" cm="1">
        <f t="array" ref="I738">_xlfn.IFNA(INDEX(QHPSelections2016[],MATCH(1,(QHPSelections2016[State Name]=HIX_RatingAreas[[#This Row],[State Code]])*(QHPSelections2016[County Name]=HIX_RatingAreas[[#This Row],[Subdivision]]),0),MATCH("Silver",QHPSelections2016[#Headers],0)),0)</f>
        <v>712</v>
      </c>
      <c r="J738" cm="1">
        <f t="array" ref="J738">_xlfn.IFNA(INDEX(QHPSelections2016[],MATCH(1,(QHPSelections2016[State Name]=HIX_RatingAreas[[#This Row],[State Code]])*(QHPSelections2016[County Name]=HIX_RatingAreas[[#This Row],[Subdivision]]),0),MATCH("Total Plan Selections",QHPSelections2016[#Headers],0)),0)</f>
        <v>1068</v>
      </c>
      <c r="L738" t="str" cm="1">
        <f t="array" ref="L738">INDEX(QHPSelections2016[],MATCH(1,(QHPSelections2016[State Name]=HIX_RatingAreas[[#This Row],[State Code]])*(QHPSelections2016[County Name]=HIX_RatingAreas[[#This Row],[Subdivision]]),0),MATCH("County Name",QHPSelections2016[#Headers],0))</f>
        <v>Colorado County</v>
      </c>
      <c r="M738" t="b">
        <f>L738=HIX_RatingAreas[[#This Row],[Subdivision]]</f>
        <v>1</v>
      </c>
      <c r="N738">
        <v>735</v>
      </c>
    </row>
    <row r="739" spans="3:14">
      <c r="C739" t="s">
        <v>55</v>
      </c>
      <c r="D739" t="s">
        <v>1574</v>
      </c>
      <c r="E739" t="s">
        <v>189</v>
      </c>
      <c r="F739" s="36">
        <v>26</v>
      </c>
      <c r="G739" t="s">
        <v>1071</v>
      </c>
      <c r="I739" cm="1">
        <f t="array" ref="I739">_xlfn.IFNA(INDEX(QHPSelections2016[],MATCH(1,(QHPSelections2016[State Name]=HIX_RatingAreas[[#This Row],[State Code]])*(QHPSelections2016[County Name]=HIX_RatingAreas[[#This Row],[Subdivision]]),0),MATCH("Silver",QHPSelections2016[#Headers],0)),0)</f>
        <v>393</v>
      </c>
      <c r="J739" cm="1">
        <f t="array" ref="J739">_xlfn.IFNA(INDEX(QHPSelections2016[],MATCH(1,(QHPSelections2016[State Name]=HIX_RatingAreas[[#This Row],[State Code]])*(QHPSelections2016[County Name]=HIX_RatingAreas[[#This Row],[Subdivision]]),0),MATCH("Total Plan Selections",QHPSelections2016[#Headers],0)),0)</f>
        <v>599</v>
      </c>
      <c r="L739" t="str" cm="1">
        <f t="array" ref="L739">INDEX(QHPSelections2016[],MATCH(1,(QHPSelections2016[State Name]=HIX_RatingAreas[[#This Row],[State Code]])*(QHPSelections2016[County Name]=HIX_RatingAreas[[#This Row],[Subdivision]]),0),MATCH("County Name",QHPSelections2016[#Headers],0))</f>
        <v>Comanche County</v>
      </c>
      <c r="M739" t="b">
        <f>L739=HIX_RatingAreas[[#This Row],[Subdivision]]</f>
        <v>1</v>
      </c>
      <c r="N739">
        <v>736</v>
      </c>
    </row>
    <row r="740" spans="3:14">
      <c r="C740" t="s">
        <v>55</v>
      </c>
      <c r="D740" t="s">
        <v>1574</v>
      </c>
      <c r="E740" t="s">
        <v>189</v>
      </c>
      <c r="F740" s="36">
        <v>26</v>
      </c>
      <c r="G740" t="s">
        <v>1075</v>
      </c>
      <c r="I740" cm="1">
        <f t="array" ref="I740">_xlfn.IFNA(INDEX(QHPSelections2016[],MATCH(1,(QHPSelections2016[State Name]=HIX_RatingAreas[[#This Row],[State Code]])*(QHPSelections2016[County Name]=HIX_RatingAreas[[#This Row],[Subdivision]]),0),MATCH("Silver",QHPSelections2016[#Headers],0)),0)</f>
        <v>90</v>
      </c>
      <c r="J740" cm="1">
        <f t="array" ref="J740">_xlfn.IFNA(INDEX(QHPSelections2016[],MATCH(1,(QHPSelections2016[State Name]=HIX_RatingAreas[[#This Row],[State Code]])*(QHPSelections2016[County Name]=HIX_RatingAreas[[#This Row],[Subdivision]]),0),MATCH("Total Plan Selections",QHPSelections2016[#Headers],0)),0)</f>
        <v>134</v>
      </c>
      <c r="L740" t="str" cm="1">
        <f t="array" ref="L740">INDEX(QHPSelections2016[],MATCH(1,(QHPSelections2016[State Name]=HIX_RatingAreas[[#This Row],[State Code]])*(QHPSelections2016[County Name]=HIX_RatingAreas[[#This Row],[Subdivision]]),0),MATCH("County Name",QHPSelections2016[#Headers],0))</f>
        <v>Concho County</v>
      </c>
      <c r="M740" t="b">
        <f>L740=HIX_RatingAreas[[#This Row],[Subdivision]]</f>
        <v>1</v>
      </c>
      <c r="N740">
        <v>737</v>
      </c>
    </row>
    <row r="741" spans="3:14">
      <c r="C741" t="s">
        <v>55</v>
      </c>
      <c r="D741" t="s">
        <v>1574</v>
      </c>
      <c r="E741" t="s">
        <v>189</v>
      </c>
      <c r="F741" s="36">
        <v>26</v>
      </c>
      <c r="G741" t="s">
        <v>1081</v>
      </c>
      <c r="I741" cm="1">
        <f t="array" ref="I741">_xlfn.IFNA(INDEX(QHPSelections2016[],MATCH(1,(QHPSelections2016[State Name]=HIX_RatingAreas[[#This Row],[State Code]])*(QHPSelections2016[County Name]=HIX_RatingAreas[[#This Row],[Subdivision]]),0),MATCH("Silver",QHPSelections2016[#Headers],0)),0)</f>
        <v>908</v>
      </c>
      <c r="J741" cm="1">
        <f t="array" ref="J741">_xlfn.IFNA(INDEX(QHPSelections2016[],MATCH(1,(QHPSelections2016[State Name]=HIX_RatingAreas[[#This Row],[State Code]])*(QHPSelections2016[County Name]=HIX_RatingAreas[[#This Row],[Subdivision]]),0),MATCH("Total Plan Selections",QHPSelections2016[#Headers],0)),0)</f>
        <v>1347</v>
      </c>
      <c r="L741" t="str" cm="1">
        <f t="array" ref="L741">INDEX(QHPSelections2016[],MATCH(1,(QHPSelections2016[State Name]=HIX_RatingAreas[[#This Row],[State Code]])*(QHPSelections2016[County Name]=HIX_RatingAreas[[#This Row],[Subdivision]]),0),MATCH("County Name",QHPSelections2016[#Headers],0))</f>
        <v>Cooke County</v>
      </c>
      <c r="M741" t="b">
        <f>L741=HIX_RatingAreas[[#This Row],[Subdivision]]</f>
        <v>1</v>
      </c>
      <c r="N741">
        <v>738</v>
      </c>
    </row>
    <row r="742" spans="3:14">
      <c r="C742" t="s">
        <v>55</v>
      </c>
      <c r="D742" t="s">
        <v>1574</v>
      </c>
      <c r="E742" t="s">
        <v>189</v>
      </c>
      <c r="F742" s="36">
        <v>26</v>
      </c>
      <c r="G742" t="s">
        <v>1091</v>
      </c>
      <c r="I742" cm="1">
        <f t="array" ref="I742">_xlfn.IFNA(INDEX(QHPSelections2016[],MATCH(1,(QHPSelections2016[State Name]=HIX_RatingAreas[[#This Row],[State Code]])*(QHPSelections2016[County Name]=HIX_RatingAreas[[#This Row],[Subdivision]]),0),MATCH("Silver",QHPSelections2016[#Headers],0)),0)</f>
        <v>33</v>
      </c>
      <c r="J742" cm="1">
        <f t="array" ref="J742">_xlfn.IFNA(INDEX(QHPSelections2016[],MATCH(1,(QHPSelections2016[State Name]=HIX_RatingAreas[[#This Row],[State Code]])*(QHPSelections2016[County Name]=HIX_RatingAreas[[#This Row],[Subdivision]]),0),MATCH("Total Plan Selections",QHPSelections2016[#Headers],0)),0)</f>
        <v>41</v>
      </c>
      <c r="L742" t="str" cm="1">
        <f t="array" ref="L742">INDEX(QHPSelections2016[],MATCH(1,(QHPSelections2016[State Name]=HIX_RatingAreas[[#This Row],[State Code]])*(QHPSelections2016[County Name]=HIX_RatingAreas[[#This Row],[Subdivision]]),0),MATCH("County Name",QHPSelections2016[#Headers],0))</f>
        <v>Cottle County</v>
      </c>
      <c r="M742" t="b">
        <f>L742=HIX_RatingAreas[[#This Row],[Subdivision]]</f>
        <v>1</v>
      </c>
      <c r="N742">
        <v>739</v>
      </c>
    </row>
    <row r="743" spans="3:14">
      <c r="C743" t="s">
        <v>55</v>
      </c>
      <c r="D743" t="s">
        <v>1574</v>
      </c>
      <c r="E743" t="s">
        <v>189</v>
      </c>
      <c r="F743" s="36">
        <v>26</v>
      </c>
      <c r="G743" t="s">
        <v>1096</v>
      </c>
      <c r="I743" cm="1">
        <f t="array" ref="I743">_xlfn.IFNA(INDEX(QHPSelections2016[],MATCH(1,(QHPSelections2016[State Name]=HIX_RatingAreas[[#This Row],[State Code]])*(QHPSelections2016[County Name]=HIX_RatingAreas[[#This Row],[Subdivision]]),0),MATCH("Silver",QHPSelections2016[#Headers],0)),0)</f>
        <v>98</v>
      </c>
      <c r="J743" cm="1">
        <f t="array" ref="J743">_xlfn.IFNA(INDEX(QHPSelections2016[],MATCH(1,(QHPSelections2016[State Name]=HIX_RatingAreas[[#This Row],[State Code]])*(QHPSelections2016[County Name]=HIX_RatingAreas[[#This Row],[Subdivision]]),0),MATCH("Total Plan Selections",QHPSelections2016[#Headers],0)),0)</f>
        <v>138</v>
      </c>
      <c r="L743" t="str" cm="1">
        <f t="array" ref="L743">INDEX(QHPSelections2016[],MATCH(1,(QHPSelections2016[State Name]=HIX_RatingAreas[[#This Row],[State Code]])*(QHPSelections2016[County Name]=HIX_RatingAreas[[#This Row],[Subdivision]]),0),MATCH("County Name",QHPSelections2016[#Headers],0))</f>
        <v>Crane County</v>
      </c>
      <c r="M743" t="b">
        <f>L743=HIX_RatingAreas[[#This Row],[Subdivision]]</f>
        <v>1</v>
      </c>
      <c r="N743">
        <v>740</v>
      </c>
    </row>
    <row r="744" spans="3:14">
      <c r="C744" t="s">
        <v>55</v>
      </c>
      <c r="D744" t="s">
        <v>1574</v>
      </c>
      <c r="E744" t="s">
        <v>189</v>
      </c>
      <c r="F744" s="36">
        <v>26</v>
      </c>
      <c r="G744" t="s">
        <v>916</v>
      </c>
      <c r="I744" cm="1">
        <f t="array" ref="I744">_xlfn.IFNA(INDEX(QHPSelections2016[],MATCH(1,(QHPSelections2016[State Name]=HIX_RatingAreas[[#This Row],[State Code]])*(QHPSelections2016[County Name]=HIX_RatingAreas[[#This Row],[Subdivision]]),0),MATCH("Silver",QHPSelections2016[#Headers],0)),0)</f>
        <v>82</v>
      </c>
      <c r="J744" cm="1">
        <f t="array" ref="J744">_xlfn.IFNA(INDEX(QHPSelections2016[],MATCH(1,(QHPSelections2016[State Name]=HIX_RatingAreas[[#This Row],[State Code]])*(QHPSelections2016[County Name]=HIX_RatingAreas[[#This Row],[Subdivision]]),0),MATCH("Total Plan Selections",QHPSelections2016[#Headers],0)),0)</f>
        <v>127</v>
      </c>
      <c r="L744" t="str" cm="1">
        <f t="array" ref="L744">INDEX(QHPSelections2016[],MATCH(1,(QHPSelections2016[State Name]=HIX_RatingAreas[[#This Row],[State Code]])*(QHPSelections2016[County Name]=HIX_RatingAreas[[#This Row],[Subdivision]]),0),MATCH("County Name",QHPSelections2016[#Headers],0))</f>
        <v>Crockett County</v>
      </c>
      <c r="M744" t="b">
        <f>L744=HIX_RatingAreas[[#This Row],[Subdivision]]</f>
        <v>1</v>
      </c>
      <c r="N744">
        <v>741</v>
      </c>
    </row>
    <row r="745" spans="3:14">
      <c r="C745" t="s">
        <v>55</v>
      </c>
      <c r="D745" t="s">
        <v>1574</v>
      </c>
      <c r="E745" t="s">
        <v>189</v>
      </c>
      <c r="F745" s="36">
        <v>26</v>
      </c>
      <c r="G745" s="38" t="s">
        <v>1114</v>
      </c>
      <c r="H745" t="s">
        <v>5193</v>
      </c>
      <c r="I745" cm="1">
        <f t="array" ref="I745">_xlfn.IFNA(INDEX(QHPSelections2016[],MATCH(1,(QHPSelections2016[State Name]=HIX_RatingAreas[[#This Row],[State Code]])*(QHPSelections2016[County Name]=HIX_RatingAreas[[#This Row],[Subdivision]]),0),MATCH("Silver",QHPSelections2016[#Headers],0)),0)</f>
        <v>84</v>
      </c>
      <c r="J745" cm="1">
        <f t="array" ref="J745">_xlfn.IFNA(INDEX(QHPSelections2016[],MATCH(1,(QHPSelections2016[State Name]=HIX_RatingAreas[[#This Row],[State Code]])*(QHPSelections2016[County Name]=HIX_RatingAreas[[#This Row],[Subdivision]]),0),MATCH("Total Plan Selections",QHPSelections2016[#Headers],0)),0)</f>
        <v>113</v>
      </c>
      <c r="L745" t="str" cm="1">
        <f t="array" ref="L745">INDEX(QHPSelections2016[],MATCH(1,(QHPSelections2016[State Name]=HIX_RatingAreas[[#This Row],[State Code]])*(QHPSelections2016[County Name]=HIX_RatingAreas[[#This Row],[Subdivision]]),0),MATCH("County Name",QHPSelections2016[#Headers],0))</f>
        <v>Culberson County</v>
      </c>
      <c r="M745" t="b">
        <f>L745=HIX_RatingAreas[[#This Row],[Subdivision]]</f>
        <v>1</v>
      </c>
      <c r="N745">
        <v>742</v>
      </c>
    </row>
    <row r="746" spans="3:14">
      <c r="C746" t="s">
        <v>55</v>
      </c>
      <c r="D746" t="s">
        <v>1574</v>
      </c>
      <c r="E746" t="s">
        <v>189</v>
      </c>
      <c r="F746" s="36">
        <v>26</v>
      </c>
      <c r="G746" t="s">
        <v>1118</v>
      </c>
      <c r="I746" cm="1">
        <f t="array" ref="I746">_xlfn.IFNA(INDEX(QHPSelections2016[],MATCH(1,(QHPSelections2016[State Name]=HIX_RatingAreas[[#This Row],[State Code]])*(QHPSelections2016[County Name]=HIX_RatingAreas[[#This Row],[Subdivision]]),0),MATCH("Silver",QHPSelections2016[#Headers],0)),0)</f>
        <v>197</v>
      </c>
      <c r="J746" cm="1">
        <f t="array" ref="J746">_xlfn.IFNA(INDEX(QHPSelections2016[],MATCH(1,(QHPSelections2016[State Name]=HIX_RatingAreas[[#This Row],[State Code]])*(QHPSelections2016[County Name]=HIX_RatingAreas[[#This Row],[Subdivision]]),0),MATCH("Total Plan Selections",QHPSelections2016[#Headers],0)),0)</f>
        <v>292</v>
      </c>
      <c r="L746" t="str" cm="1">
        <f t="array" ref="L746">INDEX(QHPSelections2016[],MATCH(1,(QHPSelections2016[State Name]=HIX_RatingAreas[[#This Row],[State Code]])*(QHPSelections2016[County Name]=HIX_RatingAreas[[#This Row],[Subdivision]]),0),MATCH("County Name",QHPSelections2016[#Headers],0))</f>
        <v>Dallam County</v>
      </c>
      <c r="M746" t="b">
        <f>L746=HIX_RatingAreas[[#This Row],[Subdivision]]</f>
        <v>1</v>
      </c>
      <c r="N746">
        <v>743</v>
      </c>
    </row>
    <row r="747" spans="3:14">
      <c r="C747" t="s">
        <v>55</v>
      </c>
      <c r="D747" t="s">
        <v>1574</v>
      </c>
      <c r="E747" t="s">
        <v>189</v>
      </c>
      <c r="F747" s="36">
        <v>26</v>
      </c>
      <c r="G747" t="s">
        <v>1045</v>
      </c>
      <c r="I747" cm="1">
        <f t="array" ref="I747">_xlfn.IFNA(INDEX(QHPSelections2016[],MATCH(1,(QHPSelections2016[State Name]=HIX_RatingAreas[[#This Row],[State Code]])*(QHPSelections2016[County Name]=HIX_RatingAreas[[#This Row],[Subdivision]]),0),MATCH("Silver",QHPSelections2016[#Headers],0)),0)</f>
        <v>253</v>
      </c>
      <c r="J747" cm="1">
        <f t="array" ref="J747">_xlfn.IFNA(INDEX(QHPSelections2016[],MATCH(1,(QHPSelections2016[State Name]=HIX_RatingAreas[[#This Row],[State Code]])*(QHPSelections2016[County Name]=HIX_RatingAreas[[#This Row],[Subdivision]]),0),MATCH("Total Plan Selections",QHPSelections2016[#Headers],0)),0)</f>
        <v>353</v>
      </c>
      <c r="L747" t="str" cm="1">
        <f t="array" ref="L747">INDEX(QHPSelections2016[],MATCH(1,(QHPSelections2016[State Name]=HIX_RatingAreas[[#This Row],[State Code]])*(QHPSelections2016[County Name]=HIX_RatingAreas[[#This Row],[Subdivision]]),0),MATCH("County Name",QHPSelections2016[#Headers],0))</f>
        <v>Dawson County</v>
      </c>
      <c r="M747" t="b">
        <f>L747=HIX_RatingAreas[[#This Row],[Subdivision]]</f>
        <v>1</v>
      </c>
      <c r="N747">
        <v>744</v>
      </c>
    </row>
    <row r="748" spans="3:14">
      <c r="C748" t="s">
        <v>55</v>
      </c>
      <c r="D748" t="s">
        <v>1574</v>
      </c>
      <c r="E748" t="s">
        <v>189</v>
      </c>
      <c r="F748" s="36">
        <v>26</v>
      </c>
      <c r="G748" t="s">
        <v>1129</v>
      </c>
      <c r="I748" cm="1">
        <f t="array" ref="I748">_xlfn.IFNA(INDEX(QHPSelections2016[],MATCH(1,(QHPSelections2016[State Name]=HIX_RatingAreas[[#This Row],[State Code]])*(QHPSelections2016[County Name]=HIX_RatingAreas[[#This Row],[Subdivision]]),0),MATCH("Silver",QHPSelections2016[#Headers],0)),0)</f>
        <v>443</v>
      </c>
      <c r="J748" cm="1">
        <f t="array" ref="J748">_xlfn.IFNA(INDEX(QHPSelections2016[],MATCH(1,(QHPSelections2016[State Name]=HIX_RatingAreas[[#This Row],[State Code]])*(QHPSelections2016[County Name]=HIX_RatingAreas[[#This Row],[Subdivision]]),0),MATCH("Total Plan Selections",QHPSelections2016[#Headers],0)),0)</f>
        <v>606</v>
      </c>
      <c r="L748" t="str" cm="1">
        <f t="array" ref="L748">INDEX(QHPSelections2016[],MATCH(1,(QHPSelections2016[State Name]=HIX_RatingAreas[[#This Row],[State Code]])*(QHPSelections2016[County Name]=HIX_RatingAreas[[#This Row],[Subdivision]]),0),MATCH("County Name",QHPSelections2016[#Headers],0))</f>
        <v>Deaf Smith County</v>
      </c>
      <c r="M748" t="b">
        <f>L748=HIX_RatingAreas[[#This Row],[Subdivision]]</f>
        <v>1</v>
      </c>
      <c r="N748">
        <v>745</v>
      </c>
    </row>
    <row r="749" spans="3:14">
      <c r="C749" t="s">
        <v>55</v>
      </c>
      <c r="D749" t="s">
        <v>1574</v>
      </c>
      <c r="E749" t="s">
        <v>189</v>
      </c>
      <c r="F749" s="36">
        <v>26</v>
      </c>
      <c r="G749" t="s">
        <v>1147</v>
      </c>
      <c r="I749" cm="1">
        <f t="array" ref="I749">_xlfn.IFNA(INDEX(QHPSelections2016[],MATCH(1,(QHPSelections2016[State Name]=HIX_RatingAreas[[#This Row],[State Code]])*(QHPSelections2016[County Name]=HIX_RatingAreas[[#This Row],[Subdivision]]),0),MATCH("Silver",QHPSelections2016[#Headers],0)),0)</f>
        <v>505</v>
      </c>
      <c r="J749" cm="1">
        <f t="array" ref="J749">_xlfn.IFNA(INDEX(QHPSelections2016[],MATCH(1,(QHPSelections2016[State Name]=HIX_RatingAreas[[#This Row],[State Code]])*(QHPSelections2016[County Name]=HIX_RatingAreas[[#This Row],[Subdivision]]),0),MATCH("Total Plan Selections",QHPSelections2016[#Headers],0)),0)</f>
        <v>745</v>
      </c>
      <c r="L749" t="str" cm="1">
        <f t="array" ref="L749">INDEX(QHPSelections2016[],MATCH(1,(QHPSelections2016[State Name]=HIX_RatingAreas[[#This Row],[State Code]])*(QHPSelections2016[County Name]=HIX_RatingAreas[[#This Row],[Subdivision]]),0),MATCH("County Name",QHPSelections2016[#Headers],0))</f>
        <v>DeWitt County</v>
      </c>
      <c r="M749" t="b">
        <f>L749=HIX_RatingAreas[[#This Row],[Subdivision]]</f>
        <v>1</v>
      </c>
      <c r="N749">
        <v>746</v>
      </c>
    </row>
    <row r="750" spans="3:14">
      <c r="C750" t="s">
        <v>55</v>
      </c>
      <c r="D750" t="s">
        <v>1574</v>
      </c>
      <c r="E750" t="s">
        <v>189</v>
      </c>
      <c r="F750" s="36">
        <v>26</v>
      </c>
      <c r="G750" t="s">
        <v>1153</v>
      </c>
      <c r="I750" cm="1">
        <f t="array" ref="I750">_xlfn.IFNA(INDEX(QHPSelections2016[],MATCH(1,(QHPSelections2016[State Name]=HIX_RatingAreas[[#This Row],[State Code]])*(QHPSelections2016[County Name]=HIX_RatingAreas[[#This Row],[Subdivision]]),0),MATCH("Silver",QHPSelections2016[#Headers],0)),0)</f>
        <v>44</v>
      </c>
      <c r="J750" cm="1">
        <f t="array" ref="J750">_xlfn.IFNA(INDEX(QHPSelections2016[],MATCH(1,(QHPSelections2016[State Name]=HIX_RatingAreas[[#This Row],[State Code]])*(QHPSelections2016[County Name]=HIX_RatingAreas[[#This Row],[Subdivision]]),0),MATCH("Total Plan Selections",QHPSelections2016[#Headers],0)),0)</f>
        <v>55</v>
      </c>
      <c r="L750" t="str" cm="1">
        <f t="array" ref="L750">INDEX(QHPSelections2016[],MATCH(1,(QHPSelections2016[State Name]=HIX_RatingAreas[[#This Row],[State Code]])*(QHPSelections2016[County Name]=HIX_RatingAreas[[#This Row],[Subdivision]]),0),MATCH("County Name",QHPSelections2016[#Headers],0))</f>
        <v>Dickens County</v>
      </c>
      <c r="M750" t="b">
        <f>L750=HIX_RatingAreas[[#This Row],[Subdivision]]</f>
        <v>1</v>
      </c>
      <c r="N750">
        <v>747</v>
      </c>
    </row>
    <row r="751" spans="3:14">
      <c r="C751" t="s">
        <v>55</v>
      </c>
      <c r="D751" t="s">
        <v>1574</v>
      </c>
      <c r="E751" t="s">
        <v>189</v>
      </c>
      <c r="F751" s="36">
        <v>26</v>
      </c>
      <c r="G751" t="s">
        <v>1159</v>
      </c>
      <c r="I751" cm="1">
        <f t="array" ref="I751">_xlfn.IFNA(INDEX(QHPSelections2016[],MATCH(1,(QHPSelections2016[State Name]=HIX_RatingAreas[[#This Row],[State Code]])*(QHPSelections2016[County Name]=HIX_RatingAreas[[#This Row],[Subdivision]]),0),MATCH("Silver",QHPSelections2016[#Headers],0)),0)</f>
        <v>455</v>
      </c>
      <c r="J751" cm="1">
        <f t="array" ref="J751">_xlfn.IFNA(INDEX(QHPSelections2016[],MATCH(1,(QHPSelections2016[State Name]=HIX_RatingAreas[[#This Row],[State Code]])*(QHPSelections2016[County Name]=HIX_RatingAreas[[#This Row],[Subdivision]]),0),MATCH("Total Plan Selections",QHPSelections2016[#Headers],0)),0)</f>
        <v>609</v>
      </c>
      <c r="L751" t="str" cm="1">
        <f t="array" ref="L751">INDEX(QHPSelections2016[],MATCH(1,(QHPSelections2016[State Name]=HIX_RatingAreas[[#This Row],[State Code]])*(QHPSelections2016[County Name]=HIX_RatingAreas[[#This Row],[Subdivision]]),0),MATCH("County Name",QHPSelections2016[#Headers],0))</f>
        <v>Dimmit County</v>
      </c>
      <c r="M751" t="b">
        <f>L751=HIX_RatingAreas[[#This Row],[Subdivision]]</f>
        <v>1</v>
      </c>
      <c r="N751">
        <v>748</v>
      </c>
    </row>
    <row r="752" spans="3:14">
      <c r="C752" t="s">
        <v>55</v>
      </c>
      <c r="D752" t="s">
        <v>1574</v>
      </c>
      <c r="E752" t="s">
        <v>189</v>
      </c>
      <c r="F752" s="36">
        <v>26</v>
      </c>
      <c r="G752" t="s">
        <v>1165</v>
      </c>
      <c r="I752" cm="1">
        <f t="array" ref="I752">_xlfn.IFNA(INDEX(QHPSelections2016[],MATCH(1,(QHPSelections2016[State Name]=HIX_RatingAreas[[#This Row],[State Code]])*(QHPSelections2016[County Name]=HIX_RatingAreas[[#This Row],[Subdivision]]),0),MATCH("Silver",QHPSelections2016[#Headers],0)),0)</f>
        <v>87</v>
      </c>
      <c r="J752" cm="1">
        <f t="array" ref="J752">_xlfn.IFNA(INDEX(QHPSelections2016[],MATCH(1,(QHPSelections2016[State Name]=HIX_RatingAreas[[#This Row],[State Code]])*(QHPSelections2016[County Name]=HIX_RatingAreas[[#This Row],[Subdivision]]),0),MATCH("Total Plan Selections",QHPSelections2016[#Headers],0)),0)</f>
        <v>132</v>
      </c>
      <c r="L752" t="str" cm="1">
        <f t="array" ref="L752">INDEX(QHPSelections2016[],MATCH(1,(QHPSelections2016[State Name]=HIX_RatingAreas[[#This Row],[State Code]])*(QHPSelections2016[County Name]=HIX_RatingAreas[[#This Row],[Subdivision]]),0),MATCH("County Name",QHPSelections2016[#Headers],0))</f>
        <v>Donley County</v>
      </c>
      <c r="M752" t="b">
        <f>L752=HIX_RatingAreas[[#This Row],[Subdivision]]</f>
        <v>1</v>
      </c>
      <c r="N752">
        <v>749</v>
      </c>
    </row>
    <row r="753" spans="3:14">
      <c r="C753" t="s">
        <v>55</v>
      </c>
      <c r="D753" t="s">
        <v>1574</v>
      </c>
      <c r="E753" t="s">
        <v>189</v>
      </c>
      <c r="F753" s="36">
        <v>26</v>
      </c>
      <c r="G753" t="s">
        <v>901</v>
      </c>
      <c r="I753" cm="1">
        <f t="array" ref="I753">_xlfn.IFNA(INDEX(QHPSelections2016[],MATCH(1,(QHPSelections2016[State Name]=HIX_RatingAreas[[#This Row],[State Code]])*(QHPSelections2016[County Name]=HIX_RatingAreas[[#This Row],[Subdivision]]),0),MATCH("Silver",QHPSelections2016[#Headers],0)),0)</f>
        <v>313</v>
      </c>
      <c r="J753" cm="1">
        <f t="array" ref="J753">_xlfn.IFNA(INDEX(QHPSelections2016[],MATCH(1,(QHPSelections2016[State Name]=HIX_RatingAreas[[#This Row],[State Code]])*(QHPSelections2016[County Name]=HIX_RatingAreas[[#This Row],[Subdivision]]),0),MATCH("Total Plan Selections",QHPSelections2016[#Headers],0)),0)</f>
        <v>430</v>
      </c>
      <c r="L753" t="str" cm="1">
        <f t="array" ref="L753">INDEX(QHPSelections2016[],MATCH(1,(QHPSelections2016[State Name]=HIX_RatingAreas[[#This Row],[State Code]])*(QHPSelections2016[County Name]=HIX_RatingAreas[[#This Row],[Subdivision]]),0),MATCH("County Name",QHPSelections2016[#Headers],0))</f>
        <v>Duval County</v>
      </c>
      <c r="M753" t="b">
        <f>L753=HIX_RatingAreas[[#This Row],[Subdivision]]</f>
        <v>1</v>
      </c>
      <c r="N753">
        <v>750</v>
      </c>
    </row>
    <row r="754" spans="3:14">
      <c r="C754" t="s">
        <v>55</v>
      </c>
      <c r="D754" t="s">
        <v>1574</v>
      </c>
      <c r="E754" t="s">
        <v>189</v>
      </c>
      <c r="F754" s="36">
        <v>26</v>
      </c>
      <c r="G754" t="s">
        <v>1176</v>
      </c>
      <c r="I754" cm="1">
        <f t="array" ref="I754">_xlfn.IFNA(INDEX(QHPSelections2016[],MATCH(1,(QHPSelections2016[State Name]=HIX_RatingAreas[[#This Row],[State Code]])*(QHPSelections2016[County Name]=HIX_RatingAreas[[#This Row],[Subdivision]]),0),MATCH("Silver",QHPSelections2016[#Headers],0)),0)</f>
        <v>494</v>
      </c>
      <c r="J754" cm="1">
        <f t="array" ref="J754">_xlfn.IFNA(INDEX(QHPSelections2016[],MATCH(1,(QHPSelections2016[State Name]=HIX_RatingAreas[[#This Row],[State Code]])*(QHPSelections2016[County Name]=HIX_RatingAreas[[#This Row],[Subdivision]]),0),MATCH("Total Plan Selections",QHPSelections2016[#Headers],0)),0)</f>
        <v>785</v>
      </c>
      <c r="L754" t="str" cm="1">
        <f t="array" ref="L754">INDEX(QHPSelections2016[],MATCH(1,(QHPSelections2016[State Name]=HIX_RatingAreas[[#This Row],[State Code]])*(QHPSelections2016[County Name]=HIX_RatingAreas[[#This Row],[Subdivision]]),0),MATCH("County Name",QHPSelections2016[#Headers],0))</f>
        <v>Eastland County</v>
      </c>
      <c r="M754" t="b">
        <f>L754=HIX_RatingAreas[[#This Row],[Subdivision]]</f>
        <v>1</v>
      </c>
      <c r="N754">
        <v>751</v>
      </c>
    </row>
    <row r="755" spans="3:14">
      <c r="C755" t="s">
        <v>55</v>
      </c>
      <c r="D755" t="s">
        <v>1574</v>
      </c>
      <c r="E755" t="s">
        <v>189</v>
      </c>
      <c r="F755" s="36">
        <v>26</v>
      </c>
      <c r="G755" t="s">
        <v>1184</v>
      </c>
      <c r="I755" cm="1">
        <f t="array" ref="I755">_xlfn.IFNA(INDEX(QHPSelections2016[],MATCH(1,(QHPSelections2016[State Name]=HIX_RatingAreas[[#This Row],[State Code]])*(QHPSelections2016[County Name]=HIX_RatingAreas[[#This Row],[Subdivision]]),0),MATCH("Silver",QHPSelections2016[#Headers],0)),0)</f>
        <v>69</v>
      </c>
      <c r="J755" cm="1">
        <f t="array" ref="J755">_xlfn.IFNA(INDEX(QHPSelections2016[],MATCH(1,(QHPSelections2016[State Name]=HIX_RatingAreas[[#This Row],[State Code]])*(QHPSelections2016[County Name]=HIX_RatingAreas[[#This Row],[Subdivision]]),0),MATCH("Total Plan Selections",QHPSelections2016[#Headers],0)),0)</f>
        <v>99</v>
      </c>
      <c r="L755" t="str" cm="1">
        <f t="array" ref="L755">INDEX(QHPSelections2016[],MATCH(1,(QHPSelections2016[State Name]=HIX_RatingAreas[[#This Row],[State Code]])*(QHPSelections2016[County Name]=HIX_RatingAreas[[#This Row],[Subdivision]]),0),MATCH("County Name",QHPSelections2016[#Headers],0))</f>
        <v>Edwards County</v>
      </c>
      <c r="M755" t="b">
        <f>L755=HIX_RatingAreas[[#This Row],[Subdivision]]</f>
        <v>1</v>
      </c>
      <c r="N755">
        <v>752</v>
      </c>
    </row>
    <row r="756" spans="3:14">
      <c r="C756" t="s">
        <v>55</v>
      </c>
      <c r="D756" t="s">
        <v>1574</v>
      </c>
      <c r="E756" t="s">
        <v>189</v>
      </c>
      <c r="F756" s="36">
        <v>26</v>
      </c>
      <c r="G756" t="s">
        <v>1196</v>
      </c>
      <c r="I756" cm="1">
        <f t="array" ref="I756">_xlfn.IFNA(INDEX(QHPSelections2016[],MATCH(1,(QHPSelections2016[State Name]=HIX_RatingAreas[[#This Row],[State Code]])*(QHPSelections2016[County Name]=HIX_RatingAreas[[#This Row],[Subdivision]]),0),MATCH("Silver",QHPSelections2016[#Headers],0)),0)</f>
        <v>999</v>
      </c>
      <c r="J756" cm="1">
        <f t="array" ref="J756">_xlfn.IFNA(INDEX(QHPSelections2016[],MATCH(1,(QHPSelections2016[State Name]=HIX_RatingAreas[[#This Row],[State Code]])*(QHPSelections2016[County Name]=HIX_RatingAreas[[#This Row],[Subdivision]]),0),MATCH("Total Plan Selections",QHPSelections2016[#Headers],0)),0)</f>
        <v>1597</v>
      </c>
      <c r="L756" t="str" cm="1">
        <f t="array" ref="L756">INDEX(QHPSelections2016[],MATCH(1,(QHPSelections2016[State Name]=HIX_RatingAreas[[#This Row],[State Code]])*(QHPSelections2016[County Name]=HIX_RatingAreas[[#This Row],[Subdivision]]),0),MATCH("County Name",QHPSelections2016[#Headers],0))</f>
        <v>Erath County</v>
      </c>
      <c r="M756" t="b">
        <f>L756=HIX_RatingAreas[[#This Row],[Subdivision]]</f>
        <v>1</v>
      </c>
      <c r="N756">
        <v>753</v>
      </c>
    </row>
    <row r="757" spans="3:14">
      <c r="C757" t="s">
        <v>55</v>
      </c>
      <c r="D757" t="s">
        <v>1574</v>
      </c>
      <c r="E757" t="s">
        <v>189</v>
      </c>
      <c r="F757" s="36">
        <v>26</v>
      </c>
      <c r="G757" t="s">
        <v>1200</v>
      </c>
      <c r="I757" cm="1">
        <f t="array" ref="I757">_xlfn.IFNA(INDEX(QHPSelections2016[],MATCH(1,(QHPSelections2016[State Name]=HIX_RatingAreas[[#This Row],[State Code]])*(QHPSelections2016[County Name]=HIX_RatingAreas[[#This Row],[Subdivision]]),0),MATCH("Silver",QHPSelections2016[#Headers],0)),0)</f>
        <v>431</v>
      </c>
      <c r="J757" cm="1">
        <f t="array" ref="J757">_xlfn.IFNA(INDEX(QHPSelections2016[],MATCH(1,(QHPSelections2016[State Name]=HIX_RatingAreas[[#This Row],[State Code]])*(QHPSelections2016[County Name]=HIX_RatingAreas[[#This Row],[Subdivision]]),0),MATCH("Total Plan Selections",QHPSelections2016[#Headers],0)),0)</f>
        <v>596</v>
      </c>
      <c r="L757" t="str" cm="1">
        <f t="array" ref="L757">INDEX(QHPSelections2016[],MATCH(1,(QHPSelections2016[State Name]=HIX_RatingAreas[[#This Row],[State Code]])*(QHPSelections2016[County Name]=HIX_RatingAreas[[#This Row],[Subdivision]]),0),MATCH("County Name",QHPSelections2016[#Headers],0))</f>
        <v>Falls County</v>
      </c>
      <c r="M757" t="b">
        <f>L757=HIX_RatingAreas[[#This Row],[Subdivision]]</f>
        <v>1</v>
      </c>
      <c r="N757">
        <v>754</v>
      </c>
    </row>
    <row r="758" spans="3:14">
      <c r="C758" t="s">
        <v>55</v>
      </c>
      <c r="D758" t="s">
        <v>1574</v>
      </c>
      <c r="E758" t="s">
        <v>189</v>
      </c>
      <c r="F758" s="36">
        <v>26</v>
      </c>
      <c r="G758" t="s">
        <v>1111</v>
      </c>
      <c r="I758" cm="1">
        <f t="array" ref="I758">_xlfn.IFNA(INDEX(QHPSelections2016[],MATCH(1,(QHPSelections2016[State Name]=HIX_RatingAreas[[#This Row],[State Code]])*(QHPSelections2016[County Name]=HIX_RatingAreas[[#This Row],[Subdivision]]),0),MATCH("Silver",QHPSelections2016[#Headers],0)),0)</f>
        <v>770</v>
      </c>
      <c r="J758" cm="1">
        <f t="array" ref="J758">_xlfn.IFNA(INDEX(QHPSelections2016[],MATCH(1,(QHPSelections2016[State Name]=HIX_RatingAreas[[#This Row],[State Code]])*(QHPSelections2016[County Name]=HIX_RatingAreas[[#This Row],[Subdivision]]),0),MATCH("Total Plan Selections",QHPSelections2016[#Headers],0)),0)</f>
        <v>1117</v>
      </c>
      <c r="L758" t="str" cm="1">
        <f t="array" ref="L758">INDEX(QHPSelections2016[],MATCH(1,(QHPSelections2016[State Name]=HIX_RatingAreas[[#This Row],[State Code]])*(QHPSelections2016[County Name]=HIX_RatingAreas[[#This Row],[Subdivision]]),0),MATCH("County Name",QHPSelections2016[#Headers],0))</f>
        <v>Fannin County</v>
      </c>
      <c r="M758" t="b">
        <f>L758=HIX_RatingAreas[[#This Row],[Subdivision]]</f>
        <v>1</v>
      </c>
      <c r="N758">
        <v>755</v>
      </c>
    </row>
    <row r="759" spans="3:14">
      <c r="C759" t="s">
        <v>55</v>
      </c>
      <c r="D759" t="s">
        <v>1574</v>
      </c>
      <c r="E759" t="s">
        <v>189</v>
      </c>
      <c r="F759" s="36">
        <v>26</v>
      </c>
      <c r="G759" t="s">
        <v>958</v>
      </c>
      <c r="I759" cm="1">
        <f t="array" ref="I759">_xlfn.IFNA(INDEX(QHPSelections2016[],MATCH(1,(QHPSelections2016[State Name]=HIX_RatingAreas[[#This Row],[State Code]])*(QHPSelections2016[County Name]=HIX_RatingAreas[[#This Row],[Subdivision]]),0),MATCH("Silver",QHPSelections2016[#Headers],0)),0)</f>
        <v>644</v>
      </c>
      <c r="J759" cm="1">
        <f t="array" ref="J759">_xlfn.IFNA(INDEX(QHPSelections2016[],MATCH(1,(QHPSelections2016[State Name]=HIX_RatingAreas[[#This Row],[State Code]])*(QHPSelections2016[County Name]=HIX_RatingAreas[[#This Row],[Subdivision]]),0),MATCH("Total Plan Selections",QHPSelections2016[#Headers],0)),0)</f>
        <v>1063</v>
      </c>
      <c r="L759" t="str" cm="1">
        <f t="array" ref="L759">INDEX(QHPSelections2016[],MATCH(1,(QHPSelections2016[State Name]=HIX_RatingAreas[[#This Row],[State Code]])*(QHPSelections2016[County Name]=HIX_RatingAreas[[#This Row],[Subdivision]]),0),MATCH("County Name",QHPSelections2016[#Headers],0))</f>
        <v>Fayette County</v>
      </c>
      <c r="M759" t="b">
        <f>L759=HIX_RatingAreas[[#This Row],[Subdivision]]</f>
        <v>1</v>
      </c>
      <c r="N759">
        <v>756</v>
      </c>
    </row>
    <row r="760" spans="3:14">
      <c r="C760" t="s">
        <v>55</v>
      </c>
      <c r="D760" t="s">
        <v>1574</v>
      </c>
      <c r="E760" t="s">
        <v>189</v>
      </c>
      <c r="F760" s="36">
        <v>26</v>
      </c>
      <c r="G760" t="s">
        <v>1207</v>
      </c>
      <c r="I760" cm="1">
        <f t="array" ref="I760">_xlfn.IFNA(INDEX(QHPSelections2016[],MATCH(1,(QHPSelections2016[State Name]=HIX_RatingAreas[[#This Row],[State Code]])*(QHPSelections2016[County Name]=HIX_RatingAreas[[#This Row],[Subdivision]]),0),MATCH("Silver",QHPSelections2016[#Headers],0)),0)</f>
        <v>92</v>
      </c>
      <c r="J760" cm="1">
        <f t="array" ref="J760">_xlfn.IFNA(INDEX(QHPSelections2016[],MATCH(1,(QHPSelections2016[State Name]=HIX_RatingAreas[[#This Row],[State Code]])*(QHPSelections2016[County Name]=HIX_RatingAreas[[#This Row],[Subdivision]]),0),MATCH("Total Plan Selections",QHPSelections2016[#Headers],0)),0)</f>
        <v>140</v>
      </c>
      <c r="L760" t="str" cm="1">
        <f t="array" ref="L760">INDEX(QHPSelections2016[],MATCH(1,(QHPSelections2016[State Name]=HIX_RatingAreas[[#This Row],[State Code]])*(QHPSelections2016[County Name]=HIX_RatingAreas[[#This Row],[Subdivision]]),0),MATCH("County Name",QHPSelections2016[#Headers],0))</f>
        <v>Fisher County</v>
      </c>
      <c r="M760" t="b">
        <f>L760=HIX_RatingAreas[[#This Row],[Subdivision]]</f>
        <v>1</v>
      </c>
      <c r="N760">
        <v>757</v>
      </c>
    </row>
    <row r="761" spans="3:14">
      <c r="C761" t="s">
        <v>55</v>
      </c>
      <c r="D761" t="s">
        <v>1574</v>
      </c>
      <c r="E761" t="s">
        <v>189</v>
      </c>
      <c r="F761" s="36">
        <v>26</v>
      </c>
      <c r="G761" t="s">
        <v>1121</v>
      </c>
      <c r="I761" cm="1">
        <f t="array" ref="I761">_xlfn.IFNA(INDEX(QHPSelections2016[],MATCH(1,(QHPSelections2016[State Name]=HIX_RatingAreas[[#This Row],[State Code]])*(QHPSelections2016[County Name]=HIX_RatingAreas[[#This Row],[Subdivision]]),0),MATCH("Silver",QHPSelections2016[#Headers],0)),0)</f>
        <v>159</v>
      </c>
      <c r="J761" cm="1">
        <f t="array" ref="J761">_xlfn.IFNA(INDEX(QHPSelections2016[],MATCH(1,(QHPSelections2016[State Name]=HIX_RatingAreas[[#This Row],[State Code]])*(QHPSelections2016[County Name]=HIX_RatingAreas[[#This Row],[Subdivision]]),0),MATCH("Total Plan Selections",QHPSelections2016[#Headers],0)),0)</f>
        <v>200</v>
      </c>
      <c r="L761" t="str" cm="1">
        <f t="array" ref="L761">INDEX(QHPSelections2016[],MATCH(1,(QHPSelections2016[State Name]=HIX_RatingAreas[[#This Row],[State Code]])*(QHPSelections2016[County Name]=HIX_RatingAreas[[#This Row],[Subdivision]]),0),MATCH("County Name",QHPSelections2016[#Headers],0))</f>
        <v>Floyd County</v>
      </c>
      <c r="M761" t="b">
        <f>L761=HIX_RatingAreas[[#This Row],[Subdivision]]</f>
        <v>1</v>
      </c>
      <c r="N761">
        <v>758</v>
      </c>
    </row>
    <row r="762" spans="3:14">
      <c r="C762" t="s">
        <v>55</v>
      </c>
      <c r="D762" t="s">
        <v>1574</v>
      </c>
      <c r="E762" t="s">
        <v>189</v>
      </c>
      <c r="F762" s="36">
        <v>26</v>
      </c>
      <c r="G762" t="s">
        <v>1215</v>
      </c>
      <c r="I762" cm="1">
        <f t="array" ref="I762">_xlfn.IFNA(INDEX(QHPSelections2016[],MATCH(1,(QHPSelections2016[State Name]=HIX_RatingAreas[[#This Row],[State Code]])*(QHPSelections2016[County Name]=HIX_RatingAreas[[#This Row],[Subdivision]]),0),MATCH("Silver",QHPSelections2016[#Headers],0)),0)</f>
        <v>29</v>
      </c>
      <c r="J762" cm="1">
        <f t="array" ref="J762">_xlfn.IFNA(INDEX(QHPSelections2016[],MATCH(1,(QHPSelections2016[State Name]=HIX_RatingAreas[[#This Row],[State Code]])*(QHPSelections2016[County Name]=HIX_RatingAreas[[#This Row],[Subdivision]]),0),MATCH("Total Plan Selections",QHPSelections2016[#Headers],0)),0)</f>
        <v>42</v>
      </c>
      <c r="L762" t="str" cm="1">
        <f t="array" ref="L762">INDEX(QHPSelections2016[],MATCH(1,(QHPSelections2016[State Name]=HIX_RatingAreas[[#This Row],[State Code]])*(QHPSelections2016[County Name]=HIX_RatingAreas[[#This Row],[Subdivision]]),0),MATCH("County Name",QHPSelections2016[#Headers],0))</f>
        <v>Foard County</v>
      </c>
      <c r="M762" t="b">
        <f>L762=HIX_RatingAreas[[#This Row],[Subdivision]]</f>
        <v>1</v>
      </c>
      <c r="N762">
        <v>759</v>
      </c>
    </row>
    <row r="763" spans="3:14">
      <c r="C763" t="s">
        <v>55</v>
      </c>
      <c r="D763" t="s">
        <v>1574</v>
      </c>
      <c r="E763" t="s">
        <v>189</v>
      </c>
      <c r="F763" s="36">
        <v>26</v>
      </c>
      <c r="G763" t="s">
        <v>919</v>
      </c>
      <c r="I763" cm="1">
        <f t="array" ref="I763">_xlfn.IFNA(INDEX(QHPSelections2016[],MATCH(1,(QHPSelections2016[State Name]=HIX_RatingAreas[[#This Row],[State Code]])*(QHPSelections2016[County Name]=HIX_RatingAreas[[#This Row],[Subdivision]]),0),MATCH("Silver",QHPSelections2016[#Headers],0)),0)</f>
        <v>333</v>
      </c>
      <c r="J763" cm="1">
        <f t="array" ref="J763">_xlfn.IFNA(INDEX(QHPSelections2016[],MATCH(1,(QHPSelections2016[State Name]=HIX_RatingAreas[[#This Row],[State Code]])*(QHPSelections2016[County Name]=HIX_RatingAreas[[#This Row],[Subdivision]]),0),MATCH("Total Plan Selections",QHPSelections2016[#Headers],0)),0)</f>
        <v>487</v>
      </c>
      <c r="L763" t="str" cm="1">
        <f t="array" ref="L763">INDEX(QHPSelections2016[],MATCH(1,(QHPSelections2016[State Name]=HIX_RatingAreas[[#This Row],[State Code]])*(QHPSelections2016[County Name]=HIX_RatingAreas[[#This Row],[Subdivision]]),0),MATCH("County Name",QHPSelections2016[#Headers],0))</f>
        <v>Franklin County</v>
      </c>
      <c r="M763" t="b">
        <f>L763=HIX_RatingAreas[[#This Row],[Subdivision]]</f>
        <v>1</v>
      </c>
      <c r="N763">
        <v>760</v>
      </c>
    </row>
    <row r="764" spans="3:14">
      <c r="C764" t="s">
        <v>55</v>
      </c>
      <c r="D764" t="s">
        <v>1574</v>
      </c>
      <c r="E764" t="s">
        <v>189</v>
      </c>
      <c r="F764" s="36">
        <v>26</v>
      </c>
      <c r="G764" t="s">
        <v>1223</v>
      </c>
      <c r="I764" cm="1">
        <f t="array" ref="I764">_xlfn.IFNA(INDEX(QHPSelections2016[],MATCH(1,(QHPSelections2016[State Name]=HIX_RatingAreas[[#This Row],[State Code]])*(QHPSelections2016[County Name]=HIX_RatingAreas[[#This Row],[Subdivision]]),0),MATCH("Silver",QHPSelections2016[#Headers],0)),0)</f>
        <v>424</v>
      </c>
      <c r="J764" cm="1">
        <f t="array" ref="J764">_xlfn.IFNA(INDEX(QHPSelections2016[],MATCH(1,(QHPSelections2016[State Name]=HIX_RatingAreas[[#This Row],[State Code]])*(QHPSelections2016[County Name]=HIX_RatingAreas[[#This Row],[Subdivision]]),0),MATCH("Total Plan Selections",QHPSelections2016[#Headers],0)),0)</f>
        <v>611</v>
      </c>
      <c r="L764" t="str" cm="1">
        <f t="array" ref="L764">INDEX(QHPSelections2016[],MATCH(1,(QHPSelections2016[State Name]=HIX_RatingAreas[[#This Row],[State Code]])*(QHPSelections2016[County Name]=HIX_RatingAreas[[#This Row],[Subdivision]]),0),MATCH("County Name",QHPSelections2016[#Headers],0))</f>
        <v>Freestone County</v>
      </c>
      <c r="M764" t="b">
        <f>L764=HIX_RatingAreas[[#This Row],[Subdivision]]</f>
        <v>1</v>
      </c>
      <c r="N764">
        <v>761</v>
      </c>
    </row>
    <row r="765" spans="3:14">
      <c r="C765" t="s">
        <v>55</v>
      </c>
      <c r="D765" t="s">
        <v>1574</v>
      </c>
      <c r="E765" t="s">
        <v>189</v>
      </c>
      <c r="F765" s="36">
        <v>26</v>
      </c>
      <c r="G765" t="s">
        <v>1228</v>
      </c>
      <c r="I765" cm="1">
        <f t="array" ref="I765">_xlfn.IFNA(INDEX(QHPSelections2016[],MATCH(1,(QHPSelections2016[State Name]=HIX_RatingAreas[[#This Row],[State Code]])*(QHPSelections2016[County Name]=HIX_RatingAreas[[#This Row],[Subdivision]]),0),MATCH("Silver",QHPSelections2016[#Headers],0)),0)</f>
        <v>533</v>
      </c>
      <c r="J765" cm="1">
        <f t="array" ref="J765">_xlfn.IFNA(INDEX(QHPSelections2016[],MATCH(1,(QHPSelections2016[State Name]=HIX_RatingAreas[[#This Row],[State Code]])*(QHPSelections2016[County Name]=HIX_RatingAreas[[#This Row],[Subdivision]]),0),MATCH("Total Plan Selections",QHPSelections2016[#Headers],0)),0)</f>
        <v>742</v>
      </c>
      <c r="L765" t="str" cm="1">
        <f t="array" ref="L765">INDEX(QHPSelections2016[],MATCH(1,(QHPSelections2016[State Name]=HIX_RatingAreas[[#This Row],[State Code]])*(QHPSelections2016[County Name]=HIX_RatingAreas[[#This Row],[Subdivision]]),0),MATCH("County Name",QHPSelections2016[#Headers],0))</f>
        <v>Frio County</v>
      </c>
      <c r="M765" t="b">
        <f>L765=HIX_RatingAreas[[#This Row],[Subdivision]]</f>
        <v>1</v>
      </c>
      <c r="N765">
        <v>762</v>
      </c>
    </row>
    <row r="766" spans="3:14">
      <c r="C766" t="s">
        <v>55</v>
      </c>
      <c r="D766" t="s">
        <v>1574</v>
      </c>
      <c r="E766" t="s">
        <v>189</v>
      </c>
      <c r="F766" s="36">
        <v>26</v>
      </c>
      <c r="G766" t="s">
        <v>1231</v>
      </c>
      <c r="I766" cm="1">
        <f t="array" ref="I766">_xlfn.IFNA(INDEX(QHPSelections2016[],MATCH(1,(QHPSelections2016[State Name]=HIX_RatingAreas[[#This Row],[State Code]])*(QHPSelections2016[County Name]=HIX_RatingAreas[[#This Row],[Subdivision]]),0),MATCH("Silver",QHPSelections2016[#Headers],0)),0)</f>
        <v>277</v>
      </c>
      <c r="J766" cm="1">
        <f t="array" ref="J766">_xlfn.IFNA(INDEX(QHPSelections2016[],MATCH(1,(QHPSelections2016[State Name]=HIX_RatingAreas[[#This Row],[State Code]])*(QHPSelections2016[County Name]=HIX_RatingAreas[[#This Row],[Subdivision]]),0),MATCH("Total Plan Selections",QHPSelections2016[#Headers],0)),0)</f>
        <v>459</v>
      </c>
      <c r="L766" t="str" cm="1">
        <f t="array" ref="L766">INDEX(QHPSelections2016[],MATCH(1,(QHPSelections2016[State Name]=HIX_RatingAreas[[#This Row],[State Code]])*(QHPSelections2016[County Name]=HIX_RatingAreas[[#This Row],[Subdivision]]),0),MATCH("County Name",QHPSelections2016[#Headers],0))</f>
        <v>Gaines County</v>
      </c>
      <c r="M766" t="b">
        <f>L766=HIX_RatingAreas[[#This Row],[Subdivision]]</f>
        <v>1</v>
      </c>
      <c r="N766">
        <v>763</v>
      </c>
    </row>
    <row r="767" spans="3:14">
      <c r="C767" t="s">
        <v>55</v>
      </c>
      <c r="D767" t="s">
        <v>1574</v>
      </c>
      <c r="E767" t="s">
        <v>189</v>
      </c>
      <c r="F767" s="36">
        <v>26</v>
      </c>
      <c r="G767" t="s">
        <v>1237</v>
      </c>
      <c r="I767" cm="1">
        <f t="array" ref="I767">_xlfn.IFNA(INDEX(QHPSelections2016[],MATCH(1,(QHPSelections2016[State Name]=HIX_RatingAreas[[#This Row],[State Code]])*(QHPSelections2016[County Name]=HIX_RatingAreas[[#This Row],[Subdivision]]),0),MATCH("Silver",QHPSelections2016[#Headers],0)),0)</f>
        <v>117</v>
      </c>
      <c r="J767" cm="1">
        <f t="array" ref="J767">_xlfn.IFNA(INDEX(QHPSelections2016[],MATCH(1,(QHPSelections2016[State Name]=HIX_RatingAreas[[#This Row],[State Code]])*(QHPSelections2016[County Name]=HIX_RatingAreas[[#This Row],[Subdivision]]),0),MATCH("Total Plan Selections",QHPSelections2016[#Headers],0)),0)</f>
        <v>156</v>
      </c>
      <c r="L767" t="str" cm="1">
        <f t="array" ref="L767">INDEX(QHPSelections2016[],MATCH(1,(QHPSelections2016[State Name]=HIX_RatingAreas[[#This Row],[State Code]])*(QHPSelections2016[County Name]=HIX_RatingAreas[[#This Row],[Subdivision]]),0),MATCH("County Name",QHPSelections2016[#Headers],0))</f>
        <v>Garza County</v>
      </c>
      <c r="M767" t="b">
        <f>L767=HIX_RatingAreas[[#This Row],[Subdivision]]</f>
        <v>1</v>
      </c>
      <c r="N767">
        <v>764</v>
      </c>
    </row>
    <row r="768" spans="3:14">
      <c r="C768" t="s">
        <v>55</v>
      </c>
      <c r="D768" t="s">
        <v>1574</v>
      </c>
      <c r="E768" t="s">
        <v>189</v>
      </c>
      <c r="F768" s="36">
        <v>26</v>
      </c>
      <c r="G768" t="s">
        <v>1241</v>
      </c>
      <c r="I768" cm="1">
        <f t="array" ref="I768">_xlfn.IFNA(INDEX(QHPSelections2016[],MATCH(1,(QHPSelections2016[State Name]=HIX_RatingAreas[[#This Row],[State Code]])*(QHPSelections2016[County Name]=HIX_RatingAreas[[#This Row],[Subdivision]]),0),MATCH("Silver",QHPSelections2016[#Headers],0)),0)</f>
        <v>842</v>
      </c>
      <c r="J768" cm="1">
        <f t="array" ref="J768">_xlfn.IFNA(INDEX(QHPSelections2016[],MATCH(1,(QHPSelections2016[State Name]=HIX_RatingAreas[[#This Row],[State Code]])*(QHPSelections2016[County Name]=HIX_RatingAreas[[#This Row],[Subdivision]]),0),MATCH("Total Plan Selections",QHPSelections2016[#Headers],0)),0)</f>
        <v>1374</v>
      </c>
      <c r="L768" t="str" cm="1">
        <f t="array" ref="L768">INDEX(QHPSelections2016[],MATCH(1,(QHPSelections2016[State Name]=HIX_RatingAreas[[#This Row],[State Code]])*(QHPSelections2016[County Name]=HIX_RatingAreas[[#This Row],[Subdivision]]),0),MATCH("County Name",QHPSelections2016[#Headers],0))</f>
        <v>Gillespie County</v>
      </c>
      <c r="M768" t="b">
        <f>L768=HIX_RatingAreas[[#This Row],[Subdivision]]</f>
        <v>1</v>
      </c>
      <c r="N768">
        <v>765</v>
      </c>
    </row>
    <row r="769" spans="3:14">
      <c r="C769" t="s">
        <v>55</v>
      </c>
      <c r="D769" t="s">
        <v>1574</v>
      </c>
      <c r="E769" t="s">
        <v>189</v>
      </c>
      <c r="F769" s="36">
        <v>26</v>
      </c>
      <c r="G769" t="s">
        <v>1244</v>
      </c>
      <c r="I769" cm="1">
        <f t="array" ref="I769">_xlfn.IFNA(INDEX(QHPSelections2016[],MATCH(1,(QHPSelections2016[State Name]=HIX_RatingAreas[[#This Row],[State Code]])*(QHPSelections2016[County Name]=HIX_RatingAreas[[#This Row],[Subdivision]]),0),MATCH("Silver",QHPSelections2016[#Headers],0)),0)</f>
        <v>44</v>
      </c>
      <c r="J769" cm="1">
        <f t="array" ref="J769">_xlfn.IFNA(INDEX(QHPSelections2016[],MATCH(1,(QHPSelections2016[State Name]=HIX_RatingAreas[[#This Row],[State Code]])*(QHPSelections2016[County Name]=HIX_RatingAreas[[#This Row],[Subdivision]]),0),MATCH("Total Plan Selections",QHPSelections2016[#Headers],0)),0)</f>
        <v>72</v>
      </c>
      <c r="L769" t="str" cm="1">
        <f t="array" ref="L769">INDEX(QHPSelections2016[],MATCH(1,(QHPSelections2016[State Name]=HIX_RatingAreas[[#This Row],[State Code]])*(QHPSelections2016[County Name]=HIX_RatingAreas[[#This Row],[Subdivision]]),0),MATCH("County Name",QHPSelections2016[#Headers],0))</f>
        <v>Glasscock County</v>
      </c>
      <c r="M769" t="b">
        <f>L769=HIX_RatingAreas[[#This Row],[Subdivision]]</f>
        <v>1</v>
      </c>
      <c r="N769">
        <v>766</v>
      </c>
    </row>
    <row r="770" spans="3:14">
      <c r="C770" t="s">
        <v>55</v>
      </c>
      <c r="D770" t="s">
        <v>1574</v>
      </c>
      <c r="E770" t="s">
        <v>189</v>
      </c>
      <c r="F770" s="36">
        <v>26</v>
      </c>
      <c r="G770" t="s">
        <v>1249</v>
      </c>
      <c r="I770" cm="1">
        <f t="array" ref="I770">_xlfn.IFNA(INDEX(QHPSelections2016[],MATCH(1,(QHPSelections2016[State Name]=HIX_RatingAreas[[#This Row],[State Code]])*(QHPSelections2016[County Name]=HIX_RatingAreas[[#This Row],[Subdivision]]),0),MATCH("Silver",QHPSelections2016[#Headers],0)),0)</f>
        <v>454</v>
      </c>
      <c r="J770" cm="1">
        <f t="array" ref="J770">_xlfn.IFNA(INDEX(QHPSelections2016[],MATCH(1,(QHPSelections2016[State Name]=HIX_RatingAreas[[#This Row],[State Code]])*(QHPSelections2016[County Name]=HIX_RatingAreas[[#This Row],[Subdivision]]),0),MATCH("Total Plan Selections",QHPSelections2016[#Headers],0)),0)</f>
        <v>674</v>
      </c>
      <c r="L770" t="str" cm="1">
        <f t="array" ref="L770">INDEX(QHPSelections2016[],MATCH(1,(QHPSelections2016[State Name]=HIX_RatingAreas[[#This Row],[State Code]])*(QHPSelections2016[County Name]=HIX_RatingAreas[[#This Row],[Subdivision]]),0),MATCH("County Name",QHPSelections2016[#Headers],0))</f>
        <v>Gonzales County</v>
      </c>
      <c r="M770" t="b">
        <f>L770=HIX_RatingAreas[[#This Row],[Subdivision]]</f>
        <v>1</v>
      </c>
      <c r="N770">
        <v>767</v>
      </c>
    </row>
    <row r="771" spans="3:14">
      <c r="C771" t="s">
        <v>55</v>
      </c>
      <c r="D771" t="s">
        <v>1574</v>
      </c>
      <c r="E771" t="s">
        <v>189</v>
      </c>
      <c r="F771" s="36">
        <v>26</v>
      </c>
      <c r="G771" t="s">
        <v>1250</v>
      </c>
      <c r="I771" cm="1">
        <f t="array" ref="I771">_xlfn.IFNA(INDEX(QHPSelections2016[],MATCH(1,(QHPSelections2016[State Name]=HIX_RatingAreas[[#This Row],[State Code]])*(QHPSelections2016[County Name]=HIX_RatingAreas[[#This Row],[Subdivision]]),0),MATCH("Silver",QHPSelections2016[#Headers],0)),0)</f>
        <v>413</v>
      </c>
      <c r="J771" cm="1">
        <f t="array" ref="J771">_xlfn.IFNA(INDEX(QHPSelections2016[],MATCH(1,(QHPSelections2016[State Name]=HIX_RatingAreas[[#This Row],[State Code]])*(QHPSelections2016[County Name]=HIX_RatingAreas[[#This Row],[Subdivision]]),0),MATCH("Total Plan Selections",QHPSelections2016[#Headers],0)),0)</f>
        <v>607</v>
      </c>
      <c r="L771" t="str" cm="1">
        <f t="array" ref="L771">INDEX(QHPSelections2016[],MATCH(1,(QHPSelections2016[State Name]=HIX_RatingAreas[[#This Row],[State Code]])*(QHPSelections2016[County Name]=HIX_RatingAreas[[#This Row],[Subdivision]]),0),MATCH("County Name",QHPSelections2016[#Headers],0))</f>
        <v>Gray County</v>
      </c>
      <c r="M771" t="b">
        <f>L771=HIX_RatingAreas[[#This Row],[Subdivision]]</f>
        <v>1</v>
      </c>
      <c r="N771">
        <v>768</v>
      </c>
    </row>
    <row r="772" spans="3:14">
      <c r="C772" t="s">
        <v>55</v>
      </c>
      <c r="D772" t="s">
        <v>1574</v>
      </c>
      <c r="E772" t="s">
        <v>189</v>
      </c>
      <c r="F772" s="36">
        <v>26</v>
      </c>
      <c r="G772" t="s">
        <v>1259</v>
      </c>
      <c r="I772" cm="1">
        <f t="array" ref="I772">_xlfn.IFNA(INDEX(QHPSelections2016[],MATCH(1,(QHPSelections2016[State Name]=HIX_RatingAreas[[#This Row],[State Code]])*(QHPSelections2016[County Name]=HIX_RatingAreas[[#This Row],[Subdivision]]),0),MATCH("Silver",QHPSelections2016[#Headers],0)),0)</f>
        <v>677</v>
      </c>
      <c r="J772" cm="1">
        <f t="array" ref="J772">_xlfn.IFNA(INDEX(QHPSelections2016[],MATCH(1,(QHPSelections2016[State Name]=HIX_RatingAreas[[#This Row],[State Code]])*(QHPSelections2016[County Name]=HIX_RatingAreas[[#This Row],[Subdivision]]),0),MATCH("Total Plan Selections",QHPSelections2016[#Headers],0)),0)</f>
        <v>934</v>
      </c>
      <c r="L772" t="str" cm="1">
        <f t="array" ref="L772">INDEX(QHPSelections2016[],MATCH(1,(QHPSelections2016[State Name]=HIX_RatingAreas[[#This Row],[State Code]])*(QHPSelections2016[County Name]=HIX_RatingAreas[[#This Row],[Subdivision]]),0),MATCH("County Name",QHPSelections2016[#Headers],0))</f>
        <v>Grimes County</v>
      </c>
      <c r="M772" t="b">
        <f>L772=HIX_RatingAreas[[#This Row],[Subdivision]]</f>
        <v>1</v>
      </c>
      <c r="N772">
        <v>769</v>
      </c>
    </row>
    <row r="773" spans="3:14">
      <c r="C773" t="s">
        <v>55</v>
      </c>
      <c r="D773" t="s">
        <v>1574</v>
      </c>
      <c r="E773" t="s">
        <v>189</v>
      </c>
      <c r="F773" s="36">
        <v>26</v>
      </c>
      <c r="G773" t="s">
        <v>998</v>
      </c>
      <c r="I773" cm="1">
        <f t="array" ref="I773">_xlfn.IFNA(INDEX(QHPSelections2016[],MATCH(1,(QHPSelections2016[State Name]=HIX_RatingAreas[[#This Row],[State Code]])*(QHPSelections2016[County Name]=HIX_RatingAreas[[#This Row],[Subdivision]]),0),MATCH("Silver",QHPSelections2016[#Headers],0)),0)</f>
        <v>739</v>
      </c>
      <c r="J773" cm="1">
        <f t="array" ref="J773">_xlfn.IFNA(INDEX(QHPSelections2016[],MATCH(1,(QHPSelections2016[State Name]=HIX_RatingAreas[[#This Row],[State Code]])*(QHPSelections2016[County Name]=HIX_RatingAreas[[#This Row],[Subdivision]]),0),MATCH("Total Plan Selections",QHPSelections2016[#Headers],0)),0)</f>
        <v>1035</v>
      </c>
      <c r="L773" t="str" cm="1">
        <f t="array" ref="L773">INDEX(QHPSelections2016[],MATCH(1,(QHPSelections2016[State Name]=HIX_RatingAreas[[#This Row],[State Code]])*(QHPSelections2016[County Name]=HIX_RatingAreas[[#This Row],[Subdivision]]),0),MATCH("County Name",QHPSelections2016[#Headers],0))</f>
        <v>Hale County</v>
      </c>
      <c r="M773" t="b">
        <f>L773=HIX_RatingAreas[[#This Row],[Subdivision]]</f>
        <v>1</v>
      </c>
      <c r="N773">
        <v>770</v>
      </c>
    </row>
    <row r="774" spans="3:14">
      <c r="C774" t="s">
        <v>55</v>
      </c>
      <c r="D774" t="s">
        <v>1574</v>
      </c>
      <c r="E774" t="s">
        <v>189</v>
      </c>
      <c r="F774" s="36">
        <v>26</v>
      </c>
      <c r="G774" t="s">
        <v>1180</v>
      </c>
      <c r="I774" cm="1">
        <f t="array" ref="I774">_xlfn.IFNA(INDEX(QHPSelections2016[],MATCH(1,(QHPSelections2016[State Name]=HIX_RatingAreas[[#This Row],[State Code]])*(QHPSelections2016[County Name]=HIX_RatingAreas[[#This Row],[Subdivision]]),0),MATCH("Silver",QHPSelections2016[#Headers],0)),0)</f>
        <v>72</v>
      </c>
      <c r="J774" cm="1">
        <f t="array" ref="J774">_xlfn.IFNA(INDEX(QHPSelections2016[],MATCH(1,(QHPSelections2016[State Name]=HIX_RatingAreas[[#This Row],[State Code]])*(QHPSelections2016[County Name]=HIX_RatingAreas[[#This Row],[Subdivision]]),0),MATCH("Total Plan Selections",QHPSelections2016[#Headers],0)),0)</f>
        <v>119</v>
      </c>
      <c r="L774" t="str" cm="1">
        <f t="array" ref="L774">INDEX(QHPSelections2016[],MATCH(1,(QHPSelections2016[State Name]=HIX_RatingAreas[[#This Row],[State Code]])*(QHPSelections2016[County Name]=HIX_RatingAreas[[#This Row],[Subdivision]]),0),MATCH("County Name",QHPSelections2016[#Headers],0))</f>
        <v>Hall County</v>
      </c>
      <c r="M774" t="b">
        <f>L774=HIX_RatingAreas[[#This Row],[Subdivision]]</f>
        <v>1</v>
      </c>
      <c r="N774">
        <v>771</v>
      </c>
    </row>
    <row r="775" spans="3:14">
      <c r="C775" t="s">
        <v>55</v>
      </c>
      <c r="D775" t="s">
        <v>1574</v>
      </c>
      <c r="E775" t="s">
        <v>189</v>
      </c>
      <c r="F775" s="36">
        <v>26</v>
      </c>
      <c r="G775" t="s">
        <v>947</v>
      </c>
      <c r="I775" cm="1">
        <f t="array" ref="I775">_xlfn.IFNA(INDEX(QHPSelections2016[],MATCH(1,(QHPSelections2016[State Name]=HIX_RatingAreas[[#This Row],[State Code]])*(QHPSelections2016[County Name]=HIX_RatingAreas[[#This Row],[Subdivision]]),0),MATCH("Silver",QHPSelections2016[#Headers],0)),0)</f>
        <v>262</v>
      </c>
      <c r="J775" cm="1">
        <f t="array" ref="J775">_xlfn.IFNA(INDEX(QHPSelections2016[],MATCH(1,(QHPSelections2016[State Name]=HIX_RatingAreas[[#This Row],[State Code]])*(QHPSelections2016[County Name]=HIX_RatingAreas[[#This Row],[Subdivision]]),0),MATCH("Total Plan Selections",QHPSelections2016[#Headers],0)),0)</f>
        <v>373</v>
      </c>
      <c r="L775" t="str" cm="1">
        <f t="array" ref="L775">INDEX(QHPSelections2016[],MATCH(1,(QHPSelections2016[State Name]=HIX_RatingAreas[[#This Row],[State Code]])*(QHPSelections2016[County Name]=HIX_RatingAreas[[#This Row],[Subdivision]]),0),MATCH("County Name",QHPSelections2016[#Headers],0))</f>
        <v>Hamilton County</v>
      </c>
      <c r="M775" t="b">
        <f>L775=HIX_RatingAreas[[#This Row],[Subdivision]]</f>
        <v>1</v>
      </c>
      <c r="N775">
        <v>772</v>
      </c>
    </row>
    <row r="776" spans="3:14">
      <c r="C776" t="s">
        <v>55</v>
      </c>
      <c r="D776" t="s">
        <v>1574</v>
      </c>
      <c r="E776" t="s">
        <v>189</v>
      </c>
      <c r="F776" s="36">
        <v>26</v>
      </c>
      <c r="G776" s="39" t="s">
        <v>1267</v>
      </c>
      <c r="I776" cm="1">
        <f t="array" ref="I776">_xlfn.IFNA(INDEX(QHPSelections2016[],MATCH(1,(QHPSelections2016[State Name]=HIX_RatingAreas[[#This Row],[State Code]])*(QHPSelections2016[County Name]=HIX_RatingAreas[[#This Row],[Subdivision]]),0),MATCH("Silver",QHPSelections2016[#Headers],0)),0)</f>
        <v>144</v>
      </c>
      <c r="J776" cm="1">
        <f t="array" ref="J776">_xlfn.IFNA(INDEX(QHPSelections2016[],MATCH(1,(QHPSelections2016[State Name]=HIX_RatingAreas[[#This Row],[State Code]])*(QHPSelections2016[County Name]=HIX_RatingAreas[[#This Row],[Subdivision]]),0),MATCH("Total Plan Selections",QHPSelections2016[#Headers],0)),0)</f>
        <v>209</v>
      </c>
      <c r="L776" t="str" cm="1">
        <f t="array" ref="L776">INDEX(QHPSelections2016[],MATCH(1,(QHPSelections2016[State Name]=HIX_RatingAreas[[#This Row],[State Code]])*(QHPSelections2016[County Name]=HIX_RatingAreas[[#This Row],[Subdivision]]),0),MATCH("County Name",QHPSelections2016[#Headers],0))</f>
        <v>Hansford County</v>
      </c>
      <c r="M776" t="b">
        <f>L776=HIX_RatingAreas[[#This Row],[Subdivision]]</f>
        <v>1</v>
      </c>
      <c r="N776">
        <v>773</v>
      </c>
    </row>
    <row r="777" spans="3:14">
      <c r="C777" t="s">
        <v>55</v>
      </c>
      <c r="D777" t="s">
        <v>1574</v>
      </c>
      <c r="E777" t="s">
        <v>189</v>
      </c>
      <c r="F777" s="36">
        <v>26</v>
      </c>
      <c r="G777" t="s">
        <v>1013</v>
      </c>
      <c r="I777" cm="1">
        <f t="array" ref="I777">_xlfn.IFNA(INDEX(QHPSelections2016[],MATCH(1,(QHPSelections2016[State Name]=HIX_RatingAreas[[#This Row],[State Code]])*(QHPSelections2016[County Name]=HIX_RatingAreas[[#This Row],[Subdivision]]),0),MATCH("Silver",QHPSelections2016[#Headers],0)),0)</f>
        <v>94</v>
      </c>
      <c r="J777" cm="1">
        <f t="array" ref="J777">_xlfn.IFNA(INDEX(QHPSelections2016[],MATCH(1,(QHPSelections2016[State Name]=HIX_RatingAreas[[#This Row],[State Code]])*(QHPSelections2016[County Name]=HIX_RatingAreas[[#This Row],[Subdivision]]),0),MATCH("Total Plan Selections",QHPSelections2016[#Headers],0)),0)</f>
        <v>152</v>
      </c>
      <c r="L777" t="str" cm="1">
        <f t="array" ref="L777">INDEX(QHPSelections2016[],MATCH(1,(QHPSelections2016[State Name]=HIX_RatingAreas[[#This Row],[State Code]])*(QHPSelections2016[County Name]=HIX_RatingAreas[[#This Row],[Subdivision]]),0),MATCH("County Name",QHPSelections2016[#Headers],0))</f>
        <v>Hardeman County</v>
      </c>
      <c r="M777" t="b">
        <f>L777=HIX_RatingAreas[[#This Row],[Subdivision]]</f>
        <v>1</v>
      </c>
      <c r="N777">
        <v>774</v>
      </c>
    </row>
    <row r="778" spans="3:14">
      <c r="C778" t="s">
        <v>55</v>
      </c>
      <c r="D778" t="s">
        <v>1574</v>
      </c>
      <c r="E778" t="s">
        <v>189</v>
      </c>
      <c r="F778" s="36">
        <v>26</v>
      </c>
      <c r="G778" t="s">
        <v>956</v>
      </c>
      <c r="I778" cm="1">
        <f t="array" ref="I778">_xlfn.IFNA(INDEX(QHPSelections2016[],MATCH(1,(QHPSelections2016[State Name]=HIX_RatingAreas[[#This Row],[State Code]])*(QHPSelections2016[County Name]=HIX_RatingAreas[[#This Row],[Subdivision]]),0),MATCH("Silver",QHPSelections2016[#Headers],0)),0)</f>
        <v>1748</v>
      </c>
      <c r="J778" cm="1">
        <f t="array" ref="J778">_xlfn.IFNA(INDEX(QHPSelections2016[],MATCH(1,(QHPSelections2016[State Name]=HIX_RatingAreas[[#This Row],[State Code]])*(QHPSelections2016[County Name]=HIX_RatingAreas[[#This Row],[Subdivision]]),0),MATCH("Total Plan Selections",QHPSelections2016[#Headers],0)),0)</f>
        <v>2466</v>
      </c>
      <c r="L778" t="str" cm="1">
        <f t="array" ref="L778">INDEX(QHPSelections2016[],MATCH(1,(QHPSelections2016[State Name]=HIX_RatingAreas[[#This Row],[State Code]])*(QHPSelections2016[County Name]=HIX_RatingAreas[[#This Row],[Subdivision]]),0),MATCH("County Name",QHPSelections2016[#Headers],0))</f>
        <v>Harrison County</v>
      </c>
      <c r="M778" t="b">
        <f>L778=HIX_RatingAreas[[#This Row],[Subdivision]]</f>
        <v>1</v>
      </c>
      <c r="N778">
        <v>775</v>
      </c>
    </row>
    <row r="779" spans="3:14">
      <c r="C779" t="s">
        <v>55</v>
      </c>
      <c r="D779" t="s">
        <v>1574</v>
      </c>
      <c r="E779" t="s">
        <v>189</v>
      </c>
      <c r="F779" s="36">
        <v>26</v>
      </c>
      <c r="G779" t="s">
        <v>1272</v>
      </c>
      <c r="I779" cm="1">
        <f t="array" ref="I779">_xlfn.IFNA(INDEX(QHPSelections2016[],MATCH(1,(QHPSelections2016[State Name]=HIX_RatingAreas[[#This Row],[State Code]])*(QHPSelections2016[County Name]=HIX_RatingAreas[[#This Row],[Subdivision]]),0),MATCH("Silver",QHPSelections2016[#Headers],0)),0)</f>
        <v>125</v>
      </c>
      <c r="J779" cm="1">
        <f t="array" ref="J779">_xlfn.IFNA(INDEX(QHPSelections2016[],MATCH(1,(QHPSelections2016[State Name]=HIX_RatingAreas[[#This Row],[State Code]])*(QHPSelections2016[County Name]=HIX_RatingAreas[[#This Row],[Subdivision]]),0),MATCH("Total Plan Selections",QHPSelections2016[#Headers],0)),0)</f>
        <v>172</v>
      </c>
      <c r="L779" t="str" cm="1">
        <f t="array" ref="L779">INDEX(QHPSelections2016[],MATCH(1,(QHPSelections2016[State Name]=HIX_RatingAreas[[#This Row],[State Code]])*(QHPSelections2016[County Name]=HIX_RatingAreas[[#This Row],[Subdivision]]),0),MATCH("County Name",QHPSelections2016[#Headers],0))</f>
        <v>Hartley County</v>
      </c>
      <c r="M779" t="b">
        <f>L779=HIX_RatingAreas[[#This Row],[Subdivision]]</f>
        <v>1</v>
      </c>
      <c r="N779">
        <v>776</v>
      </c>
    </row>
    <row r="780" spans="3:14">
      <c r="C780" t="s">
        <v>55</v>
      </c>
      <c r="D780" t="s">
        <v>1574</v>
      </c>
      <c r="E780" t="s">
        <v>189</v>
      </c>
      <c r="F780" s="36">
        <v>26</v>
      </c>
      <c r="G780" t="s">
        <v>1273</v>
      </c>
      <c r="I780" cm="1">
        <f t="array" ref="I780">_xlfn.IFNA(INDEX(QHPSelections2016[],MATCH(1,(QHPSelections2016[State Name]=HIX_RatingAreas[[#This Row],[State Code]])*(QHPSelections2016[County Name]=HIX_RatingAreas[[#This Row],[Subdivision]]),0),MATCH("Silver",QHPSelections2016[#Headers],0)),0)</f>
        <v>188</v>
      </c>
      <c r="J780" cm="1">
        <f t="array" ref="J780">_xlfn.IFNA(INDEX(QHPSelections2016[],MATCH(1,(QHPSelections2016[State Name]=HIX_RatingAreas[[#This Row],[State Code]])*(QHPSelections2016[County Name]=HIX_RatingAreas[[#This Row],[Subdivision]]),0),MATCH("Total Plan Selections",QHPSelections2016[#Headers],0)),0)</f>
        <v>291</v>
      </c>
      <c r="L780" t="str" cm="1">
        <f t="array" ref="L780">INDEX(QHPSelections2016[],MATCH(1,(QHPSelections2016[State Name]=HIX_RatingAreas[[#This Row],[State Code]])*(QHPSelections2016[County Name]=HIX_RatingAreas[[#This Row],[Subdivision]]),0),MATCH("County Name",QHPSelections2016[#Headers],0))</f>
        <v>Haskell County</v>
      </c>
      <c r="M780" t="b">
        <f>L780=HIX_RatingAreas[[#This Row],[Subdivision]]</f>
        <v>1</v>
      </c>
      <c r="N780">
        <v>777</v>
      </c>
    </row>
    <row r="781" spans="3:14">
      <c r="C781" t="s">
        <v>55</v>
      </c>
      <c r="D781" t="s">
        <v>1574</v>
      </c>
      <c r="E781" t="s">
        <v>189</v>
      </c>
      <c r="F781" s="36">
        <v>26</v>
      </c>
      <c r="G781" t="s">
        <v>1277</v>
      </c>
      <c r="I781" cm="1">
        <f t="array" ref="I781">_xlfn.IFNA(INDEX(QHPSelections2016[],MATCH(1,(QHPSelections2016[State Name]=HIX_RatingAreas[[#This Row],[State Code]])*(QHPSelections2016[County Name]=HIX_RatingAreas[[#This Row],[Subdivision]]),0),MATCH("Silver",QHPSelections2016[#Headers],0)),0)</f>
        <v>65</v>
      </c>
      <c r="J781" cm="1">
        <f t="array" ref="J781">_xlfn.IFNA(INDEX(QHPSelections2016[],MATCH(1,(QHPSelections2016[State Name]=HIX_RatingAreas[[#This Row],[State Code]])*(QHPSelections2016[County Name]=HIX_RatingAreas[[#This Row],[Subdivision]]),0),MATCH("Total Plan Selections",QHPSelections2016[#Headers],0)),0)</f>
        <v>116</v>
      </c>
      <c r="L781" t="str" cm="1">
        <f t="array" ref="L781">INDEX(QHPSelections2016[],MATCH(1,(QHPSelections2016[State Name]=HIX_RatingAreas[[#This Row],[State Code]])*(QHPSelections2016[County Name]=HIX_RatingAreas[[#This Row],[Subdivision]]),0),MATCH("County Name",QHPSelections2016[#Headers],0))</f>
        <v>Hemphill County</v>
      </c>
      <c r="M781" t="b">
        <f>L781=HIX_RatingAreas[[#This Row],[Subdivision]]</f>
        <v>1</v>
      </c>
      <c r="N781">
        <v>778</v>
      </c>
    </row>
    <row r="782" spans="3:14">
      <c r="C782" t="s">
        <v>55</v>
      </c>
      <c r="D782" t="s">
        <v>1574</v>
      </c>
      <c r="E782" t="s">
        <v>189</v>
      </c>
      <c r="F782" s="36">
        <v>26</v>
      </c>
      <c r="G782" t="s">
        <v>1033</v>
      </c>
      <c r="I782" cm="1">
        <f t="array" ref="I782">_xlfn.IFNA(INDEX(QHPSelections2016[],MATCH(1,(QHPSelections2016[State Name]=HIX_RatingAreas[[#This Row],[State Code]])*(QHPSelections2016[County Name]=HIX_RatingAreas[[#This Row],[Subdivision]]),0),MATCH("Silver",QHPSelections2016[#Headers],0)),0)</f>
        <v>2306</v>
      </c>
      <c r="J782" cm="1">
        <f t="array" ref="J782">_xlfn.IFNA(INDEX(QHPSelections2016[],MATCH(1,(QHPSelections2016[State Name]=HIX_RatingAreas[[#This Row],[State Code]])*(QHPSelections2016[County Name]=HIX_RatingAreas[[#This Row],[Subdivision]]),0),MATCH("Total Plan Selections",QHPSelections2016[#Headers],0)),0)</f>
        <v>3412</v>
      </c>
      <c r="L782" t="str" cm="1">
        <f t="array" ref="L782">INDEX(QHPSelections2016[],MATCH(1,(QHPSelections2016[State Name]=HIX_RatingAreas[[#This Row],[State Code]])*(QHPSelections2016[County Name]=HIX_RatingAreas[[#This Row],[Subdivision]]),0),MATCH("County Name",QHPSelections2016[#Headers],0))</f>
        <v>Henderson County</v>
      </c>
      <c r="M782" t="b">
        <f>L782=HIX_RatingAreas[[#This Row],[Subdivision]]</f>
        <v>1</v>
      </c>
      <c r="N782">
        <v>779</v>
      </c>
    </row>
    <row r="783" spans="3:14">
      <c r="C783" t="s">
        <v>55</v>
      </c>
      <c r="D783" t="s">
        <v>1574</v>
      </c>
      <c r="E783" t="s">
        <v>189</v>
      </c>
      <c r="F783" s="36">
        <v>26</v>
      </c>
      <c r="G783" t="s">
        <v>1281</v>
      </c>
      <c r="I783" cm="1">
        <f t="array" ref="I783">_xlfn.IFNA(INDEX(QHPSelections2016[],MATCH(1,(QHPSelections2016[State Name]=HIX_RatingAreas[[#This Row],[State Code]])*(QHPSelections2016[County Name]=HIX_RatingAreas[[#This Row],[Subdivision]]),0),MATCH("Silver",QHPSelections2016[#Headers],0)),0)</f>
        <v>990</v>
      </c>
      <c r="J783" cm="1">
        <f t="array" ref="J783">_xlfn.IFNA(INDEX(QHPSelections2016[],MATCH(1,(QHPSelections2016[State Name]=HIX_RatingAreas[[#This Row],[State Code]])*(QHPSelections2016[County Name]=HIX_RatingAreas[[#This Row],[Subdivision]]),0),MATCH("Total Plan Selections",QHPSelections2016[#Headers],0)),0)</f>
        <v>1418</v>
      </c>
      <c r="L783" t="str" cm="1">
        <f t="array" ref="L783">INDEX(QHPSelections2016[],MATCH(1,(QHPSelections2016[State Name]=HIX_RatingAreas[[#This Row],[State Code]])*(QHPSelections2016[County Name]=HIX_RatingAreas[[#This Row],[Subdivision]]),0),MATCH("County Name",QHPSelections2016[#Headers],0))</f>
        <v>Hill County</v>
      </c>
      <c r="M783" t="b">
        <f>L783=HIX_RatingAreas[[#This Row],[Subdivision]]</f>
        <v>1</v>
      </c>
      <c r="N783">
        <v>780</v>
      </c>
    </row>
    <row r="784" spans="3:14">
      <c r="C784" t="s">
        <v>55</v>
      </c>
      <c r="D784" t="s">
        <v>1574</v>
      </c>
      <c r="E784" t="s">
        <v>189</v>
      </c>
      <c r="F784" s="36">
        <v>26</v>
      </c>
      <c r="G784" t="s">
        <v>1283</v>
      </c>
      <c r="I784" cm="1">
        <f t="array" ref="I784">_xlfn.IFNA(INDEX(QHPSelections2016[],MATCH(1,(QHPSelections2016[State Name]=HIX_RatingAreas[[#This Row],[State Code]])*(QHPSelections2016[County Name]=HIX_RatingAreas[[#This Row],[Subdivision]]),0),MATCH("Silver",QHPSelections2016[#Headers],0)),0)</f>
        <v>438</v>
      </c>
      <c r="J784" cm="1">
        <f t="array" ref="J784">_xlfn.IFNA(INDEX(QHPSelections2016[],MATCH(1,(QHPSelections2016[State Name]=HIX_RatingAreas[[#This Row],[State Code]])*(QHPSelections2016[County Name]=HIX_RatingAreas[[#This Row],[Subdivision]]),0),MATCH("Total Plan Selections",QHPSelections2016[#Headers],0)),0)</f>
        <v>666</v>
      </c>
      <c r="L784" t="str" cm="1">
        <f t="array" ref="L784">INDEX(QHPSelections2016[],MATCH(1,(QHPSelections2016[State Name]=HIX_RatingAreas[[#This Row],[State Code]])*(QHPSelections2016[County Name]=HIX_RatingAreas[[#This Row],[Subdivision]]),0),MATCH("County Name",QHPSelections2016[#Headers],0))</f>
        <v>Hockley County</v>
      </c>
      <c r="M784" t="b">
        <f>L784=HIX_RatingAreas[[#This Row],[Subdivision]]</f>
        <v>1</v>
      </c>
      <c r="N784">
        <v>781</v>
      </c>
    </row>
    <row r="785" spans="3:14">
      <c r="C785" t="s">
        <v>55</v>
      </c>
      <c r="D785" t="s">
        <v>1574</v>
      </c>
      <c r="E785" t="s">
        <v>189</v>
      </c>
      <c r="F785" s="36">
        <v>26</v>
      </c>
      <c r="G785" t="s">
        <v>1285</v>
      </c>
      <c r="I785" cm="1">
        <f t="array" ref="I785">_xlfn.IFNA(INDEX(QHPSelections2016[],MATCH(1,(QHPSelections2016[State Name]=HIX_RatingAreas[[#This Row],[State Code]])*(QHPSelections2016[County Name]=HIX_RatingAreas[[#This Row],[Subdivision]]),0),MATCH("Silver",QHPSelections2016[#Headers],0)),0)</f>
        <v>1703</v>
      </c>
      <c r="J785" cm="1">
        <f t="array" ref="J785">_xlfn.IFNA(INDEX(QHPSelections2016[],MATCH(1,(QHPSelections2016[State Name]=HIX_RatingAreas[[#This Row],[State Code]])*(QHPSelections2016[County Name]=HIX_RatingAreas[[#This Row],[Subdivision]]),0),MATCH("Total Plan Selections",QHPSelections2016[#Headers],0)),0)</f>
        <v>2583</v>
      </c>
      <c r="L785" t="str" cm="1">
        <f t="array" ref="L785">INDEX(QHPSelections2016[],MATCH(1,(QHPSelections2016[State Name]=HIX_RatingAreas[[#This Row],[State Code]])*(QHPSelections2016[County Name]=HIX_RatingAreas[[#This Row],[Subdivision]]),0),MATCH("County Name",QHPSelections2016[#Headers],0))</f>
        <v>Hood County</v>
      </c>
      <c r="M785" t="b">
        <f>L785=HIX_RatingAreas[[#This Row],[Subdivision]]</f>
        <v>1</v>
      </c>
      <c r="N785">
        <v>782</v>
      </c>
    </row>
    <row r="786" spans="3:14">
      <c r="C786" t="s">
        <v>55</v>
      </c>
      <c r="D786" t="s">
        <v>1574</v>
      </c>
      <c r="E786" t="s">
        <v>189</v>
      </c>
      <c r="F786" s="36">
        <v>26</v>
      </c>
      <c r="G786" t="s">
        <v>1286</v>
      </c>
      <c r="I786" cm="1">
        <f t="array" ref="I786">_xlfn.IFNA(INDEX(QHPSelections2016[],MATCH(1,(QHPSelections2016[State Name]=HIX_RatingAreas[[#This Row],[State Code]])*(QHPSelections2016[County Name]=HIX_RatingAreas[[#This Row],[Subdivision]]),0),MATCH("Silver",QHPSelections2016[#Headers],0)),0)</f>
        <v>878</v>
      </c>
      <c r="J786" cm="1">
        <f t="array" ref="J786">_xlfn.IFNA(INDEX(QHPSelections2016[],MATCH(1,(QHPSelections2016[State Name]=HIX_RatingAreas[[#This Row],[State Code]])*(QHPSelections2016[County Name]=HIX_RatingAreas[[#This Row],[Subdivision]]),0),MATCH("Total Plan Selections",QHPSelections2016[#Headers],0)),0)</f>
        <v>1288</v>
      </c>
      <c r="L786" t="str" cm="1">
        <f t="array" ref="L786">INDEX(QHPSelections2016[],MATCH(1,(QHPSelections2016[State Name]=HIX_RatingAreas[[#This Row],[State Code]])*(QHPSelections2016[County Name]=HIX_RatingAreas[[#This Row],[Subdivision]]),0),MATCH("County Name",QHPSelections2016[#Headers],0))</f>
        <v>Hopkins County</v>
      </c>
      <c r="M786" t="b">
        <f>L786=HIX_RatingAreas[[#This Row],[Subdivision]]</f>
        <v>1</v>
      </c>
      <c r="N786">
        <v>783</v>
      </c>
    </row>
    <row r="787" spans="3:14">
      <c r="C787" t="s">
        <v>55</v>
      </c>
      <c r="D787" t="s">
        <v>1574</v>
      </c>
      <c r="E787" t="s">
        <v>189</v>
      </c>
      <c r="F787" s="36">
        <v>26</v>
      </c>
      <c r="G787" t="s">
        <v>1009</v>
      </c>
      <c r="I787" cm="1">
        <f t="array" ref="I787">_xlfn.IFNA(INDEX(QHPSelections2016[],MATCH(1,(QHPSelections2016[State Name]=HIX_RatingAreas[[#This Row],[State Code]])*(QHPSelections2016[County Name]=HIX_RatingAreas[[#This Row],[Subdivision]]),0),MATCH("Silver",QHPSelections2016[#Headers],0)),0)</f>
        <v>413</v>
      </c>
      <c r="J787" cm="1">
        <f t="array" ref="J787">_xlfn.IFNA(INDEX(QHPSelections2016[],MATCH(1,(QHPSelections2016[State Name]=HIX_RatingAreas[[#This Row],[State Code]])*(QHPSelections2016[County Name]=HIX_RatingAreas[[#This Row],[Subdivision]]),0),MATCH("Total Plan Selections",QHPSelections2016[#Headers],0)),0)</f>
        <v>587</v>
      </c>
      <c r="L787" t="str" cm="1">
        <f t="array" ref="L787">INDEX(QHPSelections2016[],MATCH(1,(QHPSelections2016[State Name]=HIX_RatingAreas[[#This Row],[State Code]])*(QHPSelections2016[County Name]=HIX_RatingAreas[[#This Row],[Subdivision]]),0),MATCH("County Name",QHPSelections2016[#Headers],0))</f>
        <v>Houston County</v>
      </c>
      <c r="M787" t="b">
        <f>L787=HIX_RatingAreas[[#This Row],[Subdivision]]</f>
        <v>1</v>
      </c>
      <c r="N787">
        <v>784</v>
      </c>
    </row>
    <row r="788" spans="3:14">
      <c r="C788" t="s">
        <v>55</v>
      </c>
      <c r="D788" t="s">
        <v>1574</v>
      </c>
      <c r="E788" t="s">
        <v>189</v>
      </c>
      <c r="F788" s="36">
        <v>26</v>
      </c>
      <c r="G788" t="s">
        <v>1288</v>
      </c>
      <c r="I788" cm="1">
        <f t="array" ref="I788">_xlfn.IFNA(INDEX(QHPSelections2016[],MATCH(1,(QHPSelections2016[State Name]=HIX_RatingAreas[[#This Row],[State Code]])*(QHPSelections2016[County Name]=HIX_RatingAreas[[#This Row],[Subdivision]]),0),MATCH("Silver",QHPSelections2016[#Headers],0)),0)</f>
        <v>732</v>
      </c>
      <c r="J788" cm="1">
        <f t="array" ref="J788">_xlfn.IFNA(INDEX(QHPSelections2016[],MATCH(1,(QHPSelections2016[State Name]=HIX_RatingAreas[[#This Row],[State Code]])*(QHPSelections2016[County Name]=HIX_RatingAreas[[#This Row],[Subdivision]]),0),MATCH("Total Plan Selections",QHPSelections2016[#Headers],0)),0)</f>
        <v>1091</v>
      </c>
      <c r="L788" t="str" cm="1">
        <f t="array" ref="L788">INDEX(QHPSelections2016[],MATCH(1,(QHPSelections2016[State Name]=HIX_RatingAreas[[#This Row],[State Code]])*(QHPSelections2016[County Name]=HIX_RatingAreas[[#This Row],[Subdivision]]),0),MATCH("County Name",QHPSelections2016[#Headers],0))</f>
        <v>Howard County</v>
      </c>
      <c r="M788" t="b">
        <f>L788=HIX_RatingAreas[[#This Row],[Subdivision]]</f>
        <v>1</v>
      </c>
      <c r="N788">
        <v>785</v>
      </c>
    </row>
    <row r="789" spans="3:14">
      <c r="C789" t="s">
        <v>55</v>
      </c>
      <c r="D789" t="s">
        <v>1574</v>
      </c>
      <c r="E789" t="s">
        <v>189</v>
      </c>
      <c r="F789" s="36">
        <v>26</v>
      </c>
      <c r="G789" t="s">
        <v>1289</v>
      </c>
      <c r="I789" cm="1">
        <f t="array" ref="I789">_xlfn.IFNA(INDEX(QHPSelections2016[],MATCH(1,(QHPSelections2016[State Name]=HIX_RatingAreas[[#This Row],[State Code]])*(QHPSelections2016[County Name]=HIX_RatingAreas[[#This Row],[Subdivision]]),0),MATCH("Silver",QHPSelections2016[#Headers],0)),0)</f>
        <v>203</v>
      </c>
      <c r="J789" cm="1">
        <f t="array" ref="J789">_xlfn.IFNA(INDEX(QHPSelections2016[],MATCH(1,(QHPSelections2016[State Name]=HIX_RatingAreas[[#This Row],[State Code]])*(QHPSelections2016[County Name]=HIX_RatingAreas[[#This Row],[Subdivision]]),0),MATCH("Total Plan Selections",QHPSelections2016[#Headers],0)),0)</f>
        <v>271</v>
      </c>
      <c r="L789" t="str" cm="1">
        <f t="array" ref="L789">INDEX(QHPSelections2016[],MATCH(1,(QHPSelections2016[State Name]=HIX_RatingAreas[[#This Row],[State Code]])*(QHPSelections2016[County Name]=HIX_RatingAreas[[#This Row],[Subdivision]]),0),MATCH("County Name",QHPSelections2016[#Headers],0))</f>
        <v>Hudspeth County</v>
      </c>
      <c r="M789" t="b">
        <f>L789=HIX_RatingAreas[[#This Row],[Subdivision]]</f>
        <v>1</v>
      </c>
      <c r="N789">
        <v>786</v>
      </c>
    </row>
    <row r="790" spans="3:14">
      <c r="C790" t="s">
        <v>55</v>
      </c>
      <c r="D790" t="s">
        <v>1574</v>
      </c>
      <c r="E790" t="s">
        <v>189</v>
      </c>
      <c r="F790" s="36">
        <v>26</v>
      </c>
      <c r="G790" t="s">
        <v>1292</v>
      </c>
      <c r="I790" cm="1">
        <f t="array" ref="I790">_xlfn.IFNA(INDEX(QHPSelections2016[],MATCH(1,(QHPSelections2016[State Name]=HIX_RatingAreas[[#This Row],[State Code]])*(QHPSelections2016[County Name]=HIX_RatingAreas[[#This Row],[Subdivision]]),0),MATCH("Silver",QHPSelections2016[#Headers],0)),0)</f>
        <v>384</v>
      </c>
      <c r="J790" cm="1">
        <f t="array" ref="J790">_xlfn.IFNA(INDEX(QHPSelections2016[],MATCH(1,(QHPSelections2016[State Name]=HIX_RatingAreas[[#This Row],[State Code]])*(QHPSelections2016[County Name]=HIX_RatingAreas[[#This Row],[Subdivision]]),0),MATCH("Total Plan Selections",QHPSelections2016[#Headers],0)),0)</f>
        <v>554</v>
      </c>
      <c r="L790" t="str" cm="1">
        <f t="array" ref="L790">INDEX(QHPSelections2016[],MATCH(1,(QHPSelections2016[State Name]=HIX_RatingAreas[[#This Row],[State Code]])*(QHPSelections2016[County Name]=HIX_RatingAreas[[#This Row],[Subdivision]]),0),MATCH("County Name",QHPSelections2016[#Headers],0))</f>
        <v>Hutchinson County</v>
      </c>
      <c r="M790" t="b">
        <f>L790=HIX_RatingAreas[[#This Row],[Subdivision]]</f>
        <v>1</v>
      </c>
      <c r="N790">
        <v>787</v>
      </c>
    </row>
    <row r="791" spans="3:14">
      <c r="C791" t="s">
        <v>55</v>
      </c>
      <c r="D791" t="s">
        <v>1574</v>
      </c>
      <c r="E791" t="s">
        <v>189</v>
      </c>
      <c r="F791" s="36">
        <v>26</v>
      </c>
      <c r="G791" t="s">
        <v>1295</v>
      </c>
      <c r="I791" cm="1">
        <f t="array" ref="I791">_xlfn.IFNA(INDEX(QHPSelections2016[],MATCH(1,(QHPSelections2016[State Name]=HIX_RatingAreas[[#This Row],[State Code]])*(QHPSelections2016[County Name]=HIX_RatingAreas[[#This Row],[Subdivision]]),0),MATCH("Silver",QHPSelections2016[#Headers],0)),0)</f>
        <v>199</v>
      </c>
      <c r="J791" cm="1">
        <f t="array" ref="J791">_xlfn.IFNA(INDEX(QHPSelections2016[],MATCH(1,(QHPSelections2016[State Name]=HIX_RatingAreas[[#This Row],[State Code]])*(QHPSelections2016[County Name]=HIX_RatingAreas[[#This Row],[Subdivision]]),0),MATCH("Total Plan Selections",QHPSelections2016[#Headers],0)),0)</f>
        <v>324</v>
      </c>
      <c r="L791" t="str" cm="1">
        <f t="array" ref="L791">INDEX(QHPSelections2016[],MATCH(1,(QHPSelections2016[State Name]=HIX_RatingAreas[[#This Row],[State Code]])*(QHPSelections2016[County Name]=HIX_RatingAreas[[#This Row],[Subdivision]]),0),MATCH("County Name",QHPSelections2016[#Headers],0))</f>
        <v>Jack County</v>
      </c>
      <c r="M791" t="b">
        <f>L791=HIX_RatingAreas[[#This Row],[Subdivision]]</f>
        <v>1</v>
      </c>
      <c r="N791">
        <v>788</v>
      </c>
    </row>
    <row r="792" spans="3:14">
      <c r="C792" t="s">
        <v>55</v>
      </c>
      <c r="D792" t="s">
        <v>1574</v>
      </c>
      <c r="E792" t="s">
        <v>189</v>
      </c>
      <c r="F792" s="36">
        <v>26</v>
      </c>
      <c r="G792" t="s">
        <v>984</v>
      </c>
      <c r="I792" cm="1">
        <f t="array" ref="I792">_xlfn.IFNA(INDEX(QHPSelections2016[],MATCH(1,(QHPSelections2016[State Name]=HIX_RatingAreas[[#This Row],[State Code]])*(QHPSelections2016[County Name]=HIX_RatingAreas[[#This Row],[Subdivision]]),0),MATCH("Silver",QHPSelections2016[#Headers],0)),0)</f>
        <v>306</v>
      </c>
      <c r="J792" cm="1">
        <f t="array" ref="J792">_xlfn.IFNA(INDEX(QHPSelections2016[],MATCH(1,(QHPSelections2016[State Name]=HIX_RatingAreas[[#This Row],[State Code]])*(QHPSelections2016[County Name]=HIX_RatingAreas[[#This Row],[Subdivision]]),0),MATCH("Total Plan Selections",QHPSelections2016[#Headers],0)),0)</f>
        <v>451</v>
      </c>
      <c r="L792" t="str" cm="1">
        <f t="array" ref="L792">INDEX(QHPSelections2016[],MATCH(1,(QHPSelections2016[State Name]=HIX_RatingAreas[[#This Row],[State Code]])*(QHPSelections2016[County Name]=HIX_RatingAreas[[#This Row],[Subdivision]]),0),MATCH("County Name",QHPSelections2016[#Headers],0))</f>
        <v>Jackson County</v>
      </c>
      <c r="M792" t="b">
        <f>L792=HIX_RatingAreas[[#This Row],[Subdivision]]</f>
        <v>1</v>
      </c>
      <c r="N792">
        <v>789</v>
      </c>
    </row>
    <row r="793" spans="3:14">
      <c r="C793" t="s">
        <v>55</v>
      </c>
      <c r="D793" t="s">
        <v>1574</v>
      </c>
      <c r="E793" t="s">
        <v>189</v>
      </c>
      <c r="F793" s="36">
        <v>26</v>
      </c>
      <c r="G793" t="s">
        <v>989</v>
      </c>
      <c r="I793" cm="1">
        <f t="array" ref="I793">_xlfn.IFNA(INDEX(QHPSelections2016[],MATCH(1,(QHPSelections2016[State Name]=HIX_RatingAreas[[#This Row],[State Code]])*(QHPSelections2016[County Name]=HIX_RatingAreas[[#This Row],[Subdivision]]),0),MATCH("Silver",QHPSelections2016[#Headers],0)),0)</f>
        <v>1051</v>
      </c>
      <c r="J793" cm="1">
        <f t="array" ref="J793">_xlfn.IFNA(INDEX(QHPSelections2016[],MATCH(1,(QHPSelections2016[State Name]=HIX_RatingAreas[[#This Row],[State Code]])*(QHPSelections2016[County Name]=HIX_RatingAreas[[#This Row],[Subdivision]]),0),MATCH("Total Plan Selections",QHPSelections2016[#Headers],0)),0)</f>
        <v>1563</v>
      </c>
      <c r="L793" t="str" cm="1">
        <f t="array" ref="L793">INDEX(QHPSelections2016[],MATCH(1,(QHPSelections2016[State Name]=HIX_RatingAreas[[#This Row],[State Code]])*(QHPSelections2016[County Name]=HIX_RatingAreas[[#This Row],[Subdivision]]),0),MATCH("County Name",QHPSelections2016[#Headers],0))</f>
        <v>Jasper County</v>
      </c>
      <c r="M793" t="b">
        <f>L793=HIX_RatingAreas[[#This Row],[Subdivision]]</f>
        <v>1</v>
      </c>
      <c r="N793">
        <v>790</v>
      </c>
    </row>
    <row r="794" spans="3:14">
      <c r="C794" t="s">
        <v>55</v>
      </c>
      <c r="D794" t="s">
        <v>1574</v>
      </c>
      <c r="E794" t="s">
        <v>189</v>
      </c>
      <c r="F794" s="36">
        <v>26</v>
      </c>
      <c r="G794" t="s">
        <v>1219</v>
      </c>
      <c r="I794" cm="1">
        <f t="array" ref="I794">_xlfn.IFNA(INDEX(QHPSelections2016[],MATCH(1,(QHPSelections2016[State Name]=HIX_RatingAreas[[#This Row],[State Code]])*(QHPSelections2016[County Name]=HIX_RatingAreas[[#This Row],[Subdivision]]),0),MATCH("Silver",QHPSelections2016[#Headers],0)),0)</f>
        <v>62</v>
      </c>
      <c r="J794" cm="1">
        <f t="array" ref="J794">_xlfn.IFNA(INDEX(QHPSelections2016[],MATCH(1,(QHPSelections2016[State Name]=HIX_RatingAreas[[#This Row],[State Code]])*(QHPSelections2016[County Name]=HIX_RatingAreas[[#This Row],[Subdivision]]),0),MATCH("Total Plan Selections",QHPSelections2016[#Headers],0)),0)</f>
        <v>85</v>
      </c>
      <c r="L794" t="str" cm="1">
        <f t="array" ref="L794">INDEX(QHPSelections2016[],MATCH(1,(QHPSelections2016[State Name]=HIX_RatingAreas[[#This Row],[State Code]])*(QHPSelections2016[County Name]=HIX_RatingAreas[[#This Row],[Subdivision]]),0),MATCH("County Name",QHPSelections2016[#Headers],0))</f>
        <v>Jeff Davis County</v>
      </c>
      <c r="M794" t="b">
        <f>L794=HIX_RatingAreas[[#This Row],[Subdivision]]</f>
        <v>1</v>
      </c>
      <c r="N794">
        <v>791</v>
      </c>
    </row>
    <row r="795" spans="3:14">
      <c r="C795" t="s">
        <v>55</v>
      </c>
      <c r="D795" t="s">
        <v>1574</v>
      </c>
      <c r="E795" t="s">
        <v>189</v>
      </c>
      <c r="F795" s="36">
        <v>26</v>
      </c>
      <c r="G795" t="s">
        <v>1299</v>
      </c>
      <c r="I795" cm="1">
        <f t="array" ref="I795">_xlfn.IFNA(INDEX(QHPSelections2016[],MATCH(1,(QHPSelections2016[State Name]=HIX_RatingAreas[[#This Row],[State Code]])*(QHPSelections2016[County Name]=HIX_RatingAreas[[#This Row],[Subdivision]]),0),MATCH("Silver",QHPSelections2016[#Headers],0)),0)</f>
        <v>128</v>
      </c>
      <c r="J795" cm="1">
        <f t="array" ref="J795">_xlfn.IFNA(INDEX(QHPSelections2016[],MATCH(1,(QHPSelections2016[State Name]=HIX_RatingAreas[[#This Row],[State Code]])*(QHPSelections2016[County Name]=HIX_RatingAreas[[#This Row],[Subdivision]]),0),MATCH("Total Plan Selections",QHPSelections2016[#Headers],0)),0)</f>
        <v>171</v>
      </c>
      <c r="L795" t="str" cm="1">
        <f t="array" ref="L795">INDEX(QHPSelections2016[],MATCH(1,(QHPSelections2016[State Name]=HIX_RatingAreas[[#This Row],[State Code]])*(QHPSelections2016[County Name]=HIX_RatingAreas[[#This Row],[Subdivision]]),0),MATCH("County Name",QHPSelections2016[#Headers],0))</f>
        <v>Jim Hogg County</v>
      </c>
      <c r="M795" t="b">
        <f>L795=HIX_RatingAreas[[#This Row],[Subdivision]]</f>
        <v>1</v>
      </c>
      <c r="N795">
        <v>792</v>
      </c>
    </row>
    <row r="796" spans="3:14">
      <c r="C796" t="s">
        <v>55</v>
      </c>
      <c r="D796" t="s">
        <v>1574</v>
      </c>
      <c r="E796" t="s">
        <v>189</v>
      </c>
      <c r="F796" s="36">
        <v>26</v>
      </c>
      <c r="G796" t="s">
        <v>1300</v>
      </c>
      <c r="I796" cm="1">
        <f t="array" ref="I796">_xlfn.IFNA(INDEX(QHPSelections2016[],MATCH(1,(QHPSelections2016[State Name]=HIX_RatingAreas[[#This Row],[State Code]])*(QHPSelections2016[County Name]=HIX_RatingAreas[[#This Row],[Subdivision]]),0),MATCH("Silver",QHPSelections2016[#Headers],0)),0)</f>
        <v>1214</v>
      </c>
      <c r="J796" cm="1">
        <f t="array" ref="J796">_xlfn.IFNA(INDEX(QHPSelections2016[],MATCH(1,(QHPSelections2016[State Name]=HIX_RatingAreas[[#This Row],[State Code]])*(QHPSelections2016[County Name]=HIX_RatingAreas[[#This Row],[Subdivision]]),0),MATCH("Total Plan Selections",QHPSelections2016[#Headers],0)),0)</f>
        <v>1724</v>
      </c>
      <c r="L796" t="str" cm="1">
        <f t="array" ref="L796">INDEX(QHPSelections2016[],MATCH(1,(QHPSelections2016[State Name]=HIX_RatingAreas[[#This Row],[State Code]])*(QHPSelections2016[County Name]=HIX_RatingAreas[[#This Row],[Subdivision]]),0),MATCH("County Name",QHPSelections2016[#Headers],0))</f>
        <v>Jim Wells County</v>
      </c>
      <c r="M796" t="b">
        <f>L796=HIX_RatingAreas[[#This Row],[Subdivision]]</f>
        <v>1</v>
      </c>
      <c r="N796">
        <v>793</v>
      </c>
    </row>
    <row r="797" spans="3:14">
      <c r="C797" t="s">
        <v>55</v>
      </c>
      <c r="D797" t="s">
        <v>1574</v>
      </c>
      <c r="E797" t="s">
        <v>189</v>
      </c>
      <c r="F797" s="36">
        <v>26</v>
      </c>
      <c r="G797" t="s">
        <v>1303</v>
      </c>
      <c r="I797" cm="1">
        <f t="array" ref="I797">_xlfn.IFNA(INDEX(QHPSelections2016[],MATCH(1,(QHPSelections2016[State Name]=HIX_RatingAreas[[#This Row],[State Code]])*(QHPSelections2016[County Name]=HIX_RatingAreas[[#This Row],[Subdivision]]),0),MATCH("Silver",QHPSelections2016[#Headers],0)),0)</f>
        <v>269</v>
      </c>
      <c r="J797" cm="1">
        <f t="array" ref="J797">_xlfn.IFNA(INDEX(QHPSelections2016[],MATCH(1,(QHPSelections2016[State Name]=HIX_RatingAreas[[#This Row],[State Code]])*(QHPSelections2016[County Name]=HIX_RatingAreas[[#This Row],[Subdivision]]),0),MATCH("Total Plan Selections",QHPSelections2016[#Headers],0)),0)</f>
        <v>452</v>
      </c>
      <c r="L797" t="str" cm="1">
        <f t="array" ref="L797">INDEX(QHPSelections2016[],MATCH(1,(QHPSelections2016[State Name]=HIX_RatingAreas[[#This Row],[State Code]])*(QHPSelections2016[County Name]=HIX_RatingAreas[[#This Row],[Subdivision]]),0),MATCH("County Name",QHPSelections2016[#Headers],0))</f>
        <v>Karnes County</v>
      </c>
      <c r="M797" t="b">
        <f>L797=HIX_RatingAreas[[#This Row],[Subdivision]]</f>
        <v>1</v>
      </c>
      <c r="N797">
        <v>794</v>
      </c>
    </row>
    <row r="798" spans="3:14">
      <c r="C798" t="s">
        <v>55</v>
      </c>
      <c r="D798" t="s">
        <v>1574</v>
      </c>
      <c r="E798" t="s">
        <v>189</v>
      </c>
      <c r="F798" s="36">
        <v>26</v>
      </c>
      <c r="G798" t="s">
        <v>1308</v>
      </c>
      <c r="I798" cm="1">
        <f t="array" ref="I798">_xlfn.IFNA(INDEX(QHPSelections2016[],MATCH(1,(QHPSelections2016[State Name]=HIX_RatingAreas[[#This Row],[State Code]])*(QHPSelections2016[County Name]=HIX_RatingAreas[[#This Row],[Subdivision]]),0),MATCH("Silver",QHPSelections2016[#Headers],0)),0)</f>
        <v>17</v>
      </c>
      <c r="J798" cm="1">
        <f t="array" ref="J798">_xlfn.IFNA(INDEX(QHPSelections2016[],MATCH(1,(QHPSelections2016[State Name]=HIX_RatingAreas[[#This Row],[State Code]])*(QHPSelections2016[County Name]=HIX_RatingAreas[[#This Row],[Subdivision]]),0),MATCH("Total Plan Selections",QHPSelections2016[#Headers],0)),0)</f>
        <v>21</v>
      </c>
      <c r="L798" t="str" cm="1">
        <f t="array" ref="L798">INDEX(QHPSelections2016[],MATCH(1,(QHPSelections2016[State Name]=HIX_RatingAreas[[#This Row],[State Code]])*(QHPSelections2016[County Name]=HIX_RatingAreas[[#This Row],[Subdivision]]),0),MATCH("County Name",QHPSelections2016[#Headers],0))</f>
        <v>Kenedy County</v>
      </c>
      <c r="M798" t="b">
        <f>L798=HIX_RatingAreas[[#This Row],[Subdivision]]</f>
        <v>1</v>
      </c>
      <c r="N798">
        <v>795</v>
      </c>
    </row>
    <row r="799" spans="3:14">
      <c r="C799" t="s">
        <v>55</v>
      </c>
      <c r="D799" t="s">
        <v>1574</v>
      </c>
      <c r="E799" t="s">
        <v>189</v>
      </c>
      <c r="F799" s="36">
        <v>26</v>
      </c>
      <c r="G799" t="s">
        <v>1310</v>
      </c>
      <c r="I799" cm="1">
        <f t="array" ref="I799">_xlfn.IFNA(INDEX(QHPSelections2016[],MATCH(1,(QHPSelections2016[State Name]=HIX_RatingAreas[[#This Row],[State Code]])*(QHPSelections2016[County Name]=HIX_RatingAreas[[#This Row],[Subdivision]]),0),MATCH("Silver",QHPSelections2016[#Headers],0)),0)</f>
        <v>20</v>
      </c>
      <c r="J799" cm="1">
        <f t="array" ref="J799">_xlfn.IFNA(INDEX(QHPSelections2016[],MATCH(1,(QHPSelections2016[State Name]=HIX_RatingAreas[[#This Row],[State Code]])*(QHPSelections2016[County Name]=HIX_RatingAreas[[#This Row],[Subdivision]]),0),MATCH("Total Plan Selections",QHPSelections2016[#Headers],0)),0)</f>
        <v>27</v>
      </c>
      <c r="L799" t="str" cm="1">
        <f t="array" ref="L799">INDEX(QHPSelections2016[],MATCH(1,(QHPSelections2016[State Name]=HIX_RatingAreas[[#This Row],[State Code]])*(QHPSelections2016[County Name]=HIX_RatingAreas[[#This Row],[Subdivision]]),0),MATCH("County Name",QHPSelections2016[#Headers],0))</f>
        <v>Kent County</v>
      </c>
      <c r="M799" t="b">
        <f>L799=HIX_RatingAreas[[#This Row],[Subdivision]]</f>
        <v>1</v>
      </c>
      <c r="N799">
        <v>796</v>
      </c>
    </row>
    <row r="800" spans="3:14">
      <c r="C800" t="s">
        <v>55</v>
      </c>
      <c r="D800" t="s">
        <v>1574</v>
      </c>
      <c r="E800" t="s">
        <v>189</v>
      </c>
      <c r="F800" s="36">
        <v>26</v>
      </c>
      <c r="G800" t="s">
        <v>1311</v>
      </c>
      <c r="I800" cm="1">
        <f t="array" ref="I800">_xlfn.IFNA(INDEX(QHPSelections2016[],MATCH(1,(QHPSelections2016[State Name]=HIX_RatingAreas[[#This Row],[State Code]])*(QHPSelections2016[County Name]=HIX_RatingAreas[[#This Row],[Subdivision]]),0),MATCH("Silver",QHPSelections2016[#Headers],0)),0)</f>
        <v>1487</v>
      </c>
      <c r="J800" cm="1">
        <f t="array" ref="J800">_xlfn.IFNA(INDEX(QHPSelections2016[],MATCH(1,(QHPSelections2016[State Name]=HIX_RatingAreas[[#This Row],[State Code]])*(QHPSelections2016[County Name]=HIX_RatingAreas[[#This Row],[Subdivision]]),0),MATCH("Total Plan Selections",QHPSelections2016[#Headers],0)),0)</f>
        <v>2311</v>
      </c>
      <c r="L800" t="str" cm="1">
        <f t="array" ref="L800">INDEX(QHPSelections2016[],MATCH(1,(QHPSelections2016[State Name]=HIX_RatingAreas[[#This Row],[State Code]])*(QHPSelections2016[County Name]=HIX_RatingAreas[[#This Row],[Subdivision]]),0),MATCH("County Name",QHPSelections2016[#Headers],0))</f>
        <v>Kerr County</v>
      </c>
      <c r="M800" t="b">
        <f>L800=HIX_RatingAreas[[#This Row],[Subdivision]]</f>
        <v>1</v>
      </c>
      <c r="N800">
        <v>797</v>
      </c>
    </row>
    <row r="801" spans="3:14">
      <c r="C801" t="s">
        <v>55</v>
      </c>
      <c r="D801" t="s">
        <v>1574</v>
      </c>
      <c r="E801" t="s">
        <v>189</v>
      </c>
      <c r="F801" s="36">
        <v>26</v>
      </c>
      <c r="G801" t="s">
        <v>1313</v>
      </c>
      <c r="I801" cm="1">
        <f t="array" ref="I801">_xlfn.IFNA(INDEX(QHPSelections2016[],MATCH(1,(QHPSelections2016[State Name]=HIX_RatingAreas[[#This Row],[State Code]])*(QHPSelections2016[County Name]=HIX_RatingAreas[[#This Row],[Subdivision]]),0),MATCH("Silver",QHPSelections2016[#Headers],0)),0)</f>
        <v>138</v>
      </c>
      <c r="J801" cm="1">
        <f t="array" ref="J801">_xlfn.IFNA(INDEX(QHPSelections2016[],MATCH(1,(QHPSelections2016[State Name]=HIX_RatingAreas[[#This Row],[State Code]])*(QHPSelections2016[County Name]=HIX_RatingAreas[[#This Row],[Subdivision]]),0),MATCH("Total Plan Selections",QHPSelections2016[#Headers],0)),0)</f>
        <v>224</v>
      </c>
      <c r="L801" t="str" cm="1">
        <f t="array" ref="L801">INDEX(QHPSelections2016[],MATCH(1,(QHPSelections2016[State Name]=HIX_RatingAreas[[#This Row],[State Code]])*(QHPSelections2016[County Name]=HIX_RatingAreas[[#This Row],[Subdivision]]),0),MATCH("County Name",QHPSelections2016[#Headers],0))</f>
        <v>Kimble County</v>
      </c>
      <c r="M801" t="b">
        <f>L801=HIX_RatingAreas[[#This Row],[Subdivision]]</f>
        <v>1</v>
      </c>
      <c r="N801">
        <v>798</v>
      </c>
    </row>
    <row r="802" spans="3:14">
      <c r="C802" t="s">
        <v>55</v>
      </c>
      <c r="D802" t="s">
        <v>1574</v>
      </c>
      <c r="E802" t="s">
        <v>189</v>
      </c>
      <c r="F802" s="36">
        <v>26</v>
      </c>
      <c r="G802" t="s">
        <v>1315</v>
      </c>
      <c r="I802" cm="1">
        <f t="array" ref="I802">_xlfn.IFNA(INDEX(QHPSelections2016[],MATCH(1,(QHPSelections2016[State Name]=HIX_RatingAreas[[#This Row],[State Code]])*(QHPSelections2016[County Name]=HIX_RatingAreas[[#This Row],[Subdivision]]),0),MATCH("Silver",QHPSelections2016[#Headers],0)),0)</f>
        <v>0</v>
      </c>
      <c r="J802" cm="1">
        <f t="array" ref="J802">_xlfn.IFNA(INDEX(QHPSelections2016[],MATCH(1,(QHPSelections2016[State Name]=HIX_RatingAreas[[#This Row],[State Code]])*(QHPSelections2016[County Name]=HIX_RatingAreas[[#This Row],[Subdivision]]),0),MATCH("Total Plan Selections",QHPSelections2016[#Headers],0)),0)</f>
        <v>0</v>
      </c>
      <c r="L802" s="17" t="e" cm="1">
        <f t="array" ref="L802">INDEX(QHPSelections2016[],MATCH(1,(QHPSelections2016[State Name]=HIX_RatingAreas[[#This Row],[State Code]])*(QHPSelections2016[County Name]=HIX_RatingAreas[[#This Row],[Subdivision]]),0),MATCH("County Name",QHPSelections2016[#Headers],0))</f>
        <v>#N/A</v>
      </c>
      <c r="M802" s="17" t="e">
        <f>L802=HIX_RatingAreas[[#This Row],[Subdivision]]</f>
        <v>#N/A</v>
      </c>
      <c r="N802" s="17">
        <v>799</v>
      </c>
    </row>
    <row r="803" spans="3:14">
      <c r="C803" t="s">
        <v>55</v>
      </c>
      <c r="D803" t="s">
        <v>1574</v>
      </c>
      <c r="E803" t="s">
        <v>189</v>
      </c>
      <c r="F803" s="36">
        <v>26</v>
      </c>
      <c r="G803" t="s">
        <v>1317</v>
      </c>
      <c r="I803" cm="1">
        <f t="array" ref="I803">_xlfn.IFNA(INDEX(QHPSelections2016[],MATCH(1,(QHPSelections2016[State Name]=HIX_RatingAreas[[#This Row],[State Code]])*(QHPSelections2016[County Name]=HIX_RatingAreas[[#This Row],[Subdivision]]),0),MATCH("Silver",QHPSelections2016[#Headers],0)),0)</f>
        <v>77</v>
      </c>
      <c r="J803" cm="1">
        <f t="array" ref="J803">_xlfn.IFNA(INDEX(QHPSelections2016[],MATCH(1,(QHPSelections2016[State Name]=HIX_RatingAreas[[#This Row],[State Code]])*(QHPSelections2016[County Name]=HIX_RatingAreas[[#This Row],[Subdivision]]),0),MATCH("Total Plan Selections",QHPSelections2016[#Headers],0)),0)</f>
        <v>123</v>
      </c>
      <c r="L803" t="str" cm="1">
        <f t="array" ref="L803">INDEX(QHPSelections2016[],MATCH(1,(QHPSelections2016[State Name]=HIX_RatingAreas[[#This Row],[State Code]])*(QHPSelections2016[County Name]=HIX_RatingAreas[[#This Row],[Subdivision]]),0),MATCH("County Name",QHPSelections2016[#Headers],0))</f>
        <v>Kinney County</v>
      </c>
      <c r="M803" t="b">
        <f>L803=HIX_RatingAreas[[#This Row],[Subdivision]]</f>
        <v>1</v>
      </c>
      <c r="N803">
        <v>800</v>
      </c>
    </row>
    <row r="804" spans="3:14">
      <c r="C804" t="s">
        <v>55</v>
      </c>
      <c r="D804" t="s">
        <v>1574</v>
      </c>
      <c r="E804" t="s">
        <v>189</v>
      </c>
      <c r="F804" s="36">
        <v>26</v>
      </c>
      <c r="G804" t="s">
        <v>1319</v>
      </c>
      <c r="I804" cm="1">
        <f t="array" ref="I804">_xlfn.IFNA(INDEX(QHPSelections2016[],MATCH(1,(QHPSelections2016[State Name]=HIX_RatingAreas[[#This Row],[State Code]])*(QHPSelections2016[County Name]=HIX_RatingAreas[[#This Row],[Subdivision]]),0),MATCH("Silver",QHPSelections2016[#Headers],0)),0)</f>
        <v>666</v>
      </c>
      <c r="J804" cm="1">
        <f t="array" ref="J804">_xlfn.IFNA(INDEX(QHPSelections2016[],MATCH(1,(QHPSelections2016[State Name]=HIX_RatingAreas[[#This Row],[State Code]])*(QHPSelections2016[County Name]=HIX_RatingAreas[[#This Row],[Subdivision]]),0),MATCH("Total Plan Selections",QHPSelections2016[#Headers],0)),0)</f>
        <v>1031</v>
      </c>
      <c r="L804" t="str" cm="1">
        <f t="array" ref="L804">INDEX(QHPSelections2016[],MATCH(1,(QHPSelections2016[State Name]=HIX_RatingAreas[[#This Row],[State Code]])*(QHPSelections2016[County Name]=HIX_RatingAreas[[#This Row],[Subdivision]]),0),MATCH("County Name",QHPSelections2016[#Headers],0))</f>
        <v>Kleberg County</v>
      </c>
      <c r="M804" t="b">
        <f>L804=HIX_RatingAreas[[#This Row],[Subdivision]]</f>
        <v>1</v>
      </c>
      <c r="N804">
        <v>801</v>
      </c>
    </row>
    <row r="805" spans="3:14">
      <c r="C805" t="s">
        <v>55</v>
      </c>
      <c r="D805" t="s">
        <v>1574</v>
      </c>
      <c r="E805" t="s">
        <v>189</v>
      </c>
      <c r="F805" s="36">
        <v>26</v>
      </c>
      <c r="G805" t="s">
        <v>1070</v>
      </c>
      <c r="I805" cm="1">
        <f t="array" ref="I805">_xlfn.IFNA(INDEX(QHPSelections2016[],MATCH(1,(QHPSelections2016[State Name]=HIX_RatingAreas[[#This Row],[State Code]])*(QHPSelections2016[County Name]=HIX_RatingAreas[[#This Row],[Subdivision]]),0),MATCH("Silver",QHPSelections2016[#Headers],0)),0)</f>
        <v>120</v>
      </c>
      <c r="J805" cm="1">
        <f t="array" ref="J805">_xlfn.IFNA(INDEX(QHPSelections2016[],MATCH(1,(QHPSelections2016[State Name]=HIX_RatingAreas[[#This Row],[State Code]])*(QHPSelections2016[County Name]=HIX_RatingAreas[[#This Row],[Subdivision]]),0),MATCH("Total Plan Selections",QHPSelections2016[#Headers],0)),0)</f>
        <v>182</v>
      </c>
      <c r="L805" t="str" cm="1">
        <f t="array" ref="L805">INDEX(QHPSelections2016[],MATCH(1,(QHPSelections2016[State Name]=HIX_RatingAreas[[#This Row],[State Code]])*(QHPSelections2016[County Name]=HIX_RatingAreas[[#This Row],[Subdivision]]),0),MATCH("County Name",QHPSelections2016[#Headers],0))</f>
        <v>Knox County</v>
      </c>
      <c r="M805" t="b">
        <f>L805=HIX_RatingAreas[[#This Row],[Subdivision]]</f>
        <v>1</v>
      </c>
      <c r="N805">
        <v>802</v>
      </c>
    </row>
    <row r="806" spans="3:14">
      <c r="C806" t="s">
        <v>55</v>
      </c>
      <c r="D806" t="s">
        <v>1574</v>
      </c>
      <c r="E806" t="s">
        <v>189</v>
      </c>
      <c r="F806" s="36">
        <v>26</v>
      </c>
      <c r="G806" t="s">
        <v>1327</v>
      </c>
      <c r="I806" cm="1">
        <f t="array" ref="I806">_xlfn.IFNA(INDEX(QHPSelections2016[],MATCH(1,(QHPSelections2016[State Name]=HIX_RatingAreas[[#This Row],[State Code]])*(QHPSelections2016[County Name]=HIX_RatingAreas[[#This Row],[Subdivision]]),0),MATCH("Silver",QHPSelections2016[#Headers],0)),0)</f>
        <v>188</v>
      </c>
      <c r="J806" cm="1">
        <f t="array" ref="J806">_xlfn.IFNA(INDEX(QHPSelections2016[],MATCH(1,(QHPSelections2016[State Name]=HIX_RatingAreas[[#This Row],[State Code]])*(QHPSelections2016[County Name]=HIX_RatingAreas[[#This Row],[Subdivision]]),0),MATCH("Total Plan Selections",QHPSelections2016[#Headers],0)),0)</f>
        <v>283</v>
      </c>
      <c r="L806" t="str" cm="1">
        <f t="array" ref="L806">INDEX(QHPSelections2016[],MATCH(1,(QHPSelections2016[State Name]=HIX_RatingAreas[[#This Row],[State Code]])*(QHPSelections2016[County Name]=HIX_RatingAreas[[#This Row],[Subdivision]]),0),MATCH("County Name",QHPSelections2016[#Headers],0))</f>
        <v>La Salle County</v>
      </c>
      <c r="M806" t="b">
        <f>L806=HIX_RatingAreas[[#This Row],[Subdivision]]</f>
        <v>1</v>
      </c>
      <c r="N806">
        <v>803</v>
      </c>
    </row>
    <row r="807" spans="3:14">
      <c r="C807" t="s">
        <v>55</v>
      </c>
      <c r="D807" t="s">
        <v>1574</v>
      </c>
      <c r="E807" t="s">
        <v>189</v>
      </c>
      <c r="F807" s="36">
        <v>26</v>
      </c>
      <c r="G807" t="s">
        <v>1020</v>
      </c>
      <c r="I807" cm="1">
        <f t="array" ref="I807">_xlfn.IFNA(INDEX(QHPSelections2016[],MATCH(1,(QHPSelections2016[State Name]=HIX_RatingAreas[[#This Row],[State Code]])*(QHPSelections2016[County Name]=HIX_RatingAreas[[#This Row],[Subdivision]]),0),MATCH("Silver",QHPSelections2016[#Headers],0)),0)</f>
        <v>1024</v>
      </c>
      <c r="J807" cm="1">
        <f t="array" ref="J807">_xlfn.IFNA(INDEX(QHPSelections2016[],MATCH(1,(QHPSelections2016[State Name]=HIX_RatingAreas[[#This Row],[State Code]])*(QHPSelections2016[County Name]=HIX_RatingAreas[[#This Row],[Subdivision]]),0),MATCH("Total Plan Selections",QHPSelections2016[#Headers],0)),0)</f>
        <v>1542</v>
      </c>
      <c r="L807" t="str" cm="1">
        <f t="array" ref="L807">INDEX(QHPSelections2016[],MATCH(1,(QHPSelections2016[State Name]=HIX_RatingAreas[[#This Row],[State Code]])*(QHPSelections2016[County Name]=HIX_RatingAreas[[#This Row],[Subdivision]]),0),MATCH("County Name",QHPSelections2016[#Headers],0))</f>
        <v>Lamar County</v>
      </c>
      <c r="M807" t="b">
        <f>L807=HIX_RatingAreas[[#This Row],[Subdivision]]</f>
        <v>1</v>
      </c>
      <c r="N807">
        <v>804</v>
      </c>
    </row>
    <row r="808" spans="3:14">
      <c r="C808" t="s">
        <v>55</v>
      </c>
      <c r="D808" t="s">
        <v>1574</v>
      </c>
      <c r="E808" t="s">
        <v>189</v>
      </c>
      <c r="F808" s="36">
        <v>26</v>
      </c>
      <c r="G808" t="s">
        <v>1323</v>
      </c>
      <c r="I808" cm="1">
        <f t="array" ref="I808">_xlfn.IFNA(INDEX(QHPSelections2016[],MATCH(1,(QHPSelections2016[State Name]=HIX_RatingAreas[[#This Row],[State Code]])*(QHPSelections2016[County Name]=HIX_RatingAreas[[#This Row],[Subdivision]]),0),MATCH("Silver",QHPSelections2016[#Headers],0)),0)</f>
        <v>386</v>
      </c>
      <c r="J808" cm="1">
        <f t="array" ref="J808">_xlfn.IFNA(INDEX(QHPSelections2016[],MATCH(1,(QHPSelections2016[State Name]=HIX_RatingAreas[[#This Row],[State Code]])*(QHPSelections2016[County Name]=HIX_RatingAreas[[#This Row],[Subdivision]]),0),MATCH("Total Plan Selections",QHPSelections2016[#Headers],0)),0)</f>
        <v>553</v>
      </c>
      <c r="L808" t="str" cm="1">
        <f t="array" ref="L808">INDEX(QHPSelections2016[],MATCH(1,(QHPSelections2016[State Name]=HIX_RatingAreas[[#This Row],[State Code]])*(QHPSelections2016[County Name]=HIX_RatingAreas[[#This Row],[Subdivision]]),0),MATCH("County Name",QHPSelections2016[#Headers],0))</f>
        <v>Lamb County</v>
      </c>
      <c r="M808" t="b">
        <f>L808=HIX_RatingAreas[[#This Row],[Subdivision]]</f>
        <v>1</v>
      </c>
      <c r="N808">
        <v>805</v>
      </c>
    </row>
    <row r="809" spans="3:14">
      <c r="C809" t="s">
        <v>55</v>
      </c>
      <c r="D809" t="s">
        <v>1574</v>
      </c>
      <c r="E809" t="s">
        <v>189</v>
      </c>
      <c r="F809" s="36">
        <v>26</v>
      </c>
      <c r="G809" t="s">
        <v>1329</v>
      </c>
      <c r="I809" cm="1">
        <f t="array" ref="I809">_xlfn.IFNA(INDEX(QHPSelections2016[],MATCH(1,(QHPSelections2016[State Name]=HIX_RatingAreas[[#This Row],[State Code]])*(QHPSelections2016[County Name]=HIX_RatingAreas[[#This Row],[Subdivision]]),0),MATCH("Silver",QHPSelections2016[#Headers],0)),0)</f>
        <v>439</v>
      </c>
      <c r="J809" cm="1">
        <f t="array" ref="J809">_xlfn.IFNA(INDEX(QHPSelections2016[],MATCH(1,(QHPSelections2016[State Name]=HIX_RatingAreas[[#This Row],[State Code]])*(QHPSelections2016[County Name]=HIX_RatingAreas[[#This Row],[Subdivision]]),0),MATCH("Total Plan Selections",QHPSelections2016[#Headers],0)),0)</f>
        <v>675</v>
      </c>
      <c r="L809" t="str" cm="1">
        <f t="array" ref="L809">INDEX(QHPSelections2016[],MATCH(1,(QHPSelections2016[State Name]=HIX_RatingAreas[[#This Row],[State Code]])*(QHPSelections2016[County Name]=HIX_RatingAreas[[#This Row],[Subdivision]]),0),MATCH("County Name",QHPSelections2016[#Headers],0))</f>
        <v>Lavaca County</v>
      </c>
      <c r="M809" t="b">
        <f>L809=HIX_RatingAreas[[#This Row],[Subdivision]]</f>
        <v>1</v>
      </c>
      <c r="N809">
        <v>806</v>
      </c>
    </row>
    <row r="810" spans="3:14">
      <c r="C810" t="s">
        <v>55</v>
      </c>
      <c r="D810" t="s">
        <v>1574</v>
      </c>
      <c r="E810" t="s">
        <v>189</v>
      </c>
      <c r="F810" s="36">
        <v>26</v>
      </c>
      <c r="G810" t="s">
        <v>1010</v>
      </c>
      <c r="I810" cm="1">
        <f t="array" ref="I810">_xlfn.IFNA(INDEX(QHPSelections2016[],MATCH(1,(QHPSelections2016[State Name]=HIX_RatingAreas[[#This Row],[State Code]])*(QHPSelections2016[County Name]=HIX_RatingAreas[[#This Row],[Subdivision]]),0),MATCH("Silver",QHPSelections2016[#Headers],0)),0)</f>
        <v>438</v>
      </c>
      <c r="J810" cm="1">
        <f t="array" ref="J810">_xlfn.IFNA(INDEX(QHPSelections2016[],MATCH(1,(QHPSelections2016[State Name]=HIX_RatingAreas[[#This Row],[State Code]])*(QHPSelections2016[County Name]=HIX_RatingAreas[[#This Row],[Subdivision]]),0),MATCH("Total Plan Selections",QHPSelections2016[#Headers],0)),0)</f>
        <v>662</v>
      </c>
      <c r="L810" t="str" cm="1">
        <f t="array" ref="L810">INDEX(QHPSelections2016[],MATCH(1,(QHPSelections2016[State Name]=HIX_RatingAreas[[#This Row],[State Code]])*(QHPSelections2016[County Name]=HIX_RatingAreas[[#This Row],[Subdivision]]),0),MATCH("County Name",QHPSelections2016[#Headers],0))</f>
        <v>Lee County</v>
      </c>
      <c r="M810" t="b">
        <f>L810=HIX_RatingAreas[[#This Row],[Subdivision]]</f>
        <v>1</v>
      </c>
      <c r="N810">
        <v>807</v>
      </c>
    </row>
    <row r="811" spans="3:14">
      <c r="C811" t="s">
        <v>55</v>
      </c>
      <c r="D811" t="s">
        <v>1574</v>
      </c>
      <c r="E811" t="s">
        <v>189</v>
      </c>
      <c r="F811" s="36">
        <v>26</v>
      </c>
      <c r="G811" t="s">
        <v>1015</v>
      </c>
      <c r="I811" cm="1">
        <f t="array" ref="I811">_xlfn.IFNA(INDEX(QHPSelections2016[],MATCH(1,(QHPSelections2016[State Name]=HIX_RatingAreas[[#This Row],[State Code]])*(QHPSelections2016[County Name]=HIX_RatingAreas[[#This Row],[Subdivision]]),0),MATCH("Silver",QHPSelections2016[#Headers],0)),0)</f>
        <v>467</v>
      </c>
      <c r="J811" cm="1">
        <f t="array" ref="J811">_xlfn.IFNA(INDEX(QHPSelections2016[],MATCH(1,(QHPSelections2016[State Name]=HIX_RatingAreas[[#This Row],[State Code]])*(QHPSelections2016[County Name]=HIX_RatingAreas[[#This Row],[Subdivision]]),0),MATCH("Total Plan Selections",QHPSelections2016[#Headers],0)),0)</f>
        <v>675</v>
      </c>
      <c r="L811" t="str" cm="1">
        <f t="array" ref="L811">INDEX(QHPSelections2016[],MATCH(1,(QHPSelections2016[State Name]=HIX_RatingAreas[[#This Row],[State Code]])*(QHPSelections2016[County Name]=HIX_RatingAreas[[#This Row],[Subdivision]]),0),MATCH("County Name",QHPSelections2016[#Headers],0))</f>
        <v>Leon County</v>
      </c>
      <c r="M811" t="b">
        <f>L811=HIX_RatingAreas[[#This Row],[Subdivision]]</f>
        <v>1</v>
      </c>
      <c r="N811">
        <v>808</v>
      </c>
    </row>
    <row r="812" spans="3:14">
      <c r="C812" t="s">
        <v>55</v>
      </c>
      <c r="D812" t="s">
        <v>1574</v>
      </c>
      <c r="E812" t="s">
        <v>189</v>
      </c>
      <c r="F812" s="36">
        <v>26</v>
      </c>
      <c r="G812" t="s">
        <v>1043</v>
      </c>
      <c r="I812" cm="1">
        <f t="array" ref="I812">_xlfn.IFNA(INDEX(QHPSelections2016[],MATCH(1,(QHPSelections2016[State Name]=HIX_RatingAreas[[#This Row],[State Code]])*(QHPSelections2016[County Name]=HIX_RatingAreas[[#This Row],[Subdivision]]),0),MATCH("Silver",QHPSelections2016[#Headers],0)),0)</f>
        <v>531</v>
      </c>
      <c r="J812" cm="1">
        <f t="array" ref="J812">_xlfn.IFNA(INDEX(QHPSelections2016[],MATCH(1,(QHPSelections2016[State Name]=HIX_RatingAreas[[#This Row],[State Code]])*(QHPSelections2016[County Name]=HIX_RatingAreas[[#This Row],[Subdivision]]),0),MATCH("Total Plan Selections",QHPSelections2016[#Headers],0)),0)</f>
        <v>757</v>
      </c>
      <c r="L812" t="str" cm="1">
        <f t="array" ref="L812">INDEX(QHPSelections2016[],MATCH(1,(QHPSelections2016[State Name]=HIX_RatingAreas[[#This Row],[State Code]])*(QHPSelections2016[County Name]=HIX_RatingAreas[[#This Row],[Subdivision]]),0),MATCH("County Name",QHPSelections2016[#Headers],0))</f>
        <v>Limestone County</v>
      </c>
      <c r="M812" t="b">
        <f>L812=HIX_RatingAreas[[#This Row],[Subdivision]]</f>
        <v>1</v>
      </c>
      <c r="N812">
        <v>809</v>
      </c>
    </row>
    <row r="813" spans="3:14">
      <c r="C813" t="s">
        <v>55</v>
      </c>
      <c r="D813" t="s">
        <v>1574</v>
      </c>
      <c r="E813" t="s">
        <v>189</v>
      </c>
      <c r="F813" s="36">
        <v>26</v>
      </c>
      <c r="G813" t="s">
        <v>1332</v>
      </c>
      <c r="I813" cm="1">
        <f t="array" ref="I813">_xlfn.IFNA(INDEX(QHPSelections2016[],MATCH(1,(QHPSelections2016[State Name]=HIX_RatingAreas[[#This Row],[State Code]])*(QHPSelections2016[County Name]=HIX_RatingAreas[[#This Row],[Subdivision]]),0),MATCH("Silver",QHPSelections2016[#Headers],0)),0)</f>
        <v>67</v>
      </c>
      <c r="J813" cm="1">
        <f t="array" ref="J813">_xlfn.IFNA(INDEX(QHPSelections2016[],MATCH(1,(QHPSelections2016[State Name]=HIX_RatingAreas[[#This Row],[State Code]])*(QHPSelections2016[County Name]=HIX_RatingAreas[[#This Row],[Subdivision]]),0),MATCH("Total Plan Selections",QHPSelections2016[#Headers],0)),0)</f>
        <v>82</v>
      </c>
      <c r="L813" t="str" cm="1">
        <f t="array" ref="L813">INDEX(QHPSelections2016[],MATCH(1,(QHPSelections2016[State Name]=HIX_RatingAreas[[#This Row],[State Code]])*(QHPSelections2016[County Name]=HIX_RatingAreas[[#This Row],[Subdivision]]),0),MATCH("County Name",QHPSelections2016[#Headers],0))</f>
        <v>Lipscomb County</v>
      </c>
      <c r="M813" t="b">
        <f>L813=HIX_RatingAreas[[#This Row],[Subdivision]]</f>
        <v>1</v>
      </c>
      <c r="N813">
        <v>810</v>
      </c>
    </row>
    <row r="814" spans="3:14">
      <c r="C814" t="s">
        <v>55</v>
      </c>
      <c r="D814" t="s">
        <v>1574</v>
      </c>
      <c r="E814" t="s">
        <v>189</v>
      </c>
      <c r="F814" s="36">
        <v>26</v>
      </c>
      <c r="G814" t="s">
        <v>1333</v>
      </c>
      <c r="I814" cm="1">
        <f t="array" ref="I814">_xlfn.IFNA(INDEX(QHPSelections2016[],MATCH(1,(QHPSelections2016[State Name]=HIX_RatingAreas[[#This Row],[State Code]])*(QHPSelections2016[County Name]=HIX_RatingAreas[[#This Row],[Subdivision]]),0),MATCH("Silver",QHPSelections2016[#Headers],0)),0)</f>
        <v>271</v>
      </c>
      <c r="J814" cm="1">
        <f t="array" ref="J814">_xlfn.IFNA(INDEX(QHPSelections2016[],MATCH(1,(QHPSelections2016[State Name]=HIX_RatingAreas[[#This Row],[State Code]])*(QHPSelections2016[County Name]=HIX_RatingAreas[[#This Row],[Subdivision]]),0),MATCH("Total Plan Selections",QHPSelections2016[#Headers],0)),0)</f>
        <v>431</v>
      </c>
      <c r="L814" t="str" cm="1">
        <f t="array" ref="L814">INDEX(QHPSelections2016[],MATCH(1,(QHPSelections2016[State Name]=HIX_RatingAreas[[#This Row],[State Code]])*(QHPSelections2016[County Name]=HIX_RatingAreas[[#This Row],[Subdivision]]),0),MATCH("County Name",QHPSelections2016[#Headers],0))</f>
        <v>Live Oak County</v>
      </c>
      <c r="M814" t="b">
        <f>L814=HIX_RatingAreas[[#This Row],[Subdivision]]</f>
        <v>1</v>
      </c>
      <c r="N814">
        <v>811</v>
      </c>
    </row>
    <row r="815" spans="3:14">
      <c r="C815" t="s">
        <v>55</v>
      </c>
      <c r="D815" t="s">
        <v>1574</v>
      </c>
      <c r="E815" t="s">
        <v>189</v>
      </c>
      <c r="F815" s="36">
        <v>26</v>
      </c>
      <c r="G815" t="s">
        <v>1334</v>
      </c>
      <c r="I815" cm="1">
        <f t="array" ref="I815">_xlfn.IFNA(INDEX(QHPSelections2016[],MATCH(1,(QHPSelections2016[State Name]=HIX_RatingAreas[[#This Row],[State Code]])*(QHPSelections2016[County Name]=HIX_RatingAreas[[#This Row],[Subdivision]]),0),MATCH("Silver",QHPSelections2016[#Headers],0)),0)</f>
        <v>760</v>
      </c>
      <c r="J815" cm="1">
        <f t="array" ref="J815">_xlfn.IFNA(INDEX(QHPSelections2016[],MATCH(1,(QHPSelections2016[State Name]=HIX_RatingAreas[[#This Row],[State Code]])*(QHPSelections2016[County Name]=HIX_RatingAreas[[#This Row],[Subdivision]]),0),MATCH("Total Plan Selections",QHPSelections2016[#Headers],0)),0)</f>
        <v>1052</v>
      </c>
      <c r="L815" t="str" cm="1">
        <f t="array" ref="L815">INDEX(QHPSelections2016[],MATCH(1,(QHPSelections2016[State Name]=HIX_RatingAreas[[#This Row],[State Code]])*(QHPSelections2016[County Name]=HIX_RatingAreas[[#This Row],[Subdivision]]),0),MATCH("County Name",QHPSelections2016[#Headers],0))</f>
        <v>Llano County</v>
      </c>
      <c r="M815" t="b">
        <f>L815=HIX_RatingAreas[[#This Row],[Subdivision]]</f>
        <v>1</v>
      </c>
      <c r="N815">
        <v>812</v>
      </c>
    </row>
    <row r="816" spans="3:14">
      <c r="C816" t="s">
        <v>55</v>
      </c>
      <c r="D816" t="s">
        <v>1574</v>
      </c>
      <c r="E816" t="s">
        <v>189</v>
      </c>
      <c r="F816" s="36">
        <v>26</v>
      </c>
      <c r="G816" t="s">
        <v>1335</v>
      </c>
      <c r="I816" t="str" cm="1">
        <f t="array" ref="I816">_xlfn.IFNA(INDEX(QHPSelections2016[],MATCH(1,(QHPSelections2016[State Name]=HIX_RatingAreas[[#This Row],[State Code]])*(QHPSelections2016[County Name]=HIX_RatingAreas[[#This Row],[Subdivision]]),0),MATCH("Silver",QHPSelections2016[#Headers],0)),0)</f>
        <v>.</v>
      </c>
      <c r="J816" t="str" cm="1">
        <f t="array" ref="J816">_xlfn.IFNA(INDEX(QHPSelections2016[],MATCH(1,(QHPSelections2016[State Name]=HIX_RatingAreas[[#This Row],[State Code]])*(QHPSelections2016[County Name]=HIX_RatingAreas[[#This Row],[Subdivision]]),0),MATCH("Total Plan Selections",QHPSelections2016[#Headers],0)),0)</f>
        <v>.</v>
      </c>
      <c r="L816" t="str" cm="1">
        <f t="array" ref="L816">INDEX(QHPSelections2016[],MATCH(1,(QHPSelections2016[State Name]=HIX_RatingAreas[[#This Row],[State Code]])*(QHPSelections2016[County Name]=HIX_RatingAreas[[#This Row],[Subdivision]]),0),MATCH("County Name",QHPSelections2016[#Headers],0))</f>
        <v>Loving County</v>
      </c>
      <c r="M816" t="b">
        <f>L816=HIX_RatingAreas[[#This Row],[Subdivision]]</f>
        <v>1</v>
      </c>
      <c r="N816">
        <v>813</v>
      </c>
    </row>
    <row r="817" spans="3:14">
      <c r="C817" t="s">
        <v>55</v>
      </c>
      <c r="D817" t="s">
        <v>1574</v>
      </c>
      <c r="E817" t="s">
        <v>189</v>
      </c>
      <c r="F817" s="36">
        <v>26</v>
      </c>
      <c r="G817" t="s">
        <v>1338</v>
      </c>
      <c r="I817" cm="1">
        <f t="array" ref="I817">_xlfn.IFNA(INDEX(QHPSelections2016[],MATCH(1,(QHPSelections2016[State Name]=HIX_RatingAreas[[#This Row],[State Code]])*(QHPSelections2016[County Name]=HIX_RatingAreas[[#This Row],[Subdivision]]),0),MATCH("Silver",QHPSelections2016[#Headers],0)),0)</f>
        <v>106</v>
      </c>
      <c r="J817" cm="1">
        <f t="array" ref="J817">_xlfn.IFNA(INDEX(QHPSelections2016[],MATCH(1,(QHPSelections2016[State Name]=HIX_RatingAreas[[#This Row],[State Code]])*(QHPSelections2016[County Name]=HIX_RatingAreas[[#This Row],[Subdivision]]),0),MATCH("Total Plan Selections",QHPSelections2016[#Headers],0)),0)</f>
        <v>162</v>
      </c>
      <c r="L817" t="str" cm="1">
        <f t="array" ref="L817">INDEX(QHPSelections2016[],MATCH(1,(QHPSelections2016[State Name]=HIX_RatingAreas[[#This Row],[State Code]])*(QHPSelections2016[County Name]=HIX_RatingAreas[[#This Row],[Subdivision]]),0),MATCH("County Name",QHPSelections2016[#Headers],0))</f>
        <v>Lynn County</v>
      </c>
      <c r="M817" t="b">
        <f>L817=HIX_RatingAreas[[#This Row],[Subdivision]]</f>
        <v>1</v>
      </c>
      <c r="N817">
        <v>814</v>
      </c>
    </row>
    <row r="818" spans="3:14">
      <c r="C818" t="s">
        <v>55</v>
      </c>
      <c r="D818" t="s">
        <v>1574</v>
      </c>
      <c r="E818" t="s">
        <v>189</v>
      </c>
      <c r="F818" s="36">
        <v>26</v>
      </c>
      <c r="G818" t="s">
        <v>1029</v>
      </c>
      <c r="I818" cm="1">
        <f t="array" ref="I818">_xlfn.IFNA(INDEX(QHPSelections2016[],MATCH(1,(QHPSelections2016[State Name]=HIX_RatingAreas[[#This Row],[State Code]])*(QHPSelections2016[County Name]=HIX_RatingAreas[[#This Row],[Subdivision]]),0),MATCH("Silver",QHPSelections2016[#Headers],0)),0)</f>
        <v>280</v>
      </c>
      <c r="J818" cm="1">
        <f t="array" ref="J818">_xlfn.IFNA(INDEX(QHPSelections2016[],MATCH(1,(QHPSelections2016[State Name]=HIX_RatingAreas[[#This Row],[State Code]])*(QHPSelections2016[County Name]=HIX_RatingAreas[[#This Row],[Subdivision]]),0),MATCH("Total Plan Selections",QHPSelections2016[#Headers],0)),0)</f>
        <v>391</v>
      </c>
      <c r="L818" t="str" cm="1">
        <f t="array" ref="L818">INDEX(QHPSelections2016[],MATCH(1,(QHPSelections2016[State Name]=HIX_RatingAreas[[#This Row],[State Code]])*(QHPSelections2016[County Name]=HIX_RatingAreas[[#This Row],[Subdivision]]),0),MATCH("County Name",QHPSelections2016[#Headers],0))</f>
        <v>Madison County</v>
      </c>
      <c r="M818" t="b">
        <f>L818=HIX_RatingAreas[[#This Row],[Subdivision]]</f>
        <v>1</v>
      </c>
      <c r="N818">
        <v>815</v>
      </c>
    </row>
    <row r="819" spans="3:14">
      <c r="C819" t="s">
        <v>55</v>
      </c>
      <c r="D819" t="s">
        <v>1574</v>
      </c>
      <c r="E819" t="s">
        <v>189</v>
      </c>
      <c r="F819" s="36">
        <v>26</v>
      </c>
      <c r="G819" t="s">
        <v>1038</v>
      </c>
      <c r="I819" cm="1">
        <f t="array" ref="I819">_xlfn.IFNA(INDEX(QHPSelections2016[],MATCH(1,(QHPSelections2016[State Name]=HIX_RatingAreas[[#This Row],[State Code]])*(QHPSelections2016[County Name]=HIX_RatingAreas[[#This Row],[Subdivision]]),0),MATCH("Silver",QHPSelections2016[#Headers],0)),0)</f>
        <v>282</v>
      </c>
      <c r="J819" cm="1">
        <f t="array" ref="J819">_xlfn.IFNA(INDEX(QHPSelections2016[],MATCH(1,(QHPSelections2016[State Name]=HIX_RatingAreas[[#This Row],[State Code]])*(QHPSelections2016[County Name]=HIX_RatingAreas[[#This Row],[Subdivision]]),0),MATCH("Total Plan Selections",QHPSelections2016[#Headers],0)),0)</f>
        <v>417</v>
      </c>
      <c r="L819" t="str" cm="1">
        <f t="array" ref="L819">INDEX(QHPSelections2016[],MATCH(1,(QHPSelections2016[State Name]=HIX_RatingAreas[[#This Row],[State Code]])*(QHPSelections2016[County Name]=HIX_RatingAreas[[#This Row],[Subdivision]]),0),MATCH("County Name",QHPSelections2016[#Headers],0))</f>
        <v>Marion County</v>
      </c>
      <c r="M819" t="b">
        <f>L819=HIX_RatingAreas[[#This Row],[Subdivision]]</f>
        <v>1</v>
      </c>
      <c r="N819">
        <v>816</v>
      </c>
    </row>
    <row r="820" spans="3:14">
      <c r="C820" t="s">
        <v>55</v>
      </c>
      <c r="D820" t="s">
        <v>1574</v>
      </c>
      <c r="E820" t="s">
        <v>189</v>
      </c>
      <c r="F820" s="36">
        <v>26</v>
      </c>
      <c r="G820" t="s">
        <v>1044</v>
      </c>
      <c r="I820" cm="1">
        <f t="array" ref="I820">_xlfn.IFNA(INDEX(QHPSelections2016[],MATCH(1,(QHPSelections2016[State Name]=HIX_RatingAreas[[#This Row],[State Code]])*(QHPSelections2016[County Name]=HIX_RatingAreas[[#This Row],[Subdivision]]),0),MATCH("Silver",QHPSelections2016[#Headers],0)),0)</f>
        <v>106</v>
      </c>
      <c r="J820" cm="1">
        <f t="array" ref="J820">_xlfn.IFNA(INDEX(QHPSelections2016[],MATCH(1,(QHPSelections2016[State Name]=HIX_RatingAreas[[#This Row],[State Code]])*(QHPSelections2016[County Name]=HIX_RatingAreas[[#This Row],[Subdivision]]),0),MATCH("Total Plan Selections",QHPSelections2016[#Headers],0)),0)</f>
        <v>146</v>
      </c>
      <c r="L820" t="str" cm="1">
        <f t="array" ref="L820">INDEX(QHPSelections2016[],MATCH(1,(QHPSelections2016[State Name]=HIX_RatingAreas[[#This Row],[State Code]])*(QHPSelections2016[County Name]=HIX_RatingAreas[[#This Row],[Subdivision]]),0),MATCH("County Name",QHPSelections2016[#Headers],0))</f>
        <v>Martin County</v>
      </c>
      <c r="M820" t="b">
        <f>L820=HIX_RatingAreas[[#This Row],[Subdivision]]</f>
        <v>1</v>
      </c>
      <c r="N820">
        <v>817</v>
      </c>
    </row>
    <row r="821" spans="3:14">
      <c r="C821" t="s">
        <v>55</v>
      </c>
      <c r="D821" t="s">
        <v>1574</v>
      </c>
      <c r="E821" t="s">
        <v>189</v>
      </c>
      <c r="F821" s="36">
        <v>26</v>
      </c>
      <c r="G821" t="s">
        <v>1344</v>
      </c>
      <c r="I821" cm="1">
        <f t="array" ref="I821">_xlfn.IFNA(INDEX(QHPSelections2016[],MATCH(1,(QHPSelections2016[State Name]=HIX_RatingAreas[[#This Row],[State Code]])*(QHPSelections2016[County Name]=HIX_RatingAreas[[#This Row],[Subdivision]]),0),MATCH("Silver",QHPSelections2016[#Headers],0)),0)</f>
        <v>124</v>
      </c>
      <c r="J821" cm="1">
        <f t="array" ref="J821">_xlfn.IFNA(INDEX(QHPSelections2016[],MATCH(1,(QHPSelections2016[State Name]=HIX_RatingAreas[[#This Row],[State Code]])*(QHPSelections2016[County Name]=HIX_RatingAreas[[#This Row],[Subdivision]]),0),MATCH("Total Plan Selections",QHPSelections2016[#Headers],0)),0)</f>
        <v>192</v>
      </c>
      <c r="L821" t="str" cm="1">
        <f t="array" ref="L821">INDEX(QHPSelections2016[],MATCH(1,(QHPSelections2016[State Name]=HIX_RatingAreas[[#This Row],[State Code]])*(QHPSelections2016[County Name]=HIX_RatingAreas[[#This Row],[Subdivision]]),0),MATCH("County Name",QHPSelections2016[#Headers],0))</f>
        <v>Mason County</v>
      </c>
      <c r="M821" t="b">
        <f>L821=HIX_RatingAreas[[#This Row],[Subdivision]]</f>
        <v>1</v>
      </c>
      <c r="N821">
        <v>818</v>
      </c>
    </row>
    <row r="822" spans="3:14">
      <c r="C822" t="s">
        <v>55</v>
      </c>
      <c r="D822" t="s">
        <v>1574</v>
      </c>
      <c r="E822" t="s">
        <v>189</v>
      </c>
      <c r="F822" s="36">
        <v>26</v>
      </c>
      <c r="G822" t="s">
        <v>1345</v>
      </c>
      <c r="I822" cm="1">
        <f t="array" ref="I822">_xlfn.IFNA(INDEX(QHPSelections2016[],MATCH(1,(QHPSelections2016[State Name]=HIX_RatingAreas[[#This Row],[State Code]])*(QHPSelections2016[County Name]=HIX_RatingAreas[[#This Row],[Subdivision]]),0),MATCH("Silver",QHPSelections2016[#Headers],0)),0)</f>
        <v>1049</v>
      </c>
      <c r="J822" cm="1">
        <f t="array" ref="J822">_xlfn.IFNA(INDEX(QHPSelections2016[],MATCH(1,(QHPSelections2016[State Name]=HIX_RatingAreas[[#This Row],[State Code]])*(QHPSelections2016[County Name]=HIX_RatingAreas[[#This Row],[Subdivision]]),0),MATCH("Total Plan Selections",QHPSelections2016[#Headers],0)),0)</f>
        <v>1602</v>
      </c>
      <c r="L822" t="str" cm="1">
        <f t="array" ref="L822">INDEX(QHPSelections2016[],MATCH(1,(QHPSelections2016[State Name]=HIX_RatingAreas[[#This Row],[State Code]])*(QHPSelections2016[County Name]=HIX_RatingAreas[[#This Row],[Subdivision]]),0),MATCH("County Name",QHPSelections2016[#Headers],0))</f>
        <v>Matagorda County</v>
      </c>
      <c r="M822" t="b">
        <f>L822=HIX_RatingAreas[[#This Row],[Subdivision]]</f>
        <v>1</v>
      </c>
      <c r="N822">
        <v>819</v>
      </c>
    </row>
    <row r="823" spans="3:14">
      <c r="C823" t="s">
        <v>55</v>
      </c>
      <c r="D823" t="s">
        <v>1574</v>
      </c>
      <c r="E823" t="s">
        <v>189</v>
      </c>
      <c r="F823" s="36">
        <v>26</v>
      </c>
      <c r="G823" t="s">
        <v>1346</v>
      </c>
      <c r="I823" cm="1">
        <f t="array" ref="I823">_xlfn.IFNA(INDEX(QHPSelections2016[],MATCH(1,(QHPSelections2016[State Name]=HIX_RatingAreas[[#This Row],[State Code]])*(QHPSelections2016[County Name]=HIX_RatingAreas[[#This Row],[Subdivision]]),0),MATCH("Silver",QHPSelections2016[#Headers],0)),0)</f>
        <v>1933</v>
      </c>
      <c r="J823" cm="1">
        <f t="array" ref="J823">_xlfn.IFNA(INDEX(QHPSelections2016[],MATCH(1,(QHPSelections2016[State Name]=HIX_RatingAreas[[#This Row],[State Code]])*(QHPSelections2016[County Name]=HIX_RatingAreas[[#This Row],[Subdivision]]),0),MATCH("Total Plan Selections",QHPSelections2016[#Headers],0)),0)</f>
        <v>2814</v>
      </c>
      <c r="L823" t="str" cm="1">
        <f t="array" ref="L823">INDEX(QHPSelections2016[],MATCH(1,(QHPSelections2016[State Name]=HIX_RatingAreas[[#This Row],[State Code]])*(QHPSelections2016[County Name]=HIX_RatingAreas[[#This Row],[Subdivision]]),0),MATCH("County Name",QHPSelections2016[#Headers],0))</f>
        <v>Maverick County</v>
      </c>
      <c r="M823" t="b">
        <f>L823=HIX_RatingAreas[[#This Row],[Subdivision]]</f>
        <v>1</v>
      </c>
      <c r="N823">
        <v>820</v>
      </c>
    </row>
    <row r="824" spans="3:14">
      <c r="C824" t="s">
        <v>55</v>
      </c>
      <c r="D824" t="s">
        <v>1574</v>
      </c>
      <c r="E824" t="s">
        <v>189</v>
      </c>
      <c r="F824" s="36">
        <v>26</v>
      </c>
      <c r="G824" t="s">
        <v>1339</v>
      </c>
      <c r="I824" cm="1">
        <f t="array" ref="I824">_xlfn.IFNA(INDEX(QHPSelections2016[],MATCH(1,(QHPSelections2016[State Name]=HIX_RatingAreas[[#This Row],[State Code]])*(QHPSelections2016[County Name]=HIX_RatingAreas[[#This Row],[Subdivision]]),0),MATCH("Silver",QHPSelections2016[#Headers],0)),0)</f>
        <v>192</v>
      </c>
      <c r="J824" cm="1">
        <f t="array" ref="J824">_xlfn.IFNA(INDEX(QHPSelections2016[],MATCH(1,(QHPSelections2016[State Name]=HIX_RatingAreas[[#This Row],[State Code]])*(QHPSelections2016[County Name]=HIX_RatingAreas[[#This Row],[Subdivision]]),0),MATCH("Total Plan Selections",QHPSelections2016[#Headers],0)),0)</f>
        <v>270</v>
      </c>
      <c r="L824" t="str" cm="1">
        <f t="array" ref="L824">INDEX(QHPSelections2016[],MATCH(1,(QHPSelections2016[State Name]=HIX_RatingAreas[[#This Row],[State Code]])*(QHPSelections2016[County Name]=HIX_RatingAreas[[#This Row],[Subdivision]]),0),MATCH("County Name",QHPSelections2016[#Headers],0))</f>
        <v>McCulloch County</v>
      </c>
      <c r="M824" t="b">
        <f>L824=HIX_RatingAreas[[#This Row],[Subdivision]]</f>
        <v>1</v>
      </c>
      <c r="N824">
        <v>821</v>
      </c>
    </row>
    <row r="825" spans="3:14">
      <c r="C825" t="s">
        <v>55</v>
      </c>
      <c r="D825" t="s">
        <v>1574</v>
      </c>
      <c r="E825" t="s">
        <v>189</v>
      </c>
      <c r="F825" s="36">
        <v>26</v>
      </c>
      <c r="G825" t="s">
        <v>1342</v>
      </c>
      <c r="I825" cm="1">
        <f t="array" ref="I825">_xlfn.IFNA(INDEX(QHPSelections2016[],MATCH(1,(QHPSelections2016[State Name]=HIX_RatingAreas[[#This Row],[State Code]])*(QHPSelections2016[County Name]=HIX_RatingAreas[[#This Row],[Subdivision]]),0),MATCH("Silver",QHPSelections2016[#Headers],0)),0)</f>
        <v>34</v>
      </c>
      <c r="J825" cm="1">
        <f t="array" ref="J825">_xlfn.IFNA(INDEX(QHPSelections2016[],MATCH(1,(QHPSelections2016[State Name]=HIX_RatingAreas[[#This Row],[State Code]])*(QHPSelections2016[County Name]=HIX_RatingAreas[[#This Row],[Subdivision]]),0),MATCH("Total Plan Selections",QHPSelections2016[#Headers],0)),0)</f>
        <v>50</v>
      </c>
      <c r="L825" t="str" cm="1">
        <f t="array" ref="L825">INDEX(QHPSelections2016[],MATCH(1,(QHPSelections2016[State Name]=HIX_RatingAreas[[#This Row],[State Code]])*(QHPSelections2016[County Name]=HIX_RatingAreas[[#This Row],[Subdivision]]),0),MATCH("County Name",QHPSelections2016[#Headers],0))</f>
        <v>McMullen County</v>
      </c>
      <c r="M825" t="b">
        <f>L825=HIX_RatingAreas[[#This Row],[Subdivision]]</f>
        <v>1</v>
      </c>
      <c r="N825">
        <v>822</v>
      </c>
    </row>
    <row r="826" spans="3:14">
      <c r="C826" t="s">
        <v>55</v>
      </c>
      <c r="D826" t="s">
        <v>1574</v>
      </c>
      <c r="E826" t="s">
        <v>189</v>
      </c>
      <c r="F826" s="36">
        <v>26</v>
      </c>
      <c r="G826" t="s">
        <v>1348</v>
      </c>
      <c r="I826" cm="1">
        <f t="array" ref="I826">_xlfn.IFNA(INDEX(QHPSelections2016[],MATCH(1,(QHPSelections2016[State Name]=HIX_RatingAreas[[#This Row],[State Code]])*(QHPSelections2016[County Name]=HIX_RatingAreas[[#This Row],[Subdivision]]),0),MATCH("Silver",QHPSelections2016[#Headers],0)),0)</f>
        <v>55</v>
      </c>
      <c r="J826" cm="1">
        <f t="array" ref="J826">_xlfn.IFNA(INDEX(QHPSelections2016[],MATCH(1,(QHPSelections2016[State Name]=HIX_RatingAreas[[#This Row],[State Code]])*(QHPSelections2016[County Name]=HIX_RatingAreas[[#This Row],[Subdivision]]),0),MATCH("Total Plan Selections",QHPSelections2016[#Headers],0)),0)</f>
        <v>93</v>
      </c>
      <c r="L826" t="str" cm="1">
        <f t="array" ref="L826">INDEX(QHPSelections2016[],MATCH(1,(QHPSelections2016[State Name]=HIX_RatingAreas[[#This Row],[State Code]])*(QHPSelections2016[County Name]=HIX_RatingAreas[[#This Row],[Subdivision]]),0),MATCH("County Name",QHPSelections2016[#Headers],0))</f>
        <v>Menard County</v>
      </c>
      <c r="M826" t="b">
        <f>L826=HIX_RatingAreas[[#This Row],[Subdivision]]</f>
        <v>1</v>
      </c>
      <c r="N826">
        <v>823</v>
      </c>
    </row>
    <row r="827" spans="3:14">
      <c r="C827" t="s">
        <v>55</v>
      </c>
      <c r="D827" t="s">
        <v>1574</v>
      </c>
      <c r="E827" t="s">
        <v>189</v>
      </c>
      <c r="F827" s="36">
        <v>26</v>
      </c>
      <c r="G827" t="s">
        <v>1350</v>
      </c>
      <c r="I827" cm="1">
        <f t="array" ref="I827">_xlfn.IFNA(INDEX(QHPSelections2016[],MATCH(1,(QHPSelections2016[State Name]=HIX_RatingAreas[[#This Row],[State Code]])*(QHPSelections2016[County Name]=HIX_RatingAreas[[#This Row],[Subdivision]]),0),MATCH("Silver",QHPSelections2016[#Headers],0)),0)</f>
        <v>571</v>
      </c>
      <c r="J827" cm="1">
        <f t="array" ref="J827">_xlfn.IFNA(INDEX(QHPSelections2016[],MATCH(1,(QHPSelections2016[State Name]=HIX_RatingAreas[[#This Row],[State Code]])*(QHPSelections2016[County Name]=HIX_RatingAreas[[#This Row],[Subdivision]]),0),MATCH("Total Plan Selections",QHPSelections2016[#Headers],0)),0)</f>
        <v>812</v>
      </c>
      <c r="L827" t="str" cm="1">
        <f t="array" ref="L827">INDEX(QHPSelections2016[],MATCH(1,(QHPSelections2016[State Name]=HIX_RatingAreas[[#This Row],[State Code]])*(QHPSelections2016[County Name]=HIX_RatingAreas[[#This Row],[Subdivision]]),0),MATCH("County Name",QHPSelections2016[#Headers],0))</f>
        <v>Milam County</v>
      </c>
      <c r="M827" t="b">
        <f>L827=HIX_RatingAreas[[#This Row],[Subdivision]]</f>
        <v>1</v>
      </c>
      <c r="N827">
        <v>824</v>
      </c>
    </row>
    <row r="828" spans="3:14">
      <c r="C828" t="s">
        <v>55</v>
      </c>
      <c r="D828" t="s">
        <v>1574</v>
      </c>
      <c r="E828" t="s">
        <v>189</v>
      </c>
      <c r="F828" s="36">
        <v>26</v>
      </c>
      <c r="G828" t="s">
        <v>1351</v>
      </c>
      <c r="I828" cm="1">
        <f t="array" ref="I828">_xlfn.IFNA(INDEX(QHPSelections2016[],MATCH(1,(QHPSelections2016[State Name]=HIX_RatingAreas[[#This Row],[State Code]])*(QHPSelections2016[County Name]=HIX_RatingAreas[[#This Row],[Subdivision]]),0),MATCH("Silver",QHPSelections2016[#Headers],0)),0)</f>
        <v>133</v>
      </c>
      <c r="J828" cm="1">
        <f t="array" ref="J828">_xlfn.IFNA(INDEX(QHPSelections2016[],MATCH(1,(QHPSelections2016[State Name]=HIX_RatingAreas[[#This Row],[State Code]])*(QHPSelections2016[County Name]=HIX_RatingAreas[[#This Row],[Subdivision]]),0),MATCH("Total Plan Selections",QHPSelections2016[#Headers],0)),0)</f>
        <v>192</v>
      </c>
      <c r="L828" t="str" cm="1">
        <f t="array" ref="L828">INDEX(QHPSelections2016[],MATCH(1,(QHPSelections2016[State Name]=HIX_RatingAreas[[#This Row],[State Code]])*(QHPSelections2016[County Name]=HIX_RatingAreas[[#This Row],[Subdivision]]),0),MATCH("County Name",QHPSelections2016[#Headers],0))</f>
        <v>Mills County</v>
      </c>
      <c r="M828" t="b">
        <f>L828=HIX_RatingAreas[[#This Row],[Subdivision]]</f>
        <v>1</v>
      </c>
      <c r="N828">
        <v>825</v>
      </c>
    </row>
    <row r="829" spans="3:14">
      <c r="C829" t="s">
        <v>55</v>
      </c>
      <c r="D829" t="s">
        <v>1574</v>
      </c>
      <c r="E829" t="s">
        <v>189</v>
      </c>
      <c r="F829" s="36">
        <v>26</v>
      </c>
      <c r="G829" t="s">
        <v>1140</v>
      </c>
      <c r="I829" cm="1">
        <f t="array" ref="I829">_xlfn.IFNA(INDEX(QHPSelections2016[],MATCH(1,(QHPSelections2016[State Name]=HIX_RatingAreas[[#This Row],[State Code]])*(QHPSelections2016[County Name]=HIX_RatingAreas[[#This Row],[Subdivision]]),0),MATCH("Silver",QHPSelections2016[#Headers],0)),0)</f>
        <v>130</v>
      </c>
      <c r="J829" cm="1">
        <f t="array" ref="J829">_xlfn.IFNA(INDEX(QHPSelections2016[],MATCH(1,(QHPSelections2016[State Name]=HIX_RatingAreas[[#This Row],[State Code]])*(QHPSelections2016[County Name]=HIX_RatingAreas[[#This Row],[Subdivision]]),0),MATCH("Total Plan Selections",QHPSelections2016[#Headers],0)),0)</f>
        <v>213</v>
      </c>
      <c r="L829" t="str" cm="1">
        <f t="array" ref="L829">INDEX(QHPSelections2016[],MATCH(1,(QHPSelections2016[State Name]=HIX_RatingAreas[[#This Row],[State Code]])*(QHPSelections2016[County Name]=HIX_RatingAreas[[#This Row],[Subdivision]]),0),MATCH("County Name",QHPSelections2016[#Headers],0))</f>
        <v>Mitchell County</v>
      </c>
      <c r="M829" t="b">
        <f>L829=HIX_RatingAreas[[#This Row],[Subdivision]]</f>
        <v>1</v>
      </c>
      <c r="N829">
        <v>826</v>
      </c>
    </row>
    <row r="830" spans="3:14">
      <c r="C830" t="s">
        <v>55</v>
      </c>
      <c r="D830" t="s">
        <v>1574</v>
      </c>
      <c r="E830" t="s">
        <v>189</v>
      </c>
      <c r="F830" s="36">
        <v>26</v>
      </c>
      <c r="G830" t="s">
        <v>1352</v>
      </c>
      <c r="I830" cm="1">
        <f t="array" ref="I830">_xlfn.IFNA(INDEX(QHPSelections2016[],MATCH(1,(QHPSelections2016[State Name]=HIX_RatingAreas[[#This Row],[State Code]])*(QHPSelections2016[County Name]=HIX_RatingAreas[[#This Row],[Subdivision]]),0),MATCH("Silver",QHPSelections2016[#Headers],0)),0)</f>
        <v>535</v>
      </c>
      <c r="J830" cm="1">
        <f t="array" ref="J830">_xlfn.IFNA(INDEX(QHPSelections2016[],MATCH(1,(QHPSelections2016[State Name]=HIX_RatingAreas[[#This Row],[State Code]])*(QHPSelections2016[County Name]=HIX_RatingAreas[[#This Row],[Subdivision]]),0),MATCH("Total Plan Selections",QHPSelections2016[#Headers],0)),0)</f>
        <v>796</v>
      </c>
      <c r="L830" t="str" cm="1">
        <f t="array" ref="L830">INDEX(QHPSelections2016[],MATCH(1,(QHPSelections2016[State Name]=HIX_RatingAreas[[#This Row],[State Code]])*(QHPSelections2016[County Name]=HIX_RatingAreas[[#This Row],[Subdivision]]),0),MATCH("County Name",QHPSelections2016[#Headers],0))</f>
        <v>Montague County</v>
      </c>
      <c r="M830" t="b">
        <f>L830=HIX_RatingAreas[[#This Row],[Subdivision]]</f>
        <v>1</v>
      </c>
      <c r="N830">
        <v>827</v>
      </c>
    </row>
    <row r="831" spans="3:14">
      <c r="C831" t="s">
        <v>55</v>
      </c>
      <c r="D831" t="s">
        <v>1574</v>
      </c>
      <c r="E831" t="s">
        <v>189</v>
      </c>
      <c r="F831" s="36">
        <v>26</v>
      </c>
      <c r="G831" t="s">
        <v>1152</v>
      </c>
      <c r="I831" cm="1">
        <f t="array" ref="I831">_xlfn.IFNA(INDEX(QHPSelections2016[],MATCH(1,(QHPSelections2016[State Name]=HIX_RatingAreas[[#This Row],[State Code]])*(QHPSelections2016[County Name]=HIX_RatingAreas[[#This Row],[Subdivision]]),0),MATCH("Silver",QHPSelections2016[#Headers],0)),0)</f>
        <v>379</v>
      </c>
      <c r="J831" cm="1">
        <f t="array" ref="J831">_xlfn.IFNA(INDEX(QHPSelections2016[],MATCH(1,(QHPSelections2016[State Name]=HIX_RatingAreas[[#This Row],[State Code]])*(QHPSelections2016[County Name]=HIX_RatingAreas[[#This Row],[Subdivision]]),0),MATCH("Total Plan Selections",QHPSelections2016[#Headers],0)),0)</f>
        <v>541</v>
      </c>
      <c r="L831" t="str" cm="1">
        <f t="array" ref="L831">INDEX(QHPSelections2016[],MATCH(1,(QHPSelections2016[State Name]=HIX_RatingAreas[[#This Row],[State Code]])*(QHPSelections2016[County Name]=HIX_RatingAreas[[#This Row],[Subdivision]]),0),MATCH("County Name",QHPSelections2016[#Headers],0))</f>
        <v>Moore County</v>
      </c>
      <c r="M831" t="b">
        <f>L831=HIX_RatingAreas[[#This Row],[Subdivision]]</f>
        <v>1</v>
      </c>
      <c r="N831">
        <v>828</v>
      </c>
    </row>
    <row r="832" spans="3:14">
      <c r="C832" t="s">
        <v>55</v>
      </c>
      <c r="D832" t="s">
        <v>1574</v>
      </c>
      <c r="E832" t="s">
        <v>189</v>
      </c>
      <c r="F832" s="36">
        <v>26</v>
      </c>
      <c r="G832" t="s">
        <v>1353</v>
      </c>
      <c r="I832" cm="1">
        <f t="array" ref="I832">_xlfn.IFNA(INDEX(QHPSelections2016[],MATCH(1,(QHPSelections2016[State Name]=HIX_RatingAreas[[#This Row],[State Code]])*(QHPSelections2016[County Name]=HIX_RatingAreas[[#This Row],[Subdivision]]),0),MATCH("Silver",QHPSelections2016[#Headers],0)),0)</f>
        <v>295</v>
      </c>
      <c r="J832" cm="1">
        <f t="array" ref="J832">_xlfn.IFNA(INDEX(QHPSelections2016[],MATCH(1,(QHPSelections2016[State Name]=HIX_RatingAreas[[#This Row],[State Code]])*(QHPSelections2016[County Name]=HIX_RatingAreas[[#This Row],[Subdivision]]),0),MATCH("Total Plan Selections",QHPSelections2016[#Headers],0)),0)</f>
        <v>422</v>
      </c>
      <c r="L832" t="str" cm="1">
        <f t="array" ref="L832">INDEX(QHPSelections2016[],MATCH(1,(QHPSelections2016[State Name]=HIX_RatingAreas[[#This Row],[State Code]])*(QHPSelections2016[County Name]=HIX_RatingAreas[[#This Row],[Subdivision]]),0),MATCH("County Name",QHPSelections2016[#Headers],0))</f>
        <v>Morris County</v>
      </c>
      <c r="M832" t="b">
        <f>L832=HIX_RatingAreas[[#This Row],[Subdivision]]</f>
        <v>1</v>
      </c>
      <c r="N832">
        <v>829</v>
      </c>
    </row>
    <row r="833" spans="3:14">
      <c r="C833" t="s">
        <v>55</v>
      </c>
      <c r="D833" t="s">
        <v>1574</v>
      </c>
      <c r="E833" t="s">
        <v>189</v>
      </c>
      <c r="F833" s="36">
        <v>26</v>
      </c>
      <c r="G833" t="s">
        <v>1354</v>
      </c>
      <c r="I833" cm="1">
        <f t="array" ref="I833">_xlfn.IFNA(INDEX(QHPSelections2016[],MATCH(1,(QHPSelections2016[State Name]=HIX_RatingAreas[[#This Row],[State Code]])*(QHPSelections2016[County Name]=HIX_RatingAreas[[#This Row],[Subdivision]]),0),MATCH("Silver",QHPSelections2016[#Headers],0)),0)</f>
        <v>25</v>
      </c>
      <c r="J833" cm="1">
        <f t="array" ref="J833">_xlfn.IFNA(INDEX(QHPSelections2016[],MATCH(1,(QHPSelections2016[State Name]=HIX_RatingAreas[[#This Row],[State Code]])*(QHPSelections2016[County Name]=HIX_RatingAreas[[#This Row],[Subdivision]]),0),MATCH("Total Plan Selections",QHPSelections2016[#Headers],0)),0)</f>
        <v>34</v>
      </c>
      <c r="L833" t="str" cm="1">
        <f t="array" ref="L833">INDEX(QHPSelections2016[],MATCH(1,(QHPSelections2016[State Name]=HIX_RatingAreas[[#This Row],[State Code]])*(QHPSelections2016[County Name]=HIX_RatingAreas[[#This Row],[Subdivision]]),0),MATCH("County Name",QHPSelections2016[#Headers],0))</f>
        <v>Motley County</v>
      </c>
      <c r="M833" t="b">
        <f>L833=HIX_RatingAreas[[#This Row],[Subdivision]]</f>
        <v>1</v>
      </c>
      <c r="N833">
        <v>830</v>
      </c>
    </row>
    <row r="834" spans="3:14">
      <c r="C834" t="s">
        <v>55</v>
      </c>
      <c r="D834" t="s">
        <v>1574</v>
      </c>
      <c r="E834" t="s">
        <v>189</v>
      </c>
      <c r="F834" s="36">
        <v>26</v>
      </c>
      <c r="G834" t="s">
        <v>1355</v>
      </c>
      <c r="I834" cm="1">
        <f t="array" ref="I834">_xlfn.IFNA(INDEX(QHPSelections2016[],MATCH(1,(QHPSelections2016[State Name]=HIX_RatingAreas[[#This Row],[State Code]])*(QHPSelections2016[County Name]=HIX_RatingAreas[[#This Row],[Subdivision]]),0),MATCH("Silver",QHPSelections2016[#Headers],0)),0)</f>
        <v>1347</v>
      </c>
      <c r="J834" cm="1">
        <f t="array" ref="J834">_xlfn.IFNA(INDEX(QHPSelections2016[],MATCH(1,(QHPSelections2016[State Name]=HIX_RatingAreas[[#This Row],[State Code]])*(QHPSelections2016[County Name]=HIX_RatingAreas[[#This Row],[Subdivision]]),0),MATCH("Total Plan Selections",QHPSelections2016[#Headers],0)),0)</f>
        <v>2832</v>
      </c>
      <c r="L834" t="str" cm="1">
        <f t="array" ref="L834">INDEX(QHPSelections2016[],MATCH(1,(QHPSelections2016[State Name]=HIX_RatingAreas[[#This Row],[State Code]])*(QHPSelections2016[County Name]=HIX_RatingAreas[[#This Row],[Subdivision]]),0),MATCH("County Name",QHPSelections2016[#Headers],0))</f>
        <v>Nacogdoches County</v>
      </c>
      <c r="M834" t="b">
        <f>L834=HIX_RatingAreas[[#This Row],[Subdivision]]</f>
        <v>1</v>
      </c>
      <c r="N834">
        <v>831</v>
      </c>
    </row>
    <row r="835" spans="3:14">
      <c r="C835" t="s">
        <v>55</v>
      </c>
      <c r="D835" t="s">
        <v>1574</v>
      </c>
      <c r="E835" t="s">
        <v>189</v>
      </c>
      <c r="F835" s="36">
        <v>26</v>
      </c>
      <c r="G835" t="s">
        <v>1356</v>
      </c>
      <c r="I835" cm="1">
        <f t="array" ref="I835">_xlfn.IFNA(INDEX(QHPSelections2016[],MATCH(1,(QHPSelections2016[State Name]=HIX_RatingAreas[[#This Row],[State Code]])*(QHPSelections2016[County Name]=HIX_RatingAreas[[#This Row],[Subdivision]]),0),MATCH("Silver",QHPSelections2016[#Headers],0)),0)</f>
        <v>1291</v>
      </c>
      <c r="J835" cm="1">
        <f t="array" ref="J835">_xlfn.IFNA(INDEX(QHPSelections2016[],MATCH(1,(QHPSelections2016[State Name]=HIX_RatingAreas[[#This Row],[State Code]])*(QHPSelections2016[County Name]=HIX_RatingAreas[[#This Row],[Subdivision]]),0),MATCH("Total Plan Selections",QHPSelections2016[#Headers],0)),0)</f>
        <v>1867</v>
      </c>
      <c r="L835" t="str" cm="1">
        <f t="array" ref="L835">INDEX(QHPSelections2016[],MATCH(1,(QHPSelections2016[State Name]=HIX_RatingAreas[[#This Row],[State Code]])*(QHPSelections2016[County Name]=HIX_RatingAreas[[#This Row],[Subdivision]]),0),MATCH("County Name",QHPSelections2016[#Headers],0))</f>
        <v>Navarro County</v>
      </c>
      <c r="M835" t="b">
        <f>L835=HIX_RatingAreas[[#This Row],[Subdivision]]</f>
        <v>1</v>
      </c>
      <c r="N835">
        <v>832</v>
      </c>
    </row>
    <row r="836" spans="3:14">
      <c r="C836" t="s">
        <v>55</v>
      </c>
      <c r="D836" t="s">
        <v>1574</v>
      </c>
      <c r="E836" t="s">
        <v>189</v>
      </c>
      <c r="F836" s="36">
        <v>26</v>
      </c>
      <c r="G836" t="s">
        <v>1088</v>
      </c>
      <c r="I836" cm="1">
        <f t="array" ref="I836">_xlfn.IFNA(INDEX(QHPSelections2016[],MATCH(1,(QHPSelections2016[State Name]=HIX_RatingAreas[[#This Row],[State Code]])*(QHPSelections2016[County Name]=HIX_RatingAreas[[#This Row],[Subdivision]]),0),MATCH("Silver",QHPSelections2016[#Headers],0)),0)</f>
        <v>329</v>
      </c>
      <c r="J836" cm="1">
        <f t="array" ref="J836">_xlfn.IFNA(INDEX(QHPSelections2016[],MATCH(1,(QHPSelections2016[State Name]=HIX_RatingAreas[[#This Row],[State Code]])*(QHPSelections2016[County Name]=HIX_RatingAreas[[#This Row],[Subdivision]]),0),MATCH("Total Plan Selections",QHPSelections2016[#Headers],0)),0)</f>
        <v>496</v>
      </c>
      <c r="L836" t="str" cm="1">
        <f t="array" ref="L836">INDEX(QHPSelections2016[],MATCH(1,(QHPSelections2016[State Name]=HIX_RatingAreas[[#This Row],[State Code]])*(QHPSelections2016[County Name]=HIX_RatingAreas[[#This Row],[Subdivision]]),0),MATCH("County Name",QHPSelections2016[#Headers],0))</f>
        <v>Newton County</v>
      </c>
      <c r="M836" t="b">
        <f>L836=HIX_RatingAreas[[#This Row],[Subdivision]]</f>
        <v>1</v>
      </c>
      <c r="N836">
        <v>833</v>
      </c>
    </row>
    <row r="837" spans="3:14">
      <c r="C837" t="s">
        <v>55</v>
      </c>
      <c r="D837" t="s">
        <v>1574</v>
      </c>
      <c r="E837" t="s">
        <v>189</v>
      </c>
      <c r="F837" s="36">
        <v>26</v>
      </c>
      <c r="G837" s="40" t="s">
        <v>1357</v>
      </c>
      <c r="H837" t="s">
        <v>5194</v>
      </c>
      <c r="I837" cm="1">
        <f t="array" ref="I837">_xlfn.IFNA(INDEX(QHPSelections2016[],MATCH(1,(QHPSelections2016[State Name]=HIX_RatingAreas[[#This Row],[State Code]])*(QHPSelections2016[County Name]=HIX_RatingAreas[[#This Row],[Subdivision]]),0),MATCH("Silver",QHPSelections2016[#Headers],0)),0)</f>
        <v>304</v>
      </c>
      <c r="J837" cm="1">
        <f t="array" ref="J837">_xlfn.IFNA(INDEX(QHPSelections2016[],MATCH(1,(QHPSelections2016[State Name]=HIX_RatingAreas[[#This Row],[State Code]])*(QHPSelections2016[County Name]=HIX_RatingAreas[[#This Row],[Subdivision]]),0),MATCH("Total Plan Selections",QHPSelections2016[#Headers],0)),0)</f>
        <v>452</v>
      </c>
      <c r="L837" t="str" cm="1">
        <f t="array" ref="L837">INDEX(QHPSelections2016[],MATCH(1,(QHPSelections2016[State Name]=HIX_RatingAreas[[#This Row],[State Code]])*(QHPSelections2016[County Name]=HIX_RatingAreas[[#This Row],[Subdivision]]),0),MATCH("County Name",QHPSelections2016[#Headers],0))</f>
        <v>Nolan County</v>
      </c>
      <c r="M837" t="b">
        <f>L837=HIX_RatingAreas[[#This Row],[Subdivision]]</f>
        <v>1</v>
      </c>
      <c r="N837">
        <v>834</v>
      </c>
    </row>
    <row r="838" spans="3:14">
      <c r="C838" t="s">
        <v>55</v>
      </c>
      <c r="D838" t="s">
        <v>1574</v>
      </c>
      <c r="E838" t="s">
        <v>189</v>
      </c>
      <c r="F838" s="36">
        <v>26</v>
      </c>
      <c r="G838" s="40" t="s">
        <v>1357</v>
      </c>
      <c r="I838" cm="1">
        <f t="array" ref="I838">_xlfn.IFNA(INDEX(QHPSelections2016[],MATCH(1,(QHPSelections2016[State Name]=HIX_RatingAreas[[#This Row],[State Code]])*(QHPSelections2016[County Name]=HIX_RatingAreas[[#This Row],[Subdivision]]),0),MATCH("Silver",QHPSelections2016[#Headers],0)),0)</f>
        <v>304</v>
      </c>
      <c r="J838" cm="1">
        <f t="array" ref="J838">_xlfn.IFNA(INDEX(QHPSelections2016[],MATCH(1,(QHPSelections2016[State Name]=HIX_RatingAreas[[#This Row],[State Code]])*(QHPSelections2016[County Name]=HIX_RatingAreas[[#This Row],[Subdivision]]),0),MATCH("Total Plan Selections",QHPSelections2016[#Headers],0)),0)</f>
        <v>452</v>
      </c>
      <c r="L838" t="str" cm="1">
        <f t="array" ref="L838">INDEX(QHPSelections2016[],MATCH(1,(QHPSelections2016[State Name]=HIX_RatingAreas[[#This Row],[State Code]])*(QHPSelections2016[County Name]=HIX_RatingAreas[[#This Row],[Subdivision]]),0),MATCH("County Name",QHPSelections2016[#Headers],0))</f>
        <v>Nolan County</v>
      </c>
      <c r="M838" t="b">
        <f>L838=HIX_RatingAreas[[#This Row],[Subdivision]]</f>
        <v>1</v>
      </c>
      <c r="N838">
        <v>835</v>
      </c>
    </row>
    <row r="839" spans="3:14">
      <c r="C839" t="s">
        <v>55</v>
      </c>
      <c r="D839" t="s">
        <v>1574</v>
      </c>
      <c r="E839" t="s">
        <v>189</v>
      </c>
      <c r="F839" s="36">
        <v>26</v>
      </c>
      <c r="G839" s="38" t="s">
        <v>1359</v>
      </c>
      <c r="H839" t="s">
        <v>5193</v>
      </c>
      <c r="I839" cm="1">
        <f t="array" ref="I839">_xlfn.IFNA(INDEX(QHPSelections2016[],MATCH(1,(QHPSelections2016[State Name]=HIX_RatingAreas[[#This Row],[State Code]])*(QHPSelections2016[County Name]=HIX_RatingAreas[[#This Row],[Subdivision]]),0),MATCH("Silver",QHPSelections2016[#Headers],0)),0)</f>
        <v>203</v>
      </c>
      <c r="J839" cm="1">
        <f t="array" ref="J839">_xlfn.IFNA(INDEX(QHPSelections2016[],MATCH(1,(QHPSelections2016[State Name]=HIX_RatingAreas[[#This Row],[State Code]])*(QHPSelections2016[County Name]=HIX_RatingAreas[[#This Row],[Subdivision]]),0),MATCH("Total Plan Selections",QHPSelections2016[#Headers],0)),0)</f>
        <v>354</v>
      </c>
      <c r="L839" t="str" cm="1">
        <f t="array" ref="L839">INDEX(QHPSelections2016[],MATCH(1,(QHPSelections2016[State Name]=HIX_RatingAreas[[#This Row],[State Code]])*(QHPSelections2016[County Name]=HIX_RatingAreas[[#This Row],[Subdivision]]),0),MATCH("County Name",QHPSelections2016[#Headers],0))</f>
        <v>Ochiltree County</v>
      </c>
      <c r="M839" t="b">
        <f>L839=HIX_RatingAreas[[#This Row],[Subdivision]]</f>
        <v>1</v>
      </c>
      <c r="N839">
        <v>836</v>
      </c>
    </row>
    <row r="840" spans="3:14">
      <c r="C840" t="s">
        <v>55</v>
      </c>
      <c r="D840" t="s">
        <v>1574</v>
      </c>
      <c r="E840" t="s">
        <v>189</v>
      </c>
      <c r="F840" s="36">
        <v>26</v>
      </c>
      <c r="G840" t="s">
        <v>1360</v>
      </c>
      <c r="I840" cm="1">
        <f t="array" ref="I840">_xlfn.IFNA(INDEX(QHPSelections2016[],MATCH(1,(QHPSelections2016[State Name]=HIX_RatingAreas[[#This Row],[State Code]])*(QHPSelections2016[County Name]=HIX_RatingAreas[[#This Row],[Subdivision]]),0),MATCH("Silver",QHPSelections2016[#Headers],0)),0)</f>
        <v>52</v>
      </c>
      <c r="J840" cm="1">
        <f t="array" ref="J840">_xlfn.IFNA(INDEX(QHPSelections2016[],MATCH(1,(QHPSelections2016[State Name]=HIX_RatingAreas[[#This Row],[State Code]])*(QHPSelections2016[County Name]=HIX_RatingAreas[[#This Row],[Subdivision]]),0),MATCH("Total Plan Selections",QHPSelections2016[#Headers],0)),0)</f>
        <v>84</v>
      </c>
      <c r="L840" t="str" cm="1">
        <f t="array" ref="L840">INDEX(QHPSelections2016[],MATCH(1,(QHPSelections2016[State Name]=HIX_RatingAreas[[#This Row],[State Code]])*(QHPSelections2016[County Name]=HIX_RatingAreas[[#This Row],[Subdivision]]),0),MATCH("County Name",QHPSelections2016[#Headers],0))</f>
        <v>Oldham County</v>
      </c>
      <c r="M840" t="b">
        <f>L840=HIX_RatingAreas[[#This Row],[Subdivision]]</f>
        <v>1</v>
      </c>
      <c r="N840">
        <v>837</v>
      </c>
    </row>
    <row r="841" spans="3:14" ht="15.75" thickBot="1">
      <c r="C841" t="s">
        <v>55</v>
      </c>
      <c r="D841" t="s">
        <v>1574</v>
      </c>
      <c r="E841" t="s">
        <v>189</v>
      </c>
      <c r="F841" s="36">
        <v>26</v>
      </c>
      <c r="G841" t="s">
        <v>1361</v>
      </c>
      <c r="I841" cm="1">
        <f t="array" ref="I841">_xlfn.IFNA(INDEX(QHPSelections2016[],MATCH(1,(QHPSelections2016[State Name]=HIX_RatingAreas[[#This Row],[State Code]])*(QHPSelections2016[County Name]=HIX_RatingAreas[[#This Row],[Subdivision]]),0),MATCH("Silver",QHPSelections2016[#Headers],0)),0)</f>
        <v>925</v>
      </c>
      <c r="J841" cm="1">
        <f t="array" ref="J841">_xlfn.IFNA(INDEX(QHPSelections2016[],MATCH(1,(QHPSelections2016[State Name]=HIX_RatingAreas[[#This Row],[State Code]])*(QHPSelections2016[County Name]=HIX_RatingAreas[[#This Row],[Subdivision]]),0),MATCH("Total Plan Selections",QHPSelections2016[#Headers],0)),0)</f>
        <v>1313</v>
      </c>
      <c r="L841" t="str" cm="1">
        <f t="array" ref="L841">INDEX(QHPSelections2016[],MATCH(1,(QHPSelections2016[State Name]=HIX_RatingAreas[[#This Row],[State Code]])*(QHPSelections2016[County Name]=HIX_RatingAreas[[#This Row],[Subdivision]]),0),MATCH("County Name",QHPSelections2016[#Headers],0))</f>
        <v>Palo Pinto County</v>
      </c>
      <c r="M841" t="b">
        <f>L841=HIX_RatingAreas[[#This Row],[Subdivision]]</f>
        <v>1</v>
      </c>
      <c r="N841">
        <v>838</v>
      </c>
    </row>
    <row r="842" spans="3:14" ht="15.75" thickBot="1">
      <c r="C842" s="41" t="s">
        <v>55</v>
      </c>
      <c r="D842" t="s">
        <v>1574</v>
      </c>
      <c r="E842" s="42" t="s">
        <v>189</v>
      </c>
      <c r="F842" s="36">
        <v>26</v>
      </c>
      <c r="G842" s="42" t="s">
        <v>1105</v>
      </c>
      <c r="I842" cm="1">
        <f t="array" ref="I842">_xlfn.IFNA(INDEX(QHPSelections2016[],MATCH(1,(QHPSelections2016[State Name]=HIX_RatingAreas[[#This Row],[State Code]])*(QHPSelections2016[County Name]=HIX_RatingAreas[[#This Row],[Subdivision]]),0),MATCH("Silver",QHPSelections2016[#Headers],0)),0)</f>
        <v>583</v>
      </c>
      <c r="J842" cm="1">
        <f t="array" ref="J842">_xlfn.IFNA(INDEX(QHPSelections2016[],MATCH(1,(QHPSelections2016[State Name]=HIX_RatingAreas[[#This Row],[State Code]])*(QHPSelections2016[County Name]=HIX_RatingAreas[[#This Row],[Subdivision]]),0),MATCH("Total Plan Selections",QHPSelections2016[#Headers],0)),0)</f>
        <v>847</v>
      </c>
      <c r="L842" t="str" cm="1">
        <f t="array" ref="L842">INDEX(QHPSelections2016[],MATCH(1,(QHPSelections2016[State Name]=HIX_RatingAreas[[#This Row],[State Code]])*(QHPSelections2016[County Name]=HIX_RatingAreas[[#This Row],[Subdivision]]),0),MATCH("County Name",QHPSelections2016[#Headers],0))</f>
        <v>Panola County</v>
      </c>
      <c r="M842" t="b">
        <f>L842=HIX_RatingAreas[[#This Row],[Subdivision]]</f>
        <v>1</v>
      </c>
      <c r="N842">
        <v>839</v>
      </c>
    </row>
    <row r="843" spans="3:14">
      <c r="C843" t="s">
        <v>55</v>
      </c>
      <c r="D843" t="s">
        <v>1574</v>
      </c>
      <c r="E843" t="s">
        <v>189</v>
      </c>
      <c r="F843" s="36">
        <v>26</v>
      </c>
      <c r="G843" s="43" t="s">
        <v>1363</v>
      </c>
      <c r="I843" cm="1">
        <f t="array" ref="I843">_xlfn.IFNA(INDEX(QHPSelections2016[],MATCH(1,(QHPSelections2016[State Name]=HIX_RatingAreas[[#This Row],[State Code]])*(QHPSelections2016[County Name]=HIX_RatingAreas[[#This Row],[Subdivision]]),0),MATCH("Silver",QHPSelections2016[#Headers],0)),0)</f>
        <v>208</v>
      </c>
      <c r="J843" cm="1">
        <f t="array" ref="J843">_xlfn.IFNA(INDEX(QHPSelections2016[],MATCH(1,(QHPSelections2016[State Name]=HIX_RatingAreas[[#This Row],[State Code]])*(QHPSelections2016[County Name]=HIX_RatingAreas[[#This Row],[Subdivision]]),0),MATCH("Total Plan Selections",QHPSelections2016[#Headers],0)),0)</f>
        <v>274</v>
      </c>
      <c r="L843" t="str" cm="1">
        <f t="array" ref="L843">INDEX(QHPSelections2016[],MATCH(1,(QHPSelections2016[State Name]=HIX_RatingAreas[[#This Row],[State Code]])*(QHPSelections2016[County Name]=HIX_RatingAreas[[#This Row],[Subdivision]]),0),MATCH("County Name",QHPSelections2016[#Headers],0))</f>
        <v>Parmer County</v>
      </c>
      <c r="M843" t="b">
        <f>L843=HIX_RatingAreas[[#This Row],[Subdivision]]</f>
        <v>1</v>
      </c>
      <c r="N843">
        <v>840</v>
      </c>
    </row>
    <row r="844" spans="3:14">
      <c r="C844" t="s">
        <v>55</v>
      </c>
      <c r="D844" t="s">
        <v>1574</v>
      </c>
      <c r="E844" t="s">
        <v>189</v>
      </c>
      <c r="F844" s="36">
        <v>26</v>
      </c>
      <c r="G844" t="s">
        <v>1364</v>
      </c>
      <c r="I844" cm="1">
        <f t="array" ref="I844">_xlfn.IFNA(INDEX(QHPSelections2016[],MATCH(1,(QHPSelections2016[State Name]=HIX_RatingAreas[[#This Row],[State Code]])*(QHPSelections2016[County Name]=HIX_RatingAreas[[#This Row],[Subdivision]]),0),MATCH("Silver",QHPSelections2016[#Headers],0)),0)</f>
        <v>333</v>
      </c>
      <c r="J844" cm="1">
        <f t="array" ref="J844">_xlfn.IFNA(INDEX(QHPSelections2016[],MATCH(1,(QHPSelections2016[State Name]=HIX_RatingAreas[[#This Row],[State Code]])*(QHPSelections2016[County Name]=HIX_RatingAreas[[#This Row],[Subdivision]]),0),MATCH("Total Plan Selections",QHPSelections2016[#Headers],0)),0)</f>
        <v>505</v>
      </c>
      <c r="L844" t="str" cm="1">
        <f t="array" ref="L844">INDEX(QHPSelections2016[],MATCH(1,(QHPSelections2016[State Name]=HIX_RatingAreas[[#This Row],[State Code]])*(QHPSelections2016[County Name]=HIX_RatingAreas[[#This Row],[Subdivision]]),0),MATCH("County Name",QHPSelections2016[#Headers],0))</f>
        <v>Pecos County</v>
      </c>
      <c r="M844" t="b">
        <f>L844=HIX_RatingAreas[[#This Row],[Subdivision]]</f>
        <v>1</v>
      </c>
      <c r="N844">
        <v>841</v>
      </c>
    </row>
    <row r="845" spans="3:14">
      <c r="C845" t="s">
        <v>55</v>
      </c>
      <c r="D845" t="s">
        <v>1574</v>
      </c>
      <c r="E845" t="s">
        <v>189</v>
      </c>
      <c r="F845" s="36">
        <v>26</v>
      </c>
      <c r="G845" t="s">
        <v>1098</v>
      </c>
      <c r="I845" cm="1">
        <f t="array" ref="I845">_xlfn.IFNA(INDEX(QHPSelections2016[],MATCH(1,(QHPSelections2016[State Name]=HIX_RatingAreas[[#This Row],[State Code]])*(QHPSelections2016[County Name]=HIX_RatingAreas[[#This Row],[Subdivision]]),0),MATCH("Silver",QHPSelections2016[#Headers],0)),0)</f>
        <v>1411</v>
      </c>
      <c r="J845" cm="1">
        <f t="array" ref="J845">_xlfn.IFNA(INDEX(QHPSelections2016[],MATCH(1,(QHPSelections2016[State Name]=HIX_RatingAreas[[#This Row],[State Code]])*(QHPSelections2016[County Name]=HIX_RatingAreas[[#This Row],[Subdivision]]),0),MATCH("Total Plan Selections",QHPSelections2016[#Headers],0)),0)</f>
        <v>2127</v>
      </c>
      <c r="L845" t="str" cm="1">
        <f t="array" ref="L845">INDEX(QHPSelections2016[],MATCH(1,(QHPSelections2016[State Name]=HIX_RatingAreas[[#This Row],[State Code]])*(QHPSelections2016[County Name]=HIX_RatingAreas[[#This Row],[Subdivision]]),0),MATCH("County Name",QHPSelections2016[#Headers],0))</f>
        <v>Polk County</v>
      </c>
      <c r="M845" t="b">
        <f>L845=HIX_RatingAreas[[#This Row],[Subdivision]]</f>
        <v>1</v>
      </c>
      <c r="N845">
        <v>842</v>
      </c>
    </row>
    <row r="846" spans="3:14">
      <c r="C846" t="s">
        <v>55</v>
      </c>
      <c r="D846" t="s">
        <v>1574</v>
      </c>
      <c r="E846" t="s">
        <v>189</v>
      </c>
      <c r="F846" s="36">
        <v>26</v>
      </c>
      <c r="G846" t="s">
        <v>1366</v>
      </c>
      <c r="I846" cm="1">
        <f t="array" ref="I846">_xlfn.IFNA(INDEX(QHPSelections2016[],MATCH(1,(QHPSelections2016[State Name]=HIX_RatingAreas[[#This Row],[State Code]])*(QHPSelections2016[County Name]=HIX_RatingAreas[[#This Row],[Subdivision]]),0),MATCH("Silver",QHPSelections2016[#Headers],0)),0)</f>
        <v>173</v>
      </c>
      <c r="J846" cm="1">
        <f t="array" ref="J846">_xlfn.IFNA(INDEX(QHPSelections2016[],MATCH(1,(QHPSelections2016[State Name]=HIX_RatingAreas[[#This Row],[State Code]])*(QHPSelections2016[County Name]=HIX_RatingAreas[[#This Row],[Subdivision]]),0),MATCH("Total Plan Selections",QHPSelections2016[#Headers],0)),0)</f>
        <v>269</v>
      </c>
      <c r="L846" t="str" cm="1">
        <f t="array" ref="L846">INDEX(QHPSelections2016[],MATCH(1,(QHPSelections2016[State Name]=HIX_RatingAreas[[#This Row],[State Code]])*(QHPSelections2016[County Name]=HIX_RatingAreas[[#This Row],[Subdivision]]),0),MATCH("County Name",QHPSelections2016[#Headers],0))</f>
        <v>Presidio County</v>
      </c>
      <c r="M846" t="b">
        <f>L846=HIX_RatingAreas[[#This Row],[Subdivision]]</f>
        <v>1</v>
      </c>
      <c r="N846">
        <v>843</v>
      </c>
    </row>
    <row r="847" spans="3:14">
      <c r="C847" t="s">
        <v>55</v>
      </c>
      <c r="D847" t="s">
        <v>1574</v>
      </c>
      <c r="E847" t="s">
        <v>189</v>
      </c>
      <c r="F847" s="36">
        <v>26</v>
      </c>
      <c r="G847" t="s">
        <v>1367</v>
      </c>
      <c r="I847" cm="1">
        <f t="array" ref="I847">_xlfn.IFNA(INDEX(QHPSelections2016[],MATCH(1,(QHPSelections2016[State Name]=HIX_RatingAreas[[#This Row],[State Code]])*(QHPSelections2016[County Name]=HIX_RatingAreas[[#This Row],[Subdivision]]),0),MATCH("Silver",QHPSelections2016[#Headers],0)),0)</f>
        <v>307</v>
      </c>
      <c r="J847" cm="1">
        <f t="array" ref="J847">_xlfn.IFNA(INDEX(QHPSelections2016[],MATCH(1,(QHPSelections2016[State Name]=HIX_RatingAreas[[#This Row],[State Code]])*(QHPSelections2016[County Name]=HIX_RatingAreas[[#This Row],[Subdivision]]),0),MATCH("Total Plan Selections",QHPSelections2016[#Headers],0)),0)</f>
        <v>460</v>
      </c>
      <c r="L847" t="str" cm="1">
        <f t="array" ref="L847">INDEX(QHPSelections2016[],MATCH(1,(QHPSelections2016[State Name]=HIX_RatingAreas[[#This Row],[State Code]])*(QHPSelections2016[County Name]=HIX_RatingAreas[[#This Row],[Subdivision]]),0),MATCH("County Name",QHPSelections2016[#Headers],0))</f>
        <v>Rains County</v>
      </c>
      <c r="M847" t="b">
        <f>L847=HIX_RatingAreas[[#This Row],[Subdivision]]</f>
        <v>1</v>
      </c>
      <c r="N847">
        <v>844</v>
      </c>
    </row>
    <row r="848" spans="3:14">
      <c r="C848" t="s">
        <v>55</v>
      </c>
      <c r="D848" t="s">
        <v>1574</v>
      </c>
      <c r="E848" t="s">
        <v>189</v>
      </c>
      <c r="F848" s="36">
        <v>26</v>
      </c>
      <c r="G848" t="s">
        <v>1369</v>
      </c>
      <c r="I848" cm="1">
        <f t="array" ref="I848">_xlfn.IFNA(INDEX(QHPSelections2016[],MATCH(1,(QHPSelections2016[State Name]=HIX_RatingAreas[[#This Row],[State Code]])*(QHPSelections2016[County Name]=HIX_RatingAreas[[#This Row],[Subdivision]]),0),MATCH("Silver",QHPSelections2016[#Headers],0)),0)</f>
        <v>74</v>
      </c>
      <c r="J848" cm="1">
        <f t="array" ref="J848">_xlfn.IFNA(INDEX(QHPSelections2016[],MATCH(1,(QHPSelections2016[State Name]=HIX_RatingAreas[[#This Row],[State Code]])*(QHPSelections2016[County Name]=HIX_RatingAreas[[#This Row],[Subdivision]]),0),MATCH("Total Plan Selections",QHPSelections2016[#Headers],0)),0)</f>
        <v>112</v>
      </c>
      <c r="L848" t="str" cm="1">
        <f t="array" ref="L848">INDEX(QHPSelections2016[],MATCH(1,(QHPSelections2016[State Name]=HIX_RatingAreas[[#This Row],[State Code]])*(QHPSelections2016[County Name]=HIX_RatingAreas[[#This Row],[Subdivision]]),0),MATCH("County Name",QHPSelections2016[#Headers],0))</f>
        <v>Reagan County</v>
      </c>
      <c r="M848" t="b">
        <f>L848=HIX_RatingAreas[[#This Row],[Subdivision]]</f>
        <v>1</v>
      </c>
      <c r="N848">
        <v>845</v>
      </c>
    </row>
    <row r="849" spans="3:14">
      <c r="C849" t="s">
        <v>55</v>
      </c>
      <c r="D849" t="s">
        <v>1574</v>
      </c>
      <c r="E849" t="s">
        <v>189</v>
      </c>
      <c r="F849" s="36">
        <v>26</v>
      </c>
      <c r="G849" t="s">
        <v>1370</v>
      </c>
      <c r="I849" cm="1">
        <f t="array" ref="I849">_xlfn.IFNA(INDEX(QHPSelections2016[],MATCH(1,(QHPSelections2016[State Name]=HIX_RatingAreas[[#This Row],[State Code]])*(QHPSelections2016[County Name]=HIX_RatingAreas[[#This Row],[Subdivision]]),0),MATCH("Silver",QHPSelections2016[#Headers],0)),0)</f>
        <v>117</v>
      </c>
      <c r="J849" cm="1">
        <f t="array" ref="J849">_xlfn.IFNA(INDEX(QHPSelections2016[],MATCH(1,(QHPSelections2016[State Name]=HIX_RatingAreas[[#This Row],[State Code]])*(QHPSelections2016[County Name]=HIX_RatingAreas[[#This Row],[Subdivision]]),0),MATCH("Total Plan Selections",QHPSelections2016[#Headers],0)),0)</f>
        <v>191</v>
      </c>
      <c r="L849" t="str" cm="1">
        <f t="array" ref="L849">INDEX(QHPSelections2016[],MATCH(1,(QHPSelections2016[State Name]=HIX_RatingAreas[[#This Row],[State Code]])*(QHPSelections2016[County Name]=HIX_RatingAreas[[#This Row],[Subdivision]]),0),MATCH("County Name",QHPSelections2016[#Headers],0))</f>
        <v>Real County</v>
      </c>
      <c r="M849" t="b">
        <f>L849=HIX_RatingAreas[[#This Row],[Subdivision]]</f>
        <v>1</v>
      </c>
      <c r="N849">
        <v>846</v>
      </c>
    </row>
    <row r="850" spans="3:14">
      <c r="C850" t="s">
        <v>55</v>
      </c>
      <c r="D850" t="s">
        <v>1574</v>
      </c>
      <c r="E850" t="s">
        <v>189</v>
      </c>
      <c r="F850" s="36">
        <v>26</v>
      </c>
      <c r="G850" t="s">
        <v>1371</v>
      </c>
      <c r="I850" cm="1">
        <f t="array" ref="I850">_xlfn.IFNA(INDEX(QHPSelections2016[],MATCH(1,(QHPSelections2016[State Name]=HIX_RatingAreas[[#This Row],[State Code]])*(QHPSelections2016[County Name]=HIX_RatingAreas[[#This Row],[Subdivision]]),0),MATCH("Silver",QHPSelections2016[#Headers],0)),0)</f>
        <v>332</v>
      </c>
      <c r="J850" cm="1">
        <f t="array" ref="J850">_xlfn.IFNA(INDEX(QHPSelections2016[],MATCH(1,(QHPSelections2016[State Name]=HIX_RatingAreas[[#This Row],[State Code]])*(QHPSelections2016[County Name]=HIX_RatingAreas[[#This Row],[Subdivision]]),0),MATCH("Total Plan Selections",QHPSelections2016[#Headers],0)),0)</f>
        <v>505</v>
      </c>
      <c r="L850" t="str" cm="1">
        <f t="array" ref="L850">INDEX(QHPSelections2016[],MATCH(1,(QHPSelections2016[State Name]=HIX_RatingAreas[[#This Row],[State Code]])*(QHPSelections2016[County Name]=HIX_RatingAreas[[#This Row],[Subdivision]]),0),MATCH("County Name",QHPSelections2016[#Headers],0))</f>
        <v>Red River County</v>
      </c>
      <c r="M850" t="b">
        <f>L850=HIX_RatingAreas[[#This Row],[Subdivision]]</f>
        <v>1</v>
      </c>
      <c r="N850">
        <v>847</v>
      </c>
    </row>
    <row r="851" spans="3:14">
      <c r="C851" t="s">
        <v>55</v>
      </c>
      <c r="D851" t="s">
        <v>1574</v>
      </c>
      <c r="E851" t="s">
        <v>189</v>
      </c>
      <c r="F851" s="36">
        <v>26</v>
      </c>
      <c r="G851" t="s">
        <v>1372</v>
      </c>
      <c r="I851" cm="1">
        <f t="array" ref="I851">_xlfn.IFNA(INDEX(QHPSelections2016[],MATCH(1,(QHPSelections2016[State Name]=HIX_RatingAreas[[#This Row],[State Code]])*(QHPSelections2016[County Name]=HIX_RatingAreas[[#This Row],[Subdivision]]),0),MATCH("Silver",QHPSelections2016[#Headers],0)),0)</f>
        <v>228</v>
      </c>
      <c r="J851" cm="1">
        <f t="array" ref="J851">_xlfn.IFNA(INDEX(QHPSelections2016[],MATCH(1,(QHPSelections2016[State Name]=HIX_RatingAreas[[#This Row],[State Code]])*(QHPSelections2016[County Name]=HIX_RatingAreas[[#This Row],[Subdivision]]),0),MATCH("Total Plan Selections",QHPSelections2016[#Headers],0)),0)</f>
        <v>317</v>
      </c>
      <c r="L851" t="str" cm="1">
        <f t="array" ref="L851">INDEX(QHPSelections2016[],MATCH(1,(QHPSelections2016[State Name]=HIX_RatingAreas[[#This Row],[State Code]])*(QHPSelections2016[County Name]=HIX_RatingAreas[[#This Row],[Subdivision]]),0),MATCH("County Name",QHPSelections2016[#Headers],0))</f>
        <v>Reeves County</v>
      </c>
      <c r="M851" t="b">
        <f>L851=HIX_RatingAreas[[#This Row],[Subdivision]]</f>
        <v>1</v>
      </c>
      <c r="N851">
        <v>848</v>
      </c>
    </row>
    <row r="852" spans="3:14">
      <c r="C852" t="s">
        <v>55</v>
      </c>
      <c r="D852" t="s">
        <v>1574</v>
      </c>
      <c r="E852" t="s">
        <v>189</v>
      </c>
      <c r="F852" s="36">
        <v>26</v>
      </c>
      <c r="G852" t="s">
        <v>1373</v>
      </c>
      <c r="I852" cm="1">
        <f t="array" ref="I852">_xlfn.IFNA(INDEX(QHPSelections2016[],MATCH(1,(QHPSelections2016[State Name]=HIX_RatingAreas[[#This Row],[State Code]])*(QHPSelections2016[County Name]=HIX_RatingAreas[[#This Row],[Subdivision]]),0),MATCH("Silver",QHPSelections2016[#Headers],0)),0)</f>
        <v>178</v>
      </c>
      <c r="J852" cm="1">
        <f t="array" ref="J852">_xlfn.IFNA(INDEX(QHPSelections2016[],MATCH(1,(QHPSelections2016[State Name]=HIX_RatingAreas[[#This Row],[State Code]])*(QHPSelections2016[County Name]=HIX_RatingAreas[[#This Row],[Subdivision]]),0),MATCH("Total Plan Selections",QHPSelections2016[#Headers],0)),0)</f>
        <v>280</v>
      </c>
      <c r="L852" t="str" cm="1">
        <f t="array" ref="L852">INDEX(QHPSelections2016[],MATCH(1,(QHPSelections2016[State Name]=HIX_RatingAreas[[#This Row],[State Code]])*(QHPSelections2016[County Name]=HIX_RatingAreas[[#This Row],[Subdivision]]),0),MATCH("County Name",QHPSelections2016[#Headers],0))</f>
        <v>Refugio County</v>
      </c>
      <c r="M852" t="b">
        <f>L852=HIX_RatingAreas[[#This Row],[Subdivision]]</f>
        <v>1</v>
      </c>
      <c r="N852">
        <v>849</v>
      </c>
    </row>
    <row r="853" spans="3:14">
      <c r="C853" t="s">
        <v>55</v>
      </c>
      <c r="D853" t="s">
        <v>1574</v>
      </c>
      <c r="E853" t="s">
        <v>189</v>
      </c>
      <c r="F853" s="36">
        <v>26</v>
      </c>
      <c r="G853" t="s">
        <v>1374</v>
      </c>
      <c r="I853" t="str" cm="1">
        <f t="array" ref="I853">_xlfn.IFNA(INDEX(QHPSelections2016[],MATCH(1,(QHPSelections2016[State Name]=HIX_RatingAreas[[#This Row],[State Code]])*(QHPSelections2016[County Name]=HIX_RatingAreas[[#This Row],[Subdivision]]),0),MATCH("Silver",QHPSelections2016[#Headers],0)),0)</f>
        <v>.</v>
      </c>
      <c r="J853" t="str" cm="1">
        <f t="array" ref="J853">_xlfn.IFNA(INDEX(QHPSelections2016[],MATCH(1,(QHPSelections2016[State Name]=HIX_RatingAreas[[#This Row],[State Code]])*(QHPSelections2016[County Name]=HIX_RatingAreas[[#This Row],[Subdivision]]),0),MATCH("Total Plan Selections",QHPSelections2016[#Headers],0)),0)</f>
        <v>.</v>
      </c>
      <c r="L853" t="str" cm="1">
        <f t="array" ref="L853">INDEX(QHPSelections2016[],MATCH(1,(QHPSelections2016[State Name]=HIX_RatingAreas[[#This Row],[State Code]])*(QHPSelections2016[County Name]=HIX_RatingAreas[[#This Row],[Subdivision]]),0),MATCH("County Name",QHPSelections2016[#Headers],0))</f>
        <v>Roberts County</v>
      </c>
      <c r="M853" t="b">
        <f>L853=HIX_RatingAreas[[#This Row],[Subdivision]]</f>
        <v>1</v>
      </c>
      <c r="N853">
        <v>850</v>
      </c>
    </row>
    <row r="854" spans="3:14">
      <c r="C854" t="s">
        <v>55</v>
      </c>
      <c r="D854" t="s">
        <v>1574</v>
      </c>
      <c r="E854" t="s">
        <v>189</v>
      </c>
      <c r="F854" s="36">
        <v>26</v>
      </c>
      <c r="G854" t="s">
        <v>1376</v>
      </c>
      <c r="I854" cm="1">
        <f t="array" ref="I854">_xlfn.IFNA(INDEX(QHPSelections2016[],MATCH(1,(QHPSelections2016[State Name]=HIX_RatingAreas[[#This Row],[State Code]])*(QHPSelections2016[County Name]=HIX_RatingAreas[[#This Row],[Subdivision]]),0),MATCH("Silver",QHPSelections2016[#Headers],0)),0)</f>
        <v>290</v>
      </c>
      <c r="J854" cm="1">
        <f t="array" ref="J854">_xlfn.IFNA(INDEX(QHPSelections2016[],MATCH(1,(QHPSelections2016[State Name]=HIX_RatingAreas[[#This Row],[State Code]])*(QHPSelections2016[County Name]=HIX_RatingAreas[[#This Row],[Subdivision]]),0),MATCH("Total Plan Selections",QHPSelections2016[#Headers],0)),0)</f>
        <v>430</v>
      </c>
      <c r="L854" t="str" cm="1">
        <f t="array" ref="L854">INDEX(QHPSelections2016[],MATCH(1,(QHPSelections2016[State Name]=HIX_RatingAreas[[#This Row],[State Code]])*(QHPSelections2016[County Name]=HIX_RatingAreas[[#This Row],[Subdivision]]),0),MATCH("County Name",QHPSelections2016[#Headers],0))</f>
        <v>Runnels County</v>
      </c>
      <c r="M854" t="b">
        <f>L854=HIX_RatingAreas[[#This Row],[Subdivision]]</f>
        <v>1</v>
      </c>
      <c r="N854">
        <v>851</v>
      </c>
    </row>
    <row r="855" spans="3:14">
      <c r="C855" t="s">
        <v>55</v>
      </c>
      <c r="D855" t="s">
        <v>1574</v>
      </c>
      <c r="E855" t="s">
        <v>189</v>
      </c>
      <c r="F855" s="36">
        <v>26</v>
      </c>
      <c r="G855" t="s">
        <v>1378</v>
      </c>
      <c r="I855" cm="1">
        <f t="array" ref="I855">_xlfn.IFNA(INDEX(QHPSelections2016[],MATCH(1,(QHPSelections2016[State Name]=HIX_RatingAreas[[#This Row],[State Code]])*(QHPSelections2016[County Name]=HIX_RatingAreas[[#This Row],[Subdivision]]),0),MATCH("Silver",QHPSelections2016[#Headers],0)),0)</f>
        <v>255</v>
      </c>
      <c r="J855" cm="1">
        <f t="array" ref="J855">_xlfn.IFNA(INDEX(QHPSelections2016[],MATCH(1,(QHPSelections2016[State Name]=HIX_RatingAreas[[#This Row],[State Code]])*(QHPSelections2016[County Name]=HIX_RatingAreas[[#This Row],[Subdivision]]),0),MATCH("Total Plan Selections",QHPSelections2016[#Headers],0)),0)</f>
        <v>379</v>
      </c>
      <c r="L855" t="str" cm="1">
        <f t="array" ref="L855">INDEX(QHPSelections2016[],MATCH(1,(QHPSelections2016[State Name]=HIX_RatingAreas[[#This Row],[State Code]])*(QHPSelections2016[County Name]=HIX_RatingAreas[[#This Row],[Subdivision]]),0),MATCH("County Name",QHPSelections2016[#Headers],0))</f>
        <v>Sabine County</v>
      </c>
      <c r="M855" t="b">
        <f>L855=HIX_RatingAreas[[#This Row],[Subdivision]]</f>
        <v>1</v>
      </c>
      <c r="N855">
        <v>852</v>
      </c>
    </row>
    <row r="856" spans="3:14">
      <c r="C856" t="s">
        <v>55</v>
      </c>
      <c r="D856" t="s">
        <v>1574</v>
      </c>
      <c r="E856" t="s">
        <v>189</v>
      </c>
      <c r="F856" s="36">
        <v>26</v>
      </c>
      <c r="G856" t="s">
        <v>1379</v>
      </c>
      <c r="I856" cm="1">
        <f t="array" ref="I856">_xlfn.IFNA(INDEX(QHPSelections2016[],MATCH(1,(QHPSelections2016[State Name]=HIX_RatingAreas[[#This Row],[State Code]])*(QHPSelections2016[County Name]=HIX_RatingAreas[[#This Row],[Subdivision]]),0),MATCH("Silver",QHPSelections2016[#Headers],0)),0)</f>
        <v>218</v>
      </c>
      <c r="J856" cm="1">
        <f t="array" ref="J856">_xlfn.IFNA(INDEX(QHPSelections2016[],MATCH(1,(QHPSelections2016[State Name]=HIX_RatingAreas[[#This Row],[State Code]])*(QHPSelections2016[County Name]=HIX_RatingAreas[[#This Row],[Subdivision]]),0),MATCH("Total Plan Selections",QHPSelections2016[#Headers],0)),0)</f>
        <v>356</v>
      </c>
      <c r="L856" t="str" cm="1">
        <f t="array" ref="L856">INDEX(QHPSelections2016[],MATCH(1,(QHPSelections2016[State Name]=HIX_RatingAreas[[#This Row],[State Code]])*(QHPSelections2016[County Name]=HIX_RatingAreas[[#This Row],[Subdivision]]),0),MATCH("County Name",QHPSelections2016[#Headers],0))</f>
        <v>San Augustine County</v>
      </c>
      <c r="M856" t="b">
        <f>L856=HIX_RatingAreas[[#This Row],[Subdivision]]</f>
        <v>1</v>
      </c>
      <c r="N856">
        <v>853</v>
      </c>
    </row>
    <row r="857" spans="3:14">
      <c r="C857" t="s">
        <v>55</v>
      </c>
      <c r="D857" t="s">
        <v>1574</v>
      </c>
      <c r="E857" t="s">
        <v>189</v>
      </c>
      <c r="F857" s="36">
        <v>26</v>
      </c>
      <c r="G857" t="s">
        <v>1382</v>
      </c>
      <c r="I857" cm="1">
        <f t="array" ref="I857">_xlfn.IFNA(INDEX(QHPSelections2016[],MATCH(1,(QHPSelections2016[State Name]=HIX_RatingAreas[[#This Row],[State Code]])*(QHPSelections2016[County Name]=HIX_RatingAreas[[#This Row],[Subdivision]]),0),MATCH("Silver",QHPSelections2016[#Headers],0)),0)</f>
        <v>183</v>
      </c>
      <c r="J857" cm="1">
        <f t="array" ref="J857">_xlfn.IFNA(INDEX(QHPSelections2016[],MATCH(1,(QHPSelections2016[State Name]=HIX_RatingAreas[[#This Row],[State Code]])*(QHPSelections2016[County Name]=HIX_RatingAreas[[#This Row],[Subdivision]]),0),MATCH("Total Plan Selections",QHPSelections2016[#Headers],0)),0)</f>
        <v>243</v>
      </c>
      <c r="L857" t="str" cm="1">
        <f t="array" ref="L857">INDEX(QHPSelections2016[],MATCH(1,(QHPSelections2016[State Name]=HIX_RatingAreas[[#This Row],[State Code]])*(QHPSelections2016[County Name]=HIX_RatingAreas[[#This Row],[Subdivision]]),0),MATCH("County Name",QHPSelections2016[#Headers],0))</f>
        <v>San Saba County</v>
      </c>
      <c r="M857" t="b">
        <f>L857=HIX_RatingAreas[[#This Row],[Subdivision]]</f>
        <v>1</v>
      </c>
      <c r="N857">
        <v>854</v>
      </c>
    </row>
    <row r="858" spans="3:14">
      <c r="C858" t="s">
        <v>55</v>
      </c>
      <c r="D858" t="s">
        <v>1574</v>
      </c>
      <c r="E858" t="s">
        <v>189</v>
      </c>
      <c r="F858" s="36">
        <v>26</v>
      </c>
      <c r="G858" t="s">
        <v>1383</v>
      </c>
      <c r="I858" cm="1">
        <f t="array" ref="I858">_xlfn.IFNA(INDEX(QHPSelections2016[],MATCH(1,(QHPSelections2016[State Name]=HIX_RatingAreas[[#This Row],[State Code]])*(QHPSelections2016[County Name]=HIX_RatingAreas[[#This Row],[Subdivision]]),0),MATCH("Silver",QHPSelections2016[#Headers],0)),0)</f>
        <v>58</v>
      </c>
      <c r="J858" cm="1">
        <f t="array" ref="J858">_xlfn.IFNA(INDEX(QHPSelections2016[],MATCH(1,(QHPSelections2016[State Name]=HIX_RatingAreas[[#This Row],[State Code]])*(QHPSelections2016[County Name]=HIX_RatingAreas[[#This Row],[Subdivision]]),0),MATCH("Total Plan Selections",QHPSelections2016[#Headers],0)),0)</f>
        <v>86</v>
      </c>
      <c r="L858" t="str" cm="1">
        <f t="array" ref="L858">INDEX(QHPSelections2016[],MATCH(1,(QHPSelections2016[State Name]=HIX_RatingAreas[[#This Row],[State Code]])*(QHPSelections2016[County Name]=HIX_RatingAreas[[#This Row],[Subdivision]]),0),MATCH("County Name",QHPSelections2016[#Headers],0))</f>
        <v>Schleicher County</v>
      </c>
      <c r="M858" t="b">
        <f>L858=HIX_RatingAreas[[#This Row],[Subdivision]]</f>
        <v>1</v>
      </c>
      <c r="N858">
        <v>855</v>
      </c>
    </row>
    <row r="859" spans="3:14">
      <c r="C859" t="s">
        <v>55</v>
      </c>
      <c r="D859" t="s">
        <v>1574</v>
      </c>
      <c r="E859" t="s">
        <v>189</v>
      </c>
      <c r="F859" s="36">
        <v>26</v>
      </c>
      <c r="G859" t="s">
        <v>1384</v>
      </c>
      <c r="I859" cm="1">
        <f t="array" ref="I859">_xlfn.IFNA(INDEX(QHPSelections2016[],MATCH(1,(QHPSelections2016[State Name]=HIX_RatingAreas[[#This Row],[State Code]])*(QHPSelections2016[County Name]=HIX_RatingAreas[[#This Row],[Subdivision]]),0),MATCH("Silver",QHPSelections2016[#Headers],0)),0)</f>
        <v>299</v>
      </c>
      <c r="J859" cm="1">
        <f t="array" ref="J859">_xlfn.IFNA(INDEX(QHPSelections2016[],MATCH(1,(QHPSelections2016[State Name]=HIX_RatingAreas[[#This Row],[State Code]])*(QHPSelections2016[County Name]=HIX_RatingAreas[[#This Row],[Subdivision]]),0),MATCH("Total Plan Selections",QHPSelections2016[#Headers],0)),0)</f>
        <v>432</v>
      </c>
      <c r="L859" t="str" cm="1">
        <f t="array" ref="L859">INDEX(QHPSelections2016[],MATCH(1,(QHPSelections2016[State Name]=HIX_RatingAreas[[#This Row],[State Code]])*(QHPSelections2016[County Name]=HIX_RatingAreas[[#This Row],[Subdivision]]),0),MATCH("County Name",QHPSelections2016[#Headers],0))</f>
        <v>Scurry County</v>
      </c>
      <c r="M859" t="b">
        <f>L859=HIX_RatingAreas[[#This Row],[Subdivision]]</f>
        <v>1</v>
      </c>
      <c r="N859">
        <v>856</v>
      </c>
    </row>
    <row r="860" spans="3:14">
      <c r="C860" t="s">
        <v>55</v>
      </c>
      <c r="D860" t="s">
        <v>1574</v>
      </c>
      <c r="E860" t="s">
        <v>189</v>
      </c>
      <c r="F860" s="36">
        <v>26</v>
      </c>
      <c r="G860" t="s">
        <v>1385</v>
      </c>
      <c r="I860" cm="1">
        <f t="array" ref="I860">_xlfn.IFNA(INDEX(QHPSelections2016[],MATCH(1,(QHPSelections2016[State Name]=HIX_RatingAreas[[#This Row],[State Code]])*(QHPSelections2016[County Name]=HIX_RatingAreas[[#This Row],[Subdivision]]),0),MATCH("Silver",QHPSelections2016[#Headers],0)),0)</f>
        <v>91</v>
      </c>
      <c r="J860" cm="1">
        <f t="array" ref="J860">_xlfn.IFNA(INDEX(QHPSelections2016[],MATCH(1,(QHPSelections2016[State Name]=HIX_RatingAreas[[#This Row],[State Code]])*(QHPSelections2016[County Name]=HIX_RatingAreas[[#This Row],[Subdivision]]),0),MATCH("Total Plan Selections",QHPSelections2016[#Headers],0)),0)</f>
        <v>145</v>
      </c>
      <c r="L860" t="str" cm="1">
        <f t="array" ref="L860">INDEX(QHPSelections2016[],MATCH(1,(QHPSelections2016[State Name]=HIX_RatingAreas[[#This Row],[State Code]])*(QHPSelections2016[County Name]=HIX_RatingAreas[[#This Row],[Subdivision]]),0),MATCH("County Name",QHPSelections2016[#Headers],0))</f>
        <v>Shackelford County</v>
      </c>
      <c r="M860" t="b">
        <f>L860=HIX_RatingAreas[[#This Row],[Subdivision]]</f>
        <v>1</v>
      </c>
      <c r="N860">
        <v>857</v>
      </c>
    </row>
    <row r="861" spans="3:14">
      <c r="C861" t="s">
        <v>55</v>
      </c>
      <c r="D861" t="s">
        <v>1574</v>
      </c>
      <c r="E861" t="s">
        <v>189</v>
      </c>
      <c r="F861" s="36">
        <v>26</v>
      </c>
      <c r="G861" t="s">
        <v>1126</v>
      </c>
      <c r="I861" cm="1">
        <f t="array" ref="I861">_xlfn.IFNA(INDEX(QHPSelections2016[],MATCH(1,(QHPSelections2016[State Name]=HIX_RatingAreas[[#This Row],[State Code]])*(QHPSelections2016[County Name]=HIX_RatingAreas[[#This Row],[Subdivision]]),0),MATCH("Silver",QHPSelections2016[#Headers],0)),0)</f>
        <v>548</v>
      </c>
      <c r="J861" cm="1">
        <f t="array" ref="J861">_xlfn.IFNA(INDEX(QHPSelections2016[],MATCH(1,(QHPSelections2016[State Name]=HIX_RatingAreas[[#This Row],[State Code]])*(QHPSelections2016[County Name]=HIX_RatingAreas[[#This Row],[Subdivision]]),0),MATCH("Total Plan Selections",QHPSelections2016[#Headers],0)),0)</f>
        <v>852</v>
      </c>
      <c r="L861" t="str" cm="1">
        <f t="array" ref="L861">INDEX(QHPSelections2016[],MATCH(1,(QHPSelections2016[State Name]=HIX_RatingAreas[[#This Row],[State Code]])*(QHPSelections2016[County Name]=HIX_RatingAreas[[#This Row],[Subdivision]]),0),MATCH("County Name",QHPSelections2016[#Headers],0))</f>
        <v>Shelby County</v>
      </c>
      <c r="M861" t="b">
        <f>L861=HIX_RatingAreas[[#This Row],[Subdivision]]</f>
        <v>1</v>
      </c>
      <c r="N861">
        <v>858</v>
      </c>
    </row>
    <row r="862" spans="3:14">
      <c r="C862" t="s">
        <v>55</v>
      </c>
      <c r="D862" t="s">
        <v>1574</v>
      </c>
      <c r="E862" t="s">
        <v>189</v>
      </c>
      <c r="F862" s="36">
        <v>26</v>
      </c>
      <c r="G862" t="s">
        <v>1386</v>
      </c>
      <c r="I862" cm="1">
        <f t="array" ref="I862">_xlfn.IFNA(INDEX(QHPSelections2016[],MATCH(1,(QHPSelections2016[State Name]=HIX_RatingAreas[[#This Row],[State Code]])*(QHPSelections2016[County Name]=HIX_RatingAreas[[#This Row],[Subdivision]]),0),MATCH("Silver",QHPSelections2016[#Headers],0)),0)</f>
        <v>54</v>
      </c>
      <c r="J862" cm="1">
        <f t="array" ref="J862">_xlfn.IFNA(INDEX(QHPSelections2016[],MATCH(1,(QHPSelections2016[State Name]=HIX_RatingAreas[[#This Row],[State Code]])*(QHPSelections2016[County Name]=HIX_RatingAreas[[#This Row],[Subdivision]]),0),MATCH("Total Plan Selections",QHPSelections2016[#Headers],0)),0)</f>
        <v>85</v>
      </c>
      <c r="L862" t="str" cm="1">
        <f t="array" ref="L862">INDEX(QHPSelections2016[],MATCH(1,(QHPSelections2016[State Name]=HIX_RatingAreas[[#This Row],[State Code]])*(QHPSelections2016[County Name]=HIX_RatingAreas[[#This Row],[Subdivision]]),0),MATCH("County Name",QHPSelections2016[#Headers],0))</f>
        <v>Sherman County</v>
      </c>
      <c r="M862" t="b">
        <f>L862=HIX_RatingAreas[[#This Row],[Subdivision]]</f>
        <v>1</v>
      </c>
      <c r="N862">
        <v>859</v>
      </c>
    </row>
    <row r="863" spans="3:14">
      <c r="C863" t="s">
        <v>55</v>
      </c>
      <c r="D863" t="s">
        <v>1574</v>
      </c>
      <c r="E863" t="s">
        <v>189</v>
      </c>
      <c r="F863" s="36">
        <v>26</v>
      </c>
      <c r="G863" t="s">
        <v>1387</v>
      </c>
      <c r="I863" cm="1">
        <f t="array" ref="I863">_xlfn.IFNA(INDEX(QHPSelections2016[],MATCH(1,(QHPSelections2016[State Name]=HIX_RatingAreas[[#This Row],[State Code]])*(QHPSelections2016[County Name]=HIX_RatingAreas[[#This Row],[Subdivision]]),0),MATCH("Silver",QHPSelections2016[#Headers],0)),0)</f>
        <v>247</v>
      </c>
      <c r="J863" cm="1">
        <f t="array" ref="J863">_xlfn.IFNA(INDEX(QHPSelections2016[],MATCH(1,(QHPSelections2016[State Name]=HIX_RatingAreas[[#This Row],[State Code]])*(QHPSelections2016[County Name]=HIX_RatingAreas[[#This Row],[Subdivision]]),0),MATCH("Total Plan Selections",QHPSelections2016[#Headers],0)),0)</f>
        <v>379</v>
      </c>
      <c r="L863" t="str" cm="1">
        <f t="array" ref="L863">INDEX(QHPSelections2016[],MATCH(1,(QHPSelections2016[State Name]=HIX_RatingAreas[[#This Row],[State Code]])*(QHPSelections2016[County Name]=HIX_RatingAreas[[#This Row],[Subdivision]]),0),MATCH("County Name",QHPSelections2016[#Headers],0))</f>
        <v>Somervell County</v>
      </c>
      <c r="M863" t="b">
        <f>L863=HIX_RatingAreas[[#This Row],[Subdivision]]</f>
        <v>1</v>
      </c>
      <c r="N863">
        <v>860</v>
      </c>
    </row>
    <row r="864" spans="3:14">
      <c r="C864" t="s">
        <v>55</v>
      </c>
      <c r="D864" t="s">
        <v>1574</v>
      </c>
      <c r="E864" t="s">
        <v>189</v>
      </c>
      <c r="F864" s="36">
        <v>26</v>
      </c>
      <c r="G864" t="s">
        <v>1388</v>
      </c>
      <c r="I864" cm="1">
        <f t="array" ref="I864">_xlfn.IFNA(INDEX(QHPSelections2016[],MATCH(1,(QHPSelections2016[State Name]=HIX_RatingAreas[[#This Row],[State Code]])*(QHPSelections2016[County Name]=HIX_RatingAreas[[#This Row],[Subdivision]]),0),MATCH("Silver",QHPSelections2016[#Headers],0)),0)</f>
        <v>2952</v>
      </c>
      <c r="J864" cm="1">
        <f t="array" ref="J864">_xlfn.IFNA(INDEX(QHPSelections2016[],MATCH(1,(QHPSelections2016[State Name]=HIX_RatingAreas[[#This Row],[State Code]])*(QHPSelections2016[County Name]=HIX_RatingAreas[[#This Row],[Subdivision]]),0),MATCH("Total Plan Selections",QHPSelections2016[#Headers],0)),0)</f>
        <v>3605</v>
      </c>
      <c r="L864" t="str" cm="1">
        <f t="array" ref="L864">INDEX(QHPSelections2016[],MATCH(1,(QHPSelections2016[State Name]=HIX_RatingAreas[[#This Row],[State Code]])*(QHPSelections2016[County Name]=HIX_RatingAreas[[#This Row],[Subdivision]]),0),MATCH("County Name",QHPSelections2016[#Headers],0))</f>
        <v>Starr County</v>
      </c>
      <c r="M864" t="b">
        <f>L864=HIX_RatingAreas[[#This Row],[Subdivision]]</f>
        <v>1</v>
      </c>
      <c r="N864">
        <v>861</v>
      </c>
    </row>
    <row r="865" spans="3:14">
      <c r="C865" t="s">
        <v>55</v>
      </c>
      <c r="D865" t="s">
        <v>1574</v>
      </c>
      <c r="E865" t="s">
        <v>189</v>
      </c>
      <c r="F865" s="36">
        <v>26</v>
      </c>
      <c r="G865" t="s">
        <v>1302</v>
      </c>
      <c r="I865" cm="1">
        <f t="array" ref="I865">_xlfn.IFNA(INDEX(QHPSelections2016[],MATCH(1,(QHPSelections2016[State Name]=HIX_RatingAreas[[#This Row],[State Code]])*(QHPSelections2016[County Name]=HIX_RatingAreas[[#This Row],[Subdivision]]),0),MATCH("Silver",QHPSelections2016[#Headers],0)),0)</f>
        <v>285</v>
      </c>
      <c r="J865" cm="1">
        <f t="array" ref="J865">_xlfn.IFNA(INDEX(QHPSelections2016[],MATCH(1,(QHPSelections2016[State Name]=HIX_RatingAreas[[#This Row],[State Code]])*(QHPSelections2016[County Name]=HIX_RatingAreas[[#This Row],[Subdivision]]),0),MATCH("Total Plan Selections",QHPSelections2016[#Headers],0)),0)</f>
        <v>415</v>
      </c>
      <c r="L865" t="str" cm="1">
        <f t="array" ref="L865">INDEX(QHPSelections2016[],MATCH(1,(QHPSelections2016[State Name]=HIX_RatingAreas[[#This Row],[State Code]])*(QHPSelections2016[County Name]=HIX_RatingAreas[[#This Row],[Subdivision]]),0),MATCH("County Name",QHPSelections2016[#Headers],0))</f>
        <v>Stephens County</v>
      </c>
      <c r="M865" t="b">
        <f>L865=HIX_RatingAreas[[#This Row],[Subdivision]]</f>
        <v>1</v>
      </c>
      <c r="N865">
        <v>862</v>
      </c>
    </row>
    <row r="866" spans="3:14">
      <c r="C866" t="s">
        <v>55</v>
      </c>
      <c r="D866" t="s">
        <v>1574</v>
      </c>
      <c r="E866" t="s">
        <v>189</v>
      </c>
      <c r="F866" s="36">
        <v>26</v>
      </c>
      <c r="G866" t="s">
        <v>1389</v>
      </c>
      <c r="I866" cm="1">
        <f t="array" ref="I866">_xlfn.IFNA(INDEX(QHPSelections2016[],MATCH(1,(QHPSelections2016[State Name]=HIX_RatingAreas[[#This Row],[State Code]])*(QHPSelections2016[County Name]=HIX_RatingAreas[[#This Row],[Subdivision]]),0),MATCH("Silver",QHPSelections2016[#Headers],0)),0)</f>
        <v>45</v>
      </c>
      <c r="J866" cm="1">
        <f t="array" ref="J866">_xlfn.IFNA(INDEX(QHPSelections2016[],MATCH(1,(QHPSelections2016[State Name]=HIX_RatingAreas[[#This Row],[State Code]])*(QHPSelections2016[County Name]=HIX_RatingAreas[[#This Row],[Subdivision]]),0),MATCH("Total Plan Selections",QHPSelections2016[#Headers],0)),0)</f>
        <v>61</v>
      </c>
      <c r="L866" t="str" cm="1">
        <f t="array" ref="L866">INDEX(QHPSelections2016[],MATCH(1,(QHPSelections2016[State Name]=HIX_RatingAreas[[#This Row],[State Code]])*(QHPSelections2016[County Name]=HIX_RatingAreas[[#This Row],[Subdivision]]),0),MATCH("County Name",QHPSelections2016[#Headers],0))</f>
        <v>Sterling County</v>
      </c>
      <c r="M866" t="b">
        <f>L866=HIX_RatingAreas[[#This Row],[Subdivision]]</f>
        <v>1</v>
      </c>
      <c r="N866">
        <v>863</v>
      </c>
    </row>
    <row r="867" spans="3:14">
      <c r="C867" t="s">
        <v>55</v>
      </c>
      <c r="D867" t="s">
        <v>1574</v>
      </c>
      <c r="E867" t="s">
        <v>189</v>
      </c>
      <c r="F867" s="36">
        <v>26</v>
      </c>
      <c r="G867" t="s">
        <v>1390</v>
      </c>
      <c r="I867" cm="1">
        <f t="array" ref="I867">_xlfn.IFNA(INDEX(QHPSelections2016[],MATCH(1,(QHPSelections2016[State Name]=HIX_RatingAreas[[#This Row],[State Code]])*(QHPSelections2016[County Name]=HIX_RatingAreas[[#This Row],[Subdivision]]),0),MATCH("Silver",QHPSelections2016[#Headers],0)),0)</f>
        <v>29</v>
      </c>
      <c r="J867" cm="1">
        <f t="array" ref="J867">_xlfn.IFNA(INDEX(QHPSelections2016[],MATCH(1,(QHPSelections2016[State Name]=HIX_RatingAreas[[#This Row],[State Code]])*(QHPSelections2016[County Name]=HIX_RatingAreas[[#This Row],[Subdivision]]),0),MATCH("Total Plan Selections",QHPSelections2016[#Headers],0)),0)</f>
        <v>49</v>
      </c>
      <c r="L867" t="str" cm="1">
        <f t="array" ref="L867">INDEX(QHPSelections2016[],MATCH(1,(QHPSelections2016[State Name]=HIX_RatingAreas[[#This Row],[State Code]])*(QHPSelections2016[County Name]=HIX_RatingAreas[[#This Row],[Subdivision]]),0),MATCH("County Name",QHPSelections2016[#Headers],0))</f>
        <v>Stonewall County</v>
      </c>
      <c r="M867" t="b">
        <f>L867=HIX_RatingAreas[[#This Row],[Subdivision]]</f>
        <v>1</v>
      </c>
      <c r="N867">
        <v>864</v>
      </c>
    </row>
    <row r="868" spans="3:14">
      <c r="C868" t="s">
        <v>55</v>
      </c>
      <c r="D868" t="s">
        <v>1574</v>
      </c>
      <c r="E868" t="s">
        <v>189</v>
      </c>
      <c r="F868" s="36">
        <v>26</v>
      </c>
      <c r="G868" t="s">
        <v>1391</v>
      </c>
      <c r="I868" cm="1">
        <f t="array" ref="I868">_xlfn.IFNA(INDEX(QHPSelections2016[],MATCH(1,(QHPSelections2016[State Name]=HIX_RatingAreas[[#This Row],[State Code]])*(QHPSelections2016[County Name]=HIX_RatingAreas[[#This Row],[Subdivision]]),0),MATCH("Silver",QHPSelections2016[#Headers],0)),0)</f>
        <v>91</v>
      </c>
      <c r="J868" cm="1">
        <f t="array" ref="J868">_xlfn.IFNA(INDEX(QHPSelections2016[],MATCH(1,(QHPSelections2016[State Name]=HIX_RatingAreas[[#This Row],[State Code]])*(QHPSelections2016[County Name]=HIX_RatingAreas[[#This Row],[Subdivision]]),0),MATCH("Total Plan Selections",QHPSelections2016[#Headers],0)),0)</f>
        <v>174</v>
      </c>
      <c r="L868" t="str" cm="1">
        <f t="array" ref="L868">INDEX(QHPSelections2016[],MATCH(1,(QHPSelections2016[State Name]=HIX_RatingAreas[[#This Row],[State Code]])*(QHPSelections2016[County Name]=HIX_RatingAreas[[#This Row],[Subdivision]]),0),MATCH("County Name",QHPSelections2016[#Headers],0))</f>
        <v>Sutton County</v>
      </c>
      <c r="M868" t="b">
        <f>L868=HIX_RatingAreas[[#This Row],[Subdivision]]</f>
        <v>1</v>
      </c>
      <c r="N868">
        <v>865</v>
      </c>
    </row>
    <row r="869" spans="3:14">
      <c r="C869" t="s">
        <v>55</v>
      </c>
      <c r="D869" t="s">
        <v>1574</v>
      </c>
      <c r="E869" t="s">
        <v>189</v>
      </c>
      <c r="F869" s="36">
        <v>26</v>
      </c>
      <c r="G869" t="s">
        <v>1392</v>
      </c>
      <c r="I869" cm="1">
        <f t="array" ref="I869">_xlfn.IFNA(INDEX(QHPSelections2016[],MATCH(1,(QHPSelections2016[State Name]=HIX_RatingAreas[[#This Row],[State Code]])*(QHPSelections2016[County Name]=HIX_RatingAreas[[#This Row],[Subdivision]]),0),MATCH("Silver",QHPSelections2016[#Headers],0)),0)</f>
        <v>149</v>
      </c>
      <c r="J869" cm="1">
        <f t="array" ref="J869">_xlfn.IFNA(INDEX(QHPSelections2016[],MATCH(1,(QHPSelections2016[State Name]=HIX_RatingAreas[[#This Row],[State Code]])*(QHPSelections2016[County Name]=HIX_RatingAreas[[#This Row],[Subdivision]]),0),MATCH("Total Plan Selections",QHPSelections2016[#Headers],0)),0)</f>
        <v>241</v>
      </c>
      <c r="L869" t="str" cm="1">
        <f t="array" ref="L869">INDEX(QHPSelections2016[],MATCH(1,(QHPSelections2016[State Name]=HIX_RatingAreas[[#This Row],[State Code]])*(QHPSelections2016[County Name]=HIX_RatingAreas[[#This Row],[Subdivision]]),0),MATCH("County Name",QHPSelections2016[#Headers],0))</f>
        <v>Swisher County</v>
      </c>
      <c r="M869" t="b">
        <f>L869=HIX_RatingAreas[[#This Row],[Subdivision]]</f>
        <v>1</v>
      </c>
      <c r="N869">
        <v>866</v>
      </c>
    </row>
    <row r="870" spans="3:14">
      <c r="C870" t="s">
        <v>55</v>
      </c>
      <c r="D870" t="s">
        <v>1574</v>
      </c>
      <c r="E870" t="s">
        <v>189</v>
      </c>
      <c r="F870" s="36">
        <v>26</v>
      </c>
      <c r="G870" t="s">
        <v>1314</v>
      </c>
      <c r="I870" cm="1">
        <f t="array" ref="I870">_xlfn.IFNA(INDEX(QHPSelections2016[],MATCH(1,(QHPSelections2016[State Name]=HIX_RatingAreas[[#This Row],[State Code]])*(QHPSelections2016[County Name]=HIX_RatingAreas[[#This Row],[Subdivision]]),0),MATCH("Silver",QHPSelections2016[#Headers],0)),0)</f>
        <v>56</v>
      </c>
      <c r="J870" cm="1">
        <f t="array" ref="J870">_xlfn.IFNA(INDEX(QHPSelections2016[],MATCH(1,(QHPSelections2016[State Name]=HIX_RatingAreas[[#This Row],[State Code]])*(QHPSelections2016[County Name]=HIX_RatingAreas[[#This Row],[Subdivision]]),0),MATCH("Total Plan Selections",QHPSelections2016[#Headers],0)),0)</f>
        <v>74</v>
      </c>
      <c r="L870" t="str" cm="1">
        <f t="array" ref="L870">INDEX(QHPSelections2016[],MATCH(1,(QHPSelections2016[State Name]=HIX_RatingAreas[[#This Row],[State Code]])*(QHPSelections2016[County Name]=HIX_RatingAreas[[#This Row],[Subdivision]]),0),MATCH("County Name",QHPSelections2016[#Headers],0))</f>
        <v>Terrell County</v>
      </c>
      <c r="M870" t="b">
        <f>L870=HIX_RatingAreas[[#This Row],[Subdivision]]</f>
        <v>1</v>
      </c>
      <c r="N870">
        <v>867</v>
      </c>
    </row>
    <row r="871" spans="3:14">
      <c r="C871" t="s">
        <v>55</v>
      </c>
      <c r="D871" t="s">
        <v>1574</v>
      </c>
      <c r="E871" t="s">
        <v>189</v>
      </c>
      <c r="F871" s="36">
        <v>26</v>
      </c>
      <c r="G871" t="s">
        <v>1394</v>
      </c>
      <c r="I871" cm="1">
        <f t="array" ref="I871">_xlfn.IFNA(INDEX(QHPSelections2016[],MATCH(1,(QHPSelections2016[State Name]=HIX_RatingAreas[[#This Row],[State Code]])*(QHPSelections2016[County Name]=HIX_RatingAreas[[#This Row],[Subdivision]]),0),MATCH("Silver",QHPSelections2016[#Headers],0)),0)</f>
        <v>223</v>
      </c>
      <c r="J871" cm="1">
        <f t="array" ref="J871">_xlfn.IFNA(INDEX(QHPSelections2016[],MATCH(1,(QHPSelections2016[State Name]=HIX_RatingAreas[[#This Row],[State Code]])*(QHPSelections2016[County Name]=HIX_RatingAreas[[#This Row],[Subdivision]]),0),MATCH("Total Plan Selections",QHPSelections2016[#Headers],0)),0)</f>
        <v>338</v>
      </c>
      <c r="L871" t="str" cm="1">
        <f t="array" ref="L871">INDEX(QHPSelections2016[],MATCH(1,(QHPSelections2016[State Name]=HIX_RatingAreas[[#This Row],[State Code]])*(QHPSelections2016[County Name]=HIX_RatingAreas[[#This Row],[Subdivision]]),0),MATCH("County Name",QHPSelections2016[#Headers],0))</f>
        <v>Terry County</v>
      </c>
      <c r="M871" t="b">
        <f>L871=HIX_RatingAreas[[#This Row],[Subdivision]]</f>
        <v>1</v>
      </c>
      <c r="N871">
        <v>868</v>
      </c>
    </row>
    <row r="872" spans="3:14">
      <c r="C872" t="s">
        <v>55</v>
      </c>
      <c r="D872" t="s">
        <v>1574</v>
      </c>
      <c r="E872" t="s">
        <v>189</v>
      </c>
      <c r="F872" s="36">
        <v>26</v>
      </c>
      <c r="G872" t="s">
        <v>1395</v>
      </c>
      <c r="I872" cm="1">
        <f t="array" ref="I872">_xlfn.IFNA(INDEX(QHPSelections2016[],MATCH(1,(QHPSelections2016[State Name]=HIX_RatingAreas[[#This Row],[State Code]])*(QHPSelections2016[County Name]=HIX_RatingAreas[[#This Row],[Subdivision]]),0),MATCH("Silver",QHPSelections2016[#Headers],0)),0)</f>
        <v>37</v>
      </c>
      <c r="J872" cm="1">
        <f t="array" ref="J872">_xlfn.IFNA(INDEX(QHPSelections2016[],MATCH(1,(QHPSelections2016[State Name]=HIX_RatingAreas[[#This Row],[State Code]])*(QHPSelections2016[County Name]=HIX_RatingAreas[[#This Row],[Subdivision]]),0),MATCH("Total Plan Selections",QHPSelections2016[#Headers],0)),0)</f>
        <v>54</v>
      </c>
      <c r="L872" t="str" cm="1">
        <f t="array" ref="L872">INDEX(QHPSelections2016[],MATCH(1,(QHPSelections2016[State Name]=HIX_RatingAreas[[#This Row],[State Code]])*(QHPSelections2016[County Name]=HIX_RatingAreas[[#This Row],[Subdivision]]),0),MATCH("County Name",QHPSelections2016[#Headers],0))</f>
        <v>Throckmorton County</v>
      </c>
      <c r="M872" t="b">
        <f>L872=HIX_RatingAreas[[#This Row],[Subdivision]]</f>
        <v>1</v>
      </c>
      <c r="N872">
        <v>869</v>
      </c>
    </row>
    <row r="873" spans="3:14">
      <c r="C873" t="s">
        <v>55</v>
      </c>
      <c r="D873" t="s">
        <v>1574</v>
      </c>
      <c r="E873" t="s">
        <v>189</v>
      </c>
      <c r="F873" s="36">
        <v>26</v>
      </c>
      <c r="G873" t="s">
        <v>1396</v>
      </c>
      <c r="I873" cm="1">
        <f t="array" ref="I873">_xlfn.IFNA(INDEX(QHPSelections2016[],MATCH(1,(QHPSelections2016[State Name]=HIX_RatingAreas[[#This Row],[State Code]])*(QHPSelections2016[County Name]=HIX_RatingAreas[[#This Row],[Subdivision]]),0),MATCH("Silver",QHPSelections2016[#Headers],0)),0)</f>
        <v>660</v>
      </c>
      <c r="J873" cm="1">
        <f t="array" ref="J873">_xlfn.IFNA(INDEX(QHPSelections2016[],MATCH(1,(QHPSelections2016[State Name]=HIX_RatingAreas[[#This Row],[State Code]])*(QHPSelections2016[County Name]=HIX_RatingAreas[[#This Row],[Subdivision]]),0),MATCH("Total Plan Selections",QHPSelections2016[#Headers],0)),0)</f>
        <v>895</v>
      </c>
      <c r="L873" t="str" cm="1">
        <f t="array" ref="L873">INDEX(QHPSelections2016[],MATCH(1,(QHPSelections2016[State Name]=HIX_RatingAreas[[#This Row],[State Code]])*(QHPSelections2016[County Name]=HIX_RatingAreas[[#This Row],[Subdivision]]),0),MATCH("County Name",QHPSelections2016[#Headers],0))</f>
        <v>Titus County</v>
      </c>
      <c r="M873" t="b">
        <f>L873=HIX_RatingAreas[[#This Row],[Subdivision]]</f>
        <v>1</v>
      </c>
      <c r="N873">
        <v>870</v>
      </c>
    </row>
    <row r="874" spans="3:14">
      <c r="C874" t="s">
        <v>55</v>
      </c>
      <c r="D874" t="s">
        <v>1574</v>
      </c>
      <c r="E874" t="s">
        <v>189</v>
      </c>
      <c r="F874" s="36">
        <v>26</v>
      </c>
      <c r="G874" t="s">
        <v>1399</v>
      </c>
      <c r="I874" cm="1">
        <f t="array" ref="I874">_xlfn.IFNA(INDEX(QHPSelections2016[],MATCH(1,(QHPSelections2016[State Name]=HIX_RatingAreas[[#This Row],[State Code]])*(QHPSelections2016[County Name]=HIX_RatingAreas[[#This Row],[Subdivision]]),0),MATCH("Silver",QHPSelections2016[#Headers],0)),0)</f>
        <v>292</v>
      </c>
      <c r="J874" cm="1">
        <f t="array" ref="J874">_xlfn.IFNA(INDEX(QHPSelections2016[],MATCH(1,(QHPSelections2016[State Name]=HIX_RatingAreas[[#This Row],[State Code]])*(QHPSelections2016[County Name]=HIX_RatingAreas[[#This Row],[Subdivision]]),0),MATCH("Total Plan Selections",QHPSelections2016[#Headers],0)),0)</f>
        <v>407</v>
      </c>
      <c r="L874" t="str" cm="1">
        <f t="array" ref="L874">INDEX(QHPSelections2016[],MATCH(1,(QHPSelections2016[State Name]=HIX_RatingAreas[[#This Row],[State Code]])*(QHPSelections2016[County Name]=HIX_RatingAreas[[#This Row],[Subdivision]]),0),MATCH("County Name",QHPSelections2016[#Headers],0))</f>
        <v>Trinity County</v>
      </c>
      <c r="M874" t="b">
        <f>L874=HIX_RatingAreas[[#This Row],[Subdivision]]</f>
        <v>1</v>
      </c>
      <c r="N874">
        <v>871</v>
      </c>
    </row>
    <row r="875" spans="3:14">
      <c r="C875" t="s">
        <v>55</v>
      </c>
      <c r="D875" t="s">
        <v>1574</v>
      </c>
      <c r="E875" t="s">
        <v>189</v>
      </c>
      <c r="F875" s="36">
        <v>26</v>
      </c>
      <c r="G875" t="s">
        <v>1400</v>
      </c>
      <c r="I875" cm="1">
        <f t="array" ref="I875">_xlfn.IFNA(INDEX(QHPSelections2016[],MATCH(1,(QHPSelections2016[State Name]=HIX_RatingAreas[[#This Row],[State Code]])*(QHPSelections2016[County Name]=HIX_RatingAreas[[#This Row],[Subdivision]]),0),MATCH("Silver",QHPSelections2016[#Headers],0)),0)</f>
        <v>392</v>
      </c>
      <c r="J875" cm="1">
        <f t="array" ref="J875">_xlfn.IFNA(INDEX(QHPSelections2016[],MATCH(1,(QHPSelections2016[State Name]=HIX_RatingAreas[[#This Row],[State Code]])*(QHPSelections2016[County Name]=HIX_RatingAreas[[#This Row],[Subdivision]]),0),MATCH("Total Plan Selections",QHPSelections2016[#Headers],0)),0)</f>
        <v>726</v>
      </c>
      <c r="L875" t="str" cm="1">
        <f t="array" ref="L875">INDEX(QHPSelections2016[],MATCH(1,(QHPSelections2016[State Name]=HIX_RatingAreas[[#This Row],[State Code]])*(QHPSelections2016[County Name]=HIX_RatingAreas[[#This Row],[Subdivision]]),0),MATCH("County Name",QHPSelections2016[#Headers],0))</f>
        <v>Tyler County</v>
      </c>
      <c r="M875" t="b">
        <f>L875=HIX_RatingAreas[[#This Row],[Subdivision]]</f>
        <v>1</v>
      </c>
      <c r="N875">
        <v>872</v>
      </c>
    </row>
    <row r="876" spans="3:14">
      <c r="C876" t="s">
        <v>55</v>
      </c>
      <c r="D876" t="s">
        <v>1574</v>
      </c>
      <c r="E876" t="s">
        <v>189</v>
      </c>
      <c r="F876" s="36">
        <v>26</v>
      </c>
      <c r="G876" t="s">
        <v>1402</v>
      </c>
      <c r="I876" cm="1">
        <f t="array" ref="I876">_xlfn.IFNA(INDEX(QHPSelections2016[],MATCH(1,(QHPSelections2016[State Name]=HIX_RatingAreas[[#This Row],[State Code]])*(QHPSelections2016[County Name]=HIX_RatingAreas[[#This Row],[Subdivision]]),0),MATCH("Silver",QHPSelections2016[#Headers],0)),0)</f>
        <v>46</v>
      </c>
      <c r="J876" cm="1">
        <f t="array" ref="J876">_xlfn.IFNA(INDEX(QHPSelections2016[],MATCH(1,(QHPSelections2016[State Name]=HIX_RatingAreas[[#This Row],[State Code]])*(QHPSelections2016[County Name]=HIX_RatingAreas[[#This Row],[Subdivision]]),0),MATCH("Total Plan Selections",QHPSelections2016[#Headers],0)),0)</f>
        <v>66</v>
      </c>
      <c r="L876" t="str" cm="1">
        <f t="array" ref="L876">INDEX(QHPSelections2016[],MATCH(1,(QHPSelections2016[State Name]=HIX_RatingAreas[[#This Row],[State Code]])*(QHPSelections2016[County Name]=HIX_RatingAreas[[#This Row],[Subdivision]]),0),MATCH("County Name",QHPSelections2016[#Headers],0))</f>
        <v>Upton County</v>
      </c>
      <c r="M876" t="b">
        <f>L876=HIX_RatingAreas[[#This Row],[Subdivision]]</f>
        <v>1</v>
      </c>
      <c r="N876">
        <v>873</v>
      </c>
    </row>
    <row r="877" spans="3:14">
      <c r="C877" t="s">
        <v>55</v>
      </c>
      <c r="D877" t="s">
        <v>1574</v>
      </c>
      <c r="E877" t="s">
        <v>189</v>
      </c>
      <c r="F877" s="36">
        <v>26</v>
      </c>
      <c r="G877" t="s">
        <v>1403</v>
      </c>
      <c r="I877" cm="1">
        <f t="array" ref="I877">_xlfn.IFNA(INDEX(QHPSelections2016[],MATCH(1,(QHPSelections2016[State Name]=HIX_RatingAreas[[#This Row],[State Code]])*(QHPSelections2016[County Name]=HIX_RatingAreas[[#This Row],[Subdivision]]),0),MATCH("Silver",QHPSelections2016[#Headers],0)),0)</f>
        <v>1269</v>
      </c>
      <c r="J877" cm="1">
        <f t="array" ref="J877">_xlfn.IFNA(INDEX(QHPSelections2016[],MATCH(1,(QHPSelections2016[State Name]=HIX_RatingAreas[[#This Row],[State Code]])*(QHPSelections2016[County Name]=HIX_RatingAreas[[#This Row],[Subdivision]]),0),MATCH("Total Plan Selections",QHPSelections2016[#Headers],0)),0)</f>
        <v>1728</v>
      </c>
      <c r="L877" t="str" cm="1">
        <f t="array" ref="L877">INDEX(QHPSelections2016[],MATCH(1,(QHPSelections2016[State Name]=HIX_RatingAreas[[#This Row],[State Code]])*(QHPSelections2016[County Name]=HIX_RatingAreas[[#This Row],[Subdivision]]),0),MATCH("County Name",QHPSelections2016[#Headers],0))</f>
        <v>Uvalde County</v>
      </c>
      <c r="M877" t="b">
        <f>L877=HIX_RatingAreas[[#This Row],[Subdivision]]</f>
        <v>1</v>
      </c>
      <c r="N877">
        <v>874</v>
      </c>
    </row>
    <row r="878" spans="3:14">
      <c r="C878" t="s">
        <v>55</v>
      </c>
      <c r="D878" t="s">
        <v>1574</v>
      </c>
      <c r="E878" t="s">
        <v>189</v>
      </c>
      <c r="F878" s="36">
        <v>26</v>
      </c>
      <c r="G878" t="s">
        <v>1404</v>
      </c>
      <c r="I878" cm="1">
        <f t="array" ref="I878">_xlfn.IFNA(INDEX(QHPSelections2016[],MATCH(1,(QHPSelections2016[State Name]=HIX_RatingAreas[[#This Row],[State Code]])*(QHPSelections2016[County Name]=HIX_RatingAreas[[#This Row],[Subdivision]]),0),MATCH("Silver",QHPSelections2016[#Headers],0)),0)</f>
        <v>1852</v>
      </c>
      <c r="J878" cm="1">
        <f t="array" ref="J878">_xlfn.IFNA(INDEX(QHPSelections2016[],MATCH(1,(QHPSelections2016[State Name]=HIX_RatingAreas[[#This Row],[State Code]])*(QHPSelections2016[County Name]=HIX_RatingAreas[[#This Row],[Subdivision]]),0),MATCH("Total Plan Selections",QHPSelections2016[#Headers],0)),0)</f>
        <v>2646</v>
      </c>
      <c r="L878" t="str" cm="1">
        <f t="array" ref="L878">INDEX(QHPSelections2016[],MATCH(1,(QHPSelections2016[State Name]=HIX_RatingAreas[[#This Row],[State Code]])*(QHPSelections2016[County Name]=HIX_RatingAreas[[#This Row],[Subdivision]]),0),MATCH("County Name",QHPSelections2016[#Headers],0))</f>
        <v>Val Verde County</v>
      </c>
      <c r="M878" t="b">
        <f>L878=HIX_RatingAreas[[#This Row],[Subdivision]]</f>
        <v>1</v>
      </c>
      <c r="N878">
        <v>875</v>
      </c>
    </row>
    <row r="879" spans="3:14">
      <c r="C879" t="s">
        <v>55</v>
      </c>
      <c r="D879" t="s">
        <v>1574</v>
      </c>
      <c r="E879" t="s">
        <v>189</v>
      </c>
      <c r="F879" s="36">
        <v>26</v>
      </c>
      <c r="G879" t="s">
        <v>1405</v>
      </c>
      <c r="I879" cm="1">
        <f t="array" ref="I879">_xlfn.IFNA(INDEX(QHPSelections2016[],MATCH(1,(QHPSelections2016[State Name]=HIX_RatingAreas[[#This Row],[State Code]])*(QHPSelections2016[County Name]=HIX_RatingAreas[[#This Row],[Subdivision]]),0),MATCH("Silver",QHPSelections2016[#Headers],0)),0)</f>
        <v>1674</v>
      </c>
      <c r="J879" cm="1">
        <f t="array" ref="J879">_xlfn.IFNA(INDEX(QHPSelections2016[],MATCH(1,(QHPSelections2016[State Name]=HIX_RatingAreas[[#This Row],[State Code]])*(QHPSelections2016[County Name]=HIX_RatingAreas[[#This Row],[Subdivision]]),0),MATCH("Total Plan Selections",QHPSelections2016[#Headers],0)),0)</f>
        <v>2514</v>
      </c>
      <c r="L879" t="str" cm="1">
        <f t="array" ref="L879">INDEX(QHPSelections2016[],MATCH(1,(QHPSelections2016[State Name]=HIX_RatingAreas[[#This Row],[State Code]])*(QHPSelections2016[County Name]=HIX_RatingAreas[[#This Row],[Subdivision]]),0),MATCH("County Name",QHPSelections2016[#Headers],0))</f>
        <v>Van Zandt County</v>
      </c>
      <c r="M879" t="b">
        <f>L879=HIX_RatingAreas[[#This Row],[Subdivision]]</f>
        <v>1</v>
      </c>
      <c r="N879">
        <v>876</v>
      </c>
    </row>
    <row r="880" spans="3:14">
      <c r="C880" t="s">
        <v>55</v>
      </c>
      <c r="D880" t="s">
        <v>1574</v>
      </c>
      <c r="E880" t="s">
        <v>189</v>
      </c>
      <c r="F880" s="36">
        <v>26</v>
      </c>
      <c r="G880" t="s">
        <v>1154</v>
      </c>
      <c r="I880" cm="1">
        <f t="array" ref="I880">_xlfn.IFNA(INDEX(QHPSelections2016[],MATCH(1,(QHPSelections2016[State Name]=HIX_RatingAreas[[#This Row],[State Code]])*(QHPSelections2016[County Name]=HIX_RatingAreas[[#This Row],[Subdivision]]),0),MATCH("Silver",QHPSelections2016[#Headers],0)),0)</f>
        <v>1040</v>
      </c>
      <c r="J880" cm="1">
        <f t="array" ref="J880">_xlfn.IFNA(INDEX(QHPSelections2016[],MATCH(1,(QHPSelections2016[State Name]=HIX_RatingAreas[[#This Row],[State Code]])*(QHPSelections2016[County Name]=HIX_RatingAreas[[#This Row],[Subdivision]]),0),MATCH("Total Plan Selections",QHPSelections2016[#Headers],0)),0)</f>
        <v>1574</v>
      </c>
      <c r="L880" t="str" cm="1">
        <f t="array" ref="L880">INDEX(QHPSelections2016[],MATCH(1,(QHPSelections2016[State Name]=HIX_RatingAreas[[#This Row],[State Code]])*(QHPSelections2016[County Name]=HIX_RatingAreas[[#This Row],[Subdivision]]),0),MATCH("County Name",QHPSelections2016[#Headers],0))</f>
        <v>Walker County</v>
      </c>
      <c r="M880" t="b">
        <f>L880=HIX_RatingAreas[[#This Row],[Subdivision]]</f>
        <v>1</v>
      </c>
      <c r="N880">
        <v>877</v>
      </c>
    </row>
    <row r="881" spans="3:14">
      <c r="C881" t="s">
        <v>55</v>
      </c>
      <c r="D881" t="s">
        <v>1574</v>
      </c>
      <c r="E881" t="s">
        <v>189</v>
      </c>
      <c r="F881" s="36">
        <v>26</v>
      </c>
      <c r="G881" t="s">
        <v>1408</v>
      </c>
      <c r="I881" cm="1">
        <f t="array" ref="I881">_xlfn.IFNA(INDEX(QHPSelections2016[],MATCH(1,(QHPSelections2016[State Name]=HIX_RatingAreas[[#This Row],[State Code]])*(QHPSelections2016[County Name]=HIX_RatingAreas[[#This Row],[Subdivision]]),0),MATCH("Silver",QHPSelections2016[#Headers],0)),0)</f>
        <v>210</v>
      </c>
      <c r="J881" cm="1">
        <f t="array" ref="J881">_xlfn.IFNA(INDEX(QHPSelections2016[],MATCH(1,(QHPSelections2016[State Name]=HIX_RatingAreas[[#This Row],[State Code]])*(QHPSelections2016[County Name]=HIX_RatingAreas[[#This Row],[Subdivision]]),0),MATCH("Total Plan Selections",QHPSelections2016[#Headers],0)),0)</f>
        <v>313</v>
      </c>
      <c r="L881" t="str" cm="1">
        <f t="array" ref="L881">INDEX(QHPSelections2016[],MATCH(1,(QHPSelections2016[State Name]=HIX_RatingAreas[[#This Row],[State Code]])*(QHPSelections2016[County Name]=HIX_RatingAreas[[#This Row],[Subdivision]]),0),MATCH("County Name",QHPSelections2016[#Headers],0))</f>
        <v>Ward County</v>
      </c>
      <c r="M881" t="b">
        <f>L881=HIX_RatingAreas[[#This Row],[Subdivision]]</f>
        <v>1</v>
      </c>
      <c r="N881">
        <v>878</v>
      </c>
    </row>
    <row r="882" spans="3:14">
      <c r="C882" t="s">
        <v>55</v>
      </c>
      <c r="D882" t="s">
        <v>1574</v>
      </c>
      <c r="E882" t="s">
        <v>189</v>
      </c>
      <c r="F882" s="36">
        <v>26</v>
      </c>
      <c r="G882" t="s">
        <v>1160</v>
      </c>
      <c r="I882" cm="1">
        <f t="array" ref="I882">_xlfn.IFNA(INDEX(QHPSelections2016[],MATCH(1,(QHPSelections2016[State Name]=HIX_RatingAreas[[#This Row],[State Code]])*(QHPSelections2016[County Name]=HIX_RatingAreas[[#This Row],[Subdivision]]),0),MATCH("Silver",QHPSelections2016[#Headers],0)),0)</f>
        <v>900</v>
      </c>
      <c r="J882" cm="1">
        <f t="array" ref="J882">_xlfn.IFNA(INDEX(QHPSelections2016[],MATCH(1,(QHPSelections2016[State Name]=HIX_RatingAreas[[#This Row],[State Code]])*(QHPSelections2016[County Name]=HIX_RatingAreas[[#This Row],[Subdivision]]),0),MATCH("Total Plan Selections",QHPSelections2016[#Headers],0)),0)</f>
        <v>1329</v>
      </c>
      <c r="L882" t="str" cm="1">
        <f t="array" ref="L882">INDEX(QHPSelections2016[],MATCH(1,(QHPSelections2016[State Name]=HIX_RatingAreas[[#This Row],[State Code]])*(QHPSelections2016[County Name]=HIX_RatingAreas[[#This Row],[Subdivision]]),0),MATCH("County Name",QHPSelections2016[#Headers],0))</f>
        <v>Washington County</v>
      </c>
      <c r="M882" t="b">
        <f>L882=HIX_RatingAreas[[#This Row],[Subdivision]]</f>
        <v>1</v>
      </c>
      <c r="N882">
        <v>879</v>
      </c>
    </row>
    <row r="883" spans="3:14">
      <c r="C883" t="s">
        <v>55</v>
      </c>
      <c r="D883" t="s">
        <v>1574</v>
      </c>
      <c r="E883" t="s">
        <v>189</v>
      </c>
      <c r="F883" s="36">
        <v>26</v>
      </c>
      <c r="G883" t="s">
        <v>1410</v>
      </c>
      <c r="I883" cm="1">
        <f t="array" ref="I883">_xlfn.IFNA(INDEX(QHPSelections2016[],MATCH(1,(QHPSelections2016[State Name]=HIX_RatingAreas[[#This Row],[State Code]])*(QHPSelections2016[County Name]=HIX_RatingAreas[[#This Row],[Subdivision]]),0),MATCH("Silver",QHPSelections2016[#Headers],0)),0)</f>
        <v>1163</v>
      </c>
      <c r="J883" cm="1">
        <f t="array" ref="J883">_xlfn.IFNA(INDEX(QHPSelections2016[],MATCH(1,(QHPSelections2016[State Name]=HIX_RatingAreas[[#This Row],[State Code]])*(QHPSelections2016[County Name]=HIX_RatingAreas[[#This Row],[Subdivision]]),0),MATCH("Total Plan Selections",QHPSelections2016[#Headers],0)),0)</f>
        <v>1748</v>
      </c>
      <c r="L883" t="str" cm="1">
        <f t="array" ref="L883">INDEX(QHPSelections2016[],MATCH(1,(QHPSelections2016[State Name]=HIX_RatingAreas[[#This Row],[State Code]])*(QHPSelections2016[County Name]=HIX_RatingAreas[[#This Row],[Subdivision]]),0),MATCH("County Name",QHPSelections2016[#Headers],0))</f>
        <v>Wharton County</v>
      </c>
      <c r="M883" t="b">
        <f>L883=HIX_RatingAreas[[#This Row],[Subdivision]]</f>
        <v>1</v>
      </c>
      <c r="N883">
        <v>880</v>
      </c>
    </row>
    <row r="884" spans="3:14">
      <c r="C884" t="s">
        <v>55</v>
      </c>
      <c r="D884" t="s">
        <v>1574</v>
      </c>
      <c r="E884" t="s">
        <v>189</v>
      </c>
      <c r="F884" s="36">
        <v>26</v>
      </c>
      <c r="G884" s="17" t="s">
        <v>1337</v>
      </c>
      <c r="H884" t="s">
        <v>5193</v>
      </c>
      <c r="I884" cm="1">
        <f t="array" ref="I884">_xlfn.IFNA(INDEX(QHPSelections2016[],MATCH(1,(QHPSelections2016[State Name]=HIX_RatingAreas[[#This Row],[State Code]])*(QHPSelections2016[County Name]=HIX_RatingAreas[[#This Row],[Subdivision]]),0),MATCH("Silver",QHPSelections2016[#Headers],0)),0)</f>
        <v>103</v>
      </c>
      <c r="J884" cm="1">
        <f t="array" ref="J884">_xlfn.IFNA(INDEX(QHPSelections2016[],MATCH(1,(QHPSelections2016[State Name]=HIX_RatingAreas[[#This Row],[State Code]])*(QHPSelections2016[County Name]=HIX_RatingAreas[[#This Row],[Subdivision]]),0),MATCH("Total Plan Selections",QHPSelections2016[#Headers],0)),0)</f>
        <v>180</v>
      </c>
      <c r="L884" t="str" cm="1">
        <f t="array" ref="L884">INDEX(QHPSelections2016[],MATCH(1,(QHPSelections2016[State Name]=HIX_RatingAreas[[#This Row],[State Code]])*(QHPSelections2016[County Name]=HIX_RatingAreas[[#This Row],[Subdivision]]),0),MATCH("County Name",QHPSelections2016[#Headers],0))</f>
        <v>Wheeler County</v>
      </c>
      <c r="M884" t="b">
        <f>L884=HIX_RatingAreas[[#This Row],[Subdivision]]</f>
        <v>1</v>
      </c>
      <c r="N884">
        <v>881</v>
      </c>
    </row>
    <row r="885" spans="3:14">
      <c r="C885" t="s">
        <v>55</v>
      </c>
      <c r="D885" t="s">
        <v>1574</v>
      </c>
      <c r="E885" t="s">
        <v>189</v>
      </c>
      <c r="F885" s="36">
        <v>26</v>
      </c>
      <c r="G885" t="s">
        <v>1412</v>
      </c>
      <c r="I885" cm="1">
        <f t="array" ref="I885">_xlfn.IFNA(INDEX(QHPSelections2016[],MATCH(1,(QHPSelections2016[State Name]=HIX_RatingAreas[[#This Row],[State Code]])*(QHPSelections2016[County Name]=HIX_RatingAreas[[#This Row],[Subdivision]]),0),MATCH("Silver",QHPSelections2016[#Headers],0)),0)</f>
        <v>204</v>
      </c>
      <c r="J885" cm="1">
        <f t="array" ref="J885">_xlfn.IFNA(INDEX(QHPSelections2016[],MATCH(1,(QHPSelections2016[State Name]=HIX_RatingAreas[[#This Row],[State Code]])*(QHPSelections2016[County Name]=HIX_RatingAreas[[#This Row],[Subdivision]]),0),MATCH("Total Plan Selections",QHPSelections2016[#Headers],0)),0)</f>
        <v>293</v>
      </c>
      <c r="L885" t="str" cm="1">
        <f t="array" ref="L885">INDEX(QHPSelections2016[],MATCH(1,(QHPSelections2016[State Name]=HIX_RatingAreas[[#This Row],[State Code]])*(QHPSelections2016[County Name]=HIX_RatingAreas[[#This Row],[Subdivision]]),0),MATCH("County Name",QHPSelections2016[#Headers],0))</f>
        <v>Wilbarger County</v>
      </c>
      <c r="M885" t="b">
        <f>L885=HIX_RatingAreas[[#This Row],[Subdivision]]</f>
        <v>1</v>
      </c>
      <c r="N885">
        <v>882</v>
      </c>
    </row>
    <row r="886" spans="3:14">
      <c r="C886" t="s">
        <v>55</v>
      </c>
      <c r="D886" t="s">
        <v>1574</v>
      </c>
      <c r="E886" t="s">
        <v>189</v>
      </c>
      <c r="F886" s="36">
        <v>26</v>
      </c>
      <c r="G886" t="s">
        <v>1413</v>
      </c>
      <c r="I886" cm="1">
        <f t="array" ref="I886">_xlfn.IFNA(INDEX(QHPSelections2016[],MATCH(1,(QHPSelections2016[State Name]=HIX_RatingAreas[[#This Row],[State Code]])*(QHPSelections2016[County Name]=HIX_RatingAreas[[#This Row],[Subdivision]]),0),MATCH("Silver",QHPSelections2016[#Headers],0)),0)</f>
        <v>893</v>
      </c>
      <c r="J886" cm="1">
        <f t="array" ref="J886">_xlfn.IFNA(INDEX(QHPSelections2016[],MATCH(1,(QHPSelections2016[State Name]=HIX_RatingAreas[[#This Row],[State Code]])*(QHPSelections2016[County Name]=HIX_RatingAreas[[#This Row],[Subdivision]]),0),MATCH("Total Plan Selections",QHPSelections2016[#Headers],0)),0)</f>
        <v>1156</v>
      </c>
      <c r="L886" t="str" cm="1">
        <f t="array" ref="L886">INDEX(QHPSelections2016[],MATCH(1,(QHPSelections2016[State Name]=HIX_RatingAreas[[#This Row],[State Code]])*(QHPSelections2016[County Name]=HIX_RatingAreas[[#This Row],[Subdivision]]),0),MATCH("County Name",QHPSelections2016[#Headers],0))</f>
        <v>Willacy County</v>
      </c>
      <c r="M886" t="b">
        <f>L886=HIX_RatingAreas[[#This Row],[Subdivision]]</f>
        <v>1</v>
      </c>
      <c r="N886">
        <v>883</v>
      </c>
    </row>
    <row r="887" spans="3:14">
      <c r="C887" t="s">
        <v>55</v>
      </c>
      <c r="D887" t="s">
        <v>1574</v>
      </c>
      <c r="E887" t="s">
        <v>189</v>
      </c>
      <c r="F887" s="36">
        <v>26</v>
      </c>
      <c r="G887" t="s">
        <v>1414</v>
      </c>
      <c r="I887" cm="1">
        <f t="array" ref="I887">_xlfn.IFNA(INDEX(QHPSelections2016[],MATCH(1,(QHPSelections2016[State Name]=HIX_RatingAreas[[#This Row],[State Code]])*(QHPSelections2016[County Name]=HIX_RatingAreas[[#This Row],[Subdivision]]),0),MATCH("Silver",QHPSelections2016[#Headers],0)),0)</f>
        <v>153</v>
      </c>
      <c r="J887" cm="1">
        <f t="array" ref="J887">_xlfn.IFNA(INDEX(QHPSelections2016[],MATCH(1,(QHPSelections2016[State Name]=HIX_RatingAreas[[#This Row],[State Code]])*(QHPSelections2016[County Name]=HIX_RatingAreas[[#This Row],[Subdivision]]),0),MATCH("Total Plan Selections",QHPSelections2016[#Headers],0)),0)</f>
        <v>224</v>
      </c>
      <c r="L887" t="str" cm="1">
        <f t="array" ref="L887">INDEX(QHPSelections2016[],MATCH(1,(QHPSelections2016[State Name]=HIX_RatingAreas[[#This Row],[State Code]])*(QHPSelections2016[County Name]=HIX_RatingAreas[[#This Row],[Subdivision]]),0),MATCH("County Name",QHPSelections2016[#Headers],0))</f>
        <v>Winkler County</v>
      </c>
      <c r="M887" t="b">
        <f>L887=HIX_RatingAreas[[#This Row],[Subdivision]]</f>
        <v>1</v>
      </c>
      <c r="N887">
        <v>884</v>
      </c>
    </row>
    <row r="888" spans="3:14">
      <c r="C888" t="s">
        <v>55</v>
      </c>
      <c r="D888" t="s">
        <v>1574</v>
      </c>
      <c r="E888" t="s">
        <v>189</v>
      </c>
      <c r="F888" s="36">
        <v>26</v>
      </c>
      <c r="G888" t="s">
        <v>1416</v>
      </c>
      <c r="I888" cm="1">
        <f t="array" ref="I888">_xlfn.IFNA(INDEX(QHPSelections2016[],MATCH(1,(QHPSelections2016[State Name]=HIX_RatingAreas[[#This Row],[State Code]])*(QHPSelections2016[County Name]=HIX_RatingAreas[[#This Row],[Subdivision]]),0),MATCH("Silver",QHPSelections2016[#Headers],0)),0)</f>
        <v>1329</v>
      </c>
      <c r="J888" cm="1">
        <f t="array" ref="J888">_xlfn.IFNA(INDEX(QHPSelections2016[],MATCH(1,(QHPSelections2016[State Name]=HIX_RatingAreas[[#This Row],[State Code]])*(QHPSelections2016[County Name]=HIX_RatingAreas[[#This Row],[Subdivision]]),0),MATCH("Total Plan Selections",QHPSelections2016[#Headers],0)),0)</f>
        <v>1878</v>
      </c>
      <c r="L888" t="str" cm="1">
        <f t="array" ref="L888">INDEX(QHPSelections2016[],MATCH(1,(QHPSelections2016[State Name]=HIX_RatingAreas[[#This Row],[State Code]])*(QHPSelections2016[County Name]=HIX_RatingAreas[[#This Row],[Subdivision]]),0),MATCH("County Name",QHPSelections2016[#Headers],0))</f>
        <v>Wood County</v>
      </c>
      <c r="M888" t="b">
        <f>L888=HIX_RatingAreas[[#This Row],[Subdivision]]</f>
        <v>1</v>
      </c>
      <c r="N888">
        <v>885</v>
      </c>
    </row>
    <row r="889" spans="3:14">
      <c r="C889" t="s">
        <v>55</v>
      </c>
      <c r="D889" t="s">
        <v>1574</v>
      </c>
      <c r="E889" t="s">
        <v>189</v>
      </c>
      <c r="F889" s="36">
        <v>26</v>
      </c>
      <c r="G889" t="s">
        <v>1417</v>
      </c>
      <c r="I889" cm="1">
        <f t="array" ref="I889">_xlfn.IFNA(INDEX(QHPSelections2016[],MATCH(1,(QHPSelections2016[State Name]=HIX_RatingAreas[[#This Row],[State Code]])*(QHPSelections2016[County Name]=HIX_RatingAreas[[#This Row],[Subdivision]]),0),MATCH("Silver",QHPSelections2016[#Headers],0)),0)</f>
        <v>127</v>
      </c>
      <c r="J889" cm="1">
        <f t="array" ref="J889">_xlfn.IFNA(INDEX(QHPSelections2016[],MATCH(1,(QHPSelections2016[State Name]=HIX_RatingAreas[[#This Row],[State Code]])*(QHPSelections2016[County Name]=HIX_RatingAreas[[#This Row],[Subdivision]]),0),MATCH("Total Plan Selections",QHPSelections2016[#Headers],0)),0)</f>
        <v>219</v>
      </c>
      <c r="L889" t="str" cm="1">
        <f t="array" ref="L889">INDEX(QHPSelections2016[],MATCH(1,(QHPSelections2016[State Name]=HIX_RatingAreas[[#This Row],[State Code]])*(QHPSelections2016[County Name]=HIX_RatingAreas[[#This Row],[Subdivision]]),0),MATCH("County Name",QHPSelections2016[#Headers],0))</f>
        <v>Yoakum County</v>
      </c>
      <c r="M889" t="b">
        <f>L889=HIX_RatingAreas[[#This Row],[Subdivision]]</f>
        <v>1</v>
      </c>
      <c r="N889">
        <v>886</v>
      </c>
    </row>
    <row r="890" spans="3:14">
      <c r="C890" t="s">
        <v>55</v>
      </c>
      <c r="D890" t="s">
        <v>1574</v>
      </c>
      <c r="E890" t="s">
        <v>189</v>
      </c>
      <c r="F890" s="36">
        <v>26</v>
      </c>
      <c r="G890" t="s">
        <v>1418</v>
      </c>
      <c r="I890" cm="1">
        <f t="array" ref="I890">_xlfn.IFNA(INDEX(QHPSelections2016[],MATCH(1,(QHPSelections2016[State Name]=HIX_RatingAreas[[#This Row],[State Code]])*(QHPSelections2016[County Name]=HIX_RatingAreas[[#This Row],[Subdivision]]),0),MATCH("Silver",QHPSelections2016[#Headers],0)),0)</f>
        <v>450</v>
      </c>
      <c r="J890" cm="1">
        <f t="array" ref="J890">_xlfn.IFNA(INDEX(QHPSelections2016[],MATCH(1,(QHPSelections2016[State Name]=HIX_RatingAreas[[#This Row],[State Code]])*(QHPSelections2016[County Name]=HIX_RatingAreas[[#This Row],[Subdivision]]),0),MATCH("Total Plan Selections",QHPSelections2016[#Headers],0)),0)</f>
        <v>700</v>
      </c>
      <c r="L890" t="str" cm="1">
        <f t="array" ref="L890">INDEX(QHPSelections2016[],MATCH(1,(QHPSelections2016[State Name]=HIX_RatingAreas[[#This Row],[State Code]])*(QHPSelections2016[County Name]=HIX_RatingAreas[[#This Row],[Subdivision]]),0),MATCH("County Name",QHPSelections2016[#Headers],0))</f>
        <v>Young County</v>
      </c>
      <c r="M890" t="b">
        <f>L890=HIX_RatingAreas[[#This Row],[Subdivision]]</f>
        <v>1</v>
      </c>
      <c r="N890">
        <v>887</v>
      </c>
    </row>
    <row r="891" spans="3:14">
      <c r="C891" t="s">
        <v>55</v>
      </c>
      <c r="D891" t="s">
        <v>1574</v>
      </c>
      <c r="E891" t="s">
        <v>189</v>
      </c>
      <c r="F891" s="36">
        <v>26</v>
      </c>
      <c r="G891" t="s">
        <v>1419</v>
      </c>
      <c r="I891" cm="1">
        <f t="array" ref="I891">_xlfn.IFNA(INDEX(QHPSelections2016[],MATCH(1,(QHPSelections2016[State Name]=HIX_RatingAreas[[#This Row],[State Code]])*(QHPSelections2016[County Name]=HIX_RatingAreas[[#This Row],[Subdivision]]),0),MATCH("Silver",QHPSelections2016[#Headers],0)),0)</f>
        <v>424</v>
      </c>
      <c r="J891" cm="1">
        <f t="array" ref="J891">_xlfn.IFNA(INDEX(QHPSelections2016[],MATCH(1,(QHPSelections2016[State Name]=HIX_RatingAreas[[#This Row],[State Code]])*(QHPSelections2016[County Name]=HIX_RatingAreas[[#This Row],[Subdivision]]),0),MATCH("Total Plan Selections",QHPSelections2016[#Headers],0)),0)</f>
        <v>533</v>
      </c>
      <c r="L891" t="str" cm="1">
        <f t="array" ref="L891">INDEX(QHPSelections2016[],MATCH(1,(QHPSelections2016[State Name]=HIX_RatingAreas[[#This Row],[State Code]])*(QHPSelections2016[County Name]=HIX_RatingAreas[[#This Row],[Subdivision]]),0),MATCH("County Name",QHPSelections2016[#Headers],0))</f>
        <v>Zapata County</v>
      </c>
      <c r="M891" t="b">
        <f>L891=HIX_RatingAreas[[#This Row],[Subdivision]]</f>
        <v>1</v>
      </c>
      <c r="N891">
        <v>888</v>
      </c>
    </row>
    <row r="892" spans="3:14">
      <c r="C892" t="s">
        <v>55</v>
      </c>
      <c r="D892" t="s">
        <v>1574</v>
      </c>
      <c r="E892" t="s">
        <v>189</v>
      </c>
      <c r="F892" s="36">
        <v>26</v>
      </c>
      <c r="G892" t="s">
        <v>1420</v>
      </c>
      <c r="I892" cm="1">
        <f t="array" ref="I892">_xlfn.IFNA(INDEX(QHPSelections2016[],MATCH(1,(QHPSelections2016[State Name]=HIX_RatingAreas[[#This Row],[State Code]])*(QHPSelections2016[County Name]=HIX_RatingAreas[[#This Row],[Subdivision]]),0),MATCH("Silver",QHPSelections2016[#Headers],0)),0)</f>
        <v>454</v>
      </c>
      <c r="J892" cm="1">
        <f t="array" ref="J892">_xlfn.IFNA(INDEX(QHPSelections2016[],MATCH(1,(QHPSelections2016[State Name]=HIX_RatingAreas[[#This Row],[State Code]])*(QHPSelections2016[County Name]=HIX_RatingAreas[[#This Row],[Subdivision]]),0),MATCH("Total Plan Selections",QHPSelections2016[#Headers],0)),0)</f>
        <v>602</v>
      </c>
      <c r="L892" t="str" cm="1">
        <f t="array" ref="L892">INDEX(QHPSelections2016[],MATCH(1,(QHPSelections2016[State Name]=HIX_RatingAreas[[#This Row],[State Code]])*(QHPSelections2016[County Name]=HIX_RatingAreas[[#This Row],[Subdivision]]),0),MATCH("County Name",QHPSelections2016[#Headers],0))</f>
        <v>Zavala County</v>
      </c>
      <c r="M892" t="b">
        <f>L892=HIX_RatingAreas[[#This Row],[Subdivision]]</f>
        <v>1</v>
      </c>
      <c r="N892">
        <v>889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B4D6-74F0-4805-94A2-E32DAE463A4A}">
  <dimension ref="B1:BN71"/>
  <sheetViews>
    <sheetView workbookViewId="0">
      <selection activeCell="M7" sqref="M7"/>
    </sheetView>
  </sheetViews>
  <sheetFormatPr defaultRowHeight="15"/>
  <sheetData>
    <row r="1" spans="2:66">
      <c r="B1" t="s">
        <v>5209</v>
      </c>
    </row>
    <row r="2" spans="2:66">
      <c r="B2" t="s">
        <v>5227</v>
      </c>
    </row>
    <row r="3" spans="2:66">
      <c r="B3" t="s">
        <v>5226</v>
      </c>
    </row>
    <row r="5" spans="2:66" ht="25.5">
      <c r="B5" s="72" t="s">
        <v>5202</v>
      </c>
      <c r="C5" s="52" t="s">
        <v>5203</v>
      </c>
      <c r="D5" s="52" t="s">
        <v>2</v>
      </c>
      <c r="E5" s="52" t="s">
        <v>5204</v>
      </c>
      <c r="F5" s="72" t="s">
        <v>27</v>
      </c>
      <c r="G5" s="72" t="s">
        <v>29</v>
      </c>
      <c r="H5" s="72" t="s">
        <v>30</v>
      </c>
      <c r="I5" s="52" t="s">
        <v>40</v>
      </c>
      <c r="J5" s="72" t="s">
        <v>49</v>
      </c>
      <c r="K5" s="72" t="s">
        <v>56</v>
      </c>
    </row>
    <row r="6" spans="2:66" ht="25.5">
      <c r="B6" s="73"/>
      <c r="C6" s="53" t="s">
        <v>5205</v>
      </c>
      <c r="D6" s="53" t="s">
        <v>5206</v>
      </c>
      <c r="E6" s="53" t="s">
        <v>165</v>
      </c>
      <c r="F6" s="73"/>
      <c r="G6" s="73"/>
      <c r="H6" s="73"/>
      <c r="I6" s="53" t="s">
        <v>5201</v>
      </c>
      <c r="J6" s="73"/>
      <c r="K6" s="73"/>
    </row>
    <row r="7" spans="2:66" ht="25.5">
      <c r="B7" s="54" t="s">
        <v>5207</v>
      </c>
      <c r="C7" s="55">
        <v>0.76500000000000001</v>
      </c>
      <c r="D7" s="55">
        <v>0.63500000000000001</v>
      </c>
      <c r="E7" s="55">
        <v>0.65400000000000003</v>
      </c>
      <c r="F7" s="55">
        <v>0.751</v>
      </c>
      <c r="G7" s="55">
        <v>0.89</v>
      </c>
      <c r="H7" s="55">
        <v>0.63500000000000001</v>
      </c>
      <c r="I7" s="55">
        <v>0.76500000000000001</v>
      </c>
      <c r="J7" s="55">
        <v>0.63500000000000001</v>
      </c>
      <c r="K7" s="55">
        <v>0.79300000000000004</v>
      </c>
      <c r="N7" s="57" t="s">
        <v>5202</v>
      </c>
      <c r="O7" s="58"/>
      <c r="P7" s="54" t="s">
        <v>5207</v>
      </c>
      <c r="Q7" s="56">
        <v>15</v>
      </c>
      <c r="R7" s="56">
        <v>16</v>
      </c>
      <c r="S7" s="56">
        <v>17</v>
      </c>
      <c r="T7" s="56">
        <v>18</v>
      </c>
      <c r="U7" s="56">
        <v>19</v>
      </c>
      <c r="V7" s="56">
        <v>20</v>
      </c>
      <c r="W7" s="56">
        <v>21</v>
      </c>
      <c r="X7" s="56">
        <v>22</v>
      </c>
      <c r="Y7" s="56">
        <v>23</v>
      </c>
      <c r="Z7" s="56">
        <v>24</v>
      </c>
      <c r="AA7" s="56">
        <v>25</v>
      </c>
      <c r="AB7" s="56">
        <v>26</v>
      </c>
      <c r="AC7" s="56">
        <v>27</v>
      </c>
      <c r="AD7" s="56">
        <v>28</v>
      </c>
      <c r="AE7" s="56">
        <v>29</v>
      </c>
      <c r="AF7" s="56">
        <v>30</v>
      </c>
      <c r="AG7" s="56">
        <v>31</v>
      </c>
      <c r="AH7" s="56">
        <v>32</v>
      </c>
      <c r="AI7" s="56">
        <v>33</v>
      </c>
      <c r="AJ7" s="56">
        <v>34</v>
      </c>
      <c r="AK7" s="56">
        <v>35</v>
      </c>
      <c r="AL7" s="56">
        <v>36</v>
      </c>
      <c r="AM7" s="56">
        <v>37</v>
      </c>
      <c r="AN7" s="56">
        <v>38</v>
      </c>
      <c r="AO7" s="56">
        <v>39</v>
      </c>
      <c r="AP7" s="56">
        <v>40</v>
      </c>
      <c r="AQ7" s="56">
        <v>41</v>
      </c>
      <c r="AR7" s="56">
        <v>42</v>
      </c>
      <c r="AS7" s="56">
        <v>43</v>
      </c>
      <c r="AT7" s="56">
        <v>44</v>
      </c>
      <c r="AU7" s="56">
        <v>45</v>
      </c>
      <c r="AV7" s="56">
        <v>46</v>
      </c>
      <c r="AW7" s="56">
        <v>47</v>
      </c>
      <c r="AX7" s="56">
        <v>48</v>
      </c>
      <c r="AY7" s="56">
        <v>49</v>
      </c>
      <c r="AZ7" s="56">
        <v>50</v>
      </c>
      <c r="BA7" s="56">
        <v>51</v>
      </c>
      <c r="BB7" s="56">
        <v>52</v>
      </c>
      <c r="BC7" s="56">
        <v>53</v>
      </c>
      <c r="BD7" s="56">
        <v>54</v>
      </c>
      <c r="BE7" s="56">
        <v>55</v>
      </c>
      <c r="BF7" s="56">
        <v>56</v>
      </c>
      <c r="BG7" s="56">
        <v>57</v>
      </c>
      <c r="BH7" s="56">
        <v>58</v>
      </c>
      <c r="BI7" s="56">
        <v>59</v>
      </c>
      <c r="BJ7" s="56">
        <v>60</v>
      </c>
      <c r="BK7" s="56">
        <v>61</v>
      </c>
      <c r="BL7" s="56">
        <v>62</v>
      </c>
      <c r="BM7" s="56">
        <v>63</v>
      </c>
      <c r="BN7" s="54" t="s">
        <v>5208</v>
      </c>
    </row>
    <row r="8" spans="2:66" ht="25.5">
      <c r="B8" s="56">
        <v>15</v>
      </c>
      <c r="C8" s="55">
        <v>0.83299999999999996</v>
      </c>
      <c r="D8" s="55">
        <v>0.63500000000000001</v>
      </c>
      <c r="E8" s="55">
        <v>0.65400000000000003</v>
      </c>
      <c r="F8" s="55">
        <v>0.751</v>
      </c>
      <c r="G8" s="55">
        <v>0.89</v>
      </c>
      <c r="H8" s="55">
        <v>0.63500000000000001</v>
      </c>
      <c r="I8" s="55">
        <v>0.83299999999999996</v>
      </c>
      <c r="J8" s="55">
        <v>0.63500000000000001</v>
      </c>
      <c r="K8" s="55">
        <v>0.79300000000000004</v>
      </c>
      <c r="N8" s="52" t="s">
        <v>5203</v>
      </c>
      <c r="O8" s="53" t="s">
        <v>5205</v>
      </c>
      <c r="P8" s="55">
        <v>0.76500000000000001</v>
      </c>
      <c r="Q8" s="55">
        <v>0.83299999999999996</v>
      </c>
      <c r="R8" s="55">
        <v>0.85899999999999999</v>
      </c>
      <c r="S8" s="55">
        <v>0.88500000000000001</v>
      </c>
      <c r="T8" s="55">
        <v>0.91300000000000003</v>
      </c>
      <c r="U8" s="55">
        <v>0.94099999999999995</v>
      </c>
      <c r="V8" s="55">
        <v>0.97</v>
      </c>
      <c r="W8" s="55">
        <v>1</v>
      </c>
      <c r="X8" s="55">
        <v>1</v>
      </c>
      <c r="Y8" s="55">
        <v>1</v>
      </c>
      <c r="Z8" s="55">
        <v>1</v>
      </c>
      <c r="AA8" s="55">
        <v>1.004</v>
      </c>
      <c r="AB8" s="55">
        <v>1.024</v>
      </c>
      <c r="AC8" s="55">
        <v>1.048</v>
      </c>
      <c r="AD8" s="55">
        <v>1.087</v>
      </c>
      <c r="AE8" s="55">
        <v>1.119</v>
      </c>
      <c r="AF8" s="55">
        <v>1.135</v>
      </c>
      <c r="AG8" s="55">
        <v>1.159</v>
      </c>
      <c r="AH8" s="55">
        <v>1.1830000000000001</v>
      </c>
      <c r="AI8" s="55">
        <v>1.198</v>
      </c>
      <c r="AJ8" s="55">
        <v>1.214</v>
      </c>
      <c r="AK8" s="55">
        <v>1.222</v>
      </c>
      <c r="AL8" s="55">
        <v>1.23</v>
      </c>
      <c r="AM8" s="55">
        <v>1.238</v>
      </c>
      <c r="AN8" s="55">
        <v>1.246</v>
      </c>
      <c r="AO8" s="55">
        <v>1.262</v>
      </c>
      <c r="AP8" s="55">
        <v>1.278</v>
      </c>
      <c r="AQ8" s="55">
        <v>1.302</v>
      </c>
      <c r="AR8" s="55">
        <v>1.325</v>
      </c>
      <c r="AS8" s="55">
        <v>1.357</v>
      </c>
      <c r="AT8" s="55">
        <v>1.397</v>
      </c>
      <c r="AU8" s="55">
        <v>1.444</v>
      </c>
      <c r="AV8" s="55">
        <v>1.5</v>
      </c>
      <c r="AW8" s="55">
        <v>1.5629999999999999</v>
      </c>
      <c r="AX8" s="55">
        <v>1.635</v>
      </c>
      <c r="AY8" s="55">
        <v>1.706</v>
      </c>
      <c r="AZ8" s="55">
        <v>1.786</v>
      </c>
      <c r="BA8" s="55">
        <v>1.865</v>
      </c>
      <c r="BB8" s="55">
        <v>1.952</v>
      </c>
      <c r="BC8" s="55">
        <v>2.04</v>
      </c>
      <c r="BD8" s="55">
        <v>2.1349999999999998</v>
      </c>
      <c r="BE8" s="55">
        <v>2.23</v>
      </c>
      <c r="BF8" s="55">
        <v>2.3330000000000002</v>
      </c>
      <c r="BG8" s="55">
        <v>2.4369999999999998</v>
      </c>
      <c r="BH8" s="55">
        <v>2.548</v>
      </c>
      <c r="BI8" s="55">
        <v>2.6030000000000002</v>
      </c>
      <c r="BJ8" s="55">
        <v>2.714</v>
      </c>
      <c r="BK8" s="55">
        <v>2.81</v>
      </c>
      <c r="BL8" s="55">
        <v>2.8730000000000002</v>
      </c>
      <c r="BM8" s="55">
        <v>2.952</v>
      </c>
      <c r="BN8" s="55">
        <v>3</v>
      </c>
    </row>
    <row r="9" spans="2:66" ht="25.5">
      <c r="B9" s="56">
        <v>16</v>
      </c>
      <c r="C9" s="55">
        <v>0.85899999999999999</v>
      </c>
      <c r="D9" s="55">
        <v>0.63500000000000001</v>
      </c>
      <c r="E9" s="55">
        <v>0.65400000000000003</v>
      </c>
      <c r="F9" s="55">
        <v>0.751</v>
      </c>
      <c r="G9" s="55">
        <v>0.89</v>
      </c>
      <c r="H9" s="55">
        <v>0.63500000000000001</v>
      </c>
      <c r="I9" s="55">
        <v>0.85899999999999999</v>
      </c>
      <c r="J9" s="55">
        <v>0.63500000000000001</v>
      </c>
      <c r="K9" s="55">
        <v>0.79300000000000004</v>
      </c>
      <c r="N9" s="52" t="s">
        <v>2</v>
      </c>
      <c r="O9" s="53" t="s">
        <v>5206</v>
      </c>
      <c r="P9" s="55">
        <v>0.63500000000000001</v>
      </c>
      <c r="Q9" s="55">
        <v>0.63500000000000001</v>
      </c>
      <c r="R9" s="55">
        <v>0.63500000000000001</v>
      </c>
      <c r="S9" s="55">
        <v>0.63500000000000001</v>
      </c>
      <c r="T9" s="55">
        <v>0.63500000000000001</v>
      </c>
      <c r="U9" s="55">
        <v>0.63500000000000001</v>
      </c>
      <c r="V9" s="55">
        <v>0.63500000000000001</v>
      </c>
      <c r="W9" s="55">
        <v>1</v>
      </c>
      <c r="X9" s="55">
        <v>1</v>
      </c>
      <c r="Y9" s="55">
        <v>1</v>
      </c>
      <c r="Z9" s="55">
        <v>1</v>
      </c>
      <c r="AA9" s="55">
        <v>1.004</v>
      </c>
      <c r="AB9" s="55">
        <v>1.024</v>
      </c>
      <c r="AC9" s="55">
        <v>1.048</v>
      </c>
      <c r="AD9" s="55">
        <v>1.087</v>
      </c>
      <c r="AE9" s="55">
        <v>1.119</v>
      </c>
      <c r="AF9" s="55">
        <v>1.135</v>
      </c>
      <c r="AG9" s="55">
        <v>1.159</v>
      </c>
      <c r="AH9" s="55">
        <v>1.1830000000000001</v>
      </c>
      <c r="AI9" s="55">
        <v>1.198</v>
      </c>
      <c r="AJ9" s="55">
        <v>1.214</v>
      </c>
      <c r="AK9" s="55">
        <v>1.222</v>
      </c>
      <c r="AL9" s="55">
        <v>1.23</v>
      </c>
      <c r="AM9" s="55">
        <v>1.238</v>
      </c>
      <c r="AN9" s="55">
        <v>1.246</v>
      </c>
      <c r="AO9" s="55">
        <v>1.262</v>
      </c>
      <c r="AP9" s="55">
        <v>1.278</v>
      </c>
      <c r="AQ9" s="55">
        <v>1.302</v>
      </c>
      <c r="AR9" s="55">
        <v>1.325</v>
      </c>
      <c r="AS9" s="55">
        <v>1.357</v>
      </c>
      <c r="AT9" s="55">
        <v>1.397</v>
      </c>
      <c r="AU9" s="55">
        <v>1.444</v>
      </c>
      <c r="AV9" s="55">
        <v>1.5</v>
      </c>
      <c r="AW9" s="55">
        <v>1.5629999999999999</v>
      </c>
      <c r="AX9" s="55">
        <v>1.635</v>
      </c>
      <c r="AY9" s="55">
        <v>1.706</v>
      </c>
      <c r="AZ9" s="55">
        <v>1.786</v>
      </c>
      <c r="BA9" s="55">
        <v>1.865</v>
      </c>
      <c r="BB9" s="55">
        <v>1.952</v>
      </c>
      <c r="BC9" s="55">
        <v>2.04</v>
      </c>
      <c r="BD9" s="55">
        <v>2.1349999999999998</v>
      </c>
      <c r="BE9" s="55">
        <v>2.23</v>
      </c>
      <c r="BF9" s="55">
        <v>2.3330000000000002</v>
      </c>
      <c r="BG9" s="55">
        <v>2.4369999999999998</v>
      </c>
      <c r="BH9" s="55">
        <v>2.548</v>
      </c>
      <c r="BI9" s="55">
        <v>2.6030000000000002</v>
      </c>
      <c r="BJ9" s="55">
        <v>2.714</v>
      </c>
      <c r="BK9" s="55">
        <v>2.81</v>
      </c>
      <c r="BL9" s="55">
        <v>2.8730000000000002</v>
      </c>
      <c r="BM9" s="55">
        <v>2.952</v>
      </c>
      <c r="BN9" s="55">
        <v>3</v>
      </c>
    </row>
    <row r="10" spans="2:66">
      <c r="B10" s="56">
        <v>17</v>
      </c>
      <c r="C10" s="55">
        <v>0.88500000000000001</v>
      </c>
      <c r="D10" s="55">
        <v>0.63500000000000001</v>
      </c>
      <c r="E10" s="55">
        <v>0.65400000000000003</v>
      </c>
      <c r="F10" s="55">
        <v>0.751</v>
      </c>
      <c r="G10" s="55">
        <v>0.89</v>
      </c>
      <c r="H10" s="55">
        <v>0.63500000000000001</v>
      </c>
      <c r="I10" s="55">
        <v>0.88500000000000001</v>
      </c>
      <c r="J10" s="55">
        <v>0.63500000000000001</v>
      </c>
      <c r="K10" s="55">
        <v>0.79300000000000004</v>
      </c>
      <c r="N10" s="52" t="s">
        <v>5204</v>
      </c>
      <c r="O10" s="53" t="s">
        <v>165</v>
      </c>
      <c r="P10" s="55">
        <v>0.65400000000000003</v>
      </c>
      <c r="Q10" s="55">
        <v>0.65400000000000003</v>
      </c>
      <c r="R10" s="55">
        <v>0.65400000000000003</v>
      </c>
      <c r="S10" s="55">
        <v>0.65400000000000003</v>
      </c>
      <c r="T10" s="55">
        <v>0.65400000000000003</v>
      </c>
      <c r="U10" s="55">
        <v>0.65400000000000003</v>
      </c>
      <c r="V10" s="55">
        <v>0.65400000000000003</v>
      </c>
      <c r="W10" s="55">
        <v>0.72699999999999998</v>
      </c>
      <c r="X10" s="55">
        <v>0.72699999999999998</v>
      </c>
      <c r="Y10" s="55">
        <v>0.72699999999999998</v>
      </c>
      <c r="Z10" s="55">
        <v>0.72699999999999998</v>
      </c>
      <c r="AA10" s="55">
        <v>0.72699999999999998</v>
      </c>
      <c r="AB10" s="55">
        <v>0.72699999999999998</v>
      </c>
      <c r="AC10" s="55">
        <v>0.72699999999999998</v>
      </c>
      <c r="AD10" s="55">
        <v>0.74399999999999999</v>
      </c>
      <c r="AE10" s="55">
        <v>0.76</v>
      </c>
      <c r="AF10" s="55">
        <v>0.77900000000000003</v>
      </c>
      <c r="AG10" s="55">
        <v>0.79900000000000004</v>
      </c>
      <c r="AH10" s="55">
        <v>0.81699999999999995</v>
      </c>
      <c r="AI10" s="55">
        <v>0.83599999999999997</v>
      </c>
      <c r="AJ10" s="55">
        <v>0.85599999999999998</v>
      </c>
      <c r="AK10" s="55">
        <v>0.876</v>
      </c>
      <c r="AL10" s="55">
        <v>0.89600000000000002</v>
      </c>
      <c r="AM10" s="55">
        <v>0.91600000000000004</v>
      </c>
      <c r="AN10" s="55">
        <v>0.92700000000000005</v>
      </c>
      <c r="AO10" s="55">
        <v>0.93799999999999994</v>
      </c>
      <c r="AP10" s="55">
        <v>0.97499999999999998</v>
      </c>
      <c r="AQ10" s="55">
        <v>1.0129999999999999</v>
      </c>
      <c r="AR10" s="55">
        <v>1.0529999999999999</v>
      </c>
      <c r="AS10" s="55">
        <v>1.0940000000000001</v>
      </c>
      <c r="AT10" s="55">
        <v>1.137</v>
      </c>
      <c r="AU10" s="55">
        <v>1.181</v>
      </c>
      <c r="AV10" s="55">
        <v>1.2270000000000001</v>
      </c>
      <c r="AW10" s="55">
        <v>1.2749999999999999</v>
      </c>
      <c r="AX10" s="55">
        <v>1.325</v>
      </c>
      <c r="AY10" s="55">
        <v>1.377</v>
      </c>
      <c r="AZ10" s="55">
        <v>1.431</v>
      </c>
      <c r="BA10" s="55">
        <v>1.4870000000000001</v>
      </c>
      <c r="BB10" s="55">
        <v>1.5449999999999999</v>
      </c>
      <c r="BC10" s="55">
        <v>1.605</v>
      </c>
      <c r="BD10" s="55">
        <v>1.6679999999999999</v>
      </c>
      <c r="BE10" s="55">
        <v>1.7330000000000001</v>
      </c>
      <c r="BF10" s="55">
        <v>1.8009999999999999</v>
      </c>
      <c r="BG10" s="55">
        <v>1.871</v>
      </c>
      <c r="BH10" s="55">
        <v>1.944</v>
      </c>
      <c r="BI10" s="55">
        <v>2.02</v>
      </c>
      <c r="BJ10" s="55">
        <v>2.0990000000000002</v>
      </c>
      <c r="BK10" s="55">
        <v>2.181</v>
      </c>
      <c r="BL10" s="55">
        <v>2.181</v>
      </c>
      <c r="BM10" s="55">
        <v>2.181</v>
      </c>
      <c r="BN10" s="55">
        <v>2.181</v>
      </c>
    </row>
    <row r="11" spans="2:66" ht="15" customHeight="1">
      <c r="B11" s="56">
        <v>18</v>
      </c>
      <c r="C11" s="55">
        <v>0.91300000000000003</v>
      </c>
      <c r="D11" s="55">
        <v>0.63500000000000001</v>
      </c>
      <c r="E11" s="55">
        <v>0.65400000000000003</v>
      </c>
      <c r="F11" s="55">
        <v>0.751</v>
      </c>
      <c r="G11" s="55">
        <v>0.89</v>
      </c>
      <c r="H11" s="55">
        <v>0.63500000000000001</v>
      </c>
      <c r="I11" s="55">
        <v>0.91300000000000003</v>
      </c>
      <c r="J11" s="55">
        <v>0.63500000000000001</v>
      </c>
      <c r="K11" s="55">
        <v>0.79300000000000004</v>
      </c>
      <c r="N11" s="57" t="s">
        <v>27</v>
      </c>
      <c r="O11" s="58"/>
      <c r="P11" s="55">
        <v>0.751</v>
      </c>
      <c r="Q11" s="55">
        <v>0.751</v>
      </c>
      <c r="R11" s="55">
        <v>0.751</v>
      </c>
      <c r="S11" s="55">
        <v>0.751</v>
      </c>
      <c r="T11" s="55">
        <v>0.751</v>
      </c>
      <c r="U11" s="55">
        <v>0.751</v>
      </c>
      <c r="V11" s="55">
        <v>0.751</v>
      </c>
      <c r="W11" s="55">
        <v>1.1830000000000001</v>
      </c>
      <c r="X11" s="55">
        <v>1.1830000000000001</v>
      </c>
      <c r="Y11" s="55">
        <v>1.1830000000000001</v>
      </c>
      <c r="Z11" s="55">
        <v>1.1830000000000001</v>
      </c>
      <c r="AA11" s="55">
        <v>1.1830000000000001</v>
      </c>
      <c r="AB11" s="55">
        <v>1.1830000000000001</v>
      </c>
      <c r="AC11" s="55">
        <v>1.22</v>
      </c>
      <c r="AD11" s="55">
        <v>1.25</v>
      </c>
      <c r="AE11" s="55">
        <v>1.2749999999999999</v>
      </c>
      <c r="AF11" s="55">
        <v>1.2869999999999999</v>
      </c>
      <c r="AG11" s="55">
        <v>1.3049999999999999</v>
      </c>
      <c r="AH11" s="55">
        <v>1.323</v>
      </c>
      <c r="AI11" s="55">
        <v>1.3340000000000001</v>
      </c>
      <c r="AJ11" s="55">
        <v>1.3460000000000001</v>
      </c>
      <c r="AK11" s="55">
        <v>1.3520000000000001</v>
      </c>
      <c r="AL11" s="55">
        <v>1.3580000000000001</v>
      </c>
      <c r="AM11" s="55">
        <v>1.363</v>
      </c>
      <c r="AN11" s="55">
        <v>1.369</v>
      </c>
      <c r="AO11" s="55">
        <v>1.381</v>
      </c>
      <c r="AP11" s="55">
        <v>1.393</v>
      </c>
      <c r="AQ11" s="55">
        <v>1.41</v>
      </c>
      <c r="AR11" s="55">
        <v>1.427</v>
      </c>
      <c r="AS11" s="55">
        <v>1.45</v>
      </c>
      <c r="AT11" s="55">
        <v>1.478</v>
      </c>
      <c r="AU11" s="55">
        <v>1.5109999999999999</v>
      </c>
      <c r="AV11" s="55">
        <v>1.55</v>
      </c>
      <c r="AW11" s="55">
        <v>1.593</v>
      </c>
      <c r="AX11" s="55">
        <v>1.641</v>
      </c>
      <c r="AY11" s="55">
        <v>1.6879999999999999</v>
      </c>
      <c r="AZ11" s="55">
        <v>1.7410000000000001</v>
      </c>
      <c r="BA11" s="55">
        <v>1.792</v>
      </c>
      <c r="BB11" s="55">
        <v>1.847</v>
      </c>
      <c r="BC11" s="55">
        <v>1.9019999999999999</v>
      </c>
      <c r="BD11" s="55">
        <v>1.9610000000000001</v>
      </c>
      <c r="BE11" s="55">
        <v>2.0190000000000001</v>
      </c>
      <c r="BF11" s="55">
        <v>2.08</v>
      </c>
      <c r="BG11" s="55">
        <v>2.1419999999999999</v>
      </c>
      <c r="BH11" s="55">
        <v>2.206</v>
      </c>
      <c r="BI11" s="55">
        <v>2.2799999999999998</v>
      </c>
      <c r="BJ11" s="55">
        <v>2.3650000000000002</v>
      </c>
      <c r="BK11" s="55">
        <v>2.3650000000000002</v>
      </c>
      <c r="BL11" s="55">
        <v>2.3650000000000002</v>
      </c>
      <c r="BM11" s="55">
        <v>2.3650000000000002</v>
      </c>
      <c r="BN11" s="55">
        <v>2.3650000000000002</v>
      </c>
    </row>
    <row r="12" spans="2:66" ht="15" customHeight="1">
      <c r="B12" s="56">
        <v>19</v>
      </c>
      <c r="C12" s="55">
        <v>0.94099999999999995</v>
      </c>
      <c r="D12" s="55">
        <v>0.63500000000000001</v>
      </c>
      <c r="E12" s="55">
        <v>0.65400000000000003</v>
      </c>
      <c r="F12" s="55">
        <v>0.751</v>
      </c>
      <c r="G12" s="55">
        <v>0.89</v>
      </c>
      <c r="H12" s="55">
        <v>0.63500000000000001</v>
      </c>
      <c r="I12" s="55">
        <v>0.94099999999999995</v>
      </c>
      <c r="J12" s="55">
        <v>0.63500000000000001</v>
      </c>
      <c r="K12" s="55">
        <v>0.79300000000000004</v>
      </c>
      <c r="N12" s="57" t="s">
        <v>29</v>
      </c>
      <c r="O12" s="58"/>
      <c r="P12" s="55">
        <v>0.89</v>
      </c>
      <c r="Q12" s="55">
        <v>0.89</v>
      </c>
      <c r="R12" s="55">
        <v>0.89</v>
      </c>
      <c r="S12" s="55">
        <v>0.89</v>
      </c>
      <c r="T12" s="55">
        <v>0.89</v>
      </c>
      <c r="U12" s="55">
        <v>0.89</v>
      </c>
      <c r="V12" s="55">
        <v>0.89</v>
      </c>
      <c r="W12" s="55">
        <v>1</v>
      </c>
      <c r="X12" s="55">
        <v>1</v>
      </c>
      <c r="Y12" s="55">
        <v>1</v>
      </c>
      <c r="Z12" s="55">
        <v>1</v>
      </c>
      <c r="AA12" s="55">
        <v>1.004</v>
      </c>
      <c r="AB12" s="55">
        <v>1.024</v>
      </c>
      <c r="AC12" s="55">
        <v>1.048</v>
      </c>
      <c r="AD12" s="55">
        <v>1.087</v>
      </c>
      <c r="AE12" s="55">
        <v>1.119</v>
      </c>
      <c r="AF12" s="55">
        <v>1.135</v>
      </c>
      <c r="AG12" s="55">
        <v>1.159</v>
      </c>
      <c r="AH12" s="55">
        <v>1.1830000000000001</v>
      </c>
      <c r="AI12" s="55">
        <v>1.198</v>
      </c>
      <c r="AJ12" s="55">
        <v>1.214</v>
      </c>
      <c r="AK12" s="55">
        <v>1.222</v>
      </c>
      <c r="AL12" s="55">
        <v>1.23</v>
      </c>
      <c r="AM12" s="55">
        <v>1.238</v>
      </c>
      <c r="AN12" s="55">
        <v>1.246</v>
      </c>
      <c r="AO12" s="55">
        <v>1.262</v>
      </c>
      <c r="AP12" s="55">
        <v>1.278</v>
      </c>
      <c r="AQ12" s="55">
        <v>1.302</v>
      </c>
      <c r="AR12" s="55">
        <v>1.325</v>
      </c>
      <c r="AS12" s="55">
        <v>1.357</v>
      </c>
      <c r="AT12" s="55">
        <v>1.397</v>
      </c>
      <c r="AU12" s="55">
        <v>1.444</v>
      </c>
      <c r="AV12" s="55">
        <v>1.5</v>
      </c>
      <c r="AW12" s="55">
        <v>1.5629999999999999</v>
      </c>
      <c r="AX12" s="55">
        <v>1.635</v>
      </c>
      <c r="AY12" s="55">
        <v>1.706</v>
      </c>
      <c r="AZ12" s="55">
        <v>1.786</v>
      </c>
      <c r="BA12" s="55">
        <v>1.865</v>
      </c>
      <c r="BB12" s="55">
        <v>1.952</v>
      </c>
      <c r="BC12" s="55">
        <v>2.04</v>
      </c>
      <c r="BD12" s="55">
        <v>2.1349999999999998</v>
      </c>
      <c r="BE12" s="55">
        <v>2.23</v>
      </c>
      <c r="BF12" s="55">
        <v>2.3330000000000002</v>
      </c>
      <c r="BG12" s="55">
        <v>2.4369999999999998</v>
      </c>
      <c r="BH12" s="55">
        <v>2.548</v>
      </c>
      <c r="BI12" s="55">
        <v>2.6030000000000002</v>
      </c>
      <c r="BJ12" s="55">
        <v>2.714</v>
      </c>
      <c r="BK12" s="55">
        <v>2.81</v>
      </c>
      <c r="BL12" s="55">
        <v>2.8730000000000002</v>
      </c>
      <c r="BM12" s="55">
        <v>2.952</v>
      </c>
      <c r="BN12" s="55">
        <v>3</v>
      </c>
    </row>
    <row r="13" spans="2:66">
      <c r="B13" s="56">
        <v>20</v>
      </c>
      <c r="C13" s="55">
        <v>0.97</v>
      </c>
      <c r="D13" s="55">
        <v>0.63500000000000001</v>
      </c>
      <c r="E13" s="55">
        <v>0.65400000000000003</v>
      </c>
      <c r="F13" s="55">
        <v>0.751</v>
      </c>
      <c r="G13" s="55">
        <v>0.89</v>
      </c>
      <c r="H13" s="55">
        <v>0.63500000000000001</v>
      </c>
      <c r="I13" s="55">
        <v>0.97</v>
      </c>
      <c r="J13" s="55">
        <v>0.63500000000000001</v>
      </c>
      <c r="K13" s="55">
        <v>0.79300000000000004</v>
      </c>
      <c r="N13" s="57" t="s">
        <v>30</v>
      </c>
      <c r="O13" s="58"/>
      <c r="P13" s="55">
        <v>0.63500000000000001</v>
      </c>
      <c r="Q13" s="55">
        <v>0.63500000000000001</v>
      </c>
      <c r="R13" s="55">
        <v>0.63500000000000001</v>
      </c>
      <c r="S13" s="55">
        <v>0.63500000000000001</v>
      </c>
      <c r="T13" s="55">
        <v>0.63500000000000001</v>
      </c>
      <c r="U13" s="55">
        <v>0.63500000000000001</v>
      </c>
      <c r="V13" s="55">
        <v>0.63500000000000001</v>
      </c>
      <c r="W13" s="55">
        <v>1</v>
      </c>
      <c r="X13" s="55">
        <v>1</v>
      </c>
      <c r="Y13" s="55">
        <v>1</v>
      </c>
      <c r="Z13" s="55">
        <v>1</v>
      </c>
      <c r="AA13" s="55">
        <v>1.004</v>
      </c>
      <c r="AB13" s="55">
        <v>1.024</v>
      </c>
      <c r="AC13" s="55">
        <v>1.048</v>
      </c>
      <c r="AD13" s="55">
        <v>1.087</v>
      </c>
      <c r="AE13" s="55">
        <v>1.119</v>
      </c>
      <c r="AF13" s="55">
        <v>1.135</v>
      </c>
      <c r="AG13" s="55">
        <v>1.159</v>
      </c>
      <c r="AH13" s="55">
        <v>1.1830000000000001</v>
      </c>
      <c r="AI13" s="55">
        <v>1.198</v>
      </c>
      <c r="AJ13" s="55">
        <v>1.214</v>
      </c>
      <c r="AK13" s="55">
        <v>1.222</v>
      </c>
      <c r="AL13" s="55">
        <v>1.23</v>
      </c>
      <c r="AM13" s="55">
        <v>1.238</v>
      </c>
      <c r="AN13" s="55">
        <v>1.246</v>
      </c>
      <c r="AO13" s="55">
        <v>1.262</v>
      </c>
      <c r="AP13" s="55">
        <v>1.278</v>
      </c>
      <c r="AQ13" s="55">
        <v>1.302</v>
      </c>
      <c r="AR13" s="55">
        <v>1.325</v>
      </c>
      <c r="AS13" s="55">
        <v>1.357</v>
      </c>
      <c r="AT13" s="55">
        <v>1.397</v>
      </c>
      <c r="AU13" s="55">
        <v>1.444</v>
      </c>
      <c r="AV13" s="55">
        <v>1.5</v>
      </c>
      <c r="AW13" s="55">
        <v>1.5629999999999999</v>
      </c>
      <c r="AX13" s="55">
        <v>1.635</v>
      </c>
      <c r="AY13" s="55">
        <v>1.706</v>
      </c>
      <c r="AZ13" s="55">
        <v>1.786</v>
      </c>
      <c r="BA13" s="55">
        <v>1.865</v>
      </c>
      <c r="BB13" s="55">
        <v>1.952</v>
      </c>
      <c r="BC13" s="55">
        <v>2.04</v>
      </c>
      <c r="BD13" s="55">
        <v>2.1349999999999998</v>
      </c>
      <c r="BE13" s="55">
        <v>2.23</v>
      </c>
      <c r="BF13" s="55">
        <v>2.3330000000000002</v>
      </c>
      <c r="BG13" s="55">
        <v>2.4369999999999998</v>
      </c>
      <c r="BH13" s="55">
        <v>2.548</v>
      </c>
      <c r="BI13" s="55">
        <v>2.6030000000000002</v>
      </c>
      <c r="BJ13" s="55">
        <v>2.714</v>
      </c>
      <c r="BK13" s="55">
        <v>2.81</v>
      </c>
      <c r="BL13" s="55">
        <v>2.8730000000000002</v>
      </c>
      <c r="BM13" s="55">
        <v>2.952</v>
      </c>
      <c r="BN13" s="55">
        <v>3</v>
      </c>
    </row>
    <row r="14" spans="2:66">
      <c r="B14" s="56">
        <v>21</v>
      </c>
      <c r="C14" s="55">
        <v>1</v>
      </c>
      <c r="D14" s="55">
        <v>1</v>
      </c>
      <c r="E14" s="55">
        <v>0.72699999999999998</v>
      </c>
      <c r="F14" s="55">
        <v>1.1830000000000001</v>
      </c>
      <c r="G14" s="55">
        <v>1</v>
      </c>
      <c r="H14" s="55">
        <v>1</v>
      </c>
      <c r="I14" s="55">
        <v>1.25</v>
      </c>
      <c r="J14" s="55">
        <v>1</v>
      </c>
      <c r="K14" s="55">
        <v>1</v>
      </c>
      <c r="N14" s="57" t="s">
        <v>49</v>
      </c>
      <c r="O14" s="58"/>
      <c r="P14" s="55">
        <v>0.63500000000000001</v>
      </c>
      <c r="Q14" s="55">
        <v>0.63500000000000001</v>
      </c>
      <c r="R14" s="55">
        <v>0.63500000000000001</v>
      </c>
      <c r="S14" s="55">
        <v>0.63500000000000001</v>
      </c>
      <c r="T14" s="55">
        <v>0.63500000000000001</v>
      </c>
      <c r="U14" s="55">
        <v>0.63500000000000001</v>
      </c>
      <c r="V14" s="55">
        <v>0.63500000000000001</v>
      </c>
      <c r="W14" s="55">
        <v>1</v>
      </c>
      <c r="X14" s="55">
        <v>1</v>
      </c>
      <c r="Y14" s="55">
        <v>1</v>
      </c>
      <c r="Z14" s="55">
        <v>1</v>
      </c>
      <c r="AA14" s="55">
        <v>1.004</v>
      </c>
      <c r="AB14" s="55">
        <v>1.024</v>
      </c>
      <c r="AC14" s="55">
        <v>1.048</v>
      </c>
      <c r="AD14" s="55">
        <v>1.087</v>
      </c>
      <c r="AE14" s="55">
        <v>1.119</v>
      </c>
      <c r="AF14" s="55">
        <v>1.135</v>
      </c>
      <c r="AG14" s="55">
        <v>1.159</v>
      </c>
      <c r="AH14" s="55">
        <v>1.1830000000000001</v>
      </c>
      <c r="AI14" s="55">
        <v>1.198</v>
      </c>
      <c r="AJ14" s="55">
        <v>1.214</v>
      </c>
      <c r="AK14" s="55">
        <v>1.222</v>
      </c>
      <c r="AL14" s="55">
        <v>1.23</v>
      </c>
      <c r="AM14" s="55">
        <v>1.238</v>
      </c>
      <c r="AN14" s="55">
        <v>1.246</v>
      </c>
      <c r="AO14" s="55">
        <v>1.262</v>
      </c>
      <c r="AP14" s="55">
        <v>1.278</v>
      </c>
      <c r="AQ14" s="55">
        <v>1.302</v>
      </c>
      <c r="AR14" s="55">
        <v>1.325</v>
      </c>
      <c r="AS14" s="55">
        <v>1.357</v>
      </c>
      <c r="AT14" s="55">
        <v>1.397</v>
      </c>
      <c r="AU14" s="55">
        <v>1.444</v>
      </c>
      <c r="AV14" s="55">
        <v>1.5</v>
      </c>
      <c r="AW14" s="55">
        <v>1.5629999999999999</v>
      </c>
      <c r="AX14" s="55">
        <v>1.635</v>
      </c>
      <c r="AY14" s="55">
        <v>1.706</v>
      </c>
      <c r="AZ14" s="55">
        <v>1.786</v>
      </c>
      <c r="BA14" s="55">
        <v>1.865</v>
      </c>
      <c r="BB14" s="55">
        <v>1.952</v>
      </c>
      <c r="BC14" s="55">
        <v>2.04</v>
      </c>
      <c r="BD14" s="55">
        <v>2.1349999999999998</v>
      </c>
      <c r="BE14" s="55">
        <v>2.23</v>
      </c>
      <c r="BF14" s="55">
        <v>2.3330000000000002</v>
      </c>
      <c r="BG14" s="55">
        <v>2.4369999999999998</v>
      </c>
      <c r="BH14" s="55">
        <v>2.548</v>
      </c>
      <c r="BI14" s="55">
        <v>2.6030000000000002</v>
      </c>
      <c r="BJ14" s="55">
        <v>2.714</v>
      </c>
      <c r="BK14" s="55">
        <v>2.81</v>
      </c>
      <c r="BL14" s="55">
        <v>2.8730000000000002</v>
      </c>
      <c r="BM14" s="55">
        <v>2.952</v>
      </c>
      <c r="BN14" s="55">
        <v>3</v>
      </c>
    </row>
    <row r="15" spans="2:66">
      <c r="B15" s="56">
        <v>22</v>
      </c>
      <c r="C15" s="55">
        <v>1</v>
      </c>
      <c r="D15" s="55">
        <v>1</v>
      </c>
      <c r="E15" s="55">
        <v>0.72699999999999998</v>
      </c>
      <c r="F15" s="55">
        <v>1.1830000000000001</v>
      </c>
      <c r="G15" s="55">
        <v>1</v>
      </c>
      <c r="H15" s="55">
        <v>1</v>
      </c>
      <c r="I15" s="55">
        <v>1.25</v>
      </c>
      <c r="J15" s="55">
        <v>1</v>
      </c>
      <c r="K15" s="55">
        <v>1.05</v>
      </c>
      <c r="N15" s="57" t="s">
        <v>56</v>
      </c>
      <c r="O15" s="58"/>
      <c r="P15" s="55">
        <v>0.79300000000000004</v>
      </c>
      <c r="Q15" s="55">
        <v>0.79300000000000004</v>
      </c>
      <c r="R15" s="55">
        <v>0.79300000000000004</v>
      </c>
      <c r="S15" s="55">
        <v>0.79300000000000004</v>
      </c>
      <c r="T15" s="55">
        <v>0.79300000000000004</v>
      </c>
      <c r="U15" s="55">
        <v>0.79300000000000004</v>
      </c>
      <c r="V15" s="55">
        <v>0.79300000000000004</v>
      </c>
      <c r="W15" s="55">
        <v>1</v>
      </c>
      <c r="X15" s="55">
        <v>1.05</v>
      </c>
      <c r="Y15" s="55">
        <v>1.113</v>
      </c>
      <c r="Z15" s="55">
        <v>1.1910000000000001</v>
      </c>
      <c r="AA15" s="55">
        <v>1.298</v>
      </c>
      <c r="AB15" s="55">
        <v>1.363</v>
      </c>
      <c r="AC15" s="55">
        <v>1.39</v>
      </c>
      <c r="AD15" s="55">
        <v>1.39</v>
      </c>
      <c r="AE15" s="55">
        <v>1.39</v>
      </c>
      <c r="AF15" s="55">
        <v>1.39</v>
      </c>
      <c r="AG15" s="55">
        <v>1.39</v>
      </c>
      <c r="AH15" s="55">
        <v>1.39</v>
      </c>
      <c r="AI15" s="55">
        <v>1.39</v>
      </c>
      <c r="AJ15" s="55">
        <v>1.39</v>
      </c>
      <c r="AK15" s="55">
        <v>1.39</v>
      </c>
      <c r="AL15" s="55">
        <v>1.39</v>
      </c>
      <c r="AM15" s="55">
        <v>1.4039999999999999</v>
      </c>
      <c r="AN15" s="55">
        <v>1.425</v>
      </c>
      <c r="AO15" s="55">
        <v>1.45</v>
      </c>
      <c r="AP15" s="55">
        <v>1.4790000000000001</v>
      </c>
      <c r="AQ15" s="55">
        <v>1.516</v>
      </c>
      <c r="AR15" s="55">
        <v>1.5620000000000001</v>
      </c>
      <c r="AS15" s="55">
        <v>1.6160000000000001</v>
      </c>
      <c r="AT15" s="55">
        <v>1.681</v>
      </c>
      <c r="AU15" s="55">
        <v>1.748</v>
      </c>
      <c r="AV15" s="55">
        <v>1.8180000000000001</v>
      </c>
      <c r="AW15" s="55">
        <v>1.891</v>
      </c>
      <c r="AX15" s="55">
        <v>1.966</v>
      </c>
      <c r="AY15" s="55">
        <v>2.0449999999999999</v>
      </c>
      <c r="AZ15" s="55">
        <v>2.1269999999999998</v>
      </c>
      <c r="BA15" s="55">
        <v>2.2120000000000002</v>
      </c>
      <c r="BB15" s="55">
        <v>2.2999999999999998</v>
      </c>
      <c r="BC15" s="55">
        <v>2.3919999999999999</v>
      </c>
      <c r="BD15" s="55">
        <v>2.488</v>
      </c>
      <c r="BE15" s="55">
        <v>2.5880000000000001</v>
      </c>
      <c r="BF15" s="55">
        <v>2.6909999999999998</v>
      </c>
      <c r="BG15" s="55">
        <v>2.7989999999999999</v>
      </c>
      <c r="BH15" s="55">
        <v>2.911</v>
      </c>
      <c r="BI15" s="55">
        <v>3</v>
      </c>
      <c r="BJ15" s="55">
        <v>3</v>
      </c>
      <c r="BK15" s="55">
        <v>3</v>
      </c>
      <c r="BL15" s="55">
        <v>3</v>
      </c>
      <c r="BM15" s="55">
        <v>3</v>
      </c>
      <c r="BN15" s="55">
        <v>3</v>
      </c>
    </row>
    <row r="16" spans="2:66">
      <c r="B16" s="56">
        <v>23</v>
      </c>
      <c r="C16" s="55">
        <v>1</v>
      </c>
      <c r="D16" s="55">
        <v>1</v>
      </c>
      <c r="E16" s="55">
        <v>0.72699999999999998</v>
      </c>
      <c r="F16" s="55">
        <v>1.1830000000000001</v>
      </c>
      <c r="G16" s="55">
        <v>1</v>
      </c>
      <c r="H16" s="55">
        <v>1</v>
      </c>
      <c r="I16" s="55">
        <v>1.25</v>
      </c>
      <c r="J16" s="55">
        <v>1</v>
      </c>
      <c r="K16" s="55">
        <v>1.113</v>
      </c>
    </row>
    <row r="17" spans="2:66">
      <c r="B17" s="56">
        <v>24</v>
      </c>
      <c r="C17" s="55">
        <v>1</v>
      </c>
      <c r="D17" s="55">
        <v>1</v>
      </c>
      <c r="E17" s="55">
        <v>0.72699999999999998</v>
      </c>
      <c r="F17" s="55">
        <v>1.1830000000000001</v>
      </c>
      <c r="G17" s="55">
        <v>1</v>
      </c>
      <c r="H17" s="55">
        <v>1</v>
      </c>
      <c r="I17" s="55">
        <v>1.25</v>
      </c>
      <c r="J17" s="55">
        <v>1</v>
      </c>
      <c r="K17" s="55">
        <v>1.1910000000000001</v>
      </c>
    </row>
    <row r="18" spans="2:66" ht="25.5">
      <c r="B18" s="56">
        <v>25</v>
      </c>
      <c r="C18" s="55">
        <v>1.004</v>
      </c>
      <c r="D18" s="55">
        <v>1.004</v>
      </c>
      <c r="E18" s="55">
        <v>0.72699999999999998</v>
      </c>
      <c r="F18" s="55">
        <v>1.1830000000000001</v>
      </c>
      <c r="G18" s="55">
        <v>1.004</v>
      </c>
      <c r="H18" s="55">
        <v>1.004</v>
      </c>
      <c r="I18" s="55">
        <v>1.25</v>
      </c>
      <c r="J18" s="55">
        <v>1.004</v>
      </c>
      <c r="K18" s="55">
        <v>1.298</v>
      </c>
      <c r="N18" s="52" t="s">
        <v>40</v>
      </c>
      <c r="O18" s="53" t="s">
        <v>5201</v>
      </c>
      <c r="P18" s="55">
        <v>0.76500000000000001</v>
      </c>
      <c r="Q18" s="55">
        <v>0.83299999999999996</v>
      </c>
      <c r="R18" s="55">
        <v>0.85899999999999999</v>
      </c>
      <c r="S18" s="55">
        <v>0.88500000000000001</v>
      </c>
      <c r="T18" s="55">
        <v>0.91300000000000003</v>
      </c>
      <c r="U18" s="55">
        <v>0.94099999999999995</v>
      </c>
      <c r="V18" s="55">
        <v>0.97</v>
      </c>
      <c r="W18" s="55">
        <v>1.25</v>
      </c>
      <c r="X18" s="55">
        <v>1.25</v>
      </c>
      <c r="Y18" s="55">
        <v>1.25</v>
      </c>
      <c r="Z18" s="55">
        <v>1.25</v>
      </c>
      <c r="AA18" s="55">
        <v>1.25</v>
      </c>
      <c r="AB18" s="55">
        <v>1.25</v>
      </c>
      <c r="AC18" s="55">
        <v>1.25</v>
      </c>
      <c r="AD18" s="55">
        <v>1.25</v>
      </c>
      <c r="AE18" s="55">
        <v>1.2749999999999999</v>
      </c>
      <c r="AF18" s="55">
        <v>1.2869999999999999</v>
      </c>
      <c r="AG18" s="55">
        <v>1.3049999999999999</v>
      </c>
      <c r="AH18" s="55">
        <v>1.323</v>
      </c>
      <c r="AI18" s="55">
        <v>1.3340000000000001</v>
      </c>
      <c r="AJ18" s="55">
        <v>1.3460000000000001</v>
      </c>
      <c r="AK18" s="55">
        <v>1.3520000000000001</v>
      </c>
      <c r="AL18" s="55">
        <v>1.3580000000000001</v>
      </c>
      <c r="AM18" s="55">
        <v>1.363</v>
      </c>
      <c r="AN18" s="55">
        <v>1.369</v>
      </c>
      <c r="AO18" s="55">
        <v>1.381</v>
      </c>
      <c r="AP18" s="55">
        <v>1.393</v>
      </c>
      <c r="AQ18" s="55">
        <v>1.41</v>
      </c>
      <c r="AR18" s="55">
        <v>1.427</v>
      </c>
      <c r="AS18" s="55">
        <v>1.45</v>
      </c>
      <c r="AT18" s="55">
        <v>1.478</v>
      </c>
      <c r="AU18" s="55">
        <v>1.5109999999999999</v>
      </c>
      <c r="AV18" s="55">
        <v>1.55</v>
      </c>
      <c r="AW18" s="55">
        <v>1.593</v>
      </c>
      <c r="AX18" s="55">
        <v>1.641</v>
      </c>
      <c r="AY18" s="55">
        <v>1.6879999999999999</v>
      </c>
      <c r="AZ18" s="55">
        <v>1.7410000000000001</v>
      </c>
      <c r="BA18" s="55">
        <v>1.792</v>
      </c>
      <c r="BB18" s="55">
        <v>1.847</v>
      </c>
      <c r="BC18" s="55">
        <v>1.9019999999999999</v>
      </c>
      <c r="BD18" s="55">
        <v>1.9610000000000001</v>
      </c>
      <c r="BE18" s="55">
        <v>2.0190000000000001</v>
      </c>
      <c r="BF18" s="55">
        <v>2.08</v>
      </c>
      <c r="BG18" s="55">
        <v>2.1419999999999999</v>
      </c>
      <c r="BH18" s="55">
        <v>2.206</v>
      </c>
      <c r="BI18" s="55">
        <v>2.2799999999999998</v>
      </c>
      <c r="BJ18" s="55">
        <v>2.2799999999999998</v>
      </c>
      <c r="BK18" s="55">
        <v>2.2799999999999998</v>
      </c>
      <c r="BL18" s="55">
        <v>2.2799999999999998</v>
      </c>
      <c r="BM18" s="55">
        <v>2.2799999999999998</v>
      </c>
      <c r="BN18" s="55">
        <v>2.2799999999999998</v>
      </c>
    </row>
    <row r="19" spans="2:66">
      <c r="B19" s="56">
        <v>26</v>
      </c>
      <c r="C19" s="55">
        <v>1.024</v>
      </c>
      <c r="D19" s="55">
        <v>1.024</v>
      </c>
      <c r="E19" s="55">
        <v>0.72699999999999998</v>
      </c>
      <c r="F19" s="55">
        <v>1.1830000000000001</v>
      </c>
      <c r="G19" s="55">
        <v>1.024</v>
      </c>
      <c r="H19" s="55">
        <v>1.024</v>
      </c>
      <c r="I19" s="55">
        <v>1.25</v>
      </c>
      <c r="J19" s="55">
        <v>1.024</v>
      </c>
      <c r="K19" s="55">
        <v>1.363</v>
      </c>
    </row>
    <row r="20" spans="2:66">
      <c r="B20" s="56">
        <v>27</v>
      </c>
      <c r="C20" s="55">
        <v>1.048</v>
      </c>
      <c r="D20" s="55">
        <v>1.048</v>
      </c>
      <c r="E20" s="55">
        <v>0.72699999999999998</v>
      </c>
      <c r="F20" s="55">
        <v>1.22</v>
      </c>
      <c r="G20" s="55">
        <v>1.048</v>
      </c>
      <c r="H20" s="55">
        <v>1.048</v>
      </c>
      <c r="I20" s="55">
        <v>1.25</v>
      </c>
      <c r="J20" s="55">
        <v>1.048</v>
      </c>
      <c r="K20" s="55">
        <v>1.39</v>
      </c>
    </row>
    <row r="21" spans="2:66">
      <c r="B21" s="56">
        <v>28</v>
      </c>
      <c r="C21" s="55">
        <v>1.087</v>
      </c>
      <c r="D21" s="55">
        <v>1.087</v>
      </c>
      <c r="E21" s="55">
        <v>0.74399999999999999</v>
      </c>
      <c r="F21" s="55">
        <v>1.25</v>
      </c>
      <c r="G21" s="55">
        <v>1.087</v>
      </c>
      <c r="H21" s="55">
        <v>1.087</v>
      </c>
      <c r="I21" s="55">
        <v>1.25</v>
      </c>
      <c r="J21" s="55">
        <v>1.087</v>
      </c>
      <c r="K21" s="55">
        <v>1.39</v>
      </c>
    </row>
    <row r="22" spans="2:66">
      <c r="B22" s="56">
        <v>29</v>
      </c>
      <c r="C22" s="55">
        <v>1.119</v>
      </c>
      <c r="D22" s="55">
        <v>1.119</v>
      </c>
      <c r="E22" s="55">
        <v>0.76</v>
      </c>
      <c r="F22" s="55">
        <v>1.2749999999999999</v>
      </c>
      <c r="G22" s="55">
        <v>1.119</v>
      </c>
      <c r="H22" s="55">
        <v>1.119</v>
      </c>
      <c r="I22" s="55">
        <v>1.2749999999999999</v>
      </c>
      <c r="J22" s="55">
        <v>1.119</v>
      </c>
      <c r="K22" s="55">
        <v>1.39</v>
      </c>
    </row>
    <row r="23" spans="2:66">
      <c r="B23" s="56">
        <v>30</v>
      </c>
      <c r="C23" s="55">
        <v>1.135</v>
      </c>
      <c r="D23" s="55">
        <v>1.135</v>
      </c>
      <c r="E23" s="55">
        <v>0.77900000000000003</v>
      </c>
      <c r="F23" s="55">
        <v>1.2869999999999999</v>
      </c>
      <c r="G23" s="55">
        <v>1.135</v>
      </c>
      <c r="H23" s="55">
        <v>1.135</v>
      </c>
      <c r="I23" s="55">
        <v>1.2869999999999999</v>
      </c>
      <c r="J23" s="55">
        <v>1.135</v>
      </c>
      <c r="K23" s="55">
        <v>1.39</v>
      </c>
    </row>
    <row r="24" spans="2:66">
      <c r="B24" s="56">
        <v>31</v>
      </c>
      <c r="C24" s="55">
        <v>1.159</v>
      </c>
      <c r="D24" s="55">
        <v>1.159</v>
      </c>
      <c r="E24" s="55">
        <v>0.79900000000000004</v>
      </c>
      <c r="F24" s="55">
        <v>1.3049999999999999</v>
      </c>
      <c r="G24" s="55">
        <v>1.159</v>
      </c>
      <c r="H24" s="55">
        <v>1.159</v>
      </c>
      <c r="I24" s="55">
        <v>1.3049999999999999</v>
      </c>
      <c r="J24" s="55">
        <v>1.159</v>
      </c>
      <c r="K24" s="55">
        <v>1.39</v>
      </c>
    </row>
    <row r="25" spans="2:66">
      <c r="B25" s="56">
        <v>32</v>
      </c>
      <c r="C25" s="55">
        <v>1.1830000000000001</v>
      </c>
      <c r="D25" s="55">
        <v>1.1830000000000001</v>
      </c>
      <c r="E25" s="55">
        <v>0.81699999999999995</v>
      </c>
      <c r="F25" s="55">
        <v>1.323</v>
      </c>
      <c r="G25" s="55">
        <v>1.1830000000000001</v>
      </c>
      <c r="H25" s="55">
        <v>1.1830000000000001</v>
      </c>
      <c r="I25" s="55">
        <v>1.323</v>
      </c>
      <c r="J25" s="55">
        <v>1.1830000000000001</v>
      </c>
      <c r="K25" s="55">
        <v>1.39</v>
      </c>
    </row>
    <row r="26" spans="2:66">
      <c r="B26" s="56">
        <v>33</v>
      </c>
      <c r="C26" s="55">
        <v>1.198</v>
      </c>
      <c r="D26" s="55">
        <v>1.198</v>
      </c>
      <c r="E26" s="55">
        <v>0.83599999999999997</v>
      </c>
      <c r="F26" s="55">
        <v>1.3340000000000001</v>
      </c>
      <c r="G26" s="55">
        <v>1.198</v>
      </c>
      <c r="H26" s="55">
        <v>1.198</v>
      </c>
      <c r="I26" s="55">
        <v>1.3340000000000001</v>
      </c>
      <c r="J26" s="55">
        <v>1.198</v>
      </c>
      <c r="K26" s="55">
        <v>1.39</v>
      </c>
    </row>
    <row r="27" spans="2:66">
      <c r="B27" s="56">
        <v>34</v>
      </c>
      <c r="C27" s="55">
        <v>1.214</v>
      </c>
      <c r="D27" s="55">
        <v>1.214</v>
      </c>
      <c r="E27" s="55">
        <v>0.85599999999999998</v>
      </c>
      <c r="F27" s="55">
        <v>1.3460000000000001</v>
      </c>
      <c r="G27" s="55">
        <v>1.214</v>
      </c>
      <c r="H27" s="55">
        <v>1.214</v>
      </c>
      <c r="I27" s="55">
        <v>1.3460000000000001</v>
      </c>
      <c r="J27" s="55">
        <v>1.214</v>
      </c>
      <c r="K27" s="55">
        <v>1.39</v>
      </c>
    </row>
    <row r="28" spans="2:66">
      <c r="B28" s="56">
        <v>35</v>
      </c>
      <c r="C28" s="55">
        <v>1.222</v>
      </c>
      <c r="D28" s="55">
        <v>1.222</v>
      </c>
      <c r="E28" s="55">
        <v>0.876</v>
      </c>
      <c r="F28" s="55">
        <v>1.3520000000000001</v>
      </c>
      <c r="G28" s="55">
        <v>1.222</v>
      </c>
      <c r="H28" s="55">
        <v>1.222</v>
      </c>
      <c r="I28" s="55">
        <v>1.3520000000000001</v>
      </c>
      <c r="J28" s="55">
        <v>1.222</v>
      </c>
      <c r="K28" s="55">
        <v>1.39</v>
      </c>
    </row>
    <row r="29" spans="2:66">
      <c r="B29" s="56">
        <v>36</v>
      </c>
      <c r="C29" s="55">
        <v>1.23</v>
      </c>
      <c r="D29" s="55">
        <v>1.23</v>
      </c>
      <c r="E29" s="55">
        <v>0.89600000000000002</v>
      </c>
      <c r="F29" s="55">
        <v>1.3580000000000001</v>
      </c>
      <c r="G29" s="55">
        <v>1.23</v>
      </c>
      <c r="H29" s="55">
        <v>1.23</v>
      </c>
      <c r="I29" s="55">
        <v>1.3580000000000001</v>
      </c>
      <c r="J29" s="55">
        <v>1.23</v>
      </c>
      <c r="K29" s="55">
        <v>1.39</v>
      </c>
    </row>
    <row r="30" spans="2:66">
      <c r="B30" s="56">
        <v>37</v>
      </c>
      <c r="C30" s="55">
        <v>1.238</v>
      </c>
      <c r="D30" s="55">
        <v>1.238</v>
      </c>
      <c r="E30" s="55">
        <v>0.91600000000000004</v>
      </c>
      <c r="F30" s="55">
        <v>1.363</v>
      </c>
      <c r="G30" s="55">
        <v>1.238</v>
      </c>
      <c r="H30" s="55">
        <v>1.238</v>
      </c>
      <c r="I30" s="55">
        <v>1.363</v>
      </c>
      <c r="J30" s="55">
        <v>1.238</v>
      </c>
      <c r="K30" s="55">
        <v>1.4039999999999999</v>
      </c>
    </row>
    <row r="31" spans="2:66">
      <c r="B31" s="56">
        <v>38</v>
      </c>
      <c r="C31" s="55">
        <v>1.246</v>
      </c>
      <c r="D31" s="55">
        <v>1.246</v>
      </c>
      <c r="E31" s="55">
        <v>0.92700000000000005</v>
      </c>
      <c r="F31" s="55">
        <v>1.369</v>
      </c>
      <c r="G31" s="55">
        <v>1.246</v>
      </c>
      <c r="H31" s="55">
        <v>1.246</v>
      </c>
      <c r="I31" s="55">
        <v>1.369</v>
      </c>
      <c r="J31" s="55">
        <v>1.246</v>
      </c>
      <c r="K31" s="55">
        <v>1.425</v>
      </c>
    </row>
    <row r="32" spans="2:66">
      <c r="B32" s="56">
        <v>39</v>
      </c>
      <c r="C32" s="55">
        <v>1.262</v>
      </c>
      <c r="D32" s="55">
        <v>1.262</v>
      </c>
      <c r="E32" s="55">
        <v>0.93799999999999994</v>
      </c>
      <c r="F32" s="55">
        <v>1.381</v>
      </c>
      <c r="G32" s="55">
        <v>1.262</v>
      </c>
      <c r="H32" s="55">
        <v>1.262</v>
      </c>
      <c r="I32" s="55">
        <v>1.381</v>
      </c>
      <c r="J32" s="55">
        <v>1.262</v>
      </c>
      <c r="K32" s="55">
        <v>1.45</v>
      </c>
    </row>
    <row r="33" spans="2:11">
      <c r="B33" s="56">
        <v>40</v>
      </c>
      <c r="C33" s="55">
        <v>1.278</v>
      </c>
      <c r="D33" s="55">
        <v>1.278</v>
      </c>
      <c r="E33" s="55">
        <v>0.97499999999999998</v>
      </c>
      <c r="F33" s="55">
        <v>1.393</v>
      </c>
      <c r="G33" s="55">
        <v>1.278</v>
      </c>
      <c r="H33" s="55">
        <v>1.278</v>
      </c>
      <c r="I33" s="55">
        <v>1.393</v>
      </c>
      <c r="J33" s="55">
        <v>1.278</v>
      </c>
      <c r="K33" s="55">
        <v>1.4790000000000001</v>
      </c>
    </row>
    <row r="34" spans="2:11">
      <c r="B34" s="56">
        <v>41</v>
      </c>
      <c r="C34" s="55">
        <v>1.302</v>
      </c>
      <c r="D34" s="55">
        <v>1.302</v>
      </c>
      <c r="E34" s="55">
        <v>1.0129999999999999</v>
      </c>
      <c r="F34" s="55">
        <v>1.41</v>
      </c>
      <c r="G34" s="55">
        <v>1.302</v>
      </c>
      <c r="H34" s="55">
        <v>1.302</v>
      </c>
      <c r="I34" s="55">
        <v>1.41</v>
      </c>
      <c r="J34" s="55">
        <v>1.302</v>
      </c>
      <c r="K34" s="55">
        <v>1.516</v>
      </c>
    </row>
    <row r="35" spans="2:11">
      <c r="B35" s="56">
        <v>42</v>
      </c>
      <c r="C35" s="55">
        <v>1.325</v>
      </c>
      <c r="D35" s="55">
        <v>1.325</v>
      </c>
      <c r="E35" s="55">
        <v>1.0529999999999999</v>
      </c>
      <c r="F35" s="55">
        <v>1.427</v>
      </c>
      <c r="G35" s="55">
        <v>1.325</v>
      </c>
      <c r="H35" s="55">
        <v>1.325</v>
      </c>
      <c r="I35" s="55">
        <v>1.427</v>
      </c>
      <c r="J35" s="55">
        <v>1.325</v>
      </c>
      <c r="K35" s="55">
        <v>1.5620000000000001</v>
      </c>
    </row>
    <row r="36" spans="2:11">
      <c r="B36" s="56">
        <v>43</v>
      </c>
      <c r="C36" s="55">
        <v>1.357</v>
      </c>
      <c r="D36" s="55">
        <v>1.357</v>
      </c>
      <c r="E36" s="55">
        <v>1.0940000000000001</v>
      </c>
      <c r="F36" s="55">
        <v>1.45</v>
      </c>
      <c r="G36" s="55">
        <v>1.357</v>
      </c>
      <c r="H36" s="55">
        <v>1.357</v>
      </c>
      <c r="I36" s="55">
        <v>1.45</v>
      </c>
      <c r="J36" s="55">
        <v>1.357</v>
      </c>
      <c r="K36" s="55">
        <v>1.6160000000000001</v>
      </c>
    </row>
    <row r="37" spans="2:11">
      <c r="B37" s="56">
        <v>44</v>
      </c>
      <c r="C37" s="55">
        <v>1.397</v>
      </c>
      <c r="D37" s="55">
        <v>1.397</v>
      </c>
      <c r="E37" s="55">
        <v>1.137</v>
      </c>
      <c r="F37" s="55">
        <v>1.478</v>
      </c>
      <c r="G37" s="55">
        <v>1.397</v>
      </c>
      <c r="H37" s="55">
        <v>1.397</v>
      </c>
      <c r="I37" s="55">
        <v>1.478</v>
      </c>
      <c r="J37" s="55">
        <v>1.397</v>
      </c>
      <c r="K37" s="55">
        <v>1.681</v>
      </c>
    </row>
    <row r="38" spans="2:11">
      <c r="B38" s="56">
        <v>45</v>
      </c>
      <c r="C38" s="55">
        <v>1.444</v>
      </c>
      <c r="D38" s="55">
        <v>1.444</v>
      </c>
      <c r="E38" s="55">
        <v>1.181</v>
      </c>
      <c r="F38" s="55">
        <v>1.5109999999999999</v>
      </c>
      <c r="G38" s="55">
        <v>1.444</v>
      </c>
      <c r="H38" s="55">
        <v>1.444</v>
      </c>
      <c r="I38" s="55">
        <v>1.5109999999999999</v>
      </c>
      <c r="J38" s="55">
        <v>1.444</v>
      </c>
      <c r="K38" s="55">
        <v>1.748</v>
      </c>
    </row>
    <row r="39" spans="2:11">
      <c r="B39" s="56">
        <v>46</v>
      </c>
      <c r="C39" s="55">
        <v>1.5</v>
      </c>
      <c r="D39" s="55">
        <v>1.5</v>
      </c>
      <c r="E39" s="55">
        <v>1.2270000000000001</v>
      </c>
      <c r="F39" s="55">
        <v>1.55</v>
      </c>
      <c r="G39" s="55">
        <v>1.5</v>
      </c>
      <c r="H39" s="55">
        <v>1.5</v>
      </c>
      <c r="I39" s="55">
        <v>1.55</v>
      </c>
      <c r="J39" s="55">
        <v>1.5</v>
      </c>
      <c r="K39" s="55">
        <v>1.8180000000000001</v>
      </c>
    </row>
    <row r="40" spans="2:11">
      <c r="B40" s="56">
        <v>47</v>
      </c>
      <c r="C40" s="55">
        <v>1.5629999999999999</v>
      </c>
      <c r="D40" s="55">
        <v>1.5629999999999999</v>
      </c>
      <c r="E40" s="55">
        <v>1.2749999999999999</v>
      </c>
      <c r="F40" s="55">
        <v>1.593</v>
      </c>
      <c r="G40" s="55">
        <v>1.5629999999999999</v>
      </c>
      <c r="H40" s="55">
        <v>1.5629999999999999</v>
      </c>
      <c r="I40" s="55">
        <v>1.593</v>
      </c>
      <c r="J40" s="55">
        <v>1.5629999999999999</v>
      </c>
      <c r="K40" s="55">
        <v>1.891</v>
      </c>
    </row>
    <row r="41" spans="2:11">
      <c r="B41" s="56">
        <v>48</v>
      </c>
      <c r="C41" s="55">
        <v>1.635</v>
      </c>
      <c r="D41" s="55">
        <v>1.635</v>
      </c>
      <c r="E41" s="55">
        <v>1.325</v>
      </c>
      <c r="F41" s="55">
        <v>1.641</v>
      </c>
      <c r="G41" s="55">
        <v>1.635</v>
      </c>
      <c r="H41" s="55">
        <v>1.635</v>
      </c>
      <c r="I41" s="55">
        <v>1.641</v>
      </c>
      <c r="J41" s="55">
        <v>1.635</v>
      </c>
      <c r="K41" s="55">
        <v>1.966</v>
      </c>
    </row>
    <row r="42" spans="2:11">
      <c r="B42" s="56">
        <v>49</v>
      </c>
      <c r="C42" s="55">
        <v>1.706</v>
      </c>
      <c r="D42" s="55">
        <v>1.706</v>
      </c>
      <c r="E42" s="55">
        <v>1.377</v>
      </c>
      <c r="F42" s="55">
        <v>1.6879999999999999</v>
      </c>
      <c r="G42" s="55">
        <v>1.706</v>
      </c>
      <c r="H42" s="55">
        <v>1.706</v>
      </c>
      <c r="I42" s="55">
        <v>1.6879999999999999</v>
      </c>
      <c r="J42" s="55">
        <v>1.706</v>
      </c>
      <c r="K42" s="55">
        <v>2.0449999999999999</v>
      </c>
    </row>
    <row r="43" spans="2:11">
      <c r="B43" s="56">
        <v>50</v>
      </c>
      <c r="C43" s="55">
        <v>1.786</v>
      </c>
      <c r="D43" s="55">
        <v>1.786</v>
      </c>
      <c r="E43" s="55">
        <v>1.431</v>
      </c>
      <c r="F43" s="55">
        <v>1.7410000000000001</v>
      </c>
      <c r="G43" s="55">
        <v>1.786</v>
      </c>
      <c r="H43" s="55">
        <v>1.786</v>
      </c>
      <c r="I43" s="55">
        <v>1.7410000000000001</v>
      </c>
      <c r="J43" s="55">
        <v>1.786</v>
      </c>
      <c r="K43" s="55">
        <v>2.1269999999999998</v>
      </c>
    </row>
    <row r="44" spans="2:11">
      <c r="B44" s="56">
        <v>51</v>
      </c>
      <c r="C44" s="55">
        <v>1.865</v>
      </c>
      <c r="D44" s="55">
        <v>1.865</v>
      </c>
      <c r="E44" s="55">
        <v>1.4870000000000001</v>
      </c>
      <c r="F44" s="55">
        <v>1.792</v>
      </c>
      <c r="G44" s="55">
        <v>1.865</v>
      </c>
      <c r="H44" s="55">
        <v>1.865</v>
      </c>
      <c r="I44" s="55">
        <v>1.792</v>
      </c>
      <c r="J44" s="55">
        <v>1.865</v>
      </c>
      <c r="K44" s="55">
        <v>2.2120000000000002</v>
      </c>
    </row>
    <row r="45" spans="2:11">
      <c r="B45" s="56">
        <v>52</v>
      </c>
      <c r="C45" s="55">
        <v>1.952</v>
      </c>
      <c r="D45" s="55">
        <v>1.952</v>
      </c>
      <c r="E45" s="55">
        <v>1.5449999999999999</v>
      </c>
      <c r="F45" s="55">
        <v>1.847</v>
      </c>
      <c r="G45" s="55">
        <v>1.952</v>
      </c>
      <c r="H45" s="55">
        <v>1.952</v>
      </c>
      <c r="I45" s="55">
        <v>1.847</v>
      </c>
      <c r="J45" s="55">
        <v>1.952</v>
      </c>
      <c r="K45" s="55">
        <v>2.2999999999999998</v>
      </c>
    </row>
    <row r="46" spans="2:11">
      <c r="B46" s="56">
        <v>53</v>
      </c>
      <c r="C46" s="55">
        <v>2.04</v>
      </c>
      <c r="D46" s="55">
        <v>2.04</v>
      </c>
      <c r="E46" s="55">
        <v>1.605</v>
      </c>
      <c r="F46" s="55">
        <v>1.9019999999999999</v>
      </c>
      <c r="G46" s="55">
        <v>2.04</v>
      </c>
      <c r="H46" s="55">
        <v>2.04</v>
      </c>
      <c r="I46" s="55">
        <v>1.9019999999999999</v>
      </c>
      <c r="J46" s="55">
        <v>2.04</v>
      </c>
      <c r="K46" s="55">
        <v>2.3919999999999999</v>
      </c>
    </row>
    <row r="47" spans="2:11">
      <c r="B47" s="56">
        <v>54</v>
      </c>
      <c r="C47" s="55">
        <v>2.1349999999999998</v>
      </c>
      <c r="D47" s="55">
        <v>2.1349999999999998</v>
      </c>
      <c r="E47" s="55">
        <v>1.6679999999999999</v>
      </c>
      <c r="F47" s="55">
        <v>1.9610000000000001</v>
      </c>
      <c r="G47" s="55">
        <v>2.1349999999999998</v>
      </c>
      <c r="H47" s="55">
        <v>2.1349999999999998</v>
      </c>
      <c r="I47" s="55">
        <v>1.9610000000000001</v>
      </c>
      <c r="J47" s="55">
        <v>2.1349999999999998</v>
      </c>
      <c r="K47" s="55">
        <v>2.488</v>
      </c>
    </row>
    <row r="48" spans="2:11">
      <c r="B48" s="56">
        <v>55</v>
      </c>
      <c r="C48" s="55">
        <v>2.23</v>
      </c>
      <c r="D48" s="55">
        <v>2.23</v>
      </c>
      <c r="E48" s="55">
        <v>1.7330000000000001</v>
      </c>
      <c r="F48" s="55">
        <v>2.0190000000000001</v>
      </c>
      <c r="G48" s="55">
        <v>2.23</v>
      </c>
      <c r="H48" s="55">
        <v>2.23</v>
      </c>
      <c r="I48" s="55">
        <v>2.0190000000000001</v>
      </c>
      <c r="J48" s="55">
        <v>2.23</v>
      </c>
      <c r="K48" s="55">
        <v>2.5880000000000001</v>
      </c>
    </row>
    <row r="49" spans="2:11">
      <c r="B49" s="56">
        <v>56</v>
      </c>
      <c r="C49" s="55">
        <v>2.3330000000000002</v>
      </c>
      <c r="D49" s="55">
        <v>2.3330000000000002</v>
      </c>
      <c r="E49" s="55">
        <v>1.8009999999999999</v>
      </c>
      <c r="F49" s="55">
        <v>2.08</v>
      </c>
      <c r="G49" s="55">
        <v>2.3330000000000002</v>
      </c>
      <c r="H49" s="55">
        <v>2.3330000000000002</v>
      </c>
      <c r="I49" s="55">
        <v>2.08</v>
      </c>
      <c r="J49" s="55">
        <v>2.3330000000000002</v>
      </c>
      <c r="K49" s="55">
        <v>2.6909999999999998</v>
      </c>
    </row>
    <row r="50" spans="2:11">
      <c r="B50" s="56">
        <v>57</v>
      </c>
      <c r="C50" s="55">
        <v>2.4369999999999998</v>
      </c>
      <c r="D50" s="55">
        <v>2.4369999999999998</v>
      </c>
      <c r="E50" s="55">
        <v>1.871</v>
      </c>
      <c r="F50" s="55">
        <v>2.1419999999999999</v>
      </c>
      <c r="G50" s="55">
        <v>2.4369999999999998</v>
      </c>
      <c r="H50" s="55">
        <v>2.4369999999999998</v>
      </c>
      <c r="I50" s="55">
        <v>2.1419999999999999</v>
      </c>
      <c r="J50" s="55">
        <v>2.4369999999999998</v>
      </c>
      <c r="K50" s="55">
        <v>2.7989999999999999</v>
      </c>
    </row>
    <row r="51" spans="2:11">
      <c r="B51" s="56">
        <v>58</v>
      </c>
      <c r="C51" s="55">
        <v>2.548</v>
      </c>
      <c r="D51" s="55">
        <v>2.548</v>
      </c>
      <c r="E51" s="55">
        <v>1.944</v>
      </c>
      <c r="F51" s="55">
        <v>2.206</v>
      </c>
      <c r="G51" s="55">
        <v>2.548</v>
      </c>
      <c r="H51" s="55">
        <v>2.548</v>
      </c>
      <c r="I51" s="55">
        <v>2.206</v>
      </c>
      <c r="J51" s="55">
        <v>2.548</v>
      </c>
      <c r="K51" s="55">
        <v>2.911</v>
      </c>
    </row>
    <row r="52" spans="2:11">
      <c r="B52" s="56">
        <v>59</v>
      </c>
      <c r="C52" s="55">
        <v>2.6030000000000002</v>
      </c>
      <c r="D52" s="55">
        <v>2.6030000000000002</v>
      </c>
      <c r="E52" s="55">
        <v>2.02</v>
      </c>
      <c r="F52" s="55">
        <v>2.2799999999999998</v>
      </c>
      <c r="G52" s="55">
        <v>2.6030000000000002</v>
      </c>
      <c r="H52" s="55">
        <v>2.6030000000000002</v>
      </c>
      <c r="I52" s="55">
        <v>2.2799999999999998</v>
      </c>
      <c r="J52" s="55">
        <v>2.6030000000000002</v>
      </c>
      <c r="K52" s="55">
        <v>3</v>
      </c>
    </row>
    <row r="53" spans="2:11">
      <c r="B53" s="56">
        <v>60</v>
      </c>
      <c r="C53" s="55">
        <v>2.714</v>
      </c>
      <c r="D53" s="55">
        <v>2.714</v>
      </c>
      <c r="E53" s="55">
        <v>2.0990000000000002</v>
      </c>
      <c r="F53" s="55">
        <v>2.3650000000000002</v>
      </c>
      <c r="G53" s="55">
        <v>2.714</v>
      </c>
      <c r="H53" s="55">
        <v>2.714</v>
      </c>
      <c r="I53" s="55">
        <v>2.2799999999999998</v>
      </c>
      <c r="J53" s="55">
        <v>2.714</v>
      </c>
      <c r="K53" s="55">
        <v>3</v>
      </c>
    </row>
    <row r="54" spans="2:11">
      <c r="B54" s="56">
        <v>61</v>
      </c>
      <c r="C54" s="55">
        <v>2.81</v>
      </c>
      <c r="D54" s="55">
        <v>2.81</v>
      </c>
      <c r="E54" s="55">
        <v>2.181</v>
      </c>
      <c r="F54" s="55">
        <v>2.3650000000000002</v>
      </c>
      <c r="G54" s="55">
        <v>2.81</v>
      </c>
      <c r="H54" s="55">
        <v>2.81</v>
      </c>
      <c r="I54" s="55">
        <v>2.2799999999999998</v>
      </c>
      <c r="J54" s="55">
        <v>2.81</v>
      </c>
      <c r="K54" s="55">
        <v>3</v>
      </c>
    </row>
    <row r="55" spans="2:11">
      <c r="B55" s="56">
        <v>62</v>
      </c>
      <c r="C55" s="55">
        <v>2.8730000000000002</v>
      </c>
      <c r="D55" s="55">
        <v>2.8730000000000002</v>
      </c>
      <c r="E55" s="55">
        <v>2.181</v>
      </c>
      <c r="F55" s="55">
        <v>2.3650000000000002</v>
      </c>
      <c r="G55" s="55">
        <v>2.8730000000000002</v>
      </c>
      <c r="H55" s="55">
        <v>2.8730000000000002</v>
      </c>
      <c r="I55" s="55">
        <v>2.2799999999999998</v>
      </c>
      <c r="J55" s="55">
        <v>2.8730000000000002</v>
      </c>
      <c r="K55" s="55">
        <v>3</v>
      </c>
    </row>
    <row r="56" spans="2:11">
      <c r="B56" s="56">
        <v>63</v>
      </c>
      <c r="C56" s="55">
        <v>2.952</v>
      </c>
      <c r="D56" s="55">
        <v>2.952</v>
      </c>
      <c r="E56" s="55">
        <v>2.181</v>
      </c>
      <c r="F56" s="55">
        <v>2.3650000000000002</v>
      </c>
      <c r="G56" s="55">
        <v>2.952</v>
      </c>
      <c r="H56" s="55">
        <v>2.952</v>
      </c>
      <c r="I56" s="55">
        <v>2.2799999999999998</v>
      </c>
      <c r="J56" s="55">
        <v>2.952</v>
      </c>
      <c r="K56" s="55">
        <v>3</v>
      </c>
    </row>
    <row r="57" spans="2:11" ht="25.5">
      <c r="B57" s="54" t="s">
        <v>5208</v>
      </c>
      <c r="C57" s="55">
        <v>3</v>
      </c>
      <c r="D57" s="55">
        <v>3</v>
      </c>
      <c r="E57" s="55">
        <v>2.181</v>
      </c>
      <c r="F57" s="55">
        <v>2.3650000000000002</v>
      </c>
      <c r="G57" s="55">
        <v>3</v>
      </c>
      <c r="H57" s="55">
        <v>3</v>
      </c>
      <c r="I57" s="55">
        <v>2.2799999999999998</v>
      </c>
      <c r="J57" s="55">
        <v>3</v>
      </c>
      <c r="K57" s="55">
        <v>3</v>
      </c>
    </row>
    <row r="60" spans="2:11">
      <c r="B60" s="22" t="s">
        <v>1615</v>
      </c>
    </row>
    <row r="61" spans="2:11">
      <c r="C61" s="21" t="s">
        <v>5210</v>
      </c>
    </row>
    <row r="62" spans="2:11">
      <c r="C62" t="s">
        <v>5211</v>
      </c>
    </row>
    <row r="63" spans="2:11">
      <c r="C63" t="s">
        <v>5212</v>
      </c>
    </row>
    <row r="64" spans="2:11">
      <c r="C64" t="s">
        <v>5213</v>
      </c>
    </row>
    <row r="65" spans="3:3">
      <c r="C65" t="s">
        <v>5214</v>
      </c>
    </row>
    <row r="66" spans="3:3">
      <c r="C66" s="21" t="s">
        <v>5215</v>
      </c>
    </row>
    <row r="67" spans="3:3">
      <c r="C67" s="21" t="s">
        <v>5216</v>
      </c>
    </row>
    <row r="68" spans="3:3">
      <c r="C68" t="s">
        <v>5217</v>
      </c>
    </row>
    <row r="69" spans="3:3">
      <c r="C69" t="s">
        <v>5218</v>
      </c>
    </row>
    <row r="70" spans="3:3">
      <c r="C70" t="s">
        <v>5219</v>
      </c>
    </row>
    <row r="71" spans="3:3">
      <c r="C71" t="s">
        <v>5220</v>
      </c>
    </row>
  </sheetData>
  <mergeCells count="6">
    <mergeCell ref="K5:K6"/>
    <mergeCell ref="B5:B6"/>
    <mergeCell ref="F5:F6"/>
    <mergeCell ref="G5:G6"/>
    <mergeCell ref="H5:H6"/>
    <mergeCell ref="J5:J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ACF22-B8AE-468A-83A6-5A6C0BFE88FB}">
  <dimension ref="B1:AW11"/>
  <sheetViews>
    <sheetView workbookViewId="0"/>
  </sheetViews>
  <sheetFormatPr defaultRowHeight="15"/>
  <sheetData>
    <row r="1" spans="2:49">
      <c r="B1" s="21" t="s">
        <v>5209</v>
      </c>
    </row>
    <row r="2" spans="2:49">
      <c r="B2" t="s">
        <v>5224</v>
      </c>
    </row>
    <row r="3" spans="2:49">
      <c r="B3" t="s">
        <v>5225</v>
      </c>
    </row>
    <row r="5" spans="2:49" ht="16.5">
      <c r="D5" s="59" t="s">
        <v>5221</v>
      </c>
      <c r="E5" s="60" t="s">
        <v>5222</v>
      </c>
      <c r="F5" s="61">
        <v>21</v>
      </c>
      <c r="G5" s="61">
        <v>22</v>
      </c>
      <c r="H5" s="61">
        <v>23</v>
      </c>
      <c r="I5" s="61">
        <v>24</v>
      </c>
      <c r="J5" s="61">
        <v>25</v>
      </c>
      <c r="K5" s="61">
        <v>26</v>
      </c>
      <c r="L5" s="61">
        <v>27</v>
      </c>
      <c r="M5" s="61">
        <v>28</v>
      </c>
      <c r="N5" s="61">
        <v>29</v>
      </c>
      <c r="O5" s="61">
        <v>30</v>
      </c>
      <c r="P5" s="61">
        <v>31</v>
      </c>
      <c r="Q5" s="61">
        <v>32</v>
      </c>
      <c r="R5" s="61">
        <v>33</v>
      </c>
      <c r="S5" s="61">
        <v>34</v>
      </c>
      <c r="T5" s="61">
        <v>35</v>
      </c>
      <c r="U5" s="61">
        <v>36</v>
      </c>
      <c r="V5" s="61">
        <v>37</v>
      </c>
      <c r="W5" s="61">
        <v>38</v>
      </c>
      <c r="X5" s="61">
        <v>39</v>
      </c>
      <c r="Y5" s="61">
        <v>40</v>
      </c>
      <c r="Z5" s="62">
        <v>41</v>
      </c>
      <c r="AA5" s="61">
        <v>42</v>
      </c>
      <c r="AB5" s="61">
        <v>43</v>
      </c>
      <c r="AC5" s="61">
        <v>44</v>
      </c>
      <c r="AD5" s="61">
        <v>45</v>
      </c>
      <c r="AE5" s="61">
        <v>46</v>
      </c>
      <c r="AF5" s="61">
        <v>47</v>
      </c>
      <c r="AG5" s="61">
        <v>48</v>
      </c>
      <c r="AH5" s="61">
        <v>49</v>
      </c>
      <c r="AI5" s="61">
        <v>50</v>
      </c>
      <c r="AJ5" s="63">
        <v>51</v>
      </c>
      <c r="AK5" s="61">
        <v>52</v>
      </c>
      <c r="AL5" s="61">
        <v>53</v>
      </c>
      <c r="AM5" s="61">
        <v>54</v>
      </c>
      <c r="AN5" s="61">
        <v>55</v>
      </c>
      <c r="AO5" s="61">
        <v>56</v>
      </c>
      <c r="AP5" s="61">
        <v>57</v>
      </c>
      <c r="AQ5" s="63">
        <v>58</v>
      </c>
      <c r="AR5" s="61">
        <v>59</v>
      </c>
      <c r="AS5" s="61">
        <v>60</v>
      </c>
      <c r="AT5" s="61">
        <v>61</v>
      </c>
      <c r="AU5" s="61">
        <v>62</v>
      </c>
      <c r="AV5" s="61">
        <v>63</v>
      </c>
      <c r="AW5" s="64" t="s">
        <v>5223</v>
      </c>
    </row>
    <row r="6" spans="2:49">
      <c r="D6" s="65" t="s">
        <v>5203</v>
      </c>
      <c r="E6" s="66">
        <v>0.63500000000000001</v>
      </c>
      <c r="F6" s="66">
        <v>1</v>
      </c>
      <c r="G6" s="67">
        <v>1</v>
      </c>
      <c r="H6" s="66">
        <v>1</v>
      </c>
      <c r="I6" s="66">
        <v>1</v>
      </c>
      <c r="J6" s="66">
        <v>1.004</v>
      </c>
      <c r="K6" s="66">
        <v>1.024</v>
      </c>
      <c r="L6" s="66">
        <v>1.048</v>
      </c>
      <c r="M6" s="66">
        <v>1.087</v>
      </c>
      <c r="N6" s="67">
        <v>1.119</v>
      </c>
      <c r="O6" s="66">
        <v>1.135</v>
      </c>
      <c r="P6" s="66">
        <v>1.159</v>
      </c>
      <c r="Q6" s="66">
        <v>1.1830000000000001</v>
      </c>
      <c r="R6" s="66">
        <v>1.198</v>
      </c>
      <c r="S6" s="66">
        <v>1.214</v>
      </c>
      <c r="T6" s="66">
        <v>1.222</v>
      </c>
      <c r="U6" s="66">
        <v>1.23</v>
      </c>
      <c r="V6" s="66">
        <v>1.238</v>
      </c>
      <c r="W6" s="66">
        <v>1.246</v>
      </c>
      <c r="X6" s="66">
        <v>1.262</v>
      </c>
      <c r="Y6" s="66">
        <v>1.278</v>
      </c>
      <c r="Z6" s="68">
        <v>1.302</v>
      </c>
      <c r="AA6" s="66">
        <v>1.325</v>
      </c>
      <c r="AB6" s="67">
        <v>1.357</v>
      </c>
      <c r="AC6" s="66">
        <v>1.397</v>
      </c>
      <c r="AD6" s="66">
        <v>1.444</v>
      </c>
      <c r="AE6" s="66">
        <v>1.5</v>
      </c>
      <c r="AF6" s="66">
        <v>1.5629999999999999</v>
      </c>
      <c r="AG6" s="66">
        <v>1.635</v>
      </c>
      <c r="AH6" s="66">
        <v>1.706</v>
      </c>
      <c r="AI6" s="66">
        <v>1.786</v>
      </c>
      <c r="AJ6" s="67">
        <v>1.865</v>
      </c>
      <c r="AK6" s="66">
        <v>1.952</v>
      </c>
      <c r="AL6" s="66">
        <v>2.04</v>
      </c>
      <c r="AM6" s="66">
        <v>2.1349999999999998</v>
      </c>
      <c r="AN6" s="66">
        <v>2.23</v>
      </c>
      <c r="AO6" s="66">
        <v>2.3330000000000002</v>
      </c>
      <c r="AP6" s="66">
        <v>2.4369999999999998</v>
      </c>
      <c r="AQ6" s="67">
        <v>2.548</v>
      </c>
      <c r="AR6" s="66">
        <v>2.6030000000000002</v>
      </c>
      <c r="AS6" s="66">
        <v>2.714</v>
      </c>
      <c r="AT6" s="66">
        <v>2.81</v>
      </c>
      <c r="AU6" s="66">
        <v>2.8730000000000002</v>
      </c>
      <c r="AV6" s="67">
        <v>2.952</v>
      </c>
      <c r="AW6" s="67">
        <v>3</v>
      </c>
    </row>
    <row r="7" spans="2:49" ht="16.5">
      <c r="D7" s="65" t="s">
        <v>14</v>
      </c>
      <c r="E7" s="66">
        <v>0.65400000000000003</v>
      </c>
      <c r="F7" s="66">
        <v>0.72699999999999998</v>
      </c>
      <c r="G7" s="67">
        <v>0.72699999999999998</v>
      </c>
      <c r="H7" s="66">
        <v>0.72699999999999998</v>
      </c>
      <c r="I7" s="66">
        <v>0.72699999999999998</v>
      </c>
      <c r="J7" s="66">
        <v>0.72699999999999998</v>
      </c>
      <c r="K7" s="66">
        <v>0.72699999999999998</v>
      </c>
      <c r="L7" s="66">
        <v>0.72699999999999998</v>
      </c>
      <c r="M7" s="66">
        <v>0.74399999999999999</v>
      </c>
      <c r="N7" s="69">
        <v>0.76</v>
      </c>
      <c r="O7" s="66">
        <v>0.77900000000000003</v>
      </c>
      <c r="P7" s="66">
        <v>0.79900000000000004</v>
      </c>
      <c r="Q7" s="66">
        <v>0.81699999999999995</v>
      </c>
      <c r="R7" s="66">
        <v>0.83599999999999997</v>
      </c>
      <c r="S7" s="66">
        <v>0.85599999999999998</v>
      </c>
      <c r="T7" s="66">
        <v>0.876</v>
      </c>
      <c r="U7" s="66">
        <v>0.89600000000000002</v>
      </c>
      <c r="V7" s="66">
        <v>0.91600000000000004</v>
      </c>
      <c r="W7" s="66">
        <v>0.92700000000000005</v>
      </c>
      <c r="X7" s="66">
        <v>0.93799999999999994</v>
      </c>
      <c r="Y7" s="66">
        <v>0.97499999999999998</v>
      </c>
      <c r="Z7" s="68">
        <v>1.0129999999999999</v>
      </c>
      <c r="AA7" s="66">
        <v>1.0529999999999999</v>
      </c>
      <c r="AB7" s="67">
        <v>1.0940000000000001</v>
      </c>
      <c r="AC7" s="66">
        <v>1.137</v>
      </c>
      <c r="AD7" s="66">
        <v>1.181</v>
      </c>
      <c r="AE7" s="66">
        <v>1.2270000000000001</v>
      </c>
      <c r="AF7" s="66">
        <v>1.2749999999999999</v>
      </c>
      <c r="AG7" s="66">
        <v>1.325</v>
      </c>
      <c r="AH7" s="66">
        <v>1.377</v>
      </c>
      <c r="AI7" s="66">
        <v>1.431</v>
      </c>
      <c r="AJ7" s="67">
        <v>1.4870000000000001</v>
      </c>
      <c r="AK7" s="66">
        <v>1.5449999999999999</v>
      </c>
      <c r="AL7" s="66">
        <v>1.605</v>
      </c>
      <c r="AM7" s="66">
        <v>1.6679999999999999</v>
      </c>
      <c r="AN7" s="66">
        <v>1.7330000000000001</v>
      </c>
      <c r="AO7" s="66">
        <v>1.8009999999999999</v>
      </c>
      <c r="AP7" s="66">
        <v>1.871</v>
      </c>
      <c r="AQ7" s="67">
        <v>1.944</v>
      </c>
      <c r="AR7" s="70">
        <v>2.02</v>
      </c>
      <c r="AS7" s="66">
        <v>2.0990000000000002</v>
      </c>
      <c r="AT7" s="66">
        <v>2.181</v>
      </c>
      <c r="AU7" s="66">
        <v>2.181</v>
      </c>
      <c r="AV7" s="67">
        <v>2.181</v>
      </c>
      <c r="AW7" s="67">
        <v>2.181</v>
      </c>
    </row>
    <row r="8" spans="2:49">
      <c r="D8" s="65" t="s">
        <v>27</v>
      </c>
      <c r="E8" s="66">
        <v>0.751</v>
      </c>
      <c r="F8" s="66">
        <v>1.1830000000000001</v>
      </c>
      <c r="G8" s="67">
        <v>1.1830000000000001</v>
      </c>
      <c r="H8" s="66">
        <v>1.1830000000000001</v>
      </c>
      <c r="I8" s="66">
        <v>1.1830000000000001</v>
      </c>
      <c r="J8" s="66">
        <v>1.1830000000000001</v>
      </c>
      <c r="K8" s="66">
        <v>1.1830000000000001</v>
      </c>
      <c r="L8" s="66">
        <v>1.22</v>
      </c>
      <c r="M8" s="66">
        <v>1.25</v>
      </c>
      <c r="N8" s="67">
        <v>1.2749999999999999</v>
      </c>
      <c r="O8" s="66">
        <v>1.2869999999999999</v>
      </c>
      <c r="P8" s="66">
        <v>1.3049999999999999</v>
      </c>
      <c r="Q8" s="66">
        <v>1.323</v>
      </c>
      <c r="R8" s="66">
        <v>1.3340000000000001</v>
      </c>
      <c r="S8" s="66">
        <v>1.3460000000000001</v>
      </c>
      <c r="T8" s="66">
        <v>1.3520000000000001</v>
      </c>
      <c r="U8" s="66">
        <v>1.3580000000000001</v>
      </c>
      <c r="V8" s="66">
        <v>1.363</v>
      </c>
      <c r="W8" s="66">
        <v>1.369</v>
      </c>
      <c r="X8" s="66">
        <v>1.381</v>
      </c>
      <c r="Y8" s="66">
        <v>1.393</v>
      </c>
      <c r="Z8" s="68">
        <v>1.41</v>
      </c>
      <c r="AA8" s="66">
        <v>1.427</v>
      </c>
      <c r="AB8" s="67">
        <v>1.45</v>
      </c>
      <c r="AC8" s="66">
        <v>1.478</v>
      </c>
      <c r="AD8" s="66">
        <v>1.5109999999999999</v>
      </c>
      <c r="AE8" s="66">
        <v>1.55</v>
      </c>
      <c r="AF8" s="66">
        <v>1.593</v>
      </c>
      <c r="AG8" s="66">
        <v>1.641</v>
      </c>
      <c r="AH8" s="66">
        <v>1.6879999999999999</v>
      </c>
      <c r="AI8" s="66">
        <v>1.7410000000000001</v>
      </c>
      <c r="AJ8" s="67">
        <v>1.792</v>
      </c>
      <c r="AK8" s="66">
        <v>1.847</v>
      </c>
      <c r="AL8" s="66">
        <v>1.9019999999999999</v>
      </c>
      <c r="AM8" s="66">
        <v>1.9610000000000001</v>
      </c>
      <c r="AN8" s="66">
        <v>2.0190000000000001</v>
      </c>
      <c r="AO8" s="66">
        <v>2.08</v>
      </c>
      <c r="AP8" s="66">
        <v>2.1419999999999999</v>
      </c>
      <c r="AQ8" s="67">
        <v>2.206</v>
      </c>
      <c r="AR8" s="66">
        <v>2.2799999999999998</v>
      </c>
      <c r="AS8" s="66">
        <v>2.3650000000000002</v>
      </c>
      <c r="AT8" s="66">
        <v>2.3650000000000002</v>
      </c>
      <c r="AU8" s="66">
        <v>2.3650000000000002</v>
      </c>
      <c r="AV8" s="67">
        <v>2.3650000000000002</v>
      </c>
      <c r="AW8" s="67">
        <v>2.3650000000000002</v>
      </c>
    </row>
    <row r="9" spans="2:49">
      <c r="D9" s="65" t="s">
        <v>29</v>
      </c>
      <c r="E9" s="66">
        <v>0.89</v>
      </c>
      <c r="F9" s="66">
        <v>1</v>
      </c>
      <c r="G9" s="67">
        <v>1</v>
      </c>
      <c r="H9" s="66">
        <v>1</v>
      </c>
      <c r="I9" s="66">
        <v>1</v>
      </c>
      <c r="J9" s="66">
        <v>1.004</v>
      </c>
      <c r="K9" s="66">
        <v>1.024</v>
      </c>
      <c r="L9" s="66">
        <v>1.048</v>
      </c>
      <c r="M9" s="66">
        <v>1.087</v>
      </c>
      <c r="N9" s="67">
        <v>1.119</v>
      </c>
      <c r="O9" s="66">
        <v>1.135</v>
      </c>
      <c r="P9" s="66">
        <v>1.159</v>
      </c>
      <c r="Q9" s="66">
        <v>1.1830000000000001</v>
      </c>
      <c r="R9" s="66">
        <v>1.198</v>
      </c>
      <c r="S9" s="66">
        <v>1.214</v>
      </c>
      <c r="T9" s="66">
        <v>1.222</v>
      </c>
      <c r="U9" s="66">
        <v>1.23</v>
      </c>
      <c r="V9" s="66">
        <v>1.238</v>
      </c>
      <c r="W9" s="66">
        <v>1.246</v>
      </c>
      <c r="X9" s="66">
        <v>1.262</v>
      </c>
      <c r="Y9" s="66">
        <v>1.278</v>
      </c>
      <c r="Z9" s="68">
        <v>1.302</v>
      </c>
      <c r="AA9" s="66">
        <v>1.325</v>
      </c>
      <c r="AB9" s="67">
        <v>1.357</v>
      </c>
      <c r="AC9" s="66">
        <v>1.397</v>
      </c>
      <c r="AD9" s="66">
        <v>1.444</v>
      </c>
      <c r="AE9" s="66">
        <v>1.5</v>
      </c>
      <c r="AF9" s="66">
        <v>1.5629999999999999</v>
      </c>
      <c r="AG9" s="66">
        <v>1.635</v>
      </c>
      <c r="AH9" s="66">
        <v>1.706</v>
      </c>
      <c r="AI9" s="66">
        <v>1.786</v>
      </c>
      <c r="AJ9" s="67">
        <v>1.865</v>
      </c>
      <c r="AK9" s="66">
        <v>1.952</v>
      </c>
      <c r="AL9" s="66">
        <v>2.04</v>
      </c>
      <c r="AM9" s="66">
        <v>2.1349999999999998</v>
      </c>
      <c r="AN9" s="66">
        <v>2.23</v>
      </c>
      <c r="AO9" s="66">
        <v>2.3330000000000002</v>
      </c>
      <c r="AP9" s="66">
        <v>2.4369999999999998</v>
      </c>
      <c r="AQ9" s="67">
        <v>2.548</v>
      </c>
      <c r="AR9" s="66">
        <v>2.6030000000000002</v>
      </c>
      <c r="AS9" s="66">
        <v>2.714</v>
      </c>
      <c r="AT9" s="66">
        <v>2.81</v>
      </c>
      <c r="AU9" s="66">
        <v>2.8730000000000002</v>
      </c>
      <c r="AV9" s="67">
        <v>2.952</v>
      </c>
      <c r="AW9" s="67">
        <v>3</v>
      </c>
    </row>
    <row r="10" spans="2:49">
      <c r="D10" s="65" t="s">
        <v>40</v>
      </c>
      <c r="E10" s="70">
        <v>0.75</v>
      </c>
      <c r="F10" s="70">
        <v>1.25</v>
      </c>
      <c r="G10" s="69">
        <v>1.25</v>
      </c>
      <c r="H10" s="70">
        <v>1.25</v>
      </c>
      <c r="I10" s="70">
        <v>1.25</v>
      </c>
      <c r="J10" s="70">
        <v>1.25</v>
      </c>
      <c r="K10" s="70">
        <v>1.25</v>
      </c>
      <c r="L10" s="70">
        <v>1.25</v>
      </c>
      <c r="M10" s="70">
        <v>1.25</v>
      </c>
      <c r="N10" s="67">
        <v>1.2749999999999999</v>
      </c>
      <c r="O10" s="66">
        <v>1.2869999999999999</v>
      </c>
      <c r="P10" s="66">
        <v>1.3049999999999999</v>
      </c>
      <c r="Q10" s="66">
        <v>1.323</v>
      </c>
      <c r="R10" s="66">
        <v>1.3340000000000001</v>
      </c>
      <c r="S10" s="66">
        <v>1.3460000000000001</v>
      </c>
      <c r="T10" s="66">
        <v>1.3520000000000001</v>
      </c>
      <c r="U10" s="66">
        <v>1.3580000000000001</v>
      </c>
      <c r="V10" s="66">
        <v>1.363</v>
      </c>
      <c r="W10" s="66">
        <v>1.369</v>
      </c>
      <c r="X10" s="66">
        <v>1.381</v>
      </c>
      <c r="Y10" s="66">
        <v>1.393</v>
      </c>
      <c r="Z10" s="71">
        <v>1.41</v>
      </c>
      <c r="AA10" s="66">
        <v>1.427</v>
      </c>
      <c r="AB10" s="69">
        <v>1.45</v>
      </c>
      <c r="AC10" s="66">
        <v>1.478</v>
      </c>
      <c r="AD10" s="66">
        <v>1.5109999999999999</v>
      </c>
      <c r="AE10" s="70">
        <v>1.55</v>
      </c>
      <c r="AF10" s="66">
        <v>1.593</v>
      </c>
      <c r="AG10" s="66">
        <v>1.641</v>
      </c>
      <c r="AH10" s="66">
        <v>1.6879999999999999</v>
      </c>
      <c r="AI10" s="66">
        <v>1.7410000000000001</v>
      </c>
      <c r="AJ10" s="67">
        <v>1.792</v>
      </c>
      <c r="AK10" s="66">
        <v>1.847</v>
      </c>
      <c r="AL10" s="66">
        <v>1.9019999999999999</v>
      </c>
      <c r="AM10" s="66">
        <v>1.9610000000000001</v>
      </c>
      <c r="AN10" s="66">
        <v>2.0190000000000001</v>
      </c>
      <c r="AO10" s="70">
        <v>2.08</v>
      </c>
      <c r="AP10" s="66">
        <v>2.1419999999999999</v>
      </c>
      <c r="AQ10" s="67">
        <v>2.206</v>
      </c>
      <c r="AR10" s="70">
        <v>2.2799999999999998</v>
      </c>
      <c r="AS10" s="70">
        <v>2.2799999999999998</v>
      </c>
      <c r="AT10" s="70">
        <v>2.2799999999999998</v>
      </c>
      <c r="AU10" s="70">
        <v>2.2799999999999998</v>
      </c>
      <c r="AV10" s="69">
        <v>2.2799999999999998</v>
      </c>
      <c r="AW10" s="69">
        <v>2.2799999999999998</v>
      </c>
    </row>
    <row r="11" spans="2:49">
      <c r="D11" s="65" t="s">
        <v>56</v>
      </c>
      <c r="E11" s="66">
        <v>0.79300000000000004</v>
      </c>
      <c r="F11" s="66">
        <v>1</v>
      </c>
      <c r="G11" s="67">
        <v>1.05</v>
      </c>
      <c r="H11" s="66">
        <v>1.113</v>
      </c>
      <c r="I11" s="66">
        <v>1.1910000000000001</v>
      </c>
      <c r="J11" s="66">
        <v>1.298</v>
      </c>
      <c r="K11" s="66">
        <v>1.363</v>
      </c>
      <c r="L11" s="66">
        <v>1.39</v>
      </c>
      <c r="M11" s="66">
        <v>1.39</v>
      </c>
      <c r="N11" s="67">
        <v>1.39</v>
      </c>
      <c r="O11" s="66">
        <v>1.39</v>
      </c>
      <c r="P11" s="66">
        <v>1.39</v>
      </c>
      <c r="Q11" s="66">
        <v>1.39</v>
      </c>
      <c r="R11" s="66">
        <v>1.39</v>
      </c>
      <c r="S11" s="66">
        <v>1.39</v>
      </c>
      <c r="T11" s="66">
        <v>1.39</v>
      </c>
      <c r="U11" s="66">
        <v>1.39</v>
      </c>
      <c r="V11" s="66">
        <v>1.4039999999999999</v>
      </c>
      <c r="W11" s="66">
        <v>1.425</v>
      </c>
      <c r="X11" s="66">
        <v>1.45</v>
      </c>
      <c r="Y11" s="66">
        <v>1.4790000000000001</v>
      </c>
      <c r="Z11" s="68">
        <v>1.516</v>
      </c>
      <c r="AA11" s="66">
        <v>1.5620000000000001</v>
      </c>
      <c r="AB11" s="67">
        <v>1.6160000000000001</v>
      </c>
      <c r="AC11" s="66">
        <v>1.681</v>
      </c>
      <c r="AD11" s="66">
        <v>1.748</v>
      </c>
      <c r="AE11" s="66">
        <v>1.8180000000000001</v>
      </c>
      <c r="AF11" s="66">
        <v>1.891</v>
      </c>
      <c r="AG11" s="66">
        <v>1.966</v>
      </c>
      <c r="AH11" s="66">
        <v>2.0449999999999999</v>
      </c>
      <c r="AI11" s="66">
        <v>2.1269999999999998</v>
      </c>
      <c r="AJ11" s="67">
        <v>2.2120000000000002</v>
      </c>
      <c r="AK11" s="66">
        <v>2.2999999999999998</v>
      </c>
      <c r="AL11" s="66">
        <v>2.3919999999999999</v>
      </c>
      <c r="AM11" s="66">
        <v>2.488</v>
      </c>
      <c r="AN11" s="66">
        <v>2.5880000000000001</v>
      </c>
      <c r="AO11" s="66">
        <v>2.6909999999999998</v>
      </c>
      <c r="AP11" s="66">
        <v>2.7989999999999999</v>
      </c>
      <c r="AQ11" s="67">
        <v>2.911</v>
      </c>
      <c r="AR11" s="66">
        <v>3</v>
      </c>
      <c r="AS11" s="66">
        <v>3</v>
      </c>
      <c r="AT11" s="66">
        <v>3</v>
      </c>
      <c r="AU11" s="66">
        <v>3</v>
      </c>
      <c r="AV11" s="67">
        <v>3</v>
      </c>
      <c r="AW11" s="67">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StateSummaryRatingAreas</vt:lpstr>
      <vt:lpstr>RatingAreas</vt:lpstr>
      <vt:lpstr>SLCSP</vt:lpstr>
      <vt:lpstr>Metal Level</vt:lpstr>
      <vt:lpstr>Weighting</vt:lpstr>
      <vt:lpstr>AgeCurvatures</vt:lpstr>
      <vt:lpstr>OldAgeCurvatures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Randolph</dc:creator>
  <cp:lastModifiedBy>Erik Randolph</cp:lastModifiedBy>
  <dcterms:created xsi:type="dcterms:W3CDTF">2020-03-06T21:13:46Z</dcterms:created>
  <dcterms:modified xsi:type="dcterms:W3CDTF">2020-03-09T18:14:40Z</dcterms:modified>
</cp:coreProperties>
</file>