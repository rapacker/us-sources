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C:\Users\rapac\Documents\Just Saying That\Consulting\GCO\Program Sources\LIHEAP\"/>
    </mc:Choice>
  </mc:AlternateContent>
  <xr:revisionPtr revIDLastSave="0" documentId="8_{C4AC62B2-E164-4009-816D-E6D58E8549D9}" xr6:coauthVersionLast="47" xr6:coauthVersionMax="47" xr10:uidLastSave="{00000000-0000-0000-0000-000000000000}"/>
  <bookViews>
    <workbookView xWindow="1536" yWindow="1476" windowWidth="18972" windowHeight="11484" activeTab="2" xr2:uid="{00000000-000D-0000-FFFF-FFFF00000000}"/>
  </bookViews>
  <sheets>
    <sheet name="SMI Table" sheetId="1" r:id="rId1"/>
    <sheet name="LIHEAP State Median Income" sheetId="3" r:id="rId2"/>
    <sheet name="SMI" sheetId="2" r:id="rId3"/>
  </sheets>
  <definedNames>
    <definedName name="ExternalData_1" localSheetId="1" hidden="1">'LIHEAP State Median Income'!$A$1:$L$54</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4" i="2" l="1"/>
  <c r="J4" i="2"/>
  <c r="K4" i="2"/>
  <c r="L4" i="2"/>
  <c r="I5" i="2"/>
  <c r="J5" i="2"/>
  <c r="K5" i="2"/>
  <c r="L5" i="2"/>
  <c r="I6" i="2"/>
  <c r="J6" i="2"/>
  <c r="K6" i="2"/>
  <c r="L6" i="2"/>
  <c r="I7" i="2"/>
  <c r="J7" i="2"/>
  <c r="K7" i="2"/>
  <c r="L7" i="2"/>
  <c r="I8" i="2"/>
  <c r="J8" i="2"/>
  <c r="K8" i="2"/>
  <c r="L8" i="2"/>
  <c r="I9" i="2"/>
  <c r="J9" i="2"/>
  <c r="K9" i="2"/>
  <c r="L9" i="2"/>
  <c r="I10" i="2"/>
  <c r="J10" i="2"/>
  <c r="K10" i="2"/>
  <c r="L10" i="2"/>
  <c r="I11" i="2"/>
  <c r="J11" i="2"/>
  <c r="K11" i="2"/>
  <c r="L11" i="2"/>
  <c r="I12" i="2"/>
  <c r="J12" i="2"/>
  <c r="K12" i="2"/>
  <c r="L12" i="2"/>
  <c r="I13" i="2"/>
  <c r="J13" i="2"/>
  <c r="K13" i="2"/>
  <c r="L13" i="2"/>
  <c r="I14" i="2"/>
  <c r="J14" i="2"/>
  <c r="K14" i="2"/>
  <c r="L14" i="2"/>
  <c r="I15" i="2"/>
  <c r="J15" i="2"/>
  <c r="K15" i="2"/>
  <c r="L15" i="2"/>
  <c r="I16" i="2"/>
  <c r="J16" i="2"/>
  <c r="K16" i="2"/>
  <c r="L16" i="2"/>
  <c r="I17" i="2"/>
  <c r="J17" i="2"/>
  <c r="K17" i="2"/>
  <c r="L17" i="2"/>
  <c r="I18" i="2"/>
  <c r="J18" i="2"/>
  <c r="K18" i="2"/>
  <c r="L18" i="2"/>
  <c r="I19" i="2"/>
  <c r="J19" i="2"/>
  <c r="K19" i="2"/>
  <c r="L19" i="2"/>
  <c r="I20" i="2"/>
  <c r="J20" i="2"/>
  <c r="K20" i="2"/>
  <c r="L20" i="2"/>
  <c r="I21" i="2"/>
  <c r="J21" i="2"/>
  <c r="K21" i="2"/>
  <c r="L21" i="2"/>
  <c r="I22" i="2"/>
  <c r="J22" i="2"/>
  <c r="K22" i="2"/>
  <c r="L22" i="2"/>
  <c r="I23" i="2"/>
  <c r="J23" i="2"/>
  <c r="K23" i="2"/>
  <c r="L23" i="2"/>
  <c r="I24" i="2"/>
  <c r="J24" i="2"/>
  <c r="K24" i="2"/>
  <c r="L24" i="2"/>
  <c r="I25" i="2"/>
  <c r="J25" i="2"/>
  <c r="K25" i="2"/>
  <c r="L25" i="2"/>
  <c r="I26" i="2"/>
  <c r="J26" i="2"/>
  <c r="K26" i="2"/>
  <c r="L26" i="2"/>
  <c r="I27" i="2"/>
  <c r="J27" i="2"/>
  <c r="K27" i="2"/>
  <c r="L27" i="2"/>
  <c r="I28" i="2"/>
  <c r="J28" i="2"/>
  <c r="K28" i="2"/>
  <c r="L28" i="2"/>
  <c r="I29" i="2"/>
  <c r="J29" i="2"/>
  <c r="K29" i="2"/>
  <c r="L29" i="2"/>
  <c r="I30" i="2"/>
  <c r="J30" i="2"/>
  <c r="K30" i="2"/>
  <c r="L30" i="2"/>
  <c r="I31" i="2"/>
  <c r="J31" i="2"/>
  <c r="K31" i="2"/>
  <c r="L31" i="2"/>
  <c r="I32" i="2"/>
  <c r="J32" i="2"/>
  <c r="K32" i="2"/>
  <c r="L32" i="2"/>
  <c r="I33" i="2"/>
  <c r="J33" i="2"/>
  <c r="K33" i="2"/>
  <c r="L33" i="2"/>
  <c r="I34" i="2"/>
  <c r="J34" i="2"/>
  <c r="K34" i="2"/>
  <c r="L34" i="2"/>
  <c r="I35" i="2"/>
  <c r="J35" i="2"/>
  <c r="K35" i="2"/>
  <c r="L35" i="2"/>
  <c r="I36" i="2"/>
  <c r="J36" i="2"/>
  <c r="K36" i="2"/>
  <c r="L36" i="2"/>
  <c r="I37" i="2"/>
  <c r="J37" i="2"/>
  <c r="K37" i="2"/>
  <c r="L37" i="2"/>
  <c r="I38" i="2"/>
  <c r="J38" i="2"/>
  <c r="K38" i="2"/>
  <c r="L38" i="2"/>
  <c r="I39" i="2"/>
  <c r="J39" i="2"/>
  <c r="K39" i="2"/>
  <c r="L39" i="2"/>
  <c r="I40" i="2"/>
  <c r="J40" i="2"/>
  <c r="K40" i="2"/>
  <c r="L40" i="2"/>
  <c r="I41" i="2"/>
  <c r="J41" i="2"/>
  <c r="K41" i="2"/>
  <c r="L41" i="2"/>
  <c r="I42" i="2"/>
  <c r="J42" i="2"/>
  <c r="K42" i="2"/>
  <c r="L42" i="2"/>
  <c r="I43" i="2"/>
  <c r="J43" i="2"/>
  <c r="K43" i="2"/>
  <c r="L43" i="2"/>
  <c r="I44" i="2"/>
  <c r="J44" i="2"/>
  <c r="K44" i="2"/>
  <c r="L44" i="2"/>
  <c r="I45" i="2"/>
  <c r="J45" i="2"/>
  <c r="K45" i="2"/>
  <c r="L45" i="2"/>
  <c r="I46" i="2"/>
  <c r="J46" i="2"/>
  <c r="K46" i="2"/>
  <c r="L46" i="2"/>
  <c r="I47" i="2"/>
  <c r="J47" i="2"/>
  <c r="K47" i="2"/>
  <c r="L47" i="2"/>
  <c r="I48" i="2"/>
  <c r="J48" i="2"/>
  <c r="K48" i="2"/>
  <c r="L48" i="2"/>
  <c r="I49" i="2"/>
  <c r="J49" i="2"/>
  <c r="K49" i="2"/>
  <c r="L49" i="2"/>
  <c r="I50" i="2"/>
  <c r="J50" i="2"/>
  <c r="K50" i="2"/>
  <c r="L50" i="2"/>
  <c r="I51" i="2"/>
  <c r="J51" i="2"/>
  <c r="K51" i="2"/>
  <c r="L51" i="2"/>
  <c r="I52" i="2"/>
  <c r="J52" i="2"/>
  <c r="K52" i="2"/>
  <c r="L52" i="2"/>
  <c r="I53" i="2"/>
  <c r="J53" i="2"/>
  <c r="K53" i="2"/>
  <c r="L53" i="2"/>
  <c r="I54" i="2"/>
  <c r="J54" i="2"/>
  <c r="K54" i="2"/>
  <c r="L54" i="2"/>
  <c r="L3" i="2"/>
  <c r="K3" i="2"/>
  <c r="J3" i="2"/>
  <c r="I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29AA4-E0FE-4508-91FE-F69E9953EECB}" keepAlive="1" name="Query - LIHEAP State Median Income" description="Connection to the 'LIHEAP State Median Income' query in the workbook." type="5" refreshedVersion="7" background="1" saveData="1">
    <dbPr connection="Provider=Microsoft.Mashup.OleDb.1;Data Source=$Workbook$;Location=&quot;LIHEAP State Median Income&quot;;Extended Properties=&quot;&quot;" command="SELECT * FROM [LIHEAP State Median Income]"/>
  </connection>
</connections>
</file>

<file path=xl/sharedStrings.xml><?xml version="1.0" encoding="utf-8"?>
<sst xmlns="http://schemas.openxmlformats.org/spreadsheetml/2006/main" count="223" uniqueCount="144">
  <si>
    <r>
      <rPr>
        <b/>
        <sz val="12"/>
        <rFont val="Calibri"/>
        <family val="2"/>
      </rPr>
      <t>Attachment 1</t>
    </r>
  </si>
  <si>
    <r>
      <rPr>
        <b/>
        <sz val="12"/>
        <rFont val="Calibri"/>
        <family val="2"/>
      </rPr>
      <t xml:space="preserve">State Median Income (SMI) by Household Size for Optional Use in FY 2021 and Mandatory
</t>
    </r>
    <r>
      <rPr>
        <b/>
        <sz val="12"/>
        <rFont val="Calibri"/>
        <family val="2"/>
      </rPr>
      <t>Use in LIHEAP for FFY 2022</t>
    </r>
  </si>
  <si>
    <r>
      <rPr>
        <b/>
        <sz val="10"/>
        <rFont val="Calibri"/>
        <family val="2"/>
      </rPr>
      <t>Geographic Level</t>
    </r>
    <r>
      <rPr>
        <b/>
        <vertAlign val="superscript"/>
        <sz val="6.5"/>
        <rFont val="Calibri"/>
        <family val="2"/>
      </rPr>
      <t>1</t>
    </r>
  </si>
  <si>
    <r>
      <rPr>
        <b/>
        <sz val="10"/>
        <rFont val="Calibri"/>
        <family val="2"/>
      </rPr>
      <t>SMI for 4- Person Family</t>
    </r>
    <r>
      <rPr>
        <b/>
        <vertAlign val="superscript"/>
        <sz val="6.5"/>
        <rFont val="Calibri"/>
        <family val="2"/>
      </rPr>
      <t>2</t>
    </r>
  </si>
  <si>
    <r>
      <rPr>
        <b/>
        <sz val="10"/>
        <rFont val="Calibri"/>
        <family val="2"/>
      </rPr>
      <t xml:space="preserve">60
</t>
    </r>
    <r>
      <rPr>
        <b/>
        <sz val="10"/>
        <rFont val="Calibri"/>
        <family val="2"/>
      </rPr>
      <t>Percent SMI for 1- Person HHld*</t>
    </r>
  </si>
  <si>
    <r>
      <rPr>
        <b/>
        <sz val="10"/>
        <rFont val="Calibri"/>
        <family val="2"/>
      </rPr>
      <t xml:space="preserve">60
</t>
    </r>
    <r>
      <rPr>
        <b/>
        <sz val="10"/>
        <rFont val="Calibri"/>
        <family val="2"/>
      </rPr>
      <t>Percent SMI for 2- Person HHld*</t>
    </r>
  </si>
  <si>
    <r>
      <rPr>
        <b/>
        <sz val="10"/>
        <rFont val="Calibri"/>
        <family val="2"/>
      </rPr>
      <t xml:space="preserve">60
</t>
    </r>
    <r>
      <rPr>
        <b/>
        <sz val="10"/>
        <rFont val="Calibri"/>
        <family val="2"/>
      </rPr>
      <t>Percent SMI for 3- Person HHld*</t>
    </r>
  </si>
  <si>
    <r>
      <rPr>
        <b/>
        <sz val="10"/>
        <rFont val="Calibri"/>
        <family val="2"/>
      </rPr>
      <t xml:space="preserve">60
</t>
    </r>
    <r>
      <rPr>
        <b/>
        <sz val="10"/>
        <rFont val="Calibri"/>
        <family val="2"/>
      </rPr>
      <t>Percent SMI for 4- Person HHld*</t>
    </r>
    <r>
      <rPr>
        <b/>
        <vertAlign val="superscript"/>
        <sz val="6.5"/>
        <rFont val="Calibri"/>
        <family val="2"/>
      </rPr>
      <t>3</t>
    </r>
  </si>
  <si>
    <r>
      <rPr>
        <b/>
        <sz val="10"/>
        <rFont val="Calibri"/>
        <family val="2"/>
      </rPr>
      <t xml:space="preserve">60
</t>
    </r>
    <r>
      <rPr>
        <b/>
        <sz val="10"/>
        <rFont val="Calibri"/>
        <family val="2"/>
      </rPr>
      <t>Percent SMI for 5- Person HHld*</t>
    </r>
  </si>
  <si>
    <r>
      <rPr>
        <b/>
        <sz val="10"/>
        <rFont val="Calibri"/>
        <family val="2"/>
      </rPr>
      <t xml:space="preserve">60
</t>
    </r>
    <r>
      <rPr>
        <b/>
        <sz val="10"/>
        <rFont val="Calibri"/>
        <family val="2"/>
      </rPr>
      <t>Percent SMI for 6- Person HHld*</t>
    </r>
  </si>
  <si>
    <r>
      <rPr>
        <b/>
        <sz val="10"/>
        <rFont val="Calibri"/>
        <family val="2"/>
      </rPr>
      <t>Alabama</t>
    </r>
  </si>
  <si>
    <r>
      <rPr>
        <b/>
        <sz val="10"/>
        <rFont val="Calibri"/>
        <family val="2"/>
      </rPr>
      <t>Alaska</t>
    </r>
  </si>
  <si>
    <r>
      <rPr>
        <b/>
        <sz val="10"/>
        <rFont val="Calibri"/>
        <family val="2"/>
      </rPr>
      <t>Arizona</t>
    </r>
  </si>
  <si>
    <r>
      <rPr>
        <b/>
        <sz val="10"/>
        <rFont val="Calibri"/>
        <family val="2"/>
      </rPr>
      <t>Arkansas</t>
    </r>
  </si>
  <si>
    <r>
      <rPr>
        <b/>
        <sz val="10"/>
        <rFont val="Calibri"/>
        <family val="2"/>
      </rPr>
      <t>California</t>
    </r>
  </si>
  <si>
    <r>
      <rPr>
        <b/>
        <sz val="10"/>
        <rFont val="Calibri"/>
        <family val="2"/>
      </rPr>
      <t>Colorado</t>
    </r>
  </si>
  <si>
    <r>
      <rPr>
        <b/>
        <sz val="10"/>
        <rFont val="Calibri"/>
        <family val="2"/>
      </rPr>
      <t>Connecticut</t>
    </r>
  </si>
  <si>
    <r>
      <rPr>
        <b/>
        <sz val="10"/>
        <rFont val="Calibri"/>
        <family val="2"/>
      </rPr>
      <t>Delaware</t>
    </r>
  </si>
  <si>
    <r>
      <rPr>
        <b/>
        <sz val="10"/>
        <rFont val="Calibri"/>
        <family val="2"/>
      </rPr>
      <t>District of Columbia</t>
    </r>
  </si>
  <si>
    <r>
      <rPr>
        <b/>
        <sz val="10"/>
        <rFont val="Calibri"/>
        <family val="2"/>
      </rPr>
      <t>Florida</t>
    </r>
  </si>
  <si>
    <r>
      <rPr>
        <b/>
        <sz val="10"/>
        <rFont val="Calibri"/>
        <family val="2"/>
      </rPr>
      <t>Georgia</t>
    </r>
  </si>
  <si>
    <r>
      <rPr>
        <b/>
        <sz val="10"/>
        <rFont val="Calibri"/>
        <family val="2"/>
      </rPr>
      <t>Hawaii</t>
    </r>
  </si>
  <si>
    <r>
      <rPr>
        <b/>
        <sz val="10"/>
        <rFont val="Calibri"/>
        <family val="2"/>
      </rPr>
      <t>Idaho</t>
    </r>
  </si>
  <si>
    <r>
      <rPr>
        <b/>
        <sz val="10"/>
        <rFont val="Calibri"/>
        <family val="2"/>
      </rPr>
      <t>Illinois</t>
    </r>
  </si>
  <si>
    <r>
      <rPr>
        <b/>
        <sz val="10"/>
        <rFont val="Calibri"/>
        <family val="2"/>
      </rPr>
      <t>Indiana</t>
    </r>
  </si>
  <si>
    <r>
      <rPr>
        <b/>
        <sz val="10"/>
        <rFont val="Calibri"/>
        <family val="2"/>
      </rPr>
      <t>Iowa</t>
    </r>
  </si>
  <si>
    <r>
      <rPr>
        <b/>
        <sz val="10"/>
        <rFont val="Calibri"/>
        <family val="2"/>
      </rPr>
      <t>Kansas</t>
    </r>
  </si>
  <si>
    <r>
      <rPr>
        <b/>
        <sz val="10"/>
        <rFont val="Calibri"/>
        <family val="2"/>
      </rPr>
      <t>Kentucky</t>
    </r>
  </si>
  <si>
    <r>
      <rPr>
        <b/>
        <sz val="10"/>
        <rFont val="Calibri"/>
        <family val="2"/>
      </rPr>
      <t>Louisiana</t>
    </r>
  </si>
  <si>
    <r>
      <rPr>
        <b/>
        <sz val="10"/>
        <rFont val="Calibri"/>
        <family val="2"/>
      </rPr>
      <t>Maine</t>
    </r>
  </si>
  <si>
    <r>
      <rPr>
        <b/>
        <sz val="10"/>
        <rFont val="Calibri"/>
        <family val="2"/>
      </rPr>
      <t>Maryland</t>
    </r>
  </si>
  <si>
    <r>
      <rPr>
        <b/>
        <sz val="10"/>
        <rFont val="Calibri"/>
        <family val="2"/>
      </rPr>
      <t>Massachusetts</t>
    </r>
  </si>
  <si>
    <r>
      <rPr>
        <b/>
        <sz val="10"/>
        <rFont val="Calibri"/>
        <family val="2"/>
      </rPr>
      <t>Michigan</t>
    </r>
  </si>
  <si>
    <r>
      <rPr>
        <b/>
        <sz val="10"/>
        <rFont val="Calibri"/>
        <family val="2"/>
      </rPr>
      <t>Minnesota</t>
    </r>
  </si>
  <si>
    <r>
      <rPr>
        <b/>
        <sz val="10"/>
        <rFont val="Calibri"/>
        <family val="2"/>
      </rPr>
      <t>Mississippi</t>
    </r>
  </si>
  <si>
    <r>
      <rPr>
        <b/>
        <sz val="10"/>
        <rFont val="Calibri"/>
        <family val="2"/>
      </rPr>
      <t>Missouri</t>
    </r>
  </si>
  <si>
    <r>
      <rPr>
        <b/>
        <sz val="10"/>
        <rFont val="Calibri"/>
        <family val="2"/>
      </rPr>
      <t>Montana</t>
    </r>
  </si>
  <si>
    <r>
      <rPr>
        <b/>
        <sz val="10"/>
        <rFont val="Calibri"/>
        <family val="2"/>
      </rPr>
      <t>Nebraska</t>
    </r>
  </si>
  <si>
    <r>
      <rPr>
        <b/>
        <sz val="10"/>
        <rFont val="Calibri"/>
        <family val="2"/>
      </rPr>
      <t>Nevada</t>
    </r>
  </si>
  <si>
    <r>
      <rPr>
        <b/>
        <sz val="10"/>
        <rFont val="Calibri"/>
        <family val="2"/>
      </rPr>
      <t>New Hampshire</t>
    </r>
  </si>
  <si>
    <r>
      <rPr>
        <b/>
        <sz val="10"/>
        <rFont val="Calibri"/>
        <family val="2"/>
      </rPr>
      <t>New Jersey</t>
    </r>
  </si>
  <si>
    <r>
      <rPr>
        <b/>
        <sz val="10"/>
        <rFont val="Calibri"/>
        <family val="2"/>
      </rPr>
      <t>New Mexico</t>
    </r>
  </si>
  <si>
    <r>
      <rPr>
        <b/>
        <sz val="10"/>
        <rFont val="Calibri"/>
        <family val="2"/>
      </rPr>
      <t>New York</t>
    </r>
  </si>
  <si>
    <r>
      <rPr>
        <b/>
        <sz val="10"/>
        <rFont val="Calibri"/>
        <family val="2"/>
      </rPr>
      <t>North Carolina</t>
    </r>
  </si>
  <si>
    <r>
      <rPr>
        <b/>
        <sz val="10"/>
        <rFont val="Calibri"/>
        <family val="2"/>
      </rPr>
      <t>North Dakota</t>
    </r>
  </si>
  <si>
    <r>
      <rPr>
        <b/>
        <sz val="10"/>
        <rFont val="Calibri"/>
        <family val="2"/>
      </rPr>
      <t>Ohio</t>
    </r>
  </si>
  <si>
    <r>
      <rPr>
        <b/>
        <sz val="10"/>
        <rFont val="Calibri"/>
        <family val="2"/>
      </rPr>
      <t>Oklahoma</t>
    </r>
  </si>
  <si>
    <r>
      <rPr>
        <b/>
        <sz val="10"/>
        <rFont val="Calibri"/>
        <family val="2"/>
      </rPr>
      <t>Oregon</t>
    </r>
  </si>
  <si>
    <r>
      <rPr>
        <b/>
        <sz val="10"/>
        <rFont val="Calibri"/>
        <family val="2"/>
      </rPr>
      <t>Pennsylvania</t>
    </r>
  </si>
  <si>
    <r>
      <rPr>
        <b/>
        <sz val="10"/>
        <rFont val="Calibri"/>
        <family val="2"/>
      </rPr>
      <t>Rhode Island</t>
    </r>
  </si>
  <si>
    <r>
      <rPr>
        <b/>
        <sz val="10"/>
        <rFont val="Calibri"/>
        <family val="2"/>
      </rPr>
      <t>South Carolina</t>
    </r>
  </si>
  <si>
    <r>
      <rPr>
        <b/>
        <sz val="10"/>
        <rFont val="Calibri"/>
        <family val="2"/>
      </rPr>
      <t>South Dakota</t>
    </r>
  </si>
  <si>
    <r>
      <rPr>
        <b/>
        <sz val="10"/>
        <rFont val="Calibri"/>
        <family val="2"/>
      </rPr>
      <t>Tennessee</t>
    </r>
  </si>
  <si>
    <r>
      <rPr>
        <b/>
        <sz val="10"/>
        <rFont val="Calibri"/>
        <family val="2"/>
      </rPr>
      <t>Texas</t>
    </r>
  </si>
  <si>
    <r>
      <rPr>
        <b/>
        <sz val="10"/>
        <rFont val="Calibri"/>
        <family val="2"/>
      </rPr>
      <t>Utah</t>
    </r>
  </si>
  <si>
    <r>
      <rPr>
        <b/>
        <sz val="10"/>
        <rFont val="Calibri"/>
        <family val="2"/>
      </rPr>
      <t>Vermont</t>
    </r>
  </si>
  <si>
    <r>
      <rPr>
        <b/>
        <sz val="10"/>
        <rFont val="Calibri"/>
        <family val="2"/>
      </rPr>
      <t>Virginia</t>
    </r>
  </si>
  <si>
    <r>
      <rPr>
        <b/>
        <sz val="10"/>
        <rFont val="Calibri"/>
        <family val="2"/>
      </rPr>
      <t>Washington</t>
    </r>
  </si>
  <si>
    <r>
      <rPr>
        <b/>
        <sz val="10"/>
        <rFont val="Calibri"/>
        <family val="2"/>
      </rPr>
      <t>West Virginia</t>
    </r>
  </si>
  <si>
    <r>
      <rPr>
        <b/>
        <sz val="10"/>
        <rFont val="Calibri"/>
        <family val="2"/>
      </rPr>
      <t>Wisconsin</t>
    </r>
  </si>
  <si>
    <r>
      <rPr>
        <b/>
        <sz val="10"/>
        <rFont val="Calibri"/>
        <family val="2"/>
      </rPr>
      <t>Wyoming</t>
    </r>
  </si>
  <si>
    <r>
      <rPr>
        <b/>
        <sz val="10"/>
        <rFont val="Calibri"/>
        <family val="2"/>
      </rPr>
      <t>Puerto Rico</t>
    </r>
  </si>
  <si>
    <r>
      <rPr>
        <sz val="11"/>
        <rFont val="Calibri"/>
        <family val="2"/>
      </rPr>
      <t>*Household</t>
    </r>
  </si>
  <si>
    <r>
      <rPr>
        <vertAlign val="superscript"/>
        <sz val="6.5"/>
        <rFont val="Calibri"/>
        <family val="2"/>
      </rPr>
      <t xml:space="preserve">1  </t>
    </r>
    <r>
      <rPr>
        <sz val="10"/>
        <rFont val="Calibri"/>
        <family val="2"/>
      </rPr>
      <t xml:space="preserve">The estimated U.S. median income for 4-person families is $94,738 for the period of October 1, 2021 through
</t>
    </r>
    <r>
      <rPr>
        <sz val="10"/>
        <rFont val="Calibri"/>
        <family val="2"/>
      </rPr>
      <t xml:space="preserve">September 30, 2022.
</t>
    </r>
    <r>
      <rPr>
        <vertAlign val="superscript"/>
        <sz val="6.5"/>
        <rFont val="Calibri"/>
        <family val="2"/>
      </rPr>
      <t xml:space="preserve">2  </t>
    </r>
    <r>
      <rPr>
        <sz val="10"/>
        <rFont val="Calibri"/>
        <family val="2"/>
      </rPr>
      <t xml:space="preserve">Prepared by the U.S. Census Bureau, U.S. Department of Commerce (Census Bureau) from the 2015 through 2019 American Community Surveys (ACS).  For further information, see table B19119 for the five-year estimates of the 2015 ACS through 2019 ACS at </t>
    </r>
    <r>
      <rPr>
        <sz val="10"/>
        <color rgb="FF00AFEF"/>
        <rFont val="Calibri"/>
        <family val="2"/>
      </rPr>
      <t xml:space="preserve">data.census.gov </t>
    </r>
    <r>
      <rPr>
        <sz val="10"/>
        <rFont val="Calibri"/>
        <family val="2"/>
      </rPr>
      <t xml:space="preserve">or contact the Census Bureau's Social, Economic and Housing Statistics Division (SEHSD) at (301) 763-3243.
</t>
    </r>
    <r>
      <rPr>
        <vertAlign val="superscript"/>
        <sz val="6.5"/>
        <rFont val="Calibri"/>
        <family val="2"/>
      </rPr>
      <t xml:space="preserve">3  </t>
    </r>
    <r>
      <rPr>
        <sz val="10"/>
        <rFont val="Calibri"/>
        <family val="2"/>
      </rPr>
      <t xml:space="preserve">Prepared by the Administration for Children and Families, Office of Community Services, Division of Energy Assistance.  In accordance with 45 CFR 96.85, 60 percent of each State's estimated median income for a four- person family is multiplied by the following percentages to adjust for household size for LIHEAP: 52 percent for one person, 68 percent for two persons, 84 percent for three persons, 100 percent for four persons, 116 percent for five persons, and 132 percent for six persons.  For each additional household member above six persons, add three percentage points to the percentage for a six-person household (132 percent), and multiply the new percentage by
</t>
    </r>
    <r>
      <rPr>
        <sz val="10"/>
        <rFont val="Calibri"/>
        <family val="2"/>
      </rPr>
      <t>60 percent of the State's estimated median income for a four-person household.</t>
    </r>
  </si>
  <si>
    <t>60
Percent SMI for 7- Person HHld*</t>
  </si>
  <si>
    <t>60
Percent SMI for 8- Person HHld*</t>
  </si>
  <si>
    <t>60
Percent SMI for 9- Person HHld*</t>
  </si>
  <si>
    <t>60
Percent SMI for 10- Person HHld*</t>
  </si>
  <si>
    <t>Column1</t>
  </si>
  <si>
    <t>Column2</t>
  </si>
  <si>
    <t>Column3</t>
  </si>
  <si>
    <t>Column4</t>
  </si>
  <si>
    <t>Column5</t>
  </si>
  <si>
    <t>Column6</t>
  </si>
  <si>
    <t>Column7</t>
  </si>
  <si>
    <t>Column8</t>
  </si>
  <si>
    <t>Column9</t>
  </si>
  <si>
    <t>Column10</t>
  </si>
  <si>
    <t>Column11</t>
  </si>
  <si>
    <t>State Median Income (SMI) by Household Size for Optional Use in FY 2021 and Mandatory
Use in LIHEAP for FFY 2022</t>
  </si>
  <si>
    <t>Geographic Level1</t>
  </si>
  <si>
    <t>SMI for 4- Person Family2</t>
  </si>
  <si>
    <t>60
Percent SMI for 1- Person HHld*</t>
  </si>
  <si>
    <t>60
Percent SMI for 2- Person HHld*</t>
  </si>
  <si>
    <t>60
Percent SMI for 3- Person HHld*</t>
  </si>
  <si>
    <t>60
Percent SMI for 4- Person HHld*3</t>
  </si>
  <si>
    <t>60
Percent SMI for 5- Person HHld*</t>
  </si>
  <si>
    <t>60
Percent SMI for 6- Person HHld*</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</si>
  <si>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</si>
  <si>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</si>
  <si>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</si>
  <si>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</si>
  <si>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</si>
  <si>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</si>
  <si>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</si>
  <si>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</si>
  <si>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</si>
  <si>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</si>
  <si>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</si>
  <si>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</si>
  <si>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</si>
  <si>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</si>
  <si>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</si>
  <si>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</si>
  <si>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</si>
  <si>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</si>
  <si>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</si>
  <si>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</si>
  <si>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</si>
  <si>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</si>
  <si>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</si>
  <si>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</si>
  <si>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</si>
  <si>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</si>
  <si>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</si>
  <si>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</si>
  <si>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</si>
  <si>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</si>
  <si>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</si>
  <si>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</si>
  <si>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</si>
  <si>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</si>
  <si>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</si>
  <si>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</si>
  <si>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</si>
  <si>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</si>
  <si>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</si>
  <si>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</si>
  <si>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</si>
  <si>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</si>
  <si>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</si>
  <si>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</si>
  <si>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</si>
  <si>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</si>
  <si>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</si>
  <si>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</si>
  <si>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</si>
  <si>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</si>
  <si>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</si>
  <si>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</si>
  <si>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r>
      <rPr>
        <b/>
        <sz val="10"/>
        <rFont val="Calibri"/>
        <family val="2"/>
      </rPr>
      <t>SMI for 4- Person Family</t>
    </r>
    <r>
      <rPr>
        <b/>
        <vertAlign val="superscript"/>
        <sz val="6.5"/>
        <rFont val="Calibri"/>
        <family val="2"/>
      </rPr>
      <t>1</t>
    </r>
    <r>
      <rPr>
        <sz val="11"/>
        <color theme="1"/>
        <rFont val="Calibri"/>
        <family val="2"/>
        <scheme val="minor"/>
      </rPr>
      <t/>
    </r>
  </si>
  <si>
    <r>
      <rPr>
        <b/>
        <sz val="10"/>
        <rFont val="Calibri"/>
        <family val="2"/>
      </rPr>
      <t xml:space="preserve">60
</t>
    </r>
    <r>
      <rPr>
        <b/>
        <sz val="10"/>
        <rFont val="Calibri"/>
        <family val="2"/>
      </rPr>
      <t>Percent SMI for 4- Person HHld*</t>
    </r>
    <r>
      <rPr>
        <b/>
        <vertAlign val="superscript"/>
        <sz val="6.5"/>
        <rFont val="Calibri"/>
        <family val="2"/>
      </rPr>
      <t>2</t>
    </r>
    <r>
      <rPr>
        <sz val="11"/>
        <color theme="1"/>
        <rFont val="Calibri"/>
        <family val="2"/>
        <scheme val="minor"/>
      </rPr>
      <t/>
    </r>
  </si>
  <si>
    <r>
      <rPr>
        <b/>
        <sz val="10"/>
        <rFont val="Calibri"/>
        <family val="2"/>
      </rPr>
      <t>Geographic Level</t>
    </r>
    <r>
      <rPr>
        <b/>
        <vertAlign val="superscript"/>
        <sz val="6.5"/>
        <rFont val="Calibri"/>
        <family val="2"/>
      </rPr>
      <t>0</t>
    </r>
    <r>
      <rPr>
        <sz val="11"/>
        <color theme="1"/>
        <rFont val="Calibri"/>
        <family val="2"/>
        <scheme val="minor"/>
      </rPr>
      <t/>
    </r>
  </si>
  <si>
    <t>State Median Income (SMI) by Household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</si>
</sst>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quot;$&quot;#,##0"/>
  </numFmts>
  <fonts count="12" x14ac:knownFonts="1">
    <font>
      <sz val="10"/>
      <color rgb="FF000000"/>
      <name val="Times New Roman"/>
      <charset val="204"/>
    </font>
    <font>
      <sz val="11"/>
      <color theme="1"/>
      <name val="Calibri"/>
      <family val="2"/>
      <scheme val="minor"/>
    </font>
    <font>
      <b/>
      <sz val="12"/>
      <name val="Calibri"/>
      <family val="2"/>
    </font>
    <font>
      <b/>
      <sz val="10"/>
      <name val="Calibri"/>
      <family val="2"/>
    </font>
    <font>
      <sz val="10"/>
      <color rgb="FF000000"/>
      <name val="Calibri"/>
      <family val="2"/>
    </font>
    <font>
      <sz val="11"/>
      <name val="Calibri"/>
      <family val="2"/>
    </font>
    <font>
      <b/>
      <vertAlign val="superscript"/>
      <sz val="6.5"/>
      <name val="Calibri"/>
      <family val="2"/>
    </font>
    <font>
      <vertAlign val="superscript"/>
      <sz val="6.5"/>
      <name val="Calibri"/>
      <family val="2"/>
    </font>
    <font>
      <sz val="10"/>
      <name val="Calibri"/>
      <family val="2"/>
    </font>
    <font>
      <sz val="10"/>
      <color rgb="FF00AFEF"/>
      <name val="Calibri"/>
      <family val="2"/>
    </font>
    <font>
      <sz val="8"/>
      <name val="Times New Roman"/>
      <family val="1"/>
    </font>
    <font>
      <sz val="10"/>
      <color rgb="FF000000"/>
      <name val="Times New Roman"/>
      <family val="1"/>
      <charset val="204"/>
    </font>
  </fonts>
  <fills count="2">
    <fill>
      <patternFill patternType="none"/>
    </fill>
    <fill>
      <patternFill patternType="gray125"/>
    </fill>
  </fills>
  <borders count="3">
    <border>
      <left/>
      <right/>
      <top/>
      <bottom/>
      <diagonal/>
    </border>
    <border>
      <left style="thin">
        <color rgb="FFEFEFEF"/>
      </left>
      <right style="thin">
        <color rgb="FF9F9F9F"/>
      </right>
      <top style="thin">
        <color rgb="FF9F9F9F"/>
      </top>
      <bottom style="thin">
        <color rgb="FF9F9F9F"/>
      </bottom>
      <diagonal/>
    </border>
    <border>
      <left style="thin">
        <color rgb="FF9F9F9F"/>
      </left>
      <right style="thin">
        <color rgb="FF9F9F9F"/>
      </right>
      <top style="thin">
        <color rgb="FF9F9F9F"/>
      </top>
      <bottom style="thin">
        <color rgb="FF9F9F9F"/>
      </bottom>
      <diagonal/>
    </border>
  </borders>
  <cellStyleXfs count="1">
    <xf numFmtId="0" fontId="0" fillId="0" borderId="0"/>
  </cellStyleXfs>
  <cellXfs count="20">
    <xf numFmtId="0" fontId="0" fillId="0" borderId="0" xfId="0" applyFill="1" applyBorder="1" applyAlignment="1">
      <alignment horizontal="left" vertical="top"/>
    </xf>
    <xf numFmtId="0" fontId="0" fillId="0" borderId="1" xfId="0" applyFill="1" applyBorder="1" applyAlignment="1">
      <alignment horizontal="left" vertical="top" wrapText="1"/>
    </xf>
    <xf numFmtId="0" fontId="0" fillId="0" borderId="2" xfId="0" applyFill="1" applyBorder="1" applyAlignment="1">
      <alignment horizontal="left" vertical="top" wrapText="1" indent="1"/>
    </xf>
    <xf numFmtId="0" fontId="0" fillId="0" borderId="2" xfId="0" applyFill="1" applyBorder="1" applyAlignment="1">
      <alignment horizontal="center" vertical="top" wrapText="1"/>
    </xf>
    <xf numFmtId="0" fontId="3" fillId="0" borderId="1" xfId="0" applyFont="1" applyFill="1" applyBorder="1" applyAlignment="1">
      <alignment horizontal="left" vertical="top" wrapText="1"/>
    </xf>
    <xf numFmtId="164" fontId="4" fillId="0" borderId="2" xfId="0" applyNumberFormat="1" applyFont="1" applyFill="1" applyBorder="1" applyAlignment="1">
      <alignment horizontal="right" vertical="top" shrinkToFit="1"/>
    </xf>
    <xf numFmtId="165" fontId="4" fillId="0" borderId="2" xfId="0" applyNumberFormat="1" applyFont="1" applyFill="1" applyBorder="1" applyAlignment="1">
      <alignment horizontal="right" vertical="top" shrinkToFit="1"/>
    </xf>
    <xf numFmtId="165" fontId="0" fillId="0" borderId="0" xfId="0" applyNumberFormat="1" applyFill="1" applyBorder="1" applyAlignment="1">
      <alignment horizontal="right" vertical="top"/>
    </xf>
    <xf numFmtId="165" fontId="0" fillId="0" borderId="2" xfId="0" applyNumberFormat="1" applyFill="1" applyBorder="1" applyAlignment="1">
      <alignment horizontal="right" vertical="top" wrapText="1" indent="1"/>
    </xf>
    <xf numFmtId="165" fontId="0" fillId="0" borderId="2" xfId="0" applyNumberFormat="1" applyFill="1" applyBorder="1" applyAlignment="1">
      <alignment horizontal="right" vertical="top" wrapText="1"/>
    </xf>
    <xf numFmtId="165" fontId="3" fillId="0" borderId="2" xfId="0" applyNumberFormat="1" applyFont="1" applyFill="1" applyBorder="1" applyAlignment="1">
      <alignment horizontal="right" vertical="top" wrapText="1"/>
    </xf>
    <xf numFmtId="0" fontId="0" fillId="0" borderId="0" xfId="0" applyNumberFormat="1" applyFill="1" applyBorder="1" applyAlignment="1">
      <alignment horizontal="left" vertical="top"/>
    </xf>
    <xf numFmtId="0" fontId="11" fillId="0" borderId="0" xfId="0" applyFont="1" applyFill="1" applyBorder="1" applyAlignment="1">
      <alignment horizontal="left" vertical="top" wrapText="1"/>
    </xf>
    <xf numFmtId="0" fontId="2" fillId="0" borderId="0" xfId="0" applyFont="1" applyFill="1" applyBorder="1" applyAlignment="1">
      <alignment vertical="top" wrapText="1"/>
    </xf>
    <xf numFmtId="0" fontId="2" fillId="0" borderId="0" xfId="0" applyFont="1" applyFill="1" applyBorder="1" applyAlignment="1">
      <alignment vertical="top"/>
    </xf>
    <xf numFmtId="0" fontId="2" fillId="0" borderId="0" xfId="0" applyFont="1" applyFill="1" applyBorder="1" applyAlignment="1">
      <alignment horizontal="left" vertical="top" wrapText="1" indent="1"/>
    </xf>
    <xf numFmtId="0" fontId="0" fillId="0" borderId="0" xfId="0" applyFill="1" applyBorder="1" applyAlignment="1">
      <alignment horizontal="center" vertical="top" wrapText="1"/>
    </xf>
    <xf numFmtId="0" fontId="5" fillId="0" borderId="0" xfId="0" applyFont="1" applyFill="1" applyBorder="1" applyAlignment="1">
      <alignment horizontal="left" vertical="top" wrapText="1" indent="1"/>
    </xf>
    <xf numFmtId="0" fontId="0" fillId="0" borderId="0" xfId="0" applyFill="1" applyBorder="1" applyAlignment="1">
      <alignment horizontal="left" vertical="top" wrapText="1"/>
    </xf>
    <xf numFmtId="0" fontId="0" fillId="0" borderId="0" xfId="0" applyFill="1" applyBorder="1" applyAlignment="1">
      <alignment horizontal="left" vertical="top" wrapText="1" indent="1"/>
    </xf>
  </cellXfs>
  <cellStyles count="1">
    <cellStyle name="Normal" xfId="0" builtinId="0"/>
  </cellStyles>
  <dxfs count="16">
    <dxf>
      <numFmt numFmtId="165" formatCode="&quot;$&quot;#,##0"/>
      <fill>
        <patternFill patternType="none">
          <fgColor indexed="64"/>
          <bgColor indexed="65"/>
        </patternFill>
      </fill>
      <alignment horizontal="right" vertical="top" textRotation="0" wrapText="0" indent="0" justifyLastLine="0" shrinkToFit="0" readingOrder="0"/>
    </dxf>
    <dxf>
      <numFmt numFmtId="165" formatCode="&quot;$&quot;#,##0"/>
      <fill>
        <patternFill patternType="none">
          <fgColor indexed="64"/>
          <bgColor indexed="65"/>
        </patternFill>
      </fill>
      <alignment horizontal="right" vertical="top" textRotation="0" wrapText="0" indent="0" justifyLastLine="0" shrinkToFit="0" readingOrder="0"/>
    </dxf>
    <dxf>
      <numFmt numFmtId="165" formatCode="&quot;$&quot;#,##0"/>
      <fill>
        <patternFill patternType="none">
          <fgColor indexed="64"/>
          <bgColor indexed="65"/>
        </patternFill>
      </fill>
      <alignment horizontal="right" vertical="top" textRotation="0" wrapText="0" indent="0" justifyLastLine="0" shrinkToFit="0" readingOrder="0"/>
    </dxf>
    <dxf>
      <numFmt numFmtId="165" formatCode="&quot;$&quot;#,##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rgb="FF000000"/>
        <name val="Calibri"/>
        <family val="2"/>
        <scheme val="none"/>
      </font>
      <numFmt numFmtId="165" formatCode="&quot;$&quot;#,##0"/>
      <fill>
        <patternFill patternType="none">
          <fgColor indexed="64"/>
          <bgColor indexed="65"/>
        </patternFill>
      </fill>
      <alignment horizontal="right" vertical="top" textRotation="0" wrapText="0" indent="0" justifyLastLine="0" shrinkToFit="1" readingOrder="0"/>
      <border diagonalUp="0" diagonalDown="0">
        <left style="thin">
          <color rgb="FF9F9F9F"/>
        </left>
        <right style="thin">
          <color rgb="FF9F9F9F"/>
        </right>
        <top style="thin">
          <color rgb="FF9F9F9F"/>
        </top>
        <bottom style="thin">
          <color rgb="FF9F9F9F"/>
        </bottom>
        <vertical/>
        <horizontal/>
      </border>
    </dxf>
    <dxf>
      <font>
        <b/>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EFEFEF"/>
        </left>
        <right style="thin">
          <color rgb="FF9F9F9F"/>
        </right>
        <top style="thin">
          <color rgb="FF9F9F9F"/>
        </top>
        <bottom style="thin">
          <color rgb="FF9F9F9F"/>
        </bottom>
        <vertical/>
        <horizontal/>
      </border>
    </dxf>
    <dxf>
      <fill>
        <patternFill patternType="none">
          <fgColor indexed="64"/>
          <bgColor indexed="65"/>
        </patternFill>
      </fill>
      <alignment horizontal="right" vertical="top" textRotation="0" wrapText="0" indent="0" justifyLastLine="0" shrinkToFit="0" readingOrder="0"/>
    </dxf>
    <dxf>
      <border outline="0">
        <bottom style="thin">
          <color rgb="FF9F9F9F"/>
        </bottom>
      </border>
    </dxf>
    <dxf>
      <fill>
        <patternFill patternType="none">
          <fgColor indexed="64"/>
          <bgColor indexed="65"/>
        </patternFill>
      </fill>
      <alignment horizontal="center" vertical="top" textRotation="0" wrapText="1"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57</xdr:row>
      <xdr:rowOff>144018</xdr:rowOff>
    </xdr:from>
    <xdr:to>
      <xdr:col>1</xdr:col>
      <xdr:colOff>622935</xdr:colOff>
      <xdr:row>57</xdr:row>
      <xdr:rowOff>144018</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1829435" cy="0"/>
        </a:xfrm>
        <a:custGeom>
          <a:avLst/>
          <a:gdLst/>
          <a:ahLst/>
          <a:cxnLst/>
          <a:rect l="0" t="0" r="0" b="0"/>
          <a:pathLst>
            <a:path w="1829435">
              <a:moveTo>
                <a:pt x="0" y="0"/>
              </a:moveTo>
              <a:lnTo>
                <a:pt x="1829054" y="0"/>
              </a:lnTo>
            </a:path>
          </a:pathLst>
        </a:custGeom>
        <a:ln w="9144">
          <a:solidFill>
            <a:srgbClr val="000000"/>
          </a:solidFill>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54</xdr:row>
      <xdr:rowOff>144018</xdr:rowOff>
    </xdr:from>
    <xdr:to>
      <xdr:col>1</xdr:col>
      <xdr:colOff>622935</xdr:colOff>
      <xdr:row>54</xdr:row>
      <xdr:rowOff>144018</xdr:rowOff>
    </xdr:to>
    <xdr:sp macro="" textlink="">
      <xdr:nvSpPr>
        <xdr:cNvPr id="2" name="Shape 2">
          <a:extLst>
            <a:ext uri="{FF2B5EF4-FFF2-40B4-BE49-F238E27FC236}">
              <a16:creationId xmlns:a16="http://schemas.microsoft.com/office/drawing/2014/main" id="{4164F8DE-2977-42BD-AB53-CA315C13A98A}"/>
            </a:ext>
          </a:extLst>
        </xdr:cNvPr>
        <xdr:cNvSpPr/>
      </xdr:nvSpPr>
      <xdr:spPr>
        <a:xfrm>
          <a:off x="0" y="20565618"/>
          <a:ext cx="2131695" cy="0"/>
        </a:xfrm>
        <a:custGeom>
          <a:avLst/>
          <a:gdLst/>
          <a:ahLst/>
          <a:cxnLst/>
          <a:rect l="0" t="0" r="0" b="0"/>
          <a:pathLst>
            <a:path w="1829435">
              <a:moveTo>
                <a:pt x="0" y="0"/>
              </a:moveTo>
              <a:lnTo>
                <a:pt x="1829054" y="0"/>
              </a:lnTo>
            </a:path>
          </a:pathLst>
        </a:custGeom>
        <a:ln w="9144">
          <a:solidFill>
            <a:srgbClr val="000000"/>
          </a:solidFill>
        </a:ln>
      </xdr:spPr>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5A3B1F-E40F-4C36-8778-AD82D832E404}" autoFormatId="16" applyNumberFormats="0" applyBorderFormats="0" applyFontFormats="0" applyPatternFormats="0" applyAlignmentFormats="0" applyWidthHeightFormats="0">
  <queryTableRefresh nextId="13">
    <queryTableFields count="12">
      <queryTableField id="1" name="State Median Income (SMI) by Household Size for Optional Use in FY 2021 and Mandatory_x000a_Use in LIHEAP for FFY 2022" tableColumnId="1"/>
      <queryTableField id="2" name="Column1" tableColumnId="2"/>
      <queryTableField id="3" name="Column2" tableColumnId="3"/>
      <queryTableField id="4" name="Column3" tableColumnId="4"/>
      <queryTableField id="5" name="Column4" tableColumnId="5"/>
      <queryTableField id="6" name="Column5" tableColumnId="6"/>
      <queryTableField id="7" name="Column6" tableColumnId="7"/>
      <queryTableField id="8" name="Column7" tableColumnId="8"/>
      <queryTableField id="9" name="Column8" tableColumnId="9"/>
      <queryTableField id="10" name="Column9" tableColumnId="10"/>
      <queryTableField id="11" name="Column10" tableColumnId="11"/>
      <queryTableField id="12" name="Column11"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BC58FF-9886-4803-BE2B-09ADF12605F9}" name="LIHEAP_State_Median_Income" displayName="LIHEAP_State_Median_Income" ref="A1:L54" tableType="queryTable" totalsRowShown="0">
  <autoFilter ref="A1:L54" xr:uid="{67BC58FF-9886-4803-BE2B-09ADF12605F9}"/>
  <tableColumns count="12">
    <tableColumn id="1" xr3:uid="{4B184F29-7835-4EA6-A0FC-D8E4A97E5ECF}" uniqueName="1" name="State Median Income (SMI) by Household Size for Optional Use in FY 2021 and Mandatory_x000a_Use in LIHEAP for FFY 2022" queryTableFieldId="1" dataDxfId="15"/>
    <tableColumn id="2" xr3:uid="{5AADEEA0-2871-4B4B-9D47-2ADCC818B9FF}" uniqueName="2" name="Column1" queryTableFieldId="2"/>
    <tableColumn id="3" xr3:uid="{818C53E5-4461-43DD-8DF0-49A72A993C82}" uniqueName="3" name="Column2" queryTableFieldId="3"/>
    <tableColumn id="4" xr3:uid="{539ABA97-6B66-4825-9FEB-9B9C11E26FD3}" uniqueName="4" name="Column3" queryTableFieldId="4"/>
    <tableColumn id="5" xr3:uid="{1296DAB8-08B2-44A0-81DE-1D3115173023}" uniqueName="5" name="Column4" queryTableFieldId="5"/>
    <tableColumn id="6" xr3:uid="{DEEC089C-6138-451D-9B01-B7FCB831BBDF}" uniqueName="6" name="Column5" queryTableFieldId="6"/>
    <tableColumn id="7" xr3:uid="{699E2735-F2F3-47AE-84D7-7E9BB27F5663}" uniqueName="7" name="Column6" queryTableFieldId="7"/>
    <tableColumn id="8" xr3:uid="{33D012C3-D5B6-41CB-A6DE-6024D65EE30B}" uniqueName="8" name="Column7" queryTableFieldId="8"/>
    <tableColumn id="9" xr3:uid="{FCE87DB2-2425-46D4-8BB5-C30B37F1B8C2}" uniqueName="9" name="Column8" queryTableFieldId="9"/>
    <tableColumn id="10" xr3:uid="{DE4155FB-1397-4C6C-8956-5A75C85F78A6}" uniqueName="10" name="Column9" queryTableFieldId="10"/>
    <tableColumn id="11" xr3:uid="{21649621-8E8B-4A7B-B515-8F637ECAAE49}" uniqueName="11" name="Column10" queryTableFieldId="11"/>
    <tableColumn id="12" xr3:uid="{925C54FD-64BC-434E-9C8E-AD5B44DE7194}" uniqueName="12" name="Column11" queryTableFieldId="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60792-934D-43E1-AF71-6CE30A99BFFB}" name="Table1" displayName="Table1" ref="A2:L54" totalsRowShown="0" headerRowDxfId="14" dataDxfId="12" headerRowBorderDxfId="13">
  <autoFilter ref="A2:L54" xr:uid="{39660792-934D-43E1-AF71-6CE30A99BFFB}">
    <filterColumn colId="0">
      <filters>
        <filter val="Alabama"/>
        <filter val="Florida"/>
        <filter val="Georgia"/>
        <filter val="Louisiana"/>
        <filter val="Mississippi"/>
        <filter val="North Carolina"/>
        <filter val="South Carolina"/>
        <filter val="Tennessee"/>
        <filter val="Texas"/>
      </filters>
    </filterColumn>
  </autoFilter>
  <tableColumns count="12">
    <tableColumn id="1" xr3:uid="{18775C00-2B71-4A24-815A-AE817E6E95BE}" name="Geographic Level0" dataDxfId="11"/>
    <tableColumn id="2" xr3:uid="{A0477136-570C-4E38-8564-869AF4E6F819}" name="SMI for 4- Person Family1" dataDxfId="10"/>
    <tableColumn id="3" xr3:uid="{2B72EC7D-2F37-4775-8492-03C45C36A870}" name="60_x000a_Percent SMI for 1- Person HHld*" dataDxfId="9"/>
    <tableColumn id="4" xr3:uid="{83900B54-3692-43D0-81EA-824E357BD9DC}" name="60_x000a_Percent SMI for 2- Person HHld*" dataDxfId="8"/>
    <tableColumn id="5" xr3:uid="{EB085EEE-31E2-4DBE-BE21-EDC78FCB122B}" name="60_x000a_Percent SMI for 3- Person HHld*" dataDxfId="7"/>
    <tableColumn id="6" xr3:uid="{BB6A2410-EB6B-4473-9DD5-3EB3180256B0}" name="60_x000a_Percent SMI for 4- Person HHld*2" dataDxfId="6"/>
    <tableColumn id="7" xr3:uid="{B08CF472-5848-4162-BC92-D05BD981FF10}" name="60_x000a_Percent SMI for 5- Person HHld*" dataDxfId="5"/>
    <tableColumn id="8" xr3:uid="{2FB709F5-4732-4607-B1F8-54D924B5DFA4}" name="60_x000a_Percent SMI for 6- Person HHld*" dataDxfId="4"/>
    <tableColumn id="9" xr3:uid="{0EB751FC-85FC-48B8-AE6F-C1F3D314925C}" name="60_x000a_Percent SMI for 7- Person HHld*" dataDxfId="3">
      <calculatedColumnFormula>$F3*1.35</calculatedColumnFormula>
    </tableColumn>
    <tableColumn id="10" xr3:uid="{6971062E-31EE-427C-92D0-EA339115E974}" name="60_x000a_Percent SMI for 8- Person HHld*" dataDxfId="2">
      <calculatedColumnFormula>$F3*1.38</calculatedColumnFormula>
    </tableColumn>
    <tableColumn id="11" xr3:uid="{F20E63C2-C81C-40B8-A12C-B7C2F49FBB3D}" name="60_x000a_Percent SMI for 9- Person HHld*" dataDxfId="1">
      <calculatedColumnFormula>$F3*1.41</calculatedColumnFormula>
    </tableColumn>
    <tableColumn id="12" xr3:uid="{13B05A8D-16AA-4D63-AD3F-FA0D6E8FE59B}" name="60_x000a_Percent SMI for 10- Person HHld*" dataDxfId="0">
      <calculatedColumnFormula>$F3*1.44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ensus.gov/cedsc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data.census.gov/ceds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topLeftCell="A52" workbookViewId="0">
      <selection activeCell="A60" sqref="A60:I60"/>
    </sheetView>
  </sheetViews>
  <sheetFormatPr defaultRowHeight="13.2" x14ac:dyDescent="0.25"/>
  <cols>
    <col min="1" max="1" width="22" customWidth="1"/>
    <col min="2" max="2" width="12.6640625" customWidth="1"/>
    <col min="3" max="3" width="14" customWidth="1"/>
    <col min="4" max="4" width="12.6640625" customWidth="1"/>
    <col min="5" max="5" width="14" customWidth="1"/>
    <col min="6" max="6" width="12.6640625" customWidth="1"/>
    <col min="7" max="7" width="14" customWidth="1"/>
    <col min="8" max="8" width="12.6640625" customWidth="1"/>
    <col min="9" max="9" width="8.109375" customWidth="1"/>
  </cols>
  <sheetData>
    <row r="1" spans="1:9" ht="18" customHeight="1" x14ac:dyDescent="0.25">
      <c r="A1" s="15" t="s">
        <v>0</v>
      </c>
      <c r="B1" s="15"/>
      <c r="C1" s="15"/>
      <c r="D1" s="15"/>
      <c r="E1" s="15"/>
      <c r="F1" s="15"/>
      <c r="G1" s="15"/>
      <c r="H1" s="15"/>
      <c r="I1" s="15"/>
    </row>
    <row r="2" spans="1:9" ht="36" customHeight="1" x14ac:dyDescent="0.25">
      <c r="A2" s="16" t="s">
        <v>1</v>
      </c>
      <c r="B2" s="16"/>
      <c r="C2" s="16"/>
      <c r="D2" s="16"/>
      <c r="E2" s="16"/>
      <c r="F2" s="16"/>
      <c r="G2" s="16"/>
      <c r="H2" s="16"/>
      <c r="I2" s="16"/>
    </row>
    <row r="3" spans="1:9" ht="81.75" customHeight="1" x14ac:dyDescent="0.25">
      <c r="A3" s="1" t="s">
        <v>2</v>
      </c>
      <c r="B3" s="2" t="s">
        <v>3</v>
      </c>
      <c r="C3" s="3" t="s">
        <v>4</v>
      </c>
      <c r="D3" s="3" t="s">
        <v>5</v>
      </c>
      <c r="E3" s="3" t="s">
        <v>6</v>
      </c>
      <c r="F3" s="3" t="s">
        <v>7</v>
      </c>
      <c r="G3" s="3" t="s">
        <v>8</v>
      </c>
      <c r="H3" s="3" t="s">
        <v>9</v>
      </c>
    </row>
    <row r="4" spans="1:9" ht="25.5" customHeight="1" x14ac:dyDescent="0.25">
      <c r="A4" s="4" t="s">
        <v>10</v>
      </c>
      <c r="B4" s="5">
        <v>80762</v>
      </c>
      <c r="C4" s="5">
        <v>25198</v>
      </c>
      <c r="D4" s="5">
        <v>32951</v>
      </c>
      <c r="E4" s="5">
        <v>40704</v>
      </c>
      <c r="F4" s="5">
        <v>48457</v>
      </c>
      <c r="G4" s="5">
        <v>56210</v>
      </c>
      <c r="H4" s="5">
        <v>63963</v>
      </c>
    </row>
    <row r="5" spans="1:9" ht="25.5" customHeight="1" x14ac:dyDescent="0.25">
      <c r="A5" s="4" t="s">
        <v>11</v>
      </c>
      <c r="B5" s="5">
        <v>104070</v>
      </c>
      <c r="C5" s="5">
        <v>32470</v>
      </c>
      <c r="D5" s="5">
        <v>42461</v>
      </c>
      <c r="E5" s="5">
        <v>52451</v>
      </c>
      <c r="F5" s="5">
        <v>62442</v>
      </c>
      <c r="G5" s="5">
        <v>72433</v>
      </c>
      <c r="H5" s="5">
        <v>82423</v>
      </c>
    </row>
    <row r="6" spans="1:9" ht="25.5" customHeight="1" x14ac:dyDescent="0.25">
      <c r="A6" s="4" t="s">
        <v>12</v>
      </c>
      <c r="B6" s="5">
        <v>82227</v>
      </c>
      <c r="C6" s="5">
        <v>25655</v>
      </c>
      <c r="D6" s="5">
        <v>33548</v>
      </c>
      <c r="E6" s="5">
        <v>41442</v>
      </c>
      <c r="F6" s="5">
        <v>49336</v>
      </c>
      <c r="G6" s="5">
        <v>57230</v>
      </c>
      <c r="H6" s="5">
        <v>65124</v>
      </c>
    </row>
    <row r="7" spans="1:9" ht="25.5" customHeight="1" x14ac:dyDescent="0.25">
      <c r="A7" s="4" t="s">
        <v>13</v>
      </c>
      <c r="B7" s="5">
        <v>71485</v>
      </c>
      <c r="C7" s="5">
        <v>22303</v>
      </c>
      <c r="D7" s="5">
        <v>29166</v>
      </c>
      <c r="E7" s="5">
        <v>36028</v>
      </c>
      <c r="F7" s="5">
        <v>42891</v>
      </c>
      <c r="G7" s="5">
        <v>49754</v>
      </c>
      <c r="H7" s="5">
        <v>56616</v>
      </c>
    </row>
    <row r="8" spans="1:9" ht="25.5" customHeight="1" x14ac:dyDescent="0.25">
      <c r="A8" s="4" t="s">
        <v>14</v>
      </c>
      <c r="B8" s="5">
        <v>98644</v>
      </c>
      <c r="C8" s="5">
        <v>30777</v>
      </c>
      <c r="D8" s="5">
        <v>40246</v>
      </c>
      <c r="E8" s="5">
        <v>49716</v>
      </c>
      <c r="F8" s="5">
        <v>59186</v>
      </c>
      <c r="G8" s="5">
        <v>68656</v>
      </c>
      <c r="H8" s="5">
        <v>78126</v>
      </c>
    </row>
    <row r="9" spans="1:9" ht="25.5" customHeight="1" x14ac:dyDescent="0.25">
      <c r="A9" s="4" t="s">
        <v>15</v>
      </c>
      <c r="B9" s="5">
        <v>106120</v>
      </c>
      <c r="C9" s="5">
        <v>33109</v>
      </c>
      <c r="D9" s="5">
        <v>43297</v>
      </c>
      <c r="E9" s="5">
        <v>53484</v>
      </c>
      <c r="F9" s="5">
        <v>63672</v>
      </c>
      <c r="G9" s="5">
        <v>73860</v>
      </c>
      <c r="H9" s="5">
        <v>84047</v>
      </c>
    </row>
    <row r="10" spans="1:9" ht="25.5" customHeight="1" x14ac:dyDescent="0.25">
      <c r="A10" s="4" t="s">
        <v>16</v>
      </c>
      <c r="B10" s="5">
        <v>125087</v>
      </c>
      <c r="C10" s="5">
        <v>39027</v>
      </c>
      <c r="D10" s="5">
        <v>51035</v>
      </c>
      <c r="E10" s="5">
        <v>63044</v>
      </c>
      <c r="F10" s="5">
        <v>75052</v>
      </c>
      <c r="G10" s="5">
        <v>87060</v>
      </c>
      <c r="H10" s="5">
        <v>99069</v>
      </c>
    </row>
    <row r="11" spans="1:9" ht="25.5" customHeight="1" x14ac:dyDescent="0.25">
      <c r="A11" s="4" t="s">
        <v>17</v>
      </c>
      <c r="B11" s="5">
        <v>103900</v>
      </c>
      <c r="C11" s="5">
        <v>32417</v>
      </c>
      <c r="D11" s="5">
        <v>42391</v>
      </c>
      <c r="E11" s="5">
        <v>52366</v>
      </c>
      <c r="F11" s="5">
        <v>62340</v>
      </c>
      <c r="G11" s="5">
        <v>72314</v>
      </c>
      <c r="H11" s="5">
        <v>82289</v>
      </c>
    </row>
    <row r="12" spans="1:9" ht="25.5" customHeight="1" x14ac:dyDescent="0.25">
      <c r="A12" s="4" t="s">
        <v>18</v>
      </c>
      <c r="B12" s="5">
        <v>137563</v>
      </c>
      <c r="C12" s="5">
        <v>42920</v>
      </c>
      <c r="D12" s="5">
        <v>56126</v>
      </c>
      <c r="E12" s="5">
        <v>69332</v>
      </c>
      <c r="F12" s="5">
        <v>82538</v>
      </c>
      <c r="G12" s="5">
        <v>95744</v>
      </c>
      <c r="H12" s="5">
        <v>108950</v>
      </c>
    </row>
    <row r="13" spans="1:9" ht="25.5" customHeight="1" x14ac:dyDescent="0.25">
      <c r="A13" s="4" t="s">
        <v>19</v>
      </c>
      <c r="B13" s="5">
        <v>81077</v>
      </c>
      <c r="C13" s="5">
        <v>25296</v>
      </c>
      <c r="D13" s="5">
        <v>33079</v>
      </c>
      <c r="E13" s="5">
        <v>40863</v>
      </c>
      <c r="F13" s="5">
        <v>48646</v>
      </c>
      <c r="G13" s="5">
        <v>56429</v>
      </c>
      <c r="H13" s="5">
        <v>64213</v>
      </c>
    </row>
    <row r="14" spans="1:9" ht="25.5" customHeight="1" x14ac:dyDescent="0.25">
      <c r="A14" s="4" t="s">
        <v>20</v>
      </c>
      <c r="B14" s="5">
        <v>84851</v>
      </c>
      <c r="C14" s="5">
        <v>26474</v>
      </c>
      <c r="D14" s="5">
        <v>34619</v>
      </c>
      <c r="E14" s="5">
        <v>42765</v>
      </c>
      <c r="F14" s="5">
        <v>50911</v>
      </c>
      <c r="G14" s="5">
        <v>59057</v>
      </c>
      <c r="H14" s="5">
        <v>67203</v>
      </c>
    </row>
    <row r="15" spans="1:9" ht="25.5" customHeight="1" x14ac:dyDescent="0.25">
      <c r="A15" s="4" t="s">
        <v>21</v>
      </c>
      <c r="B15" s="5">
        <v>108498</v>
      </c>
      <c r="C15" s="5">
        <v>33851</v>
      </c>
      <c r="D15" s="5">
        <v>44267</v>
      </c>
      <c r="E15" s="5">
        <v>54683</v>
      </c>
      <c r="F15" s="5">
        <v>65099</v>
      </c>
      <c r="G15" s="5">
        <v>75515</v>
      </c>
      <c r="H15" s="5">
        <v>85931</v>
      </c>
    </row>
    <row r="16" spans="1:9" ht="25.5" customHeight="1" x14ac:dyDescent="0.25">
      <c r="A16" s="4" t="s">
        <v>22</v>
      </c>
      <c r="B16" s="5">
        <v>79820</v>
      </c>
      <c r="C16" s="5">
        <v>24904</v>
      </c>
      <c r="D16" s="5">
        <v>32567</v>
      </c>
      <c r="E16" s="5">
        <v>40229</v>
      </c>
      <c r="F16" s="5">
        <v>47892</v>
      </c>
      <c r="G16" s="5">
        <v>55555</v>
      </c>
      <c r="H16" s="5">
        <v>63217</v>
      </c>
    </row>
    <row r="17" spans="1:8" ht="25.5" customHeight="1" x14ac:dyDescent="0.25">
      <c r="A17" s="4" t="s">
        <v>23</v>
      </c>
      <c r="B17" s="5">
        <v>102167</v>
      </c>
      <c r="C17" s="5">
        <v>31876</v>
      </c>
      <c r="D17" s="5">
        <v>41684</v>
      </c>
      <c r="E17" s="5">
        <v>51492</v>
      </c>
      <c r="F17" s="5">
        <v>61300</v>
      </c>
      <c r="G17" s="5">
        <v>71108</v>
      </c>
      <c r="H17" s="5">
        <v>80916</v>
      </c>
    </row>
    <row r="18" spans="1:8" ht="25.5" customHeight="1" x14ac:dyDescent="0.25">
      <c r="A18" s="4" t="s">
        <v>24</v>
      </c>
      <c r="B18" s="5">
        <v>86578</v>
      </c>
      <c r="C18" s="5">
        <v>27012</v>
      </c>
      <c r="D18" s="5">
        <v>35324</v>
      </c>
      <c r="E18" s="5">
        <v>43635</v>
      </c>
      <c r="F18" s="5">
        <v>51947</v>
      </c>
      <c r="G18" s="5">
        <v>60259</v>
      </c>
      <c r="H18" s="5">
        <v>68570</v>
      </c>
    </row>
    <row r="19" spans="1:8" ht="25.5" customHeight="1" x14ac:dyDescent="0.25">
      <c r="A19" s="4" t="s">
        <v>25</v>
      </c>
      <c r="B19" s="5">
        <v>94221</v>
      </c>
      <c r="C19" s="5">
        <v>29397</v>
      </c>
      <c r="D19" s="5">
        <v>38442</v>
      </c>
      <c r="E19" s="5">
        <v>47488</v>
      </c>
      <c r="F19" s="5">
        <v>56533</v>
      </c>
      <c r="G19" s="5">
        <v>65578</v>
      </c>
      <c r="H19" s="5">
        <v>74624</v>
      </c>
    </row>
    <row r="20" spans="1:8" ht="25.5" customHeight="1" x14ac:dyDescent="0.25">
      <c r="A20" s="4" t="s">
        <v>26</v>
      </c>
      <c r="B20" s="5">
        <v>90284</v>
      </c>
      <c r="C20" s="5">
        <v>28168</v>
      </c>
      <c r="D20" s="5">
        <v>36836</v>
      </c>
      <c r="E20" s="5">
        <v>45503</v>
      </c>
      <c r="F20" s="5">
        <v>54170</v>
      </c>
      <c r="G20" s="5">
        <v>62837</v>
      </c>
      <c r="H20" s="5">
        <v>71504</v>
      </c>
    </row>
    <row r="21" spans="1:8" ht="25.05" customHeight="1" x14ac:dyDescent="0.25">
      <c r="A21" s="4" t="s">
        <v>27</v>
      </c>
      <c r="B21" s="5">
        <v>80407</v>
      </c>
      <c r="C21" s="5">
        <v>25087</v>
      </c>
      <c r="D21" s="5">
        <v>32806</v>
      </c>
      <c r="E21" s="5">
        <v>40525</v>
      </c>
      <c r="F21" s="5">
        <v>48244</v>
      </c>
      <c r="G21" s="5">
        <v>55963</v>
      </c>
      <c r="H21" s="5">
        <v>63682</v>
      </c>
    </row>
    <row r="22" spans="1:8" ht="81.75" customHeight="1" x14ac:dyDescent="0.25">
      <c r="A22" s="1" t="s">
        <v>2</v>
      </c>
      <c r="B22" s="2" t="s">
        <v>3</v>
      </c>
      <c r="C22" s="3" t="s">
        <v>4</v>
      </c>
      <c r="D22" s="3" t="s">
        <v>5</v>
      </c>
      <c r="E22" s="3" t="s">
        <v>6</v>
      </c>
      <c r="F22" s="3" t="s">
        <v>7</v>
      </c>
      <c r="G22" s="3" t="s">
        <v>8</v>
      </c>
      <c r="H22" s="3" t="s">
        <v>9</v>
      </c>
    </row>
    <row r="23" spans="1:8" ht="25.5" customHeight="1" x14ac:dyDescent="0.25">
      <c r="A23" s="4" t="s">
        <v>28</v>
      </c>
      <c r="B23" s="5">
        <v>81779</v>
      </c>
      <c r="C23" s="5">
        <v>25515</v>
      </c>
      <c r="D23" s="5">
        <v>33366</v>
      </c>
      <c r="E23" s="5">
        <v>41216</v>
      </c>
      <c r="F23" s="5">
        <v>49067</v>
      </c>
      <c r="G23" s="5">
        <v>56918</v>
      </c>
      <c r="H23" s="5">
        <v>64768</v>
      </c>
    </row>
    <row r="24" spans="1:8" ht="25.5" customHeight="1" x14ac:dyDescent="0.25">
      <c r="A24" s="4" t="s">
        <v>29</v>
      </c>
      <c r="B24" s="5">
        <v>93560</v>
      </c>
      <c r="C24" s="5">
        <v>29191</v>
      </c>
      <c r="D24" s="5">
        <v>38172</v>
      </c>
      <c r="E24" s="5">
        <v>47154</v>
      </c>
      <c r="F24" s="5">
        <v>56136</v>
      </c>
      <c r="G24" s="5">
        <v>65118</v>
      </c>
      <c r="H24" s="5">
        <v>74100</v>
      </c>
    </row>
    <row r="25" spans="1:8" ht="25.5" customHeight="1" x14ac:dyDescent="0.25">
      <c r="A25" s="4" t="s">
        <v>30</v>
      </c>
      <c r="B25" s="5">
        <v>124807</v>
      </c>
      <c r="C25" s="5">
        <v>38940</v>
      </c>
      <c r="D25" s="5">
        <v>50921</v>
      </c>
      <c r="E25" s="5">
        <v>62903</v>
      </c>
      <c r="F25" s="5">
        <v>74884</v>
      </c>
      <c r="G25" s="5">
        <v>86865</v>
      </c>
      <c r="H25" s="5">
        <v>98847</v>
      </c>
    </row>
    <row r="26" spans="1:8" ht="25.5" customHeight="1" x14ac:dyDescent="0.25">
      <c r="A26" s="4" t="s">
        <v>31</v>
      </c>
      <c r="B26" s="5">
        <v>131252</v>
      </c>
      <c r="C26" s="5">
        <v>40951</v>
      </c>
      <c r="D26" s="5">
        <v>53551</v>
      </c>
      <c r="E26" s="5">
        <v>66151</v>
      </c>
      <c r="F26" s="5">
        <v>78751</v>
      </c>
      <c r="G26" s="5">
        <v>91351</v>
      </c>
      <c r="H26" s="5">
        <v>103951</v>
      </c>
    </row>
    <row r="27" spans="1:8" ht="25.5" customHeight="1" x14ac:dyDescent="0.25">
      <c r="A27" s="4" t="s">
        <v>32</v>
      </c>
      <c r="B27" s="5">
        <v>93492</v>
      </c>
      <c r="C27" s="5">
        <v>29169</v>
      </c>
      <c r="D27" s="5">
        <v>38145</v>
      </c>
      <c r="E27" s="5">
        <v>47120</v>
      </c>
      <c r="F27" s="5">
        <v>56095</v>
      </c>
      <c r="G27" s="5">
        <v>65070</v>
      </c>
      <c r="H27" s="5">
        <v>74045</v>
      </c>
    </row>
    <row r="28" spans="1:8" ht="25.5" customHeight="1" x14ac:dyDescent="0.25">
      <c r="A28" s="4" t="s">
        <v>33</v>
      </c>
      <c r="B28" s="5">
        <v>112942</v>
      </c>
      <c r="C28" s="5">
        <v>35238</v>
      </c>
      <c r="D28" s="5">
        <v>46080</v>
      </c>
      <c r="E28" s="5">
        <v>56923</v>
      </c>
      <c r="F28" s="5">
        <v>67765</v>
      </c>
      <c r="G28" s="5">
        <v>78607</v>
      </c>
      <c r="H28" s="5">
        <v>89450</v>
      </c>
    </row>
    <row r="29" spans="1:8" ht="25.5" customHeight="1" x14ac:dyDescent="0.25">
      <c r="A29" s="4" t="s">
        <v>34</v>
      </c>
      <c r="B29" s="5">
        <v>68871</v>
      </c>
      <c r="C29" s="5">
        <v>21488</v>
      </c>
      <c r="D29" s="5">
        <v>28100</v>
      </c>
      <c r="E29" s="5">
        <v>34711</v>
      </c>
      <c r="F29" s="5">
        <v>41323</v>
      </c>
      <c r="G29" s="5">
        <v>47935</v>
      </c>
      <c r="H29" s="5">
        <v>54546</v>
      </c>
    </row>
    <row r="30" spans="1:8" ht="25.5" customHeight="1" x14ac:dyDescent="0.25">
      <c r="A30" s="4" t="s">
        <v>35</v>
      </c>
      <c r="B30" s="5">
        <v>88519</v>
      </c>
      <c r="C30" s="5">
        <v>27618</v>
      </c>
      <c r="D30" s="5">
        <v>36115</v>
      </c>
      <c r="E30" s="5">
        <v>44613</v>
      </c>
      <c r="F30" s="5">
        <v>53111</v>
      </c>
      <c r="G30" s="5">
        <v>61609</v>
      </c>
      <c r="H30" s="5">
        <v>70107</v>
      </c>
    </row>
    <row r="31" spans="1:8" ht="25.5" customHeight="1" x14ac:dyDescent="0.25">
      <c r="A31" s="4" t="s">
        <v>36</v>
      </c>
      <c r="B31" s="5">
        <v>87442</v>
      </c>
      <c r="C31" s="5">
        <v>27282</v>
      </c>
      <c r="D31" s="5">
        <v>35676</v>
      </c>
      <c r="E31" s="5">
        <v>44071</v>
      </c>
      <c r="F31" s="5">
        <v>52465</v>
      </c>
      <c r="G31" s="5">
        <v>60859</v>
      </c>
      <c r="H31" s="5">
        <v>69254</v>
      </c>
    </row>
    <row r="32" spans="1:8" ht="25.5" customHeight="1" x14ac:dyDescent="0.25">
      <c r="A32" s="4" t="s">
        <v>37</v>
      </c>
      <c r="B32" s="5">
        <v>93660</v>
      </c>
      <c r="C32" s="5">
        <v>29222</v>
      </c>
      <c r="D32" s="5">
        <v>38213</v>
      </c>
      <c r="E32" s="5">
        <v>47205</v>
      </c>
      <c r="F32" s="5">
        <v>56196</v>
      </c>
      <c r="G32" s="5">
        <v>65187</v>
      </c>
      <c r="H32" s="5">
        <v>74179</v>
      </c>
    </row>
    <row r="33" spans="1:8" ht="25.5" customHeight="1" x14ac:dyDescent="0.25">
      <c r="A33" s="4" t="s">
        <v>38</v>
      </c>
      <c r="B33" s="5">
        <v>82509</v>
      </c>
      <c r="C33" s="5">
        <v>25743</v>
      </c>
      <c r="D33" s="5">
        <v>33663</v>
      </c>
      <c r="E33" s="5">
        <v>41584</v>
      </c>
      <c r="F33" s="5">
        <v>49505</v>
      </c>
      <c r="G33" s="5">
        <v>57426</v>
      </c>
      <c r="H33" s="5">
        <v>65347</v>
      </c>
    </row>
    <row r="34" spans="1:8" ht="25.5" customHeight="1" x14ac:dyDescent="0.25">
      <c r="A34" s="4" t="s">
        <v>39</v>
      </c>
      <c r="B34" s="5">
        <v>120821</v>
      </c>
      <c r="C34" s="5">
        <v>37696</v>
      </c>
      <c r="D34" s="5">
        <v>49295</v>
      </c>
      <c r="E34" s="5">
        <v>60894</v>
      </c>
      <c r="F34" s="5">
        <v>72493</v>
      </c>
      <c r="G34" s="5">
        <v>84092</v>
      </c>
      <c r="H34" s="5">
        <v>95691</v>
      </c>
    </row>
    <row r="35" spans="1:8" ht="25.5" customHeight="1" x14ac:dyDescent="0.25">
      <c r="A35" s="4" t="s">
        <v>40</v>
      </c>
      <c r="B35" s="5">
        <v>128786</v>
      </c>
      <c r="C35" s="5">
        <v>40181</v>
      </c>
      <c r="D35" s="5">
        <v>52545</v>
      </c>
      <c r="E35" s="5">
        <v>64908</v>
      </c>
      <c r="F35" s="5">
        <v>77272</v>
      </c>
      <c r="G35" s="5">
        <v>89636</v>
      </c>
      <c r="H35" s="5">
        <v>101999</v>
      </c>
    </row>
    <row r="36" spans="1:8" ht="25.5" customHeight="1" x14ac:dyDescent="0.25">
      <c r="A36" s="4" t="s">
        <v>41</v>
      </c>
      <c r="B36" s="5">
        <v>67949</v>
      </c>
      <c r="C36" s="5">
        <v>21200</v>
      </c>
      <c r="D36" s="5">
        <v>27723</v>
      </c>
      <c r="E36" s="5">
        <v>34246</v>
      </c>
      <c r="F36" s="5">
        <v>40769</v>
      </c>
      <c r="G36" s="5">
        <v>47292</v>
      </c>
      <c r="H36" s="5">
        <v>53815</v>
      </c>
    </row>
    <row r="37" spans="1:8" ht="25.5" customHeight="1" x14ac:dyDescent="0.25">
      <c r="A37" s="4" t="s">
        <v>42</v>
      </c>
      <c r="B37" s="5">
        <v>104972</v>
      </c>
      <c r="C37" s="5">
        <v>32751</v>
      </c>
      <c r="D37" s="5">
        <v>42828</v>
      </c>
      <c r="E37" s="5">
        <v>52906</v>
      </c>
      <c r="F37" s="5">
        <v>62983</v>
      </c>
      <c r="G37" s="5">
        <v>73060</v>
      </c>
      <c r="H37" s="5">
        <v>83138</v>
      </c>
    </row>
    <row r="38" spans="1:8" ht="25.5" customHeight="1" x14ac:dyDescent="0.25">
      <c r="A38" s="4" t="s">
        <v>43</v>
      </c>
      <c r="B38" s="5">
        <v>84549</v>
      </c>
      <c r="C38" s="5">
        <v>26379</v>
      </c>
      <c r="D38" s="5">
        <v>34496</v>
      </c>
      <c r="E38" s="5">
        <v>42612</v>
      </c>
      <c r="F38" s="5">
        <v>50729</v>
      </c>
      <c r="G38" s="5">
        <v>58846</v>
      </c>
      <c r="H38" s="5">
        <v>66962</v>
      </c>
    </row>
    <row r="39" spans="1:8" ht="25.5" customHeight="1" x14ac:dyDescent="0.25">
      <c r="A39" s="4" t="s">
        <v>44</v>
      </c>
      <c r="B39" s="5">
        <v>104087</v>
      </c>
      <c r="C39" s="5">
        <v>32475</v>
      </c>
      <c r="D39" s="5">
        <v>42467</v>
      </c>
      <c r="E39" s="5">
        <v>52460</v>
      </c>
      <c r="F39" s="5">
        <v>62452</v>
      </c>
      <c r="G39" s="5">
        <v>72444</v>
      </c>
      <c r="H39" s="5">
        <v>82437</v>
      </c>
    </row>
    <row r="40" spans="1:8" ht="25.5" customHeight="1" x14ac:dyDescent="0.25">
      <c r="A40" s="4" t="s">
        <v>45</v>
      </c>
      <c r="B40" s="5">
        <v>91185</v>
      </c>
      <c r="C40" s="5">
        <v>28450</v>
      </c>
      <c r="D40" s="5">
        <v>37203</v>
      </c>
      <c r="E40" s="5">
        <v>45957</v>
      </c>
      <c r="F40" s="5">
        <v>54711</v>
      </c>
      <c r="G40" s="5">
        <v>63465</v>
      </c>
      <c r="H40" s="5">
        <v>72219</v>
      </c>
    </row>
    <row r="41" spans="1:8" ht="25.5" customHeight="1" x14ac:dyDescent="0.25">
      <c r="A41" s="4" t="s">
        <v>46</v>
      </c>
      <c r="B41" s="5">
        <v>76142</v>
      </c>
      <c r="C41" s="5">
        <v>23756</v>
      </c>
      <c r="D41" s="5">
        <v>31066</v>
      </c>
      <c r="E41" s="5">
        <v>38375</v>
      </c>
      <c r="F41" s="5">
        <v>45685</v>
      </c>
      <c r="G41" s="5">
        <v>52995</v>
      </c>
      <c r="H41" s="5">
        <v>60304</v>
      </c>
    </row>
    <row r="42" spans="1:8" ht="25.5" customHeight="1" x14ac:dyDescent="0.25">
      <c r="A42" s="4" t="s">
        <v>47</v>
      </c>
      <c r="B42" s="5">
        <v>94050</v>
      </c>
      <c r="C42" s="5">
        <v>29344</v>
      </c>
      <c r="D42" s="5">
        <v>38372</v>
      </c>
      <c r="E42" s="5">
        <v>47401</v>
      </c>
      <c r="F42" s="5">
        <v>56430</v>
      </c>
      <c r="G42" s="5">
        <v>65459</v>
      </c>
      <c r="H42" s="5">
        <v>74488</v>
      </c>
    </row>
    <row r="43" spans="1:8" ht="25.5" customHeight="1" x14ac:dyDescent="0.25">
      <c r="A43" s="4" t="s">
        <v>48</v>
      </c>
      <c r="B43" s="5">
        <v>100995</v>
      </c>
      <c r="C43" s="5">
        <v>31510</v>
      </c>
      <c r="D43" s="5">
        <v>41206</v>
      </c>
      <c r="E43" s="5">
        <v>50901</v>
      </c>
      <c r="F43" s="5">
        <v>60597</v>
      </c>
      <c r="G43" s="5">
        <v>70293</v>
      </c>
      <c r="H43" s="5">
        <v>79988</v>
      </c>
    </row>
    <row r="44" spans="1:8" ht="25.05" customHeight="1" x14ac:dyDescent="0.25">
      <c r="A44" s="4" t="s">
        <v>49</v>
      </c>
      <c r="B44" s="5">
        <v>107837</v>
      </c>
      <c r="C44" s="5">
        <v>33645</v>
      </c>
      <c r="D44" s="5">
        <v>43997</v>
      </c>
      <c r="E44" s="5">
        <v>54350</v>
      </c>
      <c r="F44" s="5">
        <v>64702</v>
      </c>
      <c r="G44" s="5">
        <v>75054</v>
      </c>
      <c r="H44" s="5">
        <v>85407</v>
      </c>
    </row>
    <row r="45" spans="1:8" ht="81.75" customHeight="1" x14ac:dyDescent="0.25">
      <c r="A45" s="1" t="s">
        <v>2</v>
      </c>
      <c r="B45" s="2" t="s">
        <v>3</v>
      </c>
      <c r="C45" s="3" t="s">
        <v>4</v>
      </c>
      <c r="D45" s="3" t="s">
        <v>5</v>
      </c>
      <c r="E45" s="3" t="s">
        <v>6</v>
      </c>
      <c r="F45" s="3" t="s">
        <v>7</v>
      </c>
      <c r="G45" s="3" t="s">
        <v>8</v>
      </c>
      <c r="H45" s="3" t="s">
        <v>9</v>
      </c>
    </row>
    <row r="46" spans="1:8" ht="25.5" customHeight="1" x14ac:dyDescent="0.25">
      <c r="A46" s="4" t="s">
        <v>50</v>
      </c>
      <c r="B46" s="5">
        <v>80973</v>
      </c>
      <c r="C46" s="5">
        <v>25264</v>
      </c>
      <c r="D46" s="5">
        <v>33037</v>
      </c>
      <c r="E46" s="5">
        <v>40811</v>
      </c>
      <c r="F46" s="5">
        <v>48584</v>
      </c>
      <c r="G46" s="5">
        <v>56357</v>
      </c>
      <c r="H46" s="5">
        <v>64131</v>
      </c>
    </row>
    <row r="47" spans="1:8" ht="25.5" customHeight="1" x14ac:dyDescent="0.25">
      <c r="A47" s="4" t="s">
        <v>51</v>
      </c>
      <c r="B47" s="5">
        <v>88721</v>
      </c>
      <c r="C47" s="5">
        <v>27681</v>
      </c>
      <c r="D47" s="5">
        <v>36198</v>
      </c>
      <c r="E47" s="5">
        <v>44716</v>
      </c>
      <c r="F47" s="5">
        <v>53233</v>
      </c>
      <c r="G47" s="5">
        <v>61750</v>
      </c>
      <c r="H47" s="5">
        <v>70268</v>
      </c>
    </row>
    <row r="48" spans="1:8" ht="25.5" customHeight="1" x14ac:dyDescent="0.25">
      <c r="A48" s="4" t="s">
        <v>52</v>
      </c>
      <c r="B48" s="5">
        <v>80773</v>
      </c>
      <c r="C48" s="5">
        <v>25201</v>
      </c>
      <c r="D48" s="5">
        <v>32956</v>
      </c>
      <c r="E48" s="5">
        <v>40710</v>
      </c>
      <c r="F48" s="5">
        <v>48464</v>
      </c>
      <c r="G48" s="5">
        <v>56218</v>
      </c>
      <c r="H48" s="5">
        <v>63972</v>
      </c>
    </row>
    <row r="49" spans="1:9" ht="25.5" customHeight="1" x14ac:dyDescent="0.25">
      <c r="A49" s="4" t="s">
        <v>53</v>
      </c>
      <c r="B49" s="5">
        <v>85391</v>
      </c>
      <c r="C49" s="5">
        <v>26642</v>
      </c>
      <c r="D49" s="5">
        <v>34840</v>
      </c>
      <c r="E49" s="5">
        <v>43037</v>
      </c>
      <c r="F49" s="5">
        <v>51235</v>
      </c>
      <c r="G49" s="5">
        <v>59433</v>
      </c>
      <c r="H49" s="5">
        <v>67630</v>
      </c>
    </row>
    <row r="50" spans="1:9" ht="25.5" customHeight="1" x14ac:dyDescent="0.25">
      <c r="A50" s="4" t="s">
        <v>54</v>
      </c>
      <c r="B50" s="5">
        <v>90542</v>
      </c>
      <c r="C50" s="5">
        <v>28249</v>
      </c>
      <c r="D50" s="5">
        <v>36941</v>
      </c>
      <c r="E50" s="5">
        <v>45633</v>
      </c>
      <c r="F50" s="5">
        <v>54325</v>
      </c>
      <c r="G50" s="5">
        <v>63017</v>
      </c>
      <c r="H50" s="5">
        <v>71709</v>
      </c>
    </row>
    <row r="51" spans="1:9" ht="25.5" customHeight="1" x14ac:dyDescent="0.25">
      <c r="A51" s="4" t="s">
        <v>55</v>
      </c>
      <c r="B51" s="5">
        <v>99184</v>
      </c>
      <c r="C51" s="5">
        <v>30945</v>
      </c>
      <c r="D51" s="5">
        <v>40467</v>
      </c>
      <c r="E51" s="5">
        <v>49988</v>
      </c>
      <c r="F51" s="5">
        <v>59510</v>
      </c>
      <c r="G51" s="5">
        <v>69032</v>
      </c>
      <c r="H51" s="5">
        <v>78553</v>
      </c>
    </row>
    <row r="52" spans="1:9" ht="25.5" customHeight="1" x14ac:dyDescent="0.25">
      <c r="A52" s="4" t="s">
        <v>56</v>
      </c>
      <c r="B52" s="5">
        <v>108955</v>
      </c>
      <c r="C52" s="5">
        <v>33994</v>
      </c>
      <c r="D52" s="5">
        <v>44454</v>
      </c>
      <c r="E52" s="5">
        <v>54913</v>
      </c>
      <c r="F52" s="5">
        <v>65373</v>
      </c>
      <c r="G52" s="5">
        <v>75833</v>
      </c>
      <c r="H52" s="5">
        <v>86292</v>
      </c>
    </row>
    <row r="53" spans="1:9" ht="25.5" customHeight="1" x14ac:dyDescent="0.25">
      <c r="A53" s="4" t="s">
        <v>57</v>
      </c>
      <c r="B53" s="5">
        <v>107085</v>
      </c>
      <c r="C53" s="5">
        <v>33411</v>
      </c>
      <c r="D53" s="5">
        <v>43691</v>
      </c>
      <c r="E53" s="5">
        <v>53971</v>
      </c>
      <c r="F53" s="5">
        <v>64251</v>
      </c>
      <c r="G53" s="5">
        <v>74531</v>
      </c>
      <c r="H53" s="5">
        <v>84811</v>
      </c>
    </row>
    <row r="54" spans="1:9" ht="25.5" customHeight="1" x14ac:dyDescent="0.25">
      <c r="A54" s="4" t="s">
        <v>58</v>
      </c>
      <c r="B54" s="5">
        <v>77096</v>
      </c>
      <c r="C54" s="5">
        <v>24054</v>
      </c>
      <c r="D54" s="5">
        <v>31455</v>
      </c>
      <c r="E54" s="5">
        <v>38857</v>
      </c>
      <c r="F54" s="5">
        <v>46258</v>
      </c>
      <c r="G54" s="5">
        <v>53659</v>
      </c>
      <c r="H54" s="5">
        <v>61061</v>
      </c>
    </row>
    <row r="55" spans="1:9" ht="25.5" customHeight="1" x14ac:dyDescent="0.25">
      <c r="A55" s="4" t="s">
        <v>59</v>
      </c>
      <c r="B55" s="5">
        <v>99688</v>
      </c>
      <c r="C55" s="5">
        <v>31103</v>
      </c>
      <c r="D55" s="5">
        <v>40673</v>
      </c>
      <c r="E55" s="5">
        <v>50243</v>
      </c>
      <c r="F55" s="5">
        <v>59813</v>
      </c>
      <c r="G55" s="5">
        <v>69383</v>
      </c>
      <c r="H55" s="5">
        <v>78953</v>
      </c>
    </row>
    <row r="56" spans="1:9" ht="25.5" customHeight="1" x14ac:dyDescent="0.25">
      <c r="A56" s="4" t="s">
        <v>60</v>
      </c>
      <c r="B56" s="5">
        <v>95814</v>
      </c>
      <c r="C56" s="5">
        <v>29894</v>
      </c>
      <c r="D56" s="5">
        <v>39092</v>
      </c>
      <c r="E56" s="5">
        <v>48290</v>
      </c>
      <c r="F56" s="5">
        <v>57488</v>
      </c>
      <c r="G56" s="5">
        <v>66686</v>
      </c>
      <c r="H56" s="5">
        <v>75884</v>
      </c>
    </row>
    <row r="57" spans="1:9" ht="25.5" customHeight="1" x14ac:dyDescent="0.25">
      <c r="A57" s="4" t="s">
        <v>61</v>
      </c>
      <c r="B57" s="5">
        <v>32843</v>
      </c>
      <c r="C57" s="5">
        <v>10247</v>
      </c>
      <c r="D57" s="5">
        <v>13400</v>
      </c>
      <c r="E57" s="5">
        <v>16553</v>
      </c>
      <c r="F57" s="5">
        <v>19706</v>
      </c>
      <c r="G57" s="5">
        <v>22859</v>
      </c>
      <c r="H57" s="5">
        <v>26012</v>
      </c>
    </row>
    <row r="58" spans="1:9" ht="16.5" customHeight="1" x14ac:dyDescent="0.25">
      <c r="A58" s="17" t="s">
        <v>62</v>
      </c>
      <c r="B58" s="17"/>
      <c r="C58" s="17"/>
      <c r="D58" s="17"/>
      <c r="E58" s="17"/>
      <c r="F58" s="17"/>
      <c r="G58" s="17"/>
      <c r="H58" s="17"/>
      <c r="I58" s="17"/>
    </row>
    <row r="59" spans="1:9" ht="1.05" customHeight="1" x14ac:dyDescent="0.25">
      <c r="A59" s="18"/>
      <c r="B59" s="18"/>
      <c r="C59" s="18"/>
      <c r="D59" s="18"/>
      <c r="E59" s="18"/>
      <c r="F59" s="18"/>
      <c r="G59" s="18"/>
      <c r="H59" s="18"/>
      <c r="I59" s="18"/>
    </row>
    <row r="60" spans="1:9" ht="157.19999999999999" customHeight="1" x14ac:dyDescent="0.25">
      <c r="A60" s="19" t="s">
        <v>63</v>
      </c>
      <c r="B60" s="19"/>
      <c r="C60" s="19"/>
      <c r="D60" s="19"/>
      <c r="E60" s="19"/>
      <c r="F60" s="19"/>
      <c r="G60" s="19"/>
      <c r="H60" s="19"/>
      <c r="I60" s="19"/>
    </row>
  </sheetData>
  <mergeCells count="5">
    <mergeCell ref="A1:I1"/>
    <mergeCell ref="A2:I2"/>
    <mergeCell ref="A58:I58"/>
    <mergeCell ref="A59:I59"/>
    <mergeCell ref="A60:I60"/>
  </mergeCells>
  <hyperlinks>
    <hyperlink ref="A60" r:id="rId1" display="https://data.census.gov/cedsci/"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F2FF5-4C16-4F97-8FBA-DCB19CD99886}">
  <dimension ref="A1:L54"/>
  <sheetViews>
    <sheetView workbookViewId="0">
      <selection activeCell="A12" sqref="A12"/>
    </sheetView>
  </sheetViews>
  <sheetFormatPr defaultRowHeight="13.2" x14ac:dyDescent="0.25"/>
  <cols>
    <col min="1" max="1" width="80.88671875" bestFit="1" customWidth="1"/>
    <col min="2" max="2" width="21.88671875" bestFit="1" customWidth="1"/>
    <col min="3" max="5" width="30.77734375" bestFit="1" customWidth="1"/>
    <col min="6" max="6" width="31.77734375" bestFit="1" customWidth="1"/>
    <col min="7" max="11" width="30.77734375" bestFit="1" customWidth="1"/>
    <col min="12" max="12" width="31.77734375" bestFit="1" customWidth="1"/>
  </cols>
  <sheetData>
    <row r="1" spans="1:12" ht="26.4" x14ac:dyDescent="0.25">
      <c r="A1" s="12" t="s">
        <v>79</v>
      </c>
      <c r="B1" t="s">
        <v>68</v>
      </c>
      <c r="C1" t="s">
        <v>69</v>
      </c>
      <c r="D1" t="s">
        <v>70</v>
      </c>
      <c r="E1" t="s">
        <v>71</v>
      </c>
      <c r="F1" t="s">
        <v>72</v>
      </c>
      <c r="G1" t="s">
        <v>73</v>
      </c>
      <c r="H1" t="s">
        <v>74</v>
      </c>
      <c r="I1" t="s">
        <v>75</v>
      </c>
      <c r="J1" t="s">
        <v>76</v>
      </c>
      <c r="K1" t="s">
        <v>77</v>
      </c>
      <c r="L1" t="s">
        <v>78</v>
      </c>
    </row>
    <row r="2" spans="1:12" x14ac:dyDescent="0.25">
      <c r="A2" s="11" t="s">
        <v>80</v>
      </c>
      <c r="B2" t="s">
        <v>81</v>
      </c>
      <c r="C2" t="s">
        <v>82</v>
      </c>
      <c r="D2" t="s">
        <v>83</v>
      </c>
      <c r="E2" t="s">
        <v>84</v>
      </c>
      <c r="F2" t="s">
        <v>85</v>
      </c>
      <c r="G2" t="s">
        <v>86</v>
      </c>
      <c r="H2" t="s">
        <v>87</v>
      </c>
      <c r="I2" t="s">
        <v>64</v>
      </c>
      <c r="J2" t="s">
        <v>65</v>
      </c>
      <c r="K2" t="s">
        <v>66</v>
      </c>
      <c r="L2" t="s">
        <v>67</v>
      </c>
    </row>
    <row r="3" spans="1:12" x14ac:dyDescent="0.25">
      <c r="A3" s="11" t="s">
        <v>88</v>
      </c>
      <c r="B3">
        <v>80762</v>
      </c>
      <c r="C3">
        <v>25198</v>
      </c>
      <c r="D3">
        <v>32951</v>
      </c>
      <c r="E3">
        <v>40704</v>
      </c>
      <c r="F3">
        <v>48457</v>
      </c>
      <c r="G3">
        <v>56210</v>
      </c>
      <c r="H3">
        <v>63963</v>
      </c>
      <c r="I3">
        <v>65416.95</v>
      </c>
      <c r="J3">
        <v>66870.66</v>
      </c>
      <c r="K3">
        <v>68324.37</v>
      </c>
      <c r="L3">
        <v>69778.080000000002</v>
      </c>
    </row>
    <row r="4" spans="1:12" x14ac:dyDescent="0.25">
      <c r="A4" s="11" t="s">
        <v>89</v>
      </c>
      <c r="B4">
        <v>104070</v>
      </c>
      <c r="C4">
        <v>32470</v>
      </c>
      <c r="D4">
        <v>42461</v>
      </c>
      <c r="E4">
        <v>52451</v>
      </c>
      <c r="F4">
        <v>62442</v>
      </c>
      <c r="G4">
        <v>72433</v>
      </c>
      <c r="H4">
        <v>82423</v>
      </c>
      <c r="I4">
        <v>84296.7</v>
      </c>
      <c r="J4">
        <v>86169.96</v>
      </c>
      <c r="K4">
        <v>88043.22</v>
      </c>
      <c r="L4">
        <v>89916.479999999996</v>
      </c>
    </row>
    <row r="5" spans="1:12" x14ac:dyDescent="0.25">
      <c r="A5" s="11" t="s">
        <v>90</v>
      </c>
      <c r="B5">
        <v>82227</v>
      </c>
      <c r="C5">
        <v>25655</v>
      </c>
      <c r="D5">
        <v>33548</v>
      </c>
      <c r="E5">
        <v>41442</v>
      </c>
      <c r="F5">
        <v>49336</v>
      </c>
      <c r="G5">
        <v>57230</v>
      </c>
      <c r="H5">
        <v>65124</v>
      </c>
      <c r="I5">
        <v>66603.600000000006</v>
      </c>
      <c r="J5">
        <v>68083.679999999993</v>
      </c>
      <c r="K5">
        <v>69563.759999999995</v>
      </c>
      <c r="L5">
        <v>71043.839999999997</v>
      </c>
    </row>
    <row r="6" spans="1:12" x14ac:dyDescent="0.25">
      <c r="A6" s="11" t="s">
        <v>91</v>
      </c>
      <c r="B6">
        <v>71485</v>
      </c>
      <c r="C6">
        <v>22303</v>
      </c>
      <c r="D6">
        <v>29166</v>
      </c>
      <c r="E6">
        <v>36028</v>
      </c>
      <c r="F6">
        <v>42891</v>
      </c>
      <c r="G6">
        <v>49754</v>
      </c>
      <c r="H6">
        <v>56616</v>
      </c>
      <c r="I6">
        <v>57902.85</v>
      </c>
      <c r="J6">
        <v>59189.58</v>
      </c>
      <c r="K6">
        <v>60476.31</v>
      </c>
      <c r="L6">
        <v>61763.040000000001</v>
      </c>
    </row>
    <row r="7" spans="1:12" x14ac:dyDescent="0.25">
      <c r="A7" s="11" t="s">
        <v>92</v>
      </c>
      <c r="B7">
        <v>98644</v>
      </c>
      <c r="C7">
        <v>30777</v>
      </c>
      <c r="D7">
        <v>40246</v>
      </c>
      <c r="E7">
        <v>49716</v>
      </c>
      <c r="F7">
        <v>59186</v>
      </c>
      <c r="G7">
        <v>68656</v>
      </c>
      <c r="H7">
        <v>78126</v>
      </c>
      <c r="I7">
        <v>79901.100000000006</v>
      </c>
      <c r="J7">
        <v>81676.679999999993</v>
      </c>
      <c r="K7">
        <v>83452.259999999995</v>
      </c>
      <c r="L7">
        <v>85227.839999999997</v>
      </c>
    </row>
    <row r="8" spans="1:12" x14ac:dyDescent="0.25">
      <c r="A8" s="11" t="s">
        <v>93</v>
      </c>
      <c r="B8">
        <v>106120</v>
      </c>
      <c r="C8">
        <v>33109</v>
      </c>
      <c r="D8">
        <v>43297</v>
      </c>
      <c r="E8">
        <v>53484</v>
      </c>
      <c r="F8">
        <v>63672</v>
      </c>
      <c r="G8">
        <v>73860</v>
      </c>
      <c r="H8">
        <v>84047</v>
      </c>
      <c r="I8">
        <v>85957.2</v>
      </c>
      <c r="J8">
        <v>87867.36</v>
      </c>
      <c r="K8">
        <v>89777.52</v>
      </c>
      <c r="L8">
        <v>91687.679999999993</v>
      </c>
    </row>
    <row r="9" spans="1:12" x14ac:dyDescent="0.25">
      <c r="A9" s="11" t="s">
        <v>94</v>
      </c>
      <c r="B9">
        <v>125087</v>
      </c>
      <c r="C9">
        <v>39027</v>
      </c>
      <c r="D9">
        <v>51035</v>
      </c>
      <c r="E9">
        <v>63044</v>
      </c>
      <c r="F9">
        <v>75052</v>
      </c>
      <c r="G9">
        <v>87060</v>
      </c>
      <c r="H9">
        <v>99069</v>
      </c>
      <c r="I9">
        <v>101320.2</v>
      </c>
      <c r="J9">
        <v>103571.76</v>
      </c>
      <c r="K9">
        <v>105823.32</v>
      </c>
      <c r="L9">
        <v>108074.88</v>
      </c>
    </row>
    <row r="10" spans="1:12" x14ac:dyDescent="0.25">
      <c r="A10" s="11" t="s">
        <v>95</v>
      </c>
      <c r="B10">
        <v>103900</v>
      </c>
      <c r="C10">
        <v>32417</v>
      </c>
      <c r="D10">
        <v>42391</v>
      </c>
      <c r="E10">
        <v>52366</v>
      </c>
      <c r="F10">
        <v>62340</v>
      </c>
      <c r="G10">
        <v>72314</v>
      </c>
      <c r="H10">
        <v>82289</v>
      </c>
      <c r="I10">
        <v>84159</v>
      </c>
      <c r="J10">
        <v>86029.2</v>
      </c>
      <c r="K10">
        <v>87899.4</v>
      </c>
      <c r="L10">
        <v>89769.600000000006</v>
      </c>
    </row>
    <row r="11" spans="1:12" x14ac:dyDescent="0.25">
      <c r="A11" s="11" t="s">
        <v>96</v>
      </c>
      <c r="B11">
        <v>137563</v>
      </c>
      <c r="C11">
        <v>42920</v>
      </c>
      <c r="D11">
        <v>56126</v>
      </c>
      <c r="E11">
        <v>69332</v>
      </c>
      <c r="F11">
        <v>82538</v>
      </c>
      <c r="G11">
        <v>95744</v>
      </c>
      <c r="H11">
        <v>108950</v>
      </c>
      <c r="I11">
        <v>111426.3</v>
      </c>
      <c r="J11">
        <v>113902.44</v>
      </c>
      <c r="K11">
        <v>116378.58</v>
      </c>
      <c r="L11">
        <v>118854.72</v>
      </c>
    </row>
    <row r="12" spans="1:12" x14ac:dyDescent="0.25">
      <c r="A12" s="11" t="s">
        <v>97</v>
      </c>
      <c r="B12">
        <v>81077</v>
      </c>
      <c r="C12">
        <v>25296</v>
      </c>
      <c r="D12">
        <v>33079</v>
      </c>
      <c r="E12">
        <v>40863</v>
      </c>
      <c r="F12">
        <v>48646</v>
      </c>
      <c r="G12">
        <v>56429</v>
      </c>
      <c r="H12">
        <v>64213</v>
      </c>
      <c r="I12">
        <v>65672.100000000006</v>
      </c>
      <c r="J12">
        <v>67131.48</v>
      </c>
      <c r="K12">
        <v>68590.86</v>
      </c>
      <c r="L12">
        <v>70050.240000000005</v>
      </c>
    </row>
    <row r="13" spans="1:12" x14ac:dyDescent="0.25">
      <c r="A13" s="11" t="s">
        <v>98</v>
      </c>
      <c r="B13">
        <v>84851</v>
      </c>
      <c r="C13">
        <v>26474</v>
      </c>
      <c r="D13">
        <v>34619</v>
      </c>
      <c r="E13">
        <v>42765</v>
      </c>
      <c r="F13">
        <v>50911</v>
      </c>
      <c r="G13">
        <v>59057</v>
      </c>
      <c r="H13">
        <v>67203</v>
      </c>
      <c r="I13">
        <v>68729.850000000006</v>
      </c>
      <c r="J13">
        <v>70257.179999999993</v>
      </c>
      <c r="K13">
        <v>71784.509999999995</v>
      </c>
      <c r="L13">
        <v>73311.839999999997</v>
      </c>
    </row>
    <row r="14" spans="1:12" x14ac:dyDescent="0.25">
      <c r="A14" s="11" t="s">
        <v>99</v>
      </c>
      <c r="B14">
        <v>108498</v>
      </c>
      <c r="C14">
        <v>33851</v>
      </c>
      <c r="D14">
        <v>44267</v>
      </c>
      <c r="E14">
        <v>54683</v>
      </c>
      <c r="F14">
        <v>65099</v>
      </c>
      <c r="G14">
        <v>75515</v>
      </c>
      <c r="H14">
        <v>85931</v>
      </c>
      <c r="I14">
        <v>87883.65</v>
      </c>
      <c r="J14">
        <v>89836.62</v>
      </c>
      <c r="K14">
        <v>91789.59</v>
      </c>
      <c r="L14">
        <v>93742.56</v>
      </c>
    </row>
    <row r="15" spans="1:12" x14ac:dyDescent="0.25">
      <c r="A15" s="11" t="s">
        <v>100</v>
      </c>
      <c r="B15">
        <v>79820</v>
      </c>
      <c r="C15">
        <v>24904</v>
      </c>
      <c r="D15">
        <v>32567</v>
      </c>
      <c r="E15">
        <v>40229</v>
      </c>
      <c r="F15">
        <v>47892</v>
      </c>
      <c r="G15">
        <v>55555</v>
      </c>
      <c r="H15">
        <v>63217</v>
      </c>
      <c r="I15">
        <v>64654.2</v>
      </c>
      <c r="J15">
        <v>66090.960000000006</v>
      </c>
      <c r="K15">
        <v>67527.72</v>
      </c>
      <c r="L15">
        <v>68964.479999999996</v>
      </c>
    </row>
    <row r="16" spans="1:12" x14ac:dyDescent="0.25">
      <c r="A16" s="11" t="s">
        <v>101</v>
      </c>
      <c r="B16">
        <v>102167</v>
      </c>
      <c r="C16">
        <v>31876</v>
      </c>
      <c r="D16">
        <v>41684</v>
      </c>
      <c r="E16">
        <v>51492</v>
      </c>
      <c r="F16">
        <v>61300</v>
      </c>
      <c r="G16">
        <v>71108</v>
      </c>
      <c r="H16">
        <v>80916</v>
      </c>
      <c r="I16">
        <v>82755</v>
      </c>
      <c r="J16">
        <v>84594</v>
      </c>
      <c r="K16">
        <v>86433</v>
      </c>
      <c r="L16">
        <v>88272</v>
      </c>
    </row>
    <row r="17" spans="1:12" x14ac:dyDescent="0.25">
      <c r="A17" s="11" t="s">
        <v>102</v>
      </c>
      <c r="B17">
        <v>86578</v>
      </c>
      <c r="C17">
        <v>27012</v>
      </c>
      <c r="D17">
        <v>35324</v>
      </c>
      <c r="E17">
        <v>43635</v>
      </c>
      <c r="F17">
        <v>51947</v>
      </c>
      <c r="G17">
        <v>60259</v>
      </c>
      <c r="H17">
        <v>68570</v>
      </c>
      <c r="I17">
        <v>70128.45</v>
      </c>
      <c r="J17">
        <v>71686.86</v>
      </c>
      <c r="K17">
        <v>73245.27</v>
      </c>
      <c r="L17">
        <v>74803.679999999993</v>
      </c>
    </row>
    <row r="18" spans="1:12" x14ac:dyDescent="0.25">
      <c r="A18" s="11" t="s">
        <v>103</v>
      </c>
      <c r="B18">
        <v>94221</v>
      </c>
      <c r="C18">
        <v>29397</v>
      </c>
      <c r="D18">
        <v>38442</v>
      </c>
      <c r="E18">
        <v>47488</v>
      </c>
      <c r="F18">
        <v>56533</v>
      </c>
      <c r="G18">
        <v>65578</v>
      </c>
      <c r="H18">
        <v>74624</v>
      </c>
      <c r="I18">
        <v>76319.55</v>
      </c>
      <c r="J18">
        <v>78015.539999999994</v>
      </c>
      <c r="K18">
        <v>79711.53</v>
      </c>
      <c r="L18">
        <v>81407.520000000004</v>
      </c>
    </row>
    <row r="19" spans="1:12" x14ac:dyDescent="0.25">
      <c r="A19" s="11" t="s">
        <v>104</v>
      </c>
      <c r="B19">
        <v>90284</v>
      </c>
      <c r="C19">
        <v>28168</v>
      </c>
      <c r="D19">
        <v>36836</v>
      </c>
      <c r="E19">
        <v>45503</v>
      </c>
      <c r="F19">
        <v>54170</v>
      </c>
      <c r="G19">
        <v>62837</v>
      </c>
      <c r="H19">
        <v>71504</v>
      </c>
      <c r="I19">
        <v>73129.5</v>
      </c>
      <c r="J19">
        <v>74754.600000000006</v>
      </c>
      <c r="K19">
        <v>76379.7</v>
      </c>
      <c r="L19">
        <v>78004.800000000003</v>
      </c>
    </row>
    <row r="20" spans="1:12" x14ac:dyDescent="0.25">
      <c r="A20" s="11" t="s">
        <v>105</v>
      </c>
      <c r="B20">
        <v>80407</v>
      </c>
      <c r="C20">
        <v>25087</v>
      </c>
      <c r="D20">
        <v>32806</v>
      </c>
      <c r="E20">
        <v>40525</v>
      </c>
      <c r="F20">
        <v>48244</v>
      </c>
      <c r="G20">
        <v>55963</v>
      </c>
      <c r="H20">
        <v>63682</v>
      </c>
      <c r="I20">
        <v>65129.4</v>
      </c>
      <c r="J20">
        <v>66576.72</v>
      </c>
      <c r="K20">
        <v>68024.039999999994</v>
      </c>
      <c r="L20">
        <v>69471.360000000001</v>
      </c>
    </row>
    <row r="21" spans="1:12" x14ac:dyDescent="0.25">
      <c r="A21" s="11" t="s">
        <v>106</v>
      </c>
      <c r="B21">
        <v>81779</v>
      </c>
      <c r="C21">
        <v>25515</v>
      </c>
      <c r="D21">
        <v>33366</v>
      </c>
      <c r="E21">
        <v>41216</v>
      </c>
      <c r="F21">
        <v>49067</v>
      </c>
      <c r="G21">
        <v>56918</v>
      </c>
      <c r="H21">
        <v>64768</v>
      </c>
      <c r="I21">
        <v>66240.45</v>
      </c>
      <c r="J21">
        <v>67712.460000000006</v>
      </c>
      <c r="K21">
        <v>69184.47</v>
      </c>
      <c r="L21">
        <v>70656.479999999996</v>
      </c>
    </row>
    <row r="22" spans="1:12" x14ac:dyDescent="0.25">
      <c r="A22" s="11" t="s">
        <v>107</v>
      </c>
      <c r="B22">
        <v>93560</v>
      </c>
      <c r="C22">
        <v>29191</v>
      </c>
      <c r="D22">
        <v>38172</v>
      </c>
      <c r="E22">
        <v>47154</v>
      </c>
      <c r="F22">
        <v>56136</v>
      </c>
      <c r="G22">
        <v>65118</v>
      </c>
      <c r="H22">
        <v>74100</v>
      </c>
      <c r="I22">
        <v>75783.600000000006</v>
      </c>
      <c r="J22">
        <v>77467.679999999993</v>
      </c>
      <c r="K22">
        <v>79151.759999999995</v>
      </c>
      <c r="L22">
        <v>80835.839999999997</v>
      </c>
    </row>
    <row r="23" spans="1:12" x14ac:dyDescent="0.25">
      <c r="A23" s="11" t="s">
        <v>108</v>
      </c>
      <c r="B23">
        <v>124807</v>
      </c>
      <c r="C23">
        <v>38940</v>
      </c>
      <c r="D23">
        <v>50921</v>
      </c>
      <c r="E23">
        <v>62903</v>
      </c>
      <c r="F23">
        <v>74884</v>
      </c>
      <c r="G23">
        <v>86865</v>
      </c>
      <c r="H23">
        <v>98847</v>
      </c>
      <c r="I23">
        <v>101093.4</v>
      </c>
      <c r="J23">
        <v>103339.92</v>
      </c>
      <c r="K23">
        <v>105586.44</v>
      </c>
      <c r="L23">
        <v>107832.96000000001</v>
      </c>
    </row>
    <row r="24" spans="1:12" x14ac:dyDescent="0.25">
      <c r="A24" s="11" t="s">
        <v>109</v>
      </c>
      <c r="B24">
        <v>131252</v>
      </c>
      <c r="C24">
        <v>40951</v>
      </c>
      <c r="D24">
        <v>53551</v>
      </c>
      <c r="E24">
        <v>66151</v>
      </c>
      <c r="F24">
        <v>78751</v>
      </c>
      <c r="G24">
        <v>91351</v>
      </c>
      <c r="H24">
        <v>103951</v>
      </c>
      <c r="I24">
        <v>106313.85</v>
      </c>
      <c r="J24">
        <v>108676.38</v>
      </c>
      <c r="K24">
        <v>111038.91</v>
      </c>
      <c r="L24">
        <v>113401.44</v>
      </c>
    </row>
    <row r="25" spans="1:12" x14ac:dyDescent="0.25">
      <c r="A25" s="11" t="s">
        <v>110</v>
      </c>
      <c r="B25">
        <v>93492</v>
      </c>
      <c r="C25">
        <v>29169</v>
      </c>
      <c r="D25">
        <v>38145</v>
      </c>
      <c r="E25">
        <v>47120</v>
      </c>
      <c r="F25">
        <v>56095</v>
      </c>
      <c r="G25">
        <v>65070</v>
      </c>
      <c r="H25">
        <v>74045</v>
      </c>
      <c r="I25">
        <v>75728.25</v>
      </c>
      <c r="J25">
        <v>77411.100000000006</v>
      </c>
      <c r="K25">
        <v>79093.95</v>
      </c>
      <c r="L25">
        <v>80776.800000000003</v>
      </c>
    </row>
    <row r="26" spans="1:12" x14ac:dyDescent="0.25">
      <c r="A26" s="11" t="s">
        <v>111</v>
      </c>
      <c r="B26">
        <v>112942</v>
      </c>
      <c r="C26">
        <v>35238</v>
      </c>
      <c r="D26">
        <v>46080</v>
      </c>
      <c r="E26">
        <v>56923</v>
      </c>
      <c r="F26">
        <v>67765</v>
      </c>
      <c r="G26">
        <v>78607</v>
      </c>
      <c r="H26">
        <v>89450</v>
      </c>
      <c r="I26">
        <v>91482.75</v>
      </c>
      <c r="J26">
        <v>93515.7</v>
      </c>
      <c r="K26">
        <v>95548.65</v>
      </c>
      <c r="L26">
        <v>97581.6</v>
      </c>
    </row>
    <row r="27" spans="1:12" x14ac:dyDescent="0.25">
      <c r="A27" s="11" t="s">
        <v>112</v>
      </c>
      <c r="B27">
        <v>68871</v>
      </c>
      <c r="C27">
        <v>21488</v>
      </c>
      <c r="D27">
        <v>28100</v>
      </c>
      <c r="E27">
        <v>34711</v>
      </c>
      <c r="F27">
        <v>41323</v>
      </c>
      <c r="G27">
        <v>47935</v>
      </c>
      <c r="H27">
        <v>54546</v>
      </c>
      <c r="I27">
        <v>55786.05</v>
      </c>
      <c r="J27">
        <v>57025.74</v>
      </c>
      <c r="K27">
        <v>58265.43</v>
      </c>
      <c r="L27">
        <v>59505.120000000003</v>
      </c>
    </row>
    <row r="28" spans="1:12" x14ac:dyDescent="0.25">
      <c r="A28" s="11" t="s">
        <v>113</v>
      </c>
      <c r="B28">
        <v>88519</v>
      </c>
      <c r="C28">
        <v>27618</v>
      </c>
      <c r="D28">
        <v>36115</v>
      </c>
      <c r="E28">
        <v>44613</v>
      </c>
      <c r="F28">
        <v>53111</v>
      </c>
      <c r="G28">
        <v>61609</v>
      </c>
      <c r="H28">
        <v>70107</v>
      </c>
      <c r="I28">
        <v>71699.850000000006</v>
      </c>
      <c r="J28">
        <v>73293.179999999993</v>
      </c>
      <c r="K28">
        <v>74886.509999999995</v>
      </c>
      <c r="L28">
        <v>76479.839999999997</v>
      </c>
    </row>
    <row r="29" spans="1:12" x14ac:dyDescent="0.25">
      <c r="A29" s="11" t="s">
        <v>114</v>
      </c>
      <c r="B29">
        <v>87442</v>
      </c>
      <c r="C29">
        <v>27282</v>
      </c>
      <c r="D29">
        <v>35676</v>
      </c>
      <c r="E29">
        <v>44071</v>
      </c>
      <c r="F29">
        <v>52465</v>
      </c>
      <c r="G29">
        <v>60859</v>
      </c>
      <c r="H29">
        <v>69254</v>
      </c>
      <c r="I29">
        <v>70827.75</v>
      </c>
      <c r="J29">
        <v>72401.7</v>
      </c>
      <c r="K29">
        <v>73975.649999999994</v>
      </c>
      <c r="L29">
        <v>75549.600000000006</v>
      </c>
    </row>
    <row r="30" spans="1:12" x14ac:dyDescent="0.25">
      <c r="A30" s="11" t="s">
        <v>115</v>
      </c>
      <c r="B30">
        <v>93660</v>
      </c>
      <c r="C30">
        <v>29222</v>
      </c>
      <c r="D30">
        <v>38213</v>
      </c>
      <c r="E30">
        <v>47205</v>
      </c>
      <c r="F30">
        <v>56196</v>
      </c>
      <c r="G30">
        <v>65187</v>
      </c>
      <c r="H30">
        <v>74179</v>
      </c>
      <c r="I30">
        <v>75864.600000000006</v>
      </c>
      <c r="J30">
        <v>77550.48</v>
      </c>
      <c r="K30">
        <v>79236.36</v>
      </c>
      <c r="L30">
        <v>80922.240000000005</v>
      </c>
    </row>
    <row r="31" spans="1:12" x14ac:dyDescent="0.25">
      <c r="A31" s="11" t="s">
        <v>116</v>
      </c>
      <c r="B31">
        <v>82509</v>
      </c>
      <c r="C31">
        <v>25743</v>
      </c>
      <c r="D31">
        <v>33663</v>
      </c>
      <c r="E31">
        <v>41584</v>
      </c>
      <c r="F31">
        <v>49505</v>
      </c>
      <c r="G31">
        <v>57426</v>
      </c>
      <c r="H31">
        <v>65347</v>
      </c>
      <c r="I31">
        <v>66831.75</v>
      </c>
      <c r="J31">
        <v>68316.899999999994</v>
      </c>
      <c r="K31">
        <v>69802.05</v>
      </c>
      <c r="L31">
        <v>71287.199999999997</v>
      </c>
    </row>
    <row r="32" spans="1:12" x14ac:dyDescent="0.25">
      <c r="A32" s="11" t="s">
        <v>117</v>
      </c>
      <c r="B32">
        <v>120821</v>
      </c>
      <c r="C32">
        <v>37696</v>
      </c>
      <c r="D32">
        <v>49295</v>
      </c>
      <c r="E32">
        <v>60894</v>
      </c>
      <c r="F32">
        <v>72493</v>
      </c>
      <c r="G32">
        <v>84092</v>
      </c>
      <c r="H32">
        <v>95691</v>
      </c>
      <c r="I32">
        <v>97865.55</v>
      </c>
      <c r="J32">
        <v>100040.34</v>
      </c>
      <c r="K32">
        <v>102215.13</v>
      </c>
      <c r="L32">
        <v>104389.92</v>
      </c>
    </row>
    <row r="33" spans="1:12" x14ac:dyDescent="0.25">
      <c r="A33" s="11" t="s">
        <v>118</v>
      </c>
      <c r="B33">
        <v>128786</v>
      </c>
      <c r="C33">
        <v>40181</v>
      </c>
      <c r="D33">
        <v>52545</v>
      </c>
      <c r="E33">
        <v>64908</v>
      </c>
      <c r="F33">
        <v>77272</v>
      </c>
      <c r="G33">
        <v>89636</v>
      </c>
      <c r="H33">
        <v>101999</v>
      </c>
      <c r="I33">
        <v>104317.2</v>
      </c>
      <c r="J33">
        <v>106635.36</v>
      </c>
      <c r="K33">
        <v>108953.52</v>
      </c>
      <c r="L33">
        <v>111271.67999999999</v>
      </c>
    </row>
    <row r="34" spans="1:12" x14ac:dyDescent="0.25">
      <c r="A34" s="11" t="s">
        <v>119</v>
      </c>
      <c r="B34">
        <v>67949</v>
      </c>
      <c r="C34">
        <v>21200</v>
      </c>
      <c r="D34">
        <v>27723</v>
      </c>
      <c r="E34">
        <v>34246</v>
      </c>
      <c r="F34">
        <v>40769</v>
      </c>
      <c r="G34">
        <v>47292</v>
      </c>
      <c r="H34">
        <v>53815</v>
      </c>
      <c r="I34">
        <v>55038.15</v>
      </c>
      <c r="J34">
        <v>56261.22</v>
      </c>
      <c r="K34">
        <v>57484.29</v>
      </c>
      <c r="L34">
        <v>58707.360000000001</v>
      </c>
    </row>
    <row r="35" spans="1:12" x14ac:dyDescent="0.25">
      <c r="A35" s="11" t="s">
        <v>120</v>
      </c>
      <c r="B35">
        <v>104972</v>
      </c>
      <c r="C35">
        <v>32751</v>
      </c>
      <c r="D35">
        <v>42828</v>
      </c>
      <c r="E35">
        <v>52906</v>
      </c>
      <c r="F35">
        <v>62983</v>
      </c>
      <c r="G35">
        <v>73060</v>
      </c>
      <c r="H35">
        <v>83138</v>
      </c>
      <c r="I35">
        <v>85027.05</v>
      </c>
      <c r="J35">
        <v>86916.54</v>
      </c>
      <c r="K35">
        <v>88806.03</v>
      </c>
      <c r="L35">
        <v>90695.52</v>
      </c>
    </row>
    <row r="36" spans="1:12" x14ac:dyDescent="0.25">
      <c r="A36" s="11" t="s">
        <v>121</v>
      </c>
      <c r="B36">
        <v>84549</v>
      </c>
      <c r="C36">
        <v>26379</v>
      </c>
      <c r="D36">
        <v>34496</v>
      </c>
      <c r="E36">
        <v>42612</v>
      </c>
      <c r="F36">
        <v>50729</v>
      </c>
      <c r="G36">
        <v>58846</v>
      </c>
      <c r="H36">
        <v>66962</v>
      </c>
      <c r="I36">
        <v>68484.149999999994</v>
      </c>
      <c r="J36">
        <v>70006.02</v>
      </c>
      <c r="K36">
        <v>71527.89</v>
      </c>
      <c r="L36">
        <v>73049.759999999995</v>
      </c>
    </row>
    <row r="37" spans="1:12" x14ac:dyDescent="0.25">
      <c r="A37" s="11" t="s">
        <v>122</v>
      </c>
      <c r="B37">
        <v>104087</v>
      </c>
      <c r="C37">
        <v>32475</v>
      </c>
      <c r="D37">
        <v>42467</v>
      </c>
      <c r="E37">
        <v>52460</v>
      </c>
      <c r="F37">
        <v>62452</v>
      </c>
      <c r="G37">
        <v>72444</v>
      </c>
      <c r="H37">
        <v>82437</v>
      </c>
      <c r="I37">
        <v>84310.2</v>
      </c>
      <c r="J37">
        <v>86183.76</v>
      </c>
      <c r="K37">
        <v>88057.32</v>
      </c>
      <c r="L37">
        <v>89930.880000000005</v>
      </c>
    </row>
    <row r="38" spans="1:12" x14ac:dyDescent="0.25">
      <c r="A38" s="11" t="s">
        <v>123</v>
      </c>
      <c r="B38">
        <v>91185</v>
      </c>
      <c r="C38">
        <v>28450</v>
      </c>
      <c r="D38">
        <v>37203</v>
      </c>
      <c r="E38">
        <v>45957</v>
      </c>
      <c r="F38">
        <v>54711</v>
      </c>
      <c r="G38">
        <v>63465</v>
      </c>
      <c r="H38">
        <v>72219</v>
      </c>
      <c r="I38">
        <v>73859.850000000006</v>
      </c>
      <c r="J38">
        <v>75501.179999999993</v>
      </c>
      <c r="K38">
        <v>77142.509999999995</v>
      </c>
      <c r="L38">
        <v>78783.839999999997</v>
      </c>
    </row>
    <row r="39" spans="1:12" x14ac:dyDescent="0.25">
      <c r="A39" s="11" t="s">
        <v>124</v>
      </c>
      <c r="B39">
        <v>76142</v>
      </c>
      <c r="C39">
        <v>23756</v>
      </c>
      <c r="D39">
        <v>31066</v>
      </c>
      <c r="E39">
        <v>38375</v>
      </c>
      <c r="F39">
        <v>45685</v>
      </c>
      <c r="G39">
        <v>52995</v>
      </c>
      <c r="H39">
        <v>60304</v>
      </c>
      <c r="I39">
        <v>61674.75</v>
      </c>
      <c r="J39">
        <v>63045.3</v>
      </c>
      <c r="K39">
        <v>64415.85</v>
      </c>
      <c r="L39">
        <v>65786.399999999994</v>
      </c>
    </row>
    <row r="40" spans="1:12" x14ac:dyDescent="0.25">
      <c r="A40" s="11" t="s">
        <v>125</v>
      </c>
      <c r="B40">
        <v>94050</v>
      </c>
      <c r="C40">
        <v>29344</v>
      </c>
      <c r="D40">
        <v>38372</v>
      </c>
      <c r="E40">
        <v>47401</v>
      </c>
      <c r="F40">
        <v>56430</v>
      </c>
      <c r="G40">
        <v>65459</v>
      </c>
      <c r="H40">
        <v>74488</v>
      </c>
      <c r="I40">
        <v>76180.5</v>
      </c>
      <c r="J40">
        <v>77873.399999999994</v>
      </c>
      <c r="K40">
        <v>79566.3</v>
      </c>
      <c r="L40">
        <v>81259.199999999997</v>
      </c>
    </row>
    <row r="41" spans="1:12" x14ac:dyDescent="0.25">
      <c r="A41" s="11" t="s">
        <v>126</v>
      </c>
      <c r="B41">
        <v>100995</v>
      </c>
      <c r="C41">
        <v>31510</v>
      </c>
      <c r="D41">
        <v>41206</v>
      </c>
      <c r="E41">
        <v>50901</v>
      </c>
      <c r="F41">
        <v>60597</v>
      </c>
      <c r="G41">
        <v>70293</v>
      </c>
      <c r="H41">
        <v>79988</v>
      </c>
      <c r="I41">
        <v>81805.95</v>
      </c>
      <c r="J41">
        <v>83623.86</v>
      </c>
      <c r="K41">
        <v>85441.77</v>
      </c>
      <c r="L41">
        <v>87259.68</v>
      </c>
    </row>
    <row r="42" spans="1:12" x14ac:dyDescent="0.25">
      <c r="A42" s="11" t="s">
        <v>127</v>
      </c>
      <c r="B42">
        <v>107837</v>
      </c>
      <c r="C42">
        <v>33645</v>
      </c>
      <c r="D42">
        <v>43997</v>
      </c>
      <c r="E42">
        <v>54350</v>
      </c>
      <c r="F42">
        <v>64702</v>
      </c>
      <c r="G42">
        <v>75054</v>
      </c>
      <c r="H42">
        <v>85407</v>
      </c>
      <c r="I42">
        <v>87347.7</v>
      </c>
      <c r="J42">
        <v>89288.76</v>
      </c>
      <c r="K42">
        <v>91229.82</v>
      </c>
      <c r="L42">
        <v>93170.880000000005</v>
      </c>
    </row>
    <row r="43" spans="1:12" x14ac:dyDescent="0.25">
      <c r="A43" s="11" t="s">
        <v>128</v>
      </c>
      <c r="B43">
        <v>80973</v>
      </c>
      <c r="C43">
        <v>25264</v>
      </c>
      <c r="D43">
        <v>33037</v>
      </c>
      <c r="E43">
        <v>40811</v>
      </c>
      <c r="F43">
        <v>48584</v>
      </c>
      <c r="G43">
        <v>56357</v>
      </c>
      <c r="H43">
        <v>64131</v>
      </c>
      <c r="I43">
        <v>65588.399999999994</v>
      </c>
      <c r="J43">
        <v>67045.919999999998</v>
      </c>
      <c r="K43">
        <v>68503.44</v>
      </c>
      <c r="L43">
        <v>69960.960000000006</v>
      </c>
    </row>
    <row r="44" spans="1:12" x14ac:dyDescent="0.25">
      <c r="A44" s="11" t="s">
        <v>129</v>
      </c>
      <c r="B44">
        <v>88721</v>
      </c>
      <c r="C44">
        <v>27681</v>
      </c>
      <c r="D44">
        <v>36198</v>
      </c>
      <c r="E44">
        <v>44716</v>
      </c>
      <c r="F44">
        <v>53233</v>
      </c>
      <c r="G44">
        <v>61750</v>
      </c>
      <c r="H44">
        <v>70268</v>
      </c>
      <c r="I44">
        <v>71864.55</v>
      </c>
      <c r="J44">
        <v>73461.539999999994</v>
      </c>
      <c r="K44">
        <v>75058.53</v>
      </c>
      <c r="L44">
        <v>76655.520000000004</v>
      </c>
    </row>
    <row r="45" spans="1:12" x14ac:dyDescent="0.25">
      <c r="A45" s="11" t="s">
        <v>130</v>
      </c>
      <c r="B45">
        <v>80773</v>
      </c>
      <c r="C45">
        <v>25201</v>
      </c>
      <c r="D45">
        <v>32956</v>
      </c>
      <c r="E45">
        <v>40710</v>
      </c>
      <c r="F45">
        <v>48464</v>
      </c>
      <c r="G45">
        <v>56218</v>
      </c>
      <c r="H45">
        <v>63972</v>
      </c>
      <c r="I45">
        <v>65426.400000000001</v>
      </c>
      <c r="J45">
        <v>66880.320000000007</v>
      </c>
      <c r="K45">
        <v>68334.240000000005</v>
      </c>
      <c r="L45">
        <v>69788.160000000003</v>
      </c>
    </row>
    <row r="46" spans="1:12" x14ac:dyDescent="0.25">
      <c r="A46" s="11" t="s">
        <v>131</v>
      </c>
      <c r="B46">
        <v>85391</v>
      </c>
      <c r="C46">
        <v>26642</v>
      </c>
      <c r="D46">
        <v>34840</v>
      </c>
      <c r="E46">
        <v>43037</v>
      </c>
      <c r="F46">
        <v>51235</v>
      </c>
      <c r="G46">
        <v>59433</v>
      </c>
      <c r="H46">
        <v>67630</v>
      </c>
      <c r="I46">
        <v>69167.25</v>
      </c>
      <c r="J46">
        <v>70704.3</v>
      </c>
      <c r="K46">
        <v>72241.350000000006</v>
      </c>
      <c r="L46">
        <v>73778.399999999994</v>
      </c>
    </row>
    <row r="47" spans="1:12" x14ac:dyDescent="0.25">
      <c r="A47" s="11" t="s">
        <v>132</v>
      </c>
      <c r="B47">
        <v>90542</v>
      </c>
      <c r="C47">
        <v>28249</v>
      </c>
      <c r="D47">
        <v>36941</v>
      </c>
      <c r="E47">
        <v>45633</v>
      </c>
      <c r="F47">
        <v>54325</v>
      </c>
      <c r="G47">
        <v>63017</v>
      </c>
      <c r="H47">
        <v>71709</v>
      </c>
      <c r="I47">
        <v>73338.75</v>
      </c>
      <c r="J47">
        <v>74968.5</v>
      </c>
      <c r="K47">
        <v>76598.25</v>
      </c>
      <c r="L47">
        <v>78228</v>
      </c>
    </row>
    <row r="48" spans="1:12" x14ac:dyDescent="0.25">
      <c r="A48" s="11" t="s">
        <v>133</v>
      </c>
      <c r="B48">
        <v>99184</v>
      </c>
      <c r="C48">
        <v>30945</v>
      </c>
      <c r="D48">
        <v>40467</v>
      </c>
      <c r="E48">
        <v>49988</v>
      </c>
      <c r="F48">
        <v>59510</v>
      </c>
      <c r="G48">
        <v>69032</v>
      </c>
      <c r="H48">
        <v>78553</v>
      </c>
      <c r="I48">
        <v>80338.5</v>
      </c>
      <c r="J48">
        <v>82123.8</v>
      </c>
      <c r="K48">
        <v>83909.1</v>
      </c>
      <c r="L48">
        <v>85694.399999999994</v>
      </c>
    </row>
    <row r="49" spans="1:12" x14ac:dyDescent="0.25">
      <c r="A49" s="11" t="s">
        <v>134</v>
      </c>
      <c r="B49">
        <v>108955</v>
      </c>
      <c r="C49">
        <v>33994</v>
      </c>
      <c r="D49">
        <v>44454</v>
      </c>
      <c r="E49">
        <v>54913</v>
      </c>
      <c r="F49">
        <v>65373</v>
      </c>
      <c r="G49">
        <v>75833</v>
      </c>
      <c r="H49">
        <v>86292</v>
      </c>
      <c r="I49">
        <v>88253.55</v>
      </c>
      <c r="J49">
        <v>90214.74</v>
      </c>
      <c r="K49">
        <v>92175.93</v>
      </c>
      <c r="L49">
        <v>94137.12</v>
      </c>
    </row>
    <row r="50" spans="1:12" x14ac:dyDescent="0.25">
      <c r="A50" s="11" t="s">
        <v>135</v>
      </c>
      <c r="B50">
        <v>107085</v>
      </c>
      <c r="C50">
        <v>33411</v>
      </c>
      <c r="D50">
        <v>43691</v>
      </c>
      <c r="E50">
        <v>53971</v>
      </c>
      <c r="F50">
        <v>64251</v>
      </c>
      <c r="G50">
        <v>74531</v>
      </c>
      <c r="H50">
        <v>84811</v>
      </c>
      <c r="I50">
        <v>86738.85</v>
      </c>
      <c r="J50">
        <v>88666.38</v>
      </c>
      <c r="K50">
        <v>90593.91</v>
      </c>
      <c r="L50">
        <v>92521.44</v>
      </c>
    </row>
    <row r="51" spans="1:12" x14ac:dyDescent="0.25">
      <c r="A51" s="11" t="s">
        <v>136</v>
      </c>
      <c r="B51">
        <v>77096</v>
      </c>
      <c r="C51">
        <v>24054</v>
      </c>
      <c r="D51">
        <v>31455</v>
      </c>
      <c r="E51">
        <v>38857</v>
      </c>
      <c r="F51">
        <v>46258</v>
      </c>
      <c r="G51">
        <v>53659</v>
      </c>
      <c r="H51">
        <v>61061</v>
      </c>
      <c r="I51">
        <v>62448.3</v>
      </c>
      <c r="J51">
        <v>63836.04</v>
      </c>
      <c r="K51">
        <v>65223.78</v>
      </c>
      <c r="L51">
        <v>66611.520000000004</v>
      </c>
    </row>
    <row r="52" spans="1:12" x14ac:dyDescent="0.25">
      <c r="A52" s="11" t="s">
        <v>137</v>
      </c>
      <c r="B52">
        <v>99688</v>
      </c>
      <c r="C52">
        <v>31103</v>
      </c>
      <c r="D52">
        <v>40673</v>
      </c>
      <c r="E52">
        <v>50243</v>
      </c>
      <c r="F52">
        <v>59813</v>
      </c>
      <c r="G52">
        <v>69383</v>
      </c>
      <c r="H52">
        <v>78953</v>
      </c>
      <c r="I52">
        <v>80747.55</v>
      </c>
      <c r="J52">
        <v>82541.94</v>
      </c>
      <c r="K52">
        <v>84336.33</v>
      </c>
      <c r="L52">
        <v>86130.72</v>
      </c>
    </row>
    <row r="53" spans="1:12" x14ac:dyDescent="0.25">
      <c r="A53" s="11" t="s">
        <v>138</v>
      </c>
      <c r="B53">
        <v>95814</v>
      </c>
      <c r="C53">
        <v>29894</v>
      </c>
      <c r="D53">
        <v>39092</v>
      </c>
      <c r="E53">
        <v>48290</v>
      </c>
      <c r="F53">
        <v>57488</v>
      </c>
      <c r="G53">
        <v>66686</v>
      </c>
      <c r="H53">
        <v>75884</v>
      </c>
      <c r="I53">
        <v>77608.800000000003</v>
      </c>
      <c r="J53">
        <v>79333.440000000002</v>
      </c>
      <c r="K53">
        <v>81058.080000000002</v>
      </c>
      <c r="L53">
        <v>82782.720000000001</v>
      </c>
    </row>
    <row r="54" spans="1:12" x14ac:dyDescent="0.25">
      <c r="A54" s="11" t="s">
        <v>139</v>
      </c>
      <c r="B54">
        <v>32843</v>
      </c>
      <c r="C54">
        <v>10247</v>
      </c>
      <c r="D54">
        <v>13400</v>
      </c>
      <c r="E54">
        <v>16553</v>
      </c>
      <c r="F54">
        <v>19706</v>
      </c>
      <c r="G54">
        <v>22859</v>
      </c>
      <c r="H54">
        <v>26012</v>
      </c>
      <c r="I54">
        <v>26603.1</v>
      </c>
      <c r="J54">
        <v>27194.28</v>
      </c>
      <c r="K54">
        <v>27785.46</v>
      </c>
      <c r="L54">
        <v>28376.639999999999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3684-F63F-4EED-A0E7-81F666F749FC}">
  <dimension ref="A1:L57"/>
  <sheetViews>
    <sheetView tabSelected="1" topLeftCell="A36" workbookViewId="0">
      <selection activeCell="A2" sqref="A2:L46"/>
    </sheetView>
  </sheetViews>
  <sheetFormatPr defaultRowHeight="13.2" x14ac:dyDescent="0.25"/>
  <cols>
    <col min="1" max="1" width="22" customWidth="1"/>
    <col min="2" max="12" width="15.6640625" style="7" customWidth="1"/>
  </cols>
  <sheetData>
    <row r="1" spans="1:12" ht="18" customHeight="1" x14ac:dyDescent="0.25">
      <c r="A1" s="14" t="s">
        <v>143</v>
      </c>
      <c r="B1" s="13"/>
      <c r="C1" s="13"/>
      <c r="D1" s="13"/>
      <c r="E1" s="13"/>
      <c r="F1" s="13"/>
      <c r="G1" s="13"/>
      <c r="H1" s="13"/>
      <c r="I1" s="13"/>
    </row>
    <row r="2" spans="1:12" ht="41.4" x14ac:dyDescent="0.25">
      <c r="A2" s="1" t="s">
        <v>142</v>
      </c>
      <c r="B2" s="8" t="s">
        <v>140</v>
      </c>
      <c r="C2" s="9" t="s">
        <v>4</v>
      </c>
      <c r="D2" s="9" t="s">
        <v>5</v>
      </c>
      <c r="E2" s="9" t="s">
        <v>6</v>
      </c>
      <c r="F2" s="9" t="s">
        <v>141</v>
      </c>
      <c r="G2" s="9" t="s">
        <v>8</v>
      </c>
      <c r="H2" s="9" t="s">
        <v>9</v>
      </c>
      <c r="I2" s="10" t="s">
        <v>64</v>
      </c>
      <c r="J2" s="10" t="s">
        <v>65</v>
      </c>
      <c r="K2" s="10" t="s">
        <v>66</v>
      </c>
      <c r="L2" s="10" t="s">
        <v>67</v>
      </c>
    </row>
    <row r="3" spans="1:12" ht="25.5" customHeight="1" x14ac:dyDescent="0.25">
      <c r="A3" s="4" t="s">
        <v>10</v>
      </c>
      <c r="B3" s="6">
        <v>80762</v>
      </c>
      <c r="C3" s="6">
        <v>25198</v>
      </c>
      <c r="D3" s="6">
        <v>32951</v>
      </c>
      <c r="E3" s="6">
        <v>40704</v>
      </c>
      <c r="F3" s="6">
        <v>48457</v>
      </c>
      <c r="G3" s="6">
        <v>56210</v>
      </c>
      <c r="H3" s="6">
        <v>63963</v>
      </c>
      <c r="I3" s="7">
        <f>$F3*1.35</f>
        <v>65416.950000000004</v>
      </c>
      <c r="J3" s="7">
        <f>$F3*1.38</f>
        <v>66870.659999999989</v>
      </c>
      <c r="K3" s="7">
        <f>$F3*1.41</f>
        <v>68324.37</v>
      </c>
      <c r="L3" s="7">
        <f>$F3*1.44</f>
        <v>69778.080000000002</v>
      </c>
    </row>
    <row r="4" spans="1:12" ht="25.5" hidden="1" customHeight="1" x14ac:dyDescent="0.25">
      <c r="A4" s="4" t="s">
        <v>11</v>
      </c>
      <c r="B4" s="6">
        <v>104070</v>
      </c>
      <c r="C4" s="6">
        <v>32470</v>
      </c>
      <c r="D4" s="6">
        <v>42461</v>
      </c>
      <c r="E4" s="6">
        <v>52451</v>
      </c>
      <c r="F4" s="6">
        <v>62442</v>
      </c>
      <c r="G4" s="6">
        <v>72433</v>
      </c>
      <c r="H4" s="6">
        <v>82423</v>
      </c>
      <c r="I4" s="7">
        <f t="shared" ref="I4:I54" si="0">$F4*1.35</f>
        <v>84296.700000000012</v>
      </c>
      <c r="J4" s="7">
        <f t="shared" ref="J4:J54" si="1">$F4*1.38</f>
        <v>86169.959999999992</v>
      </c>
      <c r="K4" s="7">
        <f t="shared" ref="K4:K54" si="2">$F4*1.41</f>
        <v>88043.22</v>
      </c>
      <c r="L4" s="7">
        <f t="shared" ref="L4:L54" si="3">$F4*1.44</f>
        <v>89916.479999999996</v>
      </c>
    </row>
    <row r="5" spans="1:12" ht="25.5" hidden="1" customHeight="1" x14ac:dyDescent="0.25">
      <c r="A5" s="4" t="s">
        <v>12</v>
      </c>
      <c r="B5" s="6">
        <v>82227</v>
      </c>
      <c r="C5" s="6">
        <v>25655</v>
      </c>
      <c r="D5" s="6">
        <v>33548</v>
      </c>
      <c r="E5" s="6">
        <v>41442</v>
      </c>
      <c r="F5" s="6">
        <v>49336</v>
      </c>
      <c r="G5" s="6">
        <v>57230</v>
      </c>
      <c r="H5" s="6">
        <v>65124</v>
      </c>
      <c r="I5" s="7">
        <f t="shared" si="0"/>
        <v>66603.600000000006</v>
      </c>
      <c r="J5" s="7">
        <f t="shared" si="1"/>
        <v>68083.679999999993</v>
      </c>
      <c r="K5" s="7">
        <f t="shared" si="2"/>
        <v>69563.759999999995</v>
      </c>
      <c r="L5" s="7">
        <f t="shared" si="3"/>
        <v>71043.839999999997</v>
      </c>
    </row>
    <row r="6" spans="1:12" ht="25.5" hidden="1" customHeight="1" x14ac:dyDescent="0.25">
      <c r="A6" s="4" t="s">
        <v>13</v>
      </c>
      <c r="B6" s="6">
        <v>71485</v>
      </c>
      <c r="C6" s="6">
        <v>22303</v>
      </c>
      <c r="D6" s="6">
        <v>29166</v>
      </c>
      <c r="E6" s="6">
        <v>36028</v>
      </c>
      <c r="F6" s="6">
        <v>42891</v>
      </c>
      <c r="G6" s="6">
        <v>49754</v>
      </c>
      <c r="H6" s="6">
        <v>56616</v>
      </c>
      <c r="I6" s="7">
        <f t="shared" si="0"/>
        <v>57902.850000000006</v>
      </c>
      <c r="J6" s="7">
        <f t="shared" si="1"/>
        <v>59189.579999999994</v>
      </c>
      <c r="K6" s="7">
        <f t="shared" si="2"/>
        <v>60476.31</v>
      </c>
      <c r="L6" s="7">
        <f t="shared" si="3"/>
        <v>61763.040000000001</v>
      </c>
    </row>
    <row r="7" spans="1:12" ht="25.5" hidden="1" customHeight="1" x14ac:dyDescent="0.25">
      <c r="A7" s="4" t="s">
        <v>14</v>
      </c>
      <c r="B7" s="6">
        <v>98644</v>
      </c>
      <c r="C7" s="6">
        <v>30777</v>
      </c>
      <c r="D7" s="6">
        <v>40246</v>
      </c>
      <c r="E7" s="6">
        <v>49716</v>
      </c>
      <c r="F7" s="6">
        <v>59186</v>
      </c>
      <c r="G7" s="6">
        <v>68656</v>
      </c>
      <c r="H7" s="6">
        <v>78126</v>
      </c>
      <c r="I7" s="7">
        <f t="shared" si="0"/>
        <v>79901.100000000006</v>
      </c>
      <c r="J7" s="7">
        <f t="shared" si="1"/>
        <v>81676.679999999993</v>
      </c>
      <c r="K7" s="7">
        <f t="shared" si="2"/>
        <v>83452.259999999995</v>
      </c>
      <c r="L7" s="7">
        <f t="shared" si="3"/>
        <v>85227.839999999997</v>
      </c>
    </row>
    <row r="8" spans="1:12" ht="25.5" hidden="1" customHeight="1" x14ac:dyDescent="0.25">
      <c r="A8" s="4" t="s">
        <v>15</v>
      </c>
      <c r="B8" s="6">
        <v>106120</v>
      </c>
      <c r="C8" s="6">
        <v>33109</v>
      </c>
      <c r="D8" s="6">
        <v>43297</v>
      </c>
      <c r="E8" s="6">
        <v>53484</v>
      </c>
      <c r="F8" s="6">
        <v>63672</v>
      </c>
      <c r="G8" s="6">
        <v>73860</v>
      </c>
      <c r="H8" s="6">
        <v>84047</v>
      </c>
      <c r="I8" s="7">
        <f t="shared" si="0"/>
        <v>85957.200000000012</v>
      </c>
      <c r="J8" s="7">
        <f t="shared" si="1"/>
        <v>87867.359999999986</v>
      </c>
      <c r="K8" s="7">
        <f t="shared" si="2"/>
        <v>89777.51999999999</v>
      </c>
      <c r="L8" s="7">
        <f t="shared" si="3"/>
        <v>91687.679999999993</v>
      </c>
    </row>
    <row r="9" spans="1:12" ht="25.5" hidden="1" customHeight="1" x14ac:dyDescent="0.25">
      <c r="A9" s="4" t="s">
        <v>16</v>
      </c>
      <c r="B9" s="6">
        <v>125087</v>
      </c>
      <c r="C9" s="6">
        <v>39027</v>
      </c>
      <c r="D9" s="6">
        <v>51035</v>
      </c>
      <c r="E9" s="6">
        <v>63044</v>
      </c>
      <c r="F9" s="6">
        <v>75052</v>
      </c>
      <c r="G9" s="6">
        <v>87060</v>
      </c>
      <c r="H9" s="6">
        <v>99069</v>
      </c>
      <c r="I9" s="7">
        <f t="shared" si="0"/>
        <v>101320.20000000001</v>
      </c>
      <c r="J9" s="7">
        <f t="shared" si="1"/>
        <v>103571.76</v>
      </c>
      <c r="K9" s="7">
        <f t="shared" si="2"/>
        <v>105823.31999999999</v>
      </c>
      <c r="L9" s="7">
        <f t="shared" si="3"/>
        <v>108074.87999999999</v>
      </c>
    </row>
    <row r="10" spans="1:12" ht="25.5" hidden="1" customHeight="1" x14ac:dyDescent="0.25">
      <c r="A10" s="4" t="s">
        <v>17</v>
      </c>
      <c r="B10" s="6">
        <v>103900</v>
      </c>
      <c r="C10" s="6">
        <v>32417</v>
      </c>
      <c r="D10" s="6">
        <v>42391</v>
      </c>
      <c r="E10" s="6">
        <v>52366</v>
      </c>
      <c r="F10" s="6">
        <v>62340</v>
      </c>
      <c r="G10" s="6">
        <v>72314</v>
      </c>
      <c r="H10" s="6">
        <v>82289</v>
      </c>
      <c r="I10" s="7">
        <f t="shared" si="0"/>
        <v>84159</v>
      </c>
      <c r="J10" s="7">
        <f t="shared" si="1"/>
        <v>86029.2</v>
      </c>
      <c r="K10" s="7">
        <f t="shared" si="2"/>
        <v>87899.4</v>
      </c>
      <c r="L10" s="7">
        <f t="shared" si="3"/>
        <v>89769.599999999991</v>
      </c>
    </row>
    <row r="11" spans="1:12" ht="25.5" hidden="1" customHeight="1" x14ac:dyDescent="0.25">
      <c r="A11" s="4" t="s">
        <v>18</v>
      </c>
      <c r="B11" s="6">
        <v>137563</v>
      </c>
      <c r="C11" s="6">
        <v>42920</v>
      </c>
      <c r="D11" s="6">
        <v>56126</v>
      </c>
      <c r="E11" s="6">
        <v>69332</v>
      </c>
      <c r="F11" s="6">
        <v>82538</v>
      </c>
      <c r="G11" s="6">
        <v>95744</v>
      </c>
      <c r="H11" s="6">
        <v>108950</v>
      </c>
      <c r="I11" s="7">
        <f t="shared" si="0"/>
        <v>111426.3</v>
      </c>
      <c r="J11" s="7">
        <f t="shared" si="1"/>
        <v>113902.43999999999</v>
      </c>
      <c r="K11" s="7">
        <f t="shared" si="2"/>
        <v>116378.57999999999</v>
      </c>
      <c r="L11" s="7">
        <f t="shared" si="3"/>
        <v>118854.72</v>
      </c>
    </row>
    <row r="12" spans="1:12" ht="25.5" customHeight="1" x14ac:dyDescent="0.25">
      <c r="A12" s="4" t="s">
        <v>19</v>
      </c>
      <c r="B12" s="6">
        <v>81077</v>
      </c>
      <c r="C12" s="6">
        <v>25296</v>
      </c>
      <c r="D12" s="6">
        <v>33079</v>
      </c>
      <c r="E12" s="6">
        <v>40863</v>
      </c>
      <c r="F12" s="6">
        <v>48646</v>
      </c>
      <c r="G12" s="6">
        <v>56429</v>
      </c>
      <c r="H12" s="6">
        <v>64213</v>
      </c>
      <c r="I12" s="7">
        <f t="shared" si="0"/>
        <v>65672.100000000006</v>
      </c>
      <c r="J12" s="7">
        <f t="shared" si="1"/>
        <v>67131.48</v>
      </c>
      <c r="K12" s="7">
        <f t="shared" si="2"/>
        <v>68590.86</v>
      </c>
      <c r="L12" s="7">
        <f t="shared" si="3"/>
        <v>70050.239999999991</v>
      </c>
    </row>
    <row r="13" spans="1:12" ht="25.5" customHeight="1" x14ac:dyDescent="0.25">
      <c r="A13" s="4" t="s">
        <v>20</v>
      </c>
      <c r="B13" s="6">
        <v>84851</v>
      </c>
      <c r="C13" s="6">
        <v>26474</v>
      </c>
      <c r="D13" s="6">
        <v>34619</v>
      </c>
      <c r="E13" s="6">
        <v>42765</v>
      </c>
      <c r="F13" s="6">
        <v>50911</v>
      </c>
      <c r="G13" s="6">
        <v>59057</v>
      </c>
      <c r="H13" s="6">
        <v>67203</v>
      </c>
      <c r="I13" s="7">
        <f t="shared" si="0"/>
        <v>68729.850000000006</v>
      </c>
      <c r="J13" s="7">
        <f t="shared" si="1"/>
        <v>70257.179999999993</v>
      </c>
      <c r="K13" s="7">
        <f t="shared" si="2"/>
        <v>71784.509999999995</v>
      </c>
      <c r="L13" s="7">
        <f t="shared" si="3"/>
        <v>73311.839999999997</v>
      </c>
    </row>
    <row r="14" spans="1:12" ht="25.5" hidden="1" customHeight="1" x14ac:dyDescent="0.25">
      <c r="A14" s="4" t="s">
        <v>21</v>
      </c>
      <c r="B14" s="6">
        <v>108498</v>
      </c>
      <c r="C14" s="6">
        <v>33851</v>
      </c>
      <c r="D14" s="6">
        <v>44267</v>
      </c>
      <c r="E14" s="6">
        <v>54683</v>
      </c>
      <c r="F14" s="6">
        <v>65099</v>
      </c>
      <c r="G14" s="6">
        <v>75515</v>
      </c>
      <c r="H14" s="6">
        <v>85931</v>
      </c>
      <c r="I14" s="7">
        <f t="shared" si="0"/>
        <v>87883.650000000009</v>
      </c>
      <c r="J14" s="7">
        <f t="shared" si="1"/>
        <v>89836.62</v>
      </c>
      <c r="K14" s="7">
        <f t="shared" si="2"/>
        <v>91789.59</v>
      </c>
      <c r="L14" s="7">
        <f t="shared" si="3"/>
        <v>93742.56</v>
      </c>
    </row>
    <row r="15" spans="1:12" ht="25.5" hidden="1" customHeight="1" x14ac:dyDescent="0.25">
      <c r="A15" s="4" t="s">
        <v>22</v>
      </c>
      <c r="B15" s="6">
        <v>79820</v>
      </c>
      <c r="C15" s="6">
        <v>24904</v>
      </c>
      <c r="D15" s="6">
        <v>32567</v>
      </c>
      <c r="E15" s="6">
        <v>40229</v>
      </c>
      <c r="F15" s="6">
        <v>47892</v>
      </c>
      <c r="G15" s="6">
        <v>55555</v>
      </c>
      <c r="H15" s="6">
        <v>63217</v>
      </c>
      <c r="I15" s="7">
        <f t="shared" si="0"/>
        <v>64654.200000000004</v>
      </c>
      <c r="J15" s="7">
        <f t="shared" si="1"/>
        <v>66090.959999999992</v>
      </c>
      <c r="K15" s="7">
        <f t="shared" si="2"/>
        <v>67527.72</v>
      </c>
      <c r="L15" s="7">
        <f t="shared" si="3"/>
        <v>68964.479999999996</v>
      </c>
    </row>
    <row r="16" spans="1:12" ht="25.5" hidden="1" customHeight="1" x14ac:dyDescent="0.25">
      <c r="A16" s="4" t="s">
        <v>23</v>
      </c>
      <c r="B16" s="6">
        <v>102167</v>
      </c>
      <c r="C16" s="6">
        <v>31876</v>
      </c>
      <c r="D16" s="6">
        <v>41684</v>
      </c>
      <c r="E16" s="6">
        <v>51492</v>
      </c>
      <c r="F16" s="6">
        <v>61300</v>
      </c>
      <c r="G16" s="6">
        <v>71108</v>
      </c>
      <c r="H16" s="6">
        <v>80916</v>
      </c>
      <c r="I16" s="7">
        <f t="shared" si="0"/>
        <v>82755</v>
      </c>
      <c r="J16" s="7">
        <f t="shared" si="1"/>
        <v>84594</v>
      </c>
      <c r="K16" s="7">
        <f t="shared" si="2"/>
        <v>86433</v>
      </c>
      <c r="L16" s="7">
        <f t="shared" si="3"/>
        <v>88272</v>
      </c>
    </row>
    <row r="17" spans="1:12" ht="25.5" hidden="1" customHeight="1" x14ac:dyDescent="0.25">
      <c r="A17" s="4" t="s">
        <v>24</v>
      </c>
      <c r="B17" s="6">
        <v>86578</v>
      </c>
      <c r="C17" s="6">
        <v>27012</v>
      </c>
      <c r="D17" s="6">
        <v>35324</v>
      </c>
      <c r="E17" s="6">
        <v>43635</v>
      </c>
      <c r="F17" s="6">
        <v>51947</v>
      </c>
      <c r="G17" s="6">
        <v>60259</v>
      </c>
      <c r="H17" s="6">
        <v>68570</v>
      </c>
      <c r="I17" s="7">
        <f t="shared" si="0"/>
        <v>70128.450000000012</v>
      </c>
      <c r="J17" s="7">
        <f t="shared" si="1"/>
        <v>71686.86</v>
      </c>
      <c r="K17" s="7">
        <f t="shared" si="2"/>
        <v>73245.26999999999</v>
      </c>
      <c r="L17" s="7">
        <f t="shared" si="3"/>
        <v>74803.679999999993</v>
      </c>
    </row>
    <row r="18" spans="1:12" ht="25.5" hidden="1" customHeight="1" x14ac:dyDescent="0.25">
      <c r="A18" s="4" t="s">
        <v>25</v>
      </c>
      <c r="B18" s="6">
        <v>94221</v>
      </c>
      <c r="C18" s="6">
        <v>29397</v>
      </c>
      <c r="D18" s="6">
        <v>38442</v>
      </c>
      <c r="E18" s="6">
        <v>47488</v>
      </c>
      <c r="F18" s="6">
        <v>56533</v>
      </c>
      <c r="G18" s="6">
        <v>65578</v>
      </c>
      <c r="H18" s="6">
        <v>74624</v>
      </c>
      <c r="I18" s="7">
        <f t="shared" si="0"/>
        <v>76319.55</v>
      </c>
      <c r="J18" s="7">
        <f t="shared" si="1"/>
        <v>78015.539999999994</v>
      </c>
      <c r="K18" s="7">
        <f t="shared" si="2"/>
        <v>79711.53</v>
      </c>
      <c r="L18" s="7">
        <f t="shared" si="3"/>
        <v>81407.520000000004</v>
      </c>
    </row>
    <row r="19" spans="1:12" ht="25.5" hidden="1" customHeight="1" x14ac:dyDescent="0.25">
      <c r="A19" s="4" t="s">
        <v>26</v>
      </c>
      <c r="B19" s="6">
        <v>90284</v>
      </c>
      <c r="C19" s="6">
        <v>28168</v>
      </c>
      <c r="D19" s="6">
        <v>36836</v>
      </c>
      <c r="E19" s="6">
        <v>45503</v>
      </c>
      <c r="F19" s="6">
        <v>54170</v>
      </c>
      <c r="G19" s="6">
        <v>62837</v>
      </c>
      <c r="H19" s="6">
        <v>71504</v>
      </c>
      <c r="I19" s="7">
        <f t="shared" si="0"/>
        <v>73129.5</v>
      </c>
      <c r="J19" s="7">
        <f t="shared" si="1"/>
        <v>74754.599999999991</v>
      </c>
      <c r="K19" s="7">
        <f t="shared" si="2"/>
        <v>76379.7</v>
      </c>
      <c r="L19" s="7">
        <f t="shared" si="3"/>
        <v>78004.800000000003</v>
      </c>
    </row>
    <row r="20" spans="1:12" ht="25.05" hidden="1" customHeight="1" x14ac:dyDescent="0.25">
      <c r="A20" s="4" t="s">
        <v>27</v>
      </c>
      <c r="B20" s="6">
        <v>80407</v>
      </c>
      <c r="C20" s="6">
        <v>25087</v>
      </c>
      <c r="D20" s="6">
        <v>32806</v>
      </c>
      <c r="E20" s="6">
        <v>40525</v>
      </c>
      <c r="F20" s="6">
        <v>48244</v>
      </c>
      <c r="G20" s="6">
        <v>55963</v>
      </c>
      <c r="H20" s="6">
        <v>63682</v>
      </c>
      <c r="I20" s="7">
        <f t="shared" si="0"/>
        <v>65129.4</v>
      </c>
      <c r="J20" s="7">
        <f t="shared" si="1"/>
        <v>66576.72</v>
      </c>
      <c r="K20" s="7">
        <f t="shared" si="2"/>
        <v>68024.039999999994</v>
      </c>
      <c r="L20" s="7">
        <f t="shared" si="3"/>
        <v>69471.360000000001</v>
      </c>
    </row>
    <row r="21" spans="1:12" ht="25.5" customHeight="1" x14ac:dyDescent="0.25">
      <c r="A21" s="4" t="s">
        <v>28</v>
      </c>
      <c r="B21" s="6">
        <v>81779</v>
      </c>
      <c r="C21" s="6">
        <v>25515</v>
      </c>
      <c r="D21" s="6">
        <v>33366</v>
      </c>
      <c r="E21" s="6">
        <v>41216</v>
      </c>
      <c r="F21" s="6">
        <v>49067</v>
      </c>
      <c r="G21" s="6">
        <v>56918</v>
      </c>
      <c r="H21" s="6">
        <v>64768</v>
      </c>
      <c r="I21" s="7">
        <f t="shared" si="0"/>
        <v>66240.45</v>
      </c>
      <c r="J21" s="7">
        <f t="shared" si="1"/>
        <v>67712.459999999992</v>
      </c>
      <c r="K21" s="7">
        <f t="shared" si="2"/>
        <v>69184.47</v>
      </c>
      <c r="L21" s="7">
        <f t="shared" si="3"/>
        <v>70656.479999999996</v>
      </c>
    </row>
    <row r="22" spans="1:12" ht="25.5" hidden="1" customHeight="1" x14ac:dyDescent="0.25">
      <c r="A22" s="4" t="s">
        <v>29</v>
      </c>
      <c r="B22" s="6">
        <v>93560</v>
      </c>
      <c r="C22" s="6">
        <v>29191</v>
      </c>
      <c r="D22" s="6">
        <v>38172</v>
      </c>
      <c r="E22" s="6">
        <v>47154</v>
      </c>
      <c r="F22" s="6">
        <v>56136</v>
      </c>
      <c r="G22" s="6">
        <v>65118</v>
      </c>
      <c r="H22" s="6">
        <v>74100</v>
      </c>
      <c r="I22" s="7">
        <f t="shared" si="0"/>
        <v>75783.600000000006</v>
      </c>
      <c r="J22" s="7">
        <f t="shared" si="1"/>
        <v>77467.679999999993</v>
      </c>
      <c r="K22" s="7">
        <f t="shared" si="2"/>
        <v>79151.759999999995</v>
      </c>
      <c r="L22" s="7">
        <f t="shared" si="3"/>
        <v>80835.839999999997</v>
      </c>
    </row>
    <row r="23" spans="1:12" ht="25.5" hidden="1" customHeight="1" x14ac:dyDescent="0.25">
      <c r="A23" s="4" t="s">
        <v>30</v>
      </c>
      <c r="B23" s="6">
        <v>124807</v>
      </c>
      <c r="C23" s="6">
        <v>38940</v>
      </c>
      <c r="D23" s="6">
        <v>50921</v>
      </c>
      <c r="E23" s="6">
        <v>62903</v>
      </c>
      <c r="F23" s="6">
        <v>74884</v>
      </c>
      <c r="G23" s="6">
        <v>86865</v>
      </c>
      <c r="H23" s="6">
        <v>98847</v>
      </c>
      <c r="I23" s="7">
        <f t="shared" si="0"/>
        <v>101093.40000000001</v>
      </c>
      <c r="J23" s="7">
        <f t="shared" si="1"/>
        <v>103339.92</v>
      </c>
      <c r="K23" s="7">
        <f t="shared" si="2"/>
        <v>105586.43999999999</v>
      </c>
      <c r="L23" s="7">
        <f t="shared" si="3"/>
        <v>107832.95999999999</v>
      </c>
    </row>
    <row r="24" spans="1:12" ht="25.5" hidden="1" customHeight="1" x14ac:dyDescent="0.25">
      <c r="A24" s="4" t="s">
        <v>31</v>
      </c>
      <c r="B24" s="6">
        <v>131252</v>
      </c>
      <c r="C24" s="6">
        <v>40951</v>
      </c>
      <c r="D24" s="6">
        <v>53551</v>
      </c>
      <c r="E24" s="6">
        <v>66151</v>
      </c>
      <c r="F24" s="6">
        <v>78751</v>
      </c>
      <c r="G24" s="6">
        <v>91351</v>
      </c>
      <c r="H24" s="6">
        <v>103951</v>
      </c>
      <c r="I24" s="7">
        <f t="shared" si="0"/>
        <v>106313.85</v>
      </c>
      <c r="J24" s="7">
        <f t="shared" si="1"/>
        <v>108676.37999999999</v>
      </c>
      <c r="K24" s="7">
        <f t="shared" si="2"/>
        <v>111038.90999999999</v>
      </c>
      <c r="L24" s="7">
        <f t="shared" si="3"/>
        <v>113401.44</v>
      </c>
    </row>
    <row r="25" spans="1:12" ht="25.5" hidden="1" customHeight="1" x14ac:dyDescent="0.25">
      <c r="A25" s="4" t="s">
        <v>32</v>
      </c>
      <c r="B25" s="6">
        <v>93492</v>
      </c>
      <c r="C25" s="6">
        <v>29169</v>
      </c>
      <c r="D25" s="6">
        <v>38145</v>
      </c>
      <c r="E25" s="6">
        <v>47120</v>
      </c>
      <c r="F25" s="6">
        <v>56095</v>
      </c>
      <c r="G25" s="6">
        <v>65070</v>
      </c>
      <c r="H25" s="6">
        <v>74045</v>
      </c>
      <c r="I25" s="7">
        <f t="shared" si="0"/>
        <v>75728.25</v>
      </c>
      <c r="J25" s="7">
        <f t="shared" si="1"/>
        <v>77411.099999999991</v>
      </c>
      <c r="K25" s="7">
        <f t="shared" si="2"/>
        <v>79093.95</v>
      </c>
      <c r="L25" s="7">
        <f t="shared" si="3"/>
        <v>80776.800000000003</v>
      </c>
    </row>
    <row r="26" spans="1:12" ht="25.5" hidden="1" customHeight="1" x14ac:dyDescent="0.25">
      <c r="A26" s="4" t="s">
        <v>33</v>
      </c>
      <c r="B26" s="6">
        <v>112942</v>
      </c>
      <c r="C26" s="6">
        <v>35238</v>
      </c>
      <c r="D26" s="6">
        <v>46080</v>
      </c>
      <c r="E26" s="6">
        <v>56923</v>
      </c>
      <c r="F26" s="6">
        <v>67765</v>
      </c>
      <c r="G26" s="6">
        <v>78607</v>
      </c>
      <c r="H26" s="6">
        <v>89450</v>
      </c>
      <c r="I26" s="7">
        <f t="shared" si="0"/>
        <v>91482.75</v>
      </c>
      <c r="J26" s="7">
        <f t="shared" si="1"/>
        <v>93515.7</v>
      </c>
      <c r="K26" s="7">
        <f t="shared" si="2"/>
        <v>95548.65</v>
      </c>
      <c r="L26" s="7">
        <f t="shared" si="3"/>
        <v>97581.599999999991</v>
      </c>
    </row>
    <row r="27" spans="1:12" ht="25.5" customHeight="1" x14ac:dyDescent="0.25">
      <c r="A27" s="4" t="s">
        <v>34</v>
      </c>
      <c r="B27" s="6">
        <v>68871</v>
      </c>
      <c r="C27" s="6">
        <v>21488</v>
      </c>
      <c r="D27" s="6">
        <v>28100</v>
      </c>
      <c r="E27" s="6">
        <v>34711</v>
      </c>
      <c r="F27" s="6">
        <v>41323</v>
      </c>
      <c r="G27" s="6">
        <v>47935</v>
      </c>
      <c r="H27" s="6">
        <v>54546</v>
      </c>
      <c r="I27" s="7">
        <f t="shared" si="0"/>
        <v>55786.05</v>
      </c>
      <c r="J27" s="7">
        <f t="shared" si="1"/>
        <v>57025.74</v>
      </c>
      <c r="K27" s="7">
        <f t="shared" si="2"/>
        <v>58265.43</v>
      </c>
      <c r="L27" s="7">
        <f t="shared" si="3"/>
        <v>59505.119999999995</v>
      </c>
    </row>
    <row r="28" spans="1:12" ht="25.5" hidden="1" customHeight="1" x14ac:dyDescent="0.25">
      <c r="A28" s="4" t="s">
        <v>35</v>
      </c>
      <c r="B28" s="6">
        <v>88519</v>
      </c>
      <c r="C28" s="6">
        <v>27618</v>
      </c>
      <c r="D28" s="6">
        <v>36115</v>
      </c>
      <c r="E28" s="6">
        <v>44613</v>
      </c>
      <c r="F28" s="6">
        <v>53111</v>
      </c>
      <c r="G28" s="6">
        <v>61609</v>
      </c>
      <c r="H28" s="6">
        <v>70107</v>
      </c>
      <c r="I28" s="7">
        <f t="shared" si="0"/>
        <v>71699.850000000006</v>
      </c>
      <c r="J28" s="7">
        <f t="shared" si="1"/>
        <v>73293.179999999993</v>
      </c>
      <c r="K28" s="7">
        <f t="shared" si="2"/>
        <v>74886.509999999995</v>
      </c>
      <c r="L28" s="7">
        <f t="shared" si="3"/>
        <v>76479.839999999997</v>
      </c>
    </row>
    <row r="29" spans="1:12" ht="25.5" hidden="1" customHeight="1" x14ac:dyDescent="0.25">
      <c r="A29" s="4" t="s">
        <v>36</v>
      </c>
      <c r="B29" s="6">
        <v>87442</v>
      </c>
      <c r="C29" s="6">
        <v>27282</v>
      </c>
      <c r="D29" s="6">
        <v>35676</v>
      </c>
      <c r="E29" s="6">
        <v>44071</v>
      </c>
      <c r="F29" s="6">
        <v>52465</v>
      </c>
      <c r="G29" s="6">
        <v>60859</v>
      </c>
      <c r="H29" s="6">
        <v>69254</v>
      </c>
      <c r="I29" s="7">
        <f t="shared" si="0"/>
        <v>70827.75</v>
      </c>
      <c r="J29" s="7">
        <f t="shared" si="1"/>
        <v>72401.7</v>
      </c>
      <c r="K29" s="7">
        <f t="shared" si="2"/>
        <v>73975.649999999994</v>
      </c>
      <c r="L29" s="7">
        <f t="shared" si="3"/>
        <v>75549.599999999991</v>
      </c>
    </row>
    <row r="30" spans="1:12" ht="25.5" hidden="1" customHeight="1" x14ac:dyDescent="0.25">
      <c r="A30" s="4" t="s">
        <v>37</v>
      </c>
      <c r="B30" s="6">
        <v>93660</v>
      </c>
      <c r="C30" s="6">
        <v>29222</v>
      </c>
      <c r="D30" s="6">
        <v>38213</v>
      </c>
      <c r="E30" s="6">
        <v>47205</v>
      </c>
      <c r="F30" s="6">
        <v>56196</v>
      </c>
      <c r="G30" s="6">
        <v>65187</v>
      </c>
      <c r="H30" s="6">
        <v>74179</v>
      </c>
      <c r="I30" s="7">
        <f t="shared" si="0"/>
        <v>75864.600000000006</v>
      </c>
      <c r="J30" s="7">
        <f t="shared" si="1"/>
        <v>77550.48</v>
      </c>
      <c r="K30" s="7">
        <f t="shared" si="2"/>
        <v>79236.36</v>
      </c>
      <c r="L30" s="7">
        <f t="shared" si="3"/>
        <v>80922.239999999991</v>
      </c>
    </row>
    <row r="31" spans="1:12" ht="25.5" hidden="1" customHeight="1" x14ac:dyDescent="0.25">
      <c r="A31" s="4" t="s">
        <v>38</v>
      </c>
      <c r="B31" s="6">
        <v>82509</v>
      </c>
      <c r="C31" s="6">
        <v>25743</v>
      </c>
      <c r="D31" s="6">
        <v>33663</v>
      </c>
      <c r="E31" s="6">
        <v>41584</v>
      </c>
      <c r="F31" s="6">
        <v>49505</v>
      </c>
      <c r="G31" s="6">
        <v>57426</v>
      </c>
      <c r="H31" s="6">
        <v>65347</v>
      </c>
      <c r="I31" s="7">
        <f t="shared" si="0"/>
        <v>66831.75</v>
      </c>
      <c r="J31" s="7">
        <f t="shared" si="1"/>
        <v>68316.899999999994</v>
      </c>
      <c r="K31" s="7">
        <f t="shared" si="2"/>
        <v>69802.05</v>
      </c>
      <c r="L31" s="7">
        <f t="shared" si="3"/>
        <v>71287.199999999997</v>
      </c>
    </row>
    <row r="32" spans="1:12" ht="25.5" hidden="1" customHeight="1" x14ac:dyDescent="0.25">
      <c r="A32" s="4" t="s">
        <v>39</v>
      </c>
      <c r="B32" s="6">
        <v>120821</v>
      </c>
      <c r="C32" s="6">
        <v>37696</v>
      </c>
      <c r="D32" s="6">
        <v>49295</v>
      </c>
      <c r="E32" s="6">
        <v>60894</v>
      </c>
      <c r="F32" s="6">
        <v>72493</v>
      </c>
      <c r="G32" s="6">
        <v>84092</v>
      </c>
      <c r="H32" s="6">
        <v>95691</v>
      </c>
      <c r="I32" s="7">
        <f t="shared" si="0"/>
        <v>97865.55</v>
      </c>
      <c r="J32" s="7">
        <f t="shared" si="1"/>
        <v>100040.34</v>
      </c>
      <c r="K32" s="7">
        <f t="shared" si="2"/>
        <v>102215.12999999999</v>
      </c>
      <c r="L32" s="7">
        <f t="shared" si="3"/>
        <v>104389.92</v>
      </c>
    </row>
    <row r="33" spans="1:12" ht="25.5" hidden="1" customHeight="1" x14ac:dyDescent="0.25">
      <c r="A33" s="4" t="s">
        <v>40</v>
      </c>
      <c r="B33" s="6">
        <v>128786</v>
      </c>
      <c r="C33" s="6">
        <v>40181</v>
      </c>
      <c r="D33" s="6">
        <v>52545</v>
      </c>
      <c r="E33" s="6">
        <v>64908</v>
      </c>
      <c r="F33" s="6">
        <v>77272</v>
      </c>
      <c r="G33" s="6">
        <v>89636</v>
      </c>
      <c r="H33" s="6">
        <v>101999</v>
      </c>
      <c r="I33" s="7">
        <f t="shared" si="0"/>
        <v>104317.20000000001</v>
      </c>
      <c r="J33" s="7">
        <f t="shared" si="1"/>
        <v>106635.35999999999</v>
      </c>
      <c r="K33" s="7">
        <f t="shared" si="2"/>
        <v>108953.51999999999</v>
      </c>
      <c r="L33" s="7">
        <f t="shared" si="3"/>
        <v>111271.67999999999</v>
      </c>
    </row>
    <row r="34" spans="1:12" ht="25.5" hidden="1" customHeight="1" x14ac:dyDescent="0.25">
      <c r="A34" s="4" t="s">
        <v>41</v>
      </c>
      <c r="B34" s="6">
        <v>67949</v>
      </c>
      <c r="C34" s="6">
        <v>21200</v>
      </c>
      <c r="D34" s="6">
        <v>27723</v>
      </c>
      <c r="E34" s="6">
        <v>34246</v>
      </c>
      <c r="F34" s="6">
        <v>40769</v>
      </c>
      <c r="G34" s="6">
        <v>47292</v>
      </c>
      <c r="H34" s="6">
        <v>53815</v>
      </c>
      <c r="I34" s="7">
        <f t="shared" si="0"/>
        <v>55038.15</v>
      </c>
      <c r="J34" s="7">
        <f t="shared" si="1"/>
        <v>56261.219999999994</v>
      </c>
      <c r="K34" s="7">
        <f t="shared" si="2"/>
        <v>57484.289999999994</v>
      </c>
      <c r="L34" s="7">
        <f t="shared" si="3"/>
        <v>58707.360000000001</v>
      </c>
    </row>
    <row r="35" spans="1:12" ht="25.5" hidden="1" customHeight="1" x14ac:dyDescent="0.25">
      <c r="A35" s="4" t="s">
        <v>42</v>
      </c>
      <c r="B35" s="6">
        <v>104972</v>
      </c>
      <c r="C35" s="6">
        <v>32751</v>
      </c>
      <c r="D35" s="6">
        <v>42828</v>
      </c>
      <c r="E35" s="6">
        <v>52906</v>
      </c>
      <c r="F35" s="6">
        <v>62983</v>
      </c>
      <c r="G35" s="6">
        <v>73060</v>
      </c>
      <c r="H35" s="6">
        <v>83138</v>
      </c>
      <c r="I35" s="7">
        <f t="shared" si="0"/>
        <v>85027.05</v>
      </c>
      <c r="J35" s="7">
        <f t="shared" si="1"/>
        <v>86916.54</v>
      </c>
      <c r="K35" s="7">
        <f t="shared" si="2"/>
        <v>88806.03</v>
      </c>
      <c r="L35" s="7">
        <f t="shared" si="3"/>
        <v>90695.51999999999</v>
      </c>
    </row>
    <row r="36" spans="1:12" ht="25.5" customHeight="1" x14ac:dyDescent="0.25">
      <c r="A36" s="4" t="s">
        <v>43</v>
      </c>
      <c r="B36" s="6">
        <v>84549</v>
      </c>
      <c r="C36" s="6">
        <v>26379</v>
      </c>
      <c r="D36" s="6">
        <v>34496</v>
      </c>
      <c r="E36" s="6">
        <v>42612</v>
      </c>
      <c r="F36" s="6">
        <v>50729</v>
      </c>
      <c r="G36" s="6">
        <v>58846</v>
      </c>
      <c r="H36" s="6">
        <v>66962</v>
      </c>
      <c r="I36" s="7">
        <f t="shared" si="0"/>
        <v>68484.150000000009</v>
      </c>
      <c r="J36" s="7">
        <f t="shared" si="1"/>
        <v>70006.01999999999</v>
      </c>
      <c r="K36" s="7">
        <f t="shared" si="2"/>
        <v>71527.89</v>
      </c>
      <c r="L36" s="7">
        <f t="shared" si="3"/>
        <v>73049.759999999995</v>
      </c>
    </row>
    <row r="37" spans="1:12" ht="25.5" hidden="1" customHeight="1" x14ac:dyDescent="0.25">
      <c r="A37" s="4" t="s">
        <v>44</v>
      </c>
      <c r="B37" s="6">
        <v>104087</v>
      </c>
      <c r="C37" s="6">
        <v>32475</v>
      </c>
      <c r="D37" s="6">
        <v>42467</v>
      </c>
      <c r="E37" s="6">
        <v>52460</v>
      </c>
      <c r="F37" s="6">
        <v>62452</v>
      </c>
      <c r="G37" s="6">
        <v>72444</v>
      </c>
      <c r="H37" s="6">
        <v>82437</v>
      </c>
      <c r="I37" s="7">
        <f t="shared" si="0"/>
        <v>84310.200000000012</v>
      </c>
      <c r="J37" s="7">
        <f t="shared" si="1"/>
        <v>86183.76</v>
      </c>
      <c r="K37" s="7">
        <f t="shared" si="2"/>
        <v>88057.319999999992</v>
      </c>
      <c r="L37" s="7">
        <f t="shared" si="3"/>
        <v>89930.87999999999</v>
      </c>
    </row>
    <row r="38" spans="1:12" ht="25.5" hidden="1" customHeight="1" x14ac:dyDescent="0.25">
      <c r="A38" s="4" t="s">
        <v>45</v>
      </c>
      <c r="B38" s="6">
        <v>91185</v>
      </c>
      <c r="C38" s="6">
        <v>28450</v>
      </c>
      <c r="D38" s="6">
        <v>37203</v>
      </c>
      <c r="E38" s="6">
        <v>45957</v>
      </c>
      <c r="F38" s="6">
        <v>54711</v>
      </c>
      <c r="G38" s="6">
        <v>63465</v>
      </c>
      <c r="H38" s="6">
        <v>72219</v>
      </c>
      <c r="I38" s="7">
        <f t="shared" si="0"/>
        <v>73859.850000000006</v>
      </c>
      <c r="J38" s="7">
        <f t="shared" si="1"/>
        <v>75501.179999999993</v>
      </c>
      <c r="K38" s="7">
        <f t="shared" si="2"/>
        <v>77142.509999999995</v>
      </c>
      <c r="L38" s="7">
        <f t="shared" si="3"/>
        <v>78783.839999999997</v>
      </c>
    </row>
    <row r="39" spans="1:12" ht="25.5" hidden="1" customHeight="1" x14ac:dyDescent="0.25">
      <c r="A39" s="4" t="s">
        <v>46</v>
      </c>
      <c r="B39" s="6">
        <v>76142</v>
      </c>
      <c r="C39" s="6">
        <v>23756</v>
      </c>
      <c r="D39" s="6">
        <v>31066</v>
      </c>
      <c r="E39" s="6">
        <v>38375</v>
      </c>
      <c r="F39" s="6">
        <v>45685</v>
      </c>
      <c r="G39" s="6">
        <v>52995</v>
      </c>
      <c r="H39" s="6">
        <v>60304</v>
      </c>
      <c r="I39" s="7">
        <f t="shared" si="0"/>
        <v>61674.750000000007</v>
      </c>
      <c r="J39" s="7">
        <f t="shared" si="1"/>
        <v>63045.299999999996</v>
      </c>
      <c r="K39" s="7">
        <f t="shared" si="2"/>
        <v>64415.85</v>
      </c>
      <c r="L39" s="7">
        <f t="shared" si="3"/>
        <v>65786.399999999994</v>
      </c>
    </row>
    <row r="40" spans="1:12" ht="25.5" hidden="1" customHeight="1" x14ac:dyDescent="0.25">
      <c r="A40" s="4" t="s">
        <v>47</v>
      </c>
      <c r="B40" s="6">
        <v>94050</v>
      </c>
      <c r="C40" s="6">
        <v>29344</v>
      </c>
      <c r="D40" s="6">
        <v>38372</v>
      </c>
      <c r="E40" s="6">
        <v>47401</v>
      </c>
      <c r="F40" s="6">
        <v>56430</v>
      </c>
      <c r="G40" s="6">
        <v>65459</v>
      </c>
      <c r="H40" s="6">
        <v>74488</v>
      </c>
      <c r="I40" s="7">
        <f t="shared" si="0"/>
        <v>76180.5</v>
      </c>
      <c r="J40" s="7">
        <f t="shared" si="1"/>
        <v>77873.399999999994</v>
      </c>
      <c r="K40" s="7">
        <f t="shared" si="2"/>
        <v>79566.299999999988</v>
      </c>
      <c r="L40" s="7">
        <f t="shared" si="3"/>
        <v>81259.199999999997</v>
      </c>
    </row>
    <row r="41" spans="1:12" ht="25.5" hidden="1" customHeight="1" x14ac:dyDescent="0.25">
      <c r="A41" s="4" t="s">
        <v>48</v>
      </c>
      <c r="B41" s="6">
        <v>100995</v>
      </c>
      <c r="C41" s="6">
        <v>31510</v>
      </c>
      <c r="D41" s="6">
        <v>41206</v>
      </c>
      <c r="E41" s="6">
        <v>50901</v>
      </c>
      <c r="F41" s="6">
        <v>60597</v>
      </c>
      <c r="G41" s="6">
        <v>70293</v>
      </c>
      <c r="H41" s="6">
        <v>79988</v>
      </c>
      <c r="I41" s="7">
        <f t="shared" si="0"/>
        <v>81805.950000000012</v>
      </c>
      <c r="J41" s="7">
        <f t="shared" si="1"/>
        <v>83623.86</v>
      </c>
      <c r="K41" s="7">
        <f t="shared" si="2"/>
        <v>85441.76999999999</v>
      </c>
      <c r="L41" s="7">
        <f t="shared" si="3"/>
        <v>87259.68</v>
      </c>
    </row>
    <row r="42" spans="1:12" ht="25.05" hidden="1" customHeight="1" x14ac:dyDescent="0.25">
      <c r="A42" s="4" t="s">
        <v>49</v>
      </c>
      <c r="B42" s="6">
        <v>107837</v>
      </c>
      <c r="C42" s="6">
        <v>33645</v>
      </c>
      <c r="D42" s="6">
        <v>43997</v>
      </c>
      <c r="E42" s="6">
        <v>54350</v>
      </c>
      <c r="F42" s="6">
        <v>64702</v>
      </c>
      <c r="G42" s="6">
        <v>75054</v>
      </c>
      <c r="H42" s="6">
        <v>85407</v>
      </c>
      <c r="I42" s="7">
        <f t="shared" si="0"/>
        <v>87347.700000000012</v>
      </c>
      <c r="J42" s="7">
        <f t="shared" si="1"/>
        <v>89288.76</v>
      </c>
      <c r="K42" s="7">
        <f t="shared" si="2"/>
        <v>91229.819999999992</v>
      </c>
      <c r="L42" s="7">
        <f t="shared" si="3"/>
        <v>93170.87999999999</v>
      </c>
    </row>
    <row r="43" spans="1:12" ht="25.5" customHeight="1" x14ac:dyDescent="0.25">
      <c r="A43" s="4" t="s">
        <v>50</v>
      </c>
      <c r="B43" s="6">
        <v>80973</v>
      </c>
      <c r="C43" s="6">
        <v>25264</v>
      </c>
      <c r="D43" s="6">
        <v>33037</v>
      </c>
      <c r="E43" s="6">
        <v>40811</v>
      </c>
      <c r="F43" s="6">
        <v>48584</v>
      </c>
      <c r="G43" s="6">
        <v>56357</v>
      </c>
      <c r="H43" s="6">
        <v>64131</v>
      </c>
      <c r="I43" s="7">
        <f t="shared" si="0"/>
        <v>65588.400000000009</v>
      </c>
      <c r="J43" s="7">
        <f t="shared" si="1"/>
        <v>67045.919999999998</v>
      </c>
      <c r="K43" s="7">
        <f t="shared" si="2"/>
        <v>68503.44</v>
      </c>
      <c r="L43" s="7">
        <f t="shared" si="3"/>
        <v>69960.959999999992</v>
      </c>
    </row>
    <row r="44" spans="1:12" ht="25.5" hidden="1" customHeight="1" x14ac:dyDescent="0.25">
      <c r="A44" s="4" t="s">
        <v>51</v>
      </c>
      <c r="B44" s="6">
        <v>88721</v>
      </c>
      <c r="C44" s="6">
        <v>27681</v>
      </c>
      <c r="D44" s="6">
        <v>36198</v>
      </c>
      <c r="E44" s="6">
        <v>44716</v>
      </c>
      <c r="F44" s="6">
        <v>53233</v>
      </c>
      <c r="G44" s="6">
        <v>61750</v>
      </c>
      <c r="H44" s="6">
        <v>70268</v>
      </c>
      <c r="I44" s="7">
        <f t="shared" si="0"/>
        <v>71864.55</v>
      </c>
      <c r="J44" s="7">
        <f t="shared" si="1"/>
        <v>73461.539999999994</v>
      </c>
      <c r="K44" s="7">
        <f t="shared" si="2"/>
        <v>75058.53</v>
      </c>
      <c r="L44" s="7">
        <f t="shared" si="3"/>
        <v>76655.520000000004</v>
      </c>
    </row>
    <row r="45" spans="1:12" ht="25.5" customHeight="1" x14ac:dyDescent="0.25">
      <c r="A45" s="4" t="s">
        <v>52</v>
      </c>
      <c r="B45" s="6">
        <v>80773</v>
      </c>
      <c r="C45" s="6">
        <v>25201</v>
      </c>
      <c r="D45" s="6">
        <v>32956</v>
      </c>
      <c r="E45" s="6">
        <v>40710</v>
      </c>
      <c r="F45" s="6">
        <v>48464</v>
      </c>
      <c r="G45" s="6">
        <v>56218</v>
      </c>
      <c r="H45" s="6">
        <v>63972</v>
      </c>
      <c r="I45" s="7">
        <f t="shared" si="0"/>
        <v>65426.400000000001</v>
      </c>
      <c r="J45" s="7">
        <f t="shared" si="1"/>
        <v>66880.319999999992</v>
      </c>
      <c r="K45" s="7">
        <f t="shared" si="2"/>
        <v>68334.239999999991</v>
      </c>
      <c r="L45" s="7">
        <f t="shared" si="3"/>
        <v>69788.160000000003</v>
      </c>
    </row>
    <row r="46" spans="1:12" ht="25.5" customHeight="1" x14ac:dyDescent="0.25">
      <c r="A46" s="4" t="s">
        <v>53</v>
      </c>
      <c r="B46" s="6">
        <v>85391</v>
      </c>
      <c r="C46" s="6">
        <v>26642</v>
      </c>
      <c r="D46" s="6">
        <v>34840</v>
      </c>
      <c r="E46" s="6">
        <v>43037</v>
      </c>
      <c r="F46" s="6">
        <v>51235</v>
      </c>
      <c r="G46" s="6">
        <v>59433</v>
      </c>
      <c r="H46" s="6">
        <v>67630</v>
      </c>
      <c r="I46" s="7">
        <f t="shared" si="0"/>
        <v>69167.25</v>
      </c>
      <c r="J46" s="7">
        <f t="shared" si="1"/>
        <v>70704.299999999988</v>
      </c>
      <c r="K46" s="7">
        <f t="shared" si="2"/>
        <v>72241.349999999991</v>
      </c>
      <c r="L46" s="7">
        <f t="shared" si="3"/>
        <v>73778.399999999994</v>
      </c>
    </row>
    <row r="47" spans="1:12" ht="25.5" hidden="1" customHeight="1" x14ac:dyDescent="0.25">
      <c r="A47" s="4" t="s">
        <v>54</v>
      </c>
      <c r="B47" s="6">
        <v>90542</v>
      </c>
      <c r="C47" s="6">
        <v>28249</v>
      </c>
      <c r="D47" s="6">
        <v>36941</v>
      </c>
      <c r="E47" s="6">
        <v>45633</v>
      </c>
      <c r="F47" s="6">
        <v>54325</v>
      </c>
      <c r="G47" s="6">
        <v>63017</v>
      </c>
      <c r="H47" s="6">
        <v>71709</v>
      </c>
      <c r="I47" s="7">
        <f t="shared" si="0"/>
        <v>73338.75</v>
      </c>
      <c r="J47" s="7">
        <f t="shared" si="1"/>
        <v>74968.5</v>
      </c>
      <c r="K47" s="7">
        <f t="shared" si="2"/>
        <v>76598.25</v>
      </c>
      <c r="L47" s="7">
        <f t="shared" si="3"/>
        <v>78228</v>
      </c>
    </row>
    <row r="48" spans="1:12" ht="25.5" hidden="1" customHeight="1" x14ac:dyDescent="0.25">
      <c r="A48" s="4" t="s">
        <v>55</v>
      </c>
      <c r="B48" s="6">
        <v>99184</v>
      </c>
      <c r="C48" s="6">
        <v>30945</v>
      </c>
      <c r="D48" s="6">
        <v>40467</v>
      </c>
      <c r="E48" s="6">
        <v>49988</v>
      </c>
      <c r="F48" s="6">
        <v>59510</v>
      </c>
      <c r="G48" s="6">
        <v>69032</v>
      </c>
      <c r="H48" s="6">
        <v>78553</v>
      </c>
      <c r="I48" s="7">
        <f t="shared" si="0"/>
        <v>80338.5</v>
      </c>
      <c r="J48" s="7">
        <f t="shared" si="1"/>
        <v>82123.799999999988</v>
      </c>
      <c r="K48" s="7">
        <f t="shared" si="2"/>
        <v>83909.099999999991</v>
      </c>
      <c r="L48" s="7">
        <f t="shared" si="3"/>
        <v>85694.399999999994</v>
      </c>
    </row>
    <row r="49" spans="1:12" ht="25.5" hidden="1" customHeight="1" x14ac:dyDescent="0.25">
      <c r="A49" s="4" t="s">
        <v>56</v>
      </c>
      <c r="B49" s="6">
        <v>108955</v>
      </c>
      <c r="C49" s="6">
        <v>33994</v>
      </c>
      <c r="D49" s="6">
        <v>44454</v>
      </c>
      <c r="E49" s="6">
        <v>54913</v>
      </c>
      <c r="F49" s="6">
        <v>65373</v>
      </c>
      <c r="G49" s="6">
        <v>75833</v>
      </c>
      <c r="H49" s="6">
        <v>86292</v>
      </c>
      <c r="I49" s="7">
        <f t="shared" si="0"/>
        <v>88253.55</v>
      </c>
      <c r="J49" s="7">
        <f t="shared" si="1"/>
        <v>90214.739999999991</v>
      </c>
      <c r="K49" s="7">
        <f t="shared" si="2"/>
        <v>92175.93</v>
      </c>
      <c r="L49" s="7">
        <f t="shared" si="3"/>
        <v>94137.12</v>
      </c>
    </row>
    <row r="50" spans="1:12" ht="25.5" hidden="1" customHeight="1" x14ac:dyDescent="0.25">
      <c r="A50" s="4" t="s">
        <v>57</v>
      </c>
      <c r="B50" s="6">
        <v>107085</v>
      </c>
      <c r="C50" s="6">
        <v>33411</v>
      </c>
      <c r="D50" s="6">
        <v>43691</v>
      </c>
      <c r="E50" s="6">
        <v>53971</v>
      </c>
      <c r="F50" s="6">
        <v>64251</v>
      </c>
      <c r="G50" s="6">
        <v>74531</v>
      </c>
      <c r="H50" s="6">
        <v>84811</v>
      </c>
      <c r="I50" s="7">
        <f t="shared" si="0"/>
        <v>86738.85</v>
      </c>
      <c r="J50" s="7">
        <f t="shared" si="1"/>
        <v>88666.37999999999</v>
      </c>
      <c r="K50" s="7">
        <f t="shared" si="2"/>
        <v>90593.909999999989</v>
      </c>
      <c r="L50" s="7">
        <f t="shared" si="3"/>
        <v>92521.44</v>
      </c>
    </row>
    <row r="51" spans="1:12" ht="25.5" hidden="1" customHeight="1" x14ac:dyDescent="0.25">
      <c r="A51" s="4" t="s">
        <v>58</v>
      </c>
      <c r="B51" s="6">
        <v>77096</v>
      </c>
      <c r="C51" s="6">
        <v>24054</v>
      </c>
      <c r="D51" s="6">
        <v>31455</v>
      </c>
      <c r="E51" s="6">
        <v>38857</v>
      </c>
      <c r="F51" s="6">
        <v>46258</v>
      </c>
      <c r="G51" s="6">
        <v>53659</v>
      </c>
      <c r="H51" s="6">
        <v>61061</v>
      </c>
      <c r="I51" s="7">
        <f t="shared" si="0"/>
        <v>62448.3</v>
      </c>
      <c r="J51" s="7">
        <f t="shared" si="1"/>
        <v>63836.039999999994</v>
      </c>
      <c r="K51" s="7">
        <f t="shared" si="2"/>
        <v>65223.78</v>
      </c>
      <c r="L51" s="7">
        <f t="shared" si="3"/>
        <v>66611.520000000004</v>
      </c>
    </row>
    <row r="52" spans="1:12" ht="25.5" hidden="1" customHeight="1" x14ac:dyDescent="0.25">
      <c r="A52" s="4" t="s">
        <v>59</v>
      </c>
      <c r="B52" s="6">
        <v>99688</v>
      </c>
      <c r="C52" s="6">
        <v>31103</v>
      </c>
      <c r="D52" s="6">
        <v>40673</v>
      </c>
      <c r="E52" s="6">
        <v>50243</v>
      </c>
      <c r="F52" s="6">
        <v>59813</v>
      </c>
      <c r="G52" s="6">
        <v>69383</v>
      </c>
      <c r="H52" s="6">
        <v>78953</v>
      </c>
      <c r="I52" s="7">
        <f t="shared" si="0"/>
        <v>80747.55</v>
      </c>
      <c r="J52" s="7">
        <f t="shared" si="1"/>
        <v>82541.939999999988</v>
      </c>
      <c r="K52" s="7">
        <f t="shared" si="2"/>
        <v>84336.33</v>
      </c>
      <c r="L52" s="7">
        <f t="shared" si="3"/>
        <v>86130.72</v>
      </c>
    </row>
    <row r="53" spans="1:12" ht="25.5" hidden="1" customHeight="1" x14ac:dyDescent="0.25">
      <c r="A53" s="4" t="s">
        <v>60</v>
      </c>
      <c r="B53" s="6">
        <v>95814</v>
      </c>
      <c r="C53" s="6">
        <v>29894</v>
      </c>
      <c r="D53" s="6">
        <v>39092</v>
      </c>
      <c r="E53" s="6">
        <v>48290</v>
      </c>
      <c r="F53" s="6">
        <v>57488</v>
      </c>
      <c r="G53" s="6">
        <v>66686</v>
      </c>
      <c r="H53" s="6">
        <v>75884</v>
      </c>
      <c r="I53" s="7">
        <f t="shared" si="0"/>
        <v>77608.800000000003</v>
      </c>
      <c r="J53" s="7">
        <f t="shared" si="1"/>
        <v>79333.439999999988</v>
      </c>
      <c r="K53" s="7">
        <f t="shared" si="2"/>
        <v>81058.080000000002</v>
      </c>
      <c r="L53" s="7">
        <f t="shared" si="3"/>
        <v>82782.720000000001</v>
      </c>
    </row>
    <row r="54" spans="1:12" ht="25.5" hidden="1" customHeight="1" x14ac:dyDescent="0.25">
      <c r="A54" s="4" t="s">
        <v>61</v>
      </c>
      <c r="B54" s="6">
        <v>32843</v>
      </c>
      <c r="C54" s="6">
        <v>10247</v>
      </c>
      <c r="D54" s="6">
        <v>13400</v>
      </c>
      <c r="E54" s="6">
        <v>16553</v>
      </c>
      <c r="F54" s="6">
        <v>19706</v>
      </c>
      <c r="G54" s="6">
        <v>22859</v>
      </c>
      <c r="H54" s="6">
        <v>26012</v>
      </c>
      <c r="I54" s="7">
        <f t="shared" si="0"/>
        <v>26603.100000000002</v>
      </c>
      <c r="J54" s="7">
        <f t="shared" si="1"/>
        <v>27194.28</v>
      </c>
      <c r="K54" s="7">
        <f t="shared" si="2"/>
        <v>27785.46</v>
      </c>
      <c r="L54" s="7">
        <f t="shared" si="3"/>
        <v>28376.639999999999</v>
      </c>
    </row>
    <row r="55" spans="1:12" ht="16.5" customHeight="1" x14ac:dyDescent="0.25">
      <c r="A55" s="17" t="s">
        <v>62</v>
      </c>
      <c r="B55" s="17"/>
      <c r="C55" s="17"/>
      <c r="D55" s="17"/>
      <c r="E55" s="17"/>
      <c r="F55" s="17"/>
      <c r="G55" s="17"/>
      <c r="H55" s="17"/>
      <c r="I55" s="17"/>
    </row>
    <row r="56" spans="1:12" ht="1.05" customHeight="1" x14ac:dyDescent="0.25">
      <c r="A56" s="18"/>
      <c r="B56" s="18"/>
      <c r="C56" s="18"/>
      <c r="D56" s="18"/>
      <c r="E56" s="18"/>
      <c r="F56" s="18"/>
      <c r="G56" s="18"/>
      <c r="H56" s="18"/>
      <c r="I56" s="18"/>
    </row>
    <row r="57" spans="1:12" ht="119.4" customHeight="1" x14ac:dyDescent="0.25">
      <c r="A57" s="18" t="s">
        <v>63</v>
      </c>
      <c r="B57" s="18"/>
      <c r="C57" s="18"/>
      <c r="D57" s="18"/>
      <c r="E57" s="18"/>
      <c r="F57" s="18"/>
      <c r="G57" s="18"/>
      <c r="H57" s="18"/>
      <c r="I57" s="18"/>
      <c r="J57" s="18"/>
      <c r="K57" s="18"/>
      <c r="L57" s="18"/>
    </row>
  </sheetData>
  <mergeCells count="3">
    <mergeCell ref="A55:I55"/>
    <mergeCell ref="A56:I56"/>
    <mergeCell ref="A57:L57"/>
  </mergeCells>
  <phoneticPr fontId="10" type="noConversion"/>
  <hyperlinks>
    <hyperlink ref="A57" r:id="rId1" display="https://data.census.gov/cedsci/" xr:uid="{71A3948F-590A-44E7-8DC7-9F40DC459DC7}"/>
  </hyperlinks>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D61FC0-851D-43A3-9D61-73ED307FF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SMI Table</vt:lpstr>
      <vt:lpstr>LIHEAP State Median Income</vt:lpstr>
      <vt:lpstr>SMI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Packer</cp:lastModifiedBy>
  <dcterms:created xsi:type="dcterms:W3CDTF">2021-11-04T20:59:38Z</dcterms:created>
  <dcterms:modified xsi:type="dcterms:W3CDTF">2021-11-15T19:14:47Z</dcterms:modified>
</cp:coreProperties>
</file>